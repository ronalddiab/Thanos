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drawings/drawing2.xml" ContentType="application/vnd.openxmlformats-officedocument.drawing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drawings/drawing3.xml" ContentType="application/vnd.openxmlformats-officedocument.drawing+xml"/>
  <Override PartName="/xl/charts/chart12.xml" ContentType="application/vnd.openxmlformats-officedocument.drawingml.chart+xml"/>
  <Override PartName="/xl/drawings/drawing4.xml" ContentType="application/vnd.openxmlformats-officedocument.drawing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drawings/drawing5.xml" ContentType="application/vnd.openxmlformats-officedocument.drawingml.chartshapes+xml"/>
  <Override PartName="/xl/charts/chart17.xml" ContentType="application/vnd.openxmlformats-officedocument.drawingml.chart+xml"/>
  <Override PartName="/xl/drawings/drawing6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7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udhakar.appa\Desktop\Report HLP 2020\HLP 2022\"/>
    </mc:Choice>
  </mc:AlternateContent>
  <xr:revisionPtr revIDLastSave="0" documentId="13_ncr:1_{4A933CDF-90BA-4A0D-A95C-2BD3DC83E155}" xr6:coauthVersionLast="47" xr6:coauthVersionMax="47" xr10:uidLastSave="{00000000-0000-0000-0000-000000000000}"/>
  <bookViews>
    <workbookView xWindow="-120" yWindow="-120" windowWidth="20730" windowHeight="11160" tabRatio="915" activeTab="3" xr2:uid="{00000000-000D-0000-FFFF-FFFF00000000}"/>
  </bookViews>
  <sheets>
    <sheet name="TOTAL" sheetId="47" r:id="rId1"/>
    <sheet name="Submetering" sheetId="49" r:id="rId2"/>
    <sheet name="Daily HLP" sheetId="1" r:id="rId3"/>
    <sheet name="Occupancy" sheetId="48" r:id="rId4"/>
    <sheet name="Water Report" sheetId="45" r:id="rId5"/>
    <sheet name="Section Load" sheetId="44" r:id="rId6"/>
    <sheet name="1" sheetId="2" r:id="rId7"/>
    <sheet name="2" sheetId="3" r:id="rId8"/>
    <sheet name="3" sheetId="4" r:id="rId9"/>
    <sheet name="4" sheetId="5" r:id="rId10"/>
    <sheet name="5" sheetId="33" r:id="rId11"/>
    <sheet name="6" sheetId="7" r:id="rId12"/>
    <sheet name="7" sheetId="8" r:id="rId13"/>
    <sheet name="8" sheetId="9" r:id="rId14"/>
    <sheet name="9" sheetId="10" r:id="rId15"/>
    <sheet name="10" sheetId="11" r:id="rId16"/>
    <sheet name="11" sheetId="12" r:id="rId17"/>
    <sheet name="12" sheetId="13" r:id="rId18"/>
    <sheet name="13" sheetId="14" r:id="rId19"/>
    <sheet name="14" sheetId="15" r:id="rId20"/>
    <sheet name="15" sheetId="16" r:id="rId21"/>
    <sheet name="16" sheetId="17" r:id="rId22"/>
    <sheet name="17" sheetId="18" r:id="rId23"/>
    <sheet name="18 " sheetId="19" r:id="rId24"/>
    <sheet name="19" sheetId="20" r:id="rId25"/>
    <sheet name="20" sheetId="21" r:id="rId26"/>
    <sheet name="21" sheetId="22" r:id="rId27"/>
    <sheet name="22" sheetId="23" r:id="rId28"/>
    <sheet name="23" sheetId="24" r:id="rId29"/>
    <sheet name="24" sheetId="25" r:id="rId30"/>
    <sheet name="25" sheetId="40" r:id="rId31"/>
    <sheet name="26" sheetId="27" r:id="rId32"/>
    <sheet name="27" sheetId="28" r:id="rId33"/>
    <sheet name="28" sheetId="29" r:id="rId34"/>
    <sheet name="29" sheetId="30" r:id="rId35"/>
    <sheet name="30" sheetId="43" r:id="rId36"/>
    <sheet name="31" sheetId="31" r:id="rId37"/>
    <sheet name="Daily HLP (2)" sheetId="35" r:id="rId38"/>
    <sheet name="Sheet1" sheetId="50" r:id="rId39"/>
  </sheets>
  <externalReferences>
    <externalReference r:id="rId40"/>
  </externalReferences>
  <definedNames>
    <definedName name="_xlnm.Print_Area" localSheetId="6">'1'!$A$1:$M$190</definedName>
    <definedName name="_xlnm.Print_Area" localSheetId="15">'10'!$A$1:$M$192</definedName>
    <definedName name="_xlnm.Print_Area" localSheetId="18">'13'!$A$1:$M$192</definedName>
    <definedName name="_xlnm.Print_Area" localSheetId="19">'14'!$A$1:$M$190</definedName>
    <definedName name="_xlnm.Print_Area" localSheetId="20">'15'!$A$1:$J$192</definedName>
    <definedName name="_xlnm.Print_Area" localSheetId="21">'16'!$A$1:$J$192</definedName>
    <definedName name="_xlnm.Print_Area" localSheetId="22">'17'!$A$1:$J$191</definedName>
    <definedName name="_xlnm.Print_Area" localSheetId="23">'18 '!$A$1:$J$190</definedName>
    <definedName name="_xlnm.Print_Area" localSheetId="24">'19'!$A$1:$J$190</definedName>
    <definedName name="_xlnm.Print_Area" localSheetId="25">'20'!$A$1:$J$190</definedName>
    <definedName name="_xlnm.Print_Area" localSheetId="26">'21'!$A$1:$J$192</definedName>
    <definedName name="_xlnm.Print_Area" localSheetId="27">'22'!$A$1:$J$192</definedName>
    <definedName name="_xlnm.Print_Area" localSheetId="28">'23'!$A$1:$J$190</definedName>
    <definedName name="_xlnm.Print_Area" localSheetId="29">'24'!$A$1:$J$192</definedName>
    <definedName name="_xlnm.Print_Area" localSheetId="30">'25'!$A$1:$J$192</definedName>
    <definedName name="_xlnm.Print_Area" localSheetId="31">'26'!$A$1:$J$191</definedName>
    <definedName name="_xlnm.Print_Area" localSheetId="32">'27'!$A$1:$J$192</definedName>
    <definedName name="_xlnm.Print_Area" localSheetId="33">'28'!$A$1:$J$190</definedName>
    <definedName name="_xlnm.Print_Area" localSheetId="34">'29'!$A$1:$R$190</definedName>
    <definedName name="_xlnm.Print_Area" localSheetId="8">'3'!$A$1:$M$190</definedName>
    <definedName name="_xlnm.Print_Area" localSheetId="35">'30'!$A$1:$J$190</definedName>
    <definedName name="_xlnm.Print_Area" localSheetId="36">'31'!$A$1:$J$190</definedName>
    <definedName name="_xlnm.Print_Area" localSheetId="9">'4'!$A$1:$J$189</definedName>
    <definedName name="_xlnm.Print_Area" localSheetId="10">'5'!$A$1:$N$196</definedName>
    <definedName name="_xlnm.Print_Area" localSheetId="11">'6'!$A$1:$J$192</definedName>
    <definedName name="_xlnm.Print_Area" localSheetId="12">'7'!$A$1:$J$194</definedName>
    <definedName name="_xlnm.Print_Area" localSheetId="13">'8'!$A$1:$J$190</definedName>
    <definedName name="_xlnm.Print_Area" localSheetId="14">'9'!$A$1:$J$191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8" i="27" l="1"/>
  <c r="E9" i="27"/>
  <c r="E10" i="27"/>
  <c r="E11" i="27"/>
  <c r="E12" i="27"/>
  <c r="E156" i="40"/>
  <c r="E157" i="40"/>
  <c r="E158" i="40"/>
  <c r="E129" i="25"/>
  <c r="E130" i="25"/>
  <c r="E131" i="25"/>
  <c r="E132" i="25"/>
  <c r="E133" i="25"/>
  <c r="E134" i="25"/>
  <c r="E36" i="40"/>
  <c r="E37" i="40"/>
  <c r="E38" i="40"/>
  <c r="E39" i="40"/>
  <c r="E40" i="40"/>
  <c r="E41" i="40"/>
  <c r="E42" i="40"/>
  <c r="E43" i="40"/>
  <c r="E44" i="40"/>
  <c r="E45" i="40"/>
  <c r="E46" i="40"/>
  <c r="E8" i="40"/>
  <c r="E9" i="40"/>
  <c r="E10" i="40"/>
  <c r="E11" i="40"/>
  <c r="E12" i="40"/>
  <c r="E156" i="25"/>
  <c r="E157" i="25"/>
  <c r="E158" i="25"/>
  <c r="E157" i="23"/>
  <c r="G157" i="23" s="1"/>
  <c r="E158" i="23"/>
  <c r="G158" i="23" s="1"/>
  <c r="E157" i="24"/>
  <c r="E158" i="24"/>
  <c r="E132" i="22"/>
  <c r="E75" i="21" l="1"/>
  <c r="E40" i="21"/>
  <c r="E149" i="20" l="1"/>
  <c r="G9" i="50"/>
  <c r="E12" i="19"/>
  <c r="E11" i="19"/>
  <c r="G11" i="19" l="1"/>
  <c r="E132" i="18"/>
  <c r="E158" i="19"/>
  <c r="G158" i="19" s="1"/>
  <c r="E15" i="17"/>
  <c r="E157" i="16" l="1"/>
  <c r="E158" i="16"/>
  <c r="E150" i="16"/>
  <c r="G157" i="15" l="1"/>
  <c r="G158" i="15"/>
  <c r="G157" i="14" l="1"/>
  <c r="G158" i="14"/>
  <c r="G158" i="13" l="1"/>
  <c r="H158" i="13" s="1"/>
  <c r="G157" i="13"/>
  <c r="H157" i="13" s="1"/>
  <c r="J157" i="13" l="1"/>
  <c r="H157" i="14"/>
  <c r="J158" i="13"/>
  <c r="H158" i="14"/>
  <c r="E50" i="12"/>
  <c r="E51" i="12"/>
  <c r="E52" i="12"/>
  <c r="E53" i="12"/>
  <c r="E54" i="12"/>
  <c r="E55" i="12"/>
  <c r="E56" i="12"/>
  <c r="E57" i="12"/>
  <c r="E58" i="12"/>
  <c r="E36" i="12"/>
  <c r="E37" i="12"/>
  <c r="E38" i="12"/>
  <c r="E39" i="12"/>
  <c r="E40" i="12"/>
  <c r="E41" i="12"/>
  <c r="E42" i="12"/>
  <c r="E43" i="12"/>
  <c r="E44" i="12"/>
  <c r="E45" i="12"/>
  <c r="E46" i="12"/>
  <c r="E50" i="10"/>
  <c r="F148" i="33"/>
  <c r="J159" i="33"/>
  <c r="E156" i="33"/>
  <c r="E157" i="33"/>
  <c r="G157" i="33" s="1"/>
  <c r="E158" i="33"/>
  <c r="G158" i="33" s="1"/>
  <c r="E157" i="5"/>
  <c r="G157" i="5" s="1"/>
  <c r="H157" i="5" s="1"/>
  <c r="J157" i="5" s="1"/>
  <c r="E158" i="5"/>
  <c r="G158" i="5" s="1"/>
  <c r="H158" i="5" s="1"/>
  <c r="J158" i="5" s="1"/>
  <c r="E156" i="4"/>
  <c r="G156" i="4" s="1"/>
  <c r="E157" i="4"/>
  <c r="G157" i="4" s="1"/>
  <c r="E158" i="4"/>
  <c r="G158" i="4" s="1"/>
  <c r="G158" i="3"/>
  <c r="E156" i="3"/>
  <c r="E157" i="3"/>
  <c r="G157" i="3" s="1"/>
  <c r="E161" i="3"/>
  <c r="G164" i="2"/>
  <c r="G158" i="2"/>
  <c r="G157" i="2"/>
  <c r="J158" i="14" l="1"/>
  <c r="H158" i="15"/>
  <c r="J158" i="15" s="1"/>
  <c r="J157" i="14"/>
  <c r="H157" i="15"/>
  <c r="J157" i="15" s="1"/>
  <c r="H157" i="33"/>
  <c r="J157" i="33" s="1"/>
  <c r="H158" i="33"/>
  <c r="J158" i="33" s="1"/>
  <c r="F7" i="28"/>
  <c r="E156" i="31"/>
  <c r="G156" i="31" s="1"/>
  <c r="E157" i="31"/>
  <c r="G157" i="31" s="1"/>
  <c r="H157" i="31" s="1"/>
  <c r="E158" i="31"/>
  <c r="G158" i="31" s="1"/>
  <c r="H158" i="31" s="1"/>
  <c r="K8" i="48"/>
  <c r="L8" i="48"/>
  <c r="E139" i="43"/>
  <c r="E140" i="43"/>
  <c r="E141" i="43"/>
  <c r="E142" i="43"/>
  <c r="E143" i="43"/>
  <c r="E144" i="43"/>
  <c r="E145" i="43"/>
  <c r="E146" i="43"/>
  <c r="E147" i="43"/>
  <c r="E148" i="43"/>
  <c r="E149" i="43"/>
  <c r="E150" i="43"/>
  <c r="E151" i="43"/>
  <c r="E152" i="43"/>
  <c r="E36" i="43"/>
  <c r="E37" i="43"/>
  <c r="E38" i="43"/>
  <c r="E39" i="43"/>
  <c r="E40" i="43"/>
  <c r="E41" i="43"/>
  <c r="E42" i="43"/>
  <c r="E43" i="43"/>
  <c r="E44" i="43"/>
  <c r="E45" i="43"/>
  <c r="E46" i="43"/>
  <c r="F156" i="30" l="1"/>
  <c r="E157" i="30"/>
  <c r="G157" i="30" s="1"/>
  <c r="E158" i="30"/>
  <c r="G158" i="30" s="1"/>
  <c r="G157" i="29"/>
  <c r="E158" i="29"/>
  <c r="G158" i="29" s="1"/>
  <c r="G157" i="24"/>
  <c r="G158" i="24"/>
  <c r="E156" i="28"/>
  <c r="G156" i="28" s="1"/>
  <c r="E157" i="28"/>
  <c r="G157" i="28" s="1"/>
  <c r="E158" i="28"/>
  <c r="G158" i="28" s="1"/>
  <c r="E36" i="28"/>
  <c r="E37" i="28"/>
  <c r="E38" i="28"/>
  <c r="E39" i="28"/>
  <c r="E40" i="28"/>
  <c r="E41" i="28"/>
  <c r="E42" i="28"/>
  <c r="E43" i="28"/>
  <c r="E44" i="28"/>
  <c r="E45" i="28"/>
  <c r="E46" i="28"/>
  <c r="G157" i="40"/>
  <c r="G158" i="40"/>
  <c r="E156" i="27"/>
  <c r="G156" i="27" s="1"/>
  <c r="E157" i="27"/>
  <c r="G157" i="27" s="1"/>
  <c r="E158" i="27"/>
  <c r="G158" i="27" s="1"/>
  <c r="E139" i="40"/>
  <c r="E140" i="40"/>
  <c r="E141" i="40"/>
  <c r="E142" i="40"/>
  <c r="E143" i="40"/>
  <c r="E144" i="40"/>
  <c r="E145" i="40"/>
  <c r="E146" i="40"/>
  <c r="E147" i="40"/>
  <c r="E148" i="40"/>
  <c r="E149" i="40"/>
  <c r="E150" i="40"/>
  <c r="E151" i="40"/>
  <c r="E152" i="40"/>
  <c r="G158" i="25"/>
  <c r="G157" i="25"/>
  <c r="G156" i="25"/>
  <c r="E75" i="25"/>
  <c r="E76" i="25"/>
  <c r="E77" i="25"/>
  <c r="E78" i="25"/>
  <c r="E134" i="23"/>
  <c r="E134" i="22"/>
  <c r="E157" i="22"/>
  <c r="G157" i="22" s="1"/>
  <c r="E158" i="22"/>
  <c r="G158" i="22" s="1"/>
  <c r="E157" i="21"/>
  <c r="G157" i="21" s="1"/>
  <c r="H157" i="21" s="1"/>
  <c r="J157" i="21" s="1"/>
  <c r="E158" i="21"/>
  <c r="G158" i="21" s="1"/>
  <c r="H158" i="21" s="1"/>
  <c r="J158" i="21" s="1"/>
  <c r="E180" i="21"/>
  <c r="E156" i="20"/>
  <c r="G156" i="20" s="1"/>
  <c r="E157" i="20"/>
  <c r="G157" i="20" s="1"/>
  <c r="E158" i="20"/>
  <c r="G158" i="20" s="1"/>
  <c r="E156" i="19"/>
  <c r="G156" i="19" s="1"/>
  <c r="E157" i="19"/>
  <c r="G157" i="19" s="1"/>
  <c r="F191" i="18"/>
  <c r="E157" i="18"/>
  <c r="G157" i="18" s="1"/>
  <c r="E158" i="18"/>
  <c r="G158" i="18" s="1"/>
  <c r="E156" i="17"/>
  <c r="E157" i="17"/>
  <c r="G157" i="17" s="1"/>
  <c r="E158" i="17"/>
  <c r="G158" i="17" s="1"/>
  <c r="H158" i="22" l="1"/>
  <c r="H157" i="22"/>
  <c r="G158" i="16"/>
  <c r="H158" i="16" s="1"/>
  <c r="J158" i="16" s="1"/>
  <c r="G157" i="16"/>
  <c r="H157" i="16" s="1"/>
  <c r="J157" i="16" s="1"/>
  <c r="G15" i="15"/>
  <c r="J157" i="22" l="1"/>
  <c r="H157" i="23"/>
  <c r="J158" i="22"/>
  <c r="H158" i="23"/>
  <c r="H157" i="17"/>
  <c r="H158" i="17"/>
  <c r="E139" i="13"/>
  <c r="E140" i="13"/>
  <c r="E141" i="13"/>
  <c r="E142" i="13"/>
  <c r="E143" i="13"/>
  <c r="E144" i="13"/>
  <c r="E145" i="13"/>
  <c r="E146" i="13"/>
  <c r="E147" i="13"/>
  <c r="E148" i="13"/>
  <c r="E149" i="13"/>
  <c r="E150" i="13"/>
  <c r="E151" i="13"/>
  <c r="E152" i="13"/>
  <c r="E129" i="13"/>
  <c r="E130" i="13"/>
  <c r="E131" i="13"/>
  <c r="E132" i="13"/>
  <c r="E133" i="13"/>
  <c r="E51" i="13"/>
  <c r="E52" i="13"/>
  <c r="E53" i="13"/>
  <c r="E54" i="13"/>
  <c r="E55" i="13"/>
  <c r="E56" i="13"/>
  <c r="E57" i="13"/>
  <c r="E58" i="13"/>
  <c r="E36" i="13"/>
  <c r="E37" i="13"/>
  <c r="E38" i="13"/>
  <c r="E39" i="13"/>
  <c r="E40" i="13"/>
  <c r="E41" i="13"/>
  <c r="E42" i="13"/>
  <c r="E44" i="13"/>
  <c r="E45" i="13"/>
  <c r="E46" i="13"/>
  <c r="E11" i="13"/>
  <c r="E12" i="13"/>
  <c r="E129" i="12"/>
  <c r="E130" i="12"/>
  <c r="E131" i="12"/>
  <c r="E132" i="12"/>
  <c r="E133" i="12"/>
  <c r="E134" i="12"/>
  <c r="J158" i="23" l="1"/>
  <c r="H158" i="24"/>
  <c r="J157" i="23"/>
  <c r="H157" i="24"/>
  <c r="J158" i="17"/>
  <c r="H158" i="18"/>
  <c r="J157" i="17"/>
  <c r="H157" i="18"/>
  <c r="E50" i="11"/>
  <c r="E51" i="11"/>
  <c r="E52" i="11"/>
  <c r="E53" i="11"/>
  <c r="E54" i="11"/>
  <c r="E55" i="11"/>
  <c r="E56" i="11"/>
  <c r="E57" i="11"/>
  <c r="E58" i="11"/>
  <c r="E121" i="33"/>
  <c r="E49" i="33"/>
  <c r="E134" i="4"/>
  <c r="G190" i="2"/>
  <c r="G190" i="43"/>
  <c r="I7" i="30"/>
  <c r="E180" i="24"/>
  <c r="E129" i="24"/>
  <c r="E56" i="24"/>
  <c r="E40" i="24"/>
  <c r="E39" i="24"/>
  <c r="E37" i="24"/>
  <c r="E35" i="24"/>
  <c r="E130" i="24"/>
  <c r="E130" i="23"/>
  <c r="G130" i="23" s="1"/>
  <c r="E120" i="23"/>
  <c r="E113" i="23"/>
  <c r="E63" i="23"/>
  <c r="E55" i="23"/>
  <c r="E56" i="23"/>
  <c r="E57" i="23"/>
  <c r="E58" i="23"/>
  <c r="E49" i="23"/>
  <c r="E178" i="21"/>
  <c r="F190" i="20"/>
  <c r="F190" i="19"/>
  <c r="H191" i="18"/>
  <c r="I191" i="18" s="1"/>
  <c r="K191" i="18" s="1"/>
  <c r="E145" i="18"/>
  <c r="E146" i="18"/>
  <c r="E114" i="18"/>
  <c r="H191" i="17"/>
  <c r="I191" i="17" s="1"/>
  <c r="K191" i="17" s="1"/>
  <c r="P15" i="17"/>
  <c r="O7" i="16"/>
  <c r="J157" i="24" l="1"/>
  <c r="H157" i="25"/>
  <c r="H157" i="40" s="1"/>
  <c r="H157" i="27" s="1"/>
  <c r="H157" i="28" s="1"/>
  <c r="J158" i="24"/>
  <c r="H158" i="25"/>
  <c r="H158" i="40" s="1"/>
  <c r="H158" i="27" s="1"/>
  <c r="H158" i="28" s="1"/>
  <c r="J157" i="18"/>
  <c r="H157" i="19"/>
  <c r="J157" i="19" s="1"/>
  <c r="J158" i="18"/>
  <c r="H158" i="19"/>
  <c r="J158" i="19" s="1"/>
  <c r="H190" i="20"/>
  <c r="I190" i="20" s="1"/>
  <c r="K190" i="20" s="1"/>
  <c r="H190" i="19"/>
  <c r="I190" i="19" s="1"/>
  <c r="K190" i="19" s="1"/>
  <c r="E134" i="10" l="1"/>
  <c r="E146" i="33" l="1"/>
  <c r="E155" i="5"/>
  <c r="E149" i="4"/>
  <c r="E150" i="4"/>
  <c r="E151" i="4"/>
  <c r="E152" i="4"/>
  <c r="E69" i="3"/>
  <c r="E155" i="3"/>
  <c r="G134" i="2"/>
  <c r="G37" i="2"/>
  <c r="G18" i="2"/>
  <c r="E31" i="2" s="1"/>
  <c r="E90" i="31" l="1"/>
  <c r="G90" i="31" s="1"/>
  <c r="B30" i="48"/>
  <c r="H30" i="48"/>
  <c r="B22" i="48"/>
  <c r="G56" i="23"/>
  <c r="E155" i="23"/>
  <c r="E39" i="22" l="1"/>
  <c r="E139" i="22"/>
  <c r="E140" i="22"/>
  <c r="E141" i="22"/>
  <c r="E142" i="22"/>
  <c r="E143" i="22"/>
  <c r="E144" i="22"/>
  <c r="E145" i="22"/>
  <c r="E146" i="22"/>
  <c r="E147" i="22"/>
  <c r="E148" i="22"/>
  <c r="E149" i="22"/>
  <c r="E150" i="22"/>
  <c r="E151" i="22"/>
  <c r="E152" i="22"/>
  <c r="E113" i="22"/>
  <c r="E114" i="22"/>
  <c r="E115" i="22"/>
  <c r="E116" i="22"/>
  <c r="E117" i="22"/>
  <c r="E118" i="22"/>
  <c r="E119" i="22"/>
  <c r="E120" i="22"/>
  <c r="E121" i="22"/>
  <c r="E122" i="22"/>
  <c r="E123" i="22"/>
  <c r="E36" i="21"/>
  <c r="E37" i="21"/>
  <c r="E38" i="21"/>
  <c r="E39" i="21"/>
  <c r="E41" i="21"/>
  <c r="E42" i="21"/>
  <c r="E43" i="21"/>
  <c r="E44" i="21"/>
  <c r="E45" i="21"/>
  <c r="E46" i="21"/>
  <c r="E184" i="20"/>
  <c r="E185" i="20"/>
  <c r="E183" i="20"/>
  <c r="E179" i="20"/>
  <c r="E180" i="20"/>
  <c r="E178" i="20"/>
  <c r="E174" i="20"/>
  <c r="E175" i="20"/>
  <c r="E173" i="20"/>
  <c r="E162" i="20"/>
  <c r="E163" i="20"/>
  <c r="E164" i="20"/>
  <c r="E165" i="20"/>
  <c r="E161" i="20"/>
  <c r="E155" i="20"/>
  <c r="E152" i="20"/>
  <c r="E139" i="20"/>
  <c r="E140" i="20"/>
  <c r="E141" i="20"/>
  <c r="E142" i="20"/>
  <c r="E143" i="20"/>
  <c r="E144" i="20"/>
  <c r="E145" i="20"/>
  <c r="E146" i="20"/>
  <c r="E147" i="20"/>
  <c r="E148" i="20"/>
  <c r="E150" i="20"/>
  <c r="E151" i="20"/>
  <c r="E138" i="20"/>
  <c r="E134" i="20"/>
  <c r="E129" i="20"/>
  <c r="E130" i="20"/>
  <c r="E131" i="20"/>
  <c r="E132" i="20"/>
  <c r="E133" i="20"/>
  <c r="E128" i="20"/>
  <c r="E124" i="20"/>
  <c r="E113" i="20"/>
  <c r="E114" i="20"/>
  <c r="E115" i="20"/>
  <c r="E116" i="20"/>
  <c r="E117" i="20"/>
  <c r="E118" i="20"/>
  <c r="E119" i="20"/>
  <c r="E120" i="20"/>
  <c r="E121" i="20"/>
  <c r="E122" i="20"/>
  <c r="E123" i="20"/>
  <c r="E112" i="20"/>
  <c r="E83" i="20"/>
  <c r="E84" i="20"/>
  <c r="E85" i="20"/>
  <c r="E86" i="20"/>
  <c r="E87" i="20"/>
  <c r="E88" i="20"/>
  <c r="E89" i="20"/>
  <c r="E90" i="20"/>
  <c r="E91" i="20"/>
  <c r="E92" i="20"/>
  <c r="E82" i="20"/>
  <c r="E75" i="20"/>
  <c r="E76" i="20"/>
  <c r="E77" i="20"/>
  <c r="E78" i="20"/>
  <c r="E79" i="20"/>
  <c r="E74" i="20"/>
  <c r="E63" i="20"/>
  <c r="E64" i="20"/>
  <c r="E65" i="20"/>
  <c r="E66" i="20"/>
  <c r="E67" i="20"/>
  <c r="E68" i="20"/>
  <c r="E69" i="20"/>
  <c r="E70" i="20"/>
  <c r="E71" i="20"/>
  <c r="E62" i="20"/>
  <c r="E50" i="20"/>
  <c r="E51" i="20"/>
  <c r="E52" i="20"/>
  <c r="E53" i="20"/>
  <c r="E54" i="20"/>
  <c r="E55" i="20"/>
  <c r="E56" i="20"/>
  <c r="E57" i="20"/>
  <c r="E58" i="20"/>
  <c r="E49" i="20"/>
  <c r="E36" i="20"/>
  <c r="E37" i="20"/>
  <c r="E38" i="20"/>
  <c r="E39" i="20"/>
  <c r="E40" i="20"/>
  <c r="E41" i="20"/>
  <c r="E42" i="20"/>
  <c r="E43" i="20"/>
  <c r="E44" i="20"/>
  <c r="E45" i="20"/>
  <c r="E46" i="20"/>
  <c r="E35" i="20"/>
  <c r="E23" i="20"/>
  <c r="E24" i="20"/>
  <c r="E22" i="20"/>
  <c r="E11" i="20"/>
  <c r="E12" i="20"/>
  <c r="E57" i="19"/>
  <c r="E84" i="17" l="1"/>
  <c r="E134" i="16"/>
  <c r="J188" i="15"/>
  <c r="AH4" i="45"/>
  <c r="AG4" i="45"/>
  <c r="AF4" i="45"/>
  <c r="AE4" i="45"/>
  <c r="AD4" i="45"/>
  <c r="AC4" i="45"/>
  <c r="AB4" i="45"/>
  <c r="AA4" i="45"/>
  <c r="Z4" i="45"/>
  <c r="Y4" i="45"/>
  <c r="X4" i="45"/>
  <c r="W4" i="45"/>
  <c r="V4" i="45"/>
  <c r="U4" i="45"/>
  <c r="T4" i="45"/>
  <c r="S4" i="45"/>
  <c r="R4" i="45"/>
  <c r="Q4" i="45"/>
  <c r="P4" i="45"/>
  <c r="O4" i="45"/>
  <c r="N4" i="45"/>
  <c r="L4" i="45"/>
  <c r="I4" i="45"/>
  <c r="G4" i="45"/>
  <c r="F4" i="45"/>
  <c r="Q4" i="48"/>
  <c r="E92" i="9" l="1"/>
  <c r="G2" i="48"/>
  <c r="E155" i="4"/>
  <c r="O11" i="3" l="1"/>
  <c r="O11" i="2" l="1"/>
  <c r="E79" i="25" l="1"/>
  <c r="E155" i="31"/>
  <c r="G155" i="31" s="1"/>
  <c r="E156" i="43"/>
  <c r="G156" i="43" s="1"/>
  <c r="E155" i="43"/>
  <c r="G155" i="43" s="1"/>
  <c r="E156" i="30"/>
  <c r="G156" i="30" s="1"/>
  <c r="E155" i="30"/>
  <c r="G155" i="30" s="1"/>
  <c r="E156" i="29"/>
  <c r="G156" i="29" s="1"/>
  <c r="E155" i="29"/>
  <c r="G155" i="29" s="1"/>
  <c r="E155" i="28"/>
  <c r="G155" i="28" s="1"/>
  <c r="E155" i="27"/>
  <c r="G155" i="27" s="1"/>
  <c r="G156" i="40"/>
  <c r="E155" i="40"/>
  <c r="G155" i="40" s="1"/>
  <c r="E155" i="25"/>
  <c r="G155" i="25" s="1"/>
  <c r="E156" i="24"/>
  <c r="G156" i="24" s="1"/>
  <c r="E155" i="24"/>
  <c r="G155" i="24" s="1"/>
  <c r="E156" i="23"/>
  <c r="G156" i="23" s="1"/>
  <c r="G155" i="23"/>
  <c r="E156" i="22"/>
  <c r="G156" i="22" s="1"/>
  <c r="E155" i="22"/>
  <c r="G155" i="22" s="1"/>
  <c r="E156" i="21"/>
  <c r="G156" i="21" s="1"/>
  <c r="E155" i="21"/>
  <c r="G155" i="21" s="1"/>
  <c r="E155" i="19"/>
  <c r="G155" i="19" s="1"/>
  <c r="E156" i="18"/>
  <c r="G156" i="18" s="1"/>
  <c r="E155" i="18"/>
  <c r="G155" i="18" s="1"/>
  <c r="G156" i="17"/>
  <c r="E155" i="17"/>
  <c r="G155" i="17" s="1"/>
  <c r="E156" i="16"/>
  <c r="G156" i="16" s="1"/>
  <c r="E155" i="16"/>
  <c r="G155" i="16" s="1"/>
  <c r="G159" i="16" s="1"/>
  <c r="E156" i="15"/>
  <c r="G156" i="15" s="1"/>
  <c r="E155" i="15"/>
  <c r="G155" i="15" s="1"/>
  <c r="G156" i="14"/>
  <c r="G155" i="14"/>
  <c r="G159" i="14" s="1"/>
  <c r="E156" i="13"/>
  <c r="G156" i="13" s="1"/>
  <c r="E155" i="13"/>
  <c r="G155" i="13" s="1"/>
  <c r="G159" i="13" s="1"/>
  <c r="E156" i="12"/>
  <c r="G156" i="12" s="1"/>
  <c r="E155" i="12"/>
  <c r="G155" i="12" s="1"/>
  <c r="E156" i="11"/>
  <c r="G156" i="11" s="1"/>
  <c r="E155" i="11"/>
  <c r="G155" i="11" s="1"/>
  <c r="E156" i="10"/>
  <c r="G156" i="10" s="1"/>
  <c r="E155" i="10"/>
  <c r="G155" i="10" s="1"/>
  <c r="E156" i="9"/>
  <c r="G156" i="9" s="1"/>
  <c r="E155" i="9"/>
  <c r="G155" i="9" s="1"/>
  <c r="E156" i="8"/>
  <c r="G156" i="8" s="1"/>
  <c r="E155" i="8"/>
  <c r="G155" i="8" s="1"/>
  <c r="E156" i="7"/>
  <c r="G156" i="7" s="1"/>
  <c r="E155" i="7"/>
  <c r="G155" i="7" s="1"/>
  <c r="G156" i="33"/>
  <c r="E155" i="33"/>
  <c r="G155" i="33" s="1"/>
  <c r="E156" i="5"/>
  <c r="G156" i="5" s="1"/>
  <c r="G155" i="5"/>
  <c r="G155" i="4"/>
  <c r="G156" i="3"/>
  <c r="H156" i="3" s="1"/>
  <c r="J156" i="3" s="1"/>
  <c r="G155" i="3"/>
  <c r="H155" i="3" s="1"/>
  <c r="J155" i="3" s="1"/>
  <c r="G156" i="2"/>
  <c r="G155" i="2"/>
  <c r="J156" i="2"/>
  <c r="J155" i="2"/>
  <c r="G159" i="15" l="1"/>
  <c r="G159" i="17"/>
  <c r="H159" i="17" s="1"/>
  <c r="J159" i="17" s="1"/>
  <c r="H156" i="4"/>
  <c r="H156" i="5" s="1"/>
  <c r="H156" i="33" s="1"/>
  <c r="J156" i="33" s="1"/>
  <c r="H155" i="4"/>
  <c r="H155" i="5" s="1"/>
  <c r="H155" i="33" s="1"/>
  <c r="G155" i="20"/>
  <c r="V5" i="1"/>
  <c r="E152" i="31"/>
  <c r="G152" i="31" s="1"/>
  <c r="E151" i="31"/>
  <c r="G151" i="31" s="1"/>
  <c r="Z35" i="44" s="1"/>
  <c r="E150" i="31"/>
  <c r="G150" i="31" s="1"/>
  <c r="E149" i="31"/>
  <c r="G149" i="31" s="1"/>
  <c r="E148" i="31"/>
  <c r="G148" i="31" s="1"/>
  <c r="W35" i="44" s="1"/>
  <c r="E147" i="31"/>
  <c r="G147" i="31" s="1"/>
  <c r="V35" i="44" s="1"/>
  <c r="E146" i="31"/>
  <c r="G146" i="31" s="1"/>
  <c r="T35" i="44" s="1"/>
  <c r="E145" i="31"/>
  <c r="G145" i="31" s="1"/>
  <c r="S35" i="44" s="1"/>
  <c r="E144" i="31"/>
  <c r="G144" i="31" s="1"/>
  <c r="U35" i="44" s="1"/>
  <c r="E143" i="31"/>
  <c r="G143" i="31" s="1"/>
  <c r="X35" i="44" s="1"/>
  <c r="E134" i="43"/>
  <c r="G134" i="43" s="1"/>
  <c r="E134" i="31"/>
  <c r="G134" i="31" s="1"/>
  <c r="G152" i="43"/>
  <c r="G151" i="43"/>
  <c r="Z34" i="44" s="1"/>
  <c r="G150" i="43"/>
  <c r="G149" i="43"/>
  <c r="G148" i="43"/>
  <c r="W34" i="44" s="1"/>
  <c r="G147" i="43"/>
  <c r="V34" i="44" s="1"/>
  <c r="G146" i="43"/>
  <c r="T34" i="44" s="1"/>
  <c r="G145" i="43"/>
  <c r="S34" i="44" s="1"/>
  <c r="G144" i="43"/>
  <c r="U34" i="44" s="1"/>
  <c r="G143" i="43"/>
  <c r="X34" i="44" s="1"/>
  <c r="E152" i="30"/>
  <c r="G152" i="30" s="1"/>
  <c r="E151" i="30"/>
  <c r="G151" i="30" s="1"/>
  <c r="Z33" i="44" s="1"/>
  <c r="E150" i="30"/>
  <c r="G150" i="30" s="1"/>
  <c r="E149" i="30"/>
  <c r="G149" i="30" s="1"/>
  <c r="E148" i="30"/>
  <c r="G148" i="30" s="1"/>
  <c r="W33" i="44" s="1"/>
  <c r="E147" i="30"/>
  <c r="G147" i="30" s="1"/>
  <c r="V33" i="44" s="1"/>
  <c r="E146" i="30"/>
  <c r="G146" i="30" s="1"/>
  <c r="T33" i="44" s="1"/>
  <c r="E145" i="30"/>
  <c r="G145" i="30" s="1"/>
  <c r="S33" i="44" s="1"/>
  <c r="E144" i="30"/>
  <c r="G144" i="30" s="1"/>
  <c r="U33" i="44" s="1"/>
  <c r="E143" i="30"/>
  <c r="G143" i="30" s="1"/>
  <c r="X33" i="44" s="1"/>
  <c r="E134" i="30"/>
  <c r="G134" i="30" s="1"/>
  <c r="E152" i="29"/>
  <c r="G152" i="29" s="1"/>
  <c r="E151" i="29"/>
  <c r="G151" i="29" s="1"/>
  <c r="Z32" i="44" s="1"/>
  <c r="E150" i="29"/>
  <c r="G150" i="29" s="1"/>
  <c r="E149" i="29"/>
  <c r="G149" i="29" s="1"/>
  <c r="E148" i="29"/>
  <c r="G148" i="29" s="1"/>
  <c r="W32" i="44" s="1"/>
  <c r="E147" i="29"/>
  <c r="G147" i="29" s="1"/>
  <c r="V32" i="44" s="1"/>
  <c r="E146" i="29"/>
  <c r="G146" i="29" s="1"/>
  <c r="T32" i="44" s="1"/>
  <c r="E145" i="29"/>
  <c r="G145" i="29" s="1"/>
  <c r="S32" i="44" s="1"/>
  <c r="E144" i="29"/>
  <c r="G144" i="29" s="1"/>
  <c r="U32" i="44" s="1"/>
  <c r="E143" i="29"/>
  <c r="G143" i="29" s="1"/>
  <c r="X32" i="44" s="1"/>
  <c r="E134" i="29"/>
  <c r="G134" i="29" s="1"/>
  <c r="E152" i="28"/>
  <c r="G152" i="28" s="1"/>
  <c r="E151" i="28"/>
  <c r="G151" i="28" s="1"/>
  <c r="Z31" i="44" s="1"/>
  <c r="E150" i="28"/>
  <c r="G150" i="28" s="1"/>
  <c r="E149" i="28"/>
  <c r="G149" i="28" s="1"/>
  <c r="E148" i="28"/>
  <c r="G148" i="28" s="1"/>
  <c r="W31" i="44" s="1"/>
  <c r="E147" i="28"/>
  <c r="G147" i="28" s="1"/>
  <c r="V31" i="44" s="1"/>
  <c r="E146" i="28"/>
  <c r="G146" i="28" s="1"/>
  <c r="T31" i="44" s="1"/>
  <c r="E145" i="28"/>
  <c r="G145" i="28" s="1"/>
  <c r="S31" i="44" s="1"/>
  <c r="E144" i="28"/>
  <c r="G144" i="28" s="1"/>
  <c r="U31" i="44" s="1"/>
  <c r="E143" i="28"/>
  <c r="G143" i="28" s="1"/>
  <c r="X31" i="44" s="1"/>
  <c r="E134" i="28"/>
  <c r="G134" i="28" s="1"/>
  <c r="E152" i="27"/>
  <c r="G152" i="27" s="1"/>
  <c r="E151" i="27"/>
  <c r="G151" i="27" s="1"/>
  <c r="Z30" i="44" s="1"/>
  <c r="E150" i="27"/>
  <c r="G150" i="27" s="1"/>
  <c r="E149" i="27"/>
  <c r="G149" i="27" s="1"/>
  <c r="E148" i="27"/>
  <c r="G148" i="27" s="1"/>
  <c r="W30" i="44" s="1"/>
  <c r="E147" i="27"/>
  <c r="G147" i="27" s="1"/>
  <c r="V30" i="44" s="1"/>
  <c r="E146" i="27"/>
  <c r="G146" i="27" s="1"/>
  <c r="T30" i="44" s="1"/>
  <c r="E145" i="27"/>
  <c r="G145" i="27" s="1"/>
  <c r="S30" i="44" s="1"/>
  <c r="E144" i="27"/>
  <c r="G144" i="27" s="1"/>
  <c r="U30" i="44" s="1"/>
  <c r="E143" i="27"/>
  <c r="G143" i="27" s="1"/>
  <c r="X30" i="44" s="1"/>
  <c r="E134" i="27"/>
  <c r="G134" i="27" s="1"/>
  <c r="G152" i="40"/>
  <c r="G151" i="40"/>
  <c r="Z29" i="44" s="1"/>
  <c r="G150" i="40"/>
  <c r="G149" i="40"/>
  <c r="G148" i="40"/>
  <c r="W29" i="44" s="1"/>
  <c r="G147" i="40"/>
  <c r="V29" i="44" s="1"/>
  <c r="G146" i="40"/>
  <c r="T29" i="44" s="1"/>
  <c r="G145" i="40"/>
  <c r="S29" i="44" s="1"/>
  <c r="G144" i="40"/>
  <c r="U29" i="44" s="1"/>
  <c r="G143" i="40"/>
  <c r="X29" i="44" s="1"/>
  <c r="E134" i="40"/>
  <c r="G134" i="40" s="1"/>
  <c r="E152" i="25"/>
  <c r="G152" i="25" s="1"/>
  <c r="E151" i="25"/>
  <c r="G151" i="25" s="1"/>
  <c r="Z28" i="44" s="1"/>
  <c r="E150" i="25"/>
  <c r="G150" i="25" s="1"/>
  <c r="E149" i="25"/>
  <c r="G149" i="25" s="1"/>
  <c r="E148" i="25"/>
  <c r="G148" i="25" s="1"/>
  <c r="W28" i="44" s="1"/>
  <c r="E147" i="25"/>
  <c r="G147" i="25" s="1"/>
  <c r="V28" i="44" s="1"/>
  <c r="E146" i="25"/>
  <c r="G146" i="25" s="1"/>
  <c r="T28" i="44" s="1"/>
  <c r="E145" i="25"/>
  <c r="G145" i="25" s="1"/>
  <c r="S28" i="44" s="1"/>
  <c r="E144" i="25"/>
  <c r="G144" i="25" s="1"/>
  <c r="U28" i="44" s="1"/>
  <c r="E143" i="25"/>
  <c r="G143" i="25" s="1"/>
  <c r="X28" i="44" s="1"/>
  <c r="G134" i="25"/>
  <c r="E152" i="24"/>
  <c r="G152" i="24" s="1"/>
  <c r="E151" i="24"/>
  <c r="G151" i="24" s="1"/>
  <c r="Z27" i="44" s="1"/>
  <c r="E150" i="24"/>
  <c r="G150" i="24" s="1"/>
  <c r="E149" i="24"/>
  <c r="G149" i="24" s="1"/>
  <c r="E148" i="24"/>
  <c r="G148" i="24" s="1"/>
  <c r="W27" i="44" s="1"/>
  <c r="E147" i="24"/>
  <c r="G147" i="24" s="1"/>
  <c r="V27" i="44" s="1"/>
  <c r="E146" i="24"/>
  <c r="G146" i="24" s="1"/>
  <c r="T27" i="44" s="1"/>
  <c r="E145" i="24"/>
  <c r="G145" i="24" s="1"/>
  <c r="S27" i="44" s="1"/>
  <c r="E144" i="24"/>
  <c r="G144" i="24" s="1"/>
  <c r="U27" i="44" s="1"/>
  <c r="E143" i="24"/>
  <c r="G143" i="24" s="1"/>
  <c r="X27" i="44" s="1"/>
  <c r="E141" i="24"/>
  <c r="G141" i="24" s="1"/>
  <c r="Q27" i="44" s="1"/>
  <c r="E142" i="24"/>
  <c r="G142" i="24" s="1"/>
  <c r="R27" i="44" s="1"/>
  <c r="E134" i="24"/>
  <c r="G134" i="24" s="1"/>
  <c r="J156" i="4" l="1"/>
  <c r="J156" i="5"/>
  <c r="J155" i="4"/>
  <c r="J155" i="33"/>
  <c r="H155" i="7"/>
  <c r="J155" i="5"/>
  <c r="E152" i="23"/>
  <c r="G152" i="23" s="1"/>
  <c r="E151" i="23"/>
  <c r="G151" i="23" s="1"/>
  <c r="Z26" i="44" s="1"/>
  <c r="E150" i="23"/>
  <c r="G150" i="23" s="1"/>
  <c r="E149" i="23"/>
  <c r="G149" i="23" s="1"/>
  <c r="E148" i="23"/>
  <c r="G148" i="23" s="1"/>
  <c r="W26" i="44" s="1"/>
  <c r="E147" i="23"/>
  <c r="G147" i="23" s="1"/>
  <c r="V26" i="44" s="1"/>
  <c r="E146" i="23"/>
  <c r="G146" i="23" s="1"/>
  <c r="T26" i="44" s="1"/>
  <c r="E145" i="23"/>
  <c r="G145" i="23" s="1"/>
  <c r="S26" i="44" s="1"/>
  <c r="E144" i="23"/>
  <c r="G144" i="23" s="1"/>
  <c r="U26" i="44" s="1"/>
  <c r="E143" i="23"/>
  <c r="G143" i="23" s="1"/>
  <c r="X26" i="44" s="1"/>
  <c r="G134" i="22"/>
  <c r="G134" i="23"/>
  <c r="G152" i="22"/>
  <c r="G151" i="22"/>
  <c r="Z25" i="44" s="1"/>
  <c r="G149" i="22"/>
  <c r="G148" i="22"/>
  <c r="W25" i="44" s="1"/>
  <c r="G147" i="22"/>
  <c r="V25" i="44" s="1"/>
  <c r="G146" i="22"/>
  <c r="T25" i="44" s="1"/>
  <c r="G145" i="22"/>
  <c r="S25" i="44" s="1"/>
  <c r="G144" i="22"/>
  <c r="U25" i="44" s="1"/>
  <c r="G143" i="22"/>
  <c r="X25" i="44" s="1"/>
  <c r="G150" i="22"/>
  <c r="E152" i="21"/>
  <c r="G152" i="21" s="1"/>
  <c r="E151" i="21"/>
  <c r="G151" i="21" s="1"/>
  <c r="Z24" i="44" s="1"/>
  <c r="E150" i="21"/>
  <c r="G150" i="21" s="1"/>
  <c r="E149" i="21"/>
  <c r="G149" i="21" s="1"/>
  <c r="E148" i="21"/>
  <c r="G148" i="21" s="1"/>
  <c r="W24" i="44" s="1"/>
  <c r="E147" i="21"/>
  <c r="G147" i="21" s="1"/>
  <c r="V24" i="44" s="1"/>
  <c r="E146" i="21"/>
  <c r="G146" i="21" s="1"/>
  <c r="T24" i="44" s="1"/>
  <c r="E145" i="21"/>
  <c r="G145" i="21" s="1"/>
  <c r="S24" i="44" s="1"/>
  <c r="E144" i="21"/>
  <c r="G144" i="21" s="1"/>
  <c r="U24" i="44" s="1"/>
  <c r="E143" i="21"/>
  <c r="G143" i="21" s="1"/>
  <c r="X24" i="44" s="1"/>
  <c r="E134" i="21"/>
  <c r="G134" i="21" s="1"/>
  <c r="E152" i="19"/>
  <c r="G152" i="20" s="1"/>
  <c r="E151" i="19"/>
  <c r="G151" i="20" s="1"/>
  <c r="Z23" i="44" s="1"/>
  <c r="E150" i="19"/>
  <c r="G150" i="20" s="1"/>
  <c r="E149" i="19"/>
  <c r="G149" i="20" s="1"/>
  <c r="E148" i="19"/>
  <c r="G148" i="20" s="1"/>
  <c r="W23" i="44" s="1"/>
  <c r="E147" i="19"/>
  <c r="G147" i="20" s="1"/>
  <c r="V23" i="44" s="1"/>
  <c r="E146" i="19"/>
  <c r="G146" i="20" s="1"/>
  <c r="T23" i="44" s="1"/>
  <c r="E145" i="19"/>
  <c r="G145" i="20" s="1"/>
  <c r="S23" i="44" s="1"/>
  <c r="E144" i="19"/>
  <c r="G144" i="20" s="1"/>
  <c r="U23" i="44" s="1"/>
  <c r="E143" i="19"/>
  <c r="G143" i="20" s="1"/>
  <c r="X23" i="44" s="1"/>
  <c r="E134" i="19"/>
  <c r="G134" i="19" s="1"/>
  <c r="E152" i="18"/>
  <c r="G152" i="18" s="1"/>
  <c r="E151" i="18"/>
  <c r="G151" i="18" s="1"/>
  <c r="Z21" i="44" s="1"/>
  <c r="E150" i="18"/>
  <c r="G150" i="18" s="1"/>
  <c r="E149" i="18"/>
  <c r="G149" i="18" s="1"/>
  <c r="E148" i="18"/>
  <c r="G148" i="18" s="1"/>
  <c r="W21" i="44" s="1"/>
  <c r="E147" i="18"/>
  <c r="G147" i="18" s="1"/>
  <c r="V21" i="44" s="1"/>
  <c r="G146" i="18"/>
  <c r="T21" i="44" s="1"/>
  <c r="G145" i="18"/>
  <c r="S21" i="44" s="1"/>
  <c r="E144" i="18"/>
  <c r="G144" i="18" s="1"/>
  <c r="U21" i="44" s="1"/>
  <c r="E143" i="18"/>
  <c r="G143" i="18" s="1"/>
  <c r="X21" i="44" s="1"/>
  <c r="E134" i="18"/>
  <c r="G134" i="18" s="1"/>
  <c r="E152" i="17"/>
  <c r="G152" i="17" s="1"/>
  <c r="E151" i="17"/>
  <c r="G151" i="17" s="1"/>
  <c r="Z20" i="44" s="1"/>
  <c r="E150" i="17"/>
  <c r="G150" i="17" s="1"/>
  <c r="E149" i="17"/>
  <c r="G149" i="17" s="1"/>
  <c r="E148" i="17"/>
  <c r="G148" i="17" s="1"/>
  <c r="W20" i="44" s="1"/>
  <c r="E147" i="17"/>
  <c r="G147" i="17" s="1"/>
  <c r="V20" i="44" s="1"/>
  <c r="E146" i="17"/>
  <c r="G146" i="17" s="1"/>
  <c r="T20" i="44" s="1"/>
  <c r="E145" i="17"/>
  <c r="G145" i="17" s="1"/>
  <c r="S20" i="44" s="1"/>
  <c r="E144" i="17"/>
  <c r="G144" i="17" s="1"/>
  <c r="U20" i="44" s="1"/>
  <c r="E143" i="17"/>
  <c r="G143" i="17" s="1"/>
  <c r="X20" i="44" s="1"/>
  <c r="E134" i="17"/>
  <c r="G134" i="17" s="1"/>
  <c r="E152" i="16"/>
  <c r="G152" i="16" s="1"/>
  <c r="E151" i="16"/>
  <c r="G151" i="16" s="1"/>
  <c r="Z19" i="44" s="1"/>
  <c r="G150" i="16"/>
  <c r="E149" i="16"/>
  <c r="G149" i="16" s="1"/>
  <c r="E148" i="16"/>
  <c r="G148" i="16" s="1"/>
  <c r="W19" i="44" s="1"/>
  <c r="E147" i="16"/>
  <c r="G147" i="16" s="1"/>
  <c r="V19" i="44" s="1"/>
  <c r="E146" i="16"/>
  <c r="G146" i="16" s="1"/>
  <c r="T19" i="44" s="1"/>
  <c r="E145" i="16"/>
  <c r="G145" i="16" s="1"/>
  <c r="S19" i="44" s="1"/>
  <c r="E144" i="16"/>
  <c r="G144" i="16" s="1"/>
  <c r="U19" i="44" s="1"/>
  <c r="E143" i="16"/>
  <c r="G143" i="16" s="1"/>
  <c r="X19" i="44" s="1"/>
  <c r="G134" i="16"/>
  <c r="E152" i="15"/>
  <c r="G152" i="15" s="1"/>
  <c r="E151" i="15"/>
  <c r="G151" i="15" s="1"/>
  <c r="Z18" i="44" s="1"/>
  <c r="E150" i="15"/>
  <c r="G150" i="15" s="1"/>
  <c r="E149" i="15"/>
  <c r="G149" i="15" s="1"/>
  <c r="E148" i="15"/>
  <c r="G148" i="15" s="1"/>
  <c r="W18" i="44" s="1"/>
  <c r="E147" i="15"/>
  <c r="G147" i="15" s="1"/>
  <c r="V18" i="44" s="1"/>
  <c r="E146" i="15"/>
  <c r="G146" i="15" s="1"/>
  <c r="T18" i="44" s="1"/>
  <c r="E145" i="15"/>
  <c r="G145" i="15" s="1"/>
  <c r="S18" i="44" s="1"/>
  <c r="E144" i="15"/>
  <c r="G144" i="15" s="1"/>
  <c r="U18" i="44" s="1"/>
  <c r="E143" i="15"/>
  <c r="G143" i="15" s="1"/>
  <c r="X18" i="44" s="1"/>
  <c r="E134" i="15"/>
  <c r="G134" i="15" s="1"/>
  <c r="E152" i="14"/>
  <c r="G152" i="14" s="1"/>
  <c r="E151" i="14"/>
  <c r="G151" i="14" s="1"/>
  <c r="Z17" i="44" s="1"/>
  <c r="E150" i="14"/>
  <c r="G150" i="14" s="1"/>
  <c r="G149" i="14"/>
  <c r="E148" i="14"/>
  <c r="G148" i="14" s="1"/>
  <c r="W17" i="44" s="1"/>
  <c r="E147" i="14"/>
  <c r="G147" i="14" s="1"/>
  <c r="V17" i="44" s="1"/>
  <c r="E146" i="14"/>
  <c r="G146" i="14" s="1"/>
  <c r="T17" i="44" s="1"/>
  <c r="E145" i="14"/>
  <c r="G145" i="14" s="1"/>
  <c r="S17" i="44" s="1"/>
  <c r="E144" i="14"/>
  <c r="G144" i="14" s="1"/>
  <c r="U17" i="44" s="1"/>
  <c r="E143" i="14"/>
  <c r="G143" i="14" s="1"/>
  <c r="X17" i="44" s="1"/>
  <c r="G134" i="14"/>
  <c r="G152" i="13"/>
  <c r="G151" i="13"/>
  <c r="Z16" i="44" s="1"/>
  <c r="G150" i="13"/>
  <c r="G149" i="13"/>
  <c r="G148" i="13"/>
  <c r="W16" i="44" s="1"/>
  <c r="G147" i="13"/>
  <c r="V16" i="44" s="1"/>
  <c r="G146" i="13"/>
  <c r="T16" i="44" s="1"/>
  <c r="G145" i="13"/>
  <c r="S16" i="44" s="1"/>
  <c r="G144" i="13"/>
  <c r="U16" i="44" s="1"/>
  <c r="G143" i="13"/>
  <c r="X16" i="44" s="1"/>
  <c r="G134" i="13"/>
  <c r="E152" i="12"/>
  <c r="G152" i="12" s="1"/>
  <c r="E151" i="12"/>
  <c r="G151" i="12" s="1"/>
  <c r="Z15" i="44" s="1"/>
  <c r="E150" i="12"/>
  <c r="G150" i="12" s="1"/>
  <c r="E149" i="12"/>
  <c r="G149" i="12" s="1"/>
  <c r="E148" i="12"/>
  <c r="G148" i="12" s="1"/>
  <c r="W15" i="44" s="1"/>
  <c r="E147" i="12"/>
  <c r="G147" i="12" s="1"/>
  <c r="V15" i="44" s="1"/>
  <c r="E146" i="12"/>
  <c r="G146" i="12" s="1"/>
  <c r="T15" i="44" s="1"/>
  <c r="E145" i="12"/>
  <c r="G145" i="12" s="1"/>
  <c r="S15" i="44" s="1"/>
  <c r="E144" i="12"/>
  <c r="G144" i="12" s="1"/>
  <c r="U15" i="44" s="1"/>
  <c r="E143" i="12"/>
  <c r="G143" i="12" s="1"/>
  <c r="X15" i="44" s="1"/>
  <c r="G134" i="12"/>
  <c r="E152" i="11"/>
  <c r="G152" i="11" s="1"/>
  <c r="E151" i="11"/>
  <c r="G151" i="11" s="1"/>
  <c r="Z14" i="44" s="1"/>
  <c r="E150" i="11"/>
  <c r="G150" i="11" s="1"/>
  <c r="E149" i="11"/>
  <c r="G149" i="11" s="1"/>
  <c r="E148" i="11"/>
  <c r="G148" i="11" s="1"/>
  <c r="W14" i="44" s="1"/>
  <c r="E147" i="11"/>
  <c r="G147" i="11" s="1"/>
  <c r="V14" i="44" s="1"/>
  <c r="E146" i="11"/>
  <c r="G146" i="11" s="1"/>
  <c r="T14" i="44" s="1"/>
  <c r="E145" i="11"/>
  <c r="G145" i="11" s="1"/>
  <c r="S14" i="44" s="1"/>
  <c r="E144" i="11"/>
  <c r="G144" i="11" s="1"/>
  <c r="U14" i="44" s="1"/>
  <c r="E143" i="11"/>
  <c r="G143" i="11" s="1"/>
  <c r="X14" i="44" s="1"/>
  <c r="G134" i="11"/>
  <c r="E152" i="10"/>
  <c r="G152" i="10" s="1"/>
  <c r="E151" i="10"/>
  <c r="G151" i="10" s="1"/>
  <c r="Z13" i="44" s="1"/>
  <c r="E150" i="10"/>
  <c r="G150" i="10" s="1"/>
  <c r="E149" i="10"/>
  <c r="G149" i="10" s="1"/>
  <c r="E148" i="10"/>
  <c r="G148" i="10" s="1"/>
  <c r="W13" i="44" s="1"/>
  <c r="E147" i="10"/>
  <c r="G147" i="10" s="1"/>
  <c r="V13" i="44" s="1"/>
  <c r="E146" i="10"/>
  <c r="G146" i="10" s="1"/>
  <c r="T13" i="44" s="1"/>
  <c r="E145" i="10"/>
  <c r="G145" i="10" s="1"/>
  <c r="S13" i="44" s="1"/>
  <c r="E144" i="10"/>
  <c r="G144" i="10" s="1"/>
  <c r="U13" i="44" s="1"/>
  <c r="E143" i="10"/>
  <c r="G143" i="10" s="1"/>
  <c r="X13" i="44" s="1"/>
  <c r="G134" i="10"/>
  <c r="E152" i="9"/>
  <c r="G152" i="9" s="1"/>
  <c r="E151" i="9"/>
  <c r="G151" i="9" s="1"/>
  <c r="Z12" i="44" s="1"/>
  <c r="E150" i="9"/>
  <c r="G150" i="9" s="1"/>
  <c r="E149" i="9"/>
  <c r="G149" i="9" s="1"/>
  <c r="E148" i="9"/>
  <c r="G148" i="9" s="1"/>
  <c r="W12" i="44" s="1"/>
  <c r="E147" i="9"/>
  <c r="G147" i="9" s="1"/>
  <c r="V12" i="44" s="1"/>
  <c r="E146" i="9"/>
  <c r="G146" i="9" s="1"/>
  <c r="T12" i="44" s="1"/>
  <c r="E145" i="9"/>
  <c r="G145" i="9" s="1"/>
  <c r="S12" i="44" s="1"/>
  <c r="E144" i="9"/>
  <c r="G144" i="9" s="1"/>
  <c r="U12" i="44" s="1"/>
  <c r="E143" i="9"/>
  <c r="G143" i="9" s="1"/>
  <c r="X12" i="44" s="1"/>
  <c r="E134" i="9"/>
  <c r="G134" i="9" s="1"/>
  <c r="E152" i="8"/>
  <c r="G152" i="8" s="1"/>
  <c r="E151" i="8"/>
  <c r="G151" i="8" s="1"/>
  <c r="Z11" i="44" s="1"/>
  <c r="E150" i="8"/>
  <c r="G150" i="8" s="1"/>
  <c r="E149" i="8"/>
  <c r="G149" i="8" s="1"/>
  <c r="E148" i="8"/>
  <c r="G148" i="8" s="1"/>
  <c r="W11" i="44" s="1"/>
  <c r="E147" i="8"/>
  <c r="G147" i="8" s="1"/>
  <c r="V11" i="44" s="1"/>
  <c r="E146" i="8"/>
  <c r="G146" i="8" s="1"/>
  <c r="T11" i="44" s="1"/>
  <c r="E145" i="8"/>
  <c r="G145" i="8" s="1"/>
  <c r="S11" i="44" s="1"/>
  <c r="E144" i="8"/>
  <c r="G144" i="8" s="1"/>
  <c r="U11" i="44" s="1"/>
  <c r="E143" i="8"/>
  <c r="G143" i="8" s="1"/>
  <c r="X11" i="44" s="1"/>
  <c r="E152" i="7"/>
  <c r="G152" i="7" s="1"/>
  <c r="E151" i="7"/>
  <c r="G151" i="7" s="1"/>
  <c r="Z10" i="44" s="1"/>
  <c r="E150" i="7"/>
  <c r="G150" i="7" s="1"/>
  <c r="E149" i="7"/>
  <c r="G149" i="7" s="1"/>
  <c r="E148" i="7"/>
  <c r="G148" i="7" s="1"/>
  <c r="W10" i="44" s="1"/>
  <c r="E147" i="7"/>
  <c r="G147" i="7" s="1"/>
  <c r="V10" i="44" s="1"/>
  <c r="E146" i="7"/>
  <c r="G146" i="7" s="1"/>
  <c r="T10" i="44" s="1"/>
  <c r="E145" i="7"/>
  <c r="G145" i="7" s="1"/>
  <c r="S10" i="44" s="1"/>
  <c r="E144" i="7"/>
  <c r="G144" i="7" s="1"/>
  <c r="U10" i="44" s="1"/>
  <c r="E143" i="7"/>
  <c r="G143" i="7" s="1"/>
  <c r="X10" i="44" s="1"/>
  <c r="E134" i="8"/>
  <c r="G134" i="8" s="1"/>
  <c r="E134" i="7"/>
  <c r="G134" i="7" s="1"/>
  <c r="E152" i="33"/>
  <c r="G152" i="33" s="1"/>
  <c r="E151" i="33"/>
  <c r="G151" i="33" s="1"/>
  <c r="Z9" i="44" s="1"/>
  <c r="E150" i="33"/>
  <c r="G150" i="33" s="1"/>
  <c r="E149" i="33"/>
  <c r="G149" i="33" s="1"/>
  <c r="E148" i="33"/>
  <c r="G148" i="33" s="1"/>
  <c r="W9" i="44" s="1"/>
  <c r="E147" i="33"/>
  <c r="G147" i="33" s="1"/>
  <c r="V9" i="44" s="1"/>
  <c r="G146" i="33"/>
  <c r="T9" i="44" s="1"/>
  <c r="E145" i="33"/>
  <c r="G145" i="33" s="1"/>
  <c r="S9" i="44" s="1"/>
  <c r="E144" i="33"/>
  <c r="G144" i="33" s="1"/>
  <c r="U9" i="44" s="1"/>
  <c r="E143" i="33"/>
  <c r="G143" i="33" s="1"/>
  <c r="X9" i="44" s="1"/>
  <c r="E134" i="33"/>
  <c r="G134" i="33" s="1"/>
  <c r="G168" i="2"/>
  <c r="H168" i="2" s="1"/>
  <c r="H168" i="3" s="1"/>
  <c r="H168" i="4" s="1"/>
  <c r="G167" i="2"/>
  <c r="H167" i="2" s="1"/>
  <c r="H167" i="3" s="1"/>
  <c r="H167" i="4" s="1"/>
  <c r="G166" i="2"/>
  <c r="H166" i="2" s="1"/>
  <c r="H166" i="3" s="1"/>
  <c r="H166" i="4" s="1"/>
  <c r="E152" i="5"/>
  <c r="G152" i="5" s="1"/>
  <c r="E151" i="5"/>
  <c r="G151" i="5" s="1"/>
  <c r="Z8" i="44" s="1"/>
  <c r="E150" i="5"/>
  <c r="G150" i="5" s="1"/>
  <c r="E149" i="5"/>
  <c r="G149" i="5" s="1"/>
  <c r="E148" i="5"/>
  <c r="G148" i="5" s="1"/>
  <c r="W8" i="44" s="1"/>
  <c r="E147" i="5"/>
  <c r="G147" i="5" s="1"/>
  <c r="V8" i="44" s="1"/>
  <c r="E146" i="5"/>
  <c r="G146" i="5" s="1"/>
  <c r="T8" i="44" s="1"/>
  <c r="E145" i="5"/>
  <c r="G145" i="5" s="1"/>
  <c r="S8" i="44" s="1"/>
  <c r="E144" i="5"/>
  <c r="G144" i="5" s="1"/>
  <c r="U8" i="44" s="1"/>
  <c r="E143" i="5"/>
  <c r="G143" i="5" s="1"/>
  <c r="X8" i="44" s="1"/>
  <c r="E134" i="5"/>
  <c r="G134" i="5" s="1"/>
  <c r="G134" i="4"/>
  <c r="G152" i="4"/>
  <c r="G151" i="4"/>
  <c r="Z7" i="44" s="1"/>
  <c r="E148" i="4"/>
  <c r="G148" i="4" s="1"/>
  <c r="W7" i="44" s="1"/>
  <c r="E147" i="4"/>
  <c r="G147" i="4" s="1"/>
  <c r="V7" i="44" s="1"/>
  <c r="E146" i="4"/>
  <c r="G146" i="4" s="1"/>
  <c r="T7" i="44" s="1"/>
  <c r="E145" i="4"/>
  <c r="G145" i="4" s="1"/>
  <c r="S7" i="44" s="1"/>
  <c r="E144" i="4"/>
  <c r="G144" i="4" s="1"/>
  <c r="U7" i="44" s="1"/>
  <c r="E143" i="4"/>
  <c r="G143" i="4" s="1"/>
  <c r="X7" i="44" s="1"/>
  <c r="G150" i="4"/>
  <c r="G149" i="4"/>
  <c r="E139" i="3"/>
  <c r="E152" i="3"/>
  <c r="G152" i="3" s="1"/>
  <c r="E151" i="3"/>
  <c r="G151" i="3" s="1"/>
  <c r="Z6" i="44" s="1"/>
  <c r="E150" i="3"/>
  <c r="G150" i="3" s="1"/>
  <c r="E149" i="3"/>
  <c r="G149" i="3" s="1"/>
  <c r="E148" i="3"/>
  <c r="G148" i="3" s="1"/>
  <c r="W6" i="44" s="1"/>
  <c r="E147" i="3"/>
  <c r="G147" i="3" s="1"/>
  <c r="V6" i="44" s="1"/>
  <c r="E146" i="3"/>
  <c r="G146" i="3" s="1"/>
  <c r="T6" i="44" s="1"/>
  <c r="E145" i="3"/>
  <c r="G145" i="3" s="1"/>
  <c r="S6" i="44" s="1"/>
  <c r="E144" i="3"/>
  <c r="G144" i="3" s="1"/>
  <c r="U6" i="44" s="1"/>
  <c r="E143" i="3"/>
  <c r="G143" i="3" s="1"/>
  <c r="X6" i="44" s="1"/>
  <c r="E142" i="3"/>
  <c r="E141" i="3"/>
  <c r="E134" i="3"/>
  <c r="G134" i="3" s="1"/>
  <c r="J172" i="2"/>
  <c r="G152" i="2"/>
  <c r="H152" i="2" s="1"/>
  <c r="J152" i="2" s="1"/>
  <c r="G151" i="2"/>
  <c r="H134" i="2"/>
  <c r="J134" i="2" s="1"/>
  <c r="E189" i="31"/>
  <c r="E188" i="31"/>
  <c r="E187" i="31"/>
  <c r="E185" i="31"/>
  <c r="E184" i="31"/>
  <c r="E183" i="31"/>
  <c r="E180" i="31"/>
  <c r="E179" i="31"/>
  <c r="E178" i="31"/>
  <c r="E175" i="31"/>
  <c r="E174" i="31"/>
  <c r="E173" i="31"/>
  <c r="E168" i="31"/>
  <c r="E167" i="31"/>
  <c r="E166" i="31"/>
  <c r="E165" i="31"/>
  <c r="E164" i="31"/>
  <c r="E163" i="31"/>
  <c r="E162" i="31"/>
  <c r="E161" i="31"/>
  <c r="E142" i="31"/>
  <c r="E141" i="31"/>
  <c r="E140" i="31"/>
  <c r="E139" i="31"/>
  <c r="E138" i="31"/>
  <c r="E133" i="31"/>
  <c r="E132" i="31"/>
  <c r="E131" i="31"/>
  <c r="E130" i="31"/>
  <c r="E129" i="31"/>
  <c r="E128" i="31"/>
  <c r="E124" i="31"/>
  <c r="E123" i="31"/>
  <c r="E122" i="31"/>
  <c r="E121" i="31"/>
  <c r="E120" i="31"/>
  <c r="E119" i="31"/>
  <c r="E118" i="31"/>
  <c r="E117" i="31"/>
  <c r="E116" i="31"/>
  <c r="E115" i="31"/>
  <c r="E114" i="31"/>
  <c r="E113" i="31"/>
  <c r="E112" i="31"/>
  <c r="E92" i="31"/>
  <c r="E91" i="31"/>
  <c r="E89" i="31"/>
  <c r="E88" i="31"/>
  <c r="E87" i="31"/>
  <c r="E86" i="31"/>
  <c r="E85" i="31"/>
  <c r="E84" i="31"/>
  <c r="E83" i="31"/>
  <c r="E82" i="31"/>
  <c r="E79" i="31"/>
  <c r="E78" i="31"/>
  <c r="E77" i="31"/>
  <c r="E76" i="31"/>
  <c r="E75" i="31"/>
  <c r="E74" i="31"/>
  <c r="E71" i="31"/>
  <c r="E70" i="31"/>
  <c r="E69" i="31"/>
  <c r="E68" i="31"/>
  <c r="E67" i="31"/>
  <c r="E66" i="31"/>
  <c r="E65" i="31"/>
  <c r="E64" i="31"/>
  <c r="E63" i="31"/>
  <c r="E62" i="31"/>
  <c r="E58" i="31"/>
  <c r="E57" i="31"/>
  <c r="E56" i="31"/>
  <c r="E54" i="31"/>
  <c r="E53" i="31"/>
  <c r="E52" i="31"/>
  <c r="E51" i="31"/>
  <c r="E50" i="31"/>
  <c r="E49" i="31"/>
  <c r="E46" i="31"/>
  <c r="E45" i="31"/>
  <c r="E44" i="31"/>
  <c r="E43" i="31"/>
  <c r="E42" i="31"/>
  <c r="E41" i="31"/>
  <c r="E40" i="31"/>
  <c r="E39" i="31"/>
  <c r="E38" i="31"/>
  <c r="E37" i="31"/>
  <c r="E36" i="31"/>
  <c r="E35" i="31"/>
  <c r="E24" i="31"/>
  <c r="E23" i="31"/>
  <c r="E22" i="31"/>
  <c r="E12" i="31"/>
  <c r="E11" i="31"/>
  <c r="E185" i="43"/>
  <c r="E184" i="43"/>
  <c r="E183" i="43"/>
  <c r="E180" i="43"/>
  <c r="E179" i="43"/>
  <c r="E178" i="43"/>
  <c r="E175" i="43"/>
  <c r="E174" i="43"/>
  <c r="E173" i="43"/>
  <c r="E168" i="43"/>
  <c r="E167" i="43"/>
  <c r="E166" i="43"/>
  <c r="E165" i="43"/>
  <c r="E164" i="43"/>
  <c r="E163" i="43"/>
  <c r="E162" i="43"/>
  <c r="E161" i="43"/>
  <c r="E138" i="43"/>
  <c r="E133" i="43"/>
  <c r="E132" i="43"/>
  <c r="E131" i="43"/>
  <c r="E130" i="43"/>
  <c r="E129" i="43"/>
  <c r="E128" i="43"/>
  <c r="E124" i="43"/>
  <c r="E123" i="43"/>
  <c r="E122" i="43"/>
  <c r="E121" i="43"/>
  <c r="E120" i="43"/>
  <c r="E119" i="43"/>
  <c r="E118" i="43"/>
  <c r="E117" i="43"/>
  <c r="E116" i="43"/>
  <c r="E115" i="43"/>
  <c r="E114" i="43"/>
  <c r="E113" i="43"/>
  <c r="E112" i="43"/>
  <c r="E92" i="43"/>
  <c r="E91" i="43"/>
  <c r="E90" i="43"/>
  <c r="E89" i="43"/>
  <c r="E88" i="43"/>
  <c r="E87" i="43"/>
  <c r="E86" i="43"/>
  <c r="E85" i="43"/>
  <c r="E84" i="43"/>
  <c r="E83" i="43"/>
  <c r="E82" i="43"/>
  <c r="E79" i="43"/>
  <c r="E78" i="43"/>
  <c r="E77" i="43"/>
  <c r="E76" i="43"/>
  <c r="E75" i="43"/>
  <c r="E74" i="43"/>
  <c r="E70" i="43"/>
  <c r="E69" i="43"/>
  <c r="E68" i="43"/>
  <c r="E67" i="43"/>
  <c r="E66" i="43"/>
  <c r="E65" i="43"/>
  <c r="E64" i="43"/>
  <c r="E63" i="43"/>
  <c r="E62" i="43"/>
  <c r="E58" i="43"/>
  <c r="E57" i="43"/>
  <c r="E55" i="43"/>
  <c r="E54" i="43"/>
  <c r="E53" i="43"/>
  <c r="E52" i="43"/>
  <c r="E51" i="43"/>
  <c r="E50" i="43"/>
  <c r="E49" i="43"/>
  <c r="E35" i="43"/>
  <c r="E24" i="43"/>
  <c r="E23" i="43"/>
  <c r="E22" i="43"/>
  <c r="E12" i="43"/>
  <c r="E11" i="43"/>
  <c r="E189" i="30"/>
  <c r="E188" i="30"/>
  <c r="E187" i="30"/>
  <c r="E185" i="30"/>
  <c r="E184" i="30"/>
  <c r="E183" i="30"/>
  <c r="E180" i="30"/>
  <c r="E179" i="30"/>
  <c r="E178" i="30"/>
  <c r="E175" i="30"/>
  <c r="E174" i="30"/>
  <c r="E173" i="30"/>
  <c r="E168" i="30"/>
  <c r="E167" i="30"/>
  <c r="E166" i="30"/>
  <c r="E165" i="30"/>
  <c r="E164" i="30"/>
  <c r="E163" i="30"/>
  <c r="E162" i="30"/>
  <c r="E161" i="30"/>
  <c r="E142" i="30"/>
  <c r="E141" i="30"/>
  <c r="E140" i="30"/>
  <c r="E139" i="30"/>
  <c r="E138" i="30"/>
  <c r="E133" i="30"/>
  <c r="E132" i="30"/>
  <c r="E131" i="30"/>
  <c r="E130" i="30"/>
  <c r="E129" i="30"/>
  <c r="E128" i="30"/>
  <c r="E124" i="30"/>
  <c r="E123" i="30"/>
  <c r="E122" i="30"/>
  <c r="E121" i="30"/>
  <c r="E120" i="30"/>
  <c r="E119" i="30"/>
  <c r="E118" i="30"/>
  <c r="E117" i="30"/>
  <c r="E116" i="30"/>
  <c r="E115" i="30"/>
  <c r="E114" i="30"/>
  <c r="E113" i="30"/>
  <c r="G113" i="30" s="1"/>
  <c r="E112" i="30"/>
  <c r="E92" i="30"/>
  <c r="E91" i="30"/>
  <c r="E90" i="30"/>
  <c r="E89" i="30"/>
  <c r="E88" i="30"/>
  <c r="E87" i="30"/>
  <c r="E86" i="30"/>
  <c r="E85" i="30"/>
  <c r="E84" i="30"/>
  <c r="E83" i="30"/>
  <c r="E82" i="30"/>
  <c r="E79" i="30"/>
  <c r="E78" i="30"/>
  <c r="E77" i="30"/>
  <c r="E76" i="30"/>
  <c r="E75" i="30"/>
  <c r="E74" i="30"/>
  <c r="E71" i="30"/>
  <c r="E70" i="30"/>
  <c r="E69" i="30"/>
  <c r="E68" i="30"/>
  <c r="E67" i="30"/>
  <c r="E66" i="30"/>
  <c r="E65" i="30"/>
  <c r="E64" i="30"/>
  <c r="E63" i="30"/>
  <c r="E62" i="30"/>
  <c r="E58" i="30"/>
  <c r="E57" i="30"/>
  <c r="E56" i="30"/>
  <c r="E55" i="30"/>
  <c r="E54" i="30"/>
  <c r="E53" i="30"/>
  <c r="E52" i="30"/>
  <c r="E51" i="30"/>
  <c r="E50" i="30"/>
  <c r="E49" i="30"/>
  <c r="E46" i="30"/>
  <c r="E45" i="30"/>
  <c r="E44" i="30"/>
  <c r="E43" i="30"/>
  <c r="E42" i="30"/>
  <c r="E41" i="30"/>
  <c r="E40" i="30"/>
  <c r="E39" i="30"/>
  <c r="E38" i="30"/>
  <c r="E37" i="30"/>
  <c r="E36" i="30"/>
  <c r="E35" i="30"/>
  <c r="E24" i="30"/>
  <c r="E23" i="30"/>
  <c r="E22" i="30"/>
  <c r="E12" i="30"/>
  <c r="E11" i="30"/>
  <c r="H26" i="29"/>
  <c r="E189" i="29"/>
  <c r="E188" i="29"/>
  <c r="E187" i="29"/>
  <c r="E185" i="29"/>
  <c r="E184" i="29"/>
  <c r="E183" i="29"/>
  <c r="E180" i="29"/>
  <c r="E179" i="29"/>
  <c r="E178" i="29"/>
  <c r="E175" i="29"/>
  <c r="E174" i="29"/>
  <c r="E173" i="29"/>
  <c r="E168" i="29"/>
  <c r="E167" i="29"/>
  <c r="E166" i="29"/>
  <c r="E165" i="29"/>
  <c r="E164" i="29"/>
  <c r="E163" i="29"/>
  <c r="E162" i="29"/>
  <c r="E161" i="29"/>
  <c r="E142" i="29"/>
  <c r="E141" i="29"/>
  <c r="E140" i="29"/>
  <c r="E139" i="29"/>
  <c r="E138" i="29"/>
  <c r="E133" i="29"/>
  <c r="E132" i="29"/>
  <c r="E131" i="29"/>
  <c r="E130" i="29"/>
  <c r="E129" i="29"/>
  <c r="E128" i="29"/>
  <c r="E124" i="29"/>
  <c r="E123" i="29"/>
  <c r="E122" i="29"/>
  <c r="E121" i="29"/>
  <c r="E120" i="29"/>
  <c r="E119" i="29"/>
  <c r="E118" i="29"/>
  <c r="E117" i="29"/>
  <c r="E116" i="29"/>
  <c r="E115" i="29"/>
  <c r="E114" i="29"/>
  <c r="E113" i="29"/>
  <c r="E112" i="29"/>
  <c r="E92" i="29"/>
  <c r="E91" i="29"/>
  <c r="E90" i="29"/>
  <c r="E89" i="29"/>
  <c r="E88" i="29"/>
  <c r="E87" i="29"/>
  <c r="E86" i="29"/>
  <c r="E85" i="29"/>
  <c r="E84" i="29"/>
  <c r="E83" i="29"/>
  <c r="E82" i="29"/>
  <c r="E79" i="29"/>
  <c r="E78" i="29"/>
  <c r="E77" i="29"/>
  <c r="E76" i="29"/>
  <c r="E75" i="29"/>
  <c r="E74" i="29"/>
  <c r="E70" i="29"/>
  <c r="E69" i="29"/>
  <c r="E68" i="29"/>
  <c r="E67" i="29"/>
  <c r="E66" i="29"/>
  <c r="E65" i="29"/>
  <c r="E64" i="29"/>
  <c r="E63" i="29"/>
  <c r="E62" i="29"/>
  <c r="E58" i="29"/>
  <c r="E57" i="29"/>
  <c r="E56" i="29"/>
  <c r="E55" i="29"/>
  <c r="E54" i="29"/>
  <c r="E53" i="29"/>
  <c r="E52" i="29"/>
  <c r="E51" i="29"/>
  <c r="E50" i="29"/>
  <c r="E49" i="29"/>
  <c r="E46" i="29"/>
  <c r="E45" i="29"/>
  <c r="E44" i="29"/>
  <c r="E43" i="29"/>
  <c r="E42" i="29"/>
  <c r="E41" i="29"/>
  <c r="E40" i="29"/>
  <c r="E39" i="29"/>
  <c r="E38" i="29"/>
  <c r="E37" i="29"/>
  <c r="E36" i="29"/>
  <c r="E35" i="29"/>
  <c r="E24" i="29"/>
  <c r="E23" i="29"/>
  <c r="E22" i="29"/>
  <c r="E12" i="29"/>
  <c r="E11" i="29"/>
  <c r="H124" i="28"/>
  <c r="H124" i="29" s="1"/>
  <c r="H124" i="30" s="1"/>
  <c r="H124" i="43" s="1"/>
  <c r="H124" i="31" s="1"/>
  <c r="E189" i="28"/>
  <c r="E188" i="28"/>
  <c r="E187" i="28"/>
  <c r="E185" i="28"/>
  <c r="E184" i="28"/>
  <c r="E183" i="28"/>
  <c r="E180" i="28"/>
  <c r="E179" i="28"/>
  <c r="E178" i="28"/>
  <c r="E175" i="28"/>
  <c r="E174" i="28"/>
  <c r="E173" i="28"/>
  <c r="E168" i="28"/>
  <c r="E167" i="28"/>
  <c r="E166" i="28"/>
  <c r="E165" i="28"/>
  <c r="E164" i="28"/>
  <c r="E163" i="28"/>
  <c r="E162" i="28"/>
  <c r="E161" i="28"/>
  <c r="E142" i="28"/>
  <c r="E141" i="28"/>
  <c r="E140" i="28"/>
  <c r="E139" i="28"/>
  <c r="E138" i="28"/>
  <c r="E133" i="28"/>
  <c r="E132" i="28"/>
  <c r="E131" i="28"/>
  <c r="E130" i="28"/>
  <c r="E129" i="28"/>
  <c r="E128" i="28"/>
  <c r="E124" i="28"/>
  <c r="E123" i="28"/>
  <c r="E122" i="28"/>
  <c r="E121" i="28"/>
  <c r="E120" i="28"/>
  <c r="E119" i="28"/>
  <c r="E118" i="28"/>
  <c r="E117" i="28"/>
  <c r="E116" i="28"/>
  <c r="E115" i="28"/>
  <c r="E114" i="28"/>
  <c r="E113" i="28"/>
  <c r="E112" i="28"/>
  <c r="E92" i="28"/>
  <c r="E91" i="28"/>
  <c r="E90" i="28"/>
  <c r="E89" i="28"/>
  <c r="E88" i="28"/>
  <c r="E87" i="28"/>
  <c r="E86" i="28"/>
  <c r="E85" i="28"/>
  <c r="E84" i="28"/>
  <c r="E83" i="28"/>
  <c r="E82" i="28"/>
  <c r="E79" i="28"/>
  <c r="E78" i="28"/>
  <c r="E77" i="28"/>
  <c r="E76" i="28"/>
  <c r="E75" i="28"/>
  <c r="E74" i="28"/>
  <c r="E70" i="28"/>
  <c r="E69" i="28"/>
  <c r="E68" i="28"/>
  <c r="E67" i="28"/>
  <c r="E66" i="28"/>
  <c r="E65" i="28"/>
  <c r="E64" i="28"/>
  <c r="E63" i="28"/>
  <c r="E62" i="28"/>
  <c r="E58" i="28"/>
  <c r="E57" i="28"/>
  <c r="E56" i="28"/>
  <c r="E55" i="28"/>
  <c r="E54" i="28"/>
  <c r="E53" i="28"/>
  <c r="E52" i="28"/>
  <c r="E51" i="28"/>
  <c r="E50" i="28"/>
  <c r="E49" i="28"/>
  <c r="E35" i="28"/>
  <c r="E24" i="28"/>
  <c r="E23" i="28"/>
  <c r="E22" i="28"/>
  <c r="E12" i="28"/>
  <c r="E11" i="28"/>
  <c r="E189" i="27"/>
  <c r="E188" i="27"/>
  <c r="E187" i="27"/>
  <c r="E185" i="27"/>
  <c r="E184" i="27"/>
  <c r="E183" i="27"/>
  <c r="E180" i="27"/>
  <c r="E179" i="27"/>
  <c r="E178" i="27"/>
  <c r="E175" i="27"/>
  <c r="E174" i="27"/>
  <c r="E173" i="27"/>
  <c r="E168" i="27"/>
  <c r="E167" i="27"/>
  <c r="E166" i="27"/>
  <c r="E165" i="27"/>
  <c r="E164" i="27"/>
  <c r="E163" i="27"/>
  <c r="E162" i="27"/>
  <c r="E161" i="27"/>
  <c r="E142" i="27"/>
  <c r="E141" i="27"/>
  <c r="E140" i="27"/>
  <c r="E139" i="27"/>
  <c r="E138" i="27"/>
  <c r="E133" i="27"/>
  <c r="E132" i="27"/>
  <c r="E131" i="27"/>
  <c r="E130" i="27"/>
  <c r="E129" i="27"/>
  <c r="E128" i="27"/>
  <c r="E124" i="27"/>
  <c r="E123" i="27"/>
  <c r="E122" i="27"/>
  <c r="E121" i="27"/>
  <c r="E120" i="27"/>
  <c r="E119" i="27"/>
  <c r="E118" i="27"/>
  <c r="E117" i="27"/>
  <c r="E116" i="27"/>
  <c r="E115" i="27"/>
  <c r="E114" i="27"/>
  <c r="E113" i="27"/>
  <c r="E112" i="27"/>
  <c r="E92" i="27"/>
  <c r="E91" i="27"/>
  <c r="E90" i="27"/>
  <c r="E89" i="27"/>
  <c r="E88" i="27"/>
  <c r="E87" i="27"/>
  <c r="E86" i="27"/>
  <c r="E85" i="27"/>
  <c r="E84" i="27"/>
  <c r="E83" i="27"/>
  <c r="E82" i="27"/>
  <c r="E79" i="27"/>
  <c r="E78" i="27"/>
  <c r="E77" i="27"/>
  <c r="E76" i="27"/>
  <c r="E75" i="27"/>
  <c r="E74" i="27"/>
  <c r="E70" i="27"/>
  <c r="E69" i="27"/>
  <c r="E68" i="27"/>
  <c r="E67" i="27"/>
  <c r="E66" i="27"/>
  <c r="E65" i="27"/>
  <c r="E64" i="27"/>
  <c r="E63" i="27"/>
  <c r="E62" i="27"/>
  <c r="E58" i="27"/>
  <c r="E57" i="27"/>
  <c r="E56" i="27"/>
  <c r="E55" i="27"/>
  <c r="E54" i="27"/>
  <c r="E53" i="27"/>
  <c r="E52" i="27"/>
  <c r="E51" i="27"/>
  <c r="E50" i="27"/>
  <c r="E49" i="27"/>
  <c r="E46" i="27"/>
  <c r="E45" i="27"/>
  <c r="E44" i="27"/>
  <c r="E43" i="27"/>
  <c r="E42" i="27"/>
  <c r="E41" i="27"/>
  <c r="E40" i="27"/>
  <c r="E39" i="27"/>
  <c r="E38" i="27"/>
  <c r="E37" i="27"/>
  <c r="E36" i="27"/>
  <c r="E35" i="27"/>
  <c r="E24" i="27"/>
  <c r="E23" i="27"/>
  <c r="E22" i="27"/>
  <c r="E189" i="40"/>
  <c r="E188" i="40"/>
  <c r="E187" i="40"/>
  <c r="E185" i="40"/>
  <c r="E184" i="40"/>
  <c r="E183" i="40"/>
  <c r="E180" i="40"/>
  <c r="E179" i="40"/>
  <c r="E178" i="40"/>
  <c r="E175" i="40"/>
  <c r="E174" i="40"/>
  <c r="E173" i="40"/>
  <c r="E168" i="40"/>
  <c r="E167" i="40"/>
  <c r="E166" i="40"/>
  <c r="E165" i="40"/>
  <c r="E164" i="40"/>
  <c r="E163" i="40"/>
  <c r="E162" i="40"/>
  <c r="E161" i="40"/>
  <c r="E138" i="40"/>
  <c r="E133" i="40"/>
  <c r="E132" i="40"/>
  <c r="E131" i="40"/>
  <c r="E130" i="40"/>
  <c r="E129" i="40"/>
  <c r="E128" i="40"/>
  <c r="E123" i="40"/>
  <c r="E122" i="40"/>
  <c r="E121" i="40"/>
  <c r="E120" i="40"/>
  <c r="E119" i="40"/>
  <c r="E118" i="40"/>
  <c r="E117" i="40"/>
  <c r="E116" i="40"/>
  <c r="E115" i="40"/>
  <c r="E114" i="40"/>
  <c r="E113" i="40"/>
  <c r="E112" i="40"/>
  <c r="E92" i="40"/>
  <c r="E91" i="40"/>
  <c r="E90" i="40"/>
  <c r="E89" i="40"/>
  <c r="E88" i="40"/>
  <c r="E87" i="40"/>
  <c r="E86" i="40"/>
  <c r="E85" i="40"/>
  <c r="E84" i="40"/>
  <c r="G84" i="40" s="1"/>
  <c r="E83" i="40"/>
  <c r="E82" i="40"/>
  <c r="E79" i="40"/>
  <c r="E78" i="40"/>
  <c r="E77" i="40"/>
  <c r="E76" i="40"/>
  <c r="E75" i="40"/>
  <c r="E74" i="40"/>
  <c r="E70" i="40"/>
  <c r="E69" i="40"/>
  <c r="E68" i="40"/>
  <c r="E67" i="40"/>
  <c r="E66" i="40"/>
  <c r="E65" i="40"/>
  <c r="E64" i="40"/>
  <c r="E63" i="40"/>
  <c r="E62" i="40"/>
  <c r="E58" i="40"/>
  <c r="E57" i="40"/>
  <c r="E56" i="40"/>
  <c r="E55" i="40"/>
  <c r="E54" i="40"/>
  <c r="E53" i="40"/>
  <c r="E52" i="40"/>
  <c r="E51" i="40"/>
  <c r="E50" i="40"/>
  <c r="E49" i="40"/>
  <c r="E35" i="40"/>
  <c r="E24" i="40"/>
  <c r="E23" i="40"/>
  <c r="E22" i="40"/>
  <c r="E189" i="25"/>
  <c r="E188" i="25"/>
  <c r="E187" i="25"/>
  <c r="E185" i="25"/>
  <c r="E184" i="25"/>
  <c r="E183" i="25"/>
  <c r="E180" i="25"/>
  <c r="E179" i="25"/>
  <c r="E178" i="25"/>
  <c r="E175" i="25"/>
  <c r="E174" i="25"/>
  <c r="E173" i="25"/>
  <c r="E168" i="25"/>
  <c r="E167" i="25"/>
  <c r="E166" i="25"/>
  <c r="E165" i="25"/>
  <c r="E164" i="25"/>
  <c r="E163" i="25"/>
  <c r="E162" i="25"/>
  <c r="E161" i="25"/>
  <c r="E142" i="25"/>
  <c r="E141" i="25"/>
  <c r="E140" i="25"/>
  <c r="E139" i="25"/>
  <c r="E138" i="25"/>
  <c r="E128" i="25"/>
  <c r="E124" i="25"/>
  <c r="E123" i="25"/>
  <c r="E122" i="25"/>
  <c r="E121" i="25"/>
  <c r="E120" i="25"/>
  <c r="E119" i="25"/>
  <c r="E118" i="25"/>
  <c r="E117" i="25"/>
  <c r="E116" i="25"/>
  <c r="E115" i="25"/>
  <c r="E114" i="25"/>
  <c r="E113" i="25"/>
  <c r="E112" i="25"/>
  <c r="E92" i="25"/>
  <c r="E91" i="25"/>
  <c r="E90" i="25"/>
  <c r="E89" i="25"/>
  <c r="E88" i="25"/>
  <c r="E87" i="25"/>
  <c r="E86" i="25"/>
  <c r="E85" i="25"/>
  <c r="E84" i="25"/>
  <c r="E83" i="25"/>
  <c r="E82" i="25"/>
  <c r="E74" i="25"/>
  <c r="E70" i="25"/>
  <c r="E69" i="25"/>
  <c r="E68" i="25"/>
  <c r="E67" i="25"/>
  <c r="E66" i="25"/>
  <c r="E65" i="25"/>
  <c r="E64" i="25"/>
  <c r="E63" i="25"/>
  <c r="E62" i="25"/>
  <c r="E58" i="25"/>
  <c r="E57" i="25"/>
  <c r="E56" i="25"/>
  <c r="E55" i="25"/>
  <c r="E54" i="25"/>
  <c r="E53" i="25"/>
  <c r="E52" i="25"/>
  <c r="E51" i="25"/>
  <c r="E50" i="25"/>
  <c r="E49" i="25"/>
  <c r="E46" i="25"/>
  <c r="E45" i="25"/>
  <c r="E44" i="25"/>
  <c r="E43" i="25"/>
  <c r="E42" i="25"/>
  <c r="E41" i="25"/>
  <c r="E40" i="25"/>
  <c r="E39" i="25"/>
  <c r="E38" i="25"/>
  <c r="E37" i="25"/>
  <c r="E36" i="25"/>
  <c r="E35" i="25"/>
  <c r="E24" i="25"/>
  <c r="E23" i="25"/>
  <c r="E22" i="25"/>
  <c r="E12" i="25"/>
  <c r="E11" i="25"/>
  <c r="E175" i="24"/>
  <c r="E185" i="24"/>
  <c r="E184" i="24"/>
  <c r="E183" i="24"/>
  <c r="E179" i="24"/>
  <c r="E178" i="24"/>
  <c r="E174" i="24"/>
  <c r="E173" i="24"/>
  <c r="E168" i="24"/>
  <c r="E167" i="24"/>
  <c r="E166" i="24"/>
  <c r="E165" i="24"/>
  <c r="E164" i="24"/>
  <c r="E163" i="24"/>
  <c r="E162" i="24"/>
  <c r="E161" i="24"/>
  <c r="E140" i="24"/>
  <c r="E139" i="24"/>
  <c r="E138" i="24"/>
  <c r="E133" i="24"/>
  <c r="E132" i="24"/>
  <c r="E131" i="24"/>
  <c r="E128" i="24"/>
  <c r="E124" i="24"/>
  <c r="E123" i="24"/>
  <c r="E122" i="24"/>
  <c r="E121" i="24"/>
  <c r="E120" i="24"/>
  <c r="E119" i="24"/>
  <c r="E118" i="24"/>
  <c r="E117" i="24"/>
  <c r="E116" i="24"/>
  <c r="E115" i="24"/>
  <c r="E114" i="24"/>
  <c r="E113" i="24"/>
  <c r="E112" i="24"/>
  <c r="E92" i="24"/>
  <c r="E91" i="24"/>
  <c r="E90" i="24"/>
  <c r="E89" i="24"/>
  <c r="E88" i="24"/>
  <c r="E87" i="24"/>
  <c r="E86" i="24"/>
  <c r="E85" i="24"/>
  <c r="E84" i="24"/>
  <c r="E83" i="24"/>
  <c r="E82" i="24"/>
  <c r="E79" i="24"/>
  <c r="E78" i="24"/>
  <c r="E77" i="24"/>
  <c r="E76" i="24"/>
  <c r="E75" i="24"/>
  <c r="E74" i="24"/>
  <c r="E70" i="24"/>
  <c r="E69" i="24"/>
  <c r="E68" i="24"/>
  <c r="E67" i="24"/>
  <c r="E66" i="24"/>
  <c r="E65" i="24"/>
  <c r="E64" i="24"/>
  <c r="E63" i="24"/>
  <c r="E62" i="24"/>
  <c r="E58" i="24"/>
  <c r="E57" i="24"/>
  <c r="E55" i="24"/>
  <c r="E54" i="24"/>
  <c r="E53" i="24"/>
  <c r="E52" i="24"/>
  <c r="E51" i="24"/>
  <c r="E50" i="24"/>
  <c r="E49" i="24"/>
  <c r="E46" i="24"/>
  <c r="E45" i="24"/>
  <c r="E44" i="24"/>
  <c r="E43" i="24"/>
  <c r="E42" i="24"/>
  <c r="E41" i="24"/>
  <c r="E38" i="24"/>
  <c r="E36" i="24"/>
  <c r="E24" i="24"/>
  <c r="E23" i="24"/>
  <c r="E22" i="24"/>
  <c r="E12" i="24"/>
  <c r="E11" i="24"/>
  <c r="E185" i="23"/>
  <c r="E184" i="23"/>
  <c r="E183" i="23"/>
  <c r="E180" i="23"/>
  <c r="E179" i="23"/>
  <c r="E178" i="23"/>
  <c r="E175" i="23"/>
  <c r="E174" i="23"/>
  <c r="E173" i="23"/>
  <c r="E168" i="23"/>
  <c r="E167" i="23"/>
  <c r="E166" i="23"/>
  <c r="E165" i="23"/>
  <c r="E164" i="23"/>
  <c r="E163" i="23"/>
  <c r="E162" i="23"/>
  <c r="E161" i="23"/>
  <c r="E142" i="23"/>
  <c r="E141" i="23"/>
  <c r="E140" i="23"/>
  <c r="E139" i="23"/>
  <c r="E138" i="23"/>
  <c r="E133" i="23"/>
  <c r="E132" i="23"/>
  <c r="E131" i="23"/>
  <c r="E129" i="23"/>
  <c r="E128" i="23"/>
  <c r="E124" i="23"/>
  <c r="E123" i="23"/>
  <c r="E122" i="23"/>
  <c r="E121" i="23"/>
  <c r="E119" i="23"/>
  <c r="E118" i="23"/>
  <c r="E117" i="23"/>
  <c r="E116" i="23"/>
  <c r="E115" i="23"/>
  <c r="E114" i="23"/>
  <c r="E112" i="23"/>
  <c r="E92" i="23"/>
  <c r="E91" i="23"/>
  <c r="E90" i="23"/>
  <c r="E89" i="23"/>
  <c r="E88" i="23"/>
  <c r="E87" i="23"/>
  <c r="E86" i="23"/>
  <c r="E85" i="23"/>
  <c r="E84" i="23"/>
  <c r="E83" i="23"/>
  <c r="E82" i="23"/>
  <c r="E79" i="23"/>
  <c r="E78" i="23"/>
  <c r="E77" i="23"/>
  <c r="E76" i="23"/>
  <c r="E75" i="23"/>
  <c r="E74" i="23"/>
  <c r="E70" i="23"/>
  <c r="E69" i="23"/>
  <c r="E68" i="23"/>
  <c r="E67" i="23"/>
  <c r="E66" i="23"/>
  <c r="E65" i="23"/>
  <c r="E64" i="23"/>
  <c r="E62" i="23"/>
  <c r="E54" i="23"/>
  <c r="E53" i="23"/>
  <c r="E52" i="23"/>
  <c r="E51" i="23"/>
  <c r="E50" i="23"/>
  <c r="E46" i="23"/>
  <c r="E45" i="23"/>
  <c r="E44" i="23"/>
  <c r="E43" i="23"/>
  <c r="E42" i="23"/>
  <c r="E41" i="23"/>
  <c r="E40" i="23"/>
  <c r="E39" i="23"/>
  <c r="E38" i="23"/>
  <c r="E37" i="23"/>
  <c r="E36" i="23"/>
  <c r="E35" i="23"/>
  <c r="E24" i="23"/>
  <c r="E23" i="23"/>
  <c r="E22" i="23"/>
  <c r="E12" i="23"/>
  <c r="E11" i="23"/>
  <c r="E185" i="22"/>
  <c r="E184" i="22"/>
  <c r="E183" i="22"/>
  <c r="E180" i="22"/>
  <c r="E179" i="22"/>
  <c r="E178" i="22"/>
  <c r="E175" i="22"/>
  <c r="E174" i="22"/>
  <c r="E173" i="22"/>
  <c r="E168" i="22"/>
  <c r="E167" i="22"/>
  <c r="E166" i="22"/>
  <c r="E165" i="22"/>
  <c r="E164" i="22"/>
  <c r="E163" i="22"/>
  <c r="E162" i="22"/>
  <c r="E161" i="22"/>
  <c r="E138" i="22"/>
  <c r="E133" i="22"/>
  <c r="E131" i="22"/>
  <c r="E130" i="22"/>
  <c r="E129" i="22"/>
  <c r="E128" i="22"/>
  <c r="E112" i="22"/>
  <c r="E92" i="22"/>
  <c r="E91" i="22"/>
  <c r="E90" i="22"/>
  <c r="E89" i="22"/>
  <c r="E88" i="22"/>
  <c r="E87" i="22"/>
  <c r="E86" i="22"/>
  <c r="E85" i="22"/>
  <c r="E84" i="22"/>
  <c r="E83" i="22"/>
  <c r="E82" i="22"/>
  <c r="E79" i="22"/>
  <c r="E78" i="22"/>
  <c r="E77" i="22"/>
  <c r="E76" i="22"/>
  <c r="E75" i="22"/>
  <c r="E74" i="22"/>
  <c r="E70" i="22"/>
  <c r="E69" i="22"/>
  <c r="E68" i="22"/>
  <c r="E67" i="22"/>
  <c r="E66" i="22"/>
  <c r="E65" i="22"/>
  <c r="E64" i="22"/>
  <c r="E63" i="22"/>
  <c r="E62" i="22"/>
  <c r="E58" i="22"/>
  <c r="E57" i="22"/>
  <c r="E56" i="22"/>
  <c r="E55" i="22"/>
  <c r="E54" i="22"/>
  <c r="E53" i="22"/>
  <c r="E52" i="22"/>
  <c r="E51" i="22"/>
  <c r="E50" i="22"/>
  <c r="E49" i="22"/>
  <c r="E46" i="22"/>
  <c r="E45" i="22"/>
  <c r="E44" i="22"/>
  <c r="E43" i="22"/>
  <c r="E42" i="22"/>
  <c r="E41" i="22"/>
  <c r="E40" i="22"/>
  <c r="E38" i="22"/>
  <c r="E37" i="22"/>
  <c r="E36" i="22"/>
  <c r="E35" i="22"/>
  <c r="E24" i="22"/>
  <c r="E23" i="22"/>
  <c r="E22" i="22"/>
  <c r="E12" i="22"/>
  <c r="E11" i="22"/>
  <c r="H124" i="21"/>
  <c r="H124" i="22" s="1"/>
  <c r="H124" i="23" s="1"/>
  <c r="H124" i="24" s="1"/>
  <c r="E185" i="21"/>
  <c r="E184" i="21"/>
  <c r="E183" i="21"/>
  <c r="E179" i="21"/>
  <c r="E175" i="21"/>
  <c r="E174" i="21"/>
  <c r="E173" i="21"/>
  <c r="E168" i="21"/>
  <c r="E167" i="21"/>
  <c r="E166" i="21"/>
  <c r="G166" i="21" s="1"/>
  <c r="E165" i="21"/>
  <c r="E164" i="21"/>
  <c r="E163" i="21"/>
  <c r="E162" i="21"/>
  <c r="E161" i="21"/>
  <c r="E142" i="21"/>
  <c r="E141" i="21"/>
  <c r="E140" i="21"/>
  <c r="E139" i="21"/>
  <c r="E138" i="21"/>
  <c r="E133" i="21"/>
  <c r="E132" i="21"/>
  <c r="E131" i="21"/>
  <c r="E130" i="21"/>
  <c r="E129" i="21"/>
  <c r="E128" i="21"/>
  <c r="E124" i="21"/>
  <c r="E123" i="21"/>
  <c r="E122" i="21"/>
  <c r="E121" i="21"/>
  <c r="E120" i="21"/>
  <c r="E119" i="21"/>
  <c r="E118" i="21"/>
  <c r="E117" i="21"/>
  <c r="E116" i="21"/>
  <c r="E115" i="21"/>
  <c r="E114" i="21"/>
  <c r="E113" i="21"/>
  <c r="E112" i="21"/>
  <c r="E92" i="21"/>
  <c r="E91" i="21"/>
  <c r="E90" i="21"/>
  <c r="E89" i="21"/>
  <c r="E88" i="21"/>
  <c r="E87" i="21"/>
  <c r="E86" i="21"/>
  <c r="E85" i="21"/>
  <c r="E84" i="21"/>
  <c r="E83" i="21"/>
  <c r="E82" i="21"/>
  <c r="E79" i="21"/>
  <c r="E78" i="21"/>
  <c r="E77" i="21"/>
  <c r="E76" i="21"/>
  <c r="E74" i="21"/>
  <c r="E70" i="21"/>
  <c r="E69" i="21"/>
  <c r="E68" i="21"/>
  <c r="E67" i="21"/>
  <c r="E66" i="21"/>
  <c r="E65" i="21"/>
  <c r="E64" i="21"/>
  <c r="E63" i="21"/>
  <c r="E62" i="21"/>
  <c r="E58" i="21"/>
  <c r="E57" i="21"/>
  <c r="E56" i="21"/>
  <c r="E55" i="21"/>
  <c r="G55" i="21" s="1"/>
  <c r="E54" i="21"/>
  <c r="E53" i="21"/>
  <c r="E52" i="21"/>
  <c r="E51" i="21"/>
  <c r="E50" i="21"/>
  <c r="E49" i="21"/>
  <c r="E35" i="21"/>
  <c r="E24" i="21"/>
  <c r="E23" i="21"/>
  <c r="E22" i="21"/>
  <c r="E12" i="21"/>
  <c r="E11" i="21"/>
  <c r="E185" i="19"/>
  <c r="E184" i="19"/>
  <c r="E183" i="19"/>
  <c r="E180" i="19"/>
  <c r="E179" i="19"/>
  <c r="E178" i="19"/>
  <c r="E175" i="19"/>
  <c r="E174" i="19"/>
  <c r="E173" i="19"/>
  <c r="E168" i="19"/>
  <c r="E167" i="19"/>
  <c r="E166" i="19"/>
  <c r="E165" i="19"/>
  <c r="E164" i="19"/>
  <c r="E163" i="19"/>
  <c r="E162" i="19"/>
  <c r="E161" i="19"/>
  <c r="E142" i="19"/>
  <c r="E141" i="19"/>
  <c r="E140" i="19"/>
  <c r="E139" i="19"/>
  <c r="E138" i="19"/>
  <c r="E133" i="19"/>
  <c r="E132" i="19"/>
  <c r="E131" i="19"/>
  <c r="E130" i="19"/>
  <c r="E129" i="19"/>
  <c r="E128" i="19"/>
  <c r="E124" i="19"/>
  <c r="E123" i="19"/>
  <c r="E122" i="19"/>
  <c r="E121" i="19"/>
  <c r="E120" i="19"/>
  <c r="E119" i="19"/>
  <c r="E118" i="19"/>
  <c r="E117" i="19"/>
  <c r="E116" i="19"/>
  <c r="E115" i="19"/>
  <c r="E114" i="19"/>
  <c r="E113" i="19"/>
  <c r="E112" i="19"/>
  <c r="E92" i="19"/>
  <c r="E91" i="19"/>
  <c r="E90" i="19"/>
  <c r="E89" i="19"/>
  <c r="E88" i="19"/>
  <c r="E87" i="19"/>
  <c r="E86" i="19"/>
  <c r="E85" i="19"/>
  <c r="E84" i="19"/>
  <c r="G84" i="19" s="1"/>
  <c r="E83" i="19"/>
  <c r="E82" i="19"/>
  <c r="E79" i="19"/>
  <c r="E78" i="19"/>
  <c r="E77" i="19"/>
  <c r="E76" i="19"/>
  <c r="G76" i="19" s="1"/>
  <c r="E75" i="19"/>
  <c r="E74" i="19"/>
  <c r="G74" i="19" s="1"/>
  <c r="E70" i="19"/>
  <c r="E69" i="19"/>
  <c r="E68" i="19"/>
  <c r="E67" i="19"/>
  <c r="G67" i="19" s="1"/>
  <c r="E66" i="19"/>
  <c r="E65" i="19"/>
  <c r="E64" i="19"/>
  <c r="E63" i="19"/>
  <c r="E62" i="19"/>
  <c r="E58" i="19"/>
  <c r="E56" i="19"/>
  <c r="E55" i="19"/>
  <c r="E54" i="19"/>
  <c r="E53" i="19"/>
  <c r="E52" i="19"/>
  <c r="E51" i="19"/>
  <c r="E50" i="19"/>
  <c r="E49" i="19"/>
  <c r="E46" i="19"/>
  <c r="E45" i="19"/>
  <c r="E44" i="19"/>
  <c r="E43" i="19"/>
  <c r="E42" i="19"/>
  <c r="E41" i="19"/>
  <c r="E40" i="19"/>
  <c r="E39" i="19"/>
  <c r="E38" i="19"/>
  <c r="E37" i="19"/>
  <c r="E36" i="19"/>
  <c r="E35" i="19"/>
  <c r="E23" i="19"/>
  <c r="G23" i="19" s="1"/>
  <c r="E22" i="19"/>
  <c r="H124" i="18"/>
  <c r="H124" i="19" s="1"/>
  <c r="E174" i="18"/>
  <c r="E185" i="18"/>
  <c r="E184" i="18"/>
  <c r="E183" i="18"/>
  <c r="E180" i="18"/>
  <c r="E179" i="18"/>
  <c r="E178" i="18"/>
  <c r="E175" i="18"/>
  <c r="E173" i="18"/>
  <c r="E165" i="18"/>
  <c r="E164" i="18"/>
  <c r="E163" i="18"/>
  <c r="E162" i="18"/>
  <c r="E161" i="18"/>
  <c r="E142" i="18"/>
  <c r="E141" i="18"/>
  <c r="E140" i="18"/>
  <c r="E139" i="18"/>
  <c r="E138" i="18"/>
  <c r="E133" i="18"/>
  <c r="E131" i="18"/>
  <c r="E130" i="18"/>
  <c r="E129" i="18"/>
  <c r="E128" i="18"/>
  <c r="E124" i="18"/>
  <c r="E123" i="18"/>
  <c r="E122" i="18"/>
  <c r="E121" i="18"/>
  <c r="E120" i="18"/>
  <c r="E119" i="18"/>
  <c r="E118" i="18"/>
  <c r="E117" i="18"/>
  <c r="E116" i="18"/>
  <c r="E115" i="18"/>
  <c r="E113" i="18"/>
  <c r="E112" i="18"/>
  <c r="E92" i="18"/>
  <c r="E91" i="18"/>
  <c r="E90" i="18"/>
  <c r="E89" i="18"/>
  <c r="E88" i="18"/>
  <c r="E87" i="18"/>
  <c r="E86" i="18"/>
  <c r="E85" i="18"/>
  <c r="E84" i="18"/>
  <c r="E83" i="18"/>
  <c r="E82" i="18"/>
  <c r="E79" i="18"/>
  <c r="E78" i="18"/>
  <c r="E77" i="18"/>
  <c r="E76" i="18"/>
  <c r="E75" i="18"/>
  <c r="E74" i="18"/>
  <c r="E70" i="18"/>
  <c r="E69" i="18"/>
  <c r="E68" i="18"/>
  <c r="E67" i="18"/>
  <c r="E66" i="18"/>
  <c r="E65" i="18"/>
  <c r="E64" i="18"/>
  <c r="E63" i="18"/>
  <c r="E62" i="18"/>
  <c r="E58" i="18"/>
  <c r="E57" i="18"/>
  <c r="E56" i="18"/>
  <c r="E55" i="18"/>
  <c r="E54" i="18"/>
  <c r="E53" i="18"/>
  <c r="E52" i="18"/>
  <c r="E51" i="18"/>
  <c r="E50" i="18"/>
  <c r="E49" i="18"/>
  <c r="E46" i="18"/>
  <c r="E45" i="18"/>
  <c r="E44" i="18"/>
  <c r="E43" i="18"/>
  <c r="E42" i="18"/>
  <c r="E41" i="18"/>
  <c r="E40" i="18"/>
  <c r="E39" i="18"/>
  <c r="E38" i="18"/>
  <c r="E37" i="18"/>
  <c r="E36" i="18"/>
  <c r="E35" i="18"/>
  <c r="E24" i="18"/>
  <c r="E23" i="18"/>
  <c r="E22" i="18"/>
  <c r="E12" i="18"/>
  <c r="E11" i="18"/>
  <c r="E189" i="17"/>
  <c r="E188" i="17"/>
  <c r="E187" i="17"/>
  <c r="E186" i="17"/>
  <c r="E185" i="17"/>
  <c r="E184" i="17"/>
  <c r="E183" i="17"/>
  <c r="E182" i="17"/>
  <c r="E181" i="17"/>
  <c r="E180" i="17"/>
  <c r="E179" i="17"/>
  <c r="E178" i="17"/>
  <c r="E177" i="17"/>
  <c r="E176" i="17"/>
  <c r="E175" i="17"/>
  <c r="E174" i="17"/>
  <c r="E173" i="17"/>
  <c r="E168" i="17"/>
  <c r="E167" i="17"/>
  <c r="E166" i="17"/>
  <c r="E165" i="17"/>
  <c r="E164" i="17"/>
  <c r="E163" i="17"/>
  <c r="E162" i="17"/>
  <c r="E161" i="17"/>
  <c r="E142" i="17"/>
  <c r="E141" i="17"/>
  <c r="E140" i="17"/>
  <c r="E139" i="17"/>
  <c r="E138" i="17"/>
  <c r="E133" i="17"/>
  <c r="E132" i="17"/>
  <c r="E131" i="17"/>
  <c r="E130" i="17"/>
  <c r="E129" i="17"/>
  <c r="E128" i="17"/>
  <c r="E123" i="17"/>
  <c r="E122" i="17"/>
  <c r="E121" i="17"/>
  <c r="E120" i="17"/>
  <c r="E119" i="17"/>
  <c r="E118" i="17"/>
  <c r="E117" i="17"/>
  <c r="E116" i="17"/>
  <c r="E115" i="17"/>
  <c r="E114" i="17"/>
  <c r="E113" i="17"/>
  <c r="E112" i="17"/>
  <c r="E92" i="17"/>
  <c r="G92" i="17" s="1"/>
  <c r="E91" i="17"/>
  <c r="G91" i="17" s="1"/>
  <c r="E90" i="17"/>
  <c r="E89" i="17"/>
  <c r="E88" i="17"/>
  <c r="E87" i="17"/>
  <c r="E86" i="17"/>
  <c r="E85" i="17"/>
  <c r="E83" i="17"/>
  <c r="E82" i="17"/>
  <c r="E79" i="17"/>
  <c r="E78" i="17"/>
  <c r="E77" i="17"/>
  <c r="E76" i="17"/>
  <c r="E75" i="17"/>
  <c r="E74" i="17"/>
  <c r="E70" i="17"/>
  <c r="E69" i="17"/>
  <c r="E68" i="17"/>
  <c r="E67" i="17"/>
  <c r="E66" i="17"/>
  <c r="E65" i="17"/>
  <c r="E63" i="17"/>
  <c r="E62" i="17"/>
  <c r="E58" i="17"/>
  <c r="E57" i="17"/>
  <c r="E56" i="17"/>
  <c r="E55" i="17"/>
  <c r="E54" i="17"/>
  <c r="E53" i="17"/>
  <c r="E52" i="17"/>
  <c r="E51" i="17"/>
  <c r="E50" i="17"/>
  <c r="E49" i="17"/>
  <c r="E46" i="17"/>
  <c r="E45" i="17"/>
  <c r="E44" i="17"/>
  <c r="E42" i="17"/>
  <c r="E41" i="17"/>
  <c r="E40" i="17"/>
  <c r="E39" i="17"/>
  <c r="E38" i="17"/>
  <c r="E37" i="17"/>
  <c r="E36" i="17"/>
  <c r="E35" i="17"/>
  <c r="E24" i="17"/>
  <c r="E23" i="17"/>
  <c r="E22" i="17"/>
  <c r="E12" i="17"/>
  <c r="E11" i="17"/>
  <c r="E185" i="16"/>
  <c r="E184" i="16"/>
  <c r="E183" i="16"/>
  <c r="E180" i="16"/>
  <c r="E179" i="16"/>
  <c r="E178" i="16"/>
  <c r="E175" i="16"/>
  <c r="E174" i="16"/>
  <c r="E173" i="16"/>
  <c r="E168" i="16"/>
  <c r="E167" i="16"/>
  <c r="E166" i="16"/>
  <c r="E165" i="16"/>
  <c r="E164" i="16"/>
  <c r="E163" i="16"/>
  <c r="E162" i="16"/>
  <c r="E161" i="16"/>
  <c r="E142" i="16"/>
  <c r="E141" i="16"/>
  <c r="E140" i="16"/>
  <c r="E139" i="16"/>
  <c r="E138" i="16"/>
  <c r="E133" i="16"/>
  <c r="E132" i="16"/>
  <c r="E131" i="16"/>
  <c r="E130" i="16"/>
  <c r="E129" i="16"/>
  <c r="E128" i="16"/>
  <c r="E123" i="16"/>
  <c r="E122" i="16"/>
  <c r="E121" i="16"/>
  <c r="E120" i="16"/>
  <c r="E119" i="16"/>
  <c r="E118" i="16"/>
  <c r="E117" i="16"/>
  <c r="E116" i="16"/>
  <c r="E115" i="16"/>
  <c r="E114" i="16"/>
  <c r="E113" i="16"/>
  <c r="E112" i="16"/>
  <c r="E92" i="16"/>
  <c r="E91" i="16"/>
  <c r="E90" i="16"/>
  <c r="E89" i="16"/>
  <c r="E88" i="16"/>
  <c r="E87" i="16"/>
  <c r="E86" i="16"/>
  <c r="E85" i="16"/>
  <c r="E84" i="16"/>
  <c r="E83" i="16"/>
  <c r="E82" i="16"/>
  <c r="E79" i="16"/>
  <c r="E78" i="16"/>
  <c r="E77" i="16"/>
  <c r="E76" i="16"/>
  <c r="E75" i="16"/>
  <c r="E74" i="16"/>
  <c r="E70" i="16"/>
  <c r="E69" i="16"/>
  <c r="E68" i="16"/>
  <c r="E67" i="16"/>
  <c r="E66" i="16"/>
  <c r="E65" i="16"/>
  <c r="E64" i="16"/>
  <c r="E63" i="16"/>
  <c r="E62" i="16"/>
  <c r="E58" i="16"/>
  <c r="E57" i="16"/>
  <c r="E56" i="16"/>
  <c r="E55" i="16"/>
  <c r="E54" i="16"/>
  <c r="E53" i="16"/>
  <c r="E52" i="16"/>
  <c r="E51" i="16"/>
  <c r="E50" i="16"/>
  <c r="E49" i="16"/>
  <c r="E46" i="16"/>
  <c r="E45" i="16"/>
  <c r="E44" i="16"/>
  <c r="E43" i="16"/>
  <c r="E42" i="16"/>
  <c r="E41" i="16"/>
  <c r="E40" i="16"/>
  <c r="E39" i="16"/>
  <c r="E38" i="16"/>
  <c r="E37" i="16"/>
  <c r="E36" i="16"/>
  <c r="E35" i="16"/>
  <c r="E24" i="16"/>
  <c r="E23" i="16"/>
  <c r="E22" i="16"/>
  <c r="E12" i="16"/>
  <c r="E11" i="16"/>
  <c r="E185" i="15"/>
  <c r="E184" i="15"/>
  <c r="E183" i="15"/>
  <c r="E180" i="15"/>
  <c r="E179" i="15"/>
  <c r="E178" i="15"/>
  <c r="E175" i="15"/>
  <c r="E173" i="15"/>
  <c r="E168" i="15"/>
  <c r="E167" i="15"/>
  <c r="E166" i="15"/>
  <c r="E165" i="15"/>
  <c r="E164" i="15"/>
  <c r="E163" i="15"/>
  <c r="E162" i="15"/>
  <c r="E161" i="15"/>
  <c r="E142" i="15"/>
  <c r="E141" i="15"/>
  <c r="E140" i="15"/>
  <c r="E139" i="15"/>
  <c r="E138" i="15"/>
  <c r="E133" i="15"/>
  <c r="E132" i="15"/>
  <c r="E131" i="15"/>
  <c r="E130" i="15"/>
  <c r="E129" i="15"/>
  <c r="E128" i="15"/>
  <c r="E123" i="15"/>
  <c r="E122" i="15"/>
  <c r="E121" i="15"/>
  <c r="E120" i="15"/>
  <c r="E119" i="15"/>
  <c r="E118" i="15"/>
  <c r="E117" i="15"/>
  <c r="E116" i="15"/>
  <c r="E115" i="15"/>
  <c r="E114" i="15"/>
  <c r="E113" i="15"/>
  <c r="E112" i="15"/>
  <c r="E92" i="15"/>
  <c r="E91" i="15"/>
  <c r="E90" i="15"/>
  <c r="E89" i="15"/>
  <c r="E88" i="15"/>
  <c r="E87" i="15"/>
  <c r="E86" i="15"/>
  <c r="E85" i="15"/>
  <c r="E84" i="15"/>
  <c r="E83" i="15"/>
  <c r="E82" i="15"/>
  <c r="E79" i="15"/>
  <c r="E78" i="15"/>
  <c r="E77" i="15"/>
  <c r="E76" i="15"/>
  <c r="E75" i="15"/>
  <c r="E74" i="15"/>
  <c r="E70" i="15"/>
  <c r="E69" i="15"/>
  <c r="E68" i="15"/>
  <c r="E67" i="15"/>
  <c r="E66" i="15"/>
  <c r="E65" i="15"/>
  <c r="E64" i="15"/>
  <c r="E62" i="15"/>
  <c r="E58" i="15"/>
  <c r="E57" i="15"/>
  <c r="E56" i="15"/>
  <c r="E55" i="15"/>
  <c r="E54" i="15"/>
  <c r="E53" i="15"/>
  <c r="E52" i="15"/>
  <c r="E51" i="15"/>
  <c r="E50" i="15"/>
  <c r="E49" i="15"/>
  <c r="E46" i="15"/>
  <c r="E45" i="15"/>
  <c r="E44" i="15"/>
  <c r="E41" i="15"/>
  <c r="E40" i="15"/>
  <c r="E39" i="15"/>
  <c r="E38" i="15"/>
  <c r="E37" i="15"/>
  <c r="E36" i="15"/>
  <c r="E35" i="15"/>
  <c r="E24" i="15"/>
  <c r="E23" i="15"/>
  <c r="E22" i="15"/>
  <c r="E12" i="15"/>
  <c r="E11" i="15"/>
  <c r="E10" i="15"/>
  <c r="E185" i="14"/>
  <c r="E184" i="14"/>
  <c r="E183" i="14"/>
  <c r="E180" i="14"/>
  <c r="E179" i="14"/>
  <c r="E178" i="14"/>
  <c r="E175" i="14"/>
  <c r="E174" i="14"/>
  <c r="E173" i="14"/>
  <c r="E168" i="14"/>
  <c r="E167" i="14"/>
  <c r="E166" i="14"/>
  <c r="E165" i="14"/>
  <c r="E164" i="14"/>
  <c r="E163" i="14"/>
  <c r="E162" i="14"/>
  <c r="E161" i="14"/>
  <c r="E142" i="14"/>
  <c r="E141" i="14"/>
  <c r="E140" i="14"/>
  <c r="E139" i="14"/>
  <c r="E138" i="14"/>
  <c r="E133" i="14"/>
  <c r="E132" i="14"/>
  <c r="E131" i="14"/>
  <c r="E130" i="14"/>
  <c r="E129" i="14"/>
  <c r="E128" i="14"/>
  <c r="E123" i="14"/>
  <c r="E122" i="14"/>
  <c r="E121" i="14"/>
  <c r="E120" i="14"/>
  <c r="E119" i="14"/>
  <c r="E118" i="14"/>
  <c r="E117" i="14"/>
  <c r="E116" i="14"/>
  <c r="E115" i="14"/>
  <c r="E114" i="14"/>
  <c r="E113" i="14"/>
  <c r="E112" i="14"/>
  <c r="E92" i="14"/>
  <c r="E91" i="14"/>
  <c r="E90" i="14"/>
  <c r="E89" i="14"/>
  <c r="E88" i="14"/>
  <c r="E87" i="14"/>
  <c r="E86" i="14"/>
  <c r="E85" i="14"/>
  <c r="E84" i="14"/>
  <c r="E83" i="14"/>
  <c r="E82" i="14"/>
  <c r="E79" i="14"/>
  <c r="E78" i="14"/>
  <c r="E77" i="14"/>
  <c r="E76" i="14"/>
  <c r="E75" i="14"/>
  <c r="E74" i="14"/>
  <c r="E70" i="14"/>
  <c r="E69" i="14"/>
  <c r="E68" i="14"/>
  <c r="E67" i="14"/>
  <c r="E66" i="14"/>
  <c r="E65" i="14"/>
  <c r="E64" i="14"/>
  <c r="E63" i="14"/>
  <c r="E62" i="14"/>
  <c r="E58" i="14"/>
  <c r="E57" i="14"/>
  <c r="E56" i="14"/>
  <c r="E55" i="14"/>
  <c r="E54" i="14"/>
  <c r="E53" i="14"/>
  <c r="E52" i="14"/>
  <c r="E51" i="14"/>
  <c r="E50" i="14"/>
  <c r="E49" i="14"/>
  <c r="E46" i="14"/>
  <c r="E45" i="14"/>
  <c r="E44" i="14"/>
  <c r="E43" i="14"/>
  <c r="E42" i="14"/>
  <c r="E41" i="14"/>
  <c r="E40" i="14"/>
  <c r="E39" i="14"/>
  <c r="E38" i="14"/>
  <c r="E37" i="14"/>
  <c r="E36" i="14"/>
  <c r="E35" i="14"/>
  <c r="E24" i="14"/>
  <c r="E23" i="14"/>
  <c r="E22" i="14"/>
  <c r="E12" i="14"/>
  <c r="E11" i="14"/>
  <c r="E185" i="13"/>
  <c r="E184" i="13"/>
  <c r="E183" i="13"/>
  <c r="E180" i="13"/>
  <c r="E179" i="13"/>
  <c r="E178" i="13"/>
  <c r="E175" i="13"/>
  <c r="E173" i="13"/>
  <c r="E168" i="13"/>
  <c r="E167" i="13"/>
  <c r="E166" i="13"/>
  <c r="E165" i="13"/>
  <c r="E164" i="13"/>
  <c r="E163" i="13"/>
  <c r="E162" i="13"/>
  <c r="E161" i="13"/>
  <c r="E138" i="13"/>
  <c r="E128" i="13"/>
  <c r="E123" i="13"/>
  <c r="E122" i="13"/>
  <c r="E121" i="13"/>
  <c r="E120" i="13"/>
  <c r="E119" i="13"/>
  <c r="E118" i="13"/>
  <c r="E117" i="13"/>
  <c r="E116" i="13"/>
  <c r="E115" i="13"/>
  <c r="E114" i="13"/>
  <c r="E113" i="13"/>
  <c r="E112" i="13"/>
  <c r="E92" i="13"/>
  <c r="E91" i="13"/>
  <c r="E90" i="13"/>
  <c r="E89" i="13"/>
  <c r="E88" i="13"/>
  <c r="E87" i="13"/>
  <c r="E86" i="13"/>
  <c r="E85" i="13"/>
  <c r="E84" i="13"/>
  <c r="E83" i="13"/>
  <c r="E82" i="13"/>
  <c r="E79" i="13"/>
  <c r="E78" i="13"/>
  <c r="E77" i="13"/>
  <c r="E76" i="13"/>
  <c r="E75" i="13"/>
  <c r="E74" i="13"/>
  <c r="E70" i="13"/>
  <c r="E69" i="13"/>
  <c r="E68" i="13"/>
  <c r="E67" i="13"/>
  <c r="E66" i="13"/>
  <c r="E65" i="13"/>
  <c r="E64" i="13"/>
  <c r="E63" i="13"/>
  <c r="E62" i="13"/>
  <c r="E49" i="13"/>
  <c r="E35" i="13"/>
  <c r="E24" i="13"/>
  <c r="E23" i="13"/>
  <c r="E22" i="13"/>
  <c r="E185" i="12"/>
  <c r="E184" i="12"/>
  <c r="E183" i="12"/>
  <c r="E180" i="12"/>
  <c r="E179" i="12"/>
  <c r="E178" i="12"/>
  <c r="E175" i="12"/>
  <c r="E174" i="12"/>
  <c r="E173" i="12"/>
  <c r="E168" i="12"/>
  <c r="E167" i="12"/>
  <c r="E166" i="12"/>
  <c r="E165" i="12"/>
  <c r="E164" i="12"/>
  <c r="E163" i="12"/>
  <c r="E162" i="12"/>
  <c r="E161" i="12"/>
  <c r="E142" i="12"/>
  <c r="E141" i="12"/>
  <c r="E140" i="12"/>
  <c r="E139" i="12"/>
  <c r="E138" i="12"/>
  <c r="E128" i="12"/>
  <c r="E123" i="12"/>
  <c r="E122" i="12"/>
  <c r="E121" i="12"/>
  <c r="E120" i="12"/>
  <c r="E119" i="12"/>
  <c r="E118" i="12"/>
  <c r="E117" i="12"/>
  <c r="E116" i="12"/>
  <c r="E115" i="12"/>
  <c r="E114" i="12"/>
  <c r="E113" i="12"/>
  <c r="E112" i="12"/>
  <c r="E92" i="12"/>
  <c r="E91" i="12"/>
  <c r="E90" i="12"/>
  <c r="E89" i="12"/>
  <c r="E88" i="12"/>
  <c r="E87" i="12"/>
  <c r="E86" i="12"/>
  <c r="E85" i="12"/>
  <c r="E84" i="12"/>
  <c r="E83" i="12"/>
  <c r="E82" i="12"/>
  <c r="E79" i="12"/>
  <c r="E78" i="12"/>
  <c r="E77" i="12"/>
  <c r="E76" i="12"/>
  <c r="E75" i="12"/>
  <c r="E74" i="12"/>
  <c r="E70" i="12"/>
  <c r="E69" i="12"/>
  <c r="E68" i="12"/>
  <c r="E67" i="12"/>
  <c r="E66" i="12"/>
  <c r="E65" i="12"/>
  <c r="E64" i="12"/>
  <c r="E63" i="12"/>
  <c r="E62" i="12"/>
  <c r="E49" i="12"/>
  <c r="E35" i="12"/>
  <c r="E24" i="12"/>
  <c r="E23" i="12"/>
  <c r="E22" i="12"/>
  <c r="E12" i="12"/>
  <c r="E11" i="12"/>
  <c r="H124" i="11"/>
  <c r="H26" i="11"/>
  <c r="E185" i="11"/>
  <c r="E184" i="11"/>
  <c r="E183" i="11"/>
  <c r="E180" i="11"/>
  <c r="E179" i="11"/>
  <c r="E178" i="11"/>
  <c r="E175" i="11"/>
  <c r="E174" i="11"/>
  <c r="E173" i="11"/>
  <c r="E168" i="11"/>
  <c r="E167" i="11"/>
  <c r="E166" i="11"/>
  <c r="E165" i="11"/>
  <c r="E164" i="11"/>
  <c r="E163" i="11"/>
  <c r="E162" i="11"/>
  <c r="E161" i="11"/>
  <c r="E142" i="11"/>
  <c r="E141" i="11"/>
  <c r="E140" i="11"/>
  <c r="E139" i="11"/>
  <c r="E138" i="11"/>
  <c r="E133" i="11"/>
  <c r="E132" i="11"/>
  <c r="E131" i="11"/>
  <c r="E130" i="11"/>
  <c r="E129" i="11"/>
  <c r="E128" i="11"/>
  <c r="E124" i="11"/>
  <c r="E123" i="11"/>
  <c r="E122" i="11"/>
  <c r="E121" i="11"/>
  <c r="E120" i="11"/>
  <c r="E119" i="11"/>
  <c r="E118" i="11"/>
  <c r="E117" i="11"/>
  <c r="E116" i="11"/>
  <c r="E115" i="11"/>
  <c r="E114" i="11"/>
  <c r="E113" i="11"/>
  <c r="E112" i="11"/>
  <c r="E92" i="11"/>
  <c r="E91" i="11"/>
  <c r="E90" i="11"/>
  <c r="E89" i="11"/>
  <c r="E88" i="11"/>
  <c r="E87" i="11"/>
  <c r="E86" i="11"/>
  <c r="E85" i="11"/>
  <c r="E84" i="11"/>
  <c r="E83" i="11"/>
  <c r="E82" i="11"/>
  <c r="E79" i="11"/>
  <c r="E78" i="11"/>
  <c r="E77" i="11"/>
  <c r="E76" i="11"/>
  <c r="E75" i="11"/>
  <c r="E74" i="11"/>
  <c r="E70" i="11"/>
  <c r="E69" i="11"/>
  <c r="E68" i="11"/>
  <c r="E67" i="11"/>
  <c r="E66" i="11"/>
  <c r="E65" i="11"/>
  <c r="E64" i="11"/>
  <c r="E63" i="11"/>
  <c r="E62" i="11"/>
  <c r="E49" i="11"/>
  <c r="E46" i="11"/>
  <c r="E45" i="11"/>
  <c r="E44" i="11"/>
  <c r="E43" i="11"/>
  <c r="E42" i="11"/>
  <c r="E41" i="11"/>
  <c r="E40" i="11"/>
  <c r="E39" i="11"/>
  <c r="E38" i="11"/>
  <c r="E37" i="11"/>
  <c r="E36" i="11"/>
  <c r="E35" i="11"/>
  <c r="E24" i="11"/>
  <c r="E23" i="11"/>
  <c r="E22" i="11"/>
  <c r="E12" i="11"/>
  <c r="E11" i="11"/>
  <c r="E185" i="10"/>
  <c r="E184" i="10"/>
  <c r="E183" i="10"/>
  <c r="E180" i="10"/>
  <c r="E179" i="10"/>
  <c r="E178" i="10"/>
  <c r="E175" i="10"/>
  <c r="E174" i="10"/>
  <c r="E173" i="10"/>
  <c r="E168" i="10"/>
  <c r="E167" i="10"/>
  <c r="E166" i="10"/>
  <c r="G166" i="10" s="1"/>
  <c r="E165" i="10"/>
  <c r="E164" i="10"/>
  <c r="E163" i="10"/>
  <c r="E162" i="10"/>
  <c r="E161" i="10"/>
  <c r="E142" i="10"/>
  <c r="E141" i="10"/>
  <c r="E140" i="10"/>
  <c r="E139" i="10"/>
  <c r="E138" i="10"/>
  <c r="E133" i="10"/>
  <c r="E132" i="10"/>
  <c r="E131" i="10"/>
  <c r="E130" i="10"/>
  <c r="E129" i="10"/>
  <c r="E128" i="10"/>
  <c r="E123" i="10"/>
  <c r="E122" i="10"/>
  <c r="E121" i="10"/>
  <c r="E120" i="10"/>
  <c r="E119" i="10"/>
  <c r="E118" i="10"/>
  <c r="E117" i="10"/>
  <c r="E116" i="10"/>
  <c r="E115" i="10"/>
  <c r="E114" i="10"/>
  <c r="E113" i="10"/>
  <c r="E112" i="10"/>
  <c r="E92" i="10"/>
  <c r="E91" i="10"/>
  <c r="E90" i="10"/>
  <c r="E89" i="10"/>
  <c r="E88" i="10"/>
  <c r="E87" i="10"/>
  <c r="E86" i="10"/>
  <c r="E85" i="10"/>
  <c r="E84" i="10"/>
  <c r="E83" i="10"/>
  <c r="E82" i="10"/>
  <c r="E79" i="10"/>
  <c r="E78" i="10"/>
  <c r="E77" i="10"/>
  <c r="E76" i="10"/>
  <c r="E75" i="10"/>
  <c r="E74" i="10"/>
  <c r="E70" i="10"/>
  <c r="E69" i="10"/>
  <c r="E68" i="10"/>
  <c r="E67" i="10"/>
  <c r="E66" i="10"/>
  <c r="E65" i="10"/>
  <c r="E64" i="10"/>
  <c r="E63" i="10"/>
  <c r="E62" i="10"/>
  <c r="E58" i="10"/>
  <c r="E57" i="10"/>
  <c r="E56" i="10"/>
  <c r="E55" i="10"/>
  <c r="E53" i="10"/>
  <c r="E52" i="10"/>
  <c r="E51" i="10"/>
  <c r="E46" i="10"/>
  <c r="E45" i="10"/>
  <c r="E44" i="10"/>
  <c r="E43" i="10"/>
  <c r="E42" i="10"/>
  <c r="E41" i="10"/>
  <c r="E40" i="10"/>
  <c r="E36" i="10"/>
  <c r="E24" i="10"/>
  <c r="E23" i="10"/>
  <c r="E22" i="10"/>
  <c r="E12" i="10"/>
  <c r="E11" i="10"/>
  <c r="E185" i="9"/>
  <c r="E184" i="9"/>
  <c r="E183" i="9"/>
  <c r="E180" i="9"/>
  <c r="E179" i="9"/>
  <c r="E178" i="9"/>
  <c r="E175" i="9"/>
  <c r="E174" i="9"/>
  <c r="E173" i="9"/>
  <c r="E168" i="9"/>
  <c r="E167" i="9"/>
  <c r="E166" i="9"/>
  <c r="E165" i="9"/>
  <c r="E164" i="9"/>
  <c r="E163" i="9"/>
  <c r="E162" i="9"/>
  <c r="E161" i="9"/>
  <c r="E142" i="9"/>
  <c r="E141" i="9"/>
  <c r="E140" i="9"/>
  <c r="E139" i="9"/>
  <c r="E138" i="9"/>
  <c r="E133" i="9"/>
  <c r="E132" i="9"/>
  <c r="E131" i="9"/>
  <c r="E130" i="9"/>
  <c r="E129" i="9"/>
  <c r="E128" i="9"/>
  <c r="E123" i="9"/>
  <c r="E122" i="9"/>
  <c r="E121" i="9"/>
  <c r="E120" i="9"/>
  <c r="E119" i="9"/>
  <c r="E118" i="9"/>
  <c r="E117" i="9"/>
  <c r="E116" i="9"/>
  <c r="E115" i="9"/>
  <c r="E114" i="9"/>
  <c r="E113" i="9"/>
  <c r="E112" i="9"/>
  <c r="E91" i="9"/>
  <c r="E90" i="9"/>
  <c r="E89" i="9"/>
  <c r="E88" i="9"/>
  <c r="E87" i="9"/>
  <c r="E86" i="9"/>
  <c r="E85" i="9"/>
  <c r="E84" i="9"/>
  <c r="E83" i="9"/>
  <c r="E82" i="9"/>
  <c r="E79" i="9"/>
  <c r="E78" i="9"/>
  <c r="E77" i="9"/>
  <c r="E76" i="9"/>
  <c r="E75" i="9"/>
  <c r="E74" i="9"/>
  <c r="E70" i="9"/>
  <c r="E69" i="9"/>
  <c r="E68" i="9"/>
  <c r="E67" i="9"/>
  <c r="E66" i="9"/>
  <c r="E65" i="9"/>
  <c r="E64" i="9"/>
  <c r="E63" i="9"/>
  <c r="E62" i="9"/>
  <c r="E58" i="9"/>
  <c r="E57" i="9"/>
  <c r="E56" i="9"/>
  <c r="E55" i="9"/>
  <c r="E54" i="9"/>
  <c r="E53" i="9"/>
  <c r="E52" i="9"/>
  <c r="E51" i="9"/>
  <c r="E50" i="9"/>
  <c r="E49" i="9"/>
  <c r="E46" i="9"/>
  <c r="E45" i="9"/>
  <c r="E44" i="9"/>
  <c r="E43" i="9"/>
  <c r="E42" i="9"/>
  <c r="E41" i="9"/>
  <c r="E40" i="9"/>
  <c r="E39" i="9"/>
  <c r="E38" i="9"/>
  <c r="E37" i="9"/>
  <c r="E36" i="9"/>
  <c r="E35" i="9"/>
  <c r="E24" i="9"/>
  <c r="E23" i="9"/>
  <c r="E22" i="9"/>
  <c r="E12" i="9"/>
  <c r="E11" i="9"/>
  <c r="E185" i="8"/>
  <c r="E184" i="8"/>
  <c r="E183" i="8"/>
  <c r="E180" i="8"/>
  <c r="E179" i="8"/>
  <c r="E178" i="8"/>
  <c r="E175" i="8"/>
  <c r="E174" i="8"/>
  <c r="E173" i="8"/>
  <c r="E168" i="8"/>
  <c r="E167" i="8"/>
  <c r="E166" i="8"/>
  <c r="E165" i="8"/>
  <c r="E164" i="8"/>
  <c r="E163" i="8"/>
  <c r="E162" i="8"/>
  <c r="E161" i="8"/>
  <c r="E142" i="8"/>
  <c r="E141" i="8"/>
  <c r="E140" i="8"/>
  <c r="E139" i="8"/>
  <c r="E138" i="8"/>
  <c r="E133" i="8"/>
  <c r="E132" i="8"/>
  <c r="E131" i="8"/>
  <c r="E130" i="8"/>
  <c r="E129" i="8"/>
  <c r="E128" i="8"/>
  <c r="E123" i="8"/>
  <c r="E122" i="8"/>
  <c r="E121" i="8"/>
  <c r="E120" i="8"/>
  <c r="E119" i="8"/>
  <c r="E118" i="8"/>
  <c r="E117" i="8"/>
  <c r="E116" i="8"/>
  <c r="E115" i="8"/>
  <c r="E114" i="8"/>
  <c r="E113" i="8"/>
  <c r="E112" i="8"/>
  <c r="E92" i="8"/>
  <c r="E91" i="8"/>
  <c r="E90" i="8"/>
  <c r="E89" i="8"/>
  <c r="E88" i="8"/>
  <c r="E87" i="8"/>
  <c r="E86" i="8"/>
  <c r="E85" i="8"/>
  <c r="E84" i="8"/>
  <c r="E83" i="8"/>
  <c r="E82" i="8"/>
  <c r="E79" i="8"/>
  <c r="E78" i="8"/>
  <c r="E77" i="8"/>
  <c r="E76" i="8"/>
  <c r="E75" i="8"/>
  <c r="E74" i="8"/>
  <c r="E70" i="8"/>
  <c r="E69" i="8"/>
  <c r="E68" i="8"/>
  <c r="E67" i="8"/>
  <c r="E66" i="8"/>
  <c r="E65" i="8"/>
  <c r="E64" i="8"/>
  <c r="E63" i="8"/>
  <c r="E62" i="8"/>
  <c r="E58" i="8"/>
  <c r="E57" i="8"/>
  <c r="E56" i="8"/>
  <c r="E55" i="8"/>
  <c r="E54" i="8"/>
  <c r="E53" i="8"/>
  <c r="E52" i="8"/>
  <c r="E51" i="8"/>
  <c r="E50" i="8"/>
  <c r="E49" i="8"/>
  <c r="E46" i="8"/>
  <c r="E45" i="8"/>
  <c r="E44" i="8"/>
  <c r="E43" i="8"/>
  <c r="E42" i="8"/>
  <c r="E41" i="8"/>
  <c r="E40" i="8"/>
  <c r="E39" i="8"/>
  <c r="E38" i="8"/>
  <c r="E37" i="8"/>
  <c r="E36" i="8"/>
  <c r="E35" i="8"/>
  <c r="E24" i="8"/>
  <c r="E23" i="8"/>
  <c r="E22" i="8"/>
  <c r="E12" i="8"/>
  <c r="E11" i="8"/>
  <c r="E46" i="7"/>
  <c r="E185" i="7"/>
  <c r="E184" i="7"/>
  <c r="E183" i="7"/>
  <c r="E182" i="7"/>
  <c r="E181" i="7"/>
  <c r="E180" i="7"/>
  <c r="E179" i="7"/>
  <c r="E178" i="7"/>
  <c r="E177" i="7"/>
  <c r="E176" i="7"/>
  <c r="E175" i="7"/>
  <c r="E174" i="7"/>
  <c r="E173" i="7"/>
  <c r="E168" i="7"/>
  <c r="E167" i="7"/>
  <c r="E166" i="7"/>
  <c r="E165" i="7"/>
  <c r="E164" i="7"/>
  <c r="E163" i="7"/>
  <c r="E162" i="7"/>
  <c r="E161" i="7"/>
  <c r="E142" i="7"/>
  <c r="E141" i="7"/>
  <c r="E140" i="7"/>
  <c r="E139" i="7"/>
  <c r="E138" i="7"/>
  <c r="E133" i="7"/>
  <c r="E132" i="7"/>
  <c r="E131" i="7"/>
  <c r="E130" i="7"/>
  <c r="E129" i="7"/>
  <c r="E128" i="7"/>
  <c r="E124" i="7"/>
  <c r="E123" i="7"/>
  <c r="E122" i="7"/>
  <c r="E121" i="7"/>
  <c r="E120" i="7"/>
  <c r="E119" i="7"/>
  <c r="E118" i="7"/>
  <c r="E117" i="7"/>
  <c r="E116" i="7"/>
  <c r="E115" i="7"/>
  <c r="E114" i="7"/>
  <c r="E113" i="7"/>
  <c r="E112" i="7"/>
  <c r="E92" i="7"/>
  <c r="E91" i="7"/>
  <c r="E90" i="7"/>
  <c r="E89" i="7"/>
  <c r="E88" i="7"/>
  <c r="E87" i="7"/>
  <c r="E86" i="7"/>
  <c r="E85" i="7"/>
  <c r="E84" i="7"/>
  <c r="E83" i="7"/>
  <c r="E82" i="7"/>
  <c r="E78" i="7"/>
  <c r="E77" i="7"/>
  <c r="E76" i="7"/>
  <c r="E75" i="7"/>
  <c r="E74" i="7"/>
  <c r="E70" i="7"/>
  <c r="E69" i="7"/>
  <c r="E68" i="7"/>
  <c r="E67" i="7"/>
  <c r="E66" i="7"/>
  <c r="E65" i="7"/>
  <c r="E64" i="7"/>
  <c r="E63" i="7"/>
  <c r="E62" i="7"/>
  <c r="E58" i="7"/>
  <c r="E57" i="7"/>
  <c r="E56" i="7"/>
  <c r="E55" i="7"/>
  <c r="E54" i="7"/>
  <c r="E53" i="7"/>
  <c r="E52" i="7"/>
  <c r="E51" i="7"/>
  <c r="E50" i="7"/>
  <c r="E49" i="7"/>
  <c r="E45" i="7"/>
  <c r="E44" i="7"/>
  <c r="E43" i="7"/>
  <c r="E42" i="7"/>
  <c r="E41" i="7"/>
  <c r="E40" i="7"/>
  <c r="E39" i="7"/>
  <c r="E38" i="7"/>
  <c r="E37" i="7"/>
  <c r="E36" i="7"/>
  <c r="E35" i="7"/>
  <c r="E24" i="7"/>
  <c r="E23" i="7"/>
  <c r="E22" i="7"/>
  <c r="E12" i="7"/>
  <c r="E11" i="7"/>
  <c r="E185" i="33"/>
  <c r="E184" i="33"/>
  <c r="E183" i="33"/>
  <c r="E182" i="33"/>
  <c r="E181" i="33"/>
  <c r="E180" i="33"/>
  <c r="E179" i="33"/>
  <c r="E178" i="33"/>
  <c r="E177" i="33"/>
  <c r="E176" i="33"/>
  <c r="E175" i="33"/>
  <c r="E174" i="33"/>
  <c r="E173" i="33"/>
  <c r="E168" i="33"/>
  <c r="E167" i="33"/>
  <c r="E166" i="33"/>
  <c r="E165" i="33"/>
  <c r="E164" i="33"/>
  <c r="E163" i="33"/>
  <c r="E162" i="33"/>
  <c r="E161" i="33"/>
  <c r="E142" i="33"/>
  <c r="E141" i="33"/>
  <c r="E140" i="33"/>
  <c r="E139" i="33"/>
  <c r="E138" i="33"/>
  <c r="E133" i="33"/>
  <c r="E132" i="33"/>
  <c r="E131" i="33"/>
  <c r="E130" i="33"/>
  <c r="E129" i="33"/>
  <c r="E128" i="33"/>
  <c r="E123" i="33"/>
  <c r="E122" i="33"/>
  <c r="E120" i="33"/>
  <c r="E119" i="33"/>
  <c r="E118" i="33"/>
  <c r="E117" i="33"/>
  <c r="E116" i="33"/>
  <c r="E115" i="33"/>
  <c r="E114" i="33"/>
  <c r="E113" i="33"/>
  <c r="E112" i="33"/>
  <c r="G112" i="33" s="1"/>
  <c r="E92" i="33"/>
  <c r="E91" i="33"/>
  <c r="E90" i="33"/>
  <c r="E89" i="33"/>
  <c r="E88" i="33"/>
  <c r="E87" i="33"/>
  <c r="E86" i="33"/>
  <c r="E85" i="33"/>
  <c r="E84" i="33"/>
  <c r="E83" i="33"/>
  <c r="E82" i="33"/>
  <c r="E78" i="33"/>
  <c r="E77" i="33"/>
  <c r="E76" i="33"/>
  <c r="E75" i="33"/>
  <c r="E74" i="33"/>
  <c r="E70" i="33"/>
  <c r="E69" i="33"/>
  <c r="E68" i="33"/>
  <c r="E67" i="33"/>
  <c r="E66" i="33"/>
  <c r="E65" i="33"/>
  <c r="E64" i="33"/>
  <c r="E63" i="33"/>
  <c r="E62" i="33"/>
  <c r="G62" i="33" s="1"/>
  <c r="E58" i="33"/>
  <c r="E57" i="33"/>
  <c r="E56" i="33"/>
  <c r="E55" i="33"/>
  <c r="E54" i="33"/>
  <c r="E53" i="33"/>
  <c r="E52" i="33"/>
  <c r="E51" i="33"/>
  <c r="E50" i="33"/>
  <c r="E46" i="33"/>
  <c r="E45" i="33"/>
  <c r="E44" i="33"/>
  <c r="E43" i="33"/>
  <c r="E42" i="33"/>
  <c r="E41" i="33"/>
  <c r="E40" i="33"/>
  <c r="E39" i="33"/>
  <c r="E38" i="33"/>
  <c r="E37" i="33"/>
  <c r="E36" i="33"/>
  <c r="E35" i="33"/>
  <c r="E24" i="33"/>
  <c r="E23" i="33"/>
  <c r="E22" i="33"/>
  <c r="E12" i="33"/>
  <c r="E11" i="33"/>
  <c r="H124" i="5"/>
  <c r="E185" i="5"/>
  <c r="E184" i="5"/>
  <c r="E183" i="5"/>
  <c r="E180" i="5"/>
  <c r="E179" i="5"/>
  <c r="E178" i="5"/>
  <c r="E175" i="5"/>
  <c r="E174" i="5"/>
  <c r="E173" i="5"/>
  <c r="E168" i="5"/>
  <c r="G168" i="5" s="1"/>
  <c r="E167" i="5"/>
  <c r="G167" i="5" s="1"/>
  <c r="E166" i="5"/>
  <c r="G166" i="5" s="1"/>
  <c r="E165" i="5"/>
  <c r="E164" i="5"/>
  <c r="E163" i="5"/>
  <c r="E162" i="5"/>
  <c r="E161" i="5"/>
  <c r="E142" i="5"/>
  <c r="E141" i="5"/>
  <c r="E140" i="5"/>
  <c r="E139" i="5"/>
  <c r="E138" i="5"/>
  <c r="E133" i="5"/>
  <c r="E132" i="5"/>
  <c r="E131" i="5"/>
  <c r="E130" i="5"/>
  <c r="E129" i="5"/>
  <c r="E128" i="5"/>
  <c r="E123" i="5"/>
  <c r="E122" i="5"/>
  <c r="E121" i="5"/>
  <c r="E120" i="5"/>
  <c r="E119" i="5"/>
  <c r="E118" i="5"/>
  <c r="E117" i="5"/>
  <c r="E116" i="5"/>
  <c r="E115" i="5"/>
  <c r="E114" i="5"/>
  <c r="E113" i="5"/>
  <c r="E112" i="5"/>
  <c r="E92" i="5"/>
  <c r="E91" i="5"/>
  <c r="E90" i="5"/>
  <c r="E89" i="5"/>
  <c r="E88" i="5"/>
  <c r="E87" i="5"/>
  <c r="E86" i="5"/>
  <c r="E85" i="5"/>
  <c r="E84" i="5"/>
  <c r="E83" i="5"/>
  <c r="E82" i="5"/>
  <c r="E79" i="5"/>
  <c r="E78" i="5"/>
  <c r="E77" i="5"/>
  <c r="E76" i="5"/>
  <c r="E75" i="5"/>
  <c r="E74" i="5"/>
  <c r="E70" i="5"/>
  <c r="E69" i="5"/>
  <c r="E68" i="5"/>
  <c r="E67" i="5"/>
  <c r="E66" i="5"/>
  <c r="E65" i="5"/>
  <c r="E63" i="5"/>
  <c r="E62" i="5"/>
  <c r="E57" i="5"/>
  <c r="E56" i="5"/>
  <c r="E55" i="5"/>
  <c r="E53" i="5"/>
  <c r="E52" i="5"/>
  <c r="E51" i="5"/>
  <c r="E50" i="5"/>
  <c r="E49" i="5"/>
  <c r="E46" i="5"/>
  <c r="E45" i="5"/>
  <c r="E44" i="5"/>
  <c r="E43" i="5"/>
  <c r="E42" i="5"/>
  <c r="E41" i="5"/>
  <c r="E40" i="5"/>
  <c r="E39" i="5"/>
  <c r="E38" i="5"/>
  <c r="E37" i="5"/>
  <c r="E36" i="5"/>
  <c r="E35" i="5"/>
  <c r="E24" i="5"/>
  <c r="E23" i="5"/>
  <c r="E22" i="5"/>
  <c r="E12" i="5"/>
  <c r="E11" i="5"/>
  <c r="E185" i="4"/>
  <c r="E184" i="4"/>
  <c r="E183" i="4"/>
  <c r="E180" i="4"/>
  <c r="E179" i="4"/>
  <c r="E178" i="4"/>
  <c r="E175" i="4"/>
  <c r="E174" i="4"/>
  <c r="E173" i="4"/>
  <c r="E168" i="4"/>
  <c r="E167" i="4"/>
  <c r="E166" i="4"/>
  <c r="E165" i="4"/>
  <c r="E164" i="4"/>
  <c r="E163" i="4"/>
  <c r="E162" i="4"/>
  <c r="E161" i="4"/>
  <c r="E142" i="4"/>
  <c r="E141" i="4"/>
  <c r="E140" i="4"/>
  <c r="E139" i="4"/>
  <c r="E138" i="4"/>
  <c r="E133" i="4"/>
  <c r="E132" i="4"/>
  <c r="E131" i="4"/>
  <c r="E130" i="4"/>
  <c r="E129" i="4"/>
  <c r="E128" i="4"/>
  <c r="G128" i="4" s="1"/>
  <c r="E123" i="4"/>
  <c r="E122" i="4"/>
  <c r="E121" i="4"/>
  <c r="E120" i="4"/>
  <c r="E119" i="4"/>
  <c r="E118" i="4"/>
  <c r="E117" i="4"/>
  <c r="E116" i="4"/>
  <c r="E115" i="4"/>
  <c r="E114" i="4"/>
  <c r="E113" i="4"/>
  <c r="E112" i="4"/>
  <c r="E92" i="4"/>
  <c r="E91" i="4"/>
  <c r="E90" i="4"/>
  <c r="E89" i="4"/>
  <c r="E88" i="4"/>
  <c r="E87" i="4"/>
  <c r="E86" i="4"/>
  <c r="E85" i="4"/>
  <c r="E84" i="4"/>
  <c r="E83" i="4"/>
  <c r="E82" i="4"/>
  <c r="E79" i="4"/>
  <c r="E78" i="4"/>
  <c r="E77" i="4"/>
  <c r="E76" i="4"/>
  <c r="E75" i="4"/>
  <c r="E74" i="4"/>
  <c r="E70" i="4"/>
  <c r="E69" i="4"/>
  <c r="E68" i="4"/>
  <c r="E67" i="4"/>
  <c r="E66" i="4"/>
  <c r="E65" i="4"/>
  <c r="E64" i="4"/>
  <c r="E63" i="4"/>
  <c r="E62" i="4"/>
  <c r="E58" i="4"/>
  <c r="E57" i="4"/>
  <c r="E56" i="4"/>
  <c r="E55" i="4"/>
  <c r="E54" i="4"/>
  <c r="E53" i="4"/>
  <c r="E52" i="4"/>
  <c r="E51" i="4"/>
  <c r="E50" i="4"/>
  <c r="E49" i="4"/>
  <c r="E46" i="4"/>
  <c r="E45" i="4"/>
  <c r="E44" i="4"/>
  <c r="E43" i="4"/>
  <c r="E42" i="4"/>
  <c r="E41" i="4"/>
  <c r="E40" i="4"/>
  <c r="E39" i="4"/>
  <c r="E38" i="4"/>
  <c r="E37" i="4"/>
  <c r="E36" i="4"/>
  <c r="E35" i="4"/>
  <c r="E24" i="4"/>
  <c r="E23" i="4"/>
  <c r="E22" i="4"/>
  <c r="E12" i="4"/>
  <c r="E11" i="4"/>
  <c r="E133" i="3"/>
  <c r="E132" i="3"/>
  <c r="E131" i="3"/>
  <c r="E130" i="3"/>
  <c r="E129" i="3"/>
  <c r="E128" i="3"/>
  <c r="E74" i="3"/>
  <c r="E79" i="3"/>
  <c r="E78" i="3"/>
  <c r="E77" i="3"/>
  <c r="E76" i="3"/>
  <c r="E75" i="3"/>
  <c r="E24" i="3"/>
  <c r="E19" i="3"/>
  <c r="E18" i="3"/>
  <c r="E18" i="4" s="1"/>
  <c r="E18" i="5" s="1"/>
  <c r="E18" i="33" s="1"/>
  <c r="E18" i="7" s="1"/>
  <c r="E18" i="8" s="1"/>
  <c r="E18" i="9" s="1"/>
  <c r="E18" i="10" s="1"/>
  <c r="E18" i="11" s="1"/>
  <c r="E18" i="12" s="1"/>
  <c r="E18" i="13" s="1"/>
  <c r="E18" i="14" s="1"/>
  <c r="E18" i="15" s="1"/>
  <c r="E18" i="16" s="1"/>
  <c r="E18" i="17" s="1"/>
  <c r="E18" i="18" s="1"/>
  <c r="E18" i="19" s="1"/>
  <c r="E18" i="20" s="1"/>
  <c r="E18" i="21" s="1"/>
  <c r="E18" i="22" s="1"/>
  <c r="E18" i="23" s="1"/>
  <c r="E18" i="24" s="1"/>
  <c r="E18" i="25" s="1"/>
  <c r="E18" i="40" s="1"/>
  <c r="E18" i="27" s="1"/>
  <c r="E18" i="28" s="1"/>
  <c r="F18" i="28" s="1"/>
  <c r="E18" i="29" s="1"/>
  <c r="F18" i="29" s="1"/>
  <c r="E18" i="30" s="1"/>
  <c r="F18" i="30" s="1"/>
  <c r="E18" i="43" s="1"/>
  <c r="F18" i="43" s="1"/>
  <c r="E18" i="31" s="1"/>
  <c r="F18" i="31" s="1"/>
  <c r="E185" i="3"/>
  <c r="E184" i="3"/>
  <c r="E183" i="3"/>
  <c r="E180" i="3"/>
  <c r="E179" i="3"/>
  <c r="E178" i="3"/>
  <c r="E175" i="3"/>
  <c r="E174" i="3"/>
  <c r="E173" i="3"/>
  <c r="E168" i="3"/>
  <c r="E167" i="3"/>
  <c r="E166" i="3"/>
  <c r="E165" i="3"/>
  <c r="E164" i="3"/>
  <c r="E163" i="3"/>
  <c r="E162" i="3"/>
  <c r="E140" i="3"/>
  <c r="E138" i="3"/>
  <c r="E123" i="3"/>
  <c r="E122" i="3"/>
  <c r="E121" i="3"/>
  <c r="E120" i="3"/>
  <c r="E119" i="3"/>
  <c r="E118" i="3"/>
  <c r="E117" i="3"/>
  <c r="E116" i="3"/>
  <c r="E115" i="3"/>
  <c r="E114" i="3"/>
  <c r="E113" i="3"/>
  <c r="E112" i="3"/>
  <c r="E92" i="3"/>
  <c r="E91" i="3"/>
  <c r="E90" i="3"/>
  <c r="E89" i="3"/>
  <c r="E88" i="3"/>
  <c r="E87" i="3"/>
  <c r="E86" i="3"/>
  <c r="E85" i="3"/>
  <c r="E84" i="3"/>
  <c r="E83" i="3"/>
  <c r="E82" i="3"/>
  <c r="E70" i="3"/>
  <c r="E68" i="3"/>
  <c r="E67" i="3"/>
  <c r="E66" i="3"/>
  <c r="E65" i="3"/>
  <c r="E64" i="3"/>
  <c r="E63" i="3"/>
  <c r="E62" i="3"/>
  <c r="E58" i="3"/>
  <c r="E57" i="3"/>
  <c r="E56" i="3"/>
  <c r="E55" i="3"/>
  <c r="E54" i="3"/>
  <c r="E53" i="3"/>
  <c r="E52" i="3"/>
  <c r="E51" i="3"/>
  <c r="E50" i="3"/>
  <c r="E49" i="3"/>
  <c r="E46" i="3"/>
  <c r="E45" i="3"/>
  <c r="E44" i="3"/>
  <c r="E43" i="3"/>
  <c r="E42" i="3"/>
  <c r="E41" i="3"/>
  <c r="E40" i="3"/>
  <c r="E39" i="3"/>
  <c r="E38" i="3"/>
  <c r="E37" i="3"/>
  <c r="E36" i="3"/>
  <c r="E35" i="3"/>
  <c r="E23" i="3"/>
  <c r="E22" i="3"/>
  <c r="G22" i="3" s="1"/>
  <c r="E15" i="3"/>
  <c r="E12" i="3"/>
  <c r="E11" i="3"/>
  <c r="G11" i="3" s="1"/>
  <c r="E10" i="3"/>
  <c r="E8" i="3"/>
  <c r="E7" i="3"/>
  <c r="E9" i="3"/>
  <c r="H182" i="2"/>
  <c r="J182" i="2" s="1"/>
  <c r="H177" i="2"/>
  <c r="J177" i="2" s="1"/>
  <c r="H127" i="2"/>
  <c r="J127" i="2" s="1"/>
  <c r="G23" i="2"/>
  <c r="H23" i="2" s="1"/>
  <c r="J23" i="2" s="1"/>
  <c r="G22" i="2"/>
  <c r="G19" i="2"/>
  <c r="E30" i="2" s="1"/>
  <c r="G15" i="2"/>
  <c r="E28" i="2" s="1"/>
  <c r="G13" i="2"/>
  <c r="H13" i="2" s="1"/>
  <c r="J13" i="2" s="1"/>
  <c r="G12" i="2"/>
  <c r="H12" i="2" s="1"/>
  <c r="J12" i="2" s="1"/>
  <c r="G11" i="2"/>
  <c r="H11" i="2" s="1"/>
  <c r="J11" i="2" s="1"/>
  <c r="G10" i="2"/>
  <c r="H10" i="2" s="1"/>
  <c r="J10" i="2" s="1"/>
  <c r="G9" i="2"/>
  <c r="H9" i="2" s="1"/>
  <c r="J9" i="2" s="1"/>
  <c r="G8" i="2"/>
  <c r="E27" i="2" s="1"/>
  <c r="G27" i="2" s="1"/>
  <c r="G7" i="2"/>
  <c r="I18" i="3"/>
  <c r="I7" i="3"/>
  <c r="G22" i="19" l="1"/>
  <c r="G24" i="19" s="1"/>
  <c r="E29" i="19" s="1"/>
  <c r="E24" i="19"/>
  <c r="G8" i="3"/>
  <c r="E27" i="3" s="1"/>
  <c r="E8" i="4"/>
  <c r="E8" i="5" s="1"/>
  <c r="E8" i="33" s="1"/>
  <c r="E15" i="4"/>
  <c r="E15" i="5" s="1"/>
  <c r="E15" i="33" s="1"/>
  <c r="E7" i="4"/>
  <c r="E7" i="5" s="1"/>
  <c r="E7" i="33" s="1"/>
  <c r="E10" i="4"/>
  <c r="E10" i="5" s="1"/>
  <c r="E10" i="33" s="1"/>
  <c r="E10" i="7" s="1"/>
  <c r="E10" i="8" s="1"/>
  <c r="E10" i="9" s="1"/>
  <c r="E10" i="11" s="1"/>
  <c r="E10" i="12" s="1"/>
  <c r="E10" i="13" s="1"/>
  <c r="G9" i="3"/>
  <c r="P17" i="3" s="1"/>
  <c r="E9" i="4"/>
  <c r="E9" i="5" s="1"/>
  <c r="E9" i="33" s="1"/>
  <c r="G19" i="3"/>
  <c r="E19" i="4"/>
  <c r="E19" i="5" s="1"/>
  <c r="G18" i="3"/>
  <c r="E10" i="16"/>
  <c r="G10" i="16" s="1"/>
  <c r="E15" i="16"/>
  <c r="G15" i="17" s="1"/>
  <c r="G149" i="19"/>
  <c r="G151" i="19"/>
  <c r="Z22" i="44" s="1"/>
  <c r="G146" i="19"/>
  <c r="T22" i="44" s="1"/>
  <c r="G147" i="19"/>
  <c r="V22" i="44" s="1"/>
  <c r="H156" i="7"/>
  <c r="J156" i="7" s="1"/>
  <c r="G145" i="19"/>
  <c r="S22" i="44" s="1"/>
  <c r="G150" i="19"/>
  <c r="G143" i="19"/>
  <c r="X22" i="44" s="1"/>
  <c r="J155" i="7"/>
  <c r="H155" i="8"/>
  <c r="H18" i="2"/>
  <c r="J18" i="2" s="1"/>
  <c r="H19" i="2"/>
  <c r="J19" i="2" s="1"/>
  <c r="H8" i="2"/>
  <c r="J8" i="2" s="1"/>
  <c r="I9" i="2" s="1"/>
  <c r="H15" i="2"/>
  <c r="J15" i="2" s="1"/>
  <c r="I16" i="2" s="1"/>
  <c r="G24" i="2"/>
  <c r="E29" i="2" s="1"/>
  <c r="I13" i="2"/>
  <c r="G144" i="19"/>
  <c r="U22" i="44" s="1"/>
  <c r="G148" i="19"/>
  <c r="W22" i="44" s="1"/>
  <c r="G152" i="19"/>
  <c r="H168" i="5"/>
  <c r="H168" i="33" s="1"/>
  <c r="H168" i="7" s="1"/>
  <c r="H168" i="8" s="1"/>
  <c r="H167" i="5"/>
  <c r="H167" i="33" s="1"/>
  <c r="H167" i="7" s="1"/>
  <c r="H167" i="8" s="1"/>
  <c r="H166" i="5"/>
  <c r="H166" i="33" s="1"/>
  <c r="H166" i="7" s="1"/>
  <c r="J166" i="7" s="1"/>
  <c r="H182" i="3"/>
  <c r="H182" i="4" s="1"/>
  <c r="J182" i="4" s="1"/>
  <c r="H152" i="3"/>
  <c r="H152" i="4" s="1"/>
  <c r="H127" i="3"/>
  <c r="H127" i="4" s="1"/>
  <c r="J127" i="4" s="1"/>
  <c r="H177" i="3"/>
  <c r="H177" i="4" s="1"/>
  <c r="H177" i="5" s="1"/>
  <c r="H151" i="2"/>
  <c r="J151" i="2" s="1"/>
  <c r="Z5" i="44"/>
  <c r="H134" i="3"/>
  <c r="H134" i="4" s="1"/>
  <c r="G134" i="20"/>
  <c r="H22" i="2"/>
  <c r="J22" i="2" s="1"/>
  <c r="H23" i="3"/>
  <c r="H11" i="3"/>
  <c r="J11" i="3" s="1"/>
  <c r="H12" i="3"/>
  <c r="H7" i="2"/>
  <c r="J7" i="2" s="1"/>
  <c r="G20" i="2"/>
  <c r="H20" i="2" s="1"/>
  <c r="J20" i="2" s="1"/>
  <c r="I20" i="2" s="1"/>
  <c r="G20" i="3" l="1"/>
  <c r="H20" i="3" s="1"/>
  <c r="H9" i="3"/>
  <c r="J9" i="3" s="1"/>
  <c r="G7" i="3"/>
  <c r="H7" i="3" s="1"/>
  <c r="J7" i="3" s="1"/>
  <c r="P16" i="3"/>
  <c r="G10" i="3"/>
  <c r="H10" i="3" s="1"/>
  <c r="J10" i="3" s="1"/>
  <c r="G15" i="3"/>
  <c r="H15" i="3" s="1"/>
  <c r="J15" i="3" s="1"/>
  <c r="I16" i="3" s="1"/>
  <c r="E19" i="33"/>
  <c r="E15" i="7"/>
  <c r="E9" i="7"/>
  <c r="E8" i="7"/>
  <c r="E10" i="17"/>
  <c r="E7" i="7"/>
  <c r="E15" i="18"/>
  <c r="O15" i="16"/>
  <c r="Z37" i="44"/>
  <c r="Z36" i="44"/>
  <c r="H19" i="3"/>
  <c r="J19" i="3" s="1"/>
  <c r="H18" i="3"/>
  <c r="J18" i="3" s="1"/>
  <c r="H156" i="8"/>
  <c r="J156" i="8" s="1"/>
  <c r="H155" i="9"/>
  <c r="J155" i="8"/>
  <c r="H8" i="3"/>
  <c r="J8" i="3" s="1"/>
  <c r="I9" i="3" s="1"/>
  <c r="H24" i="2"/>
  <c r="H166" i="8"/>
  <c r="J166" i="8" s="1"/>
  <c r="J168" i="7"/>
  <c r="J167" i="7"/>
  <c r="J177" i="4"/>
  <c r="J134" i="3"/>
  <c r="H182" i="5"/>
  <c r="H182" i="33" s="1"/>
  <c r="J127" i="3"/>
  <c r="J182" i="3"/>
  <c r="H127" i="5"/>
  <c r="J127" i="5" s="1"/>
  <c r="J152" i="3"/>
  <c r="J152" i="4"/>
  <c r="H152" i="5"/>
  <c r="J134" i="4"/>
  <c r="H134" i="5"/>
  <c r="H151" i="3"/>
  <c r="H22" i="3"/>
  <c r="J22" i="3" s="1"/>
  <c r="H177" i="33"/>
  <c r="J177" i="5"/>
  <c r="J168" i="8"/>
  <c r="H168" i="9"/>
  <c r="H167" i="9"/>
  <c r="J167" i="8"/>
  <c r="H23" i="4"/>
  <c r="H23" i="5" s="1"/>
  <c r="H23" i="33" s="1"/>
  <c r="H23" i="7" s="1"/>
  <c r="H23" i="8" s="1"/>
  <c r="H23" i="9" s="1"/>
  <c r="H23" i="10" s="1"/>
  <c r="H23" i="11" s="1"/>
  <c r="H23" i="12" s="1"/>
  <c r="H23" i="13" s="1"/>
  <c r="H23" i="14" s="1"/>
  <c r="H23" i="15" s="1"/>
  <c r="H23" i="16" s="1"/>
  <c r="H23" i="17" s="1"/>
  <c r="H23" i="18" s="1"/>
  <c r="H23" i="19" s="1"/>
  <c r="H23" i="20" s="1"/>
  <c r="H23" i="21" s="1"/>
  <c r="H23" i="22" s="1"/>
  <c r="H23" i="23" s="1"/>
  <c r="H23" i="24" s="1"/>
  <c r="H23" i="25" s="1"/>
  <c r="H23" i="40" s="1"/>
  <c r="H23" i="27" s="1"/>
  <c r="H23" i="28" s="1"/>
  <c r="H23" i="29" s="1"/>
  <c r="H23" i="30" s="1"/>
  <c r="H23" i="43" s="1"/>
  <c r="H23" i="31" s="1"/>
  <c r="J23" i="3"/>
  <c r="J12" i="3"/>
  <c r="G185" i="31"/>
  <c r="G184" i="31"/>
  <c r="G183" i="31"/>
  <c r="G180" i="31"/>
  <c r="AH23" i="45" s="1"/>
  <c r="G179" i="31"/>
  <c r="AH22" i="45" s="1"/>
  <c r="G178" i="31"/>
  <c r="AH21" i="45" s="1"/>
  <c r="G175" i="31"/>
  <c r="AH19" i="45" s="1"/>
  <c r="G174" i="31"/>
  <c r="AH18" i="45" s="1"/>
  <c r="G173" i="31"/>
  <c r="AH17" i="45" s="1"/>
  <c r="G165" i="31"/>
  <c r="G164" i="31"/>
  <c r="G163" i="31"/>
  <c r="G162" i="31"/>
  <c r="AB35" i="44" s="1"/>
  <c r="G161" i="31"/>
  <c r="AA35" i="44" s="1"/>
  <c r="G142" i="31"/>
  <c r="R35" i="44" s="1"/>
  <c r="G141" i="31"/>
  <c r="Q35" i="44" s="1"/>
  <c r="G140" i="31"/>
  <c r="P35" i="44" s="1"/>
  <c r="G139" i="31"/>
  <c r="O35" i="44" s="1"/>
  <c r="G138" i="31"/>
  <c r="G133" i="31"/>
  <c r="G132" i="31"/>
  <c r="G131" i="31"/>
  <c r="G130" i="31"/>
  <c r="G129" i="31"/>
  <c r="G128" i="31"/>
  <c r="G123" i="31"/>
  <c r="AL35" i="44" s="1"/>
  <c r="G122" i="31"/>
  <c r="AK35" i="44" s="1"/>
  <c r="G121" i="31"/>
  <c r="AJ35" i="44" s="1"/>
  <c r="G120" i="31"/>
  <c r="AI35" i="44" s="1"/>
  <c r="G119" i="31"/>
  <c r="AH35" i="44" s="1"/>
  <c r="G118" i="31"/>
  <c r="AG35" i="44" s="1"/>
  <c r="G117" i="31"/>
  <c r="AF35" i="44" s="1"/>
  <c r="G116" i="31"/>
  <c r="AE35" i="44" s="1"/>
  <c r="G115" i="31"/>
  <c r="G114" i="31"/>
  <c r="G113" i="31"/>
  <c r="G112" i="31"/>
  <c r="G92" i="31"/>
  <c r="G91" i="31"/>
  <c r="AK34" i="1" s="1"/>
  <c r="AI34" i="1"/>
  <c r="G89" i="31"/>
  <c r="G88" i="31"/>
  <c r="G87" i="31"/>
  <c r="AC34" i="1" s="1"/>
  <c r="G86" i="31"/>
  <c r="AB34" i="1" s="1"/>
  <c r="G85" i="31"/>
  <c r="AA34" i="1" s="1"/>
  <c r="G84" i="31"/>
  <c r="Z34" i="1" s="1"/>
  <c r="G83" i="31"/>
  <c r="G82" i="31"/>
  <c r="G78" i="31"/>
  <c r="AS35" i="44" s="1"/>
  <c r="G77" i="31"/>
  <c r="AR35" i="44" s="1"/>
  <c r="G76" i="31"/>
  <c r="AQ35" i="44" s="1"/>
  <c r="G75" i="31"/>
  <c r="AP35" i="44" s="1"/>
  <c r="G74" i="31"/>
  <c r="G70" i="31"/>
  <c r="AH15" i="45" s="1"/>
  <c r="G69" i="31"/>
  <c r="AH14" i="45" s="1"/>
  <c r="G68" i="31"/>
  <c r="AH13" i="45" s="1"/>
  <c r="G67" i="31"/>
  <c r="G66" i="31"/>
  <c r="G65" i="31"/>
  <c r="G63" i="31"/>
  <c r="AH8" i="45" s="1"/>
  <c r="G62" i="31"/>
  <c r="AH7" i="45" s="1"/>
  <c r="G58" i="31"/>
  <c r="G57" i="31"/>
  <c r="G56" i="31"/>
  <c r="G55" i="31"/>
  <c r="G54" i="31"/>
  <c r="G53" i="31"/>
  <c r="G52" i="31"/>
  <c r="G51" i="31"/>
  <c r="G50" i="31"/>
  <c r="G49" i="31"/>
  <c r="G46" i="31"/>
  <c r="G45" i="31"/>
  <c r="G44" i="31"/>
  <c r="G43" i="31"/>
  <c r="G42" i="31"/>
  <c r="G41" i="31"/>
  <c r="G40" i="31"/>
  <c r="G39" i="31"/>
  <c r="G38" i="31"/>
  <c r="G37" i="31"/>
  <c r="G36" i="31"/>
  <c r="G35" i="31"/>
  <c r="E29" i="31"/>
  <c r="G29" i="31" s="1"/>
  <c r="G22" i="31"/>
  <c r="G18" i="31"/>
  <c r="K9" i="31"/>
  <c r="M8" i="31"/>
  <c r="G185" i="43"/>
  <c r="G184" i="43"/>
  <c r="G183" i="43"/>
  <c r="G180" i="43"/>
  <c r="AG23" i="45" s="1"/>
  <c r="G179" i="43"/>
  <c r="AG22" i="45" s="1"/>
  <c r="G178" i="43"/>
  <c r="AG21" i="45" s="1"/>
  <c r="G175" i="43"/>
  <c r="AG19" i="45" s="1"/>
  <c r="G174" i="43"/>
  <c r="AG18" i="45" s="1"/>
  <c r="G173" i="43"/>
  <c r="AG17" i="45" s="1"/>
  <c r="G165" i="43"/>
  <c r="G164" i="43"/>
  <c r="G163" i="43"/>
  <c r="G162" i="43"/>
  <c r="AB34" i="44" s="1"/>
  <c r="G161" i="43"/>
  <c r="AA34" i="44" s="1"/>
  <c r="G142" i="43"/>
  <c r="R34" i="44" s="1"/>
  <c r="G141" i="43"/>
  <c r="Q34" i="44" s="1"/>
  <c r="G140" i="43"/>
  <c r="P34" i="44" s="1"/>
  <c r="G139" i="43"/>
  <c r="O34" i="44" s="1"/>
  <c r="G138" i="43"/>
  <c r="G133" i="43"/>
  <c r="G132" i="43"/>
  <c r="G131" i="43"/>
  <c r="G130" i="43"/>
  <c r="G129" i="43"/>
  <c r="G128" i="43"/>
  <c r="G123" i="43"/>
  <c r="AL34" i="44" s="1"/>
  <c r="G122" i="43"/>
  <c r="AK34" i="44" s="1"/>
  <c r="G121" i="43"/>
  <c r="AJ34" i="44" s="1"/>
  <c r="G120" i="43"/>
  <c r="AI34" i="44" s="1"/>
  <c r="G119" i="43"/>
  <c r="AH34" i="44" s="1"/>
  <c r="G118" i="43"/>
  <c r="AG34" i="44" s="1"/>
  <c r="G117" i="43"/>
  <c r="AF34" i="44" s="1"/>
  <c r="G116" i="43"/>
  <c r="AE34" i="44" s="1"/>
  <c r="G115" i="43"/>
  <c r="G114" i="43"/>
  <c r="G113" i="43"/>
  <c r="G112" i="43"/>
  <c r="G92" i="43"/>
  <c r="AL33" i="1" s="1"/>
  <c r="G91" i="43"/>
  <c r="G90" i="43"/>
  <c r="G89" i="43"/>
  <c r="G88" i="43"/>
  <c r="G87" i="43"/>
  <c r="AC33" i="1" s="1"/>
  <c r="G86" i="43"/>
  <c r="AB33" i="1" s="1"/>
  <c r="G85" i="43"/>
  <c r="AA33" i="1" s="1"/>
  <c r="G84" i="43"/>
  <c r="Z33" i="1" s="1"/>
  <c r="G83" i="43"/>
  <c r="G82" i="43"/>
  <c r="G78" i="43"/>
  <c r="AS34" i="44" s="1"/>
  <c r="G77" i="43"/>
  <c r="AR34" i="44" s="1"/>
  <c r="G76" i="43"/>
  <c r="AQ34" i="44" s="1"/>
  <c r="G75" i="43"/>
  <c r="AP34" i="44" s="1"/>
  <c r="G74" i="43"/>
  <c r="G70" i="43"/>
  <c r="AG15" i="45" s="1"/>
  <c r="G69" i="43"/>
  <c r="AG14" i="45" s="1"/>
  <c r="G68" i="43"/>
  <c r="AG13" i="45" s="1"/>
  <c r="G67" i="43"/>
  <c r="G66" i="43"/>
  <c r="G65" i="43"/>
  <c r="G63" i="43"/>
  <c r="AG8" i="45" s="1"/>
  <c r="G62" i="43"/>
  <c r="AG7" i="45" s="1"/>
  <c r="G58" i="43"/>
  <c r="G57" i="43"/>
  <c r="G56" i="43"/>
  <c r="G55" i="43"/>
  <c r="G54" i="43"/>
  <c r="G53" i="43"/>
  <c r="G52" i="43"/>
  <c r="G51" i="43"/>
  <c r="G50" i="43"/>
  <c r="G49" i="43"/>
  <c r="G46" i="43"/>
  <c r="G45" i="43"/>
  <c r="G44" i="43"/>
  <c r="G43" i="43"/>
  <c r="G42" i="43"/>
  <c r="G41" i="43"/>
  <c r="G40" i="43"/>
  <c r="G39" i="43"/>
  <c r="G38" i="43"/>
  <c r="G37" i="43"/>
  <c r="G36" i="43"/>
  <c r="G35" i="43"/>
  <c r="E29" i="43"/>
  <c r="G29" i="43" s="1"/>
  <c r="G22" i="43"/>
  <c r="G18" i="43"/>
  <c r="E31" i="43" s="1"/>
  <c r="G31" i="43" s="1"/>
  <c r="K9" i="43"/>
  <c r="M8" i="43"/>
  <c r="G185" i="30"/>
  <c r="G184" i="30"/>
  <c r="G183" i="30"/>
  <c r="G180" i="30"/>
  <c r="AF23" i="45" s="1"/>
  <c r="G179" i="30"/>
  <c r="AF22" i="45" s="1"/>
  <c r="G178" i="30"/>
  <c r="G175" i="30"/>
  <c r="AF19" i="45" s="1"/>
  <c r="G174" i="30"/>
  <c r="AF18" i="45" s="1"/>
  <c r="G173" i="30"/>
  <c r="AF17" i="45" s="1"/>
  <c r="G165" i="30"/>
  <c r="G164" i="30"/>
  <c r="G163" i="30"/>
  <c r="G162" i="30"/>
  <c r="AB33" i="44" s="1"/>
  <c r="G161" i="30"/>
  <c r="AA33" i="44" s="1"/>
  <c r="G142" i="30"/>
  <c r="R33" i="44" s="1"/>
  <c r="G141" i="30"/>
  <c r="Q33" i="44" s="1"/>
  <c r="G140" i="30"/>
  <c r="P33" i="44" s="1"/>
  <c r="G139" i="30"/>
  <c r="O33" i="44" s="1"/>
  <c r="G138" i="30"/>
  <c r="G133" i="30"/>
  <c r="G132" i="30"/>
  <c r="G131" i="30"/>
  <c r="G130" i="30"/>
  <c r="G129" i="30"/>
  <c r="G128" i="30"/>
  <c r="G123" i="30"/>
  <c r="AL33" i="44" s="1"/>
  <c r="G122" i="30"/>
  <c r="AK33" i="44" s="1"/>
  <c r="G121" i="30"/>
  <c r="AJ33" i="44" s="1"/>
  <c r="G120" i="30"/>
  <c r="AI33" i="44" s="1"/>
  <c r="G119" i="30"/>
  <c r="AH33" i="44" s="1"/>
  <c r="G118" i="30"/>
  <c r="AG33" i="44" s="1"/>
  <c r="G117" i="30"/>
  <c r="AF33" i="44" s="1"/>
  <c r="G116" i="30"/>
  <c r="AE33" i="44" s="1"/>
  <c r="G115" i="30"/>
  <c r="G114" i="30"/>
  <c r="G92" i="30"/>
  <c r="AL32" i="1" s="1"/>
  <c r="G91" i="30"/>
  <c r="G90" i="30"/>
  <c r="G89" i="30"/>
  <c r="G88" i="30"/>
  <c r="G87" i="30"/>
  <c r="AC32" i="1" s="1"/>
  <c r="G86" i="30"/>
  <c r="AB32" i="1" s="1"/>
  <c r="G85" i="30"/>
  <c r="AA32" i="1" s="1"/>
  <c r="G84" i="30"/>
  <c r="Z32" i="1" s="1"/>
  <c r="G83" i="30"/>
  <c r="G82" i="30"/>
  <c r="G78" i="30"/>
  <c r="AS33" i="44" s="1"/>
  <c r="G77" i="30"/>
  <c r="AR33" i="44" s="1"/>
  <c r="G76" i="30"/>
  <c r="AQ33" i="44" s="1"/>
  <c r="G75" i="30"/>
  <c r="AP33" i="44" s="1"/>
  <c r="G74" i="30"/>
  <c r="G70" i="30"/>
  <c r="AF15" i="45" s="1"/>
  <c r="G69" i="30"/>
  <c r="AF14" i="45" s="1"/>
  <c r="G68" i="30"/>
  <c r="AF13" i="45" s="1"/>
  <c r="G67" i="30"/>
  <c r="G66" i="30"/>
  <c r="G65" i="30"/>
  <c r="G63" i="30"/>
  <c r="AF8" i="45" s="1"/>
  <c r="G62" i="30"/>
  <c r="AF7" i="45" s="1"/>
  <c r="G58" i="30"/>
  <c r="G57" i="30"/>
  <c r="G56" i="30"/>
  <c r="G55" i="30"/>
  <c r="G54" i="30"/>
  <c r="G53" i="30"/>
  <c r="G52" i="30"/>
  <c r="G51" i="30"/>
  <c r="G50" i="30"/>
  <c r="G49" i="30"/>
  <c r="G46" i="30"/>
  <c r="G45" i="30"/>
  <c r="G44" i="30"/>
  <c r="G43" i="30"/>
  <c r="G42" i="30"/>
  <c r="G41" i="30"/>
  <c r="G40" i="30"/>
  <c r="G39" i="30"/>
  <c r="G38" i="30"/>
  <c r="G37" i="30"/>
  <c r="G36" i="30"/>
  <c r="G35" i="30"/>
  <c r="E29" i="30"/>
  <c r="G29" i="30" s="1"/>
  <c r="G22" i="30"/>
  <c r="G18" i="30"/>
  <c r="E31" i="30" s="1"/>
  <c r="G31" i="30" s="1"/>
  <c r="K9" i="30"/>
  <c r="M8" i="30"/>
  <c r="G185" i="29"/>
  <c r="G184" i="29"/>
  <c r="G183" i="29"/>
  <c r="G180" i="29"/>
  <c r="AE23" i="45" s="1"/>
  <c r="G179" i="29"/>
  <c r="AE22" i="45" s="1"/>
  <c r="G178" i="29"/>
  <c r="AE21" i="45" s="1"/>
  <c r="G175" i="29"/>
  <c r="AE19" i="45" s="1"/>
  <c r="G174" i="29"/>
  <c r="AE18" i="45" s="1"/>
  <c r="G173" i="29"/>
  <c r="AE17" i="45" s="1"/>
  <c r="G165" i="29"/>
  <c r="G164" i="29"/>
  <c r="G163" i="29"/>
  <c r="G162" i="29"/>
  <c r="AB32" i="44" s="1"/>
  <c r="G161" i="29"/>
  <c r="AA32" i="44" s="1"/>
  <c r="G142" i="29"/>
  <c r="R32" i="44" s="1"/>
  <c r="G141" i="29"/>
  <c r="Q32" i="44" s="1"/>
  <c r="G140" i="29"/>
  <c r="P32" i="44" s="1"/>
  <c r="G139" i="29"/>
  <c r="O32" i="44" s="1"/>
  <c r="G138" i="29"/>
  <c r="G133" i="29"/>
  <c r="G132" i="29"/>
  <c r="G131" i="29"/>
  <c r="G130" i="29"/>
  <c r="G129" i="29"/>
  <c r="G128" i="29"/>
  <c r="G123" i="29"/>
  <c r="AL32" i="44" s="1"/>
  <c r="G122" i="29"/>
  <c r="AK32" i="44" s="1"/>
  <c r="G121" i="29"/>
  <c r="AJ32" i="44" s="1"/>
  <c r="G120" i="29"/>
  <c r="AI32" i="44" s="1"/>
  <c r="G119" i="29"/>
  <c r="AH32" i="44" s="1"/>
  <c r="G118" i="29"/>
  <c r="AG32" i="44" s="1"/>
  <c r="G117" i="29"/>
  <c r="AF32" i="44" s="1"/>
  <c r="G116" i="29"/>
  <c r="AE32" i="44" s="1"/>
  <c r="G115" i="29"/>
  <c r="G114" i="29"/>
  <c r="G113" i="29"/>
  <c r="G112" i="29"/>
  <c r="G92" i="29"/>
  <c r="AL31" i="1" s="1"/>
  <c r="G90" i="29"/>
  <c r="G89" i="29"/>
  <c r="G88" i="29"/>
  <c r="G87" i="29"/>
  <c r="AC31" i="1" s="1"/>
  <c r="G86" i="29"/>
  <c r="AB31" i="1" s="1"/>
  <c r="G85" i="29"/>
  <c r="AA31" i="1" s="1"/>
  <c r="G84" i="29"/>
  <c r="Z31" i="1" s="1"/>
  <c r="G83" i="29"/>
  <c r="G82" i="29"/>
  <c r="G78" i="29"/>
  <c r="AS32" i="44" s="1"/>
  <c r="G77" i="29"/>
  <c r="AR32" i="44" s="1"/>
  <c r="G76" i="29"/>
  <c r="AQ32" i="44" s="1"/>
  <c r="G75" i="29"/>
  <c r="AP32" i="44" s="1"/>
  <c r="G74" i="29"/>
  <c r="G70" i="29"/>
  <c r="AE15" i="45" s="1"/>
  <c r="G69" i="29"/>
  <c r="AE14" i="45" s="1"/>
  <c r="G68" i="29"/>
  <c r="AE13" i="45" s="1"/>
  <c r="G67" i="29"/>
  <c r="G66" i="29"/>
  <c r="G65" i="29"/>
  <c r="G63" i="29"/>
  <c r="AE8" i="45" s="1"/>
  <c r="G62" i="29"/>
  <c r="AE7" i="45" s="1"/>
  <c r="G58" i="29"/>
  <c r="G57" i="29"/>
  <c r="G56" i="29"/>
  <c r="G55" i="29"/>
  <c r="G54" i="29"/>
  <c r="G53" i="29"/>
  <c r="G52" i="29"/>
  <c r="G51" i="29"/>
  <c r="G50" i="29"/>
  <c r="G49" i="29"/>
  <c r="G46" i="29"/>
  <c r="G45" i="29"/>
  <c r="G44" i="29"/>
  <c r="G43" i="29"/>
  <c r="G42" i="29"/>
  <c r="G41" i="29"/>
  <c r="G40" i="29"/>
  <c r="G39" i="29"/>
  <c r="G38" i="29"/>
  <c r="G37" i="29"/>
  <c r="G36" i="29"/>
  <c r="G35" i="29"/>
  <c r="E29" i="29"/>
  <c r="G29" i="29" s="1"/>
  <c r="G22" i="29"/>
  <c r="G18" i="29"/>
  <c r="E31" i="29" s="1"/>
  <c r="G31" i="29" s="1"/>
  <c r="K9" i="29"/>
  <c r="M8" i="29"/>
  <c r="G185" i="28"/>
  <c r="G184" i="28"/>
  <c r="G183" i="28"/>
  <c r="G180" i="28"/>
  <c r="AD23" i="45" s="1"/>
  <c r="G179" i="28"/>
  <c r="AD22" i="45" s="1"/>
  <c r="G178" i="28"/>
  <c r="AD21" i="45" s="1"/>
  <c r="G175" i="28"/>
  <c r="AD19" i="45" s="1"/>
  <c r="G174" i="28"/>
  <c r="AD18" i="45" s="1"/>
  <c r="G173" i="28"/>
  <c r="AD17" i="45" s="1"/>
  <c r="G165" i="28"/>
  <c r="G164" i="28"/>
  <c r="G163" i="28"/>
  <c r="G162" i="28"/>
  <c r="AB31" i="44" s="1"/>
  <c r="G161" i="28"/>
  <c r="AA31" i="44" s="1"/>
  <c r="G142" i="28"/>
  <c r="R31" i="44" s="1"/>
  <c r="G141" i="28"/>
  <c r="Q31" i="44" s="1"/>
  <c r="G140" i="28"/>
  <c r="P31" i="44" s="1"/>
  <c r="G139" i="28"/>
  <c r="O31" i="44" s="1"/>
  <c r="G138" i="28"/>
  <c r="G133" i="28"/>
  <c r="G132" i="28"/>
  <c r="G131" i="28"/>
  <c r="G130" i="28"/>
  <c r="G129" i="28"/>
  <c r="G128" i="28"/>
  <c r="G123" i="28"/>
  <c r="AL31" i="44" s="1"/>
  <c r="G122" i="28"/>
  <c r="AK31" i="44" s="1"/>
  <c r="G121" i="28"/>
  <c r="AJ31" i="44" s="1"/>
  <c r="G120" i="28"/>
  <c r="AI31" i="44" s="1"/>
  <c r="G119" i="28"/>
  <c r="AH31" i="44" s="1"/>
  <c r="G118" i="28"/>
  <c r="AG31" i="44" s="1"/>
  <c r="G117" i="28"/>
  <c r="AF31" i="44" s="1"/>
  <c r="G116" i="28"/>
  <c r="AE31" i="44" s="1"/>
  <c r="G115" i="28"/>
  <c r="G114" i="28"/>
  <c r="G113" i="28"/>
  <c r="G112" i="28"/>
  <c r="G92" i="28"/>
  <c r="AL30" i="1" s="1"/>
  <c r="G91" i="28"/>
  <c r="G90" i="28"/>
  <c r="G89" i="28"/>
  <c r="G88" i="28"/>
  <c r="G87" i="28"/>
  <c r="AC30" i="1" s="1"/>
  <c r="G86" i="28"/>
  <c r="AB30" i="1" s="1"/>
  <c r="G85" i="28"/>
  <c r="AA30" i="1" s="1"/>
  <c r="G84" i="28"/>
  <c r="Z30" i="1" s="1"/>
  <c r="G83" i="28"/>
  <c r="G82" i="28"/>
  <c r="G78" i="28"/>
  <c r="AS31" i="44" s="1"/>
  <c r="G77" i="28"/>
  <c r="AR31" i="44" s="1"/>
  <c r="G76" i="28"/>
  <c r="AQ31" i="44" s="1"/>
  <c r="G75" i="28"/>
  <c r="AP31" i="44" s="1"/>
  <c r="G74" i="28"/>
  <c r="G70" i="28"/>
  <c r="AD15" i="45" s="1"/>
  <c r="G69" i="28"/>
  <c r="AD14" i="45" s="1"/>
  <c r="G68" i="28"/>
  <c r="AD13" i="45" s="1"/>
  <c r="G67" i="28"/>
  <c r="G66" i="28"/>
  <c r="G65" i="28"/>
  <c r="G63" i="28"/>
  <c r="AD8" i="45" s="1"/>
  <c r="G62" i="28"/>
  <c r="AD7" i="45" s="1"/>
  <c r="G58" i="28"/>
  <c r="G57" i="28"/>
  <c r="G56" i="28"/>
  <c r="G55" i="28"/>
  <c r="G54" i="28"/>
  <c r="G53" i="28"/>
  <c r="G52" i="28"/>
  <c r="G51" i="28"/>
  <c r="G50" i="28"/>
  <c r="G49" i="28"/>
  <c r="G46" i="28"/>
  <c r="G45" i="28"/>
  <c r="G44" i="28"/>
  <c r="G43" i="28"/>
  <c r="G42" i="28"/>
  <c r="G41" i="28"/>
  <c r="G40" i="28"/>
  <c r="G39" i="28"/>
  <c r="G38" i="28"/>
  <c r="G37" i="28"/>
  <c r="G36" i="28"/>
  <c r="G35" i="28"/>
  <c r="E29" i="28"/>
  <c r="G29" i="28" s="1"/>
  <c r="G22" i="28"/>
  <c r="G18" i="28"/>
  <c r="E31" i="28" s="1"/>
  <c r="G31" i="28" s="1"/>
  <c r="K9" i="28"/>
  <c r="M8" i="28"/>
  <c r="G185" i="27"/>
  <c r="G184" i="27"/>
  <c r="G183" i="27"/>
  <c r="G180" i="27"/>
  <c r="AC23" i="45" s="1"/>
  <c r="G179" i="27"/>
  <c r="AC22" i="45" s="1"/>
  <c r="G178" i="27"/>
  <c r="AC21" i="45" s="1"/>
  <c r="G175" i="27"/>
  <c r="AC19" i="45" s="1"/>
  <c r="G174" i="27"/>
  <c r="AC18" i="45" s="1"/>
  <c r="G173" i="27"/>
  <c r="AC17" i="45" s="1"/>
  <c r="G165" i="27"/>
  <c r="G164" i="27"/>
  <c r="G163" i="27"/>
  <c r="G162" i="27"/>
  <c r="AB30" i="44" s="1"/>
  <c r="G161" i="27"/>
  <c r="AA30" i="44" s="1"/>
  <c r="G142" i="27"/>
  <c r="R30" i="44" s="1"/>
  <c r="G141" i="27"/>
  <c r="Q30" i="44" s="1"/>
  <c r="G140" i="27"/>
  <c r="P30" i="44" s="1"/>
  <c r="G139" i="27"/>
  <c r="O30" i="44" s="1"/>
  <c r="G138" i="27"/>
  <c r="G133" i="27"/>
  <c r="G132" i="27"/>
  <c r="G131" i="27"/>
  <c r="G130" i="27"/>
  <c r="G129" i="27"/>
  <c r="G128" i="27"/>
  <c r="G123" i="27"/>
  <c r="AL30" i="44" s="1"/>
  <c r="G122" i="27"/>
  <c r="AK30" i="44" s="1"/>
  <c r="G121" i="27"/>
  <c r="AJ30" i="44" s="1"/>
  <c r="G120" i="27"/>
  <c r="AI30" i="44" s="1"/>
  <c r="G119" i="27"/>
  <c r="AH30" i="44" s="1"/>
  <c r="G118" i="27"/>
  <c r="AG30" i="44" s="1"/>
  <c r="G117" i="27"/>
  <c r="AF30" i="44" s="1"/>
  <c r="G116" i="27"/>
  <c r="AE30" i="44" s="1"/>
  <c r="G115" i="27"/>
  <c r="G114" i="27"/>
  <c r="G113" i="27"/>
  <c r="G112" i="27"/>
  <c r="G92" i="27"/>
  <c r="AL29" i="1" s="1"/>
  <c r="G91" i="27"/>
  <c r="G90" i="27"/>
  <c r="G89" i="27"/>
  <c r="G88" i="27"/>
  <c r="G87" i="27"/>
  <c r="AC29" i="1" s="1"/>
  <c r="G86" i="27"/>
  <c r="AB29" i="1" s="1"/>
  <c r="G85" i="27"/>
  <c r="AA29" i="1" s="1"/>
  <c r="G84" i="27"/>
  <c r="Z29" i="1" s="1"/>
  <c r="G83" i="27"/>
  <c r="G82" i="27"/>
  <c r="G78" i="27"/>
  <c r="AS30" i="44" s="1"/>
  <c r="G77" i="27"/>
  <c r="AR30" i="44" s="1"/>
  <c r="G76" i="27"/>
  <c r="AQ30" i="44" s="1"/>
  <c r="G75" i="27"/>
  <c r="AP30" i="44" s="1"/>
  <c r="G74" i="27"/>
  <c r="G70" i="27"/>
  <c r="AC15" i="45" s="1"/>
  <c r="G69" i="27"/>
  <c r="AC14" i="45" s="1"/>
  <c r="G68" i="27"/>
  <c r="AC13" i="45" s="1"/>
  <c r="G67" i="27"/>
  <c r="G66" i="27"/>
  <c r="G65" i="27"/>
  <c r="G63" i="27"/>
  <c r="AC8" i="45" s="1"/>
  <c r="G62" i="27"/>
  <c r="AC7" i="45" s="1"/>
  <c r="G58" i="27"/>
  <c r="G57" i="27"/>
  <c r="G56" i="27"/>
  <c r="G55" i="27"/>
  <c r="G54" i="27"/>
  <c r="G53" i="27"/>
  <c r="G52" i="27"/>
  <c r="G51" i="27"/>
  <c r="G50" i="27"/>
  <c r="G49" i="27"/>
  <c r="G46" i="27"/>
  <c r="G45" i="27"/>
  <c r="G44" i="27"/>
  <c r="G43" i="27"/>
  <c r="G42" i="27"/>
  <c r="G41" i="27"/>
  <c r="G40" i="27"/>
  <c r="G39" i="27"/>
  <c r="G38" i="27"/>
  <c r="G37" i="27"/>
  <c r="G36" i="27"/>
  <c r="G35" i="27"/>
  <c r="E29" i="27"/>
  <c r="G29" i="27" s="1"/>
  <c r="G22" i="27"/>
  <c r="G18" i="27"/>
  <c r="E31" i="27" s="1"/>
  <c r="G31" i="27" s="1"/>
  <c r="K9" i="27"/>
  <c r="M8" i="27"/>
  <c r="G185" i="40"/>
  <c r="G184" i="40"/>
  <c r="G183" i="40"/>
  <c r="G180" i="40"/>
  <c r="AB23" i="45" s="1"/>
  <c r="G179" i="40"/>
  <c r="AB22" i="45" s="1"/>
  <c r="G178" i="40"/>
  <c r="AB21" i="45" s="1"/>
  <c r="G175" i="40"/>
  <c r="AB19" i="45" s="1"/>
  <c r="G174" i="40"/>
  <c r="AB18" i="45" s="1"/>
  <c r="G173" i="40"/>
  <c r="AB17" i="45" s="1"/>
  <c r="G165" i="40"/>
  <c r="G164" i="40"/>
  <c r="G163" i="40"/>
  <c r="G162" i="40"/>
  <c r="AB29" i="44" s="1"/>
  <c r="G161" i="40"/>
  <c r="AA29" i="44" s="1"/>
  <c r="G142" i="40"/>
  <c r="R29" i="44" s="1"/>
  <c r="G141" i="40"/>
  <c r="Q29" i="44" s="1"/>
  <c r="G140" i="40"/>
  <c r="P29" i="44" s="1"/>
  <c r="G139" i="40"/>
  <c r="O29" i="44" s="1"/>
  <c r="G138" i="40"/>
  <c r="G133" i="40"/>
  <c r="G132" i="40"/>
  <c r="G131" i="40"/>
  <c r="G130" i="40"/>
  <c r="G129" i="40"/>
  <c r="G128" i="40"/>
  <c r="G123" i="40"/>
  <c r="AL29" i="44" s="1"/>
  <c r="G122" i="40"/>
  <c r="AK29" i="44" s="1"/>
  <c r="G121" i="40"/>
  <c r="AJ29" i="44" s="1"/>
  <c r="G120" i="40"/>
  <c r="AI29" i="44" s="1"/>
  <c r="G119" i="40"/>
  <c r="AH29" i="44" s="1"/>
  <c r="G118" i="40"/>
  <c r="AG29" i="44" s="1"/>
  <c r="G117" i="40"/>
  <c r="AF29" i="44" s="1"/>
  <c r="G116" i="40"/>
  <c r="AE29" i="44" s="1"/>
  <c r="G115" i="40"/>
  <c r="G114" i="40"/>
  <c r="G113" i="40"/>
  <c r="G112" i="40"/>
  <c r="G92" i="40"/>
  <c r="AL28" i="1" s="1"/>
  <c r="G91" i="40"/>
  <c r="G90" i="40"/>
  <c r="G89" i="40"/>
  <c r="G88" i="40"/>
  <c r="G87" i="40"/>
  <c r="AC28" i="1" s="1"/>
  <c r="G86" i="40"/>
  <c r="AB28" i="1" s="1"/>
  <c r="G85" i="40"/>
  <c r="AA28" i="1" s="1"/>
  <c r="Z28" i="1"/>
  <c r="G83" i="40"/>
  <c r="G82" i="40"/>
  <c r="G78" i="40"/>
  <c r="AS29" i="44" s="1"/>
  <c r="G77" i="40"/>
  <c r="AR29" i="44" s="1"/>
  <c r="G76" i="40"/>
  <c r="AQ29" i="44" s="1"/>
  <c r="G75" i="40"/>
  <c r="AP29" i="44" s="1"/>
  <c r="G74" i="40"/>
  <c r="G70" i="40"/>
  <c r="AB15" i="45" s="1"/>
  <c r="G69" i="40"/>
  <c r="AB14" i="45" s="1"/>
  <c r="AB13" i="45"/>
  <c r="G67" i="40"/>
  <c r="G66" i="40"/>
  <c r="G65" i="40"/>
  <c r="G63" i="40"/>
  <c r="AB8" i="45" s="1"/>
  <c r="G62" i="40"/>
  <c r="AB7" i="45" s="1"/>
  <c r="G58" i="40"/>
  <c r="G57" i="40"/>
  <c r="G56" i="40"/>
  <c r="G55" i="40"/>
  <c r="G54" i="40"/>
  <c r="G53" i="40"/>
  <c r="G52" i="40"/>
  <c r="G51" i="40"/>
  <c r="G50" i="40"/>
  <c r="G49" i="40"/>
  <c r="G46" i="40"/>
  <c r="G45" i="40"/>
  <c r="G44" i="40"/>
  <c r="G43" i="40"/>
  <c r="G42" i="40"/>
  <c r="G41" i="40"/>
  <c r="G40" i="40"/>
  <c r="G39" i="40"/>
  <c r="G38" i="40"/>
  <c r="G37" i="40"/>
  <c r="G36" i="40"/>
  <c r="G35" i="40"/>
  <c r="E29" i="40"/>
  <c r="G29" i="40" s="1"/>
  <c r="G22" i="40"/>
  <c r="G18" i="40"/>
  <c r="E31" i="40" s="1"/>
  <c r="G31" i="40" s="1"/>
  <c r="K9" i="40"/>
  <c r="M8" i="40"/>
  <c r="G185" i="25"/>
  <c r="G184" i="25"/>
  <c r="G183" i="25"/>
  <c r="G180" i="25"/>
  <c r="AA23" i="45" s="1"/>
  <c r="G179" i="25"/>
  <c r="AA22" i="45" s="1"/>
  <c r="G178" i="25"/>
  <c r="AA21" i="45" s="1"/>
  <c r="G175" i="25"/>
  <c r="AA19" i="45" s="1"/>
  <c r="G174" i="25"/>
  <c r="AA18" i="45" s="1"/>
  <c r="G173" i="25"/>
  <c r="AA17" i="45" s="1"/>
  <c r="G165" i="25"/>
  <c r="G164" i="25"/>
  <c r="G163" i="25"/>
  <c r="G162" i="25"/>
  <c r="AB28" i="44" s="1"/>
  <c r="G161" i="25"/>
  <c r="AA28" i="44" s="1"/>
  <c r="G142" i="25"/>
  <c r="R28" i="44" s="1"/>
  <c r="G141" i="25"/>
  <c r="Q28" i="44" s="1"/>
  <c r="G140" i="25"/>
  <c r="P28" i="44" s="1"/>
  <c r="G139" i="25"/>
  <c r="O28" i="44" s="1"/>
  <c r="G138" i="25"/>
  <c r="G133" i="25"/>
  <c r="G132" i="25"/>
  <c r="G131" i="25"/>
  <c r="G130" i="25"/>
  <c r="G129" i="25"/>
  <c r="G128" i="25"/>
  <c r="G123" i="25"/>
  <c r="AL28" i="44" s="1"/>
  <c r="G122" i="25"/>
  <c r="AK28" i="44" s="1"/>
  <c r="G121" i="25"/>
  <c r="AJ28" i="44" s="1"/>
  <c r="G120" i="25"/>
  <c r="AI28" i="44" s="1"/>
  <c r="G119" i="25"/>
  <c r="AH28" i="44" s="1"/>
  <c r="G118" i="25"/>
  <c r="AG28" i="44" s="1"/>
  <c r="G117" i="25"/>
  <c r="AF28" i="44" s="1"/>
  <c r="G116" i="25"/>
  <c r="AE28" i="44" s="1"/>
  <c r="G115" i="25"/>
  <c r="G114" i="25"/>
  <c r="G113" i="25"/>
  <c r="G112" i="25"/>
  <c r="G92" i="25"/>
  <c r="AL27" i="1" s="1"/>
  <c r="G91" i="25"/>
  <c r="G90" i="25"/>
  <c r="G89" i="25"/>
  <c r="G88" i="25"/>
  <c r="G87" i="25"/>
  <c r="AC27" i="1" s="1"/>
  <c r="G86" i="25"/>
  <c r="AB27" i="1" s="1"/>
  <c r="G85" i="25"/>
  <c r="AA27" i="1" s="1"/>
  <c r="G84" i="25"/>
  <c r="Z27" i="1" s="1"/>
  <c r="G83" i="25"/>
  <c r="G82" i="25"/>
  <c r="G78" i="25"/>
  <c r="AS28" i="44" s="1"/>
  <c r="G77" i="25"/>
  <c r="AR28" i="44" s="1"/>
  <c r="G76" i="25"/>
  <c r="AQ28" i="44" s="1"/>
  <c r="G75" i="25"/>
  <c r="AP28" i="44" s="1"/>
  <c r="G74" i="25"/>
  <c r="G70" i="25"/>
  <c r="AA15" i="45" s="1"/>
  <c r="G69" i="25"/>
  <c r="AA14" i="45" s="1"/>
  <c r="G68" i="25"/>
  <c r="AA13" i="45" s="1"/>
  <c r="G67" i="25"/>
  <c r="G66" i="25"/>
  <c r="G65" i="25"/>
  <c r="G63" i="25"/>
  <c r="AA8" i="45" s="1"/>
  <c r="G62" i="25"/>
  <c r="AA7" i="45" s="1"/>
  <c r="G58" i="25"/>
  <c r="G57" i="25"/>
  <c r="G56" i="25"/>
  <c r="G55" i="25"/>
  <c r="G54" i="25"/>
  <c r="G53" i="25"/>
  <c r="G52" i="25"/>
  <c r="G51" i="25"/>
  <c r="G50" i="25"/>
  <c r="G49" i="25"/>
  <c r="G46" i="25"/>
  <c r="G45" i="25"/>
  <c r="G44" i="25"/>
  <c r="G43" i="25"/>
  <c r="G42" i="25"/>
  <c r="G41" i="25"/>
  <c r="G40" i="25"/>
  <c r="G39" i="25"/>
  <c r="G38" i="25"/>
  <c r="G37" i="25"/>
  <c r="G36" i="25"/>
  <c r="G35" i="25"/>
  <c r="E29" i="25"/>
  <c r="G29" i="25" s="1"/>
  <c r="G22" i="25"/>
  <c r="G18" i="25"/>
  <c r="E31" i="25" s="1"/>
  <c r="G31" i="25" s="1"/>
  <c r="K9" i="25"/>
  <c r="M8" i="25"/>
  <c r="G185" i="24"/>
  <c r="G184" i="24"/>
  <c r="G183" i="24"/>
  <c r="G180" i="24"/>
  <c r="Z23" i="45" s="1"/>
  <c r="G179" i="24"/>
  <c r="Z22" i="45" s="1"/>
  <c r="G178" i="24"/>
  <c r="Z21" i="45" s="1"/>
  <c r="G175" i="24"/>
  <c r="Z19" i="45" s="1"/>
  <c r="G174" i="24"/>
  <c r="Z18" i="45" s="1"/>
  <c r="G173" i="24"/>
  <c r="Z17" i="45" s="1"/>
  <c r="G165" i="24"/>
  <c r="G164" i="24"/>
  <c r="G163" i="24"/>
  <c r="G162" i="24"/>
  <c r="AB27" i="44" s="1"/>
  <c r="G161" i="24"/>
  <c r="AA27" i="44" s="1"/>
  <c r="G140" i="24"/>
  <c r="P27" i="44" s="1"/>
  <c r="G139" i="24"/>
  <c r="O27" i="44" s="1"/>
  <c r="G138" i="24"/>
  <c r="G133" i="24"/>
  <c r="G132" i="24"/>
  <c r="G131" i="24"/>
  <c r="G130" i="24"/>
  <c r="G129" i="24"/>
  <c r="G128" i="24"/>
  <c r="G123" i="24"/>
  <c r="AL27" i="44" s="1"/>
  <c r="G122" i="24"/>
  <c r="AK27" i="44" s="1"/>
  <c r="G121" i="24"/>
  <c r="AJ27" i="44" s="1"/>
  <c r="G120" i="24"/>
  <c r="AI27" i="44" s="1"/>
  <c r="G119" i="24"/>
  <c r="AH27" i="44" s="1"/>
  <c r="G118" i="24"/>
  <c r="AG27" i="44" s="1"/>
  <c r="G117" i="24"/>
  <c r="AF27" i="44" s="1"/>
  <c r="G116" i="24"/>
  <c r="AE27" i="44" s="1"/>
  <c r="G115" i="24"/>
  <c r="G114" i="24"/>
  <c r="G113" i="24"/>
  <c r="G112" i="24"/>
  <c r="G92" i="24"/>
  <c r="AL26" i="1" s="1"/>
  <c r="G91" i="24"/>
  <c r="G90" i="24"/>
  <c r="G89" i="24"/>
  <c r="G88" i="24"/>
  <c r="G87" i="24"/>
  <c r="AC26" i="1" s="1"/>
  <c r="G86" i="24"/>
  <c r="AB26" i="1" s="1"/>
  <c r="G85" i="24"/>
  <c r="AA26" i="1" s="1"/>
  <c r="G84" i="24"/>
  <c r="Z26" i="1" s="1"/>
  <c r="G83" i="24"/>
  <c r="G82" i="24"/>
  <c r="G78" i="24"/>
  <c r="AS27" i="44" s="1"/>
  <c r="G77" i="24"/>
  <c r="AR27" i="44" s="1"/>
  <c r="G76" i="24"/>
  <c r="AQ27" i="44" s="1"/>
  <c r="G75" i="24"/>
  <c r="AP27" i="44" s="1"/>
  <c r="G74" i="24"/>
  <c r="G70" i="24"/>
  <c r="Z15" i="45" s="1"/>
  <c r="G69" i="24"/>
  <c r="Z14" i="45" s="1"/>
  <c r="G68" i="24"/>
  <c r="Z13" i="45" s="1"/>
  <c r="G67" i="24"/>
  <c r="G66" i="24"/>
  <c r="G65" i="24"/>
  <c r="G63" i="24"/>
  <c r="Z8" i="45" s="1"/>
  <c r="G62" i="24"/>
  <c r="Z7" i="45" s="1"/>
  <c r="G58" i="24"/>
  <c r="G57" i="24"/>
  <c r="G56" i="24"/>
  <c r="G55" i="24"/>
  <c r="G54" i="24"/>
  <c r="G53" i="24"/>
  <c r="G52" i="24"/>
  <c r="G51" i="24"/>
  <c r="G50" i="24"/>
  <c r="G49" i="24"/>
  <c r="G46" i="24"/>
  <c r="G45" i="24"/>
  <c r="G44" i="24"/>
  <c r="G43" i="24"/>
  <c r="G42" i="24"/>
  <c r="G41" i="24"/>
  <c r="G40" i="24"/>
  <c r="G39" i="24"/>
  <c r="G38" i="24"/>
  <c r="G37" i="24"/>
  <c r="G36" i="24"/>
  <c r="G35" i="24"/>
  <c r="E29" i="24"/>
  <c r="G29" i="24" s="1"/>
  <c r="G22" i="24"/>
  <c r="G18" i="24"/>
  <c r="E31" i="24" s="1"/>
  <c r="G31" i="24" s="1"/>
  <c r="K9" i="24"/>
  <c r="M8" i="24"/>
  <c r="G185" i="23"/>
  <c r="G184" i="23"/>
  <c r="G183" i="23"/>
  <c r="G180" i="23"/>
  <c r="Y23" i="45" s="1"/>
  <c r="G179" i="23"/>
  <c r="Y22" i="45" s="1"/>
  <c r="G178" i="23"/>
  <c r="Y21" i="45" s="1"/>
  <c r="G175" i="23"/>
  <c r="Y19" i="45" s="1"/>
  <c r="G174" i="23"/>
  <c r="Y18" i="45" s="1"/>
  <c r="G173" i="23"/>
  <c r="Y17" i="45" s="1"/>
  <c r="G165" i="23"/>
  <c r="G164" i="23"/>
  <c r="G163" i="23"/>
  <c r="G162" i="23"/>
  <c r="AB26" i="44" s="1"/>
  <c r="G161" i="23"/>
  <c r="AA26" i="44" s="1"/>
  <c r="G142" i="23"/>
  <c r="R26" i="44" s="1"/>
  <c r="G141" i="23"/>
  <c r="Q26" i="44" s="1"/>
  <c r="G140" i="23"/>
  <c r="P26" i="44" s="1"/>
  <c r="G139" i="23"/>
  <c r="O26" i="44" s="1"/>
  <c r="G138" i="23"/>
  <c r="G133" i="23"/>
  <c r="G132" i="23"/>
  <c r="G131" i="23"/>
  <c r="G129" i="23"/>
  <c r="G128" i="23"/>
  <c r="G123" i="23"/>
  <c r="AL26" i="44" s="1"/>
  <c r="G122" i="23"/>
  <c r="AK26" i="44" s="1"/>
  <c r="G121" i="23"/>
  <c r="AJ26" i="44" s="1"/>
  <c r="G120" i="23"/>
  <c r="AI26" i="44" s="1"/>
  <c r="G119" i="23"/>
  <c r="AH26" i="44" s="1"/>
  <c r="G118" i="23"/>
  <c r="AG26" i="44" s="1"/>
  <c r="G117" i="23"/>
  <c r="AF26" i="44" s="1"/>
  <c r="G116" i="23"/>
  <c r="AE26" i="44" s="1"/>
  <c r="G115" i="23"/>
  <c r="G114" i="23"/>
  <c r="G113" i="23"/>
  <c r="G112" i="23"/>
  <c r="G92" i="23"/>
  <c r="AL25" i="1" s="1"/>
  <c r="G91" i="23"/>
  <c r="G90" i="23"/>
  <c r="G89" i="23"/>
  <c r="G88" i="23"/>
  <c r="G87" i="23"/>
  <c r="AC25" i="1" s="1"/>
  <c r="G86" i="23"/>
  <c r="AB25" i="1" s="1"/>
  <c r="G85" i="23"/>
  <c r="AA25" i="1" s="1"/>
  <c r="G84" i="23"/>
  <c r="Z25" i="1" s="1"/>
  <c r="G83" i="23"/>
  <c r="G82" i="23"/>
  <c r="G78" i="23"/>
  <c r="AS26" i="44" s="1"/>
  <c r="G77" i="23"/>
  <c r="AR26" i="44" s="1"/>
  <c r="G76" i="23"/>
  <c r="AQ26" i="44" s="1"/>
  <c r="G75" i="23"/>
  <c r="AP26" i="44" s="1"/>
  <c r="G74" i="23"/>
  <c r="G70" i="23"/>
  <c r="Y15" i="45" s="1"/>
  <c r="G69" i="23"/>
  <c r="Y14" i="45" s="1"/>
  <c r="G68" i="23"/>
  <c r="Y13" i="45" s="1"/>
  <c r="G67" i="23"/>
  <c r="G66" i="23"/>
  <c r="G65" i="23"/>
  <c r="G63" i="23"/>
  <c r="Y8" i="45" s="1"/>
  <c r="G62" i="23"/>
  <c r="Y7" i="45" s="1"/>
  <c r="G58" i="23"/>
  <c r="G57" i="23"/>
  <c r="G55" i="23"/>
  <c r="G54" i="23"/>
  <c r="G53" i="23"/>
  <c r="G52" i="23"/>
  <c r="G51" i="23"/>
  <c r="G50" i="23"/>
  <c r="G49" i="23"/>
  <c r="G46" i="23"/>
  <c r="G45" i="23"/>
  <c r="G44" i="23"/>
  <c r="G43" i="23"/>
  <c r="G42" i="23"/>
  <c r="G41" i="23"/>
  <c r="G40" i="23"/>
  <c r="G39" i="23"/>
  <c r="G38" i="23"/>
  <c r="G37" i="23"/>
  <c r="G36" i="23"/>
  <c r="G35" i="23"/>
  <c r="E29" i="23"/>
  <c r="G29" i="23" s="1"/>
  <c r="G22" i="23"/>
  <c r="G18" i="23"/>
  <c r="E31" i="23" s="1"/>
  <c r="G31" i="23" s="1"/>
  <c r="K9" i="23"/>
  <c r="M8" i="23"/>
  <c r="G185" i="22"/>
  <c r="G184" i="22"/>
  <c r="G183" i="22"/>
  <c r="G180" i="22"/>
  <c r="X23" i="45" s="1"/>
  <c r="G179" i="22"/>
  <c r="X22" i="45" s="1"/>
  <c r="G178" i="22"/>
  <c r="X21" i="45" s="1"/>
  <c r="G175" i="22"/>
  <c r="X19" i="45" s="1"/>
  <c r="G174" i="22"/>
  <c r="X18" i="45" s="1"/>
  <c r="G173" i="22"/>
  <c r="X17" i="45" s="1"/>
  <c r="G165" i="22"/>
  <c r="G164" i="22"/>
  <c r="G163" i="22"/>
  <c r="G162" i="22"/>
  <c r="AB25" i="44" s="1"/>
  <c r="G161" i="22"/>
  <c r="AA25" i="44" s="1"/>
  <c r="G142" i="22"/>
  <c r="R25" i="44" s="1"/>
  <c r="G141" i="22"/>
  <c r="Q25" i="44" s="1"/>
  <c r="G140" i="22"/>
  <c r="P25" i="44" s="1"/>
  <c r="G139" i="22"/>
  <c r="O25" i="44" s="1"/>
  <c r="G138" i="22"/>
  <c r="G133" i="22"/>
  <c r="G132" i="22"/>
  <c r="G131" i="22"/>
  <c r="G130" i="22"/>
  <c r="G129" i="22"/>
  <c r="G128" i="22"/>
  <c r="G123" i="22"/>
  <c r="AL25" i="44" s="1"/>
  <c r="G122" i="22"/>
  <c r="AK25" i="44" s="1"/>
  <c r="G121" i="22"/>
  <c r="AJ25" i="44" s="1"/>
  <c r="G120" i="22"/>
  <c r="AI25" i="44" s="1"/>
  <c r="G119" i="22"/>
  <c r="AH25" i="44" s="1"/>
  <c r="G118" i="22"/>
  <c r="AG25" i="44" s="1"/>
  <c r="G117" i="22"/>
  <c r="AF25" i="44" s="1"/>
  <c r="G116" i="22"/>
  <c r="AE25" i="44" s="1"/>
  <c r="G115" i="22"/>
  <c r="G114" i="22"/>
  <c r="G113" i="22"/>
  <c r="G112" i="22"/>
  <c r="G92" i="22"/>
  <c r="AL24" i="1" s="1"/>
  <c r="G91" i="22"/>
  <c r="G90" i="22"/>
  <c r="G89" i="22"/>
  <c r="G88" i="22"/>
  <c r="G87" i="22"/>
  <c r="AC24" i="1" s="1"/>
  <c r="G86" i="22"/>
  <c r="AB24" i="1" s="1"/>
  <c r="G85" i="22"/>
  <c r="AA24" i="1" s="1"/>
  <c r="G84" i="22"/>
  <c r="Z24" i="1" s="1"/>
  <c r="G83" i="22"/>
  <c r="G82" i="22"/>
  <c r="G78" i="22"/>
  <c r="AS25" i="44" s="1"/>
  <c r="G77" i="22"/>
  <c r="AR25" i="44" s="1"/>
  <c r="G76" i="22"/>
  <c r="AQ25" i="44" s="1"/>
  <c r="G75" i="22"/>
  <c r="AP25" i="44" s="1"/>
  <c r="G74" i="22"/>
  <c r="G70" i="22"/>
  <c r="X15" i="45" s="1"/>
  <c r="G69" i="22"/>
  <c r="X14" i="45" s="1"/>
  <c r="G68" i="22"/>
  <c r="X13" i="45" s="1"/>
  <c r="G67" i="22"/>
  <c r="G66" i="22"/>
  <c r="G65" i="22"/>
  <c r="G63" i="22"/>
  <c r="X8" i="45" s="1"/>
  <c r="G62" i="22"/>
  <c r="X7" i="45" s="1"/>
  <c r="G58" i="22"/>
  <c r="G57" i="22"/>
  <c r="G56" i="22"/>
  <c r="G55" i="22"/>
  <c r="G54" i="22"/>
  <c r="G53" i="22"/>
  <c r="G52" i="22"/>
  <c r="G51" i="22"/>
  <c r="G50" i="22"/>
  <c r="G49" i="22"/>
  <c r="G46" i="22"/>
  <c r="G45" i="22"/>
  <c r="G44" i="22"/>
  <c r="G43" i="22"/>
  <c r="G42" i="22"/>
  <c r="G41" i="22"/>
  <c r="G40" i="22"/>
  <c r="G39" i="22"/>
  <c r="G38" i="22"/>
  <c r="G37" i="22"/>
  <c r="G36" i="22"/>
  <c r="G35" i="22"/>
  <c r="E29" i="22"/>
  <c r="G29" i="22" s="1"/>
  <c r="G22" i="22"/>
  <c r="G18" i="22"/>
  <c r="E31" i="22" s="1"/>
  <c r="G31" i="22" s="1"/>
  <c r="K9" i="22"/>
  <c r="M8" i="22"/>
  <c r="G185" i="21"/>
  <c r="G184" i="21"/>
  <c r="G183" i="21"/>
  <c r="G180" i="21"/>
  <c r="W23" i="45" s="1"/>
  <c r="G179" i="21"/>
  <c r="W22" i="45" s="1"/>
  <c r="G178" i="21"/>
  <c r="W21" i="45" s="1"/>
  <c r="G175" i="21"/>
  <c r="W19" i="45" s="1"/>
  <c r="G174" i="21"/>
  <c r="W18" i="45" s="1"/>
  <c r="G173" i="21"/>
  <c r="W17" i="45" s="1"/>
  <c r="G165" i="21"/>
  <c r="G164" i="21"/>
  <c r="G163" i="21"/>
  <c r="G162" i="21"/>
  <c r="AB24" i="44" s="1"/>
  <c r="G161" i="21"/>
  <c r="AA24" i="44" s="1"/>
  <c r="G142" i="21"/>
  <c r="R24" i="44" s="1"/>
  <c r="G141" i="21"/>
  <c r="Q24" i="44" s="1"/>
  <c r="G140" i="21"/>
  <c r="P24" i="44" s="1"/>
  <c r="G139" i="21"/>
  <c r="O24" i="44" s="1"/>
  <c r="G138" i="21"/>
  <c r="G133" i="21"/>
  <c r="G132" i="21"/>
  <c r="G131" i="21"/>
  <c r="G130" i="21"/>
  <c r="G129" i="21"/>
  <c r="G128" i="21"/>
  <c r="G123" i="21"/>
  <c r="AL24" i="44" s="1"/>
  <c r="G122" i="21"/>
  <c r="AK24" i="44" s="1"/>
  <c r="G121" i="21"/>
  <c r="AJ24" i="44" s="1"/>
  <c r="G120" i="21"/>
  <c r="AI24" i="44" s="1"/>
  <c r="G119" i="21"/>
  <c r="AH24" i="44" s="1"/>
  <c r="G118" i="21"/>
  <c r="AG24" i="44" s="1"/>
  <c r="G117" i="21"/>
  <c r="AF24" i="44" s="1"/>
  <c r="G116" i="21"/>
  <c r="AE24" i="44" s="1"/>
  <c r="G115" i="21"/>
  <c r="G114" i="21"/>
  <c r="G113" i="21"/>
  <c r="G112" i="21"/>
  <c r="G92" i="21"/>
  <c r="AL23" i="1" s="1"/>
  <c r="G91" i="21"/>
  <c r="G90" i="21"/>
  <c r="G89" i="21"/>
  <c r="G88" i="21"/>
  <c r="G87" i="21"/>
  <c r="AC23" i="1" s="1"/>
  <c r="G86" i="21"/>
  <c r="AB23" i="1" s="1"/>
  <c r="G85" i="21"/>
  <c r="AA23" i="1" s="1"/>
  <c r="G84" i="21"/>
  <c r="Z23" i="1" s="1"/>
  <c r="G83" i="21"/>
  <c r="G82" i="21"/>
  <c r="G78" i="21"/>
  <c r="AS24" i="44" s="1"/>
  <c r="G77" i="21"/>
  <c r="AR24" i="44" s="1"/>
  <c r="G76" i="21"/>
  <c r="AQ24" i="44" s="1"/>
  <c r="G75" i="21"/>
  <c r="AP24" i="44" s="1"/>
  <c r="G74" i="21"/>
  <c r="G70" i="21"/>
  <c r="W15" i="45" s="1"/>
  <c r="G69" i="21"/>
  <c r="W14" i="45" s="1"/>
  <c r="G68" i="21"/>
  <c r="W13" i="45" s="1"/>
  <c r="G67" i="21"/>
  <c r="G66" i="21"/>
  <c r="G65" i="21"/>
  <c r="G63" i="21"/>
  <c r="W8" i="45" s="1"/>
  <c r="G62" i="21"/>
  <c r="G58" i="21"/>
  <c r="G57" i="21"/>
  <c r="G56" i="21"/>
  <c r="G54" i="21"/>
  <c r="G53" i="21"/>
  <c r="G52" i="21"/>
  <c r="G51" i="21"/>
  <c r="G50" i="21"/>
  <c r="G49" i="21"/>
  <c r="G46" i="21"/>
  <c r="G45" i="21"/>
  <c r="G44" i="21"/>
  <c r="G43" i="21"/>
  <c r="G42" i="21"/>
  <c r="G41" i="21"/>
  <c r="G40" i="21"/>
  <c r="G39" i="21"/>
  <c r="G38" i="21"/>
  <c r="G37" i="21"/>
  <c r="G36" i="21"/>
  <c r="G35" i="21"/>
  <c r="E29" i="21"/>
  <c r="G29" i="21" s="1"/>
  <c r="G22" i="21"/>
  <c r="G18" i="21"/>
  <c r="E31" i="21" s="1"/>
  <c r="G31" i="21" s="1"/>
  <c r="K9" i="21"/>
  <c r="M8" i="21"/>
  <c r="G185" i="20"/>
  <c r="G184" i="20"/>
  <c r="G183" i="20"/>
  <c r="G180" i="20"/>
  <c r="V23" i="45" s="1"/>
  <c r="G179" i="20"/>
  <c r="V22" i="45" s="1"/>
  <c r="G178" i="20"/>
  <c r="V21" i="45" s="1"/>
  <c r="G175" i="20"/>
  <c r="V19" i="45" s="1"/>
  <c r="G174" i="20"/>
  <c r="V18" i="45" s="1"/>
  <c r="G173" i="20"/>
  <c r="V17" i="45" s="1"/>
  <c r="G165" i="20"/>
  <c r="G164" i="20"/>
  <c r="G163" i="20"/>
  <c r="G162" i="20"/>
  <c r="AB23" i="44" s="1"/>
  <c r="G161" i="20"/>
  <c r="AA23" i="44" s="1"/>
  <c r="G142" i="20"/>
  <c r="R23" i="44" s="1"/>
  <c r="G141" i="20"/>
  <c r="Q23" i="44" s="1"/>
  <c r="G140" i="20"/>
  <c r="P23" i="44" s="1"/>
  <c r="G139" i="20"/>
  <c r="O23" i="44" s="1"/>
  <c r="G138" i="20"/>
  <c r="G133" i="20"/>
  <c r="G132" i="20"/>
  <c r="G131" i="20"/>
  <c r="G130" i="20"/>
  <c r="G129" i="20"/>
  <c r="G128" i="20"/>
  <c r="G123" i="20"/>
  <c r="AL23" i="44" s="1"/>
  <c r="G122" i="20"/>
  <c r="AK23" i="44" s="1"/>
  <c r="G121" i="20"/>
  <c r="AJ23" i="44" s="1"/>
  <c r="G120" i="20"/>
  <c r="AI23" i="44" s="1"/>
  <c r="G119" i="20"/>
  <c r="AH23" i="44" s="1"/>
  <c r="G118" i="20"/>
  <c r="AG23" i="44" s="1"/>
  <c r="G117" i="20"/>
  <c r="AF23" i="44" s="1"/>
  <c r="G116" i="20"/>
  <c r="AE23" i="44" s="1"/>
  <c r="G115" i="20"/>
  <c r="G114" i="20"/>
  <c r="G113" i="20"/>
  <c r="G112" i="20"/>
  <c r="G92" i="20"/>
  <c r="AL22" i="1" s="1"/>
  <c r="G91" i="20"/>
  <c r="G90" i="20"/>
  <c r="G89" i="20"/>
  <c r="G88" i="20"/>
  <c r="G87" i="20"/>
  <c r="AC22" i="1" s="1"/>
  <c r="G86" i="20"/>
  <c r="AB22" i="1" s="1"/>
  <c r="G85" i="20"/>
  <c r="AA22" i="1" s="1"/>
  <c r="G84" i="20"/>
  <c r="Z22" i="1" s="1"/>
  <c r="G83" i="20"/>
  <c r="G82" i="20"/>
  <c r="G78" i="20"/>
  <c r="AS23" i="44" s="1"/>
  <c r="G77" i="20"/>
  <c r="AR23" i="44" s="1"/>
  <c r="G76" i="20"/>
  <c r="AQ23" i="44" s="1"/>
  <c r="G75" i="20"/>
  <c r="AP23" i="44" s="1"/>
  <c r="G74" i="20"/>
  <c r="G70" i="20"/>
  <c r="V15" i="45" s="1"/>
  <c r="G69" i="20"/>
  <c r="V14" i="45" s="1"/>
  <c r="G68" i="20"/>
  <c r="V13" i="45" s="1"/>
  <c r="G67" i="20"/>
  <c r="G66" i="20"/>
  <c r="G65" i="20"/>
  <c r="G63" i="20"/>
  <c r="V8" i="45" s="1"/>
  <c r="G62" i="20"/>
  <c r="V7" i="45" s="1"/>
  <c r="G58" i="20"/>
  <c r="G57" i="20"/>
  <c r="G56" i="20"/>
  <c r="G55" i="20"/>
  <c r="G54" i="20"/>
  <c r="G53" i="20"/>
  <c r="G52" i="20"/>
  <c r="G51" i="20"/>
  <c r="G50" i="20"/>
  <c r="G49" i="20"/>
  <c r="G46" i="20"/>
  <c r="G45" i="20"/>
  <c r="G44" i="20"/>
  <c r="G43" i="20"/>
  <c r="G42" i="20"/>
  <c r="G41" i="20"/>
  <c r="G40" i="20"/>
  <c r="G39" i="20"/>
  <c r="G38" i="20"/>
  <c r="G37" i="20"/>
  <c r="G36" i="20"/>
  <c r="G35" i="20"/>
  <c r="E29" i="20"/>
  <c r="G29" i="20" s="1"/>
  <c r="G22" i="20"/>
  <c r="G18" i="20"/>
  <c r="E31" i="20" s="1"/>
  <c r="G31" i="20" s="1"/>
  <c r="K9" i="20"/>
  <c r="M8" i="20"/>
  <c r="G185" i="19"/>
  <c r="G184" i="19"/>
  <c r="G183" i="19"/>
  <c r="G180" i="19"/>
  <c r="U23" i="45" s="1"/>
  <c r="G179" i="19"/>
  <c r="U22" i="45" s="1"/>
  <c r="G178" i="19"/>
  <c r="U21" i="45" s="1"/>
  <c r="G175" i="19"/>
  <c r="U19" i="45" s="1"/>
  <c r="G174" i="19"/>
  <c r="U18" i="45" s="1"/>
  <c r="G173" i="19"/>
  <c r="U17" i="45" s="1"/>
  <c r="G165" i="19"/>
  <c r="G164" i="19"/>
  <c r="G163" i="19"/>
  <c r="G162" i="19"/>
  <c r="AB22" i="44" s="1"/>
  <c r="G161" i="19"/>
  <c r="G142" i="19"/>
  <c r="R22" i="44" s="1"/>
  <c r="G141" i="19"/>
  <c r="Q22" i="44" s="1"/>
  <c r="G140" i="19"/>
  <c r="P22" i="44" s="1"/>
  <c r="G139" i="19"/>
  <c r="O22" i="44" s="1"/>
  <c r="G138" i="19"/>
  <c r="G133" i="19"/>
  <c r="G132" i="19"/>
  <c r="G131" i="19"/>
  <c r="G130" i="19"/>
  <c r="G129" i="19"/>
  <c r="G128" i="19"/>
  <c r="G123" i="19"/>
  <c r="AL22" i="44" s="1"/>
  <c r="G122" i="19"/>
  <c r="AK22" i="44" s="1"/>
  <c r="G121" i="19"/>
  <c r="AJ22" i="44" s="1"/>
  <c r="G120" i="19"/>
  <c r="AI22" i="44" s="1"/>
  <c r="G119" i="19"/>
  <c r="AH22" i="44" s="1"/>
  <c r="G118" i="19"/>
  <c r="AG22" i="44" s="1"/>
  <c r="G117" i="19"/>
  <c r="AF22" i="44" s="1"/>
  <c r="G116" i="19"/>
  <c r="AE22" i="44" s="1"/>
  <c r="G115" i="19"/>
  <c r="G114" i="19"/>
  <c r="G113" i="19"/>
  <c r="G112" i="19"/>
  <c r="G92" i="19"/>
  <c r="AL21" i="1" s="1"/>
  <c r="G91" i="19"/>
  <c r="G90" i="19"/>
  <c r="G89" i="19"/>
  <c r="G88" i="19"/>
  <c r="G87" i="19"/>
  <c r="AC21" i="1" s="1"/>
  <c r="G86" i="19"/>
  <c r="AB21" i="1" s="1"/>
  <c r="G85" i="19"/>
  <c r="AA21" i="1" s="1"/>
  <c r="Z21" i="1"/>
  <c r="G83" i="19"/>
  <c r="G82" i="19"/>
  <c r="G78" i="19"/>
  <c r="AS22" i="44" s="1"/>
  <c r="G77" i="19"/>
  <c r="AR22" i="44" s="1"/>
  <c r="AQ22" i="44"/>
  <c r="G75" i="19"/>
  <c r="AP22" i="44" s="1"/>
  <c r="G70" i="19"/>
  <c r="U15" i="45" s="1"/>
  <c r="G69" i="19"/>
  <c r="U14" i="45" s="1"/>
  <c r="G68" i="19"/>
  <c r="U13" i="45" s="1"/>
  <c r="G66" i="19"/>
  <c r="G65" i="19"/>
  <c r="G63" i="19"/>
  <c r="U8" i="45" s="1"/>
  <c r="G62" i="19"/>
  <c r="U7" i="45" s="1"/>
  <c r="G58" i="19"/>
  <c r="G57" i="19"/>
  <c r="G56" i="19"/>
  <c r="G55" i="19"/>
  <c r="G54" i="19"/>
  <c r="G53" i="19"/>
  <c r="G52" i="19"/>
  <c r="G51" i="19"/>
  <c r="G50" i="19"/>
  <c r="G49" i="19"/>
  <c r="G46" i="19"/>
  <c r="G45" i="19"/>
  <c r="G44" i="19"/>
  <c r="G43" i="19"/>
  <c r="G42" i="19"/>
  <c r="G41" i="19"/>
  <c r="G40" i="19"/>
  <c r="G39" i="19"/>
  <c r="G38" i="19"/>
  <c r="G37" i="19"/>
  <c r="G36" i="19"/>
  <c r="G35" i="19"/>
  <c r="G29" i="19"/>
  <c r="G18" i="19"/>
  <c r="E31" i="19" s="1"/>
  <c r="G31" i="19" s="1"/>
  <c r="K9" i="19"/>
  <c r="M8" i="19"/>
  <c r="G185" i="18"/>
  <c r="G184" i="18"/>
  <c r="G183" i="18"/>
  <c r="G180" i="18"/>
  <c r="T23" i="45" s="1"/>
  <c r="G179" i="18"/>
  <c r="T22" i="45" s="1"/>
  <c r="G178" i="18"/>
  <c r="T21" i="45" s="1"/>
  <c r="G175" i="18"/>
  <c r="T19" i="45" s="1"/>
  <c r="G174" i="18"/>
  <c r="T18" i="45" s="1"/>
  <c r="G173" i="18"/>
  <c r="T17" i="45" s="1"/>
  <c r="G165" i="18"/>
  <c r="G164" i="18"/>
  <c r="G163" i="18"/>
  <c r="G162" i="18"/>
  <c r="AB21" i="44" s="1"/>
  <c r="G161" i="18"/>
  <c r="G142" i="18"/>
  <c r="R21" i="44" s="1"/>
  <c r="G141" i="18"/>
  <c r="Q21" i="44" s="1"/>
  <c r="G140" i="18"/>
  <c r="P21" i="44" s="1"/>
  <c r="G139" i="18"/>
  <c r="O21" i="44" s="1"/>
  <c r="G138" i="18"/>
  <c r="G133" i="18"/>
  <c r="G132" i="18"/>
  <c r="G131" i="18"/>
  <c r="G130" i="18"/>
  <c r="G129" i="18"/>
  <c r="G128" i="18"/>
  <c r="G123" i="18"/>
  <c r="AL21" i="44" s="1"/>
  <c r="G122" i="18"/>
  <c r="AK21" i="44" s="1"/>
  <c r="G121" i="18"/>
  <c r="AJ21" i="44" s="1"/>
  <c r="G120" i="18"/>
  <c r="AI21" i="44" s="1"/>
  <c r="G119" i="18"/>
  <c r="AH21" i="44" s="1"/>
  <c r="G118" i="18"/>
  <c r="AG21" i="44" s="1"/>
  <c r="G117" i="18"/>
  <c r="AF21" i="44" s="1"/>
  <c r="G116" i="18"/>
  <c r="AE21" i="44" s="1"/>
  <c r="G115" i="18"/>
  <c r="G114" i="18"/>
  <c r="G113" i="18"/>
  <c r="G112" i="18"/>
  <c r="G92" i="18"/>
  <c r="AL20" i="1" s="1"/>
  <c r="G91" i="18"/>
  <c r="G90" i="18"/>
  <c r="G89" i="18"/>
  <c r="G88" i="18"/>
  <c r="G87" i="18"/>
  <c r="AC20" i="1" s="1"/>
  <c r="G86" i="18"/>
  <c r="AB20" i="1" s="1"/>
  <c r="G85" i="18"/>
  <c r="AA20" i="1" s="1"/>
  <c r="G84" i="18"/>
  <c r="Z20" i="1" s="1"/>
  <c r="G83" i="18"/>
  <c r="G82" i="18"/>
  <c r="G78" i="18"/>
  <c r="AS21" i="44" s="1"/>
  <c r="G77" i="18"/>
  <c r="AR21" i="44" s="1"/>
  <c r="G76" i="18"/>
  <c r="AQ21" i="44" s="1"/>
  <c r="G75" i="18"/>
  <c r="AP21" i="44" s="1"/>
  <c r="G74" i="18"/>
  <c r="G70" i="18"/>
  <c r="T15" i="45" s="1"/>
  <c r="G69" i="18"/>
  <c r="T14" i="45" s="1"/>
  <c r="G68" i="18"/>
  <c r="T13" i="45" s="1"/>
  <c r="G67" i="18"/>
  <c r="G66" i="18"/>
  <c r="G65" i="18"/>
  <c r="G63" i="18"/>
  <c r="T8" i="45" s="1"/>
  <c r="G62" i="18"/>
  <c r="T7" i="45" s="1"/>
  <c r="G58" i="18"/>
  <c r="G57" i="18"/>
  <c r="G56" i="18"/>
  <c r="G55" i="18"/>
  <c r="G54" i="18"/>
  <c r="G53" i="18"/>
  <c r="G52" i="18"/>
  <c r="G51" i="18"/>
  <c r="G50" i="18"/>
  <c r="G49" i="18"/>
  <c r="G46" i="18"/>
  <c r="G45" i="18"/>
  <c r="G44" i="18"/>
  <c r="G43" i="18"/>
  <c r="G42" i="18"/>
  <c r="G41" i="18"/>
  <c r="G40" i="18"/>
  <c r="G39" i="18"/>
  <c r="G38" i="18"/>
  <c r="G37" i="18"/>
  <c r="G36" i="18"/>
  <c r="G35" i="18"/>
  <c r="E29" i="18"/>
  <c r="G29" i="18" s="1"/>
  <c r="G22" i="18"/>
  <c r="G18" i="18"/>
  <c r="E31" i="18" s="1"/>
  <c r="G31" i="18" s="1"/>
  <c r="K9" i="18"/>
  <c r="M8" i="18"/>
  <c r="G185" i="17"/>
  <c r="G184" i="17"/>
  <c r="G183" i="17"/>
  <c r="G180" i="17"/>
  <c r="S23" i="45" s="1"/>
  <c r="G179" i="17"/>
  <c r="S22" i="45" s="1"/>
  <c r="G178" i="17"/>
  <c r="S21" i="45" s="1"/>
  <c r="G175" i="17"/>
  <c r="S19" i="45" s="1"/>
  <c r="G174" i="17"/>
  <c r="S18" i="45" s="1"/>
  <c r="G173" i="17"/>
  <c r="S17" i="45" s="1"/>
  <c r="G165" i="17"/>
  <c r="G164" i="17"/>
  <c r="G163" i="17"/>
  <c r="G162" i="17"/>
  <c r="AB20" i="44" s="1"/>
  <c r="G161" i="17"/>
  <c r="AA20" i="44" s="1"/>
  <c r="G142" i="17"/>
  <c r="R20" i="44" s="1"/>
  <c r="G141" i="17"/>
  <c r="Q20" i="44" s="1"/>
  <c r="G140" i="17"/>
  <c r="P20" i="44" s="1"/>
  <c r="G139" i="17"/>
  <c r="O20" i="44" s="1"/>
  <c r="G138" i="17"/>
  <c r="G133" i="17"/>
  <c r="G132" i="17"/>
  <c r="G131" i="17"/>
  <c r="G130" i="17"/>
  <c r="G129" i="17"/>
  <c r="G128" i="17"/>
  <c r="G123" i="17"/>
  <c r="AL20" i="44" s="1"/>
  <c r="G122" i="17"/>
  <c r="AK20" i="44" s="1"/>
  <c r="G121" i="17"/>
  <c r="AJ20" i="44" s="1"/>
  <c r="G120" i="17"/>
  <c r="AI20" i="44" s="1"/>
  <c r="G119" i="17"/>
  <c r="AH20" i="44" s="1"/>
  <c r="G118" i="17"/>
  <c r="AG20" i="44" s="1"/>
  <c r="G117" i="17"/>
  <c r="AF20" i="44" s="1"/>
  <c r="G116" i="17"/>
  <c r="AE20" i="44" s="1"/>
  <c r="G115" i="17"/>
  <c r="G113" i="17"/>
  <c r="G112" i="17"/>
  <c r="AL19" i="1"/>
  <c r="G90" i="17"/>
  <c r="G89" i="17"/>
  <c r="G88" i="17"/>
  <c r="G87" i="17"/>
  <c r="AC19" i="1" s="1"/>
  <c r="G86" i="17"/>
  <c r="AB19" i="1" s="1"/>
  <c r="G85" i="17"/>
  <c r="AA19" i="1" s="1"/>
  <c r="G84" i="17"/>
  <c r="Z19" i="1" s="1"/>
  <c r="G83" i="17"/>
  <c r="G82" i="17"/>
  <c r="G78" i="17"/>
  <c r="AS20" i="44" s="1"/>
  <c r="G77" i="17"/>
  <c r="AR20" i="44" s="1"/>
  <c r="G76" i="17"/>
  <c r="AQ20" i="44" s="1"/>
  <c r="G75" i="17"/>
  <c r="AP20" i="44" s="1"/>
  <c r="G74" i="17"/>
  <c r="G70" i="17"/>
  <c r="S15" i="45" s="1"/>
  <c r="G69" i="17"/>
  <c r="S14" i="45" s="1"/>
  <c r="G68" i="17"/>
  <c r="S13" i="45" s="1"/>
  <c r="G67" i="17"/>
  <c r="G66" i="17"/>
  <c r="G65" i="17"/>
  <c r="G63" i="17"/>
  <c r="S8" i="45" s="1"/>
  <c r="G62" i="17"/>
  <c r="S7" i="45" s="1"/>
  <c r="G58" i="17"/>
  <c r="G57" i="17"/>
  <c r="G56" i="17"/>
  <c r="G55" i="17"/>
  <c r="G54" i="17"/>
  <c r="G53" i="17"/>
  <c r="G52" i="17"/>
  <c r="G51" i="17"/>
  <c r="G50" i="17"/>
  <c r="G49" i="17"/>
  <c r="G46" i="17"/>
  <c r="G45" i="17"/>
  <c r="G44" i="17"/>
  <c r="G43" i="17"/>
  <c r="G42" i="17"/>
  <c r="G41" i="17"/>
  <c r="G40" i="17"/>
  <c r="G39" i="17"/>
  <c r="G38" i="17"/>
  <c r="G37" i="17"/>
  <c r="G36" i="17"/>
  <c r="G35" i="17"/>
  <c r="E29" i="17"/>
  <c r="G29" i="17" s="1"/>
  <c r="G22" i="17"/>
  <c r="G18" i="17"/>
  <c r="E31" i="17" s="1"/>
  <c r="G31" i="17" s="1"/>
  <c r="K9" i="17"/>
  <c r="M8" i="17"/>
  <c r="G185" i="16"/>
  <c r="G184" i="16"/>
  <c r="G183" i="16"/>
  <c r="G180" i="16"/>
  <c r="R23" i="45" s="1"/>
  <c r="G179" i="16"/>
  <c r="R22" i="45" s="1"/>
  <c r="G178" i="16"/>
  <c r="R21" i="45" s="1"/>
  <c r="G175" i="16"/>
  <c r="R19" i="45" s="1"/>
  <c r="G174" i="16"/>
  <c r="R18" i="45" s="1"/>
  <c r="G173" i="16"/>
  <c r="R17" i="45" s="1"/>
  <c r="G165" i="16"/>
  <c r="G164" i="16"/>
  <c r="G163" i="16"/>
  <c r="G162" i="16"/>
  <c r="AB19" i="44" s="1"/>
  <c r="G161" i="16"/>
  <c r="AA19" i="44" s="1"/>
  <c r="G142" i="16"/>
  <c r="R19" i="44" s="1"/>
  <c r="G141" i="16"/>
  <c r="Q19" i="44" s="1"/>
  <c r="G140" i="16"/>
  <c r="P19" i="44" s="1"/>
  <c r="G139" i="16"/>
  <c r="O19" i="44" s="1"/>
  <c r="G138" i="16"/>
  <c r="G133" i="16"/>
  <c r="G132" i="16"/>
  <c r="G131" i="16"/>
  <c r="G130" i="16"/>
  <c r="G129" i="16"/>
  <c r="G128" i="16"/>
  <c r="G123" i="16"/>
  <c r="AL19" i="44" s="1"/>
  <c r="G122" i="16"/>
  <c r="AK19" i="44" s="1"/>
  <c r="G121" i="16"/>
  <c r="AJ19" i="44" s="1"/>
  <c r="G120" i="16"/>
  <c r="AI19" i="44" s="1"/>
  <c r="G119" i="16"/>
  <c r="AH19" i="44" s="1"/>
  <c r="G118" i="16"/>
  <c r="AG19" i="44" s="1"/>
  <c r="G117" i="16"/>
  <c r="AF19" i="44" s="1"/>
  <c r="G116" i="16"/>
  <c r="AE19" i="44" s="1"/>
  <c r="G115" i="16"/>
  <c r="G114" i="16"/>
  <c r="G113" i="16"/>
  <c r="G112" i="16"/>
  <c r="G92" i="16"/>
  <c r="AL18" i="1" s="1"/>
  <c r="G91" i="16"/>
  <c r="G90" i="16"/>
  <c r="G89" i="16"/>
  <c r="G88" i="16"/>
  <c r="G87" i="16"/>
  <c r="AC18" i="1" s="1"/>
  <c r="G86" i="16"/>
  <c r="AB18" i="1" s="1"/>
  <c r="G85" i="16"/>
  <c r="AA18" i="1" s="1"/>
  <c r="G84" i="16"/>
  <c r="Z18" i="1" s="1"/>
  <c r="G83" i="16"/>
  <c r="G82" i="16"/>
  <c r="G78" i="16"/>
  <c r="AS19" i="44" s="1"/>
  <c r="G77" i="16"/>
  <c r="AR19" i="44" s="1"/>
  <c r="G76" i="16"/>
  <c r="AQ19" i="44" s="1"/>
  <c r="G75" i="16"/>
  <c r="AP19" i="44" s="1"/>
  <c r="G74" i="16"/>
  <c r="G70" i="16"/>
  <c r="R15" i="45" s="1"/>
  <c r="G69" i="16"/>
  <c r="R14" i="45" s="1"/>
  <c r="G68" i="16"/>
  <c r="R13" i="45" s="1"/>
  <c r="G67" i="16"/>
  <c r="G66" i="16"/>
  <c r="G65" i="16"/>
  <c r="G63" i="16"/>
  <c r="R8" i="45" s="1"/>
  <c r="G62" i="16"/>
  <c r="R7" i="45" s="1"/>
  <c r="G58" i="16"/>
  <c r="G57" i="16"/>
  <c r="G56" i="16"/>
  <c r="G55" i="16"/>
  <c r="G54" i="16"/>
  <c r="G53" i="16"/>
  <c r="G52" i="16"/>
  <c r="G51" i="16"/>
  <c r="G50" i="16"/>
  <c r="G49" i="16"/>
  <c r="G46" i="16"/>
  <c r="G45" i="16"/>
  <c r="G44" i="16"/>
  <c r="G43" i="16"/>
  <c r="G42" i="16"/>
  <c r="G41" i="16"/>
  <c r="G40" i="16"/>
  <c r="G39" i="16"/>
  <c r="G38" i="16"/>
  <c r="G37" i="16"/>
  <c r="G36" i="16"/>
  <c r="G35" i="16"/>
  <c r="E29" i="16"/>
  <c r="G29" i="16" s="1"/>
  <c r="G22" i="16"/>
  <c r="G18" i="16"/>
  <c r="E31" i="16" s="1"/>
  <c r="G31" i="16" s="1"/>
  <c r="G15" i="16"/>
  <c r="K9" i="16"/>
  <c r="M8" i="16"/>
  <c r="G185" i="15"/>
  <c r="G184" i="15"/>
  <c r="G183" i="15"/>
  <c r="G180" i="15"/>
  <c r="Q23" i="45" s="1"/>
  <c r="G179" i="15"/>
  <c r="Q22" i="45" s="1"/>
  <c r="G178" i="15"/>
  <c r="Q21" i="45" s="1"/>
  <c r="G175" i="15"/>
  <c r="Q19" i="45" s="1"/>
  <c r="G174" i="15"/>
  <c r="Q18" i="45" s="1"/>
  <c r="G173" i="15"/>
  <c r="Q17" i="45" s="1"/>
  <c r="G165" i="15"/>
  <c r="G164" i="15"/>
  <c r="G163" i="15"/>
  <c r="G162" i="15"/>
  <c r="AB18" i="44" s="1"/>
  <c r="G161" i="15"/>
  <c r="G142" i="15"/>
  <c r="R18" i="44" s="1"/>
  <c r="G141" i="15"/>
  <c r="Q18" i="44" s="1"/>
  <c r="G140" i="15"/>
  <c r="P18" i="44" s="1"/>
  <c r="G139" i="15"/>
  <c r="O18" i="44" s="1"/>
  <c r="G138" i="15"/>
  <c r="G133" i="15"/>
  <c r="G132" i="15"/>
  <c r="G131" i="15"/>
  <c r="G130" i="15"/>
  <c r="G129" i="15"/>
  <c r="G128" i="15"/>
  <c r="G123" i="15"/>
  <c r="AL18" i="44" s="1"/>
  <c r="G122" i="15"/>
  <c r="AK18" i="44" s="1"/>
  <c r="G121" i="15"/>
  <c r="AJ18" i="44" s="1"/>
  <c r="G120" i="15"/>
  <c r="AI18" i="44" s="1"/>
  <c r="G119" i="15"/>
  <c r="AH18" i="44" s="1"/>
  <c r="G118" i="15"/>
  <c r="AG18" i="44" s="1"/>
  <c r="G117" i="15"/>
  <c r="AF18" i="44" s="1"/>
  <c r="G116" i="15"/>
  <c r="AE18" i="44" s="1"/>
  <c r="G115" i="15"/>
  <c r="G114" i="15"/>
  <c r="G113" i="15"/>
  <c r="G112" i="15"/>
  <c r="G92" i="15"/>
  <c r="AL17" i="1" s="1"/>
  <c r="G91" i="15"/>
  <c r="G90" i="15"/>
  <c r="G89" i="15"/>
  <c r="G88" i="15"/>
  <c r="G87" i="15"/>
  <c r="AC17" i="1" s="1"/>
  <c r="G86" i="15"/>
  <c r="AB17" i="1" s="1"/>
  <c r="G85" i="15"/>
  <c r="AA17" i="1" s="1"/>
  <c r="G84" i="15"/>
  <c r="Z17" i="1" s="1"/>
  <c r="G83" i="15"/>
  <c r="G82" i="15"/>
  <c r="G78" i="15"/>
  <c r="AS18" i="44" s="1"/>
  <c r="G77" i="15"/>
  <c r="AR18" i="44" s="1"/>
  <c r="G76" i="15"/>
  <c r="AQ18" i="44" s="1"/>
  <c r="G75" i="15"/>
  <c r="AP18" i="44" s="1"/>
  <c r="G74" i="15"/>
  <c r="AO18" i="44" s="1"/>
  <c r="G70" i="15"/>
  <c r="Q15" i="45" s="1"/>
  <c r="G69" i="15"/>
  <c r="Q14" i="45" s="1"/>
  <c r="G68" i="15"/>
  <c r="Q13" i="45" s="1"/>
  <c r="G67" i="15"/>
  <c r="G66" i="15"/>
  <c r="G65" i="15"/>
  <c r="G63" i="15"/>
  <c r="Q8" i="45" s="1"/>
  <c r="G62" i="15"/>
  <c r="Q7" i="45" s="1"/>
  <c r="G58" i="15"/>
  <c r="G57" i="15"/>
  <c r="G56" i="15"/>
  <c r="G55" i="15"/>
  <c r="G54" i="15"/>
  <c r="G53" i="15"/>
  <c r="G52" i="15"/>
  <c r="G51" i="15"/>
  <c r="G50" i="15"/>
  <c r="G49" i="15"/>
  <c r="G46" i="15"/>
  <c r="G45" i="15"/>
  <c r="G44" i="15"/>
  <c r="AO17" i="1" s="1"/>
  <c r="G43" i="15"/>
  <c r="G42" i="15"/>
  <c r="G41" i="15"/>
  <c r="G40" i="15"/>
  <c r="G39" i="15"/>
  <c r="G38" i="15"/>
  <c r="G37" i="15"/>
  <c r="G36" i="15"/>
  <c r="G35" i="15"/>
  <c r="E29" i="15"/>
  <c r="G29" i="15" s="1"/>
  <c r="G22" i="15"/>
  <c r="G18" i="15"/>
  <c r="E31" i="15" s="1"/>
  <c r="G31" i="15" s="1"/>
  <c r="G10" i="15"/>
  <c r="K9" i="15"/>
  <c r="M8" i="15"/>
  <c r="G185" i="14"/>
  <c r="G184" i="14"/>
  <c r="G183" i="14"/>
  <c r="G180" i="14"/>
  <c r="P23" i="45" s="1"/>
  <c r="G179" i="14"/>
  <c r="P22" i="45" s="1"/>
  <c r="G178" i="14"/>
  <c r="P21" i="45" s="1"/>
  <c r="G175" i="14"/>
  <c r="P19" i="45" s="1"/>
  <c r="G174" i="14"/>
  <c r="P18" i="45" s="1"/>
  <c r="G173" i="14"/>
  <c r="P17" i="45" s="1"/>
  <c r="G165" i="14"/>
  <c r="G164" i="14"/>
  <c r="G163" i="14"/>
  <c r="G162" i="14"/>
  <c r="AB17" i="44" s="1"/>
  <c r="G161" i="14"/>
  <c r="AA17" i="44" s="1"/>
  <c r="G142" i="14"/>
  <c r="R17" i="44" s="1"/>
  <c r="G141" i="14"/>
  <c r="Q17" i="44" s="1"/>
  <c r="G140" i="14"/>
  <c r="P17" i="44" s="1"/>
  <c r="G139" i="14"/>
  <c r="O17" i="44" s="1"/>
  <c r="G138" i="14"/>
  <c r="G133" i="14"/>
  <c r="G132" i="14"/>
  <c r="G131" i="14"/>
  <c r="G130" i="14"/>
  <c r="G129" i="14"/>
  <c r="G128" i="14"/>
  <c r="G123" i="14"/>
  <c r="AL17" i="44" s="1"/>
  <c r="G122" i="14"/>
  <c r="AK17" i="44" s="1"/>
  <c r="G121" i="14"/>
  <c r="AJ17" i="44" s="1"/>
  <c r="G120" i="14"/>
  <c r="AI17" i="44" s="1"/>
  <c r="G119" i="14"/>
  <c r="AH17" i="44" s="1"/>
  <c r="G118" i="14"/>
  <c r="AG17" i="44" s="1"/>
  <c r="G117" i="14"/>
  <c r="AF17" i="44" s="1"/>
  <c r="G116" i="14"/>
  <c r="AE17" i="44" s="1"/>
  <c r="G115" i="14"/>
  <c r="G114" i="14"/>
  <c r="G113" i="14"/>
  <c r="G112" i="14"/>
  <c r="G92" i="14"/>
  <c r="AL16" i="1" s="1"/>
  <c r="G91" i="14"/>
  <c r="G90" i="14"/>
  <c r="G89" i="14"/>
  <c r="G88" i="14"/>
  <c r="G87" i="14"/>
  <c r="AC16" i="1" s="1"/>
  <c r="G86" i="14"/>
  <c r="AB16" i="1" s="1"/>
  <c r="G85" i="14"/>
  <c r="AA16" i="1" s="1"/>
  <c r="G84" i="14"/>
  <c r="Z16" i="1" s="1"/>
  <c r="G83" i="14"/>
  <c r="G82" i="14"/>
  <c r="G78" i="14"/>
  <c r="AS17" i="44" s="1"/>
  <c r="G77" i="14"/>
  <c r="AR17" i="44" s="1"/>
  <c r="G76" i="14"/>
  <c r="AQ17" i="44" s="1"/>
  <c r="G75" i="14"/>
  <c r="AP17" i="44" s="1"/>
  <c r="G74" i="14"/>
  <c r="G70" i="14"/>
  <c r="P15" i="45" s="1"/>
  <c r="G69" i="14"/>
  <c r="P14" i="45" s="1"/>
  <c r="G68" i="14"/>
  <c r="P13" i="45" s="1"/>
  <c r="G67" i="14"/>
  <c r="G66" i="14"/>
  <c r="G65" i="14"/>
  <c r="G63" i="14"/>
  <c r="P8" i="45" s="1"/>
  <c r="G62" i="14"/>
  <c r="P7" i="45" s="1"/>
  <c r="G58" i="14"/>
  <c r="G57" i="14"/>
  <c r="G56" i="14"/>
  <c r="G55" i="14"/>
  <c r="G54" i="14"/>
  <c r="G53" i="14"/>
  <c r="G52" i="14"/>
  <c r="G51" i="14"/>
  <c r="G50" i="14"/>
  <c r="G49" i="14"/>
  <c r="G46" i="14"/>
  <c r="G45" i="14"/>
  <c r="G44" i="14"/>
  <c r="G43" i="14"/>
  <c r="G42" i="14"/>
  <c r="G41" i="14"/>
  <c r="G40" i="14"/>
  <c r="G39" i="14"/>
  <c r="G38" i="14"/>
  <c r="G37" i="14"/>
  <c r="G36" i="14"/>
  <c r="G35" i="14"/>
  <c r="E29" i="14"/>
  <c r="G29" i="14" s="1"/>
  <c r="G22" i="14"/>
  <c r="G18" i="14"/>
  <c r="E31" i="14" s="1"/>
  <c r="G31" i="14" s="1"/>
  <c r="G10" i="14"/>
  <c r="K9" i="14"/>
  <c r="M8" i="14"/>
  <c r="G185" i="13"/>
  <c r="G184" i="13"/>
  <c r="G183" i="13"/>
  <c r="G180" i="13"/>
  <c r="O23" i="45" s="1"/>
  <c r="G179" i="13"/>
  <c r="O22" i="45" s="1"/>
  <c r="G178" i="13"/>
  <c r="O21" i="45" s="1"/>
  <c r="G175" i="13"/>
  <c r="O19" i="45" s="1"/>
  <c r="G174" i="13"/>
  <c r="O18" i="45" s="1"/>
  <c r="G173" i="13"/>
  <c r="O17" i="45" s="1"/>
  <c r="G165" i="13"/>
  <c r="G164" i="13"/>
  <c r="G163" i="13"/>
  <c r="G162" i="13"/>
  <c r="AB16" i="44" s="1"/>
  <c r="G161" i="13"/>
  <c r="AA16" i="44" s="1"/>
  <c r="G142" i="13"/>
  <c r="R16" i="44" s="1"/>
  <c r="G141" i="13"/>
  <c r="Q16" i="44" s="1"/>
  <c r="G140" i="13"/>
  <c r="P16" i="44" s="1"/>
  <c r="G139" i="13"/>
  <c r="O16" i="44" s="1"/>
  <c r="G138" i="13"/>
  <c r="G133" i="13"/>
  <c r="G132" i="13"/>
  <c r="G131" i="13"/>
  <c r="G130" i="13"/>
  <c r="G129" i="13"/>
  <c r="G128" i="13"/>
  <c r="G123" i="13"/>
  <c r="AL16" i="44" s="1"/>
  <c r="G122" i="13"/>
  <c r="AK16" i="44" s="1"/>
  <c r="G121" i="13"/>
  <c r="AJ16" i="44" s="1"/>
  <c r="G120" i="13"/>
  <c r="AI16" i="44" s="1"/>
  <c r="G119" i="13"/>
  <c r="AH16" i="44" s="1"/>
  <c r="G118" i="13"/>
  <c r="AG16" i="44" s="1"/>
  <c r="G117" i="13"/>
  <c r="AF16" i="44" s="1"/>
  <c r="G116" i="13"/>
  <c r="AE16" i="44" s="1"/>
  <c r="G115" i="13"/>
  <c r="G114" i="13"/>
  <c r="G113" i="13"/>
  <c r="G112" i="13"/>
  <c r="G92" i="13"/>
  <c r="AL15" i="1" s="1"/>
  <c r="G91" i="13"/>
  <c r="G90" i="13"/>
  <c r="G89" i="13"/>
  <c r="G88" i="13"/>
  <c r="G87" i="13"/>
  <c r="AC15" i="1" s="1"/>
  <c r="G86" i="13"/>
  <c r="AB15" i="1" s="1"/>
  <c r="G85" i="13"/>
  <c r="AA15" i="1" s="1"/>
  <c r="G84" i="13"/>
  <c r="Z15" i="1" s="1"/>
  <c r="G83" i="13"/>
  <c r="G82" i="13"/>
  <c r="G78" i="13"/>
  <c r="AS16" i="44" s="1"/>
  <c r="G77" i="13"/>
  <c r="AR16" i="44" s="1"/>
  <c r="G76" i="13"/>
  <c r="AQ16" i="44" s="1"/>
  <c r="G75" i="13"/>
  <c r="AP16" i="44" s="1"/>
  <c r="G74" i="13"/>
  <c r="G70" i="13"/>
  <c r="G69" i="13"/>
  <c r="O14" i="45" s="1"/>
  <c r="G68" i="13"/>
  <c r="O13" i="45" s="1"/>
  <c r="G67" i="13"/>
  <c r="G66" i="13"/>
  <c r="G65" i="13"/>
  <c r="G63" i="13"/>
  <c r="O8" i="45" s="1"/>
  <c r="G62" i="13"/>
  <c r="G58" i="13"/>
  <c r="G57" i="13"/>
  <c r="G56" i="13"/>
  <c r="G55" i="13"/>
  <c r="G54" i="13"/>
  <c r="G53" i="13"/>
  <c r="G52" i="13"/>
  <c r="G51" i="13"/>
  <c r="G50" i="13"/>
  <c r="G49" i="13"/>
  <c r="G46" i="13"/>
  <c r="G45" i="13"/>
  <c r="G44" i="13"/>
  <c r="G43" i="13"/>
  <c r="G42" i="13"/>
  <c r="G41" i="13"/>
  <c r="G40" i="13"/>
  <c r="G39" i="13"/>
  <c r="G38" i="13"/>
  <c r="G37" i="13"/>
  <c r="G36" i="13"/>
  <c r="G35" i="13"/>
  <c r="E29" i="13"/>
  <c r="G29" i="13" s="1"/>
  <c r="G22" i="13"/>
  <c r="G18" i="13"/>
  <c r="E31" i="13" s="1"/>
  <c r="G31" i="13" s="1"/>
  <c r="G10" i="13"/>
  <c r="K9" i="13"/>
  <c r="M8" i="13"/>
  <c r="G185" i="12"/>
  <c r="G184" i="12"/>
  <c r="G183" i="12"/>
  <c r="G180" i="12"/>
  <c r="N23" i="45" s="1"/>
  <c r="G179" i="12"/>
  <c r="N22" i="45" s="1"/>
  <c r="G178" i="12"/>
  <c r="N21" i="45" s="1"/>
  <c r="G175" i="12"/>
  <c r="N19" i="45" s="1"/>
  <c r="G174" i="12"/>
  <c r="N18" i="45" s="1"/>
  <c r="G173" i="12"/>
  <c r="N17" i="45" s="1"/>
  <c r="G165" i="12"/>
  <c r="G164" i="12"/>
  <c r="G163" i="12"/>
  <c r="G162" i="12"/>
  <c r="AB15" i="44" s="1"/>
  <c r="G161" i="12"/>
  <c r="AA15" i="44" s="1"/>
  <c r="G142" i="12"/>
  <c r="R15" i="44" s="1"/>
  <c r="G141" i="12"/>
  <c r="Q15" i="44" s="1"/>
  <c r="G140" i="12"/>
  <c r="P15" i="44" s="1"/>
  <c r="G139" i="12"/>
  <c r="O15" i="44" s="1"/>
  <c r="G138" i="12"/>
  <c r="G133" i="12"/>
  <c r="G132" i="12"/>
  <c r="G131" i="12"/>
  <c r="G130" i="12"/>
  <c r="G129" i="12"/>
  <c r="G128" i="12"/>
  <c r="G123" i="12"/>
  <c r="AL15" i="44" s="1"/>
  <c r="G122" i="12"/>
  <c r="AK15" i="44" s="1"/>
  <c r="G121" i="12"/>
  <c r="AJ15" i="44" s="1"/>
  <c r="G120" i="12"/>
  <c r="AI15" i="44" s="1"/>
  <c r="G119" i="12"/>
  <c r="AH15" i="44" s="1"/>
  <c r="G118" i="12"/>
  <c r="AG15" i="44" s="1"/>
  <c r="G117" i="12"/>
  <c r="AF15" i="44" s="1"/>
  <c r="G116" i="12"/>
  <c r="AE15" i="44" s="1"/>
  <c r="G115" i="12"/>
  <c r="G114" i="12"/>
  <c r="G113" i="12"/>
  <c r="G112" i="12"/>
  <c r="G92" i="12"/>
  <c r="AL14" i="1" s="1"/>
  <c r="G91" i="12"/>
  <c r="G90" i="12"/>
  <c r="G89" i="12"/>
  <c r="G88" i="12"/>
  <c r="G87" i="12"/>
  <c r="AC14" i="1" s="1"/>
  <c r="G86" i="12"/>
  <c r="AB14" i="1" s="1"/>
  <c r="G85" i="12"/>
  <c r="AA14" i="1" s="1"/>
  <c r="G84" i="12"/>
  <c r="Z14" i="1" s="1"/>
  <c r="G83" i="12"/>
  <c r="G82" i="12"/>
  <c r="G78" i="12"/>
  <c r="AS15" i="44" s="1"/>
  <c r="G77" i="12"/>
  <c r="AR15" i="44" s="1"/>
  <c r="G76" i="12"/>
  <c r="AQ15" i="44" s="1"/>
  <c r="G75" i="12"/>
  <c r="AP15" i="44" s="1"/>
  <c r="G74" i="12"/>
  <c r="G70" i="12"/>
  <c r="N15" i="45" s="1"/>
  <c r="G69" i="12"/>
  <c r="N14" i="45" s="1"/>
  <c r="G68" i="12"/>
  <c r="N13" i="45" s="1"/>
  <c r="G67" i="12"/>
  <c r="G66" i="12"/>
  <c r="G65" i="12"/>
  <c r="G63" i="12"/>
  <c r="N8" i="45" s="1"/>
  <c r="G62" i="12"/>
  <c r="G58" i="12"/>
  <c r="G57" i="12"/>
  <c r="G56" i="12"/>
  <c r="G55" i="12"/>
  <c r="G54" i="12"/>
  <c r="G53" i="12"/>
  <c r="G52" i="12"/>
  <c r="G51" i="12"/>
  <c r="G50" i="12"/>
  <c r="G49" i="12"/>
  <c r="G46" i="12"/>
  <c r="G45" i="12"/>
  <c r="G44" i="12"/>
  <c r="G43" i="12"/>
  <c r="G42" i="12"/>
  <c r="G41" i="12"/>
  <c r="G40" i="12"/>
  <c r="G39" i="12"/>
  <c r="G38" i="12"/>
  <c r="G37" i="12"/>
  <c r="G36" i="12"/>
  <c r="G35" i="12"/>
  <c r="E29" i="12"/>
  <c r="G29" i="12" s="1"/>
  <c r="G22" i="12"/>
  <c r="G18" i="12"/>
  <c r="E31" i="12" s="1"/>
  <c r="G31" i="12" s="1"/>
  <c r="G10" i="12"/>
  <c r="K9" i="12"/>
  <c r="M8" i="12"/>
  <c r="G185" i="11"/>
  <c r="G184" i="11"/>
  <c r="G183" i="11"/>
  <c r="G180" i="11"/>
  <c r="M23" i="45" s="1"/>
  <c r="G179" i="11"/>
  <c r="M22" i="45" s="1"/>
  <c r="G178" i="11"/>
  <c r="M21" i="45" s="1"/>
  <c r="G175" i="11"/>
  <c r="M19" i="45" s="1"/>
  <c r="G174" i="11"/>
  <c r="M18" i="45" s="1"/>
  <c r="G173" i="11"/>
  <c r="M17" i="45" s="1"/>
  <c r="G165" i="11"/>
  <c r="G164" i="11"/>
  <c r="G163" i="11"/>
  <c r="G162" i="11"/>
  <c r="AB14" i="44" s="1"/>
  <c r="G161" i="11"/>
  <c r="AA14" i="44" s="1"/>
  <c r="G142" i="11"/>
  <c r="R14" i="44" s="1"/>
  <c r="G141" i="11"/>
  <c r="Q14" i="44" s="1"/>
  <c r="G140" i="11"/>
  <c r="P14" i="44" s="1"/>
  <c r="G139" i="11"/>
  <c r="O14" i="44" s="1"/>
  <c r="G138" i="11"/>
  <c r="G133" i="11"/>
  <c r="AM14" i="44" s="1"/>
  <c r="G132" i="11"/>
  <c r="G131" i="11"/>
  <c r="G130" i="11"/>
  <c r="G129" i="11"/>
  <c r="G128" i="11"/>
  <c r="G123" i="11"/>
  <c r="AL14" i="44" s="1"/>
  <c r="G122" i="11"/>
  <c r="AK14" i="44" s="1"/>
  <c r="G121" i="11"/>
  <c r="AJ14" i="44" s="1"/>
  <c r="G120" i="11"/>
  <c r="AI14" i="44" s="1"/>
  <c r="G119" i="11"/>
  <c r="AH14" i="44" s="1"/>
  <c r="G118" i="11"/>
  <c r="AG14" i="44" s="1"/>
  <c r="G117" i="11"/>
  <c r="AF14" i="44" s="1"/>
  <c r="G116" i="11"/>
  <c r="AE14" i="44" s="1"/>
  <c r="G115" i="11"/>
  <c r="G114" i="11"/>
  <c r="G113" i="11"/>
  <c r="G112" i="11"/>
  <c r="G92" i="11"/>
  <c r="AL13" i="1" s="1"/>
  <c r="G91" i="11"/>
  <c r="G90" i="11"/>
  <c r="G89" i="11"/>
  <c r="G88" i="11"/>
  <c r="G87" i="11"/>
  <c r="AC13" i="1" s="1"/>
  <c r="G86" i="11"/>
  <c r="AB13" i="1" s="1"/>
  <c r="G85" i="11"/>
  <c r="AA13" i="1" s="1"/>
  <c r="G84" i="11"/>
  <c r="Z13" i="1" s="1"/>
  <c r="G83" i="11"/>
  <c r="G82" i="11"/>
  <c r="G78" i="11"/>
  <c r="AS14" i="44" s="1"/>
  <c r="G77" i="11"/>
  <c r="AR14" i="44" s="1"/>
  <c r="G76" i="11"/>
  <c r="AQ14" i="44" s="1"/>
  <c r="G75" i="11"/>
  <c r="AP14" i="44" s="1"/>
  <c r="G74" i="11"/>
  <c r="G70" i="11"/>
  <c r="M15" i="45" s="1"/>
  <c r="G69" i="11"/>
  <c r="M14" i="45" s="1"/>
  <c r="G68" i="11"/>
  <c r="M13" i="45" s="1"/>
  <c r="G67" i="11"/>
  <c r="G66" i="11"/>
  <c r="G65" i="11"/>
  <c r="G63" i="11"/>
  <c r="M8" i="45" s="1"/>
  <c r="G62" i="11"/>
  <c r="M7" i="45" s="1"/>
  <c r="G58" i="11"/>
  <c r="G57" i="11"/>
  <c r="G56" i="11"/>
  <c r="G55" i="11"/>
  <c r="G54" i="11"/>
  <c r="G53" i="11"/>
  <c r="G52" i="11"/>
  <c r="G51" i="11"/>
  <c r="G50" i="11"/>
  <c r="G49" i="11"/>
  <c r="G46" i="11"/>
  <c r="G45" i="11"/>
  <c r="G44" i="11"/>
  <c r="G43" i="11"/>
  <c r="G42" i="11"/>
  <c r="G41" i="11"/>
  <c r="G40" i="11"/>
  <c r="G39" i="11"/>
  <c r="G38" i="11"/>
  <c r="G37" i="11"/>
  <c r="G36" i="11"/>
  <c r="G35" i="11"/>
  <c r="E29" i="11"/>
  <c r="G29" i="11" s="1"/>
  <c r="G22" i="11"/>
  <c r="G18" i="11"/>
  <c r="E31" i="11" s="1"/>
  <c r="G31" i="11" s="1"/>
  <c r="G10" i="11"/>
  <c r="K9" i="11"/>
  <c r="M8" i="11"/>
  <c r="G185" i="10"/>
  <c r="G184" i="10"/>
  <c r="G183" i="10"/>
  <c r="G180" i="10"/>
  <c r="L23" i="45" s="1"/>
  <c r="G179" i="10"/>
  <c r="L22" i="45" s="1"/>
  <c r="G178" i="10"/>
  <c r="L21" i="45" s="1"/>
  <c r="G175" i="10"/>
  <c r="L19" i="45" s="1"/>
  <c r="G174" i="10"/>
  <c r="L18" i="45" s="1"/>
  <c r="G173" i="10"/>
  <c r="L17" i="45" s="1"/>
  <c r="G165" i="10"/>
  <c r="G164" i="10"/>
  <c r="G163" i="10"/>
  <c r="G162" i="10"/>
  <c r="AB13" i="44" s="1"/>
  <c r="G161" i="10"/>
  <c r="AA13" i="44" s="1"/>
  <c r="G142" i="10"/>
  <c r="R13" i="44" s="1"/>
  <c r="G141" i="10"/>
  <c r="Q13" i="44" s="1"/>
  <c r="G140" i="10"/>
  <c r="P13" i="44" s="1"/>
  <c r="G139" i="10"/>
  <c r="O13" i="44" s="1"/>
  <c r="G138" i="10"/>
  <c r="G133" i="10"/>
  <c r="AM13" i="44" s="1"/>
  <c r="G132" i="10"/>
  <c r="G131" i="10"/>
  <c r="G130" i="10"/>
  <c r="G129" i="10"/>
  <c r="G128" i="10"/>
  <c r="G123" i="10"/>
  <c r="AL13" i="44" s="1"/>
  <c r="G122" i="10"/>
  <c r="AK13" i="44" s="1"/>
  <c r="G121" i="10"/>
  <c r="AJ13" i="44" s="1"/>
  <c r="G120" i="10"/>
  <c r="AI13" i="44" s="1"/>
  <c r="G119" i="10"/>
  <c r="AH13" i="44" s="1"/>
  <c r="G118" i="10"/>
  <c r="AG13" i="44" s="1"/>
  <c r="G117" i="10"/>
  <c r="AF13" i="44" s="1"/>
  <c r="G116" i="10"/>
  <c r="AE13" i="44" s="1"/>
  <c r="G115" i="10"/>
  <c r="G114" i="10"/>
  <c r="G113" i="10"/>
  <c r="G112" i="10"/>
  <c r="G92" i="10"/>
  <c r="AL12" i="1" s="1"/>
  <c r="G91" i="10"/>
  <c r="G90" i="10"/>
  <c r="G89" i="10"/>
  <c r="G88" i="10"/>
  <c r="G87" i="10"/>
  <c r="AC12" i="1" s="1"/>
  <c r="G86" i="10"/>
  <c r="AB12" i="1" s="1"/>
  <c r="G85" i="10"/>
  <c r="AA12" i="1" s="1"/>
  <c r="G84" i="10"/>
  <c r="Z12" i="1" s="1"/>
  <c r="G83" i="10"/>
  <c r="G82" i="10"/>
  <c r="G78" i="10"/>
  <c r="AS13" i="44" s="1"/>
  <c r="G77" i="10"/>
  <c r="AR13" i="44" s="1"/>
  <c r="G76" i="10"/>
  <c r="AQ13" i="44" s="1"/>
  <c r="G75" i="10"/>
  <c r="AP13" i="44" s="1"/>
  <c r="G74" i="10"/>
  <c r="G70" i="10"/>
  <c r="L15" i="45" s="1"/>
  <c r="G69" i="10"/>
  <c r="L14" i="45" s="1"/>
  <c r="G68" i="10"/>
  <c r="L13" i="45" s="1"/>
  <c r="G67" i="10"/>
  <c r="G66" i="10"/>
  <c r="G65" i="10"/>
  <c r="G63" i="10"/>
  <c r="L8" i="45" s="1"/>
  <c r="G62" i="10"/>
  <c r="G58" i="10"/>
  <c r="G57" i="10"/>
  <c r="G56" i="10"/>
  <c r="G55" i="10"/>
  <c r="G54" i="10"/>
  <c r="G53" i="10"/>
  <c r="G52" i="10"/>
  <c r="G51" i="10"/>
  <c r="G50" i="10"/>
  <c r="G49" i="10"/>
  <c r="G46" i="10"/>
  <c r="G45" i="10"/>
  <c r="G44" i="10"/>
  <c r="G43" i="10"/>
  <c r="G42" i="10"/>
  <c r="G41" i="10"/>
  <c r="G40" i="10"/>
  <c r="G39" i="10"/>
  <c r="G38" i="10"/>
  <c r="G37" i="10"/>
  <c r="G36" i="10"/>
  <c r="G35" i="10"/>
  <c r="E29" i="10"/>
  <c r="G29" i="10" s="1"/>
  <c r="G22" i="10"/>
  <c r="G18" i="10"/>
  <c r="E31" i="10" s="1"/>
  <c r="G31" i="10" s="1"/>
  <c r="G10" i="10"/>
  <c r="K9" i="10"/>
  <c r="M8" i="10"/>
  <c r="G185" i="9"/>
  <c r="G184" i="9"/>
  <c r="G183" i="9"/>
  <c r="G180" i="9"/>
  <c r="K23" i="45" s="1"/>
  <c r="G179" i="9"/>
  <c r="K22" i="45" s="1"/>
  <c r="G178" i="9"/>
  <c r="K21" i="45" s="1"/>
  <c r="G175" i="9"/>
  <c r="K19" i="45" s="1"/>
  <c r="G174" i="9"/>
  <c r="K18" i="45" s="1"/>
  <c r="G173" i="9"/>
  <c r="K17" i="45" s="1"/>
  <c r="G165" i="9"/>
  <c r="G164" i="9"/>
  <c r="G163" i="9"/>
  <c r="G162" i="9"/>
  <c r="AB12" i="44" s="1"/>
  <c r="G161" i="9"/>
  <c r="AA12" i="44" s="1"/>
  <c r="G142" i="9"/>
  <c r="R12" i="44" s="1"/>
  <c r="G141" i="9"/>
  <c r="Q12" i="44" s="1"/>
  <c r="G140" i="9"/>
  <c r="P12" i="44" s="1"/>
  <c r="G139" i="9"/>
  <c r="O12" i="44" s="1"/>
  <c r="G138" i="9"/>
  <c r="G133" i="9"/>
  <c r="AM12" i="44" s="1"/>
  <c r="G132" i="9"/>
  <c r="G131" i="9"/>
  <c r="G130" i="9"/>
  <c r="G129" i="9"/>
  <c r="G128" i="9"/>
  <c r="G123" i="9"/>
  <c r="AL12" i="44" s="1"/>
  <c r="G122" i="9"/>
  <c r="AK12" i="44" s="1"/>
  <c r="G121" i="9"/>
  <c r="AJ12" i="44" s="1"/>
  <c r="G120" i="9"/>
  <c r="AI12" i="44" s="1"/>
  <c r="G119" i="9"/>
  <c r="AH12" i="44" s="1"/>
  <c r="G118" i="9"/>
  <c r="AG12" i="44" s="1"/>
  <c r="G117" i="9"/>
  <c r="AF12" i="44" s="1"/>
  <c r="G116" i="9"/>
  <c r="AE12" i="44" s="1"/>
  <c r="G115" i="9"/>
  <c r="G114" i="9"/>
  <c r="G113" i="9"/>
  <c r="G112" i="9"/>
  <c r="G92" i="9"/>
  <c r="AL11" i="1" s="1"/>
  <c r="G91" i="9"/>
  <c r="G90" i="9"/>
  <c r="G89" i="9"/>
  <c r="G88" i="9"/>
  <c r="G87" i="9"/>
  <c r="AC11" i="1" s="1"/>
  <c r="G86" i="9"/>
  <c r="AB11" i="1" s="1"/>
  <c r="G85" i="9"/>
  <c r="AA11" i="1" s="1"/>
  <c r="G84" i="9"/>
  <c r="Z11" i="1" s="1"/>
  <c r="G83" i="9"/>
  <c r="G82" i="9"/>
  <c r="G78" i="9"/>
  <c r="AS12" i="44" s="1"/>
  <c r="G77" i="9"/>
  <c r="AR12" i="44" s="1"/>
  <c r="G76" i="9"/>
  <c r="AQ12" i="44" s="1"/>
  <c r="G75" i="9"/>
  <c r="AP12" i="44" s="1"/>
  <c r="G74" i="9"/>
  <c r="G70" i="9"/>
  <c r="K15" i="45" s="1"/>
  <c r="G69" i="9"/>
  <c r="K14" i="45" s="1"/>
  <c r="G68" i="9"/>
  <c r="K13" i="45" s="1"/>
  <c r="G67" i="9"/>
  <c r="G66" i="9"/>
  <c r="G65" i="9"/>
  <c r="G63" i="9"/>
  <c r="K8" i="45" s="1"/>
  <c r="G62" i="9"/>
  <c r="G58" i="9"/>
  <c r="G57" i="9"/>
  <c r="G56" i="9"/>
  <c r="G55" i="9"/>
  <c r="G54" i="9"/>
  <c r="G53" i="9"/>
  <c r="G52" i="9"/>
  <c r="G51" i="9"/>
  <c r="G50" i="9"/>
  <c r="G49" i="9"/>
  <c r="G46" i="9"/>
  <c r="G45" i="9"/>
  <c r="G44" i="9"/>
  <c r="G43" i="9"/>
  <c r="G42" i="9"/>
  <c r="G41" i="9"/>
  <c r="G40" i="9"/>
  <c r="G39" i="9"/>
  <c r="G38" i="9"/>
  <c r="G37" i="9"/>
  <c r="G36" i="9"/>
  <c r="G35" i="9"/>
  <c r="E29" i="9"/>
  <c r="G29" i="9" s="1"/>
  <c r="G22" i="9"/>
  <c r="G18" i="9"/>
  <c r="G10" i="9"/>
  <c r="K9" i="9"/>
  <c r="M8" i="9"/>
  <c r="G47" i="17" l="1"/>
  <c r="N7" i="45"/>
  <c r="O15" i="45"/>
  <c r="G188" i="13"/>
  <c r="G13" i="3"/>
  <c r="H13" i="3" s="1"/>
  <c r="J13" i="3" s="1"/>
  <c r="E19" i="7"/>
  <c r="E15" i="8"/>
  <c r="G15" i="18"/>
  <c r="G79" i="18" s="1"/>
  <c r="G80" i="18" s="1"/>
  <c r="E7" i="8"/>
  <c r="G10" i="17"/>
  <c r="E8" i="8"/>
  <c r="E9" i="8"/>
  <c r="AD13" i="44"/>
  <c r="G47" i="29"/>
  <c r="AD29" i="44"/>
  <c r="G153" i="19"/>
  <c r="I153" i="19" s="1"/>
  <c r="G47" i="19"/>
  <c r="AD24" i="44"/>
  <c r="AD22" i="44"/>
  <c r="AD21" i="44"/>
  <c r="AD32" i="44"/>
  <c r="AD26" i="44"/>
  <c r="AD27" i="44"/>
  <c r="AD31" i="44"/>
  <c r="AD35" i="44"/>
  <c r="AD33" i="44"/>
  <c r="AD34" i="44"/>
  <c r="G153" i="29"/>
  <c r="I153" i="29" s="1"/>
  <c r="AD30" i="44"/>
  <c r="AD28" i="44"/>
  <c r="AD25" i="44"/>
  <c r="AD23" i="44"/>
  <c r="AD20" i="44"/>
  <c r="AD19" i="44"/>
  <c r="AD18" i="44"/>
  <c r="AD17" i="44"/>
  <c r="AD16" i="44"/>
  <c r="AD15" i="44"/>
  <c r="AD14" i="44"/>
  <c r="AD12" i="44"/>
  <c r="AF21" i="45"/>
  <c r="G181" i="30"/>
  <c r="G189" i="30" s="1"/>
  <c r="G135" i="12"/>
  <c r="I135" i="12" s="1"/>
  <c r="G135" i="19"/>
  <c r="I135" i="19" s="1"/>
  <c r="G135" i="9"/>
  <c r="I135" i="9" s="1"/>
  <c r="G125" i="23"/>
  <c r="I125" i="23" s="1"/>
  <c r="G135" i="22"/>
  <c r="I135" i="22" s="1"/>
  <c r="G125" i="11"/>
  <c r="I125" i="11" s="1"/>
  <c r="G135" i="13"/>
  <c r="I135" i="13" s="1"/>
  <c r="G135" i="28"/>
  <c r="I135" i="28" s="1"/>
  <c r="G125" i="31"/>
  <c r="I125" i="31" s="1"/>
  <c r="G135" i="40"/>
  <c r="I135" i="40" s="1"/>
  <c r="N25" i="44"/>
  <c r="G153" i="22"/>
  <c r="I153" i="22" s="1"/>
  <c r="N18" i="44"/>
  <c r="G153" i="15"/>
  <c r="I153" i="15" s="1"/>
  <c r="G135" i="18"/>
  <c r="I135" i="18" s="1"/>
  <c r="G125" i="20"/>
  <c r="I125" i="20" s="1"/>
  <c r="N26" i="44"/>
  <c r="G153" i="23"/>
  <c r="I153" i="23" s="1"/>
  <c r="G125" i="27"/>
  <c r="I125" i="27" s="1"/>
  <c r="N32" i="44"/>
  <c r="G135" i="43"/>
  <c r="I135" i="43" s="1"/>
  <c r="N29" i="44"/>
  <c r="G153" i="40"/>
  <c r="I153" i="40" s="1"/>
  <c r="G125" i="10"/>
  <c r="I125" i="10" s="1"/>
  <c r="N14" i="44"/>
  <c r="G153" i="11"/>
  <c r="I153" i="11" s="1"/>
  <c r="G125" i="14"/>
  <c r="I125" i="14" s="1"/>
  <c r="G125" i="16"/>
  <c r="I125" i="16" s="1"/>
  <c r="G125" i="30"/>
  <c r="I125" i="30" s="1"/>
  <c r="N35" i="44"/>
  <c r="G153" i="31"/>
  <c r="I153" i="31" s="1"/>
  <c r="G135" i="15"/>
  <c r="I135" i="15" s="1"/>
  <c r="G125" i="17"/>
  <c r="I125" i="17" s="1"/>
  <c r="N23" i="44"/>
  <c r="G153" i="20"/>
  <c r="I153" i="20" s="1"/>
  <c r="G125" i="21"/>
  <c r="I125" i="21" s="1"/>
  <c r="G125" i="25"/>
  <c r="I125" i="25" s="1"/>
  <c r="N30" i="44"/>
  <c r="G153" i="27"/>
  <c r="I153" i="27" s="1"/>
  <c r="G135" i="29"/>
  <c r="I135" i="29" s="1"/>
  <c r="N15" i="44"/>
  <c r="G153" i="12"/>
  <c r="I153" i="12" s="1"/>
  <c r="G125" i="9"/>
  <c r="I125" i="9" s="1"/>
  <c r="N13" i="44"/>
  <c r="G153" i="10"/>
  <c r="I153" i="10" s="1"/>
  <c r="G135" i="11"/>
  <c r="I135" i="11" s="1"/>
  <c r="G125" i="13"/>
  <c r="N17" i="44"/>
  <c r="G153" i="14"/>
  <c r="I153" i="14" s="1"/>
  <c r="N19" i="44"/>
  <c r="G153" i="16"/>
  <c r="I153" i="16" s="1"/>
  <c r="N20" i="44"/>
  <c r="G153" i="17"/>
  <c r="I153" i="17" s="1"/>
  <c r="G135" i="23"/>
  <c r="I135" i="23" s="1"/>
  <c r="G125" i="28"/>
  <c r="I125" i="28" s="1"/>
  <c r="N33" i="44"/>
  <c r="G153" i="30"/>
  <c r="I153" i="30" s="1"/>
  <c r="G135" i="31"/>
  <c r="I135" i="31" s="1"/>
  <c r="G125" i="18"/>
  <c r="I125" i="18" s="1"/>
  <c r="G135" i="20"/>
  <c r="I135" i="20" s="1"/>
  <c r="N24" i="44"/>
  <c r="G153" i="21"/>
  <c r="I153" i="21" s="1"/>
  <c r="G135" i="27"/>
  <c r="I135" i="27" s="1"/>
  <c r="G125" i="43"/>
  <c r="I125" i="43" s="1"/>
  <c r="N12" i="44"/>
  <c r="G153" i="9"/>
  <c r="I153" i="9" s="1"/>
  <c r="G135" i="10"/>
  <c r="I135" i="10" s="1"/>
  <c r="G125" i="12"/>
  <c r="I125" i="12" s="1"/>
  <c r="N16" i="44"/>
  <c r="G153" i="13"/>
  <c r="I153" i="13" s="1"/>
  <c r="G135" i="14"/>
  <c r="I135" i="14" s="1"/>
  <c r="G135" i="16"/>
  <c r="I135" i="16" s="1"/>
  <c r="G135" i="17"/>
  <c r="I135" i="17" s="1"/>
  <c r="G125" i="19"/>
  <c r="I125" i="19" s="1"/>
  <c r="G125" i="22"/>
  <c r="I125" i="22" s="1"/>
  <c r="G125" i="40"/>
  <c r="I125" i="40" s="1"/>
  <c r="N31" i="44"/>
  <c r="G153" i="28"/>
  <c r="I153" i="28" s="1"/>
  <c r="G135" i="30"/>
  <c r="I135" i="30" s="1"/>
  <c r="G125" i="15"/>
  <c r="I125" i="15" s="1"/>
  <c r="G153" i="18"/>
  <c r="I153" i="18" s="1"/>
  <c r="G135" i="21"/>
  <c r="I135" i="21" s="1"/>
  <c r="G135" i="25"/>
  <c r="I135" i="25" s="1"/>
  <c r="G125" i="29"/>
  <c r="I125" i="29" s="1"/>
  <c r="N34" i="44"/>
  <c r="G153" i="43"/>
  <c r="I153" i="43" s="1"/>
  <c r="N28" i="44"/>
  <c r="G153" i="25"/>
  <c r="I153" i="25" s="1"/>
  <c r="N27" i="44"/>
  <c r="G153" i="24"/>
  <c r="I153" i="24" s="1"/>
  <c r="G135" i="24"/>
  <c r="I135" i="24" s="1"/>
  <c r="G125" i="24"/>
  <c r="I125" i="24" s="1"/>
  <c r="G94" i="29"/>
  <c r="G188" i="40"/>
  <c r="G188" i="30"/>
  <c r="G188" i="23"/>
  <c r="G98" i="20"/>
  <c r="G188" i="22"/>
  <c r="G188" i="25"/>
  <c r="G188" i="29"/>
  <c r="O7" i="45"/>
  <c r="G188" i="10"/>
  <c r="G188" i="19"/>
  <c r="G188" i="18"/>
  <c r="G188" i="15"/>
  <c r="G188" i="14"/>
  <c r="G102" i="11"/>
  <c r="G100" i="12"/>
  <c r="G100" i="20"/>
  <c r="G100" i="27"/>
  <c r="L7" i="45"/>
  <c r="G188" i="9"/>
  <c r="G188" i="17"/>
  <c r="G188" i="28"/>
  <c r="G188" i="31"/>
  <c r="G188" i="16"/>
  <c r="G188" i="20"/>
  <c r="G188" i="24"/>
  <c r="G188" i="27"/>
  <c r="G188" i="43"/>
  <c r="K7" i="45"/>
  <c r="G188" i="12"/>
  <c r="G188" i="11"/>
  <c r="W7" i="45"/>
  <c r="G188" i="21"/>
  <c r="H156" i="9"/>
  <c r="H156" i="10" s="1"/>
  <c r="G102" i="30"/>
  <c r="G100" i="43"/>
  <c r="G94" i="13"/>
  <c r="G104" i="25"/>
  <c r="G102" i="9"/>
  <c r="G100" i="18"/>
  <c r="G102" i="21"/>
  <c r="G100" i="22"/>
  <c r="G104" i="13"/>
  <c r="G98" i="25"/>
  <c r="G98" i="29"/>
  <c r="G102" i="20"/>
  <c r="G100" i="21"/>
  <c r="W13" i="1"/>
  <c r="M10" i="45"/>
  <c r="G102" i="15"/>
  <c r="W17" i="1"/>
  <c r="Q10" i="45"/>
  <c r="G100" i="16"/>
  <c r="W21" i="1"/>
  <c r="U10" i="45"/>
  <c r="G102" i="23"/>
  <c r="W25" i="1"/>
  <c r="Y10" i="45"/>
  <c r="G102" i="40"/>
  <c r="W28" i="1"/>
  <c r="AB10" i="45"/>
  <c r="W32" i="1"/>
  <c r="AF10" i="45"/>
  <c r="V12" i="1"/>
  <c r="L9" i="45"/>
  <c r="X13" i="1"/>
  <c r="M11" i="45"/>
  <c r="V16" i="1"/>
  <c r="P9" i="45"/>
  <c r="X17" i="1"/>
  <c r="Q11" i="45"/>
  <c r="V20" i="1"/>
  <c r="T9" i="45"/>
  <c r="X21" i="1"/>
  <c r="U11" i="45"/>
  <c r="V24" i="1"/>
  <c r="X9" i="45"/>
  <c r="X25" i="1"/>
  <c r="Y11" i="45"/>
  <c r="V27" i="1"/>
  <c r="AA9" i="45"/>
  <c r="X28" i="1"/>
  <c r="AB11" i="45"/>
  <c r="V31" i="1"/>
  <c r="AE9" i="45"/>
  <c r="X32" i="1"/>
  <c r="AF11" i="45"/>
  <c r="W12" i="1"/>
  <c r="L10" i="45"/>
  <c r="G100" i="11"/>
  <c r="W16" i="1"/>
  <c r="P10" i="45"/>
  <c r="W20" i="1"/>
  <c r="T10" i="45"/>
  <c r="W24" i="1"/>
  <c r="X10" i="45"/>
  <c r="G102" i="25"/>
  <c r="W27" i="1"/>
  <c r="AA10" i="45"/>
  <c r="G100" i="40"/>
  <c r="G102" i="29"/>
  <c r="W31" i="1"/>
  <c r="AE10" i="45"/>
  <c r="V11" i="1"/>
  <c r="K9" i="45"/>
  <c r="X12" i="1"/>
  <c r="L11" i="45"/>
  <c r="V15" i="1"/>
  <c r="O9" i="45"/>
  <c r="X16" i="1"/>
  <c r="P11" i="45"/>
  <c r="V19" i="1"/>
  <c r="S9" i="45"/>
  <c r="X20" i="1"/>
  <c r="T11" i="45"/>
  <c r="V23" i="1"/>
  <c r="W9" i="45"/>
  <c r="X24" i="1"/>
  <c r="X11" i="45"/>
  <c r="X27" i="1"/>
  <c r="AA11" i="45"/>
  <c r="V30" i="1"/>
  <c r="AD9" i="45"/>
  <c r="X31" i="1"/>
  <c r="AE11" i="45"/>
  <c r="V34" i="1"/>
  <c r="AH9" i="45"/>
  <c r="W11" i="1"/>
  <c r="K10" i="45"/>
  <c r="W15" i="1"/>
  <c r="O10" i="45"/>
  <c r="W19" i="1"/>
  <c r="S10" i="45"/>
  <c r="W23" i="1"/>
  <c r="W10" i="45"/>
  <c r="W30" i="1"/>
  <c r="AD10" i="45"/>
  <c r="W34" i="1"/>
  <c r="AH10" i="45"/>
  <c r="X11" i="1"/>
  <c r="K11" i="45"/>
  <c r="V14" i="1"/>
  <c r="N9" i="45"/>
  <c r="X15" i="1"/>
  <c r="O11" i="45"/>
  <c r="V18" i="1"/>
  <c r="R9" i="45"/>
  <c r="X19" i="1"/>
  <c r="S11" i="45"/>
  <c r="V22" i="1"/>
  <c r="V9" i="45"/>
  <c r="X23" i="1"/>
  <c r="W11" i="45"/>
  <c r="V26" i="1"/>
  <c r="Z9" i="45"/>
  <c r="V29" i="1"/>
  <c r="AC9" i="45"/>
  <c r="X30" i="1"/>
  <c r="AD11" i="45"/>
  <c r="V33" i="1"/>
  <c r="AG9" i="45"/>
  <c r="X34" i="1"/>
  <c r="AH11" i="45"/>
  <c r="W14" i="1"/>
  <c r="N10" i="45"/>
  <c r="W18" i="1"/>
  <c r="R10" i="45"/>
  <c r="W22" i="1"/>
  <c r="V10" i="45"/>
  <c r="W26" i="1"/>
  <c r="Z10" i="45"/>
  <c r="W29" i="1"/>
  <c r="AC10" i="45"/>
  <c r="W33" i="1"/>
  <c r="AG10" i="45"/>
  <c r="V13" i="1"/>
  <c r="M9" i="45"/>
  <c r="X14" i="1"/>
  <c r="N11" i="45"/>
  <c r="V17" i="1"/>
  <c r="Q9" i="45"/>
  <c r="X18" i="1"/>
  <c r="R11" i="45"/>
  <c r="V21" i="1"/>
  <c r="U9" i="45"/>
  <c r="G104" i="20"/>
  <c r="X22" i="1"/>
  <c r="V11" i="45"/>
  <c r="V25" i="1"/>
  <c r="Y9" i="45"/>
  <c r="G104" i="24"/>
  <c r="X26" i="1"/>
  <c r="Z11" i="45"/>
  <c r="V28" i="1"/>
  <c r="AB9" i="45"/>
  <c r="X29" i="1"/>
  <c r="AC11" i="45"/>
  <c r="V32" i="1"/>
  <c r="AF9" i="45"/>
  <c r="X33" i="1"/>
  <c r="AG11" i="45"/>
  <c r="H155" i="10"/>
  <c r="J155" i="9"/>
  <c r="J24" i="2"/>
  <c r="H24" i="3"/>
  <c r="BJ34" i="1"/>
  <c r="AM35" i="44"/>
  <c r="AO34" i="1"/>
  <c r="AO35" i="44"/>
  <c r="AH34" i="1"/>
  <c r="AW35" i="44"/>
  <c r="AG34" i="1"/>
  <c r="AV35" i="44"/>
  <c r="AL34" i="1"/>
  <c r="AH33" i="1"/>
  <c r="AW34" i="44"/>
  <c r="AK33" i="1"/>
  <c r="AU34" i="44"/>
  <c r="AO33" i="1"/>
  <c r="AO34" i="44"/>
  <c r="AG33" i="1"/>
  <c r="AV34" i="44"/>
  <c r="AI33" i="1"/>
  <c r="AX34" i="44"/>
  <c r="AX35" i="44"/>
  <c r="BJ33" i="1"/>
  <c r="AM34" i="44"/>
  <c r="AK32" i="1"/>
  <c r="AU33" i="44"/>
  <c r="AI32" i="1"/>
  <c r="AX33" i="44"/>
  <c r="BJ32" i="1"/>
  <c r="AM33" i="44"/>
  <c r="AO32" i="1"/>
  <c r="AO33" i="44"/>
  <c r="AH32" i="1"/>
  <c r="AW33" i="44"/>
  <c r="AG32" i="1"/>
  <c r="AV33" i="44"/>
  <c r="AO31" i="1"/>
  <c r="AO32" i="44"/>
  <c r="AH31" i="1"/>
  <c r="AW32" i="44"/>
  <c r="AG31" i="1"/>
  <c r="AV32" i="44"/>
  <c r="AK31" i="1"/>
  <c r="AU32" i="44"/>
  <c r="AI31" i="1"/>
  <c r="AX32" i="44"/>
  <c r="BJ31" i="1"/>
  <c r="AM32" i="44"/>
  <c r="AK30" i="1"/>
  <c r="AU31" i="44"/>
  <c r="AI30" i="1"/>
  <c r="AX31" i="44"/>
  <c r="BJ30" i="1"/>
  <c r="AM31" i="44"/>
  <c r="AO30" i="1"/>
  <c r="AO31" i="44"/>
  <c r="AH30" i="1"/>
  <c r="AW31" i="44"/>
  <c r="AG30" i="1"/>
  <c r="AV31" i="44"/>
  <c r="AO29" i="1"/>
  <c r="AO30" i="44"/>
  <c r="AH29" i="1"/>
  <c r="AW30" i="44"/>
  <c r="AG29" i="1"/>
  <c r="AV30" i="44"/>
  <c r="AK29" i="1"/>
  <c r="AU30" i="44"/>
  <c r="AI29" i="1"/>
  <c r="AX30" i="44"/>
  <c r="BJ29" i="1"/>
  <c r="AM30" i="44"/>
  <c r="AK28" i="1"/>
  <c r="AU29" i="44"/>
  <c r="AI28" i="1"/>
  <c r="AX29" i="44"/>
  <c r="BJ28" i="1"/>
  <c r="AM29" i="44"/>
  <c r="AO28" i="1"/>
  <c r="AO29" i="44"/>
  <c r="AH28" i="1"/>
  <c r="AW29" i="44"/>
  <c r="AG28" i="1"/>
  <c r="AV29" i="44"/>
  <c r="AO27" i="1"/>
  <c r="AO28" i="44"/>
  <c r="AH27" i="1"/>
  <c r="AW28" i="44"/>
  <c r="AG27" i="1"/>
  <c r="AV28" i="44"/>
  <c r="AK27" i="1"/>
  <c r="AU28" i="44"/>
  <c r="AI27" i="1"/>
  <c r="AX28" i="44"/>
  <c r="BJ27" i="1"/>
  <c r="AM28" i="44"/>
  <c r="AG26" i="1"/>
  <c r="AV27" i="44"/>
  <c r="AO26" i="1"/>
  <c r="AO27" i="44"/>
  <c r="AH26" i="1"/>
  <c r="AW27" i="44"/>
  <c r="AK26" i="1"/>
  <c r="AU27" i="44"/>
  <c r="AI26" i="1"/>
  <c r="AX27" i="44"/>
  <c r="BJ26" i="1"/>
  <c r="AM27" i="44"/>
  <c r="AK25" i="1"/>
  <c r="AU26" i="44"/>
  <c r="AI25" i="1"/>
  <c r="AX26" i="44"/>
  <c r="BJ25" i="1"/>
  <c r="AM26" i="44"/>
  <c r="AO25" i="1"/>
  <c r="AO26" i="44"/>
  <c r="AH25" i="1"/>
  <c r="AW26" i="44"/>
  <c r="AG25" i="1"/>
  <c r="AV26" i="44"/>
  <c r="AO24" i="1"/>
  <c r="AO25" i="44"/>
  <c r="AH24" i="1"/>
  <c r="AW25" i="44"/>
  <c r="AG24" i="1"/>
  <c r="AV25" i="44"/>
  <c r="AK24" i="1"/>
  <c r="AU25" i="44"/>
  <c r="AI24" i="1"/>
  <c r="AX25" i="44"/>
  <c r="BJ24" i="1"/>
  <c r="AM25" i="44"/>
  <c r="BJ23" i="1"/>
  <c r="AM24" i="44"/>
  <c r="AO23" i="1"/>
  <c r="AO24" i="44"/>
  <c r="AH23" i="1"/>
  <c r="AW24" i="44"/>
  <c r="AK23" i="1"/>
  <c r="AU24" i="44"/>
  <c r="AI23" i="1"/>
  <c r="AX24" i="44"/>
  <c r="AG23" i="1"/>
  <c r="AV24" i="44"/>
  <c r="AK21" i="1"/>
  <c r="AU22" i="44"/>
  <c r="AH22" i="1"/>
  <c r="AW23" i="44"/>
  <c r="AI21" i="1"/>
  <c r="AX22" i="44"/>
  <c r="BJ21" i="1"/>
  <c r="AM22" i="44"/>
  <c r="AG22" i="1"/>
  <c r="AV23" i="44"/>
  <c r="AO21" i="1"/>
  <c r="AO22" i="44"/>
  <c r="AH21" i="1"/>
  <c r="AW22" i="44"/>
  <c r="AK22" i="1"/>
  <c r="AU23" i="44"/>
  <c r="N21" i="44"/>
  <c r="N22" i="44"/>
  <c r="AO22" i="1"/>
  <c r="AO23" i="44"/>
  <c r="AG21" i="1"/>
  <c r="AV22" i="44"/>
  <c r="AA22" i="44"/>
  <c r="AI22" i="1"/>
  <c r="AX23" i="44"/>
  <c r="BJ22" i="1"/>
  <c r="AM23" i="44"/>
  <c r="AI20" i="1"/>
  <c r="AX21" i="44"/>
  <c r="AO20" i="1"/>
  <c r="AO21" i="44"/>
  <c r="AH20" i="1"/>
  <c r="AW21" i="44"/>
  <c r="BJ20" i="1"/>
  <c r="AM21" i="44"/>
  <c r="AG20" i="1"/>
  <c r="AV21" i="44"/>
  <c r="AA21" i="44"/>
  <c r="AK20" i="1"/>
  <c r="AU21" i="44"/>
  <c r="AG19" i="1"/>
  <c r="AV20" i="44"/>
  <c r="AK19" i="1"/>
  <c r="AU20" i="44"/>
  <c r="AI19" i="1"/>
  <c r="AX20" i="44"/>
  <c r="BJ19" i="1"/>
  <c r="AM20" i="44"/>
  <c r="AO19" i="1"/>
  <c r="AO20" i="44"/>
  <c r="AH19" i="1"/>
  <c r="AW20" i="44"/>
  <c r="BJ18" i="1"/>
  <c r="AM19" i="44"/>
  <c r="AO18" i="1"/>
  <c r="AO19" i="44"/>
  <c r="AH18" i="1"/>
  <c r="AW19" i="44"/>
  <c r="AI18" i="1"/>
  <c r="AX19" i="44"/>
  <c r="AG18" i="1"/>
  <c r="AV19" i="44"/>
  <c r="AK18" i="1"/>
  <c r="AU19" i="44"/>
  <c r="AK17" i="1"/>
  <c r="AU18" i="44"/>
  <c r="AZ18" i="44" s="1"/>
  <c r="AG17" i="1"/>
  <c r="AV18" i="44"/>
  <c r="AA18" i="44"/>
  <c r="AI17" i="1"/>
  <c r="AX18" i="44"/>
  <c r="BJ17" i="1"/>
  <c r="AM18" i="44"/>
  <c r="AH17" i="1"/>
  <c r="AW18" i="44"/>
  <c r="AI16" i="1"/>
  <c r="AX17" i="44"/>
  <c r="AO16" i="1"/>
  <c r="AO17" i="44"/>
  <c r="AG16" i="1"/>
  <c r="AV17" i="44"/>
  <c r="BJ16" i="1"/>
  <c r="AM17" i="44"/>
  <c r="AH16" i="1"/>
  <c r="AW17" i="44"/>
  <c r="AK16" i="1"/>
  <c r="AU17" i="44"/>
  <c r="AG15" i="1"/>
  <c r="AV16" i="44"/>
  <c r="AK15" i="1"/>
  <c r="AU16" i="44"/>
  <c r="AI15" i="1"/>
  <c r="AX16" i="44"/>
  <c r="BJ15" i="1"/>
  <c r="AM16" i="44"/>
  <c r="AO15" i="1"/>
  <c r="AO16" i="44"/>
  <c r="AH15" i="1"/>
  <c r="AW16" i="44"/>
  <c r="AG14" i="1"/>
  <c r="AV15" i="44"/>
  <c r="AI14" i="1"/>
  <c r="AX15" i="44"/>
  <c r="BJ14" i="1"/>
  <c r="AM15" i="44"/>
  <c r="AO14" i="1"/>
  <c r="AO15" i="44"/>
  <c r="AH14" i="1"/>
  <c r="AW15" i="44"/>
  <c r="AK14" i="1"/>
  <c r="AU15" i="44"/>
  <c r="AK13" i="1"/>
  <c r="AU14" i="44"/>
  <c r="AI13" i="1"/>
  <c r="AX14" i="44"/>
  <c r="AG13" i="1"/>
  <c r="AV14" i="44"/>
  <c r="AO13" i="1"/>
  <c r="AO14" i="44"/>
  <c r="AZ14" i="44" s="1"/>
  <c r="AH13" i="1"/>
  <c r="AW14" i="44"/>
  <c r="AO12" i="1"/>
  <c r="AO13" i="44"/>
  <c r="AH12" i="1"/>
  <c r="AW13" i="44"/>
  <c r="AI12" i="1"/>
  <c r="AX13" i="44"/>
  <c r="AG12" i="1"/>
  <c r="AV13" i="44"/>
  <c r="AK12" i="1"/>
  <c r="AU13" i="44"/>
  <c r="AI11" i="1"/>
  <c r="AX12" i="44"/>
  <c r="AG11" i="1"/>
  <c r="AV12" i="44"/>
  <c r="AK11" i="1"/>
  <c r="AU12" i="44"/>
  <c r="AO11" i="1"/>
  <c r="AO12" i="44"/>
  <c r="AZ12" i="44" s="1"/>
  <c r="AH11" i="1"/>
  <c r="AW12" i="44"/>
  <c r="H166" i="9"/>
  <c r="H166" i="10" s="1"/>
  <c r="H127" i="33"/>
  <c r="J127" i="33" s="1"/>
  <c r="J182" i="5"/>
  <c r="G100" i="19"/>
  <c r="G102" i="22"/>
  <c r="G100" i="23"/>
  <c r="G94" i="25"/>
  <c r="G102" i="13"/>
  <c r="G176" i="17"/>
  <c r="G104" i="29"/>
  <c r="H151" i="4"/>
  <c r="J151" i="3"/>
  <c r="G94" i="20"/>
  <c r="G104" i="21"/>
  <c r="G100" i="25"/>
  <c r="G102" i="28"/>
  <c r="H134" i="33"/>
  <c r="J134" i="5"/>
  <c r="BJ13" i="1"/>
  <c r="BJ12" i="1"/>
  <c r="BJ11" i="1"/>
  <c r="G96" i="11"/>
  <c r="G102" i="12"/>
  <c r="G98" i="13"/>
  <c r="G100" i="13"/>
  <c r="G102" i="27"/>
  <c r="G100" i="28"/>
  <c r="G102" i="43"/>
  <c r="J152" i="5"/>
  <c r="H152" i="33"/>
  <c r="G100" i="9"/>
  <c r="G102" i="16"/>
  <c r="G104" i="15"/>
  <c r="G102" i="19"/>
  <c r="G47" i="43"/>
  <c r="G186" i="43"/>
  <c r="G186" i="30"/>
  <c r="I88" i="28"/>
  <c r="I90" i="27"/>
  <c r="G186" i="27"/>
  <c r="G186" i="40"/>
  <c r="G47" i="40"/>
  <c r="I90" i="25"/>
  <c r="I90" i="23"/>
  <c r="G186" i="22"/>
  <c r="G186" i="21"/>
  <c r="I90" i="18"/>
  <c r="I90" i="16"/>
  <c r="I88" i="14"/>
  <c r="G186" i="11"/>
  <c r="G186" i="9"/>
  <c r="I90" i="9"/>
  <c r="H168" i="10"/>
  <c r="J168" i="9"/>
  <c r="H167" i="10"/>
  <c r="J167" i="9"/>
  <c r="H182" i="7"/>
  <c r="J182" i="33"/>
  <c r="H177" i="7"/>
  <c r="J177" i="33"/>
  <c r="J20" i="3"/>
  <c r="I20" i="3" s="1"/>
  <c r="G104" i="31"/>
  <c r="G186" i="31"/>
  <c r="G102" i="31"/>
  <c r="E31" i="31"/>
  <c r="G31" i="31" s="1"/>
  <c r="G94" i="31"/>
  <c r="G98" i="31"/>
  <c r="G100" i="31"/>
  <c r="I90" i="31"/>
  <c r="G71" i="31"/>
  <c r="I90" i="43"/>
  <c r="G71" i="43"/>
  <c r="G96" i="43"/>
  <c r="I90" i="30"/>
  <c r="G71" i="30"/>
  <c r="G100" i="30"/>
  <c r="G47" i="30"/>
  <c r="G100" i="29"/>
  <c r="G181" i="28"/>
  <c r="G189" i="28" s="1"/>
  <c r="G47" i="27"/>
  <c r="I90" i="40"/>
  <c r="G71" i="40"/>
  <c r="G96" i="40"/>
  <c r="G186" i="25"/>
  <c r="G176" i="24"/>
  <c r="G181" i="24"/>
  <c r="G189" i="24" s="1"/>
  <c r="G186" i="23"/>
  <c r="G71" i="23"/>
  <c r="G47" i="23"/>
  <c r="G47" i="22"/>
  <c r="G96" i="21"/>
  <c r="G186" i="20"/>
  <c r="I90" i="20"/>
  <c r="G71" i="20"/>
  <c r="I85" i="19"/>
  <c r="G104" i="19"/>
  <c r="G181" i="18"/>
  <c r="G189" i="18" s="1"/>
  <c r="I88" i="18"/>
  <c r="G186" i="16"/>
  <c r="G71" i="16"/>
  <c r="G47" i="16"/>
  <c r="G186" i="15"/>
  <c r="G79" i="15"/>
  <c r="G181" i="14"/>
  <c r="G189" i="14" s="1"/>
  <c r="I90" i="14"/>
  <c r="G176" i="13"/>
  <c r="G181" i="13"/>
  <c r="G189" i="13" s="1"/>
  <c r="I85" i="13"/>
  <c r="G186" i="12"/>
  <c r="G47" i="12"/>
  <c r="I90" i="11"/>
  <c r="G71" i="11"/>
  <c r="G47" i="11"/>
  <c r="G186" i="10"/>
  <c r="G47" i="10"/>
  <c r="G71" i="9"/>
  <c r="G96" i="9"/>
  <c r="G47" i="9"/>
  <c r="I88" i="31"/>
  <c r="G59" i="31"/>
  <c r="G176" i="31"/>
  <c r="G181" i="31"/>
  <c r="G189" i="31" s="1"/>
  <c r="G64" i="31"/>
  <c r="G96" i="31"/>
  <c r="G47" i="31"/>
  <c r="I85" i="31"/>
  <c r="G71" i="10"/>
  <c r="I90" i="12"/>
  <c r="G176" i="14"/>
  <c r="G181" i="15"/>
  <c r="G189" i="15" s="1"/>
  <c r="I90" i="10"/>
  <c r="G71" i="12"/>
  <c r="I88" i="17"/>
  <c r="G176" i="15"/>
  <c r="G181" i="17"/>
  <c r="G189" i="17" s="1"/>
  <c r="G186" i="18"/>
  <c r="G176" i="19"/>
  <c r="G176" i="21"/>
  <c r="G186" i="24"/>
  <c r="G176" i="28"/>
  <c r="G94" i="43"/>
  <c r="G59" i="43"/>
  <c r="G98" i="43"/>
  <c r="G100" i="14"/>
  <c r="G96" i="15"/>
  <c r="G79" i="16"/>
  <c r="G80" i="16" s="1"/>
  <c r="G102" i="17"/>
  <c r="G71" i="29"/>
  <c r="G176" i="18"/>
  <c r="G186" i="28"/>
  <c r="G104" i="14"/>
  <c r="G96" i="14"/>
  <c r="G104" i="43"/>
  <c r="G64" i="43"/>
  <c r="G176" i="43"/>
  <c r="G181" i="43"/>
  <c r="G189" i="43" s="1"/>
  <c r="G96" i="12"/>
  <c r="G102" i="14"/>
  <c r="G79" i="17"/>
  <c r="G80" i="17" s="1"/>
  <c r="G100" i="17"/>
  <c r="G104" i="18"/>
  <c r="G96" i="18"/>
  <c r="G186" i="19"/>
  <c r="I90" i="29"/>
  <c r="G186" i="29"/>
  <c r="G181" i="19"/>
  <c r="G189" i="19" s="1"/>
  <c r="I88" i="43"/>
  <c r="G100" i="15"/>
  <c r="G104" i="17"/>
  <c r="G96" i="17"/>
  <c r="G102" i="18"/>
  <c r="G71" i="25"/>
  <c r="G71" i="27"/>
  <c r="G102" i="24"/>
  <c r="G96" i="25"/>
  <c r="G71" i="22"/>
  <c r="I90" i="22"/>
  <c r="I85" i="43"/>
  <c r="G100" i="24"/>
  <c r="G104" i="28"/>
  <c r="G96" i="28"/>
  <c r="G96" i="29"/>
  <c r="G181" i="21"/>
  <c r="G189" i="21" s="1"/>
  <c r="G96" i="24"/>
  <c r="I88" i="30"/>
  <c r="G94" i="30"/>
  <c r="G59" i="30"/>
  <c r="G98" i="30"/>
  <c r="G176" i="30"/>
  <c r="G96" i="30"/>
  <c r="G104" i="30"/>
  <c r="G64" i="30"/>
  <c r="I85" i="30"/>
  <c r="I88" i="29"/>
  <c r="G59" i="29"/>
  <c r="G176" i="29"/>
  <c r="G181" i="29"/>
  <c r="G189" i="29" s="1"/>
  <c r="G64" i="29"/>
  <c r="I85" i="29"/>
  <c r="I90" i="28"/>
  <c r="G71" i="28"/>
  <c r="I85" i="28"/>
  <c r="G47" i="28"/>
  <c r="G59" i="28"/>
  <c r="G64" i="28"/>
  <c r="G94" i="28"/>
  <c r="G98" i="28"/>
  <c r="I88" i="27"/>
  <c r="G94" i="27"/>
  <c r="G59" i="27"/>
  <c r="G98" i="27"/>
  <c r="G176" i="27"/>
  <c r="G181" i="27"/>
  <c r="G189" i="27" s="1"/>
  <c r="G96" i="27"/>
  <c r="G104" i="27"/>
  <c r="G64" i="27"/>
  <c r="I85" i="27"/>
  <c r="I88" i="40"/>
  <c r="G94" i="40"/>
  <c r="G59" i="40"/>
  <c r="G98" i="40"/>
  <c r="G176" i="40"/>
  <c r="G181" i="40"/>
  <c r="G189" i="40" s="1"/>
  <c r="G104" i="40"/>
  <c r="G64" i="40"/>
  <c r="I85" i="40"/>
  <c r="I88" i="25"/>
  <c r="G59" i="25"/>
  <c r="G176" i="25"/>
  <c r="G181" i="25"/>
  <c r="G189" i="25" s="1"/>
  <c r="G64" i="25"/>
  <c r="G47" i="25"/>
  <c r="I85" i="25"/>
  <c r="I90" i="24"/>
  <c r="G71" i="24"/>
  <c r="I85" i="24"/>
  <c r="G47" i="24"/>
  <c r="I88" i="24"/>
  <c r="G59" i="24"/>
  <c r="G64" i="24"/>
  <c r="G94" i="24"/>
  <c r="G98" i="24"/>
  <c r="I88" i="23"/>
  <c r="G94" i="23"/>
  <c r="G59" i="23"/>
  <c r="G98" i="23"/>
  <c r="G176" i="23"/>
  <c r="G181" i="23"/>
  <c r="G189" i="23" s="1"/>
  <c r="G96" i="23"/>
  <c r="G104" i="23"/>
  <c r="G64" i="23"/>
  <c r="I85" i="23"/>
  <c r="I88" i="22"/>
  <c r="G94" i="22"/>
  <c r="G59" i="22"/>
  <c r="G98" i="22"/>
  <c r="G176" i="22"/>
  <c r="G181" i="22"/>
  <c r="G189" i="22" s="1"/>
  <c r="G96" i="22"/>
  <c r="G104" i="22"/>
  <c r="G64" i="22"/>
  <c r="I85" i="22"/>
  <c r="G64" i="21"/>
  <c r="G59" i="21"/>
  <c r="G71" i="21"/>
  <c r="I85" i="21"/>
  <c r="I90" i="21"/>
  <c r="G47" i="21"/>
  <c r="I88" i="21"/>
  <c r="G94" i="21"/>
  <c r="G98" i="21"/>
  <c r="I88" i="20"/>
  <c r="G59" i="20"/>
  <c r="G176" i="20"/>
  <c r="G181" i="20"/>
  <c r="G189" i="20" s="1"/>
  <c r="G96" i="20"/>
  <c r="G64" i="20"/>
  <c r="G47" i="20"/>
  <c r="I85" i="20"/>
  <c r="G64" i="19"/>
  <c r="I90" i="19"/>
  <c r="G96" i="19"/>
  <c r="G59" i="19"/>
  <c r="G60" i="19" s="1"/>
  <c r="G71" i="19"/>
  <c r="I88" i="19"/>
  <c r="G94" i="19"/>
  <c r="G98" i="19"/>
  <c r="I85" i="18"/>
  <c r="G71" i="18"/>
  <c r="G47" i="18"/>
  <c r="G59" i="18"/>
  <c r="G64" i="18"/>
  <c r="G94" i="18"/>
  <c r="G98" i="18"/>
  <c r="G71" i="17"/>
  <c r="I85" i="17"/>
  <c r="I90" i="17"/>
  <c r="G186" i="17"/>
  <c r="G59" i="17"/>
  <c r="G64" i="17"/>
  <c r="G94" i="17"/>
  <c r="G98" i="17"/>
  <c r="E28" i="17"/>
  <c r="G28" i="17" s="1"/>
  <c r="I88" i="16"/>
  <c r="G94" i="16"/>
  <c r="G59" i="16"/>
  <c r="G98" i="16"/>
  <c r="G176" i="16"/>
  <c r="G181" i="16"/>
  <c r="G189" i="16" s="1"/>
  <c r="G96" i="16"/>
  <c r="G104" i="16"/>
  <c r="G64" i="16"/>
  <c r="I85" i="16"/>
  <c r="E28" i="16"/>
  <c r="G28" i="16" s="1"/>
  <c r="I90" i="15"/>
  <c r="G64" i="15"/>
  <c r="G59" i="15"/>
  <c r="G71" i="15"/>
  <c r="I85" i="15"/>
  <c r="G47" i="15"/>
  <c r="I88" i="15"/>
  <c r="G94" i="15"/>
  <c r="G98" i="15"/>
  <c r="E28" i="15"/>
  <c r="G28" i="15" s="1"/>
  <c r="I85" i="14"/>
  <c r="G186" i="14"/>
  <c r="G71" i="14"/>
  <c r="G47" i="14"/>
  <c r="G59" i="14"/>
  <c r="G64" i="14"/>
  <c r="G94" i="14"/>
  <c r="G98" i="14"/>
  <c r="G59" i="13"/>
  <c r="G71" i="13"/>
  <c r="G64" i="13"/>
  <c r="I90" i="13"/>
  <c r="G96" i="13"/>
  <c r="G186" i="13"/>
  <c r="G47" i="13"/>
  <c r="I88" i="13"/>
  <c r="G64" i="12"/>
  <c r="I88" i="12"/>
  <c r="G94" i="12"/>
  <c r="G59" i="12"/>
  <c r="G98" i="12"/>
  <c r="G176" i="12"/>
  <c r="G181" i="12"/>
  <c r="G189" i="12" s="1"/>
  <c r="G104" i="12"/>
  <c r="I85" i="12"/>
  <c r="G64" i="11"/>
  <c r="I88" i="11"/>
  <c r="G94" i="11"/>
  <c r="G59" i="11"/>
  <c r="G98" i="11"/>
  <c r="G176" i="11"/>
  <c r="G181" i="11"/>
  <c r="G189" i="11" s="1"/>
  <c r="G104" i="11"/>
  <c r="I85" i="11"/>
  <c r="G104" i="10"/>
  <c r="G64" i="10"/>
  <c r="I88" i="10"/>
  <c r="G94" i="10"/>
  <c r="G59" i="10"/>
  <c r="G98" i="10"/>
  <c r="G100" i="10"/>
  <c r="G102" i="10"/>
  <c r="G176" i="10"/>
  <c r="G181" i="10"/>
  <c r="G189" i="10" s="1"/>
  <c r="G96" i="10"/>
  <c r="I85" i="10"/>
  <c r="G64" i="9"/>
  <c r="I88" i="9"/>
  <c r="G59" i="9"/>
  <c r="G94" i="9"/>
  <c r="G98" i="9"/>
  <c r="G176" i="9"/>
  <c r="G181" i="9"/>
  <c r="G189" i="9" s="1"/>
  <c r="G104" i="9"/>
  <c r="E31" i="9"/>
  <c r="G31" i="9" s="1"/>
  <c r="I85" i="9"/>
  <c r="G185" i="8"/>
  <c r="G184" i="8"/>
  <c r="G183" i="8"/>
  <c r="G180" i="8"/>
  <c r="J23" i="45" s="1"/>
  <c r="G179" i="8"/>
  <c r="J22" i="45" s="1"/>
  <c r="G178" i="8"/>
  <c r="J21" i="45" s="1"/>
  <c r="G175" i="8"/>
  <c r="J19" i="45" s="1"/>
  <c r="G174" i="8"/>
  <c r="J18" i="45" s="1"/>
  <c r="G173" i="8"/>
  <c r="J17" i="45" s="1"/>
  <c r="G165" i="8"/>
  <c r="G164" i="8"/>
  <c r="G163" i="8"/>
  <c r="G162" i="8"/>
  <c r="AB11" i="44" s="1"/>
  <c r="G161" i="8"/>
  <c r="G142" i="8"/>
  <c r="R11" i="44" s="1"/>
  <c r="G141" i="8"/>
  <c r="Q11" i="44" s="1"/>
  <c r="G140" i="8"/>
  <c r="P11" i="44" s="1"/>
  <c r="G139" i="8"/>
  <c r="O11" i="44" s="1"/>
  <c r="G138" i="8"/>
  <c r="G133" i="8"/>
  <c r="G132" i="8"/>
  <c r="G131" i="8"/>
  <c r="G130" i="8"/>
  <c r="G129" i="8"/>
  <c r="G128" i="8"/>
  <c r="G123" i="8"/>
  <c r="AL11" i="44" s="1"/>
  <c r="G122" i="8"/>
  <c r="AK11" i="44" s="1"/>
  <c r="G121" i="8"/>
  <c r="AJ11" i="44" s="1"/>
  <c r="G120" i="8"/>
  <c r="AI11" i="44" s="1"/>
  <c r="G119" i="8"/>
  <c r="AH11" i="44" s="1"/>
  <c r="G118" i="8"/>
  <c r="AG11" i="44" s="1"/>
  <c r="G117" i="8"/>
  <c r="AF11" i="44" s="1"/>
  <c r="G116" i="8"/>
  <c r="AE11" i="44" s="1"/>
  <c r="G115" i="8"/>
  <c r="G114" i="8"/>
  <c r="G113" i="8"/>
  <c r="G112" i="8"/>
  <c r="G92" i="8"/>
  <c r="AL10" i="1" s="1"/>
  <c r="G91" i="8"/>
  <c r="G90" i="8"/>
  <c r="G89" i="8"/>
  <c r="G88" i="8"/>
  <c r="G87" i="8"/>
  <c r="AC10" i="1" s="1"/>
  <c r="G86" i="8"/>
  <c r="AB10" i="1" s="1"/>
  <c r="G85" i="8"/>
  <c r="AA10" i="1" s="1"/>
  <c r="G84" i="8"/>
  <c r="Z10" i="1" s="1"/>
  <c r="G83" i="8"/>
  <c r="G82" i="8"/>
  <c r="G78" i="8"/>
  <c r="AS11" i="44" s="1"/>
  <c r="G77" i="8"/>
  <c r="AR11" i="44" s="1"/>
  <c r="G76" i="8"/>
  <c r="AQ11" i="44" s="1"/>
  <c r="G75" i="8"/>
  <c r="AP11" i="44" s="1"/>
  <c r="G74" i="8"/>
  <c r="G70" i="8"/>
  <c r="J15" i="45" s="1"/>
  <c r="G69" i="8"/>
  <c r="J14" i="45" s="1"/>
  <c r="G68" i="8"/>
  <c r="J13" i="45" s="1"/>
  <c r="G67" i="8"/>
  <c r="G66" i="8"/>
  <c r="G65" i="8"/>
  <c r="G63" i="8"/>
  <c r="J8" i="45" s="1"/>
  <c r="G62" i="8"/>
  <c r="G58" i="8"/>
  <c r="G57" i="8"/>
  <c r="G56" i="8"/>
  <c r="G55" i="8"/>
  <c r="G54" i="8"/>
  <c r="G53" i="8"/>
  <c r="G52" i="8"/>
  <c r="G51" i="8"/>
  <c r="G50" i="8"/>
  <c r="G49" i="8"/>
  <c r="G46" i="8"/>
  <c r="G45" i="8"/>
  <c r="G44" i="8"/>
  <c r="G43" i="8"/>
  <c r="G42" i="8"/>
  <c r="G41" i="8"/>
  <c r="G40" i="8"/>
  <c r="G39" i="8"/>
  <c r="G38" i="8"/>
  <c r="G37" i="8"/>
  <c r="G36" i="8"/>
  <c r="G35" i="8"/>
  <c r="E29" i="8"/>
  <c r="G29" i="8" s="1"/>
  <c r="G22" i="8"/>
  <c r="G18" i="8"/>
  <c r="E31" i="8" s="1"/>
  <c r="G31" i="8" s="1"/>
  <c r="G10" i="8"/>
  <c r="K9" i="8"/>
  <c r="M8" i="8"/>
  <c r="G185" i="7"/>
  <c r="G184" i="7"/>
  <c r="G183" i="7"/>
  <c r="G180" i="7"/>
  <c r="I23" i="45" s="1"/>
  <c r="G179" i="7"/>
  <c r="I22" i="45" s="1"/>
  <c r="G178" i="7"/>
  <c r="I21" i="45" s="1"/>
  <c r="G175" i="7"/>
  <c r="I19" i="45" s="1"/>
  <c r="G174" i="7"/>
  <c r="I18" i="45" s="1"/>
  <c r="G173" i="7"/>
  <c r="I17" i="45" s="1"/>
  <c r="G165" i="7"/>
  <c r="G164" i="7"/>
  <c r="G163" i="7"/>
  <c r="G162" i="7"/>
  <c r="AB10" i="44" s="1"/>
  <c r="G161" i="7"/>
  <c r="AA10" i="44" s="1"/>
  <c r="G142" i="7"/>
  <c r="R10" i="44" s="1"/>
  <c r="G141" i="7"/>
  <c r="Q10" i="44" s="1"/>
  <c r="G140" i="7"/>
  <c r="P10" i="44" s="1"/>
  <c r="G139" i="7"/>
  <c r="O10" i="44" s="1"/>
  <c r="G138" i="7"/>
  <c r="G133" i="7"/>
  <c r="G132" i="7"/>
  <c r="G131" i="7"/>
  <c r="G130" i="7"/>
  <c r="G129" i="7"/>
  <c r="G128" i="7"/>
  <c r="G123" i="7"/>
  <c r="AL10" i="44" s="1"/>
  <c r="G122" i="7"/>
  <c r="AK10" i="44" s="1"/>
  <c r="G121" i="7"/>
  <c r="AJ10" i="44" s="1"/>
  <c r="G120" i="7"/>
  <c r="AI10" i="44" s="1"/>
  <c r="G119" i="7"/>
  <c r="AH10" i="44" s="1"/>
  <c r="G118" i="7"/>
  <c r="AG10" i="44" s="1"/>
  <c r="G117" i="7"/>
  <c r="AF10" i="44" s="1"/>
  <c r="G116" i="7"/>
  <c r="AE10" i="44" s="1"/>
  <c r="G115" i="7"/>
  <c r="G114" i="7"/>
  <c r="G113" i="7"/>
  <c r="G112" i="7"/>
  <c r="G92" i="7"/>
  <c r="AL9" i="1" s="1"/>
  <c r="G91" i="7"/>
  <c r="G90" i="7"/>
  <c r="G89" i="7"/>
  <c r="AW10" i="44" s="1"/>
  <c r="G88" i="7"/>
  <c r="G87" i="7"/>
  <c r="AC9" i="1" s="1"/>
  <c r="G86" i="7"/>
  <c r="AB9" i="1" s="1"/>
  <c r="G85" i="7"/>
  <c r="AA9" i="1" s="1"/>
  <c r="G84" i="7"/>
  <c r="Z9" i="1" s="1"/>
  <c r="G83" i="7"/>
  <c r="G82" i="7"/>
  <c r="G78" i="7"/>
  <c r="AS10" i="44" s="1"/>
  <c r="G77" i="7"/>
  <c r="AR10" i="44" s="1"/>
  <c r="G76" i="7"/>
  <c r="AQ10" i="44" s="1"/>
  <c r="G75" i="7"/>
  <c r="AP10" i="44" s="1"/>
  <c r="G74" i="7"/>
  <c r="G70" i="7"/>
  <c r="I15" i="45" s="1"/>
  <c r="G69" i="7"/>
  <c r="I14" i="45" s="1"/>
  <c r="G68" i="7"/>
  <c r="I13" i="45" s="1"/>
  <c r="G67" i="7"/>
  <c r="G66" i="7"/>
  <c r="G65" i="7"/>
  <c r="G63" i="7"/>
  <c r="I8" i="45" s="1"/>
  <c r="G62" i="7"/>
  <c r="G58" i="7"/>
  <c r="G57" i="7"/>
  <c r="G56" i="7"/>
  <c r="G55" i="7"/>
  <c r="G54" i="7"/>
  <c r="G53" i="7"/>
  <c r="G52" i="7"/>
  <c r="G51" i="7"/>
  <c r="G50" i="7"/>
  <c r="G49" i="7"/>
  <c r="G46" i="7"/>
  <c r="G45" i="7"/>
  <c r="G44" i="7"/>
  <c r="G43" i="7"/>
  <c r="G42" i="7"/>
  <c r="G41" i="7"/>
  <c r="G40" i="7"/>
  <c r="G39" i="7"/>
  <c r="G38" i="7"/>
  <c r="G37" i="7"/>
  <c r="G36" i="7"/>
  <c r="G35" i="7"/>
  <c r="E29" i="7"/>
  <c r="G29" i="7" s="1"/>
  <c r="G22" i="7"/>
  <c r="G18" i="7"/>
  <c r="E31" i="7" s="1"/>
  <c r="G31" i="7" s="1"/>
  <c r="G15" i="7"/>
  <c r="G10" i="7"/>
  <c r="K9" i="7"/>
  <c r="M8" i="7"/>
  <c r="G8" i="7"/>
  <c r="G7" i="7"/>
  <c r="G185" i="33"/>
  <c r="G184" i="33"/>
  <c r="G183" i="33"/>
  <c r="G180" i="33"/>
  <c r="H23" i="45" s="1"/>
  <c r="G179" i="33"/>
  <c r="H22" i="45" s="1"/>
  <c r="G178" i="33"/>
  <c r="H21" i="45" s="1"/>
  <c r="G175" i="33"/>
  <c r="H19" i="45" s="1"/>
  <c r="G174" i="33"/>
  <c r="H18" i="45" s="1"/>
  <c r="G173" i="33"/>
  <c r="H17" i="45" s="1"/>
  <c r="G165" i="33"/>
  <c r="G164" i="33"/>
  <c r="G163" i="33"/>
  <c r="G162" i="33"/>
  <c r="AB9" i="44" s="1"/>
  <c r="G161" i="33"/>
  <c r="AA9" i="44" s="1"/>
  <c r="G142" i="33"/>
  <c r="R9" i="44" s="1"/>
  <c r="G141" i="33"/>
  <c r="Q9" i="44" s="1"/>
  <c r="G140" i="33"/>
  <c r="P9" i="44" s="1"/>
  <c r="G139" i="33"/>
  <c r="O9" i="44" s="1"/>
  <c r="G138" i="33"/>
  <c r="G133" i="33"/>
  <c r="G132" i="33"/>
  <c r="G131" i="33"/>
  <c r="G130" i="33"/>
  <c r="G129" i="33"/>
  <c r="G128" i="33"/>
  <c r="G123" i="33"/>
  <c r="AL9" i="44" s="1"/>
  <c r="G122" i="33"/>
  <c r="AK9" i="44" s="1"/>
  <c r="G121" i="33"/>
  <c r="AJ9" i="44" s="1"/>
  <c r="G120" i="33"/>
  <c r="AI9" i="44" s="1"/>
  <c r="G119" i="33"/>
  <c r="AH9" i="44" s="1"/>
  <c r="G118" i="33"/>
  <c r="AG9" i="44" s="1"/>
  <c r="G117" i="33"/>
  <c r="AF9" i="44" s="1"/>
  <c r="G116" i="33"/>
  <c r="AE9" i="44" s="1"/>
  <c r="G115" i="33"/>
  <c r="G114" i="33"/>
  <c r="G113" i="33"/>
  <c r="G92" i="33"/>
  <c r="AL8" i="1" s="1"/>
  <c r="G91" i="33"/>
  <c r="G90" i="33"/>
  <c r="G89" i="33"/>
  <c r="G88" i="33"/>
  <c r="G87" i="33"/>
  <c r="AC8" i="1" s="1"/>
  <c r="G86" i="33"/>
  <c r="AB8" i="1" s="1"/>
  <c r="G85" i="33"/>
  <c r="AA8" i="1" s="1"/>
  <c r="G84" i="33"/>
  <c r="Z8" i="1" s="1"/>
  <c r="G83" i="33"/>
  <c r="G82" i="33"/>
  <c r="G78" i="33"/>
  <c r="AS9" i="44" s="1"/>
  <c r="G77" i="33"/>
  <c r="AR9" i="44" s="1"/>
  <c r="G76" i="33"/>
  <c r="AQ9" i="44" s="1"/>
  <c r="G75" i="33"/>
  <c r="AP9" i="44" s="1"/>
  <c r="G74" i="33"/>
  <c r="G70" i="33"/>
  <c r="H15" i="45" s="1"/>
  <c r="G69" i="33"/>
  <c r="H14" i="45" s="1"/>
  <c r="G68" i="33"/>
  <c r="H13" i="45" s="1"/>
  <c r="G67" i="33"/>
  <c r="G66" i="33"/>
  <c r="G65" i="33"/>
  <c r="G63" i="33"/>
  <c r="H8" i="45" s="1"/>
  <c r="H7" i="45"/>
  <c r="G58" i="33"/>
  <c r="G57" i="33"/>
  <c r="G56" i="33"/>
  <c r="G55" i="33"/>
  <c r="G54" i="33"/>
  <c r="G53" i="33"/>
  <c r="G52" i="33"/>
  <c r="G51" i="33"/>
  <c r="G50" i="33"/>
  <c r="G49" i="33"/>
  <c r="G46" i="33"/>
  <c r="G45" i="33"/>
  <c r="G44" i="33"/>
  <c r="G43" i="33"/>
  <c r="G42" i="33"/>
  <c r="G41" i="33"/>
  <c r="G40" i="33"/>
  <c r="G39" i="33"/>
  <c r="G38" i="33"/>
  <c r="G37" i="33"/>
  <c r="G36" i="33"/>
  <c r="G35" i="33"/>
  <c r="E29" i="33"/>
  <c r="G29" i="33" s="1"/>
  <c r="G22" i="33"/>
  <c r="G19" i="33"/>
  <c r="G187" i="33" s="1"/>
  <c r="G18" i="33"/>
  <c r="E31" i="33" s="1"/>
  <c r="G31" i="33" s="1"/>
  <c r="G15" i="33"/>
  <c r="G10" i="33"/>
  <c r="K9" i="33"/>
  <c r="G9" i="33"/>
  <c r="M8" i="33"/>
  <c r="G8" i="33"/>
  <c r="G7" i="33"/>
  <c r="G185" i="5"/>
  <c r="G184" i="5"/>
  <c r="G183" i="5"/>
  <c r="G180" i="5"/>
  <c r="G23" i="45" s="1"/>
  <c r="G179" i="5"/>
  <c r="G22" i="45" s="1"/>
  <c r="G178" i="5"/>
  <c r="G21" i="45" s="1"/>
  <c r="G175" i="5"/>
  <c r="G19" i="45" s="1"/>
  <c r="G174" i="5"/>
  <c r="G18" i="45" s="1"/>
  <c r="G173" i="5"/>
  <c r="G17" i="45" s="1"/>
  <c r="G165" i="5"/>
  <c r="G164" i="5"/>
  <c r="G163" i="5"/>
  <c r="G162" i="5"/>
  <c r="AB8" i="44" s="1"/>
  <c r="G161" i="5"/>
  <c r="AA8" i="44" s="1"/>
  <c r="G142" i="5"/>
  <c r="R8" i="44" s="1"/>
  <c r="G141" i="5"/>
  <c r="Q8" i="44" s="1"/>
  <c r="G140" i="5"/>
  <c r="P8" i="44" s="1"/>
  <c r="G139" i="5"/>
  <c r="O8" i="44" s="1"/>
  <c r="G138" i="5"/>
  <c r="G133" i="5"/>
  <c r="AM8" i="44" s="1"/>
  <c r="G132" i="5"/>
  <c r="G131" i="5"/>
  <c r="G130" i="5"/>
  <c r="G129" i="5"/>
  <c r="G128" i="5"/>
  <c r="G123" i="5"/>
  <c r="AL8" i="44" s="1"/>
  <c r="G122" i="5"/>
  <c r="AK8" i="44" s="1"/>
  <c r="G121" i="5"/>
  <c r="AJ8" i="44" s="1"/>
  <c r="G120" i="5"/>
  <c r="AI8" i="44" s="1"/>
  <c r="G119" i="5"/>
  <c r="AH8" i="44" s="1"/>
  <c r="G118" i="5"/>
  <c r="AG8" i="44" s="1"/>
  <c r="G117" i="5"/>
  <c r="AF8" i="44" s="1"/>
  <c r="G116" i="5"/>
  <c r="AE8" i="44" s="1"/>
  <c r="G115" i="5"/>
  <c r="G114" i="5"/>
  <c r="G113" i="5"/>
  <c r="G112" i="5"/>
  <c r="G92" i="5"/>
  <c r="AL7" i="1" s="1"/>
  <c r="G91" i="5"/>
  <c r="G90" i="5"/>
  <c r="G89" i="5"/>
  <c r="G88" i="5"/>
  <c r="G87" i="5"/>
  <c r="AC7" i="1" s="1"/>
  <c r="G86" i="5"/>
  <c r="AB7" i="1" s="1"/>
  <c r="G85" i="5"/>
  <c r="AA7" i="1" s="1"/>
  <c r="G84" i="5"/>
  <c r="Z7" i="1" s="1"/>
  <c r="G83" i="5"/>
  <c r="G82" i="5"/>
  <c r="G78" i="5"/>
  <c r="AS8" i="44" s="1"/>
  <c r="G77" i="5"/>
  <c r="AR8" i="44" s="1"/>
  <c r="G76" i="5"/>
  <c r="AQ8" i="44" s="1"/>
  <c r="G75" i="5"/>
  <c r="AP8" i="44" s="1"/>
  <c r="G74" i="5"/>
  <c r="G70" i="5"/>
  <c r="G15" i="45" s="1"/>
  <c r="G69" i="5"/>
  <c r="G14" i="45" s="1"/>
  <c r="G68" i="5"/>
  <c r="G13" i="45" s="1"/>
  <c r="G67" i="5"/>
  <c r="G66" i="5"/>
  <c r="G65" i="5"/>
  <c r="G63" i="5"/>
  <c r="G8" i="45" s="1"/>
  <c r="G62" i="5"/>
  <c r="G58" i="5"/>
  <c r="G57" i="5"/>
  <c r="G56" i="5"/>
  <c r="G55" i="5"/>
  <c r="G54" i="5"/>
  <c r="G53" i="5"/>
  <c r="G52" i="5"/>
  <c r="G51" i="5"/>
  <c r="G50" i="5"/>
  <c r="G49" i="5"/>
  <c r="G46" i="5"/>
  <c r="G45" i="5"/>
  <c r="G44" i="5"/>
  <c r="G43" i="5"/>
  <c r="G42" i="5"/>
  <c r="G41" i="5"/>
  <c r="G40" i="5"/>
  <c r="G39" i="5"/>
  <c r="G38" i="5"/>
  <c r="G37" i="5"/>
  <c r="G36" i="5"/>
  <c r="G35" i="5"/>
  <c r="E29" i="5"/>
  <c r="G29" i="5" s="1"/>
  <c r="G22" i="5"/>
  <c r="G19" i="5"/>
  <c r="G18" i="5"/>
  <c r="E31" i="5" s="1"/>
  <c r="G31" i="5" s="1"/>
  <c r="G15" i="5"/>
  <c r="G10" i="5"/>
  <c r="K9" i="5"/>
  <c r="G9" i="5"/>
  <c r="M8" i="5"/>
  <c r="G8" i="5"/>
  <c r="G7" i="5"/>
  <c r="G185" i="4"/>
  <c r="G184" i="4"/>
  <c r="G183" i="4"/>
  <c r="G180" i="4"/>
  <c r="F23" i="45" s="1"/>
  <c r="G179" i="4"/>
  <c r="F22" i="45" s="1"/>
  <c r="G178" i="4"/>
  <c r="F21" i="45" s="1"/>
  <c r="G175" i="4"/>
  <c r="F19" i="45" s="1"/>
  <c r="G174" i="4"/>
  <c r="F18" i="45" s="1"/>
  <c r="G173" i="4"/>
  <c r="F17" i="45" s="1"/>
  <c r="G165" i="4"/>
  <c r="G164" i="4"/>
  <c r="G163" i="4"/>
  <c r="G162" i="4"/>
  <c r="AB7" i="44" s="1"/>
  <c r="G161" i="4"/>
  <c r="AA7" i="44" s="1"/>
  <c r="G142" i="4"/>
  <c r="R7" i="44" s="1"/>
  <c r="G141" i="4"/>
  <c r="Q7" i="44" s="1"/>
  <c r="G140" i="4"/>
  <c r="P7" i="44" s="1"/>
  <c r="G139" i="4"/>
  <c r="O7" i="44" s="1"/>
  <c r="G138" i="4"/>
  <c r="G133" i="4"/>
  <c r="AM7" i="44" s="1"/>
  <c r="G132" i="4"/>
  <c r="G131" i="4"/>
  <c r="G130" i="4"/>
  <c r="G129" i="4"/>
  <c r="G123" i="4"/>
  <c r="AL7" i="44" s="1"/>
  <c r="G122" i="4"/>
  <c r="AK7" i="44" s="1"/>
  <c r="G121" i="4"/>
  <c r="AJ7" i="44" s="1"/>
  <c r="G120" i="4"/>
  <c r="AI7" i="44" s="1"/>
  <c r="G119" i="4"/>
  <c r="AH7" i="44" s="1"/>
  <c r="G118" i="4"/>
  <c r="AG7" i="44" s="1"/>
  <c r="G117" i="4"/>
  <c r="AF7" i="44" s="1"/>
  <c r="G116" i="4"/>
  <c r="AE7" i="44" s="1"/>
  <c r="G115" i="4"/>
  <c r="G114" i="4"/>
  <c r="G113" i="4"/>
  <c r="G112" i="4"/>
  <c r="G92" i="4"/>
  <c r="AL6" i="1" s="1"/>
  <c r="G91" i="4"/>
  <c r="G90" i="4"/>
  <c r="G89" i="4"/>
  <c r="G88" i="4"/>
  <c r="G87" i="4"/>
  <c r="AC6" i="1" s="1"/>
  <c r="G86" i="4"/>
  <c r="AB6" i="1" s="1"/>
  <c r="G85" i="4"/>
  <c r="AA6" i="1" s="1"/>
  <c r="G84" i="4"/>
  <c r="Z6" i="1" s="1"/>
  <c r="G83" i="4"/>
  <c r="G82" i="4"/>
  <c r="G78" i="4"/>
  <c r="AS7" i="44" s="1"/>
  <c r="G77" i="4"/>
  <c r="AR7" i="44" s="1"/>
  <c r="G76" i="4"/>
  <c r="AQ7" i="44" s="1"/>
  <c r="G75" i="4"/>
  <c r="AP7" i="44" s="1"/>
  <c r="G74" i="4"/>
  <c r="G70" i="4"/>
  <c r="F15" i="45" s="1"/>
  <c r="G69" i="4"/>
  <c r="F14" i="45" s="1"/>
  <c r="G68" i="4"/>
  <c r="F13" i="45" s="1"/>
  <c r="G67" i="4"/>
  <c r="G66" i="4"/>
  <c r="G65" i="4"/>
  <c r="G63" i="4"/>
  <c r="F8" i="45" s="1"/>
  <c r="G62" i="4"/>
  <c r="G58" i="4"/>
  <c r="G57" i="4"/>
  <c r="G56" i="4"/>
  <c r="G55" i="4"/>
  <c r="G54" i="4"/>
  <c r="G53" i="4"/>
  <c r="G52" i="4"/>
  <c r="G51" i="4"/>
  <c r="G50" i="4"/>
  <c r="G49" i="4"/>
  <c r="G46" i="4"/>
  <c r="G45" i="4"/>
  <c r="G44" i="4"/>
  <c r="G43" i="4"/>
  <c r="G42" i="4"/>
  <c r="G41" i="4"/>
  <c r="G40" i="4"/>
  <c r="G39" i="4"/>
  <c r="G38" i="4"/>
  <c r="G37" i="4"/>
  <c r="G36" i="4"/>
  <c r="G35" i="4"/>
  <c r="E29" i="4"/>
  <c r="G29" i="4" s="1"/>
  <c r="G22" i="4"/>
  <c r="H22" i="4" s="1"/>
  <c r="G19" i="4"/>
  <c r="H19" i="4" s="1"/>
  <c r="G18" i="4"/>
  <c r="G15" i="4"/>
  <c r="H15" i="4" s="1"/>
  <c r="G10" i="4"/>
  <c r="H10" i="4" s="1"/>
  <c r="K9" i="4"/>
  <c r="G9" i="4"/>
  <c r="H9" i="4" s="1"/>
  <c r="M8" i="4"/>
  <c r="G8" i="4"/>
  <c r="H8" i="4" s="1"/>
  <c r="G7" i="4"/>
  <c r="H7" i="4" s="1"/>
  <c r="G185" i="3"/>
  <c r="G184" i="3"/>
  <c r="G183" i="3"/>
  <c r="G180" i="3"/>
  <c r="E23" i="45" s="1"/>
  <c r="G179" i="3"/>
  <c r="E22" i="45" s="1"/>
  <c r="G178" i="3"/>
  <c r="E21" i="45" s="1"/>
  <c r="G175" i="3"/>
  <c r="E19" i="45" s="1"/>
  <c r="G174" i="3"/>
  <c r="E18" i="45" s="1"/>
  <c r="G173" i="3"/>
  <c r="E17" i="45" s="1"/>
  <c r="G165" i="3"/>
  <c r="G164" i="3"/>
  <c r="G163" i="3"/>
  <c r="G162" i="3"/>
  <c r="AB6" i="44" s="1"/>
  <c r="G161" i="3"/>
  <c r="AA6" i="44" s="1"/>
  <c r="G142" i="3"/>
  <c r="R6" i="44" s="1"/>
  <c r="G141" i="3"/>
  <c r="Q6" i="44" s="1"/>
  <c r="G140" i="3"/>
  <c r="P6" i="44" s="1"/>
  <c r="G139" i="3"/>
  <c r="O6" i="44" s="1"/>
  <c r="G138" i="3"/>
  <c r="G133" i="3"/>
  <c r="G132" i="3"/>
  <c r="G131" i="3"/>
  <c r="G130" i="3"/>
  <c r="G129" i="3"/>
  <c r="G128" i="3"/>
  <c r="G123" i="3"/>
  <c r="AL6" i="44" s="1"/>
  <c r="G122" i="3"/>
  <c r="AK6" i="44" s="1"/>
  <c r="G121" i="3"/>
  <c r="AJ6" i="44" s="1"/>
  <c r="G120" i="3"/>
  <c r="AI6" i="44" s="1"/>
  <c r="G119" i="3"/>
  <c r="AH6" i="44" s="1"/>
  <c r="G118" i="3"/>
  <c r="AG6" i="44" s="1"/>
  <c r="G117" i="3"/>
  <c r="AF6" i="44" s="1"/>
  <c r="G116" i="3"/>
  <c r="AE6" i="44" s="1"/>
  <c r="G115" i="3"/>
  <c r="G114" i="3"/>
  <c r="G113" i="3"/>
  <c r="G112" i="3"/>
  <c r="G92" i="3"/>
  <c r="AL5" i="1" s="1"/>
  <c r="G91" i="3"/>
  <c r="G90" i="3"/>
  <c r="G89" i="3"/>
  <c r="G88" i="3"/>
  <c r="G87" i="3"/>
  <c r="AC5" i="1" s="1"/>
  <c r="G86" i="3"/>
  <c r="AB5" i="1" s="1"/>
  <c r="G85" i="3"/>
  <c r="AA5" i="1" s="1"/>
  <c r="G84" i="3"/>
  <c r="Z5" i="1" s="1"/>
  <c r="G83" i="3"/>
  <c r="G82" i="3"/>
  <c r="G78" i="3"/>
  <c r="AS6" i="44" s="1"/>
  <c r="G77" i="3"/>
  <c r="AR6" i="44" s="1"/>
  <c r="G76" i="3"/>
  <c r="AQ6" i="44" s="1"/>
  <c r="G75" i="3"/>
  <c r="AP6" i="44" s="1"/>
  <c r="G74" i="3"/>
  <c r="G70" i="3"/>
  <c r="E15" i="45" s="1"/>
  <c r="G69" i="3"/>
  <c r="E14" i="45" s="1"/>
  <c r="G68" i="3"/>
  <c r="E13" i="45" s="1"/>
  <c r="G67" i="3"/>
  <c r="G66" i="3"/>
  <c r="G65" i="3"/>
  <c r="G63" i="3"/>
  <c r="E8" i="45" s="1"/>
  <c r="G62" i="3"/>
  <c r="G58" i="3"/>
  <c r="G57" i="3"/>
  <c r="G56" i="3"/>
  <c r="G55" i="3"/>
  <c r="G54" i="3"/>
  <c r="G53" i="3"/>
  <c r="G52" i="3"/>
  <c r="G51" i="3"/>
  <c r="G50" i="3"/>
  <c r="G49" i="3"/>
  <c r="G46" i="3"/>
  <c r="G45" i="3"/>
  <c r="G44" i="3"/>
  <c r="G43" i="3"/>
  <c r="G42" i="3"/>
  <c r="G41" i="3"/>
  <c r="G40" i="3"/>
  <c r="G39" i="3"/>
  <c r="G38" i="3"/>
  <c r="G37" i="3"/>
  <c r="G36" i="3"/>
  <c r="G35" i="3"/>
  <c r="E29" i="3"/>
  <c r="G29" i="3" s="1"/>
  <c r="K9" i="3"/>
  <c r="M8" i="3"/>
  <c r="G185" i="2"/>
  <c r="H185" i="2" s="1"/>
  <c r="J185" i="2" s="1"/>
  <c r="G184" i="2"/>
  <c r="G183" i="2"/>
  <c r="G180" i="2"/>
  <c r="D23" i="45" s="1"/>
  <c r="G179" i="2"/>
  <c r="D22" i="45" s="1"/>
  <c r="G178" i="2"/>
  <c r="G175" i="2"/>
  <c r="D19" i="45" s="1"/>
  <c r="G174" i="2"/>
  <c r="D18" i="45" s="1"/>
  <c r="G173" i="2"/>
  <c r="D17" i="45" s="1"/>
  <c r="G165" i="2"/>
  <c r="G163" i="2"/>
  <c r="G162" i="2"/>
  <c r="AB5" i="44" s="1"/>
  <c r="G161" i="2"/>
  <c r="G150" i="2"/>
  <c r="G149" i="2"/>
  <c r="G148" i="2"/>
  <c r="W5" i="44" s="1"/>
  <c r="G147" i="2"/>
  <c r="V5" i="44" s="1"/>
  <c r="G146" i="2"/>
  <c r="T5" i="44" s="1"/>
  <c r="G145" i="2"/>
  <c r="S5" i="44" s="1"/>
  <c r="G144" i="2"/>
  <c r="U5" i="44" s="1"/>
  <c r="G143" i="2"/>
  <c r="X5" i="44" s="1"/>
  <c r="G142" i="2"/>
  <c r="R5" i="44" s="1"/>
  <c r="G141" i="2"/>
  <c r="Q5" i="44" s="1"/>
  <c r="G140" i="2"/>
  <c r="P5" i="44" s="1"/>
  <c r="G139" i="2"/>
  <c r="O5" i="44" s="1"/>
  <c r="G138" i="2"/>
  <c r="G133" i="2"/>
  <c r="G132" i="2"/>
  <c r="H132" i="2" s="1"/>
  <c r="J132" i="2" s="1"/>
  <c r="G131" i="2"/>
  <c r="G130" i="2"/>
  <c r="G129" i="2"/>
  <c r="G128" i="2"/>
  <c r="G123" i="2"/>
  <c r="AL5" i="44" s="1"/>
  <c r="G122" i="2"/>
  <c r="G121" i="2"/>
  <c r="AJ5" i="44" s="1"/>
  <c r="G120" i="2"/>
  <c r="G119" i="2"/>
  <c r="AH5" i="44" s="1"/>
  <c r="G118" i="2"/>
  <c r="G117" i="2"/>
  <c r="AF5" i="44" s="1"/>
  <c r="G116" i="2"/>
  <c r="G115" i="2"/>
  <c r="G114" i="2"/>
  <c r="H114" i="2" s="1"/>
  <c r="J114" i="2" s="1"/>
  <c r="G113" i="2"/>
  <c r="G112" i="2"/>
  <c r="G92" i="2"/>
  <c r="G91" i="2"/>
  <c r="G90" i="2"/>
  <c r="G89" i="2"/>
  <c r="G88" i="2"/>
  <c r="G87" i="2"/>
  <c r="G86" i="2"/>
  <c r="G85" i="2"/>
  <c r="G84" i="2"/>
  <c r="G83" i="2"/>
  <c r="H83" i="2" s="1"/>
  <c r="G82" i="2"/>
  <c r="H82" i="2" s="1"/>
  <c r="G78" i="2"/>
  <c r="G77" i="2"/>
  <c r="G76" i="2"/>
  <c r="G75" i="2"/>
  <c r="G74" i="2"/>
  <c r="G70" i="2"/>
  <c r="G69" i="2"/>
  <c r="G68" i="2"/>
  <c r="G67" i="2"/>
  <c r="G66" i="2"/>
  <c r="G65" i="2"/>
  <c r="G63" i="2"/>
  <c r="G62" i="2"/>
  <c r="G187" i="2" s="1"/>
  <c r="G58" i="2"/>
  <c r="H58" i="2" s="1"/>
  <c r="G57" i="2"/>
  <c r="H57" i="2" s="1"/>
  <c r="G56" i="2"/>
  <c r="H56" i="2" s="1"/>
  <c r="G55" i="2"/>
  <c r="H55" i="2" s="1"/>
  <c r="G54" i="2"/>
  <c r="H54" i="2" s="1"/>
  <c r="G53" i="2"/>
  <c r="H53" i="2" s="1"/>
  <c r="G52" i="2"/>
  <c r="H52" i="2" s="1"/>
  <c r="G51" i="2"/>
  <c r="H51" i="2" s="1"/>
  <c r="G50" i="2"/>
  <c r="H50" i="2" s="1"/>
  <c r="G49" i="2"/>
  <c r="G46" i="2"/>
  <c r="H46" i="2" s="1"/>
  <c r="G45" i="2"/>
  <c r="H45" i="2" s="1"/>
  <c r="G44" i="2"/>
  <c r="H44" i="2" s="1"/>
  <c r="G43" i="2"/>
  <c r="H43" i="2" s="1"/>
  <c r="G42" i="2"/>
  <c r="H42" i="2" s="1"/>
  <c r="G41" i="2"/>
  <c r="H41" i="2" s="1"/>
  <c r="G40" i="2"/>
  <c r="H40" i="2" s="1"/>
  <c r="G39" i="2"/>
  <c r="H39" i="2" s="1"/>
  <c r="G38" i="2"/>
  <c r="H37" i="2"/>
  <c r="G36" i="2"/>
  <c r="G35" i="2"/>
  <c r="H35" i="2" s="1"/>
  <c r="G29" i="2"/>
  <c r="H29" i="2" s="1"/>
  <c r="G30" i="2"/>
  <c r="H30" i="2" s="1"/>
  <c r="G31" i="2"/>
  <c r="H31" i="2" s="1"/>
  <c r="K9" i="2"/>
  <c r="M8" i="2"/>
  <c r="H27" i="2"/>
  <c r="AZ28" i="44" l="1"/>
  <c r="AZ15" i="44"/>
  <c r="AZ20" i="44"/>
  <c r="AZ24" i="44"/>
  <c r="AZ23" i="44"/>
  <c r="AZ26" i="44"/>
  <c r="AZ27" i="44"/>
  <c r="AZ13" i="44"/>
  <c r="AZ25" i="44"/>
  <c r="AZ16" i="44"/>
  <c r="AZ19" i="44"/>
  <c r="AZ17" i="44"/>
  <c r="AZ22" i="44"/>
  <c r="AZ21" i="44"/>
  <c r="N49" i="4"/>
  <c r="G188" i="4"/>
  <c r="H49" i="2"/>
  <c r="G59" i="2"/>
  <c r="I13" i="3"/>
  <c r="G19" i="7"/>
  <c r="E30" i="7" s="1"/>
  <c r="G30" i="7" s="1"/>
  <c r="G15" i="8"/>
  <c r="G79" i="8" s="1"/>
  <c r="G9" i="8"/>
  <c r="G8" i="8"/>
  <c r="E27" i="8" s="1"/>
  <c r="G27" i="8" s="1"/>
  <c r="G9" i="7"/>
  <c r="E10" i="18"/>
  <c r="G7" i="8"/>
  <c r="G60" i="18"/>
  <c r="G60" i="29"/>
  <c r="G60" i="17"/>
  <c r="E28" i="18"/>
  <c r="G28" i="18" s="1"/>
  <c r="AD11" i="44"/>
  <c r="AD10" i="44"/>
  <c r="AD9" i="44"/>
  <c r="AD8" i="44"/>
  <c r="AD7" i="44"/>
  <c r="AD6" i="44"/>
  <c r="E15" i="19"/>
  <c r="AL37" i="44"/>
  <c r="O36" i="44"/>
  <c r="AB36" i="44"/>
  <c r="AJ37" i="44"/>
  <c r="R36" i="44"/>
  <c r="P37" i="44"/>
  <c r="AF36" i="44"/>
  <c r="Q36" i="44"/>
  <c r="AH37" i="44"/>
  <c r="Q37" i="44"/>
  <c r="U37" i="44"/>
  <c r="U36" i="44"/>
  <c r="S37" i="44"/>
  <c r="S36" i="44"/>
  <c r="AH36" i="44"/>
  <c r="AL36" i="44"/>
  <c r="R37" i="44"/>
  <c r="T37" i="44"/>
  <c r="T36" i="44"/>
  <c r="V36" i="44"/>
  <c r="V37" i="44"/>
  <c r="O37" i="44"/>
  <c r="W36" i="44"/>
  <c r="W37" i="44"/>
  <c r="G125" i="7"/>
  <c r="I125" i="7" s="1"/>
  <c r="AF37" i="44"/>
  <c r="AJ36" i="44"/>
  <c r="P36" i="44"/>
  <c r="AB37" i="44"/>
  <c r="X36" i="44"/>
  <c r="X37" i="44"/>
  <c r="G135" i="8"/>
  <c r="I135" i="8" s="1"/>
  <c r="N8" i="44"/>
  <c r="G153" i="5"/>
  <c r="I153" i="5" s="1"/>
  <c r="G125" i="8"/>
  <c r="I125" i="8" s="1"/>
  <c r="G135" i="2"/>
  <c r="G125" i="4"/>
  <c r="I125" i="4" s="1"/>
  <c r="N7" i="44"/>
  <c r="G153" i="4"/>
  <c r="I153" i="4" s="1"/>
  <c r="G135" i="5"/>
  <c r="I135" i="5" s="1"/>
  <c r="N11" i="44"/>
  <c r="G153" i="8"/>
  <c r="N10" i="44"/>
  <c r="G153" i="7"/>
  <c r="I153" i="7" s="1"/>
  <c r="H112" i="2"/>
  <c r="J112" i="2" s="1"/>
  <c r="G125" i="2"/>
  <c r="I125" i="2" s="1"/>
  <c r="N6" i="44"/>
  <c r="G153" i="3"/>
  <c r="I153" i="3" s="1"/>
  <c r="G135" i="4"/>
  <c r="I135" i="4" s="1"/>
  <c r="G125" i="5"/>
  <c r="I125" i="5" s="1"/>
  <c r="N9" i="44"/>
  <c r="G153" i="33"/>
  <c r="I153" i="33" s="1"/>
  <c r="N5" i="44"/>
  <c r="G153" i="2"/>
  <c r="G135" i="3"/>
  <c r="G60" i="25"/>
  <c r="H56" i="3"/>
  <c r="H56" i="4" s="1"/>
  <c r="H56" i="5" s="1"/>
  <c r="H56" i="33" s="1"/>
  <c r="H56" i="7" s="1"/>
  <c r="H56" i="8" s="1"/>
  <c r="H56" i="9" s="1"/>
  <c r="H56" i="10" s="1"/>
  <c r="H56" i="11" s="1"/>
  <c r="H56" i="12" s="1"/>
  <c r="H56" i="13" s="1"/>
  <c r="H56" i="14" s="1"/>
  <c r="H56" i="15" s="1"/>
  <c r="H56" i="16" s="1"/>
  <c r="H56" i="17" s="1"/>
  <c r="H56" i="18" s="1"/>
  <c r="H56" i="19" s="1"/>
  <c r="H56" i="20" s="1"/>
  <c r="H56" i="21" s="1"/>
  <c r="H56" i="22" s="1"/>
  <c r="H56" i="23" s="1"/>
  <c r="H56" i="24" s="1"/>
  <c r="H56" i="25" s="1"/>
  <c r="H56" i="40" s="1"/>
  <c r="H56" i="27" s="1"/>
  <c r="H56" i="28" s="1"/>
  <c r="H56" i="29" s="1"/>
  <c r="H56" i="30" s="1"/>
  <c r="H56" i="43" s="1"/>
  <c r="H56" i="31" s="1"/>
  <c r="G188" i="2"/>
  <c r="G188" i="33"/>
  <c r="G135" i="7"/>
  <c r="I135" i="7" s="1"/>
  <c r="E9" i="45"/>
  <c r="G188" i="3"/>
  <c r="G188" i="7"/>
  <c r="G7" i="45"/>
  <c r="G187" i="5"/>
  <c r="F7" i="45"/>
  <c r="G187" i="4"/>
  <c r="G188" i="5"/>
  <c r="G135" i="33"/>
  <c r="J7" i="45"/>
  <c r="H183" i="2"/>
  <c r="J183" i="2" s="1"/>
  <c r="G186" i="2"/>
  <c r="G102" i="5"/>
  <c r="G103" i="5" s="1"/>
  <c r="H127" i="7"/>
  <c r="H127" i="8" s="1"/>
  <c r="E7" i="45"/>
  <c r="G187" i="3"/>
  <c r="I7" i="45"/>
  <c r="G188" i="8"/>
  <c r="AA11" i="44"/>
  <c r="J156" i="9"/>
  <c r="G125" i="33"/>
  <c r="I125" i="33" s="1"/>
  <c r="G98" i="33"/>
  <c r="G99" i="33" s="1"/>
  <c r="G125" i="3"/>
  <c r="I125" i="3" s="1"/>
  <c r="G104" i="4"/>
  <c r="G105" i="4" s="1"/>
  <c r="AA5" i="44"/>
  <c r="V10" i="1"/>
  <c r="J9" i="45"/>
  <c r="W7" i="1"/>
  <c r="G10" i="45"/>
  <c r="W6" i="1"/>
  <c r="F10" i="45"/>
  <c r="V6" i="1"/>
  <c r="F9" i="45"/>
  <c r="X7" i="1"/>
  <c r="G11" i="45"/>
  <c r="X6" i="1"/>
  <c r="F11" i="45"/>
  <c r="V9" i="1"/>
  <c r="I9" i="45"/>
  <c r="W10" i="1"/>
  <c r="J10" i="45"/>
  <c r="J155" i="10"/>
  <c r="H155" i="11"/>
  <c r="W9" i="1"/>
  <c r="I10" i="45"/>
  <c r="X10" i="1"/>
  <c r="J11" i="45"/>
  <c r="J156" i="10"/>
  <c r="H156" i="11"/>
  <c r="V8" i="1"/>
  <c r="H9" i="45"/>
  <c r="X9" i="1"/>
  <c r="I11" i="45"/>
  <c r="W8" i="1"/>
  <c r="H10" i="45"/>
  <c r="G100" i="7"/>
  <c r="G101" i="7" s="1"/>
  <c r="G98" i="8"/>
  <c r="V7" i="1"/>
  <c r="G9" i="45"/>
  <c r="X8" i="1"/>
  <c r="H11" i="45"/>
  <c r="X5" i="1"/>
  <c r="E11" i="45"/>
  <c r="W5" i="1"/>
  <c r="E10" i="45"/>
  <c r="J24" i="3"/>
  <c r="H24" i="4"/>
  <c r="H24" i="5" s="1"/>
  <c r="H24" i="33" s="1"/>
  <c r="H24" i="7" s="1"/>
  <c r="H24" i="8" s="1"/>
  <c r="H24" i="9" s="1"/>
  <c r="H24" i="10" s="1"/>
  <c r="H24" i="11" s="1"/>
  <c r="H24" i="12" s="1"/>
  <c r="H24" i="13" s="1"/>
  <c r="H24" i="14" s="1"/>
  <c r="H24" i="15" s="1"/>
  <c r="H24" i="16" s="1"/>
  <c r="H24" i="17" s="1"/>
  <c r="H24" i="18" s="1"/>
  <c r="H24" i="19" s="1"/>
  <c r="H24" i="20" s="1"/>
  <c r="H24" i="21" s="1"/>
  <c r="H24" i="22" s="1"/>
  <c r="H24" i="23" s="1"/>
  <c r="H24" i="24" s="1"/>
  <c r="H24" i="25" s="1"/>
  <c r="H24" i="40" s="1"/>
  <c r="H24" i="27" s="1"/>
  <c r="H24" i="28" s="1"/>
  <c r="H24" i="29" s="1"/>
  <c r="H24" i="30" s="1"/>
  <c r="H24" i="43" s="1"/>
  <c r="H24" i="31" s="1"/>
  <c r="G60" i="12"/>
  <c r="AO10" i="1"/>
  <c r="AO11" i="44"/>
  <c r="AH10" i="1"/>
  <c r="AW11" i="44"/>
  <c r="AG10" i="1"/>
  <c r="AV11" i="44"/>
  <c r="AI10" i="1"/>
  <c r="AX11" i="44"/>
  <c r="BJ10" i="1"/>
  <c r="AM11" i="44"/>
  <c r="AK10" i="1"/>
  <c r="AU11" i="44"/>
  <c r="J166" i="9"/>
  <c r="AI9" i="1"/>
  <c r="AX10" i="44"/>
  <c r="BJ9" i="1"/>
  <c r="AM10" i="44"/>
  <c r="AO9" i="1"/>
  <c r="AO10" i="44"/>
  <c r="AK9" i="1"/>
  <c r="AU10" i="44"/>
  <c r="AG9" i="1"/>
  <c r="AV10" i="44"/>
  <c r="AK8" i="1"/>
  <c r="AU9" i="44"/>
  <c r="AI8" i="1"/>
  <c r="AX9" i="44"/>
  <c r="BJ8" i="1"/>
  <c r="AM9" i="44"/>
  <c r="AG8" i="1"/>
  <c r="AV9" i="44"/>
  <c r="AO8" i="1"/>
  <c r="AO9" i="44"/>
  <c r="AH8" i="1"/>
  <c r="AW9" i="44"/>
  <c r="AI7" i="1"/>
  <c r="AX8" i="44"/>
  <c r="AO7" i="1"/>
  <c r="AO8" i="44"/>
  <c r="AH7" i="1"/>
  <c r="AW8" i="44"/>
  <c r="AG7" i="1"/>
  <c r="AV8" i="44"/>
  <c r="AK7" i="1"/>
  <c r="AU8" i="44"/>
  <c r="AK6" i="1"/>
  <c r="AU7" i="44"/>
  <c r="AG6" i="1"/>
  <c r="AV7" i="44"/>
  <c r="AI6" i="1"/>
  <c r="AX7" i="44"/>
  <c r="AO6" i="1"/>
  <c r="AO7" i="44"/>
  <c r="AH6" i="1"/>
  <c r="AW7" i="44"/>
  <c r="AG5" i="1"/>
  <c r="AV6" i="44"/>
  <c r="AK5" i="1"/>
  <c r="AU6" i="44"/>
  <c r="AO5" i="1"/>
  <c r="AO6" i="44"/>
  <c r="AH5" i="1"/>
  <c r="AW6" i="44"/>
  <c r="AI5" i="1"/>
  <c r="AX6" i="44"/>
  <c r="BJ5" i="1"/>
  <c r="AM6" i="44"/>
  <c r="H70" i="2"/>
  <c r="H70" i="3" s="1"/>
  <c r="H70" i="4" s="1"/>
  <c r="H70" i="5" s="1"/>
  <c r="H70" i="33" s="1"/>
  <c r="H70" i="7" s="1"/>
  <c r="H70" i="8" s="1"/>
  <c r="H70" i="9" s="1"/>
  <c r="H70" i="10" s="1"/>
  <c r="H70" i="11" s="1"/>
  <c r="H70" i="12" s="1"/>
  <c r="H70" i="13" s="1"/>
  <c r="H70" i="14" s="1"/>
  <c r="H70" i="15" s="1"/>
  <c r="H70" i="16" s="1"/>
  <c r="H70" i="17" s="1"/>
  <c r="H70" i="18" s="1"/>
  <c r="H70" i="19" s="1"/>
  <c r="H70" i="20" s="1"/>
  <c r="H70" i="21" s="1"/>
  <c r="H70" i="22" s="1"/>
  <c r="H70" i="23" s="1"/>
  <c r="H70" i="24" s="1"/>
  <c r="H70" i="25" s="1"/>
  <c r="H70" i="40" s="1"/>
  <c r="H70" i="27" s="1"/>
  <c r="H70" i="28" s="1"/>
  <c r="H70" i="29" s="1"/>
  <c r="H70" i="30" s="1"/>
  <c r="H70" i="43" s="1"/>
  <c r="H70" i="31" s="1"/>
  <c r="J70" i="31" s="1"/>
  <c r="D15" i="45"/>
  <c r="H84" i="2"/>
  <c r="H84" i="3" s="1"/>
  <c r="H84" i="4" s="1"/>
  <c r="H84" i="5" s="1"/>
  <c r="H84" i="33" s="1"/>
  <c r="H84" i="7" s="1"/>
  <c r="H84" i="8" s="1"/>
  <c r="H84" i="9" s="1"/>
  <c r="H84" i="10" s="1"/>
  <c r="H84" i="11" s="1"/>
  <c r="H84" i="12" s="1"/>
  <c r="H84" i="13" s="1"/>
  <c r="H84" i="14" s="1"/>
  <c r="H84" i="15" s="1"/>
  <c r="H84" i="16" s="1"/>
  <c r="H84" i="17" s="1"/>
  <c r="H84" i="18" s="1"/>
  <c r="H84" i="19" s="1"/>
  <c r="H84" i="20" s="1"/>
  <c r="H84" i="21" s="1"/>
  <c r="H84" i="22" s="1"/>
  <c r="H84" i="23" s="1"/>
  <c r="H84" i="24" s="1"/>
  <c r="H84" i="25" s="1"/>
  <c r="H84" i="40" s="1"/>
  <c r="H84" i="27" s="1"/>
  <c r="H84" i="28" s="1"/>
  <c r="H84" i="29" s="1"/>
  <c r="H84" i="30" s="1"/>
  <c r="H84" i="43" s="1"/>
  <c r="Z4" i="1"/>
  <c r="H92" i="2"/>
  <c r="H92" i="3" s="1"/>
  <c r="H92" i="4" s="1"/>
  <c r="H92" i="5" s="1"/>
  <c r="H92" i="33" s="1"/>
  <c r="H92" i="7" s="1"/>
  <c r="H92" i="8" s="1"/>
  <c r="H92" i="9" s="1"/>
  <c r="H92" i="10" s="1"/>
  <c r="H92" i="11" s="1"/>
  <c r="H92" i="12" s="1"/>
  <c r="H92" i="13" s="1"/>
  <c r="H92" i="14" s="1"/>
  <c r="H92" i="15" s="1"/>
  <c r="H92" i="16" s="1"/>
  <c r="H92" i="17" s="1"/>
  <c r="H92" i="18" s="1"/>
  <c r="H92" i="19" s="1"/>
  <c r="H92" i="20" s="1"/>
  <c r="H92" i="21" s="1"/>
  <c r="H92" i="22" s="1"/>
  <c r="H92" i="23" s="1"/>
  <c r="H92" i="24" s="1"/>
  <c r="H92" i="25" s="1"/>
  <c r="H92" i="40" s="1"/>
  <c r="H92" i="27" s="1"/>
  <c r="H92" i="28" s="1"/>
  <c r="H92" i="29" s="1"/>
  <c r="H92" i="30" s="1"/>
  <c r="H92" i="43" s="1"/>
  <c r="AL4" i="1"/>
  <c r="H178" i="2"/>
  <c r="J178" i="2" s="1"/>
  <c r="D21" i="45"/>
  <c r="G102" i="4"/>
  <c r="G103" i="4" s="1"/>
  <c r="G100" i="5"/>
  <c r="G101" i="5" s="1"/>
  <c r="G94" i="8"/>
  <c r="J152" i="33"/>
  <c r="H152" i="7"/>
  <c r="H120" i="2"/>
  <c r="J120" i="2" s="1"/>
  <c r="AI5" i="44"/>
  <c r="H118" i="2"/>
  <c r="J118" i="2" s="1"/>
  <c r="AG5" i="44"/>
  <c r="H85" i="2"/>
  <c r="H85" i="3" s="1"/>
  <c r="H85" i="4" s="1"/>
  <c r="H85" i="5" s="1"/>
  <c r="H85" i="33" s="1"/>
  <c r="H85" i="7" s="1"/>
  <c r="H85" i="8" s="1"/>
  <c r="H85" i="9" s="1"/>
  <c r="H85" i="10" s="1"/>
  <c r="H85" i="11" s="1"/>
  <c r="H85" i="12" s="1"/>
  <c r="H85" i="13" s="1"/>
  <c r="H85" i="14" s="1"/>
  <c r="H85" i="15" s="1"/>
  <c r="H85" i="16" s="1"/>
  <c r="H85" i="17" s="1"/>
  <c r="H85" i="18" s="1"/>
  <c r="H85" i="19" s="1"/>
  <c r="H85" i="20" s="1"/>
  <c r="H85" i="21" s="1"/>
  <c r="H85" i="22" s="1"/>
  <c r="H85" i="23" s="1"/>
  <c r="H85" i="24" s="1"/>
  <c r="H85" i="25" s="1"/>
  <c r="H85" i="40" s="1"/>
  <c r="H85" i="27" s="1"/>
  <c r="H85" i="28" s="1"/>
  <c r="H85" i="29" s="1"/>
  <c r="H85" i="30" s="1"/>
  <c r="H85" i="43" s="1"/>
  <c r="AA4" i="1"/>
  <c r="H63" i="2"/>
  <c r="H63" i="3" s="1"/>
  <c r="H63" i="4" s="1"/>
  <c r="H63" i="5" s="1"/>
  <c r="H63" i="33" s="1"/>
  <c r="H63" i="7" s="1"/>
  <c r="H63" i="8" s="1"/>
  <c r="H63" i="9" s="1"/>
  <c r="H63" i="10" s="1"/>
  <c r="H63" i="11" s="1"/>
  <c r="H63" i="12" s="1"/>
  <c r="H63" i="13" s="1"/>
  <c r="H63" i="14" s="1"/>
  <c r="H63" i="15" s="1"/>
  <c r="H63" i="16" s="1"/>
  <c r="H63" i="17" s="1"/>
  <c r="H63" i="18" s="1"/>
  <c r="H63" i="19" s="1"/>
  <c r="H63" i="20" s="1"/>
  <c r="H63" i="21" s="1"/>
  <c r="H63" i="22" s="1"/>
  <c r="H63" i="23" s="1"/>
  <c r="H63" i="24" s="1"/>
  <c r="H63" i="25" s="1"/>
  <c r="H63" i="40" s="1"/>
  <c r="H63" i="27" s="1"/>
  <c r="H63" i="28" s="1"/>
  <c r="H63" i="29" s="1"/>
  <c r="H63" i="30" s="1"/>
  <c r="H63" i="43" s="1"/>
  <c r="H63" i="31" s="1"/>
  <c r="J63" i="31" s="1"/>
  <c r="D8" i="45"/>
  <c r="H75" i="2"/>
  <c r="H75" i="3" s="1"/>
  <c r="H75" i="4" s="1"/>
  <c r="H75" i="5" s="1"/>
  <c r="H75" i="33" s="1"/>
  <c r="H75" i="7" s="1"/>
  <c r="H75" i="8" s="1"/>
  <c r="H75" i="9" s="1"/>
  <c r="H75" i="10" s="1"/>
  <c r="H75" i="11" s="1"/>
  <c r="H75" i="12" s="1"/>
  <c r="H75" i="13" s="1"/>
  <c r="H75" i="14" s="1"/>
  <c r="H75" i="15" s="1"/>
  <c r="H75" i="16" s="1"/>
  <c r="H75" i="17" s="1"/>
  <c r="H75" i="18" s="1"/>
  <c r="H75" i="19" s="1"/>
  <c r="H75" i="20" s="1"/>
  <c r="H75" i="21" s="1"/>
  <c r="H75" i="22" s="1"/>
  <c r="H75" i="23" s="1"/>
  <c r="H75" i="24" s="1"/>
  <c r="H75" i="25" s="1"/>
  <c r="H75" i="40" s="1"/>
  <c r="H75" i="27" s="1"/>
  <c r="H75" i="28" s="1"/>
  <c r="H75" i="29" s="1"/>
  <c r="H75" i="30" s="1"/>
  <c r="H75" i="43" s="1"/>
  <c r="AP5" i="44"/>
  <c r="H86" i="2"/>
  <c r="H86" i="3" s="1"/>
  <c r="H86" i="4" s="1"/>
  <c r="H86" i="5" s="1"/>
  <c r="H86" i="33" s="1"/>
  <c r="H86" i="7" s="1"/>
  <c r="H86" i="8" s="1"/>
  <c r="H86" i="9" s="1"/>
  <c r="H86" i="10" s="1"/>
  <c r="H86" i="11" s="1"/>
  <c r="H86" i="12" s="1"/>
  <c r="H86" i="13" s="1"/>
  <c r="H86" i="14" s="1"/>
  <c r="H86" i="15" s="1"/>
  <c r="H86" i="16" s="1"/>
  <c r="H86" i="17" s="1"/>
  <c r="H86" i="18" s="1"/>
  <c r="H86" i="19" s="1"/>
  <c r="H86" i="20" s="1"/>
  <c r="H86" i="21" s="1"/>
  <c r="H86" i="22" s="1"/>
  <c r="H86" i="23" s="1"/>
  <c r="H86" i="24" s="1"/>
  <c r="H86" i="25" s="1"/>
  <c r="H86" i="40" s="1"/>
  <c r="H86" i="27" s="1"/>
  <c r="H86" i="28" s="1"/>
  <c r="H86" i="29" s="1"/>
  <c r="H86" i="30" s="1"/>
  <c r="H86" i="43" s="1"/>
  <c r="AB4" i="1"/>
  <c r="BJ4" i="1"/>
  <c r="AM5" i="44"/>
  <c r="AD5" i="44"/>
  <c r="G100" i="4"/>
  <c r="G101" i="4" s="1"/>
  <c r="G60" i="11"/>
  <c r="H91" i="2"/>
  <c r="H91" i="3" s="1"/>
  <c r="H91" i="4" s="1"/>
  <c r="H91" i="5" s="1"/>
  <c r="H91" i="33" s="1"/>
  <c r="H91" i="7" s="1"/>
  <c r="H91" i="8" s="1"/>
  <c r="H91" i="9" s="1"/>
  <c r="H91" i="10" s="1"/>
  <c r="H91" i="11" s="1"/>
  <c r="H91" i="12" s="1"/>
  <c r="H91" i="13" s="1"/>
  <c r="H91" i="14" s="1"/>
  <c r="H91" i="15" s="1"/>
  <c r="H91" i="16" s="1"/>
  <c r="H91" i="17" s="1"/>
  <c r="H91" i="18" s="1"/>
  <c r="H91" i="19" s="1"/>
  <c r="H91" i="20" s="1"/>
  <c r="H91" i="21" s="1"/>
  <c r="H91" i="22" s="1"/>
  <c r="H91" i="23" s="1"/>
  <c r="H91" i="24" s="1"/>
  <c r="H91" i="25" s="1"/>
  <c r="H91" i="40" s="1"/>
  <c r="H91" i="27" s="1"/>
  <c r="H91" i="28" s="1"/>
  <c r="H91" i="29" s="1"/>
  <c r="H91" i="30" s="1"/>
  <c r="H91" i="43" s="1"/>
  <c r="AU5" i="44"/>
  <c r="AK4" i="1"/>
  <c r="H74" i="2"/>
  <c r="H74" i="3" s="1"/>
  <c r="H74" i="4" s="1"/>
  <c r="H74" i="5" s="1"/>
  <c r="H74" i="33" s="1"/>
  <c r="H74" i="7" s="1"/>
  <c r="H74" i="8" s="1"/>
  <c r="H74" i="9" s="1"/>
  <c r="H74" i="10" s="1"/>
  <c r="H74" i="11" s="1"/>
  <c r="H74" i="12" s="1"/>
  <c r="H74" i="13" s="1"/>
  <c r="H74" i="14" s="1"/>
  <c r="H74" i="15" s="1"/>
  <c r="H74" i="16" s="1"/>
  <c r="H74" i="17" s="1"/>
  <c r="H74" i="18" s="1"/>
  <c r="H74" i="19" s="1"/>
  <c r="H74" i="20" s="1"/>
  <c r="H74" i="21" s="1"/>
  <c r="H74" i="22" s="1"/>
  <c r="H74" i="23" s="1"/>
  <c r="H74" i="24" s="1"/>
  <c r="H74" i="25" s="1"/>
  <c r="H74" i="40" s="1"/>
  <c r="H74" i="27" s="1"/>
  <c r="H74" i="28" s="1"/>
  <c r="H74" i="29" s="1"/>
  <c r="AO4" i="1"/>
  <c r="AO5" i="44"/>
  <c r="H65" i="2"/>
  <c r="H65" i="3" s="1"/>
  <c r="H65" i="4" s="1"/>
  <c r="H65" i="5" s="1"/>
  <c r="H65" i="33" s="1"/>
  <c r="H65" i="7" s="1"/>
  <c r="H65" i="8" s="1"/>
  <c r="H65" i="9" s="1"/>
  <c r="H65" i="10" s="1"/>
  <c r="H65" i="11" s="1"/>
  <c r="H65" i="12" s="1"/>
  <c r="H65" i="13" s="1"/>
  <c r="H65" i="14" s="1"/>
  <c r="H65" i="15" s="1"/>
  <c r="H65" i="16" s="1"/>
  <c r="H65" i="17" s="1"/>
  <c r="H65" i="18" s="1"/>
  <c r="H65" i="19" s="1"/>
  <c r="H65" i="20" s="1"/>
  <c r="H65" i="21" s="1"/>
  <c r="H65" i="22" s="1"/>
  <c r="H65" i="23" s="1"/>
  <c r="H65" i="24" s="1"/>
  <c r="H65" i="25" s="1"/>
  <c r="H65" i="40" s="1"/>
  <c r="H65" i="27" s="1"/>
  <c r="H65" i="28" s="1"/>
  <c r="H65" i="29" s="1"/>
  <c r="H65" i="30" s="1"/>
  <c r="H65" i="43" s="1"/>
  <c r="H65" i="31" s="1"/>
  <c r="J65" i="31" s="1"/>
  <c r="V4" i="1"/>
  <c r="D9" i="45"/>
  <c r="H76" i="2"/>
  <c r="H76" i="3" s="1"/>
  <c r="H76" i="4" s="1"/>
  <c r="H76" i="5" s="1"/>
  <c r="H76" i="33" s="1"/>
  <c r="H76" i="7" s="1"/>
  <c r="H76" i="8" s="1"/>
  <c r="H76" i="9" s="1"/>
  <c r="H76" i="10" s="1"/>
  <c r="H76" i="11" s="1"/>
  <c r="H76" i="12" s="1"/>
  <c r="H76" i="13" s="1"/>
  <c r="H76" i="14" s="1"/>
  <c r="H76" i="15" s="1"/>
  <c r="H76" i="16" s="1"/>
  <c r="H76" i="17" s="1"/>
  <c r="H76" i="18" s="1"/>
  <c r="H76" i="19" s="1"/>
  <c r="H76" i="20" s="1"/>
  <c r="H76" i="21" s="1"/>
  <c r="H76" i="22" s="1"/>
  <c r="H76" i="23" s="1"/>
  <c r="H76" i="24" s="1"/>
  <c r="H76" i="25" s="1"/>
  <c r="H76" i="40" s="1"/>
  <c r="H76" i="27" s="1"/>
  <c r="H76" i="28" s="1"/>
  <c r="H76" i="29" s="1"/>
  <c r="H76" i="30" s="1"/>
  <c r="H76" i="43" s="1"/>
  <c r="AQ5" i="44"/>
  <c r="H87" i="2"/>
  <c r="H87" i="3" s="1"/>
  <c r="H87" i="4" s="1"/>
  <c r="H87" i="5" s="1"/>
  <c r="H87" i="33" s="1"/>
  <c r="H87" i="7" s="1"/>
  <c r="H87" i="8" s="1"/>
  <c r="H87" i="9" s="1"/>
  <c r="H87" i="10" s="1"/>
  <c r="H87" i="11" s="1"/>
  <c r="H87" i="12" s="1"/>
  <c r="H87" i="13" s="1"/>
  <c r="H87" i="14" s="1"/>
  <c r="H87" i="15" s="1"/>
  <c r="H87" i="16" s="1"/>
  <c r="H87" i="17" s="1"/>
  <c r="H87" i="18" s="1"/>
  <c r="H87" i="19" s="1"/>
  <c r="H87" i="20" s="1"/>
  <c r="H87" i="21" s="1"/>
  <c r="H87" i="22" s="1"/>
  <c r="H87" i="23" s="1"/>
  <c r="H87" i="24" s="1"/>
  <c r="H87" i="25" s="1"/>
  <c r="H87" i="40" s="1"/>
  <c r="H87" i="27" s="1"/>
  <c r="H87" i="28" s="1"/>
  <c r="H87" i="29" s="1"/>
  <c r="H87" i="30" s="1"/>
  <c r="H87" i="43" s="1"/>
  <c r="AC4" i="1"/>
  <c r="H122" i="2"/>
  <c r="J122" i="2" s="1"/>
  <c r="AK5" i="44"/>
  <c r="G94" i="33"/>
  <c r="G95" i="33" s="1"/>
  <c r="I90" i="7"/>
  <c r="AH9" i="1"/>
  <c r="G100" i="8"/>
  <c r="H151" i="5"/>
  <c r="J151" i="4"/>
  <c r="H69" i="2"/>
  <c r="H69" i="3" s="1"/>
  <c r="H69" i="4" s="1"/>
  <c r="H69" i="5" s="1"/>
  <c r="H69" i="33" s="1"/>
  <c r="H69" i="7" s="1"/>
  <c r="H69" i="8" s="1"/>
  <c r="H69" i="9" s="1"/>
  <c r="H69" i="10" s="1"/>
  <c r="H69" i="11" s="1"/>
  <c r="H69" i="12" s="1"/>
  <c r="H69" i="13" s="1"/>
  <c r="H69" i="14" s="1"/>
  <c r="H69" i="15" s="1"/>
  <c r="H69" i="16" s="1"/>
  <c r="H69" i="17" s="1"/>
  <c r="H69" i="18" s="1"/>
  <c r="H69" i="19" s="1"/>
  <c r="H69" i="20" s="1"/>
  <c r="H69" i="21" s="1"/>
  <c r="H69" i="22" s="1"/>
  <c r="H69" i="23" s="1"/>
  <c r="H69" i="24" s="1"/>
  <c r="H69" i="25" s="1"/>
  <c r="H69" i="40" s="1"/>
  <c r="H69" i="27" s="1"/>
  <c r="H69" i="28" s="1"/>
  <c r="H69" i="29" s="1"/>
  <c r="H69" i="30" s="1"/>
  <c r="H69" i="43" s="1"/>
  <c r="D14" i="45"/>
  <c r="H66" i="2"/>
  <c r="H66" i="3" s="1"/>
  <c r="H66" i="4" s="1"/>
  <c r="H66" i="5" s="1"/>
  <c r="H66" i="33" s="1"/>
  <c r="H66" i="7" s="1"/>
  <c r="H66" i="8" s="1"/>
  <c r="H66" i="9" s="1"/>
  <c r="H66" i="10" s="1"/>
  <c r="H66" i="11" s="1"/>
  <c r="H66" i="12" s="1"/>
  <c r="H66" i="13" s="1"/>
  <c r="H66" i="14" s="1"/>
  <c r="H66" i="15" s="1"/>
  <c r="H66" i="16" s="1"/>
  <c r="H66" i="17" s="1"/>
  <c r="H66" i="18" s="1"/>
  <c r="H66" i="19" s="1"/>
  <c r="H66" i="20" s="1"/>
  <c r="H66" i="21" s="1"/>
  <c r="H66" i="22" s="1"/>
  <c r="H66" i="23" s="1"/>
  <c r="H66" i="24" s="1"/>
  <c r="H66" i="25" s="1"/>
  <c r="H66" i="40" s="1"/>
  <c r="H66" i="27" s="1"/>
  <c r="H66" i="28" s="1"/>
  <c r="H66" i="29" s="1"/>
  <c r="H66" i="30" s="1"/>
  <c r="H66" i="43" s="1"/>
  <c r="H66" i="31" s="1"/>
  <c r="J66" i="31" s="1"/>
  <c r="D10" i="45"/>
  <c r="W4" i="1"/>
  <c r="H77" i="2"/>
  <c r="H77" i="3" s="1"/>
  <c r="H77" i="4" s="1"/>
  <c r="H77" i="5" s="1"/>
  <c r="H77" i="33" s="1"/>
  <c r="H77" i="7" s="1"/>
  <c r="H77" i="8" s="1"/>
  <c r="H77" i="9" s="1"/>
  <c r="H77" i="10" s="1"/>
  <c r="H77" i="11" s="1"/>
  <c r="H77" i="12" s="1"/>
  <c r="H77" i="13" s="1"/>
  <c r="H77" i="14" s="1"/>
  <c r="H77" i="15" s="1"/>
  <c r="H77" i="16" s="1"/>
  <c r="H77" i="17" s="1"/>
  <c r="H77" i="18" s="1"/>
  <c r="H77" i="19" s="1"/>
  <c r="H77" i="20" s="1"/>
  <c r="H77" i="21" s="1"/>
  <c r="H77" i="22" s="1"/>
  <c r="H77" i="23" s="1"/>
  <c r="H77" i="24" s="1"/>
  <c r="H77" i="25" s="1"/>
  <c r="H77" i="40" s="1"/>
  <c r="H77" i="27" s="1"/>
  <c r="H77" i="28" s="1"/>
  <c r="H77" i="29" s="1"/>
  <c r="H77" i="30" s="1"/>
  <c r="H77" i="43" s="1"/>
  <c r="H77" i="31" s="1"/>
  <c r="J77" i="31" s="1"/>
  <c r="AR5" i="44"/>
  <c r="H88" i="2"/>
  <c r="H88" i="3" s="1"/>
  <c r="H88" i="4" s="1"/>
  <c r="H88" i="5" s="1"/>
  <c r="H88" i="33" s="1"/>
  <c r="H88" i="7" s="1"/>
  <c r="H88" i="8" s="1"/>
  <c r="H88" i="9" s="1"/>
  <c r="H88" i="10" s="1"/>
  <c r="H88" i="11" s="1"/>
  <c r="H88" i="12" s="1"/>
  <c r="H88" i="13" s="1"/>
  <c r="H88" i="14" s="1"/>
  <c r="H88" i="15" s="1"/>
  <c r="H88" i="16" s="1"/>
  <c r="H88" i="17" s="1"/>
  <c r="H88" i="18" s="1"/>
  <c r="H88" i="19" s="1"/>
  <c r="H88" i="20" s="1"/>
  <c r="H88" i="21" s="1"/>
  <c r="H88" i="22" s="1"/>
  <c r="H88" i="23" s="1"/>
  <c r="H88" i="24" s="1"/>
  <c r="H88" i="25" s="1"/>
  <c r="H88" i="40" s="1"/>
  <c r="H88" i="27" s="1"/>
  <c r="H88" i="28" s="1"/>
  <c r="H88" i="29" s="1"/>
  <c r="H88" i="30" s="1"/>
  <c r="H88" i="43" s="1"/>
  <c r="AV5" i="44"/>
  <c r="AG4" i="1"/>
  <c r="H67" i="2"/>
  <c r="H67" i="3" s="1"/>
  <c r="H67" i="4" s="1"/>
  <c r="H67" i="5" s="1"/>
  <c r="H67" i="33" s="1"/>
  <c r="H67" i="7" s="1"/>
  <c r="H67" i="8" s="1"/>
  <c r="H67" i="9" s="1"/>
  <c r="H67" i="10" s="1"/>
  <c r="H67" i="11" s="1"/>
  <c r="H67" i="12" s="1"/>
  <c r="H67" i="13" s="1"/>
  <c r="H67" i="14" s="1"/>
  <c r="H67" i="15" s="1"/>
  <c r="H67" i="16" s="1"/>
  <c r="H67" i="17" s="1"/>
  <c r="H67" i="18" s="1"/>
  <c r="H67" i="19" s="1"/>
  <c r="H67" i="20" s="1"/>
  <c r="H67" i="21" s="1"/>
  <c r="H67" i="22" s="1"/>
  <c r="H67" i="23" s="1"/>
  <c r="H67" i="24" s="1"/>
  <c r="H67" i="25" s="1"/>
  <c r="H67" i="40" s="1"/>
  <c r="H67" i="27" s="1"/>
  <c r="H67" i="28" s="1"/>
  <c r="H67" i="29" s="1"/>
  <c r="H67" i="30" s="1"/>
  <c r="H67" i="43" s="1"/>
  <c r="H67" i="31" s="1"/>
  <c r="J67" i="31" s="1"/>
  <c r="D11" i="45"/>
  <c r="X4" i="1"/>
  <c r="H78" i="2"/>
  <c r="H78" i="3" s="1"/>
  <c r="H78" i="4" s="1"/>
  <c r="H78" i="5" s="1"/>
  <c r="H78" i="33" s="1"/>
  <c r="H78" i="7" s="1"/>
  <c r="H78" i="8" s="1"/>
  <c r="H78" i="9" s="1"/>
  <c r="H78" i="10" s="1"/>
  <c r="H78" i="11" s="1"/>
  <c r="H78" i="12" s="1"/>
  <c r="H78" i="13" s="1"/>
  <c r="H78" i="14" s="1"/>
  <c r="H78" i="15" s="1"/>
  <c r="H78" i="16" s="1"/>
  <c r="H78" i="17" s="1"/>
  <c r="H78" i="18" s="1"/>
  <c r="H78" i="19" s="1"/>
  <c r="H78" i="20" s="1"/>
  <c r="H78" i="21" s="1"/>
  <c r="H78" i="22" s="1"/>
  <c r="H78" i="23" s="1"/>
  <c r="H78" i="24" s="1"/>
  <c r="H78" i="25" s="1"/>
  <c r="H78" i="40" s="1"/>
  <c r="H78" i="27" s="1"/>
  <c r="H78" i="28" s="1"/>
  <c r="H78" i="29" s="1"/>
  <c r="H78" i="30" s="1"/>
  <c r="H78" i="43" s="1"/>
  <c r="H78" i="31" s="1"/>
  <c r="J78" i="31" s="1"/>
  <c r="AS5" i="44"/>
  <c r="H89" i="2"/>
  <c r="H89" i="3" s="1"/>
  <c r="H89" i="4" s="1"/>
  <c r="H89" i="5" s="1"/>
  <c r="H89" i="33" s="1"/>
  <c r="H89" i="7" s="1"/>
  <c r="H89" i="8" s="1"/>
  <c r="H89" i="9" s="1"/>
  <c r="H89" i="10" s="1"/>
  <c r="H89" i="11" s="1"/>
  <c r="H89" i="12" s="1"/>
  <c r="H89" i="13" s="1"/>
  <c r="H89" i="14" s="1"/>
  <c r="H89" i="15" s="1"/>
  <c r="H89" i="16" s="1"/>
  <c r="H89" i="17" s="1"/>
  <c r="H89" i="18" s="1"/>
  <c r="H89" i="19" s="1"/>
  <c r="H89" i="20" s="1"/>
  <c r="H89" i="21" s="1"/>
  <c r="H89" i="22" s="1"/>
  <c r="H89" i="23" s="1"/>
  <c r="H89" i="24" s="1"/>
  <c r="H89" i="25" s="1"/>
  <c r="H89" i="40" s="1"/>
  <c r="H89" i="27" s="1"/>
  <c r="H89" i="28" s="1"/>
  <c r="H89" i="29" s="1"/>
  <c r="H89" i="30" s="1"/>
  <c r="H89" i="43" s="1"/>
  <c r="AW5" i="44"/>
  <c r="AH4" i="1"/>
  <c r="H116" i="2"/>
  <c r="J116" i="2" s="1"/>
  <c r="AE5" i="44"/>
  <c r="J134" i="33"/>
  <c r="H134" i="7"/>
  <c r="H62" i="2"/>
  <c r="H62" i="3" s="1"/>
  <c r="H62" i="4" s="1"/>
  <c r="H62" i="5" s="1"/>
  <c r="H62" i="33" s="1"/>
  <c r="H62" i="7" s="1"/>
  <c r="H62" i="8" s="1"/>
  <c r="H62" i="9" s="1"/>
  <c r="H62" i="10" s="1"/>
  <c r="H62" i="11" s="1"/>
  <c r="H62" i="12" s="1"/>
  <c r="H62" i="13" s="1"/>
  <c r="H62" i="14" s="1"/>
  <c r="H62" i="15" s="1"/>
  <c r="H62" i="16" s="1"/>
  <c r="H62" i="17" s="1"/>
  <c r="H62" i="18" s="1"/>
  <c r="H62" i="19" s="1"/>
  <c r="H62" i="20" s="1"/>
  <c r="H62" i="21" s="1"/>
  <c r="H62" i="22" s="1"/>
  <c r="H62" i="23" s="1"/>
  <c r="H62" i="24" s="1"/>
  <c r="H62" i="25" s="1"/>
  <c r="H62" i="40" s="1"/>
  <c r="H62" i="27" s="1"/>
  <c r="H62" i="28" s="1"/>
  <c r="H62" i="29" s="1"/>
  <c r="H62" i="30" s="1"/>
  <c r="H62" i="43" s="1"/>
  <c r="D7" i="45"/>
  <c r="H68" i="2"/>
  <c r="H68" i="3" s="1"/>
  <c r="H68" i="4" s="1"/>
  <c r="H68" i="5" s="1"/>
  <c r="H68" i="33" s="1"/>
  <c r="H68" i="7" s="1"/>
  <c r="H68" i="8" s="1"/>
  <c r="H68" i="9" s="1"/>
  <c r="H68" i="10" s="1"/>
  <c r="H68" i="11" s="1"/>
  <c r="H68" i="12" s="1"/>
  <c r="H68" i="13" s="1"/>
  <c r="H68" i="14" s="1"/>
  <c r="H68" i="15" s="1"/>
  <c r="H68" i="16" s="1"/>
  <c r="H68" i="17" s="1"/>
  <c r="H68" i="18" s="1"/>
  <c r="H68" i="19" s="1"/>
  <c r="H68" i="20" s="1"/>
  <c r="H68" i="21" s="1"/>
  <c r="H68" i="22" s="1"/>
  <c r="H68" i="23" s="1"/>
  <c r="H68" i="24" s="1"/>
  <c r="H68" i="25" s="1"/>
  <c r="H68" i="40" s="1"/>
  <c r="H68" i="27" s="1"/>
  <c r="H68" i="28" s="1"/>
  <c r="H68" i="29" s="1"/>
  <c r="H68" i="30" s="1"/>
  <c r="H68" i="43" s="1"/>
  <c r="H68" i="31" s="1"/>
  <c r="D13" i="45"/>
  <c r="H90" i="2"/>
  <c r="H90" i="3" s="1"/>
  <c r="H90" i="4" s="1"/>
  <c r="H90" i="5" s="1"/>
  <c r="H90" i="33" s="1"/>
  <c r="H90" i="7" s="1"/>
  <c r="H90" i="8" s="1"/>
  <c r="H90" i="9" s="1"/>
  <c r="H90" i="10" s="1"/>
  <c r="H90" i="11" s="1"/>
  <c r="H90" i="12" s="1"/>
  <c r="H90" i="13" s="1"/>
  <c r="H90" i="14" s="1"/>
  <c r="H90" i="15" s="1"/>
  <c r="H90" i="16" s="1"/>
  <c r="H90" i="17" s="1"/>
  <c r="H90" i="18" s="1"/>
  <c r="H90" i="19" s="1"/>
  <c r="H90" i="20" s="1"/>
  <c r="H90" i="21" s="1"/>
  <c r="H90" i="22" s="1"/>
  <c r="H90" i="23" s="1"/>
  <c r="H90" i="24" s="1"/>
  <c r="H90" i="25" s="1"/>
  <c r="H90" i="40" s="1"/>
  <c r="H90" i="27" s="1"/>
  <c r="H90" i="29" s="1"/>
  <c r="H90" i="30" s="1"/>
  <c r="H90" i="43" s="1"/>
  <c r="AI4" i="1"/>
  <c r="AX5" i="44"/>
  <c r="BJ7" i="1"/>
  <c r="BJ6" i="1"/>
  <c r="G60" i="43"/>
  <c r="G60" i="30"/>
  <c r="G186" i="7"/>
  <c r="I90" i="8"/>
  <c r="H15" i="5"/>
  <c r="H15" i="33" s="1"/>
  <c r="H15" i="7" s="1"/>
  <c r="I90" i="33"/>
  <c r="H8" i="5"/>
  <c r="H8" i="33" s="1"/>
  <c r="H8" i="7" s="1"/>
  <c r="H10" i="5"/>
  <c r="H10" i="33" s="1"/>
  <c r="H10" i="7" s="1"/>
  <c r="H10" i="8" s="1"/>
  <c r="H10" i="9" s="1"/>
  <c r="H10" i="10" s="1"/>
  <c r="H10" i="11" s="1"/>
  <c r="H10" i="12" s="1"/>
  <c r="H10" i="13" s="1"/>
  <c r="H10" i="14" s="1"/>
  <c r="H10" i="15" s="1"/>
  <c r="H10" i="16" s="1"/>
  <c r="H10" i="17" s="1"/>
  <c r="H22" i="5"/>
  <c r="H22" i="33" s="1"/>
  <c r="H22" i="7" s="1"/>
  <c r="H22" i="8" s="1"/>
  <c r="H22" i="9" s="1"/>
  <c r="H22" i="10" s="1"/>
  <c r="H22" i="11" s="1"/>
  <c r="H22" i="12" s="1"/>
  <c r="H22" i="13" s="1"/>
  <c r="H22" i="14" s="1"/>
  <c r="H22" i="15" s="1"/>
  <c r="H22" i="16" s="1"/>
  <c r="H22" i="17" s="1"/>
  <c r="H22" i="18" s="1"/>
  <c r="H22" i="19" s="1"/>
  <c r="H22" i="20" s="1"/>
  <c r="H22" i="21" s="1"/>
  <c r="H22" i="22" s="1"/>
  <c r="H22" i="23" s="1"/>
  <c r="H22" i="24" s="1"/>
  <c r="H22" i="25" s="1"/>
  <c r="H22" i="40" s="1"/>
  <c r="H22" i="27" s="1"/>
  <c r="H22" i="28" s="1"/>
  <c r="H22" i="29" s="1"/>
  <c r="H22" i="30" s="1"/>
  <c r="H22" i="43" s="1"/>
  <c r="H22" i="31" s="1"/>
  <c r="G96" i="5"/>
  <c r="G97" i="5" s="1"/>
  <c r="H9" i="5"/>
  <c r="H9" i="33" s="1"/>
  <c r="G47" i="5"/>
  <c r="G71" i="5"/>
  <c r="H7" i="5"/>
  <c r="H7" i="33" s="1"/>
  <c r="H7" i="7" s="1"/>
  <c r="H19" i="5"/>
  <c r="H19" i="33" s="1"/>
  <c r="E31" i="4"/>
  <c r="G31" i="4" s="1"/>
  <c r="H18" i="4"/>
  <c r="H18" i="5" s="1"/>
  <c r="H18" i="33" s="1"/>
  <c r="H18" i="7" s="1"/>
  <c r="H18" i="8" s="1"/>
  <c r="H18" i="9" s="1"/>
  <c r="H18" i="10" s="1"/>
  <c r="H18" i="11" s="1"/>
  <c r="H18" i="12" s="1"/>
  <c r="H18" i="13" s="1"/>
  <c r="H18" i="14" s="1"/>
  <c r="H18" i="15" s="1"/>
  <c r="H18" i="16" s="1"/>
  <c r="H18" i="17" s="1"/>
  <c r="H18" i="18" s="1"/>
  <c r="H18" i="19" s="1"/>
  <c r="H18" i="20" s="1"/>
  <c r="H18" i="21" s="1"/>
  <c r="H18" i="22" s="1"/>
  <c r="H18" i="23" s="1"/>
  <c r="H18" i="24" s="1"/>
  <c r="H18" i="25" s="1"/>
  <c r="H18" i="40" s="1"/>
  <c r="H18" i="27" s="1"/>
  <c r="H18" i="28" s="1"/>
  <c r="H18" i="29" s="1"/>
  <c r="H18" i="30" s="1"/>
  <c r="H18" i="43" s="1"/>
  <c r="H18" i="31" s="1"/>
  <c r="H133" i="2"/>
  <c r="H131" i="2"/>
  <c r="J131" i="2" s="1"/>
  <c r="H129" i="2"/>
  <c r="H128" i="2"/>
  <c r="J128" i="2" s="1"/>
  <c r="H130" i="2"/>
  <c r="H182" i="8"/>
  <c r="J182" i="7"/>
  <c r="J166" i="10"/>
  <c r="H166" i="11"/>
  <c r="H132" i="3"/>
  <c r="H29" i="3"/>
  <c r="H29" i="4" s="1"/>
  <c r="H29" i="5" s="1"/>
  <c r="H29" i="33" s="1"/>
  <c r="H29" i="7" s="1"/>
  <c r="H29" i="8" s="1"/>
  <c r="H29" i="9" s="1"/>
  <c r="H29" i="10" s="1"/>
  <c r="H29" i="11" s="1"/>
  <c r="H29" i="12" s="1"/>
  <c r="H29" i="13" s="1"/>
  <c r="H29" i="14" s="1"/>
  <c r="H29" i="15" s="1"/>
  <c r="H29" i="16" s="1"/>
  <c r="H29" i="17" s="1"/>
  <c r="H29" i="18" s="1"/>
  <c r="H29" i="19" s="1"/>
  <c r="H29" i="20" s="1"/>
  <c r="H29" i="21" s="1"/>
  <c r="H29" i="22" s="1"/>
  <c r="H29" i="23" s="1"/>
  <c r="H29" i="24" s="1"/>
  <c r="H29" i="25" s="1"/>
  <c r="H29" i="40" s="1"/>
  <c r="H29" i="27" s="1"/>
  <c r="H29" i="28" s="1"/>
  <c r="H29" i="29" s="1"/>
  <c r="H29" i="30" s="1"/>
  <c r="H29" i="43" s="1"/>
  <c r="H29" i="31" s="1"/>
  <c r="H168" i="11"/>
  <c r="J168" i="10"/>
  <c r="H177" i="8"/>
  <c r="J177" i="7"/>
  <c r="H167" i="11"/>
  <c r="J167" i="10"/>
  <c r="H82" i="3"/>
  <c r="H82" i="4" s="1"/>
  <c r="H82" i="5" s="1"/>
  <c r="H82" i="33" s="1"/>
  <c r="H82" i="7" s="1"/>
  <c r="H82" i="8" s="1"/>
  <c r="H82" i="9" s="1"/>
  <c r="H82" i="10" s="1"/>
  <c r="H82" i="11" s="1"/>
  <c r="H82" i="12" s="1"/>
  <c r="H82" i="13" s="1"/>
  <c r="H82" i="14" s="1"/>
  <c r="H82" i="15" s="1"/>
  <c r="H82" i="16" s="1"/>
  <c r="H82" i="17" s="1"/>
  <c r="H82" i="18" s="1"/>
  <c r="H82" i="19" s="1"/>
  <c r="H82" i="20" s="1"/>
  <c r="H82" i="21" s="1"/>
  <c r="H82" i="22" s="1"/>
  <c r="H82" i="23" s="1"/>
  <c r="H82" i="24" s="1"/>
  <c r="H82" i="25" s="1"/>
  <c r="H82" i="40" s="1"/>
  <c r="H82" i="27" s="1"/>
  <c r="H82" i="28" s="1"/>
  <c r="H82" i="29" s="1"/>
  <c r="H82" i="30" s="1"/>
  <c r="H82" i="43" s="1"/>
  <c r="J82" i="43" s="1"/>
  <c r="G176" i="2"/>
  <c r="H173" i="2"/>
  <c r="H175" i="2"/>
  <c r="G186" i="3"/>
  <c r="H180" i="2"/>
  <c r="J180" i="2" s="1"/>
  <c r="H174" i="2"/>
  <c r="H179" i="2"/>
  <c r="J179" i="2" s="1"/>
  <c r="H184" i="2"/>
  <c r="H185" i="3"/>
  <c r="H161" i="2"/>
  <c r="J161" i="2" s="1"/>
  <c r="H163" i="2"/>
  <c r="J163" i="2" s="1"/>
  <c r="H165" i="2"/>
  <c r="J165" i="2" s="1"/>
  <c r="H162" i="2"/>
  <c r="H164" i="2"/>
  <c r="H139" i="2"/>
  <c r="H143" i="2"/>
  <c r="H147" i="2"/>
  <c r="H149" i="2"/>
  <c r="H141" i="2"/>
  <c r="J141" i="2" s="1"/>
  <c r="H145" i="2"/>
  <c r="H140" i="2"/>
  <c r="H142" i="2"/>
  <c r="J142" i="2" s="1"/>
  <c r="H144" i="2"/>
  <c r="H148" i="2"/>
  <c r="H150" i="2"/>
  <c r="H138" i="2"/>
  <c r="H146" i="2"/>
  <c r="H117" i="2"/>
  <c r="J117" i="2" s="1"/>
  <c r="H112" i="3"/>
  <c r="H119" i="2"/>
  <c r="J119" i="2" s="1"/>
  <c r="H113" i="2"/>
  <c r="J113" i="2" s="1"/>
  <c r="H121" i="2"/>
  <c r="J121" i="2" s="1"/>
  <c r="H114" i="3"/>
  <c r="H115" i="2"/>
  <c r="H123" i="2"/>
  <c r="J123" i="2" s="1"/>
  <c r="H83" i="3"/>
  <c r="H83" i="4" s="1"/>
  <c r="H83" i="5" s="1"/>
  <c r="H83" i="33" s="1"/>
  <c r="H83" i="7" s="1"/>
  <c r="H83" i="8" s="1"/>
  <c r="H83" i="9" s="1"/>
  <c r="H83" i="10" s="1"/>
  <c r="H83" i="11" s="1"/>
  <c r="H83" i="12" s="1"/>
  <c r="H83" i="13" s="1"/>
  <c r="H83" i="14" s="1"/>
  <c r="H83" i="15" s="1"/>
  <c r="H83" i="16" s="1"/>
  <c r="H83" i="17" s="1"/>
  <c r="H83" i="18" s="1"/>
  <c r="H83" i="19" s="1"/>
  <c r="H83" i="20" s="1"/>
  <c r="H83" i="21" s="1"/>
  <c r="H83" i="22" s="1"/>
  <c r="H83" i="23" s="1"/>
  <c r="H83" i="24" s="1"/>
  <c r="H83" i="25" s="1"/>
  <c r="H83" i="40" s="1"/>
  <c r="H83" i="27" s="1"/>
  <c r="H83" i="28" s="1"/>
  <c r="H83" i="29" s="1"/>
  <c r="H83" i="30" s="1"/>
  <c r="H83" i="43" s="1"/>
  <c r="H83" i="31" s="1"/>
  <c r="G79" i="2"/>
  <c r="H79" i="2" s="1"/>
  <c r="H52" i="3"/>
  <c r="H52" i="4" s="1"/>
  <c r="H52" i="5" s="1"/>
  <c r="H52" i="33" s="1"/>
  <c r="H52" i="7" s="1"/>
  <c r="H52" i="8" s="1"/>
  <c r="H52" i="9" s="1"/>
  <c r="H52" i="10" s="1"/>
  <c r="H52" i="11" s="1"/>
  <c r="H52" i="12" s="1"/>
  <c r="H52" i="13" s="1"/>
  <c r="H52" i="14" s="1"/>
  <c r="H52" i="15" s="1"/>
  <c r="H52" i="16" s="1"/>
  <c r="H52" i="17" s="1"/>
  <c r="H52" i="18" s="1"/>
  <c r="H52" i="19" s="1"/>
  <c r="H52" i="20" s="1"/>
  <c r="H52" i="21" s="1"/>
  <c r="H52" i="22" s="1"/>
  <c r="H52" i="23" s="1"/>
  <c r="H52" i="24" s="1"/>
  <c r="H52" i="25" s="1"/>
  <c r="H52" i="40" s="1"/>
  <c r="H52" i="27" s="1"/>
  <c r="H52" i="28" s="1"/>
  <c r="H52" i="29" s="1"/>
  <c r="H52" i="30" s="1"/>
  <c r="H52" i="43" s="1"/>
  <c r="H52" i="31" s="1"/>
  <c r="H51" i="3"/>
  <c r="H51" i="4" s="1"/>
  <c r="H51" i="5" s="1"/>
  <c r="H51" i="33" s="1"/>
  <c r="H51" i="7" s="1"/>
  <c r="H51" i="8" s="1"/>
  <c r="H51" i="9" s="1"/>
  <c r="H51" i="10" s="1"/>
  <c r="H51" i="11" s="1"/>
  <c r="H51" i="12" s="1"/>
  <c r="H51" i="13" s="1"/>
  <c r="H51" i="14" s="1"/>
  <c r="H51" i="15" s="1"/>
  <c r="H51" i="16" s="1"/>
  <c r="H51" i="17" s="1"/>
  <c r="H51" i="18" s="1"/>
  <c r="H51" i="19" s="1"/>
  <c r="H51" i="20" s="1"/>
  <c r="H51" i="21" s="1"/>
  <c r="H51" i="22" s="1"/>
  <c r="H51" i="23" s="1"/>
  <c r="H51" i="24" s="1"/>
  <c r="H51" i="25" s="1"/>
  <c r="H51" i="40" s="1"/>
  <c r="H51" i="27" s="1"/>
  <c r="H51" i="28" s="1"/>
  <c r="H51" i="29" s="1"/>
  <c r="H51" i="30" s="1"/>
  <c r="H51" i="43" s="1"/>
  <c r="H51" i="31" s="1"/>
  <c r="H55" i="3"/>
  <c r="H55" i="4" s="1"/>
  <c r="H55" i="5" s="1"/>
  <c r="H55" i="33" s="1"/>
  <c r="H55" i="7" s="1"/>
  <c r="H55" i="8" s="1"/>
  <c r="H55" i="9" s="1"/>
  <c r="H55" i="10" s="1"/>
  <c r="H55" i="11" s="1"/>
  <c r="H55" i="12" s="1"/>
  <c r="H55" i="13" s="1"/>
  <c r="H55" i="14" s="1"/>
  <c r="H55" i="15" s="1"/>
  <c r="H55" i="16" s="1"/>
  <c r="H55" i="17" s="1"/>
  <c r="H55" i="18" s="1"/>
  <c r="H55" i="19" s="1"/>
  <c r="H55" i="20" s="1"/>
  <c r="H55" i="21" s="1"/>
  <c r="H55" i="22" s="1"/>
  <c r="H55" i="23" s="1"/>
  <c r="H55" i="24" s="1"/>
  <c r="H55" i="25" s="1"/>
  <c r="H55" i="40" s="1"/>
  <c r="H55" i="27" s="1"/>
  <c r="H55" i="28" s="1"/>
  <c r="H55" i="29" s="1"/>
  <c r="H55" i="30" s="1"/>
  <c r="H55" i="43" s="1"/>
  <c r="H55" i="31" s="1"/>
  <c r="H50" i="3"/>
  <c r="H50" i="4" s="1"/>
  <c r="H50" i="5" s="1"/>
  <c r="H50" i="33" s="1"/>
  <c r="H50" i="7" s="1"/>
  <c r="H50" i="8" s="1"/>
  <c r="H50" i="9" s="1"/>
  <c r="H50" i="10" s="1"/>
  <c r="H50" i="11" s="1"/>
  <c r="H50" i="12" s="1"/>
  <c r="H50" i="13" s="1"/>
  <c r="H50" i="14" s="1"/>
  <c r="H50" i="15" s="1"/>
  <c r="H50" i="16" s="1"/>
  <c r="H50" i="17" s="1"/>
  <c r="H50" i="18" s="1"/>
  <c r="H50" i="19" s="1"/>
  <c r="H50" i="20" s="1"/>
  <c r="H50" i="21" s="1"/>
  <c r="H50" i="22" s="1"/>
  <c r="H50" i="23" s="1"/>
  <c r="H50" i="24" s="1"/>
  <c r="H50" i="25" s="1"/>
  <c r="H50" i="40" s="1"/>
  <c r="H50" i="27" s="1"/>
  <c r="H50" i="28" s="1"/>
  <c r="H50" i="29" s="1"/>
  <c r="H50" i="30" s="1"/>
  <c r="H50" i="43" s="1"/>
  <c r="H50" i="31" s="1"/>
  <c r="H54" i="3"/>
  <c r="H54" i="4" s="1"/>
  <c r="H54" i="5" s="1"/>
  <c r="H54" i="33" s="1"/>
  <c r="H54" i="7" s="1"/>
  <c r="H54" i="8" s="1"/>
  <c r="H54" i="9" s="1"/>
  <c r="H54" i="10" s="1"/>
  <c r="H54" i="11" s="1"/>
  <c r="H54" i="12" s="1"/>
  <c r="H54" i="13" s="1"/>
  <c r="H54" i="14" s="1"/>
  <c r="H54" i="15" s="1"/>
  <c r="H54" i="16" s="1"/>
  <c r="H54" i="17" s="1"/>
  <c r="H54" i="18" s="1"/>
  <c r="H54" i="19" s="1"/>
  <c r="H54" i="20" s="1"/>
  <c r="H54" i="21" s="1"/>
  <c r="H54" i="22" s="1"/>
  <c r="H54" i="23" s="1"/>
  <c r="H54" i="24" s="1"/>
  <c r="H54" i="25" s="1"/>
  <c r="H54" i="40" s="1"/>
  <c r="H54" i="27" s="1"/>
  <c r="H54" i="28" s="1"/>
  <c r="H54" i="29" s="1"/>
  <c r="H54" i="30" s="1"/>
  <c r="H54" i="43" s="1"/>
  <c r="H54" i="31" s="1"/>
  <c r="H58" i="3"/>
  <c r="H58" i="4" s="1"/>
  <c r="H58" i="5" s="1"/>
  <c r="H58" i="33" s="1"/>
  <c r="H58" i="7" s="1"/>
  <c r="H58" i="8" s="1"/>
  <c r="H58" i="9" s="1"/>
  <c r="H58" i="10" s="1"/>
  <c r="H58" i="11" s="1"/>
  <c r="H58" i="12" s="1"/>
  <c r="H58" i="13" s="1"/>
  <c r="H58" i="14" s="1"/>
  <c r="H58" i="15" s="1"/>
  <c r="H58" i="16" s="1"/>
  <c r="H58" i="17" s="1"/>
  <c r="H58" i="18" s="1"/>
  <c r="H58" i="19" s="1"/>
  <c r="H58" i="20" s="1"/>
  <c r="H58" i="21" s="1"/>
  <c r="H58" i="22" s="1"/>
  <c r="H58" i="23" s="1"/>
  <c r="H58" i="24" s="1"/>
  <c r="H58" i="25" s="1"/>
  <c r="H58" i="40" s="1"/>
  <c r="H58" i="27" s="1"/>
  <c r="H58" i="28" s="1"/>
  <c r="H58" i="29" s="1"/>
  <c r="H58" i="30" s="1"/>
  <c r="H58" i="43" s="1"/>
  <c r="H58" i="31" s="1"/>
  <c r="H49" i="3"/>
  <c r="H49" i="4" s="1"/>
  <c r="H49" i="5" s="1"/>
  <c r="H49" i="33" s="1"/>
  <c r="H49" i="7" s="1"/>
  <c r="H49" i="8" s="1"/>
  <c r="H49" i="9" s="1"/>
  <c r="H49" i="10" s="1"/>
  <c r="H49" i="11" s="1"/>
  <c r="H49" i="12" s="1"/>
  <c r="H49" i="13" s="1"/>
  <c r="H49" i="14" s="1"/>
  <c r="H49" i="15" s="1"/>
  <c r="H49" i="16" s="1"/>
  <c r="H49" i="17" s="1"/>
  <c r="H49" i="18" s="1"/>
  <c r="H49" i="19" s="1"/>
  <c r="H49" i="20" s="1"/>
  <c r="H49" i="21" s="1"/>
  <c r="H49" i="22" s="1"/>
  <c r="H49" i="23" s="1"/>
  <c r="H49" i="24" s="1"/>
  <c r="H49" i="25" s="1"/>
  <c r="H49" i="40" s="1"/>
  <c r="H49" i="27" s="1"/>
  <c r="H49" i="28" s="1"/>
  <c r="H49" i="29" s="1"/>
  <c r="H49" i="30" s="1"/>
  <c r="H49" i="43" s="1"/>
  <c r="H49" i="31" s="1"/>
  <c r="H53" i="3"/>
  <c r="H53" i="4" s="1"/>
  <c r="H53" i="5" s="1"/>
  <c r="H53" i="33" s="1"/>
  <c r="H53" i="7" s="1"/>
  <c r="H53" i="8" s="1"/>
  <c r="H53" i="9" s="1"/>
  <c r="H53" i="10" s="1"/>
  <c r="H53" i="11" s="1"/>
  <c r="H53" i="12" s="1"/>
  <c r="H53" i="13" s="1"/>
  <c r="H53" i="14" s="1"/>
  <c r="H53" i="15" s="1"/>
  <c r="H53" i="16" s="1"/>
  <c r="H53" i="17" s="1"/>
  <c r="H53" i="18" s="1"/>
  <c r="H53" i="19" s="1"/>
  <c r="H53" i="20" s="1"/>
  <c r="H53" i="21" s="1"/>
  <c r="H53" i="22" s="1"/>
  <c r="H53" i="23" s="1"/>
  <c r="H53" i="24" s="1"/>
  <c r="H53" i="25" s="1"/>
  <c r="H53" i="40" s="1"/>
  <c r="H53" i="27" s="1"/>
  <c r="H53" i="28" s="1"/>
  <c r="H53" i="29" s="1"/>
  <c r="H53" i="30" s="1"/>
  <c r="H53" i="43" s="1"/>
  <c r="H53" i="31" s="1"/>
  <c r="H57" i="3"/>
  <c r="H57" i="4" s="1"/>
  <c r="H57" i="5" s="1"/>
  <c r="H57" i="33" s="1"/>
  <c r="H57" i="7" s="1"/>
  <c r="H57" i="8" s="1"/>
  <c r="H57" i="9" s="1"/>
  <c r="H57" i="10" s="1"/>
  <c r="H57" i="11" s="1"/>
  <c r="H57" i="12" s="1"/>
  <c r="H57" i="13" s="1"/>
  <c r="H57" i="14" s="1"/>
  <c r="H57" i="15" s="1"/>
  <c r="H57" i="16" s="1"/>
  <c r="H57" i="17" s="1"/>
  <c r="H57" i="18" s="1"/>
  <c r="H57" i="19" s="1"/>
  <c r="H57" i="20" s="1"/>
  <c r="H57" i="21" s="1"/>
  <c r="H57" i="22" s="1"/>
  <c r="H57" i="23" s="1"/>
  <c r="H57" i="24" s="1"/>
  <c r="H57" i="25" s="1"/>
  <c r="H57" i="40" s="1"/>
  <c r="H57" i="27" s="1"/>
  <c r="H57" i="28" s="1"/>
  <c r="H57" i="29" s="1"/>
  <c r="H57" i="30" s="1"/>
  <c r="H57" i="43" s="1"/>
  <c r="H57" i="31" s="1"/>
  <c r="H35" i="3"/>
  <c r="H35" i="4" s="1"/>
  <c r="H35" i="5" s="1"/>
  <c r="H35" i="33" s="1"/>
  <c r="H35" i="7" s="1"/>
  <c r="H35" i="8" s="1"/>
  <c r="H35" i="9" s="1"/>
  <c r="H35" i="10" s="1"/>
  <c r="H35" i="11" s="1"/>
  <c r="H35" i="12" s="1"/>
  <c r="H35" i="13" s="1"/>
  <c r="H35" i="14" s="1"/>
  <c r="H35" i="15" s="1"/>
  <c r="H35" i="16" s="1"/>
  <c r="H35" i="17" s="1"/>
  <c r="H35" i="18" s="1"/>
  <c r="H35" i="19" s="1"/>
  <c r="H35" i="20" s="1"/>
  <c r="H35" i="21" s="1"/>
  <c r="H35" i="22" s="1"/>
  <c r="H35" i="23" s="1"/>
  <c r="H35" i="24" s="1"/>
  <c r="H35" i="25" s="1"/>
  <c r="H35" i="40" s="1"/>
  <c r="H35" i="27" s="1"/>
  <c r="H35" i="28" s="1"/>
  <c r="H35" i="29" s="1"/>
  <c r="H35" i="30" s="1"/>
  <c r="H35" i="43" s="1"/>
  <c r="H35" i="31" s="1"/>
  <c r="H39" i="3"/>
  <c r="H39" i="4" s="1"/>
  <c r="H39" i="5" s="1"/>
  <c r="H39" i="33" s="1"/>
  <c r="H39" i="7" s="1"/>
  <c r="H39" i="8" s="1"/>
  <c r="H39" i="9" s="1"/>
  <c r="H39" i="10" s="1"/>
  <c r="H39" i="11" s="1"/>
  <c r="H39" i="12" s="1"/>
  <c r="H39" i="13" s="1"/>
  <c r="H39" i="14" s="1"/>
  <c r="H39" i="15" s="1"/>
  <c r="H39" i="16" s="1"/>
  <c r="H39" i="17" s="1"/>
  <c r="H39" i="18" s="1"/>
  <c r="H39" i="19" s="1"/>
  <c r="H39" i="20" s="1"/>
  <c r="H39" i="21" s="1"/>
  <c r="H39" i="22" s="1"/>
  <c r="H39" i="23" s="1"/>
  <c r="H39" i="24" s="1"/>
  <c r="H39" i="25" s="1"/>
  <c r="H39" i="40" s="1"/>
  <c r="H39" i="27" s="1"/>
  <c r="H39" i="28" s="1"/>
  <c r="H39" i="29" s="1"/>
  <c r="H39" i="30" s="1"/>
  <c r="H39" i="43" s="1"/>
  <c r="H39" i="31" s="1"/>
  <c r="H43" i="3"/>
  <c r="H43" i="4" s="1"/>
  <c r="H43" i="5" s="1"/>
  <c r="H43" i="33" s="1"/>
  <c r="H43" i="7" s="1"/>
  <c r="H43" i="8" s="1"/>
  <c r="H43" i="9" s="1"/>
  <c r="H43" i="10" s="1"/>
  <c r="H43" i="11" s="1"/>
  <c r="H43" i="12" s="1"/>
  <c r="H43" i="13" s="1"/>
  <c r="H43" i="14" s="1"/>
  <c r="H43" i="15" s="1"/>
  <c r="H43" i="16" s="1"/>
  <c r="H43" i="17" s="1"/>
  <c r="H43" i="18" s="1"/>
  <c r="H43" i="19" s="1"/>
  <c r="H43" i="20" s="1"/>
  <c r="H43" i="21" s="1"/>
  <c r="H43" i="22" s="1"/>
  <c r="H43" i="23" s="1"/>
  <c r="H43" i="24" s="1"/>
  <c r="H43" i="25" s="1"/>
  <c r="H43" i="40" s="1"/>
  <c r="H43" i="27" s="1"/>
  <c r="H43" i="28" s="1"/>
  <c r="H43" i="29" s="1"/>
  <c r="H43" i="30" s="1"/>
  <c r="H43" i="43" s="1"/>
  <c r="H43" i="31" s="1"/>
  <c r="G102" i="2"/>
  <c r="H102" i="2" s="1"/>
  <c r="H36" i="2"/>
  <c r="H36" i="3" s="1"/>
  <c r="H36" i="4" s="1"/>
  <c r="H36" i="5" s="1"/>
  <c r="H36" i="33" s="1"/>
  <c r="H36" i="7" s="1"/>
  <c r="H36" i="8" s="1"/>
  <c r="H36" i="9" s="1"/>
  <c r="H36" i="10" s="1"/>
  <c r="H36" i="11" s="1"/>
  <c r="H36" i="12" s="1"/>
  <c r="H36" i="13" s="1"/>
  <c r="H36" i="14" s="1"/>
  <c r="H36" i="15" s="1"/>
  <c r="H36" i="16" s="1"/>
  <c r="H36" i="17" s="1"/>
  <c r="H36" i="18" s="1"/>
  <c r="H36" i="19" s="1"/>
  <c r="H36" i="20" s="1"/>
  <c r="H36" i="21" s="1"/>
  <c r="H36" i="22" s="1"/>
  <c r="H36" i="23" s="1"/>
  <c r="H36" i="24" s="1"/>
  <c r="H36" i="25" s="1"/>
  <c r="H36" i="40" s="1"/>
  <c r="H36" i="27" s="1"/>
  <c r="H36" i="28" s="1"/>
  <c r="H36" i="29" s="1"/>
  <c r="H36" i="30" s="1"/>
  <c r="H36" i="43" s="1"/>
  <c r="H36" i="31" s="1"/>
  <c r="G100" i="3"/>
  <c r="G101" i="3" s="1"/>
  <c r="H42" i="3"/>
  <c r="H42" i="4" s="1"/>
  <c r="H42" i="5" s="1"/>
  <c r="H42" i="33" s="1"/>
  <c r="H42" i="7" s="1"/>
  <c r="H42" i="8" s="1"/>
  <c r="H42" i="9" s="1"/>
  <c r="H42" i="10" s="1"/>
  <c r="H42" i="11" s="1"/>
  <c r="H42" i="12" s="1"/>
  <c r="H42" i="13" s="1"/>
  <c r="H42" i="14" s="1"/>
  <c r="H42" i="15" s="1"/>
  <c r="H42" i="16" s="1"/>
  <c r="H42" i="17" s="1"/>
  <c r="H42" i="18" s="1"/>
  <c r="H42" i="19" s="1"/>
  <c r="H42" i="20" s="1"/>
  <c r="H42" i="21" s="1"/>
  <c r="H42" i="22" s="1"/>
  <c r="H42" i="23" s="1"/>
  <c r="H42" i="24" s="1"/>
  <c r="H42" i="25" s="1"/>
  <c r="H42" i="40" s="1"/>
  <c r="H42" i="27" s="1"/>
  <c r="H42" i="28" s="1"/>
  <c r="H42" i="29" s="1"/>
  <c r="H42" i="30" s="1"/>
  <c r="H42" i="43" s="1"/>
  <c r="H42" i="31" s="1"/>
  <c r="H46" i="3"/>
  <c r="H46" i="4" s="1"/>
  <c r="H46" i="5" s="1"/>
  <c r="H46" i="33" s="1"/>
  <c r="H46" i="7" s="1"/>
  <c r="H46" i="8" s="1"/>
  <c r="H46" i="9" s="1"/>
  <c r="H46" i="10" s="1"/>
  <c r="H46" i="11" s="1"/>
  <c r="H46" i="12" s="1"/>
  <c r="H46" i="13" s="1"/>
  <c r="H46" i="14" s="1"/>
  <c r="H46" i="15" s="1"/>
  <c r="H46" i="16" s="1"/>
  <c r="H46" i="17" s="1"/>
  <c r="H46" i="18" s="1"/>
  <c r="H46" i="19" s="1"/>
  <c r="H46" i="20" s="1"/>
  <c r="H46" i="21" s="1"/>
  <c r="H46" i="22" s="1"/>
  <c r="H46" i="23" s="1"/>
  <c r="H46" i="24" s="1"/>
  <c r="H46" i="25" s="1"/>
  <c r="H46" i="40" s="1"/>
  <c r="H46" i="27" s="1"/>
  <c r="H46" i="28" s="1"/>
  <c r="H46" i="29" s="1"/>
  <c r="H46" i="30" s="1"/>
  <c r="H46" i="43" s="1"/>
  <c r="H46" i="31" s="1"/>
  <c r="H37" i="3"/>
  <c r="H37" i="4" s="1"/>
  <c r="H37" i="5" s="1"/>
  <c r="H37" i="33" s="1"/>
  <c r="H37" i="7" s="1"/>
  <c r="H37" i="8" s="1"/>
  <c r="H37" i="9" s="1"/>
  <c r="H37" i="10" s="1"/>
  <c r="H37" i="11" s="1"/>
  <c r="H37" i="12" s="1"/>
  <c r="H37" i="13" s="1"/>
  <c r="H37" i="14" s="1"/>
  <c r="H37" i="15" s="1"/>
  <c r="H37" i="16" s="1"/>
  <c r="H37" i="17" s="1"/>
  <c r="H37" i="18" s="1"/>
  <c r="H37" i="19" s="1"/>
  <c r="H37" i="20" s="1"/>
  <c r="H37" i="21" s="1"/>
  <c r="H37" i="22" s="1"/>
  <c r="H37" i="23" s="1"/>
  <c r="H37" i="24" s="1"/>
  <c r="H37" i="25" s="1"/>
  <c r="H37" i="40" s="1"/>
  <c r="H37" i="27" s="1"/>
  <c r="H37" i="28" s="1"/>
  <c r="H37" i="29" s="1"/>
  <c r="H37" i="30" s="1"/>
  <c r="H37" i="43" s="1"/>
  <c r="H37" i="31" s="1"/>
  <c r="H41" i="3"/>
  <c r="H41" i="4" s="1"/>
  <c r="H41" i="5" s="1"/>
  <c r="H41" i="33" s="1"/>
  <c r="H41" i="7" s="1"/>
  <c r="H41" i="8" s="1"/>
  <c r="H41" i="9" s="1"/>
  <c r="H41" i="10" s="1"/>
  <c r="H41" i="11" s="1"/>
  <c r="H41" i="12" s="1"/>
  <c r="H41" i="13" s="1"/>
  <c r="H41" i="14" s="1"/>
  <c r="H41" i="15" s="1"/>
  <c r="H41" i="16" s="1"/>
  <c r="H41" i="17" s="1"/>
  <c r="H41" i="18" s="1"/>
  <c r="H41" i="19" s="1"/>
  <c r="H41" i="20" s="1"/>
  <c r="H41" i="21" s="1"/>
  <c r="H41" i="22" s="1"/>
  <c r="H41" i="23" s="1"/>
  <c r="H41" i="24" s="1"/>
  <c r="H41" i="25" s="1"/>
  <c r="H41" i="40" s="1"/>
  <c r="H41" i="27" s="1"/>
  <c r="H41" i="28" s="1"/>
  <c r="H41" i="29" s="1"/>
  <c r="H41" i="30" s="1"/>
  <c r="H41" i="43" s="1"/>
  <c r="H41" i="31" s="1"/>
  <c r="H45" i="3"/>
  <c r="H45" i="4" s="1"/>
  <c r="H45" i="5" s="1"/>
  <c r="H45" i="33" s="1"/>
  <c r="H45" i="7" s="1"/>
  <c r="H45" i="8" s="1"/>
  <c r="H45" i="9" s="1"/>
  <c r="H45" i="10" s="1"/>
  <c r="H45" i="11" s="1"/>
  <c r="H45" i="12" s="1"/>
  <c r="H45" i="13" s="1"/>
  <c r="H45" i="14" s="1"/>
  <c r="H45" i="15" s="1"/>
  <c r="H45" i="16" s="1"/>
  <c r="H45" i="17" s="1"/>
  <c r="H45" i="18" s="1"/>
  <c r="H45" i="19" s="1"/>
  <c r="H45" i="20" s="1"/>
  <c r="H45" i="21" s="1"/>
  <c r="H45" i="22" s="1"/>
  <c r="H45" i="23" s="1"/>
  <c r="H45" i="24" s="1"/>
  <c r="H45" i="25" s="1"/>
  <c r="H45" i="40" s="1"/>
  <c r="H45" i="27" s="1"/>
  <c r="H45" i="28" s="1"/>
  <c r="H45" i="29" s="1"/>
  <c r="H45" i="30" s="1"/>
  <c r="H45" i="43" s="1"/>
  <c r="H45" i="31" s="1"/>
  <c r="G100" i="2"/>
  <c r="H100" i="2" s="1"/>
  <c r="H38" i="2"/>
  <c r="H38" i="3" s="1"/>
  <c r="H38" i="4" s="1"/>
  <c r="H38" i="5" s="1"/>
  <c r="H38" i="33" s="1"/>
  <c r="H38" i="7" s="1"/>
  <c r="H38" i="8" s="1"/>
  <c r="H38" i="9" s="1"/>
  <c r="H38" i="10" s="1"/>
  <c r="H38" i="11" s="1"/>
  <c r="H38" i="12" s="1"/>
  <c r="H38" i="13" s="1"/>
  <c r="H38" i="14" s="1"/>
  <c r="H38" i="15" s="1"/>
  <c r="H38" i="16" s="1"/>
  <c r="H38" i="17" s="1"/>
  <c r="H38" i="18" s="1"/>
  <c r="H38" i="19" s="1"/>
  <c r="H38" i="20" s="1"/>
  <c r="H38" i="21" s="1"/>
  <c r="H38" i="22" s="1"/>
  <c r="H38" i="23" s="1"/>
  <c r="H38" i="24" s="1"/>
  <c r="H38" i="25" s="1"/>
  <c r="H38" i="40" s="1"/>
  <c r="H38" i="27" s="1"/>
  <c r="H38" i="28" s="1"/>
  <c r="H38" i="29" s="1"/>
  <c r="H38" i="30" s="1"/>
  <c r="H38" i="43" s="1"/>
  <c r="H38" i="31" s="1"/>
  <c r="G102" i="3"/>
  <c r="G103" i="3" s="1"/>
  <c r="H40" i="3"/>
  <c r="H40" i="4" s="1"/>
  <c r="H40" i="5" s="1"/>
  <c r="H40" i="33" s="1"/>
  <c r="H40" i="7" s="1"/>
  <c r="H40" i="8" s="1"/>
  <c r="H40" i="9" s="1"/>
  <c r="H40" i="10" s="1"/>
  <c r="H40" i="11" s="1"/>
  <c r="H40" i="12" s="1"/>
  <c r="H40" i="13" s="1"/>
  <c r="H40" i="14" s="1"/>
  <c r="H40" i="15" s="1"/>
  <c r="H40" i="16" s="1"/>
  <c r="H40" i="17" s="1"/>
  <c r="H40" i="18" s="1"/>
  <c r="H40" i="19" s="1"/>
  <c r="H40" i="20" s="1"/>
  <c r="H40" i="21" s="1"/>
  <c r="H40" i="22" s="1"/>
  <c r="H40" i="23" s="1"/>
  <c r="H40" i="24" s="1"/>
  <c r="H40" i="25" s="1"/>
  <c r="H40" i="40" s="1"/>
  <c r="H40" i="27" s="1"/>
  <c r="H40" i="28" s="1"/>
  <c r="H40" i="29" s="1"/>
  <c r="H40" i="30" s="1"/>
  <c r="H40" i="43" s="1"/>
  <c r="H40" i="31" s="1"/>
  <c r="H44" i="3"/>
  <c r="H44" i="4" s="1"/>
  <c r="H44" i="5" s="1"/>
  <c r="H44" i="33" s="1"/>
  <c r="H44" i="7" s="1"/>
  <c r="H44" i="8" s="1"/>
  <c r="H44" i="9" s="1"/>
  <c r="H44" i="10" s="1"/>
  <c r="H44" i="11" s="1"/>
  <c r="H44" i="12" s="1"/>
  <c r="H44" i="13" s="1"/>
  <c r="H44" i="14" s="1"/>
  <c r="H44" i="15" s="1"/>
  <c r="H44" i="16" s="1"/>
  <c r="H44" i="17" s="1"/>
  <c r="H44" i="18" s="1"/>
  <c r="H44" i="19" s="1"/>
  <c r="H44" i="20" s="1"/>
  <c r="H44" i="21" s="1"/>
  <c r="H44" i="22" s="1"/>
  <c r="H44" i="23" s="1"/>
  <c r="H44" i="24" s="1"/>
  <c r="H44" i="25" s="1"/>
  <c r="H44" i="40" s="1"/>
  <c r="H44" i="27" s="1"/>
  <c r="H44" i="28" s="1"/>
  <c r="H44" i="29" s="1"/>
  <c r="H44" i="30" s="1"/>
  <c r="H44" i="43" s="1"/>
  <c r="H44" i="31" s="1"/>
  <c r="G60" i="27"/>
  <c r="G60" i="23"/>
  <c r="G60" i="22"/>
  <c r="G60" i="16"/>
  <c r="G80" i="15"/>
  <c r="G60" i="10"/>
  <c r="G186" i="8"/>
  <c r="G96" i="8"/>
  <c r="G71" i="7"/>
  <c r="G102" i="7"/>
  <c r="G103" i="7" s="1"/>
  <c r="G79" i="33"/>
  <c r="G80" i="33" s="1"/>
  <c r="G71" i="33"/>
  <c r="G186" i="5"/>
  <c r="I90" i="5"/>
  <c r="G96" i="4"/>
  <c r="G97" i="4" s="1"/>
  <c r="G60" i="31"/>
  <c r="G71" i="3"/>
  <c r="G186" i="33"/>
  <c r="G176" i="4"/>
  <c r="G71" i="8"/>
  <c r="G181" i="2"/>
  <c r="I90" i="3"/>
  <c r="H80" i="17"/>
  <c r="G104" i="2"/>
  <c r="H104" i="2" s="1"/>
  <c r="G96" i="2"/>
  <c r="H96" i="2" s="1"/>
  <c r="G79" i="4"/>
  <c r="G181" i="4"/>
  <c r="G189" i="4" s="1"/>
  <c r="G60" i="28"/>
  <c r="G60" i="40"/>
  <c r="G60" i="24"/>
  <c r="G60" i="21"/>
  <c r="H189" i="20"/>
  <c r="G60" i="20"/>
  <c r="G60" i="15"/>
  <c r="G60" i="14"/>
  <c r="G60" i="13"/>
  <c r="G60" i="9"/>
  <c r="I88" i="8"/>
  <c r="G104" i="8"/>
  <c r="G59" i="8"/>
  <c r="G102" i="8"/>
  <c r="G176" i="8"/>
  <c r="G181" i="8"/>
  <c r="G189" i="8" s="1"/>
  <c r="G64" i="8"/>
  <c r="G47" i="8"/>
  <c r="I85" i="8"/>
  <c r="E27" i="7"/>
  <c r="G27" i="7" s="1"/>
  <c r="I88" i="7"/>
  <c r="G104" i="7"/>
  <c r="G96" i="7"/>
  <c r="G59" i="7"/>
  <c r="G176" i="7"/>
  <c r="G181" i="7"/>
  <c r="G189" i="7" s="1"/>
  <c r="G79" i="7"/>
  <c r="G94" i="7"/>
  <c r="G98" i="7"/>
  <c r="G64" i="7"/>
  <c r="G47" i="7"/>
  <c r="I85" i="7"/>
  <c r="E28" i="7"/>
  <c r="G28" i="7" s="1"/>
  <c r="E27" i="33"/>
  <c r="G27" i="33" s="1"/>
  <c r="I88" i="33"/>
  <c r="G100" i="33"/>
  <c r="G104" i="33"/>
  <c r="G96" i="33"/>
  <c r="G64" i="33"/>
  <c r="G59" i="33"/>
  <c r="G102" i="33"/>
  <c r="G176" i="33"/>
  <c r="G181" i="33"/>
  <c r="G189" i="33" s="1"/>
  <c r="E30" i="33"/>
  <c r="G30" i="33" s="1"/>
  <c r="G47" i="33"/>
  <c r="G20" i="33"/>
  <c r="I85" i="33"/>
  <c r="E28" i="33"/>
  <c r="G28" i="33" s="1"/>
  <c r="G64" i="5"/>
  <c r="I88" i="5"/>
  <c r="G98" i="5"/>
  <c r="G94" i="5"/>
  <c r="G59" i="5"/>
  <c r="G176" i="5"/>
  <c r="G181" i="5"/>
  <c r="G189" i="5" s="1"/>
  <c r="G79" i="5"/>
  <c r="E27" i="5"/>
  <c r="G27" i="5" s="1"/>
  <c r="E30" i="5"/>
  <c r="G30" i="5" s="1"/>
  <c r="G104" i="5"/>
  <c r="G20" i="5"/>
  <c r="I85" i="5"/>
  <c r="E28" i="5"/>
  <c r="G28" i="5" s="1"/>
  <c r="G64" i="4"/>
  <c r="E30" i="4"/>
  <c r="G30" i="4" s="1"/>
  <c r="E27" i="4"/>
  <c r="G27" i="4" s="1"/>
  <c r="G59" i="4"/>
  <c r="G71" i="4"/>
  <c r="I85" i="4"/>
  <c r="I90" i="4"/>
  <c r="G186" i="4"/>
  <c r="G47" i="4"/>
  <c r="I88" i="4"/>
  <c r="G20" i="4"/>
  <c r="H20" i="4" s="1"/>
  <c r="G94" i="4"/>
  <c r="G98" i="4"/>
  <c r="E28" i="4"/>
  <c r="G28" i="4" s="1"/>
  <c r="E30" i="3"/>
  <c r="G64" i="3"/>
  <c r="I88" i="3"/>
  <c r="G104" i="3"/>
  <c r="G96" i="3"/>
  <c r="G59" i="3"/>
  <c r="G176" i="3"/>
  <c r="G181" i="3"/>
  <c r="G189" i="3" s="1"/>
  <c r="G79" i="3"/>
  <c r="G94" i="3"/>
  <c r="G98" i="3"/>
  <c r="E31" i="3"/>
  <c r="G47" i="3"/>
  <c r="I85" i="3"/>
  <c r="E28" i="3"/>
  <c r="G28" i="3" s="1"/>
  <c r="G71" i="2"/>
  <c r="H71" i="2" s="1"/>
  <c r="I85" i="2"/>
  <c r="I90" i="2"/>
  <c r="G47" i="2"/>
  <c r="I88" i="2"/>
  <c r="H59" i="2"/>
  <c r="G64" i="2"/>
  <c r="H64" i="2" s="1"/>
  <c r="G94" i="2"/>
  <c r="H94" i="2" s="1"/>
  <c r="G98" i="2"/>
  <c r="H98" i="2" s="1"/>
  <c r="G28" i="2"/>
  <c r="H28" i="2" s="1"/>
  <c r="G178" i="50"/>
  <c r="H178" i="50" s="1"/>
  <c r="J178" i="50" s="1"/>
  <c r="E177" i="50"/>
  <c r="G177" i="50" s="1"/>
  <c r="H177" i="50" s="1"/>
  <c r="J177" i="50" s="1"/>
  <c r="E176" i="50"/>
  <c r="G176" i="50" s="1"/>
  <c r="H176" i="50" s="1"/>
  <c r="J176" i="50" s="1"/>
  <c r="H175" i="50"/>
  <c r="J175" i="50" s="1"/>
  <c r="E173" i="50"/>
  <c r="G173" i="50" s="1"/>
  <c r="H173" i="50" s="1"/>
  <c r="J173" i="50" s="1"/>
  <c r="E172" i="50"/>
  <c r="G172" i="50" s="1"/>
  <c r="H172" i="50" s="1"/>
  <c r="J172" i="50" s="1"/>
  <c r="E171" i="50"/>
  <c r="G171" i="50" s="1"/>
  <c r="H170" i="50"/>
  <c r="E168" i="50"/>
  <c r="G168" i="50" s="1"/>
  <c r="H168" i="50" s="1"/>
  <c r="J168" i="50" s="1"/>
  <c r="E167" i="50"/>
  <c r="G167" i="50" s="1"/>
  <c r="H167" i="50" s="1"/>
  <c r="J167" i="50" s="1"/>
  <c r="E166" i="50"/>
  <c r="G166" i="50" s="1"/>
  <c r="E158" i="50"/>
  <c r="G158" i="50" s="1"/>
  <c r="H158" i="50" s="1"/>
  <c r="J158" i="50" s="1"/>
  <c r="E157" i="50"/>
  <c r="G157" i="50" s="1"/>
  <c r="H157" i="50" s="1"/>
  <c r="J157" i="50" s="1"/>
  <c r="E156" i="50"/>
  <c r="G156" i="50" s="1"/>
  <c r="H156" i="50" s="1"/>
  <c r="J156" i="50" s="1"/>
  <c r="E155" i="50"/>
  <c r="G155" i="50" s="1"/>
  <c r="H155" i="50" s="1"/>
  <c r="J155" i="50" s="1"/>
  <c r="E154" i="50"/>
  <c r="G154" i="50" s="1"/>
  <c r="H154" i="50" s="1"/>
  <c r="J154" i="50" s="1"/>
  <c r="H136" i="50"/>
  <c r="J136" i="50" s="1"/>
  <c r="H135" i="50"/>
  <c r="J135" i="50" s="1"/>
  <c r="E151" i="50"/>
  <c r="G151" i="50" s="1"/>
  <c r="H151" i="50" s="1"/>
  <c r="J151" i="50" s="1"/>
  <c r="E150" i="50"/>
  <c r="G150" i="50" s="1"/>
  <c r="H150" i="50" s="1"/>
  <c r="J150" i="50" s="1"/>
  <c r="E149" i="50"/>
  <c r="G149" i="50" s="1"/>
  <c r="H149" i="50" s="1"/>
  <c r="J149" i="50" s="1"/>
  <c r="E148" i="50"/>
  <c r="G148" i="50" s="1"/>
  <c r="H148" i="50" s="1"/>
  <c r="J148" i="50" s="1"/>
  <c r="E147" i="50"/>
  <c r="G147" i="50" s="1"/>
  <c r="H147" i="50" s="1"/>
  <c r="J147" i="50" s="1"/>
  <c r="E146" i="50"/>
  <c r="G146" i="50" s="1"/>
  <c r="H146" i="50" s="1"/>
  <c r="J146" i="50" s="1"/>
  <c r="E145" i="50"/>
  <c r="G145" i="50" s="1"/>
  <c r="H145" i="50" s="1"/>
  <c r="J145" i="50" s="1"/>
  <c r="E144" i="50"/>
  <c r="G144" i="50" s="1"/>
  <c r="H144" i="50" s="1"/>
  <c r="J144" i="50" s="1"/>
  <c r="E143" i="50"/>
  <c r="G143" i="50" s="1"/>
  <c r="H143" i="50" s="1"/>
  <c r="J143" i="50" s="1"/>
  <c r="E142" i="50"/>
  <c r="G142" i="50" s="1"/>
  <c r="H142" i="50" s="1"/>
  <c r="J142" i="50" s="1"/>
  <c r="E141" i="50"/>
  <c r="G141" i="50" s="1"/>
  <c r="H141" i="50" s="1"/>
  <c r="J141" i="50" s="1"/>
  <c r="E140" i="50"/>
  <c r="G140" i="50" s="1"/>
  <c r="H140" i="50" s="1"/>
  <c r="J140" i="50" s="1"/>
  <c r="E139" i="50"/>
  <c r="G139" i="50" s="1"/>
  <c r="H139" i="50" s="1"/>
  <c r="J139" i="50" s="1"/>
  <c r="E134" i="50"/>
  <c r="G134" i="50" s="1"/>
  <c r="H134" i="50" s="1"/>
  <c r="J134" i="50" s="1"/>
  <c r="E133" i="50"/>
  <c r="G133" i="50" s="1"/>
  <c r="E132" i="50"/>
  <c r="G132" i="50" s="1"/>
  <c r="E131" i="50"/>
  <c r="G131" i="50" s="1"/>
  <c r="E130" i="50"/>
  <c r="G130" i="50" s="1"/>
  <c r="E129" i="50"/>
  <c r="G129" i="50" s="1"/>
  <c r="G118" i="50"/>
  <c r="G116" i="50"/>
  <c r="H116" i="50" s="1"/>
  <c r="J116" i="50" s="1"/>
  <c r="G115" i="50"/>
  <c r="H115" i="50" s="1"/>
  <c r="J115" i="50" s="1"/>
  <c r="G114" i="50"/>
  <c r="H114" i="50" s="1"/>
  <c r="J114" i="50" s="1"/>
  <c r="G113" i="50"/>
  <c r="H113" i="50" s="1"/>
  <c r="J113" i="50" s="1"/>
  <c r="E93" i="50"/>
  <c r="G93" i="50" s="1"/>
  <c r="E92" i="50"/>
  <c r="G92" i="50" s="1"/>
  <c r="E91" i="50"/>
  <c r="G91" i="50" s="1"/>
  <c r="E90" i="50"/>
  <c r="G90" i="50" s="1"/>
  <c r="E89" i="50"/>
  <c r="G89" i="50" s="1"/>
  <c r="E88" i="50"/>
  <c r="G88" i="50" s="1"/>
  <c r="E87" i="50"/>
  <c r="G87" i="50" s="1"/>
  <c r="E86" i="50"/>
  <c r="G86" i="50" s="1"/>
  <c r="E85" i="50"/>
  <c r="G85" i="50" s="1"/>
  <c r="E84" i="50"/>
  <c r="G84" i="50" s="1"/>
  <c r="E83" i="50"/>
  <c r="G83" i="50" s="1"/>
  <c r="E79" i="50"/>
  <c r="G79" i="50" s="1"/>
  <c r="E78" i="50"/>
  <c r="G78" i="50" s="1"/>
  <c r="E77" i="50"/>
  <c r="G77" i="50" s="1"/>
  <c r="E76" i="50"/>
  <c r="G76" i="50" s="1"/>
  <c r="E75" i="50"/>
  <c r="G75" i="50" s="1"/>
  <c r="E71" i="50"/>
  <c r="G71" i="50" s="1"/>
  <c r="E70" i="50"/>
  <c r="G70" i="50" s="1"/>
  <c r="E69" i="50"/>
  <c r="G69" i="50" s="1"/>
  <c r="E68" i="50"/>
  <c r="G68" i="50" s="1"/>
  <c r="E67" i="50"/>
  <c r="G67" i="50" s="1"/>
  <c r="E66" i="50"/>
  <c r="G66" i="50" s="1"/>
  <c r="E64" i="50"/>
  <c r="G64" i="50" s="1"/>
  <c r="E63" i="50"/>
  <c r="G63" i="50" s="1"/>
  <c r="G123" i="50"/>
  <c r="G121" i="50"/>
  <c r="G119" i="50"/>
  <c r="E59" i="50"/>
  <c r="G59" i="50" s="1"/>
  <c r="E58" i="50"/>
  <c r="G58" i="50" s="1"/>
  <c r="E57" i="50"/>
  <c r="G57" i="50" s="1"/>
  <c r="E56" i="50"/>
  <c r="G56" i="50" s="1"/>
  <c r="E55" i="50"/>
  <c r="G55" i="50" s="1"/>
  <c r="E54" i="50"/>
  <c r="G54" i="50" s="1"/>
  <c r="E53" i="50"/>
  <c r="G53" i="50" s="1"/>
  <c r="E52" i="50"/>
  <c r="G52" i="50" s="1"/>
  <c r="E51" i="50"/>
  <c r="G51" i="50" s="1"/>
  <c r="E50" i="50"/>
  <c r="G50" i="50" s="1"/>
  <c r="G47" i="50"/>
  <c r="G46" i="50"/>
  <c r="G45" i="50"/>
  <c r="G44" i="50"/>
  <c r="G43" i="50"/>
  <c r="G42" i="50"/>
  <c r="G41" i="50"/>
  <c r="G40" i="50"/>
  <c r="G39" i="50"/>
  <c r="G38" i="50"/>
  <c r="G37" i="50"/>
  <c r="G36" i="50"/>
  <c r="E30" i="50"/>
  <c r="G30" i="50" s="1"/>
  <c r="E25" i="50"/>
  <c r="E24" i="50"/>
  <c r="E23" i="50"/>
  <c r="G23" i="50" s="1"/>
  <c r="G19" i="50"/>
  <c r="E19" i="50"/>
  <c r="G16" i="50"/>
  <c r="K9" i="50"/>
  <c r="M8" i="50"/>
  <c r="AZ5" i="44" l="1"/>
  <c r="H19" i="7"/>
  <c r="AZ11" i="44"/>
  <c r="E28" i="8"/>
  <c r="G28" i="8" s="1"/>
  <c r="H15" i="8"/>
  <c r="H47" i="2"/>
  <c r="G60" i="2"/>
  <c r="G60" i="4"/>
  <c r="H9" i="7"/>
  <c r="H9" i="8" s="1"/>
  <c r="E15" i="9"/>
  <c r="G15" i="9" s="1"/>
  <c r="H8" i="8"/>
  <c r="G187" i="7"/>
  <c r="G20" i="7"/>
  <c r="E19" i="8"/>
  <c r="E15" i="20"/>
  <c r="G99" i="8"/>
  <c r="G97" i="8"/>
  <c r="G101" i="8"/>
  <c r="E7" i="9"/>
  <c r="H7" i="8"/>
  <c r="G95" i="8"/>
  <c r="E8" i="9"/>
  <c r="G10" i="18"/>
  <c r="H10" i="18" s="1"/>
  <c r="E9" i="9"/>
  <c r="AM37" i="44"/>
  <c r="H183" i="3"/>
  <c r="J183" i="3" s="1"/>
  <c r="N37" i="44"/>
  <c r="AW37" i="44"/>
  <c r="AX36" i="44"/>
  <c r="H74" i="30"/>
  <c r="H74" i="43" s="1"/>
  <c r="AO36" i="44"/>
  <c r="AV36" i="44"/>
  <c r="AV37" i="44"/>
  <c r="AO37" i="44"/>
  <c r="AM36" i="44"/>
  <c r="N36" i="44"/>
  <c r="AE36" i="44"/>
  <c r="AE37" i="44"/>
  <c r="AP37" i="44"/>
  <c r="AP36" i="44"/>
  <c r="AI37" i="44"/>
  <c r="AI36" i="44"/>
  <c r="AW36" i="44"/>
  <c r="AK36" i="44"/>
  <c r="AK37" i="44"/>
  <c r="AA36" i="44"/>
  <c r="AA37" i="44"/>
  <c r="AX37" i="44"/>
  <c r="AS37" i="44"/>
  <c r="AS36" i="44"/>
  <c r="AR37" i="44"/>
  <c r="AR36" i="44"/>
  <c r="AQ36" i="44"/>
  <c r="AQ37" i="44"/>
  <c r="AG36" i="44"/>
  <c r="AG37" i="44"/>
  <c r="I135" i="33"/>
  <c r="H153" i="2"/>
  <c r="I153" i="2"/>
  <c r="I135" i="2"/>
  <c r="H135" i="2"/>
  <c r="J135" i="2" s="1"/>
  <c r="I135" i="3"/>
  <c r="H178" i="3"/>
  <c r="H178" i="4" s="1"/>
  <c r="H122" i="3"/>
  <c r="J122" i="3" s="1"/>
  <c r="J127" i="7"/>
  <c r="H181" i="2"/>
  <c r="J181" i="2" s="1"/>
  <c r="G189" i="2"/>
  <c r="H189" i="2" s="1"/>
  <c r="J189" i="2" s="1"/>
  <c r="G60" i="5"/>
  <c r="I59" i="5" s="1"/>
  <c r="G30" i="3"/>
  <c r="H30" i="3" s="1"/>
  <c r="H30" i="4" s="1"/>
  <c r="H30" i="5" s="1"/>
  <c r="H30" i="33" s="1"/>
  <c r="H30" i="7" s="1"/>
  <c r="H118" i="3"/>
  <c r="J118" i="3" s="1"/>
  <c r="G31" i="3"/>
  <c r="H31" i="3" s="1"/>
  <c r="H31" i="4" s="1"/>
  <c r="H31" i="5" s="1"/>
  <c r="H31" i="33" s="1"/>
  <c r="H31" i="7" s="1"/>
  <c r="H31" i="8" s="1"/>
  <c r="H31" i="9" s="1"/>
  <c r="H31" i="10" s="1"/>
  <c r="H31" i="11" s="1"/>
  <c r="H31" i="12" s="1"/>
  <c r="H31" i="13" s="1"/>
  <c r="H31" i="14" s="1"/>
  <c r="H31" i="15" s="1"/>
  <c r="H31" i="16" s="1"/>
  <c r="H31" i="17" s="1"/>
  <c r="H31" i="18" s="1"/>
  <c r="H31" i="19" s="1"/>
  <c r="H31" i="20" s="1"/>
  <c r="H31" i="21" s="1"/>
  <c r="H31" i="22" s="1"/>
  <c r="H31" i="23" s="1"/>
  <c r="H31" i="24" s="1"/>
  <c r="H31" i="25" s="1"/>
  <c r="H31" i="40" s="1"/>
  <c r="H31" i="27" s="1"/>
  <c r="H31" i="28" s="1"/>
  <c r="H31" i="29" s="1"/>
  <c r="H31" i="30" s="1"/>
  <c r="H31" i="43" s="1"/>
  <c r="H31" i="31" s="1"/>
  <c r="G27" i="3"/>
  <c r="H120" i="3"/>
  <c r="H120" i="4" s="1"/>
  <c r="J155" i="11"/>
  <c r="H155" i="12"/>
  <c r="J156" i="11"/>
  <c r="H156" i="12"/>
  <c r="H131" i="3"/>
  <c r="J131" i="3" s="1"/>
  <c r="H117" i="3"/>
  <c r="H117" i="4" s="1"/>
  <c r="H121" i="3"/>
  <c r="J121" i="3" s="1"/>
  <c r="G97" i="2"/>
  <c r="H97" i="2" s="1"/>
  <c r="H96" i="3"/>
  <c r="H96" i="4" s="1"/>
  <c r="H96" i="5" s="1"/>
  <c r="H96" i="33" s="1"/>
  <c r="H96" i="7" s="1"/>
  <c r="H96" i="8" s="1"/>
  <c r="H96" i="9" s="1"/>
  <c r="H96" i="10" s="1"/>
  <c r="H96" i="11" s="1"/>
  <c r="H96" i="12" s="1"/>
  <c r="H96" i="13" s="1"/>
  <c r="H96" i="14" s="1"/>
  <c r="H96" i="15" s="1"/>
  <c r="H96" i="16" s="1"/>
  <c r="H96" i="17" s="1"/>
  <c r="H96" i="18" s="1"/>
  <c r="H96" i="19" s="1"/>
  <c r="H96" i="20" s="1"/>
  <c r="H96" i="21" s="1"/>
  <c r="H96" i="22" s="1"/>
  <c r="H96" i="23" s="1"/>
  <c r="H96" i="24" s="1"/>
  <c r="H96" i="25" s="1"/>
  <c r="H96" i="40" s="1"/>
  <c r="H96" i="27" s="1"/>
  <c r="H96" i="28" s="1"/>
  <c r="H96" i="29" s="1"/>
  <c r="H96" i="30" s="1"/>
  <c r="H96" i="43" s="1"/>
  <c r="J96" i="43" s="1"/>
  <c r="H119" i="3"/>
  <c r="H119" i="4" s="1"/>
  <c r="H28" i="3"/>
  <c r="H28" i="4" s="1"/>
  <c r="H28" i="5" s="1"/>
  <c r="H28" i="33" s="1"/>
  <c r="H28" i="7" s="1"/>
  <c r="H28" i="8" s="1"/>
  <c r="G105" i="2"/>
  <c r="H105" i="2" s="1"/>
  <c r="H161" i="3"/>
  <c r="J161" i="3" s="1"/>
  <c r="J148" i="2"/>
  <c r="H148" i="3"/>
  <c r="H148" i="4" s="1"/>
  <c r="J143" i="2"/>
  <c r="H143" i="3"/>
  <c r="H143" i="4" s="1"/>
  <c r="J147" i="2"/>
  <c r="H147" i="3"/>
  <c r="H147" i="4" s="1"/>
  <c r="H129" i="3"/>
  <c r="J129" i="3" s="1"/>
  <c r="J129" i="2"/>
  <c r="H116" i="3"/>
  <c r="J116" i="3" s="1"/>
  <c r="J144" i="2"/>
  <c r="H144" i="3"/>
  <c r="H144" i="4" s="1"/>
  <c r="H139" i="3"/>
  <c r="H139" i="4" s="1"/>
  <c r="J139" i="2"/>
  <c r="H128" i="3"/>
  <c r="J128" i="3" s="1"/>
  <c r="H133" i="3"/>
  <c r="H133" i="4" s="1"/>
  <c r="J133" i="2"/>
  <c r="J152" i="7"/>
  <c r="H152" i="8"/>
  <c r="H115" i="3"/>
  <c r="J115" i="3" s="1"/>
  <c r="J115" i="2"/>
  <c r="J150" i="2"/>
  <c r="H150" i="3"/>
  <c r="H150" i="4" s="1"/>
  <c r="H173" i="3"/>
  <c r="H173" i="4" s="1"/>
  <c r="J173" i="2"/>
  <c r="H140" i="3"/>
  <c r="J140" i="3" s="1"/>
  <c r="J140" i="2"/>
  <c r="H164" i="3"/>
  <c r="H164" i="4" s="1"/>
  <c r="J164" i="2"/>
  <c r="H184" i="3"/>
  <c r="J184" i="3" s="1"/>
  <c r="J184" i="2"/>
  <c r="J151" i="5"/>
  <c r="H151" i="33"/>
  <c r="G105" i="50"/>
  <c r="J146" i="2"/>
  <c r="H146" i="3"/>
  <c r="H146" i="4" s="1"/>
  <c r="J145" i="2"/>
  <c r="H145" i="3"/>
  <c r="H145" i="4" s="1"/>
  <c r="J134" i="7"/>
  <c r="H134" i="8"/>
  <c r="H138" i="3"/>
  <c r="J138" i="3" s="1"/>
  <c r="J138" i="2"/>
  <c r="H162" i="3"/>
  <c r="J162" i="3" s="1"/>
  <c r="J162" i="2"/>
  <c r="H174" i="3"/>
  <c r="H174" i="4" s="1"/>
  <c r="J174" i="2"/>
  <c r="H130" i="3"/>
  <c r="H130" i="4" s="1"/>
  <c r="J130" i="2"/>
  <c r="H123" i="3"/>
  <c r="H123" i="4" s="1"/>
  <c r="H142" i="3"/>
  <c r="J142" i="3" s="1"/>
  <c r="J149" i="2"/>
  <c r="H149" i="3"/>
  <c r="H149" i="4" s="1"/>
  <c r="G101" i="2"/>
  <c r="H101" i="2" s="1"/>
  <c r="H101" i="3" s="1"/>
  <c r="H101" i="4" s="1"/>
  <c r="H101" i="5" s="1"/>
  <c r="G103" i="2"/>
  <c r="H103" i="2" s="1"/>
  <c r="H103" i="3" s="1"/>
  <c r="H103" i="4" s="1"/>
  <c r="H103" i="5" s="1"/>
  <c r="H104" i="3"/>
  <c r="H104" i="4" s="1"/>
  <c r="H104" i="5" s="1"/>
  <c r="H104" i="33" s="1"/>
  <c r="H104" i="7" s="1"/>
  <c r="H104" i="8" s="1"/>
  <c r="H104" i="9" s="1"/>
  <c r="H104" i="10" s="1"/>
  <c r="H104" i="11" s="1"/>
  <c r="H104" i="12" s="1"/>
  <c r="H104" i="13" s="1"/>
  <c r="H104" i="14" s="1"/>
  <c r="H104" i="15" s="1"/>
  <c r="H104" i="16" s="1"/>
  <c r="H104" i="17" s="1"/>
  <c r="H104" i="18" s="1"/>
  <c r="H104" i="19" s="1"/>
  <c r="H104" i="20" s="1"/>
  <c r="H104" i="21" s="1"/>
  <c r="H104" i="22" s="1"/>
  <c r="H104" i="23" s="1"/>
  <c r="H104" i="24" s="1"/>
  <c r="H104" i="25" s="1"/>
  <c r="H104" i="40" s="1"/>
  <c r="H104" i="27" s="1"/>
  <c r="H104" i="28" s="1"/>
  <c r="H104" i="29" s="1"/>
  <c r="J189" i="20"/>
  <c r="H189" i="21"/>
  <c r="H20" i="5"/>
  <c r="H20" i="33" s="1"/>
  <c r="J77" i="43"/>
  <c r="J65" i="43"/>
  <c r="J70" i="43"/>
  <c r="J78" i="43"/>
  <c r="J68" i="31"/>
  <c r="H141" i="3"/>
  <c r="J141" i="3" s="1"/>
  <c r="H179" i="3"/>
  <c r="H179" i="4" s="1"/>
  <c r="H180" i="3"/>
  <c r="J180" i="3" s="1"/>
  <c r="J66" i="43"/>
  <c r="H168" i="12"/>
  <c r="J168" i="11"/>
  <c r="J166" i="11"/>
  <c r="H166" i="12"/>
  <c r="H132" i="4"/>
  <c r="J132" i="3"/>
  <c r="H182" i="9"/>
  <c r="J182" i="8"/>
  <c r="H79" i="3"/>
  <c r="H79" i="4" s="1"/>
  <c r="H79" i="5" s="1"/>
  <c r="H79" i="33" s="1"/>
  <c r="H79" i="7" s="1"/>
  <c r="H79" i="8" s="1"/>
  <c r="H167" i="12"/>
  <c r="J167" i="11"/>
  <c r="J177" i="8"/>
  <c r="H177" i="9"/>
  <c r="H127" i="9"/>
  <c r="J127" i="8"/>
  <c r="G80" i="2"/>
  <c r="H94" i="3"/>
  <c r="H94" i="4" s="1"/>
  <c r="H94" i="5" s="1"/>
  <c r="H94" i="33" s="1"/>
  <c r="H94" i="7" s="1"/>
  <c r="H94" i="8" s="1"/>
  <c r="H94" i="9" s="1"/>
  <c r="H94" i="10" s="1"/>
  <c r="H94" i="11" s="1"/>
  <c r="H94" i="12" s="1"/>
  <c r="H94" i="13" s="1"/>
  <c r="H94" i="14" s="1"/>
  <c r="H94" i="15" s="1"/>
  <c r="H94" i="16" s="1"/>
  <c r="H94" i="17" s="1"/>
  <c r="H94" i="18" s="1"/>
  <c r="H94" i="19" s="1"/>
  <c r="H94" i="20" s="1"/>
  <c r="H94" i="21" s="1"/>
  <c r="H94" i="22" s="1"/>
  <c r="H94" i="23" s="1"/>
  <c r="H94" i="24" s="1"/>
  <c r="H94" i="25" s="1"/>
  <c r="H94" i="40" s="1"/>
  <c r="H94" i="27" s="1"/>
  <c r="H94" i="28" s="1"/>
  <c r="H94" i="29" s="1"/>
  <c r="H94" i="30" s="1"/>
  <c r="H94" i="43" s="1"/>
  <c r="H94" i="31" s="1"/>
  <c r="J94" i="31" s="1"/>
  <c r="H59" i="3"/>
  <c r="H59" i="4" s="1"/>
  <c r="H59" i="5" s="1"/>
  <c r="H59" i="33" s="1"/>
  <c r="H59" i="7" s="1"/>
  <c r="H59" i="8" s="1"/>
  <c r="H59" i="9" s="1"/>
  <c r="H59" i="10" s="1"/>
  <c r="H59" i="11" s="1"/>
  <c r="H59" i="12" s="1"/>
  <c r="H59" i="13" s="1"/>
  <c r="H59" i="14" s="1"/>
  <c r="H59" i="15" s="1"/>
  <c r="H59" i="16" s="1"/>
  <c r="H59" i="17" s="1"/>
  <c r="H59" i="18" s="1"/>
  <c r="H59" i="19" s="1"/>
  <c r="H59" i="20" s="1"/>
  <c r="H59" i="21" s="1"/>
  <c r="H59" i="22" s="1"/>
  <c r="H59" i="23" s="1"/>
  <c r="H59" i="24" s="1"/>
  <c r="H59" i="25" s="1"/>
  <c r="H59" i="40" s="1"/>
  <c r="H59" i="27" s="1"/>
  <c r="H59" i="28" s="1"/>
  <c r="H59" i="29" s="1"/>
  <c r="H59" i="30" s="1"/>
  <c r="H59" i="43" s="1"/>
  <c r="H59" i="31" s="1"/>
  <c r="H165" i="3"/>
  <c r="J165" i="3" s="1"/>
  <c r="H176" i="2"/>
  <c r="J176" i="2" s="1"/>
  <c r="H186" i="2"/>
  <c r="H185" i="4"/>
  <c r="J185" i="3"/>
  <c r="H175" i="3"/>
  <c r="H188" i="2"/>
  <c r="H187" i="2"/>
  <c r="J187" i="2" s="1"/>
  <c r="H163" i="3"/>
  <c r="H113" i="3"/>
  <c r="J114" i="3"/>
  <c r="H114" i="4"/>
  <c r="J112" i="3"/>
  <c r="H112" i="4"/>
  <c r="H86" i="31"/>
  <c r="J86" i="31" s="1"/>
  <c r="J86" i="43"/>
  <c r="H92" i="31"/>
  <c r="J92" i="31" s="1"/>
  <c r="J92" i="43"/>
  <c r="J85" i="43"/>
  <c r="H85" i="31"/>
  <c r="J85" i="31" s="1"/>
  <c r="H90" i="31"/>
  <c r="J90" i="31" s="1"/>
  <c r="J90" i="43"/>
  <c r="J89" i="43"/>
  <c r="H89" i="31"/>
  <c r="J89" i="31" s="1"/>
  <c r="J87" i="43"/>
  <c r="H87" i="31"/>
  <c r="J87" i="31" s="1"/>
  <c r="H84" i="31"/>
  <c r="J84" i="31" s="1"/>
  <c r="J84" i="43"/>
  <c r="H91" i="31"/>
  <c r="J91" i="31" s="1"/>
  <c r="J91" i="43"/>
  <c r="J88" i="43"/>
  <c r="H88" i="31"/>
  <c r="J88" i="31" s="1"/>
  <c r="H75" i="31"/>
  <c r="J75" i="31" s="1"/>
  <c r="J75" i="43"/>
  <c r="H76" i="31"/>
  <c r="J76" i="31" s="1"/>
  <c r="J76" i="43"/>
  <c r="J62" i="43"/>
  <c r="H62" i="31"/>
  <c r="J62" i="31" s="1"/>
  <c r="H69" i="31"/>
  <c r="J69" i="31" s="1"/>
  <c r="J69" i="43"/>
  <c r="H64" i="3"/>
  <c r="H64" i="4" s="1"/>
  <c r="H64" i="5" s="1"/>
  <c r="H64" i="33" s="1"/>
  <c r="H64" i="7" s="1"/>
  <c r="H64" i="8" s="1"/>
  <c r="H64" i="9" s="1"/>
  <c r="H64" i="10" s="1"/>
  <c r="H64" i="11" s="1"/>
  <c r="H64" i="12" s="1"/>
  <c r="H64" i="13" s="1"/>
  <c r="H64" i="14" s="1"/>
  <c r="H64" i="15" s="1"/>
  <c r="H64" i="16" s="1"/>
  <c r="H64" i="17" s="1"/>
  <c r="H64" i="18" s="1"/>
  <c r="H64" i="19" s="1"/>
  <c r="H64" i="20" s="1"/>
  <c r="H64" i="21" s="1"/>
  <c r="H64" i="22" s="1"/>
  <c r="H64" i="23" s="1"/>
  <c r="H64" i="24" s="1"/>
  <c r="H64" i="25" s="1"/>
  <c r="H64" i="40" s="1"/>
  <c r="H64" i="27" s="1"/>
  <c r="H64" i="28" s="1"/>
  <c r="H64" i="29" s="1"/>
  <c r="H64" i="30" s="1"/>
  <c r="H64" i="43" s="1"/>
  <c r="H64" i="31" s="1"/>
  <c r="J64" i="31" s="1"/>
  <c r="H71" i="3"/>
  <c r="H71" i="4" s="1"/>
  <c r="H71" i="5" s="1"/>
  <c r="H71" i="33" s="1"/>
  <c r="H71" i="7" s="1"/>
  <c r="H71" i="8" s="1"/>
  <c r="H71" i="9" s="1"/>
  <c r="H71" i="10" s="1"/>
  <c r="H71" i="11" s="1"/>
  <c r="H71" i="12" s="1"/>
  <c r="H71" i="13" s="1"/>
  <c r="H71" i="14" s="1"/>
  <c r="H71" i="15" s="1"/>
  <c r="H71" i="16" s="1"/>
  <c r="H71" i="17" s="1"/>
  <c r="H71" i="18" s="1"/>
  <c r="H71" i="19" s="1"/>
  <c r="H71" i="20" s="1"/>
  <c r="H71" i="21" s="1"/>
  <c r="H71" i="22" s="1"/>
  <c r="H71" i="23" s="1"/>
  <c r="H71" i="24" s="1"/>
  <c r="H71" i="25" s="1"/>
  <c r="H71" i="40" s="1"/>
  <c r="H71" i="27" s="1"/>
  <c r="H71" i="28" s="1"/>
  <c r="H71" i="29" s="1"/>
  <c r="H71" i="30" s="1"/>
  <c r="H71" i="43" s="1"/>
  <c r="H102" i="3"/>
  <c r="H102" i="4" s="1"/>
  <c r="H102" i="5" s="1"/>
  <c r="H102" i="33" s="1"/>
  <c r="H102" i="7" s="1"/>
  <c r="H102" i="8" s="1"/>
  <c r="H102" i="9" s="1"/>
  <c r="H102" i="10" s="1"/>
  <c r="H102" i="11" s="1"/>
  <c r="H102" i="12" s="1"/>
  <c r="H102" i="13" s="1"/>
  <c r="H102" i="14" s="1"/>
  <c r="H102" i="15" s="1"/>
  <c r="H102" i="16" s="1"/>
  <c r="H102" i="17" s="1"/>
  <c r="H102" i="18" s="1"/>
  <c r="H102" i="19" s="1"/>
  <c r="H102" i="20" s="1"/>
  <c r="H102" i="21" s="1"/>
  <c r="H102" i="22" s="1"/>
  <c r="H102" i="23" s="1"/>
  <c r="H102" i="24" s="1"/>
  <c r="H102" i="25" s="1"/>
  <c r="H102" i="40" s="1"/>
  <c r="H102" i="27" s="1"/>
  <c r="H102" i="28" s="1"/>
  <c r="H102" i="29" s="1"/>
  <c r="H102" i="30" s="1"/>
  <c r="H102" i="43" s="1"/>
  <c r="J102" i="43" s="1"/>
  <c r="H98" i="3"/>
  <c r="H98" i="4" s="1"/>
  <c r="H98" i="5" s="1"/>
  <c r="H98" i="33" s="1"/>
  <c r="H98" i="7" s="1"/>
  <c r="H98" i="8" s="1"/>
  <c r="H98" i="9" s="1"/>
  <c r="H98" i="10" s="1"/>
  <c r="H98" i="11" s="1"/>
  <c r="H98" i="12" s="1"/>
  <c r="H98" i="13" s="1"/>
  <c r="H98" i="14" s="1"/>
  <c r="H98" i="15" s="1"/>
  <c r="H98" i="16" s="1"/>
  <c r="H98" i="17" s="1"/>
  <c r="H98" i="18" s="1"/>
  <c r="H98" i="19" s="1"/>
  <c r="H98" i="20" s="1"/>
  <c r="H98" i="21" s="1"/>
  <c r="H98" i="22" s="1"/>
  <c r="H98" i="23" s="1"/>
  <c r="H98" i="24" s="1"/>
  <c r="H98" i="25" s="1"/>
  <c r="H98" i="40" s="1"/>
  <c r="H98" i="27" s="1"/>
  <c r="H98" i="28" s="1"/>
  <c r="H98" i="29" s="1"/>
  <c r="H98" i="30" s="1"/>
  <c r="H98" i="43" s="1"/>
  <c r="H98" i="31" s="1"/>
  <c r="J98" i="31" s="1"/>
  <c r="H47" i="3"/>
  <c r="H47" i="4" s="1"/>
  <c r="H47" i="5" s="1"/>
  <c r="H47" i="33" s="1"/>
  <c r="H47" i="7" s="1"/>
  <c r="H47" i="8" s="1"/>
  <c r="H47" i="9" s="1"/>
  <c r="H47" i="10" s="1"/>
  <c r="H47" i="11" s="1"/>
  <c r="H47" i="12" s="1"/>
  <c r="H47" i="13" s="1"/>
  <c r="H47" i="14" s="1"/>
  <c r="H47" i="15" s="1"/>
  <c r="H47" i="16" s="1"/>
  <c r="H47" i="17" s="1"/>
  <c r="H47" i="18" s="1"/>
  <c r="H47" i="19" s="1"/>
  <c r="H47" i="20" s="1"/>
  <c r="H47" i="21" s="1"/>
  <c r="H47" i="22" s="1"/>
  <c r="H47" i="23" s="1"/>
  <c r="H47" i="24" s="1"/>
  <c r="H47" i="25" s="1"/>
  <c r="H47" i="40" s="1"/>
  <c r="H47" i="27" s="1"/>
  <c r="H47" i="28" s="1"/>
  <c r="H47" i="29" s="1"/>
  <c r="H47" i="30" s="1"/>
  <c r="H47" i="43" s="1"/>
  <c r="H47" i="31" s="1"/>
  <c r="H100" i="3"/>
  <c r="H100" i="4" s="1"/>
  <c r="H100" i="5" s="1"/>
  <c r="H100" i="33" s="1"/>
  <c r="H100" i="7" s="1"/>
  <c r="H100" i="8" s="1"/>
  <c r="H100" i="9" s="1"/>
  <c r="H100" i="10" s="1"/>
  <c r="H100" i="11" s="1"/>
  <c r="H100" i="12" s="1"/>
  <c r="H100" i="13" s="1"/>
  <c r="H100" i="14" s="1"/>
  <c r="H100" i="15" s="1"/>
  <c r="H100" i="16" s="1"/>
  <c r="H100" i="17" s="1"/>
  <c r="H100" i="18" s="1"/>
  <c r="H100" i="19" s="1"/>
  <c r="H100" i="20" s="1"/>
  <c r="H100" i="21" s="1"/>
  <c r="H100" i="22" s="1"/>
  <c r="H100" i="23" s="1"/>
  <c r="H100" i="24" s="1"/>
  <c r="H100" i="25" s="1"/>
  <c r="H100" i="40" s="1"/>
  <c r="H100" i="27" s="1"/>
  <c r="H100" i="28" s="1"/>
  <c r="H100" i="29" s="1"/>
  <c r="H100" i="30" s="1"/>
  <c r="H100" i="43" s="1"/>
  <c r="G80" i="8"/>
  <c r="H80" i="8" s="1"/>
  <c r="G80" i="4"/>
  <c r="G80" i="3"/>
  <c r="H80" i="3" s="1"/>
  <c r="J68" i="43"/>
  <c r="J67" i="43"/>
  <c r="G80" i="7"/>
  <c r="J63" i="43"/>
  <c r="G60" i="8"/>
  <c r="G105" i="8"/>
  <c r="G103" i="8"/>
  <c r="G95" i="7"/>
  <c r="G99" i="7"/>
  <c r="G32" i="7"/>
  <c r="G60" i="7"/>
  <c r="G105" i="7"/>
  <c r="G97" i="7"/>
  <c r="G105" i="33"/>
  <c r="G101" i="33"/>
  <c r="G32" i="33"/>
  <c r="G60" i="33"/>
  <c r="G97" i="33"/>
  <c r="G103" i="33"/>
  <c r="G105" i="5"/>
  <c r="G95" i="5"/>
  <c r="G99" i="5"/>
  <c r="G32" i="5"/>
  <c r="G80" i="5"/>
  <c r="G99" i="4"/>
  <c r="G32" i="4"/>
  <c r="G95" i="4"/>
  <c r="G97" i="3"/>
  <c r="G95" i="3"/>
  <c r="G99" i="3"/>
  <c r="G60" i="3"/>
  <c r="G105" i="3"/>
  <c r="G95" i="2"/>
  <c r="H95" i="2" s="1"/>
  <c r="G99" i="2"/>
  <c r="H99" i="2" s="1"/>
  <c r="G32" i="2"/>
  <c r="H32" i="2" s="1"/>
  <c r="H60" i="2"/>
  <c r="G181" i="50"/>
  <c r="H181" i="50" s="1"/>
  <c r="J181" i="50" s="1"/>
  <c r="G180" i="50"/>
  <c r="H180" i="50" s="1"/>
  <c r="J180" i="50" s="1"/>
  <c r="H166" i="50"/>
  <c r="J166" i="50" s="1"/>
  <c r="G169" i="50"/>
  <c r="H169" i="50" s="1"/>
  <c r="J169" i="50" s="1"/>
  <c r="H171" i="50"/>
  <c r="J171" i="50" s="1"/>
  <c r="G174" i="50"/>
  <c r="G179" i="50"/>
  <c r="H179" i="50" s="1"/>
  <c r="J179" i="50" s="1"/>
  <c r="G95" i="50"/>
  <c r="I86" i="50"/>
  <c r="G99" i="50"/>
  <c r="G80" i="50"/>
  <c r="G97" i="50"/>
  <c r="E32" i="50"/>
  <c r="G32" i="50" s="1"/>
  <c r="G103" i="50"/>
  <c r="G101" i="50"/>
  <c r="G117" i="50"/>
  <c r="G72" i="50"/>
  <c r="G122" i="50"/>
  <c r="I89" i="50"/>
  <c r="G120" i="50"/>
  <c r="G124" i="50"/>
  <c r="G60" i="50"/>
  <c r="G65" i="50"/>
  <c r="E29" i="50"/>
  <c r="G29" i="50" s="1"/>
  <c r="I91" i="50"/>
  <c r="G48" i="50"/>
  <c r="H15" i="9" l="1"/>
  <c r="E10" i="19"/>
  <c r="E10" i="20" s="1"/>
  <c r="G15" i="19"/>
  <c r="H20" i="7"/>
  <c r="G19" i="8"/>
  <c r="E15" i="21"/>
  <c r="G79" i="9"/>
  <c r="G80" i="9" s="1"/>
  <c r="E28" i="9"/>
  <c r="G28" i="9" s="1"/>
  <c r="H28" i="9" s="1"/>
  <c r="E15" i="10"/>
  <c r="G7" i="9"/>
  <c r="G9" i="9"/>
  <c r="H9" i="9" s="1"/>
  <c r="G8" i="9"/>
  <c r="H122" i="4"/>
  <c r="J122" i="4" s="1"/>
  <c r="H183" i="4"/>
  <c r="J183" i="4" s="1"/>
  <c r="J74" i="43"/>
  <c r="H74" i="31"/>
  <c r="J74" i="31" s="1"/>
  <c r="H104" i="30"/>
  <c r="H104" i="43" s="1"/>
  <c r="H135" i="3"/>
  <c r="H135" i="4" s="1"/>
  <c r="J178" i="3"/>
  <c r="H181" i="3"/>
  <c r="H181" i="4" s="1"/>
  <c r="J117" i="3"/>
  <c r="H118" i="4"/>
  <c r="J118" i="4" s="1"/>
  <c r="H138" i="4"/>
  <c r="H138" i="5" s="1"/>
  <c r="G32" i="3"/>
  <c r="H32" i="3" s="1"/>
  <c r="H32" i="4" s="1"/>
  <c r="H32" i="5" s="1"/>
  <c r="H32" i="33" s="1"/>
  <c r="H32" i="7" s="1"/>
  <c r="H115" i="4"/>
  <c r="H115" i="5" s="1"/>
  <c r="H121" i="4"/>
  <c r="J121" i="4" s="1"/>
  <c r="H27" i="3"/>
  <c r="H27" i="4" s="1"/>
  <c r="H27" i="5" s="1"/>
  <c r="H27" i="33" s="1"/>
  <c r="H27" i="7" s="1"/>
  <c r="H27" i="8" s="1"/>
  <c r="J164" i="3"/>
  <c r="H161" i="4"/>
  <c r="H161" i="5" s="1"/>
  <c r="J150" i="3"/>
  <c r="J149" i="3"/>
  <c r="J120" i="3"/>
  <c r="J143" i="3"/>
  <c r="H97" i="3"/>
  <c r="H97" i="4" s="1"/>
  <c r="H97" i="5" s="1"/>
  <c r="H97" i="33" s="1"/>
  <c r="H97" i="7" s="1"/>
  <c r="H97" i="8" s="1"/>
  <c r="H80" i="4"/>
  <c r="H80" i="5" s="1"/>
  <c r="J139" i="3"/>
  <c r="J174" i="3"/>
  <c r="J156" i="12"/>
  <c r="H156" i="13"/>
  <c r="H155" i="13"/>
  <c r="J155" i="12"/>
  <c r="J146" i="3"/>
  <c r="J144" i="3"/>
  <c r="H131" i="4"/>
  <c r="J131" i="4" s="1"/>
  <c r="J123" i="3"/>
  <c r="J119" i="3"/>
  <c r="H116" i="4"/>
  <c r="J116" i="4" s="1"/>
  <c r="H140" i="4"/>
  <c r="H140" i="5" s="1"/>
  <c r="H184" i="4"/>
  <c r="H184" i="5" s="1"/>
  <c r="H142" i="4"/>
  <c r="H142" i="5" s="1"/>
  <c r="J147" i="3"/>
  <c r="J148" i="3"/>
  <c r="H105" i="3"/>
  <c r="H105" i="4" s="1"/>
  <c r="H105" i="5" s="1"/>
  <c r="H105" i="33" s="1"/>
  <c r="H105" i="7" s="1"/>
  <c r="H105" i="8" s="1"/>
  <c r="H162" i="4"/>
  <c r="J162" i="4" s="1"/>
  <c r="H129" i="4"/>
  <c r="J129" i="4" s="1"/>
  <c r="J130" i="3"/>
  <c r="H141" i="4"/>
  <c r="J141" i="4" s="1"/>
  <c r="H165" i="4"/>
  <c r="J165" i="4" s="1"/>
  <c r="H128" i="4"/>
  <c r="J128" i="4" s="1"/>
  <c r="H134" i="9"/>
  <c r="J134" i="8"/>
  <c r="H103" i="33"/>
  <c r="H103" i="7" s="1"/>
  <c r="H103" i="8" s="1"/>
  <c r="H150" i="5"/>
  <c r="J150" i="4"/>
  <c r="H189" i="3"/>
  <c r="H189" i="4" s="1"/>
  <c r="J145" i="4"/>
  <c r="H145" i="5"/>
  <c r="H147" i="5"/>
  <c r="J147" i="4"/>
  <c r="J173" i="3"/>
  <c r="J179" i="3"/>
  <c r="J133" i="3"/>
  <c r="H149" i="5"/>
  <c r="J149" i="4"/>
  <c r="J146" i="4"/>
  <c r="H146" i="5"/>
  <c r="J144" i="4"/>
  <c r="H144" i="5"/>
  <c r="H143" i="5"/>
  <c r="J143" i="4"/>
  <c r="J152" i="8"/>
  <c r="H152" i="9"/>
  <c r="H148" i="5"/>
  <c r="J148" i="4"/>
  <c r="H186" i="3"/>
  <c r="H186" i="4" s="1"/>
  <c r="J186" i="2"/>
  <c r="H151" i="7"/>
  <c r="J151" i="33"/>
  <c r="H189" i="22"/>
  <c r="J189" i="21"/>
  <c r="H96" i="31"/>
  <c r="J96" i="31" s="1"/>
  <c r="J94" i="43"/>
  <c r="H101" i="33"/>
  <c r="H101" i="7" s="1"/>
  <c r="H101" i="8" s="1"/>
  <c r="H102" i="31"/>
  <c r="J102" i="31" s="1"/>
  <c r="H180" i="4"/>
  <c r="H180" i="5" s="1"/>
  <c r="J168" i="12"/>
  <c r="H168" i="13"/>
  <c r="H132" i="5"/>
  <c r="J132" i="4"/>
  <c r="H133" i="5"/>
  <c r="J133" i="4"/>
  <c r="H60" i="3"/>
  <c r="H60" i="4" s="1"/>
  <c r="H60" i="5" s="1"/>
  <c r="H60" i="33" s="1"/>
  <c r="H60" i="7" s="1"/>
  <c r="H60" i="8" s="1"/>
  <c r="H60" i="9" s="1"/>
  <c r="H60" i="10" s="1"/>
  <c r="H60" i="11" s="1"/>
  <c r="H60" i="12" s="1"/>
  <c r="H60" i="13" s="1"/>
  <c r="H60" i="14" s="1"/>
  <c r="H60" i="15" s="1"/>
  <c r="H60" i="16" s="1"/>
  <c r="H60" i="17" s="1"/>
  <c r="H60" i="18" s="1"/>
  <c r="H60" i="19" s="1"/>
  <c r="H60" i="20" s="1"/>
  <c r="H60" i="21" s="1"/>
  <c r="H60" i="22" s="1"/>
  <c r="H60" i="23" s="1"/>
  <c r="H60" i="24" s="1"/>
  <c r="H60" i="25" s="1"/>
  <c r="H60" i="40" s="1"/>
  <c r="H60" i="27" s="1"/>
  <c r="H60" i="28" s="1"/>
  <c r="H60" i="29" s="1"/>
  <c r="H60" i="30" s="1"/>
  <c r="H60" i="43" s="1"/>
  <c r="H60" i="31" s="1"/>
  <c r="J177" i="9"/>
  <c r="H177" i="10"/>
  <c r="J127" i="9"/>
  <c r="H127" i="10"/>
  <c r="H167" i="13"/>
  <c r="J167" i="12"/>
  <c r="H182" i="10"/>
  <c r="J182" i="9"/>
  <c r="H130" i="5"/>
  <c r="J130" i="4"/>
  <c r="H166" i="13"/>
  <c r="J166" i="12"/>
  <c r="J185" i="4"/>
  <c r="H185" i="5"/>
  <c r="H174" i="5"/>
  <c r="J174" i="4"/>
  <c r="H175" i="4"/>
  <c r="J175" i="3"/>
  <c r="J179" i="4"/>
  <c r="H179" i="5"/>
  <c r="H176" i="3"/>
  <c r="H173" i="5"/>
  <c r="J173" i="4"/>
  <c r="H178" i="5"/>
  <c r="J178" i="4"/>
  <c r="H163" i="4"/>
  <c r="J163" i="3"/>
  <c r="H164" i="5"/>
  <c r="J164" i="4"/>
  <c r="H188" i="3"/>
  <c r="H187" i="3"/>
  <c r="J145" i="3"/>
  <c r="J139" i="4"/>
  <c r="H139" i="5"/>
  <c r="H114" i="5"/>
  <c r="J114" i="4"/>
  <c r="H117" i="5"/>
  <c r="J117" i="4"/>
  <c r="H123" i="5"/>
  <c r="J123" i="4"/>
  <c r="H119" i="5"/>
  <c r="J119" i="4"/>
  <c r="H120" i="5"/>
  <c r="J120" i="4"/>
  <c r="H113" i="4"/>
  <c r="J113" i="3"/>
  <c r="H112" i="5"/>
  <c r="J112" i="4"/>
  <c r="H71" i="31"/>
  <c r="J71" i="31" s="1"/>
  <c r="J71" i="43"/>
  <c r="J64" i="43"/>
  <c r="J100" i="43"/>
  <c r="H100" i="31"/>
  <c r="J100" i="31" s="1"/>
  <c r="H95" i="3"/>
  <c r="H95" i="4" s="1"/>
  <c r="H95" i="5" s="1"/>
  <c r="H95" i="33" s="1"/>
  <c r="H95" i="7" s="1"/>
  <c r="H95" i="8" s="1"/>
  <c r="J98" i="43"/>
  <c r="H99" i="3"/>
  <c r="H99" i="4" s="1"/>
  <c r="H99" i="5" s="1"/>
  <c r="H99" i="33" s="1"/>
  <c r="H99" i="7" s="1"/>
  <c r="H99" i="8" s="1"/>
  <c r="J83" i="31"/>
  <c r="J83" i="43"/>
  <c r="I59" i="8"/>
  <c r="I59" i="7"/>
  <c r="I59" i="33"/>
  <c r="I59" i="4"/>
  <c r="I59" i="3"/>
  <c r="I59" i="2"/>
  <c r="G81" i="50"/>
  <c r="G182" i="50"/>
  <c r="H182" i="50" s="1"/>
  <c r="J182" i="50" s="1"/>
  <c r="H174" i="50"/>
  <c r="J174" i="50" s="1"/>
  <c r="G61" i="50"/>
  <c r="B26" i="48"/>
  <c r="G10" i="19" l="1"/>
  <c r="H10" i="19" s="1"/>
  <c r="G79" i="19"/>
  <c r="G80" i="19" s="1"/>
  <c r="H80" i="19" s="1"/>
  <c r="E28" i="19"/>
  <c r="G28" i="19" s="1"/>
  <c r="E19" i="9"/>
  <c r="G19" i="9" s="1"/>
  <c r="E8" i="10"/>
  <c r="G8" i="10" s="1"/>
  <c r="E27" i="10" s="1"/>
  <c r="G27" i="10" s="1"/>
  <c r="G187" i="8"/>
  <c r="E30" i="8"/>
  <c r="G30" i="8" s="1"/>
  <c r="G20" i="8"/>
  <c r="H20" i="8" s="1"/>
  <c r="H19" i="8"/>
  <c r="G15" i="10"/>
  <c r="E15" i="22"/>
  <c r="G15" i="21"/>
  <c r="G15" i="20"/>
  <c r="H79" i="9"/>
  <c r="G10" i="20"/>
  <c r="G95" i="9"/>
  <c r="H95" i="9" s="1"/>
  <c r="G97" i="9"/>
  <c r="H97" i="9" s="1"/>
  <c r="G105" i="9"/>
  <c r="G103" i="9"/>
  <c r="H103" i="9" s="1"/>
  <c r="G101" i="9"/>
  <c r="H101" i="9" s="1"/>
  <c r="G99" i="9"/>
  <c r="H99" i="9" s="1"/>
  <c r="I59" i="9"/>
  <c r="E27" i="9"/>
  <c r="G27" i="9" s="1"/>
  <c r="H8" i="9"/>
  <c r="E7" i="10"/>
  <c r="H7" i="9"/>
  <c r="H105" i="9"/>
  <c r="H183" i="5"/>
  <c r="H183" i="33" s="1"/>
  <c r="H122" i="5"/>
  <c r="J122" i="5" s="1"/>
  <c r="H104" i="31"/>
  <c r="J104" i="31" s="1"/>
  <c r="J104" i="43"/>
  <c r="J135" i="3"/>
  <c r="H135" i="5"/>
  <c r="J135" i="4"/>
  <c r="J161" i="4"/>
  <c r="H121" i="5"/>
  <c r="J121" i="5" s="1"/>
  <c r="J181" i="3"/>
  <c r="J115" i="4"/>
  <c r="J138" i="4"/>
  <c r="J140" i="4"/>
  <c r="H118" i="5"/>
  <c r="H118" i="33" s="1"/>
  <c r="J184" i="4"/>
  <c r="H155" i="14"/>
  <c r="J155" i="13"/>
  <c r="H156" i="14"/>
  <c r="J156" i="13"/>
  <c r="H131" i="5"/>
  <c r="J131" i="5" s="1"/>
  <c r="J186" i="3"/>
  <c r="H116" i="5"/>
  <c r="J116" i="5" s="1"/>
  <c r="H129" i="5"/>
  <c r="J129" i="5" s="1"/>
  <c r="H165" i="5"/>
  <c r="H165" i="33" s="1"/>
  <c r="J142" i="4"/>
  <c r="H162" i="5"/>
  <c r="J162" i="5" s="1"/>
  <c r="H141" i="5"/>
  <c r="J141" i="5" s="1"/>
  <c r="H128" i="5"/>
  <c r="J128" i="5" s="1"/>
  <c r="J189" i="3"/>
  <c r="H152" i="10"/>
  <c r="J152" i="9"/>
  <c r="H145" i="33"/>
  <c r="J145" i="5"/>
  <c r="H149" i="33"/>
  <c r="J149" i="5"/>
  <c r="H151" i="8"/>
  <c r="J151" i="7"/>
  <c r="H143" i="33"/>
  <c r="J143" i="5"/>
  <c r="J150" i="5"/>
  <c r="H150" i="33"/>
  <c r="J144" i="5"/>
  <c r="H144" i="33"/>
  <c r="H146" i="33"/>
  <c r="J146" i="5"/>
  <c r="H148" i="33"/>
  <c r="J148" i="5"/>
  <c r="H147" i="33"/>
  <c r="J147" i="5"/>
  <c r="H134" i="10"/>
  <c r="J134" i="9"/>
  <c r="H189" i="23"/>
  <c r="J189" i="22"/>
  <c r="J180" i="4"/>
  <c r="H130" i="33"/>
  <c r="J130" i="5"/>
  <c r="J177" i="10"/>
  <c r="H177" i="11"/>
  <c r="J168" i="13"/>
  <c r="H168" i="14"/>
  <c r="J127" i="10"/>
  <c r="H127" i="11"/>
  <c r="H132" i="33"/>
  <c r="J132" i="5"/>
  <c r="J133" i="5"/>
  <c r="H133" i="33"/>
  <c r="H166" i="14"/>
  <c r="J166" i="13"/>
  <c r="J182" i="10"/>
  <c r="H182" i="11"/>
  <c r="H167" i="14"/>
  <c r="J167" i="13"/>
  <c r="H178" i="33"/>
  <c r="J178" i="5"/>
  <c r="H173" i="33"/>
  <c r="J173" i="5"/>
  <c r="H179" i="33"/>
  <c r="J179" i="5"/>
  <c r="H185" i="33"/>
  <c r="J185" i="5"/>
  <c r="H174" i="33"/>
  <c r="J174" i="5"/>
  <c r="H186" i="5"/>
  <c r="J186" i="4"/>
  <c r="J181" i="4"/>
  <c r="H181" i="5"/>
  <c r="H184" i="33"/>
  <c r="J184" i="5"/>
  <c r="H180" i="33"/>
  <c r="J180" i="5"/>
  <c r="H176" i="4"/>
  <c r="J176" i="3"/>
  <c r="H175" i="5"/>
  <c r="J175" i="4"/>
  <c r="J189" i="4"/>
  <c r="H189" i="5"/>
  <c r="H164" i="33"/>
  <c r="J164" i="5"/>
  <c r="H161" i="33"/>
  <c r="J161" i="5"/>
  <c r="H188" i="4"/>
  <c r="J188" i="3"/>
  <c r="H163" i="5"/>
  <c r="J163" i="4"/>
  <c r="H187" i="4"/>
  <c r="J187" i="3"/>
  <c r="H139" i="33"/>
  <c r="J139" i="5"/>
  <c r="J142" i="5"/>
  <c r="H142" i="33"/>
  <c r="J140" i="5"/>
  <c r="H140" i="33"/>
  <c r="J138" i="5"/>
  <c r="H138" i="33"/>
  <c r="H113" i="5"/>
  <c r="J113" i="4"/>
  <c r="H120" i="33"/>
  <c r="J120" i="5"/>
  <c r="H123" i="33"/>
  <c r="J123" i="5"/>
  <c r="H114" i="33"/>
  <c r="J114" i="5"/>
  <c r="H112" i="33"/>
  <c r="J112" i="5"/>
  <c r="H115" i="33"/>
  <c r="J115" i="5"/>
  <c r="H119" i="33"/>
  <c r="J119" i="5"/>
  <c r="H117" i="33"/>
  <c r="J117" i="5"/>
  <c r="H10" i="20" l="1"/>
  <c r="H8" i="10"/>
  <c r="G20" i="9"/>
  <c r="H20" i="9" s="1"/>
  <c r="G187" i="9"/>
  <c r="E30" i="9"/>
  <c r="G30" i="9" s="1"/>
  <c r="G32" i="9" s="1"/>
  <c r="E19" i="10"/>
  <c r="G32" i="8"/>
  <c r="H32" i="8" s="1"/>
  <c r="H30" i="8"/>
  <c r="H19" i="9"/>
  <c r="G79" i="20"/>
  <c r="G80" i="20" s="1"/>
  <c r="E28" i="20"/>
  <c r="G28" i="20" s="1"/>
  <c r="E28" i="21"/>
  <c r="G28" i="21" s="1"/>
  <c r="G79" i="21"/>
  <c r="G80" i="21" s="1"/>
  <c r="E15" i="23"/>
  <c r="G15" i="22"/>
  <c r="E28" i="10"/>
  <c r="G28" i="10" s="1"/>
  <c r="H28" i="10" s="1"/>
  <c r="G79" i="10"/>
  <c r="G80" i="10" s="1"/>
  <c r="H15" i="10"/>
  <c r="E15" i="11"/>
  <c r="E8" i="11"/>
  <c r="G9" i="10"/>
  <c r="H9" i="10" s="1"/>
  <c r="G7" i="10"/>
  <c r="H7" i="10" s="1"/>
  <c r="E10" i="21"/>
  <c r="H27" i="9"/>
  <c r="H27" i="10" s="1"/>
  <c r="J183" i="5"/>
  <c r="H122" i="33"/>
  <c r="J122" i="33" s="1"/>
  <c r="H162" i="33"/>
  <c r="H162" i="7" s="1"/>
  <c r="J135" i="5"/>
  <c r="H135" i="33"/>
  <c r="H121" i="33"/>
  <c r="H121" i="7" s="1"/>
  <c r="J118" i="5"/>
  <c r="J156" i="14"/>
  <c r="H156" i="15"/>
  <c r="H129" i="33"/>
  <c r="J129" i="33" s="1"/>
  <c r="H155" i="15"/>
  <c r="J155" i="14"/>
  <c r="H131" i="33"/>
  <c r="J131" i="33" s="1"/>
  <c r="J165" i="5"/>
  <c r="H116" i="33"/>
  <c r="H116" i="7" s="1"/>
  <c r="H141" i="33"/>
  <c r="H141" i="7" s="1"/>
  <c r="H128" i="33"/>
  <c r="J128" i="33" s="1"/>
  <c r="H151" i="9"/>
  <c r="J151" i="8"/>
  <c r="H144" i="7"/>
  <c r="J144" i="33"/>
  <c r="J134" i="10"/>
  <c r="H134" i="11"/>
  <c r="J149" i="33"/>
  <c r="H149" i="7"/>
  <c r="H150" i="7"/>
  <c r="J150" i="33"/>
  <c r="J146" i="33"/>
  <c r="H146" i="7"/>
  <c r="J147" i="33"/>
  <c r="H147" i="7"/>
  <c r="H145" i="7"/>
  <c r="J145" i="33"/>
  <c r="J148" i="33"/>
  <c r="H148" i="7"/>
  <c r="J143" i="33"/>
  <c r="H143" i="7"/>
  <c r="H152" i="11"/>
  <c r="J152" i="10"/>
  <c r="H189" i="24"/>
  <c r="J189" i="23"/>
  <c r="H132" i="7"/>
  <c r="J132" i="33"/>
  <c r="J182" i="11"/>
  <c r="H182" i="12"/>
  <c r="J127" i="11"/>
  <c r="H127" i="12"/>
  <c r="H177" i="12"/>
  <c r="J177" i="11"/>
  <c r="H130" i="7"/>
  <c r="J130" i="33"/>
  <c r="H167" i="15"/>
  <c r="J167" i="14"/>
  <c r="J166" i="14"/>
  <c r="H166" i="15"/>
  <c r="H133" i="7"/>
  <c r="J133" i="33"/>
  <c r="H168" i="15"/>
  <c r="J168" i="14"/>
  <c r="H176" i="5"/>
  <c r="J176" i="4"/>
  <c r="H183" i="7"/>
  <c r="J183" i="33"/>
  <c r="J174" i="33"/>
  <c r="H174" i="7"/>
  <c r="H179" i="7"/>
  <c r="J179" i="33"/>
  <c r="J178" i="33"/>
  <c r="H178" i="7"/>
  <c r="H189" i="33"/>
  <c r="J189" i="5"/>
  <c r="H181" i="33"/>
  <c r="J181" i="5"/>
  <c r="H175" i="33"/>
  <c r="J175" i="5"/>
  <c r="J180" i="33"/>
  <c r="H180" i="7"/>
  <c r="J184" i="33"/>
  <c r="H184" i="7"/>
  <c r="H186" i="33"/>
  <c r="J186" i="5"/>
  <c r="J185" i="33"/>
  <c r="H185" i="7"/>
  <c r="J173" i="33"/>
  <c r="H173" i="7"/>
  <c r="H187" i="5"/>
  <c r="J187" i="4"/>
  <c r="H163" i="33"/>
  <c r="J163" i="5"/>
  <c r="J161" i="33"/>
  <c r="H161" i="7"/>
  <c r="H164" i="7"/>
  <c r="J164" i="33"/>
  <c r="J165" i="33"/>
  <c r="H165" i="7"/>
  <c r="H188" i="5"/>
  <c r="J188" i="4"/>
  <c r="J138" i="33"/>
  <c r="H138" i="7"/>
  <c r="J142" i="33"/>
  <c r="H142" i="7"/>
  <c r="H139" i="7"/>
  <c r="J139" i="33"/>
  <c r="H140" i="7"/>
  <c r="J140" i="33"/>
  <c r="H122" i="7"/>
  <c r="J119" i="33"/>
  <c r="H119" i="7"/>
  <c r="J112" i="33"/>
  <c r="H112" i="7"/>
  <c r="H114" i="7"/>
  <c r="J114" i="33"/>
  <c r="J123" i="33"/>
  <c r="H123" i="7"/>
  <c r="H113" i="33"/>
  <c r="J113" i="5"/>
  <c r="H118" i="7"/>
  <c r="J118" i="33"/>
  <c r="J117" i="33"/>
  <c r="H117" i="7"/>
  <c r="J115" i="33"/>
  <c r="H115" i="7"/>
  <c r="J120" i="33"/>
  <c r="H120" i="7"/>
  <c r="B20" i="48"/>
  <c r="H30" i="9" l="1"/>
  <c r="E7" i="11"/>
  <c r="G7" i="11" s="1"/>
  <c r="H7" i="11" s="1"/>
  <c r="H32" i="9"/>
  <c r="G19" i="10"/>
  <c r="H19" i="10" s="1"/>
  <c r="E15" i="24"/>
  <c r="G15" i="23"/>
  <c r="E15" i="12"/>
  <c r="G15" i="11"/>
  <c r="H15" i="11" s="1"/>
  <c r="H79" i="10"/>
  <c r="E28" i="22"/>
  <c r="G28" i="22" s="1"/>
  <c r="G79" i="22"/>
  <c r="G80" i="22" s="1"/>
  <c r="E9" i="11"/>
  <c r="E8" i="12"/>
  <c r="G8" i="11"/>
  <c r="G10" i="21"/>
  <c r="H10" i="21" s="1"/>
  <c r="G99" i="10"/>
  <c r="H99" i="10" s="1"/>
  <c r="G103" i="10"/>
  <c r="H103" i="10" s="1"/>
  <c r="G97" i="10"/>
  <c r="H97" i="10" s="1"/>
  <c r="G95" i="10"/>
  <c r="H95" i="10" s="1"/>
  <c r="G105" i="10"/>
  <c r="H105" i="10" s="1"/>
  <c r="G101" i="10"/>
  <c r="H101" i="10" s="1"/>
  <c r="I59" i="10"/>
  <c r="J162" i="33"/>
  <c r="J135" i="33"/>
  <c r="H135" i="7"/>
  <c r="H129" i="7"/>
  <c r="J129" i="7" s="1"/>
  <c r="J121" i="33"/>
  <c r="J141" i="33"/>
  <c r="J155" i="15"/>
  <c r="H155" i="16"/>
  <c r="H156" i="16"/>
  <c r="J156" i="15"/>
  <c r="H131" i="7"/>
  <c r="H131" i="8" s="1"/>
  <c r="J116" i="33"/>
  <c r="H128" i="7"/>
  <c r="J128" i="7" s="1"/>
  <c r="J149" i="7"/>
  <c r="H149" i="8"/>
  <c r="H145" i="8"/>
  <c r="J145" i="7"/>
  <c r="J147" i="7"/>
  <c r="H147" i="8"/>
  <c r="J134" i="11"/>
  <c r="H134" i="12"/>
  <c r="H152" i="12"/>
  <c r="J152" i="11"/>
  <c r="H143" i="8"/>
  <c r="J143" i="7"/>
  <c r="H146" i="8"/>
  <c r="J146" i="7"/>
  <c r="J144" i="7"/>
  <c r="H144" i="8"/>
  <c r="J148" i="7"/>
  <c r="H148" i="8"/>
  <c r="H150" i="8"/>
  <c r="J150" i="7"/>
  <c r="H151" i="10"/>
  <c r="J151" i="9"/>
  <c r="H189" i="25"/>
  <c r="J189" i="24"/>
  <c r="J166" i="15"/>
  <c r="H166" i="16"/>
  <c r="J127" i="12"/>
  <c r="H127" i="13"/>
  <c r="H182" i="13"/>
  <c r="J182" i="12"/>
  <c r="H130" i="8"/>
  <c r="J130" i="7"/>
  <c r="H132" i="8"/>
  <c r="J132" i="7"/>
  <c r="H133" i="8"/>
  <c r="J133" i="7"/>
  <c r="J167" i="15"/>
  <c r="H167" i="16"/>
  <c r="J177" i="12"/>
  <c r="H177" i="13"/>
  <c r="H168" i="16"/>
  <c r="J168" i="15"/>
  <c r="J185" i="7"/>
  <c r="H185" i="8"/>
  <c r="J184" i="7"/>
  <c r="H184" i="8"/>
  <c r="J186" i="33"/>
  <c r="H186" i="7"/>
  <c r="J181" i="33"/>
  <c r="H181" i="7"/>
  <c r="H176" i="33"/>
  <c r="J176" i="5"/>
  <c r="J173" i="7"/>
  <c r="H173" i="8"/>
  <c r="J180" i="7"/>
  <c r="H180" i="8"/>
  <c r="J178" i="7"/>
  <c r="H178" i="8"/>
  <c r="J174" i="7"/>
  <c r="H174" i="8"/>
  <c r="H175" i="7"/>
  <c r="J175" i="33"/>
  <c r="H189" i="7"/>
  <c r="J189" i="33"/>
  <c r="H179" i="8"/>
  <c r="J179" i="7"/>
  <c r="H183" i="8"/>
  <c r="J183" i="7"/>
  <c r="H187" i="33"/>
  <c r="J187" i="5"/>
  <c r="J161" i="7"/>
  <c r="H161" i="8"/>
  <c r="H162" i="8"/>
  <c r="J162" i="7"/>
  <c r="J165" i="7"/>
  <c r="H165" i="8"/>
  <c r="H188" i="33"/>
  <c r="J188" i="5"/>
  <c r="J164" i="7"/>
  <c r="H164" i="8"/>
  <c r="J163" i="33"/>
  <c r="H163" i="7"/>
  <c r="J141" i="7"/>
  <c r="H141" i="8"/>
  <c r="J142" i="7"/>
  <c r="H142" i="8"/>
  <c r="H140" i="8"/>
  <c r="J140" i="7"/>
  <c r="H139" i="8"/>
  <c r="J139" i="7"/>
  <c r="J138" i="7"/>
  <c r="H138" i="8"/>
  <c r="H118" i="8"/>
  <c r="J118" i="7"/>
  <c r="H122" i="8"/>
  <c r="J122" i="7"/>
  <c r="J121" i="7"/>
  <c r="H121" i="8"/>
  <c r="J115" i="7"/>
  <c r="H115" i="8"/>
  <c r="J112" i="7"/>
  <c r="H112" i="8"/>
  <c r="J123" i="7"/>
  <c r="H123" i="8"/>
  <c r="J113" i="33"/>
  <c r="H113" i="7"/>
  <c r="H114" i="8"/>
  <c r="J114" i="7"/>
  <c r="J120" i="7"/>
  <c r="H120" i="8"/>
  <c r="J116" i="7"/>
  <c r="H116" i="8"/>
  <c r="J117" i="7"/>
  <c r="H117" i="8"/>
  <c r="J119" i="7"/>
  <c r="H119" i="8"/>
  <c r="C33" i="48"/>
  <c r="D33" i="48"/>
  <c r="F33" i="48"/>
  <c r="B3" i="48"/>
  <c r="E4" i="45" s="1"/>
  <c r="B4" i="48"/>
  <c r="B5" i="48"/>
  <c r="B6" i="48"/>
  <c r="B7" i="48"/>
  <c r="B8" i="48"/>
  <c r="B9" i="48"/>
  <c r="B10" i="48"/>
  <c r="B11" i="48"/>
  <c r="B12" i="48"/>
  <c r="B13" i="48"/>
  <c r="B14" i="48"/>
  <c r="B15" i="48"/>
  <c r="B16" i="48"/>
  <c r="B17" i="48"/>
  <c r="B18" i="48"/>
  <c r="B19" i="48"/>
  <c r="B21" i="48"/>
  <c r="B25" i="48"/>
  <c r="B27" i="48"/>
  <c r="B28" i="48"/>
  <c r="B29" i="48"/>
  <c r="B31" i="48"/>
  <c r="B32" i="48"/>
  <c r="B2" i="48"/>
  <c r="D4" i="45" s="1"/>
  <c r="K2" i="48"/>
  <c r="E7" i="12" l="1"/>
  <c r="G7" i="12" s="1"/>
  <c r="E30" i="10"/>
  <c r="G30" i="10" s="1"/>
  <c r="G187" i="10"/>
  <c r="G20" i="10"/>
  <c r="H20" i="10" s="1"/>
  <c r="E19" i="11"/>
  <c r="E28" i="11"/>
  <c r="G28" i="11" s="1"/>
  <c r="H28" i="11" s="1"/>
  <c r="G79" i="11"/>
  <c r="G80" i="11" s="1"/>
  <c r="E15" i="13"/>
  <c r="G15" i="12"/>
  <c r="G79" i="23"/>
  <c r="G80" i="23" s="1"/>
  <c r="E28" i="23"/>
  <c r="G28" i="23" s="1"/>
  <c r="G15" i="24"/>
  <c r="E15" i="25"/>
  <c r="G99" i="11"/>
  <c r="H99" i="11" s="1"/>
  <c r="G97" i="11"/>
  <c r="H97" i="11" s="1"/>
  <c r="G103" i="11"/>
  <c r="H103" i="11" s="1"/>
  <c r="G105" i="11"/>
  <c r="H105" i="11" s="1"/>
  <c r="G101" i="11"/>
  <c r="H101" i="11" s="1"/>
  <c r="G95" i="11"/>
  <c r="H95" i="11" s="1"/>
  <c r="I59" i="11"/>
  <c r="E27" i="11"/>
  <c r="G27" i="11" s="1"/>
  <c r="H8" i="11"/>
  <c r="E9" i="12"/>
  <c r="G9" i="11"/>
  <c r="H9" i="11" s="1"/>
  <c r="E10" i="22"/>
  <c r="H135" i="8"/>
  <c r="J135" i="7"/>
  <c r="H129" i="8"/>
  <c r="H129" i="9" s="1"/>
  <c r="H156" i="17"/>
  <c r="J156" i="16"/>
  <c r="J155" i="16"/>
  <c r="H155" i="17"/>
  <c r="J131" i="7"/>
  <c r="H128" i="8"/>
  <c r="J128" i="8" s="1"/>
  <c r="H144" i="9"/>
  <c r="J144" i="8"/>
  <c r="H134" i="13"/>
  <c r="J134" i="12"/>
  <c r="H147" i="9"/>
  <c r="J147" i="8"/>
  <c r="H151" i="11"/>
  <c r="J151" i="10"/>
  <c r="J146" i="8"/>
  <c r="H146" i="9"/>
  <c r="J150" i="8"/>
  <c r="H150" i="9"/>
  <c r="J143" i="8"/>
  <c r="H143" i="9"/>
  <c r="H145" i="9"/>
  <c r="J145" i="8"/>
  <c r="H148" i="9"/>
  <c r="J148" i="8"/>
  <c r="J149" i="8"/>
  <c r="H149" i="9"/>
  <c r="H152" i="13"/>
  <c r="J152" i="12"/>
  <c r="H189" i="40"/>
  <c r="J189" i="25"/>
  <c r="H131" i="9"/>
  <c r="J131" i="8"/>
  <c r="H132" i="9"/>
  <c r="J132" i="8"/>
  <c r="H177" i="14"/>
  <c r="J177" i="13"/>
  <c r="H166" i="17"/>
  <c r="J166" i="16"/>
  <c r="H182" i="14"/>
  <c r="J182" i="13"/>
  <c r="H168" i="17"/>
  <c r="J168" i="16"/>
  <c r="H133" i="9"/>
  <c r="J133" i="8"/>
  <c r="H130" i="9"/>
  <c r="J130" i="8"/>
  <c r="J167" i="16"/>
  <c r="H167" i="17"/>
  <c r="J127" i="13"/>
  <c r="H127" i="14"/>
  <c r="J178" i="8"/>
  <c r="H178" i="9"/>
  <c r="H173" i="9"/>
  <c r="J173" i="8"/>
  <c r="J181" i="7"/>
  <c r="H181" i="8"/>
  <c r="H184" i="9"/>
  <c r="J184" i="8"/>
  <c r="H183" i="9"/>
  <c r="J183" i="8"/>
  <c r="H189" i="8"/>
  <c r="J189" i="7"/>
  <c r="J176" i="33"/>
  <c r="H176" i="7"/>
  <c r="J174" i="8"/>
  <c r="H174" i="9"/>
  <c r="H180" i="9"/>
  <c r="J180" i="8"/>
  <c r="J186" i="7"/>
  <c r="H186" i="8"/>
  <c r="H185" i="9"/>
  <c r="J185" i="8"/>
  <c r="H179" i="9"/>
  <c r="J179" i="8"/>
  <c r="H175" i="8"/>
  <c r="J175" i="7"/>
  <c r="H188" i="7"/>
  <c r="J188" i="33"/>
  <c r="J162" i="8"/>
  <c r="H162" i="9"/>
  <c r="H187" i="7"/>
  <c r="J187" i="33"/>
  <c r="J163" i="7"/>
  <c r="H163" i="8"/>
  <c r="H164" i="9"/>
  <c r="J164" i="8"/>
  <c r="H165" i="9"/>
  <c r="J165" i="8"/>
  <c r="H161" i="9"/>
  <c r="J161" i="8"/>
  <c r="J138" i="8"/>
  <c r="H138" i="9"/>
  <c r="J142" i="8"/>
  <c r="H142" i="9"/>
  <c r="J141" i="8"/>
  <c r="H141" i="9"/>
  <c r="H139" i="9"/>
  <c r="J139" i="8"/>
  <c r="H140" i="9"/>
  <c r="J140" i="8"/>
  <c r="J116" i="8"/>
  <c r="H116" i="9"/>
  <c r="J123" i="8"/>
  <c r="H123" i="9"/>
  <c r="H118" i="9"/>
  <c r="J118" i="8"/>
  <c r="J120" i="8"/>
  <c r="H120" i="9"/>
  <c r="J113" i="7"/>
  <c r="H113" i="8"/>
  <c r="J112" i="8"/>
  <c r="H112" i="9"/>
  <c r="J121" i="8"/>
  <c r="H121" i="9"/>
  <c r="J119" i="8"/>
  <c r="H119" i="9"/>
  <c r="J115" i="8"/>
  <c r="H115" i="9"/>
  <c r="J117" i="8"/>
  <c r="H117" i="9"/>
  <c r="H114" i="9"/>
  <c r="J114" i="8"/>
  <c r="H122" i="9"/>
  <c r="J122" i="8"/>
  <c r="B33" i="48"/>
  <c r="G19" i="11" l="1"/>
  <c r="G32" i="10"/>
  <c r="H32" i="10" s="1"/>
  <c r="H30" i="10"/>
  <c r="G79" i="12"/>
  <c r="G80" i="12" s="1"/>
  <c r="E28" i="12"/>
  <c r="G28" i="12" s="1"/>
  <c r="H28" i="12" s="1"/>
  <c r="G15" i="13"/>
  <c r="E15" i="14"/>
  <c r="G15" i="25"/>
  <c r="E15" i="40"/>
  <c r="H15" i="12"/>
  <c r="G79" i="24"/>
  <c r="G80" i="24" s="1"/>
  <c r="E28" i="24"/>
  <c r="G28" i="24" s="1"/>
  <c r="H79" i="11"/>
  <c r="H27" i="11"/>
  <c r="E9" i="13"/>
  <c r="G9" i="12"/>
  <c r="H9" i="12" s="1"/>
  <c r="G10" i="22"/>
  <c r="H10" i="22" s="1"/>
  <c r="G105" i="12"/>
  <c r="H105" i="12" s="1"/>
  <c r="G97" i="12"/>
  <c r="H97" i="12" s="1"/>
  <c r="G99" i="12"/>
  <c r="H99" i="12" s="1"/>
  <c r="G95" i="12"/>
  <c r="H95" i="12" s="1"/>
  <c r="G101" i="12"/>
  <c r="H101" i="12" s="1"/>
  <c r="G103" i="12"/>
  <c r="H103" i="12" s="1"/>
  <c r="I59" i="12"/>
  <c r="E7" i="13"/>
  <c r="E8" i="13"/>
  <c r="G8" i="12"/>
  <c r="E27" i="12" s="1"/>
  <c r="G27" i="12" s="1"/>
  <c r="H7" i="12"/>
  <c r="H135" i="9"/>
  <c r="J135" i="8"/>
  <c r="J129" i="8"/>
  <c r="H155" i="18"/>
  <c r="J155" i="17"/>
  <c r="H156" i="18"/>
  <c r="J156" i="17"/>
  <c r="H128" i="9"/>
  <c r="H128" i="10" s="1"/>
  <c r="J145" i="9"/>
  <c r="H145" i="10"/>
  <c r="J151" i="11"/>
  <c r="H151" i="12"/>
  <c r="H152" i="14"/>
  <c r="J152" i="13"/>
  <c r="H147" i="10"/>
  <c r="J147" i="9"/>
  <c r="H143" i="10"/>
  <c r="J143" i="9"/>
  <c r="H149" i="10"/>
  <c r="J149" i="9"/>
  <c r="H150" i="10"/>
  <c r="J150" i="9"/>
  <c r="J134" i="13"/>
  <c r="H134" i="14"/>
  <c r="H146" i="10"/>
  <c r="J146" i="9"/>
  <c r="H148" i="10"/>
  <c r="J148" i="9"/>
  <c r="H144" i="10"/>
  <c r="J144" i="9"/>
  <c r="H189" i="27"/>
  <c r="J189" i="40"/>
  <c r="J130" i="9"/>
  <c r="H130" i="10"/>
  <c r="H129" i="10"/>
  <c r="J129" i="9"/>
  <c r="J131" i="9"/>
  <c r="H131" i="10"/>
  <c r="J127" i="14"/>
  <c r="H127" i="15"/>
  <c r="J182" i="14"/>
  <c r="H182" i="15"/>
  <c r="H133" i="10"/>
  <c r="J133" i="9"/>
  <c r="J168" i="17"/>
  <c r="J177" i="14"/>
  <c r="H177" i="15"/>
  <c r="H132" i="10"/>
  <c r="J132" i="9"/>
  <c r="J166" i="17"/>
  <c r="J167" i="17"/>
  <c r="J186" i="8"/>
  <c r="H186" i="9"/>
  <c r="H174" i="10"/>
  <c r="J174" i="9"/>
  <c r="H175" i="9"/>
  <c r="J175" i="8"/>
  <c r="H185" i="10"/>
  <c r="J185" i="9"/>
  <c r="H180" i="10"/>
  <c r="J180" i="9"/>
  <c r="H183" i="10"/>
  <c r="J183" i="9"/>
  <c r="J176" i="7"/>
  <c r="H176" i="8"/>
  <c r="H181" i="9"/>
  <c r="J181" i="8"/>
  <c r="H178" i="10"/>
  <c r="J178" i="9"/>
  <c r="H179" i="10"/>
  <c r="J179" i="9"/>
  <c r="H189" i="9"/>
  <c r="J189" i="8"/>
  <c r="H184" i="10"/>
  <c r="J184" i="9"/>
  <c r="H173" i="10"/>
  <c r="J173" i="9"/>
  <c r="J163" i="8"/>
  <c r="H163" i="9"/>
  <c r="H162" i="10"/>
  <c r="J162" i="9"/>
  <c r="H161" i="10"/>
  <c r="J161" i="9"/>
  <c r="H164" i="10"/>
  <c r="J164" i="9"/>
  <c r="H187" i="8"/>
  <c r="J187" i="7"/>
  <c r="H188" i="8"/>
  <c r="J188" i="7"/>
  <c r="H165" i="10"/>
  <c r="J165" i="9"/>
  <c r="H141" i="10"/>
  <c r="J141" i="9"/>
  <c r="H138" i="10"/>
  <c r="J138" i="9"/>
  <c r="H140" i="10"/>
  <c r="J140" i="9"/>
  <c r="H139" i="10"/>
  <c r="J139" i="9"/>
  <c r="H142" i="10"/>
  <c r="J142" i="9"/>
  <c r="H114" i="10"/>
  <c r="J114" i="9"/>
  <c r="H118" i="10"/>
  <c r="J118" i="9"/>
  <c r="H116" i="10"/>
  <c r="J116" i="9"/>
  <c r="J115" i="9"/>
  <c r="H115" i="10"/>
  <c r="H121" i="10"/>
  <c r="J121" i="9"/>
  <c r="J113" i="8"/>
  <c r="H113" i="9"/>
  <c r="H122" i="10"/>
  <c r="J122" i="9"/>
  <c r="H117" i="10"/>
  <c r="J117" i="9"/>
  <c r="J119" i="9"/>
  <c r="H119" i="10"/>
  <c r="H112" i="10"/>
  <c r="J112" i="9"/>
  <c r="H120" i="10"/>
  <c r="J120" i="9"/>
  <c r="J123" i="9"/>
  <c r="H123" i="10"/>
  <c r="H3" i="48"/>
  <c r="K4" i="45" s="1"/>
  <c r="H4" i="48"/>
  <c r="H5" i="48"/>
  <c r="H6" i="48"/>
  <c r="H7" i="48"/>
  <c r="H8" i="48"/>
  <c r="H9" i="48"/>
  <c r="H10" i="48"/>
  <c r="H11" i="48"/>
  <c r="H12" i="48"/>
  <c r="H13" i="48"/>
  <c r="H14" i="48"/>
  <c r="H15" i="48"/>
  <c r="H16" i="48"/>
  <c r="H17" i="48"/>
  <c r="H18" i="48"/>
  <c r="H19" i="48"/>
  <c r="H20" i="48"/>
  <c r="H21" i="48"/>
  <c r="H22" i="48"/>
  <c r="H23" i="48"/>
  <c r="H24" i="48"/>
  <c r="H25" i="48"/>
  <c r="H26" i="48"/>
  <c r="H27" i="48"/>
  <c r="H28" i="48"/>
  <c r="H29" i="48"/>
  <c r="H31" i="48"/>
  <c r="H32" i="48"/>
  <c r="H2" i="48"/>
  <c r="H79" i="12" l="1"/>
  <c r="H8" i="12"/>
  <c r="H15" i="13"/>
  <c r="G187" i="11"/>
  <c r="E30" i="11"/>
  <c r="G30" i="11" s="1"/>
  <c r="G32" i="11" s="1"/>
  <c r="H32" i="11" s="1"/>
  <c r="G20" i="11"/>
  <c r="H20" i="11" s="1"/>
  <c r="H19" i="11"/>
  <c r="E19" i="12"/>
  <c r="G15" i="40"/>
  <c r="E15" i="27"/>
  <c r="G79" i="25"/>
  <c r="E28" i="25"/>
  <c r="G28" i="25" s="1"/>
  <c r="G15" i="14"/>
  <c r="E28" i="13"/>
  <c r="G28" i="13" s="1"/>
  <c r="H28" i="13" s="1"/>
  <c r="G79" i="13"/>
  <c r="G80" i="13" s="1"/>
  <c r="H80" i="13" s="1"/>
  <c r="J80" i="13" s="1"/>
  <c r="H27" i="12"/>
  <c r="G8" i="13"/>
  <c r="E27" i="13" s="1"/>
  <c r="G27" i="13" s="1"/>
  <c r="E8" i="14"/>
  <c r="G7" i="13"/>
  <c r="H7" i="13" s="1"/>
  <c r="G9" i="13"/>
  <c r="H9" i="13" s="1"/>
  <c r="E9" i="14"/>
  <c r="E10" i="23"/>
  <c r="H135" i="10"/>
  <c r="J135" i="9"/>
  <c r="J156" i="18"/>
  <c r="H156" i="19"/>
  <c r="H155" i="19"/>
  <c r="J155" i="18"/>
  <c r="J128" i="9"/>
  <c r="J134" i="14"/>
  <c r="H134" i="15"/>
  <c r="H147" i="11"/>
  <c r="J147" i="10"/>
  <c r="J144" i="10"/>
  <c r="H144" i="11"/>
  <c r="H150" i="11"/>
  <c r="J150" i="10"/>
  <c r="H152" i="15"/>
  <c r="J152" i="14"/>
  <c r="J151" i="12"/>
  <c r="H151" i="13"/>
  <c r="H148" i="11"/>
  <c r="J148" i="10"/>
  <c r="J149" i="10"/>
  <c r="H149" i="11"/>
  <c r="J145" i="10"/>
  <c r="H145" i="11"/>
  <c r="J146" i="10"/>
  <c r="H146" i="11"/>
  <c r="H143" i="11"/>
  <c r="J143" i="10"/>
  <c r="H189" i="28"/>
  <c r="J189" i="27"/>
  <c r="J182" i="15"/>
  <c r="H182" i="16"/>
  <c r="J131" i="10"/>
  <c r="H131" i="11"/>
  <c r="J130" i="10"/>
  <c r="H130" i="11"/>
  <c r="H167" i="19"/>
  <c r="J128" i="10"/>
  <c r="H128" i="11"/>
  <c r="H166" i="19"/>
  <c r="H168" i="19"/>
  <c r="H129" i="11"/>
  <c r="J129" i="10"/>
  <c r="J132" i="10"/>
  <c r="H132" i="11"/>
  <c r="H133" i="11"/>
  <c r="J133" i="10"/>
  <c r="H177" i="16"/>
  <c r="J177" i="15"/>
  <c r="H127" i="16"/>
  <c r="J127" i="15"/>
  <c r="H173" i="11"/>
  <c r="J173" i="10"/>
  <c r="H189" i="10"/>
  <c r="J189" i="9"/>
  <c r="H178" i="11"/>
  <c r="J178" i="10"/>
  <c r="H180" i="11"/>
  <c r="J180" i="10"/>
  <c r="H175" i="10"/>
  <c r="J175" i="9"/>
  <c r="H186" i="10"/>
  <c r="J186" i="9"/>
  <c r="H176" i="9"/>
  <c r="J176" i="8"/>
  <c r="H184" i="11"/>
  <c r="J184" i="10"/>
  <c r="J179" i="10"/>
  <c r="H179" i="11"/>
  <c r="H181" i="10"/>
  <c r="J181" i="9"/>
  <c r="J183" i="10"/>
  <c r="H183" i="11"/>
  <c r="H185" i="11"/>
  <c r="J185" i="10"/>
  <c r="H174" i="11"/>
  <c r="J174" i="10"/>
  <c r="H165" i="11"/>
  <c r="J165" i="10"/>
  <c r="J187" i="8"/>
  <c r="H187" i="9"/>
  <c r="H161" i="11"/>
  <c r="J161" i="10"/>
  <c r="J163" i="9"/>
  <c r="H163" i="10"/>
  <c r="H188" i="9"/>
  <c r="J188" i="8"/>
  <c r="J164" i="10"/>
  <c r="H164" i="11"/>
  <c r="H162" i="11"/>
  <c r="J162" i="10"/>
  <c r="H138" i="11"/>
  <c r="J138" i="10"/>
  <c r="H141" i="11"/>
  <c r="J141" i="10"/>
  <c r="J139" i="10"/>
  <c r="H139" i="11"/>
  <c r="H140" i="11"/>
  <c r="J140" i="10"/>
  <c r="H142" i="11"/>
  <c r="J142" i="10"/>
  <c r="J123" i="10"/>
  <c r="H123" i="11"/>
  <c r="J122" i="10"/>
  <c r="H122" i="11"/>
  <c r="J121" i="10"/>
  <c r="H121" i="11"/>
  <c r="H116" i="11"/>
  <c r="J116" i="10"/>
  <c r="J114" i="10"/>
  <c r="H114" i="11"/>
  <c r="J119" i="10"/>
  <c r="H119" i="11"/>
  <c r="H120" i="11"/>
  <c r="J120" i="10"/>
  <c r="H112" i="11"/>
  <c r="J112" i="10"/>
  <c r="J117" i="10"/>
  <c r="H117" i="11"/>
  <c r="J118" i="10"/>
  <c r="H118" i="11"/>
  <c r="H113" i="10"/>
  <c r="J113" i="9"/>
  <c r="J115" i="10"/>
  <c r="H115" i="11"/>
  <c r="H33" i="48"/>
  <c r="E7" i="14" l="1"/>
  <c r="G7" i="14" s="1"/>
  <c r="H30" i="11"/>
  <c r="G19" i="12"/>
  <c r="G79" i="14"/>
  <c r="E28" i="14"/>
  <c r="G28" i="14" s="1"/>
  <c r="H28" i="14" s="1"/>
  <c r="H28" i="15" s="1"/>
  <c r="H28" i="16" s="1"/>
  <c r="H28" i="17" s="1"/>
  <c r="H28" i="18" s="1"/>
  <c r="H28" i="19" s="1"/>
  <c r="H28" i="20" s="1"/>
  <c r="H28" i="21" s="1"/>
  <c r="H28" i="22" s="1"/>
  <c r="H28" i="23" s="1"/>
  <c r="H28" i="24" s="1"/>
  <c r="H28" i="25" s="1"/>
  <c r="H15" i="14"/>
  <c r="H15" i="15" s="1"/>
  <c r="H15" i="16" s="1"/>
  <c r="H15" i="17" s="1"/>
  <c r="H15" i="18" s="1"/>
  <c r="H15" i="19" s="1"/>
  <c r="H15" i="20" s="1"/>
  <c r="H15" i="21" s="1"/>
  <c r="H15" i="22" s="1"/>
  <c r="H15" i="23" s="1"/>
  <c r="H15" i="24" s="1"/>
  <c r="H15" i="25" s="1"/>
  <c r="H15" i="40" s="1"/>
  <c r="G80" i="25"/>
  <c r="G15" i="27"/>
  <c r="E15" i="28"/>
  <c r="F15" i="28" s="1"/>
  <c r="H79" i="13"/>
  <c r="J79" i="13" s="1"/>
  <c r="G79" i="40"/>
  <c r="E28" i="40"/>
  <c r="G28" i="40" s="1"/>
  <c r="H27" i="13"/>
  <c r="E9" i="15"/>
  <c r="G9" i="14"/>
  <c r="H9" i="14" s="1"/>
  <c r="E8" i="15"/>
  <c r="G8" i="14"/>
  <c r="E27" i="14" s="1"/>
  <c r="G27" i="14" s="1"/>
  <c r="G99" i="13"/>
  <c r="H99" i="13" s="1"/>
  <c r="G105" i="13"/>
  <c r="H105" i="13" s="1"/>
  <c r="G97" i="13"/>
  <c r="H97" i="13" s="1"/>
  <c r="G103" i="13"/>
  <c r="H103" i="13" s="1"/>
  <c r="G101" i="13"/>
  <c r="H101" i="13" s="1"/>
  <c r="G95" i="13"/>
  <c r="H95" i="13" s="1"/>
  <c r="I59" i="13"/>
  <c r="G10" i="23"/>
  <c r="H10" i="23" s="1"/>
  <c r="H135" i="11"/>
  <c r="J135" i="10"/>
  <c r="J155" i="19"/>
  <c r="H155" i="20"/>
  <c r="J156" i="19"/>
  <c r="H156" i="20"/>
  <c r="H149" i="12"/>
  <c r="J149" i="11"/>
  <c r="H150" i="12"/>
  <c r="J150" i="11"/>
  <c r="H144" i="12"/>
  <c r="J144" i="11"/>
  <c r="H143" i="12"/>
  <c r="J143" i="11"/>
  <c r="H148" i="12"/>
  <c r="J148" i="11"/>
  <c r="J146" i="11"/>
  <c r="H146" i="12"/>
  <c r="J151" i="13"/>
  <c r="H151" i="14"/>
  <c r="H147" i="12"/>
  <c r="J147" i="11"/>
  <c r="H145" i="12"/>
  <c r="J145" i="11"/>
  <c r="H134" i="16"/>
  <c r="J134" i="15"/>
  <c r="J152" i="15"/>
  <c r="H152" i="16"/>
  <c r="H189" i="29"/>
  <c r="J189" i="28"/>
  <c r="H133" i="12"/>
  <c r="J133" i="11"/>
  <c r="J128" i="11"/>
  <c r="H128" i="12"/>
  <c r="H130" i="12"/>
  <c r="J130" i="11"/>
  <c r="H182" i="17"/>
  <c r="J182" i="16"/>
  <c r="J127" i="16"/>
  <c r="H127" i="17"/>
  <c r="H129" i="12"/>
  <c r="J129" i="11"/>
  <c r="J168" i="19"/>
  <c r="H177" i="17"/>
  <c r="J177" i="16"/>
  <c r="J166" i="19"/>
  <c r="J167" i="19"/>
  <c r="J132" i="11"/>
  <c r="H132" i="12"/>
  <c r="J131" i="11"/>
  <c r="H131" i="12"/>
  <c r="H174" i="12"/>
  <c r="J174" i="11"/>
  <c r="H176" i="10"/>
  <c r="J176" i="9"/>
  <c r="J175" i="10"/>
  <c r="H175" i="11"/>
  <c r="H178" i="12"/>
  <c r="J178" i="11"/>
  <c r="H173" i="12"/>
  <c r="J173" i="11"/>
  <c r="H183" i="12"/>
  <c r="J183" i="11"/>
  <c r="H179" i="12"/>
  <c r="J179" i="11"/>
  <c r="H185" i="12"/>
  <c r="J185" i="11"/>
  <c r="H181" i="11"/>
  <c r="J181" i="10"/>
  <c r="H184" i="12"/>
  <c r="J184" i="11"/>
  <c r="H186" i="11"/>
  <c r="J186" i="10"/>
  <c r="H180" i="12"/>
  <c r="J180" i="11"/>
  <c r="J189" i="10"/>
  <c r="H189" i="11"/>
  <c r="J163" i="10"/>
  <c r="H163" i="11"/>
  <c r="H162" i="12"/>
  <c r="J162" i="11"/>
  <c r="H188" i="10"/>
  <c r="J188" i="9"/>
  <c r="H161" i="12"/>
  <c r="J161" i="11"/>
  <c r="H165" i="12"/>
  <c r="J165" i="11"/>
  <c r="J164" i="11"/>
  <c r="H164" i="12"/>
  <c r="J187" i="9"/>
  <c r="H187" i="10"/>
  <c r="H142" i="12"/>
  <c r="J142" i="11"/>
  <c r="H138" i="12"/>
  <c r="J138" i="11"/>
  <c r="H139" i="12"/>
  <c r="J139" i="11"/>
  <c r="H140" i="12"/>
  <c r="J140" i="11"/>
  <c r="H141" i="12"/>
  <c r="J141" i="11"/>
  <c r="H115" i="12"/>
  <c r="J115" i="11"/>
  <c r="J113" i="10"/>
  <c r="H113" i="11"/>
  <c r="J120" i="11"/>
  <c r="H120" i="12"/>
  <c r="H123" i="12"/>
  <c r="J123" i="11"/>
  <c r="H117" i="12"/>
  <c r="J117" i="11"/>
  <c r="H114" i="12"/>
  <c r="J114" i="11"/>
  <c r="H121" i="12"/>
  <c r="J121" i="11"/>
  <c r="J112" i="11"/>
  <c r="H112" i="12"/>
  <c r="J116" i="11"/>
  <c r="H116" i="12"/>
  <c r="H118" i="12"/>
  <c r="J118" i="11"/>
  <c r="H119" i="12"/>
  <c r="J119" i="11"/>
  <c r="H122" i="12"/>
  <c r="J122" i="11"/>
  <c r="E34" i="1"/>
  <c r="F34" i="1"/>
  <c r="S34" i="1"/>
  <c r="U34" i="1" s="1"/>
  <c r="H19" i="12" l="1"/>
  <c r="G187" i="12"/>
  <c r="E10" i="24"/>
  <c r="G10" i="24" s="1"/>
  <c r="H10" i="24" s="1"/>
  <c r="E7" i="15"/>
  <c r="E7" i="16" s="1"/>
  <c r="E30" i="12"/>
  <c r="G30" i="12" s="1"/>
  <c r="G20" i="12"/>
  <c r="H20" i="12" s="1"/>
  <c r="E19" i="13"/>
  <c r="G15" i="28"/>
  <c r="E15" i="29"/>
  <c r="F15" i="29" s="1"/>
  <c r="G15" i="29" s="1"/>
  <c r="G79" i="29" s="1"/>
  <c r="G80" i="29" s="1"/>
  <c r="E28" i="27"/>
  <c r="G28" i="27" s="1"/>
  <c r="H15" i="27"/>
  <c r="G79" i="27"/>
  <c r="H28" i="40"/>
  <c r="G80" i="40"/>
  <c r="G80" i="14"/>
  <c r="H79" i="14"/>
  <c r="H79" i="15" s="1"/>
  <c r="G105" i="14"/>
  <c r="H105" i="14" s="1"/>
  <c r="G95" i="14"/>
  <c r="H95" i="14" s="1"/>
  <c r="G103" i="14"/>
  <c r="H103" i="14" s="1"/>
  <c r="G97" i="14"/>
  <c r="H97" i="14" s="1"/>
  <c r="G101" i="14"/>
  <c r="H101" i="14" s="1"/>
  <c r="G99" i="14"/>
  <c r="H99" i="14" s="1"/>
  <c r="I59" i="14"/>
  <c r="H7" i="14"/>
  <c r="G8" i="15"/>
  <c r="E27" i="15" s="1"/>
  <c r="G27" i="15" s="1"/>
  <c r="E8" i="16"/>
  <c r="E9" i="16"/>
  <c r="G9" i="16" s="1"/>
  <c r="G9" i="15"/>
  <c r="H9" i="15" s="1"/>
  <c r="H27" i="14"/>
  <c r="H135" i="22"/>
  <c r="H135" i="23"/>
  <c r="H135" i="18"/>
  <c r="H135" i="19"/>
  <c r="H135" i="24"/>
  <c r="H135" i="30" s="1"/>
  <c r="H135" i="20"/>
  <c r="H135" i="16"/>
  <c r="H135" i="13"/>
  <c r="H135" i="14" s="1"/>
  <c r="J135" i="14" s="1"/>
  <c r="H135" i="12"/>
  <c r="J135" i="12" s="1"/>
  <c r="H135" i="17"/>
  <c r="J135" i="11"/>
  <c r="J156" i="20"/>
  <c r="H156" i="21"/>
  <c r="J155" i="20"/>
  <c r="H155" i="21"/>
  <c r="J147" i="12"/>
  <c r="H147" i="13"/>
  <c r="H143" i="13"/>
  <c r="J143" i="12"/>
  <c r="H144" i="13"/>
  <c r="J144" i="12"/>
  <c r="H152" i="17"/>
  <c r="J152" i="16"/>
  <c r="H146" i="13"/>
  <c r="J146" i="12"/>
  <c r="H134" i="17"/>
  <c r="J134" i="16"/>
  <c r="J150" i="12"/>
  <c r="H150" i="13"/>
  <c r="H151" i="15"/>
  <c r="J151" i="14"/>
  <c r="J145" i="12"/>
  <c r="H145" i="13"/>
  <c r="J148" i="12"/>
  <c r="H148" i="13"/>
  <c r="H149" i="13"/>
  <c r="J149" i="12"/>
  <c r="H189" i="30"/>
  <c r="J189" i="29"/>
  <c r="H131" i="13"/>
  <c r="J131" i="12"/>
  <c r="H127" i="18"/>
  <c r="J127" i="17"/>
  <c r="H167" i="21"/>
  <c r="H168" i="21"/>
  <c r="H130" i="13"/>
  <c r="J130" i="12"/>
  <c r="H177" i="18"/>
  <c r="J177" i="17"/>
  <c r="H129" i="13"/>
  <c r="J129" i="12"/>
  <c r="J182" i="17"/>
  <c r="H182" i="18"/>
  <c r="H133" i="13"/>
  <c r="J133" i="12"/>
  <c r="H132" i="13"/>
  <c r="J132" i="12"/>
  <c r="H166" i="21"/>
  <c r="H128" i="13"/>
  <c r="J128" i="12"/>
  <c r="H186" i="12"/>
  <c r="J186" i="11"/>
  <c r="H181" i="12"/>
  <c r="J181" i="11"/>
  <c r="H179" i="13"/>
  <c r="J179" i="12"/>
  <c r="H173" i="13"/>
  <c r="J173" i="12"/>
  <c r="H174" i="13"/>
  <c r="J174" i="12"/>
  <c r="H189" i="12"/>
  <c r="J189" i="11"/>
  <c r="H175" i="12"/>
  <c r="J175" i="11"/>
  <c r="H180" i="13"/>
  <c r="J180" i="12"/>
  <c r="H184" i="13"/>
  <c r="J184" i="12"/>
  <c r="H185" i="13"/>
  <c r="J185" i="12"/>
  <c r="H183" i="13"/>
  <c r="J183" i="12"/>
  <c r="H178" i="13"/>
  <c r="J178" i="12"/>
  <c r="H176" i="11"/>
  <c r="J176" i="10"/>
  <c r="H165" i="13"/>
  <c r="J165" i="12"/>
  <c r="J188" i="10"/>
  <c r="H188" i="11"/>
  <c r="H164" i="13"/>
  <c r="J164" i="12"/>
  <c r="J187" i="10"/>
  <c r="H187" i="11"/>
  <c r="H163" i="12"/>
  <c r="J163" i="11"/>
  <c r="H161" i="13"/>
  <c r="J161" i="12"/>
  <c r="H162" i="13"/>
  <c r="J162" i="12"/>
  <c r="H141" i="13"/>
  <c r="J141" i="12"/>
  <c r="H138" i="13"/>
  <c r="J138" i="12"/>
  <c r="H142" i="13"/>
  <c r="J142" i="12"/>
  <c r="H140" i="13"/>
  <c r="J140" i="12"/>
  <c r="H139" i="13"/>
  <c r="J139" i="12"/>
  <c r="H114" i="13"/>
  <c r="J114" i="12"/>
  <c r="H123" i="13"/>
  <c r="J123" i="12"/>
  <c r="H112" i="13"/>
  <c r="J112" i="12"/>
  <c r="H119" i="13"/>
  <c r="J119" i="12"/>
  <c r="H121" i="13"/>
  <c r="J121" i="12"/>
  <c r="H117" i="13"/>
  <c r="J117" i="12"/>
  <c r="H115" i="13"/>
  <c r="J115" i="12"/>
  <c r="H116" i="13"/>
  <c r="J116" i="12"/>
  <c r="H120" i="13"/>
  <c r="J120" i="12"/>
  <c r="H122" i="13"/>
  <c r="J122" i="12"/>
  <c r="H118" i="13"/>
  <c r="J118" i="12"/>
  <c r="H113" i="12"/>
  <c r="J113" i="11"/>
  <c r="E17" i="48"/>
  <c r="H79" i="16" l="1"/>
  <c r="H79" i="17" s="1"/>
  <c r="H79" i="18" s="1"/>
  <c r="H79" i="19" s="1"/>
  <c r="H79" i="20" s="1"/>
  <c r="H79" i="21" s="1"/>
  <c r="H79" i="22" s="1"/>
  <c r="H79" i="23" s="1"/>
  <c r="H79" i="24" s="1"/>
  <c r="H79" i="25" s="1"/>
  <c r="J79" i="25" s="1"/>
  <c r="J79" i="15"/>
  <c r="E28" i="29"/>
  <c r="G28" i="29" s="1"/>
  <c r="E15" i="30"/>
  <c r="F15" i="30" s="1"/>
  <c r="G15" i="30" s="1"/>
  <c r="G7" i="15"/>
  <c r="G105" i="15" s="1"/>
  <c r="H105" i="15" s="1"/>
  <c r="H27" i="15"/>
  <c r="G19" i="13"/>
  <c r="G187" i="13" s="1"/>
  <c r="G32" i="12"/>
  <c r="H32" i="12" s="1"/>
  <c r="H30" i="12"/>
  <c r="G80" i="27"/>
  <c r="H28" i="27"/>
  <c r="H15" i="28"/>
  <c r="H15" i="29" s="1"/>
  <c r="E28" i="28"/>
  <c r="G28" i="28" s="1"/>
  <c r="G79" i="28"/>
  <c r="E9" i="17"/>
  <c r="H9" i="16"/>
  <c r="N7" i="16"/>
  <c r="N8" i="16"/>
  <c r="E10" i="25"/>
  <c r="H135" i="43"/>
  <c r="H135" i="40"/>
  <c r="H135" i="27"/>
  <c r="H135" i="29"/>
  <c r="H135" i="25"/>
  <c r="H135" i="31"/>
  <c r="H135" i="28"/>
  <c r="J155" i="21"/>
  <c r="H155" i="22"/>
  <c r="H156" i="22"/>
  <c r="J156" i="21"/>
  <c r="H151" i="16"/>
  <c r="J151" i="15"/>
  <c r="J152" i="17"/>
  <c r="H152" i="18"/>
  <c r="J149" i="13"/>
  <c r="H149" i="14"/>
  <c r="H144" i="14"/>
  <c r="J144" i="13"/>
  <c r="J148" i="13"/>
  <c r="H148" i="14"/>
  <c r="J134" i="17"/>
  <c r="H134" i="18"/>
  <c r="J143" i="13"/>
  <c r="H143" i="14"/>
  <c r="H150" i="14"/>
  <c r="J150" i="13"/>
  <c r="J145" i="13"/>
  <c r="H145" i="14"/>
  <c r="H147" i="14"/>
  <c r="J147" i="13"/>
  <c r="H146" i="14"/>
  <c r="J146" i="13"/>
  <c r="H189" i="43"/>
  <c r="J189" i="30"/>
  <c r="H130" i="14"/>
  <c r="J130" i="13"/>
  <c r="H167" i="22"/>
  <c r="J167" i="21"/>
  <c r="H128" i="14"/>
  <c r="J128" i="13"/>
  <c r="H132" i="14"/>
  <c r="J132" i="13"/>
  <c r="J166" i="21"/>
  <c r="H166" i="22"/>
  <c r="H133" i="14"/>
  <c r="J133" i="13"/>
  <c r="H177" i="19"/>
  <c r="J177" i="18"/>
  <c r="H127" i="19"/>
  <c r="J127" i="18"/>
  <c r="H129" i="14"/>
  <c r="J129" i="13"/>
  <c r="H131" i="14"/>
  <c r="J131" i="13"/>
  <c r="H182" i="19"/>
  <c r="J182" i="18"/>
  <c r="J168" i="21"/>
  <c r="H168" i="22"/>
  <c r="H176" i="12"/>
  <c r="J176" i="11"/>
  <c r="H183" i="14"/>
  <c r="J183" i="13"/>
  <c r="H184" i="14"/>
  <c r="J184" i="13"/>
  <c r="H175" i="13"/>
  <c r="J175" i="12"/>
  <c r="H174" i="14"/>
  <c r="J174" i="13"/>
  <c r="H179" i="14"/>
  <c r="J179" i="13"/>
  <c r="H186" i="13"/>
  <c r="J186" i="12"/>
  <c r="H178" i="14"/>
  <c r="J178" i="13"/>
  <c r="H185" i="14"/>
  <c r="J185" i="13"/>
  <c r="H180" i="14"/>
  <c r="J180" i="13"/>
  <c r="H189" i="13"/>
  <c r="J189" i="12"/>
  <c r="H173" i="14"/>
  <c r="J173" i="13"/>
  <c r="H181" i="13"/>
  <c r="J181" i="12"/>
  <c r="H187" i="12"/>
  <c r="J187" i="11"/>
  <c r="H162" i="14"/>
  <c r="J162" i="13"/>
  <c r="H163" i="13"/>
  <c r="J163" i="12"/>
  <c r="H164" i="14"/>
  <c r="J164" i="13"/>
  <c r="H165" i="14"/>
  <c r="J165" i="13"/>
  <c r="H161" i="14"/>
  <c r="J161" i="13"/>
  <c r="J188" i="11"/>
  <c r="H188" i="12"/>
  <c r="H139" i="14"/>
  <c r="J139" i="13"/>
  <c r="H142" i="14"/>
  <c r="J142" i="13"/>
  <c r="H138" i="14"/>
  <c r="J138" i="13"/>
  <c r="H140" i="14"/>
  <c r="J140" i="13"/>
  <c r="H141" i="14"/>
  <c r="J141" i="13"/>
  <c r="H121" i="14"/>
  <c r="J121" i="13"/>
  <c r="H120" i="14"/>
  <c r="J120" i="13"/>
  <c r="H112" i="14"/>
  <c r="J112" i="13"/>
  <c r="H122" i="14"/>
  <c r="J122" i="13"/>
  <c r="H116" i="14"/>
  <c r="J116" i="13"/>
  <c r="H117" i="14"/>
  <c r="J117" i="13"/>
  <c r="H119" i="14"/>
  <c r="J119" i="13"/>
  <c r="H123" i="14"/>
  <c r="J123" i="13"/>
  <c r="H118" i="14"/>
  <c r="J118" i="13"/>
  <c r="H115" i="14"/>
  <c r="J115" i="13"/>
  <c r="H114" i="14"/>
  <c r="J114" i="13"/>
  <c r="H113" i="13"/>
  <c r="J113" i="12"/>
  <c r="K32" i="47"/>
  <c r="L32" i="47"/>
  <c r="E31" i="48"/>
  <c r="G31" i="48"/>
  <c r="H79" i="40" l="1"/>
  <c r="H79" i="27" s="1"/>
  <c r="H79" i="28" s="1"/>
  <c r="H79" i="29" s="1"/>
  <c r="G103" i="15"/>
  <c r="H103" i="15" s="1"/>
  <c r="G99" i="15"/>
  <c r="H99" i="15" s="1"/>
  <c r="G95" i="15"/>
  <c r="H95" i="15" s="1"/>
  <c r="G97" i="15"/>
  <c r="H97" i="15" s="1"/>
  <c r="I59" i="15"/>
  <c r="G101" i="15"/>
  <c r="H101" i="15" s="1"/>
  <c r="H7" i="15"/>
  <c r="H28" i="28"/>
  <c r="H28" i="29" s="1"/>
  <c r="G20" i="13"/>
  <c r="H20" i="13" s="1"/>
  <c r="E30" i="13"/>
  <c r="G30" i="13" s="1"/>
  <c r="G32" i="13" s="1"/>
  <c r="H32" i="13" s="1"/>
  <c r="H19" i="13"/>
  <c r="E19" i="14"/>
  <c r="G80" i="28"/>
  <c r="G9" i="17"/>
  <c r="H9" i="17" s="1"/>
  <c r="E9" i="18"/>
  <c r="E7" i="17"/>
  <c r="G7" i="16"/>
  <c r="G10" i="25"/>
  <c r="H10" i="25" s="1"/>
  <c r="E8" i="17"/>
  <c r="G8" i="16"/>
  <c r="E27" i="16" s="1"/>
  <c r="G27" i="16" s="1"/>
  <c r="G79" i="30"/>
  <c r="G80" i="30" s="1"/>
  <c r="E28" i="30"/>
  <c r="G28" i="30" s="1"/>
  <c r="E15" i="43"/>
  <c r="F15" i="43" s="1"/>
  <c r="H15" i="30"/>
  <c r="J156" i="22"/>
  <c r="H156" i="23"/>
  <c r="H156" i="24" s="1"/>
  <c r="J156" i="24" s="1"/>
  <c r="H155" i="23"/>
  <c r="J155" i="22"/>
  <c r="H150" i="15"/>
  <c r="J150" i="14"/>
  <c r="H144" i="15"/>
  <c r="J144" i="14"/>
  <c r="H143" i="15"/>
  <c r="J143" i="14"/>
  <c r="J149" i="14"/>
  <c r="H149" i="15"/>
  <c r="H146" i="15"/>
  <c r="J146" i="14"/>
  <c r="H134" i="19"/>
  <c r="J134" i="18"/>
  <c r="J152" i="18"/>
  <c r="H152" i="19"/>
  <c r="J147" i="14"/>
  <c r="H147" i="15"/>
  <c r="H145" i="15"/>
  <c r="J145" i="14"/>
  <c r="H148" i="15"/>
  <c r="J148" i="14"/>
  <c r="H151" i="17"/>
  <c r="J151" i="16"/>
  <c r="J189" i="43"/>
  <c r="H189" i="31"/>
  <c r="J189" i="31" s="1"/>
  <c r="H133" i="50"/>
  <c r="J133" i="50" s="1"/>
  <c r="H131" i="15"/>
  <c r="J131" i="14"/>
  <c r="J177" i="19"/>
  <c r="H177" i="20"/>
  <c r="H130" i="15"/>
  <c r="J130" i="14"/>
  <c r="H168" i="23"/>
  <c r="J168" i="22"/>
  <c r="J166" i="22"/>
  <c r="H166" i="23"/>
  <c r="H182" i="20"/>
  <c r="J182" i="19"/>
  <c r="H129" i="15"/>
  <c r="J129" i="14"/>
  <c r="H127" i="20"/>
  <c r="J127" i="19"/>
  <c r="H133" i="15"/>
  <c r="J133" i="14"/>
  <c r="H132" i="15"/>
  <c r="J132" i="14"/>
  <c r="J167" i="22"/>
  <c r="H167" i="23"/>
  <c r="H128" i="15"/>
  <c r="H135" i="15" s="1"/>
  <c r="J135" i="15" s="1"/>
  <c r="J128" i="14"/>
  <c r="H181" i="14"/>
  <c r="J181" i="13"/>
  <c r="H189" i="14"/>
  <c r="J189" i="13"/>
  <c r="H185" i="15"/>
  <c r="J185" i="14"/>
  <c r="H186" i="14"/>
  <c r="J186" i="13"/>
  <c r="H174" i="15"/>
  <c r="J174" i="14"/>
  <c r="H184" i="15"/>
  <c r="J184" i="14"/>
  <c r="H176" i="13"/>
  <c r="J176" i="12"/>
  <c r="H173" i="15"/>
  <c r="J173" i="14"/>
  <c r="H180" i="15"/>
  <c r="J180" i="14"/>
  <c r="H178" i="15"/>
  <c r="J178" i="14"/>
  <c r="H179" i="15"/>
  <c r="J179" i="14"/>
  <c r="H175" i="14"/>
  <c r="J175" i="13"/>
  <c r="H183" i="15"/>
  <c r="J183" i="14"/>
  <c r="H165" i="15"/>
  <c r="J165" i="14"/>
  <c r="H163" i="14"/>
  <c r="J163" i="13"/>
  <c r="H187" i="13"/>
  <c r="J187" i="12"/>
  <c r="H188" i="13"/>
  <c r="H188" i="14" s="1"/>
  <c r="J188" i="14" s="1"/>
  <c r="J188" i="12"/>
  <c r="H161" i="15"/>
  <c r="J161" i="14"/>
  <c r="H164" i="15"/>
  <c r="J164" i="14"/>
  <c r="H162" i="15"/>
  <c r="J162" i="14"/>
  <c r="H141" i="15"/>
  <c r="J141" i="14"/>
  <c r="H140" i="15"/>
  <c r="J140" i="14"/>
  <c r="H138" i="15"/>
  <c r="J138" i="14"/>
  <c r="H139" i="15"/>
  <c r="J139" i="14"/>
  <c r="H142" i="15"/>
  <c r="J142" i="14"/>
  <c r="H114" i="15"/>
  <c r="J114" i="14"/>
  <c r="H118" i="15"/>
  <c r="J118" i="14"/>
  <c r="H119" i="15"/>
  <c r="J119" i="14"/>
  <c r="H116" i="15"/>
  <c r="J116" i="14"/>
  <c r="H112" i="15"/>
  <c r="J112" i="14"/>
  <c r="H121" i="15"/>
  <c r="J121" i="14"/>
  <c r="H113" i="14"/>
  <c r="J113" i="13"/>
  <c r="H115" i="15"/>
  <c r="J115" i="14"/>
  <c r="H123" i="15"/>
  <c r="J123" i="14"/>
  <c r="H117" i="15"/>
  <c r="J117" i="14"/>
  <c r="H122" i="15"/>
  <c r="J122" i="14"/>
  <c r="H120" i="15"/>
  <c r="J120" i="14"/>
  <c r="F33" i="1"/>
  <c r="E33" i="1"/>
  <c r="D33" i="1"/>
  <c r="S33" i="1"/>
  <c r="U33" i="1" s="1"/>
  <c r="H30" i="13" l="1"/>
  <c r="H28" i="30"/>
  <c r="G19" i="14"/>
  <c r="H19" i="14" s="1"/>
  <c r="H27" i="16"/>
  <c r="G8" i="17"/>
  <c r="E27" i="17" s="1"/>
  <c r="G27" i="17" s="1"/>
  <c r="E8" i="18"/>
  <c r="E9" i="19"/>
  <c r="G103" i="16"/>
  <c r="H103" i="16" s="1"/>
  <c r="H7" i="16"/>
  <c r="G97" i="16"/>
  <c r="H97" i="16" s="1"/>
  <c r="G95" i="16"/>
  <c r="H95" i="16" s="1"/>
  <c r="G101" i="16"/>
  <c r="H101" i="16" s="1"/>
  <c r="G105" i="16"/>
  <c r="H105" i="16" s="1"/>
  <c r="I59" i="16"/>
  <c r="G99" i="16"/>
  <c r="H99" i="16" s="1"/>
  <c r="G7" i="17"/>
  <c r="E7" i="18"/>
  <c r="G15" i="43"/>
  <c r="H79" i="30"/>
  <c r="H155" i="24"/>
  <c r="J155" i="23"/>
  <c r="H156" i="25"/>
  <c r="J156" i="23"/>
  <c r="J147" i="15"/>
  <c r="H147" i="16"/>
  <c r="H149" i="16"/>
  <c r="J149" i="15"/>
  <c r="J152" i="19"/>
  <c r="H152" i="20"/>
  <c r="H151" i="18"/>
  <c r="J151" i="17"/>
  <c r="J143" i="15"/>
  <c r="H143" i="16"/>
  <c r="H148" i="16"/>
  <c r="J148" i="15"/>
  <c r="J134" i="19"/>
  <c r="H134" i="20"/>
  <c r="J144" i="15"/>
  <c r="H144" i="16"/>
  <c r="J145" i="15"/>
  <c r="H145" i="16"/>
  <c r="H146" i="16"/>
  <c r="J146" i="15"/>
  <c r="J150" i="15"/>
  <c r="H150" i="16"/>
  <c r="H128" i="16"/>
  <c r="J128" i="15"/>
  <c r="H127" i="21"/>
  <c r="J127" i="20"/>
  <c r="H131" i="16"/>
  <c r="J131" i="15"/>
  <c r="H133" i="16"/>
  <c r="J133" i="15"/>
  <c r="H129" i="16"/>
  <c r="J129" i="15"/>
  <c r="J168" i="23"/>
  <c r="H168" i="24"/>
  <c r="H132" i="16"/>
  <c r="J132" i="15"/>
  <c r="H182" i="21"/>
  <c r="J182" i="20"/>
  <c r="H130" i="16"/>
  <c r="J130" i="15"/>
  <c r="J167" i="23"/>
  <c r="H167" i="24"/>
  <c r="J166" i="23"/>
  <c r="H166" i="24"/>
  <c r="H177" i="21"/>
  <c r="J177" i="20"/>
  <c r="H183" i="16"/>
  <c r="J183" i="15"/>
  <c r="H179" i="16"/>
  <c r="J179" i="15"/>
  <c r="H180" i="16"/>
  <c r="J180" i="15"/>
  <c r="H176" i="14"/>
  <c r="J176" i="13"/>
  <c r="H174" i="16"/>
  <c r="J174" i="15"/>
  <c r="H185" i="16"/>
  <c r="J185" i="15"/>
  <c r="H181" i="15"/>
  <c r="J181" i="14"/>
  <c r="H175" i="15"/>
  <c r="J175" i="14"/>
  <c r="H178" i="16"/>
  <c r="J178" i="15"/>
  <c r="H173" i="16"/>
  <c r="J173" i="15"/>
  <c r="H184" i="16"/>
  <c r="J184" i="15"/>
  <c r="H186" i="15"/>
  <c r="J186" i="14"/>
  <c r="H189" i="15"/>
  <c r="J189" i="14"/>
  <c r="H162" i="16"/>
  <c r="J162" i="15"/>
  <c r="H161" i="16"/>
  <c r="J161" i="15"/>
  <c r="J187" i="13"/>
  <c r="H165" i="16"/>
  <c r="J165" i="15"/>
  <c r="H164" i="16"/>
  <c r="J164" i="15"/>
  <c r="J188" i="13"/>
  <c r="H163" i="15"/>
  <c r="J163" i="14"/>
  <c r="H142" i="16"/>
  <c r="J142" i="15"/>
  <c r="H139" i="16"/>
  <c r="J139" i="15"/>
  <c r="H141" i="16"/>
  <c r="J141" i="15"/>
  <c r="H138" i="16"/>
  <c r="J138" i="15"/>
  <c r="H140" i="16"/>
  <c r="J140" i="15"/>
  <c r="H122" i="16"/>
  <c r="J122" i="15"/>
  <c r="H123" i="16"/>
  <c r="J123" i="15"/>
  <c r="H113" i="15"/>
  <c r="J113" i="14"/>
  <c r="H112" i="16"/>
  <c r="J112" i="15"/>
  <c r="H119" i="16"/>
  <c r="J119" i="15"/>
  <c r="H114" i="16"/>
  <c r="H114" i="17" s="1"/>
  <c r="J114" i="15"/>
  <c r="H120" i="16"/>
  <c r="J120" i="15"/>
  <c r="H117" i="16"/>
  <c r="J117" i="15"/>
  <c r="H115" i="16"/>
  <c r="J115" i="15"/>
  <c r="H121" i="16"/>
  <c r="J121" i="15"/>
  <c r="H116" i="16"/>
  <c r="J116" i="15"/>
  <c r="H118" i="16"/>
  <c r="J118" i="15"/>
  <c r="Q21" i="49"/>
  <c r="L3" i="47"/>
  <c r="L4" i="47"/>
  <c r="L5" i="47"/>
  <c r="L6" i="47"/>
  <c r="L7" i="47"/>
  <c r="L8" i="47"/>
  <c r="L9" i="47"/>
  <c r="L10" i="47"/>
  <c r="L11" i="47"/>
  <c r="L12" i="47"/>
  <c r="L13" i="47"/>
  <c r="L14" i="47"/>
  <c r="L15" i="47"/>
  <c r="L16" i="47"/>
  <c r="L17" i="47"/>
  <c r="L18" i="47"/>
  <c r="L19" i="47"/>
  <c r="L20" i="47"/>
  <c r="L21" i="47"/>
  <c r="L22" i="47"/>
  <c r="L23" i="47"/>
  <c r="L24" i="47"/>
  <c r="L25" i="47"/>
  <c r="L26" i="47"/>
  <c r="L27" i="47"/>
  <c r="L28" i="47"/>
  <c r="L29" i="47"/>
  <c r="L30" i="47"/>
  <c r="L31" i="47"/>
  <c r="L2" i="47"/>
  <c r="H7" i="1"/>
  <c r="J7" i="1" s="1"/>
  <c r="G7" i="1"/>
  <c r="H6" i="1"/>
  <c r="J6" i="1" s="1"/>
  <c r="G6" i="1"/>
  <c r="H5" i="1"/>
  <c r="J5" i="1" s="1"/>
  <c r="G5" i="1"/>
  <c r="AN2" i="49"/>
  <c r="G4" i="1"/>
  <c r="E30" i="14" l="1"/>
  <c r="G30" i="14" s="1"/>
  <c r="G20" i="14"/>
  <c r="H20" i="14" s="1"/>
  <c r="G187" i="14"/>
  <c r="H187" i="14" s="1"/>
  <c r="J187" i="14" s="1"/>
  <c r="E19" i="15"/>
  <c r="G10" i="40"/>
  <c r="H10" i="40" s="1"/>
  <c r="G9" i="19"/>
  <c r="G9" i="18"/>
  <c r="H9" i="18" s="1"/>
  <c r="G8" i="18"/>
  <c r="E8" i="19"/>
  <c r="G7" i="18"/>
  <c r="E7" i="19"/>
  <c r="H27" i="17"/>
  <c r="G101" i="17"/>
  <c r="H101" i="17" s="1"/>
  <c r="G103" i="17"/>
  <c r="H103" i="17" s="1"/>
  <c r="I59" i="17"/>
  <c r="G105" i="17"/>
  <c r="H105" i="17" s="1"/>
  <c r="H7" i="17"/>
  <c r="G97" i="17"/>
  <c r="H97" i="17" s="1"/>
  <c r="G99" i="17"/>
  <c r="H99" i="17" s="1"/>
  <c r="G95" i="17"/>
  <c r="H95" i="17" s="1"/>
  <c r="H156" i="40"/>
  <c r="H156" i="27" s="1"/>
  <c r="H156" i="28" s="1"/>
  <c r="J156" i="25"/>
  <c r="E28" i="43"/>
  <c r="G28" i="43" s="1"/>
  <c r="H28" i="43" s="1"/>
  <c r="G79" i="43"/>
  <c r="G80" i="43" s="1"/>
  <c r="E15" i="31"/>
  <c r="H15" i="43"/>
  <c r="H155" i="25"/>
  <c r="H144" i="17"/>
  <c r="J144" i="16"/>
  <c r="J151" i="18"/>
  <c r="H151" i="19"/>
  <c r="H152" i="21"/>
  <c r="J152" i="20"/>
  <c r="H134" i="21"/>
  <c r="J134" i="20"/>
  <c r="H146" i="17"/>
  <c r="J146" i="16"/>
  <c r="H148" i="17"/>
  <c r="J148" i="16"/>
  <c r="H149" i="17"/>
  <c r="J149" i="16"/>
  <c r="H150" i="17"/>
  <c r="J150" i="16"/>
  <c r="J145" i="16"/>
  <c r="H145" i="17"/>
  <c r="H143" i="17"/>
  <c r="J143" i="16"/>
  <c r="H147" i="17"/>
  <c r="J147" i="16"/>
  <c r="H177" i="22"/>
  <c r="J177" i="21"/>
  <c r="H131" i="17"/>
  <c r="J131" i="16"/>
  <c r="J167" i="24"/>
  <c r="H167" i="25"/>
  <c r="H168" i="25"/>
  <c r="J168" i="24"/>
  <c r="H133" i="17"/>
  <c r="J133" i="16"/>
  <c r="H130" i="17"/>
  <c r="J130" i="16"/>
  <c r="H132" i="17"/>
  <c r="J132" i="16"/>
  <c r="H129" i="17"/>
  <c r="J129" i="16"/>
  <c r="H127" i="22"/>
  <c r="J127" i="21"/>
  <c r="H182" i="22"/>
  <c r="J182" i="21"/>
  <c r="H128" i="17"/>
  <c r="J128" i="16"/>
  <c r="H166" i="25"/>
  <c r="J166" i="24"/>
  <c r="H189" i="16"/>
  <c r="J189" i="15"/>
  <c r="H184" i="17"/>
  <c r="J184" i="16"/>
  <c r="H178" i="17"/>
  <c r="J178" i="16"/>
  <c r="H181" i="16"/>
  <c r="J181" i="15"/>
  <c r="H174" i="17"/>
  <c r="J174" i="16"/>
  <c r="H180" i="17"/>
  <c r="J180" i="16"/>
  <c r="H183" i="17"/>
  <c r="J183" i="16"/>
  <c r="H186" i="16"/>
  <c r="J186" i="15"/>
  <c r="H173" i="17"/>
  <c r="J173" i="16"/>
  <c r="H175" i="16"/>
  <c r="J175" i="15"/>
  <c r="H185" i="17"/>
  <c r="J185" i="16"/>
  <c r="H176" i="15"/>
  <c r="J176" i="14"/>
  <c r="H179" i="17"/>
  <c r="J179" i="16"/>
  <c r="H163" i="16"/>
  <c r="J163" i="15"/>
  <c r="H164" i="17"/>
  <c r="J164" i="16"/>
  <c r="H162" i="17"/>
  <c r="J162" i="16"/>
  <c r="H165" i="17"/>
  <c r="J165" i="16"/>
  <c r="H161" i="17"/>
  <c r="J161" i="16"/>
  <c r="H138" i="17"/>
  <c r="J138" i="16"/>
  <c r="H141" i="17"/>
  <c r="J141" i="16"/>
  <c r="H142" i="17"/>
  <c r="J142" i="16"/>
  <c r="H140" i="17"/>
  <c r="J140" i="16"/>
  <c r="H139" i="17"/>
  <c r="J139" i="16"/>
  <c r="H116" i="17"/>
  <c r="J116" i="16"/>
  <c r="H115" i="17"/>
  <c r="J115" i="16"/>
  <c r="H120" i="17"/>
  <c r="J120" i="16"/>
  <c r="H119" i="17"/>
  <c r="J119" i="16"/>
  <c r="H113" i="16"/>
  <c r="J113" i="15"/>
  <c r="H122" i="17"/>
  <c r="J122" i="16"/>
  <c r="H118" i="17"/>
  <c r="J118" i="16"/>
  <c r="H121" i="17"/>
  <c r="J121" i="16"/>
  <c r="H117" i="17"/>
  <c r="J117" i="16"/>
  <c r="J114" i="16"/>
  <c r="H112" i="17"/>
  <c r="J112" i="16"/>
  <c r="H123" i="17"/>
  <c r="J123" i="16"/>
  <c r="D5" i="44"/>
  <c r="H4" i="1"/>
  <c r="J4" i="1" s="1"/>
  <c r="B5" i="44"/>
  <c r="C5" i="44"/>
  <c r="J2" i="48" s="1"/>
  <c r="D6" i="44"/>
  <c r="D7" i="44"/>
  <c r="D8" i="44"/>
  <c r="B8" i="44"/>
  <c r="B6" i="44"/>
  <c r="B7" i="44"/>
  <c r="C6" i="44"/>
  <c r="C7" i="44"/>
  <c r="C8" i="44"/>
  <c r="AN4" i="49"/>
  <c r="AN3" i="49"/>
  <c r="E27" i="18" l="1"/>
  <c r="G27" i="18" s="1"/>
  <c r="H27" i="18" s="1"/>
  <c r="G19" i="15"/>
  <c r="G32" i="14"/>
  <c r="H32" i="14" s="1"/>
  <c r="H30" i="14"/>
  <c r="F15" i="31"/>
  <c r="G15" i="31" s="1"/>
  <c r="E8" i="20"/>
  <c r="G8" i="19"/>
  <c r="E27" i="19" s="1"/>
  <c r="G27" i="19" s="1"/>
  <c r="H9" i="19"/>
  <c r="E9" i="20"/>
  <c r="E7" i="20"/>
  <c r="G7" i="19"/>
  <c r="G95" i="18"/>
  <c r="H95" i="18" s="1"/>
  <c r="G97" i="18"/>
  <c r="H97" i="18" s="1"/>
  <c r="I59" i="18"/>
  <c r="G99" i="18"/>
  <c r="H99" i="18" s="1"/>
  <c r="H7" i="18"/>
  <c r="G105" i="18"/>
  <c r="H105" i="18" s="1"/>
  <c r="G103" i="18"/>
  <c r="H103" i="18" s="1"/>
  <c r="G101" i="18"/>
  <c r="H101" i="18" s="1"/>
  <c r="H79" i="43"/>
  <c r="G8" i="40"/>
  <c r="E27" i="40" s="1"/>
  <c r="G27" i="40" s="1"/>
  <c r="H155" i="40"/>
  <c r="J155" i="25"/>
  <c r="H150" i="18"/>
  <c r="J150" i="17"/>
  <c r="J134" i="21"/>
  <c r="H134" i="22"/>
  <c r="J147" i="17"/>
  <c r="H147" i="18"/>
  <c r="J149" i="17"/>
  <c r="H149" i="18"/>
  <c r="J152" i="21"/>
  <c r="H152" i="22"/>
  <c r="J151" i="19"/>
  <c r="H151" i="20"/>
  <c r="J143" i="17"/>
  <c r="H143" i="18"/>
  <c r="J148" i="17"/>
  <c r="H148" i="18"/>
  <c r="H145" i="18"/>
  <c r="J145" i="17"/>
  <c r="H146" i="18"/>
  <c r="J146" i="17"/>
  <c r="H144" i="18"/>
  <c r="J144" i="17"/>
  <c r="H128" i="18"/>
  <c r="J128" i="17"/>
  <c r="J127" i="22"/>
  <c r="H127" i="23"/>
  <c r="H132" i="18"/>
  <c r="J132" i="17"/>
  <c r="H133" i="18"/>
  <c r="J133" i="17"/>
  <c r="J177" i="22"/>
  <c r="H177" i="23"/>
  <c r="H167" i="40"/>
  <c r="J167" i="25"/>
  <c r="J166" i="25"/>
  <c r="H166" i="40"/>
  <c r="J182" i="22"/>
  <c r="H182" i="23"/>
  <c r="H129" i="18"/>
  <c r="J129" i="17"/>
  <c r="H130" i="18"/>
  <c r="J130" i="17"/>
  <c r="J168" i="25"/>
  <c r="H168" i="40"/>
  <c r="H131" i="18"/>
  <c r="J131" i="17"/>
  <c r="H179" i="18"/>
  <c r="J179" i="17"/>
  <c r="H185" i="18"/>
  <c r="J185" i="17"/>
  <c r="H173" i="18"/>
  <c r="J173" i="17"/>
  <c r="H183" i="18"/>
  <c r="J183" i="17"/>
  <c r="H174" i="18"/>
  <c r="J174" i="17"/>
  <c r="H178" i="18"/>
  <c r="J178" i="17"/>
  <c r="H189" i="17"/>
  <c r="J189" i="16"/>
  <c r="H176" i="16"/>
  <c r="J176" i="15"/>
  <c r="H175" i="17"/>
  <c r="J175" i="16"/>
  <c r="J186" i="16"/>
  <c r="H186" i="17"/>
  <c r="H180" i="18"/>
  <c r="J180" i="17"/>
  <c r="H181" i="17"/>
  <c r="J181" i="16"/>
  <c r="H184" i="18"/>
  <c r="J184" i="17"/>
  <c r="H161" i="18"/>
  <c r="J161" i="17"/>
  <c r="H188" i="16"/>
  <c r="H163" i="17"/>
  <c r="J163" i="16"/>
  <c r="H165" i="18"/>
  <c r="J165" i="17"/>
  <c r="H162" i="18"/>
  <c r="J162" i="17"/>
  <c r="H164" i="18"/>
  <c r="J164" i="17"/>
  <c r="H142" i="18"/>
  <c r="J142" i="17"/>
  <c r="H139" i="18"/>
  <c r="J139" i="17"/>
  <c r="H140" i="18"/>
  <c r="J140" i="17"/>
  <c r="H141" i="18"/>
  <c r="J141" i="17"/>
  <c r="H138" i="18"/>
  <c r="J138" i="17"/>
  <c r="H112" i="18"/>
  <c r="J112" i="17"/>
  <c r="H117" i="18"/>
  <c r="J117" i="17"/>
  <c r="H118" i="18"/>
  <c r="J118" i="17"/>
  <c r="H113" i="17"/>
  <c r="J113" i="16"/>
  <c r="H120" i="18"/>
  <c r="J120" i="17"/>
  <c r="H116" i="18"/>
  <c r="J116" i="17"/>
  <c r="H123" i="18"/>
  <c r="J123" i="17"/>
  <c r="H114" i="18"/>
  <c r="J114" i="17"/>
  <c r="H121" i="18"/>
  <c r="J121" i="17"/>
  <c r="H122" i="18"/>
  <c r="J122" i="17"/>
  <c r="H119" i="18"/>
  <c r="J119" i="17"/>
  <c r="H115" i="18"/>
  <c r="J115" i="17"/>
  <c r="E5" i="44"/>
  <c r="E7" i="44"/>
  <c r="E6" i="44"/>
  <c r="E8" i="44"/>
  <c r="AN5" i="49"/>
  <c r="E19" i="16" l="1"/>
  <c r="F19" i="16" s="1"/>
  <c r="G19" i="16" s="1"/>
  <c r="E30" i="15"/>
  <c r="G30" i="15" s="1"/>
  <c r="G32" i="15" s="1"/>
  <c r="H32" i="15" s="1"/>
  <c r="G187" i="15"/>
  <c r="H187" i="15" s="1"/>
  <c r="J187" i="15" s="1"/>
  <c r="G20" i="15"/>
  <c r="H20" i="15" s="1"/>
  <c r="H19" i="15"/>
  <c r="H15" i="31"/>
  <c r="G79" i="31"/>
  <c r="G80" i="31" s="1"/>
  <c r="E28" i="31"/>
  <c r="G28" i="31" s="1"/>
  <c r="H28" i="31" s="1"/>
  <c r="G7" i="20"/>
  <c r="E7" i="21"/>
  <c r="G9" i="20"/>
  <c r="H9" i="20" s="1"/>
  <c r="E9" i="21"/>
  <c r="G105" i="19"/>
  <c r="H105" i="19" s="1"/>
  <c r="G95" i="19"/>
  <c r="H95" i="19" s="1"/>
  <c r="G97" i="19"/>
  <c r="H97" i="19" s="1"/>
  <c r="I59" i="19"/>
  <c r="G99" i="19"/>
  <c r="H99" i="19" s="1"/>
  <c r="G101" i="19"/>
  <c r="H101" i="19" s="1"/>
  <c r="G103" i="19"/>
  <c r="H103" i="19" s="1"/>
  <c r="H7" i="19"/>
  <c r="G10" i="27"/>
  <c r="H10" i="27" s="1"/>
  <c r="H27" i="19"/>
  <c r="E8" i="21"/>
  <c r="G8" i="20"/>
  <c r="E27" i="20" s="1"/>
  <c r="G27" i="20" s="1"/>
  <c r="J156" i="40"/>
  <c r="H155" i="27"/>
  <c r="J155" i="40"/>
  <c r="H148" i="19"/>
  <c r="J148" i="18"/>
  <c r="J149" i="18"/>
  <c r="H149" i="19"/>
  <c r="J143" i="18"/>
  <c r="H143" i="19"/>
  <c r="H147" i="19"/>
  <c r="J147" i="18"/>
  <c r="J144" i="18"/>
  <c r="H144" i="19"/>
  <c r="H151" i="21"/>
  <c r="J151" i="20"/>
  <c r="J134" i="22"/>
  <c r="H134" i="23"/>
  <c r="J146" i="18"/>
  <c r="H146" i="19"/>
  <c r="H152" i="23"/>
  <c r="H152" i="24" s="1"/>
  <c r="J152" i="22"/>
  <c r="J145" i="18"/>
  <c r="H145" i="19"/>
  <c r="J150" i="18"/>
  <c r="H150" i="19"/>
  <c r="H182" i="24"/>
  <c r="J182" i="23"/>
  <c r="H127" i="24"/>
  <c r="J127" i="23"/>
  <c r="H133" i="19"/>
  <c r="J133" i="18"/>
  <c r="H129" i="19"/>
  <c r="J129" i="18"/>
  <c r="H132" i="19"/>
  <c r="J132" i="18"/>
  <c r="H128" i="19"/>
  <c r="J128" i="18"/>
  <c r="H131" i="19"/>
  <c r="J131" i="18"/>
  <c r="H130" i="19"/>
  <c r="J130" i="18"/>
  <c r="H167" i="27"/>
  <c r="J167" i="40"/>
  <c r="H168" i="27"/>
  <c r="J168" i="40"/>
  <c r="H166" i="27"/>
  <c r="J166" i="40"/>
  <c r="H177" i="24"/>
  <c r="J177" i="23"/>
  <c r="J186" i="17"/>
  <c r="H186" i="18"/>
  <c r="H184" i="19"/>
  <c r="J184" i="18"/>
  <c r="H180" i="19"/>
  <c r="J180" i="18"/>
  <c r="H175" i="18"/>
  <c r="J175" i="17"/>
  <c r="H189" i="18"/>
  <c r="J189" i="17"/>
  <c r="H174" i="19"/>
  <c r="J174" i="18"/>
  <c r="H173" i="19"/>
  <c r="J173" i="18"/>
  <c r="H179" i="19"/>
  <c r="J179" i="18"/>
  <c r="H181" i="18"/>
  <c r="J181" i="17"/>
  <c r="H176" i="17"/>
  <c r="J176" i="16"/>
  <c r="H178" i="19"/>
  <c r="J178" i="18"/>
  <c r="H183" i="19"/>
  <c r="J183" i="18"/>
  <c r="H185" i="19"/>
  <c r="J185" i="18"/>
  <c r="H164" i="19"/>
  <c r="J164" i="18"/>
  <c r="H165" i="19"/>
  <c r="J165" i="18"/>
  <c r="H161" i="19"/>
  <c r="J161" i="18"/>
  <c r="H162" i="19"/>
  <c r="J162" i="18"/>
  <c r="H163" i="18"/>
  <c r="J163" i="17"/>
  <c r="H188" i="17"/>
  <c r="J188" i="16"/>
  <c r="H138" i="19"/>
  <c r="J138" i="18"/>
  <c r="H141" i="19"/>
  <c r="J141" i="18"/>
  <c r="H140" i="19"/>
  <c r="J140" i="18"/>
  <c r="H139" i="19"/>
  <c r="J139" i="18"/>
  <c r="H142" i="19"/>
  <c r="J142" i="18"/>
  <c r="H119" i="19"/>
  <c r="J119" i="18"/>
  <c r="H121" i="19"/>
  <c r="J121" i="18"/>
  <c r="H123" i="19"/>
  <c r="J123" i="18"/>
  <c r="H120" i="19"/>
  <c r="J120" i="18"/>
  <c r="H118" i="19"/>
  <c r="J118" i="18"/>
  <c r="H112" i="19"/>
  <c r="J112" i="18"/>
  <c r="H115" i="19"/>
  <c r="J115" i="18"/>
  <c r="H122" i="19"/>
  <c r="J122" i="18"/>
  <c r="H114" i="19"/>
  <c r="J114" i="18"/>
  <c r="H116" i="19"/>
  <c r="J116" i="18"/>
  <c r="H113" i="18"/>
  <c r="J113" i="17"/>
  <c r="H117" i="19"/>
  <c r="J117" i="18"/>
  <c r="BM1" i="49"/>
  <c r="BH1" i="49"/>
  <c r="BI1" i="49"/>
  <c r="BJ1" i="49"/>
  <c r="BK1" i="49"/>
  <c r="BL1" i="49"/>
  <c r="BG1" i="49"/>
  <c r="F1" i="49"/>
  <c r="G1" i="49"/>
  <c r="H1" i="49"/>
  <c r="I1" i="49"/>
  <c r="J1" i="49"/>
  <c r="K1" i="49"/>
  <c r="L1" i="49"/>
  <c r="M1" i="49"/>
  <c r="N1" i="49"/>
  <c r="O1" i="49"/>
  <c r="P1" i="49"/>
  <c r="Q1" i="49"/>
  <c r="R1" i="49"/>
  <c r="S1" i="49"/>
  <c r="T1" i="49"/>
  <c r="U1" i="49"/>
  <c r="V1" i="49"/>
  <c r="W1" i="49"/>
  <c r="X1" i="49"/>
  <c r="Y1" i="49"/>
  <c r="Z1" i="49"/>
  <c r="AA1" i="49"/>
  <c r="AB1" i="49"/>
  <c r="AC1" i="49"/>
  <c r="AD1" i="49"/>
  <c r="AE1" i="49"/>
  <c r="AF1" i="49"/>
  <c r="AG1" i="49"/>
  <c r="AH1" i="49"/>
  <c r="AI1" i="49"/>
  <c r="AJ1" i="49"/>
  <c r="AK1" i="49"/>
  <c r="AL1" i="49"/>
  <c r="E1" i="49"/>
  <c r="H79" i="31" l="1"/>
  <c r="E10" i="28"/>
  <c r="F10" i="28" s="1"/>
  <c r="G10" i="28" s="1"/>
  <c r="H10" i="28" s="1"/>
  <c r="H30" i="15"/>
  <c r="H27" i="20"/>
  <c r="E19" i="17"/>
  <c r="H19" i="16"/>
  <c r="G20" i="16"/>
  <c r="H20" i="16" s="1"/>
  <c r="G187" i="16"/>
  <c r="H187" i="16" s="1"/>
  <c r="J187" i="16" s="1"/>
  <c r="E30" i="16"/>
  <c r="G30" i="16" s="1"/>
  <c r="G32" i="16" s="1"/>
  <c r="H32" i="16" s="1"/>
  <c r="G9" i="21"/>
  <c r="H9" i="21" s="1"/>
  <c r="E9" i="22"/>
  <c r="E8" i="22"/>
  <c r="G7" i="21"/>
  <c r="E7" i="22"/>
  <c r="G103" i="20"/>
  <c r="H103" i="20" s="1"/>
  <c r="G99" i="20"/>
  <c r="H99" i="20" s="1"/>
  <c r="G101" i="20"/>
  <c r="H101" i="20" s="1"/>
  <c r="G97" i="20"/>
  <c r="H97" i="20" s="1"/>
  <c r="G95" i="20"/>
  <c r="H95" i="20" s="1"/>
  <c r="G105" i="20"/>
  <c r="H105" i="20" s="1"/>
  <c r="H7" i="20"/>
  <c r="I59" i="20"/>
  <c r="G8" i="27"/>
  <c r="E27" i="27" s="1"/>
  <c r="G27" i="27" s="1"/>
  <c r="E8" i="28"/>
  <c r="F8" i="28" s="1"/>
  <c r="J156" i="27"/>
  <c r="J155" i="27"/>
  <c r="H155" i="28"/>
  <c r="H148" i="20"/>
  <c r="J148" i="19"/>
  <c r="H146" i="20"/>
  <c r="J146" i="19"/>
  <c r="J152" i="23"/>
  <c r="J147" i="19"/>
  <c r="H147" i="20"/>
  <c r="H150" i="20"/>
  <c r="J150" i="19"/>
  <c r="J134" i="23"/>
  <c r="H134" i="24"/>
  <c r="H143" i="20"/>
  <c r="J143" i="19"/>
  <c r="J145" i="19"/>
  <c r="H145" i="20"/>
  <c r="J149" i="19"/>
  <c r="H149" i="20"/>
  <c r="H151" i="22"/>
  <c r="J151" i="21"/>
  <c r="J144" i="19"/>
  <c r="H144" i="20"/>
  <c r="J177" i="24"/>
  <c r="H177" i="25"/>
  <c r="H167" i="28"/>
  <c r="J167" i="27"/>
  <c r="H133" i="20"/>
  <c r="J133" i="19"/>
  <c r="J182" i="24"/>
  <c r="H182" i="25"/>
  <c r="H166" i="28"/>
  <c r="J166" i="27"/>
  <c r="H130" i="20"/>
  <c r="J130" i="19"/>
  <c r="H128" i="20"/>
  <c r="J128" i="19"/>
  <c r="H129" i="20"/>
  <c r="J129" i="19"/>
  <c r="J127" i="24"/>
  <c r="H127" i="25"/>
  <c r="H168" i="28"/>
  <c r="J168" i="27"/>
  <c r="H131" i="20"/>
  <c r="J131" i="19"/>
  <c r="H132" i="20"/>
  <c r="J132" i="19"/>
  <c r="H185" i="20"/>
  <c r="J185" i="19"/>
  <c r="H178" i="20"/>
  <c r="J178" i="19"/>
  <c r="H181" i="19"/>
  <c r="J181" i="18"/>
  <c r="H173" i="20"/>
  <c r="J173" i="19"/>
  <c r="H189" i="19"/>
  <c r="J189" i="19" s="1"/>
  <c r="J189" i="18"/>
  <c r="H180" i="20"/>
  <c r="J180" i="19"/>
  <c r="H186" i="19"/>
  <c r="J186" i="18"/>
  <c r="H183" i="20"/>
  <c r="J183" i="19"/>
  <c r="H176" i="18"/>
  <c r="J176" i="17"/>
  <c r="H179" i="20"/>
  <c r="J179" i="19"/>
  <c r="H174" i="20"/>
  <c r="J174" i="19"/>
  <c r="H175" i="19"/>
  <c r="J175" i="18"/>
  <c r="H184" i="20"/>
  <c r="J184" i="19"/>
  <c r="H188" i="18"/>
  <c r="J188" i="17"/>
  <c r="H162" i="20"/>
  <c r="J162" i="19"/>
  <c r="H164" i="20"/>
  <c r="J164" i="19"/>
  <c r="H163" i="19"/>
  <c r="J163" i="18"/>
  <c r="H161" i="20"/>
  <c r="J161" i="19"/>
  <c r="H165" i="20"/>
  <c r="J165" i="19"/>
  <c r="H140" i="20"/>
  <c r="J140" i="19"/>
  <c r="H138" i="20"/>
  <c r="J138" i="19"/>
  <c r="H142" i="20"/>
  <c r="J142" i="19"/>
  <c r="H139" i="20"/>
  <c r="J139" i="19"/>
  <c r="H141" i="20"/>
  <c r="J141" i="19"/>
  <c r="H113" i="19"/>
  <c r="J113" i="18"/>
  <c r="H114" i="20"/>
  <c r="J114" i="19"/>
  <c r="H115" i="20"/>
  <c r="J115" i="19"/>
  <c r="H118" i="20"/>
  <c r="J118" i="19"/>
  <c r="H123" i="20"/>
  <c r="J123" i="19"/>
  <c r="H119" i="20"/>
  <c r="J119" i="19"/>
  <c r="H117" i="20"/>
  <c r="J117" i="19"/>
  <c r="H116" i="20"/>
  <c r="J116" i="19"/>
  <c r="H122" i="20"/>
  <c r="J122" i="19"/>
  <c r="H112" i="20"/>
  <c r="J112" i="19"/>
  <c r="H120" i="20"/>
  <c r="J120" i="19"/>
  <c r="H121" i="20"/>
  <c r="J121" i="19"/>
  <c r="B3" i="49"/>
  <c r="B4" i="49" s="1"/>
  <c r="B5" i="49" s="1"/>
  <c r="B6" i="49" s="1"/>
  <c r="B7" i="49" s="1"/>
  <c r="B8" i="49" s="1"/>
  <c r="B9" i="49" s="1"/>
  <c r="B10" i="49" s="1"/>
  <c r="B11" i="49" s="1"/>
  <c r="B12" i="49" s="1"/>
  <c r="B13" i="49" s="1"/>
  <c r="B14" i="49" s="1"/>
  <c r="B15" i="49" s="1"/>
  <c r="B16" i="49" s="1"/>
  <c r="B17" i="49" s="1"/>
  <c r="B18" i="49" s="1"/>
  <c r="B19" i="49" s="1"/>
  <c r="B20" i="49" s="1"/>
  <c r="B21" i="49" s="1"/>
  <c r="B22" i="49" s="1"/>
  <c r="B23" i="49" s="1"/>
  <c r="B24" i="49" s="1"/>
  <c r="B25" i="49" s="1"/>
  <c r="B26" i="49" s="1"/>
  <c r="B27" i="49" s="1"/>
  <c r="B28" i="49" s="1"/>
  <c r="B29" i="49" s="1"/>
  <c r="B30" i="49" s="1"/>
  <c r="B31" i="49" s="1"/>
  <c r="B32" i="49" s="1"/>
  <c r="G8" i="21" l="1"/>
  <c r="E27" i="21" s="1"/>
  <c r="G27" i="21" s="1"/>
  <c r="H27" i="21" s="1"/>
  <c r="H30" i="16"/>
  <c r="F19" i="17"/>
  <c r="G19" i="17" s="1"/>
  <c r="E9" i="23"/>
  <c r="G7" i="22"/>
  <c r="E7" i="23"/>
  <c r="I59" i="21"/>
  <c r="G101" i="21"/>
  <c r="H101" i="21" s="1"/>
  <c r="H7" i="21"/>
  <c r="G103" i="21"/>
  <c r="H103" i="21" s="1"/>
  <c r="G97" i="21"/>
  <c r="H97" i="21" s="1"/>
  <c r="G99" i="21"/>
  <c r="H99" i="21" s="1"/>
  <c r="G95" i="21"/>
  <c r="H95" i="21" s="1"/>
  <c r="G105" i="21"/>
  <c r="H105" i="21" s="1"/>
  <c r="E10" i="29"/>
  <c r="G8" i="22"/>
  <c r="E27" i="22" s="1"/>
  <c r="G27" i="22" s="1"/>
  <c r="E8" i="23"/>
  <c r="G8" i="28"/>
  <c r="E8" i="29"/>
  <c r="J155" i="28"/>
  <c r="H155" i="29"/>
  <c r="J156" i="28"/>
  <c r="H156" i="29"/>
  <c r="J145" i="20"/>
  <c r="H145" i="21"/>
  <c r="H147" i="21"/>
  <c r="J147" i="20"/>
  <c r="H144" i="21"/>
  <c r="J144" i="20"/>
  <c r="J143" i="20"/>
  <c r="H143" i="21"/>
  <c r="H152" i="25"/>
  <c r="J152" i="24"/>
  <c r="H134" i="25"/>
  <c r="J134" i="24"/>
  <c r="H151" i="23"/>
  <c r="J151" i="22"/>
  <c r="J146" i="20"/>
  <c r="H146" i="21"/>
  <c r="J149" i="20"/>
  <c r="H149" i="21"/>
  <c r="H150" i="21"/>
  <c r="J150" i="20"/>
  <c r="J148" i="20"/>
  <c r="H148" i="21"/>
  <c r="H132" i="21"/>
  <c r="J132" i="20"/>
  <c r="H129" i="21"/>
  <c r="J129" i="20"/>
  <c r="H177" i="40"/>
  <c r="J177" i="25"/>
  <c r="H133" i="21"/>
  <c r="J133" i="20"/>
  <c r="H131" i="21"/>
  <c r="J131" i="20"/>
  <c r="H128" i="21"/>
  <c r="J128" i="20"/>
  <c r="H167" i="29"/>
  <c r="J167" i="28"/>
  <c r="H168" i="29"/>
  <c r="J168" i="28"/>
  <c r="H130" i="21"/>
  <c r="J130" i="20"/>
  <c r="H166" i="29"/>
  <c r="J166" i="28"/>
  <c r="H127" i="40"/>
  <c r="J127" i="25"/>
  <c r="H182" i="40"/>
  <c r="J182" i="25"/>
  <c r="H184" i="21"/>
  <c r="J184" i="20"/>
  <c r="H174" i="21"/>
  <c r="J174" i="20"/>
  <c r="H176" i="19"/>
  <c r="J176" i="18"/>
  <c r="H186" i="20"/>
  <c r="J186" i="19"/>
  <c r="H181" i="20"/>
  <c r="J181" i="19"/>
  <c r="H185" i="21"/>
  <c r="J185" i="20"/>
  <c r="H175" i="20"/>
  <c r="J175" i="19"/>
  <c r="H179" i="21"/>
  <c r="J179" i="20"/>
  <c r="H183" i="21"/>
  <c r="J183" i="20"/>
  <c r="H180" i="21"/>
  <c r="J180" i="20"/>
  <c r="H173" i="21"/>
  <c r="J173" i="20"/>
  <c r="H178" i="21"/>
  <c r="J178" i="20"/>
  <c r="H165" i="21"/>
  <c r="J165" i="20"/>
  <c r="H163" i="20"/>
  <c r="J163" i="19"/>
  <c r="H188" i="19"/>
  <c r="J188" i="18"/>
  <c r="H161" i="21"/>
  <c r="J161" i="20"/>
  <c r="H164" i="21"/>
  <c r="J164" i="20"/>
  <c r="H162" i="21"/>
  <c r="J162" i="20"/>
  <c r="H138" i="21"/>
  <c r="J138" i="20"/>
  <c r="H140" i="21"/>
  <c r="J140" i="20"/>
  <c r="H139" i="21"/>
  <c r="J139" i="20"/>
  <c r="H141" i="21"/>
  <c r="J141" i="20"/>
  <c r="H142" i="21"/>
  <c r="J142" i="20"/>
  <c r="H120" i="21"/>
  <c r="J120" i="20"/>
  <c r="H122" i="21"/>
  <c r="J122" i="20"/>
  <c r="H117" i="21"/>
  <c r="J117" i="20"/>
  <c r="H123" i="21"/>
  <c r="J123" i="20"/>
  <c r="H115" i="21"/>
  <c r="J115" i="20"/>
  <c r="H113" i="20"/>
  <c r="J113" i="19"/>
  <c r="H121" i="21"/>
  <c r="J121" i="20"/>
  <c r="H112" i="21"/>
  <c r="J112" i="20"/>
  <c r="H116" i="21"/>
  <c r="J116" i="20"/>
  <c r="H119" i="21"/>
  <c r="J119" i="20"/>
  <c r="H118" i="21"/>
  <c r="J118" i="20"/>
  <c r="H114" i="21"/>
  <c r="J114" i="20"/>
  <c r="K31" i="47"/>
  <c r="G3" i="48"/>
  <c r="G4" i="48"/>
  <c r="G5" i="48"/>
  <c r="G6" i="48"/>
  <c r="K6" i="47" s="1"/>
  <c r="G7" i="48"/>
  <c r="K7" i="47" s="1"/>
  <c r="G8" i="48"/>
  <c r="K8" i="47" s="1"/>
  <c r="G9" i="48"/>
  <c r="K9" i="47" s="1"/>
  <c r="G10" i="48"/>
  <c r="K10" i="47" s="1"/>
  <c r="G11" i="48"/>
  <c r="K11" i="47" s="1"/>
  <c r="G12" i="48"/>
  <c r="K12" i="47" s="1"/>
  <c r="G13" i="48"/>
  <c r="K13" i="47" s="1"/>
  <c r="G14" i="48"/>
  <c r="K14" i="47" s="1"/>
  <c r="G15" i="48"/>
  <c r="K15" i="47" s="1"/>
  <c r="G16" i="48"/>
  <c r="K16" i="47" s="1"/>
  <c r="G17" i="48"/>
  <c r="K17" i="47" s="1"/>
  <c r="G18" i="48"/>
  <c r="K18" i="47" s="1"/>
  <c r="G19" i="48"/>
  <c r="K19" i="47" s="1"/>
  <c r="G20" i="48"/>
  <c r="K20" i="47" s="1"/>
  <c r="G21" i="48"/>
  <c r="K21" i="47" s="1"/>
  <c r="G22" i="48"/>
  <c r="K22" i="47" s="1"/>
  <c r="G23" i="48"/>
  <c r="K23" i="47" s="1"/>
  <c r="G24" i="48"/>
  <c r="K24" i="47" s="1"/>
  <c r="G25" i="48"/>
  <c r="K25" i="47" s="1"/>
  <c r="G26" i="48"/>
  <c r="K26" i="47" s="1"/>
  <c r="G27" i="48"/>
  <c r="K27" i="47" s="1"/>
  <c r="G28" i="48"/>
  <c r="K28" i="47" s="1"/>
  <c r="G29" i="48"/>
  <c r="K29" i="47" s="1"/>
  <c r="G30" i="48"/>
  <c r="K30" i="47" s="1"/>
  <c r="E19" i="48"/>
  <c r="E20" i="48"/>
  <c r="E18" i="48"/>
  <c r="E16" i="48"/>
  <c r="K2" i="47"/>
  <c r="E14" i="48"/>
  <c r="E15" i="48"/>
  <c r="E21" i="48"/>
  <c r="E22" i="48"/>
  <c r="E23" i="48"/>
  <c r="E24" i="48"/>
  <c r="E25" i="48"/>
  <c r="E26" i="48"/>
  <c r="E27" i="48"/>
  <c r="E28" i="48"/>
  <c r="E29" i="48"/>
  <c r="E30" i="48"/>
  <c r="H4" i="45"/>
  <c r="AM35" i="1"/>
  <c r="T35" i="1"/>
  <c r="P35" i="1"/>
  <c r="M35" i="1"/>
  <c r="B3" i="47"/>
  <c r="B4" i="47" s="1"/>
  <c r="B5" i="47" s="1"/>
  <c r="B6" i="47" s="1"/>
  <c r="B7" i="47" s="1"/>
  <c r="B8" i="47" s="1"/>
  <c r="B9" i="47" s="1"/>
  <c r="B10" i="47" s="1"/>
  <c r="B11" i="47" s="1"/>
  <c r="B12" i="47" s="1"/>
  <c r="B13" i="47" s="1"/>
  <c r="B14" i="47" s="1"/>
  <c r="B15" i="47" s="1"/>
  <c r="B16" i="47" s="1"/>
  <c r="B17" i="47" s="1"/>
  <c r="B18" i="47" s="1"/>
  <c r="B19" i="47" s="1"/>
  <c r="B20" i="47" s="1"/>
  <c r="B21" i="47" s="1"/>
  <c r="B22" i="47" s="1"/>
  <c r="B23" i="47" s="1"/>
  <c r="B24" i="47" s="1"/>
  <c r="B25" i="47" s="1"/>
  <c r="B26" i="47" s="1"/>
  <c r="B27" i="47" s="1"/>
  <c r="B28" i="47" s="1"/>
  <c r="B29" i="47" s="1"/>
  <c r="B30" i="47" s="1"/>
  <c r="B31" i="47" s="1"/>
  <c r="B32" i="47" s="1"/>
  <c r="E30" i="17" l="1"/>
  <c r="G30" i="17" s="1"/>
  <c r="G20" i="17"/>
  <c r="H20" i="17" s="1"/>
  <c r="G187" i="17"/>
  <c r="H187" i="17" s="1"/>
  <c r="J187" i="17" s="1"/>
  <c r="E19" i="18"/>
  <c r="H19" i="17"/>
  <c r="G7" i="23"/>
  <c r="E7" i="24"/>
  <c r="H7" i="22"/>
  <c r="I59" i="22"/>
  <c r="G99" i="22"/>
  <c r="H99" i="22" s="1"/>
  <c r="G97" i="22"/>
  <c r="H97" i="22" s="1"/>
  <c r="G95" i="22"/>
  <c r="H95" i="22" s="1"/>
  <c r="G105" i="22"/>
  <c r="H105" i="22" s="1"/>
  <c r="G103" i="22"/>
  <c r="H103" i="22" s="1"/>
  <c r="G101" i="22"/>
  <c r="H101" i="22" s="1"/>
  <c r="F8" i="29"/>
  <c r="G8" i="29" s="1"/>
  <c r="G9" i="23"/>
  <c r="E9" i="24"/>
  <c r="F10" i="29"/>
  <c r="G10" i="29" s="1"/>
  <c r="H10" i="29" s="1"/>
  <c r="G8" i="23"/>
  <c r="E27" i="23" s="1"/>
  <c r="G27" i="23" s="1"/>
  <c r="E8" i="24"/>
  <c r="G9" i="22"/>
  <c r="H9" i="22" s="1"/>
  <c r="H27" i="22"/>
  <c r="E27" i="28"/>
  <c r="G27" i="28" s="1"/>
  <c r="J3" i="48"/>
  <c r="M4" i="45" s="1"/>
  <c r="J4" i="45"/>
  <c r="K5" i="47"/>
  <c r="J5" i="48"/>
  <c r="K4" i="47"/>
  <c r="J4" i="48"/>
  <c r="H156" i="30"/>
  <c r="J156" i="29"/>
  <c r="J155" i="29"/>
  <c r="H155" i="30"/>
  <c r="H146" i="22"/>
  <c r="J146" i="21"/>
  <c r="H143" i="22"/>
  <c r="J143" i="21"/>
  <c r="J152" i="25"/>
  <c r="H152" i="40"/>
  <c r="H151" i="24"/>
  <c r="J151" i="23"/>
  <c r="J144" i="21"/>
  <c r="H144" i="22"/>
  <c r="H150" i="22"/>
  <c r="J150" i="21"/>
  <c r="H134" i="40"/>
  <c r="J134" i="25"/>
  <c r="J147" i="21"/>
  <c r="H147" i="22"/>
  <c r="J148" i="21"/>
  <c r="H148" i="22"/>
  <c r="H149" i="22"/>
  <c r="J149" i="21"/>
  <c r="J145" i="21"/>
  <c r="H145" i="22"/>
  <c r="H182" i="27"/>
  <c r="J182" i="40"/>
  <c r="J166" i="29"/>
  <c r="H166" i="30"/>
  <c r="H131" i="22"/>
  <c r="J131" i="21"/>
  <c r="H132" i="22"/>
  <c r="J132" i="21"/>
  <c r="H127" i="27"/>
  <c r="J127" i="40"/>
  <c r="H130" i="22"/>
  <c r="J130" i="21"/>
  <c r="H167" i="30"/>
  <c r="J167" i="29"/>
  <c r="H128" i="22"/>
  <c r="J128" i="21"/>
  <c r="H133" i="22"/>
  <c r="J133" i="21"/>
  <c r="H129" i="22"/>
  <c r="J129" i="21"/>
  <c r="J168" i="29"/>
  <c r="H168" i="30"/>
  <c r="H177" i="27"/>
  <c r="J177" i="40"/>
  <c r="H173" i="22"/>
  <c r="J173" i="21"/>
  <c r="H183" i="22"/>
  <c r="J183" i="21"/>
  <c r="H175" i="21"/>
  <c r="J175" i="20"/>
  <c r="H181" i="21"/>
  <c r="J181" i="20"/>
  <c r="H176" i="20"/>
  <c r="J176" i="19"/>
  <c r="H184" i="22"/>
  <c r="J184" i="21"/>
  <c r="H178" i="22"/>
  <c r="J178" i="21"/>
  <c r="H180" i="22"/>
  <c r="J180" i="21"/>
  <c r="H179" i="22"/>
  <c r="J179" i="21"/>
  <c r="H185" i="22"/>
  <c r="J185" i="21"/>
  <c r="H186" i="21"/>
  <c r="J186" i="20"/>
  <c r="H174" i="22"/>
  <c r="J174" i="21"/>
  <c r="H162" i="22"/>
  <c r="J162" i="21"/>
  <c r="H161" i="22"/>
  <c r="J161" i="21"/>
  <c r="H165" i="22"/>
  <c r="J165" i="21"/>
  <c r="H164" i="22"/>
  <c r="J164" i="21"/>
  <c r="H188" i="20"/>
  <c r="J188" i="19"/>
  <c r="H163" i="21"/>
  <c r="J163" i="20"/>
  <c r="H142" i="22"/>
  <c r="J142" i="21"/>
  <c r="H141" i="22"/>
  <c r="J141" i="21"/>
  <c r="H139" i="22"/>
  <c r="J139" i="21"/>
  <c r="H140" i="22"/>
  <c r="J140" i="21"/>
  <c r="H138" i="22"/>
  <c r="J138" i="21"/>
  <c r="H118" i="22"/>
  <c r="J118" i="21"/>
  <c r="H116" i="22"/>
  <c r="J116" i="21"/>
  <c r="H121" i="22"/>
  <c r="J121" i="21"/>
  <c r="H115" i="22"/>
  <c r="J115" i="21"/>
  <c r="H117" i="22"/>
  <c r="J117" i="21"/>
  <c r="H120" i="22"/>
  <c r="J120" i="21"/>
  <c r="H114" i="22"/>
  <c r="J114" i="21"/>
  <c r="H119" i="22"/>
  <c r="J119" i="21"/>
  <c r="H112" i="22"/>
  <c r="J112" i="21"/>
  <c r="H113" i="21"/>
  <c r="J113" i="20"/>
  <c r="H123" i="22"/>
  <c r="J123" i="21"/>
  <c r="H122" i="22"/>
  <c r="J122" i="21"/>
  <c r="K3" i="47"/>
  <c r="G33" i="48"/>
  <c r="E33" i="48"/>
  <c r="H9" i="23" l="1"/>
  <c r="G19" i="18"/>
  <c r="G32" i="17"/>
  <c r="H32" i="17" s="1"/>
  <c r="H30" i="17"/>
  <c r="E27" i="29"/>
  <c r="G27" i="29" s="1"/>
  <c r="O8" i="29"/>
  <c r="O15" i="29"/>
  <c r="E10" i="30"/>
  <c r="G9" i="24"/>
  <c r="E9" i="25"/>
  <c r="G8" i="24"/>
  <c r="E27" i="24" s="1"/>
  <c r="G27" i="24" s="1"/>
  <c r="E8" i="25"/>
  <c r="G8" i="25" s="1"/>
  <c r="E27" i="25" s="1"/>
  <c r="G27" i="25" s="1"/>
  <c r="G7" i="24"/>
  <c r="E7" i="25"/>
  <c r="H27" i="23"/>
  <c r="G105" i="23"/>
  <c r="H105" i="23" s="1"/>
  <c r="G95" i="23"/>
  <c r="H95" i="23" s="1"/>
  <c r="I59" i="23"/>
  <c r="G101" i="23"/>
  <c r="H101" i="23" s="1"/>
  <c r="H7" i="23"/>
  <c r="G103" i="23"/>
  <c r="H103" i="23" s="1"/>
  <c r="G99" i="23"/>
  <c r="H99" i="23" s="1"/>
  <c r="G97" i="23"/>
  <c r="H97" i="23" s="1"/>
  <c r="E8" i="30"/>
  <c r="H156" i="43"/>
  <c r="H156" i="31" s="1"/>
  <c r="J156" i="30"/>
  <c r="H155" i="43"/>
  <c r="J155" i="30"/>
  <c r="J151" i="24"/>
  <c r="H151" i="25"/>
  <c r="H145" i="23"/>
  <c r="J145" i="22"/>
  <c r="J152" i="40"/>
  <c r="H152" i="27"/>
  <c r="J147" i="22"/>
  <c r="H147" i="23"/>
  <c r="H134" i="27"/>
  <c r="J134" i="40"/>
  <c r="J149" i="22"/>
  <c r="H149" i="23"/>
  <c r="H150" i="23"/>
  <c r="J150" i="22"/>
  <c r="H143" i="23"/>
  <c r="J143" i="22"/>
  <c r="H148" i="23"/>
  <c r="J148" i="22"/>
  <c r="J144" i="22"/>
  <c r="H144" i="23"/>
  <c r="J146" i="22"/>
  <c r="H146" i="23"/>
  <c r="H129" i="23"/>
  <c r="J129" i="22"/>
  <c r="H130" i="23"/>
  <c r="J130" i="22"/>
  <c r="H132" i="23"/>
  <c r="J132" i="22"/>
  <c r="H133" i="23"/>
  <c r="J133" i="22"/>
  <c r="J167" i="30"/>
  <c r="H167" i="43"/>
  <c r="J127" i="27"/>
  <c r="H127" i="28"/>
  <c r="H131" i="23"/>
  <c r="J131" i="22"/>
  <c r="J177" i="27"/>
  <c r="H177" i="28"/>
  <c r="H128" i="23"/>
  <c r="J128" i="22"/>
  <c r="H182" i="28"/>
  <c r="J182" i="27"/>
  <c r="H168" i="43"/>
  <c r="J168" i="30"/>
  <c r="J166" i="30"/>
  <c r="H166" i="43"/>
  <c r="H186" i="22"/>
  <c r="J186" i="21"/>
  <c r="H179" i="23"/>
  <c r="J179" i="22"/>
  <c r="H178" i="23"/>
  <c r="J178" i="22"/>
  <c r="H176" i="21"/>
  <c r="J176" i="20"/>
  <c r="H175" i="22"/>
  <c r="J175" i="21"/>
  <c r="H173" i="23"/>
  <c r="J173" i="22"/>
  <c r="H174" i="23"/>
  <c r="J174" i="22"/>
  <c r="H185" i="23"/>
  <c r="J185" i="22"/>
  <c r="H180" i="23"/>
  <c r="J180" i="22"/>
  <c r="H184" i="23"/>
  <c r="J184" i="22"/>
  <c r="H181" i="22"/>
  <c r="J181" i="21"/>
  <c r="H183" i="23"/>
  <c r="J183" i="22"/>
  <c r="H163" i="22"/>
  <c r="J163" i="21"/>
  <c r="H164" i="23"/>
  <c r="J164" i="22"/>
  <c r="H162" i="23"/>
  <c r="J162" i="22"/>
  <c r="H188" i="21"/>
  <c r="J188" i="20"/>
  <c r="H165" i="23"/>
  <c r="J165" i="22"/>
  <c r="H161" i="23"/>
  <c r="J161" i="22"/>
  <c r="H138" i="23"/>
  <c r="J138" i="22"/>
  <c r="H139" i="23"/>
  <c r="J139" i="22"/>
  <c r="H142" i="23"/>
  <c r="H142" i="24" s="1"/>
  <c r="J142" i="24" s="1"/>
  <c r="J142" i="22"/>
  <c r="H140" i="23"/>
  <c r="J140" i="22"/>
  <c r="H141" i="23"/>
  <c r="H141" i="24" s="1"/>
  <c r="J141" i="24" s="1"/>
  <c r="J141" i="22"/>
  <c r="H123" i="23"/>
  <c r="J123" i="22"/>
  <c r="H112" i="23"/>
  <c r="J112" i="22"/>
  <c r="H114" i="23"/>
  <c r="J114" i="22"/>
  <c r="H117" i="23"/>
  <c r="J117" i="22"/>
  <c r="H121" i="23"/>
  <c r="J121" i="22"/>
  <c r="H118" i="23"/>
  <c r="J118" i="22"/>
  <c r="H122" i="23"/>
  <c r="J122" i="22"/>
  <c r="H113" i="22"/>
  <c r="J113" i="21"/>
  <c r="H119" i="23"/>
  <c r="J119" i="22"/>
  <c r="H120" i="23"/>
  <c r="J120" i="22"/>
  <c r="H115" i="23"/>
  <c r="J115" i="22"/>
  <c r="H116" i="23"/>
  <c r="J116" i="22"/>
  <c r="AP45" i="44"/>
  <c r="AP41" i="44"/>
  <c r="H9" i="24" l="1"/>
  <c r="G20" i="18"/>
  <c r="H20" i="18" s="1"/>
  <c r="G187" i="18"/>
  <c r="H187" i="18" s="1"/>
  <c r="J187" i="18" s="1"/>
  <c r="E30" i="18"/>
  <c r="G30" i="18" s="1"/>
  <c r="G32" i="18" s="1"/>
  <c r="H32" i="18" s="1"/>
  <c r="E19" i="19"/>
  <c r="H19" i="18"/>
  <c r="G9" i="25"/>
  <c r="G7" i="25"/>
  <c r="E7" i="40"/>
  <c r="F10" i="30"/>
  <c r="G10" i="30" s="1"/>
  <c r="H10" i="30" s="1"/>
  <c r="H7" i="24"/>
  <c r="G99" i="24"/>
  <c r="H99" i="24" s="1"/>
  <c r="G95" i="24"/>
  <c r="H95" i="24" s="1"/>
  <c r="I59" i="24"/>
  <c r="G101" i="24"/>
  <c r="H101" i="24" s="1"/>
  <c r="G105" i="24"/>
  <c r="H105" i="24" s="1"/>
  <c r="G97" i="24"/>
  <c r="H97" i="24" s="1"/>
  <c r="G103" i="24"/>
  <c r="H103" i="24" s="1"/>
  <c r="F8" i="30"/>
  <c r="G8" i="30" s="1"/>
  <c r="E27" i="30" s="1"/>
  <c r="G27" i="30" s="1"/>
  <c r="H27" i="24"/>
  <c r="H27" i="25" s="1"/>
  <c r="H27" i="40" s="1"/>
  <c r="H27" i="27" s="1"/>
  <c r="H27" i="28" s="1"/>
  <c r="H27" i="29" s="1"/>
  <c r="G7" i="28"/>
  <c r="O9" i="28" s="1"/>
  <c r="H155" i="31"/>
  <c r="J155" i="31" s="1"/>
  <c r="J155" i="43"/>
  <c r="J156" i="31"/>
  <c r="J156" i="43"/>
  <c r="H143" i="24"/>
  <c r="J143" i="23"/>
  <c r="H146" i="24"/>
  <c r="J146" i="23"/>
  <c r="J152" i="27"/>
  <c r="H152" i="28"/>
  <c r="H150" i="24"/>
  <c r="J150" i="23"/>
  <c r="H144" i="24"/>
  <c r="J144" i="23"/>
  <c r="H149" i="24"/>
  <c r="J149" i="23"/>
  <c r="H145" i="24"/>
  <c r="J145" i="23"/>
  <c r="H147" i="24"/>
  <c r="J147" i="23"/>
  <c r="H151" i="40"/>
  <c r="J151" i="25"/>
  <c r="H148" i="24"/>
  <c r="J148" i="23"/>
  <c r="J134" i="27"/>
  <c r="H134" i="28"/>
  <c r="H182" i="29"/>
  <c r="J182" i="28"/>
  <c r="H129" i="24"/>
  <c r="J129" i="23"/>
  <c r="H166" i="31"/>
  <c r="J166" i="31" s="1"/>
  <c r="J166" i="43"/>
  <c r="J177" i="28"/>
  <c r="H177" i="29"/>
  <c r="J127" i="28"/>
  <c r="H127" i="29"/>
  <c r="H132" i="24"/>
  <c r="J132" i="23"/>
  <c r="H168" i="31"/>
  <c r="J168" i="31" s="1"/>
  <c r="J168" i="43"/>
  <c r="H128" i="24"/>
  <c r="J128" i="23"/>
  <c r="H131" i="24"/>
  <c r="J131" i="23"/>
  <c r="H130" i="24"/>
  <c r="J130" i="23"/>
  <c r="H133" i="24"/>
  <c r="J133" i="23"/>
  <c r="H167" i="31"/>
  <c r="J167" i="31" s="1"/>
  <c r="J167" i="43"/>
  <c r="H181" i="23"/>
  <c r="J181" i="22"/>
  <c r="H180" i="24"/>
  <c r="J180" i="23"/>
  <c r="H174" i="24"/>
  <c r="J174" i="23"/>
  <c r="H175" i="23"/>
  <c r="J175" i="22"/>
  <c r="H178" i="24"/>
  <c r="J178" i="23"/>
  <c r="H186" i="23"/>
  <c r="J186" i="22"/>
  <c r="H183" i="24"/>
  <c r="J183" i="23"/>
  <c r="H184" i="24"/>
  <c r="J184" i="23"/>
  <c r="H185" i="24"/>
  <c r="J185" i="23"/>
  <c r="H173" i="24"/>
  <c r="J173" i="23"/>
  <c r="H176" i="22"/>
  <c r="J176" i="21"/>
  <c r="H179" i="24"/>
  <c r="J179" i="23"/>
  <c r="H161" i="24"/>
  <c r="J161" i="23"/>
  <c r="H188" i="22"/>
  <c r="J188" i="21"/>
  <c r="H163" i="23"/>
  <c r="J163" i="22"/>
  <c r="H165" i="24"/>
  <c r="J165" i="23"/>
  <c r="H162" i="24"/>
  <c r="J162" i="23"/>
  <c r="H164" i="24"/>
  <c r="J164" i="23"/>
  <c r="H138" i="24"/>
  <c r="J138" i="23"/>
  <c r="H140" i="24"/>
  <c r="J140" i="23"/>
  <c r="J141" i="23"/>
  <c r="J142" i="23"/>
  <c r="H139" i="24"/>
  <c r="J139" i="23"/>
  <c r="H115" i="24"/>
  <c r="J115" i="23"/>
  <c r="H119" i="24"/>
  <c r="J119" i="23"/>
  <c r="H122" i="24"/>
  <c r="J122" i="23"/>
  <c r="H121" i="24"/>
  <c r="J121" i="23"/>
  <c r="H114" i="24"/>
  <c r="J114" i="23"/>
  <c r="H123" i="24"/>
  <c r="J123" i="23"/>
  <c r="H116" i="24"/>
  <c r="J116" i="23"/>
  <c r="H120" i="24"/>
  <c r="J120" i="23"/>
  <c r="H113" i="23"/>
  <c r="J113" i="22"/>
  <c r="H118" i="24"/>
  <c r="J118" i="23"/>
  <c r="H117" i="24"/>
  <c r="J117" i="23"/>
  <c r="H112" i="24"/>
  <c r="J112" i="23"/>
  <c r="AC35" i="44"/>
  <c r="H9" i="25" l="1"/>
  <c r="E8" i="43"/>
  <c r="F8" i="43" s="1"/>
  <c r="E8" i="31" s="1"/>
  <c r="F8" i="31" s="1"/>
  <c r="E19" i="20"/>
  <c r="G19" i="19"/>
  <c r="H30" i="18"/>
  <c r="E10" i="43"/>
  <c r="G7" i="40"/>
  <c r="E7" i="27"/>
  <c r="G7" i="27" s="1"/>
  <c r="G95" i="25"/>
  <c r="H95" i="25" s="1"/>
  <c r="G99" i="25"/>
  <c r="H99" i="25" s="1"/>
  <c r="G103" i="25"/>
  <c r="H103" i="25" s="1"/>
  <c r="G97" i="25"/>
  <c r="H97" i="25" s="1"/>
  <c r="G101" i="25"/>
  <c r="H101" i="25" s="1"/>
  <c r="I59" i="25"/>
  <c r="H7" i="25"/>
  <c r="G105" i="25"/>
  <c r="H105" i="25" s="1"/>
  <c r="G9" i="40"/>
  <c r="H27" i="30"/>
  <c r="G105" i="28"/>
  <c r="G103" i="28"/>
  <c r="G101" i="28"/>
  <c r="G97" i="28"/>
  <c r="G95" i="28"/>
  <c r="G99" i="28"/>
  <c r="I59" i="28"/>
  <c r="E7" i="29"/>
  <c r="H144" i="25"/>
  <c r="J144" i="24"/>
  <c r="J147" i="24"/>
  <c r="H147" i="25"/>
  <c r="J150" i="24"/>
  <c r="H150" i="25"/>
  <c r="H143" i="25"/>
  <c r="J143" i="24"/>
  <c r="H145" i="25"/>
  <c r="J145" i="24"/>
  <c r="H152" i="29"/>
  <c r="J152" i="28"/>
  <c r="H151" i="27"/>
  <c r="J151" i="40"/>
  <c r="J148" i="24"/>
  <c r="H148" i="25"/>
  <c r="H149" i="25"/>
  <c r="J149" i="24"/>
  <c r="H146" i="25"/>
  <c r="J146" i="24"/>
  <c r="H134" i="29"/>
  <c r="J134" i="28"/>
  <c r="H127" i="30"/>
  <c r="J127" i="29"/>
  <c r="H130" i="25"/>
  <c r="J130" i="24"/>
  <c r="J182" i="29"/>
  <c r="H182" i="30"/>
  <c r="H133" i="25"/>
  <c r="J133" i="24"/>
  <c r="H128" i="25"/>
  <c r="J128" i="24"/>
  <c r="H132" i="25"/>
  <c r="J132" i="24"/>
  <c r="H129" i="25"/>
  <c r="J129" i="24"/>
  <c r="H131" i="25"/>
  <c r="J131" i="24"/>
  <c r="J177" i="29"/>
  <c r="H177" i="30"/>
  <c r="H176" i="23"/>
  <c r="J176" i="22"/>
  <c r="H185" i="25"/>
  <c r="J185" i="24"/>
  <c r="H183" i="25"/>
  <c r="J183" i="24"/>
  <c r="H178" i="25"/>
  <c r="J178" i="24"/>
  <c r="H174" i="25"/>
  <c r="J174" i="24"/>
  <c r="H181" i="24"/>
  <c r="J181" i="23"/>
  <c r="H179" i="25"/>
  <c r="J179" i="24"/>
  <c r="H173" i="25"/>
  <c r="J173" i="24"/>
  <c r="H184" i="25"/>
  <c r="J184" i="24"/>
  <c r="H186" i="24"/>
  <c r="J186" i="23"/>
  <c r="H175" i="24"/>
  <c r="J175" i="23"/>
  <c r="H180" i="25"/>
  <c r="J180" i="24"/>
  <c r="H164" i="25"/>
  <c r="J164" i="24"/>
  <c r="H165" i="25"/>
  <c r="J165" i="24"/>
  <c r="H161" i="25"/>
  <c r="J161" i="24"/>
  <c r="H162" i="25"/>
  <c r="J162" i="24"/>
  <c r="H163" i="24"/>
  <c r="J163" i="23"/>
  <c r="H188" i="23"/>
  <c r="J188" i="22"/>
  <c r="H139" i="25"/>
  <c r="J139" i="24"/>
  <c r="H142" i="25"/>
  <c r="H141" i="25"/>
  <c r="H140" i="25"/>
  <c r="J140" i="24"/>
  <c r="H138" i="25"/>
  <c r="J138" i="24"/>
  <c r="H117" i="25"/>
  <c r="J117" i="24"/>
  <c r="H113" i="24"/>
  <c r="J113" i="23"/>
  <c r="H116" i="25"/>
  <c r="J116" i="24"/>
  <c r="H114" i="25"/>
  <c r="J114" i="24"/>
  <c r="H122" i="25"/>
  <c r="J122" i="24"/>
  <c r="H115" i="25"/>
  <c r="J115" i="24"/>
  <c r="H112" i="25"/>
  <c r="J112" i="24"/>
  <c r="H118" i="25"/>
  <c r="J118" i="24"/>
  <c r="H120" i="25"/>
  <c r="J120" i="24"/>
  <c r="H123" i="25"/>
  <c r="J123" i="24"/>
  <c r="H121" i="25"/>
  <c r="J121" i="24"/>
  <c r="H119" i="25"/>
  <c r="J119" i="24"/>
  <c r="AB32" i="49"/>
  <c r="H9" i="40" l="1"/>
  <c r="E30" i="19"/>
  <c r="G30" i="19" s="1"/>
  <c r="G32" i="19" s="1"/>
  <c r="H32" i="19" s="1"/>
  <c r="G20" i="19"/>
  <c r="H20" i="19" s="1"/>
  <c r="G187" i="19"/>
  <c r="H187" i="19" s="1"/>
  <c r="J187" i="19" s="1"/>
  <c r="E19" i="21"/>
  <c r="G19" i="20"/>
  <c r="H19" i="19"/>
  <c r="G9" i="27"/>
  <c r="E9" i="28"/>
  <c r="F9" i="28" s="1"/>
  <c r="G95" i="27"/>
  <c r="I59" i="27"/>
  <c r="G97" i="27"/>
  <c r="G101" i="27"/>
  <c r="G105" i="27"/>
  <c r="G103" i="27"/>
  <c r="G99" i="27"/>
  <c r="F7" i="29"/>
  <c r="O10" i="29" s="1"/>
  <c r="H7" i="40"/>
  <c r="H7" i="27" s="1"/>
  <c r="H7" i="28" s="1"/>
  <c r="G105" i="40"/>
  <c r="H105" i="40" s="1"/>
  <c r="G103" i="40"/>
  <c r="H103" i="40" s="1"/>
  <c r="G99" i="40"/>
  <c r="H99" i="40" s="1"/>
  <c r="I59" i="40"/>
  <c r="G101" i="40"/>
  <c r="H101" i="40" s="1"/>
  <c r="G97" i="40"/>
  <c r="H97" i="40" s="1"/>
  <c r="G95" i="40"/>
  <c r="H95" i="40" s="1"/>
  <c r="F10" i="43"/>
  <c r="G8" i="43"/>
  <c r="E27" i="43" s="1"/>
  <c r="G27" i="43" s="1"/>
  <c r="G8" i="50"/>
  <c r="E28" i="50" s="1"/>
  <c r="G28" i="50" s="1"/>
  <c r="G8" i="31"/>
  <c r="E27" i="31" s="1"/>
  <c r="G27" i="31" s="1"/>
  <c r="J143" i="25"/>
  <c r="H143" i="40"/>
  <c r="J150" i="25"/>
  <c r="H150" i="40"/>
  <c r="H134" i="30"/>
  <c r="J134" i="29"/>
  <c r="H151" i="28"/>
  <c r="J151" i="27"/>
  <c r="J147" i="25"/>
  <c r="H147" i="40"/>
  <c r="H146" i="40"/>
  <c r="J146" i="25"/>
  <c r="H152" i="30"/>
  <c r="J152" i="29"/>
  <c r="J148" i="25"/>
  <c r="H148" i="40"/>
  <c r="H149" i="40"/>
  <c r="J149" i="25"/>
  <c r="J145" i="25"/>
  <c r="H145" i="40"/>
  <c r="J144" i="25"/>
  <c r="H144" i="40"/>
  <c r="H129" i="40"/>
  <c r="J129" i="25"/>
  <c r="J127" i="30"/>
  <c r="H127" i="43"/>
  <c r="J182" i="30"/>
  <c r="H182" i="43"/>
  <c r="H128" i="40"/>
  <c r="J128" i="25"/>
  <c r="H131" i="40"/>
  <c r="J131" i="25"/>
  <c r="H132" i="40"/>
  <c r="J132" i="25"/>
  <c r="H133" i="40"/>
  <c r="J133" i="25"/>
  <c r="H130" i="40"/>
  <c r="J130" i="25"/>
  <c r="H177" i="43"/>
  <c r="J177" i="30"/>
  <c r="H175" i="25"/>
  <c r="J175" i="24"/>
  <c r="H184" i="40"/>
  <c r="J184" i="25"/>
  <c r="H179" i="40"/>
  <c r="J179" i="25"/>
  <c r="H174" i="40"/>
  <c r="J174" i="25"/>
  <c r="H183" i="40"/>
  <c r="J183" i="25"/>
  <c r="H176" i="24"/>
  <c r="J176" i="23"/>
  <c r="H180" i="40"/>
  <c r="J180" i="25"/>
  <c r="H186" i="25"/>
  <c r="J186" i="24"/>
  <c r="H173" i="40"/>
  <c r="J173" i="25"/>
  <c r="H181" i="25"/>
  <c r="J181" i="24"/>
  <c r="H178" i="40"/>
  <c r="J178" i="25"/>
  <c r="H185" i="40"/>
  <c r="J185" i="25"/>
  <c r="H188" i="24"/>
  <c r="J188" i="23"/>
  <c r="H162" i="40"/>
  <c r="J162" i="25"/>
  <c r="H164" i="40"/>
  <c r="J164" i="25"/>
  <c r="H163" i="25"/>
  <c r="J163" i="24"/>
  <c r="H161" i="40"/>
  <c r="J161" i="25"/>
  <c r="H165" i="40"/>
  <c r="J165" i="25"/>
  <c r="H138" i="40"/>
  <c r="J138" i="25"/>
  <c r="H140" i="40"/>
  <c r="J140" i="25"/>
  <c r="H142" i="40"/>
  <c r="J142" i="25"/>
  <c r="H141" i="40"/>
  <c r="J141" i="25"/>
  <c r="H139" i="40"/>
  <c r="J139" i="25"/>
  <c r="H121" i="40"/>
  <c r="J121" i="25"/>
  <c r="H120" i="40"/>
  <c r="J120" i="25"/>
  <c r="H112" i="40"/>
  <c r="J112" i="25"/>
  <c r="H122" i="40"/>
  <c r="J122" i="25"/>
  <c r="H116" i="40"/>
  <c r="J116" i="25"/>
  <c r="H117" i="40"/>
  <c r="J117" i="25"/>
  <c r="H119" i="40"/>
  <c r="J119" i="25"/>
  <c r="H123" i="40"/>
  <c r="J123" i="25"/>
  <c r="H118" i="40"/>
  <c r="J118" i="25"/>
  <c r="H115" i="40"/>
  <c r="J115" i="25"/>
  <c r="H114" i="40"/>
  <c r="J114" i="25"/>
  <c r="H113" i="25"/>
  <c r="J113" i="24"/>
  <c r="H9" i="27" l="1"/>
  <c r="H30" i="19"/>
  <c r="H99" i="27"/>
  <c r="H99" i="28" s="1"/>
  <c r="H105" i="27"/>
  <c r="H105" i="28" s="1"/>
  <c r="H19" i="20"/>
  <c r="G20" i="20"/>
  <c r="H20" i="20" s="1"/>
  <c r="G187" i="20"/>
  <c r="H187" i="20" s="1"/>
  <c r="J187" i="20" s="1"/>
  <c r="E30" i="20"/>
  <c r="G30" i="20" s="1"/>
  <c r="G19" i="21"/>
  <c r="G7" i="29"/>
  <c r="I59" i="29" s="1"/>
  <c r="H95" i="27"/>
  <c r="H95" i="28" s="1"/>
  <c r="H103" i="27"/>
  <c r="H103" i="28" s="1"/>
  <c r="E9" i="29"/>
  <c r="F9" i="29" s="1"/>
  <c r="G9" i="28"/>
  <c r="G10" i="43"/>
  <c r="H10" i="43" s="1"/>
  <c r="H10" i="50" s="1"/>
  <c r="E10" i="31"/>
  <c r="F10" i="31" s="1"/>
  <c r="G10" i="31" s="1"/>
  <c r="H101" i="27"/>
  <c r="H101" i="28" s="1"/>
  <c r="H97" i="27"/>
  <c r="H97" i="28" s="1"/>
  <c r="H27" i="43"/>
  <c r="H27" i="31" s="1"/>
  <c r="E7" i="30"/>
  <c r="F7" i="30" s="1"/>
  <c r="H151" i="29"/>
  <c r="J151" i="28"/>
  <c r="H144" i="27"/>
  <c r="J144" i="40"/>
  <c r="H152" i="43"/>
  <c r="J152" i="30"/>
  <c r="H134" i="43"/>
  <c r="J134" i="30"/>
  <c r="J145" i="40"/>
  <c r="H145" i="27"/>
  <c r="H150" i="27"/>
  <c r="J150" i="40"/>
  <c r="H148" i="27"/>
  <c r="J148" i="40"/>
  <c r="H146" i="27"/>
  <c r="J146" i="40"/>
  <c r="H147" i="27"/>
  <c r="J147" i="40"/>
  <c r="H143" i="27"/>
  <c r="J143" i="40"/>
  <c r="J149" i="40"/>
  <c r="H149" i="27"/>
  <c r="H133" i="27"/>
  <c r="J133" i="40"/>
  <c r="H129" i="27"/>
  <c r="J129" i="40"/>
  <c r="J182" i="43"/>
  <c r="H182" i="31"/>
  <c r="J182" i="31" s="1"/>
  <c r="H131" i="27"/>
  <c r="J131" i="40"/>
  <c r="J177" i="43"/>
  <c r="H177" i="31"/>
  <c r="J177" i="31" s="1"/>
  <c r="H121" i="50"/>
  <c r="J121" i="50" s="1"/>
  <c r="H130" i="27"/>
  <c r="J130" i="40"/>
  <c r="H132" i="27"/>
  <c r="J132" i="40"/>
  <c r="H128" i="27"/>
  <c r="J128" i="40"/>
  <c r="H127" i="31"/>
  <c r="J127" i="31" s="1"/>
  <c r="J127" i="43"/>
  <c r="H178" i="27"/>
  <c r="J178" i="40"/>
  <c r="H173" i="27"/>
  <c r="J173" i="40"/>
  <c r="H180" i="27"/>
  <c r="J180" i="40"/>
  <c r="H183" i="27"/>
  <c r="J183" i="40"/>
  <c r="H179" i="27"/>
  <c r="J179" i="40"/>
  <c r="H175" i="40"/>
  <c r="J175" i="25"/>
  <c r="H185" i="27"/>
  <c r="J185" i="40"/>
  <c r="H181" i="40"/>
  <c r="J181" i="25"/>
  <c r="H186" i="40"/>
  <c r="J186" i="25"/>
  <c r="H176" i="25"/>
  <c r="J176" i="24"/>
  <c r="H174" i="27"/>
  <c r="J174" i="40"/>
  <c r="H184" i="27"/>
  <c r="J184" i="40"/>
  <c r="H165" i="27"/>
  <c r="J165" i="40"/>
  <c r="H163" i="40"/>
  <c r="J163" i="25"/>
  <c r="H188" i="25"/>
  <c r="J188" i="24"/>
  <c r="H161" i="27"/>
  <c r="J161" i="40"/>
  <c r="H164" i="27"/>
  <c r="J164" i="40"/>
  <c r="H162" i="27"/>
  <c r="J162" i="40"/>
  <c r="H139" i="27"/>
  <c r="J139" i="40"/>
  <c r="H140" i="27"/>
  <c r="J140" i="40"/>
  <c r="H138" i="27"/>
  <c r="J138" i="40"/>
  <c r="H141" i="27"/>
  <c r="J141" i="40"/>
  <c r="H142" i="27"/>
  <c r="J142" i="40"/>
  <c r="H114" i="27"/>
  <c r="J114" i="40"/>
  <c r="H118" i="27"/>
  <c r="J118" i="40"/>
  <c r="H119" i="27"/>
  <c r="J119" i="40"/>
  <c r="H116" i="27"/>
  <c r="J116" i="40"/>
  <c r="H112" i="27"/>
  <c r="J112" i="40"/>
  <c r="H121" i="27"/>
  <c r="J121" i="40"/>
  <c r="H113" i="40"/>
  <c r="J113" i="25"/>
  <c r="H115" i="27"/>
  <c r="J115" i="40"/>
  <c r="H123" i="27"/>
  <c r="J123" i="40"/>
  <c r="H117" i="27"/>
  <c r="J117" i="40"/>
  <c r="H122" i="27"/>
  <c r="J122" i="40"/>
  <c r="H120" i="27"/>
  <c r="J120" i="40"/>
  <c r="AC2" i="49"/>
  <c r="AC9" i="49"/>
  <c r="AC7" i="49"/>
  <c r="AC8" i="49"/>
  <c r="AC6" i="49"/>
  <c r="G32" i="20" l="1"/>
  <c r="H32" i="20" s="1"/>
  <c r="H9" i="28"/>
  <c r="G103" i="29"/>
  <c r="H103" i="29" s="1"/>
  <c r="G101" i="29"/>
  <c r="H101" i="29" s="1"/>
  <c r="G97" i="29"/>
  <c r="H97" i="29" s="1"/>
  <c r="G105" i="29"/>
  <c r="H105" i="29" s="1"/>
  <c r="G95" i="29"/>
  <c r="H95" i="29" s="1"/>
  <c r="G99" i="29"/>
  <c r="H99" i="29" s="1"/>
  <c r="E19" i="22"/>
  <c r="G19" i="22" s="1"/>
  <c r="H30" i="20"/>
  <c r="G187" i="21"/>
  <c r="H187" i="21" s="1"/>
  <c r="J187" i="21" s="1"/>
  <c r="E30" i="21"/>
  <c r="G30" i="21" s="1"/>
  <c r="G32" i="21" s="1"/>
  <c r="G20" i="21"/>
  <c r="H20" i="21" s="1"/>
  <c r="H19" i="21"/>
  <c r="H10" i="31"/>
  <c r="G9" i="29"/>
  <c r="E9" i="30"/>
  <c r="F9" i="30" s="1"/>
  <c r="G9" i="30" s="1"/>
  <c r="O12" i="29"/>
  <c r="H7" i="29"/>
  <c r="G7" i="30"/>
  <c r="H146" i="28"/>
  <c r="J146" i="27"/>
  <c r="J134" i="43"/>
  <c r="H134" i="31"/>
  <c r="J134" i="31" s="1"/>
  <c r="J149" i="27"/>
  <c r="H149" i="28"/>
  <c r="H148" i="28"/>
  <c r="J148" i="27"/>
  <c r="H152" i="31"/>
  <c r="J152" i="31" s="1"/>
  <c r="J152" i="43"/>
  <c r="H143" i="28"/>
  <c r="J143" i="27"/>
  <c r="J150" i="27"/>
  <c r="H150" i="28"/>
  <c r="J144" i="27"/>
  <c r="H144" i="28"/>
  <c r="H145" i="28"/>
  <c r="J145" i="27"/>
  <c r="J147" i="27"/>
  <c r="H147" i="28"/>
  <c r="H151" i="30"/>
  <c r="J151" i="29"/>
  <c r="H133" i="28"/>
  <c r="J133" i="27"/>
  <c r="H132" i="28"/>
  <c r="J132" i="27"/>
  <c r="H131" i="28"/>
  <c r="J131" i="27"/>
  <c r="H129" i="28"/>
  <c r="J129" i="27"/>
  <c r="H128" i="28"/>
  <c r="J128" i="27"/>
  <c r="H130" i="28"/>
  <c r="J130" i="27"/>
  <c r="H174" i="28"/>
  <c r="J174" i="27"/>
  <c r="H186" i="27"/>
  <c r="J186" i="40"/>
  <c r="H185" i="28"/>
  <c r="J185" i="27"/>
  <c r="H179" i="28"/>
  <c r="J179" i="27"/>
  <c r="H180" i="28"/>
  <c r="J180" i="27"/>
  <c r="H178" i="28"/>
  <c r="J178" i="27"/>
  <c r="H184" i="28"/>
  <c r="J184" i="27"/>
  <c r="H176" i="40"/>
  <c r="J176" i="25"/>
  <c r="H181" i="27"/>
  <c r="J181" i="40"/>
  <c r="H175" i="27"/>
  <c r="J175" i="40"/>
  <c r="H183" i="28"/>
  <c r="J183" i="27"/>
  <c r="H173" i="28"/>
  <c r="J173" i="27"/>
  <c r="H162" i="28"/>
  <c r="J162" i="27"/>
  <c r="H161" i="28"/>
  <c r="J161" i="27"/>
  <c r="H165" i="28"/>
  <c r="J165" i="27"/>
  <c r="H164" i="28"/>
  <c r="J164" i="27"/>
  <c r="H188" i="40"/>
  <c r="J188" i="25"/>
  <c r="H163" i="27"/>
  <c r="J163" i="40"/>
  <c r="H141" i="28"/>
  <c r="J141" i="27"/>
  <c r="H140" i="28"/>
  <c r="J140" i="27"/>
  <c r="H142" i="28"/>
  <c r="J142" i="27"/>
  <c r="H138" i="28"/>
  <c r="J138" i="27"/>
  <c r="H139" i="28"/>
  <c r="J139" i="27"/>
  <c r="H122" i="28"/>
  <c r="J122" i="27"/>
  <c r="H123" i="28"/>
  <c r="J123" i="27"/>
  <c r="H113" i="27"/>
  <c r="J113" i="40"/>
  <c r="H112" i="28"/>
  <c r="J112" i="27"/>
  <c r="H119" i="28"/>
  <c r="J119" i="27"/>
  <c r="H114" i="28"/>
  <c r="J114" i="27"/>
  <c r="H120" i="28"/>
  <c r="J120" i="27"/>
  <c r="H117" i="28"/>
  <c r="J117" i="27"/>
  <c r="H115" i="28"/>
  <c r="J115" i="27"/>
  <c r="H121" i="28"/>
  <c r="J121" i="27"/>
  <c r="H116" i="28"/>
  <c r="J116" i="27"/>
  <c r="H118" i="28"/>
  <c r="J118" i="27"/>
  <c r="AC5" i="49"/>
  <c r="AC4" i="49"/>
  <c r="H32" i="21" l="1"/>
  <c r="H9" i="29"/>
  <c r="H9" i="30" s="1"/>
  <c r="E19" i="23"/>
  <c r="G19" i="23" s="1"/>
  <c r="H19" i="22"/>
  <c r="E9" i="43"/>
  <c r="F9" i="43" s="1"/>
  <c r="G9" i="43" s="1"/>
  <c r="H30" i="21"/>
  <c r="E30" i="22"/>
  <c r="G30" i="22" s="1"/>
  <c r="G32" i="22" s="1"/>
  <c r="G20" i="22"/>
  <c r="H20" i="22" s="1"/>
  <c r="G187" i="22"/>
  <c r="H187" i="22" s="1"/>
  <c r="J187" i="22" s="1"/>
  <c r="G105" i="30"/>
  <c r="H105" i="30" s="1"/>
  <c r="G99" i="30"/>
  <c r="H99" i="30" s="1"/>
  <c r="G97" i="30"/>
  <c r="H97" i="30" s="1"/>
  <c r="G95" i="30"/>
  <c r="H95" i="30" s="1"/>
  <c r="G103" i="30"/>
  <c r="H103" i="30" s="1"/>
  <c r="G101" i="30"/>
  <c r="H101" i="30" s="1"/>
  <c r="I59" i="30"/>
  <c r="H7" i="30"/>
  <c r="E7" i="43"/>
  <c r="F7" i="43" s="1"/>
  <c r="H144" i="29"/>
  <c r="J144" i="28"/>
  <c r="H148" i="29"/>
  <c r="J148" i="28"/>
  <c r="J146" i="28"/>
  <c r="H146" i="29"/>
  <c r="H151" i="43"/>
  <c r="J151" i="30"/>
  <c r="J145" i="28"/>
  <c r="H145" i="29"/>
  <c r="J147" i="28"/>
  <c r="H147" i="29"/>
  <c r="J150" i="28"/>
  <c r="H150" i="29"/>
  <c r="J143" i="28"/>
  <c r="H143" i="29"/>
  <c r="J149" i="28"/>
  <c r="H149" i="29"/>
  <c r="H131" i="29"/>
  <c r="J131" i="28"/>
  <c r="H128" i="29"/>
  <c r="J128" i="28"/>
  <c r="H130" i="29"/>
  <c r="J130" i="28"/>
  <c r="H129" i="29"/>
  <c r="J129" i="28"/>
  <c r="H132" i="29"/>
  <c r="J132" i="28"/>
  <c r="H133" i="29"/>
  <c r="J133" i="28"/>
  <c r="H183" i="29"/>
  <c r="J183" i="28"/>
  <c r="H181" i="28"/>
  <c r="J181" i="27"/>
  <c r="H184" i="29"/>
  <c r="J184" i="28"/>
  <c r="H180" i="29"/>
  <c r="J180" i="28"/>
  <c r="H185" i="29"/>
  <c r="J185" i="28"/>
  <c r="H174" i="29"/>
  <c r="J174" i="28"/>
  <c r="H173" i="29"/>
  <c r="J173" i="28"/>
  <c r="H175" i="28"/>
  <c r="J175" i="27"/>
  <c r="H176" i="27"/>
  <c r="J176" i="40"/>
  <c r="H178" i="29"/>
  <c r="J178" i="28"/>
  <c r="H179" i="29"/>
  <c r="J179" i="28"/>
  <c r="H186" i="28"/>
  <c r="J186" i="27"/>
  <c r="H163" i="28"/>
  <c r="J163" i="27"/>
  <c r="H164" i="29"/>
  <c r="J164" i="28"/>
  <c r="H162" i="29"/>
  <c r="J162" i="28"/>
  <c r="H188" i="27"/>
  <c r="J188" i="40"/>
  <c r="H165" i="29"/>
  <c r="J165" i="28"/>
  <c r="H161" i="29"/>
  <c r="J161" i="28"/>
  <c r="H138" i="29"/>
  <c r="J138" i="28"/>
  <c r="H141" i="29"/>
  <c r="J141" i="28"/>
  <c r="H142" i="29"/>
  <c r="J142" i="28"/>
  <c r="H139" i="29"/>
  <c r="J139" i="28"/>
  <c r="H140" i="29"/>
  <c r="J140" i="28"/>
  <c r="H116" i="29"/>
  <c r="J116" i="28"/>
  <c r="H115" i="29"/>
  <c r="J115" i="28"/>
  <c r="H120" i="29"/>
  <c r="J120" i="28"/>
  <c r="H119" i="29"/>
  <c r="J119" i="28"/>
  <c r="H113" i="28"/>
  <c r="J113" i="27"/>
  <c r="H122" i="29"/>
  <c r="J122" i="28"/>
  <c r="H118" i="29"/>
  <c r="J118" i="28"/>
  <c r="H121" i="29"/>
  <c r="J121" i="28"/>
  <c r="H117" i="29"/>
  <c r="J117" i="28"/>
  <c r="H114" i="29"/>
  <c r="J114" i="28"/>
  <c r="H112" i="29"/>
  <c r="J112" i="28"/>
  <c r="H123" i="29"/>
  <c r="J123" i="28"/>
  <c r="AC3" i="49"/>
  <c r="H32" i="22" l="1"/>
  <c r="H9" i="43"/>
  <c r="H9" i="50" s="1"/>
  <c r="J9" i="50" s="1"/>
  <c r="E19" i="24"/>
  <c r="H30" i="22"/>
  <c r="G20" i="23"/>
  <c r="H20" i="23" s="1"/>
  <c r="G187" i="23"/>
  <c r="H187" i="23" s="1"/>
  <c r="J187" i="23" s="1"/>
  <c r="E30" i="23"/>
  <c r="G30" i="23" s="1"/>
  <c r="G32" i="23" s="1"/>
  <c r="H19" i="23"/>
  <c r="E9" i="31"/>
  <c r="F9" i="31" s="1"/>
  <c r="G9" i="31" s="1"/>
  <c r="E7" i="31"/>
  <c r="F7" i="31" s="1"/>
  <c r="J144" i="29"/>
  <c r="H144" i="30"/>
  <c r="H143" i="30"/>
  <c r="J143" i="29"/>
  <c r="J151" i="43"/>
  <c r="H151" i="31"/>
  <c r="J151" i="31" s="1"/>
  <c r="H147" i="30"/>
  <c r="J147" i="29"/>
  <c r="H146" i="30"/>
  <c r="J146" i="29"/>
  <c r="J148" i="29"/>
  <c r="H148" i="30"/>
  <c r="H150" i="30"/>
  <c r="J150" i="29"/>
  <c r="J149" i="29"/>
  <c r="H149" i="30"/>
  <c r="H145" i="30"/>
  <c r="J145" i="29"/>
  <c r="H131" i="30"/>
  <c r="J131" i="29"/>
  <c r="H132" i="30"/>
  <c r="J132" i="29"/>
  <c r="H133" i="30"/>
  <c r="J133" i="29"/>
  <c r="H129" i="30"/>
  <c r="J129" i="29"/>
  <c r="H128" i="30"/>
  <c r="J128" i="29"/>
  <c r="H130" i="30"/>
  <c r="J130" i="29"/>
  <c r="H179" i="30"/>
  <c r="J179" i="29"/>
  <c r="H176" i="28"/>
  <c r="J176" i="27"/>
  <c r="H173" i="30"/>
  <c r="J173" i="29"/>
  <c r="H185" i="30"/>
  <c r="J185" i="29"/>
  <c r="H184" i="30"/>
  <c r="J184" i="29"/>
  <c r="H183" i="30"/>
  <c r="J183" i="29"/>
  <c r="H186" i="29"/>
  <c r="J186" i="28"/>
  <c r="H178" i="30"/>
  <c r="J178" i="29"/>
  <c r="H175" i="29"/>
  <c r="J175" i="28"/>
  <c r="H174" i="30"/>
  <c r="J174" i="29"/>
  <c r="H180" i="30"/>
  <c r="J180" i="29"/>
  <c r="H181" i="29"/>
  <c r="J181" i="28"/>
  <c r="H161" i="30"/>
  <c r="J161" i="29"/>
  <c r="H188" i="28"/>
  <c r="J188" i="27"/>
  <c r="H163" i="29"/>
  <c r="J163" i="28"/>
  <c r="H165" i="30"/>
  <c r="J165" i="29"/>
  <c r="H162" i="30"/>
  <c r="J162" i="29"/>
  <c r="H164" i="30"/>
  <c r="J164" i="29"/>
  <c r="H142" i="30"/>
  <c r="J142" i="29"/>
  <c r="H138" i="30"/>
  <c r="J138" i="29"/>
  <c r="H139" i="30"/>
  <c r="J139" i="29"/>
  <c r="H140" i="30"/>
  <c r="J140" i="29"/>
  <c r="H141" i="30"/>
  <c r="J141" i="29"/>
  <c r="H112" i="30"/>
  <c r="J112" i="29"/>
  <c r="H117" i="30"/>
  <c r="J117" i="29"/>
  <c r="H118" i="30"/>
  <c r="J118" i="29"/>
  <c r="H113" i="29"/>
  <c r="J113" i="28"/>
  <c r="H120" i="30"/>
  <c r="J120" i="29"/>
  <c r="H116" i="30"/>
  <c r="J116" i="29"/>
  <c r="H123" i="30"/>
  <c r="J123" i="29"/>
  <c r="H114" i="30"/>
  <c r="J114" i="29"/>
  <c r="H121" i="30"/>
  <c r="J121" i="29"/>
  <c r="H122" i="30"/>
  <c r="J122" i="29"/>
  <c r="H119" i="30"/>
  <c r="J119" i="29"/>
  <c r="H115" i="30"/>
  <c r="J115" i="29"/>
  <c r="AC33" i="44"/>
  <c r="AB30" i="49" s="1"/>
  <c r="Z28" i="49"/>
  <c r="AC28" i="44"/>
  <c r="Z25" i="49"/>
  <c r="AB7" i="49"/>
  <c r="AB9" i="49"/>
  <c r="Z30" i="49"/>
  <c r="H32" i="23" l="1"/>
  <c r="H9" i="31"/>
  <c r="H30" i="23"/>
  <c r="G19" i="24"/>
  <c r="AB25" i="49"/>
  <c r="N7" i="31"/>
  <c r="G7" i="31"/>
  <c r="G7" i="43"/>
  <c r="G7" i="50"/>
  <c r="G11" i="50" s="1"/>
  <c r="H147" i="43"/>
  <c r="J147" i="30"/>
  <c r="J150" i="30"/>
  <c r="H150" i="43"/>
  <c r="H148" i="43"/>
  <c r="J148" i="30"/>
  <c r="H149" i="43"/>
  <c r="J149" i="30"/>
  <c r="H143" i="43"/>
  <c r="J143" i="30"/>
  <c r="H144" i="43"/>
  <c r="J144" i="30"/>
  <c r="H145" i="43"/>
  <c r="J145" i="30"/>
  <c r="H146" i="43"/>
  <c r="J146" i="30"/>
  <c r="H133" i="43"/>
  <c r="J133" i="30"/>
  <c r="H131" i="43"/>
  <c r="J131" i="30"/>
  <c r="H130" i="43"/>
  <c r="J130" i="30"/>
  <c r="H129" i="43"/>
  <c r="J129" i="30"/>
  <c r="H132" i="43"/>
  <c r="J132" i="30"/>
  <c r="H128" i="43"/>
  <c r="J128" i="30"/>
  <c r="H180" i="43"/>
  <c r="J180" i="30"/>
  <c r="H175" i="30"/>
  <c r="J175" i="29"/>
  <c r="H186" i="30"/>
  <c r="J186" i="29"/>
  <c r="H184" i="43"/>
  <c r="J184" i="30"/>
  <c r="H173" i="43"/>
  <c r="J173" i="30"/>
  <c r="H179" i="43"/>
  <c r="J179" i="30"/>
  <c r="H181" i="30"/>
  <c r="J181" i="29"/>
  <c r="H174" i="43"/>
  <c r="J174" i="30"/>
  <c r="H178" i="43"/>
  <c r="J178" i="30"/>
  <c r="H183" i="43"/>
  <c r="J183" i="30"/>
  <c r="H185" i="43"/>
  <c r="J185" i="30"/>
  <c r="H176" i="29"/>
  <c r="J176" i="28"/>
  <c r="H164" i="43"/>
  <c r="J164" i="30"/>
  <c r="H165" i="43"/>
  <c r="J165" i="30"/>
  <c r="H161" i="43"/>
  <c r="J161" i="30"/>
  <c r="H162" i="43"/>
  <c r="J162" i="30"/>
  <c r="H163" i="30"/>
  <c r="J163" i="29"/>
  <c r="H188" i="29"/>
  <c r="J188" i="28"/>
  <c r="H141" i="43"/>
  <c r="J141" i="30"/>
  <c r="H140" i="43"/>
  <c r="J140" i="30"/>
  <c r="H139" i="43"/>
  <c r="J139" i="30"/>
  <c r="H138" i="43"/>
  <c r="J138" i="30"/>
  <c r="H142" i="43"/>
  <c r="J142" i="30"/>
  <c r="H119" i="43"/>
  <c r="J119" i="30"/>
  <c r="H121" i="43"/>
  <c r="J121" i="30"/>
  <c r="H123" i="43"/>
  <c r="J123" i="30"/>
  <c r="H120" i="43"/>
  <c r="J120" i="30"/>
  <c r="H118" i="43"/>
  <c r="J118" i="30"/>
  <c r="H112" i="43"/>
  <c r="J112" i="30"/>
  <c r="H115" i="43"/>
  <c r="J115" i="30"/>
  <c r="H122" i="43"/>
  <c r="J122" i="30"/>
  <c r="H114" i="43"/>
  <c r="J114" i="30"/>
  <c r="H116" i="43"/>
  <c r="J116" i="30"/>
  <c r="H113" i="30"/>
  <c r="J113" i="29"/>
  <c r="H117" i="43"/>
  <c r="J117" i="30"/>
  <c r="AC27" i="44"/>
  <c r="AB24" i="49" s="1"/>
  <c r="Z24" i="49"/>
  <c r="AB8" i="49"/>
  <c r="AA32" i="49"/>
  <c r="AB10" i="49"/>
  <c r="AB5" i="49"/>
  <c r="AA24" i="49"/>
  <c r="AA25" i="49"/>
  <c r="Z11" i="49"/>
  <c r="Z10" i="49"/>
  <c r="Z9" i="49"/>
  <c r="Z8" i="49"/>
  <c r="Z7" i="49"/>
  <c r="AA6" i="49"/>
  <c r="AB6" i="49"/>
  <c r="Z6" i="49"/>
  <c r="AA5" i="49"/>
  <c r="Z5" i="49"/>
  <c r="Z4" i="49"/>
  <c r="AB4" i="49"/>
  <c r="AA4" i="49"/>
  <c r="Z31" i="49"/>
  <c r="Z29" i="49"/>
  <c r="Z27" i="49"/>
  <c r="Z26" i="49"/>
  <c r="Z23" i="49"/>
  <c r="Z22" i="49"/>
  <c r="Z21" i="49"/>
  <c r="Z20" i="49"/>
  <c r="Z19" i="49"/>
  <c r="Z18" i="49"/>
  <c r="Z17" i="49"/>
  <c r="Z16" i="49"/>
  <c r="Z15" i="49"/>
  <c r="Z14" i="49"/>
  <c r="Z13" i="49"/>
  <c r="Z12" i="49"/>
  <c r="AA7" i="49"/>
  <c r="AC25" i="44"/>
  <c r="AB22" i="49" s="1"/>
  <c r="AA13" i="49"/>
  <c r="AA23" i="49"/>
  <c r="AA12" i="49"/>
  <c r="AA22" i="49"/>
  <c r="AC21" i="44"/>
  <c r="AB18" i="49" s="1"/>
  <c r="AC17" i="44"/>
  <c r="AB14" i="49" s="1"/>
  <c r="AA31" i="49"/>
  <c r="AA11" i="49"/>
  <c r="AA20" i="49"/>
  <c r="AB11" i="49"/>
  <c r="AC20" i="44"/>
  <c r="AB17" i="49" s="1"/>
  <c r="AA26" i="49"/>
  <c r="AC31" i="44"/>
  <c r="AB28" i="49" s="1"/>
  <c r="AA29" i="49"/>
  <c r="Z32" i="49"/>
  <c r="AA18" i="49"/>
  <c r="AC15" i="44"/>
  <c r="AC16" i="44"/>
  <c r="AB13" i="49" s="1"/>
  <c r="AA16" i="49"/>
  <c r="AC22" i="44"/>
  <c r="AB19" i="49" s="1"/>
  <c r="AC24" i="44"/>
  <c r="AB21" i="49" s="1"/>
  <c r="AC32" i="44"/>
  <c r="AB29" i="49" s="1"/>
  <c r="AC34" i="44"/>
  <c r="AB31" i="49" s="1"/>
  <c r="AC29" i="44"/>
  <c r="AB26" i="49" s="1"/>
  <c r="AA14" i="49"/>
  <c r="AA10" i="49"/>
  <c r="AA27" i="49"/>
  <c r="AA15" i="49"/>
  <c r="AA30" i="49"/>
  <c r="AA21" i="49"/>
  <c r="AA17" i="49"/>
  <c r="AC19" i="44"/>
  <c r="AB16" i="49" s="1"/>
  <c r="AC18" i="44"/>
  <c r="AB15" i="49" s="1"/>
  <c r="AA19" i="49"/>
  <c r="AA8" i="49"/>
  <c r="AA9" i="49"/>
  <c r="AC30" i="44"/>
  <c r="AB27" i="49" s="1"/>
  <c r="AC26" i="44"/>
  <c r="AB23" i="49" s="1"/>
  <c r="AC23" i="44"/>
  <c r="AB20" i="49" s="1"/>
  <c r="AA28" i="49"/>
  <c r="E19" i="25" l="1"/>
  <c r="G19" i="25" s="1"/>
  <c r="E30" i="24"/>
  <c r="G30" i="24" s="1"/>
  <c r="G32" i="24" s="1"/>
  <c r="H32" i="24" s="1"/>
  <c r="G187" i="24"/>
  <c r="H187" i="24" s="1"/>
  <c r="J187" i="24" s="1"/>
  <c r="G20" i="24"/>
  <c r="H20" i="24" s="1"/>
  <c r="H19" i="24"/>
  <c r="AC36" i="44"/>
  <c r="AC37" i="44"/>
  <c r="G104" i="50"/>
  <c r="G98" i="50"/>
  <c r="G100" i="50"/>
  <c r="G106" i="50"/>
  <c r="G96" i="50"/>
  <c r="G102" i="50"/>
  <c r="I60" i="50"/>
  <c r="G97" i="43"/>
  <c r="H97" i="43" s="1"/>
  <c r="J97" i="43" s="1"/>
  <c r="G99" i="43"/>
  <c r="H99" i="43" s="1"/>
  <c r="J99" i="43" s="1"/>
  <c r="G103" i="43"/>
  <c r="H103" i="43" s="1"/>
  <c r="J103" i="43" s="1"/>
  <c r="G101" i="43"/>
  <c r="H101" i="43" s="1"/>
  <c r="J101" i="43" s="1"/>
  <c r="G95" i="43"/>
  <c r="H95" i="43" s="1"/>
  <c r="G105" i="43"/>
  <c r="H105" i="43" s="1"/>
  <c r="I59" i="43"/>
  <c r="H7" i="43"/>
  <c r="G103" i="31"/>
  <c r="G95" i="31"/>
  <c r="G97" i="31"/>
  <c r="G101" i="31"/>
  <c r="G105" i="31"/>
  <c r="G99" i="31"/>
  <c r="I59" i="31"/>
  <c r="AB12" i="49"/>
  <c r="J146" i="43"/>
  <c r="H146" i="31"/>
  <c r="J146" i="31" s="1"/>
  <c r="H149" i="31"/>
  <c r="J149" i="31" s="1"/>
  <c r="J149" i="43"/>
  <c r="J145" i="43"/>
  <c r="H145" i="31"/>
  <c r="J145" i="31" s="1"/>
  <c r="H148" i="31"/>
  <c r="J148" i="31" s="1"/>
  <c r="J148" i="43"/>
  <c r="J150" i="43"/>
  <c r="H150" i="31"/>
  <c r="J150" i="31" s="1"/>
  <c r="J144" i="43"/>
  <c r="H144" i="31"/>
  <c r="J144" i="31" s="1"/>
  <c r="J143" i="43"/>
  <c r="H143" i="31"/>
  <c r="J143" i="31" s="1"/>
  <c r="H147" i="31"/>
  <c r="J147" i="31" s="1"/>
  <c r="J147" i="43"/>
  <c r="H130" i="31"/>
  <c r="J130" i="31" s="1"/>
  <c r="J130" i="43"/>
  <c r="H132" i="31"/>
  <c r="J132" i="31" s="1"/>
  <c r="J132" i="43"/>
  <c r="H128" i="31"/>
  <c r="J128" i="31" s="1"/>
  <c r="J128" i="43"/>
  <c r="J129" i="43"/>
  <c r="H129" i="31"/>
  <c r="J129" i="31" s="1"/>
  <c r="H80" i="50"/>
  <c r="H131" i="31"/>
  <c r="J131" i="31" s="1"/>
  <c r="J131" i="43"/>
  <c r="H82" i="31"/>
  <c r="J82" i="31" s="1"/>
  <c r="H133" i="31"/>
  <c r="J133" i="31" s="1"/>
  <c r="J133" i="43"/>
  <c r="J185" i="43"/>
  <c r="H185" i="31"/>
  <c r="J185" i="31" s="1"/>
  <c r="H129" i="50"/>
  <c r="J129" i="50" s="1"/>
  <c r="H178" i="31"/>
  <c r="J178" i="31" s="1"/>
  <c r="J178" i="43"/>
  <c r="H122" i="50"/>
  <c r="J122" i="50" s="1"/>
  <c r="H181" i="43"/>
  <c r="J181" i="30"/>
  <c r="H173" i="31"/>
  <c r="J173" i="31" s="1"/>
  <c r="J173" i="43"/>
  <c r="H117" i="50"/>
  <c r="J117" i="50" s="1"/>
  <c r="H186" i="43"/>
  <c r="J186" i="30"/>
  <c r="J180" i="43"/>
  <c r="H180" i="31"/>
  <c r="J180" i="31" s="1"/>
  <c r="H124" i="50"/>
  <c r="J124" i="50" s="1"/>
  <c r="H176" i="30"/>
  <c r="J176" i="29"/>
  <c r="J183" i="43"/>
  <c r="H183" i="31"/>
  <c r="J183" i="31" s="1"/>
  <c r="J174" i="43"/>
  <c r="H174" i="31"/>
  <c r="J174" i="31" s="1"/>
  <c r="H118" i="50"/>
  <c r="J118" i="50" s="1"/>
  <c r="J179" i="43"/>
  <c r="H179" i="31"/>
  <c r="J179" i="31" s="1"/>
  <c r="H123" i="50"/>
  <c r="J123" i="50" s="1"/>
  <c r="J184" i="43"/>
  <c r="H184" i="31"/>
  <c r="J184" i="31" s="1"/>
  <c r="H128" i="50"/>
  <c r="J128" i="50" s="1"/>
  <c r="H175" i="43"/>
  <c r="J175" i="30"/>
  <c r="H188" i="30"/>
  <c r="J188" i="29"/>
  <c r="J162" i="43"/>
  <c r="H162" i="31"/>
  <c r="J162" i="31" s="1"/>
  <c r="J164" i="43"/>
  <c r="H164" i="31"/>
  <c r="H163" i="43"/>
  <c r="J163" i="30"/>
  <c r="H161" i="31"/>
  <c r="J161" i="31" s="1"/>
  <c r="J161" i="43"/>
  <c r="H165" i="31"/>
  <c r="J165" i="31" s="1"/>
  <c r="J165" i="43"/>
  <c r="J142" i="43"/>
  <c r="H142" i="31"/>
  <c r="J142" i="31" s="1"/>
  <c r="J140" i="43"/>
  <c r="H140" i="31"/>
  <c r="J140" i="31" s="1"/>
  <c r="H139" i="31"/>
  <c r="J139" i="31" s="1"/>
  <c r="J139" i="43"/>
  <c r="H141" i="31"/>
  <c r="J141" i="31" s="1"/>
  <c r="J141" i="43"/>
  <c r="H138" i="31"/>
  <c r="J138" i="31" s="1"/>
  <c r="J138" i="43"/>
  <c r="H113" i="43"/>
  <c r="J113" i="30"/>
  <c r="J114" i="43"/>
  <c r="H114" i="31"/>
  <c r="J114" i="31" s="1"/>
  <c r="H115" i="31"/>
  <c r="J115" i="31" s="1"/>
  <c r="J115" i="43"/>
  <c r="J118" i="43"/>
  <c r="H118" i="31"/>
  <c r="J118" i="31" s="1"/>
  <c r="H123" i="31"/>
  <c r="J123" i="31" s="1"/>
  <c r="J123" i="43"/>
  <c r="H119" i="31"/>
  <c r="J119" i="31" s="1"/>
  <c r="J119" i="43"/>
  <c r="H117" i="31"/>
  <c r="J117" i="31" s="1"/>
  <c r="J117" i="43"/>
  <c r="H116" i="31"/>
  <c r="J116" i="31" s="1"/>
  <c r="J116" i="43"/>
  <c r="H122" i="31"/>
  <c r="J122" i="31" s="1"/>
  <c r="J122" i="43"/>
  <c r="J112" i="43"/>
  <c r="H112" i="31"/>
  <c r="J112" i="31" s="1"/>
  <c r="J120" i="43"/>
  <c r="H120" i="31"/>
  <c r="J120" i="31" s="1"/>
  <c r="H121" i="31"/>
  <c r="J121" i="31" s="1"/>
  <c r="J121" i="43"/>
  <c r="Z3" i="49"/>
  <c r="AB3" i="49"/>
  <c r="AA3" i="49"/>
  <c r="Z2" i="49"/>
  <c r="AB2" i="49"/>
  <c r="AA2" i="49"/>
  <c r="H30" i="24" l="1"/>
  <c r="H19" i="25"/>
  <c r="E30" i="25"/>
  <c r="G30" i="25" s="1"/>
  <c r="G32" i="25" s="1"/>
  <c r="H32" i="25" s="1"/>
  <c r="G187" i="25"/>
  <c r="H187" i="25" s="1"/>
  <c r="J187" i="25" s="1"/>
  <c r="G20" i="25"/>
  <c r="H20" i="25" s="1"/>
  <c r="E19" i="40"/>
  <c r="H101" i="31"/>
  <c r="J101" i="31" s="1"/>
  <c r="H99" i="31"/>
  <c r="J99" i="31" s="1"/>
  <c r="H103" i="31"/>
  <c r="J103" i="31" s="1"/>
  <c r="H105" i="31"/>
  <c r="J105" i="31" s="1"/>
  <c r="J105" i="43"/>
  <c r="H95" i="31"/>
  <c r="J95" i="31" s="1"/>
  <c r="J95" i="43"/>
  <c r="AU35" i="44"/>
  <c r="H97" i="31"/>
  <c r="J97" i="31" s="1"/>
  <c r="J164" i="31"/>
  <c r="H176" i="43"/>
  <c r="J176" i="30"/>
  <c r="J175" i="43"/>
  <c r="H175" i="31"/>
  <c r="J175" i="31" s="1"/>
  <c r="H119" i="50"/>
  <c r="J119" i="50" s="1"/>
  <c r="H181" i="31"/>
  <c r="J181" i="31" s="1"/>
  <c r="J181" i="43"/>
  <c r="J186" i="43"/>
  <c r="H186" i="31"/>
  <c r="J186" i="31" s="1"/>
  <c r="H130" i="50"/>
  <c r="J130" i="50" s="1"/>
  <c r="H163" i="31"/>
  <c r="J163" i="31" s="1"/>
  <c r="J163" i="43"/>
  <c r="H188" i="43"/>
  <c r="J188" i="30"/>
  <c r="J113" i="43"/>
  <c r="H113" i="31"/>
  <c r="J113" i="31" s="1"/>
  <c r="AN10" i="49"/>
  <c r="AE10" i="49"/>
  <c r="Y13" i="44"/>
  <c r="X10" i="49" s="1"/>
  <c r="AD10" i="49"/>
  <c r="G19" i="40" l="1"/>
  <c r="H30" i="25"/>
  <c r="AD36" i="44"/>
  <c r="AD37" i="44"/>
  <c r="AU36" i="44"/>
  <c r="AU37" i="44"/>
  <c r="AC32" i="49"/>
  <c r="H176" i="31"/>
  <c r="J176" i="31" s="1"/>
  <c r="J176" i="43"/>
  <c r="H120" i="50"/>
  <c r="J120" i="50" s="1"/>
  <c r="H188" i="31"/>
  <c r="J188" i="31" s="1"/>
  <c r="J188" i="43"/>
  <c r="H132" i="50"/>
  <c r="J132" i="50" s="1"/>
  <c r="I13" i="44"/>
  <c r="H10" i="49" s="1"/>
  <c r="J13" i="44"/>
  <c r="I10" i="49" s="1"/>
  <c r="L13" i="44"/>
  <c r="K10" i="49" s="1"/>
  <c r="F13" i="44"/>
  <c r="E10" i="49" s="1"/>
  <c r="K13" i="44"/>
  <c r="J10" i="49" s="1"/>
  <c r="M13" i="44"/>
  <c r="L10" i="49" s="1"/>
  <c r="G13" i="44"/>
  <c r="F10" i="49" s="1"/>
  <c r="H13" i="44"/>
  <c r="G10" i="49" s="1"/>
  <c r="G187" i="40" l="1"/>
  <c r="H187" i="40" s="1"/>
  <c r="J187" i="40" s="1"/>
  <c r="G20" i="40"/>
  <c r="H20" i="40" s="1"/>
  <c r="E30" i="40"/>
  <c r="G30" i="40" s="1"/>
  <c r="G32" i="40" s="1"/>
  <c r="H32" i="40" s="1"/>
  <c r="H19" i="40"/>
  <c r="E19" i="27"/>
  <c r="AT10" i="49"/>
  <c r="BB10" i="49"/>
  <c r="AS10" i="49"/>
  <c r="BA10" i="49"/>
  <c r="H30" i="40" l="1"/>
  <c r="G19" i="27"/>
  <c r="H19" i="27" s="1"/>
  <c r="C9" i="44"/>
  <c r="J6" i="48" s="1"/>
  <c r="H8" i="1"/>
  <c r="J8" i="1" s="1"/>
  <c r="C10" i="44"/>
  <c r="H9" i="1"/>
  <c r="J9" i="1" s="1"/>
  <c r="AN32" i="49"/>
  <c r="BA34" i="1"/>
  <c r="BC34" i="1"/>
  <c r="BD34" i="1"/>
  <c r="BE34" i="1"/>
  <c r="BG34" i="1"/>
  <c r="Y35" i="44"/>
  <c r="AZ34" i="1"/>
  <c r="AR34" i="1"/>
  <c r="AU34" i="1"/>
  <c r="AV34" i="1"/>
  <c r="AW34" i="1"/>
  <c r="D35" i="44"/>
  <c r="BF34" i="1"/>
  <c r="AX34" i="1"/>
  <c r="AT34" i="1"/>
  <c r="G20" i="27" l="1"/>
  <c r="H20" i="27" s="1"/>
  <c r="E30" i="27"/>
  <c r="G30" i="27" s="1"/>
  <c r="G187" i="27"/>
  <c r="H187" i="27" s="1"/>
  <c r="J187" i="27" s="1"/>
  <c r="E19" i="28"/>
  <c r="J7" i="48"/>
  <c r="AP34" i="1"/>
  <c r="M35" i="44"/>
  <c r="L32" i="49" s="1"/>
  <c r="AY34" i="1"/>
  <c r="I35" i="44"/>
  <c r="H32" i="49" s="1"/>
  <c r="AS34" i="1"/>
  <c r="H35" i="44"/>
  <c r="G32" i="49" s="1"/>
  <c r="BB34" i="1"/>
  <c r="L35" i="44"/>
  <c r="K32" i="49" s="1"/>
  <c r="BH34" i="1"/>
  <c r="G35" i="44"/>
  <c r="F32" i="49" s="1"/>
  <c r="AQ34" i="1"/>
  <c r="AN35" i="44"/>
  <c r="L34" i="1"/>
  <c r="F35" i="44"/>
  <c r="E32" i="49" s="1"/>
  <c r="J35" i="44"/>
  <c r="I32" i="49" s="1"/>
  <c r="K35" i="44"/>
  <c r="J32" i="49" s="1"/>
  <c r="AD32" i="49"/>
  <c r="AE32" i="49"/>
  <c r="X32" i="49"/>
  <c r="F19" i="28" l="1"/>
  <c r="G19" i="28" s="1"/>
  <c r="G32" i="27"/>
  <c r="H32" i="27" s="1"/>
  <c r="H30" i="27"/>
  <c r="N34" i="1"/>
  <c r="G32" i="47"/>
  <c r="AT35" i="44"/>
  <c r="AT32" i="49"/>
  <c r="BB32" i="49"/>
  <c r="AS32" i="49"/>
  <c r="BA32" i="49"/>
  <c r="E19" i="29" l="1"/>
  <c r="F19" i="29" s="1"/>
  <c r="E30" i="28"/>
  <c r="G30" i="28" s="1"/>
  <c r="G32" i="28" s="1"/>
  <c r="H32" i="28" s="1"/>
  <c r="G187" i="28"/>
  <c r="H187" i="28" s="1"/>
  <c r="J187" i="28" s="1"/>
  <c r="G20" i="28"/>
  <c r="H20" i="28" s="1"/>
  <c r="H19" i="28"/>
  <c r="AI25" i="45"/>
  <c r="AI27" i="45"/>
  <c r="H30" i="28" l="1"/>
  <c r="E19" i="30"/>
  <c r="F19" i="30" s="1"/>
  <c r="G19" i="29"/>
  <c r="AD20" i="49"/>
  <c r="G187" i="29" l="1"/>
  <c r="H187" i="29" s="1"/>
  <c r="J187" i="29" s="1"/>
  <c r="E30" i="29"/>
  <c r="G30" i="29" s="1"/>
  <c r="G32" i="29" s="1"/>
  <c r="H32" i="29" s="1"/>
  <c r="G20" i="29"/>
  <c r="H20" i="29" s="1"/>
  <c r="H19" i="29"/>
  <c r="G19" i="30"/>
  <c r="E19" i="43"/>
  <c r="L15" i="44"/>
  <c r="K12" i="49" s="1"/>
  <c r="Y15" i="44"/>
  <c r="X12" i="49" s="1"/>
  <c r="H19" i="30" l="1"/>
  <c r="G20" i="30"/>
  <c r="H20" i="30" s="1"/>
  <c r="E30" i="30"/>
  <c r="G30" i="30" s="1"/>
  <c r="G32" i="30" s="1"/>
  <c r="H32" i="30" s="1"/>
  <c r="G187" i="30"/>
  <c r="H187" i="30" s="1"/>
  <c r="J187" i="30" s="1"/>
  <c r="F19" i="43"/>
  <c r="H30" i="29"/>
  <c r="AX7" i="49"/>
  <c r="AW7" i="49"/>
  <c r="AV9" i="49"/>
  <c r="AZ10" i="49"/>
  <c r="AY10" i="49"/>
  <c r="AX10" i="49"/>
  <c r="AW10" i="49"/>
  <c r="AV10" i="49"/>
  <c r="AU10" i="49"/>
  <c r="AZ14" i="49"/>
  <c r="AY14" i="49"/>
  <c r="AX14" i="49"/>
  <c r="AW14" i="49"/>
  <c r="AV14" i="49"/>
  <c r="AU14" i="49"/>
  <c r="AZ15" i="49"/>
  <c r="AY15" i="49"/>
  <c r="AX15" i="49"/>
  <c r="AW15" i="49"/>
  <c r="AV15" i="49"/>
  <c r="AU15" i="49"/>
  <c r="AZ16" i="49"/>
  <c r="AY16" i="49"/>
  <c r="AX16" i="49"/>
  <c r="AW16" i="49"/>
  <c r="AV16" i="49"/>
  <c r="AU16" i="49"/>
  <c r="AZ18" i="49"/>
  <c r="AY18" i="49"/>
  <c r="AX18" i="49"/>
  <c r="AW18" i="49"/>
  <c r="AV18" i="49"/>
  <c r="AU18" i="49"/>
  <c r="AZ19" i="49"/>
  <c r="AY19" i="49"/>
  <c r="AX19" i="49"/>
  <c r="AW19" i="49"/>
  <c r="AV19" i="49"/>
  <c r="AU19" i="49"/>
  <c r="AZ24" i="49"/>
  <c r="AY24" i="49"/>
  <c r="AX24" i="49"/>
  <c r="AW24" i="49"/>
  <c r="AV24" i="49"/>
  <c r="AU24" i="49"/>
  <c r="AZ25" i="49"/>
  <c r="AY25" i="49"/>
  <c r="AX25" i="49"/>
  <c r="AW25" i="49"/>
  <c r="AV25" i="49"/>
  <c r="AU25" i="49"/>
  <c r="AZ26" i="49"/>
  <c r="AY26" i="49"/>
  <c r="AX26" i="49"/>
  <c r="AW26" i="49"/>
  <c r="AV26" i="49"/>
  <c r="AU26" i="49"/>
  <c r="AZ27" i="49"/>
  <c r="AY27" i="49"/>
  <c r="AX27" i="49"/>
  <c r="AW27" i="49"/>
  <c r="AV27" i="49"/>
  <c r="AU27" i="49"/>
  <c r="AZ28" i="49"/>
  <c r="AY28" i="49"/>
  <c r="AX28" i="49"/>
  <c r="AW28" i="49"/>
  <c r="AV28" i="49"/>
  <c r="AU28" i="49"/>
  <c r="AZ29" i="49"/>
  <c r="AY29" i="49"/>
  <c r="AX29" i="49"/>
  <c r="AW29" i="49"/>
  <c r="AV29" i="49"/>
  <c r="AU29" i="49"/>
  <c r="AZ32" i="49"/>
  <c r="AY32" i="49"/>
  <c r="AX32" i="49"/>
  <c r="AW32" i="49"/>
  <c r="AV32" i="49"/>
  <c r="AU32" i="49"/>
  <c r="H30" i="30" l="1"/>
  <c r="G19" i="43"/>
  <c r="E20" i="50"/>
  <c r="G20" i="50" s="1"/>
  <c r="E19" i="31"/>
  <c r="F19" i="31" s="1"/>
  <c r="G19" i="31" s="1"/>
  <c r="AT26" i="49"/>
  <c r="BB26" i="49"/>
  <c r="AT25" i="49"/>
  <c r="BB25" i="49"/>
  <c r="AT24" i="49"/>
  <c r="BB24" i="49"/>
  <c r="AS24" i="49"/>
  <c r="BA24" i="49"/>
  <c r="AT19" i="49"/>
  <c r="BB19" i="49"/>
  <c r="AS19" i="49"/>
  <c r="BA19" i="49"/>
  <c r="AT18" i="49"/>
  <c r="BB18" i="49"/>
  <c r="AT16" i="49"/>
  <c r="BB16" i="49"/>
  <c r="AS16" i="49"/>
  <c r="BA16" i="49"/>
  <c r="AT15" i="49"/>
  <c r="BB15" i="49"/>
  <c r="AS15" i="49"/>
  <c r="BA15" i="49"/>
  <c r="AT14" i="49"/>
  <c r="BB14" i="49"/>
  <c r="AS12" i="49"/>
  <c r="BA12" i="49"/>
  <c r="AU31" i="49"/>
  <c r="BB31" i="49"/>
  <c r="BA31" i="49"/>
  <c r="AZ31" i="49"/>
  <c r="AY31" i="49"/>
  <c r="AX31" i="49"/>
  <c r="AW31" i="49"/>
  <c r="AV31" i="49"/>
  <c r="AT29" i="49"/>
  <c r="BB29" i="49"/>
  <c r="AT27" i="49"/>
  <c r="BB27" i="49"/>
  <c r="AT28" i="49"/>
  <c r="BB28" i="49"/>
  <c r="AS27" i="49"/>
  <c r="BA27" i="49"/>
  <c r="AX21" i="49"/>
  <c r="AY22" i="49"/>
  <c r="AW21" i="49"/>
  <c r="AU20" i="49"/>
  <c r="AX22" i="49"/>
  <c r="AV21" i="49"/>
  <c r="AW22" i="49"/>
  <c r="AU21" i="49"/>
  <c r="AY21" i="49"/>
  <c r="AV22" i="49"/>
  <c r="AZ20" i="49"/>
  <c r="AW20" i="49"/>
  <c r="AV20" i="49"/>
  <c r="AU22" i="49"/>
  <c r="AY20" i="49"/>
  <c r="AZ22" i="49"/>
  <c r="AZ21" i="49"/>
  <c r="AX20" i="49"/>
  <c r="AT17" i="49"/>
  <c r="AY3" i="49"/>
  <c r="AW5" i="49"/>
  <c r="AU9" i="49"/>
  <c r="AY9" i="49"/>
  <c r="AW8" i="49"/>
  <c r="AU7" i="49"/>
  <c r="AZ7" i="49"/>
  <c r="AX6" i="49"/>
  <c r="AZ5" i="49"/>
  <c r="AU3" i="49"/>
  <c r="AY4" i="49"/>
  <c r="AZ9" i="49"/>
  <c r="AX8" i="49"/>
  <c r="AU6" i="49"/>
  <c r="AX3" i="49"/>
  <c r="AX4" i="49"/>
  <c r="AW3" i="49"/>
  <c r="AW4" i="49"/>
  <c r="AX9" i="49"/>
  <c r="AV8" i="49"/>
  <c r="AZ8" i="49"/>
  <c r="AW6" i="49"/>
  <c r="AU5" i="49"/>
  <c r="AY5" i="49"/>
  <c r="AU4" i="49"/>
  <c r="AY6" i="49"/>
  <c r="AV3" i="49"/>
  <c r="AZ3" i="49"/>
  <c r="AV4" i="49"/>
  <c r="AZ4" i="49"/>
  <c r="AU8" i="49"/>
  <c r="AY8" i="49"/>
  <c r="AV6" i="49"/>
  <c r="AZ6" i="49"/>
  <c r="AX5" i="49"/>
  <c r="AZ11" i="49"/>
  <c r="AY11" i="49"/>
  <c r="AW11" i="49"/>
  <c r="AV11" i="49"/>
  <c r="AZ23" i="49"/>
  <c r="AU23" i="49"/>
  <c r="AY23" i="49"/>
  <c r="AW23" i="49"/>
  <c r="AV23" i="49"/>
  <c r="AV2" i="49"/>
  <c r="AZ2" i="49"/>
  <c r="AU2" i="49"/>
  <c r="AW2" i="49"/>
  <c r="AX30" i="49"/>
  <c r="AW30" i="49"/>
  <c r="AV30" i="49"/>
  <c r="AZ30" i="49"/>
  <c r="AU30" i="49"/>
  <c r="AY30" i="49"/>
  <c r="AU13" i="49"/>
  <c r="AX13" i="49"/>
  <c r="AY13" i="49"/>
  <c r="AW13" i="49"/>
  <c r="AV13" i="49"/>
  <c r="AZ13" i="49"/>
  <c r="AX12" i="49"/>
  <c r="AW12" i="49"/>
  <c r="AV12" i="49"/>
  <c r="AZ12" i="49"/>
  <c r="AU12" i="49"/>
  <c r="AY12" i="49"/>
  <c r="AU11" i="49"/>
  <c r="AX11" i="49"/>
  <c r="AY7" i="49"/>
  <c r="AW9" i="49"/>
  <c r="AV7" i="49"/>
  <c r="AV5" i="49"/>
  <c r="AX23" i="49"/>
  <c r="G187" i="31" l="1"/>
  <c r="G20" i="31"/>
  <c r="E30" i="31"/>
  <c r="G30" i="31" s="1"/>
  <c r="G32" i="31" s="1"/>
  <c r="G21" i="50"/>
  <c r="E31" i="50"/>
  <c r="G31" i="50" s="1"/>
  <c r="G33" i="50" s="1"/>
  <c r="G20" i="43"/>
  <c r="H20" i="43" s="1"/>
  <c r="H20" i="31" s="1"/>
  <c r="G187" i="43"/>
  <c r="H187" i="43" s="1"/>
  <c r="E30" i="43"/>
  <c r="G30" i="43" s="1"/>
  <c r="H19" i="43"/>
  <c r="H19" i="31" s="1"/>
  <c r="AU17" i="49"/>
  <c r="AS17" i="49"/>
  <c r="BB17" i="49"/>
  <c r="AZ17" i="49"/>
  <c r="AS26" i="49"/>
  <c r="BA26" i="49"/>
  <c r="AS25" i="49"/>
  <c r="BA25" i="49"/>
  <c r="AT23" i="49"/>
  <c r="BB23" i="49"/>
  <c r="AS23" i="49"/>
  <c r="BA23" i="49"/>
  <c r="AT22" i="49"/>
  <c r="BB22" i="49"/>
  <c r="AS22" i="49"/>
  <c r="BA22" i="49"/>
  <c r="AT21" i="49"/>
  <c r="BB21" i="49"/>
  <c r="AS21" i="49"/>
  <c r="BA21" i="49"/>
  <c r="AT20" i="49"/>
  <c r="BB20" i="49"/>
  <c r="AS20" i="49"/>
  <c r="BA20" i="49"/>
  <c r="AS18" i="49"/>
  <c r="BA18" i="49"/>
  <c r="AS14" i="49"/>
  <c r="BA14" i="49"/>
  <c r="AT13" i="49"/>
  <c r="BB13" i="49"/>
  <c r="AS13" i="49"/>
  <c r="BA13" i="49"/>
  <c r="AT12" i="49"/>
  <c r="BB12" i="49"/>
  <c r="AT11" i="49"/>
  <c r="BB11" i="49"/>
  <c r="AS11" i="49"/>
  <c r="BA11" i="49"/>
  <c r="AT9" i="49"/>
  <c r="BB9" i="49"/>
  <c r="AS9" i="49"/>
  <c r="BA9" i="49"/>
  <c r="AT8" i="49"/>
  <c r="BB8" i="49"/>
  <c r="AS8" i="49"/>
  <c r="BA8" i="49"/>
  <c r="AT7" i="49"/>
  <c r="BB7" i="49"/>
  <c r="AS7" i="49"/>
  <c r="BA7" i="49"/>
  <c r="AS6" i="49"/>
  <c r="BA6" i="49"/>
  <c r="AS3" i="49"/>
  <c r="BA3" i="49"/>
  <c r="AT4" i="49"/>
  <c r="BB4" i="49"/>
  <c r="AT3" i="49"/>
  <c r="BB3" i="49"/>
  <c r="AT5" i="49"/>
  <c r="BB5" i="49"/>
  <c r="AT6" i="49"/>
  <c r="BB6" i="49"/>
  <c r="AS5" i="49"/>
  <c r="BA5" i="49"/>
  <c r="AS4" i="49"/>
  <c r="BA4" i="49"/>
  <c r="AS2" i="49"/>
  <c r="BA2" i="49"/>
  <c r="BA17" i="49"/>
  <c r="AX2" i="49"/>
  <c r="AX17" i="49"/>
  <c r="AY17" i="49"/>
  <c r="AY2" i="49"/>
  <c r="AT2" i="49"/>
  <c r="BB2" i="49"/>
  <c r="AV17" i="49"/>
  <c r="AT31" i="49"/>
  <c r="AS31" i="49"/>
  <c r="AT30" i="49"/>
  <c r="BB30" i="49"/>
  <c r="AS30" i="49"/>
  <c r="BA30" i="49"/>
  <c r="AS29" i="49"/>
  <c r="BA29" i="49"/>
  <c r="AS28" i="49"/>
  <c r="BA28" i="49"/>
  <c r="AW17" i="49"/>
  <c r="J187" i="43" l="1"/>
  <c r="H131" i="50"/>
  <c r="J131" i="50" s="1"/>
  <c r="G32" i="43"/>
  <c r="H32" i="43" s="1"/>
  <c r="H32" i="31" s="1"/>
  <c r="H30" i="43"/>
  <c r="H30" i="31" s="1"/>
  <c r="H187" i="31"/>
  <c r="J187" i="31" s="1"/>
  <c r="H11" i="1"/>
  <c r="J11" i="1" s="1"/>
  <c r="C11" i="44" l="1"/>
  <c r="H10" i="1"/>
  <c r="J10" i="1" s="1"/>
  <c r="H12" i="1"/>
  <c r="J12" i="1" s="1"/>
  <c r="C12" i="44"/>
  <c r="J9" i="48" s="1"/>
  <c r="J8" i="48" l="1"/>
  <c r="C13" i="44"/>
  <c r="BB13" i="44" l="1"/>
  <c r="J10" i="48"/>
  <c r="H14" i="1"/>
  <c r="J14" i="1" s="1"/>
  <c r="C15" i="44"/>
  <c r="J12" i="48" s="1"/>
  <c r="H13" i="1"/>
  <c r="J13" i="1" s="1"/>
  <c r="C14" i="44"/>
  <c r="J11" i="48" s="1"/>
  <c r="H15" i="1" l="1"/>
  <c r="J15" i="1" s="1"/>
  <c r="C16" i="44"/>
  <c r="J13" i="48" s="1"/>
  <c r="C17" i="44" l="1"/>
  <c r="J14" i="48" s="1"/>
  <c r="H16" i="1"/>
  <c r="J16" i="1" s="1"/>
  <c r="H17" i="1" l="1"/>
  <c r="J17" i="1" s="1"/>
  <c r="C18" i="44"/>
  <c r="J15" i="48" s="1"/>
  <c r="W5" i="45"/>
  <c r="H18" i="1" l="1"/>
  <c r="J18" i="1" s="1"/>
  <c r="C19" i="44"/>
  <c r="J16" i="48" s="1"/>
  <c r="H19" i="1" l="1"/>
  <c r="J19" i="1" s="1"/>
  <c r="C20" i="44"/>
  <c r="J17" i="48" s="1"/>
  <c r="H20" i="1" l="1"/>
  <c r="J20" i="1" s="1"/>
  <c r="C21" i="44"/>
  <c r="J18" i="48" s="1"/>
  <c r="H21" i="1" l="1"/>
  <c r="J21" i="1" s="1"/>
  <c r="C22" i="44"/>
  <c r="J19" i="48" s="1"/>
  <c r="H22" i="1" l="1"/>
  <c r="J22" i="1" s="1"/>
  <c r="C23" i="44"/>
  <c r="J20" i="48" s="1"/>
  <c r="H23" i="1" l="1"/>
  <c r="J23" i="1" s="1"/>
  <c r="C24" i="44"/>
  <c r="J21" i="48" s="1"/>
  <c r="C25" i="44" l="1"/>
  <c r="J22" i="48" s="1"/>
  <c r="H24" i="1"/>
  <c r="J24" i="1" s="1"/>
  <c r="Y25" i="49"/>
  <c r="H25" i="1" l="1"/>
  <c r="J25" i="1" s="1"/>
  <c r="C26" i="44"/>
  <c r="J23" i="48" s="1"/>
  <c r="L28" i="44"/>
  <c r="K25" i="49" l="1"/>
  <c r="C27" i="44"/>
  <c r="J24" i="48" s="1"/>
  <c r="H26" i="1"/>
  <c r="J26" i="1" s="1"/>
  <c r="BL25" i="49"/>
  <c r="BK25" i="49"/>
  <c r="BJ25" i="49"/>
  <c r="BI25" i="49"/>
  <c r="BH25" i="49"/>
  <c r="BC25" i="49"/>
  <c r="AQ25" i="49"/>
  <c r="AN25" i="49"/>
  <c r="AL25" i="49"/>
  <c r="W25" i="49"/>
  <c r="V25" i="49"/>
  <c r="U25" i="49"/>
  <c r="T25" i="49"/>
  <c r="S25" i="49"/>
  <c r="R25" i="49"/>
  <c r="Q25" i="49"/>
  <c r="P25" i="49"/>
  <c r="O25" i="49"/>
  <c r="N25" i="49"/>
  <c r="M25" i="49"/>
  <c r="AK25" i="49"/>
  <c r="AJ25" i="49"/>
  <c r="AI25" i="49"/>
  <c r="AH25" i="49"/>
  <c r="AG25" i="49"/>
  <c r="AF25" i="49"/>
  <c r="AE25" i="49"/>
  <c r="AD25" i="49"/>
  <c r="Y28" i="44"/>
  <c r="X25" i="49" l="1"/>
  <c r="H27" i="1"/>
  <c r="J27" i="1" s="1"/>
  <c r="C28" i="44"/>
  <c r="AA27" i="45"/>
  <c r="BF25" i="49" s="1"/>
  <c r="AR25" i="49"/>
  <c r="AP25" i="49"/>
  <c r="AM25" i="49"/>
  <c r="AA29" i="45"/>
  <c r="AO25" i="49"/>
  <c r="M28" i="44"/>
  <c r="K28" i="44"/>
  <c r="I28" i="44"/>
  <c r="J28" i="44"/>
  <c r="G28" i="44"/>
  <c r="F28" i="44"/>
  <c r="H28" i="44"/>
  <c r="AA30" i="45"/>
  <c r="AA5" i="45"/>
  <c r="AY28" i="44"/>
  <c r="AA25" i="45"/>
  <c r="BE25" i="49" s="1"/>
  <c r="J25" i="49" l="1"/>
  <c r="I25" i="49"/>
  <c r="H25" i="49"/>
  <c r="G25" i="49"/>
  <c r="F25" i="49"/>
  <c r="L25" i="49"/>
  <c r="E25" i="49"/>
  <c r="J25" i="48"/>
  <c r="BB28" i="44"/>
  <c r="C29" i="44"/>
  <c r="J26" i="48" s="1"/>
  <c r="H28" i="1"/>
  <c r="J28" i="1" s="1"/>
  <c r="AA31" i="45"/>
  <c r="C30" i="44" l="1"/>
  <c r="J27" i="48" s="1"/>
  <c r="H29" i="1"/>
  <c r="J29" i="1" s="1"/>
  <c r="C31" i="44" l="1"/>
  <c r="H30" i="1"/>
  <c r="J30" i="1" s="1"/>
  <c r="J28" i="48" l="1"/>
  <c r="H31" i="1"/>
  <c r="J31" i="1" s="1"/>
  <c r="C32" i="44"/>
  <c r="AV9" i="1"/>
  <c r="BI32" i="49"/>
  <c r="BJ32" i="49"/>
  <c r="BK32" i="49"/>
  <c r="BL32" i="49"/>
  <c r="AQ32" i="49"/>
  <c r="BC32" i="49"/>
  <c r="N32" i="49"/>
  <c r="Q32" i="49"/>
  <c r="R32" i="49"/>
  <c r="S32" i="49"/>
  <c r="T32" i="49"/>
  <c r="U32" i="49"/>
  <c r="V32" i="49"/>
  <c r="W32" i="49"/>
  <c r="Y32" i="49"/>
  <c r="M32" i="49"/>
  <c r="AF32" i="49"/>
  <c r="AG32" i="49"/>
  <c r="AH32" i="49"/>
  <c r="AI32" i="49"/>
  <c r="AJ32" i="49"/>
  <c r="AK32" i="49"/>
  <c r="BJ31" i="49"/>
  <c r="BK31" i="49"/>
  <c r="BL31" i="49"/>
  <c r="AN31" i="49"/>
  <c r="N31" i="49"/>
  <c r="O31" i="49"/>
  <c r="P31" i="49"/>
  <c r="Q31" i="49"/>
  <c r="R31" i="49"/>
  <c r="S31" i="49"/>
  <c r="T31" i="49"/>
  <c r="U31" i="49"/>
  <c r="V31" i="49"/>
  <c r="W31" i="49"/>
  <c r="Y31" i="49"/>
  <c r="M31" i="49"/>
  <c r="AL10" i="49"/>
  <c r="BB20" i="1"/>
  <c r="BD20" i="1"/>
  <c r="BG5" i="1"/>
  <c r="BF5" i="1"/>
  <c r="BE5" i="1"/>
  <c r="BD5" i="1"/>
  <c r="BC5" i="1"/>
  <c r="BA5" i="1"/>
  <c r="AZ5" i="1"/>
  <c r="AV13" i="1"/>
  <c r="BI10" i="49"/>
  <c r="BJ10" i="49"/>
  <c r="BK10" i="49"/>
  <c r="BL10" i="49"/>
  <c r="N10" i="49"/>
  <c r="O10" i="49"/>
  <c r="P10" i="49"/>
  <c r="Q10" i="49"/>
  <c r="R10" i="49"/>
  <c r="S10" i="49"/>
  <c r="T10" i="49"/>
  <c r="U10" i="49"/>
  <c r="V10" i="49"/>
  <c r="W10" i="49"/>
  <c r="Y10" i="49"/>
  <c r="AY27" i="1"/>
  <c r="AQ27" i="1"/>
  <c r="AR27" i="1"/>
  <c r="AV27" i="1"/>
  <c r="AX27" i="1"/>
  <c r="BL20" i="49"/>
  <c r="BK20" i="49"/>
  <c r="BJ20" i="49"/>
  <c r="BC20" i="49"/>
  <c r="BC14" i="1"/>
  <c r="BD14" i="1"/>
  <c r="BE14" i="1"/>
  <c r="BF14" i="1"/>
  <c r="BG14" i="1"/>
  <c r="BC11" i="49"/>
  <c r="AN11" i="49"/>
  <c r="N11" i="49"/>
  <c r="O11" i="49"/>
  <c r="P11" i="49"/>
  <c r="Q11" i="49"/>
  <c r="R11" i="49"/>
  <c r="S11" i="49"/>
  <c r="T11" i="49"/>
  <c r="U11" i="49"/>
  <c r="V11" i="49"/>
  <c r="W11" i="49"/>
  <c r="Y11" i="49"/>
  <c r="AL11" i="49"/>
  <c r="BB13" i="1"/>
  <c r="BC13" i="1"/>
  <c r="BD13" i="1"/>
  <c r="BE13" i="1"/>
  <c r="BF13" i="1"/>
  <c r="BG13" i="1"/>
  <c r="Y14" i="44"/>
  <c r="X11" i="49" s="1"/>
  <c r="AV10" i="1"/>
  <c r="AZ10" i="1"/>
  <c r="BA10" i="1"/>
  <c r="BB10" i="1"/>
  <c r="BC10" i="1"/>
  <c r="BD10" i="1"/>
  <c r="BE10" i="1"/>
  <c r="BG10" i="1"/>
  <c r="Y11" i="44"/>
  <c r="X8" i="49" s="1"/>
  <c r="AD8" i="49"/>
  <c r="AE8" i="49"/>
  <c r="AF8" i="49"/>
  <c r="AG8" i="49"/>
  <c r="AH8" i="49"/>
  <c r="AI8" i="49"/>
  <c r="AJ8" i="49"/>
  <c r="N8" i="49"/>
  <c r="O8" i="49"/>
  <c r="P8" i="49"/>
  <c r="Q8" i="49"/>
  <c r="R8" i="49"/>
  <c r="S8" i="49"/>
  <c r="T8" i="49"/>
  <c r="U8" i="49"/>
  <c r="V8" i="49"/>
  <c r="W8" i="49"/>
  <c r="Y8" i="49"/>
  <c r="AN8" i="49"/>
  <c r="BC8" i="49"/>
  <c r="BI8" i="49"/>
  <c r="BJ8" i="49"/>
  <c r="BK8" i="49"/>
  <c r="BL8" i="49"/>
  <c r="BC4" i="49"/>
  <c r="AT6" i="1"/>
  <c r="BA6" i="1"/>
  <c r="BC6" i="1"/>
  <c r="BG6" i="1"/>
  <c r="Y7" i="44"/>
  <c r="X4" i="49" s="1"/>
  <c r="AH4" i="49"/>
  <c r="M4" i="49"/>
  <c r="N4" i="49"/>
  <c r="O4" i="49"/>
  <c r="P4" i="49"/>
  <c r="Q4" i="49"/>
  <c r="R4" i="49"/>
  <c r="S4" i="49"/>
  <c r="T4" i="49"/>
  <c r="U4" i="49"/>
  <c r="V4" i="49"/>
  <c r="W4" i="49"/>
  <c r="Y4" i="49"/>
  <c r="AL4" i="49"/>
  <c r="BI4" i="49"/>
  <c r="BJ4" i="49"/>
  <c r="BK4" i="49"/>
  <c r="BL4" i="49"/>
  <c r="J16" i="35"/>
  <c r="AF9" i="49"/>
  <c r="N22" i="49"/>
  <c r="O22" i="49"/>
  <c r="P22" i="49"/>
  <c r="Q22" i="49"/>
  <c r="R22" i="49"/>
  <c r="S22" i="49"/>
  <c r="T22" i="49"/>
  <c r="U22" i="49"/>
  <c r="V22" i="49"/>
  <c r="W22" i="49"/>
  <c r="Y22" i="49"/>
  <c r="BA19" i="1"/>
  <c r="BD19" i="1"/>
  <c r="BE19" i="1"/>
  <c r="BF19" i="1"/>
  <c r="BG19" i="1"/>
  <c r="Y20" i="44"/>
  <c r="X17" i="49" s="1"/>
  <c r="AV19" i="1"/>
  <c r="AN13" i="49"/>
  <c r="Y14" i="49"/>
  <c r="W14" i="49"/>
  <c r="V14" i="49"/>
  <c r="U14" i="49"/>
  <c r="T14" i="49"/>
  <c r="S14" i="49"/>
  <c r="R14" i="49"/>
  <c r="Q14" i="49"/>
  <c r="P14" i="49"/>
  <c r="O14" i="49"/>
  <c r="N14" i="49"/>
  <c r="M10" i="49"/>
  <c r="Y9" i="49"/>
  <c r="W9" i="49"/>
  <c r="V9" i="49"/>
  <c r="U9" i="49"/>
  <c r="T9" i="49"/>
  <c r="S9" i="49"/>
  <c r="R9" i="49"/>
  <c r="Q9" i="49"/>
  <c r="P9" i="49"/>
  <c r="O9" i="49"/>
  <c r="N9" i="49"/>
  <c r="M9" i="49"/>
  <c r="Y7" i="49"/>
  <c r="W7" i="49"/>
  <c r="V7" i="49"/>
  <c r="U7" i="49"/>
  <c r="T7" i="49"/>
  <c r="S7" i="49"/>
  <c r="R7" i="49"/>
  <c r="Q7" i="49"/>
  <c r="P7" i="49"/>
  <c r="O7" i="49"/>
  <c r="N7" i="49"/>
  <c r="M7" i="49"/>
  <c r="Y6" i="49"/>
  <c r="W6" i="49"/>
  <c r="V6" i="49"/>
  <c r="U6" i="49"/>
  <c r="T6" i="49"/>
  <c r="S6" i="49"/>
  <c r="R6" i="49"/>
  <c r="Q6" i="49"/>
  <c r="P6" i="49"/>
  <c r="O6" i="49"/>
  <c r="N6" i="49"/>
  <c r="M6" i="49"/>
  <c r="AL5" i="49"/>
  <c r="Y5" i="49"/>
  <c r="W5" i="49"/>
  <c r="V5" i="49"/>
  <c r="U5" i="49"/>
  <c r="T5" i="49"/>
  <c r="S5" i="49"/>
  <c r="R5" i="49"/>
  <c r="Q5" i="49"/>
  <c r="N5" i="49"/>
  <c r="M5" i="49"/>
  <c r="BI11" i="49"/>
  <c r="BJ11" i="49"/>
  <c r="BK11" i="49"/>
  <c r="BL11" i="49"/>
  <c r="BI9" i="49"/>
  <c r="BJ9" i="49"/>
  <c r="BK9" i="49"/>
  <c r="BL9" i="49"/>
  <c r="D32" i="1"/>
  <c r="D31" i="1"/>
  <c r="D30" i="1"/>
  <c r="D29" i="1"/>
  <c r="D28" i="1"/>
  <c r="D27" i="1"/>
  <c r="D26" i="1"/>
  <c r="D25" i="1"/>
  <c r="D23" i="1"/>
  <c r="D22" i="1"/>
  <c r="D21" i="1"/>
  <c r="D20" i="1"/>
  <c r="D19" i="1"/>
  <c r="D18" i="1"/>
  <c r="D17" i="1"/>
  <c r="D16" i="1"/>
  <c r="D15" i="1"/>
  <c r="D14" i="1"/>
  <c r="D13" i="1"/>
  <c r="D12" i="1"/>
  <c r="D11" i="1"/>
  <c r="D10" i="1"/>
  <c r="D9" i="1"/>
  <c r="D8" i="1"/>
  <c r="D7" i="1"/>
  <c r="D6" i="1"/>
  <c r="D5" i="1"/>
  <c r="E32" i="1"/>
  <c r="E31" i="1"/>
  <c r="E30" i="1"/>
  <c r="E29" i="1"/>
  <c r="E28" i="1"/>
  <c r="E27" i="1"/>
  <c r="E26" i="1"/>
  <c r="E25" i="1"/>
  <c r="E24" i="1"/>
  <c r="E23" i="1"/>
  <c r="E22" i="1"/>
  <c r="E21" i="1"/>
  <c r="E20" i="1"/>
  <c r="E19" i="1"/>
  <c r="E18" i="1"/>
  <c r="E17" i="1"/>
  <c r="E16" i="1"/>
  <c r="E15" i="1"/>
  <c r="E14" i="1"/>
  <c r="E13" i="1"/>
  <c r="E12" i="1"/>
  <c r="E11" i="1"/>
  <c r="E10" i="1"/>
  <c r="E9" i="1"/>
  <c r="E8" i="1"/>
  <c r="E7" i="1"/>
  <c r="E6" i="1"/>
  <c r="E5" i="1"/>
  <c r="E4" i="1"/>
  <c r="D4" i="1"/>
  <c r="AE30" i="49"/>
  <c r="L33" i="44"/>
  <c r="K30" i="49" s="1"/>
  <c r="M33" i="44"/>
  <c r="L30" i="49" s="1"/>
  <c r="BL29" i="49"/>
  <c r="BK29" i="49"/>
  <c r="BJ29" i="49"/>
  <c r="BI29" i="49"/>
  <c r="BH29" i="49"/>
  <c r="BC29" i="49"/>
  <c r="AN29" i="49"/>
  <c r="AL29" i="49"/>
  <c r="Y29" i="49"/>
  <c r="W29" i="49"/>
  <c r="V29" i="49"/>
  <c r="U29" i="49"/>
  <c r="T29" i="49"/>
  <c r="S29" i="49"/>
  <c r="R29" i="49"/>
  <c r="Q29" i="49"/>
  <c r="P29" i="49"/>
  <c r="O29" i="49"/>
  <c r="N29" i="49"/>
  <c r="M29" i="49"/>
  <c r="AK29" i="49"/>
  <c r="AJ29" i="49"/>
  <c r="AI29" i="49"/>
  <c r="AH29" i="49"/>
  <c r="AG29" i="49"/>
  <c r="AF29" i="49"/>
  <c r="AE29" i="49"/>
  <c r="Y32" i="44"/>
  <c r="X29" i="49" s="1"/>
  <c r="BG31" i="1"/>
  <c r="BF31" i="1"/>
  <c r="BD31" i="1"/>
  <c r="BA31" i="1"/>
  <c r="AZ31" i="1"/>
  <c r="AV31" i="1"/>
  <c r="BL28" i="49"/>
  <c r="BK28" i="49"/>
  <c r="BJ28" i="49"/>
  <c r="BI28" i="49"/>
  <c r="BC28" i="49"/>
  <c r="AN28" i="49"/>
  <c r="Y28" i="49"/>
  <c r="W28" i="49"/>
  <c r="V28" i="49"/>
  <c r="U28" i="49"/>
  <c r="T28" i="49"/>
  <c r="S28" i="49"/>
  <c r="R28" i="49"/>
  <c r="Q28" i="49"/>
  <c r="P28" i="49"/>
  <c r="O28" i="49"/>
  <c r="N28" i="49"/>
  <c r="M28" i="49"/>
  <c r="BF30" i="1"/>
  <c r="BD30" i="1"/>
  <c r="AP30" i="1"/>
  <c r="BL27" i="49"/>
  <c r="BK27" i="49"/>
  <c r="BJ27" i="49"/>
  <c r="BI27" i="49"/>
  <c r="BC27" i="49"/>
  <c r="AN27" i="49"/>
  <c r="Y27" i="49"/>
  <c r="W27" i="49"/>
  <c r="V27" i="49"/>
  <c r="U27" i="49"/>
  <c r="T27" i="49"/>
  <c r="S27" i="49"/>
  <c r="R27" i="49"/>
  <c r="Q27" i="49"/>
  <c r="P27" i="49"/>
  <c r="O27" i="49"/>
  <c r="N27" i="49"/>
  <c r="M27" i="49"/>
  <c r="BF29" i="1"/>
  <c r="BD29" i="1"/>
  <c r="BC29" i="1"/>
  <c r="BA29" i="1"/>
  <c r="AZ29" i="1"/>
  <c r="BL26" i="49"/>
  <c r="BK26" i="49"/>
  <c r="BJ26" i="49"/>
  <c r="BI26" i="49"/>
  <c r="BC26" i="49"/>
  <c r="AN26" i="49"/>
  <c r="Y26" i="49"/>
  <c r="W26" i="49"/>
  <c r="V26" i="49"/>
  <c r="U26" i="49"/>
  <c r="T26" i="49"/>
  <c r="S26" i="49"/>
  <c r="R26" i="49"/>
  <c r="Q26" i="49"/>
  <c r="P26" i="49"/>
  <c r="O26" i="49"/>
  <c r="N26" i="49"/>
  <c r="M26" i="49"/>
  <c r="BG28" i="1"/>
  <c r="BF28" i="1"/>
  <c r="BE28" i="1"/>
  <c r="BC28" i="1"/>
  <c r="BB28" i="1"/>
  <c r="BA28" i="1"/>
  <c r="BG27" i="1"/>
  <c r="BF27" i="1"/>
  <c r="BE27" i="1"/>
  <c r="BC27" i="1"/>
  <c r="BA27" i="1"/>
  <c r="BH27" i="1"/>
  <c r="AZ27" i="1"/>
  <c r="AP27" i="1"/>
  <c r="BL24" i="49"/>
  <c r="BK24" i="49"/>
  <c r="BJ24" i="49"/>
  <c r="BI24" i="49"/>
  <c r="BC24" i="49"/>
  <c r="AN24" i="49"/>
  <c r="Y24" i="49"/>
  <c r="W24" i="49"/>
  <c r="V24" i="49"/>
  <c r="U24" i="49"/>
  <c r="T24" i="49"/>
  <c r="S24" i="49"/>
  <c r="R24" i="49"/>
  <c r="Q24" i="49"/>
  <c r="P24" i="49"/>
  <c r="O24" i="49"/>
  <c r="N24" i="49"/>
  <c r="Y27" i="44"/>
  <c r="X24" i="49" s="1"/>
  <c r="BG26" i="1"/>
  <c r="BF26" i="1"/>
  <c r="BE26" i="1"/>
  <c r="BD26" i="1"/>
  <c r="BC26" i="1"/>
  <c r="BB26" i="1"/>
  <c r="BA26" i="1"/>
  <c r="AZ26" i="1"/>
  <c r="AV26" i="1"/>
  <c r="AN23" i="49"/>
  <c r="BL22" i="49"/>
  <c r="BK22" i="49"/>
  <c r="BJ22" i="49"/>
  <c r="BI22" i="49"/>
  <c r="BC22" i="49"/>
  <c r="AN22" i="49"/>
  <c r="M22" i="49"/>
  <c r="BL21" i="49"/>
  <c r="BK21" i="49"/>
  <c r="BJ21" i="49"/>
  <c r="BI21" i="49"/>
  <c r="BC21" i="49"/>
  <c r="AN21" i="49"/>
  <c r="Y21" i="49"/>
  <c r="W21" i="49"/>
  <c r="V21" i="49"/>
  <c r="U21" i="49"/>
  <c r="T21" i="49"/>
  <c r="S21" i="49"/>
  <c r="R21" i="49"/>
  <c r="P21" i="49"/>
  <c r="O21" i="49"/>
  <c r="N21" i="49"/>
  <c r="M21" i="49"/>
  <c r="BI20" i="49"/>
  <c r="AN20" i="49"/>
  <c r="Y20" i="49"/>
  <c r="W20" i="49"/>
  <c r="V20" i="49"/>
  <c r="U20" i="49"/>
  <c r="T20" i="49"/>
  <c r="S20" i="49"/>
  <c r="R20" i="49"/>
  <c r="P20" i="49"/>
  <c r="O20" i="49"/>
  <c r="N20" i="49"/>
  <c r="M20" i="49"/>
  <c r="BG22" i="1"/>
  <c r="BF22" i="1"/>
  <c r="BE22" i="1"/>
  <c r="BD22" i="1"/>
  <c r="BC22" i="1"/>
  <c r="BA22" i="1"/>
  <c r="AZ22" i="1"/>
  <c r="BL19" i="49"/>
  <c r="BK19" i="49"/>
  <c r="BJ19" i="49"/>
  <c r="BI19" i="49"/>
  <c r="BC19" i="49"/>
  <c r="AN19" i="49"/>
  <c r="Y19" i="49"/>
  <c r="W19" i="49"/>
  <c r="V19" i="49"/>
  <c r="U19" i="49"/>
  <c r="T19" i="49"/>
  <c r="S19" i="49"/>
  <c r="R19" i="49"/>
  <c r="Q19" i="49"/>
  <c r="P19" i="49"/>
  <c r="O19" i="49"/>
  <c r="N19" i="49"/>
  <c r="BL18" i="49"/>
  <c r="BK18" i="49"/>
  <c r="BJ18" i="49"/>
  <c r="BI18" i="49"/>
  <c r="BC18" i="49"/>
  <c r="AO18" i="49"/>
  <c r="AN18" i="49"/>
  <c r="Y18" i="49"/>
  <c r="W18" i="49"/>
  <c r="V18" i="49"/>
  <c r="U18" i="49"/>
  <c r="T18" i="49"/>
  <c r="S18" i="49"/>
  <c r="R18" i="49"/>
  <c r="Q18" i="49"/>
  <c r="P18" i="49"/>
  <c r="O18" i="49"/>
  <c r="N18" i="49"/>
  <c r="Y21" i="44"/>
  <c r="X18" i="49" s="1"/>
  <c r="BE20" i="1"/>
  <c r="BC20" i="1"/>
  <c r="BA20" i="1"/>
  <c r="L21" i="44"/>
  <c r="K18" i="49" s="1"/>
  <c r="M21" i="44"/>
  <c r="L18" i="49" s="1"/>
  <c r="BL17" i="49"/>
  <c r="BK17" i="49"/>
  <c r="BJ17" i="49"/>
  <c r="BI17" i="49"/>
  <c r="AN17" i="49"/>
  <c r="Y17" i="49"/>
  <c r="W17" i="49"/>
  <c r="V17" i="49"/>
  <c r="U17" i="49"/>
  <c r="T17" i="49"/>
  <c r="S17" i="49"/>
  <c r="R17" i="49"/>
  <c r="Q17" i="49"/>
  <c r="P17" i="49"/>
  <c r="O17" i="49"/>
  <c r="N17" i="49"/>
  <c r="M17" i="49"/>
  <c r="AK17" i="49"/>
  <c r="AJ17" i="49"/>
  <c r="AI17" i="49"/>
  <c r="AH17" i="49"/>
  <c r="AG17" i="49"/>
  <c r="AE17" i="49"/>
  <c r="AD17" i="49"/>
  <c r="BL16" i="49"/>
  <c r="BK16" i="49"/>
  <c r="BJ16" i="49"/>
  <c r="BI16" i="49"/>
  <c r="BC16" i="49"/>
  <c r="AN16" i="49"/>
  <c r="Y16" i="49"/>
  <c r="W16" i="49"/>
  <c r="V16" i="49"/>
  <c r="U16" i="49"/>
  <c r="T16" i="49"/>
  <c r="S16" i="49"/>
  <c r="R16" i="49"/>
  <c r="Q16" i="49"/>
  <c r="P16" i="49"/>
  <c r="O16" i="49"/>
  <c r="M16" i="49"/>
  <c r="AJ16" i="49"/>
  <c r="AI16" i="49"/>
  <c r="AH16" i="49"/>
  <c r="AG16" i="49"/>
  <c r="AF16" i="49"/>
  <c r="AE16" i="49"/>
  <c r="AD16" i="49"/>
  <c r="Y19" i="44"/>
  <c r="X16" i="49" s="1"/>
  <c r="BG18" i="1"/>
  <c r="BF18" i="1"/>
  <c r="BE18" i="1"/>
  <c r="BD18" i="1"/>
  <c r="BC18" i="1"/>
  <c r="BA18" i="1"/>
  <c r="BL15" i="49"/>
  <c r="BK15" i="49"/>
  <c r="BJ15" i="49"/>
  <c r="BC15" i="49"/>
  <c r="AN15" i="49"/>
  <c r="BG17" i="1"/>
  <c r="BE17" i="1"/>
  <c r="BD17" i="1"/>
  <c r="BC17" i="1"/>
  <c r="BA17" i="1"/>
  <c r="BL14" i="49"/>
  <c r="BK14" i="49"/>
  <c r="BJ14" i="49"/>
  <c r="BI14" i="49"/>
  <c r="BC14" i="49"/>
  <c r="AQ14" i="49"/>
  <c r="AN14" i="49"/>
  <c r="BG16" i="1"/>
  <c r="BF16" i="1"/>
  <c r="BE16" i="1"/>
  <c r="BD16" i="1"/>
  <c r="BC16" i="1"/>
  <c r="BA16" i="1"/>
  <c r="AZ16" i="1"/>
  <c r="AZ14" i="1"/>
  <c r="BH11" i="49"/>
  <c r="AZ13" i="1"/>
  <c r="BC10" i="49"/>
  <c r="AJ10" i="49"/>
  <c r="AI10" i="49"/>
  <c r="AH10" i="49"/>
  <c r="AG10" i="49"/>
  <c r="AF10" i="49"/>
  <c r="BG12" i="1"/>
  <c r="BF12" i="1"/>
  <c r="BE12" i="1"/>
  <c r="BD12" i="1"/>
  <c r="BB12" i="1"/>
  <c r="BA12" i="1"/>
  <c r="AZ12" i="1"/>
  <c r="AV12" i="1"/>
  <c r="BC9" i="49"/>
  <c r="AJ9" i="49"/>
  <c r="AI9" i="49"/>
  <c r="AH9" i="49"/>
  <c r="AG9" i="49"/>
  <c r="AE9" i="49"/>
  <c r="AD9" i="49"/>
  <c r="Y12" i="44"/>
  <c r="X9" i="49" s="1"/>
  <c r="BG11" i="1"/>
  <c r="BF11" i="1"/>
  <c r="BE11" i="1"/>
  <c r="BD11" i="1"/>
  <c r="BC11" i="1"/>
  <c r="BA11" i="1"/>
  <c r="AV11" i="1"/>
  <c r="BL7" i="49"/>
  <c r="BK7" i="49"/>
  <c r="BJ7" i="49"/>
  <c r="BI7" i="49"/>
  <c r="BC7" i="49"/>
  <c r="AN7" i="49"/>
  <c r="Y10" i="44"/>
  <c r="BG9" i="1"/>
  <c r="BF9" i="1"/>
  <c r="BE9" i="1"/>
  <c r="BD9" i="1"/>
  <c r="BC9" i="1"/>
  <c r="BB9" i="1"/>
  <c r="AZ9" i="1"/>
  <c r="BI6" i="49"/>
  <c r="BJ6" i="49"/>
  <c r="BK6" i="49"/>
  <c r="BL6" i="49"/>
  <c r="BC6" i="49"/>
  <c r="AN6" i="49"/>
  <c r="BA8" i="1"/>
  <c r="BB8" i="1"/>
  <c r="BC8" i="1"/>
  <c r="BD8" i="1"/>
  <c r="BE8" i="1"/>
  <c r="BF8" i="1"/>
  <c r="BG8" i="1"/>
  <c r="Y9" i="44"/>
  <c r="X6" i="49" s="1"/>
  <c r="AZ8" i="1"/>
  <c r="AV8" i="1"/>
  <c r="BI5" i="49"/>
  <c r="BJ5" i="49"/>
  <c r="BK5" i="49"/>
  <c r="BL5" i="49"/>
  <c r="BC5" i="49"/>
  <c r="BB7" i="1"/>
  <c r="BD7" i="1"/>
  <c r="BE7" i="1"/>
  <c r="BG7" i="1"/>
  <c r="Y8" i="44"/>
  <c r="X5" i="49" s="1"/>
  <c r="AV7" i="1"/>
  <c r="AT27" i="1"/>
  <c r="AF17" i="49"/>
  <c r="BC3" i="49"/>
  <c r="AO3" i="49"/>
  <c r="BC23" i="1"/>
  <c r="F32" i="1"/>
  <c r="F31" i="1"/>
  <c r="F30" i="1"/>
  <c r="F29" i="1"/>
  <c r="F28" i="1"/>
  <c r="F27" i="1"/>
  <c r="F26" i="1"/>
  <c r="F25" i="1"/>
  <c r="F24" i="1"/>
  <c r="F23" i="1"/>
  <c r="F22" i="1"/>
  <c r="F21" i="1"/>
  <c r="F20" i="1"/>
  <c r="F19" i="1"/>
  <c r="F18" i="1"/>
  <c r="F17" i="1"/>
  <c r="F16" i="1"/>
  <c r="F15" i="1"/>
  <c r="F14" i="1"/>
  <c r="F13" i="1"/>
  <c r="F12" i="1"/>
  <c r="F11" i="1"/>
  <c r="F10" i="1"/>
  <c r="F9" i="1"/>
  <c r="F8" i="1"/>
  <c r="F7" i="1"/>
  <c r="F6" i="1"/>
  <c r="F5" i="1"/>
  <c r="F4" i="1"/>
  <c r="M5" i="44"/>
  <c r="S25" i="1"/>
  <c r="S22" i="1"/>
  <c r="S7" i="1"/>
  <c r="S9" i="1"/>
  <c r="S12" i="1"/>
  <c r="S13" i="1"/>
  <c r="S14" i="1"/>
  <c r="S21" i="1"/>
  <c r="S15" i="1"/>
  <c r="S16" i="1"/>
  <c r="S18" i="1"/>
  <c r="S20" i="1"/>
  <c r="S24" i="1"/>
  <c r="S31" i="1"/>
  <c r="S27" i="1"/>
  <c r="S19" i="1"/>
  <c r="S10" i="1"/>
  <c r="S8" i="1"/>
  <c r="S17" i="1"/>
  <c r="S26" i="1"/>
  <c r="S28" i="1"/>
  <c r="S29" i="1"/>
  <c r="S30" i="1"/>
  <c r="S32" i="1"/>
  <c r="S23" i="1"/>
  <c r="S6" i="1"/>
  <c r="S5" i="1"/>
  <c r="F18" i="35"/>
  <c r="D18" i="35"/>
  <c r="F17" i="35"/>
  <c r="D17" i="35"/>
  <c r="F16" i="35"/>
  <c r="D16" i="35"/>
  <c r="F15" i="35"/>
  <c r="D15" i="35"/>
  <c r="F14" i="35"/>
  <c r="D14" i="35"/>
  <c r="F13" i="35"/>
  <c r="D13" i="35"/>
  <c r="F12" i="35"/>
  <c r="D12" i="35"/>
  <c r="F11" i="35"/>
  <c r="D11" i="35"/>
  <c r="F10" i="35"/>
  <c r="D10" i="35"/>
  <c r="F9" i="35"/>
  <c r="D9" i="35"/>
  <c r="F8" i="35"/>
  <c r="D8" i="35"/>
  <c r="F7" i="35"/>
  <c r="D7" i="35"/>
  <c r="F6" i="35"/>
  <c r="D6" i="35"/>
  <c r="F5" i="35"/>
  <c r="D5" i="35"/>
  <c r="F4" i="35"/>
  <c r="D4" i="35"/>
  <c r="L12" i="35"/>
  <c r="J12" i="35"/>
  <c r="L4" i="35"/>
  <c r="J4" i="35"/>
  <c r="AM36" i="1"/>
  <c r="C36" i="1"/>
  <c r="B36" i="1"/>
  <c r="J13" i="35"/>
  <c r="L13" i="35"/>
  <c r="H8" i="35"/>
  <c r="J8" i="35"/>
  <c r="M8" i="35"/>
  <c r="I8" i="35"/>
  <c r="L8" i="35"/>
  <c r="L7" i="35"/>
  <c r="J7" i="35"/>
  <c r="J9" i="35"/>
  <c r="L9" i="35"/>
  <c r="L5" i="35"/>
  <c r="J6" i="35"/>
  <c r="J10" i="35"/>
  <c r="J11" i="35"/>
  <c r="J5" i="35"/>
  <c r="L6" i="35"/>
  <c r="E8" i="35"/>
  <c r="L10" i="35"/>
  <c r="L11" i="35"/>
  <c r="L14" i="35"/>
  <c r="L15" i="35"/>
  <c r="L16" i="35"/>
  <c r="J18" i="35"/>
  <c r="J14" i="35"/>
  <c r="J15" i="35"/>
  <c r="J17" i="35"/>
  <c r="J29" i="48" l="1"/>
  <c r="X7" i="49"/>
  <c r="BK3" i="49"/>
  <c r="S3" i="49"/>
  <c r="BJ3" i="49"/>
  <c r="R3" i="49"/>
  <c r="BI3" i="49"/>
  <c r="Q3" i="49"/>
  <c r="P3" i="49"/>
  <c r="Y3" i="49"/>
  <c r="O3" i="49"/>
  <c r="W3" i="49"/>
  <c r="N3" i="49"/>
  <c r="V3" i="49"/>
  <c r="AD3" i="49"/>
  <c r="M3" i="49"/>
  <c r="U3" i="49"/>
  <c r="BL3" i="49"/>
  <c r="T3" i="49"/>
  <c r="BC21" i="1"/>
  <c r="AZ17" i="1"/>
  <c r="AV21" i="1"/>
  <c r="BI15" i="49"/>
  <c r="AT21" i="1"/>
  <c r="BA21" i="1"/>
  <c r="Y22" i="44"/>
  <c r="X19" i="49" s="1"/>
  <c r="BG21" i="1"/>
  <c r="BF21" i="1"/>
  <c r="J33" i="44"/>
  <c r="I30" i="49" s="1"/>
  <c r="C33" i="44"/>
  <c r="H32" i="1"/>
  <c r="J32" i="1" s="1"/>
  <c r="AD29" i="1"/>
  <c r="BE33" i="1"/>
  <c r="AN34" i="1"/>
  <c r="AX33" i="1"/>
  <c r="AJ34" i="1"/>
  <c r="AT33" i="1"/>
  <c r="BF33" i="1"/>
  <c r="BC31" i="49"/>
  <c r="BD33" i="1"/>
  <c r="AU33" i="1"/>
  <c r="BG33" i="1"/>
  <c r="BI31" i="49"/>
  <c r="AV33" i="1"/>
  <c r="AY35" i="44"/>
  <c r="BA35" i="44" s="1"/>
  <c r="AS33" i="1"/>
  <c r="I34" i="44"/>
  <c r="H31" i="49" s="1"/>
  <c r="I33" i="44"/>
  <c r="H30" i="49" s="1"/>
  <c r="AN9" i="49"/>
  <c r="AR33" i="1"/>
  <c r="H34" i="44"/>
  <c r="G31" i="49" s="1"/>
  <c r="AP33" i="1"/>
  <c r="F34" i="44"/>
  <c r="E31" i="49" s="1"/>
  <c r="L2" i="49"/>
  <c r="AQ33" i="1"/>
  <c r="G34" i="44"/>
  <c r="AW33" i="1"/>
  <c r="K34" i="44"/>
  <c r="J31" i="49" s="1"/>
  <c r="BA33" i="1"/>
  <c r="BB33" i="1"/>
  <c r="AL31" i="49"/>
  <c r="BC33" i="1"/>
  <c r="L34" i="44"/>
  <c r="K31" i="49" s="1"/>
  <c r="BH33" i="1"/>
  <c r="AZ33" i="1"/>
  <c r="M34" i="44"/>
  <c r="L31" i="49" s="1"/>
  <c r="AY33" i="1"/>
  <c r="AZ28" i="1"/>
  <c r="AN12" i="49"/>
  <c r="AN30" i="49"/>
  <c r="I29" i="45"/>
  <c r="AO7" i="49"/>
  <c r="P27" i="45"/>
  <c r="BF14" i="49" s="1"/>
  <c r="AR14" i="49"/>
  <c r="AE29" i="45"/>
  <c r="AO29" i="49"/>
  <c r="AP32" i="49"/>
  <c r="AM16" i="49"/>
  <c r="AM19" i="49"/>
  <c r="X29" i="45"/>
  <c r="AO22" i="49"/>
  <c r="Z29" i="45"/>
  <c r="AO24" i="49"/>
  <c r="AP28" i="49"/>
  <c r="AM8" i="49"/>
  <c r="AH27" i="45"/>
  <c r="BF32" i="49" s="1"/>
  <c r="AR32" i="49"/>
  <c r="R29" i="45"/>
  <c r="AO16" i="49"/>
  <c r="W29" i="45"/>
  <c r="AO21" i="49"/>
  <c r="AD27" i="45"/>
  <c r="BF28" i="49" s="1"/>
  <c r="AM6" i="49"/>
  <c r="AM3" i="49"/>
  <c r="AM7" i="49"/>
  <c r="AM9" i="49"/>
  <c r="P29" i="45"/>
  <c r="AO14" i="49"/>
  <c r="AM21" i="49"/>
  <c r="AM26" i="49"/>
  <c r="AM27" i="49"/>
  <c r="AD29" i="45"/>
  <c r="AO28" i="49"/>
  <c r="AM29" i="49"/>
  <c r="F27" i="45"/>
  <c r="BF4" i="49" s="1"/>
  <c r="AR4" i="49"/>
  <c r="AP11" i="49"/>
  <c r="AM31" i="49"/>
  <c r="AH29" i="45"/>
  <c r="AO32" i="49"/>
  <c r="K29" i="45"/>
  <c r="AO9" i="49"/>
  <c r="E29" i="45"/>
  <c r="H27" i="45"/>
  <c r="BF6" i="49" s="1"/>
  <c r="AR6" i="49"/>
  <c r="AM18" i="49"/>
  <c r="U27" i="45"/>
  <c r="BF19" i="49" s="1"/>
  <c r="AR19" i="49"/>
  <c r="F29" i="45"/>
  <c r="AO4" i="49"/>
  <c r="AM32" i="49"/>
  <c r="J27" i="45"/>
  <c r="BF8" i="49" s="1"/>
  <c r="AR8" i="49"/>
  <c r="E27" i="45"/>
  <c r="BF3" i="49" s="1"/>
  <c r="AR3" i="49"/>
  <c r="L29" i="45"/>
  <c r="AO10" i="49"/>
  <c r="S27" i="45"/>
  <c r="AM10" i="49"/>
  <c r="Q29" i="45"/>
  <c r="AO15" i="49"/>
  <c r="I27" i="45"/>
  <c r="BF7" i="49" s="1"/>
  <c r="AR7" i="49"/>
  <c r="K27" i="45"/>
  <c r="BF9" i="49" s="1"/>
  <c r="AR9" i="49"/>
  <c r="AM15" i="49"/>
  <c r="R27" i="45"/>
  <c r="BF16" i="49" s="1"/>
  <c r="AR16" i="49"/>
  <c r="AM17" i="49"/>
  <c r="W27" i="45"/>
  <c r="BF21" i="49" s="1"/>
  <c r="AR21" i="49"/>
  <c r="AM22" i="49"/>
  <c r="AM24" i="49"/>
  <c r="AC27" i="45"/>
  <c r="BF27" i="49" s="1"/>
  <c r="AR27" i="49"/>
  <c r="AE27" i="45"/>
  <c r="BF29" i="49" s="1"/>
  <c r="AR29" i="49"/>
  <c r="J29" i="45"/>
  <c r="AO8" i="49"/>
  <c r="M27" i="45"/>
  <c r="BF11" i="49" s="1"/>
  <c r="AR11" i="49"/>
  <c r="V29" i="45"/>
  <c r="AO20" i="49"/>
  <c r="AM5" i="49"/>
  <c r="L27" i="45"/>
  <c r="BF10" i="49" s="1"/>
  <c r="AR10" i="49"/>
  <c r="V27" i="45"/>
  <c r="BF20" i="49" s="1"/>
  <c r="AR20" i="49"/>
  <c r="AB29" i="45"/>
  <c r="AO26" i="49"/>
  <c r="S29" i="45"/>
  <c r="AO17" i="49"/>
  <c r="G29" i="45"/>
  <c r="AO5" i="49"/>
  <c r="AM14" i="49"/>
  <c r="T27" i="45"/>
  <c r="BF18" i="49" s="1"/>
  <c r="AR18" i="49"/>
  <c r="AB27" i="45"/>
  <c r="BF26" i="49" s="1"/>
  <c r="AR26" i="49"/>
  <c r="AM28" i="49"/>
  <c r="AC29" i="45"/>
  <c r="AO27" i="49"/>
  <c r="AM4" i="49"/>
  <c r="G27" i="45"/>
  <c r="BF5" i="49" s="1"/>
  <c r="AR5" i="49"/>
  <c r="H29" i="45"/>
  <c r="AO6" i="49"/>
  <c r="AP7" i="49"/>
  <c r="AP9" i="49"/>
  <c r="Q27" i="45"/>
  <c r="BF15" i="49" s="1"/>
  <c r="AR15" i="49"/>
  <c r="U29" i="45"/>
  <c r="AO19" i="49"/>
  <c r="AM20" i="49"/>
  <c r="X27" i="45"/>
  <c r="BF22" i="49" s="1"/>
  <c r="AR22" i="49"/>
  <c r="Z27" i="45"/>
  <c r="BF24" i="49" s="1"/>
  <c r="AR24" i="49"/>
  <c r="G33" i="44"/>
  <c r="F30" i="49" s="1"/>
  <c r="Q20" i="49"/>
  <c r="AA36" i="1"/>
  <c r="I8" i="44"/>
  <c r="H5" i="49" s="1"/>
  <c r="K10" i="44"/>
  <c r="G25" i="44"/>
  <c r="F22" i="49" s="1"/>
  <c r="F8" i="44"/>
  <c r="H8" i="44"/>
  <c r="G5" i="49" s="1"/>
  <c r="BC7" i="1"/>
  <c r="K9" i="44"/>
  <c r="J6" i="49" s="1"/>
  <c r="L12" i="44"/>
  <c r="K9" i="49" s="1"/>
  <c r="F18" i="44"/>
  <c r="K18" i="44"/>
  <c r="J15" i="49" s="1"/>
  <c r="F19" i="44"/>
  <c r="M24" i="44"/>
  <c r="L21" i="49" s="1"/>
  <c r="H27" i="44"/>
  <c r="G24" i="49" s="1"/>
  <c r="L31" i="44"/>
  <c r="K28" i="49" s="1"/>
  <c r="F32" i="44"/>
  <c r="E29" i="49" s="1"/>
  <c r="K20" i="44"/>
  <c r="J17" i="49" s="1"/>
  <c r="G15" i="44"/>
  <c r="F12" i="49" s="1"/>
  <c r="I25" i="44"/>
  <c r="H22" i="49" s="1"/>
  <c r="J9" i="44"/>
  <c r="I6" i="49" s="1"/>
  <c r="G18" i="44"/>
  <c r="F15" i="49" s="1"/>
  <c r="G19" i="44"/>
  <c r="F16" i="49" s="1"/>
  <c r="H21" i="44"/>
  <c r="G18" i="49" s="1"/>
  <c r="F5" i="45"/>
  <c r="L23" i="44"/>
  <c r="K20" i="49" s="1"/>
  <c r="H25" i="44"/>
  <c r="G22" i="49" s="1"/>
  <c r="M15" i="44"/>
  <c r="L12" i="49" s="1"/>
  <c r="K6" i="44"/>
  <c r="M30" i="44"/>
  <c r="L27" i="49" s="1"/>
  <c r="I19" i="44"/>
  <c r="H16" i="49" s="1"/>
  <c r="M9" i="44"/>
  <c r="L6" i="49" s="1"/>
  <c r="I10" i="44"/>
  <c r="L10" i="44"/>
  <c r="I12" i="44"/>
  <c r="H9" i="49" s="1"/>
  <c r="I23" i="44"/>
  <c r="H20" i="49" s="1"/>
  <c r="F24" i="44"/>
  <c r="K24" i="44"/>
  <c r="J21" i="49" s="1"/>
  <c r="G27" i="44"/>
  <c r="F24" i="49" s="1"/>
  <c r="I31" i="44"/>
  <c r="H28" i="49" s="1"/>
  <c r="F31" i="44"/>
  <c r="K32" i="44"/>
  <c r="J29" i="49" s="1"/>
  <c r="I32" i="44"/>
  <c r="H29" i="49" s="1"/>
  <c r="M7" i="44"/>
  <c r="L4" i="49" s="1"/>
  <c r="H15" i="44"/>
  <c r="G12" i="49" s="1"/>
  <c r="M14" i="44"/>
  <c r="L11" i="49" s="1"/>
  <c r="L6" i="44"/>
  <c r="F29" i="44"/>
  <c r="F30" i="44"/>
  <c r="L9" i="44"/>
  <c r="K6" i="49" s="1"/>
  <c r="F16" i="44"/>
  <c r="F20" i="44"/>
  <c r="G9" i="44"/>
  <c r="F6" i="49" s="1"/>
  <c r="H10" i="44"/>
  <c r="H12" i="44"/>
  <c r="G9" i="49" s="1"/>
  <c r="J18" i="44"/>
  <c r="I15" i="49" s="1"/>
  <c r="K19" i="44"/>
  <c r="J16" i="49" s="1"/>
  <c r="K26" i="44"/>
  <c r="J23" i="49" s="1"/>
  <c r="M27" i="44"/>
  <c r="L24" i="49" s="1"/>
  <c r="H31" i="44"/>
  <c r="G28" i="49" s="1"/>
  <c r="L20" i="44"/>
  <c r="K17" i="49" s="1"/>
  <c r="L11" i="44"/>
  <c r="K8" i="49" s="1"/>
  <c r="I15" i="44"/>
  <c r="H12" i="49" s="1"/>
  <c r="F33" i="44"/>
  <c r="E30" i="49" s="1"/>
  <c r="K33" i="44"/>
  <c r="J30" i="49" s="1"/>
  <c r="J20" i="44"/>
  <c r="I17" i="49" s="1"/>
  <c r="M16" i="44"/>
  <c r="L13" i="49" s="1"/>
  <c r="J8" i="44"/>
  <c r="I5" i="49" s="1"/>
  <c r="H9" i="44"/>
  <c r="G6" i="49" s="1"/>
  <c r="G10" i="44"/>
  <c r="G12" i="44"/>
  <c r="F9" i="49" s="1"/>
  <c r="L18" i="44"/>
  <c r="K15" i="49" s="1"/>
  <c r="J19" i="44"/>
  <c r="I16" i="49" s="1"/>
  <c r="H22" i="44"/>
  <c r="G19" i="49" s="1"/>
  <c r="G23" i="44"/>
  <c r="F20" i="49" s="1"/>
  <c r="F27" i="44"/>
  <c r="K27" i="44"/>
  <c r="J24" i="49" s="1"/>
  <c r="G31" i="44"/>
  <c r="F28" i="49" s="1"/>
  <c r="J32" i="44"/>
  <c r="I29" i="49" s="1"/>
  <c r="M20" i="44"/>
  <c r="L17" i="49" s="1"/>
  <c r="K25" i="44"/>
  <c r="J22" i="49" s="1"/>
  <c r="H7" i="44"/>
  <c r="G4" i="49" s="1"/>
  <c r="J11" i="44"/>
  <c r="I8" i="49" s="1"/>
  <c r="H14" i="44"/>
  <c r="G11" i="49" s="1"/>
  <c r="I6" i="44"/>
  <c r="M6" i="44"/>
  <c r="J24" i="44"/>
  <c r="I21" i="49" s="1"/>
  <c r="M11" i="44"/>
  <c r="L8" i="49" s="1"/>
  <c r="K15" i="44"/>
  <c r="J12" i="49" s="1"/>
  <c r="M8" i="44"/>
  <c r="L5" i="49" s="1"/>
  <c r="M32" i="44"/>
  <c r="L29" i="49" s="1"/>
  <c r="F9" i="44"/>
  <c r="I9" i="44"/>
  <c r="H6" i="49" s="1"/>
  <c r="M10" i="44"/>
  <c r="M12" i="44"/>
  <c r="L9" i="49" s="1"/>
  <c r="F15" i="44"/>
  <c r="I18" i="44"/>
  <c r="H15" i="49" s="1"/>
  <c r="M23" i="44"/>
  <c r="L20" i="49" s="1"/>
  <c r="L24" i="44"/>
  <c r="K21" i="49" s="1"/>
  <c r="L29" i="44"/>
  <c r="L30" i="44"/>
  <c r="K27" i="49" s="1"/>
  <c r="M31" i="44"/>
  <c r="L28" i="49" s="1"/>
  <c r="L32" i="44"/>
  <c r="K29" i="49" s="1"/>
  <c r="L25" i="44"/>
  <c r="K22" i="49" s="1"/>
  <c r="L14" i="44"/>
  <c r="K11" i="49" s="1"/>
  <c r="J15" i="44"/>
  <c r="I12" i="49" s="1"/>
  <c r="H6" i="44"/>
  <c r="H24" i="44"/>
  <c r="G21" i="49" s="1"/>
  <c r="L27" i="44"/>
  <c r="K24" i="49" s="1"/>
  <c r="M18" i="44"/>
  <c r="L15" i="49" s="1"/>
  <c r="L8" i="44"/>
  <c r="K5" i="49" s="1"/>
  <c r="F10" i="44"/>
  <c r="F12" i="44"/>
  <c r="K12" i="44"/>
  <c r="J9" i="49" s="1"/>
  <c r="L16" i="44"/>
  <c r="K13" i="49" s="1"/>
  <c r="L17" i="44"/>
  <c r="K14" i="49" s="1"/>
  <c r="H18" i="44"/>
  <c r="G15" i="49" s="1"/>
  <c r="F23" i="44"/>
  <c r="K23" i="44"/>
  <c r="J20" i="49" s="1"/>
  <c r="I24" i="44"/>
  <c r="H21" i="49" s="1"/>
  <c r="J27" i="44"/>
  <c r="I24" i="49" s="1"/>
  <c r="K31" i="44"/>
  <c r="J28" i="49" s="1"/>
  <c r="H32" i="44"/>
  <c r="G29" i="49" s="1"/>
  <c r="M17" i="44"/>
  <c r="L14" i="49" s="1"/>
  <c r="H20" i="44"/>
  <c r="G17" i="49" s="1"/>
  <c r="M25" i="44"/>
  <c r="L22" i="49" s="1"/>
  <c r="L7" i="44"/>
  <c r="K4" i="49" s="1"/>
  <c r="G6" i="44"/>
  <c r="M29" i="44"/>
  <c r="J5" i="44"/>
  <c r="H19" i="44"/>
  <c r="G16" i="49" s="1"/>
  <c r="BH18" i="1"/>
  <c r="L19" i="44"/>
  <c r="K16" i="49" s="1"/>
  <c r="M22" i="44"/>
  <c r="L19" i="49" s="1"/>
  <c r="F26" i="44"/>
  <c r="BC19" i="1"/>
  <c r="I20" i="44"/>
  <c r="H17" i="49" s="1"/>
  <c r="K11" i="44"/>
  <c r="J8" i="49" s="1"/>
  <c r="F11" i="44"/>
  <c r="K16" i="44"/>
  <c r="J13" i="49" s="1"/>
  <c r="K5" i="44"/>
  <c r="F14" i="44"/>
  <c r="F25" i="44"/>
  <c r="M26" i="44"/>
  <c r="L23" i="49" s="1"/>
  <c r="K17" i="44"/>
  <c r="J14" i="49" s="1"/>
  <c r="G20" i="44"/>
  <c r="F17" i="49" s="1"/>
  <c r="I7" i="44"/>
  <c r="H4" i="49" s="1"/>
  <c r="J16" i="44"/>
  <c r="I13" i="49" s="1"/>
  <c r="I14" i="44"/>
  <c r="H11" i="49" s="1"/>
  <c r="J30" i="44"/>
  <c r="I27" i="49" s="1"/>
  <c r="K29" i="44"/>
  <c r="G26" i="44"/>
  <c r="F23" i="49" s="1"/>
  <c r="L22" i="44"/>
  <c r="K19" i="49" s="1"/>
  <c r="H26" i="44"/>
  <c r="G23" i="49" s="1"/>
  <c r="J17" i="44"/>
  <c r="I14" i="49" s="1"/>
  <c r="G7" i="44"/>
  <c r="F4" i="49" s="1"/>
  <c r="I16" i="44"/>
  <c r="H13" i="49" s="1"/>
  <c r="G14" i="44"/>
  <c r="F11" i="49" s="1"/>
  <c r="I30" i="44"/>
  <c r="H27" i="49" s="1"/>
  <c r="J29" i="44"/>
  <c r="J22" i="44"/>
  <c r="I19" i="49" s="1"/>
  <c r="I26" i="44"/>
  <c r="H23" i="49" s="1"/>
  <c r="L26" i="44"/>
  <c r="K23" i="49" s="1"/>
  <c r="AN28" i="1"/>
  <c r="J25" i="44"/>
  <c r="I22" i="49" s="1"/>
  <c r="I11" i="44"/>
  <c r="H8" i="49" s="1"/>
  <c r="H16" i="44"/>
  <c r="G13" i="49" s="1"/>
  <c r="J6" i="44"/>
  <c r="H30" i="44"/>
  <c r="G27" i="49" s="1"/>
  <c r="H5" i="44"/>
  <c r="F5" i="44"/>
  <c r="I17" i="44"/>
  <c r="H14" i="49" s="1"/>
  <c r="K8" i="44"/>
  <c r="J5" i="49" s="1"/>
  <c r="K7" i="44"/>
  <c r="J4" i="49" s="1"/>
  <c r="F7" i="44"/>
  <c r="H11" i="44"/>
  <c r="G8" i="49" s="1"/>
  <c r="G16" i="44"/>
  <c r="F13" i="49" s="1"/>
  <c r="K14" i="44"/>
  <c r="J11" i="49" s="1"/>
  <c r="G30" i="44"/>
  <c r="F27" i="49" s="1"/>
  <c r="I29" i="44"/>
  <c r="I5" i="44"/>
  <c r="L5" i="44"/>
  <c r="J10" i="44"/>
  <c r="J12" i="44"/>
  <c r="I9" i="49" s="1"/>
  <c r="F17" i="44"/>
  <c r="AY18" i="1"/>
  <c r="M19" i="44"/>
  <c r="L16" i="49" s="1"/>
  <c r="G21" i="44"/>
  <c r="F18" i="49" s="1"/>
  <c r="K22" i="44"/>
  <c r="J19" i="49" s="1"/>
  <c r="G24" i="44"/>
  <c r="F21" i="49" s="1"/>
  <c r="J26" i="44"/>
  <c r="I23" i="49" s="1"/>
  <c r="I27" i="44"/>
  <c r="H24" i="49" s="1"/>
  <c r="J31" i="44"/>
  <c r="I28" i="49" s="1"/>
  <c r="H33" i="44"/>
  <c r="G30" i="49" s="1"/>
  <c r="H17" i="44"/>
  <c r="G14" i="49" s="1"/>
  <c r="G8" i="44"/>
  <c r="F5" i="49" s="1"/>
  <c r="G11" i="44"/>
  <c r="F8" i="49" s="1"/>
  <c r="H29" i="44"/>
  <c r="J34" i="44"/>
  <c r="I31" i="49" s="1"/>
  <c r="G32" i="44"/>
  <c r="F29" i="49" s="1"/>
  <c r="G17" i="44"/>
  <c r="F14" i="49" s="1"/>
  <c r="J14" i="44"/>
  <c r="I11" i="49" s="1"/>
  <c r="F6" i="44"/>
  <c r="K30" i="44"/>
  <c r="J27" i="49" s="1"/>
  <c r="G29" i="44"/>
  <c r="AD5" i="49"/>
  <c r="AH5" i="49"/>
  <c r="AJ6" i="49"/>
  <c r="AF6" i="49"/>
  <c r="AD7" i="49"/>
  <c r="AH7" i="49"/>
  <c r="AG4" i="49"/>
  <c r="AI5" i="49"/>
  <c r="AE5" i="49"/>
  <c r="AK6" i="49"/>
  <c r="AG6" i="49"/>
  <c r="AG7" i="49"/>
  <c r="AK7" i="49"/>
  <c r="AD4" i="49"/>
  <c r="AJ5" i="49"/>
  <c r="AF5" i="49"/>
  <c r="AD6" i="49"/>
  <c r="AH6" i="49"/>
  <c r="AF7" i="49"/>
  <c r="AJ7" i="49"/>
  <c r="AI4" i="49"/>
  <c r="AE4" i="49"/>
  <c r="AK5" i="49"/>
  <c r="AG5" i="49"/>
  <c r="AI6" i="49"/>
  <c r="AE6" i="49"/>
  <c r="AE7" i="49"/>
  <c r="AI7" i="49"/>
  <c r="AJ4" i="49"/>
  <c r="AF4" i="49"/>
  <c r="D35" i="1"/>
  <c r="F35" i="1"/>
  <c r="F38" i="1" s="1"/>
  <c r="AH30" i="45"/>
  <c r="M24" i="49"/>
  <c r="G8" i="1"/>
  <c r="Y30" i="44"/>
  <c r="X27" i="49" s="1"/>
  <c r="Y31" i="44"/>
  <c r="X28" i="49" s="1"/>
  <c r="AV30" i="1"/>
  <c r="Y29" i="44"/>
  <c r="Y17" i="44"/>
  <c r="X14" i="49" s="1"/>
  <c r="Y18" i="44"/>
  <c r="X15" i="49" s="1"/>
  <c r="BB17" i="1"/>
  <c r="BB16" i="1"/>
  <c r="AV17" i="1"/>
  <c r="AV16" i="1"/>
  <c r="Y6" i="44"/>
  <c r="AV5" i="1"/>
  <c r="AE15" i="49"/>
  <c r="F21" i="44"/>
  <c r="AD18" i="49"/>
  <c r="T29" i="45"/>
  <c r="AF19" i="49"/>
  <c r="AV22" i="1"/>
  <c r="BA23" i="1"/>
  <c r="AD21" i="49"/>
  <c r="BF25" i="1"/>
  <c r="BK23" i="49"/>
  <c r="BA24" i="1"/>
  <c r="AE22" i="49"/>
  <c r="AE11" i="49"/>
  <c r="AD11" i="49"/>
  <c r="AV20" i="1"/>
  <c r="AD19" i="49"/>
  <c r="AI19" i="49"/>
  <c r="BD23" i="1"/>
  <c r="BA25" i="1"/>
  <c r="BE25" i="1"/>
  <c r="AD30" i="49"/>
  <c r="BF24" i="1"/>
  <c r="AD31" i="49"/>
  <c r="AH19" i="49"/>
  <c r="BG23" i="1"/>
  <c r="BD25" i="1"/>
  <c r="BI23" i="49"/>
  <c r="AE14" i="49"/>
  <c r="AE19" i="49"/>
  <c r="BG24" i="1"/>
  <c r="AV6" i="1"/>
  <c r="AE31" i="49"/>
  <c r="AD13" i="49"/>
  <c r="AD14" i="49"/>
  <c r="AE18" i="49"/>
  <c r="AG19" i="49"/>
  <c r="BF23" i="1"/>
  <c r="AE21" i="49"/>
  <c r="AD22" i="49"/>
  <c r="BG25" i="1"/>
  <c r="BL23" i="49"/>
  <c r="AE13" i="49"/>
  <c r="AZ19" i="1"/>
  <c r="BJ23" i="49"/>
  <c r="BC23" i="49"/>
  <c r="Y23" i="49"/>
  <c r="W23" i="49"/>
  <c r="V23" i="49"/>
  <c r="U23" i="49"/>
  <c r="T23" i="49"/>
  <c r="S23" i="49"/>
  <c r="R23" i="49"/>
  <c r="Q23" i="49"/>
  <c r="P23" i="49"/>
  <c r="O23" i="49"/>
  <c r="N23" i="49"/>
  <c r="M23" i="49"/>
  <c r="Y26" i="44"/>
  <c r="X23" i="49" s="1"/>
  <c r="BC25" i="1"/>
  <c r="BB25" i="1"/>
  <c r="AZ25" i="1"/>
  <c r="Y25" i="44"/>
  <c r="X22" i="49" s="1"/>
  <c r="BC24" i="1"/>
  <c r="BB24" i="1"/>
  <c r="AZ24" i="1"/>
  <c r="AV24" i="1"/>
  <c r="Y23" i="44"/>
  <c r="X20" i="49" s="1"/>
  <c r="Y24" i="44"/>
  <c r="X21" i="49" s="1"/>
  <c r="BB23" i="1"/>
  <c r="AZ23" i="1"/>
  <c r="AV23" i="1"/>
  <c r="AK19" i="49"/>
  <c r="Y16" i="44"/>
  <c r="X13" i="49" s="1"/>
  <c r="AK11" i="49"/>
  <c r="AJ11" i="49"/>
  <c r="AI11" i="49"/>
  <c r="AH11" i="49"/>
  <c r="AG11" i="49"/>
  <c r="AF11" i="49"/>
  <c r="BG4" i="1"/>
  <c r="AX4" i="1"/>
  <c r="BH4" i="1"/>
  <c r="BF4" i="1"/>
  <c r="AW4" i="1"/>
  <c r="Y5" i="44"/>
  <c r="AY4" i="1"/>
  <c r="AK31" i="49"/>
  <c r="AJ31" i="49"/>
  <c r="AI31" i="49"/>
  <c r="AH31" i="49"/>
  <c r="AG31" i="49"/>
  <c r="AF31" i="49"/>
  <c r="Y34" i="44"/>
  <c r="X31" i="49" s="1"/>
  <c r="Y33" i="44"/>
  <c r="X30" i="49" s="1"/>
  <c r="AD29" i="49"/>
  <c r="BC31" i="1"/>
  <c r="AV29" i="1"/>
  <c r="AD28" i="49"/>
  <c r="AH28" i="49"/>
  <c r="AG28" i="49"/>
  <c r="AK28" i="49"/>
  <c r="AF28" i="49"/>
  <c r="AJ28" i="49"/>
  <c r="AE28" i="49"/>
  <c r="AI28" i="49"/>
  <c r="AE27" i="49"/>
  <c r="AI27" i="49"/>
  <c r="AD27" i="49"/>
  <c r="AH27" i="49"/>
  <c r="AG27" i="49"/>
  <c r="AK27" i="49"/>
  <c r="AF27" i="49"/>
  <c r="AJ27" i="49"/>
  <c r="AE26" i="49"/>
  <c r="AI26" i="49"/>
  <c r="AD26" i="49"/>
  <c r="AH26" i="49"/>
  <c r="AG26" i="49"/>
  <c r="AK26" i="49"/>
  <c r="AF26" i="49"/>
  <c r="AJ26" i="49"/>
  <c r="AG24" i="49"/>
  <c r="AK24" i="49"/>
  <c r="AF24" i="49"/>
  <c r="AJ24" i="49"/>
  <c r="AE24" i="49"/>
  <c r="AI24" i="49"/>
  <c r="AD24" i="49"/>
  <c r="AH24" i="49"/>
  <c r="AK22" i="49"/>
  <c r="AJ22" i="49"/>
  <c r="AI22" i="49"/>
  <c r="AH22" i="49"/>
  <c r="AG22" i="49"/>
  <c r="AF22" i="49"/>
  <c r="AK21" i="49"/>
  <c r="AJ21" i="49"/>
  <c r="AI21" i="49"/>
  <c r="AH21" i="49"/>
  <c r="AG21" i="49"/>
  <c r="AF21" i="49"/>
  <c r="AE20" i="49"/>
  <c r="AK20" i="49"/>
  <c r="AJ20" i="49"/>
  <c r="AI20" i="49"/>
  <c r="AH20" i="49"/>
  <c r="AG20" i="49"/>
  <c r="AF20" i="49"/>
  <c r="AJ19" i="49"/>
  <c r="AK18" i="49"/>
  <c r="AJ18" i="49"/>
  <c r="AI18" i="49"/>
  <c r="AH18" i="49"/>
  <c r="AG18" i="49"/>
  <c r="AF18" i="49"/>
  <c r="I17" i="35"/>
  <c r="AJ15" i="49"/>
  <c r="AI15" i="49"/>
  <c r="AH15" i="49"/>
  <c r="AG15" i="49"/>
  <c r="AF15" i="49"/>
  <c r="AD15" i="49"/>
  <c r="I16" i="35"/>
  <c r="AJ14" i="49"/>
  <c r="AI14" i="49"/>
  <c r="AH14" i="49"/>
  <c r="AG14" i="49"/>
  <c r="AF14" i="49"/>
  <c r="AJ13" i="49"/>
  <c r="AH13" i="49"/>
  <c r="AG13" i="49"/>
  <c r="AF13" i="49"/>
  <c r="BG32" i="1"/>
  <c r="AF30" i="49"/>
  <c r="AJ30" i="49"/>
  <c r="BC30" i="49"/>
  <c r="BI30" i="49"/>
  <c r="U30" i="49"/>
  <c r="Q30" i="49"/>
  <c r="AV32" i="1"/>
  <c r="BF32" i="1"/>
  <c r="AI30" i="49"/>
  <c r="AQ30" i="49"/>
  <c r="BL30" i="49"/>
  <c r="V30" i="49"/>
  <c r="R30" i="49"/>
  <c r="N30" i="49"/>
  <c r="D5" i="45"/>
  <c r="BA32" i="1"/>
  <c r="AH30" i="49"/>
  <c r="M30" i="49"/>
  <c r="BK30" i="49"/>
  <c r="W30" i="49"/>
  <c r="S30" i="49"/>
  <c r="O30" i="49"/>
  <c r="BG36" i="1"/>
  <c r="AG30" i="49"/>
  <c r="AK30" i="49"/>
  <c r="BJ30" i="49"/>
  <c r="Y30" i="49"/>
  <c r="T30" i="49"/>
  <c r="P30" i="49"/>
  <c r="U13" i="49"/>
  <c r="Q13" i="49"/>
  <c r="BJ13" i="49"/>
  <c r="AT24" i="1"/>
  <c r="AZ15" i="1"/>
  <c r="BC15" i="1"/>
  <c r="BG15" i="1"/>
  <c r="V13" i="49"/>
  <c r="R13" i="49"/>
  <c r="N13" i="49"/>
  <c r="BK13" i="49"/>
  <c r="BD15" i="1"/>
  <c r="BC13" i="49"/>
  <c r="W13" i="49"/>
  <c r="S13" i="49"/>
  <c r="O13" i="49"/>
  <c r="BL13" i="49"/>
  <c r="AV15" i="1"/>
  <c r="BI13" i="49"/>
  <c r="Y13" i="49"/>
  <c r="T13" i="49"/>
  <c r="P13" i="49"/>
  <c r="BE15" i="1"/>
  <c r="N12" i="49"/>
  <c r="V12" i="49"/>
  <c r="BC12" i="49"/>
  <c r="BI12" i="49"/>
  <c r="Q12" i="49"/>
  <c r="U12" i="49"/>
  <c r="BL12" i="49"/>
  <c r="P12" i="49"/>
  <c r="T12" i="49"/>
  <c r="Y12" i="49"/>
  <c r="AV14" i="1"/>
  <c r="BJ12" i="49"/>
  <c r="R12" i="49"/>
  <c r="BK12" i="49"/>
  <c r="O12" i="49"/>
  <c r="S12" i="49"/>
  <c r="W12" i="49"/>
  <c r="T5" i="45"/>
  <c r="AQ19" i="49"/>
  <c r="G5" i="45"/>
  <c r="M5" i="45"/>
  <c r="AD5" i="45"/>
  <c r="AQ6" i="49"/>
  <c r="BE21" i="1"/>
  <c r="L5" i="45"/>
  <c r="U5" i="45"/>
  <c r="X5" i="45"/>
  <c r="AC5" i="45"/>
  <c r="AY10" i="44"/>
  <c r="K25" i="45"/>
  <c r="AQ15" i="49"/>
  <c r="AY24" i="44"/>
  <c r="AQ13" i="49"/>
  <c r="AE12" i="49"/>
  <c r="P5" i="45"/>
  <c r="AD12" i="49"/>
  <c r="K5" i="45"/>
  <c r="O5" i="45"/>
  <c r="R5" i="45"/>
  <c r="S5" i="45"/>
  <c r="V5" i="45"/>
  <c r="AB5" i="45"/>
  <c r="AE5" i="45"/>
  <c r="AQ10" i="49"/>
  <c r="AQ12" i="49"/>
  <c r="AV18" i="1"/>
  <c r="AQ16" i="49"/>
  <c r="AQ18" i="49"/>
  <c r="BE24" i="1"/>
  <c r="AQ8" i="49"/>
  <c r="H5" i="45"/>
  <c r="I5" i="45"/>
  <c r="N5" i="45"/>
  <c r="Q5" i="45"/>
  <c r="BE6" i="1"/>
  <c r="J5" i="45"/>
  <c r="BF6" i="1"/>
  <c r="BF7" i="1"/>
  <c r="AY8" i="44"/>
  <c r="G6" i="45"/>
  <c r="AQ5" i="49"/>
  <c r="F6" i="45"/>
  <c r="AY7" i="44"/>
  <c r="AQ4" i="49"/>
  <c r="AH5" i="45"/>
  <c r="AG5" i="45"/>
  <c r="AH25" i="45"/>
  <c r="BE32" i="49" s="1"/>
  <c r="AF5" i="45"/>
  <c r="AQ31" i="49"/>
  <c r="AQ29" i="49"/>
  <c r="BE31" i="1"/>
  <c r="BE30" i="1"/>
  <c r="BE29" i="1"/>
  <c r="BB30" i="1"/>
  <c r="AQ27" i="49"/>
  <c r="AY29" i="44"/>
  <c r="AQ26" i="49"/>
  <c r="Y5" i="45"/>
  <c r="Z5" i="45"/>
  <c r="AQ24" i="49"/>
  <c r="AQ23" i="49"/>
  <c r="AQ22" i="49"/>
  <c r="AQ21" i="49"/>
  <c r="AQ20" i="49"/>
  <c r="AQ2" i="49"/>
  <c r="D6" i="45"/>
  <c r="AQ3" i="49"/>
  <c r="E5" i="45"/>
  <c r="E6" i="45"/>
  <c r="E11" i="35"/>
  <c r="G11" i="35" s="1"/>
  <c r="E17" i="35"/>
  <c r="G17" i="35" s="1"/>
  <c r="E15" i="35"/>
  <c r="G15" i="35" s="1"/>
  <c r="E16" i="35"/>
  <c r="G16" i="35" s="1"/>
  <c r="E12" i="35"/>
  <c r="G12" i="35" s="1"/>
  <c r="E10" i="35"/>
  <c r="G10" i="35" s="1"/>
  <c r="E13" i="35"/>
  <c r="G13" i="35" s="1"/>
  <c r="BH31" i="49"/>
  <c r="AD9" i="1"/>
  <c r="I4" i="35"/>
  <c r="AS18" i="1"/>
  <c r="AP7" i="1"/>
  <c r="AR7" i="1"/>
  <c r="AP8" i="1"/>
  <c r="AW8" i="1"/>
  <c r="AS9" i="1"/>
  <c r="AX9" i="1"/>
  <c r="BH9" i="1"/>
  <c r="AR11" i="1"/>
  <c r="AY12" i="1"/>
  <c r="AT12" i="1"/>
  <c r="AX12" i="1"/>
  <c r="BH12" i="1"/>
  <c r="I12" i="35"/>
  <c r="AK10" i="49"/>
  <c r="AU17" i="1"/>
  <c r="AU18" i="1"/>
  <c r="AT20" i="1"/>
  <c r="AX20" i="1"/>
  <c r="BH20" i="1"/>
  <c r="AP22" i="1"/>
  <c r="AS22" i="1"/>
  <c r="AW22" i="1"/>
  <c r="AU23" i="1"/>
  <c r="AT25" i="1"/>
  <c r="AX25" i="1"/>
  <c r="BH25" i="1"/>
  <c r="AT26" i="1"/>
  <c r="AX26" i="1"/>
  <c r="BH26" i="1"/>
  <c r="AT30" i="1"/>
  <c r="AX30" i="1"/>
  <c r="BH30" i="1"/>
  <c r="AP31" i="1"/>
  <c r="AX32" i="1"/>
  <c r="AX16" i="1"/>
  <c r="AT16" i="1"/>
  <c r="AY16" i="1"/>
  <c r="AX19" i="1"/>
  <c r="AS19" i="1"/>
  <c r="BH19" i="1"/>
  <c r="AU24" i="1"/>
  <c r="AY24" i="1"/>
  <c r="AN8" i="44"/>
  <c r="BG5" i="49" s="1"/>
  <c r="I7" i="35"/>
  <c r="AK4" i="49"/>
  <c r="BD6" i="1"/>
  <c r="BH6" i="1"/>
  <c r="AX6" i="1"/>
  <c r="I10" i="35"/>
  <c r="AK8" i="49"/>
  <c r="BH10" i="1"/>
  <c r="AX10" i="1"/>
  <c r="AT10" i="1"/>
  <c r="BH13" i="1"/>
  <c r="AX14" i="1"/>
  <c r="AT14" i="1"/>
  <c r="AR15" i="1"/>
  <c r="AW13" i="1"/>
  <c r="AR5" i="1"/>
  <c r="AQ29" i="1"/>
  <c r="AU28" i="1"/>
  <c r="BI28" i="1" s="1"/>
  <c r="AQ28" i="1"/>
  <c r="AX7" i="1"/>
  <c r="BH7" i="1"/>
  <c r="AX8" i="1"/>
  <c r="AT8" i="1"/>
  <c r="AY8" i="1"/>
  <c r="AR9" i="1"/>
  <c r="AW9" i="1"/>
  <c r="AP12" i="1"/>
  <c r="AS12" i="1"/>
  <c r="AY17" i="1"/>
  <c r="AT17" i="1"/>
  <c r="AX17" i="1"/>
  <c r="AT18" i="1"/>
  <c r="AX18" i="1"/>
  <c r="I18" i="35"/>
  <c r="AK16" i="49"/>
  <c r="AP20" i="1"/>
  <c r="AW20" i="1"/>
  <c r="AY21" i="1"/>
  <c r="AU21" i="1"/>
  <c r="AR22" i="1"/>
  <c r="AY23" i="1"/>
  <c r="AT23" i="1"/>
  <c r="AX23" i="1"/>
  <c r="BH23" i="1"/>
  <c r="AP24" i="1"/>
  <c r="AP25" i="1"/>
  <c r="AS25" i="1"/>
  <c r="AW25" i="1"/>
  <c r="AP26" i="1"/>
  <c r="AW26" i="1"/>
  <c r="AS30" i="1"/>
  <c r="AZ30" i="1"/>
  <c r="AR31" i="1"/>
  <c r="AP32" i="1"/>
  <c r="AS32" i="1"/>
  <c r="AU16" i="1"/>
  <c r="AQ16" i="1"/>
  <c r="AU19" i="1"/>
  <c r="BI19" i="1" s="1"/>
  <c r="AY19" i="1"/>
  <c r="AQ24" i="1"/>
  <c r="AQ6" i="1"/>
  <c r="AU10" i="1"/>
  <c r="AQ10" i="1"/>
  <c r="AU14" i="1"/>
  <c r="AQ14" i="1"/>
  <c r="AW15" i="1"/>
  <c r="AS15" i="1"/>
  <c r="AX13" i="1"/>
  <c r="AT13" i="1"/>
  <c r="BH5" i="1"/>
  <c r="AR29" i="1"/>
  <c r="I5" i="35"/>
  <c r="AT7" i="1"/>
  <c r="AU8" i="1"/>
  <c r="BI8" i="1" s="1"/>
  <c r="AQ9" i="1"/>
  <c r="AY11" i="1"/>
  <c r="AT11" i="1"/>
  <c r="AX11" i="1"/>
  <c r="BH11" i="1"/>
  <c r="AP17" i="1"/>
  <c r="AS17" i="1"/>
  <c r="AW17" i="1"/>
  <c r="AR18" i="1"/>
  <c r="AW18" i="1"/>
  <c r="AX21" i="1"/>
  <c r="BH21" i="1"/>
  <c r="BD21" i="1"/>
  <c r="AU22" i="1"/>
  <c r="BH22" i="1"/>
  <c r="AS23" i="1"/>
  <c r="AW23" i="1"/>
  <c r="AR25" i="1"/>
  <c r="BH28" i="1"/>
  <c r="AR30" i="1"/>
  <c r="AU31" i="1"/>
  <c r="AR32" i="1"/>
  <c r="AQ19" i="1"/>
  <c r="AW24" i="1"/>
  <c r="AR24" i="1"/>
  <c r="AQ7" i="1"/>
  <c r="AR6" i="1"/>
  <c r="AN7" i="44"/>
  <c r="BG4" i="49" s="1"/>
  <c r="AR10" i="1"/>
  <c r="AR14" i="1"/>
  <c r="AX15" i="1"/>
  <c r="AT15" i="1"/>
  <c r="AY15" i="1"/>
  <c r="AU13" i="1"/>
  <c r="BI13" i="1" s="1"/>
  <c r="AQ13" i="1"/>
  <c r="AP5" i="1"/>
  <c r="AT5" i="1"/>
  <c r="AX5" i="1"/>
  <c r="AW29" i="1"/>
  <c r="AT19" i="1"/>
  <c r="AW28" i="1"/>
  <c r="AS28" i="1"/>
  <c r="BG32" i="49"/>
  <c r="AR8" i="1"/>
  <c r="BH8" i="1"/>
  <c r="AT9" i="1"/>
  <c r="AS11" i="1"/>
  <c r="AW11" i="1"/>
  <c r="I11" i="35"/>
  <c r="AK9" i="49"/>
  <c r="AP13" i="1"/>
  <c r="AP15" i="1"/>
  <c r="AR17" i="1"/>
  <c r="AQ20" i="1"/>
  <c r="AU20" i="1"/>
  <c r="AR21" i="1"/>
  <c r="AW21" i="1"/>
  <c r="AT22" i="1"/>
  <c r="AX22" i="1"/>
  <c r="AQ25" i="1"/>
  <c r="AU25" i="1"/>
  <c r="AQ26" i="1"/>
  <c r="AU26" i="1"/>
  <c r="BI26" i="1" s="1"/>
  <c r="AP29" i="1"/>
  <c r="AQ30" i="1"/>
  <c r="AY31" i="1"/>
  <c r="AT31" i="1"/>
  <c r="AX31" i="1"/>
  <c r="BH31" i="1"/>
  <c r="AQ32" i="1"/>
  <c r="AW16" i="1"/>
  <c r="AS16" i="1"/>
  <c r="AW19" i="1"/>
  <c r="AR19" i="1"/>
  <c r="AX24" i="1"/>
  <c r="BD24" i="1"/>
  <c r="BH24" i="1"/>
  <c r="AW7" i="1"/>
  <c r="AP6" i="1"/>
  <c r="AW10" i="1"/>
  <c r="AP10" i="1"/>
  <c r="AW14" i="1"/>
  <c r="AS14" i="1"/>
  <c r="BH14" i="1"/>
  <c r="AU15" i="1"/>
  <c r="AQ15" i="1"/>
  <c r="AX29" i="1"/>
  <c r="AT29" i="1"/>
  <c r="AY29" i="1"/>
  <c r="AX28" i="1"/>
  <c r="AT28" i="1"/>
  <c r="AW30" i="1"/>
  <c r="AW31" i="1"/>
  <c r="BH10" i="49"/>
  <c r="H18" i="35"/>
  <c r="AL17" i="49"/>
  <c r="M18" i="49"/>
  <c r="M19" i="49"/>
  <c r="AL19" i="49"/>
  <c r="AL23" i="49"/>
  <c r="AL24" i="49"/>
  <c r="M16" i="35"/>
  <c r="O16" i="35" s="1"/>
  <c r="M14" i="49"/>
  <c r="AL14" i="49"/>
  <c r="AL13" i="49"/>
  <c r="O15" i="49"/>
  <c r="AL30" i="49"/>
  <c r="O32" i="49"/>
  <c r="P32" i="49"/>
  <c r="BG20" i="1"/>
  <c r="BH18" i="49"/>
  <c r="AL21" i="49"/>
  <c r="BH22" i="49"/>
  <c r="BH26" i="49"/>
  <c r="AL27" i="49"/>
  <c r="BH28" i="49"/>
  <c r="AL9" i="49"/>
  <c r="M15" i="35"/>
  <c r="O15" i="35" s="1"/>
  <c r="M13" i="49"/>
  <c r="AL8" i="49"/>
  <c r="M10" i="35"/>
  <c r="O10" i="35" s="1"/>
  <c r="M8" i="49"/>
  <c r="P15" i="49"/>
  <c r="H11" i="35"/>
  <c r="BH14" i="49"/>
  <c r="BH17" i="49"/>
  <c r="BH19" i="49"/>
  <c r="AL20" i="49"/>
  <c r="BH20" i="49"/>
  <c r="BH23" i="49"/>
  <c r="BH24" i="49"/>
  <c r="AL26" i="49"/>
  <c r="BH30" i="49"/>
  <c r="AL7" i="49"/>
  <c r="M14" i="35"/>
  <c r="O14" i="35" s="1"/>
  <c r="M12" i="49"/>
  <c r="AL12" i="49"/>
  <c r="AL32" i="49"/>
  <c r="BH32" i="49"/>
  <c r="AN5" i="44"/>
  <c r="H12" i="35"/>
  <c r="BH12" i="49"/>
  <c r="AL18" i="49"/>
  <c r="BH21" i="49"/>
  <c r="BH27" i="49"/>
  <c r="AL28" i="49"/>
  <c r="BH9" i="49"/>
  <c r="O5" i="49"/>
  <c r="P5" i="49"/>
  <c r="AL6" i="49"/>
  <c r="M13" i="35"/>
  <c r="O13" i="35" s="1"/>
  <c r="M11" i="49"/>
  <c r="AL22" i="49"/>
  <c r="H7" i="35"/>
  <c r="H10" i="35"/>
  <c r="M15" i="49"/>
  <c r="BH15" i="49"/>
  <c r="BH16" i="49"/>
  <c r="AL16" i="49"/>
  <c r="AL15" i="49"/>
  <c r="Y15" i="49"/>
  <c r="W15" i="49"/>
  <c r="V15" i="49"/>
  <c r="U15" i="49"/>
  <c r="T15" i="49"/>
  <c r="S15" i="49"/>
  <c r="R15" i="49"/>
  <c r="Q15" i="49"/>
  <c r="M18" i="35"/>
  <c r="N16" i="49"/>
  <c r="M17" i="35"/>
  <c r="N15" i="49"/>
  <c r="L4" i="1"/>
  <c r="G2" i="47" s="1"/>
  <c r="H23" i="44"/>
  <c r="G20" i="49" s="1"/>
  <c r="G8" i="35"/>
  <c r="P36" i="1"/>
  <c r="U30" i="1"/>
  <c r="U21" i="1"/>
  <c r="U9" i="1"/>
  <c r="U8" i="1"/>
  <c r="AS4" i="1"/>
  <c r="BA36" i="1"/>
  <c r="BE36" i="1"/>
  <c r="U31" i="1"/>
  <c r="U28" i="1"/>
  <c r="U7" i="1"/>
  <c r="BB32" i="1"/>
  <c r="U6" i="1"/>
  <c r="AR23" i="1"/>
  <c r="E36" i="1"/>
  <c r="BC36" i="1"/>
  <c r="E18" i="35"/>
  <c r="G18" i="35" s="1"/>
  <c r="BB19" i="1"/>
  <c r="Z36" i="1"/>
  <c r="T36" i="1"/>
  <c r="AS27" i="1"/>
  <c r="BF17" i="1"/>
  <c r="AY26" i="1"/>
  <c r="BG30" i="1"/>
  <c r="AD13" i="1"/>
  <c r="BB27" i="1"/>
  <c r="U26" i="1"/>
  <c r="E9" i="35"/>
  <c r="G9" i="35" s="1"/>
  <c r="U25" i="1"/>
  <c r="U29" i="1"/>
  <c r="U18" i="1"/>
  <c r="U14" i="1"/>
  <c r="U32" i="1"/>
  <c r="BD36" i="1"/>
  <c r="D36" i="1"/>
  <c r="I36" i="1"/>
  <c r="AY28" i="1"/>
  <c r="BG29" i="1"/>
  <c r="AD16" i="1"/>
  <c r="BB15" i="1"/>
  <c r="U13" i="1"/>
  <c r="AN12" i="1"/>
  <c r="AU12" i="1"/>
  <c r="M11" i="35"/>
  <c r="O11" i="35" s="1"/>
  <c r="BB11" i="1"/>
  <c r="BF10" i="1"/>
  <c r="BA14" i="1"/>
  <c r="AY30" i="1"/>
  <c r="AQ5" i="1"/>
  <c r="AY13" i="1"/>
  <c r="L17" i="35"/>
  <c r="AP4" i="1"/>
  <c r="AD17" i="1"/>
  <c r="AY14" i="1"/>
  <c r="AR16" i="1"/>
  <c r="AD22" i="1"/>
  <c r="AQ18" i="1"/>
  <c r="AY20" i="1"/>
  <c r="BA13" i="1"/>
  <c r="AR13" i="1"/>
  <c r="AQ23" i="1"/>
  <c r="AR26" i="1"/>
  <c r="AP28" i="1"/>
  <c r="AU27" i="1"/>
  <c r="AQ31" i="1"/>
  <c r="AN27" i="1"/>
  <c r="BC4" i="1"/>
  <c r="U20" i="1"/>
  <c r="BA30" i="1"/>
  <c r="U12" i="1"/>
  <c r="AZ11" i="1"/>
  <c r="AW12" i="1"/>
  <c r="AP19" i="1"/>
  <c r="BH29" i="1"/>
  <c r="AD12" i="1"/>
  <c r="AS10" i="1"/>
  <c r="AU29" i="1"/>
  <c r="AU30" i="1"/>
  <c r="BF15" i="1"/>
  <c r="AP23" i="1"/>
  <c r="BE23" i="1"/>
  <c r="AS26" i="1"/>
  <c r="BC30" i="1"/>
  <c r="M12" i="35"/>
  <c r="O12" i="35" s="1"/>
  <c r="E5" i="47"/>
  <c r="AY10" i="1"/>
  <c r="AS29" i="1"/>
  <c r="AR4" i="1"/>
  <c r="BB18" i="1"/>
  <c r="AY22" i="1"/>
  <c r="U27" i="1"/>
  <c r="AD26" i="1"/>
  <c r="O8" i="35"/>
  <c r="U10" i="1"/>
  <c r="F36" i="1"/>
  <c r="U5" i="1"/>
  <c r="AD11" i="1"/>
  <c r="U24" i="1"/>
  <c r="U15" i="1"/>
  <c r="U22" i="1"/>
  <c r="AD19" i="1"/>
  <c r="M36" i="1"/>
  <c r="AC36" i="1"/>
  <c r="BA9" i="1"/>
  <c r="M9" i="35"/>
  <c r="O9" i="35" s="1"/>
  <c r="AP9" i="1"/>
  <c r="AD8" i="1"/>
  <c r="AS8" i="1"/>
  <c r="AR12" i="1"/>
  <c r="S36" i="1"/>
  <c r="U17" i="1"/>
  <c r="AP11" i="1"/>
  <c r="AQ17" i="1"/>
  <c r="E14" i="35"/>
  <c r="G14" i="35" s="1"/>
  <c r="BH15" i="1"/>
  <c r="AY25" i="1"/>
  <c r="BD28" i="1"/>
  <c r="BD27" i="1"/>
  <c r="Y27" i="1"/>
  <c r="BB29" i="1"/>
  <c r="AD30" i="1"/>
  <c r="BB14" i="1"/>
  <c r="AS24" i="1"/>
  <c r="AW27" i="1"/>
  <c r="AP18" i="1"/>
  <c r="L18" i="35"/>
  <c r="U19" i="1"/>
  <c r="AD27" i="1"/>
  <c r="AD28" i="1"/>
  <c r="AY9" i="1"/>
  <c r="BA15" i="1"/>
  <c r="K8" i="35"/>
  <c r="U16" i="1"/>
  <c r="H4" i="35"/>
  <c r="AQ11" i="1"/>
  <c r="AP21" i="1"/>
  <c r="BB21" i="1"/>
  <c r="AR28" i="1"/>
  <c r="AU11" i="1"/>
  <c r="BI11" i="1" s="1"/>
  <c r="AP14" i="1"/>
  <c r="AZ18" i="1"/>
  <c r="AV25" i="1"/>
  <c r="AQ8" i="1"/>
  <c r="BC12" i="1"/>
  <c r="AR20" i="1"/>
  <c r="AQ22" i="1"/>
  <c r="AS13" i="1"/>
  <c r="AD24" i="1"/>
  <c r="U23" i="1"/>
  <c r="AU9" i="1"/>
  <c r="BI9" i="1" s="1"/>
  <c r="AQ12" i="1"/>
  <c r="AP16" i="1"/>
  <c r="BH16" i="1"/>
  <c r="BH17" i="1"/>
  <c r="E12" i="47"/>
  <c r="E7" i="35"/>
  <c r="G7" i="35" s="1"/>
  <c r="M6" i="35"/>
  <c r="O6" i="35" s="1"/>
  <c r="BA7" i="1"/>
  <c r="AZ7" i="1"/>
  <c r="AU7" i="1"/>
  <c r="AS7" i="1"/>
  <c r="AY7" i="1"/>
  <c r="L7" i="1"/>
  <c r="G5" i="47" s="1"/>
  <c r="E6" i="35"/>
  <c r="G6" i="35" s="1"/>
  <c r="M7" i="35"/>
  <c r="O7" i="35" s="1"/>
  <c r="BB6" i="1"/>
  <c r="AZ6" i="1"/>
  <c r="AW6" i="1"/>
  <c r="AU6" i="1"/>
  <c r="AS6" i="1"/>
  <c r="AY6" i="1"/>
  <c r="L6" i="1"/>
  <c r="G4" i="47" s="1"/>
  <c r="E4" i="47"/>
  <c r="E5" i="35"/>
  <c r="G5" i="35" s="1"/>
  <c r="M5" i="35"/>
  <c r="O5" i="35" s="1"/>
  <c r="BB5" i="1"/>
  <c r="BA4" i="1"/>
  <c r="AW5" i="1"/>
  <c r="AU5" i="1"/>
  <c r="AS5" i="1"/>
  <c r="AY5" i="1"/>
  <c r="E3" i="47"/>
  <c r="AZ4" i="1"/>
  <c r="AT4" i="1"/>
  <c r="AQ4" i="1"/>
  <c r="E4" i="35"/>
  <c r="G4" i="35" s="1"/>
  <c r="M4" i="35"/>
  <c r="O4" i="35" s="1"/>
  <c r="BE4" i="1"/>
  <c r="BD4" i="1"/>
  <c r="BB4" i="1"/>
  <c r="AV4" i="1"/>
  <c r="AU4" i="1"/>
  <c r="E2" i="47"/>
  <c r="AD31" i="1"/>
  <c r="BE32" i="1"/>
  <c r="BD32" i="1"/>
  <c r="BC32" i="1"/>
  <c r="BB31" i="1"/>
  <c r="BH32" i="1"/>
  <c r="AZ32" i="1"/>
  <c r="AW32" i="1"/>
  <c r="AU32" i="1"/>
  <c r="AT32" i="1"/>
  <c r="AS31" i="1"/>
  <c r="AY32" i="1"/>
  <c r="X26" i="49" l="1"/>
  <c r="Y36" i="44"/>
  <c r="Y37" i="44"/>
  <c r="K26" i="49"/>
  <c r="L37" i="44"/>
  <c r="L36" i="44"/>
  <c r="J26" i="49"/>
  <c r="I26" i="49"/>
  <c r="H26" i="49"/>
  <c r="G26" i="49"/>
  <c r="H37" i="44"/>
  <c r="H36" i="44"/>
  <c r="F26" i="49"/>
  <c r="L26" i="49"/>
  <c r="M37" i="44"/>
  <c r="M36" i="44"/>
  <c r="J30" i="48"/>
  <c r="K7" i="49"/>
  <c r="J7" i="49"/>
  <c r="I7" i="49"/>
  <c r="H7" i="49"/>
  <c r="G7" i="49"/>
  <c r="F7" i="49"/>
  <c r="L7" i="49"/>
  <c r="BB33" i="44"/>
  <c r="BB32" i="44"/>
  <c r="E28" i="49"/>
  <c r="BB31" i="44"/>
  <c r="E27" i="49"/>
  <c r="BB30" i="44"/>
  <c r="E26" i="49"/>
  <c r="BB29" i="44"/>
  <c r="E24" i="49"/>
  <c r="BB27" i="44"/>
  <c r="E23" i="49"/>
  <c r="BB26" i="44"/>
  <c r="E22" i="49"/>
  <c r="BB25" i="44"/>
  <c r="E21" i="49"/>
  <c r="BB24" i="44"/>
  <c r="E20" i="49"/>
  <c r="E18" i="49"/>
  <c r="E17" i="49"/>
  <c r="BB20" i="44"/>
  <c r="E16" i="49"/>
  <c r="BB19" i="44"/>
  <c r="E15" i="49"/>
  <c r="BB18" i="44"/>
  <c r="E14" i="49"/>
  <c r="BB17" i="44"/>
  <c r="BH13" i="49"/>
  <c r="E13" i="49"/>
  <c r="BB16" i="44"/>
  <c r="E12" i="49"/>
  <c r="BB15" i="44"/>
  <c r="E11" i="49"/>
  <c r="BB14" i="44"/>
  <c r="E9" i="49"/>
  <c r="BB12" i="44"/>
  <c r="E8" i="49"/>
  <c r="BB11" i="44"/>
  <c r="E7" i="49"/>
  <c r="BB10" i="44"/>
  <c r="E6" i="49"/>
  <c r="BB9" i="44"/>
  <c r="E5" i="49"/>
  <c r="BB8" i="44"/>
  <c r="BC8" i="44" s="1"/>
  <c r="E4" i="49"/>
  <c r="BB6" i="44"/>
  <c r="BC6" i="44" s="1"/>
  <c r="AZ9" i="44"/>
  <c r="E3" i="49"/>
  <c r="AI3" i="49"/>
  <c r="AK3" i="49"/>
  <c r="AY6" i="44"/>
  <c r="AH3" i="49"/>
  <c r="J2" i="49"/>
  <c r="G3" i="49"/>
  <c r="J3" i="49"/>
  <c r="X3" i="49"/>
  <c r="AF3" i="49"/>
  <c r="H3" i="49"/>
  <c r="AJ3" i="49"/>
  <c r="AE3" i="49"/>
  <c r="I3" i="49"/>
  <c r="L3" i="49"/>
  <c r="K3" i="49"/>
  <c r="AL3" i="49"/>
  <c r="AG3" i="49"/>
  <c r="G2" i="49"/>
  <c r="BH8" i="49"/>
  <c r="BH7" i="49"/>
  <c r="AZ10" i="44"/>
  <c r="E2" i="49"/>
  <c r="F3" i="49"/>
  <c r="AZ36" i="1"/>
  <c r="AZ21" i="1"/>
  <c r="H33" i="1"/>
  <c r="J33" i="1" s="1"/>
  <c r="C34" i="44"/>
  <c r="BH6" i="49"/>
  <c r="BH3" i="49"/>
  <c r="AZ6" i="44"/>
  <c r="BH5" i="49"/>
  <c r="AZ8" i="44"/>
  <c r="BH4" i="49"/>
  <c r="AZ7" i="44"/>
  <c r="E14" i="47"/>
  <c r="AG27" i="45"/>
  <c r="BF31" i="49" s="1"/>
  <c r="AN33" i="1"/>
  <c r="Y33" i="1"/>
  <c r="AR31" i="49"/>
  <c r="BI33" i="1"/>
  <c r="AH31" i="45"/>
  <c r="AE33" i="1"/>
  <c r="AD33" i="1"/>
  <c r="AD34" i="1"/>
  <c r="Y34" i="1"/>
  <c r="AJ33" i="1"/>
  <c r="BI34" i="1"/>
  <c r="AE34" i="1"/>
  <c r="BO34" i="1"/>
  <c r="AN18" i="1"/>
  <c r="AN23" i="1"/>
  <c r="BO33" i="1"/>
  <c r="E24" i="45"/>
  <c r="BD3" i="49" s="1"/>
  <c r="F24" i="45"/>
  <c r="BD4" i="49" s="1"/>
  <c r="G24" i="45"/>
  <c r="BD5" i="49" s="1"/>
  <c r="S2" i="49"/>
  <c r="BJ2" i="49"/>
  <c r="T2" i="49"/>
  <c r="AE2" i="49"/>
  <c r="AF2" i="49"/>
  <c r="B9" i="44"/>
  <c r="K2" i="49"/>
  <c r="Y2" i="49"/>
  <c r="AJ2" i="49"/>
  <c r="H2" i="49"/>
  <c r="V2" i="49"/>
  <c r="U2" i="49"/>
  <c r="BL2" i="49"/>
  <c r="O2" i="49"/>
  <c r="P2" i="49"/>
  <c r="N2" i="49"/>
  <c r="AK2" i="49"/>
  <c r="AL2" i="49"/>
  <c r="X2" i="49"/>
  <c r="AG2" i="49"/>
  <c r="W2" i="49"/>
  <c r="Q2" i="49"/>
  <c r="I2" i="49"/>
  <c r="R2" i="49"/>
  <c r="BK2" i="49"/>
  <c r="M2" i="49"/>
  <c r="AQ17" i="49"/>
  <c r="AH2" i="49"/>
  <c r="AI2" i="49"/>
  <c r="F31" i="49"/>
  <c r="BG2" i="49"/>
  <c r="BI2" i="49"/>
  <c r="BH2" i="49"/>
  <c r="AD2" i="49"/>
  <c r="AK36" i="1"/>
  <c r="D24" i="45"/>
  <c r="BD2" i="49" s="1"/>
  <c r="BC2" i="49"/>
  <c r="BC17" i="49"/>
  <c r="D25" i="45"/>
  <c r="AR28" i="49"/>
  <c r="AN31" i="1"/>
  <c r="AR17" i="49"/>
  <c r="D27" i="45"/>
  <c r="AP3" i="49"/>
  <c r="AP18" i="49"/>
  <c r="BE9" i="49"/>
  <c r="AQ9" i="49"/>
  <c r="Y27" i="45"/>
  <c r="BF23" i="49" s="1"/>
  <c r="AR23" i="49"/>
  <c r="AP4" i="49"/>
  <c r="AP31" i="49"/>
  <c r="AP6" i="49"/>
  <c r="O27" i="45"/>
  <c r="BF13" i="49" s="1"/>
  <c r="AR13" i="49"/>
  <c r="AM23" i="49"/>
  <c r="AP21" i="49"/>
  <c r="AP22" i="49"/>
  <c r="AP5" i="49"/>
  <c r="AP16" i="49"/>
  <c r="AP12" i="49"/>
  <c r="AF27" i="45"/>
  <c r="BF30" i="49" s="1"/>
  <c r="AR30" i="49"/>
  <c r="AN24" i="1"/>
  <c r="D29" i="45"/>
  <c r="AO2" i="49"/>
  <c r="AM13" i="49"/>
  <c r="AP17" i="49"/>
  <c r="N29" i="45"/>
  <c r="AO12" i="49"/>
  <c r="N27" i="45"/>
  <c r="BF12" i="49" s="1"/>
  <c r="AR12" i="49"/>
  <c r="M29" i="45"/>
  <c r="AO11" i="49"/>
  <c r="AN17" i="1"/>
  <c r="AP10" i="49"/>
  <c r="I30" i="45"/>
  <c r="I31" i="45" s="1"/>
  <c r="AQ7" i="49"/>
  <c r="AP20" i="49"/>
  <c r="AP23" i="49"/>
  <c r="AP26" i="49"/>
  <c r="AP29" i="49"/>
  <c r="AP2" i="49"/>
  <c r="AP30" i="49"/>
  <c r="M30" i="45"/>
  <c r="AQ11" i="49"/>
  <c r="AP27" i="49"/>
  <c r="AP14" i="49"/>
  <c r="AP15" i="49"/>
  <c r="AF29" i="45"/>
  <c r="AO30" i="49"/>
  <c r="O29" i="45"/>
  <c r="AO13" i="49"/>
  <c r="AM11" i="49"/>
  <c r="AN6" i="1"/>
  <c r="AP8" i="49"/>
  <c r="AP13" i="49"/>
  <c r="Y29" i="45"/>
  <c r="AO23" i="49"/>
  <c r="AP24" i="49"/>
  <c r="AD25" i="45"/>
  <c r="BE28" i="49" s="1"/>
  <c r="AQ28" i="49"/>
  <c r="AG29" i="45"/>
  <c r="AO31" i="49"/>
  <c r="AR2" i="49"/>
  <c r="AM2" i="49"/>
  <c r="AP19" i="49"/>
  <c r="AM12" i="49"/>
  <c r="AM30" i="49"/>
  <c r="AZ20" i="1"/>
  <c r="AN11" i="1"/>
  <c r="AD23" i="1"/>
  <c r="AN9" i="1"/>
  <c r="AN19" i="1"/>
  <c r="G39" i="44"/>
  <c r="AN22" i="1"/>
  <c r="AN16" i="1"/>
  <c r="H9" i="35"/>
  <c r="BI5" i="1"/>
  <c r="I9" i="35"/>
  <c r="AL36" i="1"/>
  <c r="J39" i="44"/>
  <c r="I39" i="44"/>
  <c r="I22" i="44"/>
  <c r="H19" i="49" s="1"/>
  <c r="G22" i="44"/>
  <c r="F19" i="49" s="1"/>
  <c r="AN30" i="1"/>
  <c r="H39" i="44"/>
  <c r="I21" i="44"/>
  <c r="H18" i="49" s="1"/>
  <c r="F39" i="44"/>
  <c r="K39" i="44"/>
  <c r="AN29" i="1"/>
  <c r="F22" i="44"/>
  <c r="F37" i="44" s="1"/>
  <c r="J23" i="44"/>
  <c r="I20" i="49" s="1"/>
  <c r="AN20" i="1"/>
  <c r="AN10" i="1"/>
  <c r="AN13" i="1"/>
  <c r="J7" i="44"/>
  <c r="I4" i="49" s="1"/>
  <c r="K21" i="44"/>
  <c r="J18" i="49" s="1"/>
  <c r="J21" i="44"/>
  <c r="I18" i="49" s="1"/>
  <c r="S11" i="1"/>
  <c r="U11" i="1" s="1"/>
  <c r="AJ21" i="1"/>
  <c r="T30" i="45"/>
  <c r="T31" i="45" s="1"/>
  <c r="BI14" i="1"/>
  <c r="E6" i="47"/>
  <c r="I6" i="35"/>
  <c r="H6" i="35"/>
  <c r="AN7" i="1"/>
  <c r="AG35" i="1"/>
  <c r="H5" i="35"/>
  <c r="K5" i="35" s="1"/>
  <c r="AJ23" i="1"/>
  <c r="H17" i="35"/>
  <c r="K17" i="35" s="1"/>
  <c r="L30" i="45"/>
  <c r="L31" i="45" s="1"/>
  <c r="BA35" i="1"/>
  <c r="F37" i="1"/>
  <c r="AN25" i="1"/>
  <c r="AN8" i="1"/>
  <c r="AU35" i="1"/>
  <c r="BE35" i="1"/>
  <c r="BD35" i="1"/>
  <c r="AT35" i="1"/>
  <c r="AR35" i="1"/>
  <c r="AC35" i="1"/>
  <c r="AN14" i="1"/>
  <c r="AW35" i="1"/>
  <c r="AV35" i="1"/>
  <c r="AB35" i="1"/>
  <c r="AH35" i="1"/>
  <c r="BC35" i="1"/>
  <c r="AP35" i="1"/>
  <c r="W35" i="1"/>
  <c r="V35" i="1"/>
  <c r="X35" i="1"/>
  <c r="BJ35" i="1"/>
  <c r="AO35" i="1"/>
  <c r="AX35" i="1"/>
  <c r="AY35" i="1"/>
  <c r="BH35" i="1"/>
  <c r="N4" i="1"/>
  <c r="U30" i="45"/>
  <c r="U31" i="45" s="1"/>
  <c r="N7" i="1"/>
  <c r="N6" i="1"/>
  <c r="N30" i="45"/>
  <c r="I25" i="45"/>
  <c r="BE7" i="49" s="1"/>
  <c r="AR36" i="1"/>
  <c r="BI16" i="1"/>
  <c r="H30" i="45"/>
  <c r="H31" i="45" s="1"/>
  <c r="I13" i="35"/>
  <c r="AN15" i="1"/>
  <c r="AD14" i="1"/>
  <c r="BI22" i="1"/>
  <c r="AV36" i="1"/>
  <c r="AI36" i="1"/>
  <c r="Q30" i="45"/>
  <c r="Q31" i="45" s="1"/>
  <c r="R30" i="45"/>
  <c r="R31" i="45" s="1"/>
  <c r="BB36" i="1"/>
  <c r="AK14" i="49"/>
  <c r="AK13" i="49"/>
  <c r="Y14" i="1"/>
  <c r="AN5" i="1"/>
  <c r="BK4" i="1"/>
  <c r="AD21" i="1"/>
  <c r="E25" i="45"/>
  <c r="BE3" i="49" s="1"/>
  <c r="E30" i="45"/>
  <c r="E31" i="45" s="1"/>
  <c r="W25" i="45"/>
  <c r="BE21" i="49" s="1"/>
  <c r="W30" i="45"/>
  <c r="W31" i="45" s="1"/>
  <c r="AD20" i="1"/>
  <c r="Z30" i="45"/>
  <c r="Z31" i="45" s="1"/>
  <c r="O30" i="45"/>
  <c r="P25" i="45"/>
  <c r="BE14" i="49" s="1"/>
  <c r="P30" i="45"/>
  <c r="P31" i="45" s="1"/>
  <c r="AD23" i="49"/>
  <c r="J30" i="45"/>
  <c r="J31" i="45" s="1"/>
  <c r="K30" i="45"/>
  <c r="K31" i="45" s="1"/>
  <c r="T25" i="45"/>
  <c r="BE18" i="49" s="1"/>
  <c r="V25" i="45"/>
  <c r="BE20" i="49" s="1"/>
  <c r="V30" i="45"/>
  <c r="V31" i="45" s="1"/>
  <c r="S25" i="45"/>
  <c r="S30" i="45"/>
  <c r="S31" i="45" s="1"/>
  <c r="BO4" i="1"/>
  <c r="BM4" i="1"/>
  <c r="D30" i="45"/>
  <c r="G30" i="45"/>
  <c r="G31" i="45" s="1"/>
  <c r="AE23" i="49"/>
  <c r="F30" i="45"/>
  <c r="F31" i="45" s="1"/>
  <c r="AG30" i="45"/>
  <c r="AE30" i="45"/>
  <c r="AE31" i="45" s="1"/>
  <c r="AF30" i="45"/>
  <c r="AD30" i="45"/>
  <c r="AD31" i="45" s="1"/>
  <c r="AC30" i="45"/>
  <c r="AC31" i="45" s="1"/>
  <c r="AB30" i="45"/>
  <c r="AB31" i="45" s="1"/>
  <c r="AN26" i="1"/>
  <c r="Y30" i="45"/>
  <c r="AD25" i="1"/>
  <c r="X30" i="45"/>
  <c r="X31" i="45" s="1"/>
  <c r="AK23" i="49"/>
  <c r="AJ23" i="49"/>
  <c r="AI23" i="49"/>
  <c r="AH23" i="49"/>
  <c r="AG23" i="49"/>
  <c r="AF23" i="49"/>
  <c r="BI24" i="1"/>
  <c r="AT5" i="44"/>
  <c r="Y21" i="1"/>
  <c r="X36" i="1"/>
  <c r="M25" i="45"/>
  <c r="BE11" i="49" s="1"/>
  <c r="I14" i="35"/>
  <c r="AK12" i="49"/>
  <c r="H13" i="35"/>
  <c r="AH36" i="1"/>
  <c r="AN4" i="1"/>
  <c r="Y7" i="1"/>
  <c r="BI29" i="1"/>
  <c r="AY32" i="44"/>
  <c r="U25" i="45"/>
  <c r="BE19" i="49" s="1"/>
  <c r="Y22" i="1"/>
  <c r="BI21" i="1"/>
  <c r="AY22" i="44"/>
  <c r="Y20" i="1"/>
  <c r="AJ17" i="1"/>
  <c r="Y18" i="1"/>
  <c r="AK15" i="49"/>
  <c r="O25" i="45"/>
  <c r="BE13" i="49" s="1"/>
  <c r="H16" i="35"/>
  <c r="K16" i="35" s="1"/>
  <c r="AD15" i="1"/>
  <c r="I15" i="35"/>
  <c r="H15" i="35"/>
  <c r="AI13" i="49"/>
  <c r="AY12" i="44"/>
  <c r="AJ8" i="1"/>
  <c r="AY26" i="44"/>
  <c r="AY21" i="44"/>
  <c r="R25" i="45"/>
  <c r="BE16" i="49" s="1"/>
  <c r="AG36" i="1"/>
  <c r="AJ26" i="1"/>
  <c r="AF25" i="45"/>
  <c r="BE30" i="49" s="1"/>
  <c r="AY33" i="44"/>
  <c r="L5" i="1"/>
  <c r="BI6" i="1"/>
  <c r="Y6" i="1"/>
  <c r="BI18" i="1"/>
  <c r="Y25" i="45"/>
  <c r="BE23" i="49" s="1"/>
  <c r="W36" i="1"/>
  <c r="AJ20" i="1"/>
  <c r="Q25" i="45"/>
  <c r="BE15" i="49" s="1"/>
  <c r="Y5" i="1"/>
  <c r="K11" i="35"/>
  <c r="AN6" i="44"/>
  <c r="AY5" i="44"/>
  <c r="AJ18" i="1"/>
  <c r="Y17" i="1"/>
  <c r="AY18" i="44"/>
  <c r="AY17" i="44"/>
  <c r="AJ11" i="1"/>
  <c r="AH12" i="49"/>
  <c r="AJ12" i="49"/>
  <c r="AI12" i="49"/>
  <c r="AG12" i="49"/>
  <c r="AF12" i="49"/>
  <c r="Z25" i="45"/>
  <c r="BE24" i="49" s="1"/>
  <c r="AJ15" i="1"/>
  <c r="AY16" i="44"/>
  <c r="N25" i="45"/>
  <c r="BE12" i="49" s="1"/>
  <c r="AJ14" i="1"/>
  <c r="AJ13" i="1"/>
  <c r="AJ12" i="1"/>
  <c r="Y12" i="1"/>
  <c r="L25" i="45"/>
  <c r="BE10" i="49" s="1"/>
  <c r="AJ9" i="1"/>
  <c r="J25" i="45"/>
  <c r="BE8" i="49" s="1"/>
  <c r="H25" i="45"/>
  <c r="BE6" i="49" s="1"/>
  <c r="AJ22" i="1"/>
  <c r="X25" i="45"/>
  <c r="BE22" i="49" s="1"/>
  <c r="AY11" i="44"/>
  <c r="AT8" i="44"/>
  <c r="AY9" i="44"/>
  <c r="E13" i="47"/>
  <c r="H14" i="35"/>
  <c r="Y29" i="1"/>
  <c r="AJ29" i="1"/>
  <c r="AG25" i="45"/>
  <c r="BE31" i="49" s="1"/>
  <c r="AY25" i="44"/>
  <c r="AY23" i="44"/>
  <c r="AY19" i="44"/>
  <c r="Y9" i="1"/>
  <c r="Y15" i="1"/>
  <c r="Y10" i="1"/>
  <c r="AE25" i="45"/>
  <c r="BE29" i="49" s="1"/>
  <c r="AY20" i="44"/>
  <c r="AJ16" i="1"/>
  <c r="AJ24" i="1"/>
  <c r="AJ25" i="1"/>
  <c r="AJ10" i="1"/>
  <c r="Y8" i="1"/>
  <c r="AY13" i="44"/>
  <c r="AY27" i="44"/>
  <c r="AY15" i="44"/>
  <c r="AY14" i="44"/>
  <c r="AJ7" i="1"/>
  <c r="F25" i="45"/>
  <c r="BE4" i="49" s="1"/>
  <c r="G25" i="45"/>
  <c r="BE5" i="49" s="1"/>
  <c r="S4" i="1"/>
  <c r="Y4" i="1"/>
  <c r="AY34" i="44"/>
  <c r="AJ31" i="1"/>
  <c r="Y31" i="1"/>
  <c r="BO31" i="1"/>
  <c r="BP31" i="1" s="1"/>
  <c r="BI31" i="1"/>
  <c r="BI41" i="1" s="1"/>
  <c r="AJ30" i="1"/>
  <c r="AY31" i="44"/>
  <c r="AC25" i="45"/>
  <c r="BE27" i="49" s="1"/>
  <c r="AY30" i="44"/>
  <c r="AB25" i="45"/>
  <c r="BE26" i="49" s="1"/>
  <c r="Y28" i="1"/>
  <c r="Y26" i="1"/>
  <c r="AE25" i="1"/>
  <c r="Y25" i="1"/>
  <c r="AE24" i="1"/>
  <c r="AF24" i="1" s="1"/>
  <c r="Y24" i="1"/>
  <c r="Y23" i="1"/>
  <c r="AE18" i="1"/>
  <c r="AE21" i="1"/>
  <c r="BF20" i="1"/>
  <c r="Y19" i="1"/>
  <c r="AJ5" i="1"/>
  <c r="BO24" i="1"/>
  <c r="BP24" i="1" s="1"/>
  <c r="AU36" i="1"/>
  <c r="AE28" i="1"/>
  <c r="AF28" i="1" s="1"/>
  <c r="BO28" i="1"/>
  <c r="BP28" i="1" s="1"/>
  <c r="AW36" i="1"/>
  <c r="K18" i="35"/>
  <c r="BO21" i="1"/>
  <c r="BO23" i="1"/>
  <c r="AJ6" i="1"/>
  <c r="AE19" i="1"/>
  <c r="AF19" i="1" s="1"/>
  <c r="AE15" i="1"/>
  <c r="Y30" i="1"/>
  <c r="AT36" i="1"/>
  <c r="K12" i="35"/>
  <c r="AS36" i="1"/>
  <c r="O17" i="35"/>
  <c r="BO13" i="1"/>
  <c r="BP13" i="1" s="1"/>
  <c r="BO14" i="1"/>
  <c r="AT7" i="44"/>
  <c r="K7" i="35"/>
  <c r="AE16" i="1"/>
  <c r="AF16" i="1" s="1"/>
  <c r="BI32" i="1"/>
  <c r="BO26" i="1"/>
  <c r="BP26" i="1" s="1"/>
  <c r="AE14" i="1"/>
  <c r="AE31" i="1"/>
  <c r="AF31" i="1" s="1"/>
  <c r="BO16" i="1"/>
  <c r="BP16" i="1" s="1"/>
  <c r="BO22" i="1"/>
  <c r="BP22" i="1" s="1"/>
  <c r="AE26" i="1"/>
  <c r="AF26" i="1" s="1"/>
  <c r="AE22" i="1"/>
  <c r="AF22" i="1" s="1"/>
  <c r="BM32" i="49"/>
  <c r="AE13" i="1"/>
  <c r="AF13" i="1" s="1"/>
  <c r="K10" i="35"/>
  <c r="BO10" i="1"/>
  <c r="AE8" i="1"/>
  <c r="AF8" i="1" s="1"/>
  <c r="BO8" i="1"/>
  <c r="BP8" i="1" s="1"/>
  <c r="K4" i="35"/>
  <c r="BO18" i="1"/>
  <c r="BO17" i="1"/>
  <c r="BP17" i="1" s="1"/>
  <c r="BO19" i="1"/>
  <c r="BP19" i="1" s="1"/>
  <c r="BI4" i="1"/>
  <c r="AE7" i="1"/>
  <c r="BI7" i="1"/>
  <c r="AQ21" i="1"/>
  <c r="AQ35" i="1" s="1"/>
  <c r="BI25" i="1"/>
  <c r="BI10" i="1"/>
  <c r="AE27" i="1"/>
  <c r="AF27" i="1" s="1"/>
  <c r="BI27" i="1"/>
  <c r="AE12" i="1"/>
  <c r="AF12" i="1" s="1"/>
  <c r="BI12" i="1"/>
  <c r="AS21" i="1"/>
  <c r="BI23" i="1"/>
  <c r="BI17" i="1"/>
  <c r="AS20" i="1"/>
  <c r="BI15" i="1"/>
  <c r="AE30" i="1"/>
  <c r="AF30" i="1" s="1"/>
  <c r="BI30" i="1"/>
  <c r="O4" i="1"/>
  <c r="I2" i="47" s="1"/>
  <c r="O18" i="35"/>
  <c r="BB22" i="1"/>
  <c r="BM14" i="1"/>
  <c r="BM6" i="1"/>
  <c r="BM5" i="1"/>
  <c r="BL5" i="1"/>
  <c r="BK5" i="1"/>
  <c r="BL4" i="1"/>
  <c r="BK14" i="1"/>
  <c r="BL14" i="1"/>
  <c r="BK7" i="1"/>
  <c r="BL7" i="1"/>
  <c r="BK6" i="1"/>
  <c r="BL6" i="1"/>
  <c r="BM7" i="1"/>
  <c r="Y13" i="1"/>
  <c r="BO7" i="1"/>
  <c r="O6" i="1"/>
  <c r="I4" i="47" s="1"/>
  <c r="AJ4" i="1"/>
  <c r="BO27" i="1"/>
  <c r="BP27" i="1" s="1"/>
  <c r="Y16" i="1"/>
  <c r="BO30" i="1"/>
  <c r="BP30" i="1" s="1"/>
  <c r="Y11" i="1"/>
  <c r="AB36" i="1"/>
  <c r="AQ36" i="1"/>
  <c r="BF36" i="1"/>
  <c r="AJ28" i="1"/>
  <c r="U36" i="1"/>
  <c r="AE17" i="1"/>
  <c r="AF17" i="1" s="1"/>
  <c r="BO15" i="1"/>
  <c r="BO12" i="1"/>
  <c r="BP12" i="1" s="1"/>
  <c r="AD10" i="1"/>
  <c r="AE10" i="1"/>
  <c r="V36" i="1"/>
  <c r="AE29" i="1"/>
  <c r="AF29" i="1" s="1"/>
  <c r="BO29" i="1"/>
  <c r="BP29" i="1" s="1"/>
  <c r="AE23" i="1"/>
  <c r="AJ27" i="1"/>
  <c r="K7" i="1"/>
  <c r="AP36" i="1"/>
  <c r="AE11" i="1"/>
  <c r="AF11" i="1" s="1"/>
  <c r="BO11" i="1"/>
  <c r="BP11" i="1" s="1"/>
  <c r="K14" i="1"/>
  <c r="K16" i="1"/>
  <c r="O7" i="1"/>
  <c r="I5" i="47" s="1"/>
  <c r="O5" i="1"/>
  <c r="I3" i="47" s="1"/>
  <c r="AD18" i="1"/>
  <c r="AD36" i="1" s="1"/>
  <c r="AE9" i="1"/>
  <c r="AF9" i="1" s="1"/>
  <c r="BO9" i="1"/>
  <c r="BP9" i="1" s="1"/>
  <c r="BO25" i="1"/>
  <c r="AD7" i="1"/>
  <c r="AD6" i="1"/>
  <c r="BO6" i="1"/>
  <c r="AE6" i="1"/>
  <c r="K6" i="1"/>
  <c r="AD5" i="1"/>
  <c r="AE5" i="1"/>
  <c r="BO5" i="1"/>
  <c r="K5" i="1"/>
  <c r="AD4" i="1"/>
  <c r="AE4" i="1"/>
  <c r="K4" i="1"/>
  <c r="AN32" i="1"/>
  <c r="AD32" i="1"/>
  <c r="Y32" i="1"/>
  <c r="AJ32" i="1"/>
  <c r="AE32" i="1"/>
  <c r="BO32" i="1"/>
  <c r="BM5" i="49" l="1"/>
  <c r="BA8" i="44"/>
  <c r="BA5" i="44"/>
  <c r="BM4" i="49"/>
  <c r="BA7" i="44"/>
  <c r="AY37" i="44"/>
  <c r="I36" i="44"/>
  <c r="J37" i="44"/>
  <c r="J36" i="44"/>
  <c r="F36" i="44"/>
  <c r="K37" i="44"/>
  <c r="K36" i="44"/>
  <c r="AY36" i="44"/>
  <c r="AZ36" i="44"/>
  <c r="AZ37" i="44"/>
  <c r="I37" i="44"/>
  <c r="BB34" i="44"/>
  <c r="J31" i="48"/>
  <c r="BB23" i="44"/>
  <c r="E19" i="49"/>
  <c r="BB22" i="44"/>
  <c r="BB21" i="44"/>
  <c r="BC9" i="44"/>
  <c r="BB7" i="44"/>
  <c r="BC7" i="44" s="1"/>
  <c r="AA35" i="1"/>
  <c r="BG3" i="49"/>
  <c r="H6" i="45"/>
  <c r="H24" i="45" s="1"/>
  <c r="BD6" i="49" s="1"/>
  <c r="AZ35" i="1"/>
  <c r="BP4" i="1"/>
  <c r="H34" i="1"/>
  <c r="C35" i="44"/>
  <c r="C36" i="44" s="1"/>
  <c r="G9" i="1"/>
  <c r="BM16" i="1"/>
  <c r="BL16" i="1"/>
  <c r="BK16" i="1"/>
  <c r="D9" i="44"/>
  <c r="AN9" i="44"/>
  <c r="L8" i="1"/>
  <c r="B10" i="44"/>
  <c r="BP33" i="1"/>
  <c r="AF33" i="1"/>
  <c r="Z35" i="1"/>
  <c r="AF34" i="1"/>
  <c r="BP34" i="1"/>
  <c r="O31" i="45"/>
  <c r="AN36" i="1"/>
  <c r="K8" i="1"/>
  <c r="Y31" i="45"/>
  <c r="BL8" i="1"/>
  <c r="BK8" i="1"/>
  <c r="N31" i="45"/>
  <c r="BM8" i="1"/>
  <c r="BP23" i="1"/>
  <c r="AG31" i="45"/>
  <c r="BM2" i="49"/>
  <c r="AF31" i="45"/>
  <c r="D31" i="45"/>
  <c r="BF17" i="49"/>
  <c r="BF2" i="49"/>
  <c r="BE17" i="49"/>
  <c r="BE2" i="49"/>
  <c r="M31" i="45"/>
  <c r="G3" i="47"/>
  <c r="K9" i="35"/>
  <c r="K13" i="35"/>
  <c r="AF23" i="1"/>
  <c r="AK35" i="1"/>
  <c r="AT6" i="44"/>
  <c r="BA6" i="44" s="1"/>
  <c r="AN21" i="1"/>
  <c r="AN35" i="1" s="1"/>
  <c r="AI35" i="1"/>
  <c r="K6" i="35"/>
  <c r="AJ19" i="1"/>
  <c r="AJ35" i="1" s="1"/>
  <c r="AF14" i="1"/>
  <c r="BP14" i="1"/>
  <c r="U4" i="1"/>
  <c r="U35" i="1" s="1"/>
  <c r="S35" i="1"/>
  <c r="AL35" i="1"/>
  <c r="BB35" i="1"/>
  <c r="BQ4" i="1"/>
  <c r="AD35" i="1"/>
  <c r="BF35" i="1"/>
  <c r="AS35" i="1"/>
  <c r="Y35" i="1"/>
  <c r="R7" i="1"/>
  <c r="M5" i="47"/>
  <c r="R6" i="1"/>
  <c r="M4" i="47"/>
  <c r="R5" i="1"/>
  <c r="R4" i="1"/>
  <c r="M2" i="47"/>
  <c r="N5" i="1"/>
  <c r="BK15" i="1"/>
  <c r="AF21" i="1"/>
  <c r="BP21" i="1"/>
  <c r="Y36" i="1"/>
  <c r="AJ36" i="1"/>
  <c r="K14" i="35"/>
  <c r="BP5" i="1"/>
  <c r="BP32" i="1"/>
  <c r="BP25" i="1"/>
  <c r="AF25" i="1"/>
  <c r="BP18" i="1"/>
  <c r="BP15" i="1"/>
  <c r="AF15" i="1"/>
  <c r="BP10" i="1"/>
  <c r="BP6" i="1"/>
  <c r="BP7" i="1"/>
  <c r="K15" i="1"/>
  <c r="K15" i="35"/>
  <c r="Q4" i="1"/>
  <c r="AE20" i="1"/>
  <c r="AF20" i="1" s="1"/>
  <c r="BL15" i="1"/>
  <c r="BM15" i="1"/>
  <c r="BO20" i="1"/>
  <c r="BP20" i="1" s="1"/>
  <c r="BI20" i="1"/>
  <c r="BI35" i="1" s="1"/>
  <c r="BO36" i="1"/>
  <c r="AF7" i="1"/>
  <c r="Q6" i="1"/>
  <c r="BN6" i="1" s="1"/>
  <c r="AE36" i="1"/>
  <c r="AF18" i="1"/>
  <c r="AF36" i="1" s="1"/>
  <c r="AF10" i="1"/>
  <c r="Q5" i="1"/>
  <c r="Q7" i="1"/>
  <c r="BN7" i="1" s="1"/>
  <c r="AF6" i="1"/>
  <c r="AF5" i="1"/>
  <c r="AF4" i="1"/>
  <c r="AF32" i="1"/>
  <c r="C37" i="44" l="1"/>
  <c r="BC10" i="44"/>
  <c r="BB35" i="44"/>
  <c r="J32" i="48"/>
  <c r="BM3" i="49"/>
  <c r="I6" i="45"/>
  <c r="I24" i="45" s="1"/>
  <c r="BD7" i="49" s="1"/>
  <c r="E10" i="44"/>
  <c r="J6" i="45"/>
  <c r="J24" i="45" s="1"/>
  <c r="BD8" i="49" s="1"/>
  <c r="E9" i="44"/>
  <c r="O8" i="1"/>
  <c r="I6" i="47" s="1"/>
  <c r="J34" i="1"/>
  <c r="K34" i="1"/>
  <c r="E32" i="47"/>
  <c r="BM34" i="1"/>
  <c r="BK34" i="1"/>
  <c r="BL34" i="1"/>
  <c r="G10" i="1"/>
  <c r="B11" i="44"/>
  <c r="BC11" i="44" s="1"/>
  <c r="K10" i="1"/>
  <c r="G6" i="47"/>
  <c r="N8" i="1"/>
  <c r="BG6" i="49"/>
  <c r="AT9" i="44"/>
  <c r="E7" i="47"/>
  <c r="K9" i="1"/>
  <c r="BM9" i="1"/>
  <c r="BL9" i="1"/>
  <c r="BK9" i="1"/>
  <c r="D11" i="44"/>
  <c r="AN11" i="44"/>
  <c r="L10" i="1"/>
  <c r="D10" i="44"/>
  <c r="AN10" i="44"/>
  <c r="L9" i="1"/>
  <c r="BN5" i="1"/>
  <c r="AF35" i="1"/>
  <c r="AE35" i="1"/>
  <c r="BN4" i="1"/>
  <c r="M3" i="47"/>
  <c r="BM6" i="49" l="1"/>
  <c r="BA9" i="44"/>
  <c r="O9" i="1"/>
  <c r="M6" i="47"/>
  <c r="Q8" i="1"/>
  <c r="BN8" i="1" s="1"/>
  <c r="R8" i="1"/>
  <c r="E11" i="44"/>
  <c r="O10" i="1"/>
  <c r="I8" i="47" s="1"/>
  <c r="B12" i="44"/>
  <c r="G11" i="1"/>
  <c r="K17" i="1"/>
  <c r="BK10" i="1"/>
  <c r="BM10" i="1"/>
  <c r="BL10" i="1"/>
  <c r="E8" i="47"/>
  <c r="BG7" i="49"/>
  <c r="AT10" i="44"/>
  <c r="BA10" i="44" s="1"/>
  <c r="BG8" i="49"/>
  <c r="AT11" i="44"/>
  <c r="G7" i="47"/>
  <c r="N9" i="1"/>
  <c r="G8" i="47"/>
  <c r="N10" i="1"/>
  <c r="E9" i="47"/>
  <c r="K11" i="1"/>
  <c r="BK11" i="1"/>
  <c r="BM11" i="1"/>
  <c r="BL11" i="1"/>
  <c r="G12" i="1"/>
  <c r="BM8" i="49" l="1"/>
  <c r="BA11" i="44"/>
  <c r="BC12" i="44"/>
  <c r="Q9" i="1"/>
  <c r="BN9" i="1" s="1"/>
  <c r="I7" i="47"/>
  <c r="M7" i="47" s="1"/>
  <c r="R9" i="1"/>
  <c r="G13" i="1"/>
  <c r="M8" i="47"/>
  <c r="R10" i="1"/>
  <c r="Q10" i="1"/>
  <c r="BN10" i="1" s="1"/>
  <c r="K6" i="45"/>
  <c r="K24" i="45" s="1"/>
  <c r="BD9" i="49" s="1"/>
  <c r="L6" i="45"/>
  <c r="L24" i="45" s="1"/>
  <c r="BD10" i="49" s="1"/>
  <c r="B15" i="44"/>
  <c r="BC15" i="44" s="1"/>
  <c r="G14" i="1"/>
  <c r="J36" i="1"/>
  <c r="BK17" i="1"/>
  <c r="BL17" i="1"/>
  <c r="BM17" i="1"/>
  <c r="E15" i="47"/>
  <c r="AN13" i="44"/>
  <c r="L11" i="1"/>
  <c r="N11" i="1" s="1"/>
  <c r="AN12" i="44"/>
  <c r="D12" i="44"/>
  <c r="BM7" i="49"/>
  <c r="B13" i="44"/>
  <c r="BC13" i="44" l="1"/>
  <c r="AT12" i="44"/>
  <c r="BA12" i="44" s="1"/>
  <c r="B14" i="44"/>
  <c r="BC14" i="44" s="1"/>
  <c r="E12" i="44"/>
  <c r="O11" i="1"/>
  <c r="I9" i="47" s="1"/>
  <c r="E13" i="44"/>
  <c r="O12" i="1"/>
  <c r="I10" i="47" s="1"/>
  <c r="L12" i="1"/>
  <c r="N12" i="1" s="1"/>
  <c r="D13" i="44"/>
  <c r="G9" i="47"/>
  <c r="BG9" i="49"/>
  <c r="BG10" i="49"/>
  <c r="AT13" i="44"/>
  <c r="E11" i="47"/>
  <c r="BL13" i="1"/>
  <c r="K13" i="1"/>
  <c r="BM13" i="1"/>
  <c r="BK13" i="1"/>
  <c r="E16" i="47"/>
  <c r="BL18" i="1"/>
  <c r="BL36" i="1" s="1"/>
  <c r="BM18" i="1"/>
  <c r="K18" i="1"/>
  <c r="K36" i="1" s="1"/>
  <c r="BK18" i="1"/>
  <c r="BK36" i="1" s="1"/>
  <c r="H36" i="1"/>
  <c r="E10" i="47"/>
  <c r="BK12" i="1"/>
  <c r="K12" i="1"/>
  <c r="BL12" i="1"/>
  <c r="BM12" i="1"/>
  <c r="E17" i="47"/>
  <c r="BL19" i="1"/>
  <c r="BK19" i="1"/>
  <c r="K19" i="1"/>
  <c r="BM19" i="1"/>
  <c r="BM10" i="49" l="1"/>
  <c r="BA13" i="44"/>
  <c r="BM9" i="49"/>
  <c r="O13" i="1"/>
  <c r="I11" i="47" s="1"/>
  <c r="M6" i="45"/>
  <c r="M24" i="45" s="1"/>
  <c r="BD11" i="49" s="1"/>
  <c r="G16" i="1"/>
  <c r="M9" i="47"/>
  <c r="R11" i="1"/>
  <c r="Q11" i="1"/>
  <c r="R12" i="1"/>
  <c r="Q12" i="1"/>
  <c r="BN12" i="1" s="1"/>
  <c r="G15" i="1"/>
  <c r="B16" i="44"/>
  <c r="BC16" i="44" s="1"/>
  <c r="G10" i="47"/>
  <c r="D14" i="44"/>
  <c r="AN14" i="44"/>
  <c r="L13" i="1"/>
  <c r="N13" i="1" s="1"/>
  <c r="D15" i="44"/>
  <c r="E18" i="47"/>
  <c r="K20" i="1"/>
  <c r="BM20" i="1"/>
  <c r="BL20" i="1"/>
  <c r="BK20" i="1"/>
  <c r="BG11" i="49" l="1"/>
  <c r="N6" i="45"/>
  <c r="N24" i="45" s="1"/>
  <c r="BD12" i="49" s="1"/>
  <c r="E14" i="44"/>
  <c r="E15" i="44"/>
  <c r="B17" i="44"/>
  <c r="BC17" i="44" s="1"/>
  <c r="M10" i="47"/>
  <c r="Q13" i="1"/>
  <c r="BN13" i="1" s="1"/>
  <c r="R13" i="1"/>
  <c r="BN11" i="1"/>
  <c r="D16" i="44"/>
  <c r="B18" i="44"/>
  <c r="BC18" i="44" s="1"/>
  <c r="G17" i="1"/>
  <c r="AT14" i="44"/>
  <c r="BA14" i="44" s="1"/>
  <c r="G11" i="47"/>
  <c r="AN15" i="44"/>
  <c r="AT15" i="44" s="1"/>
  <c r="L14" i="1"/>
  <c r="G12" i="47" s="1"/>
  <c r="E19" i="47"/>
  <c r="BM21" i="1"/>
  <c r="K21" i="1"/>
  <c r="BL21" i="1"/>
  <c r="BK21" i="1"/>
  <c r="BM12" i="49" l="1"/>
  <c r="BA15" i="44"/>
  <c r="BM11" i="49"/>
  <c r="O14" i="1"/>
  <c r="M11" i="47"/>
  <c r="O6" i="45"/>
  <c r="O24" i="45" s="1"/>
  <c r="BD13" i="49" s="1"/>
  <c r="O15" i="1"/>
  <c r="I13" i="47" s="1"/>
  <c r="P6" i="45"/>
  <c r="P24" i="45" s="1"/>
  <c r="BD14" i="49" s="1"/>
  <c r="L15" i="1"/>
  <c r="AN16" i="44"/>
  <c r="G18" i="1"/>
  <c r="B19" i="44"/>
  <c r="BC19" i="44" s="1"/>
  <c r="D17" i="44"/>
  <c r="L16" i="1"/>
  <c r="AN17" i="44"/>
  <c r="N14" i="1"/>
  <c r="BG12" i="49"/>
  <c r="E20" i="47"/>
  <c r="K22" i="1"/>
  <c r="BL22" i="1"/>
  <c r="BK22" i="1"/>
  <c r="BM22" i="1"/>
  <c r="I12" i="47" l="1"/>
  <c r="M12" i="47" s="1"/>
  <c r="Q14" i="1"/>
  <c r="BN14" i="1" s="1"/>
  <c r="R14" i="1"/>
  <c r="E16" i="44"/>
  <c r="O16" i="1"/>
  <c r="I14" i="47" s="1"/>
  <c r="Q6" i="45"/>
  <c r="Q24" i="45" s="1"/>
  <c r="BD15" i="49" s="1"/>
  <c r="Q15" i="1"/>
  <c r="R15" i="1"/>
  <c r="N15" i="1"/>
  <c r="G13" i="47"/>
  <c r="BG13" i="49"/>
  <c r="AT16" i="44"/>
  <c r="BA16" i="44" s="1"/>
  <c r="G19" i="1"/>
  <c r="B20" i="44"/>
  <c r="BC20" i="44" s="1"/>
  <c r="G14" i="47"/>
  <c r="N16" i="1"/>
  <c r="BG14" i="49"/>
  <c r="AT17" i="44"/>
  <c r="BA17" i="44" s="1"/>
  <c r="AN18" i="44"/>
  <c r="L17" i="1"/>
  <c r="D18" i="44"/>
  <c r="BM13" i="49" l="1"/>
  <c r="BN15" i="1"/>
  <c r="E17" i="44"/>
  <c r="O17" i="1"/>
  <c r="I15" i="47" s="1"/>
  <c r="M13" i="47"/>
  <c r="M14" i="47"/>
  <c r="Q16" i="1"/>
  <c r="BN16" i="1" s="1"/>
  <c r="R16" i="1"/>
  <c r="BM14" i="49"/>
  <c r="AT18" i="44"/>
  <c r="BA18" i="44" s="1"/>
  <c r="BG15" i="49"/>
  <c r="N17" i="1"/>
  <c r="G15" i="47"/>
  <c r="E22" i="47"/>
  <c r="E21" i="47"/>
  <c r="BL23" i="1"/>
  <c r="K23" i="1"/>
  <c r="BK23" i="1"/>
  <c r="BM23" i="1"/>
  <c r="E18" i="44" l="1"/>
  <c r="G20" i="1"/>
  <c r="B21" i="44"/>
  <c r="M15" i="47"/>
  <c r="Q17" i="1"/>
  <c r="BN17" i="1" s="1"/>
  <c r="R17" i="1"/>
  <c r="R6" i="45"/>
  <c r="R24" i="45" s="1"/>
  <c r="BD16" i="49" s="1"/>
  <c r="D19" i="44"/>
  <c r="AN19" i="44"/>
  <c r="AT19" i="44" s="1"/>
  <c r="BA19" i="44" s="1"/>
  <c r="G21" i="1"/>
  <c r="B22" i="44"/>
  <c r="BC22" i="44" s="1"/>
  <c r="L18" i="1"/>
  <c r="G16" i="47" s="1"/>
  <c r="BM15" i="49"/>
  <c r="AN20" i="44"/>
  <c r="L19" i="1"/>
  <c r="D20" i="44"/>
  <c r="K24" i="1"/>
  <c r="BM24" i="1"/>
  <c r="BK24" i="1"/>
  <c r="BL24" i="1"/>
  <c r="E23" i="47"/>
  <c r="BM25" i="1"/>
  <c r="BK25" i="1"/>
  <c r="BL25" i="1"/>
  <c r="K25" i="1"/>
  <c r="BC21" i="44" l="1"/>
  <c r="BG16" i="49"/>
  <c r="S6" i="45"/>
  <c r="S24" i="45" s="1"/>
  <c r="BD17" i="49" s="1"/>
  <c r="O18" i="1"/>
  <c r="I16" i="47" s="1"/>
  <c r="E19" i="44"/>
  <c r="G22" i="1"/>
  <c r="B23" i="44"/>
  <c r="BC23" i="44" s="1"/>
  <c r="N18" i="1"/>
  <c r="L36" i="1"/>
  <c r="AT20" i="44"/>
  <c r="BA20" i="44" s="1"/>
  <c r="BG17" i="49"/>
  <c r="N19" i="1"/>
  <c r="G17" i="47"/>
  <c r="BM16" i="49"/>
  <c r="E24" i="47"/>
  <c r="K26" i="1"/>
  <c r="BM26" i="1"/>
  <c r="BL26" i="1"/>
  <c r="BK26" i="1"/>
  <c r="O20" i="1" l="1"/>
  <c r="I18" i="47" s="1"/>
  <c r="T6" i="45"/>
  <c r="T24" i="45" s="1"/>
  <c r="BD18" i="49" s="1"/>
  <c r="U6" i="45"/>
  <c r="U24" i="45" s="1"/>
  <c r="BD19" i="49" s="1"/>
  <c r="M16" i="47"/>
  <c r="R18" i="1"/>
  <c r="R36" i="1" s="1"/>
  <c r="O36" i="1"/>
  <c r="Q18" i="1"/>
  <c r="Q36" i="1" s="1"/>
  <c r="E20" i="44"/>
  <c r="O19" i="1"/>
  <c r="I17" i="47" s="1"/>
  <c r="N36" i="1"/>
  <c r="G23" i="1"/>
  <c r="B24" i="44"/>
  <c r="BC24" i="44" s="1"/>
  <c r="BM17" i="49"/>
  <c r="D21" i="44"/>
  <c r="AN21" i="44"/>
  <c r="L20" i="1"/>
  <c r="E25" i="47"/>
  <c r="E21" i="44" l="1"/>
  <c r="O21" i="1"/>
  <c r="I19" i="47" s="1"/>
  <c r="M17" i="47"/>
  <c r="R19" i="1"/>
  <c r="Q19" i="1"/>
  <c r="BN19" i="1" s="1"/>
  <c r="R20" i="1"/>
  <c r="Q20" i="1"/>
  <c r="BN18" i="1"/>
  <c r="BN36" i="1" s="1"/>
  <c r="G24" i="1"/>
  <c r="B25" i="44"/>
  <c r="BC25" i="44" s="1"/>
  <c r="D22" i="44"/>
  <c r="L21" i="1"/>
  <c r="AN22" i="44"/>
  <c r="BG18" i="49"/>
  <c r="AT21" i="44"/>
  <c r="BA21" i="44" s="1"/>
  <c r="N20" i="1"/>
  <c r="G18" i="47"/>
  <c r="BK27" i="1"/>
  <c r="BM27" i="1"/>
  <c r="K27" i="1"/>
  <c r="BL27" i="1"/>
  <c r="E26" i="47"/>
  <c r="BM28" i="1"/>
  <c r="BK28" i="1"/>
  <c r="BL28" i="1"/>
  <c r="K28" i="1"/>
  <c r="E22" i="44" l="1"/>
  <c r="Q21" i="1"/>
  <c r="R21" i="1"/>
  <c r="V6" i="45"/>
  <c r="V24" i="45" s="1"/>
  <c r="BD20" i="49" s="1"/>
  <c r="BN20" i="1"/>
  <c r="M18" i="47"/>
  <c r="G25" i="1"/>
  <c r="B26" i="44"/>
  <c r="BC26" i="44" s="1"/>
  <c r="L22" i="1"/>
  <c r="AN23" i="44"/>
  <c r="D23" i="44"/>
  <c r="BM18" i="49"/>
  <c r="N21" i="1"/>
  <c r="G19" i="47"/>
  <c r="BG19" i="49"/>
  <c r="AT22" i="44"/>
  <c r="BA22" i="44" s="1"/>
  <c r="E27" i="47"/>
  <c r="BK29" i="1"/>
  <c r="BL29" i="1"/>
  <c r="BM29" i="1"/>
  <c r="K29" i="1"/>
  <c r="O23" i="1" l="1"/>
  <c r="I21" i="47" s="1"/>
  <c r="BN21" i="1"/>
  <c r="M19" i="47"/>
  <c r="W6" i="45"/>
  <c r="W24" i="45" s="1"/>
  <c r="BD21" i="49" s="1"/>
  <c r="E23" i="44"/>
  <c r="O22" i="1"/>
  <c r="I20" i="47" s="1"/>
  <c r="G26" i="1"/>
  <c r="B27" i="44"/>
  <c r="BC27" i="44" s="1"/>
  <c r="N22" i="1"/>
  <c r="G20" i="47"/>
  <c r="AN24" i="44"/>
  <c r="D24" i="44"/>
  <c r="L23" i="1"/>
  <c r="AT23" i="44"/>
  <c r="BA23" i="44" s="1"/>
  <c r="BG20" i="49"/>
  <c r="BM19" i="49"/>
  <c r="E28" i="47"/>
  <c r="BL30" i="1"/>
  <c r="K30" i="1"/>
  <c r="BM30" i="1"/>
  <c r="BK30" i="1"/>
  <c r="E24" i="44" l="1"/>
  <c r="X6" i="45"/>
  <c r="X24" i="45" s="1"/>
  <c r="BD22" i="49" s="1"/>
  <c r="O24" i="1"/>
  <c r="I22" i="47" s="1"/>
  <c r="Q23" i="1"/>
  <c r="R23" i="1"/>
  <c r="M20" i="47"/>
  <c r="Q22" i="1"/>
  <c r="BN22" i="1" s="1"/>
  <c r="R22" i="1"/>
  <c r="B28" i="44"/>
  <c r="BC28" i="44" s="1"/>
  <c r="G27" i="1"/>
  <c r="AT24" i="44"/>
  <c r="BA24" i="44" s="1"/>
  <c r="BG21" i="49"/>
  <c r="BM20" i="49"/>
  <c r="N23" i="1"/>
  <c r="G21" i="47"/>
  <c r="L24" i="1"/>
  <c r="D25" i="44"/>
  <c r="AN25" i="44"/>
  <c r="BK31" i="1"/>
  <c r="E29" i="47"/>
  <c r="Y6" i="45" l="1"/>
  <c r="Y24" i="45" s="1"/>
  <c r="BD23" i="49" s="1"/>
  <c r="E25" i="44"/>
  <c r="BN23" i="1"/>
  <c r="Z6" i="45"/>
  <c r="Z24" i="45" s="1"/>
  <c r="BD24" i="49" s="1"/>
  <c r="Q24" i="1"/>
  <c r="R24" i="1"/>
  <c r="M21" i="47"/>
  <c r="E26" i="44"/>
  <c r="O25" i="1"/>
  <c r="I23" i="47" s="1"/>
  <c r="G28" i="1"/>
  <c r="B29" i="44"/>
  <c r="BC29" i="44" s="1"/>
  <c r="N24" i="1"/>
  <c r="G22" i="47"/>
  <c r="BM21" i="49"/>
  <c r="BG22" i="49"/>
  <c r="AT25" i="44"/>
  <c r="BA25" i="44" s="1"/>
  <c r="L25" i="1"/>
  <c r="D26" i="44"/>
  <c r="AN26" i="44"/>
  <c r="K31" i="1"/>
  <c r="BM31" i="1"/>
  <c r="BL31" i="1"/>
  <c r="E30" i="47"/>
  <c r="BL32" i="1"/>
  <c r="BK32" i="1"/>
  <c r="BM32" i="1"/>
  <c r="K32" i="1"/>
  <c r="BN24" i="1" l="1"/>
  <c r="AA6" i="45"/>
  <c r="E27" i="44"/>
  <c r="O26" i="1"/>
  <c r="I24" i="47" s="1"/>
  <c r="R25" i="1"/>
  <c r="Q25" i="1"/>
  <c r="M22" i="47"/>
  <c r="B30" i="44"/>
  <c r="BC30" i="44" s="1"/>
  <c r="G29" i="1"/>
  <c r="AN27" i="44"/>
  <c r="D27" i="44"/>
  <c r="L26" i="1"/>
  <c r="N25" i="1"/>
  <c r="G23" i="47"/>
  <c r="AT26" i="44"/>
  <c r="BA26" i="44" s="1"/>
  <c r="BG23" i="49"/>
  <c r="BM22" i="49"/>
  <c r="AA24" i="45" l="1"/>
  <c r="BD25" i="49" s="1"/>
  <c r="BN25" i="1"/>
  <c r="M23" i="47"/>
  <c r="E28" i="44"/>
  <c r="O27" i="1"/>
  <c r="I25" i="47" s="1"/>
  <c r="R26" i="1"/>
  <c r="Q26" i="1"/>
  <c r="B31" i="44"/>
  <c r="BC31" i="44" s="1"/>
  <c r="G30" i="1"/>
  <c r="BM23" i="49"/>
  <c r="BG24" i="49"/>
  <c r="AT27" i="44"/>
  <c r="BA27" i="44" s="1"/>
  <c r="N26" i="1"/>
  <c r="G24" i="47"/>
  <c r="L27" i="1"/>
  <c r="AN28" i="44"/>
  <c r="D28" i="44"/>
  <c r="O28" i="1" l="1"/>
  <c r="I26" i="47" s="1"/>
  <c r="AB6" i="45"/>
  <c r="AB24" i="45" s="1"/>
  <c r="BD26" i="49" s="1"/>
  <c r="BN26" i="1"/>
  <c r="M24" i="47"/>
  <c r="R27" i="1"/>
  <c r="Q27" i="1"/>
  <c r="B32" i="44"/>
  <c r="BC32" i="44" s="1"/>
  <c r="G31" i="1"/>
  <c r="AN29" i="44"/>
  <c r="L28" i="1"/>
  <c r="D29" i="44"/>
  <c r="N27" i="1"/>
  <c r="G25" i="47"/>
  <c r="BM24" i="49"/>
  <c r="BG25" i="49"/>
  <c r="AT28" i="44"/>
  <c r="BA28" i="44" s="1"/>
  <c r="AC6" i="45" l="1"/>
  <c r="AC24" i="45" s="1"/>
  <c r="BD27" i="49" s="1"/>
  <c r="M25" i="47"/>
  <c r="E29" i="44"/>
  <c r="Q28" i="1"/>
  <c r="R28" i="1"/>
  <c r="E30" i="44"/>
  <c r="O29" i="1"/>
  <c r="I27" i="47" s="1"/>
  <c r="G32" i="1"/>
  <c r="B33" i="44"/>
  <c r="BC33" i="44" s="1"/>
  <c r="AT29" i="44"/>
  <c r="BA29" i="44" s="1"/>
  <c r="BG26" i="49"/>
  <c r="G26" i="47"/>
  <c r="N28" i="1"/>
  <c r="BM25" i="49"/>
  <c r="BN27" i="1"/>
  <c r="AN30" i="44"/>
  <c r="L29" i="1"/>
  <c r="D30" i="44"/>
  <c r="E31" i="44" l="1"/>
  <c r="AD6" i="45"/>
  <c r="AD24" i="45" s="1"/>
  <c r="BD28" i="49" s="1"/>
  <c r="BN28" i="1"/>
  <c r="M26" i="47"/>
  <c r="R29" i="1"/>
  <c r="Q29" i="1"/>
  <c r="AN31" i="44"/>
  <c r="L30" i="1"/>
  <c r="D31" i="44"/>
  <c r="BG27" i="49"/>
  <c r="AT30" i="44"/>
  <c r="BA30" i="44" s="1"/>
  <c r="N29" i="1"/>
  <c r="G27" i="47"/>
  <c r="BM26" i="49"/>
  <c r="O30" i="1" l="1"/>
  <c r="M27" i="47"/>
  <c r="E32" i="44"/>
  <c r="AE6" i="45"/>
  <c r="AE24" i="45" s="1"/>
  <c r="BD29" i="49" s="1"/>
  <c r="AF6" i="45"/>
  <c r="AF24" i="45" s="1"/>
  <c r="BD30" i="49" s="1"/>
  <c r="G34" i="1"/>
  <c r="B35" i="44"/>
  <c r="BM27" i="49"/>
  <c r="AT31" i="44"/>
  <c r="BA31" i="44" s="1"/>
  <c r="BG28" i="49"/>
  <c r="BN29" i="1"/>
  <c r="N30" i="1"/>
  <c r="G28" i="47"/>
  <c r="D32" i="44"/>
  <c r="L31" i="1"/>
  <c r="AN32" i="44"/>
  <c r="BC35" i="44" l="1"/>
  <c r="R30" i="1"/>
  <c r="I28" i="47"/>
  <c r="M28" i="47" s="1"/>
  <c r="J85" i="29"/>
  <c r="J85" i="30"/>
  <c r="J85" i="27"/>
  <c r="J85" i="28"/>
  <c r="J85" i="25"/>
  <c r="J85" i="40"/>
  <c r="J85" i="23"/>
  <c r="J85" i="24"/>
  <c r="J85" i="21"/>
  <c r="J85" i="19"/>
  <c r="J85" i="20"/>
  <c r="J85" i="17"/>
  <c r="J85" i="18"/>
  <c r="J85" i="15"/>
  <c r="J85" i="16"/>
  <c r="J85" i="13"/>
  <c r="J85" i="14"/>
  <c r="J85" i="11"/>
  <c r="J85" i="12"/>
  <c r="J85" i="9"/>
  <c r="J85" i="10"/>
  <c r="J85" i="7"/>
  <c r="J85" i="8"/>
  <c r="J85" i="5"/>
  <c r="J85" i="33"/>
  <c r="J85" i="3"/>
  <c r="J85" i="4"/>
  <c r="H86" i="50"/>
  <c r="J86" i="50" s="1"/>
  <c r="Q30" i="1"/>
  <c r="BN30" i="1" s="1"/>
  <c r="O31" i="1"/>
  <c r="E33" i="44"/>
  <c r="O32" i="1"/>
  <c r="I30" i="47" s="1"/>
  <c r="AT32" i="44"/>
  <c r="BA32" i="44" s="1"/>
  <c r="BG29" i="49"/>
  <c r="L32" i="1"/>
  <c r="D33" i="44"/>
  <c r="AN33" i="44"/>
  <c r="BM28" i="49"/>
  <c r="N31" i="1"/>
  <c r="G29" i="47"/>
  <c r="R31" i="1" l="1"/>
  <c r="I29" i="47"/>
  <c r="M29" i="47" s="1"/>
  <c r="J85" i="22"/>
  <c r="J85" i="2"/>
  <c r="Q31" i="1"/>
  <c r="BN31" i="1" s="1"/>
  <c r="R32" i="1"/>
  <c r="Q32" i="1"/>
  <c r="AG6" i="45"/>
  <c r="AG24" i="45" s="1"/>
  <c r="BD31" i="49" s="1"/>
  <c r="BM29" i="49"/>
  <c r="D34" i="44"/>
  <c r="D36" i="44" s="1"/>
  <c r="L33" i="1"/>
  <c r="AN34" i="44"/>
  <c r="AN37" i="44" s="1"/>
  <c r="N32" i="1"/>
  <c r="G30" i="47"/>
  <c r="BG30" i="49"/>
  <c r="AT33" i="44"/>
  <c r="BA33" i="44" s="1"/>
  <c r="D37" i="44" l="1"/>
  <c r="AN36" i="44"/>
  <c r="J83" i="29"/>
  <c r="J83" i="30"/>
  <c r="J92" i="29"/>
  <c r="J92" i="30"/>
  <c r="J90" i="29"/>
  <c r="J92" i="27"/>
  <c r="J92" i="28"/>
  <c r="AC27" i="49"/>
  <c r="J83" i="27"/>
  <c r="J83" i="28"/>
  <c r="J90" i="27"/>
  <c r="AC25" i="49"/>
  <c r="J83" i="25"/>
  <c r="J83" i="40"/>
  <c r="J92" i="25"/>
  <c r="J92" i="40"/>
  <c r="H91" i="50"/>
  <c r="J91" i="50" s="1"/>
  <c r="J90" i="9"/>
  <c r="J90" i="33"/>
  <c r="J90" i="8"/>
  <c r="J90" i="3"/>
  <c r="J90" i="5"/>
  <c r="J90" i="7"/>
  <c r="J90" i="4"/>
  <c r="J90" i="2"/>
  <c r="J83" i="23"/>
  <c r="J83" i="24"/>
  <c r="J92" i="23"/>
  <c r="J92" i="24"/>
  <c r="J92" i="21"/>
  <c r="J92" i="22"/>
  <c r="J83" i="21"/>
  <c r="J83" i="19"/>
  <c r="J83" i="20"/>
  <c r="J92" i="19"/>
  <c r="J92" i="20"/>
  <c r="J83" i="17"/>
  <c r="J83" i="18"/>
  <c r="J92" i="17"/>
  <c r="J92" i="18"/>
  <c r="J83" i="15"/>
  <c r="J83" i="16"/>
  <c r="J92" i="15"/>
  <c r="J92" i="16"/>
  <c r="J83" i="13"/>
  <c r="J83" i="14"/>
  <c r="J92" i="13"/>
  <c r="J92" i="14"/>
  <c r="J92" i="11"/>
  <c r="J92" i="12"/>
  <c r="J83" i="11"/>
  <c r="J83" i="12"/>
  <c r="J83" i="9"/>
  <c r="J83" i="10"/>
  <c r="J92" i="9"/>
  <c r="J92" i="10"/>
  <c r="J83" i="7"/>
  <c r="J83" i="8"/>
  <c r="J92" i="7"/>
  <c r="J92" i="8"/>
  <c r="J83" i="5"/>
  <c r="J83" i="33"/>
  <c r="J92" i="5"/>
  <c r="J92" i="33"/>
  <c r="J83" i="3"/>
  <c r="J83" i="4"/>
  <c r="J92" i="3"/>
  <c r="J92" i="4"/>
  <c r="H93" i="50"/>
  <c r="J93" i="50" s="1"/>
  <c r="J92" i="2"/>
  <c r="H84" i="50"/>
  <c r="J84" i="50" s="1"/>
  <c r="BN32" i="1"/>
  <c r="M30" i="47"/>
  <c r="O33" i="1"/>
  <c r="I31" i="47" s="1"/>
  <c r="E34" i="44"/>
  <c r="N33" i="1"/>
  <c r="N35" i="1" s="1"/>
  <c r="G31" i="47"/>
  <c r="L35" i="1"/>
  <c r="BM30" i="49"/>
  <c r="AT34" i="44"/>
  <c r="BG31" i="49"/>
  <c r="BG35" i="1"/>
  <c r="BO35" i="1" s="1"/>
  <c r="BP35" i="1" s="1"/>
  <c r="AT36" i="44" l="1"/>
  <c r="BA34" i="44"/>
  <c r="AT37" i="44"/>
  <c r="AC29" i="49"/>
  <c r="J96" i="29"/>
  <c r="J96" i="30"/>
  <c r="J88" i="29"/>
  <c r="J102" i="29"/>
  <c r="J102" i="30"/>
  <c r="J77" i="29"/>
  <c r="J77" i="30"/>
  <c r="J87" i="29"/>
  <c r="J90" i="30"/>
  <c r="AC30" i="49"/>
  <c r="J75" i="29"/>
  <c r="J75" i="30"/>
  <c r="J84" i="29"/>
  <c r="J84" i="30"/>
  <c r="J62" i="29"/>
  <c r="J62" i="30"/>
  <c r="J89" i="29"/>
  <c r="J94" i="29"/>
  <c r="J94" i="30"/>
  <c r="J74" i="29"/>
  <c r="J74" i="30"/>
  <c r="J76" i="29"/>
  <c r="J76" i="30"/>
  <c r="J82" i="29"/>
  <c r="J82" i="30"/>
  <c r="J78" i="29"/>
  <c r="J78" i="30"/>
  <c r="J94" i="27"/>
  <c r="J94" i="28"/>
  <c r="J74" i="27"/>
  <c r="J74" i="28"/>
  <c r="J76" i="27"/>
  <c r="J76" i="28"/>
  <c r="J88" i="27"/>
  <c r="J88" i="28"/>
  <c r="J89" i="27"/>
  <c r="J89" i="28"/>
  <c r="J78" i="27"/>
  <c r="J78" i="28"/>
  <c r="J84" i="27"/>
  <c r="J84" i="28"/>
  <c r="J102" i="27"/>
  <c r="J102" i="28"/>
  <c r="J75" i="27"/>
  <c r="J75" i="28"/>
  <c r="J87" i="27"/>
  <c r="J87" i="28"/>
  <c r="J82" i="27"/>
  <c r="J82" i="28"/>
  <c r="J96" i="27"/>
  <c r="J96" i="28"/>
  <c r="J77" i="27"/>
  <c r="J77" i="28"/>
  <c r="J62" i="27"/>
  <c r="J62" i="28"/>
  <c r="J90" i="28"/>
  <c r="AC28" i="49"/>
  <c r="J102" i="25"/>
  <c r="J102" i="40"/>
  <c r="J75" i="25"/>
  <c r="J75" i="40"/>
  <c r="J87" i="25"/>
  <c r="J87" i="40"/>
  <c r="J82" i="25"/>
  <c r="J82" i="40"/>
  <c r="J77" i="25"/>
  <c r="J77" i="40"/>
  <c r="J62" i="25"/>
  <c r="J62" i="40"/>
  <c r="J90" i="40"/>
  <c r="AC26" i="49"/>
  <c r="J96" i="25"/>
  <c r="J96" i="40"/>
  <c r="J94" i="25"/>
  <c r="J94" i="40"/>
  <c r="J74" i="25"/>
  <c r="J74" i="40"/>
  <c r="J76" i="25"/>
  <c r="J76" i="40"/>
  <c r="J88" i="25"/>
  <c r="J88" i="40"/>
  <c r="J89" i="25"/>
  <c r="J89" i="40"/>
  <c r="J90" i="25"/>
  <c r="J78" i="25"/>
  <c r="J78" i="40"/>
  <c r="J84" i="25"/>
  <c r="J84" i="40"/>
  <c r="J96" i="23"/>
  <c r="J96" i="24"/>
  <c r="J94" i="23"/>
  <c r="J94" i="24"/>
  <c r="J102" i="23"/>
  <c r="J102" i="24"/>
  <c r="J75" i="23"/>
  <c r="J75" i="24"/>
  <c r="H88" i="50"/>
  <c r="J88" i="50" s="1"/>
  <c r="J87" i="14"/>
  <c r="J87" i="18"/>
  <c r="J87" i="9"/>
  <c r="J87" i="11"/>
  <c r="J87" i="21"/>
  <c r="J87" i="24"/>
  <c r="J87" i="10"/>
  <c r="J87" i="19"/>
  <c r="J87" i="20"/>
  <c r="J87" i="13"/>
  <c r="J87" i="23"/>
  <c r="J87" i="17"/>
  <c r="J87" i="22"/>
  <c r="J87" i="15"/>
  <c r="J87" i="12"/>
  <c r="J87" i="16"/>
  <c r="J87" i="4"/>
  <c r="J87" i="2"/>
  <c r="J87" i="33"/>
  <c r="J87" i="5"/>
  <c r="J87" i="8"/>
  <c r="J87" i="3"/>
  <c r="J87" i="7"/>
  <c r="J82" i="23"/>
  <c r="J82" i="24"/>
  <c r="J90" i="21"/>
  <c r="AC21" i="49"/>
  <c r="J90" i="17"/>
  <c r="AC17" i="49"/>
  <c r="J90" i="13"/>
  <c r="AC13" i="49"/>
  <c r="J90" i="19"/>
  <c r="AC19" i="49"/>
  <c r="J77" i="23"/>
  <c r="J77" i="24"/>
  <c r="J62" i="23"/>
  <c r="J62" i="24"/>
  <c r="J90" i="12"/>
  <c r="AC12" i="49"/>
  <c r="J90" i="10"/>
  <c r="J90" i="23"/>
  <c r="AC23" i="49"/>
  <c r="J90" i="14"/>
  <c r="AC14" i="49"/>
  <c r="J74" i="23"/>
  <c r="J74" i="24"/>
  <c r="J76" i="23"/>
  <c r="J76" i="24"/>
  <c r="J88" i="23"/>
  <c r="J88" i="24"/>
  <c r="H90" i="50"/>
  <c r="J90" i="50" s="1"/>
  <c r="J89" i="14"/>
  <c r="J89" i="18"/>
  <c r="J89" i="17"/>
  <c r="J89" i="13"/>
  <c r="J89" i="16"/>
  <c r="J89" i="15"/>
  <c r="J89" i="11"/>
  <c r="J89" i="23"/>
  <c r="J89" i="22"/>
  <c r="J89" i="9"/>
  <c r="J89" i="24"/>
  <c r="J89" i="21"/>
  <c r="J89" i="20"/>
  <c r="J89" i="19"/>
  <c r="J89" i="12"/>
  <c r="J89" i="10"/>
  <c r="J89" i="8"/>
  <c r="J89" i="7"/>
  <c r="J89" i="3"/>
  <c r="J89" i="33"/>
  <c r="J89" i="5"/>
  <c r="J89" i="4"/>
  <c r="J89" i="2"/>
  <c r="J90" i="16"/>
  <c r="AC16" i="49"/>
  <c r="J90" i="11"/>
  <c r="AC11" i="49"/>
  <c r="J90" i="18"/>
  <c r="AC18" i="49"/>
  <c r="J78" i="23"/>
  <c r="J78" i="24"/>
  <c r="J84" i="23"/>
  <c r="J84" i="24"/>
  <c r="J90" i="22"/>
  <c r="AC22" i="49"/>
  <c r="J90" i="15"/>
  <c r="AC15" i="49"/>
  <c r="J90" i="20"/>
  <c r="AC20" i="49"/>
  <c r="J90" i="24"/>
  <c r="AC24" i="49"/>
  <c r="J83" i="22"/>
  <c r="J102" i="21"/>
  <c r="J82" i="21"/>
  <c r="J96" i="21"/>
  <c r="J94" i="21"/>
  <c r="J88" i="21"/>
  <c r="J84" i="21"/>
  <c r="J75" i="20"/>
  <c r="J75" i="21"/>
  <c r="J77" i="20"/>
  <c r="J77" i="21"/>
  <c r="J62" i="20"/>
  <c r="J62" i="21"/>
  <c r="J74" i="20"/>
  <c r="J74" i="21"/>
  <c r="J76" i="20"/>
  <c r="J76" i="21"/>
  <c r="J78" i="20"/>
  <c r="J78" i="21"/>
  <c r="J96" i="19"/>
  <c r="J96" i="20"/>
  <c r="J94" i="19"/>
  <c r="J94" i="20"/>
  <c r="J88" i="20"/>
  <c r="J84" i="19"/>
  <c r="J84" i="20"/>
  <c r="J102" i="19"/>
  <c r="J102" i="20"/>
  <c r="J82" i="19"/>
  <c r="J82" i="20"/>
  <c r="J74" i="18"/>
  <c r="J74" i="19"/>
  <c r="J76" i="18"/>
  <c r="J76" i="19"/>
  <c r="J88" i="19"/>
  <c r="J78" i="18"/>
  <c r="J78" i="19"/>
  <c r="J75" i="18"/>
  <c r="J75" i="19"/>
  <c r="J77" i="18"/>
  <c r="J77" i="19"/>
  <c r="J62" i="18"/>
  <c r="J62" i="19"/>
  <c r="J94" i="17"/>
  <c r="J94" i="18"/>
  <c r="J88" i="17"/>
  <c r="J88" i="18"/>
  <c r="J84" i="17"/>
  <c r="J84" i="18"/>
  <c r="J102" i="17"/>
  <c r="J102" i="18"/>
  <c r="J82" i="17"/>
  <c r="J82" i="18"/>
  <c r="J96" i="17"/>
  <c r="J96" i="18"/>
  <c r="J74" i="16"/>
  <c r="J74" i="17"/>
  <c r="J76" i="16"/>
  <c r="J76" i="17"/>
  <c r="J77" i="16"/>
  <c r="J77" i="17"/>
  <c r="J78" i="16"/>
  <c r="J78" i="17"/>
  <c r="J62" i="16"/>
  <c r="J62" i="17"/>
  <c r="J75" i="16"/>
  <c r="J75" i="17"/>
  <c r="J96" i="15"/>
  <c r="J96" i="16"/>
  <c r="J94" i="15"/>
  <c r="J94" i="16"/>
  <c r="J88" i="15"/>
  <c r="J88" i="16"/>
  <c r="J84" i="15"/>
  <c r="J84" i="16"/>
  <c r="J102" i="15"/>
  <c r="J102" i="16"/>
  <c r="J82" i="15"/>
  <c r="J82" i="16"/>
  <c r="J77" i="14"/>
  <c r="J77" i="15"/>
  <c r="J74" i="14"/>
  <c r="J74" i="15"/>
  <c r="J76" i="14"/>
  <c r="J76" i="15"/>
  <c r="J78" i="14"/>
  <c r="J78" i="15"/>
  <c r="J75" i="14"/>
  <c r="J75" i="15"/>
  <c r="J62" i="14"/>
  <c r="J62" i="15"/>
  <c r="J102" i="13"/>
  <c r="J102" i="14"/>
  <c r="J88" i="13"/>
  <c r="J88" i="14"/>
  <c r="J84" i="13"/>
  <c r="J84" i="14"/>
  <c r="J96" i="13"/>
  <c r="J96" i="14"/>
  <c r="J94" i="13"/>
  <c r="J94" i="14"/>
  <c r="J82" i="13"/>
  <c r="J82" i="14"/>
  <c r="J77" i="12"/>
  <c r="J77" i="13"/>
  <c r="J74" i="12"/>
  <c r="J74" i="13"/>
  <c r="J76" i="12"/>
  <c r="J76" i="13"/>
  <c r="J78" i="12"/>
  <c r="J78" i="13"/>
  <c r="J75" i="12"/>
  <c r="J75" i="13"/>
  <c r="J62" i="12"/>
  <c r="J62" i="13"/>
  <c r="J96" i="11"/>
  <c r="J96" i="12"/>
  <c r="J88" i="11"/>
  <c r="J88" i="12"/>
  <c r="J94" i="11"/>
  <c r="J94" i="12"/>
  <c r="J84" i="11"/>
  <c r="J84" i="12"/>
  <c r="J82" i="11"/>
  <c r="J82" i="12"/>
  <c r="J102" i="11"/>
  <c r="J102" i="12"/>
  <c r="J77" i="10"/>
  <c r="J77" i="11"/>
  <c r="J74" i="10"/>
  <c r="J74" i="11"/>
  <c r="J76" i="10"/>
  <c r="J76" i="11"/>
  <c r="J78" i="10"/>
  <c r="J78" i="11"/>
  <c r="J75" i="10"/>
  <c r="J75" i="11"/>
  <c r="J62" i="10"/>
  <c r="J62" i="11"/>
  <c r="J96" i="9"/>
  <c r="J96" i="10"/>
  <c r="J88" i="10"/>
  <c r="J94" i="9"/>
  <c r="J94" i="10"/>
  <c r="J84" i="9"/>
  <c r="J84" i="10"/>
  <c r="J82" i="9"/>
  <c r="J82" i="10"/>
  <c r="J102" i="9"/>
  <c r="J102" i="10"/>
  <c r="J77" i="8"/>
  <c r="J77" i="9"/>
  <c r="J88" i="9"/>
  <c r="J74" i="8"/>
  <c r="J74" i="9"/>
  <c r="J76" i="8"/>
  <c r="J76" i="9"/>
  <c r="J78" i="8"/>
  <c r="J78" i="9"/>
  <c r="J75" i="8"/>
  <c r="J75" i="9"/>
  <c r="J62" i="8"/>
  <c r="J62" i="9"/>
  <c r="J102" i="7"/>
  <c r="J102" i="8"/>
  <c r="J96" i="7"/>
  <c r="J96" i="8"/>
  <c r="J88" i="7"/>
  <c r="J88" i="8"/>
  <c r="J94" i="7"/>
  <c r="J94" i="8"/>
  <c r="J84" i="7"/>
  <c r="J84" i="8"/>
  <c r="J82" i="7"/>
  <c r="J82" i="8"/>
  <c r="J77" i="33"/>
  <c r="J77" i="7"/>
  <c r="J74" i="33"/>
  <c r="J74" i="7"/>
  <c r="J76" i="33"/>
  <c r="J76" i="7"/>
  <c r="J78" i="33"/>
  <c r="J78" i="7"/>
  <c r="J75" i="33"/>
  <c r="J75" i="7"/>
  <c r="J62" i="33"/>
  <c r="J62" i="7"/>
  <c r="J96" i="5"/>
  <c r="J96" i="33"/>
  <c r="J88" i="5"/>
  <c r="J88" i="33"/>
  <c r="J94" i="5"/>
  <c r="J94" i="33"/>
  <c r="J84" i="5"/>
  <c r="J84" i="33"/>
  <c r="J82" i="5"/>
  <c r="J82" i="33"/>
  <c r="J102" i="5"/>
  <c r="J102" i="33"/>
  <c r="J75" i="4"/>
  <c r="J75" i="5"/>
  <c r="J77" i="4"/>
  <c r="J77" i="5"/>
  <c r="J62" i="4"/>
  <c r="J74" i="4"/>
  <c r="J74" i="5"/>
  <c r="J76" i="4"/>
  <c r="J76" i="5"/>
  <c r="J78" i="4"/>
  <c r="J78" i="5"/>
  <c r="J102" i="3"/>
  <c r="J102" i="4"/>
  <c r="J82" i="3"/>
  <c r="J82" i="4"/>
  <c r="J96" i="3"/>
  <c r="J96" i="4"/>
  <c r="J88" i="3"/>
  <c r="J88" i="4"/>
  <c r="J94" i="3"/>
  <c r="J94" i="4"/>
  <c r="J84" i="3"/>
  <c r="J84" i="4"/>
  <c r="J78" i="2"/>
  <c r="J78" i="3"/>
  <c r="J75" i="2"/>
  <c r="J75" i="3"/>
  <c r="J77" i="2"/>
  <c r="J77" i="3"/>
  <c r="J62" i="2"/>
  <c r="J62" i="3"/>
  <c r="J74" i="3"/>
  <c r="J76" i="2"/>
  <c r="J76" i="3"/>
  <c r="H103" i="50"/>
  <c r="J103" i="50" s="1"/>
  <c r="H95" i="50"/>
  <c r="J95" i="50" s="1"/>
  <c r="J74" i="2"/>
  <c r="H89" i="50"/>
  <c r="J89" i="50" s="1"/>
  <c r="H85" i="50"/>
  <c r="J85" i="50" s="1"/>
  <c r="J83" i="2"/>
  <c r="H97" i="50"/>
  <c r="J97" i="50" s="1"/>
  <c r="H83" i="50"/>
  <c r="J83" i="50" s="1"/>
  <c r="H78" i="50"/>
  <c r="J78" i="50" s="1"/>
  <c r="H79" i="50"/>
  <c r="J79" i="50" s="1"/>
  <c r="H75" i="50"/>
  <c r="J75" i="50" s="1"/>
  <c r="H77" i="50"/>
  <c r="J77" i="50" s="1"/>
  <c r="H63" i="50"/>
  <c r="J63" i="50" s="1"/>
  <c r="H76" i="50"/>
  <c r="J76" i="50" s="1"/>
  <c r="AH6" i="45"/>
  <c r="AH24" i="45" s="1"/>
  <c r="BD32" i="49" s="1"/>
  <c r="R33" i="1"/>
  <c r="Q33" i="1"/>
  <c r="BA36" i="44"/>
  <c r="BM31" i="49"/>
  <c r="BA37" i="44" l="1"/>
  <c r="J86" i="29"/>
  <c r="J89" i="30"/>
  <c r="J98" i="29"/>
  <c r="J98" i="30"/>
  <c r="J91" i="29"/>
  <c r="J87" i="30"/>
  <c r="J100" i="29"/>
  <c r="J100" i="30"/>
  <c r="J104" i="29"/>
  <c r="J104" i="30"/>
  <c r="AC31" i="49"/>
  <c r="J88" i="30"/>
  <c r="J98" i="27"/>
  <c r="J98" i="28"/>
  <c r="J100" i="27"/>
  <c r="J100" i="28"/>
  <c r="J104" i="27"/>
  <c r="J104" i="28"/>
  <c r="J86" i="27"/>
  <c r="J86" i="28"/>
  <c r="J91" i="27"/>
  <c r="J91" i="28"/>
  <c r="J86" i="25"/>
  <c r="J86" i="40"/>
  <c r="J91" i="25"/>
  <c r="J91" i="40"/>
  <c r="J98" i="25"/>
  <c r="J98" i="40"/>
  <c r="J100" i="25"/>
  <c r="J100" i="40"/>
  <c r="J104" i="25"/>
  <c r="J104" i="40"/>
  <c r="J98" i="23"/>
  <c r="J98" i="24"/>
  <c r="J100" i="23"/>
  <c r="J100" i="24"/>
  <c r="J104" i="23"/>
  <c r="J104" i="24"/>
  <c r="AC10" i="49"/>
  <c r="J86" i="14"/>
  <c r="J86" i="18"/>
  <c r="J86" i="24"/>
  <c r="J86" i="13"/>
  <c r="J86" i="15"/>
  <c r="J86" i="23"/>
  <c r="J86" i="22"/>
  <c r="J86" i="20"/>
  <c r="J86" i="12"/>
  <c r="J86" i="11"/>
  <c r="J86" i="21"/>
  <c r="J86" i="19"/>
  <c r="J86" i="10"/>
  <c r="J86" i="17"/>
  <c r="J86" i="9"/>
  <c r="J86" i="16"/>
  <c r="J86" i="3"/>
  <c r="J86" i="2"/>
  <c r="J86" i="5"/>
  <c r="J86" i="8"/>
  <c r="J86" i="7"/>
  <c r="J86" i="33"/>
  <c r="J86" i="4"/>
  <c r="J91" i="23"/>
  <c r="J91" i="24"/>
  <c r="J62" i="22"/>
  <c r="J88" i="22"/>
  <c r="J96" i="22"/>
  <c r="J102" i="22"/>
  <c r="J74" i="22"/>
  <c r="J76" i="22"/>
  <c r="J75" i="22"/>
  <c r="J84" i="22"/>
  <c r="J94" i="22"/>
  <c r="J82" i="22"/>
  <c r="J78" i="22"/>
  <c r="J77" i="22"/>
  <c r="J104" i="22"/>
  <c r="J91" i="21"/>
  <c r="J98" i="21"/>
  <c r="J100" i="21"/>
  <c r="J104" i="20"/>
  <c r="J104" i="21"/>
  <c r="J91" i="19"/>
  <c r="J98" i="19"/>
  <c r="J98" i="20"/>
  <c r="J100" i="19"/>
  <c r="J100" i="20"/>
  <c r="J104" i="18"/>
  <c r="J104" i="19"/>
  <c r="J100" i="17"/>
  <c r="J100" i="18"/>
  <c r="J91" i="17"/>
  <c r="J91" i="18"/>
  <c r="J98" i="17"/>
  <c r="J98" i="18"/>
  <c r="J104" i="16"/>
  <c r="J104" i="17"/>
  <c r="J91" i="15"/>
  <c r="J91" i="16"/>
  <c r="J98" i="15"/>
  <c r="J98" i="16"/>
  <c r="J100" i="15"/>
  <c r="J100" i="16"/>
  <c r="J104" i="14"/>
  <c r="J104" i="15"/>
  <c r="J100" i="13"/>
  <c r="J100" i="14"/>
  <c r="J98" i="13"/>
  <c r="J98" i="14"/>
  <c r="J91" i="13"/>
  <c r="J91" i="14"/>
  <c r="J104" i="12"/>
  <c r="J104" i="13"/>
  <c r="J91" i="11"/>
  <c r="J91" i="12"/>
  <c r="J100" i="11"/>
  <c r="J100" i="12"/>
  <c r="J98" i="11"/>
  <c r="J98" i="12"/>
  <c r="J104" i="10"/>
  <c r="J104" i="11"/>
  <c r="J100" i="9"/>
  <c r="J100" i="10"/>
  <c r="J98" i="9"/>
  <c r="J98" i="10"/>
  <c r="J91" i="9"/>
  <c r="J91" i="10"/>
  <c r="J104" i="8"/>
  <c r="J104" i="9"/>
  <c r="J100" i="7"/>
  <c r="J100" i="8"/>
  <c r="J98" i="7"/>
  <c r="J98" i="8"/>
  <c r="J91" i="7"/>
  <c r="J91" i="8"/>
  <c r="J104" i="33"/>
  <c r="J104" i="7"/>
  <c r="J98" i="5"/>
  <c r="J98" i="33"/>
  <c r="J91" i="5"/>
  <c r="J100" i="5"/>
  <c r="J100" i="33"/>
  <c r="J62" i="5"/>
  <c r="J104" i="4"/>
  <c r="J104" i="5"/>
  <c r="J91" i="3"/>
  <c r="J100" i="3"/>
  <c r="J100" i="4"/>
  <c r="J98" i="3"/>
  <c r="J98" i="4"/>
  <c r="J104" i="2"/>
  <c r="J104" i="3"/>
  <c r="J82" i="2"/>
  <c r="J84" i="2"/>
  <c r="J88" i="2"/>
  <c r="J102" i="2"/>
  <c r="J96" i="2"/>
  <c r="H92" i="50"/>
  <c r="J92" i="50" s="1"/>
  <c r="H99" i="50"/>
  <c r="J99" i="50" s="1"/>
  <c r="H101" i="50"/>
  <c r="J101" i="50" s="1"/>
  <c r="J94" i="2"/>
  <c r="H105" i="50"/>
  <c r="J105" i="50" s="1"/>
  <c r="H87" i="50"/>
  <c r="J87" i="50" s="1"/>
  <c r="O34" i="1"/>
  <c r="I32" i="47" s="1"/>
  <c r="E35" i="44"/>
  <c r="E37" i="44" l="1"/>
  <c r="E36" i="44"/>
  <c r="J86" i="30"/>
  <c r="J91" i="30"/>
  <c r="J98" i="22"/>
  <c r="J100" i="22"/>
  <c r="J91" i="22"/>
  <c r="J91" i="20"/>
  <c r="J91" i="33"/>
  <c r="J91" i="4"/>
  <c r="J98" i="2"/>
  <c r="J91" i="2"/>
  <c r="J100" i="2"/>
  <c r="Q34" i="1"/>
  <c r="R34" i="1"/>
  <c r="R35" i="1" s="1"/>
  <c r="O35" i="1"/>
  <c r="Q35" i="1" l="1"/>
  <c r="BN34" i="1"/>
  <c r="J71" i="29" l="1"/>
  <c r="J71" i="30"/>
  <c r="J63" i="29"/>
  <c r="J63" i="30"/>
  <c r="J65" i="29"/>
  <c r="J65" i="30"/>
  <c r="J65" i="27"/>
  <c r="J65" i="28"/>
  <c r="J71" i="27"/>
  <c r="J71" i="28"/>
  <c r="J63" i="27"/>
  <c r="J63" i="28"/>
  <c r="J65" i="25"/>
  <c r="J65" i="40"/>
  <c r="J71" i="25"/>
  <c r="J71" i="40"/>
  <c r="J63" i="25"/>
  <c r="J63" i="40"/>
  <c r="J65" i="23"/>
  <c r="J65" i="24"/>
  <c r="J71" i="23"/>
  <c r="J71" i="24"/>
  <c r="J63" i="23"/>
  <c r="J63" i="24"/>
  <c r="J63" i="21"/>
  <c r="J71" i="21"/>
  <c r="J71" i="22"/>
  <c r="J65" i="21"/>
  <c r="J65" i="19"/>
  <c r="J65" i="20"/>
  <c r="J71" i="19"/>
  <c r="J71" i="20"/>
  <c r="J63" i="19"/>
  <c r="J63" i="20"/>
  <c r="J65" i="17"/>
  <c r="J65" i="18"/>
  <c r="J71" i="17"/>
  <c r="J71" i="18"/>
  <c r="J63" i="17"/>
  <c r="J63" i="18"/>
  <c r="J65" i="15"/>
  <c r="J65" i="16"/>
  <c r="J71" i="15"/>
  <c r="J71" i="16"/>
  <c r="J63" i="15"/>
  <c r="J63" i="16"/>
  <c r="J65" i="13"/>
  <c r="J65" i="14"/>
  <c r="J71" i="13"/>
  <c r="J71" i="14"/>
  <c r="J63" i="13"/>
  <c r="J63" i="14"/>
  <c r="J65" i="11"/>
  <c r="J65" i="12"/>
  <c r="J71" i="11"/>
  <c r="J71" i="12"/>
  <c r="J63" i="11"/>
  <c r="J63" i="12"/>
  <c r="J63" i="9"/>
  <c r="J63" i="10"/>
  <c r="J65" i="9"/>
  <c r="J65" i="10"/>
  <c r="J71" i="9"/>
  <c r="J71" i="10"/>
  <c r="J65" i="7"/>
  <c r="J65" i="8"/>
  <c r="J71" i="7"/>
  <c r="J71" i="8"/>
  <c r="J63" i="7"/>
  <c r="J63" i="8"/>
  <c r="J65" i="5"/>
  <c r="J65" i="33"/>
  <c r="J71" i="5"/>
  <c r="J71" i="33"/>
  <c r="J63" i="5"/>
  <c r="J63" i="33"/>
  <c r="J65" i="3"/>
  <c r="J65" i="4"/>
  <c r="J71" i="3"/>
  <c r="J71" i="4"/>
  <c r="J63" i="3"/>
  <c r="J63" i="4"/>
  <c r="H64" i="50"/>
  <c r="J64" i="50" s="1"/>
  <c r="J71" i="2"/>
  <c r="H72" i="50"/>
  <c r="J72" i="50" s="1"/>
  <c r="H66" i="50"/>
  <c r="J66" i="50" s="1"/>
  <c r="J67" i="29" l="1"/>
  <c r="J67" i="30"/>
  <c r="J69" i="29"/>
  <c r="J69" i="30"/>
  <c r="J67" i="27"/>
  <c r="J67" i="28"/>
  <c r="J69" i="27"/>
  <c r="J69" i="28"/>
  <c r="J67" i="25"/>
  <c r="J67" i="40"/>
  <c r="J69" i="25"/>
  <c r="J69" i="40"/>
  <c r="J67" i="23"/>
  <c r="J67" i="24"/>
  <c r="J69" i="23"/>
  <c r="J69" i="24"/>
  <c r="J65" i="22"/>
  <c r="J63" i="22"/>
  <c r="J67" i="21"/>
  <c r="J69" i="21"/>
  <c r="J67" i="19"/>
  <c r="J67" i="20"/>
  <c r="J69" i="19"/>
  <c r="J69" i="20"/>
  <c r="J67" i="17"/>
  <c r="J67" i="18"/>
  <c r="J69" i="17"/>
  <c r="J69" i="18"/>
  <c r="J67" i="15"/>
  <c r="J67" i="16"/>
  <c r="J69" i="15"/>
  <c r="J69" i="16"/>
  <c r="J69" i="13"/>
  <c r="J69" i="14"/>
  <c r="J67" i="13"/>
  <c r="J67" i="14"/>
  <c r="J69" i="11"/>
  <c r="J69" i="12"/>
  <c r="J67" i="11"/>
  <c r="J67" i="12"/>
  <c r="J67" i="9"/>
  <c r="J67" i="10"/>
  <c r="J69" i="9"/>
  <c r="J69" i="10"/>
  <c r="J67" i="7"/>
  <c r="J67" i="8"/>
  <c r="J69" i="7"/>
  <c r="J69" i="8"/>
  <c r="J69" i="5"/>
  <c r="J69" i="33"/>
  <c r="J67" i="5"/>
  <c r="J67" i="33"/>
  <c r="J67" i="3"/>
  <c r="J67" i="4"/>
  <c r="J69" i="3"/>
  <c r="J69" i="4"/>
  <c r="J63" i="2"/>
  <c r="J65" i="2"/>
  <c r="H68" i="50"/>
  <c r="J68" i="50" s="1"/>
  <c r="H70" i="50"/>
  <c r="J70" i="50" s="1"/>
  <c r="G33" i="1"/>
  <c r="J67" i="22" l="1"/>
  <c r="J69" i="22"/>
  <c r="J69" i="2"/>
  <c r="J67" i="2"/>
  <c r="G35" i="1"/>
  <c r="K33" i="1"/>
  <c r="BK33" i="1"/>
  <c r="BM33" i="1"/>
  <c r="BL33" i="1"/>
  <c r="B34" i="44"/>
  <c r="B37" i="44" s="1"/>
  <c r="E31" i="47"/>
  <c r="B36" i="44" l="1"/>
  <c r="BC34" i="44"/>
  <c r="J97" i="29"/>
  <c r="J97" i="30"/>
  <c r="J99" i="29"/>
  <c r="J99" i="30"/>
  <c r="J95" i="29"/>
  <c r="J95" i="30"/>
  <c r="J103" i="29"/>
  <c r="J103" i="30"/>
  <c r="J105" i="29"/>
  <c r="J101" i="29"/>
  <c r="J101" i="30"/>
  <c r="J103" i="27"/>
  <c r="J103" i="28"/>
  <c r="J105" i="27"/>
  <c r="J105" i="28"/>
  <c r="J95" i="27"/>
  <c r="J95" i="28"/>
  <c r="J101" i="27"/>
  <c r="J101" i="28"/>
  <c r="J97" i="27"/>
  <c r="J97" i="28"/>
  <c r="J99" i="27"/>
  <c r="J99" i="28"/>
  <c r="J103" i="25"/>
  <c r="J103" i="40"/>
  <c r="J99" i="25"/>
  <c r="J99" i="40"/>
  <c r="J97" i="25"/>
  <c r="J97" i="40"/>
  <c r="J95" i="25"/>
  <c r="J95" i="40"/>
  <c r="J105" i="25"/>
  <c r="J105" i="40"/>
  <c r="J101" i="25"/>
  <c r="J101" i="40"/>
  <c r="J95" i="23"/>
  <c r="J95" i="24"/>
  <c r="J103" i="23"/>
  <c r="J103" i="24"/>
  <c r="J105" i="23"/>
  <c r="J105" i="24"/>
  <c r="J101" i="23"/>
  <c r="J101" i="24"/>
  <c r="J97" i="23"/>
  <c r="J97" i="24"/>
  <c r="J99" i="23"/>
  <c r="J99" i="24"/>
  <c r="J105" i="22"/>
  <c r="J103" i="22"/>
  <c r="J95" i="20"/>
  <c r="J95" i="21"/>
  <c r="J105" i="20"/>
  <c r="J105" i="21"/>
  <c r="J101" i="20"/>
  <c r="J101" i="21"/>
  <c r="J97" i="20"/>
  <c r="J97" i="21"/>
  <c r="J99" i="20"/>
  <c r="J99" i="21"/>
  <c r="J103" i="20"/>
  <c r="J103" i="21"/>
  <c r="J105" i="18"/>
  <c r="J101" i="18"/>
  <c r="J101" i="19"/>
  <c r="J99" i="18"/>
  <c r="J99" i="19"/>
  <c r="J97" i="18"/>
  <c r="J97" i="19"/>
  <c r="J95" i="18"/>
  <c r="J95" i="19"/>
  <c r="J103" i="18"/>
  <c r="J103" i="19"/>
  <c r="J105" i="16"/>
  <c r="J105" i="17"/>
  <c r="J101" i="16"/>
  <c r="J101" i="17"/>
  <c r="J97" i="16"/>
  <c r="J97" i="17"/>
  <c r="J99" i="16"/>
  <c r="J99" i="17"/>
  <c r="J95" i="16"/>
  <c r="J95" i="17"/>
  <c r="J103" i="16"/>
  <c r="J103" i="17"/>
  <c r="J105" i="14"/>
  <c r="J105" i="15"/>
  <c r="J101" i="14"/>
  <c r="J101" i="15"/>
  <c r="J97" i="14"/>
  <c r="J97" i="15"/>
  <c r="J95" i="14"/>
  <c r="J95" i="15"/>
  <c r="J103" i="14"/>
  <c r="J103" i="15"/>
  <c r="J99" i="14"/>
  <c r="J99" i="15"/>
  <c r="J105" i="12"/>
  <c r="J105" i="13"/>
  <c r="J101" i="12"/>
  <c r="J101" i="13"/>
  <c r="J97" i="12"/>
  <c r="J97" i="13"/>
  <c r="J99" i="12"/>
  <c r="J99" i="13"/>
  <c r="J95" i="12"/>
  <c r="J95" i="13"/>
  <c r="J103" i="12"/>
  <c r="J103" i="13"/>
  <c r="J105" i="10"/>
  <c r="J105" i="11"/>
  <c r="J101" i="10"/>
  <c r="J101" i="11"/>
  <c r="J99" i="10"/>
  <c r="J99" i="11"/>
  <c r="J97" i="10"/>
  <c r="J97" i="11"/>
  <c r="J103" i="10"/>
  <c r="J103" i="11"/>
  <c r="J95" i="10"/>
  <c r="J95" i="11"/>
  <c r="J105" i="8"/>
  <c r="J105" i="9"/>
  <c r="J101" i="8"/>
  <c r="J101" i="9"/>
  <c r="J97" i="8"/>
  <c r="J97" i="9"/>
  <c r="J99" i="8"/>
  <c r="J99" i="9"/>
  <c r="J95" i="8"/>
  <c r="J95" i="9"/>
  <c r="J103" i="8"/>
  <c r="J103" i="9"/>
  <c r="J105" i="33"/>
  <c r="J105" i="7"/>
  <c r="J101" i="33"/>
  <c r="J101" i="7"/>
  <c r="J97" i="33"/>
  <c r="J97" i="7"/>
  <c r="J99" i="33"/>
  <c r="J99" i="7"/>
  <c r="J95" i="33"/>
  <c r="J95" i="7"/>
  <c r="J103" i="33"/>
  <c r="J103" i="7"/>
  <c r="J101" i="4"/>
  <c r="J101" i="5"/>
  <c r="J97" i="4"/>
  <c r="J97" i="5"/>
  <c r="J99" i="4"/>
  <c r="J99" i="5"/>
  <c r="J105" i="4"/>
  <c r="J105" i="5"/>
  <c r="J95" i="4"/>
  <c r="J95" i="5"/>
  <c r="J103" i="4"/>
  <c r="J103" i="5"/>
  <c r="J95" i="3"/>
  <c r="J103" i="2"/>
  <c r="J103" i="3"/>
  <c r="J105" i="2"/>
  <c r="J105" i="3"/>
  <c r="J101" i="2"/>
  <c r="J101" i="3"/>
  <c r="J97" i="2"/>
  <c r="J97" i="3"/>
  <c r="J99" i="2"/>
  <c r="J99" i="3"/>
  <c r="J95" i="2"/>
  <c r="H102" i="50"/>
  <c r="J102" i="50" s="1"/>
  <c r="H96" i="50"/>
  <c r="J96" i="50" s="1"/>
  <c r="H106" i="50"/>
  <c r="J106" i="50" s="1"/>
  <c r="H98" i="50"/>
  <c r="J98" i="50" s="1"/>
  <c r="H104" i="50"/>
  <c r="J104" i="50" s="1"/>
  <c r="H100" i="50"/>
  <c r="J100" i="50" s="1"/>
  <c r="J35" i="1"/>
  <c r="BN33" i="1"/>
  <c r="BN35" i="1" s="1"/>
  <c r="M31" i="47"/>
  <c r="H35" i="1"/>
  <c r="H37" i="1" s="1"/>
  <c r="K35" i="1"/>
  <c r="BM35" i="1"/>
  <c r="BL35" i="1"/>
  <c r="BK35" i="1"/>
  <c r="J105" i="30" l="1"/>
  <c r="J95" i="22"/>
  <c r="J101" i="22"/>
  <c r="J97" i="22"/>
  <c r="J99" i="22"/>
  <c r="J105" i="19"/>
  <c r="J70" i="29" l="1"/>
  <c r="J70" i="30"/>
  <c r="J66" i="29"/>
  <c r="J66" i="30"/>
  <c r="J68" i="29"/>
  <c r="J68" i="30"/>
  <c r="J64" i="29"/>
  <c r="J64" i="30"/>
  <c r="J66" i="27"/>
  <c r="J66" i="28"/>
  <c r="J68" i="27"/>
  <c r="J68" i="28"/>
  <c r="J64" i="27"/>
  <c r="J64" i="28"/>
  <c r="J70" i="27"/>
  <c r="J70" i="28"/>
  <c r="J64" i="25"/>
  <c r="J64" i="40"/>
  <c r="J70" i="25"/>
  <c r="J70" i="40"/>
  <c r="J68" i="25"/>
  <c r="J68" i="40"/>
  <c r="J66" i="25"/>
  <c r="J66" i="40"/>
  <c r="J64" i="23"/>
  <c r="J64" i="24"/>
  <c r="J70" i="23"/>
  <c r="J70" i="24"/>
  <c r="J68" i="23"/>
  <c r="J68" i="24"/>
  <c r="J66" i="23"/>
  <c r="J66" i="24"/>
  <c r="J64" i="21"/>
  <c r="J70" i="21"/>
  <c r="J68" i="21"/>
  <c r="J66" i="21"/>
  <c r="J68" i="19"/>
  <c r="J68" i="20"/>
  <c r="J66" i="19"/>
  <c r="J66" i="20"/>
  <c r="J64" i="19"/>
  <c r="J64" i="20"/>
  <c r="J70" i="19"/>
  <c r="J70" i="20"/>
  <c r="J64" i="17"/>
  <c r="J64" i="18"/>
  <c r="J70" i="17"/>
  <c r="J70" i="18"/>
  <c r="J68" i="17"/>
  <c r="J68" i="18"/>
  <c r="J66" i="17"/>
  <c r="J66" i="18"/>
  <c r="J66" i="15"/>
  <c r="J66" i="16"/>
  <c r="J64" i="15"/>
  <c r="J64" i="16"/>
  <c r="J68" i="15"/>
  <c r="J68" i="16"/>
  <c r="J70" i="15"/>
  <c r="J70" i="16"/>
  <c r="J70" i="13"/>
  <c r="J70" i="14"/>
  <c r="J64" i="13"/>
  <c r="J64" i="14"/>
  <c r="J68" i="13"/>
  <c r="J68" i="14"/>
  <c r="J66" i="13"/>
  <c r="J66" i="14"/>
  <c r="J64" i="11"/>
  <c r="J64" i="12"/>
  <c r="J70" i="11"/>
  <c r="J70" i="12"/>
  <c r="J68" i="11"/>
  <c r="J68" i="12"/>
  <c r="J66" i="11"/>
  <c r="J66" i="12"/>
  <c r="J68" i="9"/>
  <c r="J68" i="10"/>
  <c r="J64" i="9"/>
  <c r="J64" i="10"/>
  <c r="J66" i="9"/>
  <c r="J66" i="10"/>
  <c r="J70" i="9"/>
  <c r="J70" i="10"/>
  <c r="J64" i="7"/>
  <c r="J64" i="8"/>
  <c r="J70" i="7"/>
  <c r="J70" i="8"/>
  <c r="J68" i="7"/>
  <c r="J68" i="8"/>
  <c r="J66" i="7"/>
  <c r="J66" i="8"/>
  <c r="J68" i="5"/>
  <c r="J68" i="33"/>
  <c r="J66" i="5"/>
  <c r="J66" i="33"/>
  <c r="J64" i="5"/>
  <c r="J64" i="33"/>
  <c r="J70" i="5"/>
  <c r="J70" i="33"/>
  <c r="J64" i="3"/>
  <c r="J64" i="4"/>
  <c r="J70" i="3"/>
  <c r="J70" i="4"/>
  <c r="J68" i="3"/>
  <c r="J68" i="4"/>
  <c r="J66" i="3"/>
  <c r="J66" i="4"/>
  <c r="H65" i="50"/>
  <c r="J65" i="50" s="1"/>
  <c r="J70" i="2"/>
  <c r="H71" i="50"/>
  <c r="J71" i="50" s="1"/>
  <c r="H69" i="50"/>
  <c r="J69" i="50" s="1"/>
  <c r="H67" i="50"/>
  <c r="J67" i="50" s="1"/>
  <c r="J68" i="22" l="1"/>
  <c r="J64" i="22"/>
  <c r="J66" i="22"/>
  <c r="J70" i="22"/>
  <c r="J66" i="2"/>
  <c r="J64" i="2"/>
  <c r="J68" i="2"/>
  <c r="I60" i="3"/>
  <c r="I60" i="2"/>
  <c r="I18" i="17"/>
  <c r="I7" i="31"/>
  <c r="I15" i="29"/>
  <c r="I15" i="25"/>
  <c r="I18" i="15"/>
  <c r="I15" i="27"/>
  <c r="I18" i="24"/>
  <c r="I18" i="23"/>
  <c r="I15" i="31"/>
  <c r="I18" i="28"/>
  <c r="I18" i="33"/>
  <c r="I15" i="30"/>
  <c r="I18" i="43"/>
  <c r="I18" i="8"/>
  <c r="I15" i="40"/>
  <c r="I18" i="31"/>
  <c r="I15" i="24"/>
  <c r="I7" i="43"/>
  <c r="I7" i="29"/>
  <c r="I15" i="15"/>
  <c r="I7" i="17"/>
  <c r="I15" i="23"/>
  <c r="I7" i="40"/>
  <c r="I15" i="20"/>
  <c r="I15" i="9"/>
  <c r="I18" i="40"/>
  <c r="I15" i="17"/>
  <c r="I16" i="50"/>
  <c r="I7" i="27"/>
  <c r="I18" i="30"/>
  <c r="I15" i="28"/>
  <c r="I7" i="13"/>
  <c r="I15" i="33"/>
  <c r="I15" i="11"/>
  <c r="I18" i="11"/>
  <c r="I7" i="9"/>
  <c r="I7" i="20"/>
  <c r="I18" i="19"/>
  <c r="I18" i="16"/>
  <c r="I7" i="8"/>
  <c r="I18" i="7"/>
  <c r="I15" i="19"/>
  <c r="I18" i="12"/>
  <c r="I7" i="24"/>
  <c r="I18" i="14"/>
  <c r="I18" i="21"/>
  <c r="I15" i="21"/>
  <c r="I18" i="13"/>
  <c r="I7" i="14"/>
  <c r="I18" i="25"/>
  <c r="I7" i="18"/>
  <c r="I7" i="12"/>
  <c r="I15" i="12"/>
  <c r="I7" i="23"/>
  <c r="I7" i="16"/>
  <c r="I7" i="25"/>
  <c r="I7" i="10"/>
  <c r="I18" i="18"/>
  <c r="I7" i="19"/>
  <c r="I18" i="10"/>
  <c r="I15" i="13"/>
  <c r="I15" i="4"/>
  <c r="I15" i="43"/>
  <c r="I18" i="5"/>
  <c r="I15" i="8"/>
  <c r="I15" i="5"/>
  <c r="I15" i="18"/>
  <c r="I7" i="28"/>
  <c r="I18" i="9"/>
  <c r="I18" i="4"/>
  <c r="I18" i="27"/>
  <c r="I18" i="20"/>
  <c r="I18" i="29"/>
  <c r="I15" i="10"/>
  <c r="I7" i="11"/>
  <c r="I7" i="15"/>
  <c r="I7" i="22"/>
  <c r="I19" i="50"/>
  <c r="I15" i="7"/>
  <c r="I7" i="4"/>
  <c r="I7" i="50"/>
  <c r="I15" i="14"/>
  <c r="I7" i="7"/>
  <c r="I15" i="22"/>
  <c r="I18" i="22"/>
  <c r="I15" i="16"/>
  <c r="I7" i="5"/>
  <c r="I7" i="33"/>
  <c r="J27" i="2"/>
  <c r="J30" i="2"/>
  <c r="J31" i="2"/>
  <c r="J28" i="2"/>
  <c r="J29" i="2"/>
  <c r="J32" i="2"/>
  <c r="J38" i="2"/>
  <c r="J37" i="2"/>
  <c r="J42" i="2"/>
  <c r="J43" i="2"/>
  <c r="J45" i="2"/>
  <c r="J44" i="2"/>
  <c r="J39" i="2"/>
  <c r="J41" i="2"/>
  <c r="J40" i="2"/>
  <c r="J36" i="2"/>
  <c r="J47" i="2"/>
  <c r="J35" i="2"/>
  <c r="J46" i="2"/>
  <c r="J50" i="2"/>
  <c r="J58" i="2"/>
  <c r="J57" i="2"/>
  <c r="J56" i="2"/>
  <c r="J60" i="2"/>
  <c r="J59" i="2"/>
  <c r="J53" i="2"/>
  <c r="J51" i="2"/>
  <c r="J54" i="2"/>
  <c r="J52" i="2"/>
  <c r="G5" i="44"/>
  <c r="J55" i="2"/>
  <c r="J49" i="2"/>
  <c r="G36" i="44" l="1"/>
  <c r="G37" i="44"/>
  <c r="BB5" i="44"/>
  <c r="F2" i="49"/>
  <c r="J29" i="3"/>
  <c r="J27" i="3"/>
  <c r="J28" i="3"/>
  <c r="J30" i="3"/>
  <c r="J32" i="3"/>
  <c r="J31" i="3"/>
  <c r="J46" i="3"/>
  <c r="J37" i="3"/>
  <c r="J45" i="3"/>
  <c r="J41" i="3"/>
  <c r="J38" i="3"/>
  <c r="J47" i="3"/>
  <c r="J39" i="3"/>
  <c r="J40" i="3"/>
  <c r="J36" i="3"/>
  <c r="J42" i="3"/>
  <c r="J35" i="3"/>
  <c r="J44" i="3"/>
  <c r="J43" i="3"/>
  <c r="J56" i="3"/>
  <c r="J49" i="3"/>
  <c r="J58" i="3"/>
  <c r="J51" i="3"/>
  <c r="J52" i="3"/>
  <c r="J57" i="3"/>
  <c r="J60" i="3"/>
  <c r="J59" i="3"/>
  <c r="J50" i="3"/>
  <c r="J53" i="3"/>
  <c r="J55" i="3"/>
  <c r="J54" i="3"/>
  <c r="G12" i="4"/>
  <c r="H12" i="4" s="1"/>
  <c r="G11" i="4"/>
  <c r="H11" i="4" s="1"/>
  <c r="BB37" i="44" l="1"/>
  <c r="BB36" i="44"/>
  <c r="BC5" i="44"/>
  <c r="G13" i="4"/>
  <c r="H13" i="4" s="1"/>
  <c r="BC37" i="44" l="1"/>
  <c r="BC36" i="44"/>
  <c r="I60" i="4"/>
  <c r="I13" i="4"/>
  <c r="J7" i="4"/>
  <c r="I9" i="4" s="1"/>
  <c r="J12" i="4"/>
  <c r="J10" i="4"/>
  <c r="J8" i="4"/>
  <c r="J11" i="4"/>
  <c r="J9" i="4"/>
  <c r="J13" i="4"/>
  <c r="J15" i="4"/>
  <c r="I16" i="4" s="1"/>
  <c r="J19" i="4"/>
  <c r="J18" i="4"/>
  <c r="J20" i="4"/>
  <c r="I20" i="4" s="1"/>
  <c r="J22" i="4"/>
  <c r="J24" i="4"/>
  <c r="J23" i="4"/>
  <c r="J28" i="4"/>
  <c r="J27" i="4"/>
  <c r="J32" i="4"/>
  <c r="J29" i="4"/>
  <c r="J30" i="4"/>
  <c r="J31" i="4"/>
  <c r="J43" i="4"/>
  <c r="J45" i="4"/>
  <c r="J47" i="4"/>
  <c r="J41" i="4"/>
  <c r="J39" i="4"/>
  <c r="J37" i="4"/>
  <c r="J35" i="4"/>
  <c r="J42" i="4"/>
  <c r="J44" i="4"/>
  <c r="J38" i="4"/>
  <c r="J36" i="4"/>
  <c r="J46" i="4"/>
  <c r="J40" i="4"/>
  <c r="J58" i="4"/>
  <c r="J56" i="4"/>
  <c r="J52" i="4"/>
  <c r="J60" i="4"/>
  <c r="J57" i="4"/>
  <c r="J49" i="4"/>
  <c r="J55" i="4"/>
  <c r="J54" i="4"/>
  <c r="J51" i="4"/>
  <c r="J59" i="4"/>
  <c r="J53" i="4"/>
  <c r="J50" i="4"/>
  <c r="G12" i="5"/>
  <c r="H12" i="5" s="1"/>
  <c r="G11" i="5"/>
  <c r="G13" i="5" l="1"/>
  <c r="H13" i="5" s="1"/>
  <c r="H11" i="5"/>
  <c r="J7" i="5"/>
  <c r="I9" i="5" s="1"/>
  <c r="J8" i="5"/>
  <c r="J12" i="5"/>
  <c r="J9" i="5"/>
  <c r="J10" i="5"/>
  <c r="J15" i="5"/>
  <c r="I16" i="5" s="1"/>
  <c r="J19" i="5"/>
  <c r="J20" i="5"/>
  <c r="I20" i="5" s="1"/>
  <c r="J18" i="5"/>
  <c r="J24" i="5"/>
  <c r="J23" i="5"/>
  <c r="J22" i="5"/>
  <c r="J27" i="5"/>
  <c r="J31" i="5"/>
  <c r="J32" i="5"/>
  <c r="J30" i="5"/>
  <c r="J28" i="5"/>
  <c r="J29" i="5"/>
  <c r="J36" i="5"/>
  <c r="J46" i="5"/>
  <c r="J44" i="5"/>
  <c r="J37" i="5"/>
  <c r="J43" i="5"/>
  <c r="J41" i="5"/>
  <c r="J47" i="5"/>
  <c r="J42" i="5"/>
  <c r="J39" i="5"/>
  <c r="J38" i="5"/>
  <c r="J35" i="5"/>
  <c r="J40" i="5"/>
  <c r="J45" i="5"/>
  <c r="J59" i="5"/>
  <c r="J55" i="5"/>
  <c r="J56" i="5"/>
  <c r="J50" i="5"/>
  <c r="J49" i="5"/>
  <c r="J54" i="5"/>
  <c r="J57" i="5"/>
  <c r="J52" i="5"/>
  <c r="J53" i="5"/>
  <c r="J60" i="5"/>
  <c r="J58" i="5"/>
  <c r="J51" i="5"/>
  <c r="G11" i="9"/>
  <c r="G11" i="21"/>
  <c r="G11" i="33"/>
  <c r="G11" i="27"/>
  <c r="G12" i="10"/>
  <c r="G12" i="16"/>
  <c r="G11" i="16"/>
  <c r="G12" i="31"/>
  <c r="G12" i="8"/>
  <c r="G11" i="40"/>
  <c r="G11" i="10"/>
  <c r="G11" i="18"/>
  <c r="G12" i="25"/>
  <c r="G11" i="28"/>
  <c r="G12" i="11"/>
  <c r="G11" i="13"/>
  <c r="G12" i="21"/>
  <c r="G12" i="23"/>
  <c r="G12" i="22"/>
  <c r="G12" i="19"/>
  <c r="G13" i="19" s="1"/>
  <c r="G12" i="17"/>
  <c r="G11" i="31"/>
  <c r="G11" i="29"/>
  <c r="G12" i="24"/>
  <c r="G12" i="29"/>
  <c r="G12" i="28"/>
  <c r="G11" i="25"/>
  <c r="G12" i="20"/>
  <c r="G11" i="15"/>
  <c r="G12" i="27"/>
  <c r="G12" i="30"/>
  <c r="G11" i="17"/>
  <c r="G11" i="12"/>
  <c r="G11" i="11"/>
  <c r="G11" i="43"/>
  <c r="G12" i="18"/>
  <c r="G11" i="14"/>
  <c r="G11" i="8"/>
  <c r="G12" i="12"/>
  <c r="G12" i="13"/>
  <c r="G11" i="23"/>
  <c r="G11" i="24"/>
  <c r="G11" i="30"/>
  <c r="G12" i="43"/>
  <c r="G12" i="33"/>
  <c r="H12" i="33" s="1"/>
  <c r="G11" i="20"/>
  <c r="G12" i="15"/>
  <c r="G11" i="22"/>
  <c r="G12" i="40"/>
  <c r="G11" i="7"/>
  <c r="G12" i="9"/>
  <c r="G12" i="14"/>
  <c r="G12" i="7"/>
  <c r="G13" i="20" l="1"/>
  <c r="G13" i="22"/>
  <c r="I60" i="22" s="1"/>
  <c r="H12" i="7"/>
  <c r="H12" i="8" s="1"/>
  <c r="H12" i="9" s="1"/>
  <c r="H12" i="10" s="1"/>
  <c r="H12" i="11" s="1"/>
  <c r="H12" i="12" s="1"/>
  <c r="H12" i="13" s="1"/>
  <c r="H12" i="14" s="1"/>
  <c r="H12" i="15" s="1"/>
  <c r="H12" i="16" s="1"/>
  <c r="H12" i="17" s="1"/>
  <c r="H12" i="18" s="1"/>
  <c r="H12" i="19" s="1"/>
  <c r="H12" i="20" s="1"/>
  <c r="H12" i="21" s="1"/>
  <c r="H12" i="22" s="1"/>
  <c r="H12" i="23" s="1"/>
  <c r="H12" i="24" s="1"/>
  <c r="H12" i="25" s="1"/>
  <c r="H12" i="40" s="1"/>
  <c r="H12" i="27" s="1"/>
  <c r="H12" i="28" s="1"/>
  <c r="H12" i="29" s="1"/>
  <c r="H12" i="30" s="1"/>
  <c r="H12" i="43" s="1"/>
  <c r="H11" i="33"/>
  <c r="H11" i="7" s="1"/>
  <c r="H11" i="8" s="1"/>
  <c r="H11" i="9" s="1"/>
  <c r="H11" i="10" s="1"/>
  <c r="H11" i="11" s="1"/>
  <c r="H11" i="12" s="1"/>
  <c r="H11" i="13" s="1"/>
  <c r="H11" i="14" s="1"/>
  <c r="H11" i="15" s="1"/>
  <c r="H11" i="16" s="1"/>
  <c r="H11" i="17" s="1"/>
  <c r="H11" i="18" s="1"/>
  <c r="J13" i="5"/>
  <c r="J11" i="5"/>
  <c r="I13" i="5"/>
  <c r="I60" i="5"/>
  <c r="G13" i="31"/>
  <c r="G13" i="23"/>
  <c r="I60" i="23" s="1"/>
  <c r="G13" i="17"/>
  <c r="I60" i="17" s="1"/>
  <c r="G13" i="14"/>
  <c r="G13" i="11"/>
  <c r="G13" i="7"/>
  <c r="G13" i="8"/>
  <c r="G13" i="15"/>
  <c r="G13" i="24"/>
  <c r="G13" i="25"/>
  <c r="G13" i="30"/>
  <c r="G13" i="12"/>
  <c r="G13" i="13"/>
  <c r="G13" i="40"/>
  <c r="G13" i="18"/>
  <c r="G14" i="50"/>
  <c r="G13" i="29"/>
  <c r="G13" i="43"/>
  <c r="G13" i="10"/>
  <c r="G13" i="16"/>
  <c r="G13" i="28"/>
  <c r="G13" i="9"/>
  <c r="G13" i="21"/>
  <c r="G13" i="27"/>
  <c r="G13" i="33"/>
  <c r="H13" i="33" s="1"/>
  <c r="H12" i="31" l="1"/>
  <c r="H12" i="50"/>
  <c r="H11" i="19"/>
  <c r="H11" i="20" s="1"/>
  <c r="H13" i="7"/>
  <c r="H13" i="8" s="1"/>
  <c r="H13" i="9" s="1"/>
  <c r="H13" i="10" s="1"/>
  <c r="H13" i="11" s="1"/>
  <c r="H13" i="12" s="1"/>
  <c r="H13" i="13" s="1"/>
  <c r="H13" i="14" s="1"/>
  <c r="H13" i="15" s="1"/>
  <c r="H13" i="16" s="1"/>
  <c r="H13" i="17" s="1"/>
  <c r="H13" i="18" s="1"/>
  <c r="H13" i="19" s="1"/>
  <c r="H13" i="20" s="1"/>
  <c r="H13" i="21" s="1"/>
  <c r="H13" i="22" s="1"/>
  <c r="H13" i="23" s="1"/>
  <c r="H13" i="24" s="1"/>
  <c r="H13" i="25" s="1"/>
  <c r="H13" i="40" s="1"/>
  <c r="H13" i="27" s="1"/>
  <c r="I13" i="23"/>
  <c r="I13" i="22"/>
  <c r="I60" i="31"/>
  <c r="I13" i="31"/>
  <c r="I13" i="17"/>
  <c r="I60" i="10"/>
  <c r="I13" i="10"/>
  <c r="I60" i="30"/>
  <c r="I13" i="30"/>
  <c r="I13" i="7"/>
  <c r="I60" i="7"/>
  <c r="I60" i="14"/>
  <c r="I13" i="14"/>
  <c r="I60" i="27"/>
  <c r="I13" i="27"/>
  <c r="I13" i="28"/>
  <c r="I60" i="28"/>
  <c r="I13" i="19"/>
  <c r="I60" i="19"/>
  <c r="I13" i="16"/>
  <c r="I60" i="16"/>
  <c r="I60" i="43"/>
  <c r="I13" i="43"/>
  <c r="I13" i="13"/>
  <c r="I60" i="13"/>
  <c r="I60" i="20"/>
  <c r="I13" i="20"/>
  <c r="I13" i="25"/>
  <c r="I60" i="25"/>
  <c r="I60" i="21"/>
  <c r="I13" i="21"/>
  <c r="I60" i="15"/>
  <c r="I13" i="15"/>
  <c r="I60" i="8"/>
  <c r="I13" i="8"/>
  <c r="I13" i="11"/>
  <c r="I60" i="11"/>
  <c r="I60" i="12"/>
  <c r="I13" i="12"/>
  <c r="I60" i="33"/>
  <c r="I13" i="33"/>
  <c r="I14" i="50"/>
  <c r="I61" i="50"/>
  <c r="I13" i="40"/>
  <c r="I60" i="40"/>
  <c r="I13" i="9"/>
  <c r="I60" i="9"/>
  <c r="I13" i="29"/>
  <c r="I60" i="29"/>
  <c r="I13" i="18"/>
  <c r="I60" i="18"/>
  <c r="I13" i="24"/>
  <c r="I60" i="24"/>
  <c r="J7" i="33"/>
  <c r="I9" i="33" s="1"/>
  <c r="J9" i="33"/>
  <c r="J8" i="33"/>
  <c r="J12" i="33"/>
  <c r="J13" i="33"/>
  <c r="J11" i="33"/>
  <c r="J10" i="33"/>
  <c r="J15" i="33"/>
  <c r="I16" i="33" s="1"/>
  <c r="J18" i="33"/>
  <c r="J19" i="33"/>
  <c r="J20" i="33"/>
  <c r="I20" i="33" s="1"/>
  <c r="J24" i="33"/>
  <c r="J22" i="33"/>
  <c r="J23" i="33"/>
  <c r="J29" i="33"/>
  <c r="J31" i="33"/>
  <c r="J30" i="33"/>
  <c r="J28" i="33"/>
  <c r="J27" i="33"/>
  <c r="J32" i="33"/>
  <c r="J43" i="33"/>
  <c r="J39" i="33"/>
  <c r="J42" i="33"/>
  <c r="J45" i="33"/>
  <c r="J46" i="33"/>
  <c r="J37" i="33"/>
  <c r="J36" i="33"/>
  <c r="J35" i="33"/>
  <c r="J40" i="33"/>
  <c r="J38" i="33"/>
  <c r="J47" i="33"/>
  <c r="J41" i="33"/>
  <c r="J44" i="33"/>
  <c r="J50" i="33"/>
  <c r="J57" i="33"/>
  <c r="J58" i="33"/>
  <c r="J54" i="33"/>
  <c r="J56" i="33"/>
  <c r="J55" i="33"/>
  <c r="J59" i="33"/>
  <c r="J53" i="33"/>
  <c r="J49" i="33"/>
  <c r="J51" i="33"/>
  <c r="J60" i="33"/>
  <c r="J52" i="33"/>
  <c r="J7" i="7"/>
  <c r="I9" i="7" s="1"/>
  <c r="J10" i="7"/>
  <c r="J9" i="7"/>
  <c r="J12" i="7"/>
  <c r="J8" i="7"/>
  <c r="J11" i="7"/>
  <c r="J15" i="7"/>
  <c r="I16" i="7" s="1"/>
  <c r="J18" i="7"/>
  <c r="J19" i="7"/>
  <c r="J20" i="7"/>
  <c r="I20" i="7" s="1"/>
  <c r="J24" i="7"/>
  <c r="J22" i="7"/>
  <c r="J23" i="7"/>
  <c r="J30" i="7"/>
  <c r="J32" i="7"/>
  <c r="J27" i="7"/>
  <c r="J28" i="7"/>
  <c r="J31" i="7"/>
  <c r="J29" i="7"/>
  <c r="J37" i="7"/>
  <c r="J46" i="7"/>
  <c r="J47" i="7"/>
  <c r="J38" i="7"/>
  <c r="J44" i="7"/>
  <c r="J42" i="7"/>
  <c r="J35" i="7"/>
  <c r="J45" i="7"/>
  <c r="J41" i="7"/>
  <c r="J40" i="7"/>
  <c r="J36" i="7"/>
  <c r="J39" i="7"/>
  <c r="J43" i="7"/>
  <c r="J52" i="7"/>
  <c r="J58" i="7"/>
  <c r="J60" i="7"/>
  <c r="J57" i="7"/>
  <c r="J53" i="7"/>
  <c r="J49" i="7"/>
  <c r="J55" i="7"/>
  <c r="J56" i="7"/>
  <c r="J59" i="7"/>
  <c r="J54" i="7"/>
  <c r="J50" i="7"/>
  <c r="J51" i="7"/>
  <c r="J7" i="8"/>
  <c r="I9" i="8" s="1"/>
  <c r="J12" i="8"/>
  <c r="J9" i="8"/>
  <c r="J11" i="8"/>
  <c r="J10" i="8"/>
  <c r="J8" i="8"/>
  <c r="J15" i="8"/>
  <c r="I16" i="8" s="1"/>
  <c r="J19" i="8"/>
  <c r="J18" i="8"/>
  <c r="J20" i="8"/>
  <c r="I20" i="8" s="1"/>
  <c r="J22" i="8"/>
  <c r="J24" i="8"/>
  <c r="J23" i="8"/>
  <c r="J27" i="8"/>
  <c r="J30" i="8"/>
  <c r="J32" i="8"/>
  <c r="J29" i="8"/>
  <c r="J28" i="8"/>
  <c r="J31" i="8"/>
  <c r="J38" i="8"/>
  <c r="J36" i="8"/>
  <c r="J41" i="8"/>
  <c r="J35" i="8"/>
  <c r="J42" i="8"/>
  <c r="J37" i="8"/>
  <c r="J44" i="8"/>
  <c r="J46" i="8"/>
  <c r="J39" i="8"/>
  <c r="J40" i="8"/>
  <c r="J47" i="8"/>
  <c r="J45" i="8"/>
  <c r="J43" i="8"/>
  <c r="J52" i="8"/>
  <c r="J57" i="8"/>
  <c r="J60" i="8"/>
  <c r="J50" i="8"/>
  <c r="J55" i="8"/>
  <c r="J58" i="8"/>
  <c r="J51" i="8"/>
  <c r="J59" i="8"/>
  <c r="J53" i="8"/>
  <c r="J49" i="8"/>
  <c r="J56" i="8"/>
  <c r="J54" i="8"/>
  <c r="J7" i="9"/>
  <c r="I9" i="9" s="1"/>
  <c r="J8" i="9"/>
  <c r="J10" i="9"/>
  <c r="J12" i="9"/>
  <c r="J9" i="9"/>
  <c r="J11" i="9"/>
  <c r="J15" i="9"/>
  <c r="I16" i="9" s="1"/>
  <c r="J18" i="9"/>
  <c r="J19" i="9"/>
  <c r="J20" i="9"/>
  <c r="I20" i="9" s="1"/>
  <c r="J22" i="9"/>
  <c r="J24" i="9"/>
  <c r="J23" i="9"/>
  <c r="J29" i="9"/>
  <c r="J31" i="9"/>
  <c r="J30" i="9"/>
  <c r="J28" i="9"/>
  <c r="J32" i="9"/>
  <c r="J27" i="9"/>
  <c r="J40" i="9"/>
  <c r="J39" i="9"/>
  <c r="J36" i="9"/>
  <c r="J37" i="9"/>
  <c r="J42" i="9"/>
  <c r="J44" i="9"/>
  <c r="J46" i="9"/>
  <c r="J41" i="9"/>
  <c r="J47" i="9"/>
  <c r="J43" i="9"/>
  <c r="J38" i="9"/>
  <c r="J35" i="9"/>
  <c r="J45" i="9"/>
  <c r="J54" i="9"/>
  <c r="J59" i="9"/>
  <c r="J49" i="9"/>
  <c r="J57" i="9"/>
  <c r="J50" i="9"/>
  <c r="J53" i="9"/>
  <c r="J51" i="9"/>
  <c r="J55" i="9"/>
  <c r="J58" i="9"/>
  <c r="J52" i="9"/>
  <c r="J60" i="9"/>
  <c r="J56" i="9"/>
  <c r="J7" i="10"/>
  <c r="I9" i="10" s="1"/>
  <c r="J12" i="10"/>
  <c r="J8" i="10"/>
  <c r="J9" i="10"/>
  <c r="J11" i="10"/>
  <c r="J10" i="10"/>
  <c r="J15" i="10"/>
  <c r="I16" i="10" s="1"/>
  <c r="J19" i="10"/>
  <c r="J18" i="10"/>
  <c r="J20" i="10"/>
  <c r="I20" i="10" s="1"/>
  <c r="J24" i="10"/>
  <c r="J22" i="10"/>
  <c r="J23" i="10"/>
  <c r="J27" i="10"/>
  <c r="J31" i="10"/>
  <c r="J29" i="10"/>
  <c r="J28" i="10"/>
  <c r="J30" i="10"/>
  <c r="J32" i="10"/>
  <c r="J45" i="10"/>
  <c r="J37" i="10"/>
  <c r="J42" i="10"/>
  <c r="J36" i="10"/>
  <c r="J43" i="10"/>
  <c r="J38" i="10"/>
  <c r="J40" i="10"/>
  <c r="J39" i="10"/>
  <c r="J35" i="10"/>
  <c r="J47" i="10"/>
  <c r="J41" i="10"/>
  <c r="J44" i="10"/>
  <c r="J46" i="10"/>
  <c r="J55" i="10"/>
  <c r="J60" i="10"/>
  <c r="J57" i="10"/>
  <c r="J56" i="10"/>
  <c r="J50" i="10"/>
  <c r="J52" i="10"/>
  <c r="J51" i="10"/>
  <c r="J53" i="10"/>
  <c r="J58" i="10"/>
  <c r="J59" i="10"/>
  <c r="J49" i="10"/>
  <c r="J54" i="10"/>
  <c r="J7" i="11"/>
  <c r="I9" i="11" s="1"/>
  <c r="J12" i="11"/>
  <c r="J9" i="11"/>
  <c r="J11" i="11"/>
  <c r="J10" i="11"/>
  <c r="J8" i="11"/>
  <c r="J15" i="11"/>
  <c r="I16" i="11" s="1"/>
  <c r="J19" i="11"/>
  <c r="J20" i="11"/>
  <c r="I20" i="11" s="1"/>
  <c r="J18" i="11"/>
  <c r="J23" i="11"/>
  <c r="J24" i="11"/>
  <c r="J22" i="11"/>
  <c r="J29" i="11"/>
  <c r="J27" i="11"/>
  <c r="J31" i="11"/>
  <c r="J32" i="11"/>
  <c r="J30" i="11"/>
  <c r="J28" i="11"/>
  <c r="J45" i="11"/>
  <c r="J38" i="11"/>
  <c r="J43" i="11"/>
  <c r="J37" i="11"/>
  <c r="J35" i="11"/>
  <c r="J39" i="11"/>
  <c r="J36" i="11"/>
  <c r="J40" i="11"/>
  <c r="J41" i="11"/>
  <c r="J46" i="11"/>
  <c r="J47" i="11"/>
  <c r="J44" i="11"/>
  <c r="J42" i="11"/>
  <c r="J60" i="11"/>
  <c r="J53" i="11"/>
  <c r="J56" i="11"/>
  <c r="J52" i="11"/>
  <c r="J59" i="11"/>
  <c r="J58" i="11"/>
  <c r="J50" i="11"/>
  <c r="J49" i="11"/>
  <c r="J55" i="11"/>
  <c r="J54" i="11"/>
  <c r="J57" i="11"/>
  <c r="J51" i="11"/>
  <c r="J7" i="12"/>
  <c r="I9" i="12" s="1"/>
  <c r="J10" i="12"/>
  <c r="J12" i="12"/>
  <c r="J11" i="12"/>
  <c r="J9" i="12"/>
  <c r="J15" i="12"/>
  <c r="I16" i="12" s="1"/>
  <c r="J19" i="12"/>
  <c r="J18" i="12"/>
  <c r="J20" i="12"/>
  <c r="I20" i="12" s="1"/>
  <c r="J22" i="12"/>
  <c r="J24" i="12"/>
  <c r="J23" i="12"/>
  <c r="J28" i="12"/>
  <c r="J30" i="12"/>
  <c r="J32" i="12"/>
  <c r="J29" i="12"/>
  <c r="J27" i="12"/>
  <c r="J31" i="12"/>
  <c r="J45" i="12"/>
  <c r="J38" i="12"/>
  <c r="J42" i="12"/>
  <c r="J44" i="12"/>
  <c r="J35" i="12"/>
  <c r="J43" i="12"/>
  <c r="J40" i="12"/>
  <c r="J41" i="12"/>
  <c r="J46" i="12"/>
  <c r="J36" i="12"/>
  <c r="J37" i="12"/>
  <c r="J47" i="12"/>
  <c r="J39" i="12"/>
  <c r="J56" i="12"/>
  <c r="J49" i="12"/>
  <c r="J59" i="12"/>
  <c r="J54" i="12"/>
  <c r="J50" i="12"/>
  <c r="J51" i="12"/>
  <c r="J55" i="12"/>
  <c r="J58" i="12"/>
  <c r="J53" i="12"/>
  <c r="J57" i="12"/>
  <c r="J60" i="12"/>
  <c r="J52" i="12"/>
  <c r="J7" i="13"/>
  <c r="I9" i="13" s="1"/>
  <c r="J12" i="13"/>
  <c r="J11" i="13"/>
  <c r="J9" i="13"/>
  <c r="J10" i="13"/>
  <c r="J15" i="13"/>
  <c r="I16" i="13" s="1"/>
  <c r="J20" i="13"/>
  <c r="I20" i="13" s="1"/>
  <c r="J19" i="13"/>
  <c r="J18" i="13"/>
  <c r="J23" i="13"/>
  <c r="J24" i="13"/>
  <c r="J22" i="13"/>
  <c r="J30" i="13"/>
  <c r="J29" i="13"/>
  <c r="J31" i="13"/>
  <c r="J32" i="13"/>
  <c r="J27" i="13"/>
  <c r="J28" i="13"/>
  <c r="J44" i="13"/>
  <c r="J38" i="13"/>
  <c r="J42" i="13"/>
  <c r="J37" i="13"/>
  <c r="J45" i="13"/>
  <c r="J46" i="13"/>
  <c r="J40" i="13"/>
  <c r="J43" i="13"/>
  <c r="J36" i="13"/>
  <c r="J41" i="13"/>
  <c r="J47" i="13"/>
  <c r="J39" i="13"/>
  <c r="J35" i="13"/>
  <c r="J60" i="13"/>
  <c r="J54" i="13"/>
  <c r="J53" i="13"/>
  <c r="J56" i="13"/>
  <c r="J50" i="13"/>
  <c r="J49" i="13"/>
  <c r="J55" i="13"/>
  <c r="J59" i="13"/>
  <c r="J52" i="13"/>
  <c r="J57" i="13"/>
  <c r="J51" i="13"/>
  <c r="J58" i="13"/>
  <c r="J7" i="14"/>
  <c r="I9" i="14" s="1"/>
  <c r="J10" i="14"/>
  <c r="J12" i="14"/>
  <c r="J11" i="14"/>
  <c r="J9" i="14"/>
  <c r="J15" i="14"/>
  <c r="I16" i="14" s="1"/>
  <c r="J19" i="14"/>
  <c r="J18" i="14"/>
  <c r="J20" i="14"/>
  <c r="I20" i="14" s="1"/>
  <c r="J24" i="14"/>
  <c r="J22" i="14"/>
  <c r="J23" i="14"/>
  <c r="J30" i="14"/>
  <c r="J27" i="14"/>
  <c r="J29" i="14"/>
  <c r="J32" i="14"/>
  <c r="J28" i="14"/>
  <c r="J31" i="14"/>
  <c r="J44" i="14"/>
  <c r="J36" i="14"/>
  <c r="J42" i="14"/>
  <c r="J39" i="14"/>
  <c r="J37" i="14"/>
  <c r="J43" i="14"/>
  <c r="J41" i="14"/>
  <c r="J35" i="14"/>
  <c r="J45" i="14"/>
  <c r="J40" i="14"/>
  <c r="J47" i="14"/>
  <c r="J38" i="14"/>
  <c r="J46" i="14"/>
  <c r="J54" i="14"/>
  <c r="J55" i="14"/>
  <c r="J60" i="14"/>
  <c r="J53" i="14"/>
  <c r="J51" i="14"/>
  <c r="J56" i="14"/>
  <c r="J57" i="14"/>
  <c r="J58" i="14"/>
  <c r="J49" i="14"/>
  <c r="J59" i="14"/>
  <c r="J52" i="14"/>
  <c r="J50" i="14"/>
  <c r="J7" i="15"/>
  <c r="I9" i="15" s="1"/>
  <c r="J12" i="15"/>
  <c r="J11" i="15"/>
  <c r="J9" i="15"/>
  <c r="J10" i="15"/>
  <c r="J15" i="15"/>
  <c r="I16" i="15" s="1"/>
  <c r="J19" i="15"/>
  <c r="J20" i="15"/>
  <c r="I20" i="15" s="1"/>
  <c r="J18" i="15"/>
  <c r="J22" i="15"/>
  <c r="J23" i="15"/>
  <c r="J24" i="15"/>
  <c r="J32" i="15"/>
  <c r="J29" i="15"/>
  <c r="J31" i="15"/>
  <c r="J27" i="15"/>
  <c r="J30" i="15"/>
  <c r="J28" i="15"/>
  <c r="J46" i="15"/>
  <c r="J47" i="15"/>
  <c r="J36" i="15"/>
  <c r="J35" i="15"/>
  <c r="J45" i="15"/>
  <c r="J41" i="15"/>
  <c r="J38" i="15"/>
  <c r="J44" i="15"/>
  <c r="J37" i="15"/>
  <c r="J39" i="15"/>
  <c r="J40" i="15"/>
  <c r="J43" i="15"/>
  <c r="J42" i="15"/>
  <c r="J55" i="15"/>
  <c r="J53" i="15"/>
  <c r="J58" i="15"/>
  <c r="J60" i="15"/>
  <c r="J59" i="15"/>
  <c r="J57" i="15"/>
  <c r="J54" i="15"/>
  <c r="J49" i="15"/>
  <c r="J50" i="15"/>
  <c r="J56" i="15"/>
  <c r="J51" i="15"/>
  <c r="J52" i="15"/>
  <c r="J7" i="16"/>
  <c r="I9" i="16" s="1"/>
  <c r="J12" i="16"/>
  <c r="J10" i="16"/>
  <c r="J9" i="16"/>
  <c r="J11" i="16"/>
  <c r="J15" i="16"/>
  <c r="I16" i="16" s="1"/>
  <c r="J18" i="16"/>
  <c r="J19" i="16"/>
  <c r="J20" i="16"/>
  <c r="I20" i="16" s="1"/>
  <c r="J23" i="16"/>
  <c r="J24" i="16"/>
  <c r="J22" i="16"/>
  <c r="J27" i="16"/>
  <c r="J31" i="16"/>
  <c r="J29" i="16"/>
  <c r="J30" i="16"/>
  <c r="J32" i="16"/>
  <c r="J28" i="16"/>
  <c r="J40" i="16"/>
  <c r="J46" i="16"/>
  <c r="J41" i="16"/>
  <c r="J44" i="16"/>
  <c r="J36" i="16"/>
  <c r="J42" i="16"/>
  <c r="J39" i="16"/>
  <c r="J35" i="16"/>
  <c r="J47" i="16"/>
  <c r="J45" i="16"/>
  <c r="J43" i="16"/>
  <c r="J37" i="16"/>
  <c r="J38" i="16"/>
  <c r="J58" i="16"/>
  <c r="J51" i="16"/>
  <c r="J59" i="16"/>
  <c r="J54" i="16"/>
  <c r="J57" i="16"/>
  <c r="J56" i="16"/>
  <c r="J50" i="16"/>
  <c r="J52" i="16"/>
  <c r="J49" i="16"/>
  <c r="J55" i="16"/>
  <c r="J60" i="16"/>
  <c r="J53" i="16"/>
  <c r="J7" i="17"/>
  <c r="I9" i="17" s="1"/>
  <c r="J10" i="17"/>
  <c r="J9" i="17"/>
  <c r="J11" i="17"/>
  <c r="J12" i="17"/>
  <c r="J15" i="17"/>
  <c r="I16" i="17" s="1"/>
  <c r="J18" i="17"/>
  <c r="J19" i="17"/>
  <c r="J20" i="17"/>
  <c r="I20" i="17" s="1"/>
  <c r="J24" i="17"/>
  <c r="J22" i="17"/>
  <c r="J23" i="17"/>
  <c r="J32" i="17"/>
  <c r="J30" i="17"/>
  <c r="J28" i="17"/>
  <c r="J27" i="17"/>
  <c r="J29" i="17"/>
  <c r="J31" i="17"/>
  <c r="J36" i="17"/>
  <c r="J43" i="17"/>
  <c r="J37" i="17"/>
  <c r="J41" i="17"/>
  <c r="J46" i="17"/>
  <c r="J38" i="17"/>
  <c r="J42" i="17"/>
  <c r="J40" i="17"/>
  <c r="J47" i="17"/>
  <c r="J45" i="17"/>
  <c r="J39" i="17"/>
  <c r="J35" i="17"/>
  <c r="J44" i="17"/>
  <c r="J52" i="17"/>
  <c r="J60" i="17"/>
  <c r="J56" i="17"/>
  <c r="J57" i="17"/>
  <c r="J55" i="17"/>
  <c r="J53" i="17"/>
  <c r="J54" i="17"/>
  <c r="J50" i="17"/>
  <c r="J58" i="17"/>
  <c r="J49" i="17"/>
  <c r="J59" i="17"/>
  <c r="J51" i="17"/>
  <c r="J7" i="18"/>
  <c r="I9" i="18" s="1"/>
  <c r="J9" i="18"/>
  <c r="J12" i="18"/>
  <c r="J11" i="18"/>
  <c r="J10" i="18"/>
  <c r="J15" i="18"/>
  <c r="I16" i="18" s="1"/>
  <c r="J20" i="18"/>
  <c r="I20" i="18" s="1"/>
  <c r="J19" i="18"/>
  <c r="J18" i="18"/>
  <c r="J24" i="18"/>
  <c r="J22" i="18"/>
  <c r="J23" i="18"/>
  <c r="J29" i="18"/>
  <c r="J27" i="18"/>
  <c r="J30" i="18"/>
  <c r="J32" i="18"/>
  <c r="J31" i="18"/>
  <c r="J28" i="18"/>
  <c r="J40" i="18"/>
  <c r="J38" i="18"/>
  <c r="J45" i="18"/>
  <c r="J47" i="18"/>
  <c r="J35" i="18"/>
  <c r="J46" i="18"/>
  <c r="J39" i="18"/>
  <c r="J44" i="18"/>
  <c r="J43" i="18"/>
  <c r="J36" i="18"/>
  <c r="J41" i="18"/>
  <c r="J37" i="18"/>
  <c r="J42" i="18"/>
  <c r="J57" i="18"/>
  <c r="J60" i="18"/>
  <c r="J54" i="18"/>
  <c r="J53" i="18"/>
  <c r="J55" i="18"/>
  <c r="J49" i="18"/>
  <c r="J58" i="18"/>
  <c r="J51" i="18"/>
  <c r="J52" i="18"/>
  <c r="J59" i="18"/>
  <c r="J50" i="18"/>
  <c r="J56" i="18"/>
  <c r="J7" i="19"/>
  <c r="I9" i="19" s="1"/>
  <c r="J10" i="19"/>
  <c r="J12" i="19"/>
  <c r="J9" i="19"/>
  <c r="J15" i="19"/>
  <c r="I16" i="19" s="1"/>
  <c r="J19" i="19"/>
  <c r="J18" i="19"/>
  <c r="J20" i="19"/>
  <c r="I20" i="19" s="1"/>
  <c r="J24" i="19"/>
  <c r="J23" i="19"/>
  <c r="J22" i="19"/>
  <c r="J30" i="19"/>
  <c r="J27" i="19"/>
  <c r="J31" i="19"/>
  <c r="J29" i="19"/>
  <c r="J28" i="19"/>
  <c r="J32" i="19"/>
  <c r="J35" i="19"/>
  <c r="J40" i="19"/>
  <c r="J46" i="19"/>
  <c r="J38" i="19"/>
  <c r="J45" i="19"/>
  <c r="J43" i="19"/>
  <c r="J37" i="19"/>
  <c r="J36" i="19"/>
  <c r="J41" i="19"/>
  <c r="J39" i="19"/>
  <c r="J42" i="19"/>
  <c r="J44" i="19"/>
  <c r="J47" i="19"/>
  <c r="J52" i="19"/>
  <c r="J59" i="19"/>
  <c r="J53" i="19"/>
  <c r="J51" i="19"/>
  <c r="J49" i="19"/>
  <c r="J57" i="19"/>
  <c r="J56" i="19"/>
  <c r="J50" i="19"/>
  <c r="J60" i="19"/>
  <c r="J58" i="19"/>
  <c r="J55" i="19"/>
  <c r="J54" i="19"/>
  <c r="J7" i="20"/>
  <c r="I9" i="20" s="1"/>
  <c r="J9" i="20"/>
  <c r="J10" i="20"/>
  <c r="J12" i="20"/>
  <c r="J15" i="20"/>
  <c r="I16" i="20" s="1"/>
  <c r="J18" i="20"/>
  <c r="J19" i="20"/>
  <c r="J20" i="20"/>
  <c r="I20" i="20" s="1"/>
  <c r="J22" i="20"/>
  <c r="J23" i="20"/>
  <c r="J24" i="20"/>
  <c r="J32" i="20"/>
  <c r="J27" i="20"/>
  <c r="J28" i="20"/>
  <c r="J29" i="20"/>
  <c r="J30" i="20"/>
  <c r="J31" i="20"/>
  <c r="J41" i="20"/>
  <c r="J39" i="20"/>
  <c r="J36" i="20"/>
  <c r="J42" i="20"/>
  <c r="J47" i="20"/>
  <c r="J43" i="20"/>
  <c r="J46" i="20"/>
  <c r="J35" i="20"/>
  <c r="J38" i="20"/>
  <c r="J37" i="20"/>
  <c r="J40" i="20"/>
  <c r="J44" i="20"/>
  <c r="J45" i="20"/>
  <c r="J57" i="20"/>
  <c r="J58" i="20"/>
  <c r="J54" i="20"/>
  <c r="J53" i="20"/>
  <c r="J49" i="20"/>
  <c r="J51" i="20"/>
  <c r="J60" i="20"/>
  <c r="J52" i="20"/>
  <c r="J55" i="20"/>
  <c r="J56" i="20"/>
  <c r="J59" i="20"/>
  <c r="J50" i="20"/>
  <c r="J7" i="21"/>
  <c r="I9" i="21" s="1"/>
  <c r="J12" i="21"/>
  <c r="J10" i="21"/>
  <c r="J9" i="21"/>
  <c r="J15" i="21"/>
  <c r="I16" i="21" s="1"/>
  <c r="J19" i="21"/>
  <c r="J18" i="21"/>
  <c r="J20" i="21"/>
  <c r="I20" i="21" s="1"/>
  <c r="J23" i="21"/>
  <c r="J22" i="21"/>
  <c r="J24" i="21"/>
  <c r="J31" i="21"/>
  <c r="J28" i="21"/>
  <c r="J29" i="21"/>
  <c r="J27" i="21"/>
  <c r="J32" i="21"/>
  <c r="J30" i="21"/>
  <c r="J44" i="21"/>
  <c r="J45" i="21"/>
  <c r="J35" i="21"/>
  <c r="J37" i="21"/>
  <c r="J41" i="21"/>
  <c r="J47" i="21"/>
  <c r="J46" i="21"/>
  <c r="J42" i="21"/>
  <c r="J39" i="21"/>
  <c r="J38" i="21"/>
  <c r="J40" i="21"/>
  <c r="J43" i="21"/>
  <c r="J36" i="21"/>
  <c r="J58" i="21"/>
  <c r="J56" i="21"/>
  <c r="J53" i="21"/>
  <c r="J52" i="21"/>
  <c r="J54" i="21"/>
  <c r="J59" i="21"/>
  <c r="J49" i="21"/>
  <c r="J50" i="21"/>
  <c r="J51" i="21"/>
  <c r="J60" i="21"/>
  <c r="J57" i="21"/>
  <c r="J55" i="21"/>
  <c r="J7" i="22"/>
  <c r="I9" i="22" s="1"/>
  <c r="J10" i="22"/>
  <c r="J12" i="22"/>
  <c r="J9" i="22"/>
  <c r="J15" i="22"/>
  <c r="I16" i="22" s="1"/>
  <c r="J18" i="22"/>
  <c r="J19" i="22"/>
  <c r="J20" i="22"/>
  <c r="I20" i="22" s="1"/>
  <c r="J24" i="22"/>
  <c r="J23" i="22"/>
  <c r="J22" i="22"/>
  <c r="J28" i="22"/>
  <c r="J30" i="22"/>
  <c r="J32" i="22"/>
  <c r="J29" i="22"/>
  <c r="J31" i="22"/>
  <c r="J27" i="22"/>
  <c r="J35" i="22"/>
  <c r="J36" i="22"/>
  <c r="J37" i="22"/>
  <c r="J47" i="22"/>
  <c r="J38" i="22"/>
  <c r="J45" i="22"/>
  <c r="J40" i="22"/>
  <c r="J39" i="22"/>
  <c r="J46" i="22"/>
  <c r="J41" i="22"/>
  <c r="J44" i="22"/>
  <c r="J42" i="22"/>
  <c r="J43" i="22"/>
  <c r="J50" i="22"/>
  <c r="J59" i="22"/>
  <c r="J49" i="22"/>
  <c r="J54" i="22"/>
  <c r="J52" i="22"/>
  <c r="J57" i="22"/>
  <c r="J55" i="22"/>
  <c r="J53" i="22"/>
  <c r="J58" i="22"/>
  <c r="J51" i="22"/>
  <c r="J56" i="22"/>
  <c r="J60" i="22"/>
  <c r="J7" i="23"/>
  <c r="I9" i="23" s="1"/>
  <c r="J9" i="23"/>
  <c r="J10" i="23"/>
  <c r="J12" i="23"/>
  <c r="J15" i="23"/>
  <c r="I16" i="23" s="1"/>
  <c r="J19" i="23"/>
  <c r="J18" i="23"/>
  <c r="J20" i="23"/>
  <c r="I20" i="23" s="1"/>
  <c r="J24" i="23"/>
  <c r="J22" i="23"/>
  <c r="J23" i="23"/>
  <c r="J29" i="23"/>
  <c r="J31" i="23"/>
  <c r="J30" i="23"/>
  <c r="J28" i="23"/>
  <c r="J27" i="23"/>
  <c r="J32" i="23"/>
  <c r="J38" i="23"/>
  <c r="J46" i="23"/>
  <c r="J47" i="23"/>
  <c r="J35" i="23"/>
  <c r="J41" i="23"/>
  <c r="J39" i="23"/>
  <c r="J36" i="23"/>
  <c r="J40" i="23"/>
  <c r="J43" i="23"/>
  <c r="J37" i="23"/>
  <c r="J45" i="23"/>
  <c r="J42" i="23"/>
  <c r="J44" i="23"/>
  <c r="J57" i="23"/>
  <c r="J60" i="23"/>
  <c r="J49" i="23"/>
  <c r="J50" i="23"/>
  <c r="J54" i="23"/>
  <c r="J55" i="23"/>
  <c r="J58" i="23"/>
  <c r="J51" i="23"/>
  <c r="J56" i="23"/>
  <c r="J53" i="23"/>
  <c r="J59" i="23"/>
  <c r="J52" i="23"/>
  <c r="J7" i="24"/>
  <c r="I9" i="24" s="1"/>
  <c r="J9" i="24"/>
  <c r="J12" i="24"/>
  <c r="J10" i="24"/>
  <c r="J15" i="24"/>
  <c r="I16" i="24" s="1"/>
  <c r="J19" i="24"/>
  <c r="J18" i="24"/>
  <c r="J20" i="24"/>
  <c r="I20" i="24" s="1"/>
  <c r="J23" i="24"/>
  <c r="J24" i="24"/>
  <c r="J22" i="24"/>
  <c r="J31" i="24"/>
  <c r="J30" i="24"/>
  <c r="J27" i="24"/>
  <c r="J28" i="24"/>
  <c r="J32" i="24"/>
  <c r="J29" i="24"/>
  <c r="J46" i="24"/>
  <c r="J43" i="24"/>
  <c r="J47" i="24"/>
  <c r="J44" i="24"/>
  <c r="J38" i="24"/>
  <c r="J40" i="24"/>
  <c r="J37" i="24"/>
  <c r="J42" i="24"/>
  <c r="J45" i="24"/>
  <c r="J36" i="24"/>
  <c r="J35" i="24"/>
  <c r="J39" i="24"/>
  <c r="J41" i="24"/>
  <c r="J52" i="24"/>
  <c r="J59" i="24"/>
  <c r="J50" i="24"/>
  <c r="J49" i="24"/>
  <c r="J55" i="24"/>
  <c r="J51" i="24"/>
  <c r="J54" i="24"/>
  <c r="J57" i="24"/>
  <c r="J56" i="24"/>
  <c r="J58" i="24"/>
  <c r="J53" i="24"/>
  <c r="J60" i="24"/>
  <c r="J7" i="25"/>
  <c r="I9" i="25" s="1"/>
  <c r="J9" i="25"/>
  <c r="J12" i="25"/>
  <c r="J10" i="25"/>
  <c r="J15" i="25"/>
  <c r="I16" i="25" s="1"/>
  <c r="J19" i="25"/>
  <c r="J20" i="25"/>
  <c r="I20" i="25" s="1"/>
  <c r="J18" i="25"/>
  <c r="J22" i="25"/>
  <c r="J24" i="25"/>
  <c r="J23" i="25"/>
  <c r="J27" i="25"/>
  <c r="J29" i="25"/>
  <c r="J32" i="25"/>
  <c r="J28" i="25"/>
  <c r="J31" i="25"/>
  <c r="J30" i="25"/>
  <c r="J35" i="25"/>
  <c r="J45" i="25"/>
  <c r="J39" i="25"/>
  <c r="J46" i="25"/>
  <c r="J36" i="25"/>
  <c r="J43" i="25"/>
  <c r="J47" i="25"/>
  <c r="J40" i="25"/>
  <c r="J38" i="25"/>
  <c r="J42" i="25"/>
  <c r="J44" i="25"/>
  <c r="J37" i="25"/>
  <c r="J41" i="25"/>
  <c r="J56" i="25"/>
  <c r="J54" i="25"/>
  <c r="J58" i="25"/>
  <c r="J53" i="25"/>
  <c r="J60" i="25"/>
  <c r="J59" i="25"/>
  <c r="J50" i="25"/>
  <c r="J51" i="25"/>
  <c r="J49" i="25"/>
  <c r="J55" i="25"/>
  <c r="J52" i="25"/>
  <c r="J57" i="25"/>
  <c r="J7" i="40"/>
  <c r="I9" i="40" s="1"/>
  <c r="J10" i="40"/>
  <c r="J9" i="40"/>
  <c r="J12" i="40"/>
  <c r="J15" i="40"/>
  <c r="I16" i="40" s="1"/>
  <c r="J19" i="40"/>
  <c r="J18" i="40"/>
  <c r="J20" i="40"/>
  <c r="I20" i="40" s="1"/>
  <c r="J24" i="40"/>
  <c r="J23" i="40"/>
  <c r="J22" i="40"/>
  <c r="J38" i="40"/>
  <c r="J47" i="40"/>
  <c r="J35" i="40"/>
  <c r="J37" i="40"/>
  <c r="J44" i="40"/>
  <c r="J41" i="40"/>
  <c r="J42" i="40"/>
  <c r="J46" i="40"/>
  <c r="J40" i="40"/>
  <c r="J43" i="40"/>
  <c r="J45" i="40"/>
  <c r="J36" i="40"/>
  <c r="J39" i="40"/>
  <c r="J32" i="40"/>
  <c r="J27" i="40"/>
  <c r="J29" i="40"/>
  <c r="J28" i="40"/>
  <c r="J31" i="40"/>
  <c r="J30" i="40"/>
  <c r="J49" i="40"/>
  <c r="J55" i="40"/>
  <c r="J54" i="40"/>
  <c r="J59" i="40"/>
  <c r="J57" i="40"/>
  <c r="J60" i="40"/>
  <c r="J53" i="40"/>
  <c r="J50" i="40"/>
  <c r="J51" i="40"/>
  <c r="J52" i="40"/>
  <c r="J56" i="40"/>
  <c r="J58" i="40"/>
  <c r="J7" i="27"/>
  <c r="I9" i="27" s="1"/>
  <c r="J9" i="27"/>
  <c r="J12" i="27"/>
  <c r="J10" i="27"/>
  <c r="J15" i="27"/>
  <c r="I16" i="27" s="1"/>
  <c r="J20" i="27"/>
  <c r="I20" i="27" s="1"/>
  <c r="J18" i="27"/>
  <c r="J19" i="27"/>
  <c r="J23" i="27"/>
  <c r="J22" i="27"/>
  <c r="J24" i="27"/>
  <c r="J30" i="27"/>
  <c r="J28" i="27"/>
  <c r="J31" i="27"/>
  <c r="J29" i="27"/>
  <c r="J27" i="27"/>
  <c r="J32" i="27"/>
  <c r="J37" i="27"/>
  <c r="J35" i="27"/>
  <c r="J41" i="27"/>
  <c r="J45" i="27"/>
  <c r="J47" i="27"/>
  <c r="J40" i="27"/>
  <c r="J36" i="27"/>
  <c r="J43" i="27"/>
  <c r="J46" i="27"/>
  <c r="J38" i="27"/>
  <c r="J42" i="27"/>
  <c r="J39" i="27"/>
  <c r="J44" i="27"/>
  <c r="J56" i="27"/>
  <c r="J57" i="27"/>
  <c r="J51" i="27"/>
  <c r="J49" i="27"/>
  <c r="J55" i="27"/>
  <c r="J59" i="27"/>
  <c r="J53" i="27"/>
  <c r="J52" i="27"/>
  <c r="J54" i="27"/>
  <c r="J50" i="27"/>
  <c r="J58" i="27"/>
  <c r="J60" i="27"/>
  <c r="J7" i="28"/>
  <c r="I9" i="28" s="1"/>
  <c r="J12" i="28"/>
  <c r="J9" i="28"/>
  <c r="J10" i="28"/>
  <c r="J15" i="28"/>
  <c r="I16" i="28" s="1"/>
  <c r="J18" i="28"/>
  <c r="J19" i="28"/>
  <c r="J20" i="28"/>
  <c r="I20" i="28" s="1"/>
  <c r="J22" i="28"/>
  <c r="J24" i="28"/>
  <c r="J23" i="28"/>
  <c r="J32" i="28"/>
  <c r="J30" i="28"/>
  <c r="J28" i="28"/>
  <c r="J29" i="28"/>
  <c r="J27" i="28"/>
  <c r="J31" i="28"/>
  <c r="J37" i="28"/>
  <c r="J40" i="28"/>
  <c r="J46" i="28"/>
  <c r="J47" i="28"/>
  <c r="J44" i="28"/>
  <c r="J36" i="28"/>
  <c r="J41" i="28"/>
  <c r="J39" i="28"/>
  <c r="J38" i="28"/>
  <c r="J42" i="28"/>
  <c r="J35" i="28"/>
  <c r="J43" i="28"/>
  <c r="J45" i="28"/>
  <c r="J59" i="28"/>
  <c r="J54" i="28"/>
  <c r="J57" i="28"/>
  <c r="J53" i="28"/>
  <c r="J60" i="28"/>
  <c r="J56" i="28"/>
  <c r="J52" i="28"/>
  <c r="J51" i="28"/>
  <c r="J55" i="28"/>
  <c r="J58" i="28"/>
  <c r="J50" i="28"/>
  <c r="J49" i="28"/>
  <c r="J7" i="29"/>
  <c r="I9" i="29" s="1"/>
  <c r="J12" i="29"/>
  <c r="J10" i="29"/>
  <c r="J9" i="29"/>
  <c r="J15" i="29"/>
  <c r="I16" i="29" s="1"/>
  <c r="J19" i="29"/>
  <c r="J20" i="29"/>
  <c r="I20" i="29" s="1"/>
  <c r="J18" i="29"/>
  <c r="J24" i="29"/>
  <c r="J22" i="29"/>
  <c r="J23" i="29"/>
  <c r="J31" i="29"/>
  <c r="J28" i="29"/>
  <c r="J30" i="29"/>
  <c r="J27" i="29"/>
  <c r="J29" i="29"/>
  <c r="J32" i="29"/>
  <c r="J44" i="29"/>
  <c r="J46" i="29"/>
  <c r="J36" i="29"/>
  <c r="J38" i="29"/>
  <c r="J47" i="29"/>
  <c r="J35" i="29"/>
  <c r="J39" i="29"/>
  <c r="J42" i="29"/>
  <c r="J41" i="29"/>
  <c r="J37" i="29"/>
  <c r="J43" i="29"/>
  <c r="J45" i="29"/>
  <c r="J40" i="29"/>
  <c r="J60" i="29"/>
  <c r="J49" i="29"/>
  <c r="J58" i="29"/>
  <c r="J50" i="29"/>
  <c r="J52" i="29"/>
  <c r="J53" i="29"/>
  <c r="J55" i="29"/>
  <c r="J59" i="29"/>
  <c r="J56" i="29"/>
  <c r="J54" i="29"/>
  <c r="J57" i="29"/>
  <c r="J51" i="29"/>
  <c r="J7" i="30"/>
  <c r="I9" i="30" s="1"/>
  <c r="J12" i="30"/>
  <c r="J10" i="30"/>
  <c r="J9" i="30"/>
  <c r="J15" i="30"/>
  <c r="I16" i="30" s="1"/>
  <c r="J20" i="30"/>
  <c r="I20" i="30" s="1"/>
  <c r="J19" i="30"/>
  <c r="J18" i="30"/>
  <c r="J24" i="30"/>
  <c r="J23" i="30"/>
  <c r="J22" i="30"/>
  <c r="J31" i="30"/>
  <c r="J29" i="30"/>
  <c r="J28" i="30"/>
  <c r="J27" i="30"/>
  <c r="J30" i="30"/>
  <c r="J32" i="30"/>
  <c r="J44" i="30"/>
  <c r="J39" i="30"/>
  <c r="J43" i="30"/>
  <c r="J36" i="30"/>
  <c r="J41" i="30"/>
  <c r="J47" i="30"/>
  <c r="J40" i="30"/>
  <c r="J38" i="30"/>
  <c r="J35" i="30"/>
  <c r="J42" i="30"/>
  <c r="J45" i="30"/>
  <c r="J37" i="30"/>
  <c r="J46" i="30"/>
  <c r="J49" i="30"/>
  <c r="J54" i="30"/>
  <c r="J56" i="30"/>
  <c r="J59" i="30"/>
  <c r="J50" i="30"/>
  <c r="J53" i="30"/>
  <c r="J60" i="30"/>
  <c r="J58" i="30"/>
  <c r="J57" i="30"/>
  <c r="J52" i="30"/>
  <c r="J55" i="30"/>
  <c r="J51" i="30"/>
  <c r="J7" i="43"/>
  <c r="I9" i="43" s="1"/>
  <c r="H7" i="31"/>
  <c r="J7" i="31" s="1"/>
  <c r="I9" i="31" s="1"/>
  <c r="H7" i="50"/>
  <c r="J7" i="50" s="1"/>
  <c r="J12" i="43"/>
  <c r="J9" i="43"/>
  <c r="J10" i="43"/>
  <c r="J9" i="31"/>
  <c r="J10" i="31"/>
  <c r="J12" i="31"/>
  <c r="J15" i="43"/>
  <c r="I16" i="43" s="1"/>
  <c r="J15" i="31"/>
  <c r="I16" i="31" s="1"/>
  <c r="H16" i="50"/>
  <c r="J16" i="50" s="1"/>
  <c r="I17" i="50" s="1"/>
  <c r="J18" i="31"/>
  <c r="J18" i="43"/>
  <c r="J20" i="43"/>
  <c r="I20" i="43" s="1"/>
  <c r="H19" i="50"/>
  <c r="J19" i="50" s="1"/>
  <c r="J19" i="43"/>
  <c r="H20" i="50"/>
  <c r="J20" i="50" s="1"/>
  <c r="J19" i="31"/>
  <c r="H21" i="50"/>
  <c r="J21" i="50" s="1"/>
  <c r="I21" i="50" s="1"/>
  <c r="J20" i="31"/>
  <c r="I20" i="31" s="1"/>
  <c r="J22" i="43"/>
  <c r="J24" i="43"/>
  <c r="H24" i="50"/>
  <c r="J24" i="50" s="1"/>
  <c r="J23" i="43"/>
  <c r="J24" i="31"/>
  <c r="H23" i="50"/>
  <c r="J23" i="50" s="1"/>
  <c r="J22" i="31"/>
  <c r="J23" i="31"/>
  <c r="H25" i="50"/>
  <c r="J25" i="50" s="1"/>
  <c r="J27" i="43"/>
  <c r="J28" i="43"/>
  <c r="H29" i="50"/>
  <c r="J29" i="50" s="1"/>
  <c r="J32" i="31"/>
  <c r="J32" i="43"/>
  <c r="J31" i="43"/>
  <c r="J30" i="43"/>
  <c r="J30" i="31"/>
  <c r="J31" i="31"/>
  <c r="H31" i="50"/>
  <c r="J31" i="50" s="1"/>
  <c r="J29" i="43"/>
  <c r="J29" i="31"/>
  <c r="H30" i="50"/>
  <c r="J30" i="50" s="1"/>
  <c r="H28" i="50"/>
  <c r="J28" i="50" s="1"/>
  <c r="J27" i="31"/>
  <c r="H33" i="50"/>
  <c r="J33" i="50" s="1"/>
  <c r="H32" i="50"/>
  <c r="J32" i="50" s="1"/>
  <c r="J28" i="31"/>
  <c r="J42" i="43"/>
  <c r="J41" i="43"/>
  <c r="J35" i="43"/>
  <c r="J40" i="43"/>
  <c r="J43" i="43"/>
  <c r="J41" i="31"/>
  <c r="J44" i="43"/>
  <c r="H41" i="50"/>
  <c r="J41" i="50" s="1"/>
  <c r="J45" i="43"/>
  <c r="J39" i="43"/>
  <c r="J36" i="43"/>
  <c r="J38" i="43"/>
  <c r="J47" i="31"/>
  <c r="J47" i="43"/>
  <c r="H37" i="50"/>
  <c r="J37" i="50" s="1"/>
  <c r="J42" i="31"/>
  <c r="J45" i="31"/>
  <c r="H36" i="50"/>
  <c r="J36" i="50" s="1"/>
  <c r="H46" i="50"/>
  <c r="J46" i="50" s="1"/>
  <c r="J46" i="31"/>
  <c r="J46" i="43"/>
  <c r="H39" i="50"/>
  <c r="J39" i="50" s="1"/>
  <c r="H38" i="50"/>
  <c r="J38" i="50" s="1"/>
  <c r="J37" i="43"/>
  <c r="J37" i="31"/>
  <c r="H47" i="50"/>
  <c r="J47" i="50" s="1"/>
  <c r="J40" i="31"/>
  <c r="J39" i="31"/>
  <c r="H48" i="50"/>
  <c r="J48" i="50" s="1"/>
  <c r="H44" i="50"/>
  <c r="J44" i="50" s="1"/>
  <c r="J35" i="31"/>
  <c r="J44" i="31"/>
  <c r="H42" i="50"/>
  <c r="J42" i="50" s="1"/>
  <c r="J43" i="31"/>
  <c r="H40" i="50"/>
  <c r="J40" i="50" s="1"/>
  <c r="J38" i="31"/>
  <c r="H43" i="50"/>
  <c r="J43" i="50" s="1"/>
  <c r="H45" i="50"/>
  <c r="J45" i="50" s="1"/>
  <c r="J36" i="31"/>
  <c r="J58" i="43"/>
  <c r="J59" i="43"/>
  <c r="H60" i="50"/>
  <c r="J60" i="50" s="1"/>
  <c r="J49" i="43"/>
  <c r="J54" i="43"/>
  <c r="H50" i="50"/>
  <c r="J50" i="50" s="1"/>
  <c r="H59" i="50"/>
  <c r="J59" i="50" s="1"/>
  <c r="J50" i="43"/>
  <c r="J49" i="31"/>
  <c r="H57" i="50"/>
  <c r="J57" i="50" s="1"/>
  <c r="J56" i="43"/>
  <c r="J60" i="43"/>
  <c r="H51" i="50"/>
  <c r="J51" i="50" s="1"/>
  <c r="J53" i="43"/>
  <c r="H54" i="50"/>
  <c r="J54" i="50" s="1"/>
  <c r="J55" i="43"/>
  <c r="J57" i="43"/>
  <c r="H55" i="50"/>
  <c r="J55" i="50" s="1"/>
  <c r="J56" i="31"/>
  <c r="J54" i="31"/>
  <c r="J52" i="43"/>
  <c r="J53" i="31"/>
  <c r="H56" i="50"/>
  <c r="J56" i="50" s="1"/>
  <c r="J51" i="31"/>
  <c r="J51" i="43"/>
  <c r="H53" i="50"/>
  <c r="J53" i="50" s="1"/>
  <c r="J50" i="31"/>
  <c r="J52" i="31"/>
  <c r="H61" i="50"/>
  <c r="J61" i="50" s="1"/>
  <c r="H58" i="50"/>
  <c r="J58" i="50" s="1"/>
  <c r="J57" i="31"/>
  <c r="H52" i="50"/>
  <c r="J52" i="50" s="1"/>
  <c r="J58" i="31"/>
  <c r="J55" i="31"/>
  <c r="J60" i="31"/>
  <c r="J59" i="31"/>
  <c r="J8" i="12"/>
  <c r="H8" i="13"/>
  <c r="H8" i="14" s="1"/>
  <c r="J11" i="19" l="1"/>
  <c r="H11" i="21"/>
  <c r="J11" i="20"/>
  <c r="H13" i="28"/>
  <c r="H13" i="29" s="1"/>
  <c r="H13" i="30" s="1"/>
  <c r="H13" i="43" s="1"/>
  <c r="J13" i="43" s="1"/>
  <c r="J13" i="27"/>
  <c r="J13" i="7"/>
  <c r="J13" i="25"/>
  <c r="J13" i="24"/>
  <c r="J13" i="23"/>
  <c r="J13" i="21"/>
  <c r="J13" i="20"/>
  <c r="J13" i="19"/>
  <c r="J13" i="9"/>
  <c r="J13" i="17"/>
  <c r="J13" i="15"/>
  <c r="J13" i="14"/>
  <c r="J13" i="13"/>
  <c r="J13" i="8"/>
  <c r="J13" i="18"/>
  <c r="J13" i="12"/>
  <c r="J13" i="40"/>
  <c r="J13" i="22"/>
  <c r="J13" i="16"/>
  <c r="J13" i="11"/>
  <c r="J13" i="10"/>
  <c r="J8" i="13"/>
  <c r="J8" i="14"/>
  <c r="H8" i="15"/>
  <c r="H11" i="22" l="1"/>
  <c r="J11" i="21"/>
  <c r="H13" i="31"/>
  <c r="J13" i="31" s="1"/>
  <c r="H14" i="50"/>
  <c r="J14" i="50" s="1"/>
  <c r="J13" i="29"/>
  <c r="J13" i="28"/>
  <c r="J13" i="30"/>
  <c r="H8" i="16"/>
  <c r="J8" i="15"/>
  <c r="H11" i="23" l="1"/>
  <c r="J11" i="22"/>
  <c r="J8" i="16"/>
  <c r="H8" i="17"/>
  <c r="H11" i="24" l="1"/>
  <c r="J11" i="23"/>
  <c r="J8" i="17"/>
  <c r="H8" i="18"/>
  <c r="H11" i="25" l="1"/>
  <c r="J11" i="24"/>
  <c r="H8" i="19"/>
  <c r="J8" i="18"/>
  <c r="H11" i="40" l="1"/>
  <c r="J11" i="25"/>
  <c r="J8" i="19"/>
  <c r="H8" i="20"/>
  <c r="H11" i="27" l="1"/>
  <c r="J11" i="40"/>
  <c r="H8" i="21"/>
  <c r="J8" i="20"/>
  <c r="H11" i="28" l="1"/>
  <c r="J11" i="27"/>
  <c r="H8" i="22"/>
  <c r="J8" i="21"/>
  <c r="H11" i="29" l="1"/>
  <c r="J11" i="28"/>
  <c r="H8" i="23"/>
  <c r="J8" i="22"/>
  <c r="H11" i="30" l="1"/>
  <c r="J11" i="29"/>
  <c r="J8" i="23"/>
  <c r="H8" i="24"/>
  <c r="H11" i="43" l="1"/>
  <c r="H11" i="50" s="1"/>
  <c r="J11" i="30"/>
  <c r="J8" i="24"/>
  <c r="H8" i="25"/>
  <c r="H11" i="31" l="1"/>
  <c r="J11" i="31" s="1"/>
  <c r="J11" i="43"/>
  <c r="J8" i="25"/>
  <c r="H8" i="40"/>
  <c r="H8" i="27" l="1"/>
  <c r="J8" i="40"/>
  <c r="H8" i="28" l="1"/>
  <c r="J8" i="27"/>
  <c r="J8" i="28" l="1"/>
  <c r="H8" i="29"/>
  <c r="J8" i="29" l="1"/>
  <c r="H8" i="30"/>
  <c r="J8" i="30" l="1"/>
  <c r="H8" i="43"/>
  <c r="J8" i="43" l="1"/>
  <c r="H8" i="50"/>
  <c r="J8" i="50" s="1"/>
  <c r="H8" i="31"/>
  <c r="J8" i="31" s="1"/>
</calcChain>
</file>

<file path=xl/sharedStrings.xml><?xml version="1.0" encoding="utf-8"?>
<sst xmlns="http://schemas.openxmlformats.org/spreadsheetml/2006/main" count="10762" uniqueCount="374">
  <si>
    <t>Date</t>
  </si>
  <si>
    <t>Min.Tem          (Degee)</t>
  </si>
  <si>
    <t>Avg.Temp     (Degree)</t>
  </si>
  <si>
    <t>Hum %</t>
  </si>
  <si>
    <t>Occu.</t>
  </si>
  <si>
    <t>Electricity</t>
  </si>
  <si>
    <t>Gas</t>
  </si>
  <si>
    <t>Water</t>
  </si>
  <si>
    <t>Water per occiped room</t>
  </si>
  <si>
    <t>Diesel</t>
  </si>
  <si>
    <t>Water Consumption Zone</t>
  </si>
  <si>
    <t>Chiller Running Hrs</t>
  </si>
  <si>
    <t>Chiller Total</t>
  </si>
  <si>
    <t>Chiller Avg. Laod</t>
  </si>
  <si>
    <t>Boiler Running Hrs</t>
  </si>
  <si>
    <t xml:space="preserve">Total boiler </t>
  </si>
  <si>
    <t>Hot Water Generator</t>
  </si>
  <si>
    <t>Total HWG RH</t>
  </si>
  <si>
    <t>HWG Gas consumption</t>
  </si>
  <si>
    <t>Transformer -1</t>
  </si>
  <si>
    <t>Transformer -2</t>
  </si>
  <si>
    <t xml:space="preserve">Total HLP Cost </t>
  </si>
  <si>
    <t>Chiller lock at 70%</t>
  </si>
  <si>
    <t>%</t>
  </si>
  <si>
    <t>KVAH</t>
  </si>
  <si>
    <t>Rate</t>
  </si>
  <si>
    <t>Total Cost(Rs)</t>
  </si>
  <si>
    <t>Per room</t>
  </si>
  <si>
    <t>Total Units(CuM)</t>
  </si>
  <si>
    <t>Units(KL)</t>
  </si>
  <si>
    <t>Ltrs</t>
  </si>
  <si>
    <t>Zone-1</t>
  </si>
  <si>
    <t>Zone-2</t>
  </si>
  <si>
    <t>Zone-3</t>
  </si>
  <si>
    <t>CH1</t>
  </si>
  <si>
    <t>CH2</t>
  </si>
  <si>
    <t>CH3</t>
  </si>
  <si>
    <t>CH4</t>
  </si>
  <si>
    <t xml:space="preserve">Total chiller </t>
  </si>
  <si>
    <t>Boiler1</t>
  </si>
  <si>
    <t>Boiler2</t>
  </si>
  <si>
    <t>Boiler3</t>
  </si>
  <si>
    <t>HWG1</t>
  </si>
  <si>
    <t>HWG2</t>
  </si>
  <si>
    <t>HVAC-1</t>
  </si>
  <si>
    <t>FPP-1</t>
  </si>
  <si>
    <t>MPP</t>
  </si>
  <si>
    <t>Lighting-1</t>
  </si>
  <si>
    <t>Cap bank 1100KVAR-1</t>
  </si>
  <si>
    <t>CH-1</t>
  </si>
  <si>
    <t>CH-2</t>
  </si>
  <si>
    <t>Chilled water Pump</t>
  </si>
  <si>
    <t xml:space="preserve">Co Generator </t>
  </si>
  <si>
    <t>Ball Room-2</t>
  </si>
  <si>
    <t>HVAC-2</t>
  </si>
  <si>
    <t>FPP-2</t>
  </si>
  <si>
    <t>Lighting-2</t>
  </si>
  <si>
    <t>Cap bank 1200KVAR-2</t>
  </si>
  <si>
    <t>CH-3</t>
  </si>
  <si>
    <t>CH-4</t>
  </si>
  <si>
    <t>Ball Room-1</t>
  </si>
  <si>
    <t>Cooling Tower consumption</t>
  </si>
  <si>
    <t>HVAC%</t>
  </si>
  <si>
    <t>Lighting%</t>
  </si>
  <si>
    <t>Power%</t>
  </si>
  <si>
    <t>Chiller Plant IKW</t>
  </si>
  <si>
    <t>Guest complaint</t>
  </si>
  <si>
    <t>occupancy</t>
  </si>
  <si>
    <t>Tanker</t>
  </si>
  <si>
    <t>BMC</t>
  </si>
  <si>
    <t>R.O. Plant Production</t>
  </si>
  <si>
    <t>Domestic Water</t>
  </si>
  <si>
    <t>Flushing Water</t>
  </si>
  <si>
    <t>Branches ( Domestic water )</t>
  </si>
  <si>
    <t>Pool</t>
  </si>
  <si>
    <t>B2 Laundry</t>
  </si>
  <si>
    <t>Boiler Feed Water</t>
  </si>
  <si>
    <t>Branches ( STP Water )</t>
  </si>
  <si>
    <t>CT  water</t>
  </si>
  <si>
    <t>STP flush</t>
  </si>
  <si>
    <t xml:space="preserve">Garden </t>
  </si>
  <si>
    <t>Domestic consumption</t>
  </si>
  <si>
    <t>STP +Flush Consumption</t>
  </si>
  <si>
    <t>BOH</t>
  </si>
  <si>
    <t>Guest Floor</t>
  </si>
  <si>
    <t xml:space="preserve">Guest floor% </t>
  </si>
  <si>
    <t xml:space="preserve">Electrical </t>
  </si>
  <si>
    <t>Boiler Running</t>
  </si>
  <si>
    <t>MK-1</t>
  </si>
  <si>
    <t>MK-2</t>
  </si>
  <si>
    <t>COLD ROOM'S</t>
  </si>
  <si>
    <t xml:space="preserve">B1 Laundry </t>
  </si>
  <si>
    <t xml:space="preserve">MOCK Up Room </t>
  </si>
  <si>
    <t xml:space="preserve">27th Floor </t>
  </si>
  <si>
    <t>Physic57</t>
  </si>
  <si>
    <t>Pinoor Legal- Power+lighting</t>
  </si>
  <si>
    <t xml:space="preserve">2nd floor plant room </t>
  </si>
  <si>
    <t>5th Floor</t>
  </si>
  <si>
    <t>12th Floor</t>
  </si>
  <si>
    <t xml:space="preserve">20th Floor </t>
  </si>
  <si>
    <t>27th Floor</t>
  </si>
  <si>
    <t>34th Floor</t>
  </si>
  <si>
    <t>Sanqi</t>
  </si>
  <si>
    <t>HWG</t>
  </si>
  <si>
    <t>Prato</t>
  </si>
  <si>
    <t>BR-1</t>
  </si>
  <si>
    <t>SanQi IND</t>
  </si>
  <si>
    <t>SanQi JPN</t>
  </si>
  <si>
    <t>Total</t>
  </si>
  <si>
    <t>24th Sep</t>
  </si>
  <si>
    <t>Today</t>
  </si>
  <si>
    <t>HWG AVG</t>
  </si>
  <si>
    <t>20 cub extra</t>
  </si>
  <si>
    <t>INR</t>
  </si>
  <si>
    <t>Extra</t>
  </si>
  <si>
    <t>Daily Utility Consumption Report</t>
  </si>
  <si>
    <t>Occupancy%</t>
  </si>
  <si>
    <t xml:space="preserve">Gas </t>
  </si>
  <si>
    <t xml:space="preserve">Avg temp </t>
  </si>
  <si>
    <t>Last year same month avg</t>
  </si>
  <si>
    <t>humidity</t>
  </si>
  <si>
    <t>Description</t>
  </si>
  <si>
    <t>Unit</t>
  </si>
  <si>
    <t>Yesterday</t>
  </si>
  <si>
    <t>units.consum</t>
  </si>
  <si>
    <t>MTD</t>
  </si>
  <si>
    <t>Budgeted</t>
  </si>
  <si>
    <t>Average/Day</t>
  </si>
  <si>
    <t>ELECTRICAL CONSUMPTION</t>
  </si>
  <si>
    <t>BEST Supply 11KV</t>
  </si>
  <si>
    <t>kwh</t>
  </si>
  <si>
    <t xml:space="preserve">BEST supply </t>
  </si>
  <si>
    <t>Transformer - 1 - 2500KVA</t>
  </si>
  <si>
    <t>Transformer - 2 -2500KVA</t>
  </si>
  <si>
    <t>DG set- 1 - 1425KVA</t>
  </si>
  <si>
    <t>DG set- 2  - 1425KVA</t>
  </si>
  <si>
    <t>SubTotal</t>
  </si>
  <si>
    <t xml:space="preserve">GAS  CONSUMPTION </t>
  </si>
  <si>
    <t>Gas consumption</t>
  </si>
  <si>
    <t>m3</t>
  </si>
  <si>
    <t>WATER CONSUMPTION</t>
  </si>
  <si>
    <t>Tankers</t>
  </si>
  <si>
    <t>KL</t>
  </si>
  <si>
    <t>Total water</t>
  </si>
  <si>
    <t>DIESEL  CONSUMPTION</t>
  </si>
  <si>
    <t>Boiler House  (H.S.D)</t>
  </si>
  <si>
    <t>L</t>
  </si>
  <si>
    <t>D-G Set (H.S.D)</t>
  </si>
  <si>
    <t>Total HSD  (H.S.D.) Stock</t>
  </si>
  <si>
    <t>TOTAL CONSUMPTION UNIT &amp;COST</t>
  </si>
  <si>
    <t>Utilities</t>
  </si>
  <si>
    <t>Units</t>
  </si>
  <si>
    <t>C.N.G</t>
  </si>
  <si>
    <t>Cu.Mtr</t>
  </si>
  <si>
    <t xml:space="preserve">H.S.D </t>
  </si>
  <si>
    <t>Ltr</t>
  </si>
  <si>
    <t>Water BMC</t>
  </si>
  <si>
    <t>Kl</t>
  </si>
  <si>
    <t>Water Tanker</t>
  </si>
  <si>
    <t xml:space="preserve">Total cost    </t>
  </si>
  <si>
    <t>Transformer No 1 (Sub Feeders)</t>
  </si>
  <si>
    <t>Main HVAC Power Panel- 800A</t>
  </si>
  <si>
    <t>Main  Panel BALLROOM LVL-2 -2000A</t>
  </si>
  <si>
    <t>Fire Emergency Power Panel - 1000A</t>
  </si>
  <si>
    <t>Main Power Panel -1600A</t>
  </si>
  <si>
    <t>Main Lighting and Small power Panel</t>
  </si>
  <si>
    <t>Capacitor Bank -1  1100KVAR- 2500A</t>
  </si>
  <si>
    <t xml:space="preserve">Chiller No 1 </t>
  </si>
  <si>
    <t xml:space="preserve">Chiller No  2- </t>
  </si>
  <si>
    <t>Chiller Water pump Panel- 630A</t>
  </si>
  <si>
    <t>Co-Genrator</t>
  </si>
  <si>
    <t>Lawn Pantry</t>
  </si>
  <si>
    <t>Pavilion Power</t>
  </si>
  <si>
    <t xml:space="preserve">Sub Total </t>
  </si>
  <si>
    <t>Transformer No 2 (Sub Feeders)</t>
  </si>
  <si>
    <t>Main MV PanelBALLROOM LVL-1- 2000A</t>
  </si>
  <si>
    <t>Main Power Panel -1800A</t>
  </si>
  <si>
    <t>Capacitor Bank -2  1200KVAR- 2500A</t>
  </si>
  <si>
    <t>Chiller No -3 - 1200A</t>
  </si>
  <si>
    <t>Chiller No-4 - 1200A</t>
  </si>
  <si>
    <t>Kwh</t>
  </si>
  <si>
    <t>B2-Loundry power panel</t>
  </si>
  <si>
    <t>Total TR1 &amp; TR2</t>
  </si>
  <si>
    <t>KWh</t>
  </si>
  <si>
    <t xml:space="preserve">5th floor spa </t>
  </si>
  <si>
    <t>Main kitchen power panel no 1</t>
  </si>
  <si>
    <t>Main kitchen power panel no 2</t>
  </si>
  <si>
    <t>Prato kitchen power panel</t>
  </si>
  <si>
    <t>San- Qi Indian Kitchen</t>
  </si>
  <si>
    <t>San- Qi Japanese Kitchen</t>
  </si>
  <si>
    <t>The club kitchen</t>
  </si>
  <si>
    <t>AER Kitchen</t>
  </si>
  <si>
    <t>Ball Room 1 kitchen</t>
  </si>
  <si>
    <t>Ball Room 2 kitchen</t>
  </si>
  <si>
    <t>STP Electrical</t>
  </si>
  <si>
    <t>Cooling Tower</t>
  </si>
  <si>
    <t xml:space="preserve">Total </t>
  </si>
  <si>
    <t>Pinoor Legal- Lighting</t>
  </si>
  <si>
    <t xml:space="preserve">R.o.plant </t>
  </si>
  <si>
    <t>STP Water Prod</t>
  </si>
  <si>
    <t xml:space="preserve">Total water Produce </t>
  </si>
  <si>
    <t>Domestic  Zone-1</t>
  </si>
  <si>
    <t>Domestic  Zone-2</t>
  </si>
  <si>
    <t>Domestic  Zone-3</t>
  </si>
  <si>
    <t>Flush Zone -1</t>
  </si>
  <si>
    <t>Flush Zone -2</t>
  </si>
  <si>
    <t>Flush Zone -3</t>
  </si>
  <si>
    <t xml:space="preserve"> </t>
  </si>
  <si>
    <t xml:space="preserve">Total water consum </t>
  </si>
  <si>
    <t>Swimming pool</t>
  </si>
  <si>
    <t>cooling tower filling water</t>
  </si>
  <si>
    <t>STP flush(new water meter)</t>
  </si>
  <si>
    <t>Garden Water Pump</t>
  </si>
  <si>
    <t xml:space="preserve">Flushing Water </t>
  </si>
  <si>
    <t>Flush Zone 2 pump meter</t>
  </si>
  <si>
    <t>Flush Zone 3 Pump Meter (wtp transfer )</t>
  </si>
  <si>
    <t>Flush Tanker</t>
  </si>
  <si>
    <t>Total Domestic Water (R.O +BMC)</t>
  </si>
  <si>
    <t xml:space="preserve">Total Domestic Consumption </t>
  </si>
  <si>
    <t xml:space="preserve">Total STP Consumption </t>
  </si>
  <si>
    <t>H.W.G. Gas meter reading</t>
  </si>
  <si>
    <t>Prato Kitchen Gas meter Reading</t>
  </si>
  <si>
    <t>BallRoom Gas</t>
  </si>
  <si>
    <t>Sanqi IndianGas meter Reading</t>
  </si>
  <si>
    <t>Sanqi Japanese Gas meter Reading</t>
  </si>
  <si>
    <t>Boiler Gas Consumption</t>
  </si>
  <si>
    <t xml:space="preserve">Running Hrs </t>
  </si>
  <si>
    <t>DG Set - 1</t>
  </si>
  <si>
    <t>hr</t>
  </si>
  <si>
    <t>DG Set - 2</t>
  </si>
  <si>
    <t>Chiller - 1</t>
  </si>
  <si>
    <t>Chiller - 2</t>
  </si>
  <si>
    <t>Chiller - 3</t>
  </si>
  <si>
    <t>Chiller - 4</t>
  </si>
  <si>
    <t>Steam Boiler -1</t>
  </si>
  <si>
    <t>Steam Boiler -2</t>
  </si>
  <si>
    <t>Steam Boiler -3</t>
  </si>
  <si>
    <t xml:space="preserve">Hot Water Generator -1 </t>
  </si>
  <si>
    <t>Hot Water Generator -2</t>
  </si>
  <si>
    <t xml:space="preserve">Percentag  of ele, unit per area </t>
  </si>
  <si>
    <t>Total HVAC units</t>
  </si>
  <si>
    <t>% of HVAC units of Total Con.(LT)</t>
  </si>
  <si>
    <t>Total Chillers Units</t>
  </si>
  <si>
    <t>% of Chillers Units of Total Con.(LT)</t>
  </si>
  <si>
    <t>Total Lighting Units</t>
  </si>
  <si>
    <t>% of Lighting Units of Total Con.(LT)</t>
  </si>
  <si>
    <t>Total power Units</t>
  </si>
  <si>
    <t>% of power Units of Total Con.(LT)</t>
  </si>
  <si>
    <t>Total mansion power Units</t>
  </si>
  <si>
    <t>% of M,sion power Units of Total Con.(LT)</t>
  </si>
  <si>
    <t>Total fire &amp; em, power Units</t>
  </si>
  <si>
    <t>% of fire &amp; em  power Units of Total Con.(LT)</t>
  </si>
  <si>
    <t xml:space="preserve">Lower Basement </t>
  </si>
  <si>
    <t xml:space="preserve">upper basement </t>
  </si>
  <si>
    <t>Level 1</t>
  </si>
  <si>
    <t>Level  2</t>
  </si>
  <si>
    <t>HWG3</t>
  </si>
  <si>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</si>
  <si>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</si>
  <si>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</si>
  <si>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</si>
  <si>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</si>
  <si>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</si>
  <si>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</si>
  <si>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</si>
  <si>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</si>
  <si>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 xml:space="preserve">Total Guests </t>
  </si>
  <si>
    <t>Utilities day cost dh</t>
  </si>
  <si>
    <t>Mumbai</t>
  </si>
  <si>
    <t>Natual Gas (m3)</t>
  </si>
  <si>
    <t>Natural Gas $/m3</t>
  </si>
  <si>
    <t>Room Nights</t>
  </si>
  <si>
    <t>Comp Night</t>
  </si>
  <si>
    <t xml:space="preserve">Total Covers Guests </t>
  </si>
  <si>
    <t>Cummulative %</t>
  </si>
  <si>
    <t>Total Room Nights</t>
  </si>
  <si>
    <t>Boiler3 (400Kg)</t>
  </si>
  <si>
    <t>20th Floor</t>
  </si>
  <si>
    <t>B1 Laundry</t>
  </si>
  <si>
    <t>R.o.plant</t>
  </si>
  <si>
    <t>Total Domestic Consumption</t>
  </si>
  <si>
    <t>Total STP Consumption</t>
  </si>
  <si>
    <t>CH-1+ CH2+CH3+CH4</t>
  </si>
  <si>
    <t>Boiler Running Hours</t>
  </si>
  <si>
    <t>HVAC</t>
  </si>
  <si>
    <t>Fire &amp; Emergency PP</t>
  </si>
  <si>
    <t>Main PP</t>
  </si>
  <si>
    <t>Lighting PP</t>
  </si>
  <si>
    <t>San- Qi Indian</t>
  </si>
  <si>
    <t>San- Qi Japanese</t>
  </si>
  <si>
    <t>The club</t>
  </si>
  <si>
    <t>AER</t>
  </si>
  <si>
    <t>Ball Room 1</t>
  </si>
  <si>
    <t>Ball Room 2</t>
  </si>
  <si>
    <t>STP</t>
  </si>
  <si>
    <t>MOCK Up Room</t>
  </si>
  <si>
    <t>2nd floor plant room</t>
  </si>
  <si>
    <t>MGL</t>
  </si>
  <si>
    <t>Boiler</t>
  </si>
  <si>
    <t>STP Production</t>
  </si>
  <si>
    <t>Total Domestic Water (Tanker (R.O) +BMC)</t>
  </si>
  <si>
    <t>Total Tanke(RO) + BMC</t>
  </si>
  <si>
    <t>Flush Tanker-Zone-1</t>
  </si>
  <si>
    <t xml:space="preserve">Prepaired by--- Devendra </t>
  </si>
  <si>
    <t>HT Kwh</t>
  </si>
  <si>
    <t>HT Kvah</t>
  </si>
  <si>
    <t xml:space="preserve">Water </t>
  </si>
  <si>
    <t>MGL Gas</t>
  </si>
  <si>
    <t>Transformer -Load</t>
  </si>
  <si>
    <t>20th Floor Project office</t>
  </si>
  <si>
    <t>Paid occ %</t>
  </si>
  <si>
    <t xml:space="preserve">10th floor energy meter reading </t>
  </si>
  <si>
    <t xml:space="preserve">25th floor energy meter reading </t>
  </si>
  <si>
    <t>Hotel Paid Occupancy Occ%</t>
  </si>
  <si>
    <t>Units (Kvah)</t>
  </si>
  <si>
    <t>KwH</t>
  </si>
  <si>
    <t>Average</t>
  </si>
  <si>
    <t>MAIN HVAC PANNEL SUB METER</t>
  </si>
  <si>
    <t xml:space="preserve">B1 HVAC Panel </t>
  </si>
  <si>
    <t xml:space="preserve">B2 HVAC Panel </t>
  </si>
  <si>
    <t xml:space="preserve">Sanqi  HVAC Panel </t>
  </si>
  <si>
    <t xml:space="preserve">5 th FLR  HVAC Panel </t>
  </si>
  <si>
    <t xml:space="preserve">20th Floor HVAC Panel </t>
  </si>
  <si>
    <t xml:space="preserve">Cooling Tower </t>
  </si>
  <si>
    <t>ELECTRICAL SUB METER S</t>
  </si>
  <si>
    <t xml:space="preserve">Main Power Panel </t>
  </si>
  <si>
    <t xml:space="preserve">sub readings </t>
  </si>
  <si>
    <t xml:space="preserve">25th floor energy meter </t>
  </si>
  <si>
    <t xml:space="preserve">10th floor energy meter </t>
  </si>
  <si>
    <t xml:space="preserve">Total gas consum </t>
  </si>
  <si>
    <t xml:space="preserve">Water   Sub  readings </t>
  </si>
  <si>
    <t xml:space="preserve"> ELECTRICAL DISTRIBUTION FEEDERS </t>
  </si>
  <si>
    <t>WATER DISTRIBUTION LINE</t>
  </si>
  <si>
    <t>GAS DISTRIBUTION BR.</t>
  </si>
  <si>
    <t>diff wrt feeder</t>
  </si>
  <si>
    <t>Var%</t>
  </si>
  <si>
    <t>Pump power panel ( WTP)</t>
  </si>
  <si>
    <t>Boiler power panel (boiler room)</t>
  </si>
  <si>
    <t>STP Electrical (STP plant)</t>
  </si>
  <si>
    <t>Swimmimg Pool Plant Panel ( LT room)</t>
  </si>
  <si>
    <t>20th PHE Pump Panel (20th flr)</t>
  </si>
  <si>
    <t>Cooling Tower (LT room)</t>
  </si>
  <si>
    <t>Cooling Tower (L T Room)</t>
  </si>
  <si>
    <t>5th Floor SPA</t>
  </si>
  <si>
    <t>Fire &amp; Emergency  Power Panel</t>
  </si>
  <si>
    <t>Elevator power Panel ( capacitor bank area )</t>
  </si>
  <si>
    <t>Emergency Power Panel ( capacitor bank area)</t>
  </si>
  <si>
    <t>Emergency Lighting  Panel ( capacitor bank area)</t>
  </si>
  <si>
    <t>Sanqi main.</t>
  </si>
  <si>
    <t>Emergency Power Panel ( capacitor bank area) not yet fix</t>
  </si>
  <si>
    <t>Prepaired by--- Ramesh</t>
  </si>
  <si>
    <t>kvah</t>
  </si>
  <si>
    <t>10th floor</t>
  </si>
  <si>
    <t>25th floor</t>
  </si>
  <si>
    <t>10th floo</t>
  </si>
  <si>
    <t>KWH/Room</t>
  </si>
  <si>
    <t>Prepaired by--- Prakash</t>
  </si>
  <si>
    <t>Prepaired by--- Nilesh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</si>
  <si>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</si>
  <si>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Average </t>
  </si>
  <si>
    <t>7th floor</t>
  </si>
  <si>
    <t>Prepaired by---Nilesh</t>
  </si>
  <si>
    <t>Cooling Tower ( L.T. Room )</t>
  </si>
  <si>
    <t xml:space="preserve">Prepaired by--- Nilesh </t>
  </si>
  <si>
    <t>sump pump power panel (WTP)</t>
  </si>
  <si>
    <t>Fire pump power panel (WTP)</t>
  </si>
  <si>
    <t>+</t>
  </si>
  <si>
    <t>Need to check</t>
  </si>
  <si>
    <t>meter need to check</t>
  </si>
  <si>
    <t>Yesterday.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</si>
  <si>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</si>
  <si>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</t>
  </si>
  <si>
    <t>project</t>
  </si>
  <si>
    <t xml:space="preserve">                                          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</si>
</sst>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 * #,##0.00_ ;_ * \-#,##0.00_ ;_ * &quot;-&quot;??_ ;_ @_ "/>
    <numFmt numFmtId="165" formatCode="0.0"/>
    <numFmt numFmtId="166" formatCode="0.0%"/>
    <numFmt numFmtId="167" formatCode="[$-809]d\ mmmm\ yyyy;@"/>
    <numFmt numFmtId="168" formatCode="0.0E+00"/>
    <numFmt numFmtId="169" formatCode="#,##0;[Red]#,##0"/>
    <numFmt numFmtId="170" formatCode="_(* #,##0_);_(* \(#,##0\);_(* &quot;-&quot;??_);_(@_)"/>
    <numFmt numFmtId="171" formatCode="[$-809]dd\ mmmm\ yyyy;@"/>
    <numFmt numFmtId="172" formatCode="0_ ;[Red]\-0\ "/>
  </numFmts>
  <fonts count="87" x14ac:knownFonts="1">
    <font>
      <sz val="12"/>
      <color theme="1"/>
      <name val="Cambria"/>
      <family val="2"/>
      <scheme val="maj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6"/>
      <color indexed="8"/>
      <name val="Arial"/>
      <family val="2"/>
    </font>
    <font>
      <b/>
      <sz val="10"/>
      <color rgb="FFFF0000"/>
      <name val="Arial"/>
      <family val="2"/>
    </font>
    <font>
      <b/>
      <sz val="10"/>
      <color indexed="8"/>
      <name val="Arial"/>
      <family val="2"/>
    </font>
    <font>
      <sz val="10"/>
      <color indexed="10"/>
      <name val="Arial"/>
      <family val="2"/>
    </font>
    <font>
      <sz val="10"/>
      <color indexed="8"/>
      <name val="Arial"/>
      <family val="2"/>
    </font>
    <font>
      <sz val="8"/>
      <color indexed="8"/>
      <name val="Arial"/>
      <family val="2"/>
    </font>
    <font>
      <b/>
      <sz val="12"/>
      <color rgb="FFFF0000"/>
      <name val="Arial"/>
      <family val="2"/>
    </font>
    <font>
      <sz val="12"/>
      <name val="Arial"/>
      <family val="2"/>
    </font>
    <font>
      <sz val="12"/>
      <color indexed="8"/>
      <name val="Arial"/>
      <family val="2"/>
    </font>
    <font>
      <sz val="11"/>
      <color theme="1"/>
      <name val="Arial"/>
      <family val="2"/>
    </font>
    <font>
      <u/>
      <sz val="12"/>
      <color theme="10"/>
      <name val="Cambria"/>
      <family val="2"/>
    </font>
    <font>
      <b/>
      <u/>
      <sz val="12"/>
      <color rgb="FFFF0000"/>
      <name val="Cambria"/>
      <family val="1"/>
    </font>
    <font>
      <sz val="10"/>
      <name val="Arial"/>
      <family val="2"/>
    </font>
    <font>
      <b/>
      <sz val="16"/>
      <name val="Arial"/>
      <family val="2"/>
    </font>
    <font>
      <sz val="11"/>
      <color indexed="8"/>
      <name val="Calibri"/>
      <family val="2"/>
    </font>
    <font>
      <b/>
      <sz val="18"/>
      <name val="Arial"/>
      <family val="2"/>
    </font>
    <font>
      <b/>
      <i/>
      <sz val="18"/>
      <name val="Arial"/>
      <family val="2"/>
    </font>
    <font>
      <b/>
      <sz val="18"/>
      <color theme="1"/>
      <name val="Cambria"/>
      <family val="2"/>
      <scheme val="major"/>
    </font>
    <font>
      <b/>
      <i/>
      <sz val="18"/>
      <color theme="0"/>
      <name val="Arial"/>
      <family val="2"/>
    </font>
    <font>
      <b/>
      <sz val="20"/>
      <color theme="1"/>
      <name val="Cambria"/>
      <family val="2"/>
      <scheme val="major"/>
    </font>
    <font>
      <b/>
      <i/>
      <sz val="20"/>
      <name val="Arial"/>
      <family val="2"/>
    </font>
    <font>
      <b/>
      <sz val="20"/>
      <name val="Arial"/>
      <family val="2"/>
    </font>
    <font>
      <b/>
      <sz val="20"/>
      <color theme="1"/>
      <name val="Calibri"/>
      <family val="2"/>
      <scheme val="minor"/>
    </font>
    <font>
      <i/>
      <sz val="10"/>
      <name val="Arial"/>
      <family val="2"/>
    </font>
    <font>
      <sz val="12"/>
      <color rgb="FFFF0000"/>
      <name val="Arial"/>
      <family val="2"/>
    </font>
    <font>
      <sz val="12"/>
      <color theme="1"/>
      <name val="Arial"/>
      <family val="2"/>
    </font>
    <font>
      <b/>
      <sz val="18"/>
      <color theme="1"/>
      <name val="Arial"/>
      <family val="2"/>
    </font>
    <font>
      <b/>
      <sz val="20"/>
      <name val="Arial Unicode MS"/>
      <family val="2"/>
    </font>
    <font>
      <b/>
      <sz val="18"/>
      <name val="Arial Unicode MS"/>
      <family val="2"/>
    </font>
    <font>
      <b/>
      <sz val="20"/>
      <color indexed="8"/>
      <name val="Arial Unicode MS"/>
      <family val="2"/>
    </font>
    <font>
      <b/>
      <sz val="18"/>
      <color rgb="FFFF0000"/>
      <name val="Arial Unicode MS"/>
      <family val="2"/>
    </font>
    <font>
      <b/>
      <sz val="20"/>
      <color rgb="FFFF0000"/>
      <name val="Arial Unicode MS"/>
      <family val="2"/>
    </font>
    <font>
      <b/>
      <sz val="18"/>
      <color indexed="8"/>
      <name val="Arial Unicode MS"/>
      <family val="2"/>
    </font>
    <font>
      <b/>
      <sz val="18"/>
      <color theme="1"/>
      <name val="Arial Unicode MS"/>
      <family val="2"/>
    </font>
    <font>
      <b/>
      <sz val="16"/>
      <name val="Arial Unicode MS"/>
      <family val="2"/>
    </font>
    <font>
      <b/>
      <sz val="20"/>
      <color theme="1"/>
      <name val="Arial Unicode MS"/>
      <family val="2"/>
    </font>
    <font>
      <sz val="18"/>
      <color theme="1"/>
      <name val="Arial Unicode MS"/>
      <family val="2"/>
    </font>
    <font>
      <sz val="20"/>
      <color theme="1"/>
      <name val="Arial Unicode MS"/>
      <family val="2"/>
    </font>
    <font>
      <b/>
      <sz val="18"/>
      <color indexed="10"/>
      <name val="Arial Unicode MS"/>
      <family val="2"/>
    </font>
    <font>
      <b/>
      <sz val="16"/>
      <color theme="1"/>
      <name val="Arial Unicode MS"/>
      <family val="2"/>
    </font>
    <font>
      <b/>
      <sz val="16"/>
      <color indexed="8"/>
      <name val="Arial Unicode MS"/>
      <family val="2"/>
    </font>
    <font>
      <b/>
      <sz val="16"/>
      <color rgb="FF00B050"/>
      <name val="Arial Unicode MS"/>
      <family val="2"/>
    </font>
    <font>
      <b/>
      <sz val="16"/>
      <color rgb="FFFF0000"/>
      <name val="Arial Unicode MS"/>
      <family val="2"/>
    </font>
    <font>
      <b/>
      <sz val="16"/>
      <color indexed="10"/>
      <name val="Arial Unicode MS"/>
      <family val="2"/>
    </font>
    <font>
      <sz val="16"/>
      <color theme="1"/>
      <name val="Arial Unicode MS"/>
      <family val="2"/>
    </font>
    <font>
      <b/>
      <sz val="22"/>
      <color rgb="FFFF0000"/>
      <name val="Arial Black"/>
      <family val="2"/>
    </font>
    <font>
      <b/>
      <sz val="20"/>
      <color rgb="FFFF0000"/>
      <name val="Cambria"/>
      <family val="2"/>
      <scheme val="major"/>
    </font>
    <font>
      <sz val="20"/>
      <color theme="1"/>
      <name val="Cambria"/>
      <family val="1"/>
      <scheme val="major"/>
    </font>
    <font>
      <sz val="11"/>
      <color rgb="FFFF0000"/>
      <name val="Calibri"/>
      <family val="2"/>
      <scheme val="minor"/>
    </font>
    <font>
      <sz val="10"/>
      <color rgb="FFFF0000"/>
      <name val="Arial"/>
      <family val="2"/>
    </font>
    <font>
      <b/>
      <sz val="10"/>
      <name val="Arial"/>
      <family val="2"/>
    </font>
    <font>
      <b/>
      <sz val="22"/>
      <color theme="1"/>
      <name val="Arial Unicode MS"/>
      <family val="2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mbria"/>
      <family val="2"/>
      <scheme val="major"/>
    </font>
    <font>
      <b/>
      <sz val="11"/>
      <color rgb="FF00B050"/>
      <name val="Calibri"/>
      <family val="2"/>
      <scheme val="minor"/>
    </font>
    <font>
      <b/>
      <sz val="11"/>
      <color rgb="FF0070C0"/>
      <name val="Calibri"/>
      <family val="2"/>
      <scheme val="minor"/>
    </font>
    <font>
      <b/>
      <sz val="11"/>
      <color rgb="FFFFC000"/>
      <name val="Calibri"/>
      <family val="2"/>
      <scheme val="minor"/>
    </font>
    <font>
      <sz val="11"/>
      <color rgb="FF00B050"/>
      <name val="Calibri"/>
      <family val="2"/>
      <scheme val="minor"/>
    </font>
    <font>
      <sz val="11"/>
      <color rgb="FF0070C0"/>
      <name val="Calibri"/>
      <family val="2"/>
      <scheme val="minor"/>
    </font>
    <font>
      <sz val="11"/>
      <color rgb="FFFFC000"/>
      <name val="Calibri"/>
      <family val="2"/>
      <scheme val="minor"/>
    </font>
    <font>
      <sz val="11"/>
      <name val="Arial"/>
      <family val="2"/>
    </font>
    <font>
      <b/>
      <sz val="22"/>
      <name val="Arial Unicode MS"/>
      <family val="2"/>
    </font>
    <font>
      <b/>
      <sz val="20"/>
      <color rgb="FF7030A0"/>
      <name val="Arial Unicode MS"/>
      <family val="2"/>
    </font>
    <font>
      <b/>
      <sz val="18"/>
      <color rgb="FF7030A0"/>
      <name val="Arial Unicode MS"/>
      <family val="2"/>
    </font>
    <font>
      <b/>
      <i/>
      <sz val="20"/>
      <color rgb="FF7030A0"/>
      <name val="Arial"/>
      <family val="2"/>
    </font>
    <font>
      <sz val="16"/>
      <name val="Arial Unicode MS"/>
      <family val="2"/>
    </font>
    <font>
      <sz val="16"/>
      <color rgb="FF7030A0"/>
      <name val="Arial Unicode MS"/>
      <family val="2"/>
    </font>
    <font>
      <sz val="16"/>
      <color indexed="8"/>
      <name val="Arial Unicode MS"/>
      <family val="2"/>
    </font>
    <font>
      <sz val="16"/>
      <color rgb="FFFF0000"/>
      <name val="Arial Unicode MS"/>
      <family val="2"/>
    </font>
    <font>
      <sz val="16"/>
      <color rgb="FF00B050"/>
      <name val="Arial Unicode MS"/>
      <family val="2"/>
    </font>
    <font>
      <sz val="16"/>
      <color indexed="10"/>
      <name val="Arial Unicode MS"/>
      <family val="2"/>
    </font>
    <font>
      <b/>
      <sz val="12"/>
      <color theme="1"/>
      <name val="Arial"/>
      <family val="2"/>
    </font>
    <font>
      <sz val="18"/>
      <name val="Arial Unicode MS"/>
      <family val="2"/>
    </font>
    <font>
      <i/>
      <sz val="16"/>
      <color theme="0"/>
      <name val="Arial Unicode MS"/>
      <family val="2"/>
    </font>
    <font>
      <i/>
      <sz val="16"/>
      <name val="Arial Unicode MS"/>
      <family val="2"/>
    </font>
    <font>
      <i/>
      <sz val="16"/>
      <color rgb="FF7030A0"/>
      <name val="Arial Unicode MS"/>
      <family val="2"/>
    </font>
    <font>
      <b/>
      <sz val="14"/>
      <color theme="1"/>
      <name val="Arial Unicode MS"/>
      <family val="2"/>
    </font>
    <font>
      <b/>
      <sz val="8"/>
      <name val="Arial"/>
      <family val="2"/>
    </font>
    <font>
      <sz val="12"/>
      <color theme="1"/>
      <name val="Cambria"/>
      <family val="2"/>
      <scheme val="major"/>
    </font>
    <font>
      <i/>
      <sz val="16"/>
      <name val="Arial"/>
      <family val="2"/>
    </font>
    <font>
      <b/>
      <i/>
      <sz val="16"/>
      <name val="Arial Unicode MS"/>
      <family val="2"/>
    </font>
    <font>
      <sz val="18"/>
      <color indexed="8"/>
      <name val="Arial Unicode MS"/>
      <family val="2"/>
    </font>
  </fonts>
  <fills count="2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</fills>
  <borders count="3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20">
    <xf numFmtId="0" fontId="0" fillId="0" borderId="0"/>
    <xf numFmtId="0" fontId="3" fillId="0" borderId="0"/>
    <xf numFmtId="0" fontId="14" fillId="0" borderId="0" applyNumberFormat="0" applyFill="0" applyBorder="0" applyAlignment="0" applyProtection="0">
      <alignment vertical="top"/>
      <protection locked="0"/>
    </xf>
    <xf numFmtId="0" fontId="16" fillId="0" borderId="0"/>
    <xf numFmtId="0" fontId="3" fillId="0" borderId="0"/>
    <xf numFmtId="43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43" fontId="18" fillId="0" borderId="0" applyFont="0" applyFill="0" applyBorder="0" applyAlignment="0" applyProtection="0"/>
    <xf numFmtId="44" fontId="16" fillId="0" borderId="0" applyFont="0" applyFill="0" applyBorder="0" applyAlignment="0" applyProtection="0"/>
    <xf numFmtId="0" fontId="16" fillId="0" borderId="0"/>
    <xf numFmtId="43" fontId="16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3" fillId="0" borderId="0"/>
    <xf numFmtId="0" fontId="16" fillId="0" borderId="0"/>
    <xf numFmtId="0" fontId="16" fillId="0" borderId="0"/>
    <xf numFmtId="0" fontId="3" fillId="0" borderId="0"/>
    <xf numFmtId="0" fontId="2" fillId="0" borderId="0"/>
    <xf numFmtId="0" fontId="1" fillId="0" borderId="0"/>
    <xf numFmtId="0" fontId="1" fillId="0" borderId="0"/>
    <xf numFmtId="164" fontId="83" fillId="0" borderId="0" applyFont="0" applyFill="0" applyBorder="0" applyAlignment="0" applyProtection="0"/>
  </cellStyleXfs>
  <cellXfs count="930">
    <xf numFmtId="0" fontId="0" fillId="0" borderId="0" xfId="0"/>
    <xf numFmtId="0" fontId="5" fillId="0" borderId="1" xfId="1" applyFont="1" applyFill="1" applyBorder="1" applyAlignment="1">
      <alignment horizontal="center" vertical="center" wrapText="1"/>
    </xf>
    <xf numFmtId="1" fontId="6" fillId="0" borderId="1" xfId="1" applyNumberFormat="1" applyFont="1" applyBorder="1" applyAlignment="1">
      <alignment vertical="center" wrapText="1"/>
    </xf>
    <xf numFmtId="0" fontId="6" fillId="0" borderId="1" xfId="1" applyNumberFormat="1" applyFont="1" applyBorder="1" applyAlignment="1">
      <alignment horizontal="center" vertical="center" wrapText="1"/>
    </xf>
    <xf numFmtId="1" fontId="6" fillId="3" borderId="1" xfId="1" applyNumberFormat="1" applyFont="1" applyFill="1" applyBorder="1" applyAlignment="1">
      <alignment horizontal="center" vertical="center" wrapText="1"/>
    </xf>
    <xf numFmtId="0" fontId="6" fillId="0" borderId="2" xfId="1" applyFont="1" applyBorder="1" applyAlignment="1">
      <alignment horizontal="center" vertical="center" wrapText="1"/>
    </xf>
    <xf numFmtId="0" fontId="5" fillId="0" borderId="1" xfId="1" applyFont="1" applyFill="1" applyBorder="1" applyAlignment="1">
      <alignment vertical="center" wrapText="1"/>
    </xf>
    <xf numFmtId="0" fontId="7" fillId="0" borderId="1" xfId="1" applyFont="1" applyBorder="1" applyAlignment="1">
      <alignment horizontal="center" vertical="center" wrapText="1"/>
    </xf>
    <xf numFmtId="1" fontId="7" fillId="0" borderId="1" xfId="1" applyNumberFormat="1" applyFont="1" applyBorder="1" applyAlignment="1">
      <alignment vertical="center" wrapText="1"/>
    </xf>
    <xf numFmtId="0" fontId="7" fillId="0" borderId="1" xfId="1" applyNumberFormat="1" applyFont="1" applyBorder="1" applyAlignment="1">
      <alignment horizontal="center" vertical="center" wrapText="1"/>
    </xf>
    <xf numFmtId="1" fontId="7" fillId="0" borderId="1" xfId="1" applyNumberFormat="1" applyFont="1" applyBorder="1" applyAlignment="1">
      <alignment horizontal="center" vertical="center" wrapText="1"/>
    </xf>
    <xf numFmtId="0" fontId="7" fillId="0" borderId="1" xfId="1" applyFont="1" applyFill="1" applyBorder="1" applyAlignment="1">
      <alignment horizontal="center" vertical="center" wrapText="1"/>
    </xf>
    <xf numFmtId="0" fontId="8" fillId="0" borderId="1" xfId="1" applyFont="1" applyBorder="1" applyAlignment="1">
      <alignment horizontal="center" vertical="center" wrapText="1"/>
    </xf>
    <xf numFmtId="0" fontId="9" fillId="0" borderId="1" xfId="1" applyFont="1" applyFill="1" applyBorder="1" applyAlignment="1">
      <alignment vertical="top" wrapText="1"/>
    </xf>
    <xf numFmtId="0" fontId="9" fillId="0" borderId="1" xfId="1" applyFont="1" applyBorder="1" applyAlignment="1">
      <alignment horizontal="center" vertical="top" wrapText="1"/>
    </xf>
    <xf numFmtId="0" fontId="0" fillId="0" borderId="0" xfId="0" applyAlignment="1">
      <alignment wrapText="1"/>
    </xf>
    <xf numFmtId="0" fontId="10" fillId="0" borderId="1" xfId="1" applyFont="1" applyFill="1" applyBorder="1" applyAlignment="1">
      <alignment vertical="center" wrapText="1"/>
    </xf>
    <xf numFmtId="0" fontId="11" fillId="2" borderId="1" xfId="1" applyFont="1" applyFill="1" applyBorder="1" applyAlignment="1">
      <alignment horizontal="center" vertical="center" wrapText="1"/>
    </xf>
    <xf numFmtId="0" fontId="12" fillId="2" borderId="1" xfId="1" applyFont="1" applyFill="1" applyBorder="1" applyAlignment="1">
      <alignment horizontal="center" vertical="center" wrapText="1"/>
    </xf>
    <xf numFmtId="1" fontId="12" fillId="2" borderId="1" xfId="1" applyNumberFormat="1" applyFont="1" applyFill="1" applyBorder="1" applyAlignment="1">
      <alignment vertical="center" wrapText="1"/>
    </xf>
    <xf numFmtId="0" fontId="12" fillId="7" borderId="1" xfId="1" applyFont="1" applyFill="1" applyBorder="1" applyAlignment="1">
      <alignment vertical="top" wrapText="1"/>
    </xf>
    <xf numFmtId="1" fontId="12" fillId="7" borderId="1" xfId="1" applyNumberFormat="1" applyFont="1" applyFill="1" applyBorder="1" applyAlignment="1">
      <alignment vertical="top" wrapText="1"/>
    </xf>
    <xf numFmtId="2" fontId="12" fillId="0" borderId="1" xfId="1" applyNumberFormat="1" applyFont="1" applyFill="1" applyBorder="1" applyAlignment="1">
      <alignment vertical="top" wrapText="1"/>
    </xf>
    <xf numFmtId="2" fontId="12" fillId="0" borderId="1" xfId="1" applyNumberFormat="1" applyFont="1" applyBorder="1" applyAlignment="1"/>
    <xf numFmtId="10" fontId="12" fillId="0" borderId="1" xfId="1" applyNumberFormat="1" applyFont="1" applyBorder="1" applyAlignment="1"/>
    <xf numFmtId="2" fontId="12" fillId="7" borderId="1" xfId="1" applyNumberFormat="1" applyFont="1" applyFill="1" applyBorder="1" applyAlignment="1"/>
    <xf numFmtId="1" fontId="13" fillId="0" borderId="1" xfId="1" applyNumberFormat="1" applyFont="1" applyBorder="1" applyAlignment="1">
      <alignment horizontal="center" vertical="center" wrapText="1"/>
    </xf>
    <xf numFmtId="1" fontId="13" fillId="2" borderId="1" xfId="1" applyNumberFormat="1" applyFont="1" applyFill="1" applyBorder="1" applyAlignment="1">
      <alignment horizontal="center" vertical="center" wrapText="1"/>
    </xf>
    <xf numFmtId="1" fontId="12" fillId="0" borderId="1" xfId="1" applyNumberFormat="1" applyFont="1" applyFill="1" applyBorder="1" applyAlignment="1">
      <alignment horizontal="center" vertical="center" wrapText="1"/>
    </xf>
    <xf numFmtId="1" fontId="12" fillId="2" borderId="1" xfId="1" applyNumberFormat="1" applyFont="1" applyFill="1" applyBorder="1" applyAlignment="1">
      <alignment horizontal="center" vertical="center" wrapText="1"/>
    </xf>
    <xf numFmtId="0" fontId="10" fillId="0" borderId="1" xfId="1" applyFont="1" applyFill="1" applyBorder="1" applyAlignment="1">
      <alignment horizontal="center" vertical="center" wrapText="1"/>
    </xf>
    <xf numFmtId="0" fontId="12" fillId="0" borderId="1" xfId="1" applyFont="1" applyBorder="1" applyAlignment="1">
      <alignment horizontal="center" vertical="center" wrapText="1"/>
    </xf>
    <xf numFmtId="1" fontId="12" fillId="0" borderId="1" xfId="1" applyNumberFormat="1" applyFont="1" applyBorder="1" applyAlignment="1">
      <alignment vertical="center" wrapText="1"/>
    </xf>
    <xf numFmtId="0" fontId="12" fillId="0" borderId="1" xfId="1" applyNumberFormat="1" applyFont="1" applyBorder="1" applyAlignment="1">
      <alignment horizontal="center" vertical="center" wrapText="1"/>
    </xf>
    <xf numFmtId="1" fontId="12" fillId="0" borderId="1" xfId="1" applyNumberFormat="1" applyFont="1" applyBorder="1" applyAlignment="1"/>
    <xf numFmtId="1" fontId="3" fillId="0" borderId="0" xfId="1" applyNumberFormat="1" applyFont="1"/>
    <xf numFmtId="0" fontId="15" fillId="0" borderId="0" xfId="2" applyFont="1" applyAlignment="1" applyProtection="1"/>
    <xf numFmtId="0" fontId="0" fillId="0" borderId="0" xfId="0" applyFill="1"/>
    <xf numFmtId="1" fontId="0" fillId="0" borderId="0" xfId="0" applyNumberFormat="1"/>
    <xf numFmtId="0" fontId="3" fillId="0" borderId="1" xfId="1" applyFont="1" applyBorder="1" applyAlignment="1">
      <alignment vertical="center" wrapText="1"/>
    </xf>
    <xf numFmtId="0" fontId="7" fillId="11" borderId="1" xfId="1" applyFont="1" applyFill="1" applyBorder="1" applyAlignment="1">
      <alignment horizontal="center" vertical="center" wrapText="1"/>
    </xf>
    <xf numFmtId="0" fontId="12" fillId="11" borderId="1" xfId="1" applyFont="1" applyFill="1" applyBorder="1" applyAlignment="1">
      <alignment vertical="top" wrapText="1"/>
    </xf>
    <xf numFmtId="1" fontId="3" fillId="11" borderId="0" xfId="1" applyNumberFormat="1" applyFont="1" applyFill="1"/>
    <xf numFmtId="0" fontId="0" fillId="11" borderId="0" xfId="0" applyFill="1"/>
    <xf numFmtId="0" fontId="6" fillId="11" borderId="1" xfId="1" applyFont="1" applyFill="1" applyBorder="1" applyAlignment="1">
      <alignment horizontal="center" vertical="center" wrapText="1"/>
    </xf>
    <xf numFmtId="1" fontId="12" fillId="11" borderId="1" xfId="1" applyNumberFormat="1" applyFont="1" applyFill="1" applyBorder="1" applyAlignment="1">
      <alignment vertical="top" wrapText="1"/>
    </xf>
    <xf numFmtId="0" fontId="12" fillId="11" borderId="1" xfId="1" applyFont="1" applyFill="1" applyBorder="1" applyAlignment="1">
      <alignment horizontal="center"/>
    </xf>
    <xf numFmtId="165" fontId="12" fillId="11" borderId="1" xfId="1" applyNumberFormat="1" applyFont="1" applyFill="1" applyBorder="1" applyAlignment="1">
      <alignment horizontal="center"/>
    </xf>
    <xf numFmtId="2" fontId="12" fillId="11" borderId="1" xfId="1" applyNumberFormat="1" applyFont="1" applyFill="1" applyBorder="1" applyAlignment="1">
      <alignment vertical="top" wrapText="1"/>
    </xf>
    <xf numFmtId="1" fontId="12" fillId="11" borderId="1" xfId="1" applyNumberFormat="1" applyFont="1" applyFill="1" applyBorder="1" applyAlignment="1">
      <alignment horizontal="center" vertical="top" wrapText="1"/>
    </xf>
    <xf numFmtId="9" fontId="12" fillId="2" borderId="1" xfId="1" applyNumberFormat="1" applyFont="1" applyFill="1" applyBorder="1" applyAlignment="1">
      <alignment vertical="center" wrapText="1"/>
    </xf>
    <xf numFmtId="0" fontId="8" fillId="0" borderId="2" xfId="1" applyFont="1" applyBorder="1" applyAlignment="1">
      <alignment horizontal="center" vertical="center" wrapText="1"/>
    </xf>
    <xf numFmtId="2" fontId="12" fillId="0" borderId="2" xfId="1" applyNumberFormat="1" applyFont="1" applyBorder="1" applyAlignment="1"/>
    <xf numFmtId="0" fontId="9" fillId="0" borderId="16" xfId="1" applyFont="1" applyFill="1" applyBorder="1" applyAlignment="1">
      <alignment vertical="top" wrapText="1"/>
    </xf>
    <xf numFmtId="0" fontId="9" fillId="0" borderId="12" xfId="1" applyFont="1" applyFill="1" applyBorder="1" applyAlignment="1">
      <alignment vertical="top" wrapText="1"/>
    </xf>
    <xf numFmtId="1" fontId="12" fillId="2" borderId="16" xfId="1" applyNumberFormat="1" applyFont="1" applyFill="1" applyBorder="1" applyAlignment="1">
      <alignment vertical="center" wrapText="1"/>
    </xf>
    <xf numFmtId="1" fontId="12" fillId="2" borderId="12" xfId="1" applyNumberFormat="1" applyFont="1" applyFill="1" applyBorder="1" applyAlignment="1">
      <alignment vertical="center" wrapText="1"/>
    </xf>
    <xf numFmtId="0" fontId="21" fillId="0" borderId="0" xfId="0" applyFont="1"/>
    <xf numFmtId="0" fontId="21" fillId="0" borderId="0" xfId="0" applyFont="1" applyBorder="1"/>
    <xf numFmtId="165" fontId="20" fillId="2" borderId="0" xfId="5" applyNumberFormat="1" applyFont="1" applyFill="1" applyBorder="1" applyAlignment="1" applyProtection="1">
      <alignment horizontal="center"/>
    </xf>
    <xf numFmtId="1" fontId="12" fillId="2" borderId="3" xfId="1" applyNumberFormat="1" applyFont="1" applyFill="1" applyBorder="1" applyAlignment="1">
      <alignment vertical="center" wrapText="1"/>
    </xf>
    <xf numFmtId="0" fontId="22" fillId="2" borderId="0" xfId="3" applyFont="1" applyFill="1" applyBorder="1" applyAlignment="1">
      <alignment horizontal="center" vertical="center"/>
    </xf>
    <xf numFmtId="165" fontId="22" fillId="2" borderId="0" xfId="3" applyNumberFormat="1" applyFont="1" applyFill="1" applyBorder="1" applyAlignment="1">
      <alignment horizontal="center"/>
    </xf>
    <xf numFmtId="1" fontId="20" fillId="2" borderId="0" xfId="5" applyNumberFormat="1" applyFont="1" applyFill="1" applyBorder="1" applyAlignment="1" applyProtection="1">
      <alignment horizontal="center"/>
    </xf>
    <xf numFmtId="0" fontId="20" fillId="2" borderId="0" xfId="3" applyFont="1" applyFill="1" applyBorder="1" applyAlignment="1">
      <alignment horizontal="center"/>
    </xf>
    <xf numFmtId="0" fontId="23" fillId="0" borderId="0" xfId="0" applyFont="1"/>
    <xf numFmtId="0" fontId="23" fillId="0" borderId="0" xfId="0" applyFont="1" applyBorder="1"/>
    <xf numFmtId="0" fontId="25" fillId="0" borderId="0" xfId="0" applyFont="1" applyBorder="1"/>
    <xf numFmtId="0" fontId="25" fillId="0" borderId="0" xfId="0" applyFont="1"/>
    <xf numFmtId="165" fontId="24" fillId="2" borderId="0" xfId="5" applyNumberFormat="1" applyFont="1" applyFill="1" applyBorder="1" applyAlignment="1" applyProtection="1">
      <alignment horizontal="center"/>
    </xf>
    <xf numFmtId="0" fontId="26" fillId="0" borderId="0" xfId="4" applyFont="1"/>
    <xf numFmtId="1" fontId="23" fillId="0" borderId="0" xfId="0" applyNumberFormat="1" applyFont="1"/>
    <xf numFmtId="9" fontId="0" fillId="0" borderId="0" xfId="0" applyNumberFormat="1"/>
    <xf numFmtId="9" fontId="12" fillId="0" borderId="1" xfId="1" applyNumberFormat="1" applyFont="1" applyBorder="1" applyAlignment="1">
      <alignment vertical="center" wrapText="1"/>
    </xf>
    <xf numFmtId="0" fontId="9" fillId="0" borderId="2" xfId="1" applyFont="1" applyBorder="1" applyAlignment="1">
      <alignment horizontal="center" vertical="top" wrapText="1"/>
    </xf>
    <xf numFmtId="0" fontId="3" fillId="0" borderId="1" xfId="1" applyFont="1" applyFill="1" applyBorder="1" applyAlignment="1">
      <alignment horizontal="center" vertical="center" wrapText="1"/>
    </xf>
    <xf numFmtId="2" fontId="25" fillId="8" borderId="1" xfId="3" applyNumberFormat="1" applyFont="1" applyFill="1" applyBorder="1" applyAlignment="1">
      <alignment horizontal="center"/>
    </xf>
    <xf numFmtId="165" fontId="24" fillId="2" borderId="0" xfId="3" applyNumberFormat="1" applyFont="1" applyFill="1" applyBorder="1" applyAlignment="1">
      <alignment horizontal="center" vertical="center" wrapText="1" shrinkToFit="1"/>
    </xf>
    <xf numFmtId="0" fontId="24" fillId="2" borderId="0" xfId="3" applyFont="1" applyFill="1" applyBorder="1" applyAlignment="1">
      <alignment horizontal="center" vertical="center"/>
    </xf>
    <xf numFmtId="1" fontId="24" fillId="2" borderId="0" xfId="5" applyNumberFormat="1" applyFont="1" applyFill="1" applyBorder="1" applyAlignment="1" applyProtection="1">
      <alignment horizontal="center"/>
    </xf>
    <xf numFmtId="0" fontId="24" fillId="2" borderId="0" xfId="3" applyFont="1" applyFill="1" applyBorder="1" applyAlignment="1">
      <alignment horizontal="center"/>
    </xf>
    <xf numFmtId="165" fontId="24" fillId="2" borderId="0" xfId="3" applyNumberFormat="1" applyFont="1" applyFill="1" applyBorder="1" applyAlignment="1">
      <alignment horizontal="center"/>
    </xf>
    <xf numFmtId="0" fontId="27" fillId="0" borderId="22" xfId="4" applyFont="1" applyBorder="1" applyAlignment="1">
      <alignment vertical="center" wrapText="1"/>
    </xf>
    <xf numFmtId="0" fontId="27" fillId="0" borderId="18" xfId="4" applyFont="1" applyBorder="1" applyAlignment="1">
      <alignment vertical="center" wrapText="1"/>
    </xf>
    <xf numFmtId="1" fontId="6" fillId="0" borderId="1" xfId="1" applyNumberFormat="1" applyFont="1" applyFill="1" applyBorder="1" applyAlignment="1">
      <alignment horizontal="center" vertical="center" wrapText="1"/>
    </xf>
    <xf numFmtId="0" fontId="3" fillId="0" borderId="5" xfId="1" applyFont="1" applyFill="1" applyBorder="1" applyAlignment="1">
      <alignment horizontal="center" vertical="center" wrapText="1"/>
    </xf>
    <xf numFmtId="1" fontId="28" fillId="2" borderId="1" xfId="1" applyNumberFormat="1" applyFont="1" applyFill="1" applyBorder="1" applyAlignment="1">
      <alignment vertical="center" wrapText="1"/>
    </xf>
    <xf numFmtId="2" fontId="23" fillId="0" borderId="0" xfId="0" applyNumberFormat="1" applyFont="1"/>
    <xf numFmtId="0" fontId="30" fillId="0" borderId="0" xfId="0" applyFont="1"/>
    <xf numFmtId="0" fontId="30" fillId="0" borderId="0" xfId="0" applyFont="1" applyBorder="1"/>
    <xf numFmtId="0" fontId="29" fillId="0" borderId="1" xfId="0" applyFont="1" applyBorder="1"/>
    <xf numFmtId="1" fontId="29" fillId="0" borderId="1" xfId="0" applyNumberFormat="1" applyFont="1" applyBorder="1"/>
    <xf numFmtId="0" fontId="0" fillId="0" borderId="0" xfId="0" applyAlignment="1">
      <alignment vertical="center" wrapText="1"/>
    </xf>
    <xf numFmtId="0" fontId="29" fillId="0" borderId="1" xfId="0" applyFont="1" applyBorder="1" applyAlignment="1">
      <alignment vertical="center" wrapText="1"/>
    </xf>
    <xf numFmtId="0" fontId="37" fillId="0" borderId="0" xfId="0" applyFont="1"/>
    <xf numFmtId="2" fontId="38" fillId="8" borderId="1" xfId="3" applyNumberFormat="1" applyFont="1" applyFill="1" applyBorder="1" applyAlignment="1">
      <alignment horizontal="center"/>
    </xf>
    <xf numFmtId="0" fontId="41" fillId="0" borderId="0" xfId="0" applyFont="1"/>
    <xf numFmtId="0" fontId="39" fillId="0" borderId="0" xfId="0" applyFont="1"/>
    <xf numFmtId="0" fontId="31" fillId="8" borderId="1" xfId="3" applyFont="1" applyFill="1" applyBorder="1" applyAlignment="1">
      <alignment horizontal="center" vertical="center"/>
    </xf>
    <xf numFmtId="1" fontId="38" fillId="8" borderId="1" xfId="3" applyNumberFormat="1" applyFont="1" applyFill="1" applyBorder="1" applyAlignment="1">
      <alignment horizontal="center"/>
    </xf>
    <xf numFmtId="0" fontId="32" fillId="9" borderId="1" xfId="3" applyFont="1" applyFill="1" applyBorder="1" applyAlignment="1">
      <alignment horizontal="center" vertical="center"/>
    </xf>
    <xf numFmtId="10" fontId="32" fillId="9" borderId="1" xfId="3" applyNumberFormat="1" applyFont="1" applyFill="1" applyBorder="1" applyAlignment="1">
      <alignment horizontal="center"/>
    </xf>
    <xf numFmtId="1" fontId="32" fillId="9" borderId="1" xfId="3" applyNumberFormat="1" applyFont="1" applyFill="1" applyBorder="1" applyAlignment="1">
      <alignment horizontal="center"/>
    </xf>
    <xf numFmtId="2" fontId="32" fillId="9" borderId="1" xfId="3" applyNumberFormat="1" applyFont="1" applyFill="1" applyBorder="1" applyAlignment="1">
      <alignment horizontal="center"/>
    </xf>
    <xf numFmtId="9" fontId="32" fillId="9" borderId="1" xfId="3" applyNumberFormat="1" applyFont="1" applyFill="1" applyBorder="1" applyAlignment="1">
      <alignment horizontal="center"/>
    </xf>
    <xf numFmtId="0" fontId="40" fillId="0" borderId="0" xfId="0" applyFont="1"/>
    <xf numFmtId="2" fontId="38" fillId="2" borderId="1" xfId="3" applyNumberFormat="1" applyFont="1" applyFill="1" applyBorder="1" applyAlignment="1">
      <alignment horizontal="center" vertical="center"/>
    </xf>
    <xf numFmtId="165" fontId="38" fillId="8" borderId="1" xfId="3" applyNumberFormat="1" applyFont="1" applyFill="1" applyBorder="1" applyAlignment="1">
      <alignment horizontal="center" wrapText="1" shrinkToFit="1"/>
    </xf>
    <xf numFmtId="2" fontId="38" fillId="8" borderId="1" xfId="3" applyNumberFormat="1" applyFont="1" applyFill="1" applyBorder="1" applyAlignment="1">
      <alignment horizontal="center" vertical="center"/>
    </xf>
    <xf numFmtId="1" fontId="38" fillId="8" borderId="1" xfId="3" applyNumberFormat="1" applyFont="1" applyFill="1" applyBorder="1" applyAlignment="1">
      <alignment horizontal="center" vertical="center"/>
    </xf>
    <xf numFmtId="0" fontId="38" fillId="12" borderId="1" xfId="3" applyFont="1" applyFill="1" applyBorder="1" applyAlignment="1">
      <alignment horizontal="center" vertical="center"/>
    </xf>
    <xf numFmtId="0" fontId="38" fillId="12" borderId="1" xfId="3" applyFont="1" applyFill="1" applyBorder="1" applyAlignment="1">
      <alignment horizontal="center"/>
    </xf>
    <xf numFmtId="1" fontId="38" fillId="2" borderId="1" xfId="5" applyNumberFormat="1" applyFont="1" applyFill="1" applyBorder="1" applyAlignment="1">
      <alignment horizontal="center" vertical="center"/>
    </xf>
    <xf numFmtId="0" fontId="38" fillId="2" borderId="1" xfId="3" applyNumberFormat="1" applyFont="1" applyFill="1" applyBorder="1" applyAlignment="1">
      <alignment horizontal="center"/>
    </xf>
    <xf numFmtId="2" fontId="38" fillId="8" borderId="7" xfId="3" applyNumberFormat="1" applyFont="1" applyFill="1" applyBorder="1" applyAlignment="1">
      <alignment horizontal="center"/>
    </xf>
    <xf numFmtId="1" fontId="38" fillId="2" borderId="6" xfId="5" applyNumberFormat="1" applyFont="1" applyFill="1" applyBorder="1" applyAlignment="1">
      <alignment horizontal="center" vertical="center"/>
    </xf>
    <xf numFmtId="1" fontId="38" fillId="2" borderId="7" xfId="3" applyNumberFormat="1" applyFont="1" applyFill="1" applyBorder="1" applyAlignment="1">
      <alignment horizontal="center"/>
    </xf>
    <xf numFmtId="0" fontId="38" fillId="0" borderId="1" xfId="4" applyFont="1" applyBorder="1" applyAlignment="1">
      <alignment horizontal="center"/>
    </xf>
    <xf numFmtId="2" fontId="38" fillId="8" borderId="1" xfId="3" applyNumberFormat="1" applyFont="1" applyFill="1" applyBorder="1" applyAlignment="1">
      <alignment horizontal="right"/>
    </xf>
    <xf numFmtId="1" fontId="38" fillId="8" borderId="1" xfId="5" applyNumberFormat="1" applyFont="1" applyFill="1" applyBorder="1" applyAlignment="1">
      <alignment horizontal="center" vertical="center"/>
    </xf>
    <xf numFmtId="2" fontId="38" fillId="2" borderId="1" xfId="3" applyNumberFormat="1" applyFont="1" applyFill="1" applyBorder="1" applyAlignment="1">
      <alignment horizontal="center"/>
    </xf>
    <xf numFmtId="0" fontId="43" fillId="12" borderId="1" xfId="3" applyFont="1" applyFill="1" applyBorder="1" applyAlignment="1">
      <alignment horizontal="center"/>
    </xf>
    <xf numFmtId="0" fontId="44" fillId="0" borderId="1" xfId="4" applyFont="1" applyBorder="1" applyAlignment="1">
      <alignment horizontal="center"/>
    </xf>
    <xf numFmtId="0" fontId="38" fillId="2" borderId="1" xfId="4" applyFont="1" applyFill="1" applyBorder="1" applyAlignment="1">
      <alignment horizontal="center"/>
    </xf>
    <xf numFmtId="1" fontId="38" fillId="2" borderId="1" xfId="3" applyNumberFormat="1" applyFont="1" applyFill="1" applyBorder="1" applyAlignment="1">
      <alignment horizontal="center"/>
    </xf>
    <xf numFmtId="1" fontId="43" fillId="12" borderId="1" xfId="3" applyNumberFormat="1" applyFont="1" applyFill="1" applyBorder="1" applyAlignment="1">
      <alignment horizontal="center"/>
    </xf>
    <xf numFmtId="0" fontId="45" fillId="8" borderId="1" xfId="3" applyFont="1" applyFill="1" applyBorder="1" applyAlignment="1">
      <alignment horizontal="center"/>
    </xf>
    <xf numFmtId="165" fontId="45" fillId="8" borderId="1" xfId="5" applyNumberFormat="1" applyFont="1" applyFill="1" applyBorder="1" applyAlignment="1">
      <alignment horizontal="center" vertical="center"/>
    </xf>
    <xf numFmtId="0" fontId="45" fillId="2" borderId="1" xfId="4" applyFont="1" applyFill="1" applyBorder="1" applyAlignment="1">
      <alignment horizontal="center"/>
    </xf>
    <xf numFmtId="0" fontId="43" fillId="12" borderId="1" xfId="3" applyFont="1" applyFill="1" applyBorder="1" applyAlignment="1">
      <alignment horizontal="center" vertical="center"/>
    </xf>
    <xf numFmtId="1" fontId="38" fillId="12" borderId="1" xfId="3" applyNumberFormat="1" applyFont="1" applyFill="1" applyBorder="1" applyAlignment="1">
      <alignment horizontal="center" vertical="center"/>
    </xf>
    <xf numFmtId="0" fontId="46" fillId="12" borderId="1" xfId="3" applyFont="1" applyFill="1" applyBorder="1" applyAlignment="1">
      <alignment horizontal="center" vertical="center"/>
    </xf>
    <xf numFmtId="2" fontId="47" fillId="8" borderId="1" xfId="3" applyNumberFormat="1" applyFont="1" applyFill="1" applyBorder="1" applyAlignment="1">
      <alignment horizontal="center"/>
    </xf>
    <xf numFmtId="165" fontId="43" fillId="8" borderId="1" xfId="3" applyNumberFormat="1" applyFont="1" applyFill="1" applyBorder="1" applyAlignment="1">
      <alignment horizontal="center"/>
    </xf>
    <xf numFmtId="1" fontId="46" fillId="8" borderId="1" xfId="3" applyNumberFormat="1" applyFont="1" applyFill="1" applyBorder="1" applyAlignment="1">
      <alignment horizontal="center"/>
    </xf>
    <xf numFmtId="1" fontId="47" fillId="8" borderId="1" xfId="5" applyNumberFormat="1" applyFont="1" applyFill="1" applyBorder="1" applyAlignment="1">
      <alignment horizontal="center" vertical="center"/>
    </xf>
    <xf numFmtId="2" fontId="38" fillId="8" borderId="1" xfId="9" applyNumberFormat="1" applyFont="1" applyFill="1" applyBorder="1" applyAlignment="1">
      <alignment horizontal="center"/>
    </xf>
    <xf numFmtId="169" fontId="43" fillId="8" borderId="1" xfId="5" applyNumberFormat="1" applyFont="1" applyFill="1" applyBorder="1" applyAlignment="1" applyProtection="1">
      <alignment horizontal="center" vertical="center"/>
    </xf>
    <xf numFmtId="165" fontId="46" fillId="8" borderId="1" xfId="5" applyNumberFormat="1" applyFont="1" applyFill="1" applyBorder="1" applyAlignment="1" applyProtection="1">
      <alignment horizontal="center"/>
    </xf>
    <xf numFmtId="1" fontId="47" fillId="0" borderId="1" xfId="4" applyNumberFormat="1" applyFont="1" applyBorder="1" applyAlignment="1">
      <alignment horizontal="center"/>
    </xf>
    <xf numFmtId="2" fontId="46" fillId="8" borderId="1" xfId="3" applyNumberFormat="1" applyFont="1" applyFill="1" applyBorder="1" applyAlignment="1">
      <alignment horizontal="right"/>
    </xf>
    <xf numFmtId="1" fontId="47" fillId="8" borderId="1" xfId="3" applyNumberFormat="1" applyFont="1" applyFill="1" applyBorder="1" applyAlignment="1">
      <alignment horizontal="center" vertical="center"/>
    </xf>
    <xf numFmtId="0" fontId="45" fillId="2" borderId="1" xfId="3" applyFont="1" applyFill="1" applyBorder="1" applyAlignment="1">
      <alignment horizontal="center"/>
    </xf>
    <xf numFmtId="170" fontId="45" fillId="8" borderId="1" xfId="5" applyNumberFormat="1" applyFont="1" applyFill="1" applyBorder="1" applyAlignment="1" applyProtection="1">
      <alignment horizontal="center" vertical="center"/>
    </xf>
    <xf numFmtId="1" fontId="45" fillId="2" borderId="1" xfId="3" applyNumberFormat="1" applyFont="1" applyFill="1" applyBorder="1" applyAlignment="1">
      <alignment horizontal="center" vertical="top"/>
    </xf>
    <xf numFmtId="0" fontId="38" fillId="0" borderId="1" xfId="4" applyFont="1" applyBorder="1" applyAlignment="1">
      <alignment horizontal="center" vertical="center"/>
    </xf>
    <xf numFmtId="0" fontId="38" fillId="8" borderId="1" xfId="3" applyFont="1" applyFill="1" applyBorder="1" applyAlignment="1">
      <alignment horizontal="center" vertical="center"/>
    </xf>
    <xf numFmtId="0" fontId="44" fillId="2" borderId="1" xfId="4" applyFont="1" applyFill="1" applyBorder="1" applyAlignment="1">
      <alignment horizontal="center" wrapText="1"/>
    </xf>
    <xf numFmtId="0" fontId="44" fillId="0" borderId="1" xfId="4" applyFont="1" applyFill="1" applyBorder="1" applyAlignment="1">
      <alignment horizontal="center" wrapText="1"/>
    </xf>
    <xf numFmtId="0" fontId="44" fillId="0" borderId="1" xfId="4" applyFont="1" applyBorder="1" applyAlignment="1">
      <alignment horizontal="center" wrapText="1"/>
    </xf>
    <xf numFmtId="0" fontId="44" fillId="2" borderId="1" xfId="4" applyFont="1" applyFill="1" applyBorder="1" applyAlignment="1">
      <alignment horizontal="center"/>
    </xf>
    <xf numFmtId="0" fontId="38" fillId="8" borderId="1" xfId="3" applyFont="1" applyFill="1" applyBorder="1" applyAlignment="1">
      <alignment horizontal="center"/>
    </xf>
    <xf numFmtId="0" fontId="38" fillId="2" borderId="1" xfId="3" applyFont="1" applyFill="1" applyBorder="1" applyAlignment="1">
      <alignment horizontal="center"/>
    </xf>
    <xf numFmtId="1" fontId="43" fillId="2" borderId="1" xfId="3" applyNumberFormat="1" applyFont="1" applyFill="1" applyBorder="1" applyAlignment="1">
      <alignment horizontal="center"/>
    </xf>
    <xf numFmtId="43" fontId="38" fillId="8" borderId="1" xfId="7" applyFont="1" applyFill="1" applyBorder="1" applyAlignment="1">
      <alignment horizontal="right" wrapText="1"/>
    </xf>
    <xf numFmtId="0" fontId="43" fillId="0" borderId="1" xfId="0" applyFont="1" applyBorder="1" applyAlignment="1">
      <alignment horizontal="center"/>
    </xf>
    <xf numFmtId="1" fontId="43" fillId="0" borderId="1" xfId="0" applyNumberFormat="1" applyFont="1" applyBorder="1" applyAlignment="1">
      <alignment horizontal="center"/>
    </xf>
    <xf numFmtId="0" fontId="43" fillId="0" borderId="1" xfId="0" applyFont="1" applyFill="1" applyBorder="1" applyAlignment="1">
      <alignment horizontal="center"/>
    </xf>
    <xf numFmtId="0" fontId="43" fillId="0" borderId="1" xfId="0" applyFont="1" applyFill="1" applyBorder="1"/>
    <xf numFmtId="1" fontId="43" fillId="0" borderId="1" xfId="0" applyNumberFormat="1" applyFont="1" applyFill="1" applyBorder="1" applyAlignment="1">
      <alignment horizontal="center"/>
    </xf>
    <xf numFmtId="0" fontId="43" fillId="0" borderId="0" xfId="0" applyFont="1"/>
    <xf numFmtId="1" fontId="43" fillId="0" borderId="0" xfId="0" applyNumberFormat="1" applyFont="1" applyAlignment="1">
      <alignment horizontal="center"/>
    </xf>
    <xf numFmtId="1" fontId="43" fillId="0" borderId="0" xfId="0" applyNumberFormat="1" applyFont="1"/>
    <xf numFmtId="1" fontId="38" fillId="12" borderId="1" xfId="5" applyNumberFormat="1" applyFont="1" applyFill="1" applyBorder="1" applyAlignment="1">
      <alignment horizontal="center"/>
    </xf>
    <xf numFmtId="0" fontId="44" fillId="0" borderId="1" xfId="4" applyFont="1" applyFill="1" applyBorder="1" applyAlignment="1">
      <alignment horizontal="center"/>
    </xf>
    <xf numFmtId="0" fontId="43" fillId="0" borderId="1" xfId="0" applyFont="1" applyBorder="1"/>
    <xf numFmtId="9" fontId="38" fillId="8" borderId="1" xfId="6" applyNumberFormat="1" applyFont="1" applyFill="1" applyBorder="1" applyAlignment="1">
      <alignment horizontal="center"/>
    </xf>
    <xf numFmtId="166" fontId="38" fillId="0" borderId="1" xfId="6" applyNumberFormat="1" applyFont="1" applyFill="1" applyBorder="1" applyAlignment="1"/>
    <xf numFmtId="1" fontId="38" fillId="8" borderId="1" xfId="5" applyNumberFormat="1" applyFont="1" applyFill="1" applyBorder="1" applyAlignment="1">
      <alignment horizontal="right"/>
    </xf>
    <xf numFmtId="0" fontId="48" fillId="0" borderId="0" xfId="0" applyFont="1"/>
    <xf numFmtId="1" fontId="48" fillId="0" borderId="0" xfId="0" applyNumberFormat="1" applyFont="1" applyAlignment="1">
      <alignment horizontal="center"/>
    </xf>
    <xf numFmtId="1" fontId="48" fillId="0" borderId="0" xfId="0" applyNumberFormat="1" applyFont="1"/>
    <xf numFmtId="2" fontId="19" fillId="8" borderId="9" xfId="3" applyNumberFormat="1" applyFont="1" applyFill="1" applyBorder="1" applyAlignment="1">
      <alignment horizontal="center"/>
    </xf>
    <xf numFmtId="165" fontId="38" fillId="8" borderId="12" xfId="3" applyNumberFormat="1" applyFont="1" applyFill="1" applyBorder="1" applyAlignment="1">
      <alignment horizontal="center" wrapText="1" shrinkToFit="1"/>
    </xf>
    <xf numFmtId="0" fontId="38" fillId="12" borderId="12" xfId="3" applyFont="1" applyFill="1" applyBorder="1" applyAlignment="1">
      <alignment horizontal="center"/>
    </xf>
    <xf numFmtId="1" fontId="38" fillId="8" borderId="12" xfId="5" applyNumberFormat="1" applyFont="1" applyFill="1" applyBorder="1" applyAlignment="1" applyProtection="1">
      <alignment horizontal="center"/>
    </xf>
    <xf numFmtId="1" fontId="38" fillId="2" borderId="12" xfId="5" applyNumberFormat="1" applyFont="1" applyFill="1" applyBorder="1" applyAlignment="1" applyProtection="1">
      <alignment horizontal="center"/>
    </xf>
    <xf numFmtId="1" fontId="38" fillId="12" borderId="12" xfId="3" applyNumberFormat="1" applyFont="1" applyFill="1" applyBorder="1" applyAlignment="1">
      <alignment horizontal="center" vertical="center"/>
    </xf>
    <xf numFmtId="1" fontId="43" fillId="0" borderId="12" xfId="0" applyNumberFormat="1" applyFont="1" applyBorder="1" applyAlignment="1">
      <alignment horizontal="center"/>
    </xf>
    <xf numFmtId="1" fontId="43" fillId="0" borderId="12" xfId="0" applyNumberFormat="1" applyFont="1" applyFill="1" applyBorder="1" applyAlignment="1">
      <alignment horizontal="center"/>
    </xf>
    <xf numFmtId="0" fontId="43" fillId="0" borderId="0" xfId="0" applyFont="1" applyBorder="1"/>
    <xf numFmtId="1" fontId="43" fillId="0" borderId="0" xfId="0" applyNumberFormat="1" applyFont="1" applyBorder="1" applyAlignment="1">
      <alignment horizontal="center"/>
    </xf>
    <xf numFmtId="1" fontId="43" fillId="0" borderId="24" xfId="0" applyNumberFormat="1" applyFont="1" applyBorder="1"/>
    <xf numFmtId="0" fontId="43" fillId="12" borderId="12" xfId="3" applyFont="1" applyFill="1" applyBorder="1" applyAlignment="1">
      <alignment horizontal="center"/>
    </xf>
    <xf numFmtId="1" fontId="38" fillId="12" borderId="12" xfId="5" applyNumberFormat="1" applyFont="1" applyFill="1" applyBorder="1" applyAlignment="1">
      <alignment horizontal="center"/>
    </xf>
    <xf numFmtId="2" fontId="38" fillId="8" borderId="6" xfId="3" applyNumberFormat="1" applyFont="1" applyFill="1" applyBorder="1" applyAlignment="1">
      <alignment horizontal="center"/>
    </xf>
    <xf numFmtId="9" fontId="38" fillId="8" borderId="6" xfId="6" applyNumberFormat="1" applyFont="1" applyFill="1" applyBorder="1" applyAlignment="1">
      <alignment horizontal="center"/>
    </xf>
    <xf numFmtId="2" fontId="38" fillId="8" borderId="6" xfId="3" applyNumberFormat="1" applyFont="1" applyFill="1" applyBorder="1" applyAlignment="1">
      <alignment horizontal="right"/>
    </xf>
    <xf numFmtId="1" fontId="38" fillId="8" borderId="17" xfId="5" applyNumberFormat="1" applyFont="1" applyFill="1" applyBorder="1" applyAlignment="1" applyProtection="1">
      <alignment horizontal="center"/>
    </xf>
    <xf numFmtId="9" fontId="32" fillId="9" borderId="16" xfId="3" applyNumberFormat="1" applyFont="1" applyFill="1" applyBorder="1" applyAlignment="1">
      <alignment horizontal="left"/>
    </xf>
    <xf numFmtId="0" fontId="33" fillId="0" borderId="1" xfId="4" applyFont="1" applyBorder="1" applyAlignment="1">
      <alignment horizontal="left"/>
    </xf>
    <xf numFmtId="167" fontId="32" fillId="9" borderId="16" xfId="3" applyNumberFormat="1" applyFont="1" applyFill="1" applyBorder="1" applyAlignment="1">
      <alignment horizontal="left"/>
    </xf>
    <xf numFmtId="0" fontId="32" fillId="9" borderId="16" xfId="3" applyFont="1" applyFill="1" applyBorder="1"/>
    <xf numFmtId="0" fontId="32" fillId="8" borderId="16" xfId="3" applyFont="1" applyFill="1" applyBorder="1" applyAlignment="1">
      <alignment horizontal="center" vertical="center"/>
    </xf>
    <xf numFmtId="0" fontId="32" fillId="8" borderId="16" xfId="3" applyFont="1" applyFill="1" applyBorder="1" applyAlignment="1">
      <alignment horizontal="left" vertical="center"/>
    </xf>
    <xf numFmtId="0" fontId="31" fillId="8" borderId="1" xfId="3" applyFont="1" applyFill="1" applyBorder="1" applyAlignment="1">
      <alignment horizontal="left" vertical="center"/>
    </xf>
    <xf numFmtId="0" fontId="32" fillId="8" borderId="20" xfId="3" applyFont="1" applyFill="1" applyBorder="1" applyAlignment="1">
      <alignment horizontal="left" vertical="center"/>
    </xf>
    <xf numFmtId="0" fontId="32" fillId="8" borderId="5" xfId="3" applyFont="1" applyFill="1" applyBorder="1" applyAlignment="1">
      <alignment horizontal="left" vertical="center"/>
    </xf>
    <xf numFmtId="0" fontId="32" fillId="8" borderId="10" xfId="3" applyFont="1" applyFill="1" applyBorder="1" applyAlignment="1">
      <alignment horizontal="left" vertical="center"/>
    </xf>
    <xf numFmtId="168" fontId="32" fillId="8" borderId="16" xfId="3" applyNumberFormat="1" applyFont="1" applyFill="1" applyBorder="1" applyAlignment="1">
      <alignment vertical="center"/>
    </xf>
    <xf numFmtId="168" fontId="31" fillId="8" borderId="1" xfId="3" applyNumberFormat="1" applyFont="1" applyFill="1" applyBorder="1" applyAlignment="1">
      <alignment vertical="center"/>
    </xf>
    <xf numFmtId="0" fontId="32" fillId="13" borderId="16" xfId="3" applyFont="1" applyFill="1" applyBorder="1" applyAlignment="1">
      <alignment horizontal="center"/>
    </xf>
    <xf numFmtId="0" fontId="31" fillId="13" borderId="1" xfId="3" applyFont="1" applyFill="1" applyBorder="1" applyAlignment="1">
      <alignment horizontal="center"/>
    </xf>
    <xf numFmtId="0" fontId="32" fillId="2" borderId="16" xfId="3" applyFont="1" applyFill="1" applyBorder="1" applyAlignment="1">
      <alignment horizontal="left" vertical="center"/>
    </xf>
    <xf numFmtId="0" fontId="31" fillId="2" borderId="1" xfId="3" applyFont="1" applyFill="1" applyBorder="1" applyAlignment="1">
      <alignment horizontal="left" vertical="center"/>
    </xf>
    <xf numFmtId="0" fontId="31" fillId="8" borderId="1" xfId="3" applyFont="1" applyFill="1" applyBorder="1" applyAlignment="1">
      <alignment horizontal="left"/>
    </xf>
    <xf numFmtId="0" fontId="32" fillId="13" borderId="16" xfId="3" applyFont="1" applyFill="1" applyBorder="1" applyAlignment="1">
      <alignment horizontal="center" vertical="center"/>
    </xf>
    <xf numFmtId="0" fontId="31" fillId="13" borderId="1" xfId="3" applyFont="1" applyFill="1" applyBorder="1" applyAlignment="1">
      <alignment horizontal="center" vertical="center"/>
    </xf>
    <xf numFmtId="0" fontId="42" fillId="2" borderId="13" xfId="3" applyFont="1" applyFill="1" applyBorder="1" applyAlignment="1">
      <alignment horizontal="center"/>
    </xf>
    <xf numFmtId="0" fontId="42" fillId="2" borderId="3" xfId="3" applyFont="1" applyFill="1" applyBorder="1" applyAlignment="1">
      <alignment horizontal="center"/>
    </xf>
    <xf numFmtId="0" fontId="42" fillId="2" borderId="4" xfId="3" applyFont="1" applyFill="1" applyBorder="1" applyAlignment="1">
      <alignment horizontal="center"/>
    </xf>
    <xf numFmtId="0" fontId="42" fillId="13" borderId="13" xfId="3" applyFont="1" applyFill="1" applyBorder="1" applyAlignment="1">
      <alignment horizontal="center"/>
    </xf>
    <xf numFmtId="0" fontId="42" fillId="13" borderId="3" xfId="3" applyFont="1" applyFill="1" applyBorder="1" applyAlignment="1">
      <alignment horizontal="center"/>
    </xf>
    <xf numFmtId="0" fontId="42" fillId="13" borderId="4" xfId="3" applyFont="1" applyFill="1" applyBorder="1" applyAlignment="1">
      <alignment horizontal="center"/>
    </xf>
    <xf numFmtId="0" fontId="32" fillId="12" borderId="16" xfId="3" applyFont="1" applyFill="1" applyBorder="1" applyAlignment="1">
      <alignment horizontal="left"/>
    </xf>
    <xf numFmtId="2" fontId="32" fillId="8" borderId="16" xfId="3" applyNumberFormat="1" applyFont="1" applyFill="1" applyBorder="1" applyAlignment="1">
      <alignment horizontal="left" vertical="center"/>
    </xf>
    <xf numFmtId="2" fontId="31" fillId="8" borderId="1" xfId="3" applyNumberFormat="1" applyFont="1" applyFill="1" applyBorder="1" applyAlignment="1">
      <alignment horizontal="left" vertical="center"/>
    </xf>
    <xf numFmtId="0" fontId="31" fillId="8" borderId="1" xfId="3" applyFont="1" applyFill="1" applyBorder="1" applyAlignment="1">
      <alignment horizontal="left" vertical="justify"/>
    </xf>
    <xf numFmtId="9" fontId="38" fillId="9" borderId="1" xfId="4" applyNumberFormat="1" applyFont="1" applyFill="1" applyBorder="1"/>
    <xf numFmtId="0" fontId="38" fillId="9" borderId="1" xfId="3" applyFont="1" applyFill="1" applyBorder="1" applyAlignment="1"/>
    <xf numFmtId="1" fontId="32" fillId="9" borderId="12" xfId="3" applyNumberFormat="1" applyFont="1" applyFill="1" applyBorder="1" applyAlignment="1">
      <alignment horizontal="center" vertical="center"/>
    </xf>
    <xf numFmtId="0" fontId="32" fillId="9" borderId="1" xfId="3" applyFont="1" applyFill="1" applyBorder="1" applyAlignment="1">
      <alignment horizontal="left"/>
    </xf>
    <xf numFmtId="1" fontId="32" fillId="9" borderId="12" xfId="3" applyNumberFormat="1" applyFont="1" applyFill="1" applyBorder="1" applyAlignment="1">
      <alignment horizontal="center"/>
    </xf>
    <xf numFmtId="9" fontId="32" fillId="9" borderId="1" xfId="3" applyNumberFormat="1" applyFont="1" applyFill="1" applyBorder="1" applyAlignment="1">
      <alignment horizontal="left"/>
    </xf>
    <xf numFmtId="0" fontId="38" fillId="8" borderId="7" xfId="3" applyFont="1" applyFill="1" applyBorder="1" applyAlignment="1">
      <alignment horizontal="center"/>
    </xf>
    <xf numFmtId="44" fontId="47" fillId="8" borderId="1" xfId="8" applyFont="1" applyFill="1" applyBorder="1" applyAlignment="1">
      <alignment horizontal="center"/>
    </xf>
    <xf numFmtId="0" fontId="47" fillId="8" borderId="1" xfId="3" applyFont="1" applyFill="1" applyBorder="1" applyAlignment="1">
      <alignment horizontal="center"/>
    </xf>
    <xf numFmtId="0" fontId="38" fillId="2" borderId="1" xfId="3" applyFont="1" applyFill="1" applyBorder="1" applyAlignment="1">
      <alignment horizontal="center" vertical="center"/>
    </xf>
    <xf numFmtId="0" fontId="43" fillId="0" borderId="4" xfId="0" applyFont="1" applyBorder="1" applyAlignment="1">
      <alignment horizontal="center"/>
    </xf>
    <xf numFmtId="0" fontId="48" fillId="0" borderId="4" xfId="0" applyFont="1" applyFill="1" applyBorder="1"/>
    <xf numFmtId="0" fontId="43" fillId="0" borderId="4" xfId="0" applyFont="1" applyFill="1" applyBorder="1" applyAlignment="1">
      <alignment horizontal="center"/>
    </xf>
    <xf numFmtId="0" fontId="38" fillId="8" borderId="6" xfId="3" applyFont="1" applyFill="1" applyBorder="1" applyAlignment="1">
      <alignment horizontal="center"/>
    </xf>
    <xf numFmtId="0" fontId="38" fillId="10" borderId="1" xfId="4" applyFont="1" applyFill="1" applyBorder="1" applyAlignment="1">
      <alignment horizontal="center"/>
    </xf>
    <xf numFmtId="0" fontId="38" fillId="0" borderId="1" xfId="3" applyFont="1" applyFill="1" applyBorder="1" applyAlignment="1">
      <alignment horizontal="center"/>
    </xf>
    <xf numFmtId="1" fontId="50" fillId="0" borderId="0" xfId="0" applyNumberFormat="1" applyFont="1"/>
    <xf numFmtId="0" fontId="43" fillId="0" borderId="1" xfId="3" applyFont="1" applyFill="1" applyBorder="1" applyAlignment="1">
      <alignment horizontal="center"/>
    </xf>
    <xf numFmtId="1" fontId="38" fillId="0" borderId="1" xfId="5" applyNumberFormat="1" applyFont="1" applyFill="1" applyBorder="1" applyAlignment="1">
      <alignment horizontal="center" vertical="center"/>
    </xf>
    <xf numFmtId="0" fontId="38" fillId="0" borderId="1" xfId="0" applyFont="1" applyBorder="1" applyAlignment="1">
      <alignment horizontal="center"/>
    </xf>
    <xf numFmtId="1" fontId="38" fillId="0" borderId="1" xfId="3" applyNumberFormat="1" applyFont="1" applyFill="1" applyBorder="1" applyAlignment="1">
      <alignment horizontal="center"/>
    </xf>
    <xf numFmtId="1" fontId="38" fillId="0" borderId="12" xfId="5" applyNumberFormat="1" applyFont="1" applyFill="1" applyBorder="1" applyAlignment="1" applyProtection="1">
      <alignment horizontal="center"/>
    </xf>
    <xf numFmtId="1" fontId="51" fillId="0" borderId="0" xfId="0" applyNumberFormat="1" applyFont="1" applyFill="1" applyAlignment="1">
      <alignment horizontal="center"/>
    </xf>
    <xf numFmtId="0" fontId="23" fillId="0" borderId="0" xfId="0" applyFont="1" applyAlignment="1">
      <alignment horizontal="center"/>
    </xf>
    <xf numFmtId="0" fontId="34" fillId="0" borderId="16" xfId="4" applyFont="1" applyFill="1" applyBorder="1"/>
    <xf numFmtId="0" fontId="35" fillId="0" borderId="1" xfId="0" applyFont="1" applyFill="1" applyBorder="1"/>
    <xf numFmtId="0" fontId="38" fillId="0" borderId="1" xfId="4" applyFont="1" applyFill="1" applyBorder="1"/>
    <xf numFmtId="0" fontId="37" fillId="0" borderId="1" xfId="0" applyFont="1" applyBorder="1"/>
    <xf numFmtId="0" fontId="39" fillId="0" borderId="1" xfId="0" applyFont="1" applyBorder="1"/>
    <xf numFmtId="0" fontId="0" fillId="0" borderId="1" xfId="0" applyBorder="1" applyAlignment="1">
      <alignment vertical="center" wrapText="1"/>
    </xf>
    <xf numFmtId="0" fontId="0" fillId="0" borderId="1" xfId="0" applyBorder="1"/>
    <xf numFmtId="1" fontId="0" fillId="0" borderId="1" xfId="0" applyNumberFormat="1" applyBorder="1"/>
    <xf numFmtId="0" fontId="29" fillId="10" borderId="1" xfId="0" applyFont="1" applyFill="1" applyBorder="1"/>
    <xf numFmtId="1" fontId="16" fillId="0" borderId="1" xfId="0" applyNumberFormat="1" applyFont="1" applyFill="1" applyBorder="1" applyAlignment="1">
      <alignment horizontal="center" wrapText="1"/>
    </xf>
    <xf numFmtId="0" fontId="16" fillId="0" borderId="1" xfId="0" applyFont="1" applyBorder="1" applyAlignment="1">
      <alignment horizontal="center" wrapText="1"/>
    </xf>
    <xf numFmtId="0" fontId="16" fillId="0" borderId="22" xfId="0" applyFont="1" applyBorder="1" applyAlignment="1">
      <alignment horizontal="center" wrapText="1"/>
    </xf>
    <xf numFmtId="1" fontId="16" fillId="0" borderId="1" xfId="0" applyNumberFormat="1" applyFont="1" applyBorder="1" applyAlignment="1">
      <alignment horizontal="center" wrapText="1"/>
    </xf>
    <xf numFmtId="0" fontId="16" fillId="0" borderId="1" xfId="0" applyFont="1" applyFill="1" applyBorder="1" applyAlignment="1">
      <alignment horizontal="center" wrapText="1"/>
    </xf>
    <xf numFmtId="1" fontId="16" fillId="2" borderId="1" xfId="0" applyNumberFormat="1" applyFont="1" applyFill="1" applyBorder="1" applyAlignment="1">
      <alignment horizontal="center" wrapText="1"/>
    </xf>
    <xf numFmtId="1" fontId="54" fillId="0" borderId="1" xfId="0" applyNumberFormat="1" applyFont="1" applyFill="1" applyBorder="1" applyAlignment="1">
      <alignment horizontal="center" wrapText="1"/>
    </xf>
    <xf numFmtId="1" fontId="54" fillId="0" borderId="1" xfId="0" applyNumberFormat="1" applyFont="1" applyBorder="1" applyAlignment="1">
      <alignment horizontal="center" wrapText="1"/>
    </xf>
    <xf numFmtId="0" fontId="29" fillId="0" borderId="1" xfId="0" applyFont="1" applyFill="1" applyBorder="1" applyAlignment="1">
      <alignment vertical="center" wrapText="1"/>
    </xf>
    <xf numFmtId="0" fontId="29" fillId="0" borderId="1" xfId="0" applyFont="1" applyFill="1" applyBorder="1"/>
    <xf numFmtId="16" fontId="16" fillId="0" borderId="0" xfId="0" applyNumberFormat="1" applyFont="1" applyBorder="1" applyAlignment="1">
      <alignment horizontal="center" wrapText="1"/>
    </xf>
    <xf numFmtId="171" fontId="17" fillId="9" borderId="1" xfId="3" applyNumberFormat="1" applyFont="1" applyFill="1" applyBorder="1" applyAlignment="1">
      <alignment horizontal="center"/>
    </xf>
    <xf numFmtId="0" fontId="6" fillId="0" borderId="4" xfId="1" applyFont="1" applyFill="1" applyBorder="1" applyAlignment="1">
      <alignment horizontal="center" vertical="center" wrapText="1"/>
    </xf>
    <xf numFmtId="0" fontId="6" fillId="0" borderId="1" xfId="1" applyFont="1" applyBorder="1" applyAlignment="1">
      <alignment horizontal="center" vertical="center" wrapText="1"/>
    </xf>
    <xf numFmtId="0" fontId="56" fillId="0" borderId="25" xfId="16" applyFont="1" applyBorder="1" applyAlignment="1">
      <alignment horizontal="center"/>
    </xf>
    <xf numFmtId="0" fontId="57" fillId="0" borderId="25" xfId="16" applyFont="1" applyBorder="1" applyAlignment="1">
      <alignment horizontal="center"/>
    </xf>
    <xf numFmtId="1" fontId="57" fillId="0" borderId="25" xfId="16" applyNumberFormat="1" applyFont="1" applyBorder="1" applyAlignment="1">
      <alignment horizontal="center"/>
    </xf>
    <xf numFmtId="1" fontId="56" fillId="0" borderId="25" xfId="16" applyNumberFormat="1" applyFont="1" applyBorder="1" applyAlignment="1">
      <alignment horizontal="center" wrapText="1"/>
    </xf>
    <xf numFmtId="0" fontId="56" fillId="0" borderId="25" xfId="16" applyFont="1" applyBorder="1" applyAlignment="1">
      <alignment horizontal="center" wrapText="1"/>
    </xf>
    <xf numFmtId="0" fontId="56" fillId="0" borderId="0" xfId="16" applyFont="1" applyAlignment="1">
      <alignment wrapText="1"/>
    </xf>
    <xf numFmtId="0" fontId="56" fillId="0" borderId="0" xfId="16" applyFont="1"/>
    <xf numFmtId="0" fontId="16" fillId="0" borderId="0" xfId="16" applyFont="1" applyAlignment="1">
      <alignment horizontal="center"/>
    </xf>
    <xf numFmtId="0" fontId="53" fillId="0" borderId="0" xfId="16" applyFont="1" applyAlignment="1">
      <alignment horizontal="center"/>
    </xf>
    <xf numFmtId="1" fontId="53" fillId="0" borderId="0" xfId="16" applyNumberFormat="1" applyFont="1" applyAlignment="1">
      <alignment horizontal="center"/>
    </xf>
    <xf numFmtId="1" fontId="2" fillId="0" borderId="0" xfId="16" applyNumberFormat="1" applyAlignment="1">
      <alignment horizontal="center"/>
    </xf>
    <xf numFmtId="2" fontId="2" fillId="0" borderId="0" xfId="16" applyNumberFormat="1" applyAlignment="1">
      <alignment horizontal="center"/>
    </xf>
    <xf numFmtId="2" fontId="2" fillId="0" borderId="0" xfId="16" applyNumberFormat="1"/>
    <xf numFmtId="0" fontId="2" fillId="0" borderId="0" xfId="16"/>
    <xf numFmtId="0" fontId="2" fillId="0" borderId="0" xfId="16" applyAlignment="1">
      <alignment horizontal="center"/>
    </xf>
    <xf numFmtId="1" fontId="56" fillId="0" borderId="1" xfId="16" applyNumberFormat="1" applyFont="1" applyBorder="1" applyAlignment="1">
      <alignment horizontal="center" wrapText="1"/>
    </xf>
    <xf numFmtId="1" fontId="58" fillId="0" borderId="1" xfId="0" applyNumberFormat="1" applyFont="1" applyBorder="1" applyAlignment="1">
      <alignment horizontal="center"/>
    </xf>
    <xf numFmtId="2" fontId="38" fillId="2" borderId="1" xfId="3" applyNumberFormat="1" applyFont="1" applyFill="1" applyBorder="1" applyAlignment="1">
      <alignment horizontal="right"/>
    </xf>
    <xf numFmtId="0" fontId="0" fillId="0" borderId="1" xfId="0" applyBorder="1" applyAlignment="1">
      <alignment wrapText="1"/>
    </xf>
    <xf numFmtId="0" fontId="56" fillId="0" borderId="5" xfId="17" applyFont="1" applyBorder="1"/>
    <xf numFmtId="0" fontId="57" fillId="0" borderId="5" xfId="17" applyFont="1" applyBorder="1" applyAlignment="1">
      <alignment horizontal="center"/>
    </xf>
    <xf numFmtId="0" fontId="56" fillId="0" borderId="0" xfId="17" applyFont="1"/>
    <xf numFmtId="0" fontId="16" fillId="0" borderId="0" xfId="18" applyFont="1" applyAlignment="1">
      <alignment horizontal="center"/>
    </xf>
    <xf numFmtId="0" fontId="52" fillId="0" borderId="0" xfId="17" applyFont="1" applyAlignment="1">
      <alignment horizontal="center"/>
    </xf>
    <xf numFmtId="0" fontId="1" fillId="0" borderId="0" xfId="17"/>
    <xf numFmtId="0" fontId="1" fillId="0" borderId="0" xfId="17" applyAlignment="1">
      <alignment horizontal="center"/>
    </xf>
    <xf numFmtId="1" fontId="59" fillId="0" borderId="5" xfId="17" applyNumberFormat="1" applyFont="1" applyFill="1" applyBorder="1" applyAlignment="1">
      <alignment horizontal="center" wrapText="1"/>
    </xf>
    <xf numFmtId="1" fontId="60" fillId="0" borderId="5" xfId="17" applyNumberFormat="1" applyFont="1" applyFill="1" applyBorder="1" applyAlignment="1">
      <alignment horizontal="center" wrapText="1"/>
    </xf>
    <xf numFmtId="1" fontId="61" fillId="0" borderId="5" xfId="17" applyNumberFormat="1" applyFont="1" applyFill="1" applyBorder="1" applyAlignment="1">
      <alignment horizontal="center" wrapText="1"/>
    </xf>
    <xf numFmtId="1" fontId="62" fillId="0" borderId="0" xfId="17" applyNumberFormat="1" applyFont="1" applyFill="1" applyAlignment="1">
      <alignment horizontal="center"/>
    </xf>
    <xf numFmtId="1" fontId="63" fillId="0" borderId="0" xfId="17" applyNumberFormat="1" applyFont="1" applyFill="1" applyAlignment="1">
      <alignment horizontal="center"/>
    </xf>
    <xf numFmtId="1" fontId="64" fillId="0" borderId="0" xfId="17" applyNumberFormat="1" applyFont="1" applyFill="1" applyAlignment="1">
      <alignment horizontal="center"/>
    </xf>
    <xf numFmtId="1" fontId="1" fillId="0" borderId="0" xfId="17" applyNumberFormat="1" applyFill="1" applyAlignment="1">
      <alignment horizontal="center"/>
    </xf>
    <xf numFmtId="0" fontId="1" fillId="0" borderId="0" xfId="17" applyFill="1" applyAlignment="1">
      <alignment horizontal="center"/>
    </xf>
    <xf numFmtId="0" fontId="1" fillId="0" borderId="0" xfId="17" applyFill="1"/>
    <xf numFmtId="1" fontId="60" fillId="10" borderId="5" xfId="17" applyNumberFormat="1" applyFont="1" applyFill="1" applyBorder="1" applyAlignment="1">
      <alignment horizontal="center" wrapText="1"/>
    </xf>
    <xf numFmtId="1" fontId="63" fillId="10" borderId="0" xfId="17" applyNumberFormat="1" applyFont="1" applyFill="1" applyAlignment="1">
      <alignment horizontal="center"/>
    </xf>
    <xf numFmtId="0" fontId="1" fillId="10" borderId="0" xfId="17" applyFill="1"/>
    <xf numFmtId="0" fontId="54" fillId="0" borderId="4" xfId="0" applyFont="1" applyBorder="1" applyAlignment="1">
      <alignment horizontal="center" vertical="top" wrapText="1"/>
    </xf>
    <xf numFmtId="0" fontId="16" fillId="0" borderId="18" xfId="0" applyNumberFormat="1" applyFont="1" applyBorder="1" applyAlignment="1">
      <alignment horizontal="center" wrapText="1"/>
    </xf>
    <xf numFmtId="1" fontId="16" fillId="0" borderId="18" xfId="0" applyNumberFormat="1" applyFont="1" applyBorder="1" applyAlignment="1">
      <alignment horizontal="center" wrapText="1"/>
    </xf>
    <xf numFmtId="1" fontId="56" fillId="0" borderId="27" xfId="16" applyNumberFormat="1" applyFont="1" applyFill="1" applyBorder="1" applyAlignment="1">
      <alignment horizontal="center" wrapText="1"/>
    </xf>
    <xf numFmtId="0" fontId="32" fillId="8" borderId="1" xfId="3" applyFont="1" applyFill="1" applyBorder="1" applyAlignment="1">
      <alignment horizontal="center"/>
    </xf>
    <xf numFmtId="0" fontId="37" fillId="0" borderId="1" xfId="0" applyFont="1" applyBorder="1" applyAlignment="1">
      <alignment horizontal="center"/>
    </xf>
    <xf numFmtId="1" fontId="32" fillId="2" borderId="1" xfId="5" applyNumberFormat="1" applyFont="1" applyFill="1" applyBorder="1" applyAlignment="1">
      <alignment horizontal="center" vertical="center"/>
    </xf>
    <xf numFmtId="0" fontId="1" fillId="2" borderId="0" xfId="17" applyFill="1"/>
    <xf numFmtId="0" fontId="11" fillId="0" borderId="0" xfId="0" applyFont="1"/>
    <xf numFmtId="0" fontId="11" fillId="15" borderId="0" xfId="0" applyFont="1" applyFill="1" applyBorder="1" applyAlignment="1">
      <alignment horizontal="center"/>
    </xf>
    <xf numFmtId="0" fontId="11" fillId="0" borderId="0" xfId="0" applyFont="1" applyFill="1"/>
    <xf numFmtId="1" fontId="11" fillId="0" borderId="0" xfId="0" applyNumberFormat="1" applyFont="1"/>
    <xf numFmtId="0" fontId="11" fillId="12" borderId="0" xfId="0" applyFont="1" applyFill="1"/>
    <xf numFmtId="0" fontId="11" fillId="0" borderId="0" xfId="0" applyNumberFormat="1" applyFont="1"/>
    <xf numFmtId="0" fontId="65" fillId="0" borderId="1" xfId="0" applyFont="1" applyBorder="1"/>
    <xf numFmtId="0" fontId="11" fillId="0" borderId="1" xfId="0" applyFont="1" applyBorder="1"/>
    <xf numFmtId="0" fontId="11" fillId="16" borderId="1" xfId="0" applyFont="1" applyFill="1" applyBorder="1"/>
    <xf numFmtId="0" fontId="11" fillId="0" borderId="0" xfId="0" applyFont="1" applyBorder="1"/>
    <xf numFmtId="0" fontId="37" fillId="0" borderId="1" xfId="0" applyFont="1" applyBorder="1" applyAlignment="1">
      <alignment horizontal="left"/>
    </xf>
    <xf numFmtId="0" fontId="32" fillId="8" borderId="16" xfId="3" applyFont="1" applyFill="1" applyBorder="1" applyAlignment="1">
      <alignment horizontal="left"/>
    </xf>
    <xf numFmtId="0" fontId="32" fillId="8" borderId="1" xfId="3" applyFont="1" applyFill="1" applyBorder="1" applyAlignment="1">
      <alignment horizontal="left"/>
    </xf>
    <xf numFmtId="0" fontId="32" fillId="9" borderId="1" xfId="3" applyFont="1" applyFill="1" applyBorder="1" applyAlignment="1">
      <alignment horizontal="center"/>
    </xf>
    <xf numFmtId="0" fontId="36" fillId="0" borderId="1" xfId="4" applyFont="1" applyBorder="1" applyAlignment="1">
      <alignment horizontal="left"/>
    </xf>
    <xf numFmtId="0" fontId="31" fillId="12" borderId="1" xfId="3" applyFont="1" applyFill="1" applyBorder="1" applyAlignment="1">
      <alignment horizontal="left"/>
    </xf>
    <xf numFmtId="1" fontId="43" fillId="0" borderId="1" xfId="0" applyNumberFormat="1" applyFont="1" applyBorder="1"/>
    <xf numFmtId="1" fontId="38" fillId="8" borderId="1" xfId="5" applyNumberFormat="1" applyFont="1" applyFill="1" applyBorder="1" applyAlignment="1" applyProtection="1">
      <alignment horizontal="center"/>
    </xf>
    <xf numFmtId="0" fontId="37" fillId="0" borderId="2" xfId="0" applyFont="1" applyBorder="1" applyAlignment="1"/>
    <xf numFmtId="0" fontId="37" fillId="0" borderId="3" xfId="0" applyFont="1" applyBorder="1" applyAlignment="1"/>
    <xf numFmtId="0" fontId="37" fillId="0" borderId="4" xfId="0" applyFont="1" applyBorder="1" applyAlignment="1"/>
    <xf numFmtId="0" fontId="37" fillId="2" borderId="0" xfId="0" applyFont="1" applyFill="1" applyBorder="1"/>
    <xf numFmtId="0" fontId="37" fillId="2" borderId="1" xfId="0" applyFont="1" applyFill="1" applyBorder="1" applyAlignment="1">
      <alignment horizontal="left"/>
    </xf>
    <xf numFmtId="0" fontId="40" fillId="2" borderId="1" xfId="0" applyFont="1" applyFill="1" applyBorder="1" applyAlignment="1">
      <alignment horizontal="left"/>
    </xf>
    <xf numFmtId="0" fontId="38" fillId="2" borderId="1" xfId="4" applyFont="1" applyFill="1" applyBorder="1"/>
    <xf numFmtId="1" fontId="38" fillId="2" borderId="1" xfId="5" applyNumberFormat="1" applyFont="1" applyFill="1" applyBorder="1" applyAlignment="1" applyProtection="1">
      <alignment horizontal="center"/>
    </xf>
    <xf numFmtId="0" fontId="24" fillId="17" borderId="3" xfId="3" applyFont="1" applyFill="1" applyBorder="1" applyAlignment="1">
      <alignment vertical="justify"/>
    </xf>
    <xf numFmtId="0" fontId="24" fillId="17" borderId="21" xfId="3" applyFont="1" applyFill="1" applyBorder="1" applyAlignment="1">
      <alignment vertical="justify"/>
    </xf>
    <xf numFmtId="0" fontId="38" fillId="17" borderId="1" xfId="3" applyFont="1" applyFill="1" applyBorder="1" applyAlignment="1">
      <alignment horizontal="center"/>
    </xf>
    <xf numFmtId="1" fontId="43" fillId="17" borderId="1" xfId="3" applyNumberFormat="1" applyFont="1" applyFill="1" applyBorder="1" applyAlignment="1">
      <alignment horizontal="center"/>
    </xf>
    <xf numFmtId="0" fontId="38" fillId="17" borderId="12" xfId="3" applyFont="1" applyFill="1" applyBorder="1" applyAlignment="1">
      <alignment horizontal="center"/>
    </xf>
    <xf numFmtId="0" fontId="43" fillId="17" borderId="1" xfId="3" applyFont="1" applyFill="1" applyBorder="1" applyAlignment="1">
      <alignment horizontal="center"/>
    </xf>
    <xf numFmtId="0" fontId="43" fillId="17" borderId="12" xfId="3" applyFont="1" applyFill="1" applyBorder="1" applyAlignment="1">
      <alignment horizontal="center"/>
    </xf>
    <xf numFmtId="1" fontId="50" fillId="2" borderId="0" xfId="0" applyNumberFormat="1" applyFont="1" applyFill="1"/>
    <xf numFmtId="0" fontId="32" fillId="8" borderId="16" xfId="3" applyFont="1" applyFill="1" applyBorder="1" applyAlignment="1">
      <alignment horizontal="left"/>
    </xf>
    <xf numFmtId="0" fontId="32" fillId="8" borderId="1" xfId="3" applyFont="1" applyFill="1" applyBorder="1" applyAlignment="1">
      <alignment horizontal="left"/>
    </xf>
    <xf numFmtId="0" fontId="37" fillId="0" borderId="1" xfId="0" applyFont="1" applyBorder="1" applyAlignment="1">
      <alignment horizontal="left"/>
    </xf>
    <xf numFmtId="0" fontId="32" fillId="9" borderId="1" xfId="3" applyFont="1" applyFill="1" applyBorder="1" applyAlignment="1">
      <alignment horizontal="center"/>
    </xf>
    <xf numFmtId="0" fontId="31" fillId="12" borderId="1" xfId="3" applyFont="1" applyFill="1" applyBorder="1" applyAlignment="1">
      <alignment horizontal="left"/>
    </xf>
    <xf numFmtId="0" fontId="11" fillId="0" borderId="1" xfId="0" applyNumberFormat="1" applyFont="1" applyBorder="1"/>
    <xf numFmtId="2" fontId="11" fillId="0" borderId="1" xfId="0" applyNumberFormat="1" applyFont="1" applyBorder="1"/>
    <xf numFmtId="2" fontId="38" fillId="0" borderId="1" xfId="4" applyNumberFormat="1" applyFont="1" applyFill="1" applyBorder="1" applyAlignment="1">
      <alignment horizontal="center"/>
    </xf>
    <xf numFmtId="2" fontId="38" fillId="0" borderId="1" xfId="4" applyNumberFormat="1" applyFont="1" applyBorder="1" applyAlignment="1">
      <alignment horizontal="center"/>
    </xf>
    <xf numFmtId="0" fontId="38" fillId="0" borderId="1" xfId="4" applyFont="1" applyBorder="1"/>
    <xf numFmtId="165" fontId="45" fillId="2" borderId="1" xfId="5" applyNumberFormat="1" applyFont="1" applyFill="1" applyBorder="1" applyAlignment="1">
      <alignment horizontal="center" vertical="center"/>
    </xf>
    <xf numFmtId="1" fontId="46" fillId="2" borderId="1" xfId="5" applyNumberFormat="1" applyFont="1" applyFill="1" applyBorder="1" applyAlignment="1">
      <alignment horizontal="center" vertical="center"/>
    </xf>
    <xf numFmtId="1" fontId="38" fillId="2" borderId="7" xfId="5" applyNumberFormat="1" applyFont="1" applyFill="1" applyBorder="1" applyAlignment="1">
      <alignment horizontal="center" vertical="center"/>
    </xf>
    <xf numFmtId="0" fontId="38" fillId="0" borderId="0" xfId="4" applyFont="1" applyBorder="1" applyAlignment="1">
      <alignment horizontal="center"/>
    </xf>
    <xf numFmtId="0" fontId="16" fillId="0" borderId="1" xfId="0" applyNumberFormat="1" applyFont="1" applyBorder="1" applyAlignment="1">
      <alignment horizontal="center" wrapText="1"/>
    </xf>
    <xf numFmtId="2" fontId="38" fillId="8" borderId="0" xfId="3" applyNumberFormat="1" applyFont="1" applyFill="1" applyBorder="1" applyAlignment="1">
      <alignment horizontal="center"/>
    </xf>
    <xf numFmtId="0" fontId="38" fillId="0" borderId="0" xfId="3" applyFont="1" applyFill="1" applyBorder="1" applyAlignment="1">
      <alignment horizontal="center"/>
    </xf>
    <xf numFmtId="1" fontId="38" fillId="2" borderId="0" xfId="5" applyNumberFormat="1" applyFont="1" applyFill="1" applyBorder="1" applyAlignment="1">
      <alignment horizontal="center" vertical="center"/>
    </xf>
    <xf numFmtId="1" fontId="38" fillId="8" borderId="0" xfId="3" applyNumberFormat="1" applyFont="1" applyFill="1" applyBorder="1" applyAlignment="1">
      <alignment horizontal="center"/>
    </xf>
    <xf numFmtId="0" fontId="55" fillId="2" borderId="1" xfId="0" applyFont="1" applyFill="1" applyBorder="1" applyAlignment="1">
      <alignment horizontal="center"/>
    </xf>
    <xf numFmtId="0" fontId="36" fillId="0" borderId="0" xfId="4" applyFont="1" applyBorder="1" applyAlignment="1">
      <alignment horizontal="left"/>
    </xf>
    <xf numFmtId="1" fontId="38" fillId="8" borderId="0" xfId="5" applyNumberFormat="1" applyFont="1" applyFill="1" applyBorder="1" applyAlignment="1" applyProtection="1">
      <alignment horizontal="center"/>
    </xf>
    <xf numFmtId="0" fontId="38" fillId="0" borderId="5" xfId="4" applyFont="1" applyBorder="1" applyAlignment="1">
      <alignment horizontal="center"/>
    </xf>
    <xf numFmtId="2" fontId="38" fillId="8" borderId="5" xfId="3" applyNumberFormat="1" applyFont="1" applyFill="1" applyBorder="1" applyAlignment="1">
      <alignment horizontal="center"/>
    </xf>
    <xf numFmtId="0" fontId="38" fillId="0" borderId="5" xfId="3" applyFont="1" applyFill="1" applyBorder="1" applyAlignment="1">
      <alignment horizontal="center"/>
    </xf>
    <xf numFmtId="1" fontId="38" fillId="2" borderId="5" xfId="5" applyNumberFormat="1" applyFont="1" applyFill="1" applyBorder="1" applyAlignment="1">
      <alignment horizontal="center" vertical="center"/>
    </xf>
    <xf numFmtId="1" fontId="38" fillId="8" borderId="5" xfId="3" applyNumberFormat="1" applyFont="1" applyFill="1" applyBorder="1" applyAlignment="1">
      <alignment horizontal="center"/>
    </xf>
    <xf numFmtId="1" fontId="38" fillId="8" borderId="5" xfId="5" applyNumberFormat="1" applyFont="1" applyFill="1" applyBorder="1" applyAlignment="1" applyProtection="1">
      <alignment horizontal="center"/>
    </xf>
    <xf numFmtId="1" fontId="21" fillId="0" borderId="0" xfId="0" applyNumberFormat="1" applyFont="1"/>
    <xf numFmtId="0" fontId="43" fillId="2" borderId="1" xfId="0" applyFont="1" applyFill="1" applyBorder="1" applyAlignment="1">
      <alignment horizontal="center"/>
    </xf>
    <xf numFmtId="171" fontId="19" fillId="9" borderId="1" xfId="3" applyNumberFormat="1" applyFont="1" applyFill="1" applyBorder="1" applyAlignment="1">
      <alignment horizontal="center"/>
    </xf>
    <xf numFmtId="0" fontId="38" fillId="10" borderId="1" xfId="4" applyFont="1" applyFill="1" applyBorder="1" applyAlignment="1">
      <alignment horizontal="center" vertical="center"/>
    </xf>
    <xf numFmtId="0" fontId="48" fillId="2" borderId="1" xfId="0" applyFont="1" applyFill="1" applyBorder="1" applyAlignment="1">
      <alignment horizontal="left"/>
    </xf>
    <xf numFmtId="0" fontId="70" fillId="9" borderId="1" xfId="3" applyFont="1" applyFill="1" applyBorder="1" applyAlignment="1">
      <alignment horizontal="center"/>
    </xf>
    <xf numFmtId="9" fontId="70" fillId="9" borderId="1" xfId="4" applyNumberFormat="1" applyFont="1" applyFill="1" applyBorder="1"/>
    <xf numFmtId="0" fontId="70" fillId="9" borderId="1" xfId="3" applyFont="1" applyFill="1" applyBorder="1" applyAlignment="1">
      <alignment horizontal="left"/>
    </xf>
    <xf numFmtId="0" fontId="70" fillId="9" borderId="1" xfId="3" applyFont="1" applyFill="1" applyBorder="1" applyAlignment="1"/>
    <xf numFmtId="1" fontId="70" fillId="9" borderId="1" xfId="3" applyNumberFormat="1" applyFont="1" applyFill="1" applyBorder="1" applyAlignment="1">
      <alignment horizontal="center"/>
    </xf>
    <xf numFmtId="1" fontId="70" fillId="9" borderId="12" xfId="3" applyNumberFormat="1" applyFont="1" applyFill="1" applyBorder="1" applyAlignment="1">
      <alignment horizontal="center"/>
    </xf>
    <xf numFmtId="9" fontId="70" fillId="9" borderId="1" xfId="3" applyNumberFormat="1" applyFont="1" applyFill="1" applyBorder="1" applyAlignment="1">
      <alignment horizontal="left"/>
    </xf>
    <xf numFmtId="2" fontId="70" fillId="9" borderId="1" xfId="3" applyNumberFormat="1" applyFont="1" applyFill="1" applyBorder="1" applyAlignment="1">
      <alignment horizontal="center"/>
    </xf>
    <xf numFmtId="9" fontId="70" fillId="9" borderId="1" xfId="3" applyNumberFormat="1" applyFont="1" applyFill="1" applyBorder="1" applyAlignment="1">
      <alignment horizontal="center"/>
    </xf>
    <xf numFmtId="0" fontId="70" fillId="8" borderId="1" xfId="3" applyFont="1" applyFill="1" applyBorder="1" applyAlignment="1">
      <alignment horizontal="center" vertical="center"/>
    </xf>
    <xf numFmtId="1" fontId="70" fillId="8" borderId="1" xfId="3" applyNumberFormat="1" applyFont="1" applyFill="1" applyBorder="1" applyAlignment="1">
      <alignment horizontal="center" vertical="center"/>
    </xf>
    <xf numFmtId="165" fontId="70" fillId="8" borderId="12" xfId="3" applyNumberFormat="1" applyFont="1" applyFill="1" applyBorder="1" applyAlignment="1">
      <alignment horizontal="center" wrapText="1" shrinkToFit="1"/>
    </xf>
    <xf numFmtId="0" fontId="70" fillId="12" borderId="1" xfId="3" applyFont="1" applyFill="1" applyBorder="1" applyAlignment="1">
      <alignment horizontal="center" vertical="center"/>
    </xf>
    <xf numFmtId="0" fontId="70" fillId="12" borderId="1" xfId="3" applyFont="1" applyFill="1" applyBorder="1" applyAlignment="1">
      <alignment horizontal="center"/>
    </xf>
    <xf numFmtId="0" fontId="70" fillId="12" borderId="12" xfId="3" applyFont="1" applyFill="1" applyBorder="1" applyAlignment="1">
      <alignment horizontal="center"/>
    </xf>
    <xf numFmtId="0" fontId="70" fillId="8" borderId="1" xfId="3" applyFont="1" applyFill="1" applyBorder="1" applyAlignment="1">
      <alignment horizontal="left" vertical="center"/>
    </xf>
    <xf numFmtId="0" fontId="70" fillId="8" borderId="1" xfId="3" applyFont="1" applyFill="1" applyBorder="1" applyAlignment="1">
      <alignment horizontal="center"/>
    </xf>
    <xf numFmtId="2" fontId="70" fillId="8" borderId="1" xfId="3" applyNumberFormat="1" applyFont="1" applyFill="1" applyBorder="1" applyAlignment="1">
      <alignment horizontal="center"/>
    </xf>
    <xf numFmtId="1" fontId="70" fillId="8" borderId="1" xfId="3" applyNumberFormat="1" applyFont="1" applyFill="1" applyBorder="1" applyAlignment="1">
      <alignment horizontal="center"/>
    </xf>
    <xf numFmtId="1" fontId="70" fillId="8" borderId="12" xfId="5" applyNumberFormat="1" applyFont="1" applyFill="1" applyBorder="1" applyAlignment="1" applyProtection="1">
      <alignment horizontal="center"/>
    </xf>
    <xf numFmtId="0" fontId="70" fillId="8" borderId="5" xfId="3" applyFont="1" applyFill="1" applyBorder="1" applyAlignment="1">
      <alignment horizontal="left" vertical="center"/>
    </xf>
    <xf numFmtId="0" fontId="70" fillId="8" borderId="10" xfId="3" applyFont="1" applyFill="1" applyBorder="1" applyAlignment="1">
      <alignment horizontal="left" vertical="center"/>
    </xf>
    <xf numFmtId="1" fontId="70" fillId="2" borderId="7" xfId="3" applyNumberFormat="1" applyFont="1" applyFill="1" applyBorder="1" applyAlignment="1">
      <alignment horizontal="center"/>
    </xf>
    <xf numFmtId="168" fontId="70" fillId="8" borderId="1" xfId="3" applyNumberFormat="1" applyFont="1" applyFill="1" applyBorder="1" applyAlignment="1">
      <alignment vertical="center"/>
    </xf>
    <xf numFmtId="0" fontId="70" fillId="0" borderId="1" xfId="4" applyFont="1" applyBorder="1" applyAlignment="1">
      <alignment horizontal="center"/>
    </xf>
    <xf numFmtId="1" fontId="70" fillId="2" borderId="1" xfId="3" applyNumberFormat="1" applyFont="1" applyFill="1" applyBorder="1" applyAlignment="1">
      <alignment horizontal="center"/>
    </xf>
    <xf numFmtId="0" fontId="70" fillId="13" borderId="1" xfId="3" applyFont="1" applyFill="1" applyBorder="1" applyAlignment="1">
      <alignment horizontal="center"/>
    </xf>
    <xf numFmtId="2" fontId="70" fillId="2" borderId="1" xfId="3" applyNumberFormat="1" applyFont="1" applyFill="1" applyBorder="1" applyAlignment="1">
      <alignment horizontal="center"/>
    </xf>
    <xf numFmtId="0" fontId="48" fillId="12" borderId="1" xfId="3" applyFont="1" applyFill="1" applyBorder="1" applyAlignment="1">
      <alignment horizontal="center"/>
    </xf>
    <xf numFmtId="0" fontId="70" fillId="8" borderId="1" xfId="3" applyFont="1" applyFill="1" applyBorder="1" applyAlignment="1">
      <alignment horizontal="left"/>
    </xf>
    <xf numFmtId="0" fontId="70" fillId="2" borderId="1" xfId="4" applyFont="1" applyFill="1" applyBorder="1" applyAlignment="1">
      <alignment horizontal="center"/>
    </xf>
    <xf numFmtId="0" fontId="72" fillId="2" borderId="1" xfId="4" applyFont="1" applyFill="1" applyBorder="1" applyAlignment="1">
      <alignment horizontal="center"/>
    </xf>
    <xf numFmtId="0" fontId="70" fillId="2" borderId="1" xfId="3" applyFont="1" applyFill="1" applyBorder="1" applyAlignment="1">
      <alignment horizontal="left" vertical="center"/>
    </xf>
    <xf numFmtId="0" fontId="70" fillId="2" borderId="1" xfId="3" applyFont="1" applyFill="1" applyBorder="1" applyAlignment="1">
      <alignment horizontal="center"/>
    </xf>
    <xf numFmtId="1" fontId="70" fillId="2" borderId="12" xfId="5" applyNumberFormat="1" applyFont="1" applyFill="1" applyBorder="1" applyAlignment="1" applyProtection="1">
      <alignment horizontal="center"/>
    </xf>
    <xf numFmtId="0" fontId="72" fillId="0" borderId="1" xfId="4" applyFont="1" applyBorder="1" applyAlignment="1">
      <alignment horizontal="center"/>
    </xf>
    <xf numFmtId="0" fontId="74" fillId="8" borderId="1" xfId="3" applyFont="1" applyFill="1" applyBorder="1" applyAlignment="1">
      <alignment horizontal="center"/>
    </xf>
    <xf numFmtId="1" fontId="70" fillId="2" borderId="1" xfId="5" applyNumberFormat="1" applyFont="1" applyFill="1" applyBorder="1" applyAlignment="1" applyProtection="1">
      <alignment horizontal="center"/>
    </xf>
    <xf numFmtId="0" fontId="70" fillId="13" borderId="1" xfId="3" applyFont="1" applyFill="1" applyBorder="1" applyAlignment="1">
      <alignment horizontal="center" vertical="center"/>
    </xf>
    <xf numFmtId="0" fontId="75" fillId="2" borderId="3" xfId="3" applyFont="1" applyFill="1" applyBorder="1" applyAlignment="1">
      <alignment horizontal="center"/>
    </xf>
    <xf numFmtId="0" fontId="75" fillId="2" borderId="4" xfId="3" applyFont="1" applyFill="1" applyBorder="1" applyAlignment="1">
      <alignment horizontal="center"/>
    </xf>
    <xf numFmtId="44" fontId="75" fillId="8" borderId="1" xfId="8" applyFont="1" applyFill="1" applyBorder="1" applyAlignment="1">
      <alignment horizontal="center"/>
    </xf>
    <xf numFmtId="1" fontId="73" fillId="8" borderId="1" xfId="3" applyNumberFormat="1" applyFont="1" applyFill="1" applyBorder="1" applyAlignment="1">
      <alignment horizontal="center"/>
    </xf>
    <xf numFmtId="0" fontId="75" fillId="8" borderId="1" xfId="3" applyFont="1" applyFill="1" applyBorder="1" applyAlignment="1">
      <alignment horizontal="center"/>
    </xf>
    <xf numFmtId="0" fontId="75" fillId="13" borderId="3" xfId="3" applyFont="1" applyFill="1" applyBorder="1" applyAlignment="1">
      <alignment horizontal="center"/>
    </xf>
    <xf numFmtId="0" fontId="75" fillId="13" borderId="4" xfId="3" applyFont="1" applyFill="1" applyBorder="1" applyAlignment="1">
      <alignment horizontal="center"/>
    </xf>
    <xf numFmtId="0" fontId="74" fillId="2" borderId="1" xfId="3" applyFont="1" applyFill="1" applyBorder="1" applyAlignment="1">
      <alignment horizontal="center"/>
    </xf>
    <xf numFmtId="0" fontId="70" fillId="12" borderId="1" xfId="3" applyFont="1" applyFill="1" applyBorder="1" applyAlignment="1">
      <alignment horizontal="left"/>
    </xf>
    <xf numFmtId="2" fontId="70" fillId="8" borderId="1" xfId="3" applyNumberFormat="1" applyFont="1" applyFill="1" applyBorder="1" applyAlignment="1">
      <alignment horizontal="left" vertical="center"/>
    </xf>
    <xf numFmtId="0" fontId="70" fillId="8" borderId="1" xfId="3" applyFont="1" applyFill="1" applyBorder="1" applyAlignment="1">
      <alignment horizontal="left" vertical="justify"/>
    </xf>
    <xf numFmtId="0" fontId="70" fillId="17" borderId="1" xfId="3" applyFont="1" applyFill="1" applyBorder="1" applyAlignment="1">
      <alignment horizontal="center"/>
    </xf>
    <xf numFmtId="0" fontId="48" fillId="0" borderId="0" xfId="0" applyFont="1" applyBorder="1"/>
    <xf numFmtId="1" fontId="48" fillId="0" borderId="0" xfId="0" applyNumberFormat="1" applyFont="1" applyBorder="1" applyAlignment="1">
      <alignment horizontal="center"/>
    </xf>
    <xf numFmtId="0" fontId="48" fillId="17" borderId="1" xfId="3" applyFont="1" applyFill="1" applyBorder="1" applyAlignment="1">
      <alignment horizontal="center"/>
    </xf>
    <xf numFmtId="0" fontId="48" fillId="17" borderId="12" xfId="3" applyFont="1" applyFill="1" applyBorder="1" applyAlignment="1">
      <alignment horizontal="center"/>
    </xf>
    <xf numFmtId="1" fontId="70" fillId="12" borderId="1" xfId="5" applyNumberFormat="1" applyFont="1" applyFill="1" applyBorder="1" applyAlignment="1">
      <alignment horizontal="center"/>
    </xf>
    <xf numFmtId="1" fontId="70" fillId="12" borderId="12" xfId="5" applyNumberFormat="1" applyFont="1" applyFill="1" applyBorder="1" applyAlignment="1">
      <alignment horizontal="center"/>
    </xf>
    <xf numFmtId="0" fontId="72" fillId="0" borderId="1" xfId="4" applyFont="1" applyFill="1" applyBorder="1" applyAlignment="1">
      <alignment horizontal="center"/>
    </xf>
    <xf numFmtId="0" fontId="48" fillId="0" borderId="1" xfId="0" applyFont="1" applyBorder="1"/>
    <xf numFmtId="0" fontId="48" fillId="12" borderId="12" xfId="3" applyFont="1" applyFill="1" applyBorder="1" applyAlignment="1">
      <alignment horizontal="center"/>
    </xf>
    <xf numFmtId="0" fontId="70" fillId="8" borderId="6" xfId="3" applyFont="1" applyFill="1" applyBorder="1" applyAlignment="1">
      <alignment horizontal="center"/>
    </xf>
    <xf numFmtId="2" fontId="70" fillId="8" borderId="6" xfId="3" applyNumberFormat="1" applyFont="1" applyFill="1" applyBorder="1" applyAlignment="1">
      <alignment horizontal="center"/>
    </xf>
    <xf numFmtId="1" fontId="70" fillId="8" borderId="17" xfId="5" applyNumberFormat="1" applyFont="1" applyFill="1" applyBorder="1" applyAlignment="1" applyProtection="1">
      <alignment horizontal="center"/>
    </xf>
    <xf numFmtId="1" fontId="48" fillId="0" borderId="1" xfId="0" applyNumberFormat="1" applyFont="1" applyBorder="1" applyAlignment="1">
      <alignment horizontal="center"/>
    </xf>
    <xf numFmtId="0" fontId="70" fillId="0" borderId="1" xfId="0" applyFont="1" applyBorder="1" applyAlignment="1">
      <alignment horizontal="center"/>
    </xf>
    <xf numFmtId="1" fontId="70" fillId="8" borderId="1" xfId="5" applyNumberFormat="1" applyFont="1" applyFill="1" applyBorder="1" applyAlignment="1" applyProtection="1">
      <alignment horizontal="center"/>
    </xf>
    <xf numFmtId="0" fontId="48" fillId="0" borderId="1" xfId="0" applyFont="1" applyBorder="1" applyAlignment="1">
      <alignment horizontal="center"/>
    </xf>
    <xf numFmtId="0" fontId="48" fillId="0" borderId="3" xfId="0" applyFont="1" applyBorder="1" applyAlignment="1"/>
    <xf numFmtId="0" fontId="48" fillId="0" borderId="4" xfId="0" applyFont="1" applyBorder="1" applyAlignment="1"/>
    <xf numFmtId="0" fontId="72" fillId="2" borderId="1" xfId="4" applyFont="1" applyFill="1" applyBorder="1" applyAlignment="1">
      <alignment horizontal="center" wrapText="1"/>
    </xf>
    <xf numFmtId="0" fontId="72" fillId="0" borderId="1" xfId="4" applyFont="1" applyFill="1" applyBorder="1" applyAlignment="1">
      <alignment horizontal="center" wrapText="1"/>
    </xf>
    <xf numFmtId="0" fontId="72" fillId="0" borderId="1" xfId="4" applyFont="1" applyBorder="1" applyAlignment="1">
      <alignment horizontal="center" wrapText="1"/>
    </xf>
    <xf numFmtId="0" fontId="70" fillId="0" borderId="1" xfId="3" applyFont="1" applyFill="1" applyBorder="1" applyAlignment="1">
      <alignment horizontal="center"/>
    </xf>
    <xf numFmtId="0" fontId="70" fillId="0" borderId="0" xfId="3" applyFont="1" applyFill="1" applyBorder="1" applyAlignment="1">
      <alignment horizontal="center"/>
    </xf>
    <xf numFmtId="0" fontId="73" fillId="0" borderId="1" xfId="0" applyFont="1" applyFill="1" applyBorder="1"/>
    <xf numFmtId="0" fontId="70" fillId="0" borderId="1" xfId="4" applyFont="1" applyFill="1" applyBorder="1"/>
    <xf numFmtId="0" fontId="48" fillId="0" borderId="1" xfId="3" applyFont="1" applyFill="1" applyBorder="1" applyAlignment="1">
      <alignment horizontal="center"/>
    </xf>
    <xf numFmtId="1" fontId="70" fillId="0" borderId="1" xfId="3" applyNumberFormat="1" applyFont="1" applyFill="1" applyBorder="1" applyAlignment="1">
      <alignment horizontal="center"/>
    </xf>
    <xf numFmtId="1" fontId="70" fillId="0" borderId="12" xfId="5" applyNumberFormat="1" applyFont="1" applyFill="1" applyBorder="1" applyAlignment="1" applyProtection="1">
      <alignment horizontal="center"/>
    </xf>
    <xf numFmtId="0" fontId="48" fillId="2" borderId="0" xfId="0" applyFont="1" applyFill="1" applyBorder="1"/>
    <xf numFmtId="1" fontId="48" fillId="0" borderId="12" xfId="0" applyNumberFormat="1" applyFont="1" applyBorder="1" applyAlignment="1">
      <alignment horizontal="center"/>
    </xf>
    <xf numFmtId="0" fontId="48" fillId="0" borderId="1" xfId="0" applyFont="1" applyFill="1" applyBorder="1" applyAlignment="1">
      <alignment horizontal="center"/>
    </xf>
    <xf numFmtId="1" fontId="48" fillId="0" borderId="12" xfId="0" applyNumberFormat="1" applyFont="1" applyFill="1" applyBorder="1" applyAlignment="1">
      <alignment horizontal="center"/>
    </xf>
    <xf numFmtId="0" fontId="48" fillId="0" borderId="4" xfId="0" applyFont="1" applyFill="1" applyBorder="1" applyAlignment="1">
      <alignment horizontal="center"/>
    </xf>
    <xf numFmtId="1" fontId="48" fillId="0" borderId="1" xfId="0" applyNumberFormat="1" applyFont="1" applyFill="1" applyBorder="1" applyAlignment="1">
      <alignment horizontal="center"/>
    </xf>
    <xf numFmtId="0" fontId="48" fillId="0" borderId="1" xfId="0" applyFont="1" applyFill="1" applyBorder="1"/>
    <xf numFmtId="1" fontId="56" fillId="0" borderId="28" xfId="16" applyNumberFormat="1" applyFont="1" applyFill="1" applyBorder="1" applyAlignment="1">
      <alignment horizontal="center" wrapText="1"/>
    </xf>
    <xf numFmtId="1" fontId="2" fillId="0" borderId="1" xfId="16" applyNumberFormat="1" applyBorder="1" applyAlignment="1"/>
    <xf numFmtId="1" fontId="0" fillId="0" borderId="1" xfId="0" applyNumberFormat="1" applyBorder="1" applyAlignment="1"/>
    <xf numFmtId="1" fontId="0" fillId="0" borderId="0" xfId="0" applyNumberFormat="1" applyAlignment="1"/>
    <xf numFmtId="0" fontId="0" fillId="0" borderId="0" xfId="0" applyAlignment="1"/>
    <xf numFmtId="1" fontId="2" fillId="0" borderId="0" xfId="16" applyNumberFormat="1" applyAlignment="1"/>
    <xf numFmtId="0" fontId="0" fillId="0" borderId="1" xfId="0" applyBorder="1" applyAlignment="1"/>
    <xf numFmtId="0" fontId="37" fillId="0" borderId="1" xfId="0" applyFont="1" applyBorder="1" applyAlignment="1"/>
    <xf numFmtId="0" fontId="43" fillId="0" borderId="1" xfId="0" applyFont="1" applyBorder="1" applyAlignment="1"/>
    <xf numFmtId="0" fontId="37" fillId="2" borderId="1" xfId="0" applyFont="1" applyFill="1" applyBorder="1" applyAlignment="1">
      <alignment horizontal="center"/>
    </xf>
    <xf numFmtId="0" fontId="37" fillId="2" borderId="1" xfId="0" applyFont="1" applyFill="1" applyBorder="1"/>
    <xf numFmtId="0" fontId="37" fillId="12" borderId="1" xfId="0" applyFont="1" applyFill="1" applyBorder="1" applyAlignment="1">
      <alignment horizontal="left"/>
    </xf>
    <xf numFmtId="0" fontId="43" fillId="12" borderId="1" xfId="0" applyFont="1" applyFill="1" applyBorder="1"/>
    <xf numFmtId="2" fontId="38" fillId="12" borderId="1" xfId="3" applyNumberFormat="1" applyFont="1" applyFill="1" applyBorder="1" applyAlignment="1">
      <alignment horizontal="center"/>
    </xf>
    <xf numFmtId="1" fontId="43" fillId="12" borderId="1" xfId="0" applyNumberFormat="1" applyFont="1" applyFill="1" applyBorder="1" applyAlignment="1">
      <alignment horizontal="center"/>
    </xf>
    <xf numFmtId="1" fontId="43" fillId="12" borderId="1" xfId="0" applyNumberFormat="1" applyFont="1" applyFill="1" applyBorder="1"/>
    <xf numFmtId="0" fontId="43" fillId="12" borderId="0" xfId="0" applyFont="1" applyFill="1" applyBorder="1"/>
    <xf numFmtId="1" fontId="43" fillId="12" borderId="0" xfId="0" applyNumberFormat="1" applyFont="1" applyFill="1" applyBorder="1" applyAlignment="1">
      <alignment horizontal="center"/>
    </xf>
    <xf numFmtId="1" fontId="43" fillId="12" borderId="24" xfId="0" applyNumberFormat="1" applyFont="1" applyFill="1" applyBorder="1"/>
    <xf numFmtId="0" fontId="37" fillId="12" borderId="1" xfId="0" applyFont="1" applyFill="1" applyBorder="1" applyAlignment="1">
      <alignment horizontal="left"/>
    </xf>
    <xf numFmtId="0" fontId="40" fillId="11" borderId="1" xfId="0" applyFont="1" applyFill="1" applyBorder="1" applyAlignment="1">
      <alignment horizontal="left"/>
    </xf>
    <xf numFmtId="0" fontId="37" fillId="11" borderId="1" xfId="0" applyFont="1" applyFill="1" applyBorder="1" applyAlignment="1">
      <alignment horizontal="left"/>
    </xf>
    <xf numFmtId="1" fontId="38" fillId="12" borderId="1" xfId="3" applyNumberFormat="1" applyFont="1" applyFill="1" applyBorder="1" applyAlignment="1">
      <alignment horizontal="center"/>
    </xf>
    <xf numFmtId="165" fontId="0" fillId="0" borderId="0" xfId="0" applyNumberFormat="1"/>
    <xf numFmtId="0" fontId="44" fillId="10" borderId="1" xfId="4" applyFont="1" applyFill="1" applyBorder="1" applyAlignment="1">
      <alignment horizontal="center"/>
    </xf>
    <xf numFmtId="0" fontId="43" fillId="0" borderId="12" xfId="0" applyNumberFormat="1" applyFont="1" applyFill="1" applyBorder="1" applyAlignment="1">
      <alignment horizontal="center"/>
    </xf>
    <xf numFmtId="2" fontId="38" fillId="0" borderId="1" xfId="3" applyNumberFormat="1" applyFont="1" applyFill="1" applyBorder="1" applyAlignment="1">
      <alignment horizontal="center"/>
    </xf>
    <xf numFmtId="2" fontId="38" fillId="0" borderId="1" xfId="3" applyNumberFormat="1" applyFont="1" applyFill="1" applyBorder="1" applyAlignment="1">
      <alignment horizontal="right"/>
    </xf>
    <xf numFmtId="1" fontId="38" fillId="0" borderId="1" xfId="5" applyNumberFormat="1" applyFont="1" applyFill="1" applyBorder="1" applyAlignment="1" applyProtection="1">
      <alignment horizontal="center"/>
    </xf>
    <xf numFmtId="0" fontId="23" fillId="0" borderId="0" xfId="0" applyFont="1" applyFill="1"/>
    <xf numFmtId="0" fontId="38" fillId="0" borderId="1" xfId="4" applyFont="1" applyFill="1" applyBorder="1" applyAlignment="1">
      <alignment horizontal="center"/>
    </xf>
    <xf numFmtId="0" fontId="24" fillId="17" borderId="3" xfId="3" applyFont="1" applyFill="1" applyBorder="1" applyAlignment="1">
      <alignment horizontal="center"/>
    </xf>
    <xf numFmtId="0" fontId="43" fillId="0" borderId="0" xfId="0" applyFont="1" applyBorder="1" applyAlignment="1">
      <alignment horizontal="center"/>
    </xf>
    <xf numFmtId="0" fontId="48" fillId="0" borderId="0" xfId="0" applyFont="1" applyAlignment="1">
      <alignment horizontal="center"/>
    </xf>
    <xf numFmtId="0" fontId="43" fillId="0" borderId="0" xfId="0" applyFont="1" applyAlignment="1">
      <alignment horizontal="center"/>
    </xf>
    <xf numFmtId="0" fontId="43" fillId="12" borderId="0" xfId="0" applyFont="1" applyFill="1" applyBorder="1" applyAlignment="1">
      <alignment horizontal="center"/>
    </xf>
    <xf numFmtId="0" fontId="38" fillId="0" borderId="1" xfId="3" applyFont="1" applyFill="1" applyBorder="1" applyAlignment="1">
      <alignment horizontal="center" vertical="center"/>
    </xf>
    <xf numFmtId="0" fontId="38" fillId="0" borderId="1" xfId="0" applyFont="1" applyFill="1" applyBorder="1" applyAlignment="1">
      <alignment horizontal="center"/>
    </xf>
    <xf numFmtId="0" fontId="43" fillId="10" borderId="1" xfId="0" applyFont="1" applyFill="1" applyBorder="1"/>
    <xf numFmtId="0" fontId="43" fillId="10" borderId="1" xfId="3" applyFont="1" applyFill="1" applyBorder="1" applyAlignment="1">
      <alignment horizontal="center"/>
    </xf>
    <xf numFmtId="0" fontId="38" fillId="2" borderId="1" xfId="4" applyFont="1" applyFill="1" applyBorder="1" applyAlignment="1">
      <alignment horizontal="center" vertical="center"/>
    </xf>
    <xf numFmtId="0" fontId="37" fillId="0" borderId="1" xfId="0" applyFont="1" applyFill="1" applyBorder="1" applyAlignment="1">
      <alignment horizontal="center"/>
    </xf>
    <xf numFmtId="1" fontId="76" fillId="0" borderId="1" xfId="0" applyNumberFormat="1" applyFont="1" applyBorder="1"/>
    <xf numFmtId="0" fontId="48" fillId="0" borderId="1" xfId="0" applyFont="1" applyBorder="1" applyAlignment="1">
      <alignment horizontal="left"/>
    </xf>
    <xf numFmtId="0" fontId="48" fillId="0" borderId="4" xfId="0" applyFont="1" applyBorder="1" applyAlignment="1">
      <alignment horizontal="center"/>
    </xf>
    <xf numFmtId="0" fontId="70" fillId="0" borderId="1" xfId="4" applyFont="1" applyFill="1" applyBorder="1" applyAlignment="1">
      <alignment horizontal="center"/>
    </xf>
    <xf numFmtId="167" fontId="38" fillId="9" borderId="16" xfId="3" applyNumberFormat="1" applyFont="1" applyFill="1" applyBorder="1" applyAlignment="1">
      <alignment horizontal="left"/>
    </xf>
    <xf numFmtId="9" fontId="38" fillId="9" borderId="16" xfId="3" applyNumberFormat="1" applyFont="1" applyFill="1" applyBorder="1" applyAlignment="1">
      <alignment horizontal="left"/>
    </xf>
    <xf numFmtId="0" fontId="38" fillId="9" borderId="16" xfId="3" applyFont="1" applyFill="1" applyBorder="1"/>
    <xf numFmtId="0" fontId="38" fillId="8" borderId="16" xfId="3" applyFont="1" applyFill="1" applyBorder="1" applyAlignment="1">
      <alignment horizontal="center" vertical="center"/>
    </xf>
    <xf numFmtId="0" fontId="38" fillId="8" borderId="16" xfId="3" applyFont="1" applyFill="1" applyBorder="1" applyAlignment="1">
      <alignment horizontal="left" vertical="center"/>
    </xf>
    <xf numFmtId="0" fontId="38" fillId="8" borderId="20" xfId="3" applyFont="1" applyFill="1" applyBorder="1" applyAlignment="1">
      <alignment horizontal="left" vertical="center"/>
    </xf>
    <xf numFmtId="168" fontId="38" fillId="8" borderId="16" xfId="3" applyNumberFormat="1" applyFont="1" applyFill="1" applyBorder="1" applyAlignment="1">
      <alignment vertical="center"/>
    </xf>
    <xf numFmtId="0" fontId="38" fillId="13" borderId="16" xfId="3" applyFont="1" applyFill="1" applyBorder="1" applyAlignment="1">
      <alignment horizontal="center"/>
    </xf>
    <xf numFmtId="0" fontId="38" fillId="8" borderId="16" xfId="3" applyFont="1" applyFill="1" applyBorder="1" applyAlignment="1">
      <alignment horizontal="left"/>
    </xf>
    <xf numFmtId="0" fontId="38" fillId="2" borderId="16" xfId="3" applyFont="1" applyFill="1" applyBorder="1" applyAlignment="1">
      <alignment horizontal="left" vertical="center"/>
    </xf>
    <xf numFmtId="0" fontId="38" fillId="13" borderId="16" xfId="3" applyFont="1" applyFill="1" applyBorder="1" applyAlignment="1">
      <alignment horizontal="center" vertical="center"/>
    </xf>
    <xf numFmtId="0" fontId="47" fillId="2" borderId="13" xfId="3" applyFont="1" applyFill="1" applyBorder="1" applyAlignment="1">
      <alignment horizontal="center"/>
    </xf>
    <xf numFmtId="0" fontId="47" fillId="13" borderId="13" xfId="3" applyFont="1" applyFill="1" applyBorder="1" applyAlignment="1">
      <alignment horizontal="center"/>
    </xf>
    <xf numFmtId="0" fontId="38" fillId="12" borderId="16" xfId="3" applyFont="1" applyFill="1" applyBorder="1" applyAlignment="1">
      <alignment horizontal="left"/>
    </xf>
    <xf numFmtId="2" fontId="38" fillId="8" borderId="16" xfId="3" applyNumberFormat="1" applyFont="1" applyFill="1" applyBorder="1" applyAlignment="1">
      <alignment horizontal="left" vertical="center"/>
    </xf>
    <xf numFmtId="0" fontId="43" fillId="0" borderId="2" xfId="0" applyFont="1" applyBorder="1" applyAlignment="1"/>
    <xf numFmtId="0" fontId="46" fillId="0" borderId="16" xfId="4" applyFont="1" applyFill="1" applyBorder="1"/>
    <xf numFmtId="1" fontId="70" fillId="0" borderId="1" xfId="5" applyNumberFormat="1" applyFont="1" applyFill="1" applyBorder="1" applyAlignment="1" applyProtection="1">
      <alignment horizontal="center"/>
    </xf>
    <xf numFmtId="0" fontId="70" fillId="0" borderId="1" xfId="3" applyFont="1" applyFill="1" applyBorder="1" applyAlignment="1">
      <alignment horizontal="center" vertical="center"/>
    </xf>
    <xf numFmtId="0" fontId="70" fillId="0" borderId="0" xfId="4" applyFont="1" applyFill="1" applyBorder="1" applyAlignment="1">
      <alignment horizontal="center"/>
    </xf>
    <xf numFmtId="1" fontId="70" fillId="0" borderId="0" xfId="3" applyNumberFormat="1" applyFont="1" applyFill="1" applyBorder="1" applyAlignment="1">
      <alignment horizontal="center"/>
    </xf>
    <xf numFmtId="1" fontId="70" fillId="0" borderId="2" xfId="5" applyNumberFormat="1" applyFont="1" applyFill="1" applyBorder="1" applyAlignment="1" applyProtection="1">
      <alignment horizontal="center"/>
    </xf>
    <xf numFmtId="0" fontId="40" fillId="0" borderId="1" xfId="0" applyFont="1" applyFill="1" applyBorder="1" applyAlignment="1">
      <alignment horizontal="center"/>
    </xf>
    <xf numFmtId="171" fontId="70" fillId="9" borderId="1" xfId="3" applyNumberFormat="1" applyFont="1" applyFill="1" applyBorder="1" applyAlignment="1">
      <alignment horizontal="center"/>
    </xf>
    <xf numFmtId="0" fontId="78" fillId="2" borderId="0" xfId="3" applyFont="1" applyFill="1" applyBorder="1" applyAlignment="1">
      <alignment horizontal="center" vertical="center"/>
    </xf>
    <xf numFmtId="165" fontId="78" fillId="2" borderId="0" xfId="3" applyNumberFormat="1" applyFont="1" applyFill="1" applyBorder="1" applyAlignment="1">
      <alignment horizontal="center"/>
    </xf>
    <xf numFmtId="165" fontId="79" fillId="2" borderId="0" xfId="3" applyNumberFormat="1" applyFont="1" applyFill="1" applyBorder="1" applyAlignment="1">
      <alignment horizontal="center" vertical="center" wrapText="1" shrinkToFit="1"/>
    </xf>
    <xf numFmtId="0" fontId="79" fillId="2" borderId="0" xfId="3" applyFont="1" applyFill="1" applyBorder="1" applyAlignment="1">
      <alignment horizontal="center" vertical="center"/>
    </xf>
    <xf numFmtId="2" fontId="70" fillId="8" borderId="9" xfId="3" applyNumberFormat="1" applyFont="1" applyFill="1" applyBorder="1" applyAlignment="1">
      <alignment horizontal="center"/>
    </xf>
    <xf numFmtId="2" fontId="48" fillId="0" borderId="0" xfId="0" applyNumberFormat="1" applyFont="1"/>
    <xf numFmtId="1" fontId="79" fillId="2" borderId="0" xfId="5" applyNumberFormat="1" applyFont="1" applyFill="1" applyBorder="1" applyAlignment="1" applyProtection="1">
      <alignment horizontal="center"/>
    </xf>
    <xf numFmtId="0" fontId="79" fillId="2" borderId="0" xfId="3" applyFont="1" applyFill="1" applyBorder="1" applyAlignment="1">
      <alignment horizontal="center"/>
    </xf>
    <xf numFmtId="0" fontId="79" fillId="17" borderId="3" xfId="3" applyFont="1" applyFill="1" applyBorder="1" applyAlignment="1">
      <alignment vertical="justify"/>
    </xf>
    <xf numFmtId="1" fontId="73" fillId="2" borderId="0" xfId="0" applyNumberFormat="1" applyFont="1" applyFill="1"/>
    <xf numFmtId="1" fontId="73" fillId="0" borderId="0" xfId="0" applyNumberFormat="1" applyFont="1"/>
    <xf numFmtId="165" fontId="79" fillId="2" borderId="0" xfId="5" applyNumberFormat="1" applyFont="1" applyFill="1" applyBorder="1" applyAlignment="1" applyProtection="1">
      <alignment horizontal="center"/>
    </xf>
    <xf numFmtId="0" fontId="70" fillId="0" borderId="0" xfId="0" applyFont="1" applyBorder="1"/>
    <xf numFmtId="0" fontId="70" fillId="0" borderId="0" xfId="0" applyFont="1"/>
    <xf numFmtId="165" fontId="79" fillId="2" borderId="0" xfId="3" applyNumberFormat="1" applyFont="1" applyFill="1" applyBorder="1" applyAlignment="1">
      <alignment horizontal="center"/>
    </xf>
    <xf numFmtId="0" fontId="48" fillId="0" borderId="0" xfId="4" applyFont="1"/>
    <xf numFmtId="1" fontId="48" fillId="0" borderId="0" xfId="0" applyNumberFormat="1" applyFont="1" applyFill="1" applyAlignment="1">
      <alignment horizontal="center"/>
    </xf>
    <xf numFmtId="2" fontId="43" fillId="2" borderId="1" xfId="0" applyNumberFormat="1" applyFont="1" applyFill="1" applyBorder="1" applyAlignment="1">
      <alignment horizontal="center"/>
    </xf>
    <xf numFmtId="0" fontId="38" fillId="0" borderId="1" xfId="4" applyFont="1" applyFill="1" applyBorder="1" applyAlignment="1">
      <alignment horizontal="center" vertical="center"/>
    </xf>
    <xf numFmtId="1" fontId="40" fillId="0" borderId="1" xfId="0" applyNumberFormat="1" applyFont="1" applyFill="1" applyBorder="1" applyAlignment="1">
      <alignment horizontal="center"/>
    </xf>
    <xf numFmtId="0" fontId="43" fillId="10" borderId="1" xfId="0" applyFont="1" applyFill="1" applyBorder="1" applyAlignment="1">
      <alignment horizontal="center"/>
    </xf>
    <xf numFmtId="165" fontId="23" fillId="0" borderId="0" xfId="0" applyNumberFormat="1" applyFont="1"/>
    <xf numFmtId="0" fontId="37" fillId="12" borderId="18" xfId="0" applyFont="1" applyFill="1" applyBorder="1" applyAlignment="1">
      <alignment horizontal="left"/>
    </xf>
    <xf numFmtId="38" fontId="32" fillId="9" borderId="1" xfId="3" applyNumberFormat="1" applyFont="1" applyFill="1" applyBorder="1" applyAlignment="1">
      <alignment horizontal="center" vertical="center"/>
    </xf>
    <xf numFmtId="38" fontId="32" fillId="9" borderId="1" xfId="3" applyNumberFormat="1" applyFont="1" applyFill="1" applyBorder="1" applyAlignment="1">
      <alignment horizontal="center"/>
    </xf>
    <xf numFmtId="38" fontId="38" fillId="8" borderId="1" xfId="3" applyNumberFormat="1" applyFont="1" applyFill="1" applyBorder="1" applyAlignment="1">
      <alignment horizontal="center" wrapText="1" shrinkToFit="1"/>
    </xf>
    <xf numFmtId="38" fontId="38" fillId="12" borderId="1" xfId="3" applyNumberFormat="1" applyFont="1" applyFill="1" applyBorder="1" applyAlignment="1">
      <alignment horizontal="center" vertical="center"/>
    </xf>
    <xf numFmtId="38" fontId="38" fillId="2" borderId="1" xfId="5" applyNumberFormat="1" applyFont="1" applyFill="1" applyBorder="1" applyAlignment="1">
      <alignment horizontal="center" vertical="center"/>
    </xf>
    <xf numFmtId="38" fontId="38" fillId="2" borderId="6" xfId="5" applyNumberFormat="1" applyFont="1" applyFill="1" applyBorder="1" applyAlignment="1">
      <alignment horizontal="center" vertical="center"/>
    </xf>
    <xf numFmtId="38" fontId="38" fillId="8" borderId="1" xfId="5" applyNumberFormat="1" applyFont="1" applyFill="1" applyBorder="1" applyAlignment="1">
      <alignment horizontal="center" vertical="center"/>
    </xf>
    <xf numFmtId="38" fontId="43" fillId="12" borderId="1" xfId="3" applyNumberFormat="1" applyFont="1" applyFill="1" applyBorder="1" applyAlignment="1">
      <alignment horizontal="center"/>
    </xf>
    <xf numFmtId="38" fontId="45" fillId="8" borderId="1" xfId="5" applyNumberFormat="1" applyFont="1" applyFill="1" applyBorder="1" applyAlignment="1">
      <alignment horizontal="center" vertical="center"/>
    </xf>
    <xf numFmtId="38" fontId="43" fillId="12" borderId="1" xfId="3" applyNumberFormat="1" applyFont="1" applyFill="1" applyBorder="1" applyAlignment="1">
      <alignment horizontal="center" vertical="center"/>
    </xf>
    <xf numFmtId="38" fontId="43" fillId="8" borderId="1" xfId="3" applyNumberFormat="1" applyFont="1" applyFill="1" applyBorder="1" applyAlignment="1">
      <alignment horizontal="center"/>
    </xf>
    <xf numFmtId="38" fontId="43" fillId="8" borderId="1" xfId="5" applyNumberFormat="1" applyFont="1" applyFill="1" applyBorder="1" applyAlignment="1" applyProtection="1">
      <alignment horizontal="center" vertical="center"/>
    </xf>
    <xf numFmtId="38" fontId="45" fillId="8" borderId="1" xfId="5" applyNumberFormat="1" applyFont="1" applyFill="1" applyBorder="1" applyAlignment="1" applyProtection="1">
      <alignment horizontal="center" vertical="center"/>
    </xf>
    <xf numFmtId="38" fontId="24" fillId="17" borderId="3" xfId="3" applyNumberFormat="1" applyFont="1" applyFill="1" applyBorder="1" applyAlignment="1">
      <alignment vertical="justify"/>
    </xf>
    <xf numFmtId="38" fontId="38" fillId="12" borderId="1" xfId="3" applyNumberFormat="1" applyFont="1" applyFill="1" applyBorder="1" applyAlignment="1">
      <alignment horizontal="center"/>
    </xf>
    <xf numFmtId="38" fontId="43" fillId="17" borderId="1" xfId="3" applyNumberFormat="1" applyFont="1" applyFill="1" applyBorder="1" applyAlignment="1">
      <alignment horizontal="center"/>
    </xf>
    <xf numFmtId="38" fontId="43" fillId="2" borderId="1" xfId="3" applyNumberFormat="1" applyFont="1" applyFill="1" applyBorder="1" applyAlignment="1">
      <alignment horizontal="center"/>
    </xf>
    <xf numFmtId="38" fontId="43" fillId="0" borderId="0" xfId="0" applyNumberFormat="1" applyFont="1" applyBorder="1"/>
    <xf numFmtId="38" fontId="38" fillId="12" borderId="1" xfId="5" applyNumberFormat="1" applyFont="1" applyFill="1" applyBorder="1" applyAlignment="1">
      <alignment horizontal="center"/>
    </xf>
    <xf numFmtId="38" fontId="38" fillId="8" borderId="1" xfId="3" applyNumberFormat="1" applyFont="1" applyFill="1" applyBorder="1" applyAlignment="1">
      <alignment horizontal="center"/>
    </xf>
    <xf numFmtId="38" fontId="38" fillId="8" borderId="1" xfId="6" applyNumberFormat="1" applyFont="1" applyFill="1" applyBorder="1" applyAlignment="1">
      <alignment horizontal="center"/>
    </xf>
    <xf numFmtId="38" fontId="38" fillId="8" borderId="6" xfId="6" applyNumberFormat="1" applyFont="1" applyFill="1" applyBorder="1" applyAlignment="1">
      <alignment horizontal="center"/>
    </xf>
    <xf numFmtId="38" fontId="48" fillId="0" borderId="0" xfId="0" applyNumberFormat="1" applyFont="1"/>
    <xf numFmtId="38" fontId="43" fillId="0" borderId="0" xfId="0" applyNumberFormat="1" applyFont="1"/>
    <xf numFmtId="38" fontId="43" fillId="0" borderId="1" xfId="0" applyNumberFormat="1" applyFont="1" applyBorder="1"/>
    <xf numFmtId="38" fontId="32" fillId="2" borderId="1" xfId="5" applyNumberFormat="1" applyFont="1" applyFill="1" applyBorder="1" applyAlignment="1">
      <alignment horizontal="center" vertical="center"/>
    </xf>
    <xf numFmtId="38" fontId="38" fillId="2" borderId="0" xfId="5" applyNumberFormat="1" applyFont="1" applyFill="1" applyBorder="1" applyAlignment="1">
      <alignment horizontal="center" vertical="center"/>
    </xf>
    <xf numFmtId="38" fontId="38" fillId="0" borderId="1" xfId="3" applyNumberFormat="1" applyFont="1" applyFill="1" applyBorder="1" applyAlignment="1">
      <alignment horizontal="center"/>
    </xf>
    <xf numFmtId="38" fontId="43" fillId="0" borderId="1" xfId="0" applyNumberFormat="1" applyFont="1" applyBorder="1" applyAlignment="1">
      <alignment horizontal="center"/>
    </xf>
    <xf numFmtId="38" fontId="43" fillId="0" borderId="1" xfId="0" applyNumberFormat="1" applyFont="1" applyFill="1" applyBorder="1" applyAlignment="1">
      <alignment horizontal="center"/>
    </xf>
    <xf numFmtId="38" fontId="48" fillId="0" borderId="1" xfId="0" applyNumberFormat="1" applyFont="1" applyFill="1" applyBorder="1" applyAlignment="1">
      <alignment horizontal="center"/>
    </xf>
    <xf numFmtId="0" fontId="36" fillId="11" borderId="0" xfId="4" applyFont="1" applyFill="1" applyBorder="1" applyAlignment="1">
      <alignment horizontal="left"/>
    </xf>
    <xf numFmtId="0" fontId="31" fillId="13" borderId="13" xfId="3" applyFont="1" applyFill="1" applyBorder="1" applyAlignment="1">
      <alignment horizontal="left"/>
    </xf>
    <xf numFmtId="0" fontId="31" fillId="13" borderId="3" xfId="3" applyFont="1" applyFill="1" applyBorder="1" applyAlignment="1">
      <alignment horizontal="left"/>
    </xf>
    <xf numFmtId="0" fontId="31" fillId="13" borderId="4" xfId="3" applyFont="1" applyFill="1" applyBorder="1" applyAlignment="1">
      <alignment horizontal="left"/>
    </xf>
    <xf numFmtId="0" fontId="40" fillId="11" borderId="13" xfId="0" applyFont="1" applyFill="1" applyBorder="1" applyAlignment="1">
      <alignment horizontal="left"/>
    </xf>
    <xf numFmtId="0" fontId="40" fillId="11" borderId="4" xfId="0" applyFont="1" applyFill="1" applyBorder="1" applyAlignment="1">
      <alignment horizontal="left"/>
    </xf>
    <xf numFmtId="0" fontId="43" fillId="2" borderId="1" xfId="0" applyFont="1" applyFill="1" applyBorder="1"/>
    <xf numFmtId="0" fontId="81" fillId="2" borderId="1" xfId="0" applyFont="1" applyFill="1" applyBorder="1" applyAlignment="1">
      <alignment horizontal="center"/>
    </xf>
    <xf numFmtId="1" fontId="38" fillId="0" borderId="1" xfId="0" applyNumberFormat="1" applyFont="1" applyFill="1" applyBorder="1" applyAlignment="1">
      <alignment horizontal="center"/>
    </xf>
    <xf numFmtId="0" fontId="38" fillId="0" borderId="1" xfId="0" applyFont="1" applyFill="1" applyBorder="1"/>
    <xf numFmtId="0" fontId="37" fillId="12" borderId="1" xfId="0" applyFont="1" applyFill="1" applyBorder="1" applyAlignment="1">
      <alignment horizontal="left"/>
    </xf>
    <xf numFmtId="0" fontId="43" fillId="12" borderId="1" xfId="0" applyFont="1" applyFill="1" applyBorder="1" applyAlignment="1">
      <alignment horizontal="center"/>
    </xf>
    <xf numFmtId="0" fontId="38" fillId="2" borderId="1" xfId="0" applyFont="1" applyFill="1" applyBorder="1" applyAlignment="1">
      <alignment horizontal="center"/>
    </xf>
    <xf numFmtId="2" fontId="38" fillId="2" borderId="1" xfId="4" applyNumberFormat="1" applyFont="1" applyFill="1" applyBorder="1" applyAlignment="1">
      <alignment horizontal="center"/>
    </xf>
    <xf numFmtId="0" fontId="23" fillId="10" borderId="0" xfId="0" applyFont="1" applyFill="1"/>
    <xf numFmtId="0" fontId="46" fillId="0" borderId="1" xfId="4" applyFont="1" applyFill="1" applyBorder="1" applyAlignment="1">
      <alignment horizontal="center"/>
    </xf>
    <xf numFmtId="2" fontId="38" fillId="10" borderId="1" xfId="3" applyNumberFormat="1" applyFont="1" applyFill="1" applyBorder="1" applyAlignment="1">
      <alignment horizontal="center"/>
    </xf>
    <xf numFmtId="172" fontId="32" fillId="9" borderId="1" xfId="3" applyNumberFormat="1" applyFont="1" applyFill="1" applyBorder="1" applyAlignment="1">
      <alignment horizontal="center" vertical="center"/>
    </xf>
    <xf numFmtId="172" fontId="32" fillId="9" borderId="1" xfId="3" applyNumberFormat="1" applyFont="1" applyFill="1" applyBorder="1" applyAlignment="1">
      <alignment horizontal="center"/>
    </xf>
    <xf numFmtId="172" fontId="38" fillId="8" borderId="1" xfId="3" applyNumberFormat="1" applyFont="1" applyFill="1" applyBorder="1" applyAlignment="1">
      <alignment horizontal="center" wrapText="1" shrinkToFit="1"/>
    </xf>
    <xf numFmtId="172" fontId="38" fillId="12" borderId="1" xfId="3" applyNumberFormat="1" applyFont="1" applyFill="1" applyBorder="1" applyAlignment="1">
      <alignment horizontal="center" vertical="center"/>
    </xf>
    <xf numFmtId="172" fontId="38" fillId="2" borderId="1" xfId="5" applyNumberFormat="1" applyFont="1" applyFill="1" applyBorder="1" applyAlignment="1">
      <alignment horizontal="center" vertical="center"/>
    </xf>
    <xf numFmtId="172" fontId="38" fillId="2" borderId="6" xfId="5" applyNumberFormat="1" applyFont="1" applyFill="1" applyBorder="1" applyAlignment="1">
      <alignment horizontal="center" vertical="center"/>
    </xf>
    <xf numFmtId="172" fontId="38" fillId="8" borderId="1" xfId="5" applyNumberFormat="1" applyFont="1" applyFill="1" applyBorder="1" applyAlignment="1">
      <alignment horizontal="center" vertical="center"/>
    </xf>
    <xf numFmtId="172" fontId="43" fillId="12" borderId="1" xfId="3" applyNumberFormat="1" applyFont="1" applyFill="1" applyBorder="1" applyAlignment="1">
      <alignment horizontal="center"/>
    </xf>
    <xf numFmtId="172" fontId="45" fillId="8" borderId="1" xfId="5" applyNumberFormat="1" applyFont="1" applyFill="1" applyBorder="1" applyAlignment="1">
      <alignment horizontal="center" vertical="center"/>
    </xf>
    <xf numFmtId="172" fontId="43" fillId="12" borderId="1" xfId="3" applyNumberFormat="1" applyFont="1" applyFill="1" applyBorder="1" applyAlignment="1">
      <alignment horizontal="center" vertical="center"/>
    </xf>
    <xf numFmtId="172" fontId="43" fillId="8" borderId="1" xfId="3" applyNumberFormat="1" applyFont="1" applyFill="1" applyBorder="1" applyAlignment="1">
      <alignment horizontal="center"/>
    </xf>
    <xf numFmtId="172" fontId="43" fillId="8" borderId="1" xfId="5" applyNumberFormat="1" applyFont="1" applyFill="1" applyBorder="1" applyAlignment="1" applyProtection="1">
      <alignment horizontal="center" vertical="center"/>
    </xf>
    <xf numFmtId="172" fontId="45" fillId="8" borderId="1" xfId="5" applyNumberFormat="1" applyFont="1" applyFill="1" applyBorder="1" applyAlignment="1" applyProtection="1">
      <alignment horizontal="center" vertical="center"/>
    </xf>
    <xf numFmtId="172" fontId="24" fillId="17" borderId="3" xfId="3" applyNumberFormat="1" applyFont="1" applyFill="1" applyBorder="1" applyAlignment="1">
      <alignment vertical="justify"/>
    </xf>
    <xf numFmtId="172" fontId="38" fillId="12" borderId="1" xfId="3" applyNumberFormat="1" applyFont="1" applyFill="1" applyBorder="1" applyAlignment="1">
      <alignment horizontal="center"/>
    </xf>
    <xf numFmtId="172" fontId="38" fillId="10" borderId="1" xfId="5" applyNumberFormat="1" applyFont="1" applyFill="1" applyBorder="1" applyAlignment="1">
      <alignment horizontal="center" vertical="center"/>
    </xf>
    <xf numFmtId="172" fontId="43" fillId="17" borderId="1" xfId="3" applyNumberFormat="1" applyFont="1" applyFill="1" applyBorder="1" applyAlignment="1">
      <alignment horizontal="center"/>
    </xf>
    <xf numFmtId="172" fontId="43" fillId="2" borderId="1" xfId="3" applyNumberFormat="1" applyFont="1" applyFill="1" applyBorder="1" applyAlignment="1">
      <alignment horizontal="center"/>
    </xf>
    <xf numFmtId="172" fontId="43" fillId="0" borderId="0" xfId="0" applyNumberFormat="1" applyFont="1" applyBorder="1"/>
    <xf numFmtId="172" fontId="38" fillId="12" borderId="1" xfId="5" applyNumberFormat="1" applyFont="1" applyFill="1" applyBorder="1" applyAlignment="1">
      <alignment horizontal="center"/>
    </xf>
    <xf numFmtId="172" fontId="38" fillId="8" borderId="1" xfId="3" applyNumberFormat="1" applyFont="1" applyFill="1" applyBorder="1" applyAlignment="1">
      <alignment horizontal="center"/>
    </xf>
    <xf numFmtId="172" fontId="38" fillId="8" borderId="1" xfId="6" applyNumberFormat="1" applyFont="1" applyFill="1" applyBorder="1" applyAlignment="1">
      <alignment horizontal="center"/>
    </xf>
    <xf numFmtId="172" fontId="38" fillId="8" borderId="6" xfId="6" applyNumberFormat="1" applyFont="1" applyFill="1" applyBorder="1" applyAlignment="1">
      <alignment horizontal="center"/>
    </xf>
    <xf numFmtId="172" fontId="48" fillId="0" borderId="0" xfId="0" applyNumberFormat="1" applyFont="1"/>
    <xf numFmtId="172" fontId="43" fillId="0" borderId="0" xfId="0" applyNumberFormat="1" applyFont="1"/>
    <xf numFmtId="172" fontId="43" fillId="0" borderId="1" xfId="0" applyNumberFormat="1" applyFont="1" applyBorder="1"/>
    <xf numFmtId="172" fontId="32" fillId="2" borderId="1" xfId="5" applyNumberFormat="1" applyFont="1" applyFill="1" applyBorder="1" applyAlignment="1">
      <alignment horizontal="center" vertical="center"/>
    </xf>
    <xf numFmtId="172" fontId="38" fillId="2" borderId="0" xfId="5" applyNumberFormat="1" applyFont="1" applyFill="1" applyBorder="1" applyAlignment="1">
      <alignment horizontal="center" vertical="center"/>
    </xf>
    <xf numFmtId="172" fontId="38" fillId="0" borderId="1" xfId="3" applyNumberFormat="1" applyFont="1" applyFill="1" applyBorder="1" applyAlignment="1">
      <alignment horizontal="center"/>
    </xf>
    <xf numFmtId="172" fontId="43" fillId="0" borderId="1" xfId="0" applyNumberFormat="1" applyFont="1" applyBorder="1" applyAlignment="1">
      <alignment horizontal="center"/>
    </xf>
    <xf numFmtId="172" fontId="43" fillId="0" borderId="1" xfId="0" applyNumberFormat="1" applyFont="1" applyFill="1" applyBorder="1" applyAlignment="1">
      <alignment horizontal="center"/>
    </xf>
    <xf numFmtId="172" fontId="48" fillId="0" borderId="1" xfId="0" applyNumberFormat="1" applyFont="1" applyFill="1" applyBorder="1" applyAlignment="1">
      <alignment horizontal="center"/>
    </xf>
    <xf numFmtId="0" fontId="43" fillId="2" borderId="1" xfId="3" applyFont="1" applyFill="1" applyBorder="1" applyAlignment="1">
      <alignment horizontal="center"/>
    </xf>
    <xf numFmtId="1" fontId="77" fillId="8" borderId="1" xfId="3" applyNumberFormat="1" applyFont="1" applyFill="1" applyBorder="1" applyAlignment="1">
      <alignment horizontal="center"/>
    </xf>
    <xf numFmtId="1" fontId="40" fillId="2" borderId="1" xfId="0" applyNumberFormat="1" applyFont="1" applyFill="1" applyBorder="1" applyAlignment="1">
      <alignment horizontal="center"/>
    </xf>
    <xf numFmtId="0" fontId="11" fillId="14" borderId="5" xfId="0" applyFont="1" applyFill="1" applyBorder="1" applyAlignment="1">
      <alignment horizontal="center"/>
    </xf>
    <xf numFmtId="0" fontId="11" fillId="15" borderId="5" xfId="0" applyFont="1" applyFill="1" applyBorder="1" applyAlignment="1">
      <alignment horizontal="center"/>
    </xf>
    <xf numFmtId="0" fontId="65" fillId="0" borderId="20" xfId="1" applyFont="1" applyFill="1" applyBorder="1" applyAlignment="1">
      <alignment horizontal="center" vertical="center" wrapText="1"/>
    </xf>
    <xf numFmtId="0" fontId="65" fillId="0" borderId="5" xfId="1" applyFont="1" applyFill="1" applyBorder="1" applyAlignment="1">
      <alignment horizontal="center" vertical="center" wrapText="1"/>
    </xf>
    <xf numFmtId="0" fontId="65" fillId="0" borderId="26" xfId="1" applyFont="1" applyFill="1" applyBorder="1" applyAlignment="1">
      <alignment horizontal="center" vertical="center" wrapText="1"/>
    </xf>
    <xf numFmtId="0" fontId="82" fillId="0" borderId="16" xfId="1" applyFont="1" applyFill="1" applyBorder="1" applyAlignment="1">
      <alignment vertical="top" wrapText="1"/>
    </xf>
    <xf numFmtId="0" fontId="82" fillId="0" borderId="1" xfId="1" applyFont="1" applyFill="1" applyBorder="1" applyAlignment="1">
      <alignment horizontal="center" vertical="top" wrapText="1"/>
    </xf>
    <xf numFmtId="0" fontId="82" fillId="0" borderId="12" xfId="1" applyFont="1" applyFill="1" applyBorder="1" applyAlignment="1">
      <alignment horizontal="center" vertical="top" wrapText="1"/>
    </xf>
    <xf numFmtId="1" fontId="11" fillId="2" borderId="16" xfId="1" applyNumberFormat="1" applyFont="1" applyFill="1" applyBorder="1" applyAlignment="1">
      <alignment vertical="center" wrapText="1"/>
    </xf>
    <xf numFmtId="1" fontId="65" fillId="0" borderId="0" xfId="1" applyNumberFormat="1" applyFont="1"/>
    <xf numFmtId="0" fontId="48" fillId="0" borderId="1" xfId="0" applyFont="1" applyFill="1" applyBorder="1" applyAlignment="1">
      <alignment horizontal="center"/>
    </xf>
    <xf numFmtId="0" fontId="48" fillId="2" borderId="1" xfId="0" applyFont="1" applyFill="1" applyBorder="1" applyAlignment="1">
      <alignment horizontal="center"/>
    </xf>
    <xf numFmtId="1" fontId="70" fillId="17" borderId="1" xfId="3" applyNumberFormat="1" applyFont="1" applyFill="1" applyBorder="1" applyAlignment="1">
      <alignment horizontal="center"/>
    </xf>
    <xf numFmtId="38" fontId="43" fillId="12" borderId="1" xfId="0" applyNumberFormat="1" applyFont="1" applyFill="1" applyBorder="1" applyAlignment="1">
      <alignment horizontal="center"/>
    </xf>
    <xf numFmtId="1" fontId="70" fillId="12" borderId="1" xfId="3" applyNumberFormat="1" applyFont="1" applyFill="1" applyBorder="1" applyAlignment="1">
      <alignment horizontal="center"/>
    </xf>
    <xf numFmtId="1" fontId="70" fillId="12" borderId="12" xfId="3" applyNumberFormat="1" applyFont="1" applyFill="1" applyBorder="1" applyAlignment="1">
      <alignment horizontal="center"/>
    </xf>
    <xf numFmtId="1" fontId="74" fillId="2" borderId="1" xfId="3" applyNumberFormat="1" applyFont="1" applyFill="1" applyBorder="1" applyAlignment="1">
      <alignment horizontal="center"/>
    </xf>
    <xf numFmtId="1" fontId="70" fillId="0" borderId="1" xfId="5" applyNumberFormat="1" applyFont="1" applyFill="1" applyBorder="1" applyAlignment="1">
      <alignment horizontal="center"/>
    </xf>
    <xf numFmtId="1" fontId="38" fillId="8" borderId="1" xfId="5" applyNumberFormat="1" applyFont="1" applyFill="1" applyBorder="1" applyAlignment="1">
      <alignment horizontal="center"/>
    </xf>
    <xf numFmtId="43" fontId="70" fillId="8" borderId="1" xfId="7" applyFont="1" applyFill="1" applyBorder="1" applyAlignment="1">
      <alignment horizontal="center" wrapText="1"/>
    </xf>
    <xf numFmtId="0" fontId="48" fillId="0" borderId="0" xfId="0" applyFont="1" applyBorder="1" applyAlignment="1">
      <alignment horizontal="center"/>
    </xf>
    <xf numFmtId="1" fontId="48" fillId="0" borderId="24" xfId="0" applyNumberFormat="1" applyFont="1" applyBorder="1" applyAlignment="1">
      <alignment horizontal="center"/>
    </xf>
    <xf numFmtId="166" fontId="70" fillId="0" borderId="1" xfId="6" applyNumberFormat="1" applyFont="1" applyFill="1" applyBorder="1" applyAlignment="1">
      <alignment horizontal="center"/>
    </xf>
    <xf numFmtId="1" fontId="70" fillId="8" borderId="1" xfId="5" applyNumberFormat="1" applyFont="1" applyFill="1" applyBorder="1" applyAlignment="1">
      <alignment horizontal="center"/>
    </xf>
    <xf numFmtId="2" fontId="70" fillId="0" borderId="1" xfId="3" applyNumberFormat="1" applyFont="1" applyFill="1" applyBorder="1" applyAlignment="1">
      <alignment horizontal="center"/>
    </xf>
    <xf numFmtId="2" fontId="73" fillId="0" borderId="1" xfId="3" applyNumberFormat="1" applyFont="1" applyFill="1" applyBorder="1" applyAlignment="1">
      <alignment horizontal="center"/>
    </xf>
    <xf numFmtId="0" fontId="48" fillId="12" borderId="0" xfId="0" applyFont="1" applyFill="1" applyBorder="1" applyAlignment="1">
      <alignment horizontal="center"/>
    </xf>
    <xf numFmtId="1" fontId="70" fillId="2" borderId="1" xfId="4" applyNumberFormat="1" applyFont="1" applyFill="1" applyBorder="1" applyAlignment="1">
      <alignment horizontal="center"/>
    </xf>
    <xf numFmtId="1" fontId="70" fillId="0" borderId="1" xfId="4" applyNumberFormat="1" applyFont="1" applyBorder="1" applyAlignment="1">
      <alignment horizontal="center"/>
    </xf>
    <xf numFmtId="1" fontId="72" fillId="2" borderId="1" xfId="4" applyNumberFormat="1" applyFont="1" applyFill="1" applyBorder="1" applyAlignment="1">
      <alignment horizontal="center"/>
    </xf>
    <xf numFmtId="1" fontId="72" fillId="0" borderId="1" xfId="4" applyNumberFormat="1" applyFont="1" applyBorder="1" applyAlignment="1">
      <alignment horizontal="center"/>
    </xf>
    <xf numFmtId="1" fontId="74" fillId="8" borderId="1" xfId="3" applyNumberFormat="1" applyFont="1" applyFill="1" applyBorder="1" applyAlignment="1">
      <alignment horizontal="center"/>
    </xf>
    <xf numFmtId="1" fontId="74" fillId="2" borderId="1" xfId="4" applyNumberFormat="1" applyFont="1" applyFill="1" applyBorder="1" applyAlignment="1">
      <alignment horizontal="center"/>
    </xf>
    <xf numFmtId="1" fontId="73" fillId="12" borderId="1" xfId="3" applyNumberFormat="1" applyFont="1" applyFill="1" applyBorder="1" applyAlignment="1">
      <alignment horizontal="center"/>
    </xf>
    <xf numFmtId="1" fontId="75" fillId="8" borderId="1" xfId="3" applyNumberFormat="1" applyFont="1" applyFill="1" applyBorder="1" applyAlignment="1">
      <alignment horizontal="center"/>
    </xf>
    <xf numFmtId="1" fontId="70" fillId="8" borderId="1" xfId="9" applyNumberFormat="1" applyFont="1" applyFill="1" applyBorder="1" applyAlignment="1">
      <alignment horizontal="center"/>
    </xf>
    <xf numFmtId="1" fontId="73" fillId="8" borderId="1" xfId="5" applyNumberFormat="1" applyFont="1" applyFill="1" applyBorder="1" applyAlignment="1" applyProtection="1">
      <alignment horizontal="center"/>
    </xf>
    <xf numFmtId="1" fontId="84" fillId="17" borderId="3" xfId="3" applyNumberFormat="1" applyFont="1" applyFill="1" applyBorder="1" applyAlignment="1">
      <alignment horizontal="center"/>
    </xf>
    <xf numFmtId="1" fontId="79" fillId="17" borderId="3" xfId="3" applyNumberFormat="1" applyFont="1" applyFill="1" applyBorder="1" applyAlignment="1">
      <alignment horizontal="center"/>
    </xf>
    <xf numFmtId="1" fontId="79" fillId="17" borderId="21" xfId="3" applyNumberFormat="1" applyFont="1" applyFill="1" applyBorder="1" applyAlignment="1">
      <alignment horizontal="center"/>
    </xf>
    <xf numFmtId="1" fontId="70" fillId="17" borderId="12" xfId="3" applyNumberFormat="1" applyFont="1" applyFill="1" applyBorder="1" applyAlignment="1">
      <alignment horizontal="center"/>
    </xf>
    <xf numFmtId="38" fontId="38" fillId="9" borderId="1" xfId="3" applyNumberFormat="1" applyFont="1" applyFill="1" applyBorder="1" applyAlignment="1">
      <alignment horizontal="center"/>
    </xf>
    <xf numFmtId="1" fontId="38" fillId="0" borderId="1" xfId="5" applyNumberFormat="1" applyFont="1" applyFill="1" applyBorder="1" applyAlignment="1">
      <alignment horizontal="center"/>
    </xf>
    <xf numFmtId="1" fontId="38" fillId="2" borderId="1" xfId="5" applyNumberFormat="1" applyFont="1" applyFill="1" applyBorder="1" applyAlignment="1">
      <alignment horizontal="center"/>
    </xf>
    <xf numFmtId="1" fontId="46" fillId="2" borderId="1" xfId="5" applyNumberFormat="1" applyFont="1" applyFill="1" applyBorder="1" applyAlignment="1">
      <alignment horizontal="center"/>
    </xf>
    <xf numFmtId="1" fontId="45" fillId="8" borderId="1" xfId="5" applyNumberFormat="1" applyFont="1" applyFill="1" applyBorder="1" applyAlignment="1">
      <alignment horizontal="center"/>
    </xf>
    <xf numFmtId="1" fontId="43" fillId="8" borderId="1" xfId="3" applyNumberFormat="1" applyFont="1" applyFill="1" applyBorder="1" applyAlignment="1">
      <alignment horizontal="center"/>
    </xf>
    <xf numFmtId="1" fontId="43" fillId="8" borderId="1" xfId="5" applyNumberFormat="1" applyFont="1" applyFill="1" applyBorder="1" applyAlignment="1" applyProtection="1">
      <alignment horizontal="center"/>
    </xf>
    <xf numFmtId="1" fontId="85" fillId="17" borderId="3" xfId="3" applyNumberFormat="1" applyFont="1" applyFill="1" applyBorder="1" applyAlignment="1">
      <alignment horizontal="center"/>
    </xf>
    <xf numFmtId="38" fontId="38" fillId="2" borderId="1" xfId="5" applyNumberFormat="1" applyFont="1" applyFill="1" applyBorder="1" applyAlignment="1">
      <alignment horizontal="center"/>
    </xf>
    <xf numFmtId="38" fontId="43" fillId="0" borderId="0" xfId="0" applyNumberFormat="1" applyFont="1" applyBorder="1" applyAlignment="1">
      <alignment horizontal="center"/>
    </xf>
    <xf numFmtId="38" fontId="43" fillId="0" borderId="0" xfId="0" applyNumberFormat="1" applyFont="1" applyAlignment="1">
      <alignment horizontal="center"/>
    </xf>
    <xf numFmtId="38" fontId="38" fillId="0" borderId="1" xfId="5" applyNumberFormat="1" applyFont="1" applyFill="1" applyBorder="1" applyAlignment="1">
      <alignment horizontal="center"/>
    </xf>
    <xf numFmtId="38" fontId="38" fillId="0" borderId="0" xfId="5" applyNumberFormat="1" applyFont="1" applyFill="1" applyBorder="1" applyAlignment="1">
      <alignment horizontal="center"/>
    </xf>
    <xf numFmtId="164" fontId="45" fillId="8" borderId="1" xfId="19" applyFont="1" applyFill="1" applyBorder="1" applyAlignment="1" applyProtection="1">
      <alignment horizontal="center"/>
    </xf>
    <xf numFmtId="164" fontId="70" fillId="8" borderId="1" xfId="19" applyFont="1" applyFill="1" applyBorder="1" applyAlignment="1">
      <alignment horizontal="center"/>
    </xf>
    <xf numFmtId="164" fontId="74" fillId="2" borderId="1" xfId="19" applyFont="1" applyFill="1" applyBorder="1" applyAlignment="1">
      <alignment horizontal="center"/>
    </xf>
    <xf numFmtId="164" fontId="70" fillId="8" borderId="12" xfId="19" applyFont="1" applyFill="1" applyBorder="1" applyAlignment="1" applyProtection="1">
      <alignment horizontal="center"/>
    </xf>
    <xf numFmtId="0" fontId="38" fillId="18" borderId="1" xfId="3" applyFont="1" applyFill="1" applyBorder="1" applyAlignment="1">
      <alignment horizontal="center"/>
    </xf>
    <xf numFmtId="0" fontId="38" fillId="18" borderId="1" xfId="4" applyFont="1" applyFill="1" applyBorder="1" applyAlignment="1">
      <alignment horizontal="center"/>
    </xf>
    <xf numFmtId="0" fontId="38" fillId="18" borderId="1" xfId="3" applyFont="1" applyFill="1" applyBorder="1" applyAlignment="1">
      <alignment horizontal="center" vertical="center"/>
    </xf>
    <xf numFmtId="0" fontId="38" fillId="19" borderId="1" xfId="4" applyFont="1" applyFill="1" applyBorder="1" applyAlignment="1">
      <alignment horizontal="center"/>
    </xf>
    <xf numFmtId="0" fontId="44" fillId="10" borderId="1" xfId="4" applyFont="1" applyFill="1" applyBorder="1" applyAlignment="1">
      <alignment horizontal="center" wrapText="1"/>
    </xf>
    <xf numFmtId="0" fontId="48" fillId="0" borderId="1" xfId="0" applyFont="1" applyFill="1" applyBorder="1" applyAlignment="1">
      <alignment horizontal="center"/>
    </xf>
    <xf numFmtId="1" fontId="38" fillId="0" borderId="6" xfId="5" applyNumberFormat="1" applyFont="1" applyFill="1" applyBorder="1" applyAlignment="1">
      <alignment horizontal="center" vertical="center"/>
    </xf>
    <xf numFmtId="38" fontId="38" fillId="0" borderId="1" xfId="5" applyNumberFormat="1" applyFont="1" applyFill="1" applyBorder="1" applyAlignment="1">
      <alignment horizontal="center" vertical="center"/>
    </xf>
    <xf numFmtId="38" fontId="38" fillId="10" borderId="1" xfId="5" applyNumberFormat="1" applyFont="1" applyFill="1" applyBorder="1" applyAlignment="1">
      <alignment horizontal="center" vertical="center"/>
    </xf>
    <xf numFmtId="2" fontId="23" fillId="10" borderId="0" xfId="0" applyNumberFormat="1" applyFont="1" applyFill="1"/>
    <xf numFmtId="0" fontId="31" fillId="2" borderId="1" xfId="3" applyFont="1" applyFill="1" applyBorder="1" applyAlignment="1">
      <alignment horizontal="center"/>
    </xf>
    <xf numFmtId="168" fontId="32" fillId="8" borderId="0" xfId="3" applyNumberFormat="1" applyFont="1" applyFill="1" applyBorder="1" applyAlignment="1">
      <alignment vertical="center"/>
    </xf>
    <xf numFmtId="0" fontId="32" fillId="8" borderId="0" xfId="3" applyFont="1" applyFill="1" applyBorder="1" applyAlignment="1">
      <alignment horizontal="left" vertical="center"/>
    </xf>
    <xf numFmtId="16" fontId="4" fillId="2" borderId="0" xfId="1" applyNumberFormat="1" applyFont="1" applyFill="1" applyBorder="1" applyAlignment="1">
      <alignment horizontal="center" vertical="center" wrapText="1"/>
    </xf>
    <xf numFmtId="0" fontId="6" fillId="3" borderId="1" xfId="1" applyFont="1" applyFill="1" applyBorder="1" applyAlignment="1">
      <alignment horizontal="center" vertical="center" wrapText="1"/>
    </xf>
    <xf numFmtId="0" fontId="6" fillId="4" borderId="1" xfId="1" applyFont="1" applyFill="1" applyBorder="1" applyAlignment="1">
      <alignment horizontal="center" vertical="center" wrapText="1"/>
    </xf>
    <xf numFmtId="0" fontId="6" fillId="5" borderId="1" xfId="1" applyFont="1" applyFill="1" applyBorder="1" applyAlignment="1">
      <alignment horizontal="center" vertical="center" wrapText="1"/>
    </xf>
    <xf numFmtId="0" fontId="6" fillId="6" borderId="1" xfId="1" applyFont="1" applyFill="1" applyBorder="1" applyAlignment="1">
      <alignment horizontal="center" vertical="center" wrapText="1"/>
    </xf>
    <xf numFmtId="0" fontId="6" fillId="0" borderId="2" xfId="1" applyFont="1" applyFill="1" applyBorder="1" applyAlignment="1">
      <alignment horizontal="center" vertical="center" wrapText="1"/>
    </xf>
    <xf numFmtId="0" fontId="6" fillId="0" borderId="3" xfId="1" applyFont="1" applyFill="1" applyBorder="1" applyAlignment="1">
      <alignment horizontal="center" vertical="center" wrapText="1"/>
    </xf>
    <xf numFmtId="0" fontId="6" fillId="0" borderId="4" xfId="1" applyFont="1" applyFill="1" applyBorder="1" applyAlignment="1">
      <alignment horizontal="center" vertical="center" wrapText="1"/>
    </xf>
    <xf numFmtId="0" fontId="6" fillId="0" borderId="1" xfId="1" applyFont="1" applyBorder="1" applyAlignment="1">
      <alignment horizontal="center" vertical="center" wrapText="1"/>
    </xf>
    <xf numFmtId="0" fontId="3" fillId="0" borderId="14" xfId="1" applyFont="1" applyFill="1" applyBorder="1" applyAlignment="1">
      <alignment horizontal="center" vertical="center" wrapText="1"/>
    </xf>
    <xf numFmtId="0" fontId="3" fillId="0" borderId="11" xfId="1" applyFont="1" applyFill="1" applyBorder="1" applyAlignment="1">
      <alignment horizontal="center" vertical="center" wrapText="1"/>
    </xf>
    <xf numFmtId="0" fontId="3" fillId="0" borderId="15" xfId="1" applyFont="1" applyFill="1" applyBorder="1" applyAlignment="1">
      <alignment horizontal="center" vertical="center" wrapText="1"/>
    </xf>
    <xf numFmtId="0" fontId="29" fillId="0" borderId="1" xfId="0" applyFont="1" applyBorder="1" applyAlignment="1">
      <alignment horizontal="center" vertical="center" wrapText="1"/>
    </xf>
    <xf numFmtId="0" fontId="11" fillId="13" borderId="5" xfId="0" applyFont="1" applyFill="1" applyBorder="1" applyAlignment="1">
      <alignment horizontal="center"/>
    </xf>
    <xf numFmtId="0" fontId="11" fillId="14" borderId="5" xfId="0" applyFont="1" applyFill="1" applyBorder="1" applyAlignment="1">
      <alignment horizontal="center"/>
    </xf>
    <xf numFmtId="0" fontId="11" fillId="15" borderId="5" xfId="0" applyFont="1" applyFill="1" applyBorder="1" applyAlignment="1">
      <alignment horizontal="center"/>
    </xf>
    <xf numFmtId="0" fontId="65" fillId="0" borderId="14" xfId="1" applyFont="1" applyFill="1" applyBorder="1" applyAlignment="1">
      <alignment horizontal="center" vertical="center" wrapText="1"/>
    </xf>
    <xf numFmtId="0" fontId="65" fillId="0" borderId="11" xfId="1" applyFont="1" applyFill="1" applyBorder="1" applyAlignment="1">
      <alignment horizontal="center" vertical="center" wrapText="1"/>
    </xf>
    <xf numFmtId="0" fontId="65" fillId="0" borderId="15" xfId="1" applyFont="1" applyFill="1" applyBorder="1" applyAlignment="1">
      <alignment horizontal="center" vertical="center" wrapText="1"/>
    </xf>
    <xf numFmtId="0" fontId="11" fillId="14" borderId="3" xfId="0" applyFont="1" applyFill="1" applyBorder="1" applyAlignment="1">
      <alignment horizontal="center"/>
    </xf>
    <xf numFmtId="0" fontId="11" fillId="13" borderId="3" xfId="0" applyFont="1" applyFill="1" applyBorder="1" applyAlignment="1">
      <alignment horizontal="center"/>
    </xf>
    <xf numFmtId="0" fontId="70" fillId="13" borderId="13" xfId="3" applyFont="1" applyFill="1" applyBorder="1" applyAlignment="1">
      <alignment horizontal="left"/>
    </xf>
    <xf numFmtId="0" fontId="70" fillId="13" borderId="3" xfId="3" applyFont="1" applyFill="1" applyBorder="1" applyAlignment="1">
      <alignment horizontal="left"/>
    </xf>
    <xf numFmtId="0" fontId="70" fillId="13" borderId="4" xfId="3" applyFont="1" applyFill="1" applyBorder="1" applyAlignment="1">
      <alignment horizontal="left"/>
    </xf>
    <xf numFmtId="0" fontId="72" fillId="0" borderId="2" xfId="4" applyFont="1" applyFill="1" applyBorder="1" applyAlignment="1">
      <alignment horizontal="left"/>
    </xf>
    <xf numFmtId="0" fontId="72" fillId="0" borderId="3" xfId="4" applyFont="1" applyFill="1" applyBorder="1" applyAlignment="1">
      <alignment horizontal="left"/>
    </xf>
    <xf numFmtId="0" fontId="72" fillId="0" borderId="4" xfId="4" applyFont="1" applyFill="1" applyBorder="1" applyAlignment="1">
      <alignment horizontal="left"/>
    </xf>
    <xf numFmtId="0" fontId="72" fillId="0" borderId="1" xfId="4" applyFont="1" applyFill="1" applyBorder="1" applyAlignment="1">
      <alignment horizontal="left"/>
    </xf>
    <xf numFmtId="0" fontId="48" fillId="0" borderId="1" xfId="0" applyFont="1" applyFill="1" applyBorder="1" applyAlignment="1">
      <alignment horizontal="center"/>
    </xf>
    <xf numFmtId="0" fontId="70" fillId="0" borderId="1" xfId="4" applyFont="1" applyFill="1" applyBorder="1" applyAlignment="1">
      <alignment horizontal="left"/>
    </xf>
    <xf numFmtId="0" fontId="70" fillId="0" borderId="2" xfId="4" applyFont="1" applyFill="1" applyBorder="1" applyAlignment="1">
      <alignment horizontal="left"/>
    </xf>
    <xf numFmtId="0" fontId="70" fillId="0" borderId="3" xfId="4" applyFont="1" applyFill="1" applyBorder="1" applyAlignment="1">
      <alignment horizontal="left"/>
    </xf>
    <xf numFmtId="0" fontId="70" fillId="0" borderId="4" xfId="4" applyFont="1" applyFill="1" applyBorder="1" applyAlignment="1">
      <alignment horizontal="left"/>
    </xf>
    <xf numFmtId="0" fontId="48" fillId="0" borderId="2" xfId="0" applyFont="1" applyBorder="1" applyAlignment="1">
      <alignment horizontal="left"/>
    </xf>
    <xf numFmtId="0" fontId="48" fillId="0" borderId="3" xfId="0" applyFont="1" applyBorder="1" applyAlignment="1">
      <alignment horizontal="left"/>
    </xf>
    <xf numFmtId="0" fontId="48" fillId="0" borderId="4" xfId="0" applyFont="1" applyBorder="1" applyAlignment="1">
      <alignment horizontal="left"/>
    </xf>
    <xf numFmtId="0" fontId="70" fillId="8" borderId="13" xfId="3" applyFont="1" applyFill="1" applyBorder="1" applyAlignment="1">
      <alignment horizontal="left"/>
    </xf>
    <xf numFmtId="0" fontId="70" fillId="8" borderId="3" xfId="3" applyFont="1" applyFill="1" applyBorder="1" applyAlignment="1">
      <alignment horizontal="left"/>
    </xf>
    <xf numFmtId="0" fontId="70" fillId="8" borderId="4" xfId="3" applyFont="1" applyFill="1" applyBorder="1" applyAlignment="1">
      <alignment horizontal="left"/>
    </xf>
    <xf numFmtId="0" fontId="73" fillId="8" borderId="14" xfId="3" applyFont="1" applyFill="1" applyBorder="1" applyAlignment="1">
      <alignment horizontal="center"/>
    </xf>
    <xf numFmtId="0" fontId="73" fillId="8" borderId="11" xfId="3" applyFont="1" applyFill="1" applyBorder="1" applyAlignment="1">
      <alignment horizontal="center"/>
    </xf>
    <xf numFmtId="0" fontId="73" fillId="8" borderId="15" xfId="3" applyFont="1" applyFill="1" applyBorder="1" applyAlignment="1">
      <alignment horizontal="center"/>
    </xf>
    <xf numFmtId="0" fontId="71" fillId="12" borderId="13" xfId="3" applyFont="1" applyFill="1" applyBorder="1" applyAlignment="1">
      <alignment horizontal="center" vertical="center"/>
    </xf>
    <xf numFmtId="0" fontId="71" fillId="12" borderId="3" xfId="3" applyFont="1" applyFill="1" applyBorder="1" applyAlignment="1">
      <alignment horizontal="center" vertical="center"/>
    </xf>
    <xf numFmtId="0" fontId="71" fillId="12" borderId="4" xfId="3" applyFont="1" applyFill="1" applyBorder="1" applyAlignment="1">
      <alignment horizontal="center" vertical="center"/>
    </xf>
    <xf numFmtId="0" fontId="71" fillId="12" borderId="13" xfId="3" applyFont="1" applyFill="1" applyBorder="1" applyAlignment="1">
      <alignment horizontal="center"/>
    </xf>
    <xf numFmtId="0" fontId="71" fillId="12" borderId="3" xfId="3" applyFont="1" applyFill="1" applyBorder="1" applyAlignment="1">
      <alignment horizontal="center"/>
    </xf>
    <xf numFmtId="0" fontId="71" fillId="12" borderId="4" xfId="3" applyFont="1" applyFill="1" applyBorder="1" applyAlignment="1">
      <alignment horizontal="center"/>
    </xf>
    <xf numFmtId="0" fontId="38" fillId="8" borderId="13" xfId="3" applyFont="1" applyFill="1" applyBorder="1" applyAlignment="1">
      <alignment horizontal="left"/>
    </xf>
    <xf numFmtId="0" fontId="38" fillId="8" borderId="3" xfId="3" applyFont="1" applyFill="1" applyBorder="1" applyAlignment="1">
      <alignment horizontal="left"/>
    </xf>
    <xf numFmtId="0" fontId="38" fillId="8" borderId="4" xfId="3" applyFont="1" applyFill="1" applyBorder="1" applyAlignment="1">
      <alignment horizontal="left"/>
    </xf>
    <xf numFmtId="0" fontId="70" fillId="9" borderId="2" xfId="3" applyFont="1" applyFill="1" applyBorder="1" applyAlignment="1">
      <alignment horizontal="center"/>
    </xf>
    <xf numFmtId="0" fontId="70" fillId="9" borderId="4" xfId="3" applyFont="1" applyFill="1" applyBorder="1" applyAlignment="1">
      <alignment horizontal="center"/>
    </xf>
    <xf numFmtId="0" fontId="80" fillId="17" borderId="13" xfId="3" applyFont="1" applyFill="1" applyBorder="1" applyAlignment="1">
      <alignment horizontal="center" vertical="center"/>
    </xf>
    <xf numFmtId="0" fontId="80" fillId="17" borderId="3" xfId="3" applyFont="1" applyFill="1" applyBorder="1" applyAlignment="1">
      <alignment horizontal="center" vertical="center"/>
    </xf>
    <xf numFmtId="0" fontId="71" fillId="17" borderId="13" xfId="3" applyFont="1" applyFill="1" applyBorder="1" applyAlignment="1">
      <alignment horizontal="center"/>
    </xf>
    <xf numFmtId="0" fontId="71" fillId="17" borderId="3" xfId="3" applyFont="1" applyFill="1" applyBorder="1" applyAlignment="1">
      <alignment horizontal="center"/>
    </xf>
    <xf numFmtId="0" fontId="71" fillId="17" borderId="4" xfId="3" applyFont="1" applyFill="1" applyBorder="1" applyAlignment="1">
      <alignment horizontal="center"/>
    </xf>
    <xf numFmtId="0" fontId="48" fillId="0" borderId="13" xfId="0" applyFont="1" applyBorder="1" applyAlignment="1">
      <alignment horizontal="left"/>
    </xf>
    <xf numFmtId="0" fontId="70" fillId="0" borderId="13" xfId="4" applyFont="1" applyBorder="1" applyAlignment="1">
      <alignment horizontal="left"/>
    </xf>
    <xf numFmtId="0" fontId="70" fillId="0" borderId="3" xfId="4" applyFont="1" applyBorder="1" applyAlignment="1">
      <alignment horizontal="left"/>
    </xf>
    <xf numFmtId="0" fontId="70" fillId="0" borderId="4" xfId="4" applyFont="1" applyBorder="1" applyAlignment="1">
      <alignment horizontal="left"/>
    </xf>
    <xf numFmtId="0" fontId="70" fillId="12" borderId="13" xfId="3" applyFont="1" applyFill="1" applyBorder="1" applyAlignment="1">
      <alignment horizontal="center" vertical="center"/>
    </xf>
    <xf numFmtId="0" fontId="70" fillId="12" borderId="3" xfId="3" applyFont="1" applyFill="1" applyBorder="1" applyAlignment="1">
      <alignment horizontal="center" vertical="center"/>
    </xf>
    <xf numFmtId="0" fontId="70" fillId="12" borderId="4" xfId="3" applyFont="1" applyFill="1" applyBorder="1" applyAlignment="1">
      <alignment horizontal="center" vertical="center"/>
    </xf>
    <xf numFmtId="0" fontId="70" fillId="12" borderId="13" xfId="3" applyFont="1" applyFill="1" applyBorder="1" applyAlignment="1">
      <alignment horizontal="center"/>
    </xf>
    <xf numFmtId="0" fontId="70" fillId="12" borderId="3" xfId="3" applyFont="1" applyFill="1" applyBorder="1" applyAlignment="1">
      <alignment horizontal="center"/>
    </xf>
    <xf numFmtId="0" fontId="70" fillId="12" borderId="4" xfId="3" applyFont="1" applyFill="1" applyBorder="1" applyAlignment="1">
      <alignment horizontal="center"/>
    </xf>
    <xf numFmtId="0" fontId="70" fillId="8" borderId="0" xfId="3" applyFont="1" applyFill="1" applyBorder="1" applyAlignment="1">
      <alignment vertical="center"/>
    </xf>
    <xf numFmtId="0" fontId="70" fillId="0" borderId="2" xfId="4" applyFont="1" applyBorder="1" applyAlignment="1">
      <alignment horizontal="left" vertical="center"/>
    </xf>
    <xf numFmtId="0" fontId="70" fillId="0" borderId="3" xfId="4" applyFont="1" applyBorder="1" applyAlignment="1">
      <alignment horizontal="left" vertical="center"/>
    </xf>
    <xf numFmtId="0" fontId="70" fillId="0" borderId="4" xfId="4" applyFont="1" applyBorder="1" applyAlignment="1">
      <alignment horizontal="left" vertical="center"/>
    </xf>
    <xf numFmtId="0" fontId="70" fillId="8" borderId="19" xfId="3" applyFont="1" applyFill="1" applyBorder="1" applyAlignment="1">
      <alignment horizontal="left"/>
    </xf>
    <xf numFmtId="0" fontId="70" fillId="8" borderId="8" xfId="3" applyFont="1" applyFill="1" applyBorder="1" applyAlignment="1">
      <alignment horizontal="left"/>
    </xf>
    <xf numFmtId="0" fontId="70" fillId="8" borderId="9" xfId="3" applyFont="1" applyFill="1" applyBorder="1" applyAlignment="1">
      <alignment horizontal="left"/>
    </xf>
    <xf numFmtId="0" fontId="48" fillId="12" borderId="0" xfId="0" applyFont="1" applyFill="1" applyAlignment="1">
      <alignment horizontal="center"/>
    </xf>
    <xf numFmtId="0" fontId="48" fillId="12" borderId="2" xfId="0" applyFont="1" applyFill="1" applyBorder="1" applyAlignment="1">
      <alignment horizontal="center"/>
    </xf>
    <xf numFmtId="0" fontId="48" fillId="12" borderId="3" xfId="0" applyFont="1" applyFill="1" applyBorder="1" applyAlignment="1">
      <alignment horizontal="center"/>
    </xf>
    <xf numFmtId="0" fontId="48" fillId="12" borderId="4" xfId="0" applyFont="1" applyFill="1" applyBorder="1" applyAlignment="1">
      <alignment horizontal="center"/>
    </xf>
    <xf numFmtId="0" fontId="48" fillId="0" borderId="2" xfId="0" applyFont="1" applyBorder="1" applyAlignment="1">
      <alignment horizontal="center"/>
    </xf>
    <xf numFmtId="0" fontId="48" fillId="0" borderId="3" xfId="0" applyFont="1" applyBorder="1" applyAlignment="1">
      <alignment horizontal="center"/>
    </xf>
    <xf numFmtId="0" fontId="48" fillId="0" borderId="4" xfId="0" applyFont="1" applyBorder="1" applyAlignment="1">
      <alignment horizontal="center"/>
    </xf>
    <xf numFmtId="0" fontId="48" fillId="0" borderId="1" xfId="0" applyFont="1" applyBorder="1" applyAlignment="1">
      <alignment horizontal="left"/>
    </xf>
    <xf numFmtId="0" fontId="70" fillId="12" borderId="23" xfId="3" applyFont="1" applyFill="1" applyBorder="1" applyAlignment="1">
      <alignment horizontal="center" vertical="center"/>
    </xf>
    <xf numFmtId="0" fontId="70" fillId="12" borderId="0" xfId="3" applyFont="1" applyFill="1" applyBorder="1" applyAlignment="1">
      <alignment horizontal="center" vertical="center"/>
    </xf>
    <xf numFmtId="0" fontId="70" fillId="12" borderId="24" xfId="3" applyFont="1" applyFill="1" applyBorder="1" applyAlignment="1">
      <alignment horizontal="center" vertical="center"/>
    </xf>
    <xf numFmtId="0" fontId="48" fillId="2" borderId="13" xfId="0" applyFont="1" applyFill="1" applyBorder="1" applyAlignment="1">
      <alignment horizontal="left"/>
    </xf>
    <xf numFmtId="0" fontId="48" fillId="2" borderId="3" xfId="0" applyFont="1" applyFill="1" applyBorder="1" applyAlignment="1">
      <alignment horizontal="left"/>
    </xf>
    <xf numFmtId="0" fontId="48" fillId="2" borderId="4" xfId="0" applyFont="1" applyFill="1" applyBorder="1" applyAlignment="1">
      <alignment horizontal="left"/>
    </xf>
    <xf numFmtId="0" fontId="70" fillId="0" borderId="1" xfId="4" applyFont="1" applyBorder="1" applyAlignment="1">
      <alignment horizontal="left"/>
    </xf>
    <xf numFmtId="0" fontId="48" fillId="2" borderId="2" xfId="0" applyFont="1" applyFill="1" applyBorder="1" applyAlignment="1">
      <alignment horizontal="left"/>
    </xf>
    <xf numFmtId="0" fontId="48" fillId="12" borderId="1" xfId="0" applyFont="1" applyFill="1" applyBorder="1" applyAlignment="1">
      <alignment horizontal="center"/>
    </xf>
    <xf numFmtId="0" fontId="86" fillId="0" borderId="2" xfId="4" applyFont="1" applyBorder="1" applyAlignment="1">
      <alignment horizontal="left"/>
    </xf>
    <xf numFmtId="0" fontId="86" fillId="0" borderId="3" xfId="4" applyFont="1" applyBorder="1" applyAlignment="1">
      <alignment horizontal="left"/>
    </xf>
    <xf numFmtId="0" fontId="86" fillId="0" borderId="4" xfId="4" applyFont="1" applyBorder="1" applyAlignment="1">
      <alignment horizontal="left"/>
    </xf>
    <xf numFmtId="0" fontId="72" fillId="0" borderId="2" xfId="4" applyFont="1" applyFill="1" applyBorder="1" applyAlignment="1">
      <alignment horizontal="center"/>
    </xf>
    <xf numFmtId="0" fontId="72" fillId="0" borderId="3" xfId="4" applyFont="1" applyFill="1" applyBorder="1" applyAlignment="1">
      <alignment horizontal="center"/>
    </xf>
    <xf numFmtId="0" fontId="72" fillId="0" borderId="4" xfId="4" applyFont="1" applyFill="1" applyBorder="1" applyAlignment="1">
      <alignment horizontal="center"/>
    </xf>
    <xf numFmtId="0" fontId="48" fillId="11" borderId="13" xfId="0" applyFont="1" applyFill="1" applyBorder="1" applyAlignment="1">
      <alignment horizontal="left"/>
    </xf>
    <xf numFmtId="0" fontId="48" fillId="11" borderId="4" xfId="0" applyFont="1" applyFill="1" applyBorder="1" applyAlignment="1">
      <alignment horizontal="left"/>
    </xf>
    <xf numFmtId="0" fontId="37" fillId="12" borderId="13" xfId="0" applyFont="1" applyFill="1" applyBorder="1" applyAlignment="1">
      <alignment horizontal="left"/>
    </xf>
    <xf numFmtId="0" fontId="37" fillId="12" borderId="4" xfId="0" applyFont="1" applyFill="1" applyBorder="1" applyAlignment="1">
      <alignment horizontal="left"/>
    </xf>
    <xf numFmtId="0" fontId="70" fillId="2" borderId="20" xfId="0" applyFont="1" applyFill="1" applyBorder="1" applyAlignment="1">
      <alignment horizontal="center"/>
    </xf>
    <xf numFmtId="0" fontId="70" fillId="2" borderId="5" xfId="0" applyFont="1" applyFill="1" applyBorder="1" applyAlignment="1">
      <alignment horizontal="center"/>
    </xf>
    <xf numFmtId="0" fontId="31" fillId="13" borderId="13" xfId="3" applyFont="1" applyFill="1" applyBorder="1" applyAlignment="1">
      <alignment horizontal="left"/>
    </xf>
    <xf numFmtId="0" fontId="31" fillId="13" borderId="3" xfId="3" applyFont="1" applyFill="1" applyBorder="1" applyAlignment="1">
      <alignment horizontal="left"/>
    </xf>
    <xf numFmtId="0" fontId="31" fillId="13" borderId="4" xfId="3" applyFont="1" applyFill="1" applyBorder="1" applyAlignment="1">
      <alignment horizontal="left"/>
    </xf>
    <xf numFmtId="0" fontId="32" fillId="8" borderId="13" xfId="3" applyFont="1" applyFill="1" applyBorder="1" applyAlignment="1">
      <alignment horizontal="left"/>
    </xf>
    <xf numFmtId="0" fontId="32" fillId="8" borderId="3" xfId="3" applyFont="1" applyFill="1" applyBorder="1" applyAlignment="1">
      <alignment horizontal="left"/>
    </xf>
    <xf numFmtId="0" fontId="32" fillId="8" borderId="4" xfId="3" applyFont="1" applyFill="1" applyBorder="1" applyAlignment="1">
      <alignment horizontal="left"/>
    </xf>
    <xf numFmtId="0" fontId="49" fillId="8" borderId="14" xfId="3" applyFont="1" applyFill="1" applyBorder="1" applyAlignment="1">
      <alignment horizontal="center"/>
    </xf>
    <xf numFmtId="0" fontId="49" fillId="8" borderId="11" xfId="3" applyFont="1" applyFill="1" applyBorder="1" applyAlignment="1">
      <alignment horizontal="center"/>
    </xf>
    <xf numFmtId="0" fontId="49" fillId="8" borderId="15" xfId="3" applyFont="1" applyFill="1" applyBorder="1" applyAlignment="1">
      <alignment horizontal="center"/>
    </xf>
    <xf numFmtId="0" fontId="67" fillId="12" borderId="13" xfId="3" applyFont="1" applyFill="1" applyBorder="1" applyAlignment="1">
      <alignment horizontal="center" vertical="center"/>
    </xf>
    <xf numFmtId="0" fontId="67" fillId="12" borderId="3" xfId="3" applyFont="1" applyFill="1" applyBorder="1" applyAlignment="1">
      <alignment horizontal="center" vertical="center"/>
    </xf>
    <xf numFmtId="0" fontId="67" fillId="12" borderId="4" xfId="3" applyFont="1" applyFill="1" applyBorder="1" applyAlignment="1">
      <alignment horizontal="center" vertical="center"/>
    </xf>
    <xf numFmtId="0" fontId="67" fillId="12" borderId="13" xfId="3" applyFont="1" applyFill="1" applyBorder="1" applyAlignment="1">
      <alignment horizontal="center"/>
    </xf>
    <xf numFmtId="0" fontId="67" fillId="12" borderId="3" xfId="3" applyFont="1" applyFill="1" applyBorder="1" applyAlignment="1">
      <alignment horizontal="center"/>
    </xf>
    <xf numFmtId="0" fontId="67" fillId="12" borderId="4" xfId="3" applyFont="1" applyFill="1" applyBorder="1" applyAlignment="1">
      <alignment horizontal="center"/>
    </xf>
    <xf numFmtId="0" fontId="32" fillId="9" borderId="2" xfId="3" applyFont="1" applyFill="1" applyBorder="1" applyAlignment="1">
      <alignment horizontal="center"/>
    </xf>
    <xf numFmtId="0" fontId="32" fillId="9" borderId="4" xfId="3" applyFont="1" applyFill="1" applyBorder="1" applyAlignment="1">
      <alignment horizontal="center"/>
    </xf>
    <xf numFmtId="0" fontId="68" fillId="12" borderId="13" xfId="3" applyFont="1" applyFill="1" applyBorder="1" applyAlignment="1">
      <alignment horizontal="center" vertical="center"/>
    </xf>
    <xf numFmtId="0" fontId="68" fillId="12" borderId="3" xfId="3" applyFont="1" applyFill="1" applyBorder="1" applyAlignment="1">
      <alignment horizontal="center" vertical="center"/>
    </xf>
    <xf numFmtId="0" fontId="68" fillId="12" borderId="4" xfId="3" applyFont="1" applyFill="1" applyBorder="1" applyAlignment="1">
      <alignment horizontal="center" vertical="center"/>
    </xf>
    <xf numFmtId="0" fontId="69" fillId="17" borderId="13" xfId="3" applyFont="1" applyFill="1" applyBorder="1" applyAlignment="1">
      <alignment horizontal="center" vertical="center"/>
    </xf>
    <xf numFmtId="0" fontId="69" fillId="17" borderId="3" xfId="3" applyFont="1" applyFill="1" applyBorder="1" applyAlignment="1">
      <alignment horizontal="center" vertical="center"/>
    </xf>
    <xf numFmtId="0" fontId="68" fillId="17" borderId="13" xfId="3" applyFont="1" applyFill="1" applyBorder="1" applyAlignment="1">
      <alignment horizontal="center"/>
    </xf>
    <xf numFmtId="0" fontId="68" fillId="17" borderId="3" xfId="3" applyFont="1" applyFill="1" applyBorder="1" applyAlignment="1">
      <alignment horizontal="center"/>
    </xf>
    <xf numFmtId="0" fontId="68" fillId="17" borderId="4" xfId="3" applyFont="1" applyFill="1" applyBorder="1" applyAlignment="1">
      <alignment horizontal="center"/>
    </xf>
    <xf numFmtId="0" fontId="40" fillId="2" borderId="13" xfId="0" applyFont="1" applyFill="1" applyBorder="1" applyAlignment="1">
      <alignment horizontal="left"/>
    </xf>
    <xf numFmtId="0" fontId="40" fillId="2" borderId="4" xfId="0" applyFont="1" applyFill="1" applyBorder="1" applyAlignment="1">
      <alignment horizontal="left"/>
    </xf>
    <xf numFmtId="0" fontId="36" fillId="0" borderId="2" xfId="4" applyFont="1" applyBorder="1" applyAlignment="1">
      <alignment horizontal="left"/>
    </xf>
    <xf numFmtId="0" fontId="36" fillId="0" borderId="3" xfId="4" applyFont="1" applyBorder="1" applyAlignment="1">
      <alignment horizontal="left"/>
    </xf>
    <xf numFmtId="0" fontId="36" fillId="0" borderId="4" xfId="4" applyFont="1" applyBorder="1" applyAlignment="1">
      <alignment horizontal="left"/>
    </xf>
    <xf numFmtId="0" fontId="40" fillId="2" borderId="3" xfId="0" applyFont="1" applyFill="1" applyBorder="1" applyAlignment="1">
      <alignment horizontal="left"/>
    </xf>
    <xf numFmtId="0" fontId="32" fillId="0" borderId="1" xfId="4" applyFont="1" applyBorder="1" applyAlignment="1">
      <alignment horizontal="left"/>
    </xf>
    <xf numFmtId="0" fontId="32" fillId="0" borderId="2" xfId="4" applyFont="1" applyBorder="1" applyAlignment="1">
      <alignment horizontal="left"/>
    </xf>
    <xf numFmtId="0" fontId="32" fillId="0" borderId="3" xfId="4" applyFont="1" applyBorder="1" applyAlignment="1">
      <alignment horizontal="left"/>
    </xf>
    <xf numFmtId="0" fontId="32" fillId="0" borderId="4" xfId="4" applyFont="1" applyBorder="1" applyAlignment="1">
      <alignment horizontal="left"/>
    </xf>
    <xf numFmtId="0" fontId="36" fillId="0" borderId="1" xfId="4" applyFont="1" applyBorder="1" applyAlignment="1">
      <alignment horizontal="left"/>
    </xf>
    <xf numFmtId="0" fontId="37" fillId="0" borderId="2" xfId="0" applyFont="1" applyBorder="1" applyAlignment="1">
      <alignment horizontal="left"/>
    </xf>
    <xf numFmtId="0" fontId="37" fillId="0" borderId="3" xfId="0" applyFont="1" applyBorder="1" applyAlignment="1">
      <alignment horizontal="left"/>
    </xf>
    <xf numFmtId="0" fontId="37" fillId="0" borderId="4" xfId="0" applyFont="1" applyBorder="1" applyAlignment="1">
      <alignment horizontal="left"/>
    </xf>
    <xf numFmtId="0" fontId="32" fillId="12" borderId="13" xfId="3" applyFont="1" applyFill="1" applyBorder="1" applyAlignment="1">
      <alignment horizontal="center" vertical="center"/>
    </xf>
    <xf numFmtId="0" fontId="32" fillId="12" borderId="3" xfId="3" applyFont="1" applyFill="1" applyBorder="1" applyAlignment="1">
      <alignment horizontal="center" vertical="center"/>
    </xf>
    <xf numFmtId="0" fontId="32" fillId="12" borderId="4" xfId="3" applyFont="1" applyFill="1" applyBorder="1" applyAlignment="1">
      <alignment horizontal="center" vertical="center"/>
    </xf>
    <xf numFmtId="0" fontId="31" fillId="8" borderId="0" xfId="3" applyFont="1" applyFill="1" applyBorder="1" applyAlignment="1">
      <alignment vertical="center"/>
    </xf>
    <xf numFmtId="0" fontId="32" fillId="8" borderId="19" xfId="3" applyFont="1" applyFill="1" applyBorder="1" applyAlignment="1">
      <alignment horizontal="left"/>
    </xf>
    <xf numFmtId="0" fontId="32" fillId="8" borderId="8" xfId="3" applyFont="1" applyFill="1" applyBorder="1" applyAlignment="1">
      <alignment horizontal="left"/>
    </xf>
    <xf numFmtId="0" fontId="32" fillId="8" borderId="9" xfId="3" applyFont="1" applyFill="1" applyBorder="1" applyAlignment="1">
      <alignment horizontal="left"/>
    </xf>
    <xf numFmtId="0" fontId="37" fillId="0" borderId="13" xfId="0" applyFont="1" applyBorder="1" applyAlignment="1">
      <alignment horizontal="left"/>
    </xf>
    <xf numFmtId="0" fontId="32" fillId="0" borderId="13" xfId="4" applyFont="1" applyBorder="1" applyAlignment="1">
      <alignment horizontal="left"/>
    </xf>
    <xf numFmtId="0" fontId="31" fillId="12" borderId="13" xfId="3" applyFont="1" applyFill="1" applyBorder="1" applyAlignment="1">
      <alignment horizontal="center"/>
    </xf>
    <xf numFmtId="0" fontId="31" fillId="12" borderId="3" xfId="3" applyFont="1" applyFill="1" applyBorder="1" applyAlignment="1">
      <alignment horizontal="center"/>
    </xf>
    <xf numFmtId="0" fontId="31" fillId="12" borderId="4" xfId="3" applyFont="1" applyFill="1" applyBorder="1" applyAlignment="1">
      <alignment horizontal="center"/>
    </xf>
    <xf numFmtId="0" fontId="67" fillId="17" borderId="13" xfId="3" applyFont="1" applyFill="1" applyBorder="1" applyAlignment="1">
      <alignment horizontal="center"/>
    </xf>
    <xf numFmtId="0" fontId="67" fillId="17" borderId="3" xfId="3" applyFont="1" applyFill="1" applyBorder="1" applyAlignment="1">
      <alignment horizontal="center"/>
    </xf>
    <xf numFmtId="0" fontId="67" fillId="17" borderId="4" xfId="3" applyFont="1" applyFill="1" applyBorder="1" applyAlignment="1">
      <alignment horizontal="center"/>
    </xf>
    <xf numFmtId="0" fontId="32" fillId="0" borderId="2" xfId="4" applyFont="1" applyBorder="1" applyAlignment="1">
      <alignment horizontal="left" vertical="center"/>
    </xf>
    <xf numFmtId="0" fontId="32" fillId="0" borderId="3" xfId="4" applyFont="1" applyBorder="1" applyAlignment="1">
      <alignment horizontal="left" vertical="center"/>
    </xf>
    <xf numFmtId="0" fontId="32" fillId="0" borderId="4" xfId="4" applyFont="1" applyBorder="1" applyAlignment="1">
      <alignment horizontal="left" vertical="center"/>
    </xf>
    <xf numFmtId="0" fontId="55" fillId="12" borderId="0" xfId="0" applyFont="1" applyFill="1" applyAlignment="1">
      <alignment horizontal="center"/>
    </xf>
    <xf numFmtId="0" fontId="39" fillId="12" borderId="2" xfId="0" applyFont="1" applyFill="1" applyBorder="1" applyAlignment="1">
      <alignment horizontal="center"/>
    </xf>
    <xf numFmtId="0" fontId="39" fillId="12" borderId="3" xfId="0" applyFont="1" applyFill="1" applyBorder="1" applyAlignment="1">
      <alignment horizontal="center"/>
    </xf>
    <xf numFmtId="0" fontId="39" fillId="12" borderId="4" xfId="0" applyFont="1" applyFill="1" applyBorder="1" applyAlignment="1">
      <alignment horizontal="center"/>
    </xf>
    <xf numFmtId="0" fontId="37" fillId="0" borderId="2" xfId="0" applyFont="1" applyBorder="1" applyAlignment="1">
      <alignment horizontal="center"/>
    </xf>
    <xf numFmtId="0" fontId="37" fillId="0" borderId="3" xfId="0" applyFont="1" applyBorder="1" applyAlignment="1">
      <alignment horizontal="center"/>
    </xf>
    <xf numFmtId="0" fontId="37" fillId="0" borderId="4" xfId="0" applyFont="1" applyBorder="1" applyAlignment="1">
      <alignment horizontal="center"/>
    </xf>
    <xf numFmtId="0" fontId="40" fillId="11" borderId="13" xfId="0" applyFont="1" applyFill="1" applyBorder="1" applyAlignment="1">
      <alignment horizontal="left"/>
    </xf>
    <xf numFmtId="0" fontId="40" fillId="11" borderId="4" xfId="0" applyFont="1" applyFill="1" applyBorder="1" applyAlignment="1">
      <alignment horizontal="left"/>
    </xf>
    <xf numFmtId="0" fontId="37" fillId="12" borderId="1" xfId="0" applyFont="1" applyFill="1" applyBorder="1" applyAlignment="1">
      <alignment horizontal="center"/>
    </xf>
    <xf numFmtId="0" fontId="37" fillId="0" borderId="1" xfId="0" applyFont="1" applyBorder="1" applyAlignment="1">
      <alignment horizontal="left"/>
    </xf>
    <xf numFmtId="0" fontId="55" fillId="12" borderId="1" xfId="0" applyFont="1" applyFill="1" applyBorder="1" applyAlignment="1">
      <alignment horizontal="center"/>
    </xf>
    <xf numFmtId="0" fontId="37" fillId="11" borderId="13" xfId="0" applyFont="1" applyFill="1" applyBorder="1" applyAlignment="1">
      <alignment horizontal="left"/>
    </xf>
    <xf numFmtId="0" fontId="37" fillId="11" borderId="4" xfId="0" applyFont="1" applyFill="1" applyBorder="1" applyAlignment="1">
      <alignment horizontal="left"/>
    </xf>
    <xf numFmtId="0" fontId="32" fillId="2" borderId="20" xfId="0" applyFont="1" applyFill="1" applyBorder="1" applyAlignment="1">
      <alignment horizontal="center"/>
    </xf>
    <xf numFmtId="0" fontId="32" fillId="2" borderId="5" xfId="0" applyFont="1" applyFill="1" applyBorder="1" applyAlignment="1">
      <alignment horizontal="center"/>
    </xf>
    <xf numFmtId="0" fontId="37" fillId="2" borderId="13" xfId="0" applyFont="1" applyFill="1" applyBorder="1" applyAlignment="1">
      <alignment horizontal="left"/>
    </xf>
    <xf numFmtId="0" fontId="37" fillId="2" borderId="4" xfId="0" applyFont="1" applyFill="1" applyBorder="1" applyAlignment="1">
      <alignment horizontal="left"/>
    </xf>
    <xf numFmtId="0" fontId="66" fillId="12" borderId="23" xfId="3" applyFont="1" applyFill="1" applyBorder="1" applyAlignment="1">
      <alignment horizontal="center" vertical="center"/>
    </xf>
    <xf numFmtId="0" fontId="66" fillId="12" borderId="0" xfId="3" applyFont="1" applyFill="1" applyBorder="1" applyAlignment="1">
      <alignment horizontal="center" vertical="center"/>
    </xf>
    <xf numFmtId="0" fontId="66" fillId="12" borderId="24" xfId="3" applyFont="1" applyFill="1" applyBorder="1" applyAlignment="1">
      <alignment horizontal="center" vertical="center"/>
    </xf>
    <xf numFmtId="0" fontId="37" fillId="2" borderId="2" xfId="0" applyFont="1" applyFill="1" applyBorder="1" applyAlignment="1">
      <alignment horizontal="left"/>
    </xf>
    <xf numFmtId="0" fontId="37" fillId="2" borderId="3" xfId="0" applyFont="1" applyFill="1" applyBorder="1" applyAlignment="1">
      <alignment horizontal="left"/>
    </xf>
    <xf numFmtId="0" fontId="36" fillId="2" borderId="2" xfId="4" applyFont="1" applyFill="1" applyBorder="1" applyAlignment="1">
      <alignment horizontal="left"/>
    </xf>
    <xf numFmtId="0" fontId="36" fillId="2" borderId="3" xfId="4" applyFont="1" applyFill="1" applyBorder="1" applyAlignment="1">
      <alignment horizontal="left"/>
    </xf>
    <xf numFmtId="0" fontId="36" fillId="2" borderId="4" xfId="4" applyFont="1" applyFill="1" applyBorder="1" applyAlignment="1">
      <alignment horizontal="left"/>
    </xf>
    <xf numFmtId="0" fontId="36" fillId="2" borderId="1" xfId="4" applyFont="1" applyFill="1" applyBorder="1" applyAlignment="1">
      <alignment horizontal="left"/>
    </xf>
    <xf numFmtId="0" fontId="36" fillId="0" borderId="2" xfId="4" applyFont="1" applyBorder="1" applyAlignment="1">
      <alignment horizontal="center"/>
    </xf>
    <xf numFmtId="0" fontId="36" fillId="0" borderId="3" xfId="4" applyFont="1" applyBorder="1" applyAlignment="1">
      <alignment horizontal="center"/>
    </xf>
    <xf numFmtId="0" fontId="36" fillId="0" borderId="4" xfId="4" applyFont="1" applyBorder="1" applyAlignment="1">
      <alignment horizontal="center"/>
    </xf>
    <xf numFmtId="0" fontId="40" fillId="11" borderId="1" xfId="0" applyFont="1" applyFill="1" applyBorder="1" applyAlignment="1">
      <alignment horizontal="left"/>
    </xf>
    <xf numFmtId="0" fontId="40" fillId="2" borderId="1" xfId="0" applyFont="1" applyFill="1" applyBorder="1" applyAlignment="1">
      <alignment horizontal="left"/>
    </xf>
    <xf numFmtId="0" fontId="37" fillId="0" borderId="0" xfId="0" applyFont="1" applyBorder="1" applyAlignment="1">
      <alignment horizontal="left"/>
    </xf>
    <xf numFmtId="0" fontId="37" fillId="12" borderId="1" xfId="0" applyFont="1" applyFill="1" applyBorder="1" applyAlignment="1">
      <alignment horizontal="left"/>
    </xf>
    <xf numFmtId="0" fontId="37" fillId="2" borderId="1" xfId="0" applyFont="1" applyFill="1" applyBorder="1" applyAlignment="1">
      <alignment horizontal="left"/>
    </xf>
    <xf numFmtId="0" fontId="37" fillId="11" borderId="1" xfId="0" applyFont="1" applyFill="1" applyBorder="1" applyAlignment="1">
      <alignment horizontal="left"/>
    </xf>
    <xf numFmtId="0" fontId="32" fillId="2" borderId="1" xfId="0" applyFont="1" applyFill="1" applyBorder="1" applyAlignment="1">
      <alignment horizontal="center"/>
    </xf>
    <xf numFmtId="0" fontId="37" fillId="0" borderId="2" xfId="0" applyFont="1" applyFill="1" applyBorder="1" applyAlignment="1">
      <alignment horizontal="left"/>
    </xf>
    <xf numFmtId="0" fontId="37" fillId="0" borderId="3" xfId="0" applyFont="1" applyFill="1" applyBorder="1" applyAlignment="1">
      <alignment horizontal="left"/>
    </xf>
    <xf numFmtId="0" fontId="37" fillId="0" borderId="4" xfId="0" applyFont="1" applyFill="1" applyBorder="1" applyAlignment="1">
      <alignment horizontal="left"/>
    </xf>
    <xf numFmtId="0" fontId="32" fillId="0" borderId="1" xfId="4" applyFont="1" applyFill="1" applyBorder="1" applyAlignment="1">
      <alignment horizontal="left"/>
    </xf>
    <xf numFmtId="0" fontId="37" fillId="12" borderId="29" xfId="0" applyFont="1" applyFill="1" applyBorder="1" applyAlignment="1">
      <alignment horizontal="left"/>
    </xf>
    <xf numFmtId="0" fontId="37" fillId="12" borderId="30" xfId="0" applyFont="1" applyFill="1" applyBorder="1" applyAlignment="1">
      <alignment horizontal="left"/>
    </xf>
    <xf numFmtId="0" fontId="31" fillId="11" borderId="13" xfId="3" applyFont="1" applyFill="1" applyBorder="1" applyAlignment="1">
      <alignment horizontal="left"/>
    </xf>
    <xf numFmtId="0" fontId="31" fillId="11" borderId="3" xfId="3" applyFont="1" applyFill="1" applyBorder="1" applyAlignment="1">
      <alignment horizontal="left"/>
    </xf>
    <xf numFmtId="0" fontId="31" fillId="11" borderId="4" xfId="3" applyFont="1" applyFill="1" applyBorder="1" applyAlignment="1">
      <alignment horizontal="left"/>
    </xf>
    <xf numFmtId="0" fontId="37" fillId="11" borderId="2" xfId="0" applyFont="1" applyFill="1" applyBorder="1" applyAlignment="1">
      <alignment horizontal="left"/>
    </xf>
    <xf numFmtId="0" fontId="37" fillId="11" borderId="3" xfId="0" applyFont="1" applyFill="1" applyBorder="1" applyAlignment="1">
      <alignment horizontal="left"/>
    </xf>
    <xf numFmtId="0" fontId="32" fillId="2" borderId="13" xfId="3" applyFont="1" applyFill="1" applyBorder="1" applyAlignment="1">
      <alignment horizontal="center" vertical="center"/>
    </xf>
    <xf numFmtId="0" fontId="32" fillId="2" borderId="3" xfId="3" applyFont="1" applyFill="1" applyBorder="1" applyAlignment="1">
      <alignment horizontal="center" vertical="center"/>
    </xf>
    <xf numFmtId="0" fontId="32" fillId="2" borderId="4" xfId="3" applyFont="1" applyFill="1" applyBorder="1" applyAlignment="1">
      <alignment horizontal="center" vertical="center"/>
    </xf>
    <xf numFmtId="0" fontId="32" fillId="8" borderId="13" xfId="3" applyFont="1" applyFill="1" applyBorder="1" applyAlignment="1">
      <alignment horizontal="left" vertical="center"/>
    </xf>
    <xf numFmtId="0" fontId="32" fillId="8" borderId="3" xfId="3" applyFont="1" applyFill="1" applyBorder="1" applyAlignment="1">
      <alignment horizontal="left" vertical="center"/>
    </xf>
    <xf numFmtId="0" fontId="32" fillId="8" borderId="4" xfId="3" applyFont="1" applyFill="1" applyBorder="1" applyAlignment="1">
      <alignment horizontal="left" vertical="center"/>
    </xf>
    <xf numFmtId="168" fontId="32" fillId="8" borderId="13" xfId="3" applyNumberFormat="1" applyFont="1" applyFill="1" applyBorder="1" applyAlignment="1">
      <alignment horizontal="left" vertical="center"/>
    </xf>
    <xf numFmtId="168" fontId="32" fillId="8" borderId="3" xfId="3" applyNumberFormat="1" applyFont="1" applyFill="1" applyBorder="1" applyAlignment="1">
      <alignment horizontal="left" vertical="center"/>
    </xf>
    <xf numFmtId="168" fontId="32" fillId="8" borderId="4" xfId="3" applyNumberFormat="1" applyFont="1" applyFill="1" applyBorder="1" applyAlignment="1">
      <alignment horizontal="left" vertical="center"/>
    </xf>
    <xf numFmtId="0" fontId="40" fillId="11" borderId="3" xfId="0" applyFont="1" applyFill="1" applyBorder="1" applyAlignment="1">
      <alignment horizontal="left"/>
    </xf>
  </cellXfs>
  <cellStyles count="20">
    <cellStyle name="Comma" xfId="19" builtinId="3"/>
    <cellStyle name="Comma 2 2" xfId="10" xr:uid="{00000000-0005-0000-0000-000001000000}"/>
    <cellStyle name="Comma 2 3" xfId="5" xr:uid="{00000000-0005-0000-0000-000002000000}"/>
    <cellStyle name="Comma 3" xfId="7" xr:uid="{00000000-0005-0000-0000-000003000000}"/>
    <cellStyle name="Comma 3 2" xfId="11" xr:uid="{00000000-0005-0000-0000-000004000000}"/>
    <cellStyle name="Currency 2" xfId="8" xr:uid="{00000000-0005-0000-0000-000005000000}"/>
    <cellStyle name="Hyperlink" xfId="2" builtinId="8"/>
    <cellStyle name="Normal" xfId="0" builtinId="0"/>
    <cellStyle name="Normal 2" xfId="1" xr:uid="{00000000-0005-0000-0000-000008000000}"/>
    <cellStyle name="Normal 2 2" xfId="9" xr:uid="{00000000-0005-0000-0000-000009000000}"/>
    <cellStyle name="Normal 2 2 2" xfId="12" xr:uid="{00000000-0005-0000-0000-00000A000000}"/>
    <cellStyle name="Normal 2 2 2 2" xfId="13" xr:uid="{00000000-0005-0000-0000-00000B000000}"/>
    <cellStyle name="Normal 2 2 3" xfId="14" xr:uid="{00000000-0005-0000-0000-00000C000000}"/>
    <cellStyle name="Normal 2 3" xfId="3" xr:uid="{00000000-0005-0000-0000-00000D000000}"/>
    <cellStyle name="Normal 2 4" xfId="15" xr:uid="{00000000-0005-0000-0000-00000E000000}"/>
    <cellStyle name="Normal 3" xfId="4" xr:uid="{00000000-0005-0000-0000-00000F000000}"/>
    <cellStyle name="Normal 4" xfId="16" xr:uid="{00000000-0005-0000-0000-000010000000}"/>
    <cellStyle name="Normal 4 2" xfId="18" xr:uid="{00000000-0005-0000-0000-000011000000}"/>
    <cellStyle name="Normal 5" xfId="17" xr:uid="{00000000-0005-0000-0000-000012000000}"/>
    <cellStyle name="Percent 2" xfId="6" xr:uid="{00000000-0005-0000-0000-000013000000}"/>
  </cellStyles>
  <dxfs count="0"/>
  <tableStyles count="0" defaultTableStyle="TableStyleMedium9" defaultPivotStyle="PivotStyleLight16"/>
  <colors>
    <mruColors>
      <color rgb="FF0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styles" Target="style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sharedStrings" Target="sharedString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charts/_rels/chart16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5.xml"/></Relationships>
</file>

<file path=xl/charts/_rels/chart17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/>
      <c:lineChart>
        <c:grouping val="stacked"/>
        <c:varyColors val="0"/>
        <c:ser>
          <c:idx val="0"/>
          <c:order val="0"/>
          <c:tx>
            <c:v>Chill running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'Daily HLP'!$AD$4:$AD$35</c:f>
              <c:numCache>
                <c:formatCode>0</c:formatCode>
                <c:ptCount val="32"/>
                <c:pt idx="0">
                  <c:v>24</c:v>
                </c:pt>
                <c:pt idx="1">
                  <c:v>24.110000000000582</c:v>
                </c:pt>
                <c:pt idx="2">
                  <c:v>24.040000000000873</c:v>
                </c:pt>
                <c:pt idx="3">
                  <c:v>24.680000000000291</c:v>
                </c:pt>
                <c:pt idx="4">
                  <c:v>23.489999999997963</c:v>
                </c:pt>
                <c:pt idx="5">
                  <c:v>24.160000000003492</c:v>
                </c:pt>
                <c:pt idx="6">
                  <c:v>24.439999999995052</c:v>
                </c:pt>
                <c:pt idx="7">
                  <c:v>24.080000000001746</c:v>
                </c:pt>
                <c:pt idx="8">
                  <c:v>24</c:v>
                </c:pt>
                <c:pt idx="9">
                  <c:v>23.990000000000236</c:v>
                </c:pt>
                <c:pt idx="10">
                  <c:v>24</c:v>
                </c:pt>
                <c:pt idx="11">
                  <c:v>24</c:v>
                </c:pt>
                <c:pt idx="12">
                  <c:v>24</c:v>
                </c:pt>
                <c:pt idx="13">
                  <c:v>24</c:v>
                </c:pt>
                <c:pt idx="14">
                  <c:v>24.489999999997963</c:v>
                </c:pt>
                <c:pt idx="15">
                  <c:v>23.510000000002037</c:v>
                </c:pt>
                <c:pt idx="16">
                  <c:v>24.30000000000291</c:v>
                </c:pt>
                <c:pt idx="17">
                  <c:v>24.019999999996799</c:v>
                </c:pt>
                <c:pt idx="18">
                  <c:v>25.080000000001746</c:v>
                </c:pt>
                <c:pt idx="19">
                  <c:v>24.240000000002965</c:v>
                </c:pt>
                <c:pt idx="20">
                  <c:v>24.219999999993888</c:v>
                </c:pt>
                <c:pt idx="21">
                  <c:v>24.410000000003492</c:v>
                </c:pt>
                <c:pt idx="22">
                  <c:v>24.25</c:v>
                </c:pt>
                <c:pt idx="23">
                  <c:v>23.489999999997963</c:v>
                </c:pt>
                <c:pt idx="24">
                  <c:v>21.84000000000151</c:v>
                </c:pt>
                <c:pt idx="25">
                  <c:v>24</c:v>
                </c:pt>
                <c:pt idx="26">
                  <c:v>-721.52999999999884</c:v>
                </c:pt>
                <c:pt idx="27">
                  <c:v>23.449999999997544</c:v>
                </c:pt>
                <c:pt idx="28">
                  <c:v>23.600000000001728</c:v>
                </c:pt>
                <c:pt idx="29">
                  <c:v>25.900000000000091</c:v>
                </c:pt>
                <c:pt idx="30">
                  <c:v>23.739999999997963</c:v>
                </c:pt>
                <c:pt idx="3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A08-45C2-8667-11A3A00B66DA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dropLines/>
        <c:marker val="1"/>
        <c:smooth val="0"/>
        <c:axId val="136899968"/>
        <c:axId val="136979584"/>
      </c:lineChart>
      <c:catAx>
        <c:axId val="1368999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6979584"/>
        <c:crosses val="autoZero"/>
        <c:auto val="1"/>
        <c:lblAlgn val="ctr"/>
        <c:lblOffset val="100"/>
        <c:noMultiLvlLbl val="0"/>
      </c:catAx>
      <c:valAx>
        <c:axId val="136979584"/>
        <c:scaling>
          <c:orientation val="minMax"/>
          <c:max val="40"/>
          <c:min val="25"/>
        </c:scaling>
        <c:delete val="1"/>
        <c:axPos val="l"/>
        <c:numFmt formatCode="0" sourceLinked="1"/>
        <c:majorTickMark val="out"/>
        <c:minorTickMark val="none"/>
        <c:tickLblPos val="none"/>
        <c:crossAx val="136899968"/>
        <c:crosses val="autoZero"/>
        <c:crossBetween val="between"/>
        <c:majorUnit val="2"/>
      </c:valAx>
    </c:plotArea>
    <c:legend>
      <c:legendPos val="t"/>
      <c:overlay val="0"/>
      <c:txPr>
        <a:bodyPr/>
        <a:lstStyle/>
        <a:p>
          <a:pPr>
            <a:defRPr lang="en-US" sz="38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9.5735134401303212E-2"/>
          <c:y val="5.9231442223568222E-2"/>
          <c:w val="0.8808649168853897"/>
          <c:h val="0.8053706017375134"/>
        </c:manualLayout>
      </c:layout>
      <c:lineChart>
        <c:grouping val="standard"/>
        <c:varyColors val="0"/>
        <c:ser>
          <c:idx val="0"/>
          <c:order val="0"/>
          <c:tx>
            <c:v>Boiler running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'Daily HLP'!$AJ$4:$AJ$35</c:f>
              <c:numCache>
                <c:formatCode>0</c:formatCode>
                <c:ptCount val="32"/>
                <c:pt idx="0">
                  <c:v>16.080000000001746</c:v>
                </c:pt>
                <c:pt idx="1">
                  <c:v>12.309999999994034</c:v>
                </c:pt>
                <c:pt idx="2">
                  <c:v>3.2400000000052387</c:v>
                </c:pt>
                <c:pt idx="3">
                  <c:v>14.849999999998545</c:v>
                </c:pt>
                <c:pt idx="4">
                  <c:v>13.659999999996217</c:v>
                </c:pt>
                <c:pt idx="5">
                  <c:v>11.86000000000422</c:v>
                </c:pt>
                <c:pt idx="6">
                  <c:v>15</c:v>
                </c:pt>
                <c:pt idx="7">
                  <c:v>13</c:v>
                </c:pt>
                <c:pt idx="8">
                  <c:v>11</c:v>
                </c:pt>
                <c:pt idx="9">
                  <c:v>13</c:v>
                </c:pt>
                <c:pt idx="10">
                  <c:v>12</c:v>
                </c:pt>
                <c:pt idx="11">
                  <c:v>9.1699999999946158</c:v>
                </c:pt>
                <c:pt idx="12">
                  <c:v>15.580000000009022</c:v>
                </c:pt>
                <c:pt idx="13">
                  <c:v>11.039999999997235</c:v>
                </c:pt>
                <c:pt idx="14">
                  <c:v>12.920000000001892</c:v>
                </c:pt>
                <c:pt idx="15">
                  <c:v>17.830000000001746</c:v>
                </c:pt>
                <c:pt idx="16">
                  <c:v>8.3799999999973807</c:v>
                </c:pt>
                <c:pt idx="17">
                  <c:v>10.000000000003638</c:v>
                </c:pt>
                <c:pt idx="18">
                  <c:v>9.0900000000001455</c:v>
                </c:pt>
                <c:pt idx="19">
                  <c:v>13.929999999989377</c:v>
                </c:pt>
                <c:pt idx="20">
                  <c:v>12.419999999998254</c:v>
                </c:pt>
                <c:pt idx="21">
                  <c:v>13.330000000009022</c:v>
                </c:pt>
                <c:pt idx="22">
                  <c:v>11.669999999994616</c:v>
                </c:pt>
                <c:pt idx="23">
                  <c:v>12.640000000003056</c:v>
                </c:pt>
                <c:pt idx="24">
                  <c:v>8.9799999999995634</c:v>
                </c:pt>
                <c:pt idx="25">
                  <c:v>12.020000000000437</c:v>
                </c:pt>
                <c:pt idx="26">
                  <c:v>-375</c:v>
                </c:pt>
                <c:pt idx="27">
                  <c:v>15.739999999990687</c:v>
                </c:pt>
                <c:pt idx="28">
                  <c:v>14.610000000007858</c:v>
                </c:pt>
                <c:pt idx="29">
                  <c:v>14.650000000001455</c:v>
                </c:pt>
                <c:pt idx="30">
                  <c:v>15</c:v>
                </c:pt>
                <c:pt idx="3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D3B-4C0F-91E9-AFF4300F6F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/>
        <c:marker val="1"/>
        <c:smooth val="0"/>
        <c:axId val="137004544"/>
        <c:axId val="137006080"/>
      </c:lineChart>
      <c:catAx>
        <c:axId val="13700454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7006080"/>
        <c:crosses val="autoZero"/>
        <c:auto val="1"/>
        <c:lblAlgn val="ctr"/>
        <c:lblOffset val="100"/>
        <c:noMultiLvlLbl val="0"/>
      </c:catAx>
      <c:valAx>
        <c:axId val="137006080"/>
        <c:scaling>
          <c:orientation val="minMax"/>
          <c:max val="30"/>
          <c:min val="5"/>
        </c:scaling>
        <c:delete val="0"/>
        <c:axPos val="l"/>
        <c:majorGridlines/>
        <c:numFmt formatCode="0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7004544"/>
        <c:crosses val="autoZero"/>
        <c:crossBetween val="between"/>
        <c:majorUnit val="5"/>
      </c:valAx>
    </c:plotArea>
    <c:legend>
      <c:legendPos val="r"/>
      <c:layout>
        <c:manualLayout>
          <c:xMode val="edge"/>
          <c:yMode val="edge"/>
          <c:x val="0.84993331914591752"/>
          <c:y val="0.52984300039420063"/>
          <c:w val="0.13414546154708429"/>
          <c:h val="8.8317037293400014E-2"/>
        </c:manualLayout>
      </c:layout>
      <c:overlay val="0"/>
      <c:txPr>
        <a:bodyPr/>
        <a:lstStyle/>
        <a:p>
          <a:pPr>
            <a:defRPr lang="en-US" sz="38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2390276651477514E-2"/>
          <c:y val="0.19624637858854221"/>
          <c:w val="0.7665649760906289"/>
          <c:h val="0.63491237283129798"/>
        </c:manualLayout>
      </c:layout>
      <c:lineChart>
        <c:grouping val="stacked"/>
        <c:varyColors val="0"/>
        <c:ser>
          <c:idx val="0"/>
          <c:order val="0"/>
          <c:tx>
            <c:v>water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'Daily HLP'!$O$4:$O$35</c:f>
              <c:numCache>
                <c:formatCode>0</c:formatCode>
                <c:ptCount val="32"/>
                <c:pt idx="0">
                  <c:v>54</c:v>
                </c:pt>
                <c:pt idx="1">
                  <c:v>56</c:v>
                </c:pt>
                <c:pt idx="2">
                  <c:v>356</c:v>
                </c:pt>
                <c:pt idx="3">
                  <c:v>219</c:v>
                </c:pt>
                <c:pt idx="4">
                  <c:v>171</c:v>
                </c:pt>
                <c:pt idx="5">
                  <c:v>204</c:v>
                </c:pt>
                <c:pt idx="6">
                  <c:v>214</c:v>
                </c:pt>
                <c:pt idx="7">
                  <c:v>211</c:v>
                </c:pt>
                <c:pt idx="8">
                  <c:v>205</c:v>
                </c:pt>
                <c:pt idx="9">
                  <c:v>124</c:v>
                </c:pt>
                <c:pt idx="10">
                  <c:v>130</c:v>
                </c:pt>
                <c:pt idx="11">
                  <c:v>136</c:v>
                </c:pt>
                <c:pt idx="12">
                  <c:v>103</c:v>
                </c:pt>
                <c:pt idx="13">
                  <c:v>114</c:v>
                </c:pt>
                <c:pt idx="14">
                  <c:v>155</c:v>
                </c:pt>
                <c:pt idx="15">
                  <c:v>135</c:v>
                </c:pt>
                <c:pt idx="16">
                  <c:v>133</c:v>
                </c:pt>
                <c:pt idx="17">
                  <c:v>154</c:v>
                </c:pt>
                <c:pt idx="18">
                  <c:v>157</c:v>
                </c:pt>
                <c:pt idx="19">
                  <c:v>216</c:v>
                </c:pt>
                <c:pt idx="20">
                  <c:v>167</c:v>
                </c:pt>
                <c:pt idx="21">
                  <c:v>176</c:v>
                </c:pt>
                <c:pt idx="22">
                  <c:v>216</c:v>
                </c:pt>
                <c:pt idx="23">
                  <c:v>212</c:v>
                </c:pt>
                <c:pt idx="24">
                  <c:v>190</c:v>
                </c:pt>
                <c:pt idx="25">
                  <c:v>175</c:v>
                </c:pt>
                <c:pt idx="26">
                  <c:v>295</c:v>
                </c:pt>
                <c:pt idx="27">
                  <c:v>415</c:v>
                </c:pt>
                <c:pt idx="28">
                  <c:v>535</c:v>
                </c:pt>
                <c:pt idx="29">
                  <c:v>655</c:v>
                </c:pt>
                <c:pt idx="30">
                  <c:v>775</c:v>
                </c:pt>
                <c:pt idx="31">
                  <c:v>7058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E28-4C1B-B52C-80D475BA767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upDownBars>
          <c:gapWidth val="150"/>
          <c:upBars/>
          <c:downBars/>
        </c:upDownBars>
        <c:marker val="1"/>
        <c:smooth val="0"/>
        <c:axId val="138301440"/>
        <c:axId val="138302976"/>
      </c:lineChart>
      <c:catAx>
        <c:axId val="13830144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8302976"/>
        <c:crosses val="autoZero"/>
        <c:auto val="1"/>
        <c:lblAlgn val="ctr"/>
        <c:lblOffset val="100"/>
        <c:noMultiLvlLbl val="0"/>
      </c:catAx>
      <c:valAx>
        <c:axId val="138302976"/>
        <c:scaling>
          <c:orientation val="minMax"/>
          <c:max val="350"/>
          <c:min val="150"/>
        </c:scaling>
        <c:delete val="0"/>
        <c:axPos val="l"/>
        <c:majorGridlines/>
        <c:numFmt formatCode="0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8301440"/>
        <c:crosses val="autoZero"/>
        <c:crossBetween val="between"/>
        <c:minorUnit val="20"/>
      </c:valAx>
    </c:plotArea>
    <c:legend>
      <c:legendPos val="r"/>
      <c:overlay val="0"/>
      <c:txPr>
        <a:bodyPr/>
        <a:lstStyle/>
        <a:p>
          <a:pPr>
            <a:defRPr lang="en-US" sz="38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0546659205604323E-2"/>
          <c:y val="0.18855639071655694"/>
          <c:w val="0.85207697980350661"/>
          <c:h val="0.6577579613782617"/>
        </c:manualLayout>
      </c:layout>
      <c:lineChart>
        <c:grouping val="stacked"/>
        <c:varyColors val="0"/>
        <c:ser>
          <c:idx val="0"/>
          <c:order val="0"/>
          <c:tx>
            <c:v>Gas</c:v>
          </c:tx>
          <c:dLbls>
            <c:dLbl>
              <c:idx val="0"/>
              <c:layout>
                <c:manualLayout>
                  <c:x val="-1.8126888217539189E-2"/>
                  <c:y val="0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6160-41AC-BDD6-063EAD72D46A}"/>
                </c:ext>
              </c:extLst>
            </c:dLbl>
            <c:dLbl>
              <c:idx val="1"/>
              <c:layout>
                <c:manualLayout>
                  <c:x val="-2.4169184290029979E-2"/>
                  <c:y val="0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6160-41AC-BDD6-063EAD72D46A}"/>
                </c:ext>
              </c:extLst>
            </c:dLbl>
            <c:dLbl>
              <c:idx val="2"/>
              <c:layout>
                <c:manualLayout>
                  <c:x val="-2.2155085599194352E-2"/>
                  <c:y val="-4.1237113402061855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6160-41AC-BDD6-063EAD72D46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vert="horz"/>
              <a:lstStyle/>
              <a:p>
                <a:pPr algn="ctr"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'Daily HLP'!$L$4:$L$35</c:f>
              <c:numCache>
                <c:formatCode>0</c:formatCode>
                <c:ptCount val="32"/>
                <c:pt idx="0">
                  <c:v>1070.0859999998938</c:v>
                </c:pt>
                <c:pt idx="1">
                  <c:v>808.52700000000186</c:v>
                </c:pt>
                <c:pt idx="2">
                  <c:v>524.78700000001118</c:v>
                </c:pt>
                <c:pt idx="3">
                  <c:v>1035.25</c:v>
                </c:pt>
                <c:pt idx="4">
                  <c:v>1002.0500000000466</c:v>
                </c:pt>
                <c:pt idx="5">
                  <c:v>933.30000000004657</c:v>
                </c:pt>
                <c:pt idx="6">
                  <c:v>963</c:v>
                </c:pt>
                <c:pt idx="7">
                  <c:v>925</c:v>
                </c:pt>
                <c:pt idx="8">
                  <c:v>907</c:v>
                </c:pt>
                <c:pt idx="9">
                  <c:v>759</c:v>
                </c:pt>
                <c:pt idx="10">
                  <c:v>931</c:v>
                </c:pt>
                <c:pt idx="11">
                  <c:v>644</c:v>
                </c:pt>
                <c:pt idx="12">
                  <c:v>957</c:v>
                </c:pt>
                <c:pt idx="13">
                  <c:v>745</c:v>
                </c:pt>
                <c:pt idx="14">
                  <c:v>965</c:v>
                </c:pt>
                <c:pt idx="15">
                  <c:v>1006</c:v>
                </c:pt>
                <c:pt idx="16">
                  <c:v>734.2730000000447</c:v>
                </c:pt>
                <c:pt idx="17">
                  <c:v>881.7269999999553</c:v>
                </c:pt>
                <c:pt idx="18">
                  <c:v>834.30000000004657</c:v>
                </c:pt>
                <c:pt idx="19">
                  <c:v>986.94999999995343</c:v>
                </c:pt>
                <c:pt idx="20">
                  <c:v>1017.3400000000838</c:v>
                </c:pt>
                <c:pt idx="21">
                  <c:v>1036.4099999999162</c:v>
                </c:pt>
                <c:pt idx="22">
                  <c:v>979.91999999992549</c:v>
                </c:pt>
                <c:pt idx="23">
                  <c:v>1037.0800000000745</c:v>
                </c:pt>
                <c:pt idx="24">
                  <c:v>815</c:v>
                </c:pt>
                <c:pt idx="25">
                  <c:v>936</c:v>
                </c:pt>
                <c:pt idx="26">
                  <c:v>1100</c:v>
                </c:pt>
                <c:pt idx="27">
                  <c:v>1100</c:v>
                </c:pt>
                <c:pt idx="28">
                  <c:v>1100</c:v>
                </c:pt>
                <c:pt idx="29">
                  <c:v>1100</c:v>
                </c:pt>
                <c:pt idx="30">
                  <c:v>1100</c:v>
                </c:pt>
                <c:pt idx="31">
                  <c:v>28935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160-41AC-BDD6-063EAD72D4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8352128"/>
        <c:axId val="138353664"/>
      </c:lineChart>
      <c:catAx>
        <c:axId val="13835212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8353664"/>
        <c:crosses val="autoZero"/>
        <c:auto val="1"/>
        <c:lblAlgn val="ctr"/>
        <c:lblOffset val="100"/>
        <c:noMultiLvlLbl val="0"/>
      </c:catAx>
      <c:valAx>
        <c:axId val="138353664"/>
        <c:scaling>
          <c:orientation val="minMax"/>
          <c:max val="1700"/>
          <c:min val="1150"/>
        </c:scaling>
        <c:delete val="0"/>
        <c:axPos val="l"/>
        <c:majorGridlines/>
        <c:numFmt formatCode="0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8352128"/>
        <c:crosses val="autoZero"/>
        <c:crossBetween val="between"/>
        <c:minorUnit val="50"/>
      </c:valAx>
    </c:plotArea>
    <c:legend>
      <c:legendPos val="r"/>
      <c:overlay val="0"/>
      <c:txPr>
        <a:bodyPr/>
        <a:lstStyle/>
        <a:p>
          <a:pPr>
            <a:defRPr lang="en-US" sz="38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l"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Lighting Consumption- KWh</a:t>
            </a:r>
          </a:p>
        </c:rich>
      </c:tx>
      <c:layout>
        <c:manualLayout>
          <c:xMode val="edge"/>
          <c:yMode val="edge"/>
          <c:x val="0.11688328234605669"/>
          <c:y val="1.8518576267076241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5.0988871035212803E-2"/>
          <c:y val="7.8544556731096282E-2"/>
          <c:w val="0.82133951306820063"/>
          <c:h val="0.65482210557013765"/>
        </c:manualLayout>
      </c:layout>
      <c:lineChart>
        <c:grouping val="standard"/>
        <c:varyColors val="0"/>
        <c:ser>
          <c:idx val="0"/>
          <c:order val="0"/>
          <c:tx>
            <c:v>Lighting load</c:v>
          </c:tx>
          <c:marker>
            <c:symbol val="none"/>
          </c:marker>
          <c:dLbls>
            <c:dLbl>
              <c:idx val="0"/>
              <c:layout>
                <c:manualLayout>
                  <c:x val="-1.1282051282064453E-2"/>
                  <c:y val="-4.400440044004993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9782-4948-A3B6-79164CB9A8BB}"/>
                </c:ext>
              </c:extLst>
            </c:dLbl>
            <c:dLbl>
              <c:idx val="1"/>
              <c:layout>
                <c:manualLayout>
                  <c:x val="-9.2307692307694068E-3"/>
                  <c:y val="-3.0803080308030799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9782-4948-A3B6-79164CB9A8BB}"/>
                </c:ext>
              </c:extLst>
            </c:dLbl>
            <c:dLbl>
              <c:idx val="2"/>
              <c:layout>
                <c:manualLayout>
                  <c:x val="-2.0512820512820495E-2"/>
                  <c:y val="-1.7601760176017601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9782-4948-A3B6-79164CB9A8BB}"/>
                </c:ext>
              </c:extLst>
            </c:dLbl>
            <c:dLbl>
              <c:idx val="3"/>
              <c:layout>
                <c:manualLayout>
                  <c:x val="-1.3333333333333341E-2"/>
                  <c:y val="-1.3201320132013881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9782-4948-A3B6-79164CB9A8B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3540000" vert="horz"/>
              <a:lstStyle/>
              <a:p>
                <a:pPr algn="ctr"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'Daily HLP'!$AS$4:$AS$35</c:f>
              <c:numCache>
                <c:formatCode>0</c:formatCode>
                <c:ptCount val="32"/>
                <c:pt idx="0">
                  <c:v>2724.390000000014</c:v>
                </c:pt>
                <c:pt idx="1">
                  <c:v>2721.7999999999884</c:v>
                </c:pt>
                <c:pt idx="2">
                  <c:v>2758.7999999999884</c:v>
                </c:pt>
                <c:pt idx="3">
                  <c:v>2740.5200000000186</c:v>
                </c:pt>
                <c:pt idx="4">
                  <c:v>2669.0800000000163</c:v>
                </c:pt>
                <c:pt idx="5">
                  <c:v>2707.4099999999744</c:v>
                </c:pt>
                <c:pt idx="6">
                  <c:v>2675</c:v>
                </c:pt>
                <c:pt idx="7">
                  <c:v>2685</c:v>
                </c:pt>
                <c:pt idx="8">
                  <c:v>2610</c:v>
                </c:pt>
                <c:pt idx="9">
                  <c:v>2574</c:v>
                </c:pt>
                <c:pt idx="10">
                  <c:v>2471</c:v>
                </c:pt>
                <c:pt idx="11">
                  <c:v>2461</c:v>
                </c:pt>
                <c:pt idx="12">
                  <c:v>2404</c:v>
                </c:pt>
                <c:pt idx="13">
                  <c:v>2495</c:v>
                </c:pt>
                <c:pt idx="14">
                  <c:v>2494.9000000000015</c:v>
                </c:pt>
                <c:pt idx="15">
                  <c:v>2600.0999999999985</c:v>
                </c:pt>
                <c:pt idx="16">
                  <c:v>2698</c:v>
                </c:pt>
                <c:pt idx="17">
                  <c:v>2546.4900000000016</c:v>
                </c:pt>
                <c:pt idx="18">
                  <c:v>2646.0699999999997</c:v>
                </c:pt>
                <c:pt idx="19">
                  <c:v>2507.0499999999993</c:v>
                </c:pt>
                <c:pt idx="20">
                  <c:v>2598.239999999998</c:v>
                </c:pt>
                <c:pt idx="21">
                  <c:v>2648.7000000000044</c:v>
                </c:pt>
                <c:pt idx="22">
                  <c:v>2576.25</c:v>
                </c:pt>
                <c:pt idx="23">
                  <c:v>2607.1999999999971</c:v>
                </c:pt>
                <c:pt idx="24">
                  <c:v>2591</c:v>
                </c:pt>
                <c:pt idx="25">
                  <c:v>2557</c:v>
                </c:pt>
                <c:pt idx="26">
                  <c:v>354051</c:v>
                </c:pt>
                <c:pt idx="27">
                  <c:v>2740.429999999993</c:v>
                </c:pt>
                <c:pt idx="28">
                  <c:v>2727.320000000007</c:v>
                </c:pt>
                <c:pt idx="29">
                  <c:v>2712.25</c:v>
                </c:pt>
                <c:pt idx="30">
                  <c:v>2762</c:v>
                </c:pt>
                <c:pt idx="31">
                  <c:v>432761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9782-4948-A3B6-79164CB9A8BB}"/>
            </c:ext>
          </c:extLst>
        </c:ser>
        <c:ser>
          <c:idx val="1"/>
          <c:order val="1"/>
          <c:marker>
            <c:symbol val="none"/>
          </c:marker>
          <c:val>
            <c:numRef>
              <c:f>'Daily HLP'!$BC$4:$BC$33</c:f>
              <c:numCache>
                <c:formatCode>0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9782-4948-A3B6-79164CB9A8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/>
        <c:smooth val="0"/>
        <c:axId val="138412416"/>
        <c:axId val="138413952"/>
      </c:lineChart>
      <c:catAx>
        <c:axId val="13841241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8413952"/>
        <c:crosses val="autoZero"/>
        <c:auto val="1"/>
        <c:lblAlgn val="ctr"/>
        <c:lblOffset val="100"/>
        <c:noMultiLvlLbl val="0"/>
      </c:catAx>
      <c:valAx>
        <c:axId val="138413952"/>
        <c:scaling>
          <c:orientation val="minMax"/>
          <c:max val="9000"/>
          <c:min val="6000"/>
        </c:scaling>
        <c:delete val="0"/>
        <c:axPos val="l"/>
        <c:majorGridlines/>
        <c:title>
          <c:tx>
            <c:rich>
              <a:bodyPr rot="0" vert="wordArtVert"/>
              <a:lstStyle/>
              <a:p>
                <a:pPr algn="ctr">
                  <a:defRPr lang="en-US" sz="1200" b="1" i="0" u="none" strike="noStrike" baseline="0">
                    <a:solidFill>
                      <a:srgbClr val="FF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KWh- Units</a:t>
                </a:r>
              </a:p>
            </c:rich>
          </c:tx>
          <c:overlay val="0"/>
        </c:title>
        <c:numFmt formatCode="0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8412416"/>
        <c:crosses val="autoZero"/>
        <c:crossBetween val="between"/>
        <c:minorUnit val="500"/>
      </c:valAx>
    </c:plotArea>
    <c:legend>
      <c:legendPos val="r"/>
      <c:overlay val="0"/>
      <c:txPr>
        <a:bodyPr/>
        <a:lstStyle/>
        <a:p>
          <a:pPr>
            <a:defRPr lang="en-US" sz="38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paperSize="9" orientation="landscape"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8.1377350766933948E-2"/>
          <c:y val="0.17165536599591719"/>
          <c:w val="0.81155842904958064"/>
          <c:h val="0.65482210557013765"/>
        </c:manualLayout>
      </c:layout>
      <c:lineChart>
        <c:grouping val="standard"/>
        <c:varyColors val="0"/>
        <c:ser>
          <c:idx val="0"/>
          <c:order val="0"/>
          <c:tx>
            <c:v>HVAC</c:v>
          </c:tx>
          <c:dLbls>
            <c:dLbl>
              <c:idx val="0"/>
              <c:layout>
                <c:manualLayout>
                  <c:x val="-2.2695035460998852E-2"/>
                  <c:y val="-5.092592592592592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633E-4A65-83A0-B64B8987BB0B}"/>
                </c:ext>
              </c:extLst>
            </c:dLbl>
            <c:dLbl>
              <c:idx val="1"/>
              <c:layout>
                <c:manualLayout>
                  <c:x val="-8.5106382978724568E-3"/>
                  <c:y val="-3.7037037037037056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633E-4A65-83A0-B64B8987BB0B}"/>
                </c:ext>
              </c:extLst>
            </c:dLbl>
            <c:dLbl>
              <c:idx val="2"/>
              <c:layout>
                <c:manualLayout>
                  <c:x val="-2.2695035460998852E-2"/>
                  <c:y val="0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633E-4A65-83A0-B64B8987BB0B}"/>
                </c:ext>
              </c:extLst>
            </c:dLbl>
            <c:dLbl>
              <c:idx val="3"/>
              <c:layout>
                <c:manualLayout>
                  <c:x val="-1.8439716312056712E-2"/>
                  <c:y val="-6.944444444444450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633E-4A65-83A0-B64B8987BB0B}"/>
                </c:ext>
              </c:extLst>
            </c:dLbl>
            <c:dLbl>
              <c:idx val="4"/>
              <c:layout>
                <c:manualLayout>
                  <c:x val="-1.7021276595744678E-2"/>
                  <c:y val="-4.629629629629652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633E-4A65-83A0-B64B8987BB0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1260000" vert="horz"/>
              <a:lstStyle/>
              <a:p>
                <a:pPr algn="ctr">
                  <a:defRPr lang="en-US"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'Daily HLP'!$AP$4:$AP$35</c:f>
              <c:numCache>
                <c:formatCode>0</c:formatCode>
                <c:ptCount val="32"/>
                <c:pt idx="0">
                  <c:v>2052.1199999999953</c:v>
                </c:pt>
                <c:pt idx="1">
                  <c:v>2014.5200000000186</c:v>
                </c:pt>
                <c:pt idx="2">
                  <c:v>1878.3099999999977</c:v>
                </c:pt>
                <c:pt idx="3">
                  <c:v>1887.8299999999872</c:v>
                </c:pt>
                <c:pt idx="4">
                  <c:v>1878.8500000000058</c:v>
                </c:pt>
                <c:pt idx="5">
                  <c:v>1804.3699999999953</c:v>
                </c:pt>
                <c:pt idx="6">
                  <c:v>1888</c:v>
                </c:pt>
                <c:pt idx="7">
                  <c:v>1796</c:v>
                </c:pt>
                <c:pt idx="8">
                  <c:v>1783</c:v>
                </c:pt>
                <c:pt idx="9">
                  <c:v>1614</c:v>
                </c:pt>
                <c:pt idx="10">
                  <c:v>1463</c:v>
                </c:pt>
                <c:pt idx="11">
                  <c:v>1522</c:v>
                </c:pt>
                <c:pt idx="12">
                  <c:v>1459</c:v>
                </c:pt>
                <c:pt idx="13">
                  <c:v>1363</c:v>
                </c:pt>
                <c:pt idx="14">
                  <c:v>1301.8400000000001</c:v>
                </c:pt>
                <c:pt idx="15">
                  <c:v>1269.1599999999999</c:v>
                </c:pt>
                <c:pt idx="16">
                  <c:v>1318.6000000000004</c:v>
                </c:pt>
                <c:pt idx="17">
                  <c:v>1391.7600000000002</c:v>
                </c:pt>
                <c:pt idx="18">
                  <c:v>1817.1599999999999</c:v>
                </c:pt>
                <c:pt idx="19">
                  <c:v>1491.2900000000009</c:v>
                </c:pt>
                <c:pt idx="20">
                  <c:v>1453.9699999999975</c:v>
                </c:pt>
                <c:pt idx="21">
                  <c:v>1422.8000000000029</c:v>
                </c:pt>
                <c:pt idx="22">
                  <c:v>1355.7099999999991</c:v>
                </c:pt>
                <c:pt idx="23">
                  <c:v>1181.7099999999991</c:v>
                </c:pt>
                <c:pt idx="24">
                  <c:v>1308</c:v>
                </c:pt>
                <c:pt idx="25">
                  <c:v>1248</c:v>
                </c:pt>
                <c:pt idx="26">
                  <c:v>119415</c:v>
                </c:pt>
                <c:pt idx="27">
                  <c:v>1836.2699999999895</c:v>
                </c:pt>
                <c:pt idx="28">
                  <c:v>1871.7200000000012</c:v>
                </c:pt>
                <c:pt idx="29">
                  <c:v>2062.0100000000093</c:v>
                </c:pt>
                <c:pt idx="30">
                  <c:v>1893</c:v>
                </c:pt>
                <c:pt idx="31">
                  <c:v>168042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633E-4A65-83A0-B64B8987BB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8455296"/>
        <c:axId val="138465280"/>
      </c:lineChart>
      <c:catAx>
        <c:axId val="13845529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8465280"/>
        <c:crosses val="autoZero"/>
        <c:auto val="1"/>
        <c:lblAlgn val="ctr"/>
        <c:lblOffset val="100"/>
        <c:noMultiLvlLbl val="0"/>
      </c:catAx>
      <c:valAx>
        <c:axId val="138465280"/>
        <c:scaling>
          <c:orientation val="minMax"/>
          <c:max val="5000"/>
          <c:min val="3500"/>
        </c:scaling>
        <c:delete val="0"/>
        <c:axPos val="l"/>
        <c:majorGridlines/>
        <c:numFmt formatCode="0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8455296"/>
        <c:crosses val="autoZero"/>
        <c:crossBetween val="between"/>
      </c:valAx>
    </c:plotArea>
    <c:legend>
      <c:legendPos val="r"/>
      <c:overlay val="0"/>
      <c:txPr>
        <a:bodyPr/>
        <a:lstStyle/>
        <a:p>
          <a:pPr>
            <a:defRPr lang="en-US" sz="38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Occupancy%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Occu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'Daily HLP'!$F$4:$F$35</c:f>
              <c:numCache>
                <c:formatCode>0%</c:formatCode>
                <c:ptCount val="32"/>
                <c:pt idx="0">
                  <c:v>0.96</c:v>
                </c:pt>
                <c:pt idx="1">
                  <c:v>0.43559999999999999</c:v>
                </c:pt>
                <c:pt idx="2">
                  <c:v>0.51</c:v>
                </c:pt>
                <c:pt idx="3">
                  <c:v>0.89610000000000001</c:v>
                </c:pt>
                <c:pt idx="4">
                  <c:v>0.55940000000000001</c:v>
                </c:pt>
                <c:pt idx="5">
                  <c:v>0.78</c:v>
                </c:pt>
                <c:pt idx="6">
                  <c:v>0.71</c:v>
                </c:pt>
                <c:pt idx="7">
                  <c:v>0.71</c:v>
                </c:pt>
                <c:pt idx="8">
                  <c:v>0.7</c:v>
                </c:pt>
                <c:pt idx="9">
                  <c:v>0.91</c:v>
                </c:pt>
                <c:pt idx="10">
                  <c:v>0.63</c:v>
                </c:pt>
                <c:pt idx="11">
                  <c:v>0.3</c:v>
                </c:pt>
                <c:pt idx="12">
                  <c:v>0.25</c:v>
                </c:pt>
                <c:pt idx="13">
                  <c:v>0.25</c:v>
                </c:pt>
                <c:pt idx="14">
                  <c:v>0.5</c:v>
                </c:pt>
                <c:pt idx="15">
                  <c:v>0.25</c:v>
                </c:pt>
                <c:pt idx="16">
                  <c:v>0.51</c:v>
                </c:pt>
                <c:pt idx="17">
                  <c:v>0.51</c:v>
                </c:pt>
                <c:pt idx="18">
                  <c:v>0.92979999999999996</c:v>
                </c:pt>
                <c:pt idx="19">
                  <c:v>1</c:v>
                </c:pt>
                <c:pt idx="20">
                  <c:v>0.71</c:v>
                </c:pt>
                <c:pt idx="21">
                  <c:v>0.97</c:v>
                </c:pt>
                <c:pt idx="22">
                  <c:v>0.61</c:v>
                </c:pt>
                <c:pt idx="23">
                  <c:v>0.75</c:v>
                </c:pt>
                <c:pt idx="24">
                  <c:v>0.92</c:v>
                </c:pt>
                <c:pt idx="25">
                  <c:v>0.87</c:v>
                </c:pt>
                <c:pt idx="26">
                  <c:v>0.76</c:v>
                </c:pt>
                <c:pt idx="27">
                  <c:v>0.92</c:v>
                </c:pt>
                <c:pt idx="28">
                  <c:v>0.45</c:v>
                </c:pt>
                <c:pt idx="29">
                  <c:v>0.61</c:v>
                </c:pt>
                <c:pt idx="30">
                  <c:v>25</c:v>
                </c:pt>
                <c:pt idx="31">
                  <c:v>1.4474483870967745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995-47D0-BC49-A93F367968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8493952"/>
        <c:axId val="138495488"/>
      </c:lineChart>
      <c:catAx>
        <c:axId val="13849395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8495488"/>
        <c:crosses val="autoZero"/>
        <c:auto val="1"/>
        <c:lblAlgn val="ctr"/>
        <c:lblOffset val="100"/>
        <c:noMultiLvlLbl val="0"/>
      </c:catAx>
      <c:valAx>
        <c:axId val="138495488"/>
        <c:scaling>
          <c:orientation val="minMax"/>
        </c:scaling>
        <c:delete val="0"/>
        <c:axPos val="l"/>
        <c:majorGridlines/>
        <c:numFmt formatCode="0%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/>
            </a:pPr>
            <a:endParaRPr lang="en-US"/>
          </a:p>
        </c:txPr>
        <c:crossAx val="138493952"/>
        <c:crosses val="autoZero"/>
        <c:crossBetween val="between"/>
      </c:valAx>
    </c:plotArea>
    <c:legend>
      <c:legendPos val="r"/>
      <c:overlay val="0"/>
      <c:txPr>
        <a:bodyPr/>
        <a:lstStyle/>
        <a:p>
          <a:pPr>
            <a:defRPr lang="en-US" sz="38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 w="25400">
          <a:noFill/>
        </a:ln>
      </c:spPr>
      <c:txPr>
        <a:bodyPr/>
        <a:lstStyle/>
        <a:p>
          <a:pPr>
            <a:defRPr lang="en-US" sz="10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9.3383235707541132E-2"/>
          <c:y val="7.3685986989118823E-2"/>
          <c:w val="0.84017007099204855"/>
          <c:h val="0.77982210557013765"/>
        </c:manualLayout>
      </c:layout>
      <c:lineChart>
        <c:grouping val="standard"/>
        <c:varyColors val="0"/>
        <c:ser>
          <c:idx val="0"/>
          <c:order val="0"/>
          <c:tx>
            <c:v>Kwh</c:v>
          </c:tx>
          <c:dLbls>
            <c:dLbl>
              <c:idx val="0"/>
              <c:layout>
                <c:manualLayout>
                  <c:x val="-3.0349013657056216E-2"/>
                  <c:y val="-6.8728522336769807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10BC-4B8D-846C-BE863E4393CD}"/>
                </c:ext>
              </c:extLst>
            </c:dLbl>
            <c:dLbl>
              <c:idx val="1"/>
              <c:layout>
                <c:manualLayout>
                  <c:x val="-2.4279210925648612E-2"/>
                  <c:y val="-7.331042382595913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10BC-4B8D-846C-BE863E4393CD}"/>
                </c:ext>
              </c:extLst>
            </c:dLbl>
            <c:dLbl>
              <c:idx val="2"/>
              <c:layout>
                <c:manualLayout>
                  <c:x val="-3.0349013657056216E-2"/>
                  <c:y val="-9.62199312714776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10BC-4B8D-846C-BE863E4393CD}"/>
                </c:ext>
              </c:extLst>
            </c:dLbl>
            <c:dLbl>
              <c:idx val="3"/>
              <c:layout>
                <c:manualLayout>
                  <c:x val="-2.4279210925648612E-2"/>
                  <c:y val="-7.331042382595913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10BC-4B8D-846C-BE863E4393CD}"/>
                </c:ext>
              </c:extLst>
            </c:dLbl>
            <c:dLbl>
              <c:idx val="4"/>
              <c:layout>
                <c:manualLayout>
                  <c:x val="-2.6302478502781994E-2"/>
                  <c:y val="-8.7056128293241747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10BC-4B8D-846C-BE863E4393CD}"/>
                </c:ext>
              </c:extLst>
            </c:dLbl>
            <c:dLbl>
              <c:idx val="5"/>
              <c:layout>
                <c:manualLayout>
                  <c:x val="-3.0349013657056216E-2"/>
                  <c:y val="-7.331042382595913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10BC-4B8D-846C-BE863E4393CD}"/>
                </c:ext>
              </c:extLst>
            </c:dLbl>
            <c:dLbl>
              <c:idx val="6"/>
              <c:layout>
                <c:manualLayout>
                  <c:x val="-2.8325746079919212E-2"/>
                  <c:y val="-9.621993127147761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10BC-4B8D-846C-BE863E4393CD}"/>
                </c:ext>
              </c:extLst>
            </c:dLbl>
            <c:dLbl>
              <c:idx val="7"/>
              <c:layout>
                <c:manualLayout>
                  <c:x val="-2.8325746079919212E-2"/>
                  <c:y val="-7.789232531500753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10BC-4B8D-846C-BE863E4393CD}"/>
                </c:ext>
              </c:extLst>
            </c:dLbl>
            <c:dLbl>
              <c:idx val="8"/>
              <c:layout>
                <c:manualLayout>
                  <c:x val="-3.2372281234193258E-2"/>
                  <c:y val="-8.7056128293241747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10BC-4B8D-846C-BE863E4393CD}"/>
                </c:ext>
              </c:extLst>
            </c:dLbl>
            <c:dLbl>
              <c:idx val="9"/>
              <c:layout>
                <c:manualLayout>
                  <c:x val="-2.6302478502781994E-2"/>
                  <c:y val="-9.163802978236022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10BC-4B8D-846C-BE863E4393CD}"/>
                </c:ext>
              </c:extLst>
            </c:dLbl>
            <c:dLbl>
              <c:idx val="10"/>
              <c:layout>
                <c:manualLayout>
                  <c:x val="-2.4279210925648612E-2"/>
                  <c:y val="-9.163802978236022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10BC-4B8D-846C-BE863E4393CD}"/>
                </c:ext>
              </c:extLst>
            </c:dLbl>
            <c:dLbl>
              <c:idx val="11"/>
              <c:layout>
                <c:manualLayout>
                  <c:x val="-2.8325746079919212E-2"/>
                  <c:y val="-9.163802978236022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10BC-4B8D-846C-BE863E4393C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vert="horz"/>
              <a:lstStyle/>
              <a:p>
                <a:pPr algn="ctr"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'Daily HLP'!$H$4:$H$35</c:f>
              <c:numCache>
                <c:formatCode>0</c:formatCode>
                <c:ptCount val="32"/>
                <c:pt idx="0">
                  <c:v>20449</c:v>
                </c:pt>
                <c:pt idx="1">
                  <c:v>19893</c:v>
                </c:pt>
                <c:pt idx="2">
                  <c:v>19529</c:v>
                </c:pt>
                <c:pt idx="3">
                  <c:v>20218.950000000012</c:v>
                </c:pt>
                <c:pt idx="4">
                  <c:v>20335.049999999988</c:v>
                </c:pt>
                <c:pt idx="5">
                  <c:v>20708</c:v>
                </c:pt>
                <c:pt idx="6">
                  <c:v>20261</c:v>
                </c:pt>
                <c:pt idx="7">
                  <c:v>19647</c:v>
                </c:pt>
                <c:pt idx="8">
                  <c:v>18011</c:v>
                </c:pt>
                <c:pt idx="9">
                  <c:v>17063</c:v>
                </c:pt>
                <c:pt idx="10">
                  <c:v>17262</c:v>
                </c:pt>
                <c:pt idx="11">
                  <c:v>16713</c:v>
                </c:pt>
                <c:pt idx="12">
                  <c:v>17050</c:v>
                </c:pt>
                <c:pt idx="13">
                  <c:v>17430</c:v>
                </c:pt>
                <c:pt idx="14">
                  <c:v>17328.710000000021</c:v>
                </c:pt>
                <c:pt idx="15">
                  <c:v>17406.289999999979</c:v>
                </c:pt>
                <c:pt idx="16">
                  <c:v>17543</c:v>
                </c:pt>
                <c:pt idx="17">
                  <c:v>18064.830000000016</c:v>
                </c:pt>
                <c:pt idx="18">
                  <c:v>18721.169999999984</c:v>
                </c:pt>
                <c:pt idx="19">
                  <c:v>17336.710000000021</c:v>
                </c:pt>
                <c:pt idx="20">
                  <c:v>18548.039999999979</c:v>
                </c:pt>
                <c:pt idx="21">
                  <c:v>19922.760000000009</c:v>
                </c:pt>
                <c:pt idx="22">
                  <c:v>19388.319999999949</c:v>
                </c:pt>
                <c:pt idx="23">
                  <c:v>16876.170000000042</c:v>
                </c:pt>
                <c:pt idx="24">
                  <c:v>16627</c:v>
                </c:pt>
                <c:pt idx="25">
                  <c:v>16892</c:v>
                </c:pt>
                <c:pt idx="26">
                  <c:v>23500</c:v>
                </c:pt>
                <c:pt idx="27">
                  <c:v>23500</c:v>
                </c:pt>
                <c:pt idx="28">
                  <c:v>23500</c:v>
                </c:pt>
                <c:pt idx="29">
                  <c:v>23500</c:v>
                </c:pt>
                <c:pt idx="30">
                  <c:v>23500</c:v>
                </c:pt>
                <c:pt idx="31">
                  <c:v>596725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10BC-4B8D-846C-BE863E4393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/>
        <c:marker val="1"/>
        <c:smooth val="0"/>
        <c:axId val="138540928"/>
        <c:axId val="138542464"/>
      </c:lineChart>
      <c:catAx>
        <c:axId val="13854092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8542464"/>
        <c:crosses val="autoZero"/>
        <c:auto val="1"/>
        <c:lblAlgn val="ctr"/>
        <c:lblOffset val="100"/>
        <c:noMultiLvlLbl val="0"/>
      </c:catAx>
      <c:valAx>
        <c:axId val="138542464"/>
        <c:scaling>
          <c:orientation val="minMax"/>
          <c:max val="34000"/>
          <c:min val="25000"/>
        </c:scaling>
        <c:delete val="0"/>
        <c:axPos val="l"/>
        <c:majorGridlines/>
        <c:numFmt formatCode="0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8540928"/>
        <c:crosses val="autoZero"/>
        <c:crossBetween val="between"/>
        <c:majorUnit val="2000"/>
      </c:valAx>
    </c:plotArea>
    <c:plotVisOnly val="0"/>
    <c:dispBlanksAs val="gap"/>
    <c:showDLblsOverMax val="0"/>
  </c:chart>
  <c:spPr>
    <a:noFill/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HWG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'Daily HLP'!$AN$4:$AN$33</c:f>
              <c:numCache>
                <c:formatCode>0</c:formatCode>
                <c:ptCount val="30"/>
                <c:pt idx="0">
                  <c:v>9.6599999999998545</c:v>
                </c:pt>
                <c:pt idx="1">
                  <c:v>9.0100000000002183</c:v>
                </c:pt>
                <c:pt idx="2">
                  <c:v>8.5399999999999636</c:v>
                </c:pt>
                <c:pt idx="3">
                  <c:v>11.090000000000146</c:v>
                </c:pt>
                <c:pt idx="4">
                  <c:v>9.8599999999996726</c:v>
                </c:pt>
                <c:pt idx="5">
                  <c:v>10.650000000000546</c:v>
                </c:pt>
                <c:pt idx="6">
                  <c:v>10.529999999999745</c:v>
                </c:pt>
                <c:pt idx="7">
                  <c:v>10.659999999999854</c:v>
                </c:pt>
                <c:pt idx="8">
                  <c:v>11</c:v>
                </c:pt>
                <c:pt idx="9">
                  <c:v>11</c:v>
                </c:pt>
                <c:pt idx="10">
                  <c:v>11</c:v>
                </c:pt>
                <c:pt idx="11">
                  <c:v>9.4200000000000728</c:v>
                </c:pt>
                <c:pt idx="12">
                  <c:v>10.899999999999636</c:v>
                </c:pt>
                <c:pt idx="13">
                  <c:v>11.450000000000728</c:v>
                </c:pt>
                <c:pt idx="14">
                  <c:v>11.019999999999527</c:v>
                </c:pt>
                <c:pt idx="15">
                  <c:v>10.619999999999891</c:v>
                </c:pt>
                <c:pt idx="16">
                  <c:v>10.850000000000364</c:v>
                </c:pt>
                <c:pt idx="17">
                  <c:v>10.069999999999709</c:v>
                </c:pt>
                <c:pt idx="18">
                  <c:v>10.730000000000473</c:v>
                </c:pt>
                <c:pt idx="19">
                  <c:v>10.329999999999927</c:v>
                </c:pt>
                <c:pt idx="20">
                  <c:v>10.309999999999491</c:v>
                </c:pt>
                <c:pt idx="21">
                  <c:v>10.75</c:v>
                </c:pt>
                <c:pt idx="22">
                  <c:v>10.220000000000255</c:v>
                </c:pt>
                <c:pt idx="23">
                  <c:v>11.329999999999927</c:v>
                </c:pt>
                <c:pt idx="24">
                  <c:v>9.6799999999998363</c:v>
                </c:pt>
                <c:pt idx="25">
                  <c:v>11</c:v>
                </c:pt>
                <c:pt idx="26">
                  <c:v>-315</c:v>
                </c:pt>
                <c:pt idx="27">
                  <c:v>11.680000000000291</c:v>
                </c:pt>
                <c:pt idx="28">
                  <c:v>11.449999999999818</c:v>
                </c:pt>
                <c:pt idx="29">
                  <c:v>10.869999999999891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650-4F04-822D-8599D27ECD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8603520"/>
        <c:axId val="138613504"/>
      </c:lineChart>
      <c:catAx>
        <c:axId val="13860352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8613504"/>
        <c:crosses val="autoZero"/>
        <c:auto val="1"/>
        <c:lblAlgn val="ctr"/>
        <c:lblOffset val="100"/>
        <c:noMultiLvlLbl val="0"/>
      </c:catAx>
      <c:valAx>
        <c:axId val="138613504"/>
        <c:scaling>
          <c:orientation val="minMax"/>
          <c:max val="14"/>
          <c:min val="8"/>
        </c:scaling>
        <c:delete val="0"/>
        <c:axPos val="l"/>
        <c:majorGridlines/>
        <c:numFmt formatCode="0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8603520"/>
        <c:crosses val="autoZero"/>
        <c:crossBetween val="between"/>
      </c:valAx>
    </c:plotArea>
    <c:legend>
      <c:legendPos val="r"/>
      <c:overlay val="0"/>
      <c:txPr>
        <a:bodyPr/>
        <a:lstStyle/>
        <a:p>
          <a:pPr>
            <a:defRPr lang="en-US" sz="38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lang="en-US"/>
          </a:pPr>
          <a:endParaRPr lang="en-US"/>
        </a:p>
      </c:txPr>
    </c:title>
    <c:autoTitleDeleted val="0"/>
    <c:view3D>
      <c:rotX val="30"/>
      <c:hPercent val="100"/>
      <c:rotY val="0"/>
      <c:depthPercent val="100"/>
      <c:rAngAx val="0"/>
    </c:view3D>
    <c:floor>
      <c:thickness val="0"/>
    </c:floor>
    <c:sideWall>
      <c:thickness val="0"/>
    </c:sideWall>
    <c:backWall>
      <c:thickness val="0"/>
    </c:backWall>
    <c:plotArea>
      <c:layout/>
      <c:pie3DChart>
        <c:varyColors val="1"/>
        <c:dLbls>
          <c:showLegendKey val="0"/>
          <c:showVal val="0"/>
          <c:showCatName val="0"/>
          <c:showSerName val="0"/>
          <c:showPercent val="1"/>
          <c:showBubbleSize val="0"/>
          <c:showLeaderLines val="0"/>
        </c:dLbls>
      </c:pie3DChart>
    </c:plotArea>
    <c:legend>
      <c:legendPos val="t"/>
      <c:overlay val="0"/>
      <c:txPr>
        <a:bodyPr/>
        <a:lstStyle/>
        <a:p>
          <a:pPr>
            <a:defRPr lang="en-US"/>
          </a:pPr>
          <a:endParaRPr lang="en-US"/>
        </a:p>
      </c:txPr>
    </c:legend>
    <c:plotVisOnly val="1"/>
    <c:dispBlanksAs val="zero"/>
    <c:showDLblsOverMax val="0"/>
  </c:chart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view3D>
      <c:rotX val="30"/>
      <c:rotY val="0"/>
      <c:rAngAx val="0"/>
    </c:view3D>
    <c:floor>
      <c:thickness val="0"/>
    </c:floor>
    <c:sideWall>
      <c:thickness val="0"/>
    </c:sideWall>
    <c:backWall>
      <c:thickness val="0"/>
    </c:backWall>
    <c:plotArea>
      <c:layout/>
      <c:pie3DChart>
        <c:varyColors val="1"/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</c:pie3DChart>
      <c:spPr>
        <a:noFill/>
        <a:ln w="25400">
          <a:noFill/>
        </a:ln>
      </c:spPr>
    </c:plotArea>
    <c:plotVisOnly val="1"/>
    <c:dispBlanksAs val="zero"/>
    <c:showDLblsOverMax val="0"/>
  </c:chart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4.1828817210434806E-2"/>
          <c:y val="7.4487823818549626E-2"/>
          <c:w val="0.84489954093860065"/>
          <c:h val="0.79838984032443594"/>
        </c:manualLayout>
      </c:layout>
      <c:lineChart>
        <c:grouping val="standard"/>
        <c:varyColors val="0"/>
        <c:ser>
          <c:idx val="0"/>
          <c:order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IN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'Section Load'!$AO$8:$AO$28</c:f>
              <c:numCache>
                <c:formatCode>0</c:formatCode>
                <c:ptCount val="21"/>
                <c:pt idx="0">
                  <c:v>317.86999999999534</c:v>
                </c:pt>
                <c:pt idx="1">
                  <c:v>282.26000000000931</c:v>
                </c:pt>
                <c:pt idx="2">
                  <c:v>304.51000000000931</c:v>
                </c:pt>
                <c:pt idx="3">
                  <c:v>301</c:v>
                </c:pt>
                <c:pt idx="4">
                  <c:v>306</c:v>
                </c:pt>
                <c:pt idx="5">
                  <c:v>305</c:v>
                </c:pt>
                <c:pt idx="6">
                  <c:v>313</c:v>
                </c:pt>
                <c:pt idx="7">
                  <c:v>314</c:v>
                </c:pt>
                <c:pt idx="8">
                  <c:v>379</c:v>
                </c:pt>
                <c:pt idx="9">
                  <c:v>209</c:v>
                </c:pt>
                <c:pt idx="10">
                  <c:v>326</c:v>
                </c:pt>
                <c:pt idx="11">
                  <c:v>313</c:v>
                </c:pt>
                <c:pt idx="12">
                  <c:v>304</c:v>
                </c:pt>
                <c:pt idx="13">
                  <c:v>307.90000000002328</c:v>
                </c:pt>
                <c:pt idx="14">
                  <c:v>285.25</c:v>
                </c:pt>
                <c:pt idx="15">
                  <c:v>306.34999999997672</c:v>
                </c:pt>
                <c:pt idx="16">
                  <c:v>295.15000000002328</c:v>
                </c:pt>
                <c:pt idx="17">
                  <c:v>294.76000000000931</c:v>
                </c:pt>
                <c:pt idx="18">
                  <c:v>307.70999999996275</c:v>
                </c:pt>
                <c:pt idx="19">
                  <c:v>292.69000000006054</c:v>
                </c:pt>
                <c:pt idx="20">
                  <c:v>311.18999999994412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2A5-40F5-8463-BC62617D9356}"/>
            </c:ext>
          </c:extLst>
        </c:ser>
        <c:ser>
          <c:idx val="1"/>
          <c:order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IN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'Section Load'!$AT$8:$AT$28</c:f>
              <c:numCache>
                <c:formatCode>0</c:formatCode>
                <c:ptCount val="21"/>
                <c:pt idx="0">
                  <c:v>599.45999999999549</c:v>
                </c:pt>
                <c:pt idx="1">
                  <c:v>570.81000000004133</c:v>
                </c:pt>
                <c:pt idx="2">
                  <c:v>510.09000000004016</c:v>
                </c:pt>
                <c:pt idx="3">
                  <c:v>550</c:v>
                </c:pt>
                <c:pt idx="4">
                  <c:v>508</c:v>
                </c:pt>
                <c:pt idx="5">
                  <c:v>501.80000000000291</c:v>
                </c:pt>
                <c:pt idx="6">
                  <c:v>319.70000000000073</c:v>
                </c:pt>
                <c:pt idx="7">
                  <c:v>533.29999999999927</c:v>
                </c:pt>
                <c:pt idx="8">
                  <c:v>164</c:v>
                </c:pt>
                <c:pt idx="9">
                  <c:v>643</c:v>
                </c:pt>
                <c:pt idx="10">
                  <c:v>316</c:v>
                </c:pt>
                <c:pt idx="11">
                  <c:v>549.59999999999854</c:v>
                </c:pt>
                <c:pt idx="12">
                  <c:v>584.40000000000146</c:v>
                </c:pt>
                <c:pt idx="13">
                  <c:v>329.7730000000156</c:v>
                </c:pt>
                <c:pt idx="14">
                  <c:v>492.27699999995821</c:v>
                </c:pt>
                <c:pt idx="15">
                  <c:v>415.65000000007785</c:v>
                </c:pt>
                <c:pt idx="16">
                  <c:v>581.95999999991727</c:v>
                </c:pt>
                <c:pt idx="17">
                  <c:v>566.4000000000724</c:v>
                </c:pt>
                <c:pt idx="18">
                  <c:v>566.34999999994761</c:v>
                </c:pt>
                <c:pt idx="19">
                  <c:v>548.89999999987776</c:v>
                </c:pt>
                <c:pt idx="20">
                  <c:v>576.89000000013039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2A5-40F5-8463-BC62617D9356}"/>
            </c:ext>
          </c:extLst>
        </c:ser>
        <c:ser>
          <c:idx val="2"/>
          <c:order val="2"/>
          <c:tx>
            <c:v>Kitchen</c:v>
          </c:tx>
          <c:val>
            <c:numRef>
              <c:f>'Section Load'!$AQ$8:$AQ$28</c:f>
              <c:numCache>
                <c:formatCode>0</c:formatCode>
                <c:ptCount val="21"/>
                <c:pt idx="0">
                  <c:v>94.320000000006985</c:v>
                </c:pt>
                <c:pt idx="1">
                  <c:v>95.679999999993015</c:v>
                </c:pt>
                <c:pt idx="2">
                  <c:v>80</c:v>
                </c:pt>
                <c:pt idx="3">
                  <c:v>72</c:v>
                </c:pt>
                <c:pt idx="4">
                  <c:v>87</c:v>
                </c:pt>
                <c:pt idx="5">
                  <c:v>76</c:v>
                </c:pt>
                <c:pt idx="6">
                  <c:v>91</c:v>
                </c:pt>
                <c:pt idx="7">
                  <c:v>63</c:v>
                </c:pt>
                <c:pt idx="8">
                  <c:v>78</c:v>
                </c:pt>
                <c:pt idx="9">
                  <c:v>81</c:v>
                </c:pt>
                <c:pt idx="10">
                  <c:v>75</c:v>
                </c:pt>
                <c:pt idx="11">
                  <c:v>75</c:v>
                </c:pt>
                <c:pt idx="12">
                  <c:v>90</c:v>
                </c:pt>
                <c:pt idx="13">
                  <c:v>73.5</c:v>
                </c:pt>
                <c:pt idx="14">
                  <c:v>80.5</c:v>
                </c:pt>
                <c:pt idx="15">
                  <c:v>83.899999999994179</c:v>
                </c:pt>
                <c:pt idx="16">
                  <c:v>83.64000000001397</c:v>
                </c:pt>
                <c:pt idx="17">
                  <c:v>104.77999999999884</c:v>
                </c:pt>
                <c:pt idx="18">
                  <c:v>119.35000000000582</c:v>
                </c:pt>
                <c:pt idx="19">
                  <c:v>101.32999999998719</c:v>
                </c:pt>
                <c:pt idx="20">
                  <c:v>114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2A5-40F5-8463-BC62617D93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8950912"/>
        <c:axId val="138956800"/>
      </c:lineChart>
      <c:catAx>
        <c:axId val="138950912"/>
        <c:scaling>
          <c:orientation val="minMax"/>
        </c:scaling>
        <c:delete val="0"/>
        <c:axPos val="b"/>
        <c:majorTickMark val="out"/>
        <c:minorTickMark val="none"/>
        <c:tickLblPos val="nextTo"/>
        <c:txPr>
          <a:bodyPr/>
          <a:lstStyle/>
          <a:p>
            <a:pPr>
              <a:defRPr lang="en-IN"/>
            </a:pPr>
            <a:endParaRPr lang="en-US"/>
          </a:p>
        </c:txPr>
        <c:crossAx val="138956800"/>
        <c:crosses val="autoZero"/>
        <c:auto val="1"/>
        <c:lblAlgn val="ctr"/>
        <c:lblOffset val="100"/>
        <c:noMultiLvlLbl val="0"/>
      </c:catAx>
      <c:valAx>
        <c:axId val="138956800"/>
        <c:scaling>
          <c:orientation val="minMax"/>
        </c:scaling>
        <c:delete val="0"/>
        <c:axPos val="l"/>
        <c:majorGridlines/>
        <c:numFmt formatCode="0" sourceLinked="1"/>
        <c:majorTickMark val="out"/>
        <c:minorTickMark val="none"/>
        <c:tickLblPos val="nextTo"/>
        <c:txPr>
          <a:bodyPr/>
          <a:lstStyle/>
          <a:p>
            <a:pPr>
              <a:defRPr lang="en-IN"/>
            </a:pPr>
            <a:endParaRPr lang="en-US"/>
          </a:p>
        </c:txPr>
        <c:crossAx val="138950912"/>
        <c:crosses val="autoZero"/>
        <c:crossBetween val="between"/>
      </c:valAx>
    </c:plotArea>
    <c:legend>
      <c:legendPos val="r"/>
      <c:overlay val="0"/>
      <c:txPr>
        <a:bodyPr/>
        <a:lstStyle/>
        <a:p>
          <a:pPr>
            <a:defRPr lang="en-IN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Gas Consumption 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7.0546659205604323E-2"/>
          <c:y val="0.18855639071655694"/>
          <c:w val="0.85207697980350661"/>
          <c:h val="0.6577579613782617"/>
        </c:manualLayout>
      </c:layout>
      <c:lineChart>
        <c:grouping val="stacked"/>
        <c:varyColors val="0"/>
        <c:ser>
          <c:idx val="0"/>
          <c:order val="0"/>
          <c:dLbls>
            <c:dLbl>
              <c:idx val="0"/>
              <c:layout>
                <c:manualLayout>
                  <c:x val="-1.8126888217539203E-2"/>
                  <c:y val="0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805-40EB-8609-4B8F01FF39E4}"/>
                </c:ext>
              </c:extLst>
            </c:dLbl>
            <c:dLbl>
              <c:idx val="1"/>
              <c:layout>
                <c:manualLayout>
                  <c:x val="-2.4169184290029979E-2"/>
                  <c:y val="0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805-40EB-8609-4B8F01FF39E4}"/>
                </c:ext>
              </c:extLst>
            </c:dLbl>
            <c:dLbl>
              <c:idx val="2"/>
              <c:layout>
                <c:manualLayout>
                  <c:x val="-2.2155085599194352E-2"/>
                  <c:y val="-4.1237113402061855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C805-40EB-8609-4B8F01FF39E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vert="horz"/>
              <a:lstStyle/>
              <a:p>
                <a:pPr algn="ctr"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'Daily HLP (2)'!$E$4:$E$18</c:f>
              <c:numCache>
                <c:formatCode>0</c:formatCode>
                <c:ptCount val="15"/>
                <c:pt idx="0">
                  <c:v>0.12153132002401244</c:v>
                </c:pt>
                <c:pt idx="1">
                  <c:v>3100</c:v>
                </c:pt>
                <c:pt idx="2">
                  <c:v>3094.6399999999994</c:v>
                </c:pt>
                <c:pt idx="3">
                  <c:v>3146.7900000000009</c:v>
                </c:pt>
                <c:pt idx="4">
                  <c:v>0</c:v>
                </c:pt>
                <c:pt idx="5">
                  <c:v>3311.0800000000017</c:v>
                </c:pt>
                <c:pt idx="6">
                  <c:v>3369</c:v>
                </c:pt>
                <c:pt idx="7">
                  <c:v>3190</c:v>
                </c:pt>
                <c:pt idx="8">
                  <c:v>2762.4599999999991</c:v>
                </c:pt>
                <c:pt idx="9">
                  <c:v>2760</c:v>
                </c:pt>
                <c:pt idx="10">
                  <c:v>2906.3999999999942</c:v>
                </c:pt>
                <c:pt idx="11">
                  <c:v>2812</c:v>
                </c:pt>
                <c:pt idx="12">
                  <c:v>2861</c:v>
                </c:pt>
                <c:pt idx="13">
                  <c:v>3132</c:v>
                </c:pt>
                <c:pt idx="14">
                  <c:v>3008.3700000000099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C805-40EB-8609-4B8F01FF39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/>
        <c:marker val="1"/>
        <c:smooth val="0"/>
        <c:axId val="143333248"/>
        <c:axId val="143334784"/>
      </c:lineChart>
      <c:lineChart>
        <c:grouping val="stacked"/>
        <c:varyColors val="0"/>
        <c:ser>
          <c:idx val="1"/>
          <c:order val="1"/>
          <c:tx>
            <c:v>Occ%</c:v>
          </c:tx>
          <c:val>
            <c:numRef>
              <c:f>'Daily HLP (2)'!$D$4:$D$18</c:f>
              <c:numCache>
                <c:formatCode>0</c:formatCode>
                <c:ptCount val="15"/>
                <c:pt idx="0">
                  <c:v>161334</c:v>
                </c:pt>
                <c:pt idx="1">
                  <c:v>181227</c:v>
                </c:pt>
                <c:pt idx="2">
                  <c:v>220974.95</c:v>
                </c:pt>
                <c:pt idx="3">
                  <c:v>200756</c:v>
                </c:pt>
                <c:pt idx="4">
                  <c:v>0</c:v>
                </c:pt>
                <c:pt idx="5">
                  <c:v>262018</c:v>
                </c:pt>
                <c:pt idx="6">
                  <c:v>282279</c:v>
                </c:pt>
                <c:pt idx="7">
                  <c:v>301926</c:v>
                </c:pt>
                <c:pt idx="8">
                  <c:v>319937</c:v>
                </c:pt>
                <c:pt idx="9">
                  <c:v>337000</c:v>
                </c:pt>
                <c:pt idx="10">
                  <c:v>354262</c:v>
                </c:pt>
                <c:pt idx="11">
                  <c:v>370975</c:v>
                </c:pt>
                <c:pt idx="12">
                  <c:v>388025</c:v>
                </c:pt>
                <c:pt idx="13">
                  <c:v>405455</c:v>
                </c:pt>
                <c:pt idx="14">
                  <c:v>422783.71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C805-40EB-8609-4B8F01FF39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3348864"/>
        <c:axId val="143350400"/>
      </c:lineChart>
      <c:catAx>
        <c:axId val="14333324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3334784"/>
        <c:crosses val="autoZero"/>
        <c:auto val="1"/>
        <c:lblAlgn val="ctr"/>
        <c:lblOffset val="100"/>
        <c:noMultiLvlLbl val="0"/>
      </c:catAx>
      <c:valAx>
        <c:axId val="143334784"/>
        <c:scaling>
          <c:orientation val="minMax"/>
          <c:max val="1700"/>
          <c:min val="1150"/>
        </c:scaling>
        <c:delete val="0"/>
        <c:axPos val="l"/>
        <c:majorGridlines/>
        <c:numFmt formatCode="0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3333248"/>
        <c:crosses val="autoZero"/>
        <c:crossBetween val="between"/>
        <c:minorUnit val="50"/>
      </c:valAx>
      <c:catAx>
        <c:axId val="143348864"/>
        <c:scaling>
          <c:orientation val="minMax"/>
        </c:scaling>
        <c:delete val="1"/>
        <c:axPos val="b"/>
        <c:majorTickMark val="out"/>
        <c:minorTickMark val="none"/>
        <c:tickLblPos val="none"/>
        <c:crossAx val="143350400"/>
        <c:crosses val="autoZero"/>
        <c:auto val="1"/>
        <c:lblAlgn val="ctr"/>
        <c:lblOffset val="100"/>
        <c:noMultiLvlLbl val="0"/>
      </c:catAx>
      <c:valAx>
        <c:axId val="143350400"/>
        <c:scaling>
          <c:orientation val="minMax"/>
        </c:scaling>
        <c:delete val="0"/>
        <c:axPos val="r"/>
        <c:numFmt formatCode="0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3348864"/>
        <c:crosses val="max"/>
        <c:crossBetween val="between"/>
      </c:valAx>
    </c:plotArea>
    <c:legend>
      <c:legendPos val="r"/>
      <c:overlay val="0"/>
      <c:txPr>
        <a:bodyPr/>
        <a:lstStyle/>
        <a:p>
          <a:pPr>
            <a:defRPr lang="en-US" sz="38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8.1377350766933948E-2"/>
          <c:y val="0.17165536599591719"/>
          <c:w val="0.81155842904958064"/>
          <c:h val="0.65482210557013765"/>
        </c:manualLayout>
      </c:layout>
      <c:lineChart>
        <c:grouping val="standard"/>
        <c:varyColors val="0"/>
        <c:ser>
          <c:idx val="0"/>
          <c:order val="0"/>
          <c:dLbls>
            <c:dLbl>
              <c:idx val="0"/>
              <c:layout>
                <c:manualLayout>
                  <c:x val="-2.2695035460998852E-2"/>
                  <c:y val="-5.092592592592592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739C-4A5D-8657-5B775079F214}"/>
                </c:ext>
              </c:extLst>
            </c:dLbl>
            <c:dLbl>
              <c:idx val="1"/>
              <c:layout>
                <c:manualLayout>
                  <c:x val="-8.5106382978724568E-3"/>
                  <c:y val="-3.7037037037037056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739C-4A5D-8657-5B775079F214}"/>
                </c:ext>
              </c:extLst>
            </c:dLbl>
            <c:dLbl>
              <c:idx val="2"/>
              <c:layout>
                <c:manualLayout>
                  <c:x val="-2.2695035460998852E-2"/>
                  <c:y val="0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739C-4A5D-8657-5B775079F214}"/>
                </c:ext>
              </c:extLst>
            </c:dLbl>
            <c:dLbl>
              <c:idx val="3"/>
              <c:layout>
                <c:manualLayout>
                  <c:x val="-1.8439716312056712E-2"/>
                  <c:y val="-6.944444444444450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739C-4A5D-8657-5B775079F214}"/>
                </c:ext>
              </c:extLst>
            </c:dLbl>
            <c:dLbl>
              <c:idx val="4"/>
              <c:layout>
                <c:manualLayout>
                  <c:x val="-1.7021276595744678E-2"/>
                  <c:y val="-4.629629629629652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739C-4A5D-8657-5B775079F21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1260000" vert="horz"/>
              <a:lstStyle/>
              <a:p>
                <a:pPr algn="ctr">
                  <a:defRPr lang="en-US"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'Daily HLP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739C-4A5D-8657-5B775079F2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2412416"/>
        <c:axId val="142418304"/>
      </c:lineChart>
      <c:catAx>
        <c:axId val="14241241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2418304"/>
        <c:crosses val="autoZero"/>
        <c:auto val="1"/>
        <c:lblAlgn val="ctr"/>
        <c:lblOffset val="100"/>
        <c:noMultiLvlLbl val="0"/>
      </c:catAx>
      <c:valAx>
        <c:axId val="142418304"/>
        <c:scaling>
          <c:orientation val="minMax"/>
          <c:max val="5000"/>
          <c:min val="3500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2412416"/>
        <c:crosses val="autoZero"/>
        <c:crossBetween val="between"/>
      </c:valAx>
    </c:plotArea>
    <c:legend>
      <c:legendPos val="r"/>
      <c:overlay val="0"/>
      <c:txPr>
        <a:bodyPr/>
        <a:lstStyle/>
        <a:p>
          <a:pPr>
            <a:defRPr lang="en-US" sz="38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Occupancy%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'Daily HLP (2)'!$D$4:$D$18</c:f>
              <c:numCache>
                <c:formatCode>0</c:formatCode>
                <c:ptCount val="15"/>
                <c:pt idx="0">
                  <c:v>161334</c:v>
                </c:pt>
                <c:pt idx="1">
                  <c:v>181227</c:v>
                </c:pt>
                <c:pt idx="2">
                  <c:v>220974.95</c:v>
                </c:pt>
                <c:pt idx="3">
                  <c:v>200756</c:v>
                </c:pt>
                <c:pt idx="4">
                  <c:v>0</c:v>
                </c:pt>
                <c:pt idx="5">
                  <c:v>262018</c:v>
                </c:pt>
                <c:pt idx="6">
                  <c:v>282279</c:v>
                </c:pt>
                <c:pt idx="7">
                  <c:v>301926</c:v>
                </c:pt>
                <c:pt idx="8">
                  <c:v>319937</c:v>
                </c:pt>
                <c:pt idx="9">
                  <c:v>337000</c:v>
                </c:pt>
                <c:pt idx="10">
                  <c:v>354262</c:v>
                </c:pt>
                <c:pt idx="11">
                  <c:v>370975</c:v>
                </c:pt>
                <c:pt idx="12">
                  <c:v>388025</c:v>
                </c:pt>
                <c:pt idx="13">
                  <c:v>405455</c:v>
                </c:pt>
                <c:pt idx="14">
                  <c:v>422783.71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1AC-4B5E-8E46-776F8F12A9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/>
        <c:marker val="1"/>
        <c:smooth val="0"/>
        <c:axId val="142455552"/>
        <c:axId val="142457088"/>
      </c:lineChart>
      <c:catAx>
        <c:axId val="14245555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2457088"/>
        <c:crosses val="autoZero"/>
        <c:auto val="1"/>
        <c:lblAlgn val="ctr"/>
        <c:lblOffset val="100"/>
        <c:noMultiLvlLbl val="0"/>
      </c:catAx>
      <c:valAx>
        <c:axId val="142457088"/>
        <c:scaling>
          <c:orientation val="minMax"/>
          <c:min val="10"/>
        </c:scaling>
        <c:delete val="0"/>
        <c:axPos val="l"/>
        <c:majorGridlines/>
        <c:numFmt formatCode="0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2455552"/>
        <c:crosses val="autoZero"/>
        <c:crossBetween val="between"/>
      </c:valAx>
    </c:plotArea>
    <c:legend>
      <c:legendPos val="r"/>
      <c:overlay val="0"/>
      <c:txPr>
        <a:bodyPr/>
        <a:lstStyle/>
        <a:p>
          <a:pPr>
            <a:defRPr lang="en-US" sz="38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1966885389326334"/>
          <c:y val="0.19514233849454998"/>
          <c:w val="0.75319225721785465"/>
          <c:h val="0.65422173305491038"/>
        </c:manualLayout>
      </c:layout>
      <c:lineChart>
        <c:grouping val="standard"/>
        <c:varyColors val="0"/>
        <c:ser>
          <c:idx val="0"/>
          <c:order val="0"/>
          <c:tx>
            <c:v>Hot Water Generator</c:v>
          </c:tx>
          <c:val>
            <c:numRef>
              <c:f>'Daily HLP (2)'!$O$4:$O$18</c:f>
              <c:numCache>
                <c:formatCode>0.00</c:formatCode>
                <c:ptCount val="15"/>
                <c:pt idx="0">
                  <c:v>218</c:v>
                </c:pt>
                <c:pt idx="1">
                  <c:v>159</c:v>
                </c:pt>
                <c:pt idx="2">
                  <c:v>169</c:v>
                </c:pt>
                <c:pt idx="3">
                  <c:v>116</c:v>
                </c:pt>
                <c:pt idx="4">
                  <c:v>0</c:v>
                </c:pt>
                <c:pt idx="5">
                  <c:v>166</c:v>
                </c:pt>
                <c:pt idx="6">
                  <c:v>177</c:v>
                </c:pt>
                <c:pt idx="7">
                  <c:v>177</c:v>
                </c:pt>
                <c:pt idx="8">
                  <c:v>167</c:v>
                </c:pt>
                <c:pt idx="9">
                  <c:v>132</c:v>
                </c:pt>
                <c:pt idx="10">
                  <c:v>150</c:v>
                </c:pt>
                <c:pt idx="11">
                  <c:v>102</c:v>
                </c:pt>
                <c:pt idx="12">
                  <c:v>131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38E-4387-930A-97DB28C6AA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3007744"/>
        <c:axId val="143009280"/>
      </c:lineChart>
      <c:lineChart>
        <c:grouping val="standard"/>
        <c:varyColors val="0"/>
        <c:ser>
          <c:idx val="1"/>
          <c:order val="1"/>
          <c:tx>
            <c:v>Occ%</c:v>
          </c:tx>
          <c:val>
            <c:numRef>
              <c:f>'Daily HLP (2)'!$D$4:$D$18</c:f>
              <c:numCache>
                <c:formatCode>0</c:formatCode>
                <c:ptCount val="15"/>
                <c:pt idx="0">
                  <c:v>161334</c:v>
                </c:pt>
                <c:pt idx="1">
                  <c:v>181227</c:v>
                </c:pt>
                <c:pt idx="2">
                  <c:v>220974.95</c:v>
                </c:pt>
                <c:pt idx="3">
                  <c:v>200756</c:v>
                </c:pt>
                <c:pt idx="4">
                  <c:v>0</c:v>
                </c:pt>
                <c:pt idx="5">
                  <c:v>262018</c:v>
                </c:pt>
                <c:pt idx="6">
                  <c:v>282279</c:v>
                </c:pt>
                <c:pt idx="7">
                  <c:v>301926</c:v>
                </c:pt>
                <c:pt idx="8">
                  <c:v>319937</c:v>
                </c:pt>
                <c:pt idx="9">
                  <c:v>337000</c:v>
                </c:pt>
                <c:pt idx="10">
                  <c:v>354262</c:v>
                </c:pt>
                <c:pt idx="11">
                  <c:v>370975</c:v>
                </c:pt>
                <c:pt idx="12">
                  <c:v>388025</c:v>
                </c:pt>
                <c:pt idx="13">
                  <c:v>405455</c:v>
                </c:pt>
                <c:pt idx="14">
                  <c:v>422783.71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38E-4387-930A-97DB28C6AA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3010816"/>
        <c:axId val="143016704"/>
      </c:lineChart>
      <c:catAx>
        <c:axId val="14300774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3009280"/>
        <c:crosses val="autoZero"/>
        <c:auto val="1"/>
        <c:lblAlgn val="ctr"/>
        <c:lblOffset val="100"/>
        <c:noMultiLvlLbl val="0"/>
      </c:catAx>
      <c:valAx>
        <c:axId val="143009280"/>
        <c:scaling>
          <c:orientation val="minMax"/>
          <c:min val="6"/>
        </c:scaling>
        <c:delete val="0"/>
        <c:axPos val="l"/>
        <c:majorGridlines/>
        <c:numFmt formatCode="0.00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3007744"/>
        <c:crosses val="autoZero"/>
        <c:crossBetween val="between"/>
      </c:valAx>
      <c:catAx>
        <c:axId val="143010816"/>
        <c:scaling>
          <c:orientation val="minMax"/>
        </c:scaling>
        <c:delete val="1"/>
        <c:axPos val="b"/>
        <c:majorTickMark val="out"/>
        <c:minorTickMark val="none"/>
        <c:tickLblPos val="none"/>
        <c:crossAx val="143016704"/>
        <c:crosses val="autoZero"/>
        <c:auto val="1"/>
        <c:lblAlgn val="ctr"/>
        <c:lblOffset val="100"/>
        <c:noMultiLvlLbl val="0"/>
      </c:catAx>
      <c:valAx>
        <c:axId val="143016704"/>
        <c:scaling>
          <c:orientation val="minMax"/>
        </c:scaling>
        <c:delete val="0"/>
        <c:axPos val="r"/>
        <c:numFmt formatCode="0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3010816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66730566086646581"/>
          <c:y val="0.18206831540425344"/>
          <c:w val="0.31602771875739138"/>
          <c:h val="0.10705112565154212"/>
        </c:manualLayout>
      </c:layout>
      <c:overlay val="0"/>
      <c:txPr>
        <a:bodyPr/>
        <a:lstStyle/>
        <a:p>
          <a:pPr>
            <a:defRPr lang="en-US" sz="84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  <c:userShapes r:id="rId1"/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0257330333708289"/>
          <c:y val="5.1489936964064897E-2"/>
          <c:w val="0.76499606299212664"/>
          <c:h val="0.79787418959275258"/>
        </c:manualLayout>
      </c:layout>
      <c:lineChart>
        <c:grouping val="standard"/>
        <c:varyColors val="0"/>
        <c:ser>
          <c:idx val="0"/>
          <c:order val="0"/>
          <c:tx>
            <c:v>850Kg Boiler</c:v>
          </c:tx>
          <c:marker>
            <c:spPr>
              <a:solidFill>
                <a:schemeClr val="accent2"/>
              </a:solidFill>
            </c:spPr>
          </c:marker>
          <c:val>
            <c:numRef>
              <c:f>'Daily HLP (2)'!$K$4:$K$18</c:f>
              <c:numCache>
                <c:formatCode>0.00</c:formatCode>
                <c:ptCount val="15"/>
                <c:pt idx="0">
                  <c:v>39</c:v>
                </c:pt>
                <c:pt idx="1">
                  <c:v>21</c:v>
                </c:pt>
                <c:pt idx="2">
                  <c:v>34</c:v>
                </c:pt>
                <c:pt idx="3">
                  <c:v>31</c:v>
                </c:pt>
                <c:pt idx="4">
                  <c:v>0</c:v>
                </c:pt>
                <c:pt idx="5">
                  <c:v>55</c:v>
                </c:pt>
                <c:pt idx="6">
                  <c:v>49</c:v>
                </c:pt>
                <c:pt idx="7">
                  <c:v>36</c:v>
                </c:pt>
                <c:pt idx="8">
                  <c:v>34</c:v>
                </c:pt>
                <c:pt idx="9">
                  <c:v>35</c:v>
                </c:pt>
                <c:pt idx="10">
                  <c:v>34</c:v>
                </c:pt>
                <c:pt idx="11">
                  <c:v>29</c:v>
                </c:pt>
                <c:pt idx="12">
                  <c:v>25</c:v>
                </c:pt>
                <c:pt idx="13">
                  <c:v>41</c:v>
                </c:pt>
                <c:pt idx="14">
                  <c:v>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08E-454E-8410-B9FE47C5AFD0}"/>
            </c:ext>
          </c:extLst>
        </c:ser>
        <c:ser>
          <c:idx val="1"/>
          <c:order val="1"/>
          <c:tx>
            <c:v>400Kg</c:v>
          </c:tx>
          <c:val>
            <c:numRef>
              <c:f>'Daily HLP (2)'!$J$4:$J$18</c:f>
              <c:numCache>
                <c:formatCode>0</c:formatCode>
                <c:ptCount val="15"/>
                <c:pt idx="0">
                  <c:v>13</c:v>
                </c:pt>
                <c:pt idx="1">
                  <c:v>12</c:v>
                </c:pt>
                <c:pt idx="2">
                  <c:v>6</c:v>
                </c:pt>
                <c:pt idx="3">
                  <c:v>7</c:v>
                </c:pt>
                <c:pt idx="4">
                  <c:v>0</c:v>
                </c:pt>
                <c:pt idx="5">
                  <c:v>6</c:v>
                </c:pt>
                <c:pt idx="6">
                  <c:v>9</c:v>
                </c:pt>
                <c:pt idx="7">
                  <c:v>8</c:v>
                </c:pt>
                <c:pt idx="8">
                  <c:v>14</c:v>
                </c:pt>
                <c:pt idx="9">
                  <c:v>4</c:v>
                </c:pt>
                <c:pt idx="10">
                  <c:v>6</c:v>
                </c:pt>
                <c:pt idx="11">
                  <c:v>4</c:v>
                </c:pt>
                <c:pt idx="12">
                  <c:v>7</c:v>
                </c:pt>
                <c:pt idx="13">
                  <c:v>134</c:v>
                </c:pt>
                <c:pt idx="14">
                  <c:v>151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08E-454E-8410-B9FE47C5AF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3059968"/>
        <c:axId val="143655680"/>
      </c:lineChart>
      <c:lineChart>
        <c:grouping val="standard"/>
        <c:varyColors val="0"/>
        <c:ser>
          <c:idx val="2"/>
          <c:order val="2"/>
          <c:tx>
            <c:v>Occ%</c:v>
          </c:tx>
          <c:val>
            <c:numRef>
              <c:f>'Daily HLP (2)'!$D$4:$D$18</c:f>
              <c:numCache>
                <c:formatCode>0</c:formatCode>
                <c:ptCount val="15"/>
                <c:pt idx="0">
                  <c:v>161334</c:v>
                </c:pt>
                <c:pt idx="1">
                  <c:v>181227</c:v>
                </c:pt>
                <c:pt idx="2">
                  <c:v>220974.95</c:v>
                </c:pt>
                <c:pt idx="3">
                  <c:v>200756</c:v>
                </c:pt>
                <c:pt idx="4">
                  <c:v>0</c:v>
                </c:pt>
                <c:pt idx="5">
                  <c:v>262018</c:v>
                </c:pt>
                <c:pt idx="6">
                  <c:v>282279</c:v>
                </c:pt>
                <c:pt idx="7">
                  <c:v>301926</c:v>
                </c:pt>
                <c:pt idx="8">
                  <c:v>319937</c:v>
                </c:pt>
                <c:pt idx="9">
                  <c:v>337000</c:v>
                </c:pt>
                <c:pt idx="10">
                  <c:v>354262</c:v>
                </c:pt>
                <c:pt idx="11">
                  <c:v>370975</c:v>
                </c:pt>
                <c:pt idx="12">
                  <c:v>388025</c:v>
                </c:pt>
                <c:pt idx="13">
                  <c:v>405455</c:v>
                </c:pt>
                <c:pt idx="14">
                  <c:v>422783.71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08E-454E-8410-B9FE47C5AF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3657216"/>
        <c:axId val="143671296"/>
      </c:lineChart>
      <c:catAx>
        <c:axId val="14305996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3655680"/>
        <c:crosses val="autoZero"/>
        <c:auto val="1"/>
        <c:lblAlgn val="ctr"/>
        <c:lblOffset val="100"/>
        <c:noMultiLvlLbl val="0"/>
      </c:catAx>
      <c:valAx>
        <c:axId val="143655680"/>
        <c:scaling>
          <c:orientation val="minMax"/>
          <c:min val="8"/>
        </c:scaling>
        <c:delete val="0"/>
        <c:axPos val="l"/>
        <c:majorGridlines/>
        <c:numFmt formatCode="0.00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3059968"/>
        <c:crosses val="autoZero"/>
        <c:crossBetween val="between"/>
        <c:majorUnit val="2"/>
      </c:valAx>
      <c:catAx>
        <c:axId val="143657216"/>
        <c:scaling>
          <c:orientation val="minMax"/>
        </c:scaling>
        <c:delete val="1"/>
        <c:axPos val="b"/>
        <c:majorTickMark val="out"/>
        <c:minorTickMark val="none"/>
        <c:tickLblPos val="none"/>
        <c:crossAx val="143671296"/>
        <c:crosses val="autoZero"/>
        <c:auto val="1"/>
        <c:lblAlgn val="ctr"/>
        <c:lblOffset val="100"/>
        <c:noMultiLvlLbl val="0"/>
      </c:catAx>
      <c:valAx>
        <c:axId val="143671296"/>
        <c:scaling>
          <c:orientation val="minMax"/>
        </c:scaling>
        <c:delete val="0"/>
        <c:axPos val="r"/>
        <c:numFmt formatCode="0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3657216"/>
        <c:crosses val="max"/>
        <c:crossBetween val="between"/>
      </c:valAx>
    </c:plotArea>
    <c:legend>
      <c:legendPos val="r"/>
      <c:legendEntry>
        <c:idx val="0"/>
        <c:txPr>
          <a:bodyPr/>
          <a:lstStyle/>
          <a:p>
            <a:pPr>
              <a:defRPr sz="845" b="0" i="0" u="none" strike="noStrike" baseline="0">
                <a:solidFill>
                  <a:srgbClr val="FF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</c:legendEntry>
      <c:legendEntry>
        <c:idx val="1"/>
        <c:txPr>
          <a:bodyPr/>
          <a:lstStyle/>
          <a:p>
            <a:pPr>
              <a:defRPr sz="845" b="0" i="0" u="none" strike="noStrike" baseline="0">
                <a:solidFill>
                  <a:srgbClr val="FF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</c:legendEntry>
      <c:legendEntry>
        <c:idx val="2"/>
        <c:txPr>
          <a:bodyPr/>
          <a:lstStyle/>
          <a:p>
            <a:pPr>
              <a:defRPr sz="845" b="0" i="0" u="none" strike="noStrike" baseline="0">
                <a:solidFill>
                  <a:srgbClr val="FF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</c:legendEntry>
      <c:layout>
        <c:manualLayout>
          <c:xMode val="edge"/>
          <c:yMode val="edge"/>
          <c:x val="0.67161786815490065"/>
          <c:y val="0.59681416583488756"/>
          <c:w val="0.1751903099491009"/>
          <c:h val="0.25158848101733888"/>
        </c:manualLayout>
      </c:layout>
      <c:overlay val="0"/>
      <c:txPr>
        <a:bodyPr/>
        <a:lstStyle/>
        <a:p>
          <a:pPr>
            <a:defRPr lang="en-US" sz="84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  <c:userShapes r:id="rId1"/>
</c:chartSpac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1.xml"/><Relationship Id="rId1" Type="http://schemas.openxmlformats.org/officeDocument/2006/relationships/chart" Target="../charts/chart10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5.xml"/><Relationship Id="rId2" Type="http://schemas.openxmlformats.org/officeDocument/2006/relationships/chart" Target="../charts/chart14.xml"/><Relationship Id="rId1" Type="http://schemas.openxmlformats.org/officeDocument/2006/relationships/chart" Target="../charts/chart13.xml"/><Relationship Id="rId5" Type="http://schemas.openxmlformats.org/officeDocument/2006/relationships/chart" Target="../charts/chart17.xml"/><Relationship Id="rId4" Type="http://schemas.openxmlformats.org/officeDocument/2006/relationships/chart" Target="../charts/chart1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438150</xdr:colOff>
      <xdr:row>68</xdr:row>
      <xdr:rowOff>28575</xdr:rowOff>
    </xdr:from>
    <xdr:to>
      <xdr:col>26</xdr:col>
      <xdr:colOff>476250</xdr:colOff>
      <xdr:row>81</xdr:row>
      <xdr:rowOff>9525</xdr:rowOff>
    </xdr:to>
    <xdr:graphicFrame macro="">
      <xdr:nvGraphicFramePr>
        <xdr:cNvPr id="2" name="Chart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323850</xdr:colOff>
      <xdr:row>82</xdr:row>
      <xdr:rowOff>0</xdr:rowOff>
    </xdr:from>
    <xdr:to>
      <xdr:col>26</xdr:col>
      <xdr:colOff>657225</xdr:colOff>
      <xdr:row>95</xdr:row>
      <xdr:rowOff>0</xdr:rowOff>
    </xdr:to>
    <xdr:graphicFrame macro="">
      <xdr:nvGraphicFramePr>
        <xdr:cNvPr id="3" name="Chart 3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47625</xdr:colOff>
      <xdr:row>68</xdr:row>
      <xdr:rowOff>0</xdr:rowOff>
    </xdr:from>
    <xdr:to>
      <xdr:col>11</xdr:col>
      <xdr:colOff>266700</xdr:colOff>
      <xdr:row>82</xdr:row>
      <xdr:rowOff>95250</xdr:rowOff>
    </xdr:to>
    <xdr:graphicFrame macro="">
      <xdr:nvGraphicFramePr>
        <xdr:cNvPr id="4" name="Chart 4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38100</xdr:colOff>
      <xdr:row>53</xdr:row>
      <xdr:rowOff>85725</xdr:rowOff>
    </xdr:from>
    <xdr:to>
      <xdr:col>11</xdr:col>
      <xdr:colOff>228600</xdr:colOff>
      <xdr:row>67</xdr:row>
      <xdr:rowOff>57150</xdr:rowOff>
    </xdr:to>
    <xdr:graphicFrame macro="">
      <xdr:nvGraphicFramePr>
        <xdr:cNvPr id="5" name="Chart 5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11</xdr:col>
      <xdr:colOff>285750</xdr:colOff>
      <xdr:row>53</xdr:row>
      <xdr:rowOff>95250</xdr:rowOff>
    </xdr:from>
    <xdr:to>
      <xdr:col>27</xdr:col>
      <xdr:colOff>219075</xdr:colOff>
      <xdr:row>67</xdr:row>
      <xdr:rowOff>180975</xdr:rowOff>
    </xdr:to>
    <xdr:graphicFrame macro="">
      <xdr:nvGraphicFramePr>
        <xdr:cNvPr id="6" name="Chart 10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733425</xdr:colOff>
      <xdr:row>95</xdr:row>
      <xdr:rowOff>123825</xdr:rowOff>
    </xdr:from>
    <xdr:to>
      <xdr:col>15</xdr:col>
      <xdr:colOff>219075</xdr:colOff>
      <xdr:row>109</xdr:row>
      <xdr:rowOff>66675</xdr:rowOff>
    </xdr:to>
    <xdr:graphicFrame macro="">
      <xdr:nvGraphicFramePr>
        <xdr:cNvPr id="7" name="Chart 7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12</xdr:col>
      <xdr:colOff>16328</xdr:colOff>
      <xdr:row>37</xdr:row>
      <xdr:rowOff>163285</xdr:rowOff>
    </xdr:from>
    <xdr:to>
      <xdr:col>24</xdr:col>
      <xdr:colOff>435428</xdr:colOff>
      <xdr:row>51</xdr:row>
      <xdr:rowOff>176893</xdr:rowOff>
    </xdr:to>
    <xdr:graphicFrame macro="">
      <xdr:nvGraphicFramePr>
        <xdr:cNvPr id="8" name="Chart 8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</xdr:col>
      <xdr:colOff>38100</xdr:colOff>
      <xdr:row>39</xdr:row>
      <xdr:rowOff>0</xdr:rowOff>
    </xdr:from>
    <xdr:to>
      <xdr:col>11</xdr:col>
      <xdr:colOff>190500</xdr:colOff>
      <xdr:row>52</xdr:row>
      <xdr:rowOff>171450</xdr:rowOff>
    </xdr:to>
    <xdr:graphicFrame macro="">
      <xdr:nvGraphicFramePr>
        <xdr:cNvPr id="9" name="Chart 2401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0</xdr:col>
      <xdr:colOff>142875</xdr:colOff>
      <xdr:row>83</xdr:row>
      <xdr:rowOff>47625</xdr:rowOff>
    </xdr:from>
    <xdr:to>
      <xdr:col>11</xdr:col>
      <xdr:colOff>247650</xdr:colOff>
      <xdr:row>94</xdr:row>
      <xdr:rowOff>85725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47625</xdr:colOff>
      <xdr:row>51</xdr:row>
      <xdr:rowOff>85725</xdr:rowOff>
    </xdr:from>
    <xdr:to>
      <xdr:col>22</xdr:col>
      <xdr:colOff>571500</xdr:colOff>
      <xdr:row>67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571500</xdr:colOff>
      <xdr:row>33</xdr:row>
      <xdr:rowOff>0</xdr:rowOff>
    </xdr:from>
    <xdr:to>
      <xdr:col>21</xdr:col>
      <xdr:colOff>266700</xdr:colOff>
      <xdr:row>34</xdr:row>
      <xdr:rowOff>161925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27</xdr:col>
      <xdr:colOff>246529</xdr:colOff>
      <xdr:row>47</xdr:row>
      <xdr:rowOff>108057</xdr:rowOff>
    </xdr:from>
    <xdr:to>
      <xdr:col>42</xdr:col>
      <xdr:colOff>313765</xdr:colOff>
      <xdr:row>61</xdr:row>
      <xdr:rowOff>27216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190500</xdr:colOff>
      <xdr:row>20</xdr:row>
      <xdr:rowOff>28575</xdr:rowOff>
    </xdr:from>
    <xdr:to>
      <xdr:col>11</xdr:col>
      <xdr:colOff>419100</xdr:colOff>
      <xdr:row>33</xdr:row>
      <xdr:rowOff>200025</xdr:rowOff>
    </xdr:to>
    <xdr:graphicFrame macro="">
      <xdr:nvGraphicFramePr>
        <xdr:cNvPr id="2" name="Chart 5">
          <a:extLst>
            <a:ext uri="{FF2B5EF4-FFF2-40B4-BE49-F238E27FC236}">
              <a16:creationId xmlns:a16="http://schemas.microsoft.com/office/drawing/2014/main" id="{00000000-0008-0000-22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733425</xdr:colOff>
      <xdr:row>77</xdr:row>
      <xdr:rowOff>123825</xdr:rowOff>
    </xdr:from>
    <xdr:to>
      <xdr:col>7</xdr:col>
      <xdr:colOff>0</xdr:colOff>
      <xdr:row>91</xdr:row>
      <xdr:rowOff>66675</xdr:rowOff>
    </xdr:to>
    <xdr:graphicFrame macro="">
      <xdr:nvGraphicFramePr>
        <xdr:cNvPr id="3" name="Chart 7">
          <a:extLst>
            <a:ext uri="{FF2B5EF4-FFF2-40B4-BE49-F238E27FC236}">
              <a16:creationId xmlns:a16="http://schemas.microsoft.com/office/drawing/2014/main" id="{00000000-0008-0000-22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12</xdr:col>
      <xdr:colOff>438150</xdr:colOff>
      <xdr:row>19</xdr:row>
      <xdr:rowOff>180975</xdr:rowOff>
    </xdr:from>
    <xdr:to>
      <xdr:col>20</xdr:col>
      <xdr:colOff>514350</xdr:colOff>
      <xdr:row>33</xdr:row>
      <xdr:rowOff>123825</xdr:rowOff>
    </xdr:to>
    <xdr:graphicFrame macro="">
      <xdr:nvGraphicFramePr>
        <xdr:cNvPr id="4" name="Chart 8">
          <a:extLst>
            <a:ext uri="{FF2B5EF4-FFF2-40B4-BE49-F238E27FC236}">
              <a16:creationId xmlns:a16="http://schemas.microsoft.com/office/drawing/2014/main" id="{00000000-0008-0000-22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190500</xdr:colOff>
      <xdr:row>35</xdr:row>
      <xdr:rowOff>180975</xdr:rowOff>
    </xdr:from>
    <xdr:to>
      <xdr:col>11</xdr:col>
      <xdr:colOff>400050</xdr:colOff>
      <xdr:row>49</xdr:row>
      <xdr:rowOff>85725</xdr:rowOff>
    </xdr:to>
    <xdr:graphicFrame macro="">
      <xdr:nvGraphicFramePr>
        <xdr:cNvPr id="5" name="Chart 10">
          <a:extLst>
            <a:ext uri="{FF2B5EF4-FFF2-40B4-BE49-F238E27FC236}">
              <a16:creationId xmlns:a16="http://schemas.microsoft.com/office/drawing/2014/main" id="{00000000-0008-0000-22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13</xdr:col>
      <xdr:colOff>57150</xdr:colOff>
      <xdr:row>35</xdr:row>
      <xdr:rowOff>95250</xdr:rowOff>
    </xdr:from>
    <xdr:to>
      <xdr:col>21</xdr:col>
      <xdr:colOff>333375</xdr:colOff>
      <xdr:row>49</xdr:row>
      <xdr:rowOff>0</xdr:rowOff>
    </xdr:to>
    <xdr:graphicFrame macro="">
      <xdr:nvGraphicFramePr>
        <xdr:cNvPr id="6" name="Chart 11">
          <a:extLst>
            <a:ext uri="{FF2B5EF4-FFF2-40B4-BE49-F238E27FC236}">
              <a16:creationId xmlns:a16="http://schemas.microsoft.com/office/drawing/2014/main" id="{00000000-0008-0000-22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5.xml><?xml version="1.0" encoding="utf-8"?>
<c:userShapes xmlns:c="http://schemas.openxmlformats.org/drawingml/2006/chart">
  <cdr:relSizeAnchor xmlns:cdr="http://schemas.openxmlformats.org/drawingml/2006/chartDrawing">
    <cdr:from>
      <cdr:x>0.22247</cdr:x>
      <cdr:y>0.07391</cdr:y>
    </cdr:from>
    <cdr:to>
      <cdr:x>0.65198</cdr:x>
      <cdr:y>0.16522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1202532" y="202405"/>
          <a:ext cx="2321719" cy="250032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/>
        <a:p xmlns:a="http://schemas.openxmlformats.org/drawingml/2006/main">
          <a:r>
            <a:rPr lang="en-US" sz="1600" b="1"/>
            <a:t>Hot Water Generator</a:t>
          </a:r>
        </a:p>
      </cdr:txBody>
    </cdr:sp>
  </cdr:relSizeAnchor>
</c:userShapes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0.22267</cdr:x>
      <cdr:y>0.10435</cdr:y>
    </cdr:from>
    <cdr:to>
      <cdr:x>0.48988</cdr:x>
      <cdr:y>0.18696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1309688" y="285749"/>
          <a:ext cx="1571625" cy="226219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/>
        <a:p xmlns:a="http://schemas.openxmlformats.org/drawingml/2006/main">
          <a:pPr algn="ctr"/>
          <a:r>
            <a:rPr lang="en-US" sz="1800" b="1"/>
            <a:t>Boiler</a:t>
          </a:r>
        </a:p>
      </cdr:txBody>
    </cdr:sp>
  </cdr:relSizeAnchor>
</c:userShape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O:\Users\Joe.ElKhoury\AppData\Local\Microsoft\Windows\INetCache\Content.Outlook\SR778SAZ\2FS%20Mumbai_HEP_Daily_Mar%20202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"/>
      <sheetName val="Submetering"/>
      <sheetName val="Daily HLP"/>
      <sheetName val="Occupancy"/>
      <sheetName val="Water Report"/>
      <sheetName val="Section Load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31"/>
      <sheetName val="Daily HLP (2)"/>
      <sheetName val="Sheet1"/>
      <sheetName val="Sheet2"/>
      <sheetName val="Sheet3"/>
    </sheetNames>
    <sheetDataSet>
      <sheetData sheetId="0"/>
      <sheetData sheetId="1"/>
      <sheetData sheetId="2"/>
      <sheetData sheetId="3"/>
      <sheetData sheetId="4"/>
      <sheetData sheetId="5"/>
      <sheetData sheetId="6">
        <row r="7">
          <cell r="F7">
            <v>4467474</v>
          </cell>
          <cell r="I7">
            <v>12000</v>
          </cell>
        </row>
        <row r="18">
          <cell r="I18">
            <v>65</v>
          </cell>
        </row>
      </sheetData>
      <sheetData sheetId="7">
        <row r="7">
          <cell r="F7">
            <v>4489853</v>
          </cell>
        </row>
      </sheetData>
      <sheetData sheetId="8">
        <row r="7">
          <cell r="F7">
            <v>4510962</v>
          </cell>
        </row>
      </sheetData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file:///\\mumfp02\MUM_DEPARTMENTS\EG\AppData\Local\Temp\HLP%20Report\HLP%2009\Guest%20complaint.xls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8"/>
  <sheetViews>
    <sheetView workbookViewId="0">
      <selection activeCell="D22" sqref="D22"/>
    </sheetView>
  </sheetViews>
  <sheetFormatPr defaultColWidth="9" defaultRowHeight="15" x14ac:dyDescent="0.25"/>
  <cols>
    <col min="1" max="1" width="9.6640625" style="279" customWidth="1"/>
    <col min="2" max="3" width="9" style="273"/>
    <col min="4" max="4" width="10.44140625" style="274" customWidth="1"/>
    <col min="5" max="5" width="9.77734375" style="275" customWidth="1"/>
    <col min="6" max="6" width="9.77734375" style="279" customWidth="1"/>
    <col min="7" max="10" width="9" style="279"/>
    <col min="11" max="12" width="9" style="275"/>
    <col min="13" max="13" width="0" style="278" hidden="1" customWidth="1"/>
    <col min="14" max="256" width="9" style="278"/>
    <col min="257" max="257" width="9.6640625" style="278" customWidth="1"/>
    <col min="258" max="259" width="9" style="278"/>
    <col min="260" max="260" width="10.44140625" style="278" customWidth="1"/>
    <col min="261" max="262" width="9.77734375" style="278" customWidth="1"/>
    <col min="263" max="268" width="9" style="278"/>
    <col min="269" max="269" width="0" style="278" hidden="1" customWidth="1"/>
    <col min="270" max="512" width="9" style="278"/>
    <col min="513" max="513" width="9.6640625" style="278" customWidth="1"/>
    <col min="514" max="515" width="9" style="278"/>
    <col min="516" max="516" width="10.44140625" style="278" customWidth="1"/>
    <col min="517" max="518" width="9.77734375" style="278" customWidth="1"/>
    <col min="519" max="524" width="9" style="278"/>
    <col min="525" max="525" width="0" style="278" hidden="1" customWidth="1"/>
    <col min="526" max="768" width="9" style="278"/>
    <col min="769" max="769" width="9.6640625" style="278" customWidth="1"/>
    <col min="770" max="771" width="9" style="278"/>
    <col min="772" max="772" width="10.44140625" style="278" customWidth="1"/>
    <col min="773" max="774" width="9.77734375" style="278" customWidth="1"/>
    <col min="775" max="780" width="9" style="278"/>
    <col min="781" max="781" width="0" style="278" hidden="1" customWidth="1"/>
    <col min="782" max="1024" width="9" style="278"/>
    <col min="1025" max="1025" width="9.6640625" style="278" customWidth="1"/>
    <col min="1026" max="1027" width="9" style="278"/>
    <col min="1028" max="1028" width="10.44140625" style="278" customWidth="1"/>
    <col min="1029" max="1030" width="9.77734375" style="278" customWidth="1"/>
    <col min="1031" max="1036" width="9" style="278"/>
    <col min="1037" max="1037" width="0" style="278" hidden="1" customWidth="1"/>
    <col min="1038" max="1280" width="9" style="278"/>
    <col min="1281" max="1281" width="9.6640625" style="278" customWidth="1"/>
    <col min="1282" max="1283" width="9" style="278"/>
    <col min="1284" max="1284" width="10.44140625" style="278" customWidth="1"/>
    <col min="1285" max="1286" width="9.77734375" style="278" customWidth="1"/>
    <col min="1287" max="1292" width="9" style="278"/>
    <col min="1293" max="1293" width="0" style="278" hidden="1" customWidth="1"/>
    <col min="1294" max="1536" width="9" style="278"/>
    <col min="1537" max="1537" width="9.6640625" style="278" customWidth="1"/>
    <col min="1538" max="1539" width="9" style="278"/>
    <col min="1540" max="1540" width="10.44140625" style="278" customWidth="1"/>
    <col min="1541" max="1542" width="9.77734375" style="278" customWidth="1"/>
    <col min="1543" max="1548" width="9" style="278"/>
    <col min="1549" max="1549" width="0" style="278" hidden="1" customWidth="1"/>
    <col min="1550" max="1792" width="9" style="278"/>
    <col min="1793" max="1793" width="9.6640625" style="278" customWidth="1"/>
    <col min="1794" max="1795" width="9" style="278"/>
    <col min="1796" max="1796" width="10.44140625" style="278" customWidth="1"/>
    <col min="1797" max="1798" width="9.77734375" style="278" customWidth="1"/>
    <col min="1799" max="1804" width="9" style="278"/>
    <col min="1805" max="1805" width="0" style="278" hidden="1" customWidth="1"/>
    <col min="1806" max="2048" width="9" style="278"/>
    <col min="2049" max="2049" width="9.6640625" style="278" customWidth="1"/>
    <col min="2050" max="2051" width="9" style="278"/>
    <col min="2052" max="2052" width="10.44140625" style="278" customWidth="1"/>
    <col min="2053" max="2054" width="9.77734375" style="278" customWidth="1"/>
    <col min="2055" max="2060" width="9" style="278"/>
    <col min="2061" max="2061" width="0" style="278" hidden="1" customWidth="1"/>
    <col min="2062" max="2304" width="9" style="278"/>
    <col min="2305" max="2305" width="9.6640625" style="278" customWidth="1"/>
    <col min="2306" max="2307" width="9" style="278"/>
    <col min="2308" max="2308" width="10.44140625" style="278" customWidth="1"/>
    <col min="2309" max="2310" width="9.77734375" style="278" customWidth="1"/>
    <col min="2311" max="2316" width="9" style="278"/>
    <col min="2317" max="2317" width="0" style="278" hidden="1" customWidth="1"/>
    <col min="2318" max="2560" width="9" style="278"/>
    <col min="2561" max="2561" width="9.6640625" style="278" customWidth="1"/>
    <col min="2562" max="2563" width="9" style="278"/>
    <col min="2564" max="2564" width="10.44140625" style="278" customWidth="1"/>
    <col min="2565" max="2566" width="9.77734375" style="278" customWidth="1"/>
    <col min="2567" max="2572" width="9" style="278"/>
    <col min="2573" max="2573" width="0" style="278" hidden="1" customWidth="1"/>
    <col min="2574" max="2816" width="9" style="278"/>
    <col min="2817" max="2817" width="9.6640625" style="278" customWidth="1"/>
    <col min="2818" max="2819" width="9" style="278"/>
    <col min="2820" max="2820" width="10.44140625" style="278" customWidth="1"/>
    <col min="2821" max="2822" width="9.77734375" style="278" customWidth="1"/>
    <col min="2823" max="2828" width="9" style="278"/>
    <col min="2829" max="2829" width="0" style="278" hidden="1" customWidth="1"/>
    <col min="2830" max="3072" width="9" style="278"/>
    <col min="3073" max="3073" width="9.6640625" style="278" customWidth="1"/>
    <col min="3074" max="3075" width="9" style="278"/>
    <col min="3076" max="3076" width="10.44140625" style="278" customWidth="1"/>
    <col min="3077" max="3078" width="9.77734375" style="278" customWidth="1"/>
    <col min="3079" max="3084" width="9" style="278"/>
    <col min="3085" max="3085" width="0" style="278" hidden="1" customWidth="1"/>
    <col min="3086" max="3328" width="9" style="278"/>
    <col min="3329" max="3329" width="9.6640625" style="278" customWidth="1"/>
    <col min="3330" max="3331" width="9" style="278"/>
    <col min="3332" max="3332" width="10.44140625" style="278" customWidth="1"/>
    <col min="3333" max="3334" width="9.77734375" style="278" customWidth="1"/>
    <col min="3335" max="3340" width="9" style="278"/>
    <col min="3341" max="3341" width="0" style="278" hidden="1" customWidth="1"/>
    <col min="3342" max="3584" width="9" style="278"/>
    <col min="3585" max="3585" width="9.6640625" style="278" customWidth="1"/>
    <col min="3586" max="3587" width="9" style="278"/>
    <col min="3588" max="3588" width="10.44140625" style="278" customWidth="1"/>
    <col min="3589" max="3590" width="9.77734375" style="278" customWidth="1"/>
    <col min="3591" max="3596" width="9" style="278"/>
    <col min="3597" max="3597" width="0" style="278" hidden="1" customWidth="1"/>
    <col min="3598" max="3840" width="9" style="278"/>
    <col min="3841" max="3841" width="9.6640625" style="278" customWidth="1"/>
    <col min="3842" max="3843" width="9" style="278"/>
    <col min="3844" max="3844" width="10.44140625" style="278" customWidth="1"/>
    <col min="3845" max="3846" width="9.77734375" style="278" customWidth="1"/>
    <col min="3847" max="3852" width="9" style="278"/>
    <col min="3853" max="3853" width="0" style="278" hidden="1" customWidth="1"/>
    <col min="3854" max="4096" width="9" style="278"/>
    <col min="4097" max="4097" width="9.6640625" style="278" customWidth="1"/>
    <col min="4098" max="4099" width="9" style="278"/>
    <col min="4100" max="4100" width="10.44140625" style="278" customWidth="1"/>
    <col min="4101" max="4102" width="9.77734375" style="278" customWidth="1"/>
    <col min="4103" max="4108" width="9" style="278"/>
    <col min="4109" max="4109" width="0" style="278" hidden="1" customWidth="1"/>
    <col min="4110" max="4352" width="9" style="278"/>
    <col min="4353" max="4353" width="9.6640625" style="278" customWidth="1"/>
    <col min="4354" max="4355" width="9" style="278"/>
    <col min="4356" max="4356" width="10.44140625" style="278" customWidth="1"/>
    <col min="4357" max="4358" width="9.77734375" style="278" customWidth="1"/>
    <col min="4359" max="4364" width="9" style="278"/>
    <col min="4365" max="4365" width="0" style="278" hidden="1" customWidth="1"/>
    <col min="4366" max="4608" width="9" style="278"/>
    <col min="4609" max="4609" width="9.6640625" style="278" customWidth="1"/>
    <col min="4610" max="4611" width="9" style="278"/>
    <col min="4612" max="4612" width="10.44140625" style="278" customWidth="1"/>
    <col min="4613" max="4614" width="9.77734375" style="278" customWidth="1"/>
    <col min="4615" max="4620" width="9" style="278"/>
    <col min="4621" max="4621" width="0" style="278" hidden="1" customWidth="1"/>
    <col min="4622" max="4864" width="9" style="278"/>
    <col min="4865" max="4865" width="9.6640625" style="278" customWidth="1"/>
    <col min="4866" max="4867" width="9" style="278"/>
    <col min="4868" max="4868" width="10.44140625" style="278" customWidth="1"/>
    <col min="4869" max="4870" width="9.77734375" style="278" customWidth="1"/>
    <col min="4871" max="4876" width="9" style="278"/>
    <col min="4877" max="4877" width="0" style="278" hidden="1" customWidth="1"/>
    <col min="4878" max="5120" width="9" style="278"/>
    <col min="5121" max="5121" width="9.6640625" style="278" customWidth="1"/>
    <col min="5122" max="5123" width="9" style="278"/>
    <col min="5124" max="5124" width="10.44140625" style="278" customWidth="1"/>
    <col min="5125" max="5126" width="9.77734375" style="278" customWidth="1"/>
    <col min="5127" max="5132" width="9" style="278"/>
    <col min="5133" max="5133" width="0" style="278" hidden="1" customWidth="1"/>
    <col min="5134" max="5376" width="9" style="278"/>
    <col min="5377" max="5377" width="9.6640625" style="278" customWidth="1"/>
    <col min="5378" max="5379" width="9" style="278"/>
    <col min="5380" max="5380" width="10.44140625" style="278" customWidth="1"/>
    <col min="5381" max="5382" width="9.77734375" style="278" customWidth="1"/>
    <col min="5383" max="5388" width="9" style="278"/>
    <col min="5389" max="5389" width="0" style="278" hidden="1" customWidth="1"/>
    <col min="5390" max="5632" width="9" style="278"/>
    <col min="5633" max="5633" width="9.6640625" style="278" customWidth="1"/>
    <col min="5634" max="5635" width="9" style="278"/>
    <col min="5636" max="5636" width="10.44140625" style="278" customWidth="1"/>
    <col min="5637" max="5638" width="9.77734375" style="278" customWidth="1"/>
    <col min="5639" max="5644" width="9" style="278"/>
    <col min="5645" max="5645" width="0" style="278" hidden="1" customWidth="1"/>
    <col min="5646" max="5888" width="9" style="278"/>
    <col min="5889" max="5889" width="9.6640625" style="278" customWidth="1"/>
    <col min="5890" max="5891" width="9" style="278"/>
    <col min="5892" max="5892" width="10.44140625" style="278" customWidth="1"/>
    <col min="5893" max="5894" width="9.77734375" style="278" customWidth="1"/>
    <col min="5895" max="5900" width="9" style="278"/>
    <col min="5901" max="5901" width="0" style="278" hidden="1" customWidth="1"/>
    <col min="5902" max="6144" width="9" style="278"/>
    <col min="6145" max="6145" width="9.6640625" style="278" customWidth="1"/>
    <col min="6146" max="6147" width="9" style="278"/>
    <col min="6148" max="6148" width="10.44140625" style="278" customWidth="1"/>
    <col min="6149" max="6150" width="9.77734375" style="278" customWidth="1"/>
    <col min="6151" max="6156" width="9" style="278"/>
    <col min="6157" max="6157" width="0" style="278" hidden="1" customWidth="1"/>
    <col min="6158" max="6400" width="9" style="278"/>
    <col min="6401" max="6401" width="9.6640625" style="278" customWidth="1"/>
    <col min="6402" max="6403" width="9" style="278"/>
    <col min="6404" max="6404" width="10.44140625" style="278" customWidth="1"/>
    <col min="6405" max="6406" width="9.77734375" style="278" customWidth="1"/>
    <col min="6407" max="6412" width="9" style="278"/>
    <col min="6413" max="6413" width="0" style="278" hidden="1" customWidth="1"/>
    <col min="6414" max="6656" width="9" style="278"/>
    <col min="6657" max="6657" width="9.6640625" style="278" customWidth="1"/>
    <col min="6658" max="6659" width="9" style="278"/>
    <col min="6660" max="6660" width="10.44140625" style="278" customWidth="1"/>
    <col min="6661" max="6662" width="9.77734375" style="278" customWidth="1"/>
    <col min="6663" max="6668" width="9" style="278"/>
    <col min="6669" max="6669" width="0" style="278" hidden="1" customWidth="1"/>
    <col min="6670" max="6912" width="9" style="278"/>
    <col min="6913" max="6913" width="9.6640625" style="278" customWidth="1"/>
    <col min="6914" max="6915" width="9" style="278"/>
    <col min="6916" max="6916" width="10.44140625" style="278" customWidth="1"/>
    <col min="6917" max="6918" width="9.77734375" style="278" customWidth="1"/>
    <col min="6919" max="6924" width="9" style="278"/>
    <col min="6925" max="6925" width="0" style="278" hidden="1" customWidth="1"/>
    <col min="6926" max="7168" width="9" style="278"/>
    <col min="7169" max="7169" width="9.6640625" style="278" customWidth="1"/>
    <col min="7170" max="7171" width="9" style="278"/>
    <col min="7172" max="7172" width="10.44140625" style="278" customWidth="1"/>
    <col min="7173" max="7174" width="9.77734375" style="278" customWidth="1"/>
    <col min="7175" max="7180" width="9" style="278"/>
    <col min="7181" max="7181" width="0" style="278" hidden="1" customWidth="1"/>
    <col min="7182" max="7424" width="9" style="278"/>
    <col min="7425" max="7425" width="9.6640625" style="278" customWidth="1"/>
    <col min="7426" max="7427" width="9" style="278"/>
    <col min="7428" max="7428" width="10.44140625" style="278" customWidth="1"/>
    <col min="7429" max="7430" width="9.77734375" style="278" customWidth="1"/>
    <col min="7431" max="7436" width="9" style="278"/>
    <col min="7437" max="7437" width="0" style="278" hidden="1" customWidth="1"/>
    <col min="7438" max="7680" width="9" style="278"/>
    <col min="7681" max="7681" width="9.6640625" style="278" customWidth="1"/>
    <col min="7682" max="7683" width="9" style="278"/>
    <col min="7684" max="7684" width="10.44140625" style="278" customWidth="1"/>
    <col min="7685" max="7686" width="9.77734375" style="278" customWidth="1"/>
    <col min="7687" max="7692" width="9" style="278"/>
    <col min="7693" max="7693" width="0" style="278" hidden="1" customWidth="1"/>
    <col min="7694" max="7936" width="9" style="278"/>
    <col min="7937" max="7937" width="9.6640625" style="278" customWidth="1"/>
    <col min="7938" max="7939" width="9" style="278"/>
    <col min="7940" max="7940" width="10.44140625" style="278" customWidth="1"/>
    <col min="7941" max="7942" width="9.77734375" style="278" customWidth="1"/>
    <col min="7943" max="7948" width="9" style="278"/>
    <col min="7949" max="7949" width="0" style="278" hidden="1" customWidth="1"/>
    <col min="7950" max="8192" width="9" style="278"/>
    <col min="8193" max="8193" width="9.6640625" style="278" customWidth="1"/>
    <col min="8194" max="8195" width="9" style="278"/>
    <col min="8196" max="8196" width="10.44140625" style="278" customWidth="1"/>
    <col min="8197" max="8198" width="9.77734375" style="278" customWidth="1"/>
    <col min="8199" max="8204" width="9" style="278"/>
    <col min="8205" max="8205" width="0" style="278" hidden="1" customWidth="1"/>
    <col min="8206" max="8448" width="9" style="278"/>
    <col min="8449" max="8449" width="9.6640625" style="278" customWidth="1"/>
    <col min="8450" max="8451" width="9" style="278"/>
    <col min="8452" max="8452" width="10.44140625" style="278" customWidth="1"/>
    <col min="8453" max="8454" width="9.77734375" style="278" customWidth="1"/>
    <col min="8455" max="8460" width="9" style="278"/>
    <col min="8461" max="8461" width="0" style="278" hidden="1" customWidth="1"/>
    <col min="8462" max="8704" width="9" style="278"/>
    <col min="8705" max="8705" width="9.6640625" style="278" customWidth="1"/>
    <col min="8706" max="8707" width="9" style="278"/>
    <col min="8708" max="8708" width="10.44140625" style="278" customWidth="1"/>
    <col min="8709" max="8710" width="9.77734375" style="278" customWidth="1"/>
    <col min="8711" max="8716" width="9" style="278"/>
    <col min="8717" max="8717" width="0" style="278" hidden="1" customWidth="1"/>
    <col min="8718" max="8960" width="9" style="278"/>
    <col min="8961" max="8961" width="9.6640625" style="278" customWidth="1"/>
    <col min="8962" max="8963" width="9" style="278"/>
    <col min="8964" max="8964" width="10.44140625" style="278" customWidth="1"/>
    <col min="8965" max="8966" width="9.77734375" style="278" customWidth="1"/>
    <col min="8967" max="8972" width="9" style="278"/>
    <col min="8973" max="8973" width="0" style="278" hidden="1" customWidth="1"/>
    <col min="8974" max="9216" width="9" style="278"/>
    <col min="9217" max="9217" width="9.6640625" style="278" customWidth="1"/>
    <col min="9218" max="9219" width="9" style="278"/>
    <col min="9220" max="9220" width="10.44140625" style="278" customWidth="1"/>
    <col min="9221" max="9222" width="9.77734375" style="278" customWidth="1"/>
    <col min="9223" max="9228" width="9" style="278"/>
    <col min="9229" max="9229" width="0" style="278" hidden="1" customWidth="1"/>
    <col min="9230" max="9472" width="9" style="278"/>
    <col min="9473" max="9473" width="9.6640625" style="278" customWidth="1"/>
    <col min="9474" max="9475" width="9" style="278"/>
    <col min="9476" max="9476" width="10.44140625" style="278" customWidth="1"/>
    <col min="9477" max="9478" width="9.77734375" style="278" customWidth="1"/>
    <col min="9479" max="9484" width="9" style="278"/>
    <col min="9485" max="9485" width="0" style="278" hidden="1" customWidth="1"/>
    <col min="9486" max="9728" width="9" style="278"/>
    <col min="9729" max="9729" width="9.6640625" style="278" customWidth="1"/>
    <col min="9730" max="9731" width="9" style="278"/>
    <col min="9732" max="9732" width="10.44140625" style="278" customWidth="1"/>
    <col min="9733" max="9734" width="9.77734375" style="278" customWidth="1"/>
    <col min="9735" max="9740" width="9" style="278"/>
    <col min="9741" max="9741" width="0" style="278" hidden="1" customWidth="1"/>
    <col min="9742" max="9984" width="9" style="278"/>
    <col min="9985" max="9985" width="9.6640625" style="278" customWidth="1"/>
    <col min="9986" max="9987" width="9" style="278"/>
    <col min="9988" max="9988" width="10.44140625" style="278" customWidth="1"/>
    <col min="9989" max="9990" width="9.77734375" style="278" customWidth="1"/>
    <col min="9991" max="9996" width="9" style="278"/>
    <col min="9997" max="9997" width="0" style="278" hidden="1" customWidth="1"/>
    <col min="9998" max="10240" width="9" style="278"/>
    <col min="10241" max="10241" width="9.6640625" style="278" customWidth="1"/>
    <col min="10242" max="10243" width="9" style="278"/>
    <col min="10244" max="10244" width="10.44140625" style="278" customWidth="1"/>
    <col min="10245" max="10246" width="9.77734375" style="278" customWidth="1"/>
    <col min="10247" max="10252" width="9" style="278"/>
    <col min="10253" max="10253" width="0" style="278" hidden="1" customWidth="1"/>
    <col min="10254" max="10496" width="9" style="278"/>
    <col min="10497" max="10497" width="9.6640625" style="278" customWidth="1"/>
    <col min="10498" max="10499" width="9" style="278"/>
    <col min="10500" max="10500" width="10.44140625" style="278" customWidth="1"/>
    <col min="10501" max="10502" width="9.77734375" style="278" customWidth="1"/>
    <col min="10503" max="10508" width="9" style="278"/>
    <col min="10509" max="10509" width="0" style="278" hidden="1" customWidth="1"/>
    <col min="10510" max="10752" width="9" style="278"/>
    <col min="10753" max="10753" width="9.6640625" style="278" customWidth="1"/>
    <col min="10754" max="10755" width="9" style="278"/>
    <col min="10756" max="10756" width="10.44140625" style="278" customWidth="1"/>
    <col min="10757" max="10758" width="9.77734375" style="278" customWidth="1"/>
    <col min="10759" max="10764" width="9" style="278"/>
    <col min="10765" max="10765" width="0" style="278" hidden="1" customWidth="1"/>
    <col min="10766" max="11008" width="9" style="278"/>
    <col min="11009" max="11009" width="9.6640625" style="278" customWidth="1"/>
    <col min="11010" max="11011" width="9" style="278"/>
    <col min="11012" max="11012" width="10.44140625" style="278" customWidth="1"/>
    <col min="11013" max="11014" width="9.77734375" style="278" customWidth="1"/>
    <col min="11015" max="11020" width="9" style="278"/>
    <col min="11021" max="11021" width="0" style="278" hidden="1" customWidth="1"/>
    <col min="11022" max="11264" width="9" style="278"/>
    <col min="11265" max="11265" width="9.6640625" style="278" customWidth="1"/>
    <col min="11266" max="11267" width="9" style="278"/>
    <col min="11268" max="11268" width="10.44140625" style="278" customWidth="1"/>
    <col min="11269" max="11270" width="9.77734375" style="278" customWidth="1"/>
    <col min="11271" max="11276" width="9" style="278"/>
    <col min="11277" max="11277" width="0" style="278" hidden="1" customWidth="1"/>
    <col min="11278" max="11520" width="9" style="278"/>
    <col min="11521" max="11521" width="9.6640625" style="278" customWidth="1"/>
    <col min="11522" max="11523" width="9" style="278"/>
    <col min="11524" max="11524" width="10.44140625" style="278" customWidth="1"/>
    <col min="11525" max="11526" width="9.77734375" style="278" customWidth="1"/>
    <col min="11527" max="11532" width="9" style="278"/>
    <col min="11533" max="11533" width="0" style="278" hidden="1" customWidth="1"/>
    <col min="11534" max="11776" width="9" style="278"/>
    <col min="11777" max="11777" width="9.6640625" style="278" customWidth="1"/>
    <col min="11778" max="11779" width="9" style="278"/>
    <col min="11780" max="11780" width="10.44140625" style="278" customWidth="1"/>
    <col min="11781" max="11782" width="9.77734375" style="278" customWidth="1"/>
    <col min="11783" max="11788" width="9" style="278"/>
    <col min="11789" max="11789" width="0" style="278" hidden="1" customWidth="1"/>
    <col min="11790" max="12032" width="9" style="278"/>
    <col min="12033" max="12033" width="9.6640625" style="278" customWidth="1"/>
    <col min="12034" max="12035" width="9" style="278"/>
    <col min="12036" max="12036" width="10.44140625" style="278" customWidth="1"/>
    <col min="12037" max="12038" width="9.77734375" style="278" customWidth="1"/>
    <col min="12039" max="12044" width="9" style="278"/>
    <col min="12045" max="12045" width="0" style="278" hidden="1" customWidth="1"/>
    <col min="12046" max="12288" width="9" style="278"/>
    <col min="12289" max="12289" width="9.6640625" style="278" customWidth="1"/>
    <col min="12290" max="12291" width="9" style="278"/>
    <col min="12292" max="12292" width="10.44140625" style="278" customWidth="1"/>
    <col min="12293" max="12294" width="9.77734375" style="278" customWidth="1"/>
    <col min="12295" max="12300" width="9" style="278"/>
    <col min="12301" max="12301" width="0" style="278" hidden="1" customWidth="1"/>
    <col min="12302" max="12544" width="9" style="278"/>
    <col min="12545" max="12545" width="9.6640625" style="278" customWidth="1"/>
    <col min="12546" max="12547" width="9" style="278"/>
    <col min="12548" max="12548" width="10.44140625" style="278" customWidth="1"/>
    <col min="12549" max="12550" width="9.77734375" style="278" customWidth="1"/>
    <col min="12551" max="12556" width="9" style="278"/>
    <col min="12557" max="12557" width="0" style="278" hidden="1" customWidth="1"/>
    <col min="12558" max="12800" width="9" style="278"/>
    <col min="12801" max="12801" width="9.6640625" style="278" customWidth="1"/>
    <col min="12802" max="12803" width="9" style="278"/>
    <col min="12804" max="12804" width="10.44140625" style="278" customWidth="1"/>
    <col min="12805" max="12806" width="9.77734375" style="278" customWidth="1"/>
    <col min="12807" max="12812" width="9" style="278"/>
    <col min="12813" max="12813" width="0" style="278" hidden="1" customWidth="1"/>
    <col min="12814" max="13056" width="9" style="278"/>
    <col min="13057" max="13057" width="9.6640625" style="278" customWidth="1"/>
    <col min="13058" max="13059" width="9" style="278"/>
    <col min="13060" max="13060" width="10.44140625" style="278" customWidth="1"/>
    <col min="13061" max="13062" width="9.77734375" style="278" customWidth="1"/>
    <col min="13063" max="13068" width="9" style="278"/>
    <col min="13069" max="13069" width="0" style="278" hidden="1" customWidth="1"/>
    <col min="13070" max="13312" width="9" style="278"/>
    <col min="13313" max="13313" width="9.6640625" style="278" customWidth="1"/>
    <col min="13314" max="13315" width="9" style="278"/>
    <col min="13316" max="13316" width="10.44140625" style="278" customWidth="1"/>
    <col min="13317" max="13318" width="9.77734375" style="278" customWidth="1"/>
    <col min="13319" max="13324" width="9" style="278"/>
    <col min="13325" max="13325" width="0" style="278" hidden="1" customWidth="1"/>
    <col min="13326" max="13568" width="9" style="278"/>
    <col min="13569" max="13569" width="9.6640625" style="278" customWidth="1"/>
    <col min="13570" max="13571" width="9" style="278"/>
    <col min="13572" max="13572" width="10.44140625" style="278" customWidth="1"/>
    <col min="13573" max="13574" width="9.77734375" style="278" customWidth="1"/>
    <col min="13575" max="13580" width="9" style="278"/>
    <col min="13581" max="13581" width="0" style="278" hidden="1" customWidth="1"/>
    <col min="13582" max="13824" width="9" style="278"/>
    <col min="13825" max="13825" width="9.6640625" style="278" customWidth="1"/>
    <col min="13826" max="13827" width="9" style="278"/>
    <col min="13828" max="13828" width="10.44140625" style="278" customWidth="1"/>
    <col min="13829" max="13830" width="9.77734375" style="278" customWidth="1"/>
    <col min="13831" max="13836" width="9" style="278"/>
    <col min="13837" max="13837" width="0" style="278" hidden="1" customWidth="1"/>
    <col min="13838" max="14080" width="9" style="278"/>
    <col min="14081" max="14081" width="9.6640625" style="278" customWidth="1"/>
    <col min="14082" max="14083" width="9" style="278"/>
    <col min="14084" max="14084" width="10.44140625" style="278" customWidth="1"/>
    <col min="14085" max="14086" width="9.77734375" style="278" customWidth="1"/>
    <col min="14087" max="14092" width="9" style="278"/>
    <col min="14093" max="14093" width="0" style="278" hidden="1" customWidth="1"/>
    <col min="14094" max="14336" width="9" style="278"/>
    <col min="14337" max="14337" width="9.6640625" style="278" customWidth="1"/>
    <col min="14338" max="14339" width="9" style="278"/>
    <col min="14340" max="14340" width="10.44140625" style="278" customWidth="1"/>
    <col min="14341" max="14342" width="9.77734375" style="278" customWidth="1"/>
    <col min="14343" max="14348" width="9" style="278"/>
    <col min="14349" max="14349" width="0" style="278" hidden="1" customWidth="1"/>
    <col min="14350" max="14592" width="9" style="278"/>
    <col min="14593" max="14593" width="9.6640625" style="278" customWidth="1"/>
    <col min="14594" max="14595" width="9" style="278"/>
    <col min="14596" max="14596" width="10.44140625" style="278" customWidth="1"/>
    <col min="14597" max="14598" width="9.77734375" style="278" customWidth="1"/>
    <col min="14599" max="14604" width="9" style="278"/>
    <col min="14605" max="14605" width="0" style="278" hidden="1" customWidth="1"/>
    <col min="14606" max="14848" width="9" style="278"/>
    <col min="14849" max="14849" width="9.6640625" style="278" customWidth="1"/>
    <col min="14850" max="14851" width="9" style="278"/>
    <col min="14852" max="14852" width="10.44140625" style="278" customWidth="1"/>
    <col min="14853" max="14854" width="9.77734375" style="278" customWidth="1"/>
    <col min="14855" max="14860" width="9" style="278"/>
    <col min="14861" max="14861" width="0" style="278" hidden="1" customWidth="1"/>
    <col min="14862" max="15104" width="9" style="278"/>
    <col min="15105" max="15105" width="9.6640625" style="278" customWidth="1"/>
    <col min="15106" max="15107" width="9" style="278"/>
    <col min="15108" max="15108" width="10.44140625" style="278" customWidth="1"/>
    <col min="15109" max="15110" width="9.77734375" style="278" customWidth="1"/>
    <col min="15111" max="15116" width="9" style="278"/>
    <col min="15117" max="15117" width="0" style="278" hidden="1" customWidth="1"/>
    <col min="15118" max="15360" width="9" style="278"/>
    <col min="15361" max="15361" width="9.6640625" style="278" customWidth="1"/>
    <col min="15362" max="15363" width="9" style="278"/>
    <col min="15364" max="15364" width="10.44140625" style="278" customWidth="1"/>
    <col min="15365" max="15366" width="9.77734375" style="278" customWidth="1"/>
    <col min="15367" max="15372" width="9" style="278"/>
    <col min="15373" max="15373" width="0" style="278" hidden="1" customWidth="1"/>
    <col min="15374" max="15616" width="9" style="278"/>
    <col min="15617" max="15617" width="9.6640625" style="278" customWidth="1"/>
    <col min="15618" max="15619" width="9" style="278"/>
    <col min="15620" max="15620" width="10.44140625" style="278" customWidth="1"/>
    <col min="15621" max="15622" width="9.77734375" style="278" customWidth="1"/>
    <col min="15623" max="15628" width="9" style="278"/>
    <col min="15629" max="15629" width="0" style="278" hidden="1" customWidth="1"/>
    <col min="15630" max="15872" width="9" style="278"/>
    <col min="15873" max="15873" width="9.6640625" style="278" customWidth="1"/>
    <col min="15874" max="15875" width="9" style="278"/>
    <col min="15876" max="15876" width="10.44140625" style="278" customWidth="1"/>
    <col min="15877" max="15878" width="9.77734375" style="278" customWidth="1"/>
    <col min="15879" max="15884" width="9" style="278"/>
    <col min="15885" max="15885" width="0" style="278" hidden="1" customWidth="1"/>
    <col min="15886" max="16128" width="9" style="278"/>
    <col min="16129" max="16129" width="9.6640625" style="278" customWidth="1"/>
    <col min="16130" max="16131" width="9" style="278"/>
    <col min="16132" max="16132" width="10.44140625" style="278" customWidth="1"/>
    <col min="16133" max="16134" width="9.77734375" style="278" customWidth="1"/>
    <col min="16135" max="16140" width="9" style="278"/>
    <col min="16141" max="16141" width="0" style="278" hidden="1" customWidth="1"/>
    <col min="16142" max="16384" width="9" style="278"/>
  </cols>
  <sheetData>
    <row r="1" spans="1:13" s="271" customFormat="1" ht="60.75" thickBot="1" x14ac:dyDescent="0.3">
      <c r="A1" s="265" t="s">
        <v>257</v>
      </c>
      <c r="B1" s="266" t="s">
        <v>258</v>
      </c>
      <c r="C1" s="266" t="s">
        <v>259</v>
      </c>
      <c r="D1" s="267" t="s">
        <v>260</v>
      </c>
      <c r="E1" s="268" t="s">
        <v>261</v>
      </c>
      <c r="F1" s="269" t="s">
        <v>262</v>
      </c>
      <c r="G1" s="268" t="s">
        <v>269</v>
      </c>
      <c r="H1" s="269" t="s">
        <v>270</v>
      </c>
      <c r="I1" s="269" t="s">
        <v>263</v>
      </c>
      <c r="J1" s="269" t="s">
        <v>264</v>
      </c>
      <c r="K1" s="268" t="s">
        <v>265</v>
      </c>
      <c r="L1" s="268" t="s">
        <v>266</v>
      </c>
      <c r="M1" s="270" t="s">
        <v>267</v>
      </c>
    </row>
    <row r="2" spans="1:13" x14ac:dyDescent="0.25">
      <c r="A2" s="272" t="s">
        <v>268</v>
      </c>
      <c r="B2" s="273">
        <v>1</v>
      </c>
      <c r="C2" s="273">
        <v>1</v>
      </c>
      <c r="D2" s="274">
        <v>2022</v>
      </c>
      <c r="E2" s="275">
        <f>(IF('Daily HLP'!H4&gt;0,'Daily HLP'!H4,0))</f>
        <v>20449</v>
      </c>
      <c r="F2" s="276">
        <v>9</v>
      </c>
      <c r="G2" s="276">
        <f>(IF('Daily HLP'!L4&gt;0,'Daily HLP'!L4,0))</f>
        <v>1070.0859999998938</v>
      </c>
      <c r="H2" s="276">
        <v>75</v>
      </c>
      <c r="I2" s="276">
        <f>(IF('Daily HLP'!O4&gt;0,'Daily HLP'!O4,0))</f>
        <v>54</v>
      </c>
      <c r="J2" s="276">
        <v>99</v>
      </c>
      <c r="K2" s="281">
        <f>Occupancy!G2</f>
        <v>161</v>
      </c>
      <c r="L2" s="275">
        <f>Occupancy!F2</f>
        <v>614</v>
      </c>
      <c r="M2" s="277" t="e">
        <f>E2*F2+G2*H2+#REF!*#REF!+I2*J2</f>
        <v>#REF!</v>
      </c>
    </row>
    <row r="3" spans="1:13" x14ac:dyDescent="0.25">
      <c r="A3" s="272" t="s">
        <v>268</v>
      </c>
      <c r="B3" s="273">
        <f>B2+1</f>
        <v>2</v>
      </c>
      <c r="C3" s="273">
        <v>1</v>
      </c>
      <c r="D3" s="274">
        <v>2022</v>
      </c>
      <c r="E3" s="275">
        <f>(IF('Daily HLP'!H5&gt;0,'Daily HLP'!H5,0))</f>
        <v>19893</v>
      </c>
      <c r="F3" s="276">
        <v>9</v>
      </c>
      <c r="G3" s="276">
        <f>(IF('Daily HLP'!L5&gt;0,'Daily HLP'!L5,0))</f>
        <v>808.52700000000186</v>
      </c>
      <c r="H3" s="276">
        <v>75</v>
      </c>
      <c r="I3" s="276">
        <f>(IF('Daily HLP'!O5&gt;0,'Daily HLP'!O5,0))</f>
        <v>56</v>
      </c>
      <c r="J3" s="276">
        <v>99</v>
      </c>
      <c r="K3" s="281">
        <f>Occupancy!G3</f>
        <v>113</v>
      </c>
      <c r="L3" s="275">
        <f>Occupancy!F3</f>
        <v>516</v>
      </c>
      <c r="M3" s="277" t="e">
        <f>E3*F3+G3*H3+#REF!*#REF!+I3*J3</f>
        <v>#REF!</v>
      </c>
    </row>
    <row r="4" spans="1:13" x14ac:dyDescent="0.25">
      <c r="A4" s="272" t="s">
        <v>268</v>
      </c>
      <c r="B4" s="273">
        <f t="shared" ref="B4:B32" si="0">B3+1</f>
        <v>3</v>
      </c>
      <c r="C4" s="273">
        <v>1</v>
      </c>
      <c r="D4" s="274">
        <v>2022</v>
      </c>
      <c r="E4" s="275">
        <f>(IF('Daily HLP'!H6&gt;0,'Daily HLP'!H6,0))</f>
        <v>19529</v>
      </c>
      <c r="F4" s="276">
        <v>9</v>
      </c>
      <c r="G4" s="276">
        <f>(IF('Daily HLP'!L6&gt;0,'Daily HLP'!L6,0))</f>
        <v>524.78700000001118</v>
      </c>
      <c r="H4" s="276">
        <v>75</v>
      </c>
      <c r="I4" s="276">
        <f>(IF('Daily HLP'!O6&gt;0,'Daily HLP'!O6,0))</f>
        <v>356</v>
      </c>
      <c r="J4" s="276">
        <v>99</v>
      </c>
      <c r="K4" s="281">
        <f>Occupancy!G4</f>
        <v>115</v>
      </c>
      <c r="L4" s="275">
        <f>Occupancy!F4</f>
        <v>306</v>
      </c>
      <c r="M4" s="277" t="e">
        <f>E4*F4+G4*H4+#REF!*#REF!+I4*J4</f>
        <v>#REF!</v>
      </c>
    </row>
    <row r="5" spans="1:13" x14ac:dyDescent="0.25">
      <c r="A5" s="272" t="s">
        <v>268</v>
      </c>
      <c r="B5" s="273">
        <f t="shared" si="0"/>
        <v>4</v>
      </c>
      <c r="C5" s="273">
        <v>1</v>
      </c>
      <c r="D5" s="274">
        <v>2022</v>
      </c>
      <c r="E5" s="275">
        <f>(IF('Daily HLP'!H7&gt;0,'Daily HLP'!H7,0))</f>
        <v>20218.950000000012</v>
      </c>
      <c r="F5" s="276">
        <v>9</v>
      </c>
      <c r="G5" s="276">
        <f>(IF('Daily HLP'!L7&gt;0,'Daily HLP'!L7,0))</f>
        <v>1035.25</v>
      </c>
      <c r="H5" s="276">
        <v>75</v>
      </c>
      <c r="I5" s="276">
        <f>(IF('Daily HLP'!O7&gt;0,'Daily HLP'!O7,0))</f>
        <v>219</v>
      </c>
      <c r="J5" s="276">
        <v>99</v>
      </c>
      <c r="K5" s="281">
        <f>Occupancy!G5</f>
        <v>132</v>
      </c>
      <c r="L5" s="275">
        <f>Occupancy!F5</f>
        <v>385</v>
      </c>
      <c r="M5" s="277" t="e">
        <f>E5*F5+G5*H5+#REF!*#REF!+I5*J5</f>
        <v>#REF!</v>
      </c>
    </row>
    <row r="6" spans="1:13" x14ac:dyDescent="0.25">
      <c r="A6" s="272" t="s">
        <v>268</v>
      </c>
      <c r="B6" s="273">
        <f t="shared" si="0"/>
        <v>5</v>
      </c>
      <c r="C6" s="273">
        <v>1</v>
      </c>
      <c r="D6" s="274">
        <v>2022</v>
      </c>
      <c r="E6" s="275">
        <f>(IF('Daily HLP'!H8&gt;0,'Daily HLP'!H8,0))</f>
        <v>20335.049999999988</v>
      </c>
      <c r="F6" s="276">
        <v>9</v>
      </c>
      <c r="G6" s="276">
        <f>(IF('Daily HLP'!L8&gt;0,'Daily HLP'!L8,0))</f>
        <v>1002.0500000000466</v>
      </c>
      <c r="H6" s="276">
        <v>75</v>
      </c>
      <c r="I6" s="276">
        <f>(IF('Daily HLP'!O8&gt;0,'Daily HLP'!O8,0))</f>
        <v>171</v>
      </c>
      <c r="J6" s="276">
        <v>99</v>
      </c>
      <c r="K6" s="281">
        <f>Occupancy!G6</f>
        <v>127</v>
      </c>
      <c r="L6" s="275">
        <f>Occupancy!F6</f>
        <v>417</v>
      </c>
      <c r="M6" s="277" t="e">
        <f>E6*F6+G6*H6+#REF!*#REF!+I6*J6</f>
        <v>#REF!</v>
      </c>
    </row>
    <row r="7" spans="1:13" x14ac:dyDescent="0.25">
      <c r="A7" s="272" t="s">
        <v>268</v>
      </c>
      <c r="B7" s="273">
        <f t="shared" si="0"/>
        <v>6</v>
      </c>
      <c r="C7" s="273">
        <v>1</v>
      </c>
      <c r="D7" s="274">
        <v>2022</v>
      </c>
      <c r="E7" s="275">
        <f>(IF('Daily HLP'!H9&gt;0,'Daily HLP'!H9,0))</f>
        <v>20708</v>
      </c>
      <c r="F7" s="276">
        <v>9</v>
      </c>
      <c r="G7" s="276">
        <f>(IF('Daily HLP'!L9&gt;0,'Daily HLP'!L9,0))</f>
        <v>933.30000000004657</v>
      </c>
      <c r="H7" s="276">
        <v>75</v>
      </c>
      <c r="I7" s="276">
        <f>(IF('Daily HLP'!O9&gt;0,'Daily HLP'!O9,0))</f>
        <v>204</v>
      </c>
      <c r="J7" s="276">
        <v>99</v>
      </c>
      <c r="K7" s="281">
        <f>Occupancy!G7</f>
        <v>128</v>
      </c>
      <c r="L7" s="275">
        <f>Occupancy!F7</f>
        <v>477</v>
      </c>
      <c r="M7" s="277" t="e">
        <f>E7*F7+G7*H7+#REF!*#REF!+I7*J7</f>
        <v>#REF!</v>
      </c>
    </row>
    <row r="8" spans="1:13" x14ac:dyDescent="0.25">
      <c r="A8" s="272" t="s">
        <v>268</v>
      </c>
      <c r="B8" s="273">
        <f t="shared" si="0"/>
        <v>7</v>
      </c>
      <c r="C8" s="273">
        <v>1</v>
      </c>
      <c r="D8" s="274">
        <v>2022</v>
      </c>
      <c r="E8" s="275">
        <f>(IF('Daily HLP'!H10&gt;0,'Daily HLP'!H10,0))</f>
        <v>20261</v>
      </c>
      <c r="F8" s="276">
        <v>9</v>
      </c>
      <c r="G8" s="276">
        <f>(IF('Daily HLP'!L10&gt;0,'Daily HLP'!L10,0))</f>
        <v>963</v>
      </c>
      <c r="H8" s="276">
        <v>75</v>
      </c>
      <c r="I8" s="276">
        <f>(IF('Daily HLP'!O10&gt;0,'Daily HLP'!O10,0))</f>
        <v>214</v>
      </c>
      <c r="J8" s="276">
        <v>99</v>
      </c>
      <c r="K8" s="281">
        <f>Occupancy!G8</f>
        <v>115</v>
      </c>
      <c r="L8" s="275">
        <f>Occupancy!F8</f>
        <v>355</v>
      </c>
      <c r="M8" s="277" t="e">
        <f>E8*F8+G8*H8+#REF!*#REF!+I8*J8</f>
        <v>#REF!</v>
      </c>
    </row>
    <row r="9" spans="1:13" x14ac:dyDescent="0.25">
      <c r="A9" s="272" t="s">
        <v>268</v>
      </c>
      <c r="B9" s="273">
        <f t="shared" si="0"/>
        <v>8</v>
      </c>
      <c r="C9" s="273">
        <v>1</v>
      </c>
      <c r="D9" s="274">
        <v>2022</v>
      </c>
      <c r="E9" s="275">
        <f>(IF('Daily HLP'!H11&gt;0,'Daily HLP'!H11,0))</f>
        <v>19647</v>
      </c>
      <c r="F9" s="276">
        <v>9</v>
      </c>
      <c r="G9" s="276">
        <f>(IF('Daily HLP'!L11&gt;0,'Daily HLP'!L11,0))</f>
        <v>925</v>
      </c>
      <c r="H9" s="276">
        <v>75</v>
      </c>
      <c r="I9" s="276">
        <f>(IF('Daily HLP'!O11&gt;0,'Daily HLP'!O11,0))</f>
        <v>211</v>
      </c>
      <c r="J9" s="276">
        <v>99</v>
      </c>
      <c r="K9" s="281">
        <f>Occupancy!G9</f>
        <v>112</v>
      </c>
      <c r="L9" s="275">
        <f>Occupancy!F9</f>
        <v>301</v>
      </c>
      <c r="M9" s="277" t="e">
        <f>E9*F9+G9*H9+#REF!*#REF!+I9*J9</f>
        <v>#REF!</v>
      </c>
    </row>
    <row r="10" spans="1:13" x14ac:dyDescent="0.25">
      <c r="A10" s="272" t="s">
        <v>268</v>
      </c>
      <c r="B10" s="273">
        <f t="shared" si="0"/>
        <v>9</v>
      </c>
      <c r="C10" s="273">
        <v>1</v>
      </c>
      <c r="D10" s="274">
        <v>2022</v>
      </c>
      <c r="E10" s="275">
        <f>(IF('Daily HLP'!H12&gt;0,'Daily HLP'!H12,0))</f>
        <v>18011</v>
      </c>
      <c r="F10" s="276">
        <v>9</v>
      </c>
      <c r="G10" s="276">
        <f>(IF('Daily HLP'!L12&gt;0,'Daily HLP'!L12,0))</f>
        <v>907</v>
      </c>
      <c r="H10" s="276">
        <v>75</v>
      </c>
      <c r="I10" s="276">
        <f>(IF('Daily HLP'!O12&gt;0,'Daily HLP'!O12,0))</f>
        <v>205</v>
      </c>
      <c r="J10" s="276">
        <v>99</v>
      </c>
      <c r="K10" s="281">
        <f>Occupancy!G10</f>
        <v>110</v>
      </c>
      <c r="L10" s="275">
        <f>Occupancy!F10</f>
        <v>349</v>
      </c>
      <c r="M10" s="277" t="e">
        <f>E10*F10+G10*H10+#REF!*#REF!+I10*J10</f>
        <v>#REF!</v>
      </c>
    </row>
    <row r="11" spans="1:13" x14ac:dyDescent="0.25">
      <c r="A11" s="272" t="s">
        <v>268</v>
      </c>
      <c r="B11" s="273">
        <f t="shared" si="0"/>
        <v>10</v>
      </c>
      <c r="C11" s="273">
        <v>1</v>
      </c>
      <c r="D11" s="274">
        <v>2022</v>
      </c>
      <c r="E11" s="275">
        <f>(IF('Daily HLP'!H13&gt;0,'Daily HLP'!H13,0))</f>
        <v>17063</v>
      </c>
      <c r="F11" s="276">
        <v>9</v>
      </c>
      <c r="G11" s="276">
        <f>(IF('Daily HLP'!L13&gt;0,'Daily HLP'!L13,0))</f>
        <v>759</v>
      </c>
      <c r="H11" s="276">
        <v>75</v>
      </c>
      <c r="I11" s="276">
        <f>(IF('Daily HLP'!O13&gt;0,'Daily HLP'!O13,0))</f>
        <v>124</v>
      </c>
      <c r="J11" s="276">
        <v>99</v>
      </c>
      <c r="K11" s="281">
        <f>Occupancy!G11</f>
        <v>103</v>
      </c>
      <c r="L11" s="275">
        <f>Occupancy!F11</f>
        <v>280</v>
      </c>
      <c r="M11" s="277" t="e">
        <f>E11*F11+G11*H11+#REF!*#REF!+I11*J11</f>
        <v>#REF!</v>
      </c>
    </row>
    <row r="12" spans="1:13" x14ac:dyDescent="0.25">
      <c r="A12" s="272" t="s">
        <v>268</v>
      </c>
      <c r="B12" s="273">
        <f t="shared" si="0"/>
        <v>11</v>
      </c>
      <c r="C12" s="273">
        <v>1</v>
      </c>
      <c r="D12" s="274">
        <v>2022</v>
      </c>
      <c r="E12" s="275">
        <f>(IF('Daily HLP'!H14&gt;0,'Daily HLP'!H14,0))</f>
        <v>17262</v>
      </c>
      <c r="F12" s="276">
        <v>9</v>
      </c>
      <c r="G12" s="276">
        <f>(IF('Daily HLP'!L14&gt;0,'Daily HLP'!L14,0))</f>
        <v>931</v>
      </c>
      <c r="H12" s="276">
        <v>75</v>
      </c>
      <c r="I12" s="276">
        <f>(IF('Daily HLP'!O14&gt;0,'Daily HLP'!O14,0))</f>
        <v>130</v>
      </c>
      <c r="J12" s="276">
        <v>99</v>
      </c>
      <c r="K12" s="281">
        <f>Occupancy!G12</f>
        <v>82</v>
      </c>
      <c r="L12" s="275">
        <f>Occupancy!F12</f>
        <v>290</v>
      </c>
      <c r="M12" s="277" t="e">
        <f>E12*F12+G12*H12+#REF!*#REF!+I12*J12</f>
        <v>#REF!</v>
      </c>
    </row>
    <row r="13" spans="1:13" x14ac:dyDescent="0.25">
      <c r="A13" s="272" t="s">
        <v>268</v>
      </c>
      <c r="B13" s="273">
        <f t="shared" si="0"/>
        <v>12</v>
      </c>
      <c r="C13" s="273">
        <v>1</v>
      </c>
      <c r="D13" s="274">
        <v>2022</v>
      </c>
      <c r="E13" s="275">
        <f>(IF('Daily HLP'!H15&gt;0,'Daily HLP'!H15,0))</f>
        <v>16713</v>
      </c>
      <c r="F13" s="276">
        <v>9</v>
      </c>
      <c r="G13" s="276">
        <f>(IF('Daily HLP'!L15&gt;0,'Daily HLP'!L15,0))</f>
        <v>644</v>
      </c>
      <c r="H13" s="276">
        <v>75</v>
      </c>
      <c r="I13" s="276">
        <f>(IF('Daily HLP'!O15&gt;0,'Daily HLP'!O15,0))</f>
        <v>136</v>
      </c>
      <c r="J13" s="276">
        <v>99</v>
      </c>
      <c r="K13" s="281">
        <f>Occupancy!G13</f>
        <v>83</v>
      </c>
      <c r="L13" s="275">
        <f>Occupancy!F13</f>
        <v>302</v>
      </c>
      <c r="M13" s="277" t="e">
        <f>E13*F13+G13*H13+#REF!*#REF!+I13*J13</f>
        <v>#REF!</v>
      </c>
    </row>
    <row r="14" spans="1:13" x14ac:dyDescent="0.25">
      <c r="A14" s="272" t="s">
        <v>268</v>
      </c>
      <c r="B14" s="273">
        <f t="shared" si="0"/>
        <v>13</v>
      </c>
      <c r="C14" s="273">
        <v>1</v>
      </c>
      <c r="D14" s="274">
        <v>2022</v>
      </c>
      <c r="E14" s="275">
        <f>(IF('Daily HLP'!H16&gt;0,'Daily HLP'!H16,0))</f>
        <v>17050</v>
      </c>
      <c r="F14" s="276">
        <v>9</v>
      </c>
      <c r="G14" s="276">
        <f>(IF('Daily HLP'!L16&gt;0,'Daily HLP'!L16,0))</f>
        <v>957</v>
      </c>
      <c r="H14" s="276">
        <v>75</v>
      </c>
      <c r="I14" s="276">
        <f>(IF('Daily HLP'!O16&gt;0,'Daily HLP'!O16,0))</f>
        <v>103</v>
      </c>
      <c r="J14" s="276">
        <v>99</v>
      </c>
      <c r="K14" s="281">
        <f>Occupancy!G14</f>
        <v>88</v>
      </c>
      <c r="L14" s="275">
        <f>Occupancy!F14</f>
        <v>249</v>
      </c>
      <c r="M14" s="277" t="e">
        <f>E14*F14+G14*H14+#REF!*#REF!+I14*J14</f>
        <v>#REF!</v>
      </c>
    </row>
    <row r="15" spans="1:13" x14ac:dyDescent="0.25">
      <c r="A15" s="272" t="s">
        <v>268</v>
      </c>
      <c r="B15" s="273">
        <f t="shared" si="0"/>
        <v>14</v>
      </c>
      <c r="C15" s="273">
        <v>1</v>
      </c>
      <c r="D15" s="274">
        <v>2022</v>
      </c>
      <c r="E15" s="275">
        <f>(IF('Daily HLP'!H17&gt;0,'Daily HLP'!H17,0))</f>
        <v>17430</v>
      </c>
      <c r="F15" s="276">
        <v>9</v>
      </c>
      <c r="G15" s="276">
        <f>(IF('Daily HLP'!L17&gt;0,'Daily HLP'!L17,0))</f>
        <v>745</v>
      </c>
      <c r="H15" s="276">
        <v>75</v>
      </c>
      <c r="I15" s="276">
        <f>(IF('Daily HLP'!O17&gt;0,'Daily HLP'!O17,0))</f>
        <v>114</v>
      </c>
      <c r="J15" s="276">
        <v>99</v>
      </c>
      <c r="K15" s="281">
        <f>Occupancy!G15</f>
        <v>95</v>
      </c>
      <c r="L15" s="275">
        <f>Occupancy!F15</f>
        <v>224</v>
      </c>
      <c r="M15" s="277" t="e">
        <f>E15*F15+G15*H15+#REF!*#REF!+I15*J15</f>
        <v>#REF!</v>
      </c>
    </row>
    <row r="16" spans="1:13" x14ac:dyDescent="0.25">
      <c r="A16" s="272" t="s">
        <v>268</v>
      </c>
      <c r="B16" s="273">
        <f t="shared" si="0"/>
        <v>15</v>
      </c>
      <c r="C16" s="273">
        <v>1</v>
      </c>
      <c r="D16" s="274">
        <v>2022</v>
      </c>
      <c r="E16" s="275">
        <f>(IF('Daily HLP'!H18&gt;0,'Daily HLP'!H18,0))</f>
        <v>17328.710000000021</v>
      </c>
      <c r="F16" s="276">
        <v>9</v>
      </c>
      <c r="G16" s="276">
        <f>(IF('Daily HLP'!L18&gt;0,'Daily HLP'!L18,0))</f>
        <v>965</v>
      </c>
      <c r="H16" s="276">
        <v>75</v>
      </c>
      <c r="I16" s="276">
        <f>(IF('Daily HLP'!O18&gt;0,'Daily HLP'!O18,0))</f>
        <v>155</v>
      </c>
      <c r="J16" s="276">
        <v>99</v>
      </c>
      <c r="K16" s="281">
        <f>Occupancy!G16</f>
        <v>121</v>
      </c>
      <c r="L16" s="275">
        <f>Occupancy!F16</f>
        <v>338</v>
      </c>
      <c r="M16" s="277" t="e">
        <f>E16*F16+G16*H16+#REF!*#REF!+I16*J16</f>
        <v>#REF!</v>
      </c>
    </row>
    <row r="17" spans="1:13" x14ac:dyDescent="0.25">
      <c r="A17" s="272" t="s">
        <v>268</v>
      </c>
      <c r="B17" s="273">
        <f t="shared" si="0"/>
        <v>16</v>
      </c>
      <c r="C17" s="273">
        <v>1</v>
      </c>
      <c r="D17" s="274">
        <v>2022</v>
      </c>
      <c r="E17" s="275">
        <f>(IF('Daily HLP'!H19&gt;0,'Daily HLP'!H19,0))</f>
        <v>17406.289999999979</v>
      </c>
      <c r="F17" s="276">
        <v>9</v>
      </c>
      <c r="G17" s="276">
        <f>(IF('Daily HLP'!L19&gt;0,'Daily HLP'!L19,0))</f>
        <v>1006</v>
      </c>
      <c r="H17" s="276">
        <v>75</v>
      </c>
      <c r="I17" s="276">
        <f>(IF('Daily HLP'!O19&gt;0,'Daily HLP'!O19,0))</f>
        <v>135</v>
      </c>
      <c r="J17" s="276">
        <v>99</v>
      </c>
      <c r="K17" s="281">
        <f>Occupancy!G17</f>
        <v>89</v>
      </c>
      <c r="L17" s="275">
        <f>Occupancy!F17</f>
        <v>309</v>
      </c>
      <c r="M17" s="277" t="e">
        <f>E17*F17+G17*H17+#REF!*#REF!+I17*J17</f>
        <v>#REF!</v>
      </c>
    </row>
    <row r="18" spans="1:13" x14ac:dyDescent="0.25">
      <c r="A18" s="272" t="s">
        <v>268</v>
      </c>
      <c r="B18" s="273">
        <f t="shared" si="0"/>
        <v>17</v>
      </c>
      <c r="C18" s="273">
        <v>1</v>
      </c>
      <c r="D18" s="274">
        <v>2022</v>
      </c>
      <c r="E18" s="275">
        <f>(IF('Daily HLP'!H20&gt;0,'Daily HLP'!H20,0))</f>
        <v>17543</v>
      </c>
      <c r="F18" s="276">
        <v>9</v>
      </c>
      <c r="G18" s="276">
        <f>(IF('Daily HLP'!L20&gt;0,'Daily HLP'!L20,0))</f>
        <v>734.2730000000447</v>
      </c>
      <c r="H18" s="276">
        <v>75</v>
      </c>
      <c r="I18" s="276">
        <f>(IF('Daily HLP'!O20&gt;0,'Daily HLP'!O20,0))</f>
        <v>133</v>
      </c>
      <c r="J18" s="276">
        <v>99</v>
      </c>
      <c r="K18" s="281">
        <f>Occupancy!G18</f>
        <v>94</v>
      </c>
      <c r="L18" s="275">
        <f>Occupancy!F18</f>
        <v>204</v>
      </c>
      <c r="M18" s="277" t="e">
        <f>E18*F18+G18*H18+#REF!*#REF!+I18*J18</f>
        <v>#REF!</v>
      </c>
    </row>
    <row r="19" spans="1:13" x14ac:dyDescent="0.25">
      <c r="A19" s="272" t="s">
        <v>268</v>
      </c>
      <c r="B19" s="273">
        <f t="shared" si="0"/>
        <v>18</v>
      </c>
      <c r="C19" s="273">
        <v>1</v>
      </c>
      <c r="D19" s="274">
        <v>2022</v>
      </c>
      <c r="E19" s="275">
        <f>(IF('Daily HLP'!H21&gt;0,'Daily HLP'!H21,0))</f>
        <v>18064.830000000016</v>
      </c>
      <c r="F19" s="276">
        <v>9</v>
      </c>
      <c r="G19" s="276">
        <f>(IF('Daily HLP'!L21&gt;0,'Daily HLP'!L21,0))</f>
        <v>881.7269999999553</v>
      </c>
      <c r="H19" s="276">
        <v>75</v>
      </c>
      <c r="I19" s="276">
        <f>(IF('Daily HLP'!O21&gt;0,'Daily HLP'!O21,0))</f>
        <v>154</v>
      </c>
      <c r="J19" s="276">
        <v>99</v>
      </c>
      <c r="K19" s="281">
        <f>Occupancy!G19</f>
        <v>105</v>
      </c>
      <c r="L19" s="275">
        <f>Occupancy!F19</f>
        <v>325</v>
      </c>
      <c r="M19" s="277" t="e">
        <f>E19*F19+G19*H19+#REF!*#REF!+I19*J19</f>
        <v>#REF!</v>
      </c>
    </row>
    <row r="20" spans="1:13" x14ac:dyDescent="0.25">
      <c r="A20" s="272" t="s">
        <v>268</v>
      </c>
      <c r="B20" s="273">
        <f t="shared" si="0"/>
        <v>19</v>
      </c>
      <c r="C20" s="273">
        <v>1</v>
      </c>
      <c r="D20" s="274">
        <v>2022</v>
      </c>
      <c r="E20" s="275">
        <f>(IF('Daily HLP'!H22&gt;0,'Daily HLP'!H22,0))</f>
        <v>18721.169999999984</v>
      </c>
      <c r="F20" s="276">
        <v>9</v>
      </c>
      <c r="G20" s="276">
        <f>(IF('Daily HLP'!L22&gt;0,'Daily HLP'!L22,0))</f>
        <v>834.30000000004657</v>
      </c>
      <c r="H20" s="276">
        <v>75</v>
      </c>
      <c r="I20" s="276">
        <f>(IF('Daily HLP'!O22&gt;0,'Daily HLP'!O22,0))</f>
        <v>157</v>
      </c>
      <c r="J20" s="276">
        <v>99</v>
      </c>
      <c r="K20" s="281">
        <f>Occupancy!G20</f>
        <v>98</v>
      </c>
      <c r="L20" s="275">
        <f>Occupancy!F20</f>
        <v>304</v>
      </c>
      <c r="M20" s="277" t="e">
        <f>E20*F20+G20*H20+#REF!*#REF!+I20*J20</f>
        <v>#REF!</v>
      </c>
    </row>
    <row r="21" spans="1:13" x14ac:dyDescent="0.25">
      <c r="A21" s="272" t="s">
        <v>268</v>
      </c>
      <c r="B21" s="273">
        <f t="shared" si="0"/>
        <v>20</v>
      </c>
      <c r="C21" s="273">
        <v>1</v>
      </c>
      <c r="D21" s="274">
        <v>2022</v>
      </c>
      <c r="E21" s="275">
        <f>(IF('Daily HLP'!H23&gt;0,'Daily HLP'!H23,0))</f>
        <v>17336.710000000021</v>
      </c>
      <c r="F21" s="276">
        <v>9</v>
      </c>
      <c r="G21" s="276">
        <f>(IF('Daily HLP'!L23&gt;0,'Daily HLP'!L23,0))</f>
        <v>986.94999999995343</v>
      </c>
      <c r="H21" s="276">
        <v>75</v>
      </c>
      <c r="I21" s="276">
        <f>(IF('Daily HLP'!O23&gt;0,'Daily HLP'!O23,0))</f>
        <v>216</v>
      </c>
      <c r="J21" s="276">
        <v>99</v>
      </c>
      <c r="K21" s="281">
        <f>Occupancy!G21</f>
        <v>89</v>
      </c>
      <c r="L21" s="275">
        <f>Occupancy!F21</f>
        <v>304</v>
      </c>
      <c r="M21" s="277" t="e">
        <f>E21*F21+G21*H21+#REF!*#REF!+I21*J21</f>
        <v>#REF!</v>
      </c>
    </row>
    <row r="22" spans="1:13" x14ac:dyDescent="0.25">
      <c r="A22" s="272" t="s">
        <v>268</v>
      </c>
      <c r="B22" s="273">
        <f t="shared" si="0"/>
        <v>21</v>
      </c>
      <c r="C22" s="273">
        <v>1</v>
      </c>
      <c r="D22" s="274">
        <v>2022</v>
      </c>
      <c r="E22" s="275">
        <f>(IF('Daily HLP'!H24&gt;0,'Daily HLP'!H24,0))</f>
        <v>18548.039999999979</v>
      </c>
      <c r="F22" s="276">
        <v>9</v>
      </c>
      <c r="G22" s="276">
        <f>(IF('Daily HLP'!L24&gt;0,'Daily HLP'!L24,0))</f>
        <v>1017.3400000000838</v>
      </c>
      <c r="H22" s="276">
        <v>75</v>
      </c>
      <c r="I22" s="276">
        <f>(IF('Daily HLP'!O24&gt;0,'Daily HLP'!O24,0))</f>
        <v>167</v>
      </c>
      <c r="J22" s="276">
        <v>99</v>
      </c>
      <c r="K22" s="281">
        <f>Occupancy!G22</f>
        <v>109</v>
      </c>
      <c r="L22" s="275">
        <f>Occupancy!F22</f>
        <v>338</v>
      </c>
      <c r="M22" s="277" t="e">
        <f>E22*F22+G22*H22+#REF!*#REF!+I22*J22</f>
        <v>#REF!</v>
      </c>
    </row>
    <row r="23" spans="1:13" x14ac:dyDescent="0.25">
      <c r="A23" s="272" t="s">
        <v>268</v>
      </c>
      <c r="B23" s="273">
        <f t="shared" si="0"/>
        <v>22</v>
      </c>
      <c r="C23" s="273">
        <v>1</v>
      </c>
      <c r="D23" s="274">
        <v>2022</v>
      </c>
      <c r="E23" s="275">
        <f>(IF('Daily HLP'!H25&gt;0,'Daily HLP'!H25,0))</f>
        <v>19922.760000000009</v>
      </c>
      <c r="F23" s="276">
        <v>9</v>
      </c>
      <c r="G23" s="276">
        <f>(IF('Daily HLP'!L25&gt;0,'Daily HLP'!L25,0))</f>
        <v>1036.4099999999162</v>
      </c>
      <c r="H23" s="276">
        <v>75</v>
      </c>
      <c r="I23" s="276">
        <f>(IF('Daily HLP'!O25&gt;0,'Daily HLP'!O25,0))</f>
        <v>176</v>
      </c>
      <c r="J23" s="276">
        <v>99</v>
      </c>
      <c r="K23" s="281">
        <f>Occupancy!G23</f>
        <v>144</v>
      </c>
      <c r="L23" s="275">
        <f>Occupancy!F23</f>
        <v>462</v>
      </c>
      <c r="M23" s="277" t="e">
        <f>E23*F23+G23*H23+#REF!*#REF!+I23*J23</f>
        <v>#REF!</v>
      </c>
    </row>
    <row r="24" spans="1:13" x14ac:dyDescent="0.25">
      <c r="A24" s="272" t="s">
        <v>268</v>
      </c>
      <c r="B24" s="273">
        <f t="shared" si="0"/>
        <v>23</v>
      </c>
      <c r="C24" s="273">
        <v>1</v>
      </c>
      <c r="D24" s="274">
        <v>2022</v>
      </c>
      <c r="E24" s="275">
        <f>(IF('Daily HLP'!H26&gt;0,'Daily HLP'!H26,0))</f>
        <v>19388.319999999949</v>
      </c>
      <c r="F24" s="276">
        <v>9</v>
      </c>
      <c r="G24" s="276">
        <f>(IF('Daily HLP'!L26&gt;0,'Daily HLP'!L26,0))</f>
        <v>979.91999999992549</v>
      </c>
      <c r="H24" s="276">
        <v>75</v>
      </c>
      <c r="I24" s="276">
        <f>(IF('Daily HLP'!O26&gt;0,'Daily HLP'!O26,0))</f>
        <v>216</v>
      </c>
      <c r="J24" s="276">
        <v>99</v>
      </c>
      <c r="K24" s="281">
        <f>Occupancy!G24</f>
        <v>124</v>
      </c>
      <c r="L24" s="275">
        <f>Occupancy!F24</f>
        <v>825</v>
      </c>
      <c r="M24" s="277" t="e">
        <f>E24*F24+G24*H24+#REF!*#REF!+I24*J24</f>
        <v>#REF!</v>
      </c>
    </row>
    <row r="25" spans="1:13" x14ac:dyDescent="0.25">
      <c r="A25" s="272" t="s">
        <v>268</v>
      </c>
      <c r="B25" s="273">
        <f t="shared" si="0"/>
        <v>24</v>
      </c>
      <c r="C25" s="273">
        <v>1</v>
      </c>
      <c r="D25" s="274">
        <v>2022</v>
      </c>
      <c r="E25" s="275">
        <f>(IF('Daily HLP'!H27&gt;0,'Daily HLP'!H27,0))</f>
        <v>16876.170000000042</v>
      </c>
      <c r="F25" s="276">
        <v>9</v>
      </c>
      <c r="G25" s="276">
        <f>(IF('Daily HLP'!L27&gt;0,'Daily HLP'!L27,0))</f>
        <v>1037.0800000000745</v>
      </c>
      <c r="H25" s="276">
        <v>75</v>
      </c>
      <c r="I25" s="276">
        <f>(IF('Daily HLP'!O27&gt;0,'Daily HLP'!O27,0))</f>
        <v>212</v>
      </c>
      <c r="J25" s="276">
        <v>99</v>
      </c>
      <c r="K25" s="281">
        <f>Occupancy!G25</f>
        <v>108</v>
      </c>
      <c r="L25" s="275">
        <f>Occupancy!F25</f>
        <v>358</v>
      </c>
      <c r="M25" s="277" t="e">
        <f>E25*F25+G25*H25+#REF!*#REF!+I25*J25</f>
        <v>#REF!</v>
      </c>
    </row>
    <row r="26" spans="1:13" x14ac:dyDescent="0.25">
      <c r="A26" s="272" t="s">
        <v>268</v>
      </c>
      <c r="B26" s="273">
        <f>B25+1</f>
        <v>25</v>
      </c>
      <c r="C26" s="273">
        <v>1</v>
      </c>
      <c r="D26" s="274">
        <v>2022</v>
      </c>
      <c r="E26" s="275">
        <f>(IF('Daily HLP'!H28&gt;0,'Daily HLP'!H28,0))</f>
        <v>16627</v>
      </c>
      <c r="F26" s="276">
        <v>9</v>
      </c>
      <c r="G26" s="276">
        <f>(IF('Daily HLP'!L28&gt;0,'Daily HLP'!L28,0))</f>
        <v>815</v>
      </c>
      <c r="H26" s="276">
        <v>75</v>
      </c>
      <c r="I26" s="276">
        <f>(IF('Daily HLP'!O28&gt;0,'Daily HLP'!O28,0))</f>
        <v>190</v>
      </c>
      <c r="J26" s="276">
        <v>99</v>
      </c>
      <c r="K26" s="281">
        <f>Occupancy!G26</f>
        <v>133</v>
      </c>
      <c r="L26" s="275">
        <f>Occupancy!F26</f>
        <v>384</v>
      </c>
      <c r="M26" s="277" t="e">
        <f>E26*F26+G26*H26+#REF!*#REF!+I26*J26</f>
        <v>#REF!</v>
      </c>
    </row>
    <row r="27" spans="1:13" x14ac:dyDescent="0.25">
      <c r="A27" s="272" t="s">
        <v>268</v>
      </c>
      <c r="B27" s="273">
        <f t="shared" si="0"/>
        <v>26</v>
      </c>
      <c r="C27" s="273">
        <v>1</v>
      </c>
      <c r="D27" s="274">
        <v>2022</v>
      </c>
      <c r="E27" s="275">
        <f>(IF('Daily HLP'!H29&gt;0,'Daily HLP'!H29,0))</f>
        <v>16892</v>
      </c>
      <c r="F27" s="276">
        <v>9</v>
      </c>
      <c r="G27" s="276">
        <f>(IF('Daily HLP'!L29&gt;0,'Daily HLP'!L29,0))</f>
        <v>936</v>
      </c>
      <c r="H27" s="276">
        <v>75</v>
      </c>
      <c r="I27" s="276">
        <f>(IF('Daily HLP'!O29&gt;0,'Daily HLP'!O29,0))</f>
        <v>175</v>
      </c>
      <c r="J27" s="276">
        <v>99</v>
      </c>
      <c r="K27" s="281">
        <f>Occupancy!G27</f>
        <v>132</v>
      </c>
      <c r="L27" s="275">
        <f>Occupancy!F27</f>
        <v>323</v>
      </c>
      <c r="M27" s="277" t="e">
        <f>E27*F27+G27*H27+#REF!*#REF!+I27*J27</f>
        <v>#REF!</v>
      </c>
    </row>
    <row r="28" spans="1:13" x14ac:dyDescent="0.25">
      <c r="A28" s="272" t="s">
        <v>268</v>
      </c>
      <c r="B28" s="273">
        <f t="shared" si="0"/>
        <v>27</v>
      </c>
      <c r="C28" s="273">
        <v>1</v>
      </c>
      <c r="D28" s="274">
        <v>2022</v>
      </c>
      <c r="E28" s="275">
        <f>(IF('Daily HLP'!H30&gt;0,'Daily HLP'!H30,0))</f>
        <v>23500</v>
      </c>
      <c r="F28" s="276">
        <v>9</v>
      </c>
      <c r="G28" s="276">
        <f>(IF('Daily HLP'!L30&gt;0,'Daily HLP'!L30,0))</f>
        <v>1100</v>
      </c>
      <c r="H28" s="276">
        <v>75</v>
      </c>
      <c r="I28" s="276">
        <f>(IF('Daily HLP'!O30&gt;0,'Daily HLP'!O30,0))</f>
        <v>295</v>
      </c>
      <c r="J28" s="276">
        <v>99</v>
      </c>
      <c r="K28" s="281">
        <f>Occupancy!G28</f>
        <v>0</v>
      </c>
      <c r="L28" s="275">
        <f>Occupancy!F28</f>
        <v>0</v>
      </c>
      <c r="M28" s="277" t="e">
        <f>E28*F28+G28*H28+#REF!*#REF!+I28*J28</f>
        <v>#REF!</v>
      </c>
    </row>
    <row r="29" spans="1:13" x14ac:dyDescent="0.25">
      <c r="A29" s="272" t="s">
        <v>268</v>
      </c>
      <c r="B29" s="273">
        <f t="shared" si="0"/>
        <v>28</v>
      </c>
      <c r="C29" s="273">
        <v>1</v>
      </c>
      <c r="D29" s="274">
        <v>2022</v>
      </c>
      <c r="E29" s="275">
        <f>(IF('Daily HLP'!H31&gt;0,'Daily HLP'!H31,0))</f>
        <v>23500</v>
      </c>
      <c r="F29" s="276">
        <v>9</v>
      </c>
      <c r="G29" s="276">
        <f>(IF('Daily HLP'!L31&gt;0,'Daily HLP'!L31,0))</f>
        <v>1100</v>
      </c>
      <c r="H29" s="276">
        <v>75</v>
      </c>
      <c r="I29" s="276">
        <f>(IF('Daily HLP'!O31&gt;0,'Daily HLP'!O31,0))</f>
        <v>415</v>
      </c>
      <c r="J29" s="276">
        <v>99</v>
      </c>
      <c r="K29" s="281">
        <f>Occupancy!G29</f>
        <v>0</v>
      </c>
      <c r="L29" s="275">
        <f>Occupancy!F29</f>
        <v>0</v>
      </c>
      <c r="M29" s="277" t="e">
        <f>E29*F29+G29*H29+#REF!*#REF!+I29*J29</f>
        <v>#REF!</v>
      </c>
    </row>
    <row r="30" spans="1:13" x14ac:dyDescent="0.25">
      <c r="A30" s="272" t="s">
        <v>268</v>
      </c>
      <c r="B30" s="273">
        <f t="shared" si="0"/>
        <v>29</v>
      </c>
      <c r="C30" s="273">
        <v>1</v>
      </c>
      <c r="D30" s="274">
        <v>2022</v>
      </c>
      <c r="E30" s="275">
        <f>(IF('Daily HLP'!H32&gt;0,'Daily HLP'!H32,0))</f>
        <v>23500</v>
      </c>
      <c r="F30" s="276">
        <v>9</v>
      </c>
      <c r="G30" s="276">
        <f>(IF('Daily HLP'!L32&gt;0,'Daily HLP'!L32,0))</f>
        <v>1100</v>
      </c>
      <c r="H30" s="276">
        <v>75</v>
      </c>
      <c r="I30" s="276">
        <f>(IF('Daily HLP'!O32&gt;0,'Daily HLP'!O32,0))</f>
        <v>535</v>
      </c>
      <c r="J30" s="276">
        <v>99</v>
      </c>
      <c r="K30" s="281">
        <f>Occupancy!G30</f>
        <v>0</v>
      </c>
      <c r="L30" s="275">
        <f>Occupancy!F30</f>
        <v>0</v>
      </c>
      <c r="M30" s="277" t="e">
        <f>E30*F30+G30*H30+#REF!*#REF!+I30*J30</f>
        <v>#REF!</v>
      </c>
    </row>
    <row r="31" spans="1:13" x14ac:dyDescent="0.25">
      <c r="A31" s="272" t="s">
        <v>268</v>
      </c>
      <c r="B31" s="273">
        <f t="shared" si="0"/>
        <v>30</v>
      </c>
      <c r="C31" s="273">
        <v>1</v>
      </c>
      <c r="D31" s="274">
        <v>2022</v>
      </c>
      <c r="E31" s="275">
        <f>(IF('Daily HLP'!H33&gt;0,'Daily HLP'!H33,0))</f>
        <v>23500</v>
      </c>
      <c r="F31" s="276">
        <v>9</v>
      </c>
      <c r="G31" s="276">
        <f>(IF('Daily HLP'!L33&gt;0,'Daily HLP'!L33,0))</f>
        <v>1100</v>
      </c>
      <c r="H31" s="276">
        <v>75</v>
      </c>
      <c r="I31" s="276">
        <f>(IF('Daily HLP'!O33&gt;0,'Daily HLP'!O33,0))</f>
        <v>655</v>
      </c>
      <c r="J31" s="276">
        <v>99</v>
      </c>
      <c r="K31" s="281">
        <f>Occupancy!G31</f>
        <v>0</v>
      </c>
      <c r="L31" s="275">
        <f>Occupancy!F31</f>
        <v>0</v>
      </c>
      <c r="M31" s="277" t="e">
        <f>E31*F31+G31*H31+#REF!*#REF!+I31*J31</f>
        <v>#REF!</v>
      </c>
    </row>
    <row r="32" spans="1:13" s="275" customFormat="1" x14ac:dyDescent="0.25">
      <c r="A32" s="272" t="s">
        <v>268</v>
      </c>
      <c r="B32" s="273">
        <f t="shared" si="0"/>
        <v>31</v>
      </c>
      <c r="C32" s="273">
        <v>1</v>
      </c>
      <c r="D32" s="274">
        <v>2022</v>
      </c>
      <c r="E32" s="275">
        <f>(IF('Daily HLP'!H34&gt;0,'Daily HLP'!H34,0))</f>
        <v>23500</v>
      </c>
      <c r="F32" s="276">
        <v>9</v>
      </c>
      <c r="G32" s="276">
        <f>(IF('Daily HLP'!L34&gt;0,'Daily HLP'!L34,0))</f>
        <v>1100</v>
      </c>
      <c r="H32" s="276">
        <v>75</v>
      </c>
      <c r="I32" s="276">
        <f>(IF('Daily HLP'!O34&gt;0,'Daily HLP'!O34,0))</f>
        <v>775</v>
      </c>
      <c r="J32" s="276">
        <v>99</v>
      </c>
      <c r="K32" s="281">
        <f>Occupancy!G32</f>
        <v>0</v>
      </c>
      <c r="L32" s="275">
        <f>Occupancy!F32</f>
        <v>0</v>
      </c>
      <c r="M32" s="278"/>
    </row>
    <row r="33" spans="1:13" s="275" customFormat="1" x14ac:dyDescent="0.25">
      <c r="A33" s="279"/>
      <c r="B33" s="273"/>
      <c r="C33" s="273"/>
      <c r="D33" s="274"/>
      <c r="F33" s="276"/>
      <c r="G33" s="276"/>
      <c r="H33" s="276"/>
      <c r="I33" s="276"/>
      <c r="J33" s="276"/>
      <c r="M33" s="278"/>
    </row>
    <row r="34" spans="1:13" s="275" customFormat="1" x14ac:dyDescent="0.25">
      <c r="A34" s="279"/>
      <c r="B34" s="273"/>
      <c r="C34" s="273"/>
      <c r="D34" s="274"/>
      <c r="F34" s="276"/>
      <c r="G34" s="276"/>
      <c r="H34" s="276"/>
      <c r="I34" s="276"/>
      <c r="J34" s="276"/>
      <c r="M34" s="278"/>
    </row>
    <row r="35" spans="1:13" s="275" customFormat="1" x14ac:dyDescent="0.25">
      <c r="A35" s="279"/>
      <c r="B35" s="273"/>
      <c r="C35" s="273"/>
      <c r="D35" s="274"/>
      <c r="F35" s="276"/>
      <c r="G35" s="276"/>
      <c r="H35" s="276"/>
      <c r="I35" s="276"/>
      <c r="J35" s="276"/>
      <c r="M35" s="278"/>
    </row>
    <row r="36" spans="1:13" s="275" customFormat="1" x14ac:dyDescent="0.25">
      <c r="A36" s="279"/>
      <c r="B36" s="273"/>
      <c r="C36" s="273"/>
      <c r="D36" s="274"/>
      <c r="F36" s="276"/>
      <c r="G36" s="276"/>
      <c r="H36" s="276"/>
      <c r="I36" s="276"/>
      <c r="J36" s="276"/>
      <c r="M36" s="278"/>
    </row>
    <row r="37" spans="1:13" s="275" customFormat="1" x14ac:dyDescent="0.25">
      <c r="A37" s="279"/>
      <c r="B37" s="273"/>
      <c r="C37" s="273"/>
      <c r="D37" s="274"/>
      <c r="F37" s="276"/>
      <c r="G37" s="276"/>
      <c r="H37" s="276"/>
      <c r="I37" s="276"/>
      <c r="J37" s="276"/>
      <c r="M37" s="278"/>
    </row>
    <row r="38" spans="1:13" s="275" customFormat="1" x14ac:dyDescent="0.25">
      <c r="A38" s="279"/>
      <c r="B38" s="273"/>
      <c r="C38" s="273"/>
      <c r="D38" s="274"/>
      <c r="F38" s="276"/>
      <c r="G38" s="276"/>
      <c r="H38" s="276"/>
      <c r="I38" s="276"/>
      <c r="J38" s="276"/>
      <c r="M38" s="278"/>
    </row>
  </sheetData>
  <pageMargins left="0.7" right="0.7" top="0.75" bottom="0.75" header="0.3" footer="0.3"/>
  <pageSetup orientation="portrait" horizontalDpi="4294967295" verticalDpi="4294967295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70C0"/>
  </sheetPr>
  <dimension ref="A1:BM35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C2" sqref="C2:D32"/>
    </sheetView>
  </sheetViews>
  <sheetFormatPr defaultColWidth="9" defaultRowHeight="15" x14ac:dyDescent="0.25"/>
  <cols>
    <col min="1" max="1" width="17.109375" style="286" customWidth="1"/>
    <col min="2" max="3" width="9" style="290" customWidth="1"/>
    <col min="4" max="4" width="10.44140625" style="290" customWidth="1"/>
    <col min="5" max="29" width="9.77734375" style="297" customWidth="1"/>
    <col min="30" max="30" width="9" style="297"/>
    <col min="31" max="31" width="9" style="298"/>
    <col min="32" max="32" width="9" style="297"/>
    <col min="33" max="39" width="9" style="299"/>
    <col min="40" max="40" width="9" style="302"/>
    <col min="41" max="49" width="9" style="299"/>
    <col min="50" max="58" width="9" style="302"/>
    <col min="59" max="65" width="9" style="299"/>
    <col min="66" max="16384" width="9" style="289"/>
  </cols>
  <sheetData>
    <row r="1" spans="1:65" s="286" customFormat="1" ht="60" customHeight="1" x14ac:dyDescent="0.25">
      <c r="A1" s="284" t="s">
        <v>257</v>
      </c>
      <c r="B1" s="285" t="s">
        <v>258</v>
      </c>
      <c r="C1" s="285" t="s">
        <v>259</v>
      </c>
      <c r="D1" s="285" t="s">
        <v>260</v>
      </c>
      <c r="E1" s="291" t="str">
        <f>'Section Load'!F4</f>
        <v>HVAC</v>
      </c>
      <c r="F1" s="291" t="str">
        <f>'Section Load'!G4</f>
        <v>Fire &amp; Emergency PP</v>
      </c>
      <c r="G1" s="291" t="str">
        <f>'Section Load'!H4</f>
        <v>Main PP</v>
      </c>
      <c r="H1" s="291" t="str">
        <f>'Section Load'!I4</f>
        <v>Lighting PP</v>
      </c>
      <c r="I1" s="291" t="str">
        <f>'Section Load'!J4</f>
        <v>CH-1+ CH2+CH3+CH4</v>
      </c>
      <c r="J1" s="291" t="str">
        <f>'Section Load'!K4</f>
        <v>Chilled water Pump</v>
      </c>
      <c r="K1" s="291" t="str">
        <f>'Section Load'!L4</f>
        <v>Ball Room-1</v>
      </c>
      <c r="L1" s="291" t="str">
        <f>'Section Load'!M4</f>
        <v>Ball Room-2</v>
      </c>
      <c r="M1" s="291" t="str">
        <f>'Section Load'!N4</f>
        <v>MK-1</v>
      </c>
      <c r="N1" s="291" t="str">
        <f>'Section Load'!O4</f>
        <v>MK-2</v>
      </c>
      <c r="O1" s="291" t="str">
        <f>'Section Load'!P4</f>
        <v>Prato</v>
      </c>
      <c r="P1" s="291" t="str">
        <f>'Section Load'!Q4</f>
        <v>San- Qi Indian</v>
      </c>
      <c r="Q1" s="291" t="str">
        <f>'Section Load'!R4</f>
        <v>San- Qi Japanese</v>
      </c>
      <c r="R1" s="291" t="str">
        <f>'Section Load'!S4</f>
        <v>The club</v>
      </c>
      <c r="S1" s="291" t="str">
        <f>'Section Load'!T4</f>
        <v>AER</v>
      </c>
      <c r="T1" s="291" t="str">
        <f>'Section Load'!U4</f>
        <v>COLD ROOM'S</v>
      </c>
      <c r="U1" s="291" t="str">
        <f>'Section Load'!V4</f>
        <v>Ball Room 1</v>
      </c>
      <c r="V1" s="291" t="str">
        <f>'Section Load'!W4</f>
        <v>Ball Room 2</v>
      </c>
      <c r="W1" s="291" t="str">
        <f>'Section Load'!X4</f>
        <v>B1 Laundry</v>
      </c>
      <c r="X1" s="291" t="str">
        <f>'Section Load'!Y4</f>
        <v>B2 Laundry</v>
      </c>
      <c r="Y1" s="291" t="str">
        <f>'Section Load'!Z4</f>
        <v>STP</v>
      </c>
      <c r="Z1" s="291" t="str">
        <f>'Section Load'!AA4</f>
        <v>MOCK Up Room</v>
      </c>
      <c r="AA1" s="291" t="str">
        <f>'Section Load'!AB4</f>
        <v>27th Floor</v>
      </c>
      <c r="AB1" s="291" t="str">
        <f>'Section Load'!AC4</f>
        <v>Physic57</v>
      </c>
      <c r="AC1" s="291" t="str">
        <f>'Section Load'!AD4</f>
        <v>Pinoor Legal- Power+lighting</v>
      </c>
      <c r="AD1" s="291" t="str">
        <f>'Section Load'!AE4</f>
        <v>2nd floor plant room</v>
      </c>
      <c r="AE1" s="291" t="str">
        <f>'Section Load'!AF4</f>
        <v>5th Floor SPA</v>
      </c>
      <c r="AF1" s="291" t="str">
        <f>'Section Load'!AG4</f>
        <v>5th Floor</v>
      </c>
      <c r="AG1" s="291" t="str">
        <f>'Section Load'!AH4</f>
        <v>12th Floor</v>
      </c>
      <c r="AH1" s="291" t="str">
        <f>'Section Load'!AI4</f>
        <v>20th Floor</v>
      </c>
      <c r="AI1" s="291" t="str">
        <f>'Section Load'!AJ4</f>
        <v>27th Floor</v>
      </c>
      <c r="AJ1" s="291" t="str">
        <f>'Section Load'!AK4</f>
        <v>34th Floor</v>
      </c>
      <c r="AK1" s="291" t="str">
        <f>'Section Load'!AL4</f>
        <v>Sanqi</v>
      </c>
      <c r="AL1" s="291" t="str">
        <f>'Section Load'!AM4</f>
        <v>Cooling Tower</v>
      </c>
      <c r="AM1" s="292" t="s">
        <v>279</v>
      </c>
      <c r="AN1" s="300" t="s">
        <v>199</v>
      </c>
      <c r="AO1" s="292" t="s">
        <v>201</v>
      </c>
      <c r="AP1" s="292" t="s">
        <v>202</v>
      </c>
      <c r="AQ1" s="292" t="s">
        <v>203</v>
      </c>
      <c r="AR1" s="292" t="s">
        <v>204</v>
      </c>
      <c r="AS1" s="292" t="s">
        <v>205</v>
      </c>
      <c r="AT1" s="292" t="s">
        <v>206</v>
      </c>
      <c r="AU1" s="292" t="s">
        <v>209</v>
      </c>
      <c r="AV1" s="292" t="s">
        <v>75</v>
      </c>
      <c r="AW1" s="292" t="s">
        <v>76</v>
      </c>
      <c r="AX1" s="300" t="s">
        <v>210</v>
      </c>
      <c r="AY1" s="300" t="s">
        <v>211</v>
      </c>
      <c r="AZ1" s="300" t="s">
        <v>212</v>
      </c>
      <c r="BA1" s="300" t="s">
        <v>214</v>
      </c>
      <c r="BB1" s="300" t="s">
        <v>215</v>
      </c>
      <c r="BC1" s="300" t="s">
        <v>302</v>
      </c>
      <c r="BD1" s="300" t="s">
        <v>300</v>
      </c>
      <c r="BE1" s="300" t="s">
        <v>280</v>
      </c>
      <c r="BF1" s="300" t="s">
        <v>281</v>
      </c>
      <c r="BG1" s="293" t="str">
        <f>'Section Load'!AN4</f>
        <v>MGL</v>
      </c>
      <c r="BH1" s="293" t="str">
        <f>'Section Load'!AO4</f>
        <v>HWG</v>
      </c>
      <c r="BI1" s="293" t="str">
        <f>'Section Load'!AP4</f>
        <v>Prato</v>
      </c>
      <c r="BJ1" s="293" t="str">
        <f>'Section Load'!AQ4</f>
        <v>BR-1</v>
      </c>
      <c r="BK1" s="293" t="str">
        <f>'Section Load'!AR4</f>
        <v>SanQi IND</v>
      </c>
      <c r="BL1" s="293" t="str">
        <f>'Section Load'!AS4</f>
        <v>SanQi JPN</v>
      </c>
      <c r="BM1" s="293" t="str">
        <f>'Section Load'!AT4</f>
        <v>Boiler</v>
      </c>
    </row>
    <row r="2" spans="1:65" ht="15" customHeight="1" x14ac:dyDescent="0.25">
      <c r="A2" s="287" t="s">
        <v>268</v>
      </c>
      <c r="B2" s="288">
        <v>1</v>
      </c>
      <c r="C2" s="288">
        <v>1</v>
      </c>
      <c r="D2" s="288">
        <v>2022</v>
      </c>
      <c r="E2" s="294">
        <f>(IF('Section Load'!F5&gt;0,'Section Load'!F5,0))</f>
        <v>3670.9500000000116</v>
      </c>
      <c r="F2" s="294">
        <f>(IF('Section Load'!G5&gt;0,'Section Load'!G5,0))</f>
        <v>1573.5100000000093</v>
      </c>
      <c r="G2" s="294">
        <f>(IF('Section Load'!H5&gt;0,'Section Load'!H5,0))</f>
        <v>1665.429999999993</v>
      </c>
      <c r="H2" s="294">
        <f>(IF('Section Load'!I5&gt;0,'Section Load'!I5,0))</f>
        <v>2724.390000000014</v>
      </c>
      <c r="I2" s="294">
        <f>(IF('Section Load'!J5&gt;0,'Section Load'!J5,0))</f>
        <v>2431.4200000000055</v>
      </c>
      <c r="J2" s="294">
        <f>(IF('Section Load'!K5&gt;0,'Section Load'!K5,0))</f>
        <v>2561.2300000000032</v>
      </c>
      <c r="K2" s="294">
        <f>(IF('Section Load'!L5&gt;0,'Section Load'!L5,0))</f>
        <v>1236.0200000000004</v>
      </c>
      <c r="L2" s="294">
        <f>(IF('Section Load'!M5&gt;0,'Section Load'!M5,0))</f>
        <v>885.33000000000175</v>
      </c>
      <c r="M2" s="294">
        <f>(IF('Section Load'!N5&gt;0,'Section Load'!N5,0))</f>
        <v>49</v>
      </c>
      <c r="N2" s="294">
        <f>(IF('Section Load'!O5&gt;0,'Section Load'!O5,0))</f>
        <v>1</v>
      </c>
      <c r="O2" s="294">
        <f>(IF('Section Load'!P5&gt;0,'Section Load'!P5,0))</f>
        <v>0</v>
      </c>
      <c r="P2" s="294">
        <f>(IF('Section Load'!Q5&gt;0,'Section Load'!Q5,0))</f>
        <v>193.59999999999854</v>
      </c>
      <c r="Q2" s="294">
        <f>(IF('Section Load'!R5&gt;0,'Section Load'!R5,0))</f>
        <v>73</v>
      </c>
      <c r="R2" s="294">
        <f>(IF('Section Load'!S5&gt;0,'Section Load'!S5,0))</f>
        <v>15.25</v>
      </c>
      <c r="S2" s="294">
        <f>(IF('Section Load'!T5&gt;0,'Section Load'!T5,0))</f>
        <v>474</v>
      </c>
      <c r="T2" s="294">
        <f>(IF('Section Load'!U5&gt;0,'Section Load'!U5,0))</f>
        <v>229</v>
      </c>
      <c r="U2" s="294">
        <f>(IF('Section Load'!V5&gt;0,'Section Load'!V5,0))</f>
        <v>437.31999999994878</v>
      </c>
      <c r="V2" s="294">
        <f>(IF('Section Load'!W5&gt;0,'Section Load'!W5,0))</f>
        <v>375.11999999999534</v>
      </c>
      <c r="W2" s="294">
        <f>(IF('Section Load'!X5&gt;0,'Section Load'!X5,0))</f>
        <v>27.239999999999782</v>
      </c>
      <c r="X2" s="294">
        <f>(IF('Section Load'!Y5&gt;0,'Section Load'!Y5,0))</f>
        <v>225.94000000000233</v>
      </c>
      <c r="Y2" s="294">
        <f>(IF('Section Load'!Z5&gt;0,'Section Load'!Z5,0))</f>
        <v>293</v>
      </c>
      <c r="Z2" s="294">
        <f>(IF('Section Load'!AA5&gt;0,'Section Load'!AA5,0))</f>
        <v>0</v>
      </c>
      <c r="AA2" s="294">
        <f>(IF('Section Load'!AB5&gt;0,'Section Load'!AB5,0))</f>
        <v>22</v>
      </c>
      <c r="AB2" s="294">
        <f>(IF('Section Load'!AC5&gt;0,'Section Load'!AC5,0))</f>
        <v>0</v>
      </c>
      <c r="AC2" s="294">
        <f>(IF('Section Load'!AD5&gt;0,'Section Load'!AD5,0))</f>
        <v>34</v>
      </c>
      <c r="AD2" s="294">
        <f>(IF('Section Load'!AE5&gt;0,'Section Load'!AE5,0))</f>
        <v>0</v>
      </c>
      <c r="AE2" s="294">
        <f>(IF('Section Load'!AF5&gt;0,'Section Load'!AF5,0))</f>
        <v>21.400000000000091</v>
      </c>
      <c r="AF2" s="294">
        <f>(IF('Section Load'!AG5&gt;0,'Section Load'!AG5,0))</f>
        <v>362.5</v>
      </c>
      <c r="AG2" s="294">
        <f>(IF('Section Load'!AH5&gt;0,'Section Load'!AH5,0))</f>
        <v>431.91000000000349</v>
      </c>
      <c r="AH2" s="294">
        <f>(IF('Section Load'!AI5&gt;0,'Section Load'!AI5,0))</f>
        <v>433.7400000000016</v>
      </c>
      <c r="AI2" s="294">
        <f>(IF('Section Load'!AJ5&gt;0,'Section Load'!AJ5,0))</f>
        <v>784.71000000002095</v>
      </c>
      <c r="AJ2" s="294">
        <f>(IF('Section Load'!AK5&gt;0,'Section Load'!AK5,0))</f>
        <v>213.74000000000524</v>
      </c>
      <c r="AK2" s="294">
        <f>(IF('Section Load'!AL5&gt;0,'Section Load'!AL5,0))</f>
        <v>346.69000000000233</v>
      </c>
      <c r="AL2" s="294">
        <f>(IF('Section Load'!AM5&gt;0,'Section Load'!AM5,0))</f>
        <v>833.86000000000058</v>
      </c>
      <c r="AM2" s="295">
        <f>(IF('Water Report'!$D$7&gt;0,'Water Report'!$D$7,0))</f>
        <v>0</v>
      </c>
      <c r="AN2" s="295">
        <f>(IF('Water Report'!$D$8&gt;0,'Water Report'!$D$8,0))</f>
        <v>133</v>
      </c>
      <c r="AO2" s="295">
        <f>(IF('Water Report'!$D$9&gt;0,'Water Report'!$D$9,0))</f>
        <v>98</v>
      </c>
      <c r="AP2" s="295">
        <f>(IF('Water Report'!$D$10&gt;0,'Water Report'!$D$10,0))</f>
        <v>28</v>
      </c>
      <c r="AQ2" s="295">
        <f>(IF('Water Report'!$D$11&gt;0,'Water Report'!$D$11,0))</f>
        <v>40</v>
      </c>
      <c r="AR2" s="295">
        <f>(IF('Water Report'!$D$13&gt;0,'Water Report'!$D$13,0))</f>
        <v>14</v>
      </c>
      <c r="AS2" s="295">
        <f>(IF('Water Report'!$D$14&gt;0,'Water Report'!$D$14,0))</f>
        <v>25</v>
      </c>
      <c r="AT2" s="295">
        <f>(IF('Water Report'!$D$15&gt;0,'Water Report'!$D$15,0))</f>
        <v>13</v>
      </c>
      <c r="AU2" s="295">
        <f>(IF('Water Report'!$D$17&gt;0,'Water Report'!$D$17,0))</f>
        <v>0</v>
      </c>
      <c r="AV2" s="295">
        <f>(IF('Water Report'!$D$18&gt;0,'Water Report'!$D$18,0))</f>
        <v>15</v>
      </c>
      <c r="AW2" s="295">
        <f>(IF('Water Report'!$D$19&gt;0,'Water Report'!$D$19,0))</f>
        <v>12</v>
      </c>
      <c r="AX2" s="301">
        <f>(IF('Water Report'!$D$21&gt;0,'Water Report'!$D$21,0))</f>
        <v>62</v>
      </c>
      <c r="AY2" s="301">
        <f>(IF('Water Report'!$D$22&gt;0,'Water Report'!$D$22,0))</f>
        <v>42</v>
      </c>
      <c r="AZ2" s="301">
        <f>(IF('Water Report'!$D$23&gt;0,'Water Report'!$D$23,0))</f>
        <v>4</v>
      </c>
      <c r="BA2" s="301">
        <f>(IF('Water Report'!$D$14&gt;0,'Water Report'!$D$14,0))</f>
        <v>25</v>
      </c>
      <c r="BB2" s="301">
        <f>(IF('Water Report'!$D$15&gt;0,'Water Report'!$D$15,0))</f>
        <v>13</v>
      </c>
      <c r="BC2" s="301">
        <f>(IF('Water Report'!$D$13&gt;0,'Water Report'!$D$13,0))</f>
        <v>14</v>
      </c>
      <c r="BD2" s="301">
        <f>(IF('Water Report'!$D$24&gt;0,'Water Report'!$D$24,0))</f>
        <v>54</v>
      </c>
      <c r="BE2" s="301">
        <f>(IF('Water Report'!$D$25&gt;0,'Water Report'!$D$25,0))</f>
        <v>204</v>
      </c>
      <c r="BF2" s="301">
        <f>(IF('Water Report'!$D$27&gt;0,'Water Report'!$D$27,0))</f>
        <v>80</v>
      </c>
      <c r="BG2" s="296">
        <f>(IF('Section Load'!AN5&gt;0,'Section Load'!AN5,0))</f>
        <v>1070.0859999998938</v>
      </c>
      <c r="BH2" s="296">
        <f>(IF('Section Load'!AO5&gt;0,'Section Load'!AO5,0))</f>
        <v>267.77000000001863</v>
      </c>
      <c r="BI2" s="296">
        <f>(IF('Section Load'!AP5&gt;0,'Section Load'!AP5,0))</f>
        <v>0</v>
      </c>
      <c r="BJ2" s="296">
        <f>(IF('Section Load'!AQ5&gt;0,'Section Load'!AQ5,0))</f>
        <v>102.91000000000349</v>
      </c>
      <c r="BK2" s="296">
        <f>(IF('Section Load'!AR5&gt;0,'Section Load'!AR5,0))</f>
        <v>27.400000000001455</v>
      </c>
      <c r="BL2" s="296">
        <f>(IF('Section Load'!AS5&gt;0,'Section Load'!AS5,0))</f>
        <v>1.8999999999996362</v>
      </c>
      <c r="BM2" s="296">
        <f>(IF('Section Load'!AT5&gt;0,'Section Load'!AT5,0))</f>
        <v>670.10599999987062</v>
      </c>
    </row>
    <row r="3" spans="1:65" x14ac:dyDescent="0.25">
      <c r="A3" s="287" t="s">
        <v>268</v>
      </c>
      <c r="B3" s="288">
        <f>B2+1</f>
        <v>2</v>
      </c>
      <c r="C3" s="288">
        <v>1</v>
      </c>
      <c r="D3" s="288">
        <v>2022</v>
      </c>
      <c r="E3" s="294">
        <f>(IF('Section Load'!F6&gt;0,'Section Load'!F6,0))</f>
        <v>3641.6900000000023</v>
      </c>
      <c r="F3" s="294">
        <f>(IF('Section Load'!G6&gt;0,'Section Load'!G6,0))</f>
        <v>1509.2399999999907</v>
      </c>
      <c r="G3" s="294">
        <f>(IF('Section Load'!H6&gt;0,'Section Load'!H6,0))</f>
        <v>1563.0599999999977</v>
      </c>
      <c r="H3" s="294">
        <f>(IF('Section Load'!I6&gt;0,'Section Load'!I6,0))</f>
        <v>2721.7999999999884</v>
      </c>
      <c r="I3" s="294">
        <f>(IF('Section Load'!J6&gt;0,'Section Load'!J6,0))</f>
        <v>3100</v>
      </c>
      <c r="J3" s="294">
        <f>(IF('Section Load'!K6&gt;0,'Section Load'!K6,0))</f>
        <v>2437.1699999999983</v>
      </c>
      <c r="K3" s="294">
        <f>(IF('Section Load'!L6&gt;0,'Section Load'!L6,0))</f>
        <v>1150.7200000000012</v>
      </c>
      <c r="L3" s="294">
        <f>(IF('Section Load'!M6&gt;0,'Section Load'!M6,0))</f>
        <v>756.53999999999724</v>
      </c>
      <c r="M3" s="294">
        <f>(IF('Section Load'!N6&gt;0,'Section Load'!N6,0))</f>
        <v>103</v>
      </c>
      <c r="N3" s="294">
        <f>(IF('Section Load'!O6&gt;0,'Section Load'!O6,0))</f>
        <v>0</v>
      </c>
      <c r="O3" s="294">
        <f>(IF('Section Load'!P6&gt;0,'Section Load'!P6,0))</f>
        <v>13.899999999994179</v>
      </c>
      <c r="P3" s="294">
        <f>(IF('Section Load'!Q6&gt;0,'Section Load'!Q6,0))</f>
        <v>171.09999999999854</v>
      </c>
      <c r="Q3" s="294">
        <f>(IF('Section Load'!R6&gt;0,'Section Load'!R6,0))</f>
        <v>72.119999999998981</v>
      </c>
      <c r="R3" s="294">
        <f>(IF('Section Load'!S6&gt;0,'Section Load'!S6,0))</f>
        <v>16.75</v>
      </c>
      <c r="S3" s="294">
        <f>(IF('Section Load'!T6&gt;0,'Section Load'!T6,0))</f>
        <v>508</v>
      </c>
      <c r="T3" s="294">
        <f>(IF('Section Load'!U6&gt;0,'Section Load'!U6,0))</f>
        <v>224</v>
      </c>
      <c r="U3" s="294">
        <f>(IF('Section Load'!V6&gt;0,'Section Load'!V6,0))</f>
        <v>448.68000000005122</v>
      </c>
      <c r="V3" s="294">
        <f>(IF('Section Load'!W6&gt;0,'Section Load'!W6,0))</f>
        <v>258.23999999999069</v>
      </c>
      <c r="W3" s="294">
        <f>(IF('Section Load'!X6&gt;0,'Section Load'!X6,0))</f>
        <v>25.0600000000004</v>
      </c>
      <c r="X3" s="294">
        <f>(IF('Section Load'!Y6&gt;0,'Section Load'!Y6,0))</f>
        <v>92.020000000004075</v>
      </c>
      <c r="Y3" s="294">
        <f>(IF('Section Load'!Z6&gt;0,'Section Load'!Z6,0))</f>
        <v>264</v>
      </c>
      <c r="Z3" s="294">
        <f>(IF('Section Load'!AA6&gt;0,'Section Load'!AA6,0))</f>
        <v>0</v>
      </c>
      <c r="AA3" s="294">
        <f>(IF('Section Load'!AB6&gt;0,'Section Load'!AB6,0))</f>
        <v>14</v>
      </c>
      <c r="AB3" s="294">
        <f>(IF('Section Load'!AC6&gt;0,'Section Load'!AC6,0))</f>
        <v>0</v>
      </c>
      <c r="AC3" s="294">
        <f>(IF('Section Load'!AD6&gt;0,'Section Load'!AD6,0))</f>
        <v>36.399999999999636</v>
      </c>
      <c r="AD3" s="294">
        <f>(IF('Section Load'!AE6&gt;0,'Section Load'!AE6,0))</f>
        <v>0</v>
      </c>
      <c r="AE3" s="294">
        <f>(IF('Section Load'!AF6&gt;0,'Section Load'!AF6,0))</f>
        <v>20.809999999999945</v>
      </c>
      <c r="AF3" s="294">
        <f>(IF('Section Load'!AG6&gt;0,'Section Load'!AG6,0))</f>
        <v>364.48999999999069</v>
      </c>
      <c r="AG3" s="294">
        <f>(IF('Section Load'!AH6&gt;0,'Section Load'!AH6,0))</f>
        <v>423.11999999999534</v>
      </c>
      <c r="AH3" s="294">
        <f>(IF('Section Load'!AI6&gt;0,'Section Load'!AI6,0))</f>
        <v>421.32999999999811</v>
      </c>
      <c r="AI3" s="294">
        <f>(IF('Section Load'!AJ6&gt;0,'Section Load'!AJ6,0))</f>
        <v>753.75999999995111</v>
      </c>
      <c r="AJ3" s="294">
        <f>(IF('Section Load'!AK6&gt;0,'Section Load'!AK6,0))</f>
        <v>213.86000000000058</v>
      </c>
      <c r="AK3" s="294">
        <f>(IF('Section Load'!AL6&gt;0,'Section Load'!AL6,0))</f>
        <v>347.07999999998719</v>
      </c>
      <c r="AL3" s="294">
        <f>(IF('Section Load'!AM6&gt;0,'Section Load'!AM6,0))</f>
        <v>832.02000000000407</v>
      </c>
      <c r="AM3" s="295">
        <f>(IF('Water Report'!$E$7&gt;0,'Water Report'!$E$7,0))</f>
        <v>0</v>
      </c>
      <c r="AN3" s="295">
        <f>(IF('Water Report'!$E$8&gt;0,'Water Report'!$E$8,0))</f>
        <v>114</v>
      </c>
      <c r="AO3" s="295">
        <f>(IF('Water Report'!$E$9&gt;0,'Water Report'!$E$9,0))</f>
        <v>60</v>
      </c>
      <c r="AP3" s="295">
        <f>(IF('Water Report'!$E$10&gt;0,'Water Report'!$E$10,0))</f>
        <v>27</v>
      </c>
      <c r="AQ3" s="295">
        <f>(IF('Water Report'!$E$11&gt;0,'Water Report'!$E$11,0))</f>
        <v>39</v>
      </c>
      <c r="AR3" s="295">
        <f>(IF('Water Report'!$E$13&gt;0,'Water Report'!$E$13,0))</f>
        <v>10</v>
      </c>
      <c r="AS3" s="295">
        <f>(IF('Water Report'!$E$14&gt;0,'Water Report'!$E$14,0))</f>
        <v>11</v>
      </c>
      <c r="AT3" s="295">
        <f>(IF('Water Report'!$E$15&gt;0,'Water Report'!$E$15,0))</f>
        <v>12</v>
      </c>
      <c r="AU3" s="295">
        <f>(IF('Water Report'!$E$17&gt;0,'Water Report'!$E$17,0))</f>
        <v>0</v>
      </c>
      <c r="AV3" s="295">
        <f>(IF('Water Report'!$E$18&gt;0,'Water Report'!$E$18,0))</f>
        <v>0</v>
      </c>
      <c r="AW3" s="295">
        <f>(IF('Water Report'!$E$19&gt;0,'Water Report'!$E$19,0))</f>
        <v>7</v>
      </c>
      <c r="AX3" s="301">
        <f>(IF('Water Report'!$E$21&gt;0,'Water Report'!$E$21,0))</f>
        <v>64</v>
      </c>
      <c r="AY3" s="301">
        <f>(IF('Water Report'!$E$22&gt;0,'Water Report'!$E$22,0))</f>
        <v>1</v>
      </c>
      <c r="AZ3" s="301">
        <f>(IF('Water Report'!$E$23&gt;0,'Water Report'!$E$23,0))</f>
        <v>3</v>
      </c>
      <c r="BA3" s="301">
        <f>(IF('Water Report'!$E$14&gt;0,'Water Report'!$E$14,0))</f>
        <v>11</v>
      </c>
      <c r="BB3" s="301">
        <f>(IF('Water Report'!$E$15&gt;0,'Water Report'!$E$15,0))</f>
        <v>12</v>
      </c>
      <c r="BC3" s="301">
        <f>(IF('Water Report'!$E$13&gt;0,'Water Report'!$E$13,0))</f>
        <v>10</v>
      </c>
      <c r="BD3" s="301">
        <f>(IF('Water Report'!$E$24&gt;0,'Water Report'!$E$24,0))</f>
        <v>56</v>
      </c>
      <c r="BE3" s="301">
        <f>(IF('Water Report'!$E$25&gt;0,'Water Report'!$E$25,0))</f>
        <v>149</v>
      </c>
      <c r="BF3" s="301">
        <f>(IF('Water Report'!$E$27&gt;0,'Water Report'!$E$27,0))</f>
        <v>77</v>
      </c>
      <c r="BG3" s="296">
        <f>(IF('Section Load'!AN6&gt;0,'Section Load'!AN6,0))</f>
        <v>808.52700000000186</v>
      </c>
      <c r="BH3" s="296">
        <f>(IF('Section Load'!AO6&gt;0,'Section Load'!AO6,0))</f>
        <v>258.03000000002794</v>
      </c>
      <c r="BI3" s="296">
        <f>(IF('Section Load'!AP6&gt;0,'Section Load'!AP6,0))</f>
        <v>0</v>
      </c>
      <c r="BJ3" s="296">
        <f>(IF('Section Load'!AQ6&gt;0,'Section Load'!AQ6,0))</f>
        <v>98.589999999996508</v>
      </c>
      <c r="BK3" s="296">
        <f>(IF('Section Load'!AR6&gt;0,'Section Load'!AR6,0))</f>
        <v>40</v>
      </c>
      <c r="BL3" s="296">
        <f>(IF('Section Load'!AS6&gt;0,'Section Load'!AS6,0))</f>
        <v>0.6000000000003638</v>
      </c>
      <c r="BM3" s="296">
        <f>(IF('Section Load'!AT6&gt;0,'Section Load'!AT6,0))</f>
        <v>411.30699999997705</v>
      </c>
    </row>
    <row r="4" spans="1:65" x14ac:dyDescent="0.25">
      <c r="A4" s="287" t="s">
        <v>268</v>
      </c>
      <c r="B4" s="288">
        <f t="shared" ref="B4:B32" si="0">B3+1</f>
        <v>3</v>
      </c>
      <c r="C4" s="288">
        <v>1</v>
      </c>
      <c r="D4" s="288">
        <v>2022</v>
      </c>
      <c r="E4" s="294">
        <f>(IF('Section Load'!F7&gt;0,'Section Load'!F7,0))</f>
        <v>3773.3099999999977</v>
      </c>
      <c r="F4" s="294">
        <f>(IF('Section Load'!G7&gt;0,'Section Load'!G7,0))</f>
        <v>1514.2000000000116</v>
      </c>
      <c r="G4" s="294">
        <f>(IF('Section Load'!H7&gt;0,'Section Load'!H7,0))</f>
        <v>1476.640000000014</v>
      </c>
      <c r="H4" s="294">
        <f>(IF('Section Load'!I7&gt;0,'Section Load'!I7,0))</f>
        <v>2758.7999999999884</v>
      </c>
      <c r="I4" s="294">
        <f>(IF('Section Load'!J7&gt;0,'Section Load'!J7,0))</f>
        <v>3094.6399999999994</v>
      </c>
      <c r="J4" s="294">
        <f>(IF('Section Load'!K7&gt;0,'Section Load'!K7,0))</f>
        <v>2419.6699999999983</v>
      </c>
      <c r="K4" s="294">
        <f>(IF('Section Load'!L7&gt;0,'Section Load'!L7,0))</f>
        <v>965.46999999999753</v>
      </c>
      <c r="L4" s="294">
        <f>(IF('Section Load'!M7&gt;0,'Section Load'!M7,0))</f>
        <v>783.35000000000218</v>
      </c>
      <c r="M4" s="294">
        <f>(IF('Section Load'!N7&gt;0,'Section Load'!N7,0))</f>
        <v>84</v>
      </c>
      <c r="N4" s="294">
        <f>(IF('Section Load'!O7&gt;0,'Section Load'!O7,0))</f>
        <v>0</v>
      </c>
      <c r="O4" s="294">
        <f>(IF('Section Load'!P7&gt;0,'Section Load'!P7,0))</f>
        <v>0</v>
      </c>
      <c r="P4" s="294">
        <f>(IF('Section Load'!Q7&gt;0,'Section Load'!Q7,0))</f>
        <v>184.10000000000582</v>
      </c>
      <c r="Q4" s="294">
        <f>(IF('Section Load'!R7&gt;0,'Section Load'!R7,0))</f>
        <v>69.680000000000291</v>
      </c>
      <c r="R4" s="294">
        <f>(IF('Section Load'!S7&gt;0,'Section Load'!S7,0))</f>
        <v>16.960000000000036</v>
      </c>
      <c r="S4" s="294">
        <f>(IF('Section Load'!T7&gt;0,'Section Load'!T7,0))</f>
        <v>426</v>
      </c>
      <c r="T4" s="294">
        <f>(IF('Section Load'!U7&gt;0,'Section Load'!U7,0))</f>
        <v>221</v>
      </c>
      <c r="U4" s="294">
        <f>(IF('Section Load'!V7&gt;0,'Section Load'!V7,0))</f>
        <v>395.80000000004657</v>
      </c>
      <c r="V4" s="294">
        <f>(IF('Section Load'!W7&gt;0,'Section Load'!W7,0))</f>
        <v>249.04000000003725</v>
      </c>
      <c r="W4" s="294">
        <f>(IF('Section Load'!X7&gt;0,'Section Load'!X7,0))</f>
        <v>8.3899999999998727</v>
      </c>
      <c r="X4" s="294">
        <f>(IF('Section Load'!Y7&gt;0,'Section Load'!Y7,0))</f>
        <v>22.669999999998254</v>
      </c>
      <c r="Y4" s="294">
        <f>(IF('Section Load'!Z7&gt;0,'Section Load'!Z7,0))</f>
        <v>215</v>
      </c>
      <c r="Z4" s="294">
        <f>(IF('Section Load'!AA7&gt;0,'Section Load'!AA7,0))</f>
        <v>0.55999999999767169</v>
      </c>
      <c r="AA4" s="294">
        <f>(IF('Section Load'!AB7&gt;0,'Section Load'!AB7,0))</f>
        <v>29.600000000005821</v>
      </c>
      <c r="AB4" s="294">
        <f>(IF('Section Load'!AC7&gt;0,'Section Load'!AC7,0))</f>
        <v>0</v>
      </c>
      <c r="AC4" s="294">
        <f>(IF('Section Load'!AD7&gt;0,'Section Load'!AD7,0))</f>
        <v>55</v>
      </c>
      <c r="AD4" s="294">
        <f>(IF('Section Load'!AE7&gt;0,'Section Load'!AE7,0))</f>
        <v>0</v>
      </c>
      <c r="AE4" s="294">
        <f>(IF('Section Load'!AF7&gt;0,'Section Load'!AF7,0))</f>
        <v>20.75</v>
      </c>
      <c r="AF4" s="294">
        <f>(IF('Section Load'!AG7&gt;0,'Section Load'!AG7,0))</f>
        <v>392.5</v>
      </c>
      <c r="AG4" s="294">
        <f>(IF('Section Load'!AH7&gt;0,'Section Load'!AH7,0))</f>
        <v>449.51999999998952</v>
      </c>
      <c r="AH4" s="294">
        <f>(IF('Section Load'!AI7&gt;0,'Section Load'!AI7,0))</f>
        <v>429.38000000000102</v>
      </c>
      <c r="AI4" s="294">
        <f>(IF('Section Load'!AJ7&gt;0,'Section Load'!AJ7,0))</f>
        <v>774.68000000005122</v>
      </c>
      <c r="AJ4" s="294">
        <f>(IF('Section Load'!AK7&gt;0,'Section Load'!AK7,0))</f>
        <v>238.93999999998778</v>
      </c>
      <c r="AK4" s="294">
        <f>(IF('Section Load'!AL7&gt;0,'Section Load'!AL7,0))</f>
        <v>338.12000000002445</v>
      </c>
      <c r="AL4" s="294">
        <f>(IF('Section Load'!AM7&gt;0,'Section Load'!AM7,0))</f>
        <v>837.55999999999767</v>
      </c>
      <c r="AM4" s="295">
        <f>(IF('Water Report'!$F$7&gt;0,'Water Report'!$F$7,0))</f>
        <v>30</v>
      </c>
      <c r="AN4" s="295">
        <f>(IF('Water Report'!$F$8&gt;0,'Water Report'!$F$8,0))</f>
        <v>61</v>
      </c>
      <c r="AO4" s="295">
        <f>(IF('Water Report'!$F$9&gt;0,'Water Report'!$G$9,0))</f>
        <v>81</v>
      </c>
      <c r="AP4" s="295">
        <f>(IF('Water Report'!$F$10&gt;0,'Water Report'!$F$10,0))</f>
        <v>18</v>
      </c>
      <c r="AQ4" s="295">
        <f>(IF('Water Report'!$F$11&gt;0,'Water Report'!$F$11,0))</f>
        <v>20</v>
      </c>
      <c r="AR4" s="295">
        <f>(IF('Water Report'!$F$13&gt;0,'Water Report'!$F$13,0))</f>
        <v>9</v>
      </c>
      <c r="AS4" s="295">
        <f>(IF('Water Report'!$F$14&gt;0,'Water Report'!$F$14,0))</f>
        <v>22</v>
      </c>
      <c r="AT4" s="295">
        <f>(IF('Water Report'!$F$15&gt;0,'Water Report'!$F$15,0))</f>
        <v>7</v>
      </c>
      <c r="AU4" s="295">
        <f>(IF('Water Report'!$F$17&gt;0,'Water Report'!$F$17,0))</f>
        <v>0</v>
      </c>
      <c r="AV4" s="295">
        <f>(IF('Water Report'!$F$18&gt;0,'Water Report'!$F$18,0))</f>
        <v>0</v>
      </c>
      <c r="AW4" s="295">
        <f>(IF('Water Report'!$F$19&gt;0,'Water Report'!$F$19,0))</f>
        <v>2</v>
      </c>
      <c r="AX4" s="301">
        <f>(IF('Water Report'!$F$21&gt;0,'Water Report'!$F$21,0))</f>
        <v>58</v>
      </c>
      <c r="AY4" s="301">
        <f>(IF('Water Report'!$F$22&gt;0,'Water Report'!$F$22,0))</f>
        <v>15</v>
      </c>
      <c r="AZ4" s="301">
        <f>(IF('Water Report'!$F$23&gt;0,'Water Report'!$F$23,0))</f>
        <v>4</v>
      </c>
      <c r="BA4" s="301">
        <f>(IF('Water Report'!$F$14&gt;0,'Water Report'!$F$14,0))</f>
        <v>22</v>
      </c>
      <c r="BB4" s="301">
        <f>(IF('Water Report'!$F$15&gt;0,'Water Report'!$F$15,0))</f>
        <v>7</v>
      </c>
      <c r="BC4" s="301">
        <f>(IF('Water Report'!$F$13&gt;0,'Water Report'!$F$13,0))</f>
        <v>9</v>
      </c>
      <c r="BD4" s="301">
        <f>(IF('Water Report'!$F$24&gt;0,'Water Report'!$F$24,0))</f>
        <v>356</v>
      </c>
      <c r="BE4" s="301">
        <f>(IF('Water Report'!$F$25&gt;0,'Water Report'!$F$25,0))</f>
        <v>107</v>
      </c>
      <c r="BF4" s="301">
        <f>(IF('Water Report'!$F$27&gt;0,'Water Report'!$F$27,0))</f>
        <v>71</v>
      </c>
      <c r="BG4" s="296">
        <f>(IF('Section Load'!AN7&gt;0,'Section Load'!AN7,0))</f>
        <v>524.78700000001118</v>
      </c>
      <c r="BH4" s="296">
        <f>(IF('Section Load'!AO7&gt;0,'Section Load'!AO7,0))</f>
        <v>240.55999999993946</v>
      </c>
      <c r="BI4" s="296">
        <f>(IF('Section Load'!AP7&gt;0,'Section Load'!AP7,0))</f>
        <v>0</v>
      </c>
      <c r="BJ4" s="296">
        <f>(IF('Section Load'!AQ7&gt;0,'Section Load'!AQ7,0))</f>
        <v>90.5</v>
      </c>
      <c r="BK4" s="296">
        <f>(IF('Section Load'!AR7&gt;0,'Section Load'!AR7,0))</f>
        <v>34.69999999999709</v>
      </c>
      <c r="BL4" s="296">
        <f>(IF('Section Load'!AS7&gt;0,'Section Load'!AS7,0))</f>
        <v>0.7999999999992724</v>
      </c>
      <c r="BM4" s="296">
        <f>(IF('Section Load'!AT7&gt;0,'Section Load'!AT7,0))</f>
        <v>158.22700000007535</v>
      </c>
    </row>
    <row r="5" spans="1:65" x14ac:dyDescent="0.25">
      <c r="A5" s="287" t="s">
        <v>268</v>
      </c>
      <c r="B5" s="288">
        <f t="shared" si="0"/>
        <v>4</v>
      </c>
      <c r="C5" s="288">
        <v>1</v>
      </c>
      <c r="D5" s="288">
        <v>2022</v>
      </c>
      <c r="E5" s="294">
        <f>(IF('Section Load'!F8&gt;0,'Section Load'!F8,0))</f>
        <v>3322.8600000000151</v>
      </c>
      <c r="F5" s="294">
        <f>(IF('Section Load'!G8&gt;0,'Section Load'!G8,0))</f>
        <v>1526.8799999999756</v>
      </c>
      <c r="G5" s="294">
        <f>(IF('Section Load'!H8&gt;0,'Section Load'!H8,0))</f>
        <v>1752.359999999986</v>
      </c>
      <c r="H5" s="294">
        <f>(IF('Section Load'!I8&gt;0,'Section Load'!I8,0))</f>
        <v>2740.5200000000186</v>
      </c>
      <c r="I5" s="294">
        <f>(IF('Section Load'!J8&gt;0,'Section Load'!J8,0))</f>
        <v>3146.7900000000009</v>
      </c>
      <c r="J5" s="294">
        <f>(IF('Section Load'!K8&gt;0,'Section Load'!K8,0))</f>
        <v>2444.6500000000015</v>
      </c>
      <c r="K5" s="294">
        <f>(IF('Section Load'!L8&gt;0,'Section Load'!L8,0))</f>
        <v>1036.4099999999999</v>
      </c>
      <c r="L5" s="294">
        <f>(IF('Section Load'!M8&gt;0,'Section Load'!M8,0))</f>
        <v>727.02999999999884</v>
      </c>
      <c r="M5" s="294">
        <f>(IF('Section Load'!N8&gt;0,'Section Load'!N8,0))</f>
        <v>70</v>
      </c>
      <c r="N5" s="294">
        <f>(IF('Section Load'!O8&gt;0,'Section Load'!O8,0))</f>
        <v>0</v>
      </c>
      <c r="O5" s="294">
        <f>(IF('Section Load'!P8&gt;0,'Section Load'!P8,0))</f>
        <v>2.4000000000087311</v>
      </c>
      <c r="P5" s="294">
        <f>(IF('Section Load'!Q8&gt;0,'Section Load'!Q8,0))</f>
        <v>180.23999999999796</v>
      </c>
      <c r="Q5" s="294">
        <f>(IF('Section Load'!R8&gt;0,'Section Load'!R8,0))</f>
        <v>67.950000000000728</v>
      </c>
      <c r="R5" s="294">
        <f>(IF('Section Load'!S8&gt;0,'Section Load'!S8,0))</f>
        <v>17.269999999999527</v>
      </c>
      <c r="S5" s="294">
        <f>(IF('Section Load'!T8&gt;0,'Section Load'!T8,0))</f>
        <v>462</v>
      </c>
      <c r="T5" s="294">
        <f>(IF('Section Load'!U8&gt;0,'Section Load'!U8,0))</f>
        <v>225</v>
      </c>
      <c r="U5" s="294">
        <f>(IF('Section Load'!V8&gt;0,'Section Load'!V8,0))</f>
        <v>396.03999999992084</v>
      </c>
      <c r="V5" s="294">
        <f>(IF('Section Load'!W8&gt;0,'Section Load'!W8,0))</f>
        <v>255.28000000002794</v>
      </c>
      <c r="W5" s="294">
        <f>(IF('Section Load'!X8&gt;0,'Section Load'!X8,0))</f>
        <v>30.670000000000073</v>
      </c>
      <c r="X5" s="294">
        <f>(IF('Section Load'!Y8&gt;0,'Section Load'!Y8,0))</f>
        <v>173.66</v>
      </c>
      <c r="Y5" s="294">
        <f>(IF('Section Load'!Z8&gt;0,'Section Load'!Z8,0))</f>
        <v>268</v>
      </c>
      <c r="Z5" s="294">
        <f>(IF('Section Load'!AA8&gt;0,'Section Load'!AA8,0))</f>
        <v>0</v>
      </c>
      <c r="AA5" s="294">
        <f>(IF('Section Load'!AB8&gt;0,'Section Load'!AB8,0))</f>
        <v>25.599999999991269</v>
      </c>
      <c r="AB5" s="294">
        <f>(IF('Section Load'!AC8&gt;0,'Section Load'!AC8,0))</f>
        <v>0</v>
      </c>
      <c r="AC5" s="294">
        <f>(IF('Section Load'!AD8&gt;0,'Section Load'!AD8,0))</f>
        <v>50.000000000006366</v>
      </c>
      <c r="AD5" s="294">
        <f>(IF('Section Load'!AE8&gt;0,'Section Load'!AE8,0))</f>
        <v>0</v>
      </c>
      <c r="AE5" s="294">
        <f>(IF('Section Load'!AF8&gt;0,'Section Load'!AF8,0))</f>
        <v>31.4699999999998</v>
      </c>
      <c r="AF5" s="294">
        <f>(IF('Section Load'!AG8&gt;0,'Section Load'!AG8,0))</f>
        <v>384.05999999999767</v>
      </c>
      <c r="AG5" s="294">
        <f>(IF('Section Load'!AH8&gt;0,'Section Load'!AH8,0))</f>
        <v>438.76000000000931</v>
      </c>
      <c r="AH5" s="294">
        <f>(IF('Section Load'!AI8&gt;0,'Section Load'!AI8,0))</f>
        <v>413</v>
      </c>
      <c r="AI5" s="294">
        <f>(IF('Section Load'!AJ8&gt;0,'Section Load'!AJ8,0))</f>
        <v>784.44000000000233</v>
      </c>
      <c r="AJ5" s="294">
        <f>(IF('Section Load'!AK8&gt;0,'Section Load'!AK8,0))</f>
        <v>245.56000000001222</v>
      </c>
      <c r="AK5" s="294">
        <f>(IF('Section Load'!AL8&gt;0,'Section Load'!AL8,0))</f>
        <v>321.77999999999884</v>
      </c>
      <c r="AL5" s="294">
        <f>(IF('Section Load'!AM8&gt;0,'Section Load'!AM8,0))</f>
        <v>840.17999999999302</v>
      </c>
      <c r="AM5" s="295">
        <f>(IF('Water Report'!$G$7&gt;0,'Water Report'!$F$7,0))</f>
        <v>30</v>
      </c>
      <c r="AN5" s="295">
        <f>(IF('Water Report'!$G$8&gt;0,'Water Report'!$F$8,0))</f>
        <v>61</v>
      </c>
      <c r="AO5" s="295">
        <f>(IF('Water Report'!$G$9&gt;0,'Water Report'!$H$9,0))</f>
        <v>74</v>
      </c>
      <c r="AP5" s="295">
        <f>(IF('Water Report'!$G$10&gt;0,'Water Report'!$G$10,0))</f>
        <v>21</v>
      </c>
      <c r="AQ5" s="295">
        <f>(IF('Water Report'!$G$11&gt;0,'Water Report'!$G$11,0))</f>
        <v>27</v>
      </c>
      <c r="AR5" s="295">
        <f>(IF('Water Report'!$G$13&gt;0,'Water Report'!$G$13,0))</f>
        <v>27</v>
      </c>
      <c r="AS5" s="295">
        <f>(IF('Water Report'!$G$14&gt;0,'Water Report'!$G$14,0))</f>
        <v>7</v>
      </c>
      <c r="AT5" s="295">
        <f>(IF('Water Report'!$G$15&gt;0,'Water Report'!$G$15,0))</f>
        <v>6</v>
      </c>
      <c r="AU5" s="295">
        <f>(IF('Water Report'!$G$17&gt;0,'Water Report'!$G$17,0))</f>
        <v>0</v>
      </c>
      <c r="AV5" s="295">
        <f>(IF('Water Report'!$G$18&gt;0,'Water Report'!$G$18,0))</f>
        <v>14</v>
      </c>
      <c r="AW5" s="295">
        <f>(IF('Water Report'!$G$19&gt;0,'Water Report'!$G$19,0))</f>
        <v>17</v>
      </c>
      <c r="AX5" s="301">
        <f>(IF('Water Report'!$G$21&gt;0,'Water Report'!$G$21,0))</f>
        <v>79</v>
      </c>
      <c r="AY5" s="301">
        <f>(IF('Water Report'!$G$22&gt;0,'Water Report'!$G$22,0))</f>
        <v>35</v>
      </c>
      <c r="AZ5" s="301">
        <f>(IF('Water Report'!$G$23&gt;0,'Water Report'!$G$23,0))</f>
        <v>16</v>
      </c>
      <c r="BA5" s="301">
        <f>(IF('Water Report'!$G$14&gt;0,'Water Report'!$G$14,0))</f>
        <v>7</v>
      </c>
      <c r="BB5" s="301">
        <f>(IF('Water Report'!$G$15&gt;0,'Water Report'!$G$15,0))</f>
        <v>6</v>
      </c>
      <c r="BC5" s="301">
        <f>(IF('Water Report'!$G$13&gt;0,'Water Report'!$G$13,0))</f>
        <v>27</v>
      </c>
      <c r="BD5" s="301">
        <f>(IF('Water Report'!$G$24&gt;0,'Water Report'!$G$24,0))</f>
        <v>219</v>
      </c>
      <c r="BE5" s="301">
        <f>(IF('Water Report'!$G$25&gt;0,'Water Report'!$G$25,0))</f>
        <v>142</v>
      </c>
      <c r="BF5" s="301">
        <f>(IF('Water Report'!$G$27&gt;0,'Water Report'!$G$27,0))</f>
        <v>122</v>
      </c>
      <c r="BG5" s="296">
        <f>(IF('Section Load'!AN8&gt;0,'Section Load'!AN8,0))</f>
        <v>1035.25</v>
      </c>
      <c r="BH5" s="296">
        <f>(IF('Section Load'!AO8&gt;0,'Section Load'!AO8,0))</f>
        <v>317.86999999999534</v>
      </c>
      <c r="BI5" s="296">
        <f>(IF('Section Load'!AP8&gt;0,'Section Load'!AP8,0))</f>
        <v>0</v>
      </c>
      <c r="BJ5" s="296">
        <f>(IF('Section Load'!AQ8&gt;0,'Section Load'!AQ8,0))</f>
        <v>94.320000000006985</v>
      </c>
      <c r="BK5" s="296">
        <f>(IF('Section Load'!AR8&gt;0,'Section Load'!AR8,0))</f>
        <v>22.900000000001455</v>
      </c>
      <c r="BL5" s="296">
        <f>(IF('Section Load'!AS8&gt;0,'Section Load'!AS8,0))</f>
        <v>0.7000000000007276</v>
      </c>
      <c r="BM5" s="296">
        <f>(IF('Section Load'!AT8&gt;0,'Section Load'!AT8,0))</f>
        <v>599.45999999999549</v>
      </c>
    </row>
    <row r="6" spans="1:65" x14ac:dyDescent="0.25">
      <c r="A6" s="287" t="s">
        <v>268</v>
      </c>
      <c r="B6" s="288">
        <f t="shared" si="0"/>
        <v>5</v>
      </c>
      <c r="C6" s="288">
        <v>1</v>
      </c>
      <c r="D6" s="288">
        <v>2022</v>
      </c>
      <c r="E6" s="294">
        <f>(IF('Section Load'!F9&gt;0,'Section Load'!F9,0))</f>
        <v>3487.7099999999919</v>
      </c>
      <c r="F6" s="294">
        <f>(IF('Section Load'!G9&gt;0,'Section Load'!G9,0))</f>
        <v>1513.0600000000268</v>
      </c>
      <c r="G6" s="294">
        <f>(IF('Section Load'!H9&gt;0,'Section Load'!H9,0))</f>
        <v>1672.4000000000233</v>
      </c>
      <c r="H6" s="294">
        <f>(IF('Section Load'!I9&gt;0,'Section Load'!I9,0))</f>
        <v>2669.0800000000163</v>
      </c>
      <c r="I6" s="294">
        <f>(IF('Section Load'!J9&gt;0,'Section Load'!J9,0))</f>
        <v>3314.6699999999983</v>
      </c>
      <c r="J6" s="294">
        <f>(IF('Section Load'!K9&gt;0,'Section Load'!K9,0))</f>
        <v>2407.4700000000012</v>
      </c>
      <c r="K6" s="294">
        <f>(IF('Section Load'!L9&gt;0,'Section Load'!L9,0))</f>
        <v>989.63999999999942</v>
      </c>
      <c r="L6" s="294">
        <f>(IF('Section Load'!M9&gt;0,'Section Load'!M9,0))</f>
        <v>802.54000000000087</v>
      </c>
      <c r="M6" s="294">
        <f>(IF('Section Load'!N9&gt;0,'Section Load'!N9,0))</f>
        <v>59</v>
      </c>
      <c r="N6" s="294">
        <f>(IF('Section Load'!O9&gt;0,'Section Load'!O9,0))</f>
        <v>0</v>
      </c>
      <c r="O6" s="294">
        <f>(IF('Section Load'!P9&gt;0,'Section Load'!P9,0))</f>
        <v>0</v>
      </c>
      <c r="P6" s="294">
        <f>(IF('Section Load'!Q9&gt;0,'Section Load'!Q9,0))</f>
        <v>171.05999999999767</v>
      </c>
      <c r="Q6" s="294">
        <f>(IF('Section Load'!R9&gt;0,'Section Load'!R9,0))</f>
        <v>77</v>
      </c>
      <c r="R6" s="294">
        <f>(IF('Section Load'!S9&gt;0,'Section Load'!S9,0))</f>
        <v>16.770000000000437</v>
      </c>
      <c r="S6" s="294">
        <f>(IF('Section Load'!T9&gt;0,'Section Load'!T9,0))</f>
        <v>450</v>
      </c>
      <c r="T6" s="294">
        <f>(IF('Section Load'!U9&gt;0,'Section Load'!U9,0))</f>
        <v>225</v>
      </c>
      <c r="U6" s="294">
        <f>(IF('Section Load'!V9&gt;0,'Section Load'!V9,0))</f>
        <v>381.1600000000326</v>
      </c>
      <c r="V6" s="294">
        <f>(IF('Section Load'!W9&gt;0,'Section Load'!W9,0))</f>
        <v>231.19999999995343</v>
      </c>
      <c r="W6" s="294">
        <f>(IF('Section Load'!X9&gt;0,'Section Load'!X9,0))</f>
        <v>20.339999999999691</v>
      </c>
      <c r="X6" s="294">
        <f>(IF('Section Load'!Y9&gt;0,'Section Load'!Y9,0))</f>
        <v>76.81</v>
      </c>
      <c r="Y6" s="294">
        <f>(IF('Section Load'!Z9&gt;0,'Section Load'!Z9,0))</f>
        <v>246</v>
      </c>
      <c r="Z6" s="294">
        <f>(IF('Section Load'!AA9&gt;0,'Section Load'!AA9,0))</f>
        <v>0</v>
      </c>
      <c r="AA6" s="294">
        <f>(IF('Section Load'!AB9&gt;0,'Section Load'!AB9,0))</f>
        <v>25.80000000000291</v>
      </c>
      <c r="AB6" s="294">
        <f>(IF('Section Load'!AC9&gt;0,'Section Load'!AC9,0))</f>
        <v>0</v>
      </c>
      <c r="AC6" s="294">
        <f>(IF('Section Load'!AD9&gt;0,'Section Load'!AD9,0))</f>
        <v>54.399999999991451</v>
      </c>
      <c r="AD6" s="294">
        <f>(IF('Section Load'!AE9&gt;0,'Section Load'!AE9,0))</f>
        <v>0</v>
      </c>
      <c r="AE6" s="294">
        <f>(IF('Section Load'!AF9&gt;0,'Section Load'!AF9,0))</f>
        <v>34.360000000000127</v>
      </c>
      <c r="AF6" s="294">
        <f>(IF('Section Load'!AG9&gt;0,'Section Load'!AG9,0))</f>
        <v>378.98000000001048</v>
      </c>
      <c r="AG6" s="294">
        <f>(IF('Section Load'!AH9&gt;0,'Section Load'!AH9,0))</f>
        <v>421.61999999999534</v>
      </c>
      <c r="AH6" s="294">
        <f>(IF('Section Load'!AI9&gt;0,'Section Load'!AI9,0))</f>
        <v>411.54999999999927</v>
      </c>
      <c r="AI6" s="294">
        <f>(IF('Section Load'!AJ9&gt;0,'Section Load'!AJ9,0))</f>
        <v>726.40999999997439</v>
      </c>
      <c r="AJ6" s="294">
        <f>(IF('Section Load'!AK9&gt;0,'Section Load'!AK9,0))</f>
        <v>241.27999999999884</v>
      </c>
      <c r="AK6" s="294">
        <f>(IF('Section Load'!AL9&gt;0,'Section Load'!AL9,0))</f>
        <v>314.07999999998719</v>
      </c>
      <c r="AL6" s="294">
        <f>(IF('Section Load'!AM9&gt;0,'Section Load'!AM9,0))</f>
        <v>846.25</v>
      </c>
      <c r="AM6" s="295">
        <f>(IF('Water Report'!$H$7&gt;0,'Water Report'!$H$7,0))</f>
        <v>86</v>
      </c>
      <c r="AN6" s="295">
        <f>(IF('Water Report'!$H$8&gt;0,'Water Report'!$H$8,0))</f>
        <v>119</v>
      </c>
      <c r="AO6" s="295">
        <f>(IF('Water Report'!$H$9&gt;0,'Water Report'!$H$9,0))</f>
        <v>74</v>
      </c>
      <c r="AP6" s="295">
        <f>(IF('Water Report'!$H$10&gt;0,'Water Report'!$H$10,0))</f>
        <v>19</v>
      </c>
      <c r="AQ6" s="295">
        <f>(IF('Water Report'!$H$11&gt;0,'Water Report'!$H$11,0))</f>
        <v>22</v>
      </c>
      <c r="AR6" s="295">
        <f>(IF('Water Report'!$H$13&gt;0,'Water Report'!$H$13,0))</f>
        <v>27</v>
      </c>
      <c r="AS6" s="295">
        <f>(IF('Water Report'!$H$14&gt;0,'Water Report'!$H$14,0))</f>
        <v>11</v>
      </c>
      <c r="AT6" s="295">
        <f>(IF('Water Report'!$H$15&gt;0,'Water Report'!$H$15,0))</f>
        <v>6</v>
      </c>
      <c r="AU6" s="295">
        <f>(IF('Water Report'!$H$17&gt;0,'Water Report'!$H$17,0))</f>
        <v>0</v>
      </c>
      <c r="AV6" s="295">
        <f>(IF('Water Report'!$H$18&gt;0,'Water Report'!$H$18,0))</f>
        <v>14</v>
      </c>
      <c r="AW6" s="295">
        <f>(IF('Water Report'!$H$19&gt;0,'Water Report'!$H$19,0))</f>
        <v>11</v>
      </c>
      <c r="AX6" s="301">
        <f>(IF('Water Report'!$H$21&gt;0,'Water Report'!$H$21,0))</f>
        <v>97</v>
      </c>
      <c r="AY6" s="301">
        <f>(IF('Water Report'!$H$22&gt;0,'Water Report'!$H$22,0))</f>
        <v>16</v>
      </c>
      <c r="AZ6" s="301">
        <f>(IF('Water Report'!$H$23&gt;0,'Water Report'!$H$23,0))</f>
        <v>1</v>
      </c>
      <c r="BA6" s="301">
        <f>(IF('Water Report'!$H$14&gt;0,'Water Report'!$H$14,0))</f>
        <v>11</v>
      </c>
      <c r="BB6" s="301">
        <f>(IF('Water Report'!$H$15&gt;0,'Water Report'!$H$15,0))</f>
        <v>6</v>
      </c>
      <c r="BC6" s="301">
        <f>(IF('Water Report'!$H$13&gt;0,'Water Report'!$H$13,0))</f>
        <v>27</v>
      </c>
      <c r="BD6" s="301">
        <f>(IF('Water Report'!$H$24&gt;0,'Water Report'!$H$24,0))</f>
        <v>171</v>
      </c>
      <c r="BE6" s="301">
        <f>(IF('Water Report'!$H$25&gt;0,'Water Report'!$H$25,0))</f>
        <v>132</v>
      </c>
      <c r="BF6" s="301">
        <f>(IF('Water Report'!$H$27&gt;0,'Water Report'!$H$27,0))</f>
        <v>125</v>
      </c>
      <c r="BG6" s="296">
        <f>(IF('Section Load'!AN9&gt;0,'Section Load'!AN9,0))</f>
        <v>1002.0500000000466</v>
      </c>
      <c r="BH6" s="296">
        <f>(IF('Section Load'!AO9&gt;0,'Section Load'!AO9,0))</f>
        <v>282.26000000000931</v>
      </c>
      <c r="BI6" s="296">
        <f>(IF('Section Load'!AP9&gt;0,'Section Load'!AP9,0))</f>
        <v>0</v>
      </c>
      <c r="BJ6" s="296">
        <f>(IF('Section Load'!AQ9&gt;0,'Section Load'!AQ9,0))</f>
        <v>95.679999999993015</v>
      </c>
      <c r="BK6" s="296">
        <f>(IF('Section Load'!AR9&gt;0,'Section Load'!AR9,0))</f>
        <v>52.30000000000291</v>
      </c>
      <c r="BL6" s="296">
        <f>(IF('Section Load'!AS9&gt;0,'Section Load'!AS9,0))</f>
        <v>1</v>
      </c>
      <c r="BM6" s="296">
        <f>(IF('Section Load'!AT9&gt;0,'Section Load'!AT9,0))</f>
        <v>570.81000000004133</v>
      </c>
    </row>
    <row r="7" spans="1:65" x14ac:dyDescent="0.25">
      <c r="A7" s="287" t="s">
        <v>268</v>
      </c>
      <c r="B7" s="288">
        <f t="shared" si="0"/>
        <v>6</v>
      </c>
      <c r="C7" s="288">
        <v>1</v>
      </c>
      <c r="D7" s="288">
        <v>2022</v>
      </c>
      <c r="E7" s="294">
        <f>(IF('Section Load'!F10&gt;0,'Section Load'!F10,0))</f>
        <v>3481.4799999999814</v>
      </c>
      <c r="F7" s="294">
        <f>(IF('Section Load'!G10&gt;0,'Section Load'!G10,0))</f>
        <v>1517.109999999986</v>
      </c>
      <c r="G7" s="294">
        <f>(IF('Section Load'!H10&gt;0,'Section Load'!H10,0))</f>
        <v>1687.109999999986</v>
      </c>
      <c r="H7" s="294">
        <f>(IF('Section Load'!I10&gt;0,'Section Load'!I10,0))</f>
        <v>2707.4099999999744</v>
      </c>
      <c r="I7" s="294">
        <f>(IF('Section Load'!J10&gt;0,'Section Load'!J10,0))</f>
        <v>3311.0800000000017</v>
      </c>
      <c r="J7" s="294">
        <f>(IF('Section Load'!K10&gt;0,'Section Load'!K10,0))</f>
        <v>2434.8099999999977</v>
      </c>
      <c r="K7" s="294">
        <f>(IF('Section Load'!L10&gt;0,'Section Load'!L10,0))</f>
        <v>1030.7400000000016</v>
      </c>
      <c r="L7" s="294">
        <f>(IF('Section Load'!M10&gt;0,'Section Load'!M10,0))</f>
        <v>1049.2099999999991</v>
      </c>
      <c r="M7" s="294">
        <f>(IF('Section Load'!N10&gt;0,'Section Load'!N10,0))</f>
        <v>63</v>
      </c>
      <c r="N7" s="294">
        <f>(IF('Section Load'!O10&gt;0,'Section Load'!O10,0))</f>
        <v>2</v>
      </c>
      <c r="O7" s="294">
        <f>(IF('Section Load'!P10&gt;0,'Section Load'!P10,0))</f>
        <v>0</v>
      </c>
      <c r="P7" s="294">
        <f>(IF('Section Load'!Q10&gt;0,'Section Load'!Q10,0))</f>
        <v>163.90000000000146</v>
      </c>
      <c r="Q7" s="294">
        <f>(IF('Section Load'!R10&gt;0,'Section Load'!R10,0))</f>
        <v>68.25</v>
      </c>
      <c r="R7" s="294">
        <f>(IF('Section Load'!S10&gt;0,'Section Load'!S10,0))</f>
        <v>18</v>
      </c>
      <c r="S7" s="294">
        <f>(IF('Section Load'!T10&gt;0,'Section Load'!T10,0))</f>
        <v>438</v>
      </c>
      <c r="T7" s="294">
        <f>(IF('Section Load'!U10&gt;0,'Section Load'!U10,0))</f>
        <v>220</v>
      </c>
      <c r="U7" s="294">
        <f>(IF('Section Load'!V10&gt;0,'Section Load'!V10,0))</f>
        <v>377</v>
      </c>
      <c r="V7" s="294">
        <f>(IF('Section Load'!W10&gt;0,'Section Load'!W10,0))</f>
        <v>288</v>
      </c>
      <c r="W7" s="294">
        <f>(IF('Section Load'!X10&gt;0,'Section Load'!X10,0))</f>
        <v>22.300000000000182</v>
      </c>
      <c r="X7" s="294">
        <f>(IF('Section Load'!Y10&gt;0,'Section Load'!Y10,0))</f>
        <v>203.53</v>
      </c>
      <c r="Y7" s="294">
        <f>(IF('Section Load'!Z10&gt;0,'Section Load'!Z10,0))</f>
        <v>243</v>
      </c>
      <c r="Z7" s="294">
        <f>(IF('Section Load'!AA10&gt;0,'Section Load'!AA10,0))</f>
        <v>0</v>
      </c>
      <c r="AA7" s="294">
        <f>(IF('Section Load'!AB10&gt;0,'Section Load'!AB10,0))</f>
        <v>31</v>
      </c>
      <c r="AB7" s="294">
        <f>(IF('Section Load'!AC10&gt;0,'Section Load'!AC10,0))</f>
        <v>0</v>
      </c>
      <c r="AC7" s="294">
        <f>(IF('Section Load'!AD10&gt;0,'Section Load'!AD10,0))</f>
        <v>37.200000000002547</v>
      </c>
      <c r="AD7" s="294">
        <f>(IF('Section Load'!AE10&gt;0,'Section Load'!AE10,0))</f>
        <v>0</v>
      </c>
      <c r="AE7" s="294">
        <f>(IF('Section Load'!AF10&gt;0,'Section Load'!AF10,0))</f>
        <v>30.210000000000036</v>
      </c>
      <c r="AF7" s="294">
        <f>(IF('Section Load'!AG10&gt;0,'Section Load'!AG10,0))</f>
        <v>356.47000000000116</v>
      </c>
      <c r="AG7" s="294">
        <f>(IF('Section Load'!AH10&gt;0,'Section Load'!AH10,0))</f>
        <v>425.07000000000698</v>
      </c>
      <c r="AH7" s="294">
        <f>(IF('Section Load'!AI10&gt;0,'Section Load'!AI10,0))</f>
        <v>416</v>
      </c>
      <c r="AI7" s="294">
        <f>(IF('Section Load'!AJ10&gt;0,'Section Load'!AJ10,0))</f>
        <v>745</v>
      </c>
      <c r="AJ7" s="294">
        <f>(IF('Section Load'!AK10&gt;0,'Section Load'!AK10,0))</f>
        <v>238.61999999999534</v>
      </c>
      <c r="AK7" s="294">
        <f>(IF('Section Load'!AL10&gt;0,'Section Load'!AL10,0))</f>
        <v>307.25</v>
      </c>
      <c r="AL7" s="294">
        <f>(IF('Section Load'!AM10&gt;0,'Section Load'!AM10,0))</f>
        <v>813.13000000000466</v>
      </c>
      <c r="AM7" s="295">
        <f>(IF('Water Report'!$I$7&gt;0,'Water Report'!$I$7,0))</f>
        <v>81</v>
      </c>
      <c r="AN7" s="295">
        <f>(IF('Water Report'!$I$8&gt;0,'Water Report'!$I$8,0))</f>
        <v>119</v>
      </c>
      <c r="AO7" s="295">
        <f>(IF('Water Report'!$I$9&gt;0,'Water Report'!$I$9,0))</f>
        <v>69</v>
      </c>
      <c r="AP7" s="295">
        <f>(IF('Water Report'!$I$10&gt;0,'Water Report'!$I$10,0))</f>
        <v>15</v>
      </c>
      <c r="AQ7" s="295">
        <f>(IF('Water Report'!$I$11&gt;0,'Water Report'!$I$11,0))</f>
        <v>21</v>
      </c>
      <c r="AR7" s="295">
        <f>(IF('Water Report'!$I$13&gt;0,'Water Report'!$I$13,0))</f>
        <v>47</v>
      </c>
      <c r="AS7" s="295">
        <f>(IF('Water Report'!$I$14&gt;0,'Water Report'!$I$14,0))</f>
        <v>8</v>
      </c>
      <c r="AT7" s="295">
        <f>(IF('Water Report'!$I$15&gt;0,'Water Report'!$I$15,0))</f>
        <v>6</v>
      </c>
      <c r="AU7" s="295">
        <f>(IF('Water Report'!$I$17&gt;0,'Water Report'!$I$17,0))</f>
        <v>0</v>
      </c>
      <c r="AV7" s="295">
        <f>(IF('Water Report'!$I$18&gt;0,'Water Report'!$I$18,0))</f>
        <v>11</v>
      </c>
      <c r="AW7" s="295">
        <f>(IF('Water Report'!$I$19&gt;0,'Water Report'!$I$19,0))</f>
        <v>9</v>
      </c>
      <c r="AX7" s="301">
        <f>(IF('Water Report'!$I$21&gt;0,'Water Report'!$I$21,0))</f>
        <v>72</v>
      </c>
      <c r="AY7" s="301">
        <f>(IF('Water Report'!$I$22&gt;0,'Water Report'!$I$22,0))</f>
        <v>5</v>
      </c>
      <c r="AZ7" s="301">
        <f>(IF('Water Report'!$I$23&gt;0,'Water Report'!$I$23,0))</f>
        <v>20</v>
      </c>
      <c r="BA7" s="301">
        <f>(IF('Water Report'!$I$14&gt;0,'Water Report'!$I$14,0))</f>
        <v>8</v>
      </c>
      <c r="BB7" s="301">
        <f>(IF('Water Report'!$I$15&gt;0,'Water Report'!$I$15,0))</f>
        <v>6</v>
      </c>
      <c r="BC7" s="301">
        <f>(IF('Water Report'!$I$13&gt;0,'Water Report'!$I$13,0))</f>
        <v>47</v>
      </c>
      <c r="BD7" s="301">
        <f>(IF('Water Report'!$I$24&gt;0,'Water Report'!$I$24,0))</f>
        <v>204</v>
      </c>
      <c r="BE7" s="301">
        <f>(IF('Water Report'!$I$25&gt;0,'Water Report'!$I$25,0))</f>
        <v>119</v>
      </c>
      <c r="BF7" s="301">
        <f>(IF('Water Report'!$I$27&gt;0,'Water Report'!$I$27,0))</f>
        <v>139</v>
      </c>
      <c r="BG7" s="296">
        <f>(IF('Section Load'!AN10&gt;0,'Section Load'!AN10,0))</f>
        <v>933.30000000004657</v>
      </c>
      <c r="BH7" s="296">
        <f>(IF('Section Load'!AO10&gt;0,'Section Load'!AO10,0))</f>
        <v>304.51000000000931</v>
      </c>
      <c r="BI7" s="296">
        <f>(IF('Section Load'!AP10&gt;0,'Section Load'!AP10,0))</f>
        <v>0</v>
      </c>
      <c r="BJ7" s="296">
        <f>(IF('Section Load'!AQ10&gt;0,'Section Load'!AQ10,0))</f>
        <v>80</v>
      </c>
      <c r="BK7" s="296">
        <f>(IF('Section Load'!AR10&gt;0,'Section Load'!AR10,0))</f>
        <v>37.69999999999709</v>
      </c>
      <c r="BL7" s="296">
        <f>(IF('Section Load'!AS10&gt;0,'Section Load'!AS10,0))</f>
        <v>1</v>
      </c>
      <c r="BM7" s="296">
        <f>(IF('Section Load'!AT10&gt;0,'Section Load'!AT10,0))</f>
        <v>510.09000000004016</v>
      </c>
    </row>
    <row r="8" spans="1:65" x14ac:dyDescent="0.25">
      <c r="A8" s="287" t="s">
        <v>268</v>
      </c>
      <c r="B8" s="288">
        <f t="shared" si="0"/>
        <v>7</v>
      </c>
      <c r="C8" s="288">
        <v>1</v>
      </c>
      <c r="D8" s="288">
        <v>2022</v>
      </c>
      <c r="E8" s="294">
        <f>(IF('Section Load'!F11&gt;0,'Section Load'!F11,0))</f>
        <v>3527</v>
      </c>
      <c r="F8" s="294">
        <f>(IF('Section Load'!G11&gt;0,'Section Load'!G11,0))</f>
        <v>1524</v>
      </c>
      <c r="G8" s="294">
        <f>(IF('Section Load'!H11&gt;0,'Section Load'!H11,0))</f>
        <v>1668</v>
      </c>
      <c r="H8" s="294">
        <f>(IF('Section Load'!I11&gt;0,'Section Load'!I11,0))</f>
        <v>2675</v>
      </c>
      <c r="I8" s="294">
        <f>(IF('Section Load'!J11&gt;0,'Section Load'!J11,0))</f>
        <v>3369</v>
      </c>
      <c r="J8" s="294">
        <f>(IF('Section Load'!K11&gt;0,'Section Load'!K11,0))</f>
        <v>2246</v>
      </c>
      <c r="K8" s="294">
        <f>(IF('Section Load'!L11&gt;0,'Section Load'!L11,0))</f>
        <v>1043</v>
      </c>
      <c r="L8" s="294">
        <f>(IF('Section Load'!M11&gt;0,'Section Load'!M11,0))</f>
        <v>698</v>
      </c>
      <c r="M8" s="294">
        <f>(IF('Section Load'!N11&gt;0,'Section Load'!N11,0))</f>
        <v>74</v>
      </c>
      <c r="N8" s="294">
        <f>(IF('Section Load'!O11&gt;0,'Section Load'!O11,0))</f>
        <v>0</v>
      </c>
      <c r="O8" s="294">
        <f>(IF('Section Load'!P11&gt;0,'Section Load'!P11,0))</f>
        <v>0</v>
      </c>
      <c r="P8" s="294">
        <f>(IF('Section Load'!Q11&gt;0,'Section Load'!Q11,0))</f>
        <v>172</v>
      </c>
      <c r="Q8" s="294">
        <f>(IF('Section Load'!R11&gt;0,'Section Load'!R11,0))</f>
        <v>66</v>
      </c>
      <c r="R8" s="294">
        <f>(IF('Section Load'!S11&gt;0,'Section Load'!S11,0))</f>
        <v>17</v>
      </c>
      <c r="S8" s="294">
        <f>(IF('Section Load'!T11&gt;0,'Section Load'!T11,0))</f>
        <v>410</v>
      </c>
      <c r="T8" s="294">
        <f>(IF('Section Load'!U11&gt;0,'Section Load'!U11,0))</f>
        <v>230</v>
      </c>
      <c r="U8" s="294">
        <f>(IF('Section Load'!V11&gt;0,'Section Load'!V11,0))</f>
        <v>368</v>
      </c>
      <c r="V8" s="294">
        <f>(IF('Section Load'!W11&gt;0,'Section Load'!W11,0))</f>
        <v>247</v>
      </c>
      <c r="W8" s="294">
        <f>(IF('Section Load'!X11&gt;0,'Section Load'!X11,0))</f>
        <v>25</v>
      </c>
      <c r="X8" s="294">
        <f>(IF('Section Load'!Y11&gt;0,'Section Load'!Y11,0))</f>
        <v>199</v>
      </c>
      <c r="Y8" s="294">
        <f>(IF('Section Load'!Z11&gt;0,'Section Load'!Z11,0))</f>
        <v>215</v>
      </c>
      <c r="Z8" s="294">
        <f>(IF('Section Load'!AA11&gt;0,'Section Load'!AA11,0))</f>
        <v>65.440000000002328</v>
      </c>
      <c r="AA8" s="294">
        <f>(IF('Section Load'!AB11&gt;0,'Section Load'!AB11,0))</f>
        <v>34</v>
      </c>
      <c r="AB8" s="294">
        <f>(IF('Section Load'!AC11&gt;0,'Section Load'!AC11,0))</f>
        <v>0</v>
      </c>
      <c r="AC8" s="294">
        <f>(IF('Section Load'!AD11&gt;0,'Section Load'!AD11,0))</f>
        <v>48</v>
      </c>
      <c r="AD8" s="294">
        <f>(IF('Section Load'!AE11&gt;0,'Section Load'!AE11,0))</f>
        <v>0</v>
      </c>
      <c r="AE8" s="294">
        <f>(IF('Section Load'!AF11&gt;0,'Section Load'!AF11,0))</f>
        <v>29</v>
      </c>
      <c r="AF8" s="294">
        <f>(IF('Section Load'!AG11&gt;0,'Section Load'!AG11,0))</f>
        <v>639</v>
      </c>
      <c r="AG8" s="294">
        <f>(IF('Section Load'!AH11&gt;0,'Section Load'!AH11,0))</f>
        <v>437</v>
      </c>
      <c r="AH8" s="294">
        <f>(IF('Section Load'!AI11&gt;0,'Section Load'!AI11,0))</f>
        <v>428</v>
      </c>
      <c r="AI8" s="294">
        <f>(IF('Section Load'!AJ11&gt;0,'Section Load'!AJ11,0))</f>
        <v>720</v>
      </c>
      <c r="AJ8" s="294">
        <f>(IF('Section Load'!AK11&gt;0,'Section Load'!AK11,0))</f>
        <v>240</v>
      </c>
      <c r="AK8" s="294">
        <f>(IF('Section Load'!AL11&gt;0,'Section Load'!AL11,0))</f>
        <v>318</v>
      </c>
      <c r="AL8" s="294">
        <f>(IF('Section Load'!AM11&gt;0,'Section Load'!AM11,0))</f>
        <v>756</v>
      </c>
      <c r="AM8" s="295">
        <f>(IF('Water Report'!$J$7&gt;0,'Water Report'!$J$7,0))</f>
        <v>57</v>
      </c>
      <c r="AN8" s="295">
        <f>(IF('Water Report'!$J$8&gt;0,'Water Report'!$J$8,0))</f>
        <v>95</v>
      </c>
      <c r="AO8" s="295">
        <f>(IF('Water Report'!$J$9&gt;0,'Water Report'!$J$9,0))</f>
        <v>79</v>
      </c>
      <c r="AP8" s="295">
        <f>(IF('Water Report'!$J$10&gt;0,'Water Report'!$J$10,0))</f>
        <v>17</v>
      </c>
      <c r="AQ8" s="295">
        <f>(IF('Water Report'!$J$11&gt;0,'Water Report'!$J$11,0))</f>
        <v>23</v>
      </c>
      <c r="AR8" s="295">
        <f>(IF('Water Report'!$J$13&gt;0,'Water Report'!$J$13,0))</f>
        <v>42</v>
      </c>
      <c r="AS8" s="295">
        <f>(IF('Water Report'!$J$14&gt;0,'Water Report'!$J$14,0))</f>
        <v>7</v>
      </c>
      <c r="AT8" s="295">
        <f>(IF('Water Report'!$J$15&gt;0,'Water Report'!$J$15,0))</f>
        <v>9</v>
      </c>
      <c r="AU8" s="295">
        <f>(IF('Water Report'!$J$17&gt;0,'Water Report'!$J$17,0))</f>
        <v>0</v>
      </c>
      <c r="AV8" s="295">
        <f>(IF('Water Report'!$J$18&gt;0,'Water Report'!$J$18,0))</f>
        <v>11</v>
      </c>
      <c r="AW8" s="295">
        <f>(IF('Water Report'!$J$19&gt;0,'Water Report'!$J$19,0))</f>
        <v>11</v>
      </c>
      <c r="AX8" s="301">
        <f>(IF('Water Report'!$J$21&gt;0,'Water Report'!$J$21,0))</f>
        <v>62</v>
      </c>
      <c r="AY8" s="301">
        <f>(IF('Water Report'!$J$22&gt;0,'Water Report'!$J$22,0))</f>
        <v>9</v>
      </c>
      <c r="AZ8" s="301">
        <f>(IF('Water Report'!$J$23&gt;0,'Water Report'!$J$23,0))</f>
        <v>3</v>
      </c>
      <c r="BA8" s="301">
        <f>(IF('Water Report'!$J$14&gt;0,'Water Report'!$J$14,0))</f>
        <v>7</v>
      </c>
      <c r="BB8" s="301">
        <f>(IF('Water Report'!$J$15&gt;0,'Water Report'!$J$15,0))</f>
        <v>9</v>
      </c>
      <c r="BC8" s="301">
        <f>(IF('Water Report'!$J$13&gt;0,'Water Report'!$J$13,0))</f>
        <v>42</v>
      </c>
      <c r="BD8" s="301">
        <f>(IF('Water Report'!$J$24&gt;0,'Water Report'!$J$24,0))</f>
        <v>214</v>
      </c>
      <c r="BE8" s="301">
        <f>(IF('Water Report'!$J$25&gt;0,'Water Report'!$J$25,0))</f>
        <v>135</v>
      </c>
      <c r="BF8" s="301">
        <f>(IF('Water Report'!$J$27&gt;0,'Water Report'!$J$27,0))</f>
        <v>107</v>
      </c>
      <c r="BG8" s="296">
        <f>(IF('Section Load'!AN11&gt;0,'Section Load'!AN11,0))</f>
        <v>963</v>
      </c>
      <c r="BH8" s="296">
        <f>(IF('Section Load'!AO11&gt;0,'Section Load'!AO11,0))</f>
        <v>301</v>
      </c>
      <c r="BI8" s="296">
        <f>(IF('Section Load'!AP11&gt;0,'Section Load'!AP11,0))</f>
        <v>0</v>
      </c>
      <c r="BJ8" s="296">
        <f>(IF('Section Load'!AQ11&gt;0,'Section Load'!AQ11,0))</f>
        <v>72</v>
      </c>
      <c r="BK8" s="296">
        <f>(IF('Section Load'!AR11&gt;0,'Section Load'!AR11,0))</f>
        <v>39</v>
      </c>
      <c r="BL8" s="296">
        <f>(IF('Section Load'!AS11&gt;0,'Section Load'!AS11,0))</f>
        <v>1</v>
      </c>
      <c r="BM8" s="296">
        <f>(IF('Section Load'!AT11&gt;0,'Section Load'!AT11,0))</f>
        <v>550</v>
      </c>
    </row>
    <row r="9" spans="1:65" x14ac:dyDescent="0.25">
      <c r="A9" s="287" t="s">
        <v>268</v>
      </c>
      <c r="B9" s="288">
        <f t="shared" si="0"/>
        <v>8</v>
      </c>
      <c r="C9" s="288">
        <v>1</v>
      </c>
      <c r="D9" s="288">
        <v>2022</v>
      </c>
      <c r="E9" s="294">
        <f>(IF('Section Load'!F12&gt;0,'Section Load'!F12,0))</f>
        <v>3416</v>
      </c>
      <c r="F9" s="294">
        <f>(IF('Section Load'!G12&gt;0,'Section Load'!G12,0))</f>
        <v>1534</v>
      </c>
      <c r="G9" s="294">
        <f>(IF('Section Load'!H12&gt;0,'Section Load'!H12,0))</f>
        <v>1715</v>
      </c>
      <c r="H9" s="294">
        <f>(IF('Section Load'!I12&gt;0,'Section Load'!I12,0))</f>
        <v>2685</v>
      </c>
      <c r="I9" s="294">
        <f>(IF('Section Load'!J12&gt;0,'Section Load'!J12,0))</f>
        <v>3190</v>
      </c>
      <c r="J9" s="294">
        <f>(IF('Section Load'!K12&gt;0,'Section Load'!K12,0))</f>
        <v>2170</v>
      </c>
      <c r="K9" s="294">
        <f>(IF('Section Load'!L12&gt;0,'Section Load'!L12,0))</f>
        <v>974</v>
      </c>
      <c r="L9" s="294">
        <f>(IF('Section Load'!M12&gt;0,'Section Load'!M12,0))</f>
        <v>742</v>
      </c>
      <c r="M9" s="294">
        <f>(IF('Section Load'!N12&gt;0,'Section Load'!N12,0))</f>
        <v>64</v>
      </c>
      <c r="N9" s="294">
        <f>(IF('Section Load'!O12&gt;0,'Section Load'!O12,0))</f>
        <v>0</v>
      </c>
      <c r="O9" s="294">
        <f>(IF('Section Load'!P12&gt;0,'Section Load'!P12,0))</f>
        <v>0</v>
      </c>
      <c r="P9" s="294">
        <f>(IF('Section Load'!Q12&gt;0,'Section Load'!Q12,0))</f>
        <v>172</v>
      </c>
      <c r="Q9" s="294">
        <f>(IF('Section Load'!R12&gt;0,'Section Load'!R12,0))</f>
        <v>64</v>
      </c>
      <c r="R9" s="294">
        <f>(IF('Section Load'!S12&gt;0,'Section Load'!S12,0))</f>
        <v>18</v>
      </c>
      <c r="S9" s="294">
        <f>(IF('Section Load'!T12&gt;0,'Section Load'!T12,0))</f>
        <v>408</v>
      </c>
      <c r="T9" s="294">
        <f>(IF('Section Load'!U12&gt;0,'Section Load'!U12,0))</f>
        <v>240</v>
      </c>
      <c r="U9" s="294">
        <f>(IF('Section Load'!V12&gt;0,'Section Load'!V12,0))</f>
        <v>358</v>
      </c>
      <c r="V9" s="294">
        <f>(IF('Section Load'!W12&gt;0,'Section Load'!W12,0))</f>
        <v>265</v>
      </c>
      <c r="W9" s="294">
        <f>(IF('Section Load'!X12&gt;0,'Section Load'!X12,0))</f>
        <v>28</v>
      </c>
      <c r="X9" s="294">
        <f>(IF('Section Load'!Y12&gt;0,'Section Load'!Y12,0))</f>
        <v>181</v>
      </c>
      <c r="Y9" s="294">
        <f>(IF('Section Load'!Z12&gt;0,'Section Load'!Z12,0))</f>
        <v>231</v>
      </c>
      <c r="Z9" s="294">
        <f>(IF('Section Load'!AA12&gt;0,'Section Load'!AA12,0))</f>
        <v>6</v>
      </c>
      <c r="AA9" s="294">
        <f>(IF('Section Load'!AB12&gt;0,'Section Load'!AB12,0))</f>
        <v>21</v>
      </c>
      <c r="AB9" s="294">
        <f>(IF('Section Load'!AC12&gt;0,'Section Load'!AC12,0))</f>
        <v>0</v>
      </c>
      <c r="AC9" s="294">
        <f>(IF('Section Load'!AD12&gt;0,'Section Load'!AD12,0))</f>
        <v>28</v>
      </c>
      <c r="AD9" s="294">
        <f>(IF('Section Load'!AE12&gt;0,'Section Load'!AE12,0))</f>
        <v>0</v>
      </c>
      <c r="AE9" s="294">
        <f>(IF('Section Load'!AF12&gt;0,'Section Load'!AF12,0))</f>
        <v>22</v>
      </c>
      <c r="AF9" s="294">
        <f>(IF('Section Load'!AG12&gt;0,'Section Load'!AG12,0))</f>
        <v>85</v>
      </c>
      <c r="AG9" s="294">
        <f>(IF('Section Load'!AH12&gt;0,'Section Load'!AH12,0))</f>
        <v>453</v>
      </c>
      <c r="AH9" s="294">
        <f>(IF('Section Load'!AI12&gt;0,'Section Load'!AI12,0))</f>
        <v>414</v>
      </c>
      <c r="AI9" s="294">
        <f>(IF('Section Load'!AJ12&gt;0,'Section Load'!AJ12,0))</f>
        <v>709</v>
      </c>
      <c r="AJ9" s="294">
        <f>(IF('Section Load'!AK12&gt;0,'Section Load'!AK12,0))</f>
        <v>216</v>
      </c>
      <c r="AK9" s="294">
        <f>(IF('Section Load'!AL12&gt;0,'Section Load'!AL12,0))</f>
        <v>319</v>
      </c>
      <c r="AL9" s="294">
        <f>(IF('Section Load'!AM12&gt;0,'Section Load'!AM12,0))</f>
        <v>767</v>
      </c>
      <c r="AM9" s="295">
        <f>(IF('Water Report'!$K$7&gt;0,'Water Report'!$K$7,0))</f>
        <v>103</v>
      </c>
      <c r="AN9" s="295">
        <f>(IF('Water Report'!$K$8&gt;0,'Water Report'!$K$8,0))</f>
        <v>112</v>
      </c>
      <c r="AO9" s="295">
        <f>(IF('Water Report'!$K$9&gt;0,'Water Report'!$K$9,0))</f>
        <v>92</v>
      </c>
      <c r="AP9" s="295">
        <f>(IF('Water Report'!$K$10&gt;0,'Water Report'!$K$10,0))</f>
        <v>20</v>
      </c>
      <c r="AQ9" s="295">
        <f>(IF('Water Report'!$K$11&gt;0,'Water Report'!$K$11,0))</f>
        <v>21</v>
      </c>
      <c r="AR9" s="295">
        <f>(IF('Water Report'!$K$13&gt;0,'Water Report'!$K$13,0))</f>
        <v>30</v>
      </c>
      <c r="AS9" s="295">
        <f>(IF('Water Report'!$K$14&gt;0,'Water Report'!$K$14,0))</f>
        <v>6</v>
      </c>
      <c r="AT9" s="295">
        <f>(IF('Water Report'!$K$15&gt;0,'Water Report'!$K$15,0))</f>
        <v>8</v>
      </c>
      <c r="AU9" s="295">
        <f>(IF('Water Report'!$K$17&gt;0,'Water Report'!$K$17,0))</f>
        <v>0</v>
      </c>
      <c r="AV9" s="295">
        <f>(IF('Water Report'!$K$18&gt;0,'Water Report'!$K$18,0))</f>
        <v>12</v>
      </c>
      <c r="AW9" s="295">
        <f>(IF('Water Report'!$K$19&gt;0,'Water Report'!$K$19,0))</f>
        <v>9</v>
      </c>
      <c r="AX9" s="301">
        <f>(IF('Water Report'!$K$21&gt;0,'Water Report'!$K$21,0))</f>
        <v>60</v>
      </c>
      <c r="AY9" s="301">
        <f>(IF('Water Report'!$K$22&gt;0,'Water Report'!$K$22,0))</f>
        <v>14</v>
      </c>
      <c r="AZ9" s="301">
        <f>(IF('Water Report'!$K$23&gt;0,'Water Report'!$K$23,0))</f>
        <v>15</v>
      </c>
      <c r="BA9" s="301">
        <f>(IF('Water Report'!$K$14&gt;0,'Water Report'!$K$14,0))</f>
        <v>6</v>
      </c>
      <c r="BB9" s="301">
        <f>(IF('Water Report'!$K$15&gt;0,'Water Report'!$K$15,0))</f>
        <v>8</v>
      </c>
      <c r="BC9" s="301">
        <f>(IF('Water Report'!$K$13&gt;0,'Water Report'!$K$13,0))</f>
        <v>30</v>
      </c>
      <c r="BD9" s="301">
        <f>(IF('Water Report'!$K$24&gt;0,'Water Report'!$K$24,0))</f>
        <v>211</v>
      </c>
      <c r="BE9" s="301">
        <f>(IF('Water Report'!$K$25&gt;0,'Water Report'!$K$25,0))</f>
        <v>147</v>
      </c>
      <c r="BF9" s="301">
        <f>(IF('Water Report'!$K$27&gt;0,'Water Report'!$K$27,0))</f>
        <v>105</v>
      </c>
      <c r="BG9" s="296">
        <f>(IF('Section Load'!AN12&gt;0,'Section Load'!AN12,0))</f>
        <v>925</v>
      </c>
      <c r="BH9" s="296">
        <f>(IF('Section Load'!AO12&gt;0,'Section Load'!AO12,0))</f>
        <v>306</v>
      </c>
      <c r="BI9" s="296">
        <f>(IF('Section Load'!AP12&gt;0,'Section Load'!AP12,0))</f>
        <v>0</v>
      </c>
      <c r="BJ9" s="296">
        <f>(IF('Section Load'!AQ12&gt;0,'Section Load'!AQ12,0))</f>
        <v>87</v>
      </c>
      <c r="BK9" s="296">
        <f>(IF('Section Load'!AR12&gt;0,'Section Load'!AR12,0))</f>
        <v>24</v>
      </c>
      <c r="BL9" s="296">
        <f>(IF('Section Load'!AS12&gt;0,'Section Load'!AS12,0))</f>
        <v>0</v>
      </c>
      <c r="BM9" s="296">
        <f>(IF('Section Load'!AT12&gt;0,'Section Load'!AT12,0))</f>
        <v>508</v>
      </c>
    </row>
    <row r="10" spans="1:65" x14ac:dyDescent="0.25">
      <c r="A10" s="287" t="s">
        <v>268</v>
      </c>
      <c r="B10" s="288">
        <f t="shared" si="0"/>
        <v>9</v>
      </c>
      <c r="C10" s="288">
        <v>1</v>
      </c>
      <c r="D10" s="288">
        <v>2022</v>
      </c>
      <c r="E10" s="294">
        <f>(IF('Section Load'!F13&gt;0,'Section Load'!F13,0))</f>
        <v>3089</v>
      </c>
      <c r="F10" s="294">
        <f>(IF('Section Load'!G13&gt;0,'Section Load'!G13,0))</f>
        <v>1472</v>
      </c>
      <c r="G10" s="294">
        <f>(IF('Section Load'!H13&gt;0,'Section Load'!H13,0))</f>
        <v>1658</v>
      </c>
      <c r="H10" s="294">
        <f>(IF('Section Load'!I13&gt;0,'Section Load'!I13,0))</f>
        <v>2610</v>
      </c>
      <c r="I10" s="294">
        <f>(IF('Section Load'!J13&gt;0,'Section Load'!J13,0))</f>
        <v>2762.4599999999991</v>
      </c>
      <c r="J10" s="294">
        <f>(IF('Section Load'!K13&gt;0,'Section Load'!K13,0))</f>
        <v>2151</v>
      </c>
      <c r="K10" s="294">
        <f>(IF('Section Load'!L13&gt;0,'Section Load'!L13,0))</f>
        <v>969</v>
      </c>
      <c r="L10" s="294">
        <f>(IF('Section Load'!M13&gt;0,'Section Load'!M13,0))</f>
        <v>704</v>
      </c>
      <c r="M10" s="294">
        <f>(IF('Section Load'!N13&gt;0,'Section Load'!N13,0))</f>
        <v>54</v>
      </c>
      <c r="N10" s="294">
        <f>(IF('Section Load'!O13&gt;0,'Section Load'!O13,0))</f>
        <v>0</v>
      </c>
      <c r="O10" s="294">
        <f>(IF('Section Load'!P13&gt;0,'Section Load'!P13,0))</f>
        <v>0</v>
      </c>
      <c r="P10" s="294">
        <f>(IF('Section Load'!Q13&gt;0,'Section Load'!Q13,0))</f>
        <v>176</v>
      </c>
      <c r="Q10" s="294">
        <f>(IF('Section Load'!R13&gt;0,'Section Load'!R13,0))</f>
        <v>72</v>
      </c>
      <c r="R10" s="294">
        <f>(IF('Section Load'!S13&gt;0,'Section Load'!S13,0))</f>
        <v>18</v>
      </c>
      <c r="S10" s="294">
        <f>(IF('Section Load'!T13&gt;0,'Section Load'!T13,0))</f>
        <v>382</v>
      </c>
      <c r="T10" s="294">
        <f>(IF('Section Load'!U13&gt;0,'Section Load'!U13,0))</f>
        <v>220</v>
      </c>
      <c r="U10" s="294">
        <f>(IF('Section Load'!V13&gt;0,'Section Load'!V13,0))</f>
        <v>358</v>
      </c>
      <c r="V10" s="294">
        <f>(IF('Section Load'!W13&gt;0,'Section Load'!W13,0))</f>
        <v>228</v>
      </c>
      <c r="W10" s="294">
        <f>(IF('Section Load'!X13&gt;0,'Section Load'!X13,0))</f>
        <v>25</v>
      </c>
      <c r="X10" s="294">
        <f>(IF('Section Load'!Y13&gt;0,'Section Load'!Y13,0))</f>
        <v>184</v>
      </c>
      <c r="Y10" s="294">
        <f>(IF('Section Load'!Z13&gt;0,'Section Load'!Z13,0))</f>
        <v>216</v>
      </c>
      <c r="Z10" s="294">
        <f>(IF('Section Load'!AA13&gt;0,'Section Load'!AA13,0))</f>
        <v>6</v>
      </c>
      <c r="AA10" s="294">
        <f>(IF('Section Load'!AB13&gt;0,'Section Load'!AB13,0))</f>
        <v>23</v>
      </c>
      <c r="AB10" s="294">
        <f>(IF('Section Load'!AC13&gt;0,'Section Load'!AC13,0))</f>
        <v>0</v>
      </c>
      <c r="AC10" s="294">
        <f>(IF('Section Load'!AD13&gt;0,'Section Load'!AD13,0))</f>
        <v>33</v>
      </c>
      <c r="AD10" s="294">
        <f>(IF('Section Load'!AE13&gt;0,'Section Load'!AE13,0))</f>
        <v>0</v>
      </c>
      <c r="AE10" s="294">
        <f>(IF('Section Load'!AF13&gt;0,'Section Load'!AF13,0))</f>
        <v>23</v>
      </c>
      <c r="AF10" s="294">
        <f>(IF('Section Load'!AG13&gt;0,'Section Load'!AG13,0))</f>
        <v>346</v>
      </c>
      <c r="AG10" s="294">
        <f>(IF('Section Load'!AH13&gt;0,'Section Load'!AH13,0))</f>
        <v>442</v>
      </c>
      <c r="AH10" s="294">
        <f>(IF('Section Load'!AI13&gt;0,'Section Load'!AI13,0))</f>
        <v>422</v>
      </c>
      <c r="AI10" s="294">
        <f>(IF('Section Load'!AJ13&gt;0,'Section Load'!AJ13,0))</f>
        <v>702</v>
      </c>
      <c r="AJ10" s="294">
        <f>(IF('Section Load'!AK13&gt;0,'Section Load'!AK13,0))</f>
        <v>185</v>
      </c>
      <c r="AK10" s="294">
        <f>(IF('Section Load'!AL13&gt;0,'Section Load'!AL13,0))</f>
        <v>306</v>
      </c>
      <c r="AL10" s="294">
        <f>(IF('Section Load'!AM13&gt;0,'Section Load'!AM13,0))</f>
        <v>524</v>
      </c>
      <c r="AM10" s="295">
        <f>(IF('Water Report'!$L$7&gt;0,'Water Report'!$L$7,0))</f>
        <v>80</v>
      </c>
      <c r="AN10" s="295">
        <f>(IF('Water Report'!$L$8&gt;0,'Water Report'!$L$8,0))</f>
        <v>67</v>
      </c>
      <c r="AO10" s="295">
        <f>(IF('Water Report'!$L$9&gt;0,'Water Report'!$L$9,0))</f>
        <v>78</v>
      </c>
      <c r="AP10" s="295">
        <f>(IF('Water Report'!$L$10&gt;0,'Water Report'!$L$10,0))</f>
        <v>17</v>
      </c>
      <c r="AQ10" s="295">
        <f>(IF('Water Report'!$L$11&gt;0,'Water Report'!$L$11,0))</f>
        <v>24</v>
      </c>
      <c r="AR10" s="295">
        <f>(IF('Water Report'!$L$13&gt;0,'Water Report'!$L$13,0))</f>
        <v>27</v>
      </c>
      <c r="AS10" s="295">
        <f>(IF('Water Report'!$L$14&gt;0,'Water Report'!$L$14,0))</f>
        <v>7</v>
      </c>
      <c r="AT10" s="295">
        <f>(IF('Water Report'!$L$15&gt;0,'Water Report'!$L$15,0))</f>
        <v>14</v>
      </c>
      <c r="AU10" s="295">
        <f>(IF('Water Report'!$L$17&gt;0,'Water Report'!$L$17,0))</f>
        <v>0</v>
      </c>
      <c r="AV10" s="295">
        <f>(IF('Water Report'!$L$18&gt;0,'Water Report'!$L$18,0))</f>
        <v>18</v>
      </c>
      <c r="AW10" s="295">
        <f>(IF('Water Report'!$L$19&gt;0,'Water Report'!$L$19,0))</f>
        <v>10</v>
      </c>
      <c r="AX10" s="301">
        <f>(IF('Water Report'!$L$21&gt;0,'Water Report'!$L$21,0))</f>
        <v>61</v>
      </c>
      <c r="AY10" s="301">
        <f>(IF('Water Report'!$L$22&gt;0,'Water Report'!$L$22,0))</f>
        <v>18</v>
      </c>
      <c r="AZ10" s="301">
        <f>(IF('Water Report'!$L$23&gt;0,'Water Report'!$L$23,0))</f>
        <v>1</v>
      </c>
      <c r="BA10" s="301">
        <f>(IF('Water Report'!$L$14&gt;0,'Water Report'!$L$14,0))</f>
        <v>7</v>
      </c>
      <c r="BB10" s="301">
        <f>(IF('Water Report'!$L$15&gt;0,'Water Report'!$L$15,0))</f>
        <v>14</v>
      </c>
      <c r="BC10" s="301">
        <f>(IF('Water Report'!$L$13&gt;0,'Water Report'!$L$13,0))</f>
        <v>27</v>
      </c>
      <c r="BD10" s="301">
        <f>(IF('Water Report'!$L$24&gt;0,'Water Report'!$L$24,0))</f>
        <v>205</v>
      </c>
      <c r="BE10" s="301">
        <f>(IF('Water Report'!$L$25&gt;0,'Water Report'!$L$25,0))</f>
        <v>140</v>
      </c>
      <c r="BF10" s="301">
        <f>(IF('Water Report'!$L$27&gt;0,'Water Report'!$L$27,0))</f>
        <v>89</v>
      </c>
      <c r="BG10" s="296">
        <f>(IF('Section Load'!AN13&gt;0,'Section Load'!AN13,0))</f>
        <v>907</v>
      </c>
      <c r="BH10" s="296">
        <f>(IF('Section Load'!AO13&gt;0,'Section Load'!AO13,0))</f>
        <v>305</v>
      </c>
      <c r="BI10" s="296">
        <f>(IF('Section Load'!AP13&gt;0,'Section Load'!AP13,0))</f>
        <v>0.19999999999708962</v>
      </c>
      <c r="BJ10" s="296">
        <f>(IF('Section Load'!AQ13&gt;0,'Section Load'!AQ13,0))</f>
        <v>76</v>
      </c>
      <c r="BK10" s="296">
        <f>(IF('Section Load'!AR13&gt;0,'Section Load'!AR13,0))</f>
        <v>24</v>
      </c>
      <c r="BL10" s="296">
        <f>(IF('Section Load'!AS13&gt;0,'Section Load'!AS13,0))</f>
        <v>0</v>
      </c>
      <c r="BM10" s="296">
        <f>(IF('Section Load'!AT13&gt;0,'Section Load'!AT13,0))</f>
        <v>501.80000000000291</v>
      </c>
    </row>
    <row r="11" spans="1:65" x14ac:dyDescent="0.25">
      <c r="A11" s="287" t="s">
        <v>268</v>
      </c>
      <c r="B11" s="288">
        <f t="shared" si="0"/>
        <v>10</v>
      </c>
      <c r="C11" s="288">
        <v>1</v>
      </c>
      <c r="D11" s="288">
        <v>2022</v>
      </c>
      <c r="E11" s="294">
        <f>(IF('Section Load'!F14&gt;0,'Section Load'!F14,0))</f>
        <v>2752</v>
      </c>
      <c r="F11" s="294">
        <f>(IF('Section Load'!G14&gt;0,'Section Load'!G14,0))</f>
        <v>1452</v>
      </c>
      <c r="G11" s="294">
        <f>(IF('Section Load'!H14&gt;0,'Section Load'!H14,0))</f>
        <v>1541</v>
      </c>
      <c r="H11" s="294">
        <f>(IF('Section Load'!I14&gt;0,'Section Load'!I14,0))</f>
        <v>2574</v>
      </c>
      <c r="I11" s="294">
        <f>(IF('Section Load'!J14&gt;0,'Section Load'!J14,0))</f>
        <v>2760</v>
      </c>
      <c r="J11" s="294">
        <f>(IF('Section Load'!K14&gt;0,'Section Load'!K14,0))</f>
        <v>2123</v>
      </c>
      <c r="K11" s="294">
        <f>(IF('Section Load'!L14&gt;0,'Section Load'!L14,0))</f>
        <v>940</v>
      </c>
      <c r="L11" s="294">
        <f>(IF('Section Load'!M14&gt;0,'Section Load'!M14,0))</f>
        <v>634</v>
      </c>
      <c r="M11" s="294">
        <f>(IF('Section Load'!N14&gt;0,'Section Load'!N14,0))</f>
        <v>42</v>
      </c>
      <c r="N11" s="294">
        <f>(IF('Section Load'!O14&gt;0,'Section Load'!O14,0))</f>
        <v>0</v>
      </c>
      <c r="O11" s="294">
        <f>(IF('Section Load'!P14&gt;0,'Section Load'!P14,0))</f>
        <v>0</v>
      </c>
      <c r="P11" s="294">
        <f>(IF('Section Load'!Q14&gt;0,'Section Load'!Q14,0))</f>
        <v>175</v>
      </c>
      <c r="Q11" s="294">
        <f>(IF('Section Load'!R14&gt;0,'Section Load'!R14,0))</f>
        <v>66</v>
      </c>
      <c r="R11" s="294">
        <f>(IF('Section Load'!S14&gt;0,'Section Load'!S14,0))</f>
        <v>11</v>
      </c>
      <c r="S11" s="294">
        <f>(IF('Section Load'!T14&gt;0,'Section Load'!T14,0))</f>
        <v>362</v>
      </c>
      <c r="T11" s="294">
        <f>(IF('Section Load'!U14&gt;0,'Section Load'!U14,0))</f>
        <v>228</v>
      </c>
      <c r="U11" s="294">
        <f>(IF('Section Load'!V14&gt;0,'Section Load'!V14,0))</f>
        <v>374</v>
      </c>
      <c r="V11" s="294">
        <f>(IF('Section Load'!W14&gt;0,'Section Load'!W14,0))</f>
        <v>221</v>
      </c>
      <c r="W11" s="294">
        <f>(IF('Section Load'!X14&gt;0,'Section Load'!X14,0))</f>
        <v>22</v>
      </c>
      <c r="X11" s="294">
        <f>(IF('Section Load'!Y14&gt;0,'Section Load'!Y14,0))</f>
        <v>80</v>
      </c>
      <c r="Y11" s="294">
        <f>(IF('Section Load'!Z14&gt;0,'Section Load'!Z14,0))</f>
        <v>218</v>
      </c>
      <c r="Z11" s="294">
        <f>(IF('Section Load'!AA14&gt;0,'Section Load'!AA14,0))</f>
        <v>65</v>
      </c>
      <c r="AA11" s="294">
        <f>(IF('Section Load'!AB14&gt;0,'Section Load'!AB14,0))</f>
        <v>28</v>
      </c>
      <c r="AB11" s="294">
        <f>(IF('Section Load'!AC14&gt;0,'Section Load'!AC14,0))</f>
        <v>0</v>
      </c>
      <c r="AC11" s="294">
        <f>(IF('Section Load'!AD14&gt;0,'Section Load'!AD14,0))</f>
        <v>63</v>
      </c>
      <c r="AD11" s="294">
        <f>(IF('Section Load'!AE14&gt;0,'Section Load'!AE14,0))</f>
        <v>0</v>
      </c>
      <c r="AE11" s="294">
        <f>(IF('Section Load'!AF14&gt;0,'Section Load'!AF14,0))</f>
        <v>23</v>
      </c>
      <c r="AF11" s="294">
        <f>(IF('Section Load'!AG14&gt;0,'Section Load'!AG14,0))</f>
        <v>362</v>
      </c>
      <c r="AG11" s="294">
        <f>(IF('Section Load'!AH14&gt;0,'Section Load'!AH14,0))</f>
        <v>411</v>
      </c>
      <c r="AH11" s="294">
        <f>(IF('Section Load'!AI14&gt;0,'Section Load'!AI14,0))</f>
        <v>410</v>
      </c>
      <c r="AI11" s="294">
        <f>(IF('Section Load'!AJ14&gt;0,'Section Load'!AJ14,0))</f>
        <v>662</v>
      </c>
      <c r="AJ11" s="294">
        <f>(IF('Section Load'!AK14&gt;0,'Section Load'!AK14,0))</f>
        <v>175</v>
      </c>
      <c r="AK11" s="294">
        <f>(IF('Section Load'!AL14&gt;0,'Section Load'!AL14,0))</f>
        <v>302</v>
      </c>
      <c r="AL11" s="294">
        <f>(IF('Section Load'!AM14&gt;0,'Section Load'!AM14,0))</f>
        <v>366</v>
      </c>
      <c r="AM11" s="295">
        <f>(IF('Water Report'!$M$7&gt;0,'Water Report'!$M$7,0))</f>
        <v>61</v>
      </c>
      <c r="AN11" s="295">
        <f>(IF('Water Report'!$M$8&gt;0,'Water Report'!$M$8,0))</f>
        <v>104</v>
      </c>
      <c r="AO11" s="295">
        <f>(IF('Water Report'!$M$9&gt;0,'Water Report'!$M$9,0))</f>
        <v>58</v>
      </c>
      <c r="AP11" s="295">
        <f>(IF('Water Report'!$M$10&gt;0,'Water Report'!$M$10,0))</f>
        <v>14</v>
      </c>
      <c r="AQ11" s="295">
        <f>(IF('Water Report'!$M$11&gt;0,'Water Report'!$M$11,0))</f>
        <v>21</v>
      </c>
      <c r="AR11" s="295">
        <f>(IF('Water Report'!$M$13&gt;0,'Water Report'!$M$13,0))</f>
        <v>26</v>
      </c>
      <c r="AS11" s="295">
        <f>(IF('Water Report'!$M$14&gt;0,'Water Report'!$M$14,0))</f>
        <v>9</v>
      </c>
      <c r="AT11" s="295">
        <f>(IF('Water Report'!$M$15&gt;0,'Water Report'!$M$15,0))</f>
        <v>4</v>
      </c>
      <c r="AU11" s="295">
        <f>(IF('Water Report'!$M$17&gt;0,'Water Report'!$M$17,0))</f>
        <v>0</v>
      </c>
      <c r="AV11" s="295">
        <f>(IF('Water Report'!$M$18&gt;0,'Water Report'!$M$18,0))</f>
        <v>1</v>
      </c>
      <c r="AW11" s="295">
        <f>(IF('Water Report'!$M$19&gt;0,'Water Report'!$M$19,0))</f>
        <v>4</v>
      </c>
      <c r="AX11" s="301">
        <f>(IF('Water Report'!$M$21&gt;0,'Water Report'!$M$21,0))</f>
        <v>41</v>
      </c>
      <c r="AY11" s="301">
        <f>(IF('Water Report'!$M$22&gt;0,'Water Report'!$M$22,0))</f>
        <v>23</v>
      </c>
      <c r="AZ11" s="301">
        <f>(IF('Water Report'!$M$23&gt;0,'Water Report'!$M$23,0))</f>
        <v>0</v>
      </c>
      <c r="BA11" s="301">
        <f>(IF('Water Report'!$M$14&gt;0,'Water Report'!$M$14,0))</f>
        <v>9</v>
      </c>
      <c r="BB11" s="301">
        <f>(IF('Water Report'!$M$15&gt;0,'Water Report'!$M$15,0))</f>
        <v>4</v>
      </c>
      <c r="BC11" s="301">
        <f>(IF('Water Report'!$M$13&gt;0,'Water Report'!$M$13,0))</f>
        <v>26</v>
      </c>
      <c r="BD11" s="301">
        <f>(IF('Water Report'!$M$24&gt;0,'Water Report'!$M$24,0))</f>
        <v>124</v>
      </c>
      <c r="BE11" s="301">
        <f>(IF('Water Report'!$M$25&gt;0,'Water Report'!$M$25,0))</f>
        <v>106</v>
      </c>
      <c r="BF11" s="301">
        <f>(IF('Water Report'!$M$27&gt;0,'Water Report'!$M$27,0))</f>
        <v>67</v>
      </c>
      <c r="BG11" s="296">
        <f>(IF('Section Load'!AN14&gt;0,'Section Load'!AN14,0))</f>
        <v>759</v>
      </c>
      <c r="BH11" s="296">
        <f>(IF('Section Load'!AO14&gt;0,'Section Load'!AO14,0))</f>
        <v>313</v>
      </c>
      <c r="BI11" s="296">
        <f>(IF('Section Load'!AP14&gt;0,'Section Load'!AP14,0))</f>
        <v>0</v>
      </c>
      <c r="BJ11" s="296">
        <f>(IF('Section Load'!AQ14&gt;0,'Section Load'!AQ14,0))</f>
        <v>91</v>
      </c>
      <c r="BK11" s="296">
        <f>(IF('Section Load'!AR14&gt;0,'Section Load'!AR14,0))</f>
        <v>34</v>
      </c>
      <c r="BL11" s="296">
        <f>(IF('Section Load'!AS14&gt;0,'Section Load'!AS14,0))</f>
        <v>1.2999999999992724</v>
      </c>
      <c r="BM11" s="296">
        <f>(IF('Section Load'!AT14&gt;0,'Section Load'!AT14,0))</f>
        <v>319.70000000000073</v>
      </c>
    </row>
    <row r="12" spans="1:65" x14ac:dyDescent="0.25">
      <c r="A12" s="287" t="s">
        <v>268</v>
      </c>
      <c r="B12" s="288">
        <f t="shared" si="0"/>
        <v>11</v>
      </c>
      <c r="C12" s="288">
        <v>1</v>
      </c>
      <c r="D12" s="288">
        <v>2022</v>
      </c>
      <c r="E12" s="294">
        <f>(IF('Section Load'!F15&gt;0,'Section Load'!F15,0))</f>
        <v>2699</v>
      </c>
      <c r="F12" s="294">
        <f>(IF('Section Load'!G15&gt;0,'Section Load'!G15,0))</f>
        <v>1445</v>
      </c>
      <c r="G12" s="294">
        <f>(IF('Section Load'!H15&gt;0,'Section Load'!H15,0))</f>
        <v>1494</v>
      </c>
      <c r="H12" s="294">
        <f>(IF('Section Load'!I15&gt;0,'Section Load'!I15,0))</f>
        <v>2471</v>
      </c>
      <c r="I12" s="294">
        <f>(IF('Section Load'!J15&gt;0,'Section Load'!J15,0))</f>
        <v>2906.3999999999942</v>
      </c>
      <c r="J12" s="294">
        <f>(IF('Section Load'!K15&gt;0,'Section Load'!K15,0))</f>
        <v>2040</v>
      </c>
      <c r="K12" s="294">
        <f>(IF('Section Load'!L15&gt;0,'Section Load'!L15,0))</f>
        <v>979</v>
      </c>
      <c r="L12" s="294">
        <f>(IF('Section Load'!M15&gt;0,'Section Load'!M15,0))</f>
        <v>590</v>
      </c>
      <c r="M12" s="294">
        <f>(IF('Section Load'!N15&gt;0,'Section Load'!N15,0))</f>
        <v>48</v>
      </c>
      <c r="N12" s="294">
        <f>(IF('Section Load'!O15&gt;0,'Section Load'!O15,0))</f>
        <v>0</v>
      </c>
      <c r="O12" s="294">
        <f>(IF('Section Load'!P15&gt;0,'Section Load'!P15,0))</f>
        <v>0</v>
      </c>
      <c r="P12" s="294">
        <f>(IF('Section Load'!Q15&gt;0,'Section Load'!Q15,0))</f>
        <v>167</v>
      </c>
      <c r="Q12" s="294">
        <f>(IF('Section Load'!R15&gt;0,'Section Load'!R15,0))</f>
        <v>65</v>
      </c>
      <c r="R12" s="294">
        <f>(IF('Section Load'!S15&gt;0,'Section Load'!S15,0))</f>
        <v>10</v>
      </c>
      <c r="S12" s="294">
        <f>(IF('Section Load'!T15&gt;0,'Section Load'!T15,0))</f>
        <v>287</v>
      </c>
      <c r="T12" s="294">
        <f>(IF('Section Load'!U15&gt;0,'Section Load'!U15,0))</f>
        <v>214</v>
      </c>
      <c r="U12" s="294">
        <f>(IF('Section Load'!V15&gt;0,'Section Load'!V15,0))</f>
        <v>353</v>
      </c>
      <c r="V12" s="294">
        <f>(IF('Section Load'!W15&gt;0,'Section Load'!W15,0))</f>
        <v>188</v>
      </c>
      <c r="W12" s="294">
        <f>(IF('Section Load'!X15&gt;0,'Section Load'!X15,0))</f>
        <v>24</v>
      </c>
      <c r="X12" s="294">
        <f>(IF('Section Load'!Y15&gt;0,'Section Load'!Y15,0))</f>
        <v>231</v>
      </c>
      <c r="Y12" s="294">
        <f>(IF('Section Load'!Z15&gt;0,'Section Load'!Z15,0))</f>
        <v>213</v>
      </c>
      <c r="Z12" s="294">
        <f>(IF('Section Load'!AA15&gt;0,'Section Load'!AA15,0))</f>
        <v>107</v>
      </c>
      <c r="AA12" s="294">
        <f>(IF('Section Load'!AB15&gt;0,'Section Load'!AB15,0))</f>
        <v>36</v>
      </c>
      <c r="AB12" s="294">
        <f>(IF('Section Load'!AC15&gt;0,'Section Load'!AC15,0))</f>
        <v>0</v>
      </c>
      <c r="AC12" s="294">
        <f>(IF('Section Load'!AD15&gt;0,'Section Load'!AD15,0))</f>
        <v>35</v>
      </c>
      <c r="AD12" s="294">
        <f>(IF('Section Load'!AE15&gt;0,'Section Load'!AE15,0))</f>
        <v>0</v>
      </c>
      <c r="AE12" s="294">
        <f>(IF('Section Load'!AF15&gt;0,'Section Load'!AF15,0))</f>
        <v>25</v>
      </c>
      <c r="AF12" s="294">
        <f>(IF('Section Load'!AG15&gt;0,'Section Load'!AG15,0))</f>
        <v>338</v>
      </c>
      <c r="AG12" s="294">
        <f>(IF('Section Load'!AH15&gt;0,'Section Load'!AH15,0))</f>
        <v>400</v>
      </c>
      <c r="AH12" s="294">
        <f>(IF('Section Load'!AI15&gt;0,'Section Load'!AI15,0))</f>
        <v>379</v>
      </c>
      <c r="AI12" s="294">
        <f>(IF('Section Load'!AJ15&gt;0,'Section Load'!AJ15,0))</f>
        <v>619</v>
      </c>
      <c r="AJ12" s="294">
        <f>(IF('Section Load'!AK15&gt;0,'Section Load'!AK15,0))</f>
        <v>173</v>
      </c>
      <c r="AK12" s="294">
        <f>(IF('Section Load'!AL15&gt;0,'Section Load'!AL15,0))</f>
        <v>283</v>
      </c>
      <c r="AL12" s="294">
        <f>(IF('Section Load'!AM15&gt;0,'Section Load'!AM15,0))</f>
        <v>386</v>
      </c>
      <c r="AM12" s="295">
        <f>(IF('Water Report'!$N$7&gt;0,'Water Report'!$N$7,0))</f>
        <v>73</v>
      </c>
      <c r="AN12" s="295">
        <f>(IF('Water Report'!$N$8&gt;0,'Water Report'!$N$8,0))</f>
        <v>108</v>
      </c>
      <c r="AO12" s="295">
        <f>(IF('Water Report'!$N$9&gt;0,'Water Report'!$N$9,0))</f>
        <v>79</v>
      </c>
      <c r="AP12" s="295">
        <f>(IF('Water Report'!$N$10&gt;0,'Water Report'!$N$10,0))</f>
        <v>14</v>
      </c>
      <c r="AQ12" s="295">
        <f>(IF('Water Report'!$N$11&gt;0,'Water Report'!$N$11,0))</f>
        <v>17</v>
      </c>
      <c r="AR12" s="295">
        <f>(IF('Water Report'!$N$13&gt;0,'Water Report'!$N$13,0))</f>
        <v>26</v>
      </c>
      <c r="AS12" s="295">
        <f>(IF('Water Report'!$N$14&gt;0,'Water Report'!$N$14,0))</f>
        <v>8</v>
      </c>
      <c r="AT12" s="295">
        <f>(IF('Water Report'!$N$15&gt;0,'Water Report'!$N$15,0))</f>
        <v>6</v>
      </c>
      <c r="AU12" s="295">
        <f>(IF('Water Report'!$N$17&gt;0,'Water Report'!$N$17,0))</f>
        <v>0</v>
      </c>
      <c r="AV12" s="295">
        <f>(IF('Water Report'!$N$18&gt;0,'Water Report'!$N$18,0))</f>
        <v>14</v>
      </c>
      <c r="AW12" s="295">
        <f>(IF('Water Report'!$N$19&gt;0,'Water Report'!$N$19,0))</f>
        <v>11</v>
      </c>
      <c r="AX12" s="301">
        <f>(IF('Water Report'!$N$21&gt;0,'Water Report'!$N$21,0))</f>
        <v>42</v>
      </c>
      <c r="AY12" s="301">
        <f>(IF('Water Report'!$N$22&gt;0,'Water Report'!$N$22,0))</f>
        <v>34</v>
      </c>
      <c r="AZ12" s="301">
        <f>(IF('Water Report'!$N$23&gt;0,'Water Report'!$N$23,0))</f>
        <v>2</v>
      </c>
      <c r="BA12" s="301">
        <f>(IF('Water Report'!$N$14&gt;0,'Water Report'!$N$14,0))</f>
        <v>8</v>
      </c>
      <c r="BB12" s="301">
        <f>(IF('Water Report'!$N$15&gt;0,'Water Report'!$N$15,0))</f>
        <v>6</v>
      </c>
      <c r="BC12" s="301">
        <f>(IF('Water Report'!$N$13&gt;0,'Water Report'!$N$13,0))</f>
        <v>26</v>
      </c>
      <c r="BD12" s="301">
        <f>(IF('Water Report'!$N$24&gt;0,'Water Report'!$N$24,0))</f>
        <v>130</v>
      </c>
      <c r="BE12" s="301">
        <f>(IF('Water Report'!$N$25&gt;0,'Water Report'!$N$25,0))</f>
        <v>124</v>
      </c>
      <c r="BF12" s="301">
        <f>(IF('Water Report'!$N$27&gt;0,'Water Report'!$N$27,0))</f>
        <v>70</v>
      </c>
      <c r="BG12" s="296">
        <f>(IF('Section Load'!AN15&gt;0,'Section Load'!AN15,0))</f>
        <v>931</v>
      </c>
      <c r="BH12" s="296">
        <f>(IF('Section Load'!AO15&gt;0,'Section Load'!AO15,0))</f>
        <v>314</v>
      </c>
      <c r="BI12" s="296">
        <f>(IF('Section Load'!AP15&gt;0,'Section Load'!AP15,0))</f>
        <v>0</v>
      </c>
      <c r="BJ12" s="296">
        <f>(IF('Section Load'!AQ15&gt;0,'Section Load'!AQ15,0))</f>
        <v>63</v>
      </c>
      <c r="BK12" s="296">
        <f>(IF('Section Load'!AR15&gt;0,'Section Load'!AR15,0))</f>
        <v>19</v>
      </c>
      <c r="BL12" s="296">
        <f>(IF('Section Load'!AS15&gt;0,'Section Load'!AS15,0))</f>
        <v>1.7000000000007276</v>
      </c>
      <c r="BM12" s="296">
        <f>(IF('Section Load'!AT15&gt;0,'Section Load'!AT15,0))</f>
        <v>533.29999999999927</v>
      </c>
    </row>
    <row r="13" spans="1:65" x14ac:dyDescent="0.25">
      <c r="A13" s="287" t="s">
        <v>268</v>
      </c>
      <c r="B13" s="288">
        <f t="shared" si="0"/>
        <v>12</v>
      </c>
      <c r="C13" s="288">
        <v>1</v>
      </c>
      <c r="D13" s="288">
        <v>2022</v>
      </c>
      <c r="E13" s="294">
        <f>(IF('Section Load'!F16&gt;0,'Section Load'!F16,0))</f>
        <v>2756</v>
      </c>
      <c r="F13" s="294">
        <f>(IF('Section Load'!G16&gt;0,'Section Load'!G16,0))</f>
        <v>1481</v>
      </c>
      <c r="G13" s="294">
        <f>(IF('Section Load'!H16&gt;0,'Section Load'!H16,0))</f>
        <v>1484</v>
      </c>
      <c r="H13" s="294">
        <f>(IF('Section Load'!I16&gt;0,'Section Load'!I16,0))</f>
        <v>2461</v>
      </c>
      <c r="I13" s="294">
        <f>(IF('Section Load'!J16&gt;0,'Section Load'!J16,0))</f>
        <v>2812</v>
      </c>
      <c r="J13" s="294">
        <f>(IF('Section Load'!K16&gt;0,'Section Load'!K16,0))</f>
        <v>2022</v>
      </c>
      <c r="K13" s="294">
        <f>(IF('Section Load'!L16&gt;0,'Section Load'!L16,0))</f>
        <v>848</v>
      </c>
      <c r="L13" s="294">
        <f>(IF('Section Load'!M16&gt;0,'Section Load'!M16,0))</f>
        <v>613</v>
      </c>
      <c r="M13" s="294">
        <f>(IF('Section Load'!N16&gt;0,'Section Load'!N16,0))</f>
        <v>55</v>
      </c>
      <c r="N13" s="294">
        <f>(IF('Section Load'!O16&gt;0,'Section Load'!O16,0))</f>
        <v>0</v>
      </c>
      <c r="O13" s="294">
        <f>(IF('Section Load'!P16&gt;0,'Section Load'!P16,0))</f>
        <v>0</v>
      </c>
      <c r="P13" s="294">
        <f>(IF('Section Load'!Q16&gt;0,'Section Load'!Q16,0))</f>
        <v>174</v>
      </c>
      <c r="Q13" s="294">
        <f>(IF('Section Load'!R16&gt;0,'Section Load'!R16,0))</f>
        <v>69</v>
      </c>
      <c r="R13" s="294">
        <f>(IF('Section Load'!S16&gt;0,'Section Load'!S16,0))</f>
        <v>10</v>
      </c>
      <c r="S13" s="294">
        <f>(IF('Section Load'!T16&gt;0,'Section Load'!T16,0))</f>
        <v>321</v>
      </c>
      <c r="T13" s="294">
        <f>(IF('Section Load'!U16&gt;0,'Section Load'!U16,0))</f>
        <v>231</v>
      </c>
      <c r="U13" s="294">
        <f>(IF('Section Load'!V16&gt;0,'Section Load'!V16,0))</f>
        <v>306</v>
      </c>
      <c r="V13" s="294">
        <f>(IF('Section Load'!W16&gt;0,'Section Load'!W16,0))</f>
        <v>196</v>
      </c>
      <c r="W13" s="294">
        <f>(IF('Section Load'!X16&gt;0,'Section Load'!X16,0))</f>
        <v>25</v>
      </c>
      <c r="X13" s="294">
        <f>(IF('Section Load'!Y16&gt;0,'Section Load'!Y16,0))</f>
        <v>13</v>
      </c>
      <c r="Y13" s="294">
        <f>(IF('Section Load'!Z16&gt;0,'Section Load'!Z16,0))</f>
        <v>232</v>
      </c>
      <c r="Z13" s="294">
        <f>(IF('Section Load'!AA16&gt;0,'Section Load'!AA16,0))</f>
        <v>8</v>
      </c>
      <c r="AA13" s="294">
        <f>(IF('Section Load'!AB16&gt;0,'Section Load'!AB16,0))</f>
        <v>30</v>
      </c>
      <c r="AB13" s="294">
        <f>(IF('Section Load'!AC16&gt;0,'Section Load'!AC16,0))</f>
        <v>0</v>
      </c>
      <c r="AC13" s="294">
        <f>(IF('Section Load'!AD16&gt;0,'Section Load'!AD16,0))</f>
        <v>35</v>
      </c>
      <c r="AD13" s="294">
        <f>(IF('Section Load'!AE16&gt;0,'Section Load'!AE16,0))</f>
        <v>0</v>
      </c>
      <c r="AE13" s="294">
        <f>(IF('Section Load'!AF16&gt;0,'Section Load'!AF16,0))</f>
        <v>17</v>
      </c>
      <c r="AF13" s="294">
        <f>(IF('Section Load'!AG16&gt;0,'Section Load'!AG16,0))</f>
        <v>339</v>
      </c>
      <c r="AG13" s="294">
        <f>(IF('Section Load'!AH16&gt;0,'Section Load'!AH16,0))</f>
        <v>401</v>
      </c>
      <c r="AH13" s="294">
        <f>(IF('Section Load'!AI16&gt;0,'Section Load'!AI16,0))</f>
        <v>397</v>
      </c>
      <c r="AI13" s="294">
        <f>(IF('Section Load'!AJ16&gt;0,'Section Load'!AJ16,0))</f>
        <v>641</v>
      </c>
      <c r="AJ13" s="294">
        <f>(IF('Section Load'!AK16&gt;0,'Section Load'!AK16,0))</f>
        <v>189</v>
      </c>
      <c r="AK13" s="294">
        <f>(IF('Section Load'!AL16&gt;0,'Section Load'!AL16,0))</f>
        <v>281</v>
      </c>
      <c r="AL13" s="294">
        <f>(IF('Section Load'!AM16&gt;0,'Section Load'!AM16,0))</f>
        <v>413</v>
      </c>
      <c r="AM13" s="295">
        <f>(IF('Water Report'!$O$7&gt;0,'Water Report'!$O$7,0))</f>
        <v>44</v>
      </c>
      <c r="AN13" s="295">
        <f>(IF('Water Report'!$O$8&gt;0,'Water Report'!$O$8,0))</f>
        <v>97</v>
      </c>
      <c r="AO13" s="295">
        <f>(IF('Water Report'!$O$9&gt;0,'Water Report'!$O$9,0))</f>
        <v>48</v>
      </c>
      <c r="AP13" s="295">
        <f>(IF('Water Report'!$O$10&gt;0,'Water Report'!$O$10,0))</f>
        <v>6</v>
      </c>
      <c r="AQ13" s="295">
        <f>(IF('Water Report'!$O$11&gt;0,'Water Report'!$O$11,0))</f>
        <v>15</v>
      </c>
      <c r="AR13" s="295">
        <f>(IF('Water Report'!$O$13&gt;0,'Water Report'!$O$13,0))</f>
        <v>23</v>
      </c>
      <c r="AS13" s="295">
        <f>(IF('Water Report'!$O$14&gt;0,'Water Report'!$O$14,0))</f>
        <v>6</v>
      </c>
      <c r="AT13" s="295">
        <f>(IF('Water Report'!$O$15&gt;0,'Water Report'!$O$15,0))</f>
        <v>4</v>
      </c>
      <c r="AU13" s="295">
        <f>(IF('Water Report'!$O$17&gt;0,'Water Report'!$O$17,0))</f>
        <v>0</v>
      </c>
      <c r="AV13" s="295">
        <f>(IF('Water Report'!$O$18&gt;0,'Water Report'!$O$18,0))</f>
        <v>0</v>
      </c>
      <c r="AW13" s="295">
        <f>(IF('Water Report'!$O$19&gt;0,'Water Report'!$O$19,0))</f>
        <v>5</v>
      </c>
      <c r="AX13" s="301">
        <f>(IF('Water Report'!$O$21&gt;0,'Water Report'!$O$21,0))</f>
        <v>43</v>
      </c>
      <c r="AY13" s="301">
        <f>(IF('Water Report'!$O$22&gt;0,'Water Report'!$O$22,0))</f>
        <v>19</v>
      </c>
      <c r="AZ13" s="301">
        <f>(IF('Water Report'!$O$23&gt;0,'Water Report'!$O$23,0))</f>
        <v>17</v>
      </c>
      <c r="BA13" s="301">
        <f>(IF('Water Report'!$O$14&gt;0,'Water Report'!$O$14,0))</f>
        <v>6</v>
      </c>
      <c r="BB13" s="301">
        <f>(IF('Water Report'!$O$15&gt;0,'Water Report'!$O$15,0))</f>
        <v>4</v>
      </c>
      <c r="BC13" s="301">
        <f>(IF('Water Report'!$O$13&gt;0,'Water Report'!$O$13,0))</f>
        <v>23</v>
      </c>
      <c r="BD13" s="301">
        <f>(IF('Water Report'!$O$24&gt;0,'Water Report'!$O$24,0))</f>
        <v>136</v>
      </c>
      <c r="BE13" s="301">
        <f>(IF('Water Report'!$O$25&gt;0,'Water Report'!$O$25,0))</f>
        <v>79</v>
      </c>
      <c r="BF13" s="301">
        <f>(IF('Water Report'!$O$27&gt;0,'Water Report'!$O$27,0))</f>
        <v>83</v>
      </c>
      <c r="BG13" s="296">
        <f>(IF('Section Load'!AN16&gt;0,'Section Load'!AN16,0))</f>
        <v>644</v>
      </c>
      <c r="BH13" s="296">
        <f>(IF('Section Load'!AO16&gt;0,'Section Load'!AO16,0))</f>
        <v>379</v>
      </c>
      <c r="BI13" s="296">
        <f>(IF('Section Load'!AP16&gt;0,'Section Load'!AP16,0))</f>
        <v>0</v>
      </c>
      <c r="BJ13" s="296">
        <f>(IF('Section Load'!AQ16&gt;0,'Section Load'!AQ16,0))</f>
        <v>78</v>
      </c>
      <c r="BK13" s="296">
        <f>(IF('Section Load'!AR16&gt;0,'Section Load'!AR16,0))</f>
        <v>23</v>
      </c>
      <c r="BL13" s="296">
        <f>(IF('Section Load'!AS16&gt;0,'Section Load'!AS16,0))</f>
        <v>0</v>
      </c>
      <c r="BM13" s="296">
        <f>(IF('Section Load'!AT16&gt;0,'Section Load'!AT16,0))</f>
        <v>164</v>
      </c>
    </row>
    <row r="14" spans="1:65" x14ac:dyDescent="0.25">
      <c r="A14" s="287" t="s">
        <v>268</v>
      </c>
      <c r="B14" s="288">
        <f t="shared" si="0"/>
        <v>13</v>
      </c>
      <c r="C14" s="288">
        <v>1</v>
      </c>
      <c r="D14" s="288">
        <v>2022</v>
      </c>
      <c r="E14" s="294">
        <f>(IF('Section Load'!F17&gt;0,'Section Load'!F17,0))</f>
        <v>2750</v>
      </c>
      <c r="F14" s="294">
        <f>(IF('Section Load'!G17&gt;0,'Section Load'!G17,0))</f>
        <v>1471</v>
      </c>
      <c r="G14" s="294">
        <f>(IF('Section Load'!H17&gt;0,'Section Load'!H17,0))</f>
        <v>1543</v>
      </c>
      <c r="H14" s="294">
        <f>(IF('Section Load'!I17&gt;0,'Section Load'!I17,0))</f>
        <v>2404</v>
      </c>
      <c r="I14" s="294">
        <f>(IF('Section Load'!J17&gt;0,'Section Load'!J17,0))</f>
        <v>2861</v>
      </c>
      <c r="J14" s="294">
        <f>(IF('Section Load'!K17&gt;0,'Section Load'!K17,0))</f>
        <v>2011</v>
      </c>
      <c r="K14" s="294">
        <f>(IF('Section Load'!L17&gt;0,'Section Load'!L17,0))</f>
        <v>842</v>
      </c>
      <c r="L14" s="294">
        <f>(IF('Section Load'!M17&gt;0,'Section Load'!M17,0))</f>
        <v>582</v>
      </c>
      <c r="M14" s="294">
        <f>(IF('Section Load'!N17&gt;0,'Section Load'!N17,0))</f>
        <v>53</v>
      </c>
      <c r="N14" s="294">
        <f>(IF('Section Load'!O17&gt;0,'Section Load'!O17,0))</f>
        <v>0</v>
      </c>
      <c r="O14" s="294">
        <f>(IF('Section Load'!P17&gt;0,'Section Load'!P17,0))</f>
        <v>0</v>
      </c>
      <c r="P14" s="294">
        <f>(IF('Section Load'!Q17&gt;0,'Section Load'!Q17,0))</f>
        <v>165</v>
      </c>
      <c r="Q14" s="294">
        <f>(IF('Section Load'!R17&gt;0,'Section Load'!R17,0))</f>
        <v>69</v>
      </c>
      <c r="R14" s="294">
        <f>(IF('Section Load'!S17&gt;0,'Section Load'!S17,0))</f>
        <v>12</v>
      </c>
      <c r="S14" s="294">
        <f>(IF('Section Load'!T17&gt;0,'Section Load'!T17,0))</f>
        <v>352</v>
      </c>
      <c r="T14" s="294">
        <f>(IF('Section Load'!U17&gt;0,'Section Load'!U17,0))</f>
        <v>220</v>
      </c>
      <c r="U14" s="294">
        <f>(IF('Section Load'!V17&gt;0,'Section Load'!V17,0))</f>
        <v>292</v>
      </c>
      <c r="V14" s="294">
        <f>(IF('Section Load'!W17&gt;0,'Section Load'!W17,0))</f>
        <v>135</v>
      </c>
      <c r="W14" s="294">
        <f>(IF('Section Load'!X17&gt;0,'Section Load'!X17,0))</f>
        <v>26</v>
      </c>
      <c r="X14" s="294">
        <f>(IF('Section Load'!Y17&gt;0,'Section Load'!Y17,0))</f>
        <v>214</v>
      </c>
      <c r="Y14" s="294">
        <f>(IF('Section Load'!Z17&gt;0,'Section Load'!Z17,0))</f>
        <v>214</v>
      </c>
      <c r="Z14" s="294">
        <f>(IF('Section Load'!AA17&gt;0,'Section Load'!AA17,0))</f>
        <v>7</v>
      </c>
      <c r="AA14" s="294">
        <f>(IF('Section Load'!AB17&gt;0,'Section Load'!AB17,0))</f>
        <v>34</v>
      </c>
      <c r="AB14" s="294">
        <f>(IF('Section Load'!AC17&gt;0,'Section Load'!AC17,0))</f>
        <v>1.2700000000004366</v>
      </c>
      <c r="AC14" s="294">
        <f>(IF('Section Load'!AD17&gt;0,'Section Load'!AD17,0))</f>
        <v>36</v>
      </c>
      <c r="AD14" s="294">
        <f>(IF('Section Load'!AE17&gt;0,'Section Load'!AE17,0))</f>
        <v>0</v>
      </c>
      <c r="AE14" s="294">
        <f>(IF('Section Load'!AF17&gt;0,'Section Load'!AF17,0))</f>
        <v>21</v>
      </c>
      <c r="AF14" s="294">
        <f>(IF('Section Load'!AG17&gt;0,'Section Load'!AG17,0))</f>
        <v>344</v>
      </c>
      <c r="AG14" s="294">
        <f>(IF('Section Load'!AH17&gt;0,'Section Load'!AH17,0))</f>
        <v>344</v>
      </c>
      <c r="AH14" s="294">
        <f>(IF('Section Load'!AI17&gt;0,'Section Load'!AI17,0))</f>
        <v>394</v>
      </c>
      <c r="AI14" s="294">
        <f>(IF('Section Load'!AJ17&gt;0,'Section Load'!AJ17,0))</f>
        <v>616</v>
      </c>
      <c r="AJ14" s="294">
        <f>(IF('Section Load'!AK17&gt;0,'Section Load'!AK17,0))</f>
        <v>188</v>
      </c>
      <c r="AK14" s="294">
        <f>(IF('Section Load'!AL17&gt;0,'Section Load'!AL17,0))</f>
        <v>274</v>
      </c>
      <c r="AL14" s="294">
        <f>(IF('Section Load'!AM17&gt;0,'Section Load'!AM17,0))</f>
        <v>406</v>
      </c>
      <c r="AM14" s="295">
        <f>(IF('Water Report'!$P$7&gt;0,'Water Report'!$P$7,0))</f>
        <v>54</v>
      </c>
      <c r="AN14" s="295">
        <f>(IF('Water Report'!$P$8&gt;0,'Water Report'!$P$8,0))</f>
        <v>93</v>
      </c>
      <c r="AO14" s="295">
        <f>(IF('Water Report'!$P$9&gt;0,'Water Report'!$P$9,0))</f>
        <v>69</v>
      </c>
      <c r="AP14" s="295">
        <f>(IF('Water Report'!$P$10&gt;0,'Water Report'!$P$10,0))</f>
        <v>12</v>
      </c>
      <c r="AQ14" s="295">
        <f>(IF('Water Report'!$P$11&gt;0,'Water Report'!$P$11,0))</f>
        <v>18</v>
      </c>
      <c r="AR14" s="295">
        <f>(IF('Water Report'!$P$13&gt;0,'Water Report'!$P$13,0))</f>
        <v>20</v>
      </c>
      <c r="AS14" s="295">
        <f>(IF('Water Report'!$P$14&gt;0,'Water Report'!$P$14,0))</f>
        <v>5</v>
      </c>
      <c r="AT14" s="295">
        <f>(IF('Water Report'!$P$15&gt;0,'Water Report'!$P$15,0))</f>
        <v>7</v>
      </c>
      <c r="AU14" s="295">
        <f>(IF('Water Report'!$P$17&gt;0,'Water Report'!$P$17,0))</f>
        <v>0</v>
      </c>
      <c r="AV14" s="295">
        <f>(IF('Water Report'!$P$18&gt;0,'Water Report'!$P$18,0))</f>
        <v>13</v>
      </c>
      <c r="AW14" s="295">
        <f>(IF('Water Report'!$P$19&gt;0,'Water Report'!$P$19,0))</f>
        <v>11</v>
      </c>
      <c r="AX14" s="301">
        <f>(IF('Water Report'!$P$21&gt;0,'Water Report'!$P$21,0))</f>
        <v>21</v>
      </c>
      <c r="AY14" s="301">
        <f>(IF('Water Report'!$P$22&gt;0,'Water Report'!$P$22,0))</f>
        <v>54</v>
      </c>
      <c r="AZ14" s="301">
        <f>(IF('Water Report'!$P$23&gt;0,'Water Report'!$P$23,0))</f>
        <v>3</v>
      </c>
      <c r="BA14" s="301">
        <f>(IF('Water Report'!$P$14&gt;0,'Water Report'!$P$14,0))</f>
        <v>5</v>
      </c>
      <c r="BB14" s="301">
        <f>(IF('Water Report'!$P$15&gt;0,'Water Report'!$P$15,0))</f>
        <v>7</v>
      </c>
      <c r="BC14" s="301">
        <f>(IF('Water Report'!$P$13&gt;0,'Water Report'!$P$13,0))</f>
        <v>20</v>
      </c>
      <c r="BD14" s="301">
        <f>(IF('Water Report'!$P$24&gt;0,'Water Report'!$P$24,0))</f>
        <v>103</v>
      </c>
      <c r="BE14" s="301">
        <f>(IF('Water Report'!$P$25&gt;0,'Water Report'!$P$25,0))</f>
        <v>111</v>
      </c>
      <c r="BF14" s="301">
        <f>(IF('Water Report'!$P$27&gt;0,'Water Report'!$P$27,0))</f>
        <v>44</v>
      </c>
      <c r="BG14" s="296">
        <f>(IF('Section Load'!AN17&gt;0,'Section Load'!AN17,0))</f>
        <v>957</v>
      </c>
      <c r="BH14" s="296">
        <f>(IF('Section Load'!AO17&gt;0,'Section Load'!AO17,0))</f>
        <v>209</v>
      </c>
      <c r="BI14" s="296">
        <f>(IF('Section Load'!AP17&gt;0,'Section Load'!AP17,0))</f>
        <v>0</v>
      </c>
      <c r="BJ14" s="296">
        <f>(IF('Section Load'!AQ17&gt;0,'Section Load'!AQ17,0))</f>
        <v>81</v>
      </c>
      <c r="BK14" s="296">
        <f>(IF('Section Load'!AR17&gt;0,'Section Load'!AR17,0))</f>
        <v>24</v>
      </c>
      <c r="BL14" s="296">
        <f>(IF('Section Load'!AS17&gt;0,'Section Load'!AS17,0))</f>
        <v>0</v>
      </c>
      <c r="BM14" s="296">
        <f>(IF('Section Load'!AT17&gt;0,'Section Load'!AT17,0))</f>
        <v>643</v>
      </c>
    </row>
    <row r="15" spans="1:65" x14ac:dyDescent="0.25">
      <c r="A15" s="287" t="s">
        <v>268</v>
      </c>
      <c r="B15" s="288">
        <f t="shared" si="0"/>
        <v>14</v>
      </c>
      <c r="C15" s="288">
        <v>1</v>
      </c>
      <c r="D15" s="288">
        <v>2022</v>
      </c>
      <c r="E15" s="294">
        <f>(IF('Section Load'!F18&gt;0,'Section Load'!F18,0))</f>
        <v>2564</v>
      </c>
      <c r="F15" s="294">
        <f>(IF('Section Load'!G18&gt;0,'Section Load'!G18,0))</f>
        <v>1509</v>
      </c>
      <c r="G15" s="294">
        <f>(IF('Section Load'!H18&gt;0,'Section Load'!H18,0))</f>
        <v>1832</v>
      </c>
      <c r="H15" s="294">
        <f>(IF('Section Load'!I18&gt;0,'Section Load'!I18,0))</f>
        <v>2495</v>
      </c>
      <c r="I15" s="294">
        <f>(IF('Section Load'!J18&gt;0,'Section Load'!J18,0))</f>
        <v>3132</v>
      </c>
      <c r="J15" s="294">
        <f>(IF('Section Load'!K18&gt;0,'Section Load'!K18,0))</f>
        <v>2011</v>
      </c>
      <c r="K15" s="294">
        <f>(IF('Section Load'!L18&gt;0,'Section Load'!L18,0))</f>
        <v>861</v>
      </c>
      <c r="L15" s="294">
        <f>(IF('Section Load'!M18&gt;0,'Section Load'!M18,0))</f>
        <v>627</v>
      </c>
      <c r="M15" s="294">
        <f>(IF('Section Load'!N18&gt;0,'Section Load'!N18,0))</f>
        <v>65</v>
      </c>
      <c r="N15" s="294">
        <f>(IF('Section Load'!O18&gt;0,'Section Load'!O18,0))</f>
        <v>0</v>
      </c>
      <c r="O15" s="294">
        <f>(IF('Section Load'!P18&gt;0,'Section Load'!P18,0))</f>
        <v>0</v>
      </c>
      <c r="P15" s="294">
        <f>(IF('Section Load'!Q18&gt;0,'Section Load'!Q18,0))</f>
        <v>164</v>
      </c>
      <c r="Q15" s="294">
        <f>(IF('Section Load'!R18&gt;0,'Section Load'!R18,0))</f>
        <v>63</v>
      </c>
      <c r="R15" s="294">
        <f>(IF('Section Load'!S18&gt;0,'Section Load'!S18,0))</f>
        <v>13</v>
      </c>
      <c r="S15" s="294">
        <f>(IF('Section Load'!T18&gt;0,'Section Load'!T18,0))</f>
        <v>368</v>
      </c>
      <c r="T15" s="294">
        <f>(IF('Section Load'!U18&gt;0,'Section Load'!U18,0))</f>
        <v>236</v>
      </c>
      <c r="U15" s="294">
        <f>(IF('Section Load'!V18&gt;0,'Section Load'!V18,0))</f>
        <v>325</v>
      </c>
      <c r="V15" s="294">
        <f>(IF('Section Load'!W18&gt;0,'Section Load'!W18,0))</f>
        <v>181</v>
      </c>
      <c r="W15" s="294">
        <f>(IF('Section Load'!X18&gt;0,'Section Load'!X18,0))</f>
        <v>20</v>
      </c>
      <c r="X15" s="294">
        <f>(IF('Section Load'!Y18&gt;0,'Section Load'!Y18,0))</f>
        <v>76</v>
      </c>
      <c r="Y15" s="294">
        <f>(IF('Section Load'!Z18&gt;0,'Section Load'!Z18,0))</f>
        <v>196</v>
      </c>
      <c r="Z15" s="294">
        <f>(IF('Section Load'!AA18&gt;0,'Section Load'!AA18,0))</f>
        <v>6</v>
      </c>
      <c r="AA15" s="294">
        <f>(IF('Section Load'!AB18&gt;0,'Section Load'!AB18,0))</f>
        <v>40</v>
      </c>
      <c r="AB15" s="294">
        <f>(IF('Section Load'!AC18&gt;0,'Section Load'!AC18,0))</f>
        <v>0</v>
      </c>
      <c r="AC15" s="294">
        <f>(IF('Section Load'!AD18&gt;0,'Section Load'!AD18,0))</f>
        <v>73</v>
      </c>
      <c r="AD15" s="294">
        <f>(IF('Section Load'!AE18&gt;0,'Section Load'!AE18,0))</f>
        <v>0</v>
      </c>
      <c r="AE15" s="294">
        <f>(IF('Section Load'!AF18&gt;0,'Section Load'!AF18,0))</f>
        <v>21</v>
      </c>
      <c r="AF15" s="294">
        <f>(IF('Section Load'!AG18&gt;0,'Section Load'!AG18,0))</f>
        <v>377</v>
      </c>
      <c r="AG15" s="294">
        <f>(IF('Section Load'!AH18&gt;0,'Section Load'!AH18,0))</f>
        <v>377</v>
      </c>
      <c r="AH15" s="294">
        <f>(IF('Section Load'!AI18&gt;0,'Section Load'!AI18,0))</f>
        <v>411</v>
      </c>
      <c r="AI15" s="294">
        <f>(IF('Section Load'!AJ18&gt;0,'Section Load'!AJ18,0))</f>
        <v>655</v>
      </c>
      <c r="AJ15" s="294">
        <f>(IF('Section Load'!AK18&gt;0,'Section Load'!AK18,0))</f>
        <v>188</v>
      </c>
      <c r="AK15" s="294">
        <f>(IF('Section Load'!AL18&gt;0,'Section Load'!AL18,0))</f>
        <v>297</v>
      </c>
      <c r="AL15" s="294">
        <f>(IF('Section Load'!AM18&gt;0,'Section Load'!AM18,0))</f>
        <v>403</v>
      </c>
      <c r="AM15" s="295">
        <f>(IF('Water Report'!$Q$7&gt;0,'Water Report'!$Q$7,0))</f>
        <v>46</v>
      </c>
      <c r="AN15" s="295">
        <f>(IF('Water Report'!$Q$8&gt;0,'Water Report'!$Q$8,0))</f>
        <v>49</v>
      </c>
      <c r="AO15" s="295">
        <f>(IF('Water Report'!$Q$9&gt;0,'Water Report'!$Q$9,0))</f>
        <v>56</v>
      </c>
      <c r="AP15" s="295">
        <f>(IF('Water Report'!$Q$10&gt;0,'Water Report'!$Q$10,0))</f>
        <v>13</v>
      </c>
      <c r="AQ15" s="295">
        <f>(IF('Water Report'!$Q$11&gt;0,'Water Report'!$Q$11,0))</f>
        <v>18</v>
      </c>
      <c r="AR15" s="295">
        <f>(IF('Water Report'!$Q$13&gt;0,'Water Report'!$Q$13,0))</f>
        <v>35</v>
      </c>
      <c r="AS15" s="295">
        <f>(IF('Water Report'!$Q$14&gt;0,'Water Report'!$Q$14,0))</f>
        <v>6</v>
      </c>
      <c r="AT15" s="295">
        <f>(IF('Water Report'!$Q$15&gt;0,'Water Report'!$Q$15,0))</f>
        <v>6</v>
      </c>
      <c r="AU15" s="295">
        <f>(IF('Water Report'!$Q$17&gt;0,'Water Report'!$Q$17,0))</f>
        <v>0</v>
      </c>
      <c r="AV15" s="295">
        <f>(IF('Water Report'!$Q$18&gt;0,'Water Report'!$Q$18,0))</f>
        <v>5</v>
      </c>
      <c r="AW15" s="295">
        <f>(IF('Water Report'!$Q$19&gt;0,'Water Report'!$Q$19,0))</f>
        <v>6</v>
      </c>
      <c r="AX15" s="301">
        <f>(IF('Water Report'!$Q$21&gt;0,'Water Report'!$Q$21,0))</f>
        <v>21</v>
      </c>
      <c r="AY15" s="301">
        <f>(IF('Water Report'!$Q$22&gt;0,'Water Report'!$Q$22,0))</f>
        <v>3</v>
      </c>
      <c r="AZ15" s="301">
        <f>(IF('Water Report'!$Q$23&gt;0,'Water Report'!$Q$23,0))</f>
        <v>15</v>
      </c>
      <c r="BA15" s="301">
        <f>(IF('Water Report'!$Q$14&gt;0,'Water Report'!$Q$14,0))</f>
        <v>6</v>
      </c>
      <c r="BB15" s="301">
        <f>(IF('Water Report'!$Q$15&gt;0,'Water Report'!$Q$15,0))</f>
        <v>6</v>
      </c>
      <c r="BC15" s="301">
        <f>(IF('Water Report'!$Q$13&gt;0,'Water Report'!$Q$13,0))</f>
        <v>35</v>
      </c>
      <c r="BD15" s="301">
        <f>(IF('Water Report'!$Q$24&gt;0,'Water Report'!$Q$24,0))</f>
        <v>114</v>
      </c>
      <c r="BE15" s="301">
        <f>(IF('Water Report'!$Q$25&gt;0,'Water Report'!$Q$25,0))</f>
        <v>99</v>
      </c>
      <c r="BF15" s="301">
        <f>(IF('Water Report'!$Q$27&gt;0,'Water Report'!$Q$27,0))</f>
        <v>71</v>
      </c>
      <c r="BG15" s="296">
        <f>(IF('Section Load'!AN18&gt;0,'Section Load'!AN18,0))</f>
        <v>745</v>
      </c>
      <c r="BH15" s="296">
        <f>(IF('Section Load'!AO18&gt;0,'Section Load'!AO18,0))</f>
        <v>326</v>
      </c>
      <c r="BI15" s="296">
        <f>(IF('Section Load'!AP18&gt;0,'Section Load'!AP18,0))</f>
        <v>0</v>
      </c>
      <c r="BJ15" s="296">
        <f>(IF('Section Load'!AQ18&gt;0,'Section Load'!AQ18,0))</f>
        <v>75</v>
      </c>
      <c r="BK15" s="296">
        <f>(IF('Section Load'!AR18&gt;0,'Section Load'!AR18,0))</f>
        <v>27</v>
      </c>
      <c r="BL15" s="296">
        <f>(IF('Section Load'!AS18&gt;0,'Section Load'!AS18,0))</f>
        <v>1</v>
      </c>
      <c r="BM15" s="296">
        <f>(IF('Section Load'!AT18&gt;0,'Section Load'!AT18,0))</f>
        <v>316</v>
      </c>
    </row>
    <row r="16" spans="1:65" x14ac:dyDescent="0.25">
      <c r="A16" s="287" t="s">
        <v>268</v>
      </c>
      <c r="B16" s="288">
        <f t="shared" si="0"/>
        <v>15</v>
      </c>
      <c r="C16" s="288">
        <v>1</v>
      </c>
      <c r="D16" s="288">
        <v>2022</v>
      </c>
      <c r="E16" s="294">
        <f>(IF('Section Load'!F19&gt;0,'Section Load'!F19,0))</f>
        <v>2552.4300000000003</v>
      </c>
      <c r="F16" s="294">
        <f>(IF('Section Load'!G19&gt;0,'Section Load'!G19,0))</f>
        <v>1497.7399999999998</v>
      </c>
      <c r="G16" s="294">
        <f>(IF('Section Load'!H19&gt;0,'Section Load'!H19,0))</f>
        <v>1386.9500000000007</v>
      </c>
      <c r="H16" s="294">
        <f>(IF('Section Load'!I19&gt;0,'Section Load'!I19,0))</f>
        <v>2494.9000000000015</v>
      </c>
      <c r="I16" s="294">
        <f>(IF('Section Load'!J19&gt;0,'Section Load'!J19,0))</f>
        <v>3008.3700000000099</v>
      </c>
      <c r="J16" s="294">
        <f>(IF('Section Load'!K19&gt;0,'Section Load'!K19,0))</f>
        <v>2012.7100000000064</v>
      </c>
      <c r="K16" s="294">
        <f>(IF('Section Load'!L19&gt;0,'Section Load'!L19,0))</f>
        <v>902.7300000000032</v>
      </c>
      <c r="L16" s="294">
        <f>(IF('Section Load'!M19&gt;0,'Section Load'!M19,0))</f>
        <v>573.68999999999869</v>
      </c>
      <c r="M16" s="294">
        <f>(IF('Section Load'!N19&gt;0,'Section Load'!N19,0))</f>
        <v>56</v>
      </c>
      <c r="N16" s="294">
        <f>(IF('Section Load'!O19&gt;0,'Section Load'!O19,0))</f>
        <v>1</v>
      </c>
      <c r="O16" s="294">
        <f>(IF('Section Load'!P19&gt;0,'Section Load'!P19,0))</f>
        <v>0</v>
      </c>
      <c r="P16" s="294">
        <f>(IF('Section Load'!Q19&gt;0,'Section Load'!Q19,0))</f>
        <v>175.9800000000032</v>
      </c>
      <c r="Q16" s="294">
        <f>(IF('Section Load'!R19&gt;0,'Section Load'!R19,0))</f>
        <v>71.919999999998254</v>
      </c>
      <c r="R16" s="294">
        <f>(IF('Section Load'!S19&gt;0,'Section Load'!S19,0))</f>
        <v>14.420000000000073</v>
      </c>
      <c r="S16" s="294">
        <f>(IF('Section Load'!T19&gt;0,'Section Load'!T19,0))</f>
        <v>381</v>
      </c>
      <c r="T16" s="294">
        <f>(IF('Section Load'!U19&gt;0,'Section Load'!U19,0))</f>
        <v>231</v>
      </c>
      <c r="U16" s="294">
        <f>(IF('Section Load'!V19&gt;0,'Section Load'!V19,0))</f>
        <v>390.8399999999674</v>
      </c>
      <c r="V16" s="294">
        <f>(IF('Section Load'!W19&gt;0,'Section Load'!W19,0))</f>
        <v>181.56000000005588</v>
      </c>
      <c r="W16" s="294">
        <f>(IF('Section Load'!X19&gt;0,'Section Load'!X19,0))</f>
        <v>26.070000000000164</v>
      </c>
      <c r="X16" s="294">
        <f>(IF('Section Load'!Y19&gt;0,'Section Load'!Y19,0))</f>
        <v>179.03999999999996</v>
      </c>
      <c r="Y16" s="294">
        <f>(IF('Section Load'!Z19&gt;0,'Section Load'!Z19,0))</f>
        <v>238</v>
      </c>
      <c r="Z16" s="294">
        <f>(IF('Section Load'!AA19&gt;0,'Section Load'!AA19,0))</f>
        <v>8.0399999999790452</v>
      </c>
      <c r="AA16" s="294">
        <f>(IF('Section Load'!AB19&gt;0,'Section Load'!AB19,0))</f>
        <v>38.30000000000291</v>
      </c>
      <c r="AB16" s="294">
        <f>(IF('Section Load'!AC19&gt;0,'Section Load'!AC19,0))</f>
        <v>2.0000000000436557E-2</v>
      </c>
      <c r="AC16" s="294">
        <f>(IF('Section Load'!AD19&gt;0,'Section Load'!AD19,0))</f>
        <v>59.600000000005821</v>
      </c>
      <c r="AD16" s="294">
        <f>(IF('Section Load'!AE19&gt;0,'Section Load'!AE19,0))</f>
        <v>0</v>
      </c>
      <c r="AE16" s="294">
        <f>(IF('Section Load'!AF19&gt;0,'Section Load'!AF19,0))</f>
        <v>23.873999999999796</v>
      </c>
      <c r="AF16" s="294">
        <f>(IF('Section Load'!AG19&gt;0,'Section Load'!AG19,0))</f>
        <v>324.19000000000233</v>
      </c>
      <c r="AG16" s="294">
        <f>(IF('Section Load'!AH19&gt;0,'Section Load'!AH19,0))</f>
        <v>345.26999999998952</v>
      </c>
      <c r="AH16" s="294">
        <f>(IF('Section Load'!AI19&gt;0,'Section Load'!AI19,0))</f>
        <v>418</v>
      </c>
      <c r="AI16" s="294">
        <f>(IF('Section Load'!AJ19&gt;0,'Section Load'!AJ19,0))</f>
        <v>645.19000000000233</v>
      </c>
      <c r="AJ16" s="294">
        <f>(IF('Section Load'!AK19&gt;0,'Section Load'!AK19,0))</f>
        <v>183.83999999999651</v>
      </c>
      <c r="AK16" s="294">
        <f>(IF('Section Load'!AL19&gt;0,'Section Load'!AL19,0))</f>
        <v>230.64000000001397</v>
      </c>
      <c r="AL16" s="294">
        <f>(IF('Section Load'!AM19&gt;0,'Section Load'!AM19,0))</f>
        <v>398.27000000000407</v>
      </c>
      <c r="AM16" s="295">
        <f>(IF('Water Report'!$R$7&gt;0,'Water Report'!$R$7,0))</f>
        <v>79</v>
      </c>
      <c r="AN16" s="295">
        <f>(IF('Water Report'!$R$8&gt;0,'Water Report'!$R$8,0))</f>
        <v>95</v>
      </c>
      <c r="AO16" s="295">
        <f>(IF('Water Report'!$R$9&gt;0,'Water Report'!$R$9,0))</f>
        <v>70</v>
      </c>
      <c r="AP16" s="295">
        <f>(IF('Water Report'!$R$10&gt;0,'Water Report'!$R$10,0))</f>
        <v>17</v>
      </c>
      <c r="AQ16" s="295">
        <f>(IF('Water Report'!$R$11&gt;0,'Water Report'!$R$11,0))</f>
        <v>23</v>
      </c>
      <c r="AR16" s="295">
        <f>(IF('Water Report'!$R$13&gt;0,'Water Report'!$R$13,0))</f>
        <v>23</v>
      </c>
      <c r="AS16" s="295">
        <f>(IF('Water Report'!$R$14&gt;0,'Water Report'!$R$14,0))</f>
        <v>11</v>
      </c>
      <c r="AT16" s="295">
        <f>(IF('Water Report'!$R$15&gt;0,'Water Report'!$R$15,0))</f>
        <v>7</v>
      </c>
      <c r="AU16" s="295">
        <f>(IF('Water Report'!$R$17&gt;0,'Water Report'!$R$17,0))</f>
        <v>0</v>
      </c>
      <c r="AV16" s="295">
        <f>(IF('Water Report'!$R$18&gt;0,'Water Report'!$R$18,0))</f>
        <v>10</v>
      </c>
      <c r="AW16" s="295">
        <f>(IF('Water Report'!$R$19&gt;0,'Water Report'!$R$19,0))</f>
        <v>13</v>
      </c>
      <c r="AX16" s="301">
        <f>(IF('Water Report'!$R$21&gt;0,'Water Report'!$R$21,0))</f>
        <v>72</v>
      </c>
      <c r="AY16" s="301">
        <f>(IF('Water Report'!$R$22&gt;0,'Water Report'!$R$22,0))</f>
        <v>20</v>
      </c>
      <c r="AZ16" s="301">
        <f>(IF('Water Report'!$R$23&gt;0,'Water Report'!$R$23,0))</f>
        <v>11</v>
      </c>
      <c r="BA16" s="301">
        <f>(IF('Water Report'!$R$14&gt;0,'Water Report'!$R$14,0))</f>
        <v>11</v>
      </c>
      <c r="BB16" s="301">
        <f>(IF('Water Report'!$R$15&gt;0,'Water Report'!$R$15,0))</f>
        <v>7</v>
      </c>
      <c r="BC16" s="301">
        <f>(IF('Water Report'!$R$13&gt;0,'Water Report'!$R$13,0))</f>
        <v>23</v>
      </c>
      <c r="BD16" s="301">
        <f>(IF('Water Report'!$R$24&gt;0,'Water Report'!$R$24,0))</f>
        <v>155</v>
      </c>
      <c r="BE16" s="301">
        <f>(IF('Water Report'!$R$25&gt;0,'Water Report'!$R$25,0))</f>
        <v>128</v>
      </c>
      <c r="BF16" s="301">
        <f>(IF('Water Report'!$R$27&gt;0,'Water Report'!$R$27,0))</f>
        <v>106</v>
      </c>
      <c r="BG16" s="296">
        <f>(IF('Section Load'!AN19&gt;0,'Section Load'!AN19,0))</f>
        <v>965</v>
      </c>
      <c r="BH16" s="296">
        <f>(IF('Section Load'!AO19&gt;0,'Section Load'!AO19,0))</f>
        <v>313</v>
      </c>
      <c r="BI16" s="296">
        <f>(IF('Section Load'!AP19&gt;0,'Section Load'!AP19,0))</f>
        <v>0</v>
      </c>
      <c r="BJ16" s="296">
        <f>(IF('Section Load'!AQ19&gt;0,'Section Load'!AQ19,0))</f>
        <v>75</v>
      </c>
      <c r="BK16" s="296">
        <f>(IF('Section Load'!AR19&gt;0,'Section Load'!AR19,0))</f>
        <v>26.400000000001455</v>
      </c>
      <c r="BL16" s="296">
        <f>(IF('Section Load'!AS19&gt;0,'Section Load'!AS19,0))</f>
        <v>1</v>
      </c>
      <c r="BM16" s="296">
        <f>(IF('Section Load'!AT19&gt;0,'Section Load'!AT19,0))</f>
        <v>549.59999999999854</v>
      </c>
    </row>
    <row r="17" spans="1:65" x14ac:dyDescent="0.25">
      <c r="A17" s="287" t="s">
        <v>268</v>
      </c>
      <c r="B17" s="288">
        <f t="shared" si="0"/>
        <v>16</v>
      </c>
      <c r="C17" s="288">
        <v>1</v>
      </c>
      <c r="D17" s="288">
        <v>2022</v>
      </c>
      <c r="E17" s="294">
        <f>(IF('Section Load'!F20&gt;0,'Section Load'!F20,0))</f>
        <v>2589.5699999999997</v>
      </c>
      <c r="F17" s="294">
        <f>(IF('Section Load'!G20&gt;0,'Section Load'!G20,0))</f>
        <v>1483.2600000000002</v>
      </c>
      <c r="G17" s="294">
        <f>(IF('Section Load'!H20&gt;0,'Section Load'!H20,0))</f>
        <v>1625.0499999999993</v>
      </c>
      <c r="H17" s="294">
        <f>(IF('Section Load'!I20&gt;0,'Section Load'!I20,0))</f>
        <v>2600.0999999999985</v>
      </c>
      <c r="I17" s="294">
        <f>(IF('Section Load'!J20&gt;0,'Section Load'!J20,0))</f>
        <v>3032.7699999999968</v>
      </c>
      <c r="J17" s="294">
        <f>(IF('Section Load'!K20&gt;0,'Section Load'!K20,0))</f>
        <v>2071.2899999999936</v>
      </c>
      <c r="K17" s="294">
        <f>(IF('Section Load'!L20&gt;0,'Section Load'!L20,0))</f>
        <v>868.2699999999968</v>
      </c>
      <c r="L17" s="294">
        <f>(IF('Section Load'!M20&gt;0,'Section Load'!M20,0))</f>
        <v>587.31000000000131</v>
      </c>
      <c r="M17" s="294">
        <f>(IF('Section Load'!N20&gt;0,'Section Load'!N20,0))</f>
        <v>59</v>
      </c>
      <c r="N17" s="294">
        <f>(IF('Section Load'!O20&gt;0,'Section Load'!O20,0))</f>
        <v>0</v>
      </c>
      <c r="O17" s="294">
        <f>(IF('Section Load'!P20&gt;0,'Section Load'!P20,0))</f>
        <v>0</v>
      </c>
      <c r="P17" s="294">
        <f>(IF('Section Load'!Q20&gt;0,'Section Load'!Q20,0))</f>
        <v>165.0199999999968</v>
      </c>
      <c r="Q17" s="294">
        <f>(IF('Section Load'!R20&gt;0,'Section Load'!R20,0))</f>
        <v>76.080000000001746</v>
      </c>
      <c r="R17" s="294">
        <f>(IF('Section Load'!S20&gt;0,'Section Load'!S20,0))</f>
        <v>15.579999999999927</v>
      </c>
      <c r="S17" s="294">
        <f>(IF('Section Load'!T20&gt;0,'Section Load'!T20,0))</f>
        <v>441</v>
      </c>
      <c r="T17" s="294">
        <f>(IF('Section Load'!U20&gt;0,'Section Load'!U20,0))</f>
        <v>226</v>
      </c>
      <c r="U17" s="294">
        <f>(IF('Section Load'!V20&gt;0,'Section Load'!V20,0))</f>
        <v>336.1600000000326</v>
      </c>
      <c r="V17" s="294">
        <f>(IF('Section Load'!W20&gt;0,'Section Load'!W20,0))</f>
        <v>163.43999999994412</v>
      </c>
      <c r="W17" s="294">
        <f>(IF('Section Load'!X20&gt;0,'Section Load'!X20,0))</f>
        <v>22.929999999999836</v>
      </c>
      <c r="X17" s="294">
        <f>(IF('Section Load'!Y20&gt;0,'Section Load'!Y20,0))</f>
        <v>187.96000000000004</v>
      </c>
      <c r="Y17" s="294">
        <f>(IF('Section Load'!Z20&gt;0,'Section Load'!Z20,0))</f>
        <v>224</v>
      </c>
      <c r="Z17" s="294">
        <f>(IF('Section Load'!AA20&gt;0,'Section Load'!AA20,0))</f>
        <v>6.9600000000209548</v>
      </c>
      <c r="AA17" s="294">
        <f>(IF('Section Load'!AB20&gt;0,'Section Load'!AB20,0))</f>
        <v>13.69999999999709</v>
      </c>
      <c r="AB17" s="294">
        <f>(IF('Section Load'!AC20&gt;0,'Section Load'!AC20,0))</f>
        <v>0</v>
      </c>
      <c r="AC17" s="294">
        <f>(IF('Section Load'!AD20&gt;0,'Section Load'!AD20,0))</f>
        <v>36.399999999994179</v>
      </c>
      <c r="AD17" s="294">
        <f>(IF('Section Load'!AE20&gt;0,'Section Load'!AE20,0))</f>
        <v>0</v>
      </c>
      <c r="AE17" s="294">
        <f>(IF('Section Load'!AF20&gt;0,'Section Load'!AF20,0))</f>
        <v>23.126000000000204</v>
      </c>
      <c r="AF17" s="294">
        <f>(IF('Section Load'!AG20&gt;0,'Section Load'!AG20,0))</f>
        <v>306.80999999999767</v>
      </c>
      <c r="AG17" s="294">
        <f>(IF('Section Load'!AH20&gt;0,'Section Load'!AH20,0))</f>
        <v>457.73000000001048</v>
      </c>
      <c r="AH17" s="294">
        <f>(IF('Section Load'!AI20&gt;0,'Section Load'!AI20,0))</f>
        <v>435</v>
      </c>
      <c r="AI17" s="294">
        <f>(IF('Section Load'!AJ20&gt;0,'Section Load'!AJ20,0))</f>
        <v>669.80999999999767</v>
      </c>
      <c r="AJ17" s="294">
        <f>(IF('Section Load'!AK20&gt;0,'Section Load'!AK20,0))</f>
        <v>168.16000000000349</v>
      </c>
      <c r="AK17" s="294">
        <f>(IF('Section Load'!AL20&gt;0,'Section Load'!AL20,0))</f>
        <v>270.35999999998603</v>
      </c>
      <c r="AL17" s="294">
        <f>(IF('Section Load'!AM20&gt;0,'Section Load'!AM20,0))</f>
        <v>468.72999999999593</v>
      </c>
      <c r="AM17" s="295">
        <f>(IF('Water Report'!$S$7&gt;0,'Water Report'!$S$7,0))</f>
        <v>66</v>
      </c>
      <c r="AN17" s="295">
        <f>(IF('Water Report'!$S$8&gt;0,'Water Report'!$S$8,0))</f>
        <v>91</v>
      </c>
      <c r="AO17" s="295">
        <f>(IF('Water Report'!$S$9&gt;0,'Water Report'!$S$9,0))</f>
        <v>62</v>
      </c>
      <c r="AP17" s="295">
        <f>(IF('Water Report'!$S$10&gt;0,'Water Report'!$D$10,0))</f>
        <v>28</v>
      </c>
      <c r="AQ17" s="295">
        <f>(IF('Water Report'!$S$11&gt;0,'Water Report'!$D$11,0))</f>
        <v>40</v>
      </c>
      <c r="AR17" s="295">
        <f>(IF('Water Report'!$S$13&gt;0,'Water Report'!$D$13,0))</f>
        <v>14</v>
      </c>
      <c r="AS17" s="295">
        <f>(IF('Water Report'!$S$14&gt;0,'Water Report'!$D$14,0))</f>
        <v>25</v>
      </c>
      <c r="AT17" s="295">
        <f>(IF('Water Report'!$S$15&gt;0,'Water Report'!$D$15,0))</f>
        <v>13</v>
      </c>
      <c r="AU17" s="295">
        <f>(IF('Water Report'!$S$17&gt;0,'Water Report'!$D$17,0))</f>
        <v>0</v>
      </c>
      <c r="AV17" s="295">
        <f>(IF('Water Report'!$S$18&gt;0,'Water Report'!$D$18,0))</f>
        <v>15</v>
      </c>
      <c r="AW17" s="295">
        <f>(IF('Water Report'!$S$19&gt;0,'Water Report'!$D$19,0))</f>
        <v>12</v>
      </c>
      <c r="AX17" s="301">
        <f>(IF('Water Report'!$S$21&gt;0,'Water Report'!$D$21,0))</f>
        <v>62</v>
      </c>
      <c r="AY17" s="301">
        <f>(IF('Water Report'!$S$22&gt;0,'Water Report'!$D$22,0))</f>
        <v>42</v>
      </c>
      <c r="AZ17" s="301">
        <f>(IF('Water Report'!$S$23&gt;0,'Water Report'!$D$23,0))</f>
        <v>4</v>
      </c>
      <c r="BA17" s="301">
        <f>(IF('Water Report'!$S$14&gt;0,'Water Report'!$D$14,0))</f>
        <v>25</v>
      </c>
      <c r="BB17" s="301">
        <f>(IF('Water Report'!$S$15&gt;0,'Water Report'!$D$15,0))</f>
        <v>13</v>
      </c>
      <c r="BC17" s="301">
        <f>(IF('Water Report'!$S$13&gt;0,'Water Report'!$D$13,0))</f>
        <v>14</v>
      </c>
      <c r="BD17" s="301">
        <f>(IF('Water Report'!$S$24&gt;0,'Water Report'!$D$24,0))</f>
        <v>54</v>
      </c>
      <c r="BE17" s="301">
        <f>(IF('Water Report'!$S$25&gt;0,'Water Report'!$D$25,0))</f>
        <v>204</v>
      </c>
      <c r="BF17" s="301">
        <f>(IF('Water Report'!$S$27&gt;0,'Water Report'!$D$27,0))</f>
        <v>80</v>
      </c>
      <c r="BG17" s="296">
        <f>(IF('Section Load'!AN20&gt;0,'Section Load'!AN20,0))</f>
        <v>1006</v>
      </c>
      <c r="BH17" s="296">
        <f>(IF('Section Load'!AO20&gt;0,'Section Load'!AO20,0))</f>
        <v>304</v>
      </c>
      <c r="BI17" s="296">
        <f>(IF('Section Load'!AP20&gt;0,'Section Load'!AP20,0))</f>
        <v>0</v>
      </c>
      <c r="BJ17" s="296">
        <f>(IF('Section Load'!AQ20&gt;0,'Section Load'!AQ20,0))</f>
        <v>90</v>
      </c>
      <c r="BK17" s="296">
        <f>(IF('Section Load'!AR20&gt;0,'Section Load'!AR20,0))</f>
        <v>26.599999999998545</v>
      </c>
      <c r="BL17" s="296">
        <f>(IF('Section Load'!AS20&gt;0,'Section Load'!AS20,0))</f>
        <v>1</v>
      </c>
      <c r="BM17" s="296">
        <f>(IF('Section Load'!AT20&gt;0,'Section Load'!AT20,0))</f>
        <v>584.40000000000146</v>
      </c>
    </row>
    <row r="18" spans="1:65" x14ac:dyDescent="0.25">
      <c r="A18" s="287" t="s">
        <v>268</v>
      </c>
      <c r="B18" s="288">
        <f t="shared" si="0"/>
        <v>17</v>
      </c>
      <c r="C18" s="288">
        <v>1</v>
      </c>
      <c r="D18" s="288">
        <v>2022</v>
      </c>
      <c r="E18" s="294">
        <f>(IF('Section Load'!F21&gt;0,'Section Load'!F21,0))</f>
        <v>2686.2100000000009</v>
      </c>
      <c r="F18" s="294">
        <f>(IF('Section Load'!G21&gt;0,'Section Load'!G21,0))</f>
        <v>1510.42</v>
      </c>
      <c r="G18" s="294">
        <f>(IF('Section Load'!H21&gt;0,'Section Load'!H21,0))</f>
        <v>1604.1599999999999</v>
      </c>
      <c r="H18" s="294">
        <f>(IF('Section Load'!I21&gt;0,'Section Load'!I21,0))</f>
        <v>2698</v>
      </c>
      <c r="I18" s="294">
        <f>(IF('Section Load'!J21&gt;0,'Section Load'!J21,0))</f>
        <v>3005.1699999999983</v>
      </c>
      <c r="J18" s="294">
        <f>(IF('Section Load'!K21&gt;0,'Section Load'!K21,0))</f>
        <v>2219.1499999999942</v>
      </c>
      <c r="K18" s="294">
        <f>(IF('Section Load'!L21&gt;0,'Section Load'!L21,0))</f>
        <v>838.52999999999884</v>
      </c>
      <c r="L18" s="294">
        <f>(IF('Section Load'!M21&gt;0,'Section Load'!M21,0))</f>
        <v>592.45999999999913</v>
      </c>
      <c r="M18" s="294">
        <f>(IF('Section Load'!N21&gt;0,'Section Load'!N21,0))</f>
        <v>60</v>
      </c>
      <c r="N18" s="294">
        <f>(IF('Section Load'!O21&gt;0,'Section Load'!O21,0))</f>
        <v>0</v>
      </c>
      <c r="O18" s="294">
        <f>(IF('Section Load'!P21&gt;0,'Section Load'!P21,0))</f>
        <v>0</v>
      </c>
      <c r="P18" s="294">
        <f>(IF('Section Load'!Q21&gt;0,'Section Load'!Q21,0))</f>
        <v>158.80000000000291</v>
      </c>
      <c r="Q18" s="294">
        <f>(IF('Section Load'!R21&gt;0,'Section Load'!R21,0))</f>
        <v>78.090000000000146</v>
      </c>
      <c r="R18" s="294">
        <f>(IF('Section Load'!S21&gt;0,'Section Load'!S21,0))</f>
        <v>14.340000000000146</v>
      </c>
      <c r="S18" s="294">
        <f>(IF('Section Load'!T21&gt;0,'Section Load'!T21,0))</f>
        <v>428</v>
      </c>
      <c r="T18" s="294">
        <f>(IF('Section Load'!U21&gt;0,'Section Load'!U21,0))</f>
        <v>233</v>
      </c>
      <c r="U18" s="294">
        <f>(IF('Section Load'!V21&gt;0,'Section Load'!V21,0))</f>
        <v>330</v>
      </c>
      <c r="V18" s="294">
        <f>(IF('Section Load'!W21&gt;0,'Section Load'!W21,0))</f>
        <v>164</v>
      </c>
      <c r="W18" s="294">
        <f>(IF('Section Load'!X21&gt;0,'Section Load'!X21,0))</f>
        <v>27.510000000000218</v>
      </c>
      <c r="X18" s="294">
        <f>(IF('Section Load'!Y21&gt;0,'Section Load'!Y21,0))</f>
        <v>17.599999999999909</v>
      </c>
      <c r="Y18" s="294">
        <f>(IF('Section Load'!Z21&gt;0,'Section Load'!Z21,0))</f>
        <v>213</v>
      </c>
      <c r="Z18" s="294">
        <f>(IF('Section Load'!AA21&gt;0,'Section Load'!AA21,0))</f>
        <v>7</v>
      </c>
      <c r="AA18" s="294">
        <f>(IF('Section Load'!AB21&gt;0,'Section Load'!AB21,0))</f>
        <v>37</v>
      </c>
      <c r="AB18" s="294">
        <f>(IF('Section Load'!AC21&gt;0,'Section Load'!AC21,0))</f>
        <v>0</v>
      </c>
      <c r="AC18" s="294">
        <f>(IF('Section Load'!AD21&gt;0,'Section Load'!AD21,0))</f>
        <v>62.599999999996726</v>
      </c>
      <c r="AD18" s="294">
        <f>(IF('Section Load'!AE21&gt;0,'Section Load'!AE21,0))</f>
        <v>0</v>
      </c>
      <c r="AE18" s="294">
        <f>(IF('Section Load'!AF21&gt;0,'Section Load'!AF21,0))</f>
        <v>22.9699999999998</v>
      </c>
      <c r="AF18" s="294">
        <f>(IF('Section Load'!AG21&gt;0,'Section Load'!AG21,0))</f>
        <v>337</v>
      </c>
      <c r="AG18" s="294">
        <f>(IF('Section Load'!AH21&gt;0,'Section Load'!AH21,0))</f>
        <v>457</v>
      </c>
      <c r="AH18" s="294">
        <f>(IF('Section Load'!AI21&gt;0,'Section Load'!AI21,0))</f>
        <v>434.40000000000146</v>
      </c>
      <c r="AI18" s="294">
        <f>(IF('Section Load'!AJ21&gt;0,'Section Load'!AJ21,0))</f>
        <v>691</v>
      </c>
      <c r="AJ18" s="294">
        <f>(IF('Section Load'!AK21&gt;0,'Section Load'!AK21,0))</f>
        <v>185.44000000000233</v>
      </c>
      <c r="AK18" s="294">
        <f>(IF('Section Load'!AL21&gt;0,'Section Load'!AL21,0))</f>
        <v>256.63000000000466</v>
      </c>
      <c r="AL18" s="294">
        <f>(IF('Section Load'!AM21&gt;0,'Section Load'!AM21,0))</f>
        <v>488.60000000000582</v>
      </c>
      <c r="AM18" s="295">
        <f>(IF('Water Report'!$T$7&gt;0,'Water Report'!$T$7,0))</f>
        <v>66</v>
      </c>
      <c r="AN18" s="295">
        <f>(IF('Water Report'!$T$8&gt;0,'Water Report'!$T$8,0))</f>
        <v>84</v>
      </c>
      <c r="AO18" s="295">
        <f>(IF('Water Report'!$T$9&gt;0,'Water Report'!$T$9,0))</f>
        <v>65</v>
      </c>
      <c r="AP18" s="295">
        <f>(IF('Water Report'!$T$10&gt;0,'Water Report'!$T$10,0))</f>
        <v>15</v>
      </c>
      <c r="AQ18" s="295">
        <f>(IF('Water Report'!$T$11&gt;0,'Water Report'!$T$11,0))</f>
        <v>19</v>
      </c>
      <c r="AR18" s="295">
        <f>(IF('Water Report'!$T$13&gt;0,'Water Report'!$T$13,0))</f>
        <v>21</v>
      </c>
      <c r="AS18" s="295">
        <f>(IF('Water Report'!$T$14&gt;0,'Water Report'!$T$14,0))</f>
        <v>8</v>
      </c>
      <c r="AT18" s="295">
        <f>(IF('Water Report'!$T$15&gt;0,'Water Report'!$T$15,0))</f>
        <v>7</v>
      </c>
      <c r="AU18" s="295">
        <f>(IF('Water Report'!$T$17&gt;0,'Water Report'!$T$17,0))</f>
        <v>0</v>
      </c>
      <c r="AV18" s="295">
        <f>(IF('Water Report'!$T$18&gt;0,'Water Report'!$T$18,0))</f>
        <v>0</v>
      </c>
      <c r="AW18" s="295">
        <f>(IF('Water Report'!$T$19&gt;0,'Water Report'!$T$19,0))</f>
        <v>7</v>
      </c>
      <c r="AX18" s="301">
        <f>(IF('Water Report'!$T$21&gt;0,'Water Report'!$T$21,0))</f>
        <v>60</v>
      </c>
      <c r="AY18" s="301">
        <f>(IF('Water Report'!$T$22&gt;0,'Water Report'!$T$22,0))</f>
        <v>27</v>
      </c>
      <c r="AZ18" s="301">
        <f>(IF('Water Report'!$T$23&gt;0,'Water Report'!$T$23,0))</f>
        <v>1</v>
      </c>
      <c r="BA18" s="301">
        <f>(IF('Water Report'!$T$14&gt;0,'Water Report'!$T$14,0))</f>
        <v>8</v>
      </c>
      <c r="BB18" s="301">
        <f>(IF('Water Report'!$T$15&gt;0,'Water Report'!$T$15,0))</f>
        <v>7</v>
      </c>
      <c r="BC18" s="301">
        <f>(IF('Water Report'!$T$13&gt;0,'Water Report'!$T$13,0))</f>
        <v>21</v>
      </c>
      <c r="BD18" s="301">
        <f>(IF('Water Report'!$T$24&gt;0,'Water Report'!$T$24,0))</f>
        <v>133</v>
      </c>
      <c r="BE18" s="301">
        <f>(IF('Water Report'!$T$25&gt;0,'Water Report'!$T$25,0))</f>
        <v>114</v>
      </c>
      <c r="BF18" s="301">
        <f>(IF('Water Report'!$T$27&gt;0,'Water Report'!$T$27,0))</f>
        <v>82</v>
      </c>
      <c r="BG18" s="296">
        <f>(IF('Section Load'!AN21&gt;0,'Section Load'!AN21,0))</f>
        <v>734.2730000000447</v>
      </c>
      <c r="BH18" s="296">
        <f>(IF('Section Load'!AO21&gt;0,'Section Load'!AO21,0))</f>
        <v>307.90000000002328</v>
      </c>
      <c r="BI18" s="296">
        <f>(IF('Section Load'!AP21&gt;0,'Section Load'!AP21,0))</f>
        <v>0</v>
      </c>
      <c r="BJ18" s="296">
        <f>(IF('Section Load'!AQ21&gt;0,'Section Load'!AQ21,0))</f>
        <v>73.5</v>
      </c>
      <c r="BK18" s="296">
        <f>(IF('Section Load'!AR21&gt;0,'Section Load'!AR21,0))</f>
        <v>23.30000000000291</v>
      </c>
      <c r="BL18" s="296">
        <f>(IF('Section Load'!AS21&gt;0,'Section Load'!AS21,0))</f>
        <v>0</v>
      </c>
      <c r="BM18" s="296">
        <f>(IF('Section Load'!AT21&gt;0,'Section Load'!AT21,0))</f>
        <v>329.7730000000156</v>
      </c>
    </row>
    <row r="19" spans="1:65" x14ac:dyDescent="0.25">
      <c r="A19" s="287" t="s">
        <v>268</v>
      </c>
      <c r="B19" s="288">
        <f t="shared" si="0"/>
        <v>18</v>
      </c>
      <c r="C19" s="288">
        <v>1</v>
      </c>
      <c r="D19" s="288">
        <v>2022</v>
      </c>
      <c r="E19" s="294">
        <f>(IF('Section Load'!F22&gt;0,'Section Load'!F22,0))</f>
        <v>2634.4799999999996</v>
      </c>
      <c r="F19" s="294">
        <f>(IF('Section Load'!G22&gt;0,'Section Load'!G22,0))</f>
        <v>1562.5499999999993</v>
      </c>
      <c r="G19" s="294">
        <f>(IF('Section Load'!H22&gt;0,'Section Load'!H22,0))</f>
        <v>1696.2999999999993</v>
      </c>
      <c r="H19" s="294">
        <f>(IF('Section Load'!I22&gt;0,'Section Load'!I22,0))</f>
        <v>2546.4900000000016</v>
      </c>
      <c r="I19" s="294">
        <f>(IF('Section Load'!J22&gt;0,'Section Load'!J22,0))</f>
        <v>3090.5200000000041</v>
      </c>
      <c r="J19" s="294">
        <f>(IF('Section Load'!K22&gt;0,'Section Load'!K22,0))</f>
        <v>2338</v>
      </c>
      <c r="K19" s="294">
        <f>(IF('Section Load'!L22&gt;0,'Section Load'!L22,0))</f>
        <v>921.40000000000146</v>
      </c>
      <c r="L19" s="294">
        <f>(IF('Section Load'!M22&gt;0,'Section Load'!M22,0))</f>
        <v>600.90000000000146</v>
      </c>
      <c r="M19" s="294">
        <f>(IF('Section Load'!N22&gt;0,'Section Load'!N22,0))</f>
        <v>60</v>
      </c>
      <c r="N19" s="294">
        <f>(IF('Section Load'!O22&gt;0,'Section Load'!O22,0))</f>
        <v>1</v>
      </c>
      <c r="O19" s="294">
        <f>(IF('Section Load'!P22&gt;0,'Section Load'!P22,0))</f>
        <v>0</v>
      </c>
      <c r="P19" s="294">
        <f>(IF('Section Load'!Q22&gt;0,'Section Load'!Q22,0))</f>
        <v>171.84999999999854</v>
      </c>
      <c r="Q19" s="294">
        <f>(IF('Section Load'!R22&gt;0,'Section Load'!R22,0))</f>
        <v>80.540000000000873</v>
      </c>
      <c r="R19" s="294">
        <f>(IF('Section Load'!S22&gt;0,'Section Load'!S22,0))</f>
        <v>14.849999999999454</v>
      </c>
      <c r="S19" s="294">
        <f>(IF('Section Load'!T22&gt;0,'Section Load'!T22,0))</f>
        <v>366</v>
      </c>
      <c r="T19" s="294">
        <f>(IF('Section Load'!U22&gt;0,'Section Load'!U22,0))</f>
        <v>220</v>
      </c>
      <c r="U19" s="294">
        <f>(IF('Section Load'!V22&gt;0,'Section Load'!V22,0))</f>
        <v>304.56000000005588</v>
      </c>
      <c r="V19" s="294">
        <f>(IF('Section Load'!W22&gt;0,'Section Load'!W22,0))</f>
        <v>155.43999999994412</v>
      </c>
      <c r="W19" s="294">
        <f>(IF('Section Load'!X22&gt;0,'Section Load'!X22,0))</f>
        <v>24.949999999999818</v>
      </c>
      <c r="X19" s="294">
        <f>(IF('Section Load'!Y22&gt;0,'Section Load'!Y22,0))</f>
        <v>131.88000000000011</v>
      </c>
      <c r="Y19" s="294">
        <f>(IF('Section Load'!Z22&gt;0,'Section Load'!Z22,0))</f>
        <v>254</v>
      </c>
      <c r="Z19" s="294">
        <f>(IF('Section Load'!AA22&gt;0,'Section Load'!AA22,0))</f>
        <v>7.5599999999976717</v>
      </c>
      <c r="AA19" s="294">
        <f>(IF('Section Load'!AB22&gt;0,'Section Load'!AB22,0))</f>
        <v>40.30000000000291</v>
      </c>
      <c r="AB19" s="294">
        <f>(IF('Section Load'!AC22&gt;0,'Section Load'!AC22,0))</f>
        <v>1.8699999999989814</v>
      </c>
      <c r="AC19" s="294">
        <f>(IF('Section Load'!AD22&gt;0,'Section Load'!AD22,0))</f>
        <v>71.900000000003274</v>
      </c>
      <c r="AD19" s="294">
        <f>(IF('Section Load'!AE22&gt;0,'Section Load'!AE22,0))</f>
        <v>0</v>
      </c>
      <c r="AE19" s="294">
        <f>(IF('Section Load'!AF22&gt;0,'Section Load'!AF22,0))</f>
        <v>23.140000000000327</v>
      </c>
      <c r="AF19" s="294">
        <f>(IF('Section Load'!AG22&gt;0,'Section Load'!AG22,0))</f>
        <v>351.48999999999069</v>
      </c>
      <c r="AG19" s="294">
        <f>(IF('Section Load'!AH22&gt;0,'Section Load'!AH22,0))</f>
        <v>441.04999999998836</v>
      </c>
      <c r="AH19" s="294">
        <f>(IF('Section Load'!AI22&gt;0,'Section Load'!AI22,0))</f>
        <v>434.66999999999825</v>
      </c>
      <c r="AI19" s="294">
        <f>(IF('Section Load'!AJ22&gt;0,'Section Load'!AJ22,0))</f>
        <v>651</v>
      </c>
      <c r="AJ19" s="294">
        <f>(IF('Section Load'!AK22&gt;0,'Section Load'!AK22,0))</f>
        <v>168.55999999999767</v>
      </c>
      <c r="AK19" s="294">
        <f>(IF('Section Load'!AL22&gt;0,'Section Load'!AL22,0))</f>
        <v>264.95999999999185</v>
      </c>
      <c r="AL19" s="294">
        <f>(IF('Section Load'!AM22&gt;0,'Section Load'!AM22,0))</f>
        <v>500.79999999998836</v>
      </c>
      <c r="AM19" s="295">
        <f>(IF('Water Report'!$U$7&gt;0,'Water Report'!$U$7,0))</f>
        <v>69</v>
      </c>
      <c r="AN19" s="295">
        <f>(IF('Water Report'!$U$8&gt;0,'Water Report'!$U$8,0))</f>
        <v>124</v>
      </c>
      <c r="AO19" s="295">
        <f>(IF('Water Report'!$U$9&gt;0,'Water Report'!$U$9,0))</f>
        <v>64</v>
      </c>
      <c r="AP19" s="295">
        <f>(IF('Water Report'!$U$10&gt;0,'Water Report'!$U$10,0))</f>
        <v>11</v>
      </c>
      <c r="AQ19" s="295">
        <f>(IF('Water Report'!$U$11&gt;0,'Water Report'!$U$11,0))</f>
        <v>22</v>
      </c>
      <c r="AR19" s="295">
        <f>(IF('Water Report'!$U$13&gt;0,'Water Report'!$U$13,0))</f>
        <v>55</v>
      </c>
      <c r="AS19" s="295">
        <f>(IF('Water Report'!$U$14&gt;0,'Water Report'!$U$14,0))</f>
        <v>12</v>
      </c>
      <c r="AT19" s="295">
        <f>(IF('Water Report'!$U$15&gt;0,'Water Report'!$U$15,0))</f>
        <v>4</v>
      </c>
      <c r="AU19" s="295">
        <f>(IF('Water Report'!$U$17&gt;0,'Water Report'!$U$17,0))</f>
        <v>0</v>
      </c>
      <c r="AV19" s="295">
        <f>(IF('Water Report'!$U$18&gt;0,'Water Report'!$U$18,0))</f>
        <v>13</v>
      </c>
      <c r="AW19" s="295">
        <f>(IF('Water Report'!$U$19&gt;0,'Water Report'!$U$19,0))</f>
        <v>10</v>
      </c>
      <c r="AX19" s="301">
        <f>(IF('Water Report'!$U$21&gt;0,'Water Report'!$U$21,0))</f>
        <v>64</v>
      </c>
      <c r="AY19" s="301">
        <f>(IF('Water Report'!$U$22&gt;0,'Water Report'!$U$22,0))</f>
        <v>54</v>
      </c>
      <c r="AZ19" s="301">
        <f>(IF('Water Report'!$U$23&gt;0,'Water Report'!$U$23,0))</f>
        <v>15</v>
      </c>
      <c r="BA19" s="301">
        <f>(IF('Water Report'!$U$14&gt;0,'Water Report'!$U$14,0))</f>
        <v>12</v>
      </c>
      <c r="BB19" s="301">
        <f>(IF('Water Report'!$U$15&gt;0,'Water Report'!$U$15,0))</f>
        <v>4</v>
      </c>
      <c r="BC19" s="301">
        <f>(IF('Water Report'!$U$13&gt;0,'Water Report'!$U$13,0))</f>
        <v>55</v>
      </c>
      <c r="BD19" s="301">
        <f>(IF('Water Report'!$U$24&gt;0,'Water Report'!$U$24,0))</f>
        <v>154</v>
      </c>
      <c r="BE19" s="301">
        <f>(IF('Water Report'!$U$25&gt;0,'Water Report'!$U$25,0))</f>
        <v>113</v>
      </c>
      <c r="BF19" s="301">
        <f>(IF('Water Report'!$U$27&gt;0,'Water Report'!$U$27,0))</f>
        <v>134</v>
      </c>
      <c r="BG19" s="296">
        <f>(IF('Section Load'!AN22&gt;0,'Section Load'!AN22,0))</f>
        <v>881.7269999999553</v>
      </c>
      <c r="BH19" s="296">
        <f>(IF('Section Load'!AO22&gt;0,'Section Load'!AO22,0))</f>
        <v>285.25</v>
      </c>
      <c r="BI19" s="296">
        <f>(IF('Section Load'!AP22&gt;0,'Section Load'!AP22,0))</f>
        <v>0</v>
      </c>
      <c r="BJ19" s="296">
        <f>(IF('Section Load'!AQ22&gt;0,'Section Load'!AQ22,0))</f>
        <v>80.5</v>
      </c>
      <c r="BK19" s="296">
        <f>(IF('Section Load'!AR22&gt;0,'Section Load'!AR22,0))</f>
        <v>22.69999999999709</v>
      </c>
      <c r="BL19" s="296">
        <f>(IF('Section Load'!AS22&gt;0,'Section Load'!AS22,0))</f>
        <v>1</v>
      </c>
      <c r="BM19" s="296">
        <f>(IF('Section Load'!AT22&gt;0,'Section Load'!AT22,0))</f>
        <v>492.27699999995821</v>
      </c>
    </row>
    <row r="20" spans="1:65" x14ac:dyDescent="0.25">
      <c r="A20" s="287" t="s">
        <v>268</v>
      </c>
      <c r="B20" s="288">
        <f t="shared" si="0"/>
        <v>19</v>
      </c>
      <c r="C20" s="288">
        <v>1</v>
      </c>
      <c r="D20" s="288">
        <v>2022</v>
      </c>
      <c r="E20" s="294">
        <f>(IF('Section Load'!F23&gt;0,'Section Load'!F23,0))</f>
        <v>2941.6499999999996</v>
      </c>
      <c r="F20" s="294">
        <f>(IF('Section Load'!G23&gt;0,'Section Load'!G23,0))</f>
        <v>1596.17</v>
      </c>
      <c r="G20" s="294">
        <f>(IF('Section Load'!H23&gt;0,'Section Load'!H23,0))</f>
        <v>1623.5400000000009</v>
      </c>
      <c r="H20" s="294">
        <f>(IF('Section Load'!I23&gt;0,'Section Load'!I23,0))</f>
        <v>2646.0699999999997</v>
      </c>
      <c r="I20" s="294">
        <f>(IF('Section Load'!J23&gt;0,'Section Load'!J23,0))</f>
        <v>2846.1399999999994</v>
      </c>
      <c r="J20" s="294">
        <f>(IF('Section Load'!K23&gt;0,'Section Load'!K23,0))</f>
        <v>2372.3700000000099</v>
      </c>
      <c r="K20" s="294">
        <f>(IF('Section Load'!L23&gt;0,'Section Load'!L23,0))</f>
        <v>975.76000000000204</v>
      </c>
      <c r="L20" s="294">
        <f>(IF('Section Load'!M23&gt;0,'Section Load'!M23,0))</f>
        <v>661.59999999999854</v>
      </c>
      <c r="M20" s="294">
        <f>(IF('Section Load'!N23&gt;0,'Section Load'!N23,0))</f>
        <v>59</v>
      </c>
      <c r="N20" s="294">
        <f>(IF('Section Load'!O23&gt;0,'Section Load'!O23,0))</f>
        <v>0</v>
      </c>
      <c r="O20" s="294">
        <f>(IF('Section Load'!P23&gt;0,'Section Load'!P23,0))</f>
        <v>0</v>
      </c>
      <c r="P20" s="294">
        <f>(IF('Section Load'!Q23&gt;0,'Section Load'!Q23,0))</f>
        <v>171.04999999999563</v>
      </c>
      <c r="Q20" s="294">
        <f>(IF('Section Load'!R23&gt;0,'Section Load'!R23,0))</f>
        <v>66.610000000000582</v>
      </c>
      <c r="R20" s="294">
        <f>(IF('Section Load'!S23&gt;0,'Section Load'!S23,0))</f>
        <v>16.210000000000036</v>
      </c>
      <c r="S20" s="294">
        <f>(IF('Section Load'!T23&gt;0,'Section Load'!T23,0))</f>
        <v>407</v>
      </c>
      <c r="T20" s="294">
        <f>(IF('Section Load'!U23&gt;0,'Section Load'!U23,0))</f>
        <v>220</v>
      </c>
      <c r="U20" s="294">
        <f>(IF('Section Load'!V23&gt;0,'Section Load'!V23,0))</f>
        <v>351.07999999995809</v>
      </c>
      <c r="V20" s="294">
        <f>(IF('Section Load'!W23&gt;0,'Section Load'!W23,0))</f>
        <v>166.08000000007451</v>
      </c>
      <c r="W20" s="294">
        <f>(IF('Section Load'!X23&gt;0,'Section Load'!X23,0))</f>
        <v>24.059999999999945</v>
      </c>
      <c r="X20" s="294">
        <f>(IF('Section Load'!Y23&gt;0,'Section Load'!Y23,0))</f>
        <v>161.78999999999996</v>
      </c>
      <c r="Y20" s="294">
        <f>(IF('Section Load'!Z23&gt;0,'Section Load'!Z23,0))</f>
        <v>190</v>
      </c>
      <c r="Z20" s="294">
        <f>(IF('Section Load'!AA23&gt;0,'Section Load'!AA23,0))</f>
        <v>7.2000000000116415</v>
      </c>
      <c r="AA20" s="294">
        <f>(IF('Section Load'!AB23&gt;0,'Section Load'!AB23,0))</f>
        <v>42.099999999991269</v>
      </c>
      <c r="AB20" s="294">
        <f>(IF('Section Load'!AC23&gt;0,'Section Load'!AC23,0))</f>
        <v>0.20999999999912689</v>
      </c>
      <c r="AC20" s="294">
        <f>(IF('Section Load'!AD23&gt;0,'Section Load'!AD23,0))</f>
        <v>68.80000000000291</v>
      </c>
      <c r="AD20" s="294">
        <f>(IF('Section Load'!AE23&gt;0,'Section Load'!AE23,0))</f>
        <v>0</v>
      </c>
      <c r="AE20" s="294">
        <f>(IF('Section Load'!AF23&gt;0,'Section Load'!AF23,0))</f>
        <v>23.339999999999691</v>
      </c>
      <c r="AF20" s="294">
        <f>(IF('Section Load'!AG23&gt;0,'Section Load'!AG23,0))</f>
        <v>365.60000000000582</v>
      </c>
      <c r="AG20" s="294">
        <f>(IF('Section Load'!AH23&gt;0,'Section Load'!AH23,0))</f>
        <v>443.40000000002328</v>
      </c>
      <c r="AH20" s="294">
        <f>(IF('Section Load'!AI23&gt;0,'Section Load'!AI23,0))</f>
        <v>407.05999999999767</v>
      </c>
      <c r="AI20" s="294">
        <f>(IF('Section Load'!AJ23&gt;0,'Section Load'!AJ23,0))</f>
        <v>665.42999999999302</v>
      </c>
      <c r="AJ20" s="294">
        <f>(IF('Section Load'!AK23&gt;0,'Section Load'!AK23,0))</f>
        <v>173.49000000000524</v>
      </c>
      <c r="AK20" s="294">
        <f>(IF('Section Load'!AL23&gt;0,'Section Load'!AL23,0))</f>
        <v>278.76000000000931</v>
      </c>
      <c r="AL20" s="294">
        <f>(IF('Section Load'!AM23&gt;0,'Section Load'!AM23,0))</f>
        <v>668.02999999999884</v>
      </c>
      <c r="AM20" s="295">
        <f>(IF('Water Report'!$V$7&gt;0,'Water Report'!$V$7,0))</f>
        <v>60</v>
      </c>
      <c r="AN20" s="295">
        <f>(IF('Water Report'!$V$8&gt;0,'Water Report'!$V$8,0))</f>
        <v>93</v>
      </c>
      <c r="AO20" s="295">
        <f>(IF('Water Report'!$V$9&gt;0,'Water Report'!$V$9,0))</f>
        <v>63</v>
      </c>
      <c r="AP20" s="295">
        <f>(IF('Water Report'!$V$10&gt;0,'Water Report'!$V$10,0))</f>
        <v>15</v>
      </c>
      <c r="AQ20" s="295">
        <f>(IF('Water Report'!$V$11&gt;0,'Water Report'!$V$11,0))</f>
        <v>23</v>
      </c>
      <c r="AR20" s="295">
        <f>(IF('Water Report'!$V$13&gt;0,'Water Report'!$V$13,0))</f>
        <v>30</v>
      </c>
      <c r="AS20" s="295">
        <f>(IF('Water Report'!$V$14&gt;0,'Water Report'!$V$14,0))</f>
        <v>8</v>
      </c>
      <c r="AT20" s="295">
        <f>(IF('Water Report'!$V$15&gt;0,'Water Report'!$V$15,0))</f>
        <v>6.1000000000003638</v>
      </c>
      <c r="AU20" s="295">
        <f>(IF('Water Report'!$V$17&gt;0,'Water Report'!$V$17,0))</f>
        <v>0</v>
      </c>
      <c r="AV20" s="295">
        <f>(IF('Water Report'!$V$18&gt;0,'Water Report'!$V$18,0))</f>
        <v>9</v>
      </c>
      <c r="AW20" s="295">
        <f>(IF('Water Report'!$V$19&gt;0,'Water Report'!$V$19,0))</f>
        <v>9</v>
      </c>
      <c r="AX20" s="301">
        <f>(IF('Water Report'!$V$21&gt;0,'Water Report'!$V$21,0))</f>
        <v>35</v>
      </c>
      <c r="AY20" s="301">
        <f>(IF('Water Report'!$V$22&gt;0,'Water Report'!$V$22,0))</f>
        <v>4</v>
      </c>
      <c r="AZ20" s="301">
        <f>(IF('Water Report'!$V$23&gt;0,'Water Report'!$V$23,0))</f>
        <v>0</v>
      </c>
      <c r="BA20" s="301">
        <f>(IF('Water Report'!$V$14&gt;0,'Water Report'!$V$14,0))</f>
        <v>8</v>
      </c>
      <c r="BB20" s="301">
        <f>(IF('Water Report'!$V$15&gt;0,'Water Report'!$V$15,0))</f>
        <v>6.1000000000003638</v>
      </c>
      <c r="BC20" s="301">
        <f>(IF('Water Report'!$V$13&gt;0,'Water Report'!$V$13,0))</f>
        <v>30</v>
      </c>
      <c r="BD20" s="301">
        <f>(IF('Water Report'!$V$24&gt;0,'Water Report'!$V$24,0))</f>
        <v>157</v>
      </c>
      <c r="BE20" s="301">
        <f>(IF('Water Report'!$V$25&gt;0,'Water Report'!$V$25,0))</f>
        <v>115.10000000000036</v>
      </c>
      <c r="BF20" s="301">
        <f>(IF('Water Report'!$V$27&gt;0,'Water Report'!$V$27,0))</f>
        <v>65</v>
      </c>
      <c r="BG20" s="296">
        <f>(IF('Section Load'!AN23&gt;0,'Section Load'!AN23,0))</f>
        <v>834.30000000004657</v>
      </c>
      <c r="BH20" s="296">
        <f>(IF('Section Load'!AO23&gt;0,'Section Load'!AO23,0))</f>
        <v>306.34999999997672</v>
      </c>
      <c r="BI20" s="296">
        <f>(IF('Section Load'!AP23&gt;0,'Section Load'!AP23,0))</f>
        <v>0</v>
      </c>
      <c r="BJ20" s="296">
        <f>(IF('Section Load'!AQ23&gt;0,'Section Load'!AQ23,0))</f>
        <v>83.899999999994179</v>
      </c>
      <c r="BK20" s="296">
        <f>(IF('Section Load'!AR23&gt;0,'Section Load'!AR23,0))</f>
        <v>27.099999999998545</v>
      </c>
      <c r="BL20" s="296">
        <f>(IF('Section Load'!AS23&gt;0,'Section Load'!AS23,0))</f>
        <v>1.2999999999992724</v>
      </c>
      <c r="BM20" s="296">
        <f>(IF('Section Load'!AT23&gt;0,'Section Load'!AT23,0))</f>
        <v>415.65000000007785</v>
      </c>
    </row>
    <row r="21" spans="1:65" x14ac:dyDescent="0.25">
      <c r="A21" s="287" t="s">
        <v>268</v>
      </c>
      <c r="B21" s="288">
        <f t="shared" si="0"/>
        <v>20</v>
      </c>
      <c r="C21" s="288">
        <v>1</v>
      </c>
      <c r="D21" s="288">
        <v>2022</v>
      </c>
      <c r="E21" s="294">
        <f>(IF('Section Load'!F24&gt;0,'Section Load'!F24,0))</f>
        <v>2570.5700000000015</v>
      </c>
      <c r="F21" s="294">
        <f>(IF('Section Load'!G24&gt;0,'Section Load'!G24,0))</f>
        <v>1537.7799999999988</v>
      </c>
      <c r="G21" s="294">
        <f>(IF('Section Load'!H24&gt;0,'Section Load'!H24,0))</f>
        <v>1612.8499999999985</v>
      </c>
      <c r="H21" s="294">
        <f>(IF('Section Load'!I24&gt;0,'Section Load'!I24,0))</f>
        <v>2507.0499999999993</v>
      </c>
      <c r="I21" s="294">
        <f>(IF('Section Load'!J24&gt;0,'Section Load'!J24,0))</f>
        <v>2588.6399999999994</v>
      </c>
      <c r="J21" s="294">
        <f>(IF('Section Load'!K24&gt;0,'Section Load'!K24,0))</f>
        <v>2313.4700000000012</v>
      </c>
      <c r="K21" s="294">
        <f>(IF('Section Load'!L24&gt;0,'Section Load'!L24,0))</f>
        <v>914.65999999999622</v>
      </c>
      <c r="L21" s="294">
        <f>(IF('Section Load'!M24&gt;0,'Section Load'!M24,0))</f>
        <v>594.86000000000058</v>
      </c>
      <c r="M21" s="294">
        <f>(IF('Section Load'!N24&gt;0,'Section Load'!N24,0))</f>
        <v>57</v>
      </c>
      <c r="N21" s="294">
        <f>(IF('Section Load'!O24&gt;0,'Section Load'!O24,0))</f>
        <v>1</v>
      </c>
      <c r="O21" s="294">
        <f>(IF('Section Load'!P24&gt;0,'Section Load'!P24,0))</f>
        <v>19</v>
      </c>
      <c r="P21" s="294">
        <f>(IF('Section Load'!Q24&gt;0,'Section Load'!Q24,0))</f>
        <v>163.31999999999971</v>
      </c>
      <c r="Q21" s="294">
        <f>(IF('Section Load'!R24&gt;0,'Section Load'!R24,0))</f>
        <v>74.889999999999418</v>
      </c>
      <c r="R21" s="294">
        <f>(IF('Section Load'!S24&gt;0,'Section Load'!S24,0))</f>
        <v>14.880000000000109</v>
      </c>
      <c r="S21" s="294">
        <f>(IF('Section Load'!T24&gt;0,'Section Load'!T24,0))</f>
        <v>346</v>
      </c>
      <c r="T21" s="294">
        <f>(IF('Section Load'!U24&gt;0,'Section Load'!U24,0))</f>
        <v>226</v>
      </c>
      <c r="U21" s="294">
        <f>(IF('Section Load'!V24&gt;0,'Section Load'!V24,0))</f>
        <v>347.35999999998603</v>
      </c>
      <c r="V21" s="294">
        <f>(IF('Section Load'!W24&gt;0,'Section Load'!W24,0))</f>
        <v>160.47999999998137</v>
      </c>
      <c r="W21" s="294">
        <f>(IF('Section Load'!X24&gt;0,'Section Load'!X24,0))</f>
        <v>26.25</v>
      </c>
      <c r="X21" s="294">
        <f>(IF('Section Load'!Y24&gt;0,'Section Load'!Y24,0))</f>
        <v>256.7199999999998</v>
      </c>
      <c r="Y21" s="294">
        <f>(IF('Section Load'!Z24&gt;0,'Section Load'!Z24,0))</f>
        <v>212</v>
      </c>
      <c r="Z21" s="294">
        <f>(IF('Section Load'!AA24&gt;0,'Section Load'!AA24,0))</f>
        <v>6.4799999999813735</v>
      </c>
      <c r="AA21" s="294">
        <f>(IF('Section Load'!AB24&gt;0,'Section Load'!AB24,0))</f>
        <v>36.100000000005821</v>
      </c>
      <c r="AB21" s="294">
        <f>(IF('Section Load'!AC24&gt;0,'Section Load'!AC24,0))</f>
        <v>0</v>
      </c>
      <c r="AC21" s="294">
        <f>(IF('Section Load'!AD24&gt;0,'Section Load'!AD24,0))</f>
        <v>53.30000000000291</v>
      </c>
      <c r="AD21" s="294">
        <f>(IF('Section Load'!AE24&gt;0,'Section Load'!AE24,0))</f>
        <v>0</v>
      </c>
      <c r="AE21" s="294">
        <f>(IF('Section Load'!AF24&gt;0,'Section Load'!AF24,0))</f>
        <v>22.680000000000291</v>
      </c>
      <c r="AF21" s="294">
        <f>(IF('Section Load'!AG24&gt;0,'Section Load'!AG24,0))</f>
        <v>343.23999999999069</v>
      </c>
      <c r="AG21" s="294">
        <f>(IF('Section Load'!AH24&gt;0,'Section Load'!AH24,0))</f>
        <v>432.47999999998137</v>
      </c>
      <c r="AH21" s="294">
        <f>(IF('Section Load'!AI24&gt;0,'Section Load'!AI24,0))</f>
        <v>402.74000000000524</v>
      </c>
      <c r="AI21" s="294">
        <f>(IF('Section Load'!AJ24&gt;0,'Section Load'!AJ24,0))</f>
        <v>607.0800000000163</v>
      </c>
      <c r="AJ21" s="294">
        <f>(IF('Section Load'!AK24&gt;0,'Section Load'!AK24,0))</f>
        <v>154.1299999999901</v>
      </c>
      <c r="AK21" s="294">
        <f>(IF('Section Load'!AL24&gt;0,'Section Load'!AL24,0))</f>
        <v>273.07000000000698</v>
      </c>
      <c r="AL21" s="294">
        <f>(IF('Section Load'!AM24&gt;0,'Section Load'!AM24,0))</f>
        <v>655.39000000001397</v>
      </c>
      <c r="AM21" s="295">
        <f>(IF('Water Report'!$W$7&gt;0,'Water Report'!$W$7,0))</f>
        <v>69</v>
      </c>
      <c r="AN21" s="295">
        <f>(IF('Water Report'!$W$8&gt;0,'Water Report'!$W$8,0))</f>
        <v>105</v>
      </c>
      <c r="AO21" s="295">
        <f>(IF('Water Report'!$W$9&gt;0,'Water Report'!$W$9,0))</f>
        <v>72</v>
      </c>
      <c r="AP21" s="295">
        <f>(IF('Water Report'!$W$10&gt;0,'Water Report'!$W$10,0))</f>
        <v>10</v>
      </c>
      <c r="AQ21" s="295">
        <f>(IF('Water Report'!$W$11&gt;0,'Water Report'!$W$11,0))</f>
        <v>23</v>
      </c>
      <c r="AR21" s="295">
        <f>(IF('Water Report'!$W$13&gt;0,'Water Report'!$W$13,0))</f>
        <v>50</v>
      </c>
      <c r="AS21" s="295">
        <f>(IF('Water Report'!$W$14&gt;0,'Water Report'!$W$14,0))</f>
        <v>14</v>
      </c>
      <c r="AT21" s="295">
        <f>(IF('Water Report'!$W$15&gt;0,'Water Report'!$W$15,0))</f>
        <v>4.8999999999996362</v>
      </c>
      <c r="AU21" s="295">
        <f>(IF('Water Report'!$W$17&gt;0,'Water Report'!$W$17,0))</f>
        <v>0</v>
      </c>
      <c r="AV21" s="295">
        <f>(IF('Water Report'!$W$18&gt;0,'Water Report'!$W$18,0))</f>
        <v>12</v>
      </c>
      <c r="AW21" s="295">
        <f>(IF('Water Report'!$W$19&gt;0,'Water Report'!$W$19,0))</f>
        <v>12</v>
      </c>
      <c r="AX21" s="301">
        <f>(IF('Water Report'!$W$21&gt;0,'Water Report'!$W$21,0))</f>
        <v>41</v>
      </c>
      <c r="AY21" s="301">
        <f>(IF('Water Report'!$W$22&gt;0,'Water Report'!$W$22,0))</f>
        <v>0</v>
      </c>
      <c r="AZ21" s="301">
        <f>(IF('Water Report'!$W$23&gt;0,'Water Report'!$W$23,0))</f>
        <v>12</v>
      </c>
      <c r="BA21" s="301">
        <f>(IF('Water Report'!$W$14&gt;0,'Water Report'!$W$14,0))</f>
        <v>14</v>
      </c>
      <c r="BB21" s="301">
        <f>(IF('Water Report'!$W$15&gt;0,'Water Report'!$W$15,0))</f>
        <v>4.8999999999996362</v>
      </c>
      <c r="BC21" s="301">
        <f>(IF('Water Report'!$W$13&gt;0,'Water Report'!$W$13,0))</f>
        <v>50</v>
      </c>
      <c r="BD21" s="301">
        <f>(IF('Water Report'!$W$24&gt;0,'Water Report'!$W$24,0))</f>
        <v>216</v>
      </c>
      <c r="BE21" s="301">
        <f>(IF('Water Report'!$W$25&gt;0,'Water Report'!$W$25,0))</f>
        <v>123.89999999999964</v>
      </c>
      <c r="BF21" s="301">
        <f>(IF('Water Report'!$W$27&gt;0,'Water Report'!$W$27,0))</f>
        <v>103</v>
      </c>
      <c r="BG21" s="296">
        <f>(IF('Section Load'!AN24&gt;0,'Section Load'!AN24,0))</f>
        <v>986.94999999995343</v>
      </c>
      <c r="BH21" s="296">
        <f>(IF('Section Load'!AO24&gt;0,'Section Load'!AO24,0))</f>
        <v>295.15000000002328</v>
      </c>
      <c r="BI21" s="296">
        <f>(IF('Section Load'!AP24&gt;0,'Section Load'!AP24,0))</f>
        <v>0</v>
      </c>
      <c r="BJ21" s="296">
        <f>(IF('Section Load'!AQ24&gt;0,'Section Load'!AQ24,0))</f>
        <v>83.64000000001397</v>
      </c>
      <c r="BK21" s="296">
        <f>(IF('Section Load'!AR24&gt;0,'Section Load'!AR24,0))</f>
        <v>25.599999999998545</v>
      </c>
      <c r="BL21" s="296">
        <f>(IF('Section Load'!AS24&gt;0,'Section Load'!AS24,0))</f>
        <v>0.6000000000003638</v>
      </c>
      <c r="BM21" s="296">
        <f>(IF('Section Load'!AT24&gt;0,'Section Load'!AT24,0))</f>
        <v>581.95999999991727</v>
      </c>
    </row>
    <row r="22" spans="1:65" x14ac:dyDescent="0.25">
      <c r="A22" s="287" t="s">
        <v>268</v>
      </c>
      <c r="B22" s="288">
        <f t="shared" si="0"/>
        <v>21</v>
      </c>
      <c r="C22" s="288">
        <v>1</v>
      </c>
      <c r="D22" s="288">
        <v>2022</v>
      </c>
      <c r="E22" s="294">
        <f>(IF('Section Load'!F25&gt;0,'Section Load'!F25,0))</f>
        <v>2555.7699999999968</v>
      </c>
      <c r="F22" s="294">
        <f>(IF('Section Load'!G25&gt;0,'Section Load'!G25,0))</f>
        <v>1565.5</v>
      </c>
      <c r="G22" s="294">
        <f>(IF('Section Load'!H25&gt;0,'Section Load'!H25,0))</f>
        <v>1671.4500000000007</v>
      </c>
      <c r="H22" s="294">
        <f>(IF('Section Load'!I25&gt;0,'Section Load'!I25,0))</f>
        <v>2598.239999999998</v>
      </c>
      <c r="I22" s="294">
        <f>(IF('Section Load'!J25&gt;0,'Section Load'!J25,0))</f>
        <v>2838.3999999999942</v>
      </c>
      <c r="J22" s="294">
        <f>(IF('Section Load'!K25&gt;0,'Section Load'!K25,0))</f>
        <v>2339.9399999999878</v>
      </c>
      <c r="K22" s="294">
        <f>(IF('Section Load'!L25&gt;0,'Section Load'!L25,0))</f>
        <v>1160.0500000000029</v>
      </c>
      <c r="L22" s="294">
        <f>(IF('Section Load'!M25&gt;0,'Section Load'!M25,0))</f>
        <v>661.91000000000349</v>
      </c>
      <c r="M22" s="294">
        <f>(IF('Section Load'!N25&gt;0,'Section Load'!N25,0))</f>
        <v>68</v>
      </c>
      <c r="N22" s="294">
        <f>(IF('Section Load'!O25&gt;0,'Section Load'!O25,0))</f>
        <v>2</v>
      </c>
      <c r="O22" s="294">
        <f>(IF('Section Load'!P25&gt;0,'Section Load'!P25,0))</f>
        <v>1.5</v>
      </c>
      <c r="P22" s="294">
        <f>(IF('Section Load'!Q25&gt;0,'Section Load'!Q25,0))</f>
        <v>183.9600000000064</v>
      </c>
      <c r="Q22" s="294">
        <f>(IF('Section Load'!R25&gt;0,'Section Load'!R25,0))</f>
        <v>82.779999999998836</v>
      </c>
      <c r="R22" s="294">
        <f>(IF('Section Load'!S25&gt;0,'Section Load'!S25,0))</f>
        <v>15.119999999999891</v>
      </c>
      <c r="S22" s="294">
        <f>(IF('Section Load'!T25&gt;0,'Section Load'!T25,0))</f>
        <v>369</v>
      </c>
      <c r="T22" s="294">
        <f>(IF('Section Load'!U25&gt;0,'Section Load'!U25,0))</f>
        <v>227</v>
      </c>
      <c r="U22" s="294">
        <f>(IF('Section Load'!V25&gt;0,'Section Load'!V25,0))</f>
        <v>376.11999999999534</v>
      </c>
      <c r="V22" s="294">
        <f>(IF('Section Load'!W25&gt;0,'Section Load'!W25,0))</f>
        <v>154.88000000000466</v>
      </c>
      <c r="W22" s="294">
        <f>(IF('Section Load'!X25&gt;0,'Section Load'!X25,0))</f>
        <v>23.769999999999982</v>
      </c>
      <c r="X22" s="294">
        <f>(IF('Section Load'!Y25&gt;0,'Section Load'!Y25,0))</f>
        <v>234.19000000000005</v>
      </c>
      <c r="Y22" s="294">
        <f>(IF('Section Load'!Z25&gt;0,'Section Load'!Z25,0))</f>
        <v>226</v>
      </c>
      <c r="Z22" s="294">
        <f>(IF('Section Load'!AA25&gt;0,'Section Load'!AA25,0))</f>
        <v>101.76000000000931</v>
      </c>
      <c r="AA22" s="294">
        <f>(IF('Section Load'!AB25&gt;0,'Section Load'!AB25,0))</f>
        <v>41.80000000000291</v>
      </c>
      <c r="AB22" s="294">
        <f>(IF('Section Load'!AC25&gt;0,'Section Load'!AC25,0))</f>
        <v>0</v>
      </c>
      <c r="AC22" s="294">
        <f>(IF('Section Load'!AD25&gt;0,'Section Load'!AD25,0))</f>
        <v>54.100000000000364</v>
      </c>
      <c r="AD22" s="294">
        <f>(IF('Section Load'!AE25&gt;0,'Section Load'!AE25,0))</f>
        <v>0</v>
      </c>
      <c r="AE22" s="294">
        <f>(IF('Section Load'!AF25&gt;0,'Section Load'!AF25,0))</f>
        <v>23.139999999999873</v>
      </c>
      <c r="AF22" s="294">
        <f>(IF('Section Load'!AG25&gt;0,'Section Load'!AG25,0))</f>
        <v>333.44000000000233</v>
      </c>
      <c r="AG22" s="294">
        <f>(IF('Section Load'!AH25&gt;0,'Section Load'!AH25,0))</f>
        <v>440.86000000001513</v>
      </c>
      <c r="AH22" s="294">
        <f>(IF('Section Load'!AI25&gt;0,'Section Load'!AI25,0))</f>
        <v>411.36000000000058</v>
      </c>
      <c r="AI22" s="294">
        <f>(IF('Section Load'!AJ25&gt;0,'Section Load'!AJ25,0))</f>
        <v>673.20000000001164</v>
      </c>
      <c r="AJ22" s="294">
        <f>(IF('Section Load'!AK25&gt;0,'Section Load'!AK25,0))</f>
        <v>203.35000000000582</v>
      </c>
      <c r="AK22" s="294">
        <f>(IF('Section Load'!AL25&gt;0,'Section Load'!AL25,0))</f>
        <v>265.57999999998719</v>
      </c>
      <c r="AL22" s="294">
        <f>(IF('Section Load'!AM25&gt;0,'Section Load'!AM25,0))</f>
        <v>655.83999999999651</v>
      </c>
      <c r="AM22" s="295">
        <f>(IF('Water Report'!$X$7&gt;0,'Water Report'!$X$7,0))</f>
        <v>60</v>
      </c>
      <c r="AN22" s="295">
        <f>(IF('Water Report'!$X$8&gt;0,'Water Report'!$X$8,0))</f>
        <v>96</v>
      </c>
      <c r="AO22" s="295">
        <f>(IF('Water Report'!$X$9&gt;0,'Water Report'!$X$9,0))</f>
        <v>72</v>
      </c>
      <c r="AP22" s="295">
        <f>(IF('Water Report'!$X$10&gt;0,'Water Report'!$X$10,0))</f>
        <v>12</v>
      </c>
      <c r="AQ22" s="295">
        <f>(IF('Water Report'!$X$11&gt;0,'Water Report'!$X$11,0))</f>
        <v>20</v>
      </c>
      <c r="AR22" s="295">
        <f>(IF('Water Report'!$X$13&gt;0,'Water Report'!$X$13,0))</f>
        <v>34</v>
      </c>
      <c r="AS22" s="295">
        <f>(IF('Water Report'!$X$14&gt;0,'Water Report'!$X$14,0))</f>
        <v>8</v>
      </c>
      <c r="AT22" s="295">
        <f>(IF('Water Report'!$X$15&gt;0,'Water Report'!$X$15,0))</f>
        <v>4</v>
      </c>
      <c r="AU22" s="295">
        <f>(IF('Water Report'!$X$17&gt;0,'Water Report'!$X$17,0))</f>
        <v>0</v>
      </c>
      <c r="AV22" s="295">
        <f>(IF('Water Report'!$X$18&gt;0,'Water Report'!$X$18,0))</f>
        <v>11</v>
      </c>
      <c r="AW22" s="295">
        <f>(IF('Water Report'!$X$19&gt;0,'Water Report'!$X$19,0))</f>
        <v>10</v>
      </c>
      <c r="AX22" s="301">
        <f>(IF('Water Report'!$X$21&gt;0,'Water Report'!$X$21,0))</f>
        <v>61</v>
      </c>
      <c r="AY22" s="301">
        <f>(IF('Water Report'!$X$22&gt;0,'Water Report'!$X$22,0))</f>
        <v>20</v>
      </c>
      <c r="AZ22" s="301">
        <f>(IF('Water Report'!$X$23&gt;0,'Water Report'!$X$23,0))</f>
        <v>14</v>
      </c>
      <c r="BA22" s="301">
        <f>(IF('Water Report'!$X$14&gt;0,'Water Report'!$X$14,0))</f>
        <v>8</v>
      </c>
      <c r="BB22" s="301">
        <f>(IF('Water Report'!$X$15&gt;0,'Water Report'!$X$15,0))</f>
        <v>4</v>
      </c>
      <c r="BC22" s="301">
        <f>(IF('Water Report'!$X$13&gt;0,'Water Report'!$X$13,0))</f>
        <v>34</v>
      </c>
      <c r="BD22" s="301">
        <f>(IF('Water Report'!$X$24&gt;0,'Water Report'!$X$24,0))</f>
        <v>167</v>
      </c>
      <c r="BE22" s="301">
        <f>(IF('Water Report'!$X$25&gt;0,'Water Report'!$X$25,0))</f>
        <v>116</v>
      </c>
      <c r="BF22" s="301">
        <f>(IF('Water Report'!$X$27&gt;0,'Water Report'!$X$27,0))</f>
        <v>109</v>
      </c>
      <c r="BG22" s="296">
        <f>(IF('Section Load'!AN25&gt;0,'Section Load'!AN25,0))</f>
        <v>1017.3400000000838</v>
      </c>
      <c r="BH22" s="296">
        <f>(IF('Section Load'!AO25&gt;0,'Section Load'!AO25,0))</f>
        <v>294.76000000000931</v>
      </c>
      <c r="BI22" s="296">
        <f>(IF('Section Load'!AP25&gt;0,'Section Load'!AP25,0))</f>
        <v>0</v>
      </c>
      <c r="BJ22" s="296">
        <f>(IF('Section Load'!AQ25&gt;0,'Section Load'!AQ25,0))</f>
        <v>104.77999999999884</v>
      </c>
      <c r="BK22" s="296">
        <f>(IF('Section Load'!AR25&gt;0,'Section Load'!AR25,0))</f>
        <v>50.30000000000291</v>
      </c>
      <c r="BL22" s="296">
        <f>(IF('Section Load'!AS25&gt;0,'Section Load'!AS25,0))</f>
        <v>1.1000000000003638</v>
      </c>
      <c r="BM22" s="296">
        <f>(IF('Section Load'!AT25&gt;0,'Section Load'!AT25,0))</f>
        <v>566.4000000000724</v>
      </c>
    </row>
    <row r="23" spans="1:65" x14ac:dyDescent="0.25">
      <c r="A23" s="287" t="s">
        <v>268</v>
      </c>
      <c r="B23" s="288">
        <f t="shared" si="0"/>
        <v>22</v>
      </c>
      <c r="C23" s="288">
        <v>1</v>
      </c>
      <c r="D23" s="288">
        <v>2022</v>
      </c>
      <c r="E23" s="294">
        <f>(IF('Section Load'!F26&gt;0,'Section Load'!F26,0))</f>
        <v>2596.6300000000028</v>
      </c>
      <c r="F23" s="294">
        <f>(IF('Section Load'!G26&gt;0,'Section Load'!G26,0))</f>
        <v>1587.0900000000001</v>
      </c>
      <c r="G23" s="294">
        <f>(IF('Section Load'!H26&gt;0,'Section Load'!H26,0))</f>
        <v>1787.2400000000016</v>
      </c>
      <c r="H23" s="294">
        <f>(IF('Section Load'!I26&gt;0,'Section Load'!I26,0))</f>
        <v>2648.7000000000044</v>
      </c>
      <c r="I23" s="294">
        <f>(IF('Section Load'!J26&gt;0,'Section Load'!J26,0))</f>
        <v>3073.5800000000017</v>
      </c>
      <c r="J23" s="294">
        <f>(IF('Section Load'!K26&gt;0,'Section Load'!K26,0))</f>
        <v>2333.4200000000128</v>
      </c>
      <c r="K23" s="294">
        <f>(IF('Section Load'!L26&gt;0,'Section Load'!L26,0))</f>
        <v>1510.6999999999971</v>
      </c>
      <c r="L23" s="294">
        <f>(IF('Section Load'!M26&gt;0,'Section Load'!M26,0))</f>
        <v>834.2899999999936</v>
      </c>
      <c r="M23" s="294">
        <f>(IF('Section Load'!N26&gt;0,'Section Load'!N26,0))</f>
        <v>107</v>
      </c>
      <c r="N23" s="294">
        <f>(IF('Section Load'!O26&gt;0,'Section Load'!O26,0))</f>
        <v>9</v>
      </c>
      <c r="O23" s="294">
        <f>(IF('Section Load'!P26&gt;0,'Section Load'!P26,0))</f>
        <v>1.5299999999988358</v>
      </c>
      <c r="P23" s="294">
        <f>(IF('Section Load'!Q26&gt;0,'Section Load'!Q26,0))</f>
        <v>192.63999999999942</v>
      </c>
      <c r="Q23" s="294">
        <f>(IF('Section Load'!R26&gt;0,'Section Load'!R26,0))</f>
        <v>79.819999999999709</v>
      </c>
      <c r="R23" s="294">
        <f>(IF('Section Load'!S26&gt;0,'Section Load'!S26,0))</f>
        <v>14.800000000000182</v>
      </c>
      <c r="S23" s="294">
        <f>(IF('Section Load'!T26&gt;0,'Section Load'!T26,0))</f>
        <v>446</v>
      </c>
      <c r="T23" s="294">
        <f>(IF('Section Load'!U26&gt;0,'Section Load'!U26,0))</f>
        <v>229</v>
      </c>
      <c r="U23" s="294">
        <f>(IF('Section Load'!V26&gt;0,'Section Load'!V26,0))</f>
        <v>492</v>
      </c>
      <c r="V23" s="294">
        <f>(IF('Section Load'!W26&gt;0,'Section Load'!W26,0))</f>
        <v>202.55999999993946</v>
      </c>
      <c r="W23" s="294">
        <f>(IF('Section Load'!X26&gt;0,'Section Load'!X26,0))</f>
        <v>27.960000000000036</v>
      </c>
      <c r="X23" s="294">
        <f>(IF('Section Load'!Y26&gt;0,'Section Load'!Y26,0))</f>
        <v>243.45000000000027</v>
      </c>
      <c r="Y23" s="294">
        <f>(IF('Section Load'!Z26&gt;0,'Section Load'!Z26,0))</f>
        <v>219</v>
      </c>
      <c r="Z23" s="294">
        <f>(IF('Section Load'!AA26&gt;0,'Section Load'!AA26,0))</f>
        <v>218</v>
      </c>
      <c r="AA23" s="294">
        <f>(IF('Section Load'!AB26&gt;0,'Section Load'!AB26,0))</f>
        <v>29.30000000000291</v>
      </c>
      <c r="AB23" s="294">
        <f>(IF('Section Load'!AC26&gt;0,'Section Load'!AC26,0))</f>
        <v>0</v>
      </c>
      <c r="AC23" s="294">
        <f>(IF('Section Load'!AD26&gt;0,'Section Load'!AD26,0))</f>
        <v>37.599999999996726</v>
      </c>
      <c r="AD23" s="294">
        <f>(IF('Section Load'!AE26&gt;0,'Section Load'!AE26,0))</f>
        <v>0</v>
      </c>
      <c r="AE23" s="294">
        <f>(IF('Section Load'!AF26&gt;0,'Section Load'!AF26,0))</f>
        <v>23.110000000000127</v>
      </c>
      <c r="AF23" s="294">
        <f>(IF('Section Load'!AG26&gt;0,'Section Load'!AG26,0))</f>
        <v>312.96000000002095</v>
      </c>
      <c r="AG23" s="294">
        <f>(IF('Section Load'!AH26&gt;0,'Section Load'!AH26,0))</f>
        <v>408.85999999998603</v>
      </c>
      <c r="AH23" s="294">
        <f>(IF('Section Load'!AI26&gt;0,'Section Load'!AI26,0))</f>
        <v>424.18000000000029</v>
      </c>
      <c r="AI23" s="294">
        <f>(IF('Section Load'!AJ26&gt;0,'Section Load'!AJ26,0))</f>
        <v>705.19999999995343</v>
      </c>
      <c r="AJ23" s="294">
        <f>(IF('Section Load'!AK26&gt;0,'Section Load'!AK26,0))</f>
        <v>222.64999999999418</v>
      </c>
      <c r="AK23" s="294">
        <f>(IF('Section Load'!AL26&gt;0,'Section Load'!AL26,0))</f>
        <v>271.79999999998836</v>
      </c>
      <c r="AL23" s="294">
        <f>(IF('Section Load'!AM26&gt;0,'Section Load'!AM26,0))</f>
        <v>653.44000000000233</v>
      </c>
      <c r="AM23" s="295">
        <f>(IF('Water Report'!$Y$7&gt;0,'Water Report'!$Y$7,0))</f>
        <v>72</v>
      </c>
      <c r="AN23" s="295">
        <f>(IF('Water Report'!$Y$8&gt;0,'Water Report'!$Y$8,0))</f>
        <v>108</v>
      </c>
      <c r="AO23" s="295">
        <f>(IF('Water Report'!$Y$9&gt;0,'Water Report'!$Y$9,0))</f>
        <v>75</v>
      </c>
      <c r="AP23" s="295">
        <f>(IF('Water Report'!$Y$10&gt;0,'Water Report'!$Y$10,0))</f>
        <v>14</v>
      </c>
      <c r="AQ23" s="295">
        <f>(IF('Water Report'!$Y$11&gt;0,'Water Report'!$Y$11,0))</f>
        <v>20</v>
      </c>
      <c r="AR23" s="295">
        <f>(IF('Water Report'!$Y$13&gt;0,'Water Report'!$Y$13,0))</f>
        <v>45</v>
      </c>
      <c r="AS23" s="295">
        <f>(IF('Water Report'!$Y$14&gt;0,'Water Report'!$Y$14,0))</f>
        <v>8</v>
      </c>
      <c r="AT23" s="295">
        <f>(IF('Water Report'!$Y$15&gt;0,'Water Report'!$Y$15,0))</f>
        <v>6</v>
      </c>
      <c r="AU23" s="295">
        <f>(IF('Water Report'!$Y$17&gt;0,'Water Report'!$Y$17,0))</f>
        <v>0</v>
      </c>
      <c r="AV23" s="295">
        <f>(IF('Water Report'!$Y$18&gt;0,'Water Report'!$Y$18,0))</f>
        <v>12</v>
      </c>
      <c r="AW23" s="295">
        <f>(IF('Water Report'!$Y$19&gt;0,'Water Report'!$Y$19,0))</f>
        <v>10</v>
      </c>
      <c r="AX23" s="301">
        <f>(IF('Water Report'!$Y$21&gt;0,'Water Report'!$Y$21,0))</f>
        <v>0</v>
      </c>
      <c r="AY23" s="301">
        <f>(IF('Water Report'!$Y$22&gt;0,'Water Report'!$Y$22,0))</f>
        <v>14</v>
      </c>
      <c r="AZ23" s="301">
        <f>(IF('Water Report'!$Y$23&gt;0,'Water Report'!$Y$23,0))</f>
        <v>5</v>
      </c>
      <c r="BA23" s="301">
        <f>(IF('Water Report'!$Y$14&gt;0,'Water Report'!$Y$14,0))</f>
        <v>8</v>
      </c>
      <c r="BB23" s="301">
        <f>(IF('Water Report'!$Y$15&gt;0,'Water Report'!$Y$15,0))</f>
        <v>6</v>
      </c>
      <c r="BC23" s="301">
        <f>(IF('Water Report'!$Y$13&gt;0,'Water Report'!$Y$13,0))</f>
        <v>45</v>
      </c>
      <c r="BD23" s="301">
        <f>(IF('Water Report'!$Y$24&gt;0,'Water Report'!$Y$24,0))</f>
        <v>176</v>
      </c>
      <c r="BE23" s="301">
        <f>(IF('Water Report'!$Y$25&gt;0,'Water Report'!$Y$25,0))</f>
        <v>123</v>
      </c>
      <c r="BF23" s="301">
        <f>(IF('Water Report'!$Y$27&gt;0,'Water Report'!$Y$27,0))</f>
        <v>50</v>
      </c>
      <c r="BG23" s="296">
        <f>(IF('Section Load'!AN26&gt;0,'Section Load'!AN26,0))</f>
        <v>1036.4099999999162</v>
      </c>
      <c r="BH23" s="296">
        <f>(IF('Section Load'!AO26&gt;0,'Section Load'!AO26,0))</f>
        <v>307.70999999996275</v>
      </c>
      <c r="BI23" s="296">
        <f>(IF('Section Load'!AP26&gt;0,'Section Load'!AP26,0))</f>
        <v>0</v>
      </c>
      <c r="BJ23" s="296">
        <f>(IF('Section Load'!AQ26&gt;0,'Section Load'!AQ26,0))</f>
        <v>119.35000000000582</v>
      </c>
      <c r="BK23" s="296">
        <f>(IF('Section Load'!AR26&gt;0,'Section Load'!AR26,0))</f>
        <v>40</v>
      </c>
      <c r="BL23" s="296">
        <f>(IF('Section Load'!AS26&gt;0,'Section Load'!AS26,0))</f>
        <v>3</v>
      </c>
      <c r="BM23" s="296">
        <f>(IF('Section Load'!AT26&gt;0,'Section Load'!AT26,0))</f>
        <v>566.34999999994761</v>
      </c>
    </row>
    <row r="24" spans="1:65" x14ac:dyDescent="0.25">
      <c r="A24" s="287" t="s">
        <v>268</v>
      </c>
      <c r="B24" s="288">
        <f t="shared" si="0"/>
        <v>23</v>
      </c>
      <c r="C24" s="288">
        <v>1</v>
      </c>
      <c r="D24" s="288">
        <v>2022</v>
      </c>
      <c r="E24" s="294">
        <f>(IF('Section Load'!F27&gt;0,'Section Load'!F27,0))</f>
        <v>2448.6800000000003</v>
      </c>
      <c r="F24" s="294">
        <f>(IF('Section Load'!G27&gt;0,'Section Load'!G27,0))</f>
        <v>1571.9800000000032</v>
      </c>
      <c r="G24" s="294">
        <f>(IF('Section Load'!H27&gt;0,'Section Load'!H27,0))</f>
        <v>1932.0699999999997</v>
      </c>
      <c r="H24" s="294">
        <f>(IF('Section Load'!I27&gt;0,'Section Load'!I27,0))</f>
        <v>2576.25</v>
      </c>
      <c r="I24" s="294">
        <f>(IF('Section Load'!J27&gt;0,'Section Load'!J27,0))</f>
        <v>2695.2200000000012</v>
      </c>
      <c r="J24" s="294">
        <f>(IF('Section Load'!K27&gt;0,'Section Load'!K27,0))</f>
        <v>2339.2399999999907</v>
      </c>
      <c r="K24" s="294">
        <f>(IF('Section Load'!L27&gt;0,'Section Load'!L27,0))</f>
        <v>1627.260000000002</v>
      </c>
      <c r="L24" s="294">
        <f>(IF('Section Load'!M27&gt;0,'Section Load'!M27,0))</f>
        <v>1155.2800000000061</v>
      </c>
      <c r="M24" s="294">
        <f>(IF('Section Load'!N27&gt;0,'Section Load'!N27,0))</f>
        <v>109</v>
      </c>
      <c r="N24" s="294">
        <f>(IF('Section Load'!O27&gt;0,'Section Load'!O27,0))</f>
        <v>5</v>
      </c>
      <c r="O24" s="294">
        <f>(IF('Section Load'!P27&gt;0,'Section Load'!P27,0))</f>
        <v>2</v>
      </c>
      <c r="P24" s="294">
        <f>(IF('Section Load'!Q27&gt;0,'Section Load'!Q27,0))</f>
        <v>183.70999999999913</v>
      </c>
      <c r="Q24" s="294">
        <f>(IF('Section Load'!R27&gt;0,'Section Load'!R27,0))</f>
        <v>78.540000000000873</v>
      </c>
      <c r="R24" s="294">
        <f>(IF('Section Load'!S27&gt;0,'Section Load'!S27,0))</f>
        <v>14.0600000000004</v>
      </c>
      <c r="S24" s="294">
        <f>(IF('Section Load'!T27&gt;0,'Section Load'!T27,0))</f>
        <v>417</v>
      </c>
      <c r="T24" s="294">
        <f>(IF('Section Load'!U27&gt;0,'Section Load'!U27,0))</f>
        <v>221</v>
      </c>
      <c r="U24" s="294">
        <f>(IF('Section Load'!V27&gt;0,'Section Load'!V27,0))</f>
        <v>421.8399999999674</v>
      </c>
      <c r="V24" s="294">
        <f>(IF('Section Load'!W27&gt;0,'Section Load'!W27,0))</f>
        <v>267.52000000001863</v>
      </c>
      <c r="W24" s="294">
        <f>(IF('Section Load'!X27&gt;0,'Section Load'!X27,0))</f>
        <v>27.119999999999891</v>
      </c>
      <c r="X24" s="294">
        <f>(IF('Section Load'!Y27&gt;0,'Section Load'!Y27,0))</f>
        <v>225.96000000000004</v>
      </c>
      <c r="Y24" s="294">
        <f>(IF('Section Load'!Z27&gt;0,'Section Load'!Z27,0))</f>
        <v>238</v>
      </c>
      <c r="Z24" s="294">
        <f>(IF('Section Load'!AA27&gt;0,'Section Load'!AA27,0))</f>
        <v>16</v>
      </c>
      <c r="AA24" s="294">
        <f>(IF('Section Load'!AB27&gt;0,'Section Load'!AB27,0))</f>
        <v>14.299999999988358</v>
      </c>
      <c r="AB24" s="294">
        <f>(IF('Section Load'!AC27&gt;0,'Section Load'!AC27,0))</f>
        <v>2.0100000000020373</v>
      </c>
      <c r="AC24" s="294">
        <f>(IF('Section Load'!AD27&gt;0,'Section Load'!AD27,0))</f>
        <v>35.099999999996726</v>
      </c>
      <c r="AD24" s="294">
        <f>(IF('Section Load'!AE27&gt;0,'Section Load'!AE27,0))</f>
        <v>0</v>
      </c>
      <c r="AE24" s="294">
        <f>(IF('Section Load'!AF27&gt;0,'Section Load'!AF27,0))</f>
        <v>23.099999999999909</v>
      </c>
      <c r="AF24" s="294">
        <f>(IF('Section Load'!AG27&gt;0,'Section Load'!AG27,0))</f>
        <v>340.17999999999302</v>
      </c>
      <c r="AG24" s="294">
        <f>(IF('Section Load'!AH27&gt;0,'Section Load'!AH27,0))</f>
        <v>417.17999999999302</v>
      </c>
      <c r="AH24" s="294">
        <f>(IF('Section Load'!AI27&gt;0,'Section Load'!AI27,0))</f>
        <v>406.45999999999913</v>
      </c>
      <c r="AI24" s="294">
        <f>(IF('Section Load'!AJ27&gt;0,'Section Load'!AJ27,0))</f>
        <v>664.1600000000326</v>
      </c>
      <c r="AJ24" s="294">
        <f>(IF('Section Load'!AK27&gt;0,'Section Load'!AK27,0))</f>
        <v>209.97000000000116</v>
      </c>
      <c r="AK24" s="294">
        <f>(IF('Section Load'!AL27&gt;0,'Section Load'!AL27,0))</f>
        <v>273.30999999999767</v>
      </c>
      <c r="AL24" s="294">
        <f>(IF('Section Load'!AM27&gt;0,'Section Load'!AM27,0))</f>
        <v>661.32999999998719</v>
      </c>
      <c r="AM24" s="295">
        <f>(IF('Water Report'!$Z$7&gt;0,'Water Report'!$Z$7,0))</f>
        <v>119</v>
      </c>
      <c r="AN24" s="295">
        <f>(IF('Water Report'!$Z$8&gt;0,'Water Report'!$Z$8,0))</f>
        <v>126</v>
      </c>
      <c r="AO24" s="295">
        <f>(IF('Water Report'!$Z$9&gt;0,'Water Report'!$Z$9,0))</f>
        <v>88</v>
      </c>
      <c r="AP24" s="295">
        <f>(IF('Water Report'!$Z$10&gt;0,'Water Report'!$Z$10,0))</f>
        <v>23</v>
      </c>
      <c r="AQ24" s="295">
        <f>(IF('Water Report'!$Z$11&gt;0,'Water Report'!$Z$11,0))</f>
        <v>25</v>
      </c>
      <c r="AR24" s="295">
        <f>(IF('Water Report'!$Z$13&gt;0,'Water Report'!$Z$13,0))</f>
        <v>42</v>
      </c>
      <c r="AS24" s="295">
        <f>(IF('Water Report'!$Z$14&gt;0,'Water Report'!$Z$14,0))</f>
        <v>31</v>
      </c>
      <c r="AT24" s="295">
        <f>(IF('Water Report'!$Z$15&gt;0,'Water Report'!$Z$15,0))</f>
        <v>6</v>
      </c>
      <c r="AU24" s="295">
        <f>(IF('Water Report'!$Z$17&gt;0,'Water Report'!$Z$17,0))</f>
        <v>0</v>
      </c>
      <c r="AV24" s="295">
        <f>(IF('Water Report'!$Z$18&gt;0,'Water Report'!$Z$18,0))</f>
        <v>13</v>
      </c>
      <c r="AW24" s="295">
        <f>(IF('Water Report'!$Z$19&gt;0,'Water Report'!$Z$19,0))</f>
        <v>11</v>
      </c>
      <c r="AX24" s="301">
        <f>(IF('Water Report'!$Z$21&gt;0,'Water Report'!$Z$21,0))</f>
        <v>104</v>
      </c>
      <c r="AY24" s="301">
        <f>(IF('Water Report'!$Z$22&gt;0,'Water Report'!$Z$22,0))</f>
        <v>52</v>
      </c>
      <c r="AZ24" s="301">
        <f>(IF('Water Report'!$Z$23&gt;0,'Water Report'!$Z$23,0))</f>
        <v>2</v>
      </c>
      <c r="BA24" s="301">
        <f>(IF('Water Report'!$Z$14&gt;0,'Water Report'!$Z$14,0))</f>
        <v>31</v>
      </c>
      <c r="BB24" s="301">
        <f>(IF('Water Report'!$Z$15&gt;0,'Water Report'!$Z$15,0))</f>
        <v>6</v>
      </c>
      <c r="BC24" s="301">
        <f>(IF('Water Report'!$Z$13&gt;0,'Water Report'!$Z$13,0))</f>
        <v>42</v>
      </c>
      <c r="BD24" s="301">
        <f>(IF('Water Report'!$Z$24&gt;0,'Water Report'!$Z$24,0))</f>
        <v>216</v>
      </c>
      <c r="BE24" s="301">
        <f>(IF('Water Report'!$Z$25&gt;0,'Water Report'!$Z$25,0))</f>
        <v>173</v>
      </c>
      <c r="BF24" s="301">
        <f>(IF('Water Report'!$Z$27&gt;0,'Water Report'!$Z$27,0))</f>
        <v>148</v>
      </c>
      <c r="BG24" s="296">
        <f>(IF('Section Load'!AN27&gt;0,'Section Load'!AN27,0))</f>
        <v>979.91999999992549</v>
      </c>
      <c r="BH24" s="296">
        <f>(IF('Section Load'!AO27&gt;0,'Section Load'!AO27,0))</f>
        <v>292.69000000006054</v>
      </c>
      <c r="BI24" s="296">
        <f>(IF('Section Load'!AP27&gt;0,'Section Load'!AP27,0))</f>
        <v>0</v>
      </c>
      <c r="BJ24" s="296">
        <f>(IF('Section Load'!AQ27&gt;0,'Section Load'!AQ27,0))</f>
        <v>101.32999999998719</v>
      </c>
      <c r="BK24" s="296">
        <f>(IF('Section Load'!AR27&gt;0,'Section Load'!AR27,0))</f>
        <v>36</v>
      </c>
      <c r="BL24" s="296">
        <f>(IF('Section Load'!AS27&gt;0,'Section Load'!AS27,0))</f>
        <v>1</v>
      </c>
      <c r="BM24" s="296">
        <f>(IF('Section Load'!AT27&gt;0,'Section Load'!AT27,0))</f>
        <v>548.89999999987776</v>
      </c>
    </row>
    <row r="25" spans="1:65" x14ac:dyDescent="0.25">
      <c r="A25" s="287" t="s">
        <v>268</v>
      </c>
      <c r="B25" s="288">
        <f t="shared" si="0"/>
        <v>24</v>
      </c>
      <c r="C25" s="288">
        <v>1</v>
      </c>
      <c r="D25" s="288">
        <v>2022</v>
      </c>
      <c r="E25" s="294">
        <f>(IF('Section Load'!F28&gt;0,'Section Load'!F28,0))</f>
        <v>2037.0099999999984</v>
      </c>
      <c r="F25" s="294">
        <f>(IF('Section Load'!G28&gt;0,'Section Load'!G28,0))</f>
        <v>1645.5099999999984</v>
      </c>
      <c r="G25" s="294">
        <f>(IF('Section Load'!H28&gt;0,'Section Load'!H28,0))</f>
        <v>1826.3899999999994</v>
      </c>
      <c r="H25" s="294">
        <f>(IF('Section Load'!I28&gt;0,'Section Load'!I28,0))</f>
        <v>2607.1999999999971</v>
      </c>
      <c r="I25" s="294">
        <f>(IF('Section Load'!J28&gt;0,'Section Load'!J28,0))</f>
        <v>2484.3300000000017</v>
      </c>
      <c r="J25" s="294">
        <f>(IF('Section Load'!K28&gt;0,'Section Load'!K28,0))</f>
        <v>2087.4100000000035</v>
      </c>
      <c r="K25" s="294">
        <f>(IF('Section Load'!L28&gt;0,'Section Load'!L28,0))</f>
        <v>1014.6399999999994</v>
      </c>
      <c r="L25" s="294">
        <f>(IF('Section Load'!M28&gt;0,'Section Load'!M28,0))</f>
        <v>656.69999999999709</v>
      </c>
      <c r="M25" s="294">
        <f>(IF('Section Load'!N28&gt;0,'Section Load'!N28,0))</f>
        <v>64</v>
      </c>
      <c r="N25" s="294">
        <f>(IF('Section Load'!O28&gt;0,'Section Load'!O28,0))</f>
        <v>0</v>
      </c>
      <c r="O25" s="294">
        <f>(IF('Section Load'!P28&gt;0,'Section Load'!P28,0))</f>
        <v>0</v>
      </c>
      <c r="P25" s="294">
        <f>(IF('Section Load'!Q28&gt;0,'Section Load'!Q28,0))</f>
        <v>173.66999999999825</v>
      </c>
      <c r="Q25" s="294">
        <f>(IF('Section Load'!R28&gt;0,'Section Load'!R28,0))</f>
        <v>81.729999999999563</v>
      </c>
      <c r="R25" s="294">
        <f>(IF('Section Load'!S28&gt;0,'Section Load'!S28,0))</f>
        <v>6.7399999999997817</v>
      </c>
      <c r="S25" s="294">
        <f>(IF('Section Load'!T28&gt;0,'Section Load'!T28,0))</f>
        <v>398</v>
      </c>
      <c r="T25" s="294">
        <f>(IF('Section Load'!U28&gt;0,'Section Load'!U28,0))</f>
        <v>213</v>
      </c>
      <c r="U25" s="294">
        <f>(IF('Section Load'!V28&gt;0,'Section Load'!V28,0))</f>
        <v>318.04000000003725</v>
      </c>
      <c r="V25" s="294">
        <f>(IF('Section Load'!W28&gt;0,'Section Load'!W28,0))</f>
        <v>154.04000000003725</v>
      </c>
      <c r="W25" s="294">
        <f>(IF('Section Load'!X28&gt;0,'Section Load'!X28,0))</f>
        <v>34.380000000000109</v>
      </c>
      <c r="X25" s="294">
        <f>(IF('Section Load'!Y28&gt;0,'Section Load'!Y28,0))</f>
        <v>214.40999999999985</v>
      </c>
      <c r="Y25" s="294">
        <f>(IF('Section Load'!Z28&gt;0,'Section Load'!Z28,0))</f>
        <v>207</v>
      </c>
      <c r="Z25" s="294">
        <f>(IF('Section Load'!AA28&gt;0,'Section Load'!AA28,0))</f>
        <v>69.520000000018626</v>
      </c>
      <c r="AA25" s="294">
        <f>(IF('Section Load'!AB28&gt;0,'Section Load'!AB28,0))</f>
        <v>34.100000000005821</v>
      </c>
      <c r="AB25" s="294">
        <f>(IF('Section Load'!AC28&gt;0,'Section Load'!AC28,0))</f>
        <v>0</v>
      </c>
      <c r="AC25" s="294">
        <f>(IF('Section Load'!AD28&gt;0,'Section Load'!AD28,0))</f>
        <v>71.600000000000364</v>
      </c>
      <c r="AD25" s="294">
        <f>(IF('Section Load'!AE28&gt;0,'Section Load'!AE28,0))</f>
        <v>0</v>
      </c>
      <c r="AE25" s="294">
        <f>(IF('Section Load'!AF28&gt;0,'Section Load'!AF28,0))</f>
        <v>22.519999999999982</v>
      </c>
      <c r="AF25" s="294">
        <f>(IF('Section Load'!AG28&gt;0,'Section Load'!AG28,0))</f>
        <v>376.08999999999651</v>
      </c>
      <c r="AG25" s="294">
        <f>(IF('Section Load'!AH28&gt;0,'Section Load'!AH28,0))</f>
        <v>407.17000000001281</v>
      </c>
      <c r="AH25" s="294">
        <f>(IF('Section Load'!AI28&gt;0,'Section Load'!AI28,0))</f>
        <v>413.89999999999418</v>
      </c>
      <c r="AI25" s="294">
        <f>(IF('Section Load'!AJ28&gt;0,'Section Load'!AJ28,0))</f>
        <v>659.92999999999302</v>
      </c>
      <c r="AJ25" s="294">
        <f>(IF('Section Load'!AK28&gt;0,'Section Load'!AK28,0))</f>
        <v>187.41000000000349</v>
      </c>
      <c r="AK25" s="294">
        <f>(IF('Section Load'!AL28&gt;0,'Section Load'!AL28,0))</f>
        <v>265.89000000001397</v>
      </c>
      <c r="AL25" s="294">
        <f>(IF('Section Load'!AM28&gt;0,'Section Load'!AM28,0))</f>
        <v>437.57000000000698</v>
      </c>
      <c r="AM25" s="295">
        <f>(IF('Water Report'!$AA$7&gt;0,'Water Report'!$AA$7,0))</f>
        <v>124</v>
      </c>
      <c r="AN25" s="295">
        <f>(IF('Water Report'!$AA$8&gt;0,'Water Report'!$AA$8,0))</f>
        <v>68</v>
      </c>
      <c r="AO25" s="295">
        <f>(IF('Water Report'!$AA$9&gt;0,'Water Report'!$AA$9,0))</f>
        <v>103</v>
      </c>
      <c r="AP25" s="295">
        <f>(IF('Water Report'!$AA$10&gt;0,'Water Report'!$AA$10,0))</f>
        <v>14</v>
      </c>
      <c r="AQ25" s="295">
        <f>(IF('Water Report'!$AA$11&gt;0,'Water Report'!$AA$11,0))</f>
        <v>25</v>
      </c>
      <c r="AR25" s="295">
        <f>(IF('Water Report'!$AA$13&gt;0,'Water Report'!$AA$13,0))</f>
        <v>33</v>
      </c>
      <c r="AS25" s="295">
        <f>(IF('Water Report'!$AA$14&gt;0,'Water Report'!$AA$14,0))</f>
        <v>31</v>
      </c>
      <c r="AT25" s="295">
        <f>(IF('Water Report'!$AA$15&gt;0,'Water Report'!$AA$15,0))</f>
        <v>8</v>
      </c>
      <c r="AU25" s="295">
        <f>(IF('Water Report'!$AA$17&gt;0,'Water Report'!$AA$17,0))</f>
        <v>0</v>
      </c>
      <c r="AV25" s="295">
        <f>(IF('Water Report'!$AA$18&gt;0,'Water Report'!$AA$18,0))</f>
        <v>14</v>
      </c>
      <c r="AW25" s="295">
        <f>(IF('Water Report'!$AA$19&gt;0,'Water Report'!$AA$19,0))</f>
        <v>10</v>
      </c>
      <c r="AX25" s="301">
        <f>(IF('Water Report'!$AA$21&gt;0,'Water Report'!$AA$21,0))</f>
        <v>42</v>
      </c>
      <c r="AY25" s="301">
        <f>(IF('Water Report'!$AA$22&gt;0,'Water Report'!$AA$22,0))</f>
        <v>30</v>
      </c>
      <c r="AZ25" s="301">
        <f>(IF('Water Report'!$AA$23&gt;0,'Water Report'!$AA$23,0))</f>
        <v>7</v>
      </c>
      <c r="BA25" s="301">
        <f>(IF('Water Report'!$AA$14&gt;0,'Water Report'!$AA$14,0))</f>
        <v>31</v>
      </c>
      <c r="BB25" s="301">
        <f>(IF('Water Report'!$AA$15&gt;0,'Water Report'!$AA$15,0))</f>
        <v>8</v>
      </c>
      <c r="BC25" s="301">
        <f>(IF('Water Report'!$AA$13&gt;0,'Water Report'!$AA$13,0))</f>
        <v>33</v>
      </c>
      <c r="BD25" s="301">
        <f>(IF('Water Report'!$AA$24&gt;0,'Water Report'!$AA$24,0))</f>
        <v>212</v>
      </c>
      <c r="BE25" s="301">
        <f>(IF('Water Report'!$AA$25&gt;0,'Water Report'!$AA$25,0))</f>
        <v>181</v>
      </c>
      <c r="BF25" s="301">
        <f>(IF('Water Report'!$AA$27&gt;0,'Water Report'!$AA$27,0))</f>
        <v>82</v>
      </c>
      <c r="BG25" s="296">
        <f>(IF('Section Load'!AN28&gt;0,'Section Load'!AN28,0))</f>
        <v>1037.0800000000745</v>
      </c>
      <c r="BH25" s="296">
        <f>(IF('Section Load'!AO28&gt;0,'Section Load'!AO28,0))</f>
        <v>311.18999999994412</v>
      </c>
      <c r="BI25" s="296">
        <f>(IF('Section Load'!AP28&gt;0,'Section Load'!AP28,0))</f>
        <v>0</v>
      </c>
      <c r="BJ25" s="296">
        <f>(IF('Section Load'!AQ28&gt;0,'Section Load'!AQ28,0))</f>
        <v>114</v>
      </c>
      <c r="BK25" s="296">
        <f>(IF('Section Load'!AR28&gt;0,'Section Load'!AR28,0))</f>
        <v>34</v>
      </c>
      <c r="BL25" s="296">
        <f>(IF('Section Load'!AS28&gt;0,'Section Load'!AS28,0))</f>
        <v>1</v>
      </c>
      <c r="BM25" s="296">
        <f>(IF('Section Load'!AT28&gt;0,'Section Load'!AT28,0))</f>
        <v>576.89000000013039</v>
      </c>
    </row>
    <row r="26" spans="1:65" x14ac:dyDescent="0.25">
      <c r="A26" s="287" t="s">
        <v>268</v>
      </c>
      <c r="B26" s="288">
        <f>B25+1</f>
        <v>25</v>
      </c>
      <c r="C26" s="288">
        <v>1</v>
      </c>
      <c r="D26" s="288">
        <v>2022</v>
      </c>
      <c r="E26" s="294">
        <f>(IF('Section Load'!F29&gt;0,'Section Load'!F29,0))</f>
        <v>2140</v>
      </c>
      <c r="F26" s="294">
        <f>(IF('Section Load'!G29&gt;0,'Section Load'!G29,0))</f>
        <v>1608</v>
      </c>
      <c r="G26" s="294">
        <f>(IF('Section Load'!H29&gt;0,'Section Load'!H29,0))</f>
        <v>1761</v>
      </c>
      <c r="H26" s="294">
        <f>(IF('Section Load'!I29&gt;0,'Section Load'!I29,0))</f>
        <v>2591</v>
      </c>
      <c r="I26" s="294">
        <f>(IF('Section Load'!J29&gt;0,'Section Load'!J29,0))</f>
        <v>3028.3999999999942</v>
      </c>
      <c r="J26" s="294">
        <f>(IF('Section Load'!K29&gt;0,'Section Load'!K29,0))</f>
        <v>1958</v>
      </c>
      <c r="K26" s="294">
        <f>(IF('Section Load'!L29&gt;0,'Section Load'!L29,0))</f>
        <v>1011</v>
      </c>
      <c r="L26" s="294">
        <f>(IF('Section Load'!M29&gt;0,'Section Load'!M29,0))</f>
        <v>600</v>
      </c>
      <c r="M26" s="294">
        <f>(IF('Section Load'!N29&gt;0,'Section Load'!N29,0))</f>
        <v>76</v>
      </c>
      <c r="N26" s="294">
        <f>(IF('Section Load'!O29&gt;0,'Section Load'!O29,0))</f>
        <v>1</v>
      </c>
      <c r="O26" s="294">
        <f>(IF('Section Load'!P29&gt;0,'Section Load'!P29,0))</f>
        <v>0</v>
      </c>
      <c r="P26" s="294">
        <f>(IF('Section Load'!Q29&gt;0,'Section Load'!Q29,0))</f>
        <v>173</v>
      </c>
      <c r="Q26" s="294">
        <f>(IF('Section Load'!R29&gt;0,'Section Load'!R29,0))</f>
        <v>65</v>
      </c>
      <c r="R26" s="294">
        <f>(IF('Section Load'!S29&gt;0,'Section Load'!S29,0))</f>
        <v>6</v>
      </c>
      <c r="S26" s="294">
        <f>(IF('Section Load'!T29&gt;0,'Section Load'!T29,0))</f>
        <v>402</v>
      </c>
      <c r="T26" s="294">
        <f>(IF('Section Load'!U29&gt;0,'Section Load'!U29,0))</f>
        <v>204</v>
      </c>
      <c r="U26" s="294">
        <f>(IF('Section Load'!V29&gt;0,'Section Load'!V29,0))</f>
        <v>365</v>
      </c>
      <c r="V26" s="294">
        <f>(IF('Section Load'!W29&gt;0,'Section Load'!W29,0))</f>
        <v>158</v>
      </c>
      <c r="W26" s="294">
        <f>(IF('Section Load'!X29&gt;0,'Section Load'!X29,0))</f>
        <v>26</v>
      </c>
      <c r="X26" s="294">
        <f>(IF('Section Load'!Y29&gt;0,'Section Load'!Y29,0))</f>
        <v>110</v>
      </c>
      <c r="Y26" s="294">
        <f>(IF('Section Load'!Z29&gt;0,'Section Load'!Z29,0))</f>
        <v>250</v>
      </c>
      <c r="Z26" s="294">
        <f>(IF('Section Load'!AA29&gt;0,'Section Load'!AA29,0))</f>
        <v>20.479999999981374</v>
      </c>
      <c r="AA26" s="294">
        <f>(IF('Section Load'!AB29&gt;0,'Section Load'!AB29,0))</f>
        <v>38</v>
      </c>
      <c r="AB26" s="294">
        <f>(IF('Section Load'!AC29&gt;0,'Section Load'!AC29,0))</f>
        <v>0</v>
      </c>
      <c r="AC26" s="294">
        <f>(IF('Section Load'!AD29&gt;0,'Section Load'!AD29,0))</f>
        <v>36</v>
      </c>
      <c r="AD26" s="294">
        <f>(IF('Section Load'!AE29&gt;0,'Section Load'!AE29,0))</f>
        <v>0</v>
      </c>
      <c r="AE26" s="294">
        <f>(IF('Section Load'!AF29&gt;0,'Section Load'!AF29,0))</f>
        <v>23</v>
      </c>
      <c r="AF26" s="294">
        <f>(IF('Section Load'!AG29&gt;0,'Section Load'!AG29,0))</f>
        <v>338</v>
      </c>
      <c r="AG26" s="294">
        <f>(IF('Section Load'!AH29&gt;0,'Section Load'!AH29,0))</f>
        <v>419</v>
      </c>
      <c r="AH26" s="294">
        <f>(IF('Section Load'!AI29&gt;0,'Section Load'!AI29,0))</f>
        <v>406.2300000000032</v>
      </c>
      <c r="AI26" s="294">
        <f>(IF('Section Load'!AJ29&gt;0,'Section Load'!AJ29,0))</f>
        <v>710</v>
      </c>
      <c r="AJ26" s="294">
        <f>(IF('Section Load'!AK29&gt;0,'Section Load'!AK29,0))</f>
        <v>179</v>
      </c>
      <c r="AK26" s="294">
        <f>(IF('Section Load'!AL29&gt;0,'Section Load'!AL29,0))</f>
        <v>263</v>
      </c>
      <c r="AL26" s="294">
        <f>(IF('Section Load'!AM29&gt;0,'Section Load'!AM29,0))</f>
        <v>397</v>
      </c>
      <c r="AM26" s="295">
        <f>(IF('Water Report'!$AB$7&gt;0,'Water Report'!$AB$7,0))</f>
        <v>102</v>
      </c>
      <c r="AN26" s="295">
        <f>(IF('Water Report'!$AB$8&gt;0,'Water Report'!$AB$8,0))</f>
        <v>164</v>
      </c>
      <c r="AO26" s="295">
        <f>(IF('Water Report'!$AB$9&gt;0,'Water Report'!$AB$9,0))</f>
        <v>86</v>
      </c>
      <c r="AP26" s="295">
        <f>(IF('Water Report'!$AB$10&gt;0,'Water Report'!$AB$10,0))</f>
        <v>11</v>
      </c>
      <c r="AQ26" s="295">
        <f>(IF('Water Report'!$AB$11&gt;0,'Water Report'!$AB$11,0))</f>
        <v>20</v>
      </c>
      <c r="AR26" s="295" t="str">
        <f>(IF('Water Report'!$AB$13&gt;0,'Water Report'!$AB$13,0))</f>
        <v xml:space="preserve">                                                            </v>
      </c>
      <c r="AS26" s="295">
        <f>(IF('Water Report'!$AB$14&gt;0,'Water Report'!$AB$14,0))</f>
        <v>5</v>
      </c>
      <c r="AT26" s="295">
        <f>(IF('Water Report'!$AB$15&gt;0,'Water Report'!$AB$15,0))</f>
        <v>12</v>
      </c>
      <c r="AU26" s="295">
        <f>(IF('Water Report'!$AB$17&gt;0,'Water Report'!$AB$17,0))</f>
        <v>0</v>
      </c>
      <c r="AV26" s="295">
        <f>(IF('Water Report'!$AB$18&gt;0,'Water Report'!$AB$18,0))</f>
        <v>8</v>
      </c>
      <c r="AW26" s="295">
        <f>(IF('Water Report'!$AB$19&gt;0,'Water Report'!$AB$19,0))</f>
        <v>8</v>
      </c>
      <c r="AX26" s="301">
        <f>(IF('Water Report'!$AB$21&gt;0,'Water Report'!$AB$21,0))</f>
        <v>21</v>
      </c>
      <c r="AY26" s="301">
        <f>(IF('Water Report'!$AB$22&gt;0,'Water Report'!$AB$22,0))</f>
        <v>80</v>
      </c>
      <c r="AZ26" s="301">
        <f>(IF('Water Report'!$AB$23&gt;0,'Water Report'!$AB$23,0))</f>
        <v>7</v>
      </c>
      <c r="BA26" s="301">
        <f>(IF('Water Report'!$AB$14&gt;0,'Water Report'!$AB$14,0))</f>
        <v>5</v>
      </c>
      <c r="BB26" s="301">
        <f>(IF('Water Report'!$AB$15&gt;0,'Water Report'!$AB$15,0))</f>
        <v>12</v>
      </c>
      <c r="BC26" s="301" t="str">
        <f>(IF('Water Report'!$AB$13&gt;0,'Water Report'!$AB$13,0))</f>
        <v xml:space="preserve">                                                            </v>
      </c>
      <c r="BD26" s="301">
        <f>(IF('Water Report'!$AB$24&gt;0,'Water Report'!$AB$24,0))</f>
        <v>190</v>
      </c>
      <c r="BE26" s="301">
        <f>(IF('Water Report'!$AB$25&gt;0,'Water Report'!$AB$25,0))</f>
        <v>134</v>
      </c>
      <c r="BF26" s="301">
        <f>(IF('Water Report'!$AB$27&gt;0,'Water Report'!$AB$27,0))</f>
        <v>28</v>
      </c>
      <c r="BG26" s="296">
        <f>(IF('Section Load'!AN29&gt;0,'Section Load'!AN29,0))</f>
        <v>815</v>
      </c>
      <c r="BH26" s="296">
        <f>(IF('Section Load'!AO29&gt;0,'Section Load'!AO29,0))</f>
        <v>296</v>
      </c>
      <c r="BI26" s="296">
        <f>(IF('Section Load'!AP29&gt;0,'Section Load'!AP29,0))</f>
        <v>0</v>
      </c>
      <c r="BJ26" s="296">
        <f>(IF('Section Load'!AQ29&gt;0,'Section Load'!AQ29,0))</f>
        <v>102</v>
      </c>
      <c r="BK26" s="296">
        <f>(IF('Section Load'!AR29&gt;0,'Section Load'!AR29,0))</f>
        <v>28</v>
      </c>
      <c r="BL26" s="296">
        <f>(IF('Section Load'!AS29&gt;0,'Section Load'!AS29,0))</f>
        <v>0</v>
      </c>
      <c r="BM26" s="296">
        <f>(IF('Section Load'!AT29&gt;0,'Section Load'!AT29,0))</f>
        <v>389</v>
      </c>
    </row>
    <row r="27" spans="1:65" x14ac:dyDescent="0.25">
      <c r="A27" s="287" t="s">
        <v>268</v>
      </c>
      <c r="B27" s="288">
        <f t="shared" si="0"/>
        <v>26</v>
      </c>
      <c r="C27" s="288">
        <v>1</v>
      </c>
      <c r="D27" s="288">
        <v>2022</v>
      </c>
      <c r="E27" s="294">
        <f>(IF('Section Load'!F30&gt;0,'Section Load'!F30,0))</f>
        <v>2079</v>
      </c>
      <c r="F27" s="294">
        <f>(IF('Section Load'!G30&gt;0,'Section Load'!G30,0))</f>
        <v>1519</v>
      </c>
      <c r="G27" s="294">
        <f>(IF('Section Load'!H30&gt;0,'Section Load'!H30,0))</f>
        <v>1746</v>
      </c>
      <c r="H27" s="294">
        <f>(IF('Section Load'!I30&gt;0,'Section Load'!I30,0))</f>
        <v>2557</v>
      </c>
      <c r="I27" s="294">
        <f>(IF('Section Load'!J30&gt;0,'Section Load'!J30,0))</f>
        <v>3448</v>
      </c>
      <c r="J27" s="294">
        <f>(IF('Section Load'!K30&gt;0,'Section Load'!K30,0))</f>
        <v>1948</v>
      </c>
      <c r="K27" s="294">
        <f>(IF('Section Load'!L30&gt;0,'Section Load'!L30,0))</f>
        <v>1009</v>
      </c>
      <c r="L27" s="294">
        <f>(IF('Section Load'!M30&gt;0,'Section Load'!M30,0))</f>
        <v>643</v>
      </c>
      <c r="M27" s="294">
        <f>(IF('Section Load'!N30&gt;0,'Section Load'!N30,0))</f>
        <v>62</v>
      </c>
      <c r="N27" s="294">
        <f>(IF('Section Load'!O30&gt;0,'Section Load'!O30,0))</f>
        <v>0</v>
      </c>
      <c r="O27" s="294">
        <f>(IF('Section Load'!P30&gt;0,'Section Load'!P30,0))</f>
        <v>0</v>
      </c>
      <c r="P27" s="294">
        <f>(IF('Section Load'!Q30&gt;0,'Section Load'!Q30,0))</f>
        <v>189</v>
      </c>
      <c r="Q27" s="294">
        <f>(IF('Section Load'!R30&gt;0,'Section Load'!R30,0))</f>
        <v>95</v>
      </c>
      <c r="R27" s="294">
        <f>(IF('Section Load'!S30&gt;0,'Section Load'!S30,0))</f>
        <v>6</v>
      </c>
      <c r="S27" s="294">
        <f>(IF('Section Load'!T30&gt;0,'Section Load'!T30,0))</f>
        <v>380</v>
      </c>
      <c r="T27" s="294">
        <f>(IF('Section Load'!U30&gt;0,'Section Load'!U30,0))</f>
        <v>194</v>
      </c>
      <c r="U27" s="294">
        <f>(IF('Section Load'!V30&gt;0,'Section Load'!V30,0))</f>
        <v>348</v>
      </c>
      <c r="V27" s="294">
        <f>(IF('Section Load'!W30&gt;0,'Section Load'!W30,0))</f>
        <v>191</v>
      </c>
      <c r="W27" s="294">
        <f>(IF('Section Load'!X30&gt;0,'Section Load'!X30,0))</f>
        <v>30</v>
      </c>
      <c r="X27" s="294">
        <f>(IF('Section Load'!Y30&gt;0,'Section Load'!Y30,0))</f>
        <v>202</v>
      </c>
      <c r="Y27" s="294">
        <f>(IF('Section Load'!Z30&gt;0,'Section Load'!Z30,0))</f>
        <v>232</v>
      </c>
      <c r="Z27" s="294">
        <f>(IF('Section Load'!AA30&gt;0,'Section Load'!AA30,0))</f>
        <v>16</v>
      </c>
      <c r="AA27" s="294">
        <f>(IF('Section Load'!AB30&gt;0,'Section Load'!AB30,0))</f>
        <v>30</v>
      </c>
      <c r="AB27" s="294">
        <f>(IF('Section Load'!AC30&gt;0,'Section Load'!AC30,0))</f>
        <v>0</v>
      </c>
      <c r="AC27" s="294">
        <f>(IF('Section Load'!AD30&gt;0,'Section Load'!AD30,0))</f>
        <v>34</v>
      </c>
      <c r="AD27" s="294">
        <f>(IF('Section Load'!AE30&gt;0,'Section Load'!AE30,0))</f>
        <v>0</v>
      </c>
      <c r="AE27" s="294">
        <f>(IF('Section Load'!AF30&gt;0,'Section Load'!AF30,0))</f>
        <v>27</v>
      </c>
      <c r="AF27" s="294">
        <f>(IF('Section Load'!AG30&gt;0,'Section Load'!AG30,0))</f>
        <v>337</v>
      </c>
      <c r="AG27" s="294">
        <f>(IF('Section Load'!AH30&gt;0,'Section Load'!AH30,0))</f>
        <v>427</v>
      </c>
      <c r="AH27" s="294">
        <f>(IF('Section Load'!AI30&gt;0,'Section Load'!AI30,0))</f>
        <v>423</v>
      </c>
      <c r="AI27" s="294">
        <f>(IF('Section Load'!AJ30&gt;0,'Section Load'!AJ30,0))</f>
        <v>837</v>
      </c>
      <c r="AJ27" s="294">
        <f>(IF('Section Load'!AK30&gt;0,'Section Load'!AK30,0))</f>
        <v>157</v>
      </c>
      <c r="AK27" s="294">
        <f>(IF('Section Load'!AL30&gt;0,'Section Load'!AL30,0))</f>
        <v>266</v>
      </c>
      <c r="AL27" s="294">
        <f>(IF('Section Load'!AM30&gt;0,'Section Load'!AM30,0))</f>
        <v>428</v>
      </c>
      <c r="AM27" s="295">
        <f>(IF('Water Report'!$AC$7&gt;0,'Water Report'!$AC$7,0))</f>
        <v>93</v>
      </c>
      <c r="AN27" s="295">
        <f>(IF('Water Report'!$AC$8&gt;0,'Water Report'!$AC$8,0))</f>
        <v>127</v>
      </c>
      <c r="AO27" s="295">
        <f>(IF('Water Report'!$AC$9&gt;0,'Water Report'!$AC$9,0))</f>
        <v>84</v>
      </c>
      <c r="AP27" s="295">
        <f>(IF('Water Report'!$AC$10&gt;0,'Water Report'!$AC$10,0))</f>
        <v>19</v>
      </c>
      <c r="AQ27" s="295">
        <f>(IF('Water Report'!$AC$11&gt;0,'Water Report'!$AC$11,0))</f>
        <v>26</v>
      </c>
      <c r="AR27" s="295">
        <f>(IF('Water Report'!$AC$13&gt;0,'Water Report'!$AC$13,0))</f>
        <v>50</v>
      </c>
      <c r="AS27" s="295">
        <f>(IF('Water Report'!$AC$14&gt;0,'Water Report'!$AC$14,0))</f>
        <v>8</v>
      </c>
      <c r="AT27" s="295">
        <f>(IF('Water Report'!$AC$15&gt;0,'Water Report'!$AC$15,0))</f>
        <v>13</v>
      </c>
      <c r="AU27" s="295">
        <f>(IF('Water Report'!$AC$17&gt;0,'Water Report'!$AC$17,0))</f>
        <v>0</v>
      </c>
      <c r="AV27" s="295">
        <f>(IF('Water Report'!$AC$18&gt;0,'Water Report'!$AC$18,0))</f>
        <v>12</v>
      </c>
      <c r="AW27" s="295">
        <f>(IF('Water Report'!$AC$19&gt;0,'Water Report'!$AC$19,0))</f>
        <v>10</v>
      </c>
      <c r="AX27" s="301">
        <f>(IF('Water Report'!$AC$21&gt;0,'Water Report'!$AC$21,0))</f>
        <v>55</v>
      </c>
      <c r="AY27" s="301">
        <f>(IF('Water Report'!$AC$22&gt;0,'Water Report'!$AC$22,0))</f>
        <v>48</v>
      </c>
      <c r="AZ27" s="301">
        <f>(IF('Water Report'!$AC$23&gt;0,'Water Report'!$AC$23,0))</f>
        <v>0</v>
      </c>
      <c r="BA27" s="301">
        <f>(IF('Water Report'!$AC$14&gt;0,'Water Report'!$AC$14,0))</f>
        <v>8</v>
      </c>
      <c r="BB27" s="301">
        <f>(IF('Water Report'!$AC$15&gt;0,'Water Report'!$AC$15,0))</f>
        <v>13</v>
      </c>
      <c r="BC27" s="301">
        <f>(IF('Water Report'!$AC$13&gt;0,'Water Report'!$AC$13,0))</f>
        <v>50</v>
      </c>
      <c r="BD27" s="301">
        <f>(IF('Water Report'!$AC$24&gt;0,'Water Report'!$AC$24,0))</f>
        <v>175</v>
      </c>
      <c r="BE27" s="301">
        <f>(IF('Water Report'!$AC$25&gt;0,'Water Report'!$AC$25,0))</f>
        <v>150</v>
      </c>
      <c r="BF27" s="301">
        <f>(IF('Water Report'!$AC$27&gt;0,'Water Report'!$AC$27,0))</f>
        <v>105</v>
      </c>
      <c r="BG27" s="296">
        <f>(IF('Section Load'!AN30&gt;0,'Section Load'!AN30,0))</f>
        <v>936</v>
      </c>
      <c r="BH27" s="296">
        <f>(IF('Section Load'!AO30&gt;0,'Section Load'!AO30,0))</f>
        <v>286</v>
      </c>
      <c r="BI27" s="296">
        <f>(IF('Section Load'!AP30&gt;0,'Section Load'!AP30,0))</f>
        <v>0</v>
      </c>
      <c r="BJ27" s="296">
        <f>(IF('Section Load'!AQ30&gt;0,'Section Load'!AQ30,0))</f>
        <v>105</v>
      </c>
      <c r="BK27" s="296">
        <f>(IF('Section Load'!AR30&gt;0,'Section Load'!AR30,0))</f>
        <v>31</v>
      </c>
      <c r="BL27" s="296">
        <f>(IF('Section Load'!AS30&gt;0,'Section Load'!AS30,0))</f>
        <v>1</v>
      </c>
      <c r="BM27" s="296">
        <f>(IF('Section Load'!AT30&gt;0,'Section Load'!AT30,0))</f>
        <v>513</v>
      </c>
    </row>
    <row r="28" spans="1:65" x14ac:dyDescent="0.25">
      <c r="A28" s="287" t="s">
        <v>268</v>
      </c>
      <c r="B28" s="288">
        <f t="shared" si="0"/>
        <v>27</v>
      </c>
      <c r="C28" s="288">
        <v>1</v>
      </c>
      <c r="D28" s="288">
        <v>2022</v>
      </c>
      <c r="E28" s="294">
        <f>(IF('Section Load'!F31&gt;0,'Section Load'!F31,0))</f>
        <v>365193</v>
      </c>
      <c r="F28" s="294">
        <f>(IF('Section Load'!G31&gt;0,'Section Load'!G31,0))</f>
        <v>161594</v>
      </c>
      <c r="G28" s="294">
        <f>(IF('Section Load'!H31&gt;0,'Section Load'!H31,0))</f>
        <v>195159</v>
      </c>
      <c r="H28" s="294">
        <f>(IF('Section Load'!I31&gt;0,'Section Load'!I31,0))</f>
        <v>354051</v>
      </c>
      <c r="I28" s="294">
        <f>(IF('Section Load'!J31&gt;0,'Section Load'!J31,0))</f>
        <v>0</v>
      </c>
      <c r="J28" s="294">
        <f>(IF('Section Load'!K31&gt;0,'Section Load'!K31,0))</f>
        <v>0</v>
      </c>
      <c r="K28" s="294">
        <f>(IF('Section Load'!L31&gt;0,'Section Load'!L31,0))</f>
        <v>0</v>
      </c>
      <c r="L28" s="294">
        <f>(IF('Section Load'!M31&gt;0,'Section Load'!M31,0))</f>
        <v>0</v>
      </c>
      <c r="M28" s="294">
        <f>(IF('Section Load'!N31&gt;0,'Section Load'!N31,0))</f>
        <v>0</v>
      </c>
      <c r="N28" s="294">
        <f>(IF('Section Load'!O31&gt;0,'Section Load'!O31,0))</f>
        <v>0</v>
      </c>
      <c r="O28" s="294">
        <f>(IF('Section Load'!P31&gt;0,'Section Load'!P31,0))</f>
        <v>0</v>
      </c>
      <c r="P28" s="294">
        <f>(IF('Section Load'!Q31&gt;0,'Section Load'!Q31,0))</f>
        <v>0</v>
      </c>
      <c r="Q28" s="294">
        <f>(IF('Section Load'!R31&gt;0,'Section Load'!R31,0))</f>
        <v>0</v>
      </c>
      <c r="R28" s="294">
        <f>(IF('Section Load'!S31&gt;0,'Section Load'!S31,0))</f>
        <v>0</v>
      </c>
      <c r="S28" s="294">
        <f>(IF('Section Load'!T31&gt;0,'Section Load'!T31,0))</f>
        <v>0</v>
      </c>
      <c r="T28" s="294">
        <f>(IF('Section Load'!U31&gt;0,'Section Load'!U31,0))</f>
        <v>0</v>
      </c>
      <c r="U28" s="294">
        <f>(IF('Section Load'!V31&gt;0,'Section Load'!V31,0))</f>
        <v>0</v>
      </c>
      <c r="V28" s="294">
        <f>(IF('Section Load'!W31&gt;0,'Section Load'!W31,0))</f>
        <v>0</v>
      </c>
      <c r="W28" s="294">
        <f>(IF('Section Load'!X31&gt;0,'Section Load'!X31,0))</f>
        <v>0</v>
      </c>
      <c r="X28" s="294">
        <f>(IF('Section Load'!Y31&gt;0,'Section Load'!Y31,0))</f>
        <v>87687</v>
      </c>
      <c r="Y28" s="294">
        <f>(IF('Section Load'!Z31&gt;0,'Section Load'!Z31,0))</f>
        <v>0</v>
      </c>
      <c r="Z28" s="294">
        <f>(IF('Section Load'!AA31&gt;0,'Section Load'!AA31,0))</f>
        <v>0</v>
      </c>
      <c r="AA28" s="294">
        <f>(IF('Section Load'!AB31&gt;0,'Section Load'!AB31,0))</f>
        <v>0</v>
      </c>
      <c r="AB28" s="294">
        <f>(IF('Section Load'!AC31&gt;0,'Section Load'!AC31,0))</f>
        <v>0</v>
      </c>
      <c r="AC28" s="294">
        <f>(IF('Section Load'!AD31&gt;0,'Section Load'!AD31,0))</f>
        <v>0</v>
      </c>
      <c r="AD28" s="294">
        <f>(IF('Section Load'!AE31&gt;0,'Section Load'!AE31,0))</f>
        <v>0</v>
      </c>
      <c r="AE28" s="294">
        <f>(IF('Section Load'!AF31&gt;0,'Section Load'!AF31,0))</f>
        <v>0</v>
      </c>
      <c r="AF28" s="294">
        <f>(IF('Section Load'!AG31&gt;0,'Section Load'!AG31,0))</f>
        <v>0</v>
      </c>
      <c r="AG28" s="294">
        <f>(IF('Section Load'!AH31&gt;0,'Section Load'!AH31,0))</f>
        <v>0</v>
      </c>
      <c r="AH28" s="294">
        <f>(IF('Section Load'!AI31&gt;0,'Section Load'!AI31,0))</f>
        <v>0</v>
      </c>
      <c r="AI28" s="294">
        <f>(IF('Section Load'!AJ31&gt;0,'Section Load'!AJ31,0))</f>
        <v>0</v>
      </c>
      <c r="AJ28" s="294">
        <f>(IF('Section Load'!AK31&gt;0,'Section Load'!AK31,0))</f>
        <v>0</v>
      </c>
      <c r="AK28" s="294">
        <f>(IF('Section Load'!AL31&gt;0,'Section Load'!AL31,0))</f>
        <v>0</v>
      </c>
      <c r="AL28" s="294">
        <f>(IF('Section Load'!AM31&gt;0,'Section Load'!AM31,0))</f>
        <v>0</v>
      </c>
      <c r="AM28" s="295">
        <f>(IF('Water Report'!$AD$7&gt;0,'Water Report'!$AD$7,0))</f>
        <v>0</v>
      </c>
      <c r="AN28" s="295">
        <f>(IF('Water Report'!$AD$8&gt;0,'Water Report'!$AD$8,0))</f>
        <v>0</v>
      </c>
      <c r="AO28" s="295">
        <f>(IF('Water Report'!$AD$9&gt;0,'Water Report'!$AD$9,0))</f>
        <v>0</v>
      </c>
      <c r="AP28" s="295">
        <f>(IF('Water Report'!$AD$10&gt;0,'Water Report'!AD$10,0))</f>
        <v>0</v>
      </c>
      <c r="AQ28" s="295">
        <f>(IF('Water Report'!$AD$11&gt;0,'Water Report'!AE$11,0))</f>
        <v>0</v>
      </c>
      <c r="AR28" s="295">
        <f>(IF('Water Report'!$AD$13&gt;0,'Water Report'!AF$13,0))</f>
        <v>0</v>
      </c>
      <c r="AS28" s="295">
        <f>(IF('Water Report'!$AD$14&gt;0,'Water Report'!AG$14,0))</f>
        <v>0</v>
      </c>
      <c r="AT28" s="295">
        <f>(IF('Water Report'!$AD$15&gt;0,'Water Report'!AH$15,0))</f>
        <v>0</v>
      </c>
      <c r="AU28" s="295">
        <f>(IF('Water Report'!$AD$17&gt;0,'Water Report'!AI$17,0))</f>
        <v>0</v>
      </c>
      <c r="AV28" s="295">
        <f>(IF('Water Report'!$AD$18&gt;0,'Water Report'!AJ$18,0))</f>
        <v>0</v>
      </c>
      <c r="AW28" s="295">
        <f>(IF('Water Report'!$AD$19&gt;0,'Water Report'!AK$19,0))</f>
        <v>0</v>
      </c>
      <c r="AX28" s="301">
        <f>(IF('Water Report'!$AD$21&gt;0,'Water Report'!AL$21,0))</f>
        <v>0</v>
      </c>
      <c r="AY28" s="301">
        <f>(IF('Water Report'!$AD$22&gt;0,'Water Report'!AM$22,0))</f>
        <v>0</v>
      </c>
      <c r="AZ28" s="301">
        <f>(IF('Water Report'!$AD$23&gt;0,'Water Report'!AN$23,0))</f>
        <v>0</v>
      </c>
      <c r="BA28" s="301">
        <f>(IF('Water Report'!$AD$14&gt;0,'Water Report'!AO$14,0))</f>
        <v>0</v>
      </c>
      <c r="BB28" s="301">
        <f>(IF('Water Report'!$AD$15&gt;0,'Water Report'!AP$15,0))</f>
        <v>0</v>
      </c>
      <c r="BC28" s="301">
        <f>(IF('Water Report'!$AD$13&gt;0,'Water Report'!AQ$13,0))</f>
        <v>0</v>
      </c>
      <c r="BD28" s="301">
        <f>(IF('Water Report'!$AD$24&gt;0,'Water Report'!AR$24,0))</f>
        <v>0</v>
      </c>
      <c r="BE28" s="301">
        <f>(IF('Water Report'!$AD$25&gt;0,'Water Report'!AS$25,0))</f>
        <v>0</v>
      </c>
      <c r="BF28" s="301">
        <f>(IF('Water Report'!$AD$27&gt;0,'Water Report'!AT$27,0))</f>
        <v>0</v>
      </c>
      <c r="BG28" s="296">
        <f>(IF('Section Load'!AN31&gt;0,'Section Load'!AN31,0))</f>
        <v>1100</v>
      </c>
      <c r="BH28" s="296">
        <f>(IF('Section Load'!AO31&gt;0,'Section Load'!AO31,0))</f>
        <v>0</v>
      </c>
      <c r="BI28" s="296">
        <f>(IF('Section Load'!AP31&gt;0,'Section Load'!AP31,0))</f>
        <v>0</v>
      </c>
      <c r="BJ28" s="296">
        <f>(IF('Section Load'!AQ31&gt;0,'Section Load'!AQ31,0))</f>
        <v>0</v>
      </c>
      <c r="BK28" s="296">
        <f>(IF('Section Load'!AR31&gt;0,'Section Load'!AR31,0))</f>
        <v>0</v>
      </c>
      <c r="BL28" s="296">
        <f>(IF('Section Load'!AS31&gt;0,'Section Load'!AS31,0))</f>
        <v>0</v>
      </c>
      <c r="BM28" s="296">
        <f>(IF('Section Load'!AT31&gt;0,'Section Load'!AT31,0))</f>
        <v>13742</v>
      </c>
    </row>
    <row r="29" spans="1:65" x14ac:dyDescent="0.25">
      <c r="A29" s="287" t="s">
        <v>268</v>
      </c>
      <c r="B29" s="288">
        <f t="shared" si="0"/>
        <v>28</v>
      </c>
      <c r="C29" s="288">
        <v>1</v>
      </c>
      <c r="D29" s="288">
        <v>2022</v>
      </c>
      <c r="E29" s="294">
        <f>(IF('Section Load'!F32&gt;0,'Section Load'!F32,0))</f>
        <v>3320.6799999999639</v>
      </c>
      <c r="F29" s="294">
        <f>(IF('Section Load'!G32&gt;0,'Section Load'!G32,0))</f>
        <v>1536.2300000000105</v>
      </c>
      <c r="G29" s="294">
        <f>(IF('Section Load'!H32&gt;0,'Section Load'!H32,0))</f>
        <v>1967.4899999999907</v>
      </c>
      <c r="H29" s="294">
        <f>(IF('Section Load'!I32&gt;0,'Section Load'!I32,0))</f>
        <v>2740.429999999993</v>
      </c>
      <c r="I29" s="294">
        <f>(IF('Section Load'!J32&gt;0,'Section Load'!J32,0))</f>
        <v>4561.429999999993</v>
      </c>
      <c r="J29" s="294">
        <f>(IF('Section Load'!K32&gt;0,'Section Load'!K32,0))</f>
        <v>2482.0699999999997</v>
      </c>
      <c r="K29" s="294">
        <f>(IF('Section Load'!L32&gt;0,'Section Load'!L32,0))</f>
        <v>1148.2000000000007</v>
      </c>
      <c r="L29" s="294">
        <f>(IF('Section Load'!M32&gt;0,'Section Load'!M32,0))</f>
        <v>766.93999999999869</v>
      </c>
      <c r="M29" s="294">
        <f>(IF('Section Load'!N32&gt;0,'Section Load'!N32,0))</f>
        <v>127</v>
      </c>
      <c r="N29" s="294">
        <f>(IF('Section Load'!O32&gt;0,'Section Load'!O32,0))</f>
        <v>2</v>
      </c>
      <c r="O29" s="294">
        <f>(IF('Section Load'!P32&gt;0,'Section Load'!P32,0))</f>
        <v>0</v>
      </c>
      <c r="P29" s="294">
        <f>(IF('Section Load'!Q32&gt;0,'Section Load'!Q32,0))</f>
        <v>183.37999999999738</v>
      </c>
      <c r="Q29" s="294">
        <f>(IF('Section Load'!R32&gt;0,'Section Load'!R32,0))</f>
        <v>81.340000000000146</v>
      </c>
      <c r="R29" s="294">
        <f>(IF('Section Load'!S32&gt;0,'Section Load'!S32,0))</f>
        <v>12.779999999999745</v>
      </c>
      <c r="S29" s="294">
        <f>(IF('Section Load'!T32&gt;0,'Section Load'!T32,0))</f>
        <v>480</v>
      </c>
      <c r="T29" s="294">
        <f>(IF('Section Load'!U32&gt;0,'Section Load'!U32,0))</f>
        <v>244</v>
      </c>
      <c r="U29" s="294">
        <f>(IF('Section Load'!V32&gt;0,'Section Load'!V32,0))</f>
        <v>430.76000000000931</v>
      </c>
      <c r="V29" s="294">
        <f>(IF('Section Load'!W32&gt;0,'Section Load'!W32,0))</f>
        <v>256.07999999995809</v>
      </c>
      <c r="W29" s="294">
        <f>(IF('Section Load'!X32&gt;0,'Section Load'!X32,0))</f>
        <v>24.889999999999873</v>
      </c>
      <c r="X29" s="294">
        <f>(IF('Section Load'!Y32&gt;0,'Section Load'!Y32,0))</f>
        <v>218.32000000000698</v>
      </c>
      <c r="Y29" s="294">
        <f>(IF('Section Load'!Z32&gt;0,'Section Load'!Z32,0))</f>
        <v>256</v>
      </c>
      <c r="Z29" s="294">
        <f>(IF('Section Load'!AA32&gt;0,'Section Load'!AA32,0))</f>
        <v>1</v>
      </c>
      <c r="AA29" s="294">
        <f>(IF('Section Load'!AB32&gt;0,'Section Load'!AB32,0))</f>
        <v>27.19999999999709</v>
      </c>
      <c r="AB29" s="294">
        <f>(IF('Section Load'!AC32&gt;0,'Section Load'!AC32,0))</f>
        <v>1.8699999999989814</v>
      </c>
      <c r="AC29" s="294">
        <f>(IF('Section Load'!AD32&gt;0,'Section Load'!AD32,0))</f>
        <v>99.899999999994179</v>
      </c>
      <c r="AD29" s="294">
        <f>(IF('Section Load'!AE32&gt;0,'Section Load'!AE32,0))</f>
        <v>0</v>
      </c>
      <c r="AE29" s="294">
        <f>(IF('Section Load'!AF32&gt;0,'Section Load'!AF32,0))</f>
        <v>21.059999999999945</v>
      </c>
      <c r="AF29" s="294">
        <f>(IF('Section Load'!AG32&gt;0,'Section Load'!AG32,0))</f>
        <v>426.67000000001281</v>
      </c>
      <c r="AG29" s="294">
        <f>(IF('Section Load'!AH32&gt;0,'Section Load'!AH32,0))</f>
        <v>424.25</v>
      </c>
      <c r="AH29" s="294">
        <f>(IF('Section Load'!AI32&gt;0,'Section Load'!AI32,0))</f>
        <v>414.63999999999942</v>
      </c>
      <c r="AI29" s="294">
        <f>(IF('Section Load'!AJ32&gt;0,'Section Load'!AJ32,0))</f>
        <v>799.14100000000326</v>
      </c>
      <c r="AJ29" s="294">
        <f>(IF('Section Load'!AK32&gt;0,'Section Load'!AK32,0))</f>
        <v>228.52000000000407</v>
      </c>
      <c r="AK29" s="294">
        <f>(IF('Section Load'!AL32&gt;0,'Section Load'!AL32,0))</f>
        <v>347.63000000000466</v>
      </c>
      <c r="AL29" s="294">
        <f>(IF('Section Load'!AM32&gt;0,'Section Load'!AM32,0))</f>
        <v>658.92999999999302</v>
      </c>
      <c r="AM29" s="295">
        <f>(IF('Water Report'!$AE$7&gt;0,'Water Report'!$AE$7,0))</f>
        <v>138</v>
      </c>
      <c r="AN29" s="295">
        <f>(IF('Water Report'!$AE$8&gt;0,'Water Report'!$AE$8,0))</f>
        <v>104.10000000000582</v>
      </c>
      <c r="AO29" s="295">
        <f>(IF('Water Report'!$AE$9&gt;0,'Water Report'!$AE$9,0))</f>
        <v>134</v>
      </c>
      <c r="AP29" s="295">
        <f>(IF('Water Report'!$AE$10&gt;0,'Water Report'!$AE$10,0))</f>
        <v>16</v>
      </c>
      <c r="AQ29" s="295">
        <f>(IF('Water Report'!$AE$11&gt;0,'Water Report'!$AE$11,0))</f>
        <v>26</v>
      </c>
      <c r="AR29" s="295">
        <f>(IF('Water Report'!$AE$13&gt;0,'Water Report'!$AE$13,0))</f>
        <v>40</v>
      </c>
      <c r="AS29" s="295">
        <f>(IF('Water Report'!$AE$14&gt;0,'Water Report'!$AE$14,0))</f>
        <v>17</v>
      </c>
      <c r="AT29" s="295">
        <f>(IF('Water Report'!$AE$15&gt;0,'Water Report'!$AE$15,0))</f>
        <v>6</v>
      </c>
      <c r="AU29" s="295">
        <f>(IF('Water Report'!$AE$17&gt;0,'Water Report'!$AE$17,0))</f>
        <v>0</v>
      </c>
      <c r="AV29" s="295">
        <f>(IF('Water Report'!$AE$18&gt;0,'Water Report'!$AE$18,0))</f>
        <v>16</v>
      </c>
      <c r="AW29" s="295">
        <f>(IF('Water Report'!$AE$19&gt;0,'Water Report'!$AE$19,0))</f>
        <v>11</v>
      </c>
      <c r="AX29" s="301">
        <f>(IF('Water Report'!$AE$21&gt;0,'Water Report'!$AE$21,0))</f>
        <v>64</v>
      </c>
      <c r="AY29" s="301">
        <f>(IF('Water Report'!$AE$22&gt;0,'Water Report'!$AE$22,0))</f>
        <v>0</v>
      </c>
      <c r="AZ29" s="301">
        <f>(IF('Water Report'!$AE$23&gt;0,'Water Report'!$AE$23,0))</f>
        <v>6</v>
      </c>
      <c r="BA29" s="301">
        <f>(IF('Water Report'!$AE$14&gt;0,'Water Report'!$AE$14,0))</f>
        <v>17</v>
      </c>
      <c r="BB29" s="301">
        <f>(IF('Water Report'!$AE$15&gt;0,'Water Report'!$AE$15,0))</f>
        <v>6</v>
      </c>
      <c r="BC29" s="301">
        <f>(IF('Water Report'!$AE$13&gt;0,'Water Report'!$AE$13,0))</f>
        <v>40</v>
      </c>
      <c r="BD29" s="301">
        <f>(IF('Water Report'!$AE$24&gt;0,'Water Report'!$AE$24,0))</f>
        <v>415</v>
      </c>
      <c r="BE29" s="301">
        <f>(IF('Water Report'!$AE$25&gt;0,'Water Report'!$AE$25,0))</f>
        <v>199</v>
      </c>
      <c r="BF29" s="301">
        <f>(IF('Water Report'!$AE$27&gt;0,'Water Report'!$AE$27,0))</f>
        <v>110</v>
      </c>
      <c r="BG29" s="296">
        <f>(IF('Section Load'!AN32&gt;0,'Section Load'!AN32,0))</f>
        <v>1100</v>
      </c>
      <c r="BH29" s="296">
        <f>(IF('Section Load'!AO32&gt;0,'Section Load'!AO32,0))</f>
        <v>325.92099999997299</v>
      </c>
      <c r="BI29" s="296">
        <f>(IF('Section Load'!AP32&gt;0,'Section Load'!AP32,0))</f>
        <v>0</v>
      </c>
      <c r="BJ29" s="296">
        <f>(IF('Section Load'!AQ32&gt;0,'Section Load'!AQ32,0))</f>
        <v>85.940000000002328</v>
      </c>
      <c r="BK29" s="296">
        <f>(IF('Section Load'!AR32&gt;0,'Section Load'!AR32,0))</f>
        <v>30</v>
      </c>
      <c r="BL29" s="296">
        <f>(IF('Section Load'!AS32&gt;0,'Section Load'!AS32,0))</f>
        <v>0.8999999999996362</v>
      </c>
      <c r="BM29" s="296">
        <f>(IF('Section Load'!AT32&gt;0,'Section Load'!AT32,0))</f>
        <v>657.23900000002504</v>
      </c>
    </row>
    <row r="30" spans="1:65" x14ac:dyDescent="0.25">
      <c r="A30" s="287" t="s">
        <v>268</v>
      </c>
      <c r="B30" s="288">
        <f t="shared" si="0"/>
        <v>29</v>
      </c>
      <c r="C30" s="288">
        <v>1</v>
      </c>
      <c r="D30" s="288">
        <v>2022</v>
      </c>
      <c r="E30" s="294">
        <f>(IF('Section Load'!F33&gt;0,'Section Load'!F33,0))</f>
        <v>3305.5600000000268</v>
      </c>
      <c r="F30" s="294">
        <f>(IF('Section Load'!G33&gt;0,'Section Load'!G33,0))</f>
        <v>1544.4799999999814</v>
      </c>
      <c r="G30" s="294">
        <f>(IF('Section Load'!H33&gt;0,'Section Load'!H33,0))</f>
        <v>1870.5800000000163</v>
      </c>
      <c r="H30" s="294">
        <f>(IF('Section Load'!I33&gt;0,'Section Load'!I33,0))</f>
        <v>2727.320000000007</v>
      </c>
      <c r="I30" s="294">
        <f>(IF('Section Load'!J33&gt;0,'Section Load'!J33,0))</f>
        <v>4224.9400000000023</v>
      </c>
      <c r="J30" s="294">
        <f>(IF('Section Load'!K33&gt;0,'Section Load'!K33,0))</f>
        <v>2459.9199999999983</v>
      </c>
      <c r="K30" s="294">
        <f>(IF('Section Load'!L33&gt;0,'Section Load'!L33,0))</f>
        <v>950.39999999999782</v>
      </c>
      <c r="L30" s="294">
        <f>(IF('Section Load'!M33&gt;0,'Section Load'!M33,0))</f>
        <v>817.22999999999956</v>
      </c>
      <c r="M30" s="294">
        <f>(IF('Section Load'!N33&gt;0,'Section Load'!N33,0))</f>
        <v>104</v>
      </c>
      <c r="N30" s="294">
        <f>(IF('Section Load'!O33&gt;0,'Section Load'!O33,0))</f>
        <v>1</v>
      </c>
      <c r="O30" s="294">
        <f>(IF('Section Load'!P33&gt;0,'Section Load'!P33,0))</f>
        <v>0</v>
      </c>
      <c r="P30" s="294">
        <f>(IF('Section Load'!Q33&gt;0,'Section Load'!Q33,0))</f>
        <v>180.20000000000437</v>
      </c>
      <c r="Q30" s="294">
        <f>(IF('Section Load'!R33&gt;0,'Section Load'!R33,0))</f>
        <v>72.400000000001455</v>
      </c>
      <c r="R30" s="294">
        <f>(IF('Section Load'!S33&gt;0,'Section Load'!S33,0))</f>
        <v>11.220000000000255</v>
      </c>
      <c r="S30" s="294">
        <f>(IF('Section Load'!T33&gt;0,'Section Load'!T33,0))</f>
        <v>443</v>
      </c>
      <c r="T30" s="294">
        <f>(IF('Section Load'!U33&gt;0,'Section Load'!U33,0))</f>
        <v>247</v>
      </c>
      <c r="U30" s="294">
        <f>(IF('Section Load'!V33&gt;0,'Section Load'!V33,0))</f>
        <v>371.52000000001863</v>
      </c>
      <c r="V30" s="294">
        <f>(IF('Section Load'!W33&gt;0,'Section Load'!W33,0))</f>
        <v>246.88000000000466</v>
      </c>
      <c r="W30" s="294">
        <f>(IF('Section Load'!X33&gt;0,'Section Load'!X33,0))</f>
        <v>24.010000000000218</v>
      </c>
      <c r="X30" s="294">
        <f>(IF('Section Load'!Y33&gt;0,'Section Load'!Y33,0))</f>
        <v>181.27999999999884</v>
      </c>
      <c r="Y30" s="294">
        <f>(IF('Section Load'!Z33&gt;0,'Section Load'!Z33,0))</f>
        <v>223</v>
      </c>
      <c r="Z30" s="294">
        <f>(IF('Section Load'!AA33&gt;0,'Section Load'!AA33,0))</f>
        <v>3.9999999979045242E-2</v>
      </c>
      <c r="AA30" s="294">
        <f>(IF('Section Load'!AB33&gt;0,'Section Load'!AB33,0))</f>
        <v>30.400000000008731</v>
      </c>
      <c r="AB30" s="294">
        <f>(IF('Section Load'!AC33&gt;0,'Section Load'!AC33,0))</f>
        <v>0.19000000000232831</v>
      </c>
      <c r="AC30" s="294">
        <f>(IF('Section Load'!AD33&gt;0,'Section Load'!AD33,0))</f>
        <v>114.10000000000855</v>
      </c>
      <c r="AD30" s="294">
        <f>(IF('Section Load'!AE33&gt;0,'Section Load'!AE33,0))</f>
        <v>0</v>
      </c>
      <c r="AE30" s="294">
        <f>(IF('Section Load'!AF33&gt;0,'Section Load'!AF33,0))</f>
        <v>20.950000000000273</v>
      </c>
      <c r="AF30" s="294">
        <f>(IF('Section Load'!AG33&gt;0,'Section Load'!AG33,0))</f>
        <v>440.03999999997905</v>
      </c>
      <c r="AG30" s="294">
        <f>(IF('Section Load'!AH33&gt;0,'Section Load'!AH33,0))</f>
        <v>389.04000000000815</v>
      </c>
      <c r="AH30" s="294">
        <f>(IF('Section Load'!AI33&gt;0,'Section Load'!AI33,0))</f>
        <v>401.86999999999898</v>
      </c>
      <c r="AI30" s="294">
        <f>(IF('Section Load'!AJ33&gt;0,'Section Load'!AJ33,0))</f>
        <v>739.46899999998277</v>
      </c>
      <c r="AJ30" s="294">
        <f>(IF('Section Load'!AK33&gt;0,'Section Load'!AK33,0))</f>
        <v>218.55000000000291</v>
      </c>
      <c r="AK30" s="294">
        <f>(IF('Section Load'!AL33&gt;0,'Section Load'!AL33,0))</f>
        <v>349</v>
      </c>
      <c r="AL30" s="294">
        <f>(IF('Section Load'!AM33&gt;0,'Section Load'!AM33,0))</f>
        <v>707.36000000000058</v>
      </c>
      <c r="AM30" s="295">
        <f>(IF('Water Report'!$AF$7&gt;0,'Water Report'!$AF$7,0))</f>
        <v>131</v>
      </c>
      <c r="AN30" s="295">
        <f>(IF('Water Report'!$AF$8&gt;0,'Water Report'!$AF$8,0))</f>
        <v>75.899999999994179</v>
      </c>
      <c r="AO30" s="295">
        <f>(IF('Water Report'!$AF$9&gt;0,'Water Report'!$AF$9,0))</f>
        <v>104</v>
      </c>
      <c r="AP30" s="295">
        <f>(IF('Water Report'!$AF$10&gt;0,'Water Report'!$AF$10,0))</f>
        <v>20</v>
      </c>
      <c r="AQ30" s="295">
        <f>(IF('Water Report'!$AF$11&gt;0,'Water Report'!$AF$11,0))</f>
        <v>28</v>
      </c>
      <c r="AR30" s="295">
        <f>(IF('Water Report'!$AF$13&gt;0,'Water Report'!$AF$13,0))</f>
        <v>40</v>
      </c>
      <c r="AS30" s="295">
        <f>(IF('Water Report'!$AF$14&gt;0,'Water Report'!$AF$14,0))</f>
        <v>18</v>
      </c>
      <c r="AT30" s="295">
        <f>(IF('Water Report'!$AF$15&gt;0,'Water Report'!$AF$15,0))</f>
        <v>6</v>
      </c>
      <c r="AU30" s="295">
        <f>(IF('Water Report'!$AF$17&gt;0,'Water Report'!$AF$17,0))</f>
        <v>0</v>
      </c>
      <c r="AV30" s="295">
        <f>(IF('Water Report'!$AF$18&gt;0,'Water Report'!$AF$18,0))</f>
        <v>10</v>
      </c>
      <c r="AW30" s="295">
        <f>(IF('Water Report'!$AF$19&gt;0,'Water Report'!$AF$19,0))</f>
        <v>12</v>
      </c>
      <c r="AX30" s="301">
        <f>(IF('Water Report'!$AF$21&gt;0,'Water Report'!$AF$21,0))</f>
        <v>95</v>
      </c>
      <c r="AY30" s="301">
        <f>(IF('Water Report'!$AF$22&gt;0,'Water Report'!$AF$22,0))</f>
        <v>0</v>
      </c>
      <c r="AZ30" s="301">
        <f>(IF('Water Report'!$AF$23&gt;0,'Water Report'!$AF$23,0))</f>
        <v>8</v>
      </c>
      <c r="BA30" s="301">
        <f>(IF('Water Report'!$AF$14&gt;0,'Water Report'!$AF$14,0))</f>
        <v>18</v>
      </c>
      <c r="BB30" s="301">
        <f>(IF('Water Report'!$AF$15&gt;0,'Water Report'!$AF$15,0))</f>
        <v>6</v>
      </c>
      <c r="BC30" s="301">
        <f>(IF('Water Report'!$AF$13&gt;0,'Water Report'!$AF$13,0))</f>
        <v>40</v>
      </c>
      <c r="BD30" s="301">
        <f>(IF('Water Report'!$AF$24&gt;0,'Water Report'!$AF$24,0))</f>
        <v>535</v>
      </c>
      <c r="BE30" s="301">
        <f>(IF('Water Report'!$AF$25&gt;0,'Water Report'!$AF$25,0))</f>
        <v>176</v>
      </c>
      <c r="BF30" s="301">
        <f>(IF('Water Report'!$AF$27&gt;0,'Water Report'!$AF$27,0))</f>
        <v>143</v>
      </c>
      <c r="BG30" s="296">
        <f>(IF('Section Load'!AN33&gt;0,'Section Load'!AN33,0))</f>
        <v>1100</v>
      </c>
      <c r="BH30" s="296">
        <f>(IF('Section Load'!AO33&gt;0,'Section Load'!AO33,0))</f>
        <v>326.39899999997579</v>
      </c>
      <c r="BI30" s="296">
        <f>(IF('Section Load'!AP33&gt;0,'Section Load'!AP33,0))</f>
        <v>0</v>
      </c>
      <c r="BJ30" s="296">
        <f>(IF('Section Load'!AQ33&gt;0,'Section Load'!AQ33,0))</f>
        <v>93.589999999996508</v>
      </c>
      <c r="BK30" s="296">
        <f>(IF('Section Load'!AR33&gt;0,'Section Load'!AR33,0))</f>
        <v>36</v>
      </c>
      <c r="BL30" s="296">
        <f>(IF('Section Load'!AS33&gt;0,'Section Load'!AS33,0))</f>
        <v>1.3000000000010914</v>
      </c>
      <c r="BM30" s="296">
        <f>(IF('Section Load'!AT33&gt;0,'Section Load'!AT33,0))</f>
        <v>642.71100000002662</v>
      </c>
    </row>
    <row r="31" spans="1:65" x14ac:dyDescent="0.25">
      <c r="A31" s="287" t="s">
        <v>268</v>
      </c>
      <c r="B31" s="288">
        <f t="shared" si="0"/>
        <v>30</v>
      </c>
      <c r="C31" s="288">
        <v>1</v>
      </c>
      <c r="D31" s="288">
        <v>2022</v>
      </c>
      <c r="E31" s="294">
        <f>(IF('Section Load'!F34&gt;0,'Section Load'!F34,0))</f>
        <v>3495.7600000000093</v>
      </c>
      <c r="F31" s="294">
        <f>(IF('Section Load'!G34&gt;0,'Section Load'!G34,0))</f>
        <v>1598.2900000000081</v>
      </c>
      <c r="G31" s="294">
        <f>(IF('Section Load'!H34&gt;0,'Section Load'!H34,0))</f>
        <v>1908.929999999993</v>
      </c>
      <c r="H31" s="294">
        <f>(IF('Section Load'!I34&gt;0,'Section Load'!I34,0))</f>
        <v>2712.25</v>
      </c>
      <c r="I31" s="294">
        <f>(IF('Section Load'!J34&gt;0,'Section Load'!J34,0))</f>
        <v>4162.6300000000047</v>
      </c>
      <c r="J31" s="294">
        <f>(IF('Section Load'!K34&gt;0,'Section Load'!K34,0))</f>
        <v>2662.010000000002</v>
      </c>
      <c r="K31" s="294">
        <f>(IF('Section Load'!L34&gt;0,'Section Load'!L34,0))</f>
        <v>1046.4000000000015</v>
      </c>
      <c r="L31" s="294">
        <f>(IF('Section Load'!M34&gt;0,'Section Load'!M34,0))</f>
        <v>847.83000000000175</v>
      </c>
      <c r="M31" s="294">
        <f>(IF('Section Load'!N34&gt;0,'Section Load'!N34,0))</f>
        <v>96</v>
      </c>
      <c r="N31" s="294">
        <f>(IF('Section Load'!O34&gt;0,'Section Load'!O34,0))</f>
        <v>1</v>
      </c>
      <c r="O31" s="294">
        <f>(IF('Section Load'!P34&gt;0,'Section Load'!P34,0))</f>
        <v>0</v>
      </c>
      <c r="P31" s="294">
        <f>(IF('Section Load'!Q34&gt;0,'Section Load'!Q34,0))</f>
        <v>179.41999999999825</v>
      </c>
      <c r="Q31" s="294">
        <f>(IF('Section Load'!R34&gt;0,'Section Load'!R34,0))</f>
        <v>75.259999999998399</v>
      </c>
      <c r="R31" s="294">
        <f>(IF('Section Load'!S34&gt;0,'Section Load'!S34,0))</f>
        <v>14</v>
      </c>
      <c r="S31" s="294">
        <f>(IF('Section Load'!T34&gt;0,'Section Load'!T34,0))</f>
        <v>481</v>
      </c>
      <c r="T31" s="294">
        <f>(IF('Section Load'!U34&gt;0,'Section Load'!U34,0))</f>
        <v>228</v>
      </c>
      <c r="U31" s="294">
        <f>(IF('Section Load'!V34&gt;0,'Section Load'!V34,0))</f>
        <v>404.71999999997206</v>
      </c>
      <c r="V31" s="294">
        <f>(IF('Section Load'!W34&gt;0,'Section Load'!W34,0))</f>
        <v>282.04000000003725</v>
      </c>
      <c r="W31" s="294">
        <f>(IF('Section Load'!X34&gt;0,'Section Load'!X34,0))</f>
        <v>23.099999999999909</v>
      </c>
      <c r="X31" s="294">
        <f>(IF('Section Load'!Y34&gt;0,'Section Load'!Y34,0))</f>
        <v>187.39999999999418</v>
      </c>
      <c r="Y31" s="294">
        <f>(IF('Section Load'!Z34&gt;0,'Section Load'!Z34,0))</f>
        <v>241</v>
      </c>
      <c r="Z31" s="294">
        <f>(IF('Section Load'!AA34&gt;0,'Section Load'!AA34,0))</f>
        <v>0.96000000002095476</v>
      </c>
      <c r="AA31" s="294">
        <f>(IF('Section Load'!AB34&gt;0,'Section Load'!AB34,0))</f>
        <v>33.399999999994179</v>
      </c>
      <c r="AB31" s="294">
        <f>(IF('Section Load'!AC34&gt;0,'Section Load'!AC34,0))</f>
        <v>0</v>
      </c>
      <c r="AC31" s="294">
        <f>(IF('Section Load'!AD34&gt;0,'Section Load'!AD34,0))</f>
        <v>37.999999999997272</v>
      </c>
      <c r="AD31" s="294">
        <f>(IF('Section Load'!AE34&gt;0,'Section Load'!AE34,0))</f>
        <v>0</v>
      </c>
      <c r="AE31" s="294">
        <f>(IF('Section Load'!AF34&gt;0,'Section Load'!AF34,0))</f>
        <v>21.989999999999782</v>
      </c>
      <c r="AF31" s="294">
        <f>(IF('Section Load'!AG34&gt;0,'Section Load'!AG34,0))</f>
        <v>363.29000000000815</v>
      </c>
      <c r="AG31" s="294">
        <f>(IF('Section Load'!AH34&gt;0,'Section Load'!AH34,0))</f>
        <v>408.70999999999185</v>
      </c>
      <c r="AH31" s="294">
        <f>(IF('Section Load'!AI34&gt;0,'Section Load'!AI34,0))</f>
        <v>421.4900000000016</v>
      </c>
      <c r="AI31" s="294">
        <f>(IF('Section Load'!AJ34&gt;0,'Section Load'!AJ34,0))</f>
        <v>771.39000000001397</v>
      </c>
      <c r="AJ31" s="294">
        <f>(IF('Section Load'!AK34&gt;0,'Section Load'!AK34,0))</f>
        <v>215.92999999999302</v>
      </c>
      <c r="AK31" s="294">
        <f>(IF('Section Load'!AL34&gt;0,'Section Load'!AL34,0))</f>
        <v>324.36999999999534</v>
      </c>
      <c r="AL31" s="294">
        <f>(IF('Section Load'!AM34&gt;0,'Section Load'!AM34,0))</f>
        <v>587.7100000000064</v>
      </c>
      <c r="AM31" s="295">
        <f>(IF('Water Report'!$AG$7&gt;0,'Water Report'!$AG$7,0))</f>
        <v>120</v>
      </c>
      <c r="AN31" s="295">
        <f>(IF('Water Report'!$AG$8&gt;0,'Water Report'!$AG$8,0))</f>
        <v>97</v>
      </c>
      <c r="AO31" s="295">
        <f>(IF('Water Report'!$AG$9&gt;0,'Water Report'!$AG$9,0))</f>
        <v>103</v>
      </c>
      <c r="AP31" s="295">
        <f>(IF('Water Report'!$AG$10&gt;0,'Water Report'!$DAG$10,0))</f>
        <v>0</v>
      </c>
      <c r="AQ31" s="295">
        <f>(IF('Water Report'!$AG$11&gt;0,'Water Report'!$DAG$11,0))</f>
        <v>0</v>
      </c>
      <c r="AR31" s="295">
        <f>(IF('Water Report'!$AG$13&gt;0,'Water Report'!$DAG$13,0))</f>
        <v>0</v>
      </c>
      <c r="AS31" s="295">
        <f>(IF('Water Report'!$AG$14&gt;0,'Water Report'!$DAG$14,0))</f>
        <v>0</v>
      </c>
      <c r="AT31" s="295">
        <f>(IF('Water Report'!$AG$15&gt;0,'Water Report'!$DAG$15,0))</f>
        <v>0</v>
      </c>
      <c r="AU31" s="295">
        <f>(IF('Water Report'!$AG$17&gt;0,'Water Report'!$DAG$17,0))</f>
        <v>0</v>
      </c>
      <c r="AV31" s="295">
        <f>(IF('Water Report'!$AG$18&gt;0,'Water Report'!$DAG$18,0))</f>
        <v>0</v>
      </c>
      <c r="AW31" s="295">
        <f>(IF('Water Report'!$AG$19&gt;0,'Water Report'!$DAG$19,0))</f>
        <v>0</v>
      </c>
      <c r="AX31" s="301">
        <f>(IF('Water Report'!$AG$21&gt;0,'Water Report'!$DAG$21,0))</f>
        <v>0</v>
      </c>
      <c r="AY31" s="301">
        <f>(IF('Water Report'!$AG$22&gt;0,'Water Report'!$DAG$22,0))</f>
        <v>0</v>
      </c>
      <c r="AZ31" s="301">
        <f>(IF('Water Report'!$AG$23&gt;0,'Water Report'!$DAG$23,0))</f>
        <v>0</v>
      </c>
      <c r="BA31" s="301">
        <f>(IF('Water Report'!$AG$14&gt;0,'Water Report'!$DAG$14,0))</f>
        <v>0</v>
      </c>
      <c r="BB31" s="301">
        <f>(IF('Water Report'!$AG$15&gt;0,'Water Report'!$DAG$15,0))</f>
        <v>0</v>
      </c>
      <c r="BC31" s="301">
        <f>(IF('Water Report'!$AG$13&gt;0,'Water Report'!$DAG$13,0))</f>
        <v>0</v>
      </c>
      <c r="BD31" s="301">
        <f>(IF('Water Report'!$AG$24&gt;0,'Water Report'!$DAG$24,0))</f>
        <v>0</v>
      </c>
      <c r="BE31" s="301">
        <f>(IF('Water Report'!$AG$25&gt;0,'Water Report'!$DAG$25,0))</f>
        <v>0</v>
      </c>
      <c r="BF31" s="301">
        <f>(IF('Water Report'!$AG$27&gt;0,'Water Report'!$DAG$27,0))</f>
        <v>0</v>
      </c>
      <c r="BG31" s="296">
        <f>(IF('Section Load'!AN34&gt;0,'Section Load'!AN34,0))</f>
        <v>1100</v>
      </c>
      <c r="BH31" s="296">
        <f>(IF('Section Load'!AO34&gt;0,'Section Load'!AO34,0))</f>
        <v>306.68000000005122</v>
      </c>
      <c r="BI31" s="296">
        <f>(IF('Section Load'!AP34&gt;0,'Section Load'!AP34,0))</f>
        <v>0</v>
      </c>
      <c r="BJ31" s="296">
        <f>(IF('Section Load'!AQ34&gt;0,'Section Load'!AQ34,0))</f>
        <v>92.470000000001164</v>
      </c>
      <c r="BK31" s="296">
        <f>(IF('Section Load'!AR34&gt;0,'Section Load'!AR34,0))</f>
        <v>41</v>
      </c>
      <c r="BL31" s="296">
        <f>(IF('Section Load'!AS34&gt;0,'Section Load'!AS34,0))</f>
        <v>0.7999999999992724</v>
      </c>
      <c r="BM31" s="296">
        <f>(IF('Section Load'!AT34&gt;0,'Section Load'!AT34,0))</f>
        <v>659.04999999994834</v>
      </c>
    </row>
    <row r="32" spans="1:65" x14ac:dyDescent="0.25">
      <c r="A32" s="287" t="s">
        <v>268</v>
      </c>
      <c r="B32" s="288">
        <f t="shared" si="0"/>
        <v>31</v>
      </c>
      <c r="C32" s="288">
        <v>1</v>
      </c>
      <c r="D32" s="288">
        <v>2022</v>
      </c>
      <c r="E32" s="294">
        <f>(IF('Section Load'!F35&gt;0,'Section Load'!F35,0))</f>
        <v>3325</v>
      </c>
      <c r="F32" s="294">
        <f>(IF('Section Load'!G35&gt;0,'Section Load'!G35,0))</f>
        <v>1605</v>
      </c>
      <c r="G32" s="294">
        <f>(IF('Section Load'!H35&gt;0,'Section Load'!H35,0))</f>
        <v>1751</v>
      </c>
      <c r="H32" s="294">
        <f>(IF('Section Load'!I35&gt;0,'Section Load'!I35,0))</f>
        <v>2762</v>
      </c>
      <c r="I32" s="294">
        <f>(IF('Section Load'!J35&gt;0,'Section Load'!J35,0))</f>
        <v>3511</v>
      </c>
      <c r="J32" s="294">
        <f>(IF('Section Load'!K35&gt;0,'Section Load'!K35,0))</f>
        <v>2607</v>
      </c>
      <c r="K32" s="294">
        <f>(IF('Section Load'!L35&gt;0,'Section Load'!L35,0))</f>
        <v>1079</v>
      </c>
      <c r="L32" s="294">
        <f>(IF('Section Load'!M35&gt;0,'Section Load'!M35,0))</f>
        <v>857</v>
      </c>
      <c r="M32" s="294">
        <f>(IF('Section Load'!N35&gt;0,'Section Load'!N35,0))</f>
        <v>102</v>
      </c>
      <c r="N32" s="294">
        <f>(IF('Section Load'!O35&gt;0,'Section Load'!O35,0))</f>
        <v>0</v>
      </c>
      <c r="O32" s="294">
        <f>(IF('Section Load'!P35&gt;0,'Section Load'!P35,0))</f>
        <v>0</v>
      </c>
      <c r="P32" s="294">
        <f>(IF('Section Load'!Q35&gt;0,'Section Load'!Q35,0))</f>
        <v>208</v>
      </c>
      <c r="Q32" s="294">
        <f>(IF('Section Load'!R35&gt;0,'Section Load'!R35,0))</f>
        <v>78</v>
      </c>
      <c r="R32" s="294">
        <f>(IF('Section Load'!S35&gt;0,'Section Load'!S35,0))</f>
        <v>14</v>
      </c>
      <c r="S32" s="294">
        <f>(IF('Section Load'!T35&gt;0,'Section Load'!T35,0))</f>
        <v>462</v>
      </c>
      <c r="T32" s="294">
        <f>(IF('Section Load'!U35&gt;0,'Section Load'!U35,0))</f>
        <v>229</v>
      </c>
      <c r="U32" s="294">
        <f>(IF('Section Load'!V35&gt;0,'Section Load'!V35,0))</f>
        <v>427</v>
      </c>
      <c r="V32" s="294">
        <f>(IF('Section Load'!W35&gt;0,'Section Load'!W35,0))</f>
        <v>300.11999999999534</v>
      </c>
      <c r="W32" s="294">
        <f>(IF('Section Load'!X35&gt;0,'Section Load'!X35,0))</f>
        <v>21</v>
      </c>
      <c r="X32" s="294">
        <f>(IF('Section Load'!Y35&gt;0,'Section Load'!Y35,0))</f>
        <v>214</v>
      </c>
      <c r="Y32" s="294">
        <f>(IF('Section Load'!Z35&gt;0,'Section Load'!Z35,0))</f>
        <v>273</v>
      </c>
      <c r="Z32" s="294">
        <f>(IF('Section Load'!AA35&gt;0,'Section Load'!AA35,0))</f>
        <v>10.159999999974389</v>
      </c>
      <c r="AA32" s="294">
        <f>(IF('Section Load'!AB35&gt;0,'Section Load'!AB35,0))</f>
        <v>25</v>
      </c>
      <c r="AB32" s="294">
        <f>(IF('Section Load'!AC35&gt;0,'Section Load'!AC35,0))</f>
        <v>2</v>
      </c>
      <c r="AC32" s="294">
        <f>(IF('Section Load'!AD35&gt;0,'Section Load'!AD35,0))</f>
        <v>34</v>
      </c>
      <c r="AD32" s="294">
        <f>(IF('Section Load'!AE35&gt;0,'Section Load'!AE35,0))</f>
        <v>0</v>
      </c>
      <c r="AE32" s="294">
        <f>(IF('Section Load'!AF35&gt;0,'Section Load'!AF35,0))</f>
        <v>21</v>
      </c>
      <c r="AF32" s="294">
        <f>(IF('Section Load'!AG35&gt;0,'Section Load'!AG35,0))</f>
        <v>353</v>
      </c>
      <c r="AG32" s="294">
        <f>(IF('Section Load'!AH35&gt;0,'Section Load'!AH35,0))</f>
        <v>424</v>
      </c>
      <c r="AH32" s="294">
        <f>(IF('Section Load'!AI35&gt;0,'Section Load'!AI35,0))</f>
        <v>413</v>
      </c>
      <c r="AI32" s="294">
        <f>(IF('Section Load'!AJ35&gt;0,'Section Load'!AJ35,0))</f>
        <v>799</v>
      </c>
      <c r="AJ32" s="294">
        <f>(IF('Section Load'!AK35&gt;0,'Section Load'!AK35,0))</f>
        <v>246</v>
      </c>
      <c r="AK32" s="294">
        <f>(IF('Section Load'!AL35&gt;0,'Section Load'!AL35,0))</f>
        <v>338</v>
      </c>
      <c r="AL32" s="294">
        <f>(IF('Section Load'!AM35&gt;0,'Section Load'!AM35,0))</f>
        <v>647</v>
      </c>
      <c r="AM32" s="295">
        <f>(IF('Water Report'!$AH$7&gt;0,'Water Report'!$AH$7,0))</f>
        <v>6</v>
      </c>
      <c r="AN32" s="295">
        <f>(IF('Water Report'!$AH$8&gt;0,'Water Report'!$AH$8,0))</f>
        <v>86</v>
      </c>
      <c r="AO32" s="295">
        <f>(IF('Water Report'!$AH$9&gt;0,'Water Report'!$AH$9,0))</f>
        <v>94</v>
      </c>
      <c r="AP32" s="295">
        <f>(IF('Water Report'!$AH$10&gt;0,'Water Report'!$DAH$10,0))</f>
        <v>0</v>
      </c>
      <c r="AQ32" s="295">
        <f>(IF('Water Report'!$AH$11&gt;0,'Water Report'!$DAH$11,0))</f>
        <v>0</v>
      </c>
      <c r="AR32" s="295">
        <f>(IF('Water Report'!$AH$13&gt;0,'Water Report'!$DAH$13,0))</f>
        <v>0</v>
      </c>
      <c r="AS32" s="295">
        <f>(IF('Water Report'!$AH$14&gt;0,'Water Report'!$DAH$14,0))</f>
        <v>0</v>
      </c>
      <c r="AT32" s="295">
        <f>(IF('Water Report'!$AH$15&gt;0,'Water Report'!$DAH$15,0))</f>
        <v>0</v>
      </c>
      <c r="AU32" s="295">
        <f>(IF('Water Report'!$AH$17&gt;0,'Water Report'!$DAH$17,0))</f>
        <v>0</v>
      </c>
      <c r="AV32" s="295">
        <f>(IF('Water Report'!$AH$18&gt;0,'Water Report'!$DAH$18,0))</f>
        <v>0</v>
      </c>
      <c r="AW32" s="295">
        <f>(IF('Water Report'!$AH$19&gt;0,'Water Report'!$DAH$19,0))</f>
        <v>0</v>
      </c>
      <c r="AX32" s="301">
        <f>(IF('Water Report'!$AH$21&gt;0,'Water Report'!$DAH$21,0))</f>
        <v>0</v>
      </c>
      <c r="AY32" s="301">
        <f>(IF('Water Report'!$AH$22&gt;0,'Water Report'!$DAH$22,0))</f>
        <v>0</v>
      </c>
      <c r="AZ32" s="301">
        <f>(IF('Water Report'!$AH$23&gt;0,'Water Report'!$DAH$23,0))</f>
        <v>0</v>
      </c>
      <c r="BA32" s="301">
        <f>(IF('Water Report'!$AH$14&gt;0,'Water Report'!$DAH$14,0))</f>
        <v>0</v>
      </c>
      <c r="BB32" s="301">
        <f>(IF('Water Report'!$AH$15&gt;0,'Water Report'!$DAH$15,0))</f>
        <v>0</v>
      </c>
      <c r="BC32" s="301">
        <f>(IF('Water Report'!$AH$13&gt;0,'Water Report'!$DAH$13,0))</f>
        <v>0</v>
      </c>
      <c r="BD32" s="301">
        <f>(IF('Water Report'!$AH$24&gt;0,'Water Report'!$DAH$24,0))</f>
        <v>0</v>
      </c>
      <c r="BE32" s="301">
        <f>(IF('Water Report'!$AH$25&gt;0,'Water Report'!$DAH$25,0))</f>
        <v>0</v>
      </c>
      <c r="BF32" s="301">
        <f>(IF('Water Report'!$AH$27&gt;0,'Water Report'!$DAH$27,0))</f>
        <v>0</v>
      </c>
      <c r="BG32" s="296">
        <f>(IF('Section Load'!AN35&gt;0,'Section Load'!AN35,0))</f>
        <v>1100</v>
      </c>
      <c r="BH32" s="296">
        <f>(IF('Section Load'!AO35&gt;0,'Section Load'!AO35,0))</f>
        <v>269</v>
      </c>
      <c r="BI32" s="296">
        <f>(IF('Section Load'!AP35&gt;0,'Section Load'!AP35,0))</f>
        <v>0</v>
      </c>
      <c r="BJ32" s="296">
        <f>(IF('Section Load'!AQ35&gt;0,'Section Load'!AQ35,0))</f>
        <v>114</v>
      </c>
      <c r="BK32" s="296">
        <f>(IF('Section Load'!AR35&gt;0,'Section Load'!AR35,0))</f>
        <v>49</v>
      </c>
      <c r="BL32" s="296">
        <f>(IF('Section Load'!AS35&gt;0,'Section Load'!AS35,0))</f>
        <v>4</v>
      </c>
      <c r="BM32" s="296">
        <f>(IF('Section Load'!AT35&gt;0,'Section Load'!AT35,0))</f>
        <v>664</v>
      </c>
    </row>
    <row r="35" spans="45:45" x14ac:dyDescent="0.25">
      <c r="AS35" s="310"/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Q41"/>
  <sheetViews>
    <sheetView zoomScale="70" zoomScaleNormal="70" workbookViewId="0">
      <pane xSplit="1" topLeftCell="B1" activePane="topRight" state="frozen"/>
      <selection activeCell="F104" sqref="F104"/>
      <selection pane="topRight" activeCell="H4" sqref="H4:H26"/>
    </sheetView>
  </sheetViews>
  <sheetFormatPr defaultRowHeight="15.75" x14ac:dyDescent="0.25"/>
  <cols>
    <col min="1" max="1" width="6.88671875" customWidth="1"/>
    <col min="2" max="2" width="8.33203125" customWidth="1"/>
    <col min="3" max="3" width="0.109375" customWidth="1"/>
    <col min="4" max="4" width="7" customWidth="1"/>
    <col min="5" max="6" width="6.109375" customWidth="1"/>
    <col min="7" max="7" width="8.44140625" customWidth="1"/>
    <col min="8" max="8" width="9" customWidth="1"/>
    <col min="9" max="9" width="7.21875" customWidth="1"/>
    <col min="10" max="10" width="12.21875" style="43" customWidth="1"/>
    <col min="11" max="11" width="6.88671875" style="43" customWidth="1"/>
    <col min="12" max="12" width="10" customWidth="1"/>
    <col min="13" max="13" width="6.109375" customWidth="1"/>
    <col min="14" max="14" width="8.6640625" style="43" customWidth="1"/>
    <col min="15" max="15" width="9.21875" customWidth="1"/>
    <col min="16" max="16" width="6.109375" customWidth="1"/>
    <col min="17" max="17" width="8.5546875" style="43" customWidth="1"/>
    <col min="18" max="18" width="11.5546875" style="43" customWidth="1"/>
    <col min="19" max="20" width="6.109375" customWidth="1"/>
    <col min="21" max="21" width="10.5546875" style="43" customWidth="1"/>
    <col min="22" max="22" width="9.109375" style="37" customWidth="1"/>
    <col min="23" max="23" width="7" style="37" customWidth="1"/>
    <col min="24" max="24" width="7.44140625" style="37" customWidth="1"/>
    <col min="25" max="25" width="8.33203125" style="37" customWidth="1"/>
    <col min="26" max="29" width="6" customWidth="1"/>
    <col min="31" max="31" width="9.88671875" customWidth="1"/>
    <col min="32" max="32" width="10.6640625" customWidth="1"/>
    <col min="33" max="33" width="5.88671875" customWidth="1"/>
    <col min="34" max="34" width="6.33203125" customWidth="1"/>
    <col min="35" max="35" width="5.5546875" customWidth="1"/>
    <col min="37" max="37" width="5.77734375" customWidth="1"/>
    <col min="38" max="38" width="5.44140625" customWidth="1"/>
    <col min="39" max="39" width="5.109375" customWidth="1"/>
    <col min="40" max="40" width="7" bestFit="1" customWidth="1"/>
    <col min="41" max="41" width="8" customWidth="1"/>
    <col min="42" max="42" width="7.5546875" bestFit="1" customWidth="1"/>
    <col min="43" max="43" width="6.109375" bestFit="1" customWidth="1"/>
    <col min="44" max="45" width="7.5546875" bestFit="1" customWidth="1"/>
    <col min="46" max="46" width="7.88671875" bestFit="1" customWidth="1"/>
    <col min="47" max="47" width="7.5546875" customWidth="1"/>
    <col min="48" max="48" width="8" customWidth="1"/>
    <col min="49" max="49" width="8.21875" bestFit="1" customWidth="1"/>
    <col min="50" max="51" width="7.109375" customWidth="1"/>
    <col min="52" max="52" width="8" customWidth="1"/>
    <col min="53" max="56" width="6.6640625" customWidth="1"/>
    <col min="57" max="57" width="8.44140625" customWidth="1"/>
    <col min="58" max="58" width="7.6640625" customWidth="1"/>
    <col min="59" max="59" width="6.6640625" customWidth="1"/>
    <col min="60" max="60" width="7.6640625" customWidth="1"/>
    <col min="61" max="61" width="7.44140625" customWidth="1"/>
    <col min="62" max="62" width="9" customWidth="1"/>
    <col min="63" max="65" width="8.77734375" customWidth="1"/>
    <col min="66" max="66" width="12.5546875" customWidth="1"/>
  </cols>
  <sheetData>
    <row r="1" spans="1:69" ht="21" thickBot="1" x14ac:dyDescent="0.3">
      <c r="A1" s="711"/>
      <c r="B1" s="711"/>
      <c r="C1" s="711"/>
      <c r="D1" s="711"/>
      <c r="E1" s="711"/>
      <c r="F1" s="711"/>
      <c r="G1" s="711"/>
      <c r="H1" s="711"/>
      <c r="I1" s="711"/>
      <c r="J1" s="711"/>
      <c r="K1" s="711"/>
      <c r="L1" s="711"/>
      <c r="M1" s="711"/>
      <c r="N1" s="711"/>
      <c r="O1" s="711"/>
      <c r="P1" s="711"/>
      <c r="Q1" s="711"/>
      <c r="R1" s="711"/>
      <c r="S1" s="711"/>
      <c r="T1" s="711"/>
      <c r="U1" s="711"/>
      <c r="V1" s="711"/>
      <c r="W1" s="711"/>
      <c r="X1" s="711"/>
      <c r="Y1" s="711"/>
      <c r="Z1" s="711"/>
      <c r="AA1" s="711"/>
      <c r="AB1" s="711"/>
      <c r="AC1" s="711"/>
      <c r="AD1" s="711"/>
      <c r="AE1" s="711"/>
      <c r="AF1" s="711"/>
      <c r="AG1" s="711"/>
      <c r="AH1" s="711"/>
      <c r="AI1" s="711"/>
      <c r="AJ1" s="711"/>
      <c r="AK1" s="711"/>
      <c r="AL1" s="711"/>
      <c r="AM1" s="711"/>
      <c r="AN1" s="711"/>
      <c r="AO1" s="711"/>
      <c r="AP1" s="711"/>
      <c r="AQ1" s="711"/>
      <c r="AR1" s="711"/>
      <c r="AS1" s="711"/>
      <c r="AT1" s="711"/>
      <c r="AU1" s="711"/>
      <c r="AV1" s="711"/>
      <c r="AW1" s="711"/>
      <c r="AX1" s="711"/>
      <c r="AY1" s="711"/>
      <c r="AZ1" s="711"/>
      <c r="BA1" s="711"/>
      <c r="BB1" s="711"/>
      <c r="BC1" s="711"/>
      <c r="BD1" s="711"/>
      <c r="BE1" s="711"/>
      <c r="BF1" s="711"/>
      <c r="BG1" s="711"/>
      <c r="BH1" s="711"/>
      <c r="BI1" s="711"/>
      <c r="BJ1" s="711"/>
      <c r="BK1" s="711"/>
      <c r="BL1" s="711"/>
      <c r="BM1" s="711"/>
      <c r="BN1" s="711"/>
    </row>
    <row r="2" spans="1:69" ht="28.5" customHeight="1" x14ac:dyDescent="0.25">
      <c r="A2" s="1" t="s">
        <v>0</v>
      </c>
      <c r="B2" s="1" t="s">
        <v>0</v>
      </c>
      <c r="C2" s="264" t="s">
        <v>1</v>
      </c>
      <c r="D2" s="2" t="s">
        <v>2</v>
      </c>
      <c r="E2" s="3" t="s">
        <v>3</v>
      </c>
      <c r="F2" s="84" t="s">
        <v>4</v>
      </c>
      <c r="G2" s="84"/>
      <c r="H2" s="712" t="s">
        <v>5</v>
      </c>
      <c r="I2" s="712"/>
      <c r="J2" s="712"/>
      <c r="K2" s="44"/>
      <c r="L2" s="713" t="s">
        <v>6</v>
      </c>
      <c r="M2" s="713"/>
      <c r="N2" s="713"/>
      <c r="O2" s="714" t="s">
        <v>7</v>
      </c>
      <c r="P2" s="714"/>
      <c r="Q2" s="714"/>
      <c r="R2" s="44" t="s">
        <v>8</v>
      </c>
      <c r="S2" s="715" t="s">
        <v>9</v>
      </c>
      <c r="T2" s="715"/>
      <c r="U2" s="715"/>
      <c r="V2" s="716" t="s">
        <v>10</v>
      </c>
      <c r="W2" s="717"/>
      <c r="X2" s="718"/>
      <c r="Y2" s="263"/>
      <c r="Z2" s="719" t="s">
        <v>11</v>
      </c>
      <c r="AA2" s="719"/>
      <c r="AB2" s="719"/>
      <c r="AC2" s="719"/>
      <c r="AD2" s="264"/>
      <c r="AE2" s="264" t="s">
        <v>12</v>
      </c>
      <c r="AF2" s="264" t="s">
        <v>13</v>
      </c>
      <c r="AG2" s="719" t="s">
        <v>14</v>
      </c>
      <c r="AH2" s="719"/>
      <c r="AI2" s="719"/>
      <c r="AJ2" s="264" t="s">
        <v>15</v>
      </c>
      <c r="AK2" s="719" t="s">
        <v>16</v>
      </c>
      <c r="AL2" s="719"/>
      <c r="AM2" s="719"/>
      <c r="AN2" s="264" t="s">
        <v>17</v>
      </c>
      <c r="AO2" s="5" t="s">
        <v>18</v>
      </c>
      <c r="AP2" s="720" t="s">
        <v>19</v>
      </c>
      <c r="AQ2" s="721"/>
      <c r="AR2" s="721"/>
      <c r="AS2" s="721"/>
      <c r="AT2" s="721"/>
      <c r="AU2" s="721"/>
      <c r="AV2" s="721"/>
      <c r="AW2" s="721"/>
      <c r="AX2" s="721"/>
      <c r="AY2" s="722"/>
      <c r="AZ2" s="720" t="s">
        <v>20</v>
      </c>
      <c r="BA2" s="721"/>
      <c r="BB2" s="721"/>
      <c r="BC2" s="721"/>
      <c r="BD2" s="721"/>
      <c r="BE2" s="721"/>
      <c r="BF2" s="721"/>
      <c r="BG2" s="721"/>
      <c r="BH2" s="721"/>
      <c r="BI2" s="85"/>
      <c r="BJ2" s="75"/>
      <c r="BK2" s="39"/>
      <c r="BL2" s="39"/>
      <c r="BM2" s="39"/>
      <c r="BN2" s="264" t="s">
        <v>21</v>
      </c>
      <c r="BP2" t="s">
        <v>22</v>
      </c>
    </row>
    <row r="3" spans="1:69" s="15" customFormat="1" ht="33.75" x14ac:dyDescent="0.25">
      <c r="A3" s="6"/>
      <c r="B3" s="1"/>
      <c r="C3" s="7"/>
      <c r="D3" s="8"/>
      <c r="E3" s="9"/>
      <c r="F3" s="10" t="s">
        <v>23</v>
      </c>
      <c r="G3" s="10" t="s">
        <v>315</v>
      </c>
      <c r="H3" s="11" t="s">
        <v>314</v>
      </c>
      <c r="I3" s="11" t="s">
        <v>25</v>
      </c>
      <c r="J3" s="40" t="s">
        <v>26</v>
      </c>
      <c r="K3" s="40" t="s">
        <v>27</v>
      </c>
      <c r="L3" s="11" t="s">
        <v>28</v>
      </c>
      <c r="M3" s="11" t="s">
        <v>25</v>
      </c>
      <c r="N3" s="40" t="s">
        <v>26</v>
      </c>
      <c r="O3" s="11" t="s">
        <v>29</v>
      </c>
      <c r="P3" s="11" t="s">
        <v>25</v>
      </c>
      <c r="Q3" s="40" t="s">
        <v>26</v>
      </c>
      <c r="R3" s="40"/>
      <c r="S3" s="7" t="s">
        <v>30</v>
      </c>
      <c r="T3" s="7" t="s">
        <v>25</v>
      </c>
      <c r="U3" s="40" t="s">
        <v>26</v>
      </c>
      <c r="V3" s="11" t="s">
        <v>31</v>
      </c>
      <c r="W3" s="11" t="s">
        <v>32</v>
      </c>
      <c r="X3" s="11" t="s">
        <v>33</v>
      </c>
      <c r="Y3" s="11"/>
      <c r="Z3" s="12" t="s">
        <v>34</v>
      </c>
      <c r="AA3" s="12" t="s">
        <v>35</v>
      </c>
      <c r="AB3" s="12" t="s">
        <v>36</v>
      </c>
      <c r="AC3" s="12" t="s">
        <v>37</v>
      </c>
      <c r="AD3" s="12" t="s">
        <v>38</v>
      </c>
      <c r="AE3" s="12"/>
      <c r="AF3" s="12"/>
      <c r="AG3" s="12" t="s">
        <v>39</v>
      </c>
      <c r="AH3" s="12" t="s">
        <v>40</v>
      </c>
      <c r="AI3" s="12" t="s">
        <v>41</v>
      </c>
      <c r="AJ3" s="12"/>
      <c r="AK3" s="12" t="s">
        <v>42</v>
      </c>
      <c r="AL3" s="12" t="s">
        <v>43</v>
      </c>
      <c r="AM3" s="12"/>
      <c r="AN3" s="12"/>
      <c r="AO3" s="51"/>
      <c r="AP3" s="53" t="s">
        <v>44</v>
      </c>
      <c r="AQ3" s="13" t="s">
        <v>45</v>
      </c>
      <c r="AR3" s="13" t="s">
        <v>46</v>
      </c>
      <c r="AS3" s="13" t="s">
        <v>47</v>
      </c>
      <c r="AT3" s="13" t="s">
        <v>48</v>
      </c>
      <c r="AU3" s="13" t="s">
        <v>49</v>
      </c>
      <c r="AV3" s="13" t="s">
        <v>50</v>
      </c>
      <c r="AW3" s="13" t="s">
        <v>51</v>
      </c>
      <c r="AX3" s="13" t="s">
        <v>52</v>
      </c>
      <c r="AY3" s="54" t="s">
        <v>53</v>
      </c>
      <c r="AZ3" s="53" t="s">
        <v>54</v>
      </c>
      <c r="BA3" s="13" t="s">
        <v>55</v>
      </c>
      <c r="BB3" s="13" t="s">
        <v>46</v>
      </c>
      <c r="BC3" s="13" t="s">
        <v>56</v>
      </c>
      <c r="BD3" s="13" t="s">
        <v>57</v>
      </c>
      <c r="BE3" s="14" t="s">
        <v>58</v>
      </c>
      <c r="BF3" s="14" t="s">
        <v>59</v>
      </c>
      <c r="BG3" s="14" t="s">
        <v>51</v>
      </c>
      <c r="BH3" s="74" t="s">
        <v>60</v>
      </c>
      <c r="BI3" s="74"/>
      <c r="BJ3" s="14" t="s">
        <v>61</v>
      </c>
      <c r="BK3" s="14" t="s">
        <v>62</v>
      </c>
      <c r="BL3" s="14" t="s">
        <v>63</v>
      </c>
      <c r="BM3" s="14" t="s">
        <v>64</v>
      </c>
      <c r="BN3" s="12"/>
      <c r="BO3" s="15" t="s">
        <v>65</v>
      </c>
    </row>
    <row r="4" spans="1:69" x14ac:dyDescent="0.25">
      <c r="A4" s="16">
        <v>1</v>
      </c>
      <c r="B4" s="17">
        <v>1</v>
      </c>
      <c r="C4" s="18"/>
      <c r="D4" s="19">
        <f>'1'!D3</f>
        <v>22</v>
      </c>
      <c r="E4" s="50">
        <f>'1'!D4</f>
        <v>0.76</v>
      </c>
      <c r="F4" s="50">
        <f>'1'!D2</f>
        <v>0.96</v>
      </c>
      <c r="G4" s="19">
        <f>'1'!G7</f>
        <v>20006.53</v>
      </c>
      <c r="H4" s="19">
        <f>'1'!G8</f>
        <v>20449</v>
      </c>
      <c r="I4" s="19">
        <v>9</v>
      </c>
      <c r="J4" s="49">
        <f>H4*I4</f>
        <v>184041</v>
      </c>
      <c r="K4" s="45">
        <f>H4/202</f>
        <v>101.23267326732673</v>
      </c>
      <c r="L4" s="19">
        <f>'1'!G15</f>
        <v>1070.0859999998938</v>
      </c>
      <c r="M4" s="19">
        <v>56.2</v>
      </c>
      <c r="N4" s="45">
        <f>L4*M4</f>
        <v>60138.833199994035</v>
      </c>
      <c r="O4" s="19">
        <f>'1'!G20</f>
        <v>54</v>
      </c>
      <c r="P4" s="19">
        <v>108</v>
      </c>
      <c r="Q4" s="46">
        <f t="shared" ref="Q4:Q33" si="0">O4*P4</f>
        <v>5832</v>
      </c>
      <c r="R4" s="47">
        <f t="shared" ref="R4:R34" si="1">O4/(F4*202/100)</f>
        <v>27.846534653465348</v>
      </c>
      <c r="S4" s="19">
        <f>'1'!G24</f>
        <v>0</v>
      </c>
      <c r="T4" s="19">
        <v>69</v>
      </c>
      <c r="U4" s="48">
        <f>S4*T4</f>
        <v>0</v>
      </c>
      <c r="V4" s="22">
        <f>'1'!G65</f>
        <v>98</v>
      </c>
      <c r="W4" s="22">
        <f>'1'!G66</f>
        <v>28</v>
      </c>
      <c r="X4" s="22">
        <f>'1'!G67</f>
        <v>40</v>
      </c>
      <c r="Y4" s="22">
        <f>V4+W4+X4</f>
        <v>166</v>
      </c>
      <c r="Z4" s="19">
        <f>'1'!G84</f>
        <v>0</v>
      </c>
      <c r="AA4" s="19">
        <f>'1'!G85</f>
        <v>0</v>
      </c>
      <c r="AB4" s="19">
        <f>'1'!G86</f>
        <v>24</v>
      </c>
      <c r="AC4" s="19">
        <f>'1'!G87</f>
        <v>0</v>
      </c>
      <c r="AD4" s="19">
        <f>Z4+AA4+AB4+AC4</f>
        <v>24</v>
      </c>
      <c r="AE4" s="23">
        <f t="shared" ref="AE4:AE33" si="2">AU4+AV4+BE4+BF4</f>
        <v>2431.4200000000055</v>
      </c>
      <c r="AF4" s="23">
        <f>AE4/AD4</f>
        <v>101.3091666666669</v>
      </c>
      <c r="AG4" s="19">
        <f>'1'!G88</f>
        <v>6.3800000000010186</v>
      </c>
      <c r="AH4" s="19">
        <f>'1'!G89</f>
        <v>4.0900000000001455</v>
      </c>
      <c r="AI4" s="19">
        <f>'1'!G90</f>
        <v>5.6100000000005821</v>
      </c>
      <c r="AJ4" s="19">
        <f>AG4+AH4+AI4</f>
        <v>16.080000000001746</v>
      </c>
      <c r="AK4" s="19">
        <f>'1'!G91</f>
        <v>0</v>
      </c>
      <c r="AL4" s="19">
        <f>'1'!G92</f>
        <v>9.6599999999998545</v>
      </c>
      <c r="AM4" s="19"/>
      <c r="AN4" s="19">
        <f>AK4+AL4</f>
        <v>9.6599999999998545</v>
      </c>
      <c r="AO4" s="52">
        <f>'1'!G74</f>
        <v>267.77000000001863</v>
      </c>
      <c r="AP4" s="55">
        <f>'1'!G35</f>
        <v>2052.1199999999953</v>
      </c>
      <c r="AQ4" s="19">
        <f>'1'!G37</f>
        <v>1573.5100000000093</v>
      </c>
      <c r="AR4" s="19">
        <f>'1'!G38</f>
        <v>1665.429999999993</v>
      </c>
      <c r="AS4" s="19">
        <f>'1'!G39</f>
        <v>2724.390000000014</v>
      </c>
      <c r="AT4" s="19">
        <f>'1'!G40</f>
        <v>-2.9999999999745341E-2</v>
      </c>
      <c r="AU4" s="19">
        <f>'1'!G41</f>
        <v>0</v>
      </c>
      <c r="AV4" s="19">
        <f>'1'!G42</f>
        <v>-0.39999999999417923</v>
      </c>
      <c r="AW4" s="19">
        <f>'1'!G43</f>
        <v>2561.2300000000032</v>
      </c>
      <c r="AX4" s="19">
        <f>'1'!G44</f>
        <v>0</v>
      </c>
      <c r="AY4" s="56">
        <f>'1'!G36</f>
        <v>885.33000000000175</v>
      </c>
      <c r="AZ4" s="55">
        <f>'1'!G49</f>
        <v>1618.8300000000163</v>
      </c>
      <c r="BA4" s="19">
        <f>'1'!G51</f>
        <v>0</v>
      </c>
      <c r="BB4" s="19">
        <f>'1'!G52</f>
        <v>0</v>
      </c>
      <c r="BC4" s="19">
        <f>'1'!G53</f>
        <v>0</v>
      </c>
      <c r="BD4" s="19">
        <f>'1'!G54</f>
        <v>5.1300000000001091</v>
      </c>
      <c r="BE4" s="19">
        <f>'1'!G55</f>
        <v>2431.8199999999997</v>
      </c>
      <c r="BF4" s="19">
        <f>'1'!G56</f>
        <v>0</v>
      </c>
      <c r="BG4" s="19">
        <f>'1'!G57</f>
        <v>0</v>
      </c>
      <c r="BH4" s="56">
        <f>'1'!G50</f>
        <v>1236.0200000000004</v>
      </c>
      <c r="BI4" s="60">
        <f>SUM(AU4,AV4,BE4,BF4)</f>
        <v>2431.4200000000055</v>
      </c>
      <c r="BJ4" s="60">
        <f>'1'!G133</f>
        <v>833.86000000000058</v>
      </c>
      <c r="BK4" s="23">
        <f>SUM(AP4,AU4,AV4,AW4,AZ4,BE4,BF4,BG4)/H4%</f>
        <v>42.366863905325545</v>
      </c>
      <c r="BL4" s="23">
        <f>SUM(AS4,BC4)/H4%</f>
        <v>13.322851973201692</v>
      </c>
      <c r="BM4" s="24">
        <f>(AR4+BB4)/H4</f>
        <v>8.1443102352192917E-2</v>
      </c>
      <c r="BN4" s="25">
        <f>J4+N4+Q4+U4</f>
        <v>250011.83319999403</v>
      </c>
      <c r="BO4" s="38">
        <f>SUM(AU4,AV4,AW4,BE4,BF4,BG4,BJ4)</f>
        <v>5826.5100000000093</v>
      </c>
      <c r="BP4">
        <f>BO4/(AD4*280)</f>
        <v>0.86704017857143001</v>
      </c>
      <c r="BQ4" s="38">
        <f>SUM(AU4,AV4,BE4,BF4)/(AD4*400)</f>
        <v>0.25327291666666724</v>
      </c>
    </row>
    <row r="5" spans="1:69" x14ac:dyDescent="0.25">
      <c r="A5" s="16">
        <v>2</v>
      </c>
      <c r="B5" s="26">
        <v>2</v>
      </c>
      <c r="C5" s="26"/>
      <c r="D5" s="19">
        <f>'2'!D3</f>
        <v>28</v>
      </c>
      <c r="E5" s="50">
        <f>'2'!D4</f>
        <v>0.68</v>
      </c>
      <c r="F5" s="50">
        <f>'2'!D2</f>
        <v>0.43559999999999999</v>
      </c>
      <c r="G5" s="19">
        <f>'2'!G7</f>
        <v>19489.369999999995</v>
      </c>
      <c r="H5" s="19">
        <f>'2'!G8</f>
        <v>19893</v>
      </c>
      <c r="I5" s="19">
        <v>9</v>
      </c>
      <c r="J5" s="49">
        <f t="shared" ref="J5:J34" si="3">H5*I5</f>
        <v>179037</v>
      </c>
      <c r="K5" s="45">
        <f t="shared" ref="K5:K33" si="4">H5/202</f>
        <v>98.480198019801975</v>
      </c>
      <c r="L5" s="19">
        <f>'2'!G15</f>
        <v>808.52700000000186</v>
      </c>
      <c r="M5" s="19">
        <v>56.2</v>
      </c>
      <c r="N5" s="45">
        <f t="shared" ref="N5:N33" si="5">L5*M5</f>
        <v>45439.217400000111</v>
      </c>
      <c r="O5" s="19">
        <f>'2'!G20</f>
        <v>56</v>
      </c>
      <c r="P5" s="19">
        <v>108</v>
      </c>
      <c r="Q5" s="46">
        <f t="shared" si="0"/>
        <v>6048</v>
      </c>
      <c r="R5" s="47">
        <f t="shared" si="1"/>
        <v>63.642727909154559</v>
      </c>
      <c r="S5" s="19">
        <f>'2'!G24</f>
        <v>0</v>
      </c>
      <c r="T5" s="19">
        <v>69</v>
      </c>
      <c r="U5" s="48">
        <f t="shared" ref="U5:U33" si="6">S5*T5</f>
        <v>0</v>
      </c>
      <c r="V5" s="22">
        <f>'2'!F65</f>
        <v>432772</v>
      </c>
      <c r="W5" s="22">
        <f>'2'!G66</f>
        <v>27</v>
      </c>
      <c r="X5" s="22">
        <f>'2'!G67</f>
        <v>39</v>
      </c>
      <c r="Y5" s="22">
        <f t="shared" ref="Y5:Y33" si="7">V5+W5+X5</f>
        <v>432838</v>
      </c>
      <c r="Z5" s="19">
        <f>'2'!G84</f>
        <v>0</v>
      </c>
      <c r="AA5" s="19">
        <f>'2'!G85</f>
        <v>0</v>
      </c>
      <c r="AB5" s="19">
        <f>'2'!G86</f>
        <v>24.110000000000582</v>
      </c>
      <c r="AC5" s="19">
        <f>'2'!G87</f>
        <v>0</v>
      </c>
      <c r="AD5" s="19">
        <f t="shared" ref="AD5:AD33" si="8">Z5+AA5+AB5+AC5</f>
        <v>24.110000000000582</v>
      </c>
      <c r="AE5" s="23">
        <f t="shared" si="2"/>
        <v>3100</v>
      </c>
      <c r="AF5" s="23">
        <f t="shared" ref="AF5:AF33" si="9">AE5/AD5</f>
        <v>128.57735379510265</v>
      </c>
      <c r="AG5" s="19">
        <f>'2'!G88</f>
        <v>2.6899999999986903</v>
      </c>
      <c r="AH5" s="19">
        <f>'2'!G89</f>
        <v>0.47000000000116415</v>
      </c>
      <c r="AI5" s="19">
        <f>'2'!G90</f>
        <v>9.1499999999941792</v>
      </c>
      <c r="AJ5" s="19">
        <f t="shared" ref="AJ5:AJ33" si="10">AG5+AH5+AI5</f>
        <v>12.309999999994034</v>
      </c>
      <c r="AK5" s="19">
        <f>'2'!G91</f>
        <v>0</v>
      </c>
      <c r="AL5" s="19">
        <f>'2'!G92</f>
        <v>9.0100000000002183</v>
      </c>
      <c r="AM5" s="19"/>
      <c r="AN5" s="19">
        <f t="shared" ref="AN5:AN33" si="11">AK5+AL5</f>
        <v>9.0100000000002183</v>
      </c>
      <c r="AO5" s="52">
        <f>'2'!G74</f>
        <v>258.03000000002794</v>
      </c>
      <c r="AP5" s="55">
        <f>'2'!G35</f>
        <v>2014.5200000000186</v>
      </c>
      <c r="AQ5" s="19">
        <f>'2'!G37</f>
        <v>1509.2399999999907</v>
      </c>
      <c r="AR5" s="19">
        <f>'2'!G38</f>
        <v>1563.0599999999977</v>
      </c>
      <c r="AS5" s="19">
        <f>'2'!G39</f>
        <v>2721.7999999999884</v>
      </c>
      <c r="AT5" s="19">
        <f>'2'!G40</f>
        <v>9.999999999308784E-3</v>
      </c>
      <c r="AU5" s="19">
        <f>'2'!G41</f>
        <v>0</v>
      </c>
      <c r="AV5" s="19">
        <f>'2'!G42</f>
        <v>0</v>
      </c>
      <c r="AW5" s="19">
        <f>'2'!G43</f>
        <v>2437.1699999999983</v>
      </c>
      <c r="AX5" s="19">
        <f>'2'!G44</f>
        <v>0</v>
      </c>
      <c r="AY5" s="56">
        <f>'2'!G36</f>
        <v>756.53999999999724</v>
      </c>
      <c r="AZ5" s="55">
        <f>'2'!G49</f>
        <v>1627.1699999999837</v>
      </c>
      <c r="BA5" s="19">
        <f>'2'!G51</f>
        <v>0</v>
      </c>
      <c r="BB5" s="19">
        <f>'2'!G52</f>
        <v>0</v>
      </c>
      <c r="BC5" s="19">
        <f>'2'!G53</f>
        <v>0</v>
      </c>
      <c r="BD5" s="19">
        <f>'2'!G54</f>
        <v>4.4600000000000364</v>
      </c>
      <c r="BE5" s="19">
        <f>'2'!G55</f>
        <v>3100</v>
      </c>
      <c r="BF5" s="19">
        <f>'2'!G56</f>
        <v>0</v>
      </c>
      <c r="BG5" s="19">
        <f>'2'!G57</f>
        <v>0</v>
      </c>
      <c r="BH5" s="56">
        <f>'2'!G50</f>
        <v>1150.7200000000012</v>
      </c>
      <c r="BI5" s="60">
        <f t="shared" ref="BI5:BI32" si="12">SUM(AU5,AV5,BE5,BF5)</f>
        <v>3100</v>
      </c>
      <c r="BJ5" s="60">
        <f>'2'!G133</f>
        <v>832.02000000000407</v>
      </c>
      <c r="BK5" s="23">
        <f t="shared" ref="BK5:BK33" si="13">SUM(AP5,AU5,AV5,AW5,AZ5,BE5,BF5,BG5)/H5%</f>
        <v>46.141155180214149</v>
      </c>
      <c r="BL5" s="23">
        <f t="shared" ref="BL5:BL33" si="14">SUM(AS5,BC5)/H5%</f>
        <v>13.682199768762823</v>
      </c>
      <c r="BM5" s="24">
        <f t="shared" ref="BM5:BM33" si="15">(AR5+BB5)/H5</f>
        <v>7.857336751621162E-2</v>
      </c>
      <c r="BN5" s="25">
        <f t="shared" ref="BN5:BN33" si="16">J5+N5+Q5+U5</f>
        <v>230524.21740000011</v>
      </c>
      <c r="BO5" s="38">
        <f t="shared" ref="BO5:BO35" si="17">SUM(AU5,AV5,AW5,BE5,BF5,BG5,BJ5)</f>
        <v>6369.1900000000023</v>
      </c>
      <c r="BP5">
        <f t="shared" ref="BP5:BP35" si="18">BO5/(AD5*280)</f>
        <v>0.94347188481362931</v>
      </c>
    </row>
    <row r="6" spans="1:69" x14ac:dyDescent="0.25">
      <c r="A6" s="16">
        <v>3</v>
      </c>
      <c r="B6" s="26">
        <v>3</v>
      </c>
      <c r="C6" s="26"/>
      <c r="D6" s="19">
        <f>'3'!D3</f>
        <v>28</v>
      </c>
      <c r="E6" s="50">
        <f>'3'!D4</f>
        <v>0.9</v>
      </c>
      <c r="F6" s="50">
        <f>'3'!D2</f>
        <v>0.51</v>
      </c>
      <c r="G6" s="19">
        <f>'3'!G7</f>
        <v>19192.100000000006</v>
      </c>
      <c r="H6" s="19">
        <f>'3'!G8</f>
        <v>19529</v>
      </c>
      <c r="I6" s="19">
        <v>9</v>
      </c>
      <c r="J6" s="49">
        <f t="shared" si="3"/>
        <v>175761</v>
      </c>
      <c r="K6" s="45">
        <f t="shared" si="4"/>
        <v>96.678217821782184</v>
      </c>
      <c r="L6" s="19">
        <f>'3'!G15</f>
        <v>524.78700000001118</v>
      </c>
      <c r="M6" s="19">
        <v>56.2</v>
      </c>
      <c r="N6" s="45">
        <f t="shared" si="5"/>
        <v>29493.029400000629</v>
      </c>
      <c r="O6" s="19">
        <f>'3'!G20</f>
        <v>356</v>
      </c>
      <c r="P6" s="19">
        <v>108</v>
      </c>
      <c r="Q6" s="46">
        <f t="shared" si="0"/>
        <v>38448</v>
      </c>
      <c r="R6" s="47">
        <f t="shared" si="1"/>
        <v>345.56396816152204</v>
      </c>
      <c r="S6" s="19">
        <f>'3'!G24</f>
        <v>0</v>
      </c>
      <c r="T6" s="19">
        <v>69</v>
      </c>
      <c r="U6" s="48">
        <f t="shared" si="6"/>
        <v>0</v>
      </c>
      <c r="V6" s="22">
        <f>'3'!G65</f>
        <v>40</v>
      </c>
      <c r="W6" s="22">
        <f>'3'!G66</f>
        <v>18</v>
      </c>
      <c r="X6" s="22">
        <f>'3'!G67</f>
        <v>20</v>
      </c>
      <c r="Y6" s="22">
        <f>V6+W6+X6</f>
        <v>78</v>
      </c>
      <c r="Z6" s="19">
        <f>'3'!G84</f>
        <v>0</v>
      </c>
      <c r="AA6" s="19">
        <f>'3'!G85</f>
        <v>0</v>
      </c>
      <c r="AB6" s="19">
        <f>'3'!G86</f>
        <v>24.040000000000873</v>
      </c>
      <c r="AC6" s="19">
        <f>'3'!G87</f>
        <v>0</v>
      </c>
      <c r="AD6" s="19">
        <f t="shared" si="8"/>
        <v>24.040000000000873</v>
      </c>
      <c r="AE6" s="23">
        <f t="shared" si="2"/>
        <v>3094.6399999999994</v>
      </c>
      <c r="AF6" s="23">
        <f t="shared" si="9"/>
        <v>128.72878535773239</v>
      </c>
      <c r="AG6" s="19">
        <f>'3'!G88</f>
        <v>0</v>
      </c>
      <c r="AH6" s="19">
        <f>'3'!G89</f>
        <v>0</v>
      </c>
      <c r="AI6" s="19">
        <f>'3'!G90</f>
        <v>3.2400000000052387</v>
      </c>
      <c r="AJ6" s="19">
        <f t="shared" si="10"/>
        <v>3.2400000000052387</v>
      </c>
      <c r="AK6" s="19">
        <f>'3'!G91</f>
        <v>0</v>
      </c>
      <c r="AL6" s="19">
        <f>'3'!G92</f>
        <v>8.5399999999999636</v>
      </c>
      <c r="AM6" s="19"/>
      <c r="AN6" s="19">
        <f t="shared" si="11"/>
        <v>8.5399999999999636</v>
      </c>
      <c r="AO6" s="52">
        <f>'3'!G74</f>
        <v>240.55999999993946</v>
      </c>
      <c r="AP6" s="55">
        <f>'3'!G35</f>
        <v>1878.3099999999977</v>
      </c>
      <c r="AQ6" s="19">
        <f>'3'!G37</f>
        <v>1514.2000000000116</v>
      </c>
      <c r="AR6" s="19">
        <f>'3'!G38</f>
        <v>1476.640000000014</v>
      </c>
      <c r="AS6" s="19">
        <f>'3'!G39</f>
        <v>2758.7999999999884</v>
      </c>
      <c r="AT6" s="19">
        <f>'3'!G40</f>
        <v>0</v>
      </c>
      <c r="AU6" s="19">
        <f>'3'!G41</f>
        <v>0</v>
      </c>
      <c r="AV6" s="19">
        <f>'3'!G42</f>
        <v>0</v>
      </c>
      <c r="AW6" s="19">
        <f>'3'!G43</f>
        <v>2419.6699999999983</v>
      </c>
      <c r="AX6" s="19">
        <f>'3'!G44</f>
        <v>0</v>
      </c>
      <c r="AY6" s="56">
        <f>'3'!G36</f>
        <v>783.35000000000218</v>
      </c>
      <c r="AZ6" s="55">
        <f>'3'!G49</f>
        <v>1895</v>
      </c>
      <c r="BA6" s="19">
        <f>'3'!G51</f>
        <v>0</v>
      </c>
      <c r="BB6" s="19">
        <f>'3'!G52</f>
        <v>0</v>
      </c>
      <c r="BC6" s="19">
        <f>'3'!G53</f>
        <v>0</v>
      </c>
      <c r="BD6" s="19">
        <f>'3'!G54</f>
        <v>4.4899999999997817</v>
      </c>
      <c r="BE6" s="19">
        <f>'3'!G55</f>
        <v>3094.6399999999994</v>
      </c>
      <c r="BF6" s="19">
        <f>'3'!G56</f>
        <v>0</v>
      </c>
      <c r="BG6" s="19">
        <f>'3'!G57</f>
        <v>0</v>
      </c>
      <c r="BH6" s="56">
        <f>'3'!G50</f>
        <v>965.46999999999753</v>
      </c>
      <c r="BI6" s="60">
        <f t="shared" si="12"/>
        <v>3094.6399999999994</v>
      </c>
      <c r="BJ6" s="60">
        <f>'3'!G133</f>
        <v>837.55999999999767</v>
      </c>
      <c r="BK6" s="23">
        <f t="shared" si="13"/>
        <v>47.558093092324214</v>
      </c>
      <c r="BL6" s="23">
        <f t="shared" si="14"/>
        <v>14.126683393926921</v>
      </c>
      <c r="BM6" s="24">
        <f t="shared" si="15"/>
        <v>7.5612678580573203E-2</v>
      </c>
      <c r="BN6" s="25">
        <f t="shared" si="16"/>
        <v>243702.02940000064</v>
      </c>
      <c r="BO6" s="38">
        <f t="shared" si="17"/>
        <v>6351.8699999999953</v>
      </c>
      <c r="BP6">
        <f t="shared" si="18"/>
        <v>0.9436460066555391</v>
      </c>
    </row>
    <row r="7" spans="1:69" x14ac:dyDescent="0.25">
      <c r="A7" s="16">
        <v>4</v>
      </c>
      <c r="B7" s="27">
        <v>4</v>
      </c>
      <c r="C7" s="27"/>
      <c r="D7" s="19">
        <f>'4'!D3</f>
        <v>28</v>
      </c>
      <c r="E7" s="50">
        <f>'4'!D4</f>
        <v>0.9</v>
      </c>
      <c r="F7" s="50">
        <f>'4'!D2</f>
        <v>0.89610000000000001</v>
      </c>
      <c r="G7" s="19">
        <f>'4'!G7</f>
        <v>19783.089999999997</v>
      </c>
      <c r="H7" s="19">
        <f>'4'!G8</f>
        <v>20218.950000000012</v>
      </c>
      <c r="I7" s="19">
        <v>9</v>
      </c>
      <c r="J7" s="49">
        <f t="shared" si="3"/>
        <v>181970.5500000001</v>
      </c>
      <c r="K7" s="45">
        <f t="shared" si="4"/>
        <v>100.09381188118817</v>
      </c>
      <c r="L7" s="19">
        <f>'4'!G15</f>
        <v>1035.25</v>
      </c>
      <c r="M7" s="19">
        <v>56.2</v>
      </c>
      <c r="N7" s="45">
        <f t="shared" si="5"/>
        <v>58181.05</v>
      </c>
      <c r="O7" s="19">
        <f>'4'!G20</f>
        <v>219</v>
      </c>
      <c r="P7" s="19">
        <v>108</v>
      </c>
      <c r="Q7" s="46">
        <f t="shared" si="0"/>
        <v>23652</v>
      </c>
      <c r="R7" s="47">
        <f t="shared" si="1"/>
        <v>120.98632025907646</v>
      </c>
      <c r="S7" s="19">
        <f>'4'!G24</f>
        <v>0</v>
      </c>
      <c r="T7" s="19">
        <v>69</v>
      </c>
      <c r="U7" s="48">
        <f t="shared" si="6"/>
        <v>0</v>
      </c>
      <c r="V7" s="22">
        <f>'4'!G65</f>
        <v>81</v>
      </c>
      <c r="W7" s="22">
        <f>'4'!G66</f>
        <v>21</v>
      </c>
      <c r="X7" s="22">
        <f>'4'!G67</f>
        <v>27</v>
      </c>
      <c r="Y7" s="22">
        <f t="shared" si="7"/>
        <v>129</v>
      </c>
      <c r="Z7" s="19">
        <f>'4'!G84</f>
        <v>0.26000000000203727</v>
      </c>
      <c r="AA7" s="19">
        <f>'4'!G85</f>
        <v>0</v>
      </c>
      <c r="AB7" s="19">
        <f>'4'!G86</f>
        <v>24.419999999998254</v>
      </c>
      <c r="AC7" s="19">
        <f>'4'!G87</f>
        <v>0</v>
      </c>
      <c r="AD7" s="19">
        <f t="shared" si="8"/>
        <v>24.680000000000291</v>
      </c>
      <c r="AE7" s="23">
        <f t="shared" si="2"/>
        <v>3146.7900000000009</v>
      </c>
      <c r="AF7" s="23">
        <f t="shared" si="9"/>
        <v>127.50364667747017</v>
      </c>
      <c r="AG7" s="19">
        <f>'4'!G88</f>
        <v>1.9900000000016007</v>
      </c>
      <c r="AH7" s="19">
        <f>'4'!G89</f>
        <v>8.7199999999975262</v>
      </c>
      <c r="AI7" s="19">
        <f>'4'!G90</f>
        <v>4.1399999999994179</v>
      </c>
      <c r="AJ7" s="19">
        <f t="shared" si="10"/>
        <v>14.849999999998545</v>
      </c>
      <c r="AK7" s="19">
        <f>'4'!G91</f>
        <v>0</v>
      </c>
      <c r="AL7" s="19">
        <f>'4'!G92</f>
        <v>11.090000000000146</v>
      </c>
      <c r="AM7" s="19"/>
      <c r="AN7" s="19">
        <f t="shared" si="11"/>
        <v>11.090000000000146</v>
      </c>
      <c r="AO7" s="52">
        <f>'4'!G74</f>
        <v>317.86999999999534</v>
      </c>
      <c r="AP7" s="55">
        <f>'4'!G35</f>
        <v>1887.8299999999872</v>
      </c>
      <c r="AQ7" s="19">
        <f>'4'!G37</f>
        <v>1526.8799999999756</v>
      </c>
      <c r="AR7" s="19">
        <f>'4'!G38</f>
        <v>1752.359999999986</v>
      </c>
      <c r="AS7" s="19">
        <f>'4'!G39</f>
        <v>2740.5200000000186</v>
      </c>
      <c r="AT7" s="19">
        <f>'4'!G40</f>
        <v>0</v>
      </c>
      <c r="AU7" s="19">
        <f>'4'!G41</f>
        <v>0</v>
      </c>
      <c r="AV7" s="19">
        <f>'4'!G42</f>
        <v>0</v>
      </c>
      <c r="AW7" s="19">
        <f>'4'!G43</f>
        <v>2444.6500000000015</v>
      </c>
      <c r="AX7" s="19">
        <f>'4'!G44</f>
        <v>0</v>
      </c>
      <c r="AY7" s="56">
        <f>'4'!G36</f>
        <v>727.02999999999884</v>
      </c>
      <c r="AZ7" s="55">
        <f>'4'!G49</f>
        <v>1435.0300000000279</v>
      </c>
      <c r="BA7" s="19">
        <f>'4'!G51</f>
        <v>0</v>
      </c>
      <c r="BB7" s="19">
        <f>'4'!G52</f>
        <v>0</v>
      </c>
      <c r="BC7" s="19">
        <f>'4'!G53</f>
        <v>0</v>
      </c>
      <c r="BD7" s="19">
        <f>'4'!G54</f>
        <v>198.08</v>
      </c>
      <c r="BE7" s="19">
        <f>'4'!G55</f>
        <v>3146.7900000000009</v>
      </c>
      <c r="BF7" s="19">
        <f>'4'!G56</f>
        <v>0</v>
      </c>
      <c r="BG7" s="19">
        <f>'4'!G57</f>
        <v>0</v>
      </c>
      <c r="BH7" s="56">
        <f>'4'!G50</f>
        <v>1036.4099999999999</v>
      </c>
      <c r="BI7" s="60">
        <f t="shared" si="12"/>
        <v>3146.7900000000009</v>
      </c>
      <c r="BJ7" s="60">
        <f>'3'!G133</f>
        <v>837.55999999999767</v>
      </c>
      <c r="BK7" s="23">
        <f t="shared" si="13"/>
        <v>44.088837451994351</v>
      </c>
      <c r="BL7" s="23">
        <f t="shared" si="14"/>
        <v>13.554215228782983</v>
      </c>
      <c r="BM7" s="24">
        <f t="shared" si="15"/>
        <v>8.6669189052843251E-2</v>
      </c>
      <c r="BN7" s="25">
        <f t="shared" si="16"/>
        <v>263803.60000000009</v>
      </c>
      <c r="BO7" s="38">
        <f t="shared" si="17"/>
        <v>6429</v>
      </c>
      <c r="BP7">
        <f t="shared" si="18"/>
        <v>0.93033688353784505</v>
      </c>
    </row>
    <row r="8" spans="1:69" x14ac:dyDescent="0.25">
      <c r="A8" s="16">
        <v>5</v>
      </c>
      <c r="B8" s="27">
        <v>5</v>
      </c>
      <c r="C8" s="27"/>
      <c r="D8" s="19">
        <f>'5'!D3</f>
        <v>29</v>
      </c>
      <c r="E8" s="50">
        <f>'5'!D4</f>
        <v>0.7</v>
      </c>
      <c r="F8" s="50">
        <f>'5'!D2</f>
        <v>0.55940000000000001</v>
      </c>
      <c r="G8" s="19">
        <f>'5'!G7</f>
        <v>19899.910000000003</v>
      </c>
      <c r="H8" s="19">
        <f>'5'!G8</f>
        <v>20335.049999999988</v>
      </c>
      <c r="I8" s="19">
        <v>9</v>
      </c>
      <c r="J8" s="49">
        <f t="shared" si="3"/>
        <v>183015.4499999999</v>
      </c>
      <c r="K8" s="45">
        <f t="shared" si="4"/>
        <v>100.66856435643558</v>
      </c>
      <c r="L8" s="19">
        <f>'5'!G15</f>
        <v>1002.0500000000466</v>
      </c>
      <c r="M8" s="19">
        <v>56.2</v>
      </c>
      <c r="N8" s="45">
        <f t="shared" si="5"/>
        <v>56315.210000002618</v>
      </c>
      <c r="O8" s="19">
        <f>'5'!G20</f>
        <v>171</v>
      </c>
      <c r="P8" s="19">
        <v>108</v>
      </c>
      <c r="Q8" s="46">
        <f t="shared" si="0"/>
        <v>18468</v>
      </c>
      <c r="R8" s="47">
        <f t="shared" si="1"/>
        <v>151.32904066237873</v>
      </c>
      <c r="S8" s="19">
        <f>'5'!G24</f>
        <v>0</v>
      </c>
      <c r="T8" s="19">
        <v>69</v>
      </c>
      <c r="U8" s="48">
        <f t="shared" si="6"/>
        <v>0</v>
      </c>
      <c r="V8" s="22">
        <f>'5'!G65</f>
        <v>74</v>
      </c>
      <c r="W8" s="22">
        <f>'5'!G66</f>
        <v>19</v>
      </c>
      <c r="X8" s="22">
        <f>'5'!G67</f>
        <v>22</v>
      </c>
      <c r="Y8" s="22">
        <f t="shared" si="7"/>
        <v>115</v>
      </c>
      <c r="Z8" s="19">
        <f>'5'!G84</f>
        <v>-0.26000000000203727</v>
      </c>
      <c r="AA8" s="19">
        <f>'5'!G85</f>
        <v>0</v>
      </c>
      <c r="AB8" s="19">
        <f>'5'!G86</f>
        <v>23.75</v>
      </c>
      <c r="AC8" s="19">
        <f>'5'!G87</f>
        <v>0</v>
      </c>
      <c r="AD8" s="19">
        <f t="shared" si="8"/>
        <v>23.489999999997963</v>
      </c>
      <c r="AE8" s="23">
        <f t="shared" si="2"/>
        <v>3314.6699999999983</v>
      </c>
      <c r="AF8" s="23">
        <f t="shared" si="9"/>
        <v>141.10983397191509</v>
      </c>
      <c r="AG8" s="19">
        <f>'5'!G88</f>
        <v>0</v>
      </c>
      <c r="AH8" s="19">
        <f>'5'!G89</f>
        <v>9.6200000000026193</v>
      </c>
      <c r="AI8" s="19">
        <f>'5'!G90</f>
        <v>4.0399999999935972</v>
      </c>
      <c r="AJ8" s="19">
        <f t="shared" si="10"/>
        <v>13.659999999996217</v>
      </c>
      <c r="AK8" s="19">
        <f>'5'!G91</f>
        <v>0</v>
      </c>
      <c r="AL8" s="19">
        <f>'5'!G92</f>
        <v>9.8599999999996726</v>
      </c>
      <c r="AM8" s="19"/>
      <c r="AN8" s="19">
        <f t="shared" si="11"/>
        <v>9.8599999999996726</v>
      </c>
      <c r="AO8" s="52">
        <f>'5'!G74</f>
        <v>282.26000000000931</v>
      </c>
      <c r="AP8" s="55">
        <f>'5'!G35</f>
        <v>1878.8500000000058</v>
      </c>
      <c r="AQ8" s="19">
        <f>'5'!G37</f>
        <v>1513.0600000000268</v>
      </c>
      <c r="AR8" s="19">
        <f>'5'!G38</f>
        <v>1672.4000000000233</v>
      </c>
      <c r="AS8" s="19">
        <f>'5'!G39</f>
        <v>2669.0800000000163</v>
      </c>
      <c r="AT8" s="19">
        <f>'5'!G40</f>
        <v>417.76000000000022</v>
      </c>
      <c r="AU8" s="19">
        <f>'5'!G41</f>
        <v>0</v>
      </c>
      <c r="AV8" s="19">
        <f>'5'!G42</f>
        <v>0</v>
      </c>
      <c r="AW8" s="19">
        <f>'5'!G43</f>
        <v>2407.4700000000012</v>
      </c>
      <c r="AX8" s="19">
        <f>'5'!G44</f>
        <v>0</v>
      </c>
      <c r="AY8" s="56">
        <f>'5'!G36</f>
        <v>802.54000000000087</v>
      </c>
      <c r="AZ8" s="55">
        <f>'5'!G49</f>
        <v>1608.859999999986</v>
      </c>
      <c r="BA8" s="19">
        <f>'5'!G51</f>
        <v>0</v>
      </c>
      <c r="BB8" s="19">
        <f>'5'!G52</f>
        <v>0</v>
      </c>
      <c r="BC8" s="19">
        <f>'5'!G53</f>
        <v>0</v>
      </c>
      <c r="BD8" s="19">
        <f>'5'!G54</f>
        <v>461.61</v>
      </c>
      <c r="BE8" s="19">
        <f>'5'!G55</f>
        <v>3314.6699999999983</v>
      </c>
      <c r="BF8" s="19">
        <f>'5'!G56</f>
        <v>0</v>
      </c>
      <c r="BG8" s="19">
        <f>'5'!G57</f>
        <v>0</v>
      </c>
      <c r="BH8" s="56">
        <f>'5'!G50</f>
        <v>989.63999999999942</v>
      </c>
      <c r="BI8" s="60">
        <f t="shared" si="12"/>
        <v>3314.6699999999983</v>
      </c>
      <c r="BJ8" s="60">
        <f>'5'!G133</f>
        <v>846.25</v>
      </c>
      <c r="BK8" s="23">
        <f t="shared" si="13"/>
        <v>45.29052055441219</v>
      </c>
      <c r="BL8" s="23">
        <f t="shared" si="14"/>
        <v>13.125514813093735</v>
      </c>
      <c r="BM8" s="24">
        <f t="shared" si="15"/>
        <v>8.2242236925900075E-2</v>
      </c>
      <c r="BN8" s="25">
        <f t="shared" si="16"/>
        <v>257798.66000000251</v>
      </c>
      <c r="BO8" s="38">
        <f t="shared" si="17"/>
        <v>6568.3899999999994</v>
      </c>
      <c r="BP8">
        <f t="shared" si="18"/>
        <v>0.99866052423532337</v>
      </c>
    </row>
    <row r="9" spans="1:69" x14ac:dyDescent="0.25">
      <c r="A9" s="16">
        <v>6</v>
      </c>
      <c r="B9" s="17">
        <v>6</v>
      </c>
      <c r="C9" s="26"/>
      <c r="D9" s="19">
        <f>'6'!D3</f>
        <v>25</v>
      </c>
      <c r="E9" s="50">
        <f>'6'!D4</f>
        <v>0.78</v>
      </c>
      <c r="F9" s="50">
        <f>'6'!D2</f>
        <v>0.78</v>
      </c>
      <c r="G9" s="19">
        <f>'6'!G7</f>
        <v>20272</v>
      </c>
      <c r="H9" s="19">
        <f>'6'!G8</f>
        <v>20708</v>
      </c>
      <c r="I9" s="19">
        <v>9</v>
      </c>
      <c r="J9" s="49">
        <f t="shared" si="3"/>
        <v>186372</v>
      </c>
      <c r="K9" s="45">
        <f t="shared" si="4"/>
        <v>102.51485148514851</v>
      </c>
      <c r="L9" s="19">
        <f>'6'!G15</f>
        <v>933.30000000004657</v>
      </c>
      <c r="M9" s="19">
        <v>56.2</v>
      </c>
      <c r="N9" s="45">
        <f t="shared" si="5"/>
        <v>52451.460000002618</v>
      </c>
      <c r="O9" s="19">
        <f>'6'!G20</f>
        <v>204</v>
      </c>
      <c r="P9" s="19">
        <v>108</v>
      </c>
      <c r="Q9" s="46">
        <f t="shared" si="0"/>
        <v>22032</v>
      </c>
      <c r="R9" s="47">
        <f t="shared" si="1"/>
        <v>129.47448591012946</v>
      </c>
      <c r="S9" s="19">
        <f>'6'!G24</f>
        <v>0</v>
      </c>
      <c r="T9" s="19">
        <v>69</v>
      </c>
      <c r="U9" s="48">
        <f t="shared" si="6"/>
        <v>0</v>
      </c>
      <c r="V9" s="22">
        <f>'6'!G65</f>
        <v>69</v>
      </c>
      <c r="W9" s="22">
        <f>'6'!G66</f>
        <v>15</v>
      </c>
      <c r="X9" s="22">
        <f>'6'!G67</f>
        <v>21</v>
      </c>
      <c r="Y9" s="22">
        <f t="shared" si="7"/>
        <v>105</v>
      </c>
      <c r="Z9" s="19">
        <f>'6'!G84</f>
        <v>0</v>
      </c>
      <c r="AA9" s="19">
        <f>'6'!G85</f>
        <v>0</v>
      </c>
      <c r="AB9" s="19">
        <f>'6'!G86</f>
        <v>24.160000000003492</v>
      </c>
      <c r="AC9" s="19">
        <f>'6'!G87</f>
        <v>0</v>
      </c>
      <c r="AD9" s="19">
        <f t="shared" si="8"/>
        <v>24.160000000003492</v>
      </c>
      <c r="AE9" s="23">
        <f t="shared" si="2"/>
        <v>3311.0800000000017</v>
      </c>
      <c r="AF9" s="23">
        <f t="shared" si="9"/>
        <v>137.04801324501338</v>
      </c>
      <c r="AG9" s="19">
        <f>'6'!G88</f>
        <v>-6.0000000001309672E-2</v>
      </c>
      <c r="AH9" s="19">
        <f>'6'!G89</f>
        <v>9.0999999999985448</v>
      </c>
      <c r="AI9" s="19">
        <f>'6'!G90</f>
        <v>2.8200000000069849</v>
      </c>
      <c r="AJ9" s="19">
        <f t="shared" si="10"/>
        <v>11.86000000000422</v>
      </c>
      <c r="AK9" s="19">
        <f>'6'!G91</f>
        <v>0</v>
      </c>
      <c r="AL9" s="19">
        <f>'6'!G92</f>
        <v>10.650000000000546</v>
      </c>
      <c r="AM9" s="19"/>
      <c r="AN9" s="19">
        <f t="shared" si="11"/>
        <v>10.650000000000546</v>
      </c>
      <c r="AO9" s="52">
        <f>'6'!G74</f>
        <v>304.51000000000931</v>
      </c>
      <c r="AP9" s="55">
        <f>'6'!G35</f>
        <v>1804.3699999999953</v>
      </c>
      <c r="AQ9" s="19">
        <f>'6'!G37</f>
        <v>1517.109999999986</v>
      </c>
      <c r="AR9" s="19">
        <f>'6'!G38</f>
        <v>1687.109999999986</v>
      </c>
      <c r="AS9" s="19">
        <f>'6'!G39</f>
        <v>2707.4099999999744</v>
      </c>
      <c r="AT9" s="19">
        <f>'6'!G40</f>
        <v>665.26000000000022</v>
      </c>
      <c r="AU9" s="19">
        <f>'6'!G41</f>
        <v>0</v>
      </c>
      <c r="AV9" s="19">
        <f>'6'!G42</f>
        <v>0</v>
      </c>
      <c r="AW9" s="19">
        <f>'6'!G43</f>
        <v>2434.8099999999977</v>
      </c>
      <c r="AX9" s="19">
        <f>'6'!G44</f>
        <v>0</v>
      </c>
      <c r="AY9" s="56">
        <f>'6'!G36</f>
        <v>1049.2099999999991</v>
      </c>
      <c r="AZ9" s="55">
        <f>'6'!G49</f>
        <v>1677.109999999986</v>
      </c>
      <c r="BA9" s="19">
        <f>'6'!G51</f>
        <v>0</v>
      </c>
      <c r="BB9" s="19">
        <f>'6'!G52</f>
        <v>0</v>
      </c>
      <c r="BC9" s="19">
        <f>'6'!G53</f>
        <v>0</v>
      </c>
      <c r="BD9" s="19">
        <f>'6'!G54</f>
        <v>471.30999999999995</v>
      </c>
      <c r="BE9" s="19">
        <f>'6'!G55</f>
        <v>3311.0800000000017</v>
      </c>
      <c r="BF9" s="19">
        <f>'6'!G56</f>
        <v>0</v>
      </c>
      <c r="BG9" s="19">
        <f>'6'!G57</f>
        <v>0</v>
      </c>
      <c r="BH9" s="56">
        <f>'6'!G50</f>
        <v>1030.7400000000016</v>
      </c>
      <c r="BI9" s="60">
        <f t="shared" si="12"/>
        <v>3311.0800000000017</v>
      </c>
      <c r="BJ9" s="60">
        <f>'6'!G133</f>
        <v>813.13000000000466</v>
      </c>
      <c r="BK9" s="23">
        <f t="shared" si="13"/>
        <v>44.559445624879181</v>
      </c>
      <c r="BL9" s="23">
        <f t="shared" si="14"/>
        <v>13.074222522696418</v>
      </c>
      <c r="BM9" s="24">
        <f t="shared" si="15"/>
        <v>8.1471412014679639E-2</v>
      </c>
      <c r="BN9" s="25">
        <f t="shared" si="16"/>
        <v>260855.46000000261</v>
      </c>
      <c r="BO9" s="38">
        <f t="shared" si="17"/>
        <v>6559.0200000000041</v>
      </c>
      <c r="BP9">
        <f t="shared" si="18"/>
        <v>0.9695807710500024</v>
      </c>
    </row>
    <row r="10" spans="1:69" x14ac:dyDescent="0.25">
      <c r="A10" s="16">
        <v>7</v>
      </c>
      <c r="B10" s="26">
        <v>7</v>
      </c>
      <c r="C10" s="27"/>
      <c r="D10" s="19">
        <f>'7'!D3</f>
        <v>25</v>
      </c>
      <c r="E10" s="50">
        <f>'7'!D4</f>
        <v>0.78</v>
      </c>
      <c r="F10" s="50">
        <f>'7'!D2</f>
        <v>0.71</v>
      </c>
      <c r="G10" s="19">
        <f>'7'!G7</f>
        <v>19831</v>
      </c>
      <c r="H10" s="19">
        <f>'7'!G8</f>
        <v>20261</v>
      </c>
      <c r="I10" s="19">
        <v>9</v>
      </c>
      <c r="J10" s="49">
        <f t="shared" si="3"/>
        <v>182349</v>
      </c>
      <c r="K10" s="45">
        <f t="shared" si="4"/>
        <v>100.30198019801981</v>
      </c>
      <c r="L10" s="19">
        <f>'7'!G15</f>
        <v>963</v>
      </c>
      <c r="M10" s="19">
        <v>56.2</v>
      </c>
      <c r="N10" s="45">
        <f t="shared" si="5"/>
        <v>54120.600000000006</v>
      </c>
      <c r="O10" s="19">
        <f>'7'!G20</f>
        <v>214</v>
      </c>
      <c r="P10" s="19">
        <v>108</v>
      </c>
      <c r="Q10" s="46">
        <f t="shared" si="0"/>
        <v>23112</v>
      </c>
      <c r="R10" s="47">
        <f t="shared" si="1"/>
        <v>149.21210430902246</v>
      </c>
      <c r="S10" s="19">
        <f>'7'!G24</f>
        <v>0</v>
      </c>
      <c r="T10" s="19">
        <v>69</v>
      </c>
      <c r="U10" s="48">
        <f t="shared" si="6"/>
        <v>0</v>
      </c>
      <c r="V10" s="22">
        <f>'7'!G65</f>
        <v>79</v>
      </c>
      <c r="W10" s="22">
        <f>'7'!G66</f>
        <v>17</v>
      </c>
      <c r="X10" s="22">
        <f>'7'!G67</f>
        <v>23</v>
      </c>
      <c r="Y10" s="22">
        <f t="shared" si="7"/>
        <v>119</v>
      </c>
      <c r="Z10" s="19">
        <f>'7'!G84</f>
        <v>0</v>
      </c>
      <c r="AA10" s="19">
        <f>'7'!G85</f>
        <v>0</v>
      </c>
      <c r="AB10" s="19">
        <f>'7'!G86</f>
        <v>24.439999999995052</v>
      </c>
      <c r="AC10" s="19">
        <f>'7'!G87</f>
        <v>0</v>
      </c>
      <c r="AD10" s="19">
        <f t="shared" si="8"/>
        <v>24.439999999995052</v>
      </c>
      <c r="AE10" s="23">
        <f t="shared" si="2"/>
        <v>3369</v>
      </c>
      <c r="AF10" s="23">
        <f t="shared" si="9"/>
        <v>137.84779050739289</v>
      </c>
      <c r="AG10" s="19">
        <f>'7'!G88</f>
        <v>0</v>
      </c>
      <c r="AH10" s="19">
        <f>'7'!G89</f>
        <v>10</v>
      </c>
      <c r="AI10" s="19">
        <f>'7'!G90</f>
        <v>5</v>
      </c>
      <c r="AJ10" s="19">
        <f t="shared" si="10"/>
        <v>15</v>
      </c>
      <c r="AK10" s="19">
        <f>'7'!G91</f>
        <v>0</v>
      </c>
      <c r="AL10" s="19">
        <f>'7'!G92</f>
        <v>10.529999999999745</v>
      </c>
      <c r="AM10" s="19"/>
      <c r="AN10" s="19">
        <f t="shared" si="11"/>
        <v>10.529999999999745</v>
      </c>
      <c r="AO10" s="52">
        <f>'7'!G74</f>
        <v>301</v>
      </c>
      <c r="AP10" s="55">
        <f>'7'!G35</f>
        <v>1888</v>
      </c>
      <c r="AQ10" s="19">
        <f>'7'!G37</f>
        <v>1524</v>
      </c>
      <c r="AR10" s="19">
        <f>'7'!G38</f>
        <v>1668</v>
      </c>
      <c r="AS10" s="19">
        <f>'7'!G39</f>
        <v>2675</v>
      </c>
      <c r="AT10" s="19">
        <f>'7'!G40</f>
        <v>608</v>
      </c>
      <c r="AU10" s="19">
        <f>'7'!G41</f>
        <v>0</v>
      </c>
      <c r="AV10" s="19">
        <f>'7'!G42</f>
        <v>0</v>
      </c>
      <c r="AW10" s="19">
        <f>'7'!G43</f>
        <v>2246</v>
      </c>
      <c r="AX10" s="19">
        <f>'7'!G44</f>
        <v>0</v>
      </c>
      <c r="AY10" s="56">
        <f>'7'!G36</f>
        <v>698</v>
      </c>
      <c r="AZ10" s="55">
        <f>'7'!G49</f>
        <v>1639</v>
      </c>
      <c r="BA10" s="19">
        <f>'7'!G51</f>
        <v>0</v>
      </c>
      <c r="BB10" s="19">
        <f>'7'!G52</f>
        <v>0</v>
      </c>
      <c r="BC10" s="19">
        <f>'7'!G53</f>
        <v>0</v>
      </c>
      <c r="BD10" s="19">
        <f>'7'!G54</f>
        <v>468</v>
      </c>
      <c r="BE10" s="19">
        <f>'7'!G55</f>
        <v>3369</v>
      </c>
      <c r="BF10" s="19">
        <f>'7'!G56</f>
        <v>0</v>
      </c>
      <c r="BG10" s="19">
        <f>'7'!G57</f>
        <v>0</v>
      </c>
      <c r="BH10" s="56">
        <f>'7'!G50</f>
        <v>1043</v>
      </c>
      <c r="BI10" s="60">
        <f t="shared" si="12"/>
        <v>3369</v>
      </c>
      <c r="BJ10" s="60">
        <f>'7'!G133</f>
        <v>756</v>
      </c>
      <c r="BK10" s="23">
        <f t="shared" si="13"/>
        <v>45.121168747840677</v>
      </c>
      <c r="BL10" s="23">
        <f t="shared" si="14"/>
        <v>13.202704703617787</v>
      </c>
      <c r="BM10" s="24">
        <f t="shared" si="15"/>
        <v>8.2325650264054098E-2</v>
      </c>
      <c r="BN10" s="25">
        <f t="shared" si="16"/>
        <v>259581.6</v>
      </c>
      <c r="BO10" s="38">
        <f t="shared" si="17"/>
        <v>6371</v>
      </c>
      <c r="BP10">
        <f t="shared" si="18"/>
        <v>0.93099719429525507</v>
      </c>
    </row>
    <row r="11" spans="1:69" x14ac:dyDescent="0.25">
      <c r="A11" s="16">
        <v>8</v>
      </c>
      <c r="B11" s="26">
        <v>8</v>
      </c>
      <c r="C11" s="18"/>
      <c r="D11" s="19">
        <f>'8'!D3</f>
        <v>25</v>
      </c>
      <c r="E11" s="50">
        <f>'8'!D4</f>
        <v>0.8</v>
      </c>
      <c r="F11" s="50">
        <f>'8'!D2</f>
        <v>0.71</v>
      </c>
      <c r="G11" s="19">
        <f>'8'!G7</f>
        <v>19232</v>
      </c>
      <c r="H11" s="19">
        <f>'8'!G8</f>
        <v>19647</v>
      </c>
      <c r="I11" s="19">
        <v>9</v>
      </c>
      <c r="J11" s="49">
        <f t="shared" si="3"/>
        <v>176823</v>
      </c>
      <c r="K11" s="45">
        <f t="shared" si="4"/>
        <v>97.262376237623769</v>
      </c>
      <c r="L11" s="19">
        <f>'8'!G15</f>
        <v>925</v>
      </c>
      <c r="M11" s="19">
        <v>56.2</v>
      </c>
      <c r="N11" s="45">
        <f t="shared" si="5"/>
        <v>51985</v>
      </c>
      <c r="O11" s="19">
        <f>'8'!G20</f>
        <v>211</v>
      </c>
      <c r="P11" s="19">
        <v>108</v>
      </c>
      <c r="Q11" s="46">
        <f t="shared" si="0"/>
        <v>22788</v>
      </c>
      <c r="R11" s="47">
        <f t="shared" si="1"/>
        <v>147.12034583740066</v>
      </c>
      <c r="S11" s="19">
        <f>'8'!G24</f>
        <v>0</v>
      </c>
      <c r="T11" s="19">
        <v>69</v>
      </c>
      <c r="U11" s="48">
        <f t="shared" si="6"/>
        <v>0</v>
      </c>
      <c r="V11" s="22">
        <f>'8'!G65</f>
        <v>92</v>
      </c>
      <c r="W11" s="22">
        <f>'8'!G66</f>
        <v>20</v>
      </c>
      <c r="X11" s="22">
        <f>'8'!G67</f>
        <v>21</v>
      </c>
      <c r="Y11" s="22">
        <f t="shared" si="7"/>
        <v>133</v>
      </c>
      <c r="Z11" s="19">
        <f>'8'!G84</f>
        <v>0</v>
      </c>
      <c r="AA11" s="19">
        <f>'8'!G85</f>
        <v>0</v>
      </c>
      <c r="AB11" s="19">
        <f>'8'!G86</f>
        <v>24.080000000001746</v>
      </c>
      <c r="AC11" s="19">
        <f>'8'!G87</f>
        <v>0</v>
      </c>
      <c r="AD11" s="19">
        <f t="shared" si="8"/>
        <v>24.080000000001746</v>
      </c>
      <c r="AE11" s="23">
        <f t="shared" si="2"/>
        <v>3190</v>
      </c>
      <c r="AF11" s="23">
        <f t="shared" si="9"/>
        <v>132.4750830564688</v>
      </c>
      <c r="AG11" s="19">
        <f>'8'!G88</f>
        <v>0</v>
      </c>
      <c r="AH11" s="19">
        <f>'8'!G89</f>
        <v>9</v>
      </c>
      <c r="AI11" s="19">
        <f>'8'!G90</f>
        <v>4</v>
      </c>
      <c r="AJ11" s="19">
        <f t="shared" si="10"/>
        <v>13</v>
      </c>
      <c r="AK11" s="19">
        <f>'8'!G91</f>
        <v>0</v>
      </c>
      <c r="AL11" s="19">
        <f>'8'!G92</f>
        <v>10.659999999999854</v>
      </c>
      <c r="AM11" s="19"/>
      <c r="AN11" s="19">
        <f t="shared" si="11"/>
        <v>10.659999999999854</v>
      </c>
      <c r="AO11" s="52">
        <f>'8'!G74</f>
        <v>306</v>
      </c>
      <c r="AP11" s="55">
        <f>'8'!G35</f>
        <v>1796</v>
      </c>
      <c r="AQ11" s="19">
        <f>'8'!G37</f>
        <v>1534</v>
      </c>
      <c r="AR11" s="19">
        <f>'8'!G38</f>
        <v>1715</v>
      </c>
      <c r="AS11" s="19">
        <f>'8'!G39</f>
        <v>2685</v>
      </c>
      <c r="AT11" s="19">
        <f>'8'!G40</f>
        <v>562</v>
      </c>
      <c r="AU11" s="19">
        <f>'8'!G41</f>
        <v>0</v>
      </c>
      <c r="AV11" s="19">
        <f>'8'!G42</f>
        <v>0</v>
      </c>
      <c r="AW11" s="19">
        <f>'8'!G43</f>
        <v>2170</v>
      </c>
      <c r="AX11" s="23">
        <f>'8'!G44</f>
        <v>0</v>
      </c>
      <c r="AY11" s="56">
        <f>'8'!G36</f>
        <v>742</v>
      </c>
      <c r="AZ11" s="55">
        <f>'8'!G49</f>
        <v>1620</v>
      </c>
      <c r="BA11" s="19">
        <f>'8'!G51</f>
        <v>0</v>
      </c>
      <c r="BB11" s="19">
        <f>'8'!G52</f>
        <v>0</v>
      </c>
      <c r="BC11" s="19">
        <f>'8'!G53</f>
        <v>0</v>
      </c>
      <c r="BD11" s="19">
        <f>'8'!G54</f>
        <v>466</v>
      </c>
      <c r="BE11" s="19">
        <f>'8'!G55</f>
        <v>3190</v>
      </c>
      <c r="BF11" s="19">
        <f>'8'!G56</f>
        <v>0</v>
      </c>
      <c r="BG11" s="19">
        <f>'8'!G57</f>
        <v>0</v>
      </c>
      <c r="BH11" s="56">
        <f>'8'!G50</f>
        <v>974</v>
      </c>
      <c r="BI11" s="60">
        <f t="shared" si="12"/>
        <v>3190</v>
      </c>
      <c r="BJ11" s="60">
        <f>'8'!G133</f>
        <v>767</v>
      </c>
      <c r="BK11" s="23">
        <f t="shared" si="13"/>
        <v>44.668397210770095</v>
      </c>
      <c r="BL11" s="23">
        <f t="shared" si="14"/>
        <v>13.666208581462818</v>
      </c>
      <c r="BM11" s="24">
        <f t="shared" si="15"/>
        <v>8.72906805110195E-2</v>
      </c>
      <c r="BN11" s="25">
        <f t="shared" si="16"/>
        <v>251596</v>
      </c>
      <c r="BO11" s="38">
        <f t="shared" si="17"/>
        <v>6127</v>
      </c>
      <c r="BP11">
        <f t="shared" si="18"/>
        <v>0.90872686283809267</v>
      </c>
    </row>
    <row r="12" spans="1:69" x14ac:dyDescent="0.25">
      <c r="A12" s="16">
        <v>9</v>
      </c>
      <c r="B12" s="27">
        <v>9</v>
      </c>
      <c r="C12" s="26"/>
      <c r="D12" s="19">
        <f>'9'!D3</f>
        <v>23</v>
      </c>
      <c r="E12" s="50">
        <f>'9'!D4</f>
        <v>0.77</v>
      </c>
      <c r="F12" s="50">
        <f>'9'!D2</f>
        <v>0.7</v>
      </c>
      <c r="G12" s="19">
        <f>'9'!G7</f>
        <v>17711</v>
      </c>
      <c r="H12" s="19">
        <f>'9'!G8</f>
        <v>18011</v>
      </c>
      <c r="I12" s="19">
        <v>9</v>
      </c>
      <c r="J12" s="49">
        <f t="shared" si="3"/>
        <v>162099</v>
      </c>
      <c r="K12" s="45">
        <f t="shared" si="4"/>
        <v>89.163366336633658</v>
      </c>
      <c r="L12" s="19">
        <f>'9'!G15</f>
        <v>907</v>
      </c>
      <c r="M12" s="19">
        <v>56.2</v>
      </c>
      <c r="N12" s="45">
        <f t="shared" si="5"/>
        <v>50973.4</v>
      </c>
      <c r="O12" s="19">
        <f>'9'!G20</f>
        <v>205</v>
      </c>
      <c r="P12" s="19">
        <v>108</v>
      </c>
      <c r="Q12" s="46">
        <f t="shared" si="0"/>
        <v>22140</v>
      </c>
      <c r="R12" s="47">
        <f t="shared" si="1"/>
        <v>144.97878359264502</v>
      </c>
      <c r="S12" s="19">
        <f>'9'!G24</f>
        <v>0</v>
      </c>
      <c r="T12" s="19">
        <v>69</v>
      </c>
      <c r="U12" s="48">
        <f t="shared" si="6"/>
        <v>0</v>
      </c>
      <c r="V12" s="22">
        <f>'9'!G65</f>
        <v>78</v>
      </c>
      <c r="W12" s="22">
        <f>'9'!G66</f>
        <v>17</v>
      </c>
      <c r="X12" s="22">
        <f>'9'!G67</f>
        <v>24</v>
      </c>
      <c r="Y12" s="22">
        <f t="shared" si="7"/>
        <v>119</v>
      </c>
      <c r="Z12" s="19">
        <f>'9'!G84</f>
        <v>0</v>
      </c>
      <c r="AA12" s="19">
        <f>'9'!G85</f>
        <v>0</v>
      </c>
      <c r="AB12" s="19">
        <f>'9'!G86</f>
        <v>24</v>
      </c>
      <c r="AC12" s="19">
        <f>'9'!G87</f>
        <v>0</v>
      </c>
      <c r="AD12" s="19">
        <f t="shared" si="8"/>
        <v>24</v>
      </c>
      <c r="AE12" s="23">
        <f t="shared" si="2"/>
        <v>2762.4599999999991</v>
      </c>
      <c r="AF12" s="23">
        <f t="shared" si="9"/>
        <v>115.10249999999996</v>
      </c>
      <c r="AG12" s="19">
        <f>'9'!G88</f>
        <v>0</v>
      </c>
      <c r="AH12" s="19">
        <f>'9'!G89</f>
        <v>9</v>
      </c>
      <c r="AI12" s="19">
        <f>'9'!G90</f>
        <v>2</v>
      </c>
      <c r="AJ12" s="19">
        <f t="shared" si="10"/>
        <v>11</v>
      </c>
      <c r="AK12" s="19">
        <f>'9'!G91</f>
        <v>0</v>
      </c>
      <c r="AL12" s="19">
        <f>'9'!G92</f>
        <v>11</v>
      </c>
      <c r="AM12" s="19"/>
      <c r="AN12" s="19">
        <f t="shared" si="11"/>
        <v>11</v>
      </c>
      <c r="AO12" s="52">
        <f>'9'!G74</f>
        <v>305</v>
      </c>
      <c r="AP12" s="55">
        <f>'9'!G35</f>
        <v>1783</v>
      </c>
      <c r="AQ12" s="19">
        <f>'9'!G37</f>
        <v>1472</v>
      </c>
      <c r="AR12" s="19">
        <f>'9'!G38</f>
        <v>1658</v>
      </c>
      <c r="AS12" s="19">
        <f>'9'!G39</f>
        <v>2610</v>
      </c>
      <c r="AT12" s="19">
        <f>'9'!G40</f>
        <v>620</v>
      </c>
      <c r="AU12" s="19">
        <f>'9'!G41</f>
        <v>0</v>
      </c>
      <c r="AV12" s="19">
        <f>'9'!G42</f>
        <v>0</v>
      </c>
      <c r="AW12" s="19">
        <f>'9'!G43</f>
        <v>2151</v>
      </c>
      <c r="AX12" s="23">
        <f>'9'!G44</f>
        <v>0</v>
      </c>
      <c r="AY12" s="56">
        <f>'9'!G36</f>
        <v>704</v>
      </c>
      <c r="AZ12" s="55">
        <f>'9'!G49</f>
        <v>1306</v>
      </c>
      <c r="BA12" s="19">
        <f>'9'!G51</f>
        <v>0</v>
      </c>
      <c r="BB12" s="19">
        <f>'9'!G52</f>
        <v>0</v>
      </c>
      <c r="BC12" s="19">
        <f>'9'!G53</f>
        <v>0</v>
      </c>
      <c r="BD12" s="19">
        <f>'9'!G54</f>
        <v>471</v>
      </c>
      <c r="BE12" s="19">
        <f>'9'!G55</f>
        <v>2762</v>
      </c>
      <c r="BF12" s="19">
        <f>'9'!G56</f>
        <v>0.45999999999912689</v>
      </c>
      <c r="BG12" s="19">
        <f>'9'!G57</f>
        <v>0</v>
      </c>
      <c r="BH12" s="56">
        <f>'9'!G50</f>
        <v>969</v>
      </c>
      <c r="BI12" s="60">
        <f t="shared" si="12"/>
        <v>2762.4599999999991</v>
      </c>
      <c r="BJ12" s="60">
        <f>'8'!G133</f>
        <v>767</v>
      </c>
      <c r="BK12" s="23">
        <f t="shared" si="13"/>
        <v>44.430958858475371</v>
      </c>
      <c r="BL12" s="23">
        <f t="shared" si="14"/>
        <v>14.491144300705123</v>
      </c>
      <c r="BM12" s="24">
        <f t="shared" si="15"/>
        <v>9.2054855366165117E-2</v>
      </c>
      <c r="BN12" s="25">
        <f t="shared" si="16"/>
        <v>235212.4</v>
      </c>
      <c r="BO12" s="38">
        <f t="shared" si="17"/>
        <v>5680.4599999999991</v>
      </c>
      <c r="BP12">
        <f t="shared" si="18"/>
        <v>0.84530654761904744</v>
      </c>
    </row>
    <row r="13" spans="1:69" x14ac:dyDescent="0.25">
      <c r="A13" s="16">
        <v>10</v>
      </c>
      <c r="B13" s="27">
        <v>10</v>
      </c>
      <c r="C13" s="26"/>
      <c r="D13" s="19">
        <f>'10'!D3</f>
        <v>22</v>
      </c>
      <c r="E13" s="50">
        <f>'10'!D4</f>
        <v>0.76</v>
      </c>
      <c r="F13" s="50">
        <f>'10'!D2</f>
        <v>0.91</v>
      </c>
      <c r="G13" s="19">
        <f>'10'!G7</f>
        <v>16861</v>
      </c>
      <c r="H13" s="19">
        <f>'10'!G8</f>
        <v>17063</v>
      </c>
      <c r="I13" s="19">
        <v>9</v>
      </c>
      <c r="J13" s="49">
        <f t="shared" si="3"/>
        <v>153567</v>
      </c>
      <c r="K13" s="45">
        <f t="shared" si="4"/>
        <v>84.470297029702976</v>
      </c>
      <c r="L13" s="19">
        <f>'10'!G15</f>
        <v>759</v>
      </c>
      <c r="M13" s="19">
        <v>56.2</v>
      </c>
      <c r="N13" s="45">
        <f t="shared" si="5"/>
        <v>42655.8</v>
      </c>
      <c r="O13" s="19">
        <f>'10'!G20</f>
        <v>124</v>
      </c>
      <c r="P13" s="19">
        <v>108</v>
      </c>
      <c r="Q13" s="46">
        <f t="shared" si="0"/>
        <v>13392</v>
      </c>
      <c r="R13" s="47">
        <f t="shared" si="1"/>
        <v>67.457295180067462</v>
      </c>
      <c r="S13" s="19">
        <f>'10'!G24</f>
        <v>0</v>
      </c>
      <c r="T13" s="19">
        <v>69</v>
      </c>
      <c r="U13" s="48">
        <f t="shared" si="6"/>
        <v>0</v>
      </c>
      <c r="V13" s="22">
        <f>'10'!G65</f>
        <v>58</v>
      </c>
      <c r="W13" s="22">
        <f>'10'!G66</f>
        <v>14</v>
      </c>
      <c r="X13" s="22">
        <f>'10'!G67</f>
        <v>21</v>
      </c>
      <c r="Y13" s="22">
        <f t="shared" si="7"/>
        <v>93</v>
      </c>
      <c r="Z13" s="19">
        <f>'10'!G84</f>
        <v>0</v>
      </c>
      <c r="AA13" s="19">
        <f>'10'!G85</f>
        <v>-9.9999999997635314E-3</v>
      </c>
      <c r="AB13" s="19">
        <f>'10'!G86</f>
        <v>24</v>
      </c>
      <c r="AC13" s="19">
        <f>'10'!G87</f>
        <v>0</v>
      </c>
      <c r="AD13" s="19">
        <f t="shared" si="8"/>
        <v>23.990000000000236</v>
      </c>
      <c r="AE13" s="23">
        <f t="shared" si="2"/>
        <v>2760</v>
      </c>
      <c r="AF13" s="23">
        <f t="shared" si="9"/>
        <v>115.04793664026565</v>
      </c>
      <c r="AG13" s="19">
        <f>'10'!G88</f>
        <v>0</v>
      </c>
      <c r="AH13" s="19">
        <f>'10'!G89</f>
        <v>0</v>
      </c>
      <c r="AI13" s="19">
        <f>'10'!G90</f>
        <v>13</v>
      </c>
      <c r="AJ13" s="19">
        <f t="shared" si="10"/>
        <v>13</v>
      </c>
      <c r="AK13" s="19">
        <f>'10'!G91</f>
        <v>0</v>
      </c>
      <c r="AL13" s="19">
        <f>'10'!G92</f>
        <v>11</v>
      </c>
      <c r="AM13" s="19"/>
      <c r="AN13" s="19">
        <f t="shared" si="11"/>
        <v>11</v>
      </c>
      <c r="AO13" s="52">
        <f>'10'!G74</f>
        <v>313</v>
      </c>
      <c r="AP13" s="55">
        <f>'10'!G35</f>
        <v>1614</v>
      </c>
      <c r="AQ13" s="19">
        <f>'10'!G37</f>
        <v>1452</v>
      </c>
      <c r="AR13" s="19">
        <f>'10'!G38</f>
        <v>1541</v>
      </c>
      <c r="AS13" s="19">
        <f>'10'!G39</f>
        <v>2574</v>
      </c>
      <c r="AT13" s="19">
        <f>'10'!G40</f>
        <v>759</v>
      </c>
      <c r="AU13" s="19">
        <f>'10'!G41</f>
        <v>0</v>
      </c>
      <c r="AV13" s="19">
        <f>'10'!G42</f>
        <v>0</v>
      </c>
      <c r="AW13" s="19">
        <f>'10'!G43</f>
        <v>2123</v>
      </c>
      <c r="AX13" s="23">
        <f>'10'!G44</f>
        <v>0</v>
      </c>
      <c r="AY13" s="56">
        <f>'10'!G36</f>
        <v>634</v>
      </c>
      <c r="AZ13" s="55">
        <f>'10'!G49</f>
        <v>1138</v>
      </c>
      <c r="BA13" s="19">
        <f>'10'!G51</f>
        <v>0</v>
      </c>
      <c r="BB13" s="19">
        <f>'10'!G52</f>
        <v>0</v>
      </c>
      <c r="BC13" s="19">
        <f>'10'!G53</f>
        <v>0</v>
      </c>
      <c r="BD13" s="19">
        <f>'10'!G54</f>
        <v>472</v>
      </c>
      <c r="BE13" s="19">
        <f>'10'!G55</f>
        <v>2760</v>
      </c>
      <c r="BF13" s="19">
        <f>'10'!G56</f>
        <v>0</v>
      </c>
      <c r="BG13" s="19">
        <f>'10'!G57</f>
        <v>0</v>
      </c>
      <c r="BH13" s="56">
        <f>'10'!G50</f>
        <v>940</v>
      </c>
      <c r="BI13" s="60">
        <f t="shared" si="12"/>
        <v>2760</v>
      </c>
      <c r="BJ13" s="60">
        <f>'8'!G133</f>
        <v>767</v>
      </c>
      <c r="BK13" s="23">
        <f t="shared" si="13"/>
        <v>44.745941510871475</v>
      </c>
      <c r="BL13" s="23">
        <f t="shared" si="14"/>
        <v>15.085272226454903</v>
      </c>
      <c r="BM13" s="24">
        <f t="shared" si="15"/>
        <v>9.031237179862861E-2</v>
      </c>
      <c r="BN13" s="25">
        <f t="shared" si="16"/>
        <v>209614.8</v>
      </c>
      <c r="BO13" s="38">
        <f t="shared" si="17"/>
        <v>5650</v>
      </c>
      <c r="BP13">
        <f t="shared" si="18"/>
        <v>0.84112427797295664</v>
      </c>
    </row>
    <row r="14" spans="1:69" x14ac:dyDescent="0.25">
      <c r="A14" s="16">
        <v>11</v>
      </c>
      <c r="B14" s="17">
        <v>11</v>
      </c>
      <c r="C14" s="27"/>
      <c r="D14" s="19">
        <f>'11'!D3</f>
        <v>23</v>
      </c>
      <c r="E14" s="50">
        <f>'11'!D4</f>
        <v>0.77</v>
      </c>
      <c r="F14" s="50">
        <f>'11'!D2</f>
        <v>0.63</v>
      </c>
      <c r="G14" s="19">
        <f>'11'!G7</f>
        <v>17025</v>
      </c>
      <c r="H14" s="19">
        <f>'11'!G8</f>
        <v>17262</v>
      </c>
      <c r="I14" s="19">
        <v>9</v>
      </c>
      <c r="J14" s="49">
        <f t="shared" si="3"/>
        <v>155358</v>
      </c>
      <c r="K14" s="45">
        <f t="shared" si="4"/>
        <v>85.455445544554451</v>
      </c>
      <c r="L14" s="19">
        <f>'11'!G15</f>
        <v>931</v>
      </c>
      <c r="M14" s="19">
        <v>56.2</v>
      </c>
      <c r="N14" s="45">
        <f t="shared" si="5"/>
        <v>52322.200000000004</v>
      </c>
      <c r="O14" s="19">
        <f>'11'!G20</f>
        <v>130</v>
      </c>
      <c r="P14" s="19">
        <v>108</v>
      </c>
      <c r="Q14" s="46">
        <f t="shared" si="0"/>
        <v>14040</v>
      </c>
      <c r="R14" s="47">
        <f t="shared" si="1"/>
        <v>102.15307245010216</v>
      </c>
      <c r="S14" s="19">
        <f>'11'!G24</f>
        <v>0</v>
      </c>
      <c r="T14" s="19">
        <v>69</v>
      </c>
      <c r="U14" s="48">
        <f t="shared" si="6"/>
        <v>0</v>
      </c>
      <c r="V14" s="22">
        <f>'11'!G65</f>
        <v>79</v>
      </c>
      <c r="W14" s="22">
        <f>'11'!G66</f>
        <v>14</v>
      </c>
      <c r="X14" s="22">
        <f>'11'!G67</f>
        <v>17</v>
      </c>
      <c r="Y14" s="22">
        <f t="shared" si="7"/>
        <v>110</v>
      </c>
      <c r="Z14" s="19">
        <f>'11'!G84</f>
        <v>0</v>
      </c>
      <c r="AA14" s="19">
        <f>'11'!G85</f>
        <v>0</v>
      </c>
      <c r="AB14" s="19">
        <f>'11'!G86</f>
        <v>24</v>
      </c>
      <c r="AC14" s="19">
        <f>'11'!G87</f>
        <v>0</v>
      </c>
      <c r="AD14" s="19">
        <f t="shared" si="8"/>
        <v>24</v>
      </c>
      <c r="AE14" s="23">
        <f t="shared" si="2"/>
        <v>2906.3999999999942</v>
      </c>
      <c r="AF14" s="23">
        <f t="shared" si="9"/>
        <v>121.09999999999975</v>
      </c>
      <c r="AG14" s="19">
        <f>'11'!G88</f>
        <v>0</v>
      </c>
      <c r="AH14" s="19">
        <f>'11'!G89</f>
        <v>11</v>
      </c>
      <c r="AI14" s="19">
        <f>'11'!G90</f>
        <v>1</v>
      </c>
      <c r="AJ14" s="19">
        <f t="shared" si="10"/>
        <v>12</v>
      </c>
      <c r="AK14" s="19">
        <f>'11'!G91</f>
        <v>0</v>
      </c>
      <c r="AL14" s="19">
        <f>'11'!G92</f>
        <v>11</v>
      </c>
      <c r="AM14" s="19"/>
      <c r="AN14" s="19">
        <f t="shared" si="11"/>
        <v>11</v>
      </c>
      <c r="AO14" s="52">
        <f>'11'!G74</f>
        <v>314</v>
      </c>
      <c r="AP14" s="55">
        <f>'11'!G35</f>
        <v>1463</v>
      </c>
      <c r="AQ14" s="19">
        <f>'11'!G37</f>
        <v>1445</v>
      </c>
      <c r="AR14" s="19">
        <f>'11'!G38</f>
        <v>1494</v>
      </c>
      <c r="AS14" s="19">
        <f>'11'!G39</f>
        <v>2471</v>
      </c>
      <c r="AT14" s="19">
        <f>'11'!G40</f>
        <v>752</v>
      </c>
      <c r="AU14" s="19">
        <f>'11'!G41</f>
        <v>0</v>
      </c>
      <c r="AV14" s="19">
        <f>'11'!G42</f>
        <v>0.39999999999417923</v>
      </c>
      <c r="AW14" s="19">
        <f>'11'!G43</f>
        <v>2040</v>
      </c>
      <c r="AX14" s="23">
        <f>'11'!G44</f>
        <v>0</v>
      </c>
      <c r="AY14" s="56">
        <f>'11'!G36</f>
        <v>590</v>
      </c>
      <c r="AZ14" s="55">
        <f>'11'!G49</f>
        <v>1236</v>
      </c>
      <c r="BA14" s="19">
        <f>'11'!G51</f>
        <v>0</v>
      </c>
      <c r="BB14" s="19">
        <f>'11'!G52</f>
        <v>0</v>
      </c>
      <c r="BC14" s="19">
        <f>'11'!G53</f>
        <v>0</v>
      </c>
      <c r="BD14" s="19">
        <f>'11'!G54</f>
        <v>469</v>
      </c>
      <c r="BE14" s="19">
        <f>'11'!G55</f>
        <v>2906</v>
      </c>
      <c r="BF14" s="19">
        <f>'11'!G56</f>
        <v>0</v>
      </c>
      <c r="BG14" s="19">
        <f>'11'!G57</f>
        <v>0</v>
      </c>
      <c r="BH14" s="56">
        <f>'11'!G50</f>
        <v>979</v>
      </c>
      <c r="BI14" s="60">
        <f t="shared" si="12"/>
        <v>2906.3999999999942</v>
      </c>
      <c r="BJ14" s="60">
        <f>'11'!G133</f>
        <v>386</v>
      </c>
      <c r="BK14" s="23">
        <f t="shared" si="13"/>
        <v>44.290348742903454</v>
      </c>
      <c r="BL14" s="23">
        <f t="shared" si="14"/>
        <v>14.314679643146796</v>
      </c>
      <c r="BM14" s="24">
        <f t="shared" si="15"/>
        <v>8.6548488008342028E-2</v>
      </c>
      <c r="BN14" s="25">
        <f t="shared" si="16"/>
        <v>221720.2</v>
      </c>
      <c r="BO14" s="38">
        <f t="shared" si="17"/>
        <v>5332.3999999999942</v>
      </c>
      <c r="BP14">
        <f t="shared" si="18"/>
        <v>0.79351190476190392</v>
      </c>
    </row>
    <row r="15" spans="1:69" x14ac:dyDescent="0.25">
      <c r="A15" s="16">
        <v>12</v>
      </c>
      <c r="B15" s="26">
        <v>12</v>
      </c>
      <c r="C15" s="27"/>
      <c r="D15" s="19">
        <f>'12'!D3</f>
        <v>22</v>
      </c>
      <c r="E15" s="50">
        <f>'12'!D4</f>
        <v>0.59</v>
      </c>
      <c r="F15" s="50">
        <f>'12'!D2</f>
        <v>0.3</v>
      </c>
      <c r="G15" s="19">
        <f>'12'!G7</f>
        <v>16531</v>
      </c>
      <c r="H15" s="19">
        <f>'12'!G8</f>
        <v>16713</v>
      </c>
      <c r="I15" s="19">
        <v>9</v>
      </c>
      <c r="J15" s="49">
        <f t="shared" si="3"/>
        <v>150417</v>
      </c>
      <c r="K15" s="45">
        <f t="shared" si="4"/>
        <v>82.737623762376231</v>
      </c>
      <c r="L15" s="19">
        <f>'12'!G15</f>
        <v>644</v>
      </c>
      <c r="M15" s="19">
        <v>56.2</v>
      </c>
      <c r="N15" s="41">
        <f t="shared" si="5"/>
        <v>36192.800000000003</v>
      </c>
      <c r="O15" s="19">
        <f>'12'!G20</f>
        <v>136</v>
      </c>
      <c r="P15" s="19">
        <v>108</v>
      </c>
      <c r="Q15" s="46">
        <f t="shared" si="0"/>
        <v>14688</v>
      </c>
      <c r="R15" s="47">
        <f t="shared" si="1"/>
        <v>224.42244224422444</v>
      </c>
      <c r="S15" s="19">
        <f>'12'!G24</f>
        <v>0</v>
      </c>
      <c r="T15" s="19">
        <v>69</v>
      </c>
      <c r="U15" s="48">
        <f t="shared" si="6"/>
        <v>0</v>
      </c>
      <c r="V15" s="22">
        <f>'12'!G65</f>
        <v>48</v>
      </c>
      <c r="W15" s="22">
        <f>'12'!G66</f>
        <v>6</v>
      </c>
      <c r="X15" s="22">
        <f>'12'!G67</f>
        <v>15</v>
      </c>
      <c r="Y15" s="22">
        <f t="shared" si="7"/>
        <v>69</v>
      </c>
      <c r="Z15" s="19">
        <f>'12'!G84</f>
        <v>0</v>
      </c>
      <c r="AA15" s="19">
        <f>'12'!G85</f>
        <v>0</v>
      </c>
      <c r="AB15" s="19">
        <f>'12'!G86</f>
        <v>24</v>
      </c>
      <c r="AC15" s="19">
        <f>'12'!G87</f>
        <v>0</v>
      </c>
      <c r="AD15" s="19">
        <f t="shared" si="8"/>
        <v>24</v>
      </c>
      <c r="AE15" s="23">
        <f t="shared" si="2"/>
        <v>2812</v>
      </c>
      <c r="AF15" s="23">
        <f t="shared" si="9"/>
        <v>117.16666666666667</v>
      </c>
      <c r="AG15" s="19">
        <f>'12'!G88</f>
        <v>0</v>
      </c>
      <c r="AH15" s="19">
        <f>'12'!G89</f>
        <v>-0.2000000000007276</v>
      </c>
      <c r="AI15" s="19">
        <f>'12'!G90</f>
        <v>9.3699999999953434</v>
      </c>
      <c r="AJ15" s="19">
        <f t="shared" si="10"/>
        <v>9.1699999999946158</v>
      </c>
      <c r="AK15" s="19">
        <f>'12'!G91</f>
        <v>0</v>
      </c>
      <c r="AL15" s="19">
        <f>'12'!G92</f>
        <v>9.4200000000000728</v>
      </c>
      <c r="AM15" s="19"/>
      <c r="AN15" s="19">
        <f t="shared" si="11"/>
        <v>9.4200000000000728</v>
      </c>
      <c r="AO15" s="52">
        <f>'12'!G74</f>
        <v>379</v>
      </c>
      <c r="AP15" s="55">
        <f>'12'!G35</f>
        <v>1522</v>
      </c>
      <c r="AQ15" s="19">
        <f>'12'!G37</f>
        <v>1481</v>
      </c>
      <c r="AR15" s="19">
        <f>'12'!G38</f>
        <v>1484</v>
      </c>
      <c r="AS15" s="19">
        <f>'12'!G39</f>
        <v>2461</v>
      </c>
      <c r="AT15" s="19">
        <f>'12'!G40</f>
        <v>738</v>
      </c>
      <c r="AU15" s="19">
        <f>'12'!G41</f>
        <v>0</v>
      </c>
      <c r="AV15" s="19">
        <f>'12'!G42</f>
        <v>0</v>
      </c>
      <c r="AW15" s="19">
        <f>'12'!G43</f>
        <v>2022</v>
      </c>
      <c r="AX15" s="23">
        <f>'12'!G44</f>
        <v>0</v>
      </c>
      <c r="AY15" s="56">
        <f>'12'!G36</f>
        <v>613</v>
      </c>
      <c r="AZ15" s="55">
        <f>'12'!G49</f>
        <v>1234</v>
      </c>
      <c r="BA15" s="19">
        <f>'12'!G51</f>
        <v>0</v>
      </c>
      <c r="BB15" s="19">
        <f>'12'!G52</f>
        <v>0</v>
      </c>
      <c r="BC15" s="19">
        <f>'12'!G53</f>
        <v>0</v>
      </c>
      <c r="BD15" s="19">
        <f>'12'!G54</f>
        <v>474</v>
      </c>
      <c r="BE15" s="19">
        <f>'12'!G55</f>
        <v>2812</v>
      </c>
      <c r="BF15" s="19">
        <f>'12'!G56</f>
        <v>0</v>
      </c>
      <c r="BG15" s="19">
        <f>'12'!G57</f>
        <v>0</v>
      </c>
      <c r="BH15" s="56">
        <f>'12'!G50</f>
        <v>848</v>
      </c>
      <c r="BI15" s="60">
        <f t="shared" si="12"/>
        <v>2812</v>
      </c>
      <c r="BJ15" s="60">
        <f>'12'!G133</f>
        <v>413</v>
      </c>
      <c r="BK15" s="23">
        <f t="shared" si="13"/>
        <v>45.413749775623771</v>
      </c>
      <c r="BL15" s="23">
        <f t="shared" si="14"/>
        <v>14.7250643211871</v>
      </c>
      <c r="BM15" s="24">
        <f t="shared" si="15"/>
        <v>8.8793155029019327E-2</v>
      </c>
      <c r="BN15" s="25">
        <f t="shared" si="16"/>
        <v>201297.8</v>
      </c>
      <c r="BO15" s="38">
        <f t="shared" si="17"/>
        <v>5247</v>
      </c>
      <c r="BP15">
        <f t="shared" si="18"/>
        <v>0.78080357142857137</v>
      </c>
    </row>
    <row r="16" spans="1:69" x14ac:dyDescent="0.25">
      <c r="A16" s="16">
        <v>13</v>
      </c>
      <c r="B16" s="26">
        <v>13</v>
      </c>
      <c r="C16" s="26"/>
      <c r="D16" s="19">
        <f>'13'!D3</f>
        <v>21</v>
      </c>
      <c r="E16" s="50">
        <f>'13'!D4</f>
        <v>0.68</v>
      </c>
      <c r="F16" s="50">
        <f>'13'!D2</f>
        <v>0.25</v>
      </c>
      <c r="G16" s="19">
        <f>'13'!G7</f>
        <v>16800</v>
      </c>
      <c r="H16" s="19">
        <f>'13'!G8</f>
        <v>17050</v>
      </c>
      <c r="I16" s="19">
        <v>9</v>
      </c>
      <c r="J16" s="49">
        <f t="shared" si="3"/>
        <v>153450</v>
      </c>
      <c r="K16" s="45">
        <f t="shared" si="4"/>
        <v>84.405940594059402</v>
      </c>
      <c r="L16" s="19">
        <f>'13'!G15</f>
        <v>957</v>
      </c>
      <c r="M16" s="19">
        <v>56.2</v>
      </c>
      <c r="N16" s="41">
        <f t="shared" si="5"/>
        <v>53783.4</v>
      </c>
      <c r="O16" s="19">
        <f>'13'!G20</f>
        <v>103</v>
      </c>
      <c r="P16" s="19">
        <v>108</v>
      </c>
      <c r="Q16" s="46">
        <f t="shared" si="0"/>
        <v>11124</v>
      </c>
      <c r="R16" s="47">
        <f t="shared" si="1"/>
        <v>203.96039603960395</v>
      </c>
      <c r="S16" s="19">
        <f>'13'!G24</f>
        <v>0</v>
      </c>
      <c r="T16" s="19">
        <v>69</v>
      </c>
      <c r="U16" s="48">
        <f t="shared" si="6"/>
        <v>0</v>
      </c>
      <c r="V16" s="22">
        <f>'13'!G65</f>
        <v>69</v>
      </c>
      <c r="W16" s="22">
        <f>'13'!G66</f>
        <v>12</v>
      </c>
      <c r="X16" s="22">
        <f>'13'!G67</f>
        <v>18</v>
      </c>
      <c r="Y16" s="22">
        <f t="shared" si="7"/>
        <v>99</v>
      </c>
      <c r="Z16" s="19">
        <f>'13'!G84</f>
        <v>0</v>
      </c>
      <c r="AA16" s="19">
        <f>'13'!G85</f>
        <v>0</v>
      </c>
      <c r="AB16" s="19">
        <f>'13'!G86</f>
        <v>24</v>
      </c>
      <c r="AC16" s="19">
        <f>'13'!G87</f>
        <v>0</v>
      </c>
      <c r="AD16" s="19">
        <f t="shared" si="8"/>
        <v>24</v>
      </c>
      <c r="AE16" s="23">
        <f t="shared" si="2"/>
        <v>2861</v>
      </c>
      <c r="AF16" s="23">
        <f t="shared" si="9"/>
        <v>119.20833333333333</v>
      </c>
      <c r="AG16" s="19">
        <f>'13'!G88</f>
        <v>1.2700000000004366</v>
      </c>
      <c r="AH16" s="19">
        <f>'13'!G89</f>
        <v>7.3800000000010186</v>
      </c>
      <c r="AI16" s="19">
        <f>'13'!G90</f>
        <v>6.930000000007567</v>
      </c>
      <c r="AJ16" s="19">
        <f t="shared" si="10"/>
        <v>15.580000000009022</v>
      </c>
      <c r="AK16" s="19">
        <f>'13'!G91</f>
        <v>0</v>
      </c>
      <c r="AL16" s="19">
        <f>'13'!G92</f>
        <v>10.899999999999636</v>
      </c>
      <c r="AM16" s="19"/>
      <c r="AN16" s="19">
        <f t="shared" si="11"/>
        <v>10.899999999999636</v>
      </c>
      <c r="AO16" s="52">
        <f>'13'!G74</f>
        <v>209</v>
      </c>
      <c r="AP16" s="55">
        <f>'13'!G35</f>
        <v>1459</v>
      </c>
      <c r="AQ16" s="19">
        <f>'13'!G37</f>
        <v>1471</v>
      </c>
      <c r="AR16" s="19">
        <f>'13'!G38</f>
        <v>1543</v>
      </c>
      <c r="AS16" s="19">
        <f>'13'!G39</f>
        <v>2404</v>
      </c>
      <c r="AT16" s="19">
        <f>'13'!G40</f>
        <v>673</v>
      </c>
      <c r="AU16" s="19">
        <f>'13'!G41</f>
        <v>0</v>
      </c>
      <c r="AV16" s="19">
        <f>'13'!G42</f>
        <v>0</v>
      </c>
      <c r="AW16" s="19">
        <f>'13'!G43</f>
        <v>2011</v>
      </c>
      <c r="AX16" s="23">
        <f>'13'!G44</f>
        <v>0</v>
      </c>
      <c r="AY16" s="56">
        <f>'13'!G36</f>
        <v>582</v>
      </c>
      <c r="AZ16" s="55">
        <f>'13'!G49</f>
        <v>1291</v>
      </c>
      <c r="BA16" s="19">
        <f>'13'!G51</f>
        <v>0</v>
      </c>
      <c r="BB16" s="19">
        <f>'13'!G52</f>
        <v>0</v>
      </c>
      <c r="BC16" s="19">
        <f>'13'!G53</f>
        <v>0</v>
      </c>
      <c r="BD16" s="19">
        <f>'13'!G54</f>
        <v>470</v>
      </c>
      <c r="BE16" s="19">
        <f>'13'!G55</f>
        <v>2861</v>
      </c>
      <c r="BF16" s="19">
        <f>'13'!G56</f>
        <v>0</v>
      </c>
      <c r="BG16" s="19">
        <f>'13'!G57</f>
        <v>0</v>
      </c>
      <c r="BH16" s="56">
        <f>'13'!G50</f>
        <v>842</v>
      </c>
      <c r="BI16" s="60">
        <f t="shared" si="12"/>
        <v>2861</v>
      </c>
      <c r="BJ16" s="60">
        <f>'13'!G133</f>
        <v>406</v>
      </c>
      <c r="BK16" s="23">
        <f t="shared" si="13"/>
        <v>44.703812316715542</v>
      </c>
      <c r="BL16" s="23">
        <f t="shared" si="14"/>
        <v>14.099706744868035</v>
      </c>
      <c r="BM16" s="24">
        <f t="shared" si="15"/>
        <v>9.0498533724340177E-2</v>
      </c>
      <c r="BN16" s="25">
        <f t="shared" si="16"/>
        <v>218357.4</v>
      </c>
      <c r="BO16" s="38">
        <f t="shared" si="17"/>
        <v>5278</v>
      </c>
      <c r="BP16">
        <f t="shared" si="18"/>
        <v>0.78541666666666665</v>
      </c>
    </row>
    <row r="17" spans="1:68" x14ac:dyDescent="0.25">
      <c r="A17" s="16">
        <v>14</v>
      </c>
      <c r="B17" s="17">
        <v>14</v>
      </c>
      <c r="C17" s="27"/>
      <c r="D17" s="19">
        <f>'14'!D3</f>
        <v>21</v>
      </c>
      <c r="E17" s="50">
        <f>'14'!D4</f>
        <v>0.68</v>
      </c>
      <c r="F17" s="50">
        <f>'14'!D2</f>
        <v>0.25</v>
      </c>
      <c r="G17" s="19">
        <f>'14'!G7</f>
        <v>17228</v>
      </c>
      <c r="H17" s="19">
        <f>'14'!G8</f>
        <v>17430</v>
      </c>
      <c r="I17" s="19">
        <v>9</v>
      </c>
      <c r="J17" s="49">
        <f t="shared" si="3"/>
        <v>156870</v>
      </c>
      <c r="K17" s="45">
        <f t="shared" si="4"/>
        <v>86.287128712871294</v>
      </c>
      <c r="L17" s="19">
        <f>'14'!G15</f>
        <v>745</v>
      </c>
      <c r="M17" s="19">
        <v>56.2</v>
      </c>
      <c r="N17" s="41">
        <f t="shared" si="5"/>
        <v>41869</v>
      </c>
      <c r="O17" s="19">
        <f>'14'!G20</f>
        <v>114</v>
      </c>
      <c r="P17" s="19">
        <v>108</v>
      </c>
      <c r="Q17" s="46">
        <f t="shared" si="0"/>
        <v>12312</v>
      </c>
      <c r="R17" s="47">
        <f t="shared" si="1"/>
        <v>225.74257425742573</v>
      </c>
      <c r="S17" s="19">
        <f>'14'!G24</f>
        <v>0</v>
      </c>
      <c r="T17" s="19">
        <v>69</v>
      </c>
      <c r="U17" s="48">
        <f t="shared" si="6"/>
        <v>0</v>
      </c>
      <c r="V17" s="22">
        <f>'14'!G65</f>
        <v>56</v>
      </c>
      <c r="W17" s="22">
        <f>'14'!G66</f>
        <v>13</v>
      </c>
      <c r="X17" s="22">
        <f>'14'!G67</f>
        <v>18</v>
      </c>
      <c r="Y17" s="22">
        <f>V17+W17+X17</f>
        <v>87</v>
      </c>
      <c r="Z17" s="19">
        <f>'14'!G84</f>
        <v>0</v>
      </c>
      <c r="AA17" s="19">
        <f>'14'!G85</f>
        <v>0</v>
      </c>
      <c r="AB17" s="19">
        <f>'14'!G86</f>
        <v>24</v>
      </c>
      <c r="AC17" s="19">
        <f>'14'!G87</f>
        <v>0</v>
      </c>
      <c r="AD17" s="19">
        <f t="shared" si="8"/>
        <v>24</v>
      </c>
      <c r="AE17" s="23">
        <f t="shared" si="2"/>
        <v>3132</v>
      </c>
      <c r="AF17" s="23">
        <f t="shared" si="9"/>
        <v>130.5</v>
      </c>
      <c r="AG17" s="19">
        <f>'14'!G88</f>
        <v>0</v>
      </c>
      <c r="AH17" s="19">
        <f>'14'!G89</f>
        <v>1.8100000000013097</v>
      </c>
      <c r="AI17" s="19">
        <f>'14'!G90</f>
        <v>9.2299999999959255</v>
      </c>
      <c r="AJ17" s="19">
        <f t="shared" si="10"/>
        <v>11.039999999997235</v>
      </c>
      <c r="AK17" s="19">
        <f>'14'!G91</f>
        <v>0</v>
      </c>
      <c r="AL17" s="19">
        <f>'14'!G92</f>
        <v>11.450000000000728</v>
      </c>
      <c r="AM17" s="19"/>
      <c r="AN17" s="19">
        <f t="shared" si="11"/>
        <v>11.450000000000728</v>
      </c>
      <c r="AO17" s="52">
        <f>'14'!G44</f>
        <v>0</v>
      </c>
      <c r="AP17" s="55">
        <f>'14'!G35</f>
        <v>1363</v>
      </c>
      <c r="AQ17" s="19">
        <f>'14'!G37</f>
        <v>1509</v>
      </c>
      <c r="AR17" s="19">
        <f>'14'!G38</f>
        <v>1832</v>
      </c>
      <c r="AS17" s="19">
        <f>'14'!G39</f>
        <v>2495</v>
      </c>
      <c r="AT17" s="19">
        <f>'14'!G40</f>
        <v>606</v>
      </c>
      <c r="AU17" s="19">
        <f>'14'!G41</f>
        <v>0</v>
      </c>
      <c r="AV17" s="19">
        <f>'14'!G42</f>
        <v>0</v>
      </c>
      <c r="AW17" s="19">
        <f>'14'!G43</f>
        <v>2011</v>
      </c>
      <c r="AX17" s="23">
        <f>'14'!G44</f>
        <v>0</v>
      </c>
      <c r="AY17" s="56">
        <f>'14'!G36</f>
        <v>627</v>
      </c>
      <c r="AZ17" s="55">
        <f>'14'!G49</f>
        <v>1201</v>
      </c>
      <c r="BA17" s="19">
        <f>'14'!G51</f>
        <v>0</v>
      </c>
      <c r="BB17" s="19">
        <f>'14'!G52</f>
        <v>0</v>
      </c>
      <c r="BC17" s="19">
        <f>'14'!G53</f>
        <v>0</v>
      </c>
      <c r="BD17" s="19">
        <f>'14'!G54</f>
        <v>473</v>
      </c>
      <c r="BE17" s="19">
        <f>'14'!G55</f>
        <v>3132</v>
      </c>
      <c r="BF17" s="19">
        <f>'14'!G56</f>
        <v>0</v>
      </c>
      <c r="BG17" s="19">
        <f>'14'!G57</f>
        <v>0</v>
      </c>
      <c r="BH17" s="56">
        <f>'14'!G50</f>
        <v>861</v>
      </c>
      <c r="BI17" s="60">
        <f t="shared" si="12"/>
        <v>3132</v>
      </c>
      <c r="BJ17" s="60">
        <f>'14'!G133</f>
        <v>403</v>
      </c>
      <c r="BK17" s="23">
        <f t="shared" si="13"/>
        <v>44.216867469879517</v>
      </c>
      <c r="BL17" s="23">
        <f t="shared" si="14"/>
        <v>14.314400458978771</v>
      </c>
      <c r="BM17" s="24">
        <f t="shared" si="15"/>
        <v>0.1051061388410786</v>
      </c>
      <c r="BN17" s="25">
        <f t="shared" si="16"/>
        <v>211051</v>
      </c>
      <c r="BO17" s="38">
        <f t="shared" si="17"/>
        <v>5546</v>
      </c>
      <c r="BP17">
        <f t="shared" si="18"/>
        <v>0.825297619047619</v>
      </c>
    </row>
    <row r="18" spans="1:68" x14ac:dyDescent="0.25">
      <c r="A18" s="16">
        <v>15</v>
      </c>
      <c r="B18" s="26">
        <v>15</v>
      </c>
      <c r="C18" s="18"/>
      <c r="D18" s="19">
        <f>'15'!D3</f>
        <v>26</v>
      </c>
      <c r="E18" s="50">
        <f>'15'!D4</f>
        <v>0.6</v>
      </c>
      <c r="F18" s="50">
        <f>'15'!D2</f>
        <v>0.5</v>
      </c>
      <c r="G18" s="19">
        <f>'15'!G7</f>
        <v>17216.75</v>
      </c>
      <c r="H18" s="19">
        <f>'15'!G8</f>
        <v>17328.710000000021</v>
      </c>
      <c r="I18" s="19">
        <v>9</v>
      </c>
      <c r="J18" s="49">
        <f t="shared" si="3"/>
        <v>155958.39000000019</v>
      </c>
      <c r="K18" s="45">
        <f t="shared" si="4"/>
        <v>85.78569306930703</v>
      </c>
      <c r="L18" s="19">
        <f>'15'!G15</f>
        <v>965</v>
      </c>
      <c r="M18" s="19">
        <v>56.2</v>
      </c>
      <c r="N18" s="41">
        <f t="shared" si="5"/>
        <v>54233</v>
      </c>
      <c r="O18" s="19">
        <f>'15'!G20</f>
        <v>155</v>
      </c>
      <c r="P18" s="19">
        <v>108</v>
      </c>
      <c r="Q18" s="46">
        <f t="shared" si="0"/>
        <v>16740</v>
      </c>
      <c r="R18" s="47">
        <f t="shared" si="1"/>
        <v>153.46534653465346</v>
      </c>
      <c r="S18" s="19">
        <f>'15'!G24</f>
        <v>0</v>
      </c>
      <c r="T18" s="19">
        <v>69</v>
      </c>
      <c r="U18" s="48">
        <f t="shared" si="6"/>
        <v>0</v>
      </c>
      <c r="V18" s="22">
        <f>'15'!G65</f>
        <v>70</v>
      </c>
      <c r="W18" s="22">
        <f>'15'!G66</f>
        <v>17</v>
      </c>
      <c r="X18" s="22">
        <f>'15'!G67</f>
        <v>23</v>
      </c>
      <c r="Y18" s="22">
        <f t="shared" si="7"/>
        <v>110</v>
      </c>
      <c r="Z18" s="19">
        <f>'15'!G84</f>
        <v>0</v>
      </c>
      <c r="AA18" s="19">
        <f>'15'!G85</f>
        <v>0</v>
      </c>
      <c r="AB18" s="19">
        <f>'15'!G86</f>
        <v>24.489999999997963</v>
      </c>
      <c r="AC18" s="19">
        <f>'15'!G87</f>
        <v>0</v>
      </c>
      <c r="AD18" s="19">
        <f t="shared" si="8"/>
        <v>24.489999999997963</v>
      </c>
      <c r="AE18" s="23">
        <f t="shared" si="2"/>
        <v>3008.3700000000099</v>
      </c>
      <c r="AF18" s="23">
        <f t="shared" si="9"/>
        <v>122.8407513270829</v>
      </c>
      <c r="AG18" s="19">
        <f>'15'!G88</f>
        <v>2.0000000000436557E-2</v>
      </c>
      <c r="AH18" s="19">
        <f>'15'!G89</f>
        <v>9.9599999999991269</v>
      </c>
      <c r="AI18" s="19">
        <f>'15'!G90</f>
        <v>2.9400000000023283</v>
      </c>
      <c r="AJ18" s="19">
        <f t="shared" si="10"/>
        <v>12.920000000001892</v>
      </c>
      <c r="AK18" s="19">
        <f>'15'!G91</f>
        <v>0</v>
      </c>
      <c r="AL18" s="19">
        <f>'15'!G92</f>
        <v>11.019999999999527</v>
      </c>
      <c r="AM18" s="19"/>
      <c r="AN18" s="19">
        <f t="shared" si="11"/>
        <v>11.019999999999527</v>
      </c>
      <c r="AO18" s="52">
        <f>'15'!G74</f>
        <v>313</v>
      </c>
      <c r="AP18" s="55">
        <f>'15'!G35</f>
        <v>1301.8400000000001</v>
      </c>
      <c r="AQ18" s="19">
        <f>'15'!G37</f>
        <v>1497.7399999999998</v>
      </c>
      <c r="AR18" s="19">
        <f>'15'!G38</f>
        <v>1386.9500000000007</v>
      </c>
      <c r="AS18" s="19">
        <f>'15'!G39</f>
        <v>2494.9000000000015</v>
      </c>
      <c r="AT18" s="19">
        <f>'15'!G40</f>
        <v>493</v>
      </c>
      <c r="AU18" s="19">
        <f>'15'!G41</f>
        <v>0</v>
      </c>
      <c r="AV18" s="19">
        <f>'15'!G42</f>
        <v>-0.39999999999417923</v>
      </c>
      <c r="AW18" s="19">
        <f>'15'!G43</f>
        <v>2012.7100000000064</v>
      </c>
      <c r="AX18" s="23">
        <f>'15'!G44</f>
        <v>0</v>
      </c>
      <c r="AY18" s="56">
        <f>'15'!G36</f>
        <v>573.68999999999869</v>
      </c>
      <c r="AZ18" s="55">
        <f>'15'!G49</f>
        <v>1250.5900000000001</v>
      </c>
      <c r="BA18" s="19">
        <f>'15'!G51</f>
        <v>0</v>
      </c>
      <c r="BB18" s="19">
        <f>'15'!G52</f>
        <v>0</v>
      </c>
      <c r="BC18" s="19">
        <f>'15'!G53</f>
        <v>0</v>
      </c>
      <c r="BD18" s="19">
        <f>'15'!G54</f>
        <v>520.51000000000022</v>
      </c>
      <c r="BE18" s="19">
        <f>'15'!G55</f>
        <v>3009.2300000000032</v>
      </c>
      <c r="BF18" s="19">
        <f>'15'!G56</f>
        <v>-0.45999999999912689</v>
      </c>
      <c r="BG18" s="19">
        <f>'15'!G57</f>
        <v>0</v>
      </c>
      <c r="BH18" s="56">
        <f>'15'!G50</f>
        <v>902.7300000000032</v>
      </c>
      <c r="BI18" s="60">
        <f t="shared" si="12"/>
        <v>3008.3700000000099</v>
      </c>
      <c r="BJ18" s="60">
        <f>'15'!G133</f>
        <v>398.27000000000407</v>
      </c>
      <c r="BK18" s="23">
        <f t="shared" si="13"/>
        <v>43.704984387181781</v>
      </c>
      <c r="BL18" s="23">
        <f t="shared" si="14"/>
        <v>14.397494100830347</v>
      </c>
      <c r="BM18" s="24">
        <f t="shared" si="15"/>
        <v>8.0037694669712806E-2</v>
      </c>
      <c r="BN18" s="25">
        <f t="shared" si="16"/>
        <v>226931.39000000019</v>
      </c>
      <c r="BO18" s="38">
        <f t="shared" si="17"/>
        <v>5419.3500000000204</v>
      </c>
      <c r="BP18">
        <f t="shared" si="18"/>
        <v>0.79031528903932668</v>
      </c>
    </row>
    <row r="19" spans="1:68" x14ac:dyDescent="0.25">
      <c r="A19" s="16">
        <v>16</v>
      </c>
      <c r="B19" s="26">
        <v>16</v>
      </c>
      <c r="C19" s="26"/>
      <c r="D19" s="19">
        <f>'16'!D3</f>
        <v>21</v>
      </c>
      <c r="E19" s="50">
        <f>'16'!D4</f>
        <v>0.68</v>
      </c>
      <c r="F19" s="50">
        <f>'16'!D2</f>
        <v>0.25</v>
      </c>
      <c r="G19" s="19">
        <f>'16'!G7</f>
        <v>17314.25</v>
      </c>
      <c r="H19" s="19">
        <f>'16'!G8</f>
        <v>17406.289999999979</v>
      </c>
      <c r="I19" s="19">
        <v>9</v>
      </c>
      <c r="J19" s="49">
        <f t="shared" si="3"/>
        <v>156656.60999999981</v>
      </c>
      <c r="K19" s="45">
        <f t="shared" si="4"/>
        <v>86.169752475247421</v>
      </c>
      <c r="L19" s="19">
        <f>'16'!G15</f>
        <v>1006</v>
      </c>
      <c r="M19" s="19">
        <v>56.2</v>
      </c>
      <c r="N19" s="41">
        <f t="shared" si="5"/>
        <v>56537.200000000004</v>
      </c>
      <c r="O19" s="19">
        <f>'16'!G20</f>
        <v>135</v>
      </c>
      <c r="P19" s="19">
        <v>108</v>
      </c>
      <c r="Q19" s="46">
        <f t="shared" si="0"/>
        <v>14580</v>
      </c>
      <c r="R19" s="47">
        <f t="shared" si="1"/>
        <v>267.32673267326732</v>
      </c>
      <c r="S19" s="19">
        <f>'16'!G24</f>
        <v>0</v>
      </c>
      <c r="T19" s="19">
        <v>69</v>
      </c>
      <c r="U19" s="48">
        <f t="shared" si="6"/>
        <v>0</v>
      </c>
      <c r="V19" s="22">
        <f>'16'!G65</f>
        <v>62</v>
      </c>
      <c r="W19" s="22">
        <f>'16'!G66</f>
        <v>21</v>
      </c>
      <c r="X19" s="22">
        <f>'16'!G67</f>
        <v>26</v>
      </c>
      <c r="Y19" s="22">
        <f t="shared" si="7"/>
        <v>109</v>
      </c>
      <c r="Z19" s="19">
        <f>'16'!G84</f>
        <v>0</v>
      </c>
      <c r="AA19" s="19">
        <f>'16'!G85</f>
        <v>0</v>
      </c>
      <c r="AB19" s="19">
        <f>'16'!G86</f>
        <v>23.510000000002037</v>
      </c>
      <c r="AC19" s="19">
        <f>'16'!G87</f>
        <v>0</v>
      </c>
      <c r="AD19" s="19">
        <f t="shared" si="8"/>
        <v>23.510000000002037</v>
      </c>
      <c r="AE19" s="23">
        <f t="shared" si="2"/>
        <v>3032.7699999999968</v>
      </c>
      <c r="AF19" s="23">
        <f t="shared" si="9"/>
        <v>128.99914929815967</v>
      </c>
      <c r="AG19" s="19">
        <f>'16'!G88</f>
        <v>0</v>
      </c>
      <c r="AH19" s="19">
        <f>'16'!G89</f>
        <v>8.1399999999994179</v>
      </c>
      <c r="AI19" s="19">
        <f>'16'!G90</f>
        <v>9.6900000000023283</v>
      </c>
      <c r="AJ19" s="19">
        <f t="shared" si="10"/>
        <v>17.830000000001746</v>
      </c>
      <c r="AK19" s="19">
        <f>'16'!G91</f>
        <v>0</v>
      </c>
      <c r="AL19" s="19">
        <f>'16'!G92</f>
        <v>10.619999999999891</v>
      </c>
      <c r="AM19" s="19"/>
      <c r="AN19" s="19">
        <f t="shared" si="11"/>
        <v>10.619999999999891</v>
      </c>
      <c r="AO19" s="52">
        <f>'16'!G74</f>
        <v>304</v>
      </c>
      <c r="AP19" s="55">
        <f>'16'!G35</f>
        <v>1269.1599999999999</v>
      </c>
      <c r="AQ19" s="19">
        <f>'16'!G37</f>
        <v>1483.2600000000002</v>
      </c>
      <c r="AR19" s="19">
        <f>'16'!G38</f>
        <v>1625.0499999999993</v>
      </c>
      <c r="AS19" s="19">
        <f>'16'!G39</f>
        <v>2600.0999999999985</v>
      </c>
      <c r="AT19" s="19">
        <f>'16'!G40</f>
        <v>407</v>
      </c>
      <c r="AU19" s="19">
        <f>'16'!G41</f>
        <v>0</v>
      </c>
      <c r="AV19" s="19">
        <f>'16'!G42</f>
        <v>0</v>
      </c>
      <c r="AW19" s="19">
        <f>'16'!G43</f>
        <v>2071.2899999999936</v>
      </c>
      <c r="AX19" s="23">
        <f>'16'!G44</f>
        <v>0</v>
      </c>
      <c r="AY19" s="56">
        <f>'16'!G36</f>
        <v>587.31000000000131</v>
      </c>
      <c r="AZ19" s="55">
        <f>'16'!G49</f>
        <v>1320.4099999999999</v>
      </c>
      <c r="BA19" s="19">
        <f>'16'!G51</f>
        <v>0</v>
      </c>
      <c r="BB19" s="19">
        <f>'16'!G52</f>
        <v>0</v>
      </c>
      <c r="BC19" s="19">
        <f>'16'!G53</f>
        <v>0</v>
      </c>
      <c r="BD19" s="19">
        <f>'16'!G54</f>
        <v>565.48999999999978</v>
      </c>
      <c r="BE19" s="19">
        <f>'16'!G55</f>
        <v>3032.7699999999968</v>
      </c>
      <c r="BF19" s="19">
        <f>'16'!G56</f>
        <v>0</v>
      </c>
      <c r="BG19" s="19">
        <f>'16'!G57</f>
        <v>0</v>
      </c>
      <c r="BH19" s="56">
        <f>'16'!G50</f>
        <v>868.2699999999968</v>
      </c>
      <c r="BI19" s="60">
        <f t="shared" si="12"/>
        <v>3032.7699999999968</v>
      </c>
      <c r="BJ19" s="60">
        <f>'16'!G133</f>
        <v>468.72999999999593</v>
      </c>
      <c r="BK19" s="23">
        <f t="shared" si="13"/>
        <v>44.200286218372781</v>
      </c>
      <c r="BL19" s="23">
        <f t="shared" si="14"/>
        <v>14.937703554289868</v>
      </c>
      <c r="BM19" s="24">
        <f t="shared" si="15"/>
        <v>9.335992908310739E-2</v>
      </c>
      <c r="BN19" s="25">
        <f t="shared" si="16"/>
        <v>227773.80999999982</v>
      </c>
      <c r="BO19" s="38">
        <f t="shared" si="17"/>
        <v>5572.7899999999863</v>
      </c>
      <c r="BP19">
        <f t="shared" si="18"/>
        <v>0.84656832958611894</v>
      </c>
    </row>
    <row r="20" spans="1:68" x14ac:dyDescent="0.25">
      <c r="A20" s="16">
        <v>17</v>
      </c>
      <c r="B20" s="27">
        <v>17</v>
      </c>
      <c r="C20" s="26"/>
      <c r="D20" s="19">
        <f>'17'!D3</f>
        <v>28</v>
      </c>
      <c r="E20" s="50">
        <f>'17'!D4</f>
        <v>0.9</v>
      </c>
      <c r="F20" s="50">
        <f>'17'!D2</f>
        <v>0.51</v>
      </c>
      <c r="G20" s="19">
        <f>'17'!G7</f>
        <v>17454</v>
      </c>
      <c r="H20" s="19">
        <f>'17'!G8</f>
        <v>17543</v>
      </c>
      <c r="I20" s="19">
        <v>9</v>
      </c>
      <c r="J20" s="49">
        <f t="shared" si="3"/>
        <v>157887</v>
      </c>
      <c r="K20" s="45">
        <f t="shared" si="4"/>
        <v>86.846534653465341</v>
      </c>
      <c r="L20" s="19">
        <f>'17'!G15</f>
        <v>734.2730000000447</v>
      </c>
      <c r="M20" s="19">
        <v>56.2</v>
      </c>
      <c r="N20" s="41">
        <f t="shared" si="5"/>
        <v>41266.142600002517</v>
      </c>
      <c r="O20" s="19">
        <f>'17'!G20</f>
        <v>133</v>
      </c>
      <c r="P20" s="19">
        <v>108</v>
      </c>
      <c r="Q20" s="46">
        <f t="shared" si="0"/>
        <v>14364</v>
      </c>
      <c r="R20" s="47">
        <f t="shared" si="1"/>
        <v>129.10114540865851</v>
      </c>
      <c r="S20" s="19">
        <f>'17'!G24</f>
        <v>0</v>
      </c>
      <c r="T20" s="19">
        <v>69</v>
      </c>
      <c r="U20" s="48">
        <f t="shared" si="6"/>
        <v>0</v>
      </c>
      <c r="V20" s="22">
        <f>'17'!G65</f>
        <v>65</v>
      </c>
      <c r="W20" s="22">
        <f>'17'!G66</f>
        <v>15</v>
      </c>
      <c r="X20" s="22">
        <f>'17'!G67</f>
        <v>19</v>
      </c>
      <c r="Y20" s="22">
        <f t="shared" si="7"/>
        <v>99</v>
      </c>
      <c r="Z20" s="19">
        <f>'17'!G84</f>
        <v>0.26000000000203727</v>
      </c>
      <c r="AA20" s="19">
        <f>'17'!G85</f>
        <v>0</v>
      </c>
      <c r="AB20" s="19">
        <f>'17'!G86</f>
        <v>24.040000000000873</v>
      </c>
      <c r="AC20" s="19">
        <f>'17'!G87</f>
        <v>0</v>
      </c>
      <c r="AD20" s="19">
        <f t="shared" si="8"/>
        <v>24.30000000000291</v>
      </c>
      <c r="AE20" s="23">
        <f t="shared" si="2"/>
        <v>3005.1699999999983</v>
      </c>
      <c r="AF20" s="23">
        <f t="shared" si="9"/>
        <v>123.66954732508799</v>
      </c>
      <c r="AG20" s="19">
        <f>'17'!G88</f>
        <v>0</v>
      </c>
      <c r="AH20" s="19">
        <f>'17'!G89</f>
        <v>3.5400000000008731</v>
      </c>
      <c r="AI20" s="19">
        <f>'17'!G90</f>
        <v>4.8399999999965075</v>
      </c>
      <c r="AJ20" s="19">
        <f t="shared" si="10"/>
        <v>8.3799999999973807</v>
      </c>
      <c r="AK20" s="19">
        <f>'17'!G91</f>
        <v>0</v>
      </c>
      <c r="AL20" s="19">
        <f>'17'!G92</f>
        <v>10.850000000000364</v>
      </c>
      <c r="AM20" s="19"/>
      <c r="AN20" s="19">
        <f t="shared" si="11"/>
        <v>10.850000000000364</v>
      </c>
      <c r="AO20" s="52">
        <f>'17'!G74</f>
        <v>307.90000000002328</v>
      </c>
      <c r="AP20" s="55">
        <f>'17'!G35</f>
        <v>1318.6000000000004</v>
      </c>
      <c r="AQ20" s="19">
        <f>'17'!G37</f>
        <v>1510.42</v>
      </c>
      <c r="AR20" s="19">
        <f>'17'!G38</f>
        <v>1604.1599999999999</v>
      </c>
      <c r="AS20" s="19">
        <f>'17'!G39</f>
        <v>2698</v>
      </c>
      <c r="AT20" s="19">
        <f>'17'!G40</f>
        <v>450</v>
      </c>
      <c r="AU20" s="19">
        <f>'17'!G41</f>
        <v>0</v>
      </c>
      <c r="AV20" s="19">
        <f>'17'!G42</f>
        <v>0</v>
      </c>
      <c r="AW20" s="19">
        <f>'17'!G43</f>
        <v>2219.1499999999942</v>
      </c>
      <c r="AX20" s="23">
        <f>'17'!G44</f>
        <v>0</v>
      </c>
      <c r="AY20" s="56">
        <f>'17'!G36</f>
        <v>592.45999999999913</v>
      </c>
      <c r="AZ20" s="55">
        <f>'17'!G49</f>
        <v>1367.6100000000006</v>
      </c>
      <c r="BA20" s="19">
        <f>'17'!G51</f>
        <v>0</v>
      </c>
      <c r="BB20" s="19">
        <f>'17'!G52</f>
        <v>0</v>
      </c>
      <c r="BC20" s="19">
        <f>'17'!G53</f>
        <v>0</v>
      </c>
      <c r="BD20" s="19">
        <f>'17'!G54</f>
        <v>562.69999999999982</v>
      </c>
      <c r="BE20" s="19">
        <f>'17'!G55</f>
        <v>3005.1699999999983</v>
      </c>
      <c r="BF20" s="19">
        <f>'17'!G56</f>
        <v>0</v>
      </c>
      <c r="BG20" s="19">
        <f>'17'!G57</f>
        <v>0</v>
      </c>
      <c r="BH20" s="56">
        <f>'17'!G50</f>
        <v>838.52999999999884</v>
      </c>
      <c r="BI20" s="60">
        <f t="shared" si="12"/>
        <v>3005.1699999999983</v>
      </c>
      <c r="BJ20" s="60">
        <f>'17'!G133</f>
        <v>488.60000000000582</v>
      </c>
      <c r="BK20" s="23">
        <f t="shared" si="13"/>
        <v>45.092230519295406</v>
      </c>
      <c r="BL20" s="23">
        <f t="shared" si="14"/>
        <v>15.379353588325827</v>
      </c>
      <c r="BM20" s="24">
        <f t="shared" si="15"/>
        <v>9.1441600638431278E-2</v>
      </c>
      <c r="BN20" s="25">
        <f t="shared" si="16"/>
        <v>213517.14260000252</v>
      </c>
      <c r="BO20" s="38">
        <f t="shared" si="17"/>
        <v>5712.9199999999983</v>
      </c>
      <c r="BP20">
        <f t="shared" si="18"/>
        <v>0.83964138741906436</v>
      </c>
    </row>
    <row r="21" spans="1:68" x14ac:dyDescent="0.25">
      <c r="A21" s="16">
        <v>18</v>
      </c>
      <c r="B21" s="27">
        <v>18</v>
      </c>
      <c r="C21" s="27"/>
      <c r="D21" s="19">
        <f>'18 '!D3</f>
        <v>28</v>
      </c>
      <c r="E21" s="50">
        <f>'18 '!D4</f>
        <v>0.9</v>
      </c>
      <c r="F21" s="50">
        <f>'18 '!D2</f>
        <v>0.51</v>
      </c>
      <c r="G21" s="19">
        <f>'18 '!G7</f>
        <v>17765</v>
      </c>
      <c r="H21" s="19">
        <f>'18 '!G8</f>
        <v>18064.830000000016</v>
      </c>
      <c r="I21" s="19">
        <v>9</v>
      </c>
      <c r="J21" s="49">
        <f t="shared" si="3"/>
        <v>162583.47000000015</v>
      </c>
      <c r="K21" s="45">
        <f t="shared" si="4"/>
        <v>89.429851485148589</v>
      </c>
      <c r="L21" s="19">
        <f>'18 '!G15</f>
        <v>881.7269999999553</v>
      </c>
      <c r="M21" s="19">
        <v>56.2</v>
      </c>
      <c r="N21" s="41">
        <f t="shared" si="5"/>
        <v>49553.057399997488</v>
      </c>
      <c r="O21" s="19">
        <f>'18 '!G20</f>
        <v>154</v>
      </c>
      <c r="P21" s="19">
        <v>108</v>
      </c>
      <c r="Q21" s="46">
        <f t="shared" si="0"/>
        <v>16632</v>
      </c>
      <c r="R21" s="47">
        <f t="shared" si="1"/>
        <v>149.48553678897301</v>
      </c>
      <c r="S21" s="19">
        <f>'18 '!G24</f>
        <v>110</v>
      </c>
      <c r="T21" s="19">
        <v>69</v>
      </c>
      <c r="U21" s="48">
        <f t="shared" si="6"/>
        <v>7590</v>
      </c>
      <c r="V21" s="22">
        <f>'18 '!G65</f>
        <v>64</v>
      </c>
      <c r="W21" s="22">
        <f>'18 '!G66</f>
        <v>11</v>
      </c>
      <c r="X21" s="22">
        <f>'18 '!G67</f>
        <v>22</v>
      </c>
      <c r="Y21" s="22">
        <f t="shared" si="7"/>
        <v>97</v>
      </c>
      <c r="Z21" s="19">
        <f>'18 '!G84</f>
        <v>0</v>
      </c>
      <c r="AA21" s="19">
        <f>'18 '!G85</f>
        <v>0</v>
      </c>
      <c r="AB21" s="19">
        <f>'18 '!G86</f>
        <v>24.019999999996799</v>
      </c>
      <c r="AC21" s="19">
        <f>'18 '!G87</f>
        <v>0</v>
      </c>
      <c r="AD21" s="19">
        <f t="shared" si="8"/>
        <v>24.019999999996799</v>
      </c>
      <c r="AE21" s="23">
        <f t="shared" si="2"/>
        <v>3090.5200000000041</v>
      </c>
      <c r="AF21" s="23">
        <f t="shared" si="9"/>
        <v>128.66444629477169</v>
      </c>
      <c r="AG21" s="19">
        <f>'18 '!G88</f>
        <v>1.8699999999989814</v>
      </c>
      <c r="AH21" s="19">
        <f>'18 '!G89</f>
        <v>7.4199999999982538</v>
      </c>
      <c r="AI21" s="19">
        <f>'18 '!G90</f>
        <v>0.71000000000640284</v>
      </c>
      <c r="AJ21" s="19">
        <f t="shared" si="10"/>
        <v>10.000000000003638</v>
      </c>
      <c r="AK21" s="19">
        <f>'18 '!G91</f>
        <v>0</v>
      </c>
      <c r="AL21" s="19">
        <f>'18 '!G92</f>
        <v>10.069999999999709</v>
      </c>
      <c r="AM21" s="19"/>
      <c r="AN21" s="19">
        <f t="shared" si="11"/>
        <v>10.069999999999709</v>
      </c>
      <c r="AO21" s="52">
        <f>'18 '!G74</f>
        <v>285.25</v>
      </c>
      <c r="AP21" s="55">
        <f>'18 '!G35</f>
        <v>1391.7600000000002</v>
      </c>
      <c r="AQ21" s="19">
        <f>'18 '!G37</f>
        <v>1562.5499999999993</v>
      </c>
      <c r="AR21" s="19">
        <f>'18 '!G38</f>
        <v>1696.2999999999993</v>
      </c>
      <c r="AS21" s="19">
        <f>'18 '!G39</f>
        <v>2546.4900000000016</v>
      </c>
      <c r="AT21" s="19">
        <f>'18 '!G40</f>
        <v>282.13999999999942</v>
      </c>
      <c r="AU21" s="19">
        <f>'18 '!G41</f>
        <v>0</v>
      </c>
      <c r="AV21" s="19">
        <f>'18 '!G42</f>
        <v>0</v>
      </c>
      <c r="AW21" s="19">
        <f>'18 '!G43</f>
        <v>2338</v>
      </c>
      <c r="AX21" s="23">
        <f>'18 '!G44</f>
        <v>0</v>
      </c>
      <c r="AY21" s="56">
        <f>'18 '!G36</f>
        <v>600.90000000000146</v>
      </c>
      <c r="AZ21" s="55">
        <f>'18 '!G49</f>
        <v>1242.7199999999993</v>
      </c>
      <c r="BA21" s="19">
        <f>'18 '!G51</f>
        <v>0</v>
      </c>
      <c r="BB21" s="19">
        <f>'18 '!G52</f>
        <v>0</v>
      </c>
      <c r="BC21" s="19">
        <f>'18 '!G53</f>
        <v>0</v>
      </c>
      <c r="BD21" s="19">
        <f>'18 '!G54</f>
        <v>357.72000000000025</v>
      </c>
      <c r="BE21" s="19">
        <f>'18 '!G55</f>
        <v>3090.5200000000041</v>
      </c>
      <c r="BF21" s="19">
        <f>'18 '!G56</f>
        <v>0</v>
      </c>
      <c r="BG21" s="19">
        <f>'18 '!G57</f>
        <v>0</v>
      </c>
      <c r="BH21" s="56">
        <f>'18 '!G50</f>
        <v>921.40000000000146</v>
      </c>
      <c r="BI21" s="60">
        <f t="shared" si="12"/>
        <v>3090.5200000000041</v>
      </c>
      <c r="BJ21" s="60">
        <f>'18 '!G133</f>
        <v>500.79999999998836</v>
      </c>
      <c r="BK21" s="23">
        <f t="shared" si="13"/>
        <v>44.633688775371787</v>
      </c>
      <c r="BL21" s="23">
        <f t="shared" si="14"/>
        <v>14.096396146545521</v>
      </c>
      <c r="BM21" s="24">
        <f t="shared" si="15"/>
        <v>9.390068990408422E-2</v>
      </c>
      <c r="BN21" s="25">
        <f t="shared" si="16"/>
        <v>236358.52739999763</v>
      </c>
      <c r="BO21" s="38">
        <f t="shared" si="17"/>
        <v>5929.3199999999924</v>
      </c>
      <c r="BP21">
        <f t="shared" si="18"/>
        <v>0.88160461520173405</v>
      </c>
    </row>
    <row r="22" spans="1:68" x14ac:dyDescent="0.25">
      <c r="A22" s="16">
        <v>19</v>
      </c>
      <c r="B22" s="17">
        <v>19</v>
      </c>
      <c r="C22" s="27"/>
      <c r="D22" s="19">
        <f>'19'!D3</f>
        <v>28</v>
      </c>
      <c r="E22" s="50">
        <f>'19'!D4</f>
        <v>0.9</v>
      </c>
      <c r="F22" s="50">
        <f>'19'!D2</f>
        <v>0.92979999999999996</v>
      </c>
      <c r="G22" s="19">
        <f>'19'!G7</f>
        <v>18033</v>
      </c>
      <c r="H22" s="19">
        <f>'19'!G8</f>
        <v>18721.169999999984</v>
      </c>
      <c r="I22" s="19">
        <v>9</v>
      </c>
      <c r="J22" s="49">
        <f t="shared" si="3"/>
        <v>168490.52999999985</v>
      </c>
      <c r="K22" s="45">
        <f t="shared" si="4"/>
        <v>92.679059405940507</v>
      </c>
      <c r="L22" s="19">
        <f>'19'!G15</f>
        <v>834.30000000004657</v>
      </c>
      <c r="M22" s="19">
        <v>56.2</v>
      </c>
      <c r="N22" s="41">
        <f t="shared" si="5"/>
        <v>46887.660000002623</v>
      </c>
      <c r="O22" s="19">
        <f>'19'!G20</f>
        <v>157</v>
      </c>
      <c r="P22" s="19">
        <v>108</v>
      </c>
      <c r="Q22" s="46">
        <f t="shared" si="0"/>
        <v>16956</v>
      </c>
      <c r="R22" s="47">
        <f t="shared" si="1"/>
        <v>83.590849943243427</v>
      </c>
      <c r="S22" s="19">
        <f>'19'!G24</f>
        <v>0</v>
      </c>
      <c r="T22" s="19">
        <v>69</v>
      </c>
      <c r="U22" s="48">
        <f t="shared" si="6"/>
        <v>0</v>
      </c>
      <c r="V22" s="22">
        <f>'19'!G65</f>
        <v>63</v>
      </c>
      <c r="W22" s="22">
        <f>'19'!G66</f>
        <v>15</v>
      </c>
      <c r="X22" s="22">
        <f>'19'!G67</f>
        <v>23</v>
      </c>
      <c r="Y22" s="22">
        <f t="shared" si="7"/>
        <v>101</v>
      </c>
      <c r="Z22" s="19">
        <f>'19'!G84</f>
        <v>0.13999999999941792</v>
      </c>
      <c r="AA22" s="19">
        <f>'19'!G85</f>
        <v>0</v>
      </c>
      <c r="AB22" s="19">
        <f>'19'!G86</f>
        <v>24.940000000002328</v>
      </c>
      <c r="AC22" s="19">
        <f>'19'!G87</f>
        <v>0</v>
      </c>
      <c r="AD22" s="19">
        <f t="shared" si="8"/>
        <v>25.080000000001746</v>
      </c>
      <c r="AE22" s="23">
        <f t="shared" si="2"/>
        <v>2846.1399999999994</v>
      </c>
      <c r="AF22" s="23">
        <f t="shared" si="9"/>
        <v>113.48245614034295</v>
      </c>
      <c r="AG22" s="19">
        <f>'19'!G88</f>
        <v>0.20999999999912689</v>
      </c>
      <c r="AH22" s="19">
        <f>'19'!G89</f>
        <v>7.0200000000004366</v>
      </c>
      <c r="AI22" s="19">
        <f>'19'!G90</f>
        <v>1.8600000000005821</v>
      </c>
      <c r="AJ22" s="19">
        <f t="shared" si="10"/>
        <v>9.0900000000001455</v>
      </c>
      <c r="AK22" s="19">
        <f>'19'!G91</f>
        <v>0</v>
      </c>
      <c r="AL22" s="19">
        <f>'19'!G92</f>
        <v>10.730000000000473</v>
      </c>
      <c r="AM22" s="19"/>
      <c r="AN22" s="19">
        <f t="shared" si="11"/>
        <v>10.730000000000473</v>
      </c>
      <c r="AO22" s="52">
        <f>'19'!G74</f>
        <v>306.34999999997672</v>
      </c>
      <c r="AP22" s="55">
        <f>'19'!G35</f>
        <v>1817.1599999999999</v>
      </c>
      <c r="AQ22" s="19">
        <f>'19'!G37</f>
        <v>1596.17</v>
      </c>
      <c r="AR22" s="19">
        <f>'19'!G38</f>
        <v>1623.5400000000009</v>
      </c>
      <c r="AS22" s="19">
        <f>'19'!G39</f>
        <v>2646.0699999999997</v>
      </c>
      <c r="AT22" s="19">
        <f>'19'!G40</f>
        <v>415.23000000000138</v>
      </c>
      <c r="AU22" s="19">
        <f>'19'!G41</f>
        <v>0</v>
      </c>
      <c r="AV22" s="19">
        <f>'19'!G42</f>
        <v>0</v>
      </c>
      <c r="AW22" s="19">
        <f>'19'!G43</f>
        <v>2372.3700000000099</v>
      </c>
      <c r="AX22" s="23">
        <f>'19'!G44</f>
        <v>0</v>
      </c>
      <c r="AY22" s="56">
        <f>'19'!G36</f>
        <v>661.59999999999854</v>
      </c>
      <c r="AZ22" s="55">
        <f>'19'!G49</f>
        <v>1124.4899999999998</v>
      </c>
      <c r="BA22" s="19">
        <f>'19'!G51</f>
        <v>0</v>
      </c>
      <c r="BB22" s="19">
        <f>'19'!G52</f>
        <v>0</v>
      </c>
      <c r="BC22" s="19">
        <f>'19'!G53</f>
        <v>0</v>
      </c>
      <c r="BD22" s="19">
        <f>'19'!G54</f>
        <v>0</v>
      </c>
      <c r="BE22" s="19">
        <f>'19'!G55</f>
        <v>2846.1399999999994</v>
      </c>
      <c r="BF22" s="19">
        <f>'19'!G56</f>
        <v>0</v>
      </c>
      <c r="BG22" s="19">
        <f>'19'!G57</f>
        <v>0</v>
      </c>
      <c r="BH22" s="56">
        <f>'19'!G50</f>
        <v>975.76000000000204</v>
      </c>
      <c r="BI22" s="60">
        <f t="shared" si="12"/>
        <v>2846.1399999999994</v>
      </c>
      <c r="BJ22" s="60">
        <f>'19'!G133</f>
        <v>668.02999999999884</v>
      </c>
      <c r="BK22" s="23">
        <f t="shared" si="13"/>
        <v>43.587874048470347</v>
      </c>
      <c r="BL22" s="23">
        <f t="shared" si="14"/>
        <v>14.134105934618413</v>
      </c>
      <c r="BM22" s="24">
        <f t="shared" si="15"/>
        <v>8.6722143968566187E-2</v>
      </c>
      <c r="BN22" s="25">
        <f t="shared" si="16"/>
        <v>232334.19000000248</v>
      </c>
      <c r="BO22" s="38">
        <f t="shared" si="17"/>
        <v>5886.5400000000081</v>
      </c>
      <c r="BP22">
        <f t="shared" si="18"/>
        <v>0.8382518796991909</v>
      </c>
    </row>
    <row r="23" spans="1:68" x14ac:dyDescent="0.25">
      <c r="A23" s="16">
        <v>20</v>
      </c>
      <c r="B23" s="26">
        <v>20</v>
      </c>
      <c r="C23" s="26"/>
      <c r="D23" s="19">
        <f>'20'!D3</f>
        <v>28</v>
      </c>
      <c r="E23" s="50">
        <f>'20'!D4</f>
        <v>0.78</v>
      </c>
      <c r="F23" s="50">
        <f>'20'!D2</f>
        <v>1</v>
      </c>
      <c r="G23" s="19">
        <f>'20'!G7</f>
        <v>16723.150000000023</v>
      </c>
      <c r="H23" s="19">
        <f>'20'!G8</f>
        <v>17336.710000000021</v>
      </c>
      <c r="I23" s="19">
        <v>9</v>
      </c>
      <c r="J23" s="49">
        <f t="shared" si="3"/>
        <v>156030.39000000019</v>
      </c>
      <c r="K23" s="45">
        <f t="shared" si="4"/>
        <v>85.82529702970308</v>
      </c>
      <c r="L23" s="19">
        <f>'20'!G15</f>
        <v>986.94999999995343</v>
      </c>
      <c r="M23" s="19">
        <v>56.2</v>
      </c>
      <c r="N23" s="41">
        <f t="shared" si="5"/>
        <v>55466.589999997384</v>
      </c>
      <c r="O23" s="19">
        <f>'20'!G20</f>
        <v>216</v>
      </c>
      <c r="P23" s="19">
        <v>108</v>
      </c>
      <c r="Q23" s="46">
        <f t="shared" si="0"/>
        <v>23328</v>
      </c>
      <c r="R23" s="47">
        <f t="shared" si="1"/>
        <v>106.93069306930693</v>
      </c>
      <c r="S23" s="19">
        <f>'20'!G24</f>
        <v>0</v>
      </c>
      <c r="T23" s="19">
        <v>69</v>
      </c>
      <c r="U23" s="48">
        <f t="shared" si="6"/>
        <v>0</v>
      </c>
      <c r="V23" s="22">
        <f>'20'!G65</f>
        <v>72</v>
      </c>
      <c r="W23" s="22">
        <f>'20'!G66</f>
        <v>10</v>
      </c>
      <c r="X23" s="22">
        <f>'20'!G67</f>
        <v>23</v>
      </c>
      <c r="Y23" s="22">
        <f t="shared" si="7"/>
        <v>105</v>
      </c>
      <c r="Z23" s="19">
        <f>'20'!G84</f>
        <v>-0.13999999999941792</v>
      </c>
      <c r="AA23" s="19">
        <f>'20'!G85</f>
        <v>9.9999999997635314E-3</v>
      </c>
      <c r="AB23" s="19">
        <f>'20'!G86</f>
        <v>24.370000000002619</v>
      </c>
      <c r="AC23" s="19">
        <f>'20'!G87</f>
        <v>0</v>
      </c>
      <c r="AD23" s="19">
        <f t="shared" si="8"/>
        <v>24.240000000002965</v>
      </c>
      <c r="AE23" s="23">
        <f t="shared" si="2"/>
        <v>2588.6399999999994</v>
      </c>
      <c r="AF23" s="23">
        <f t="shared" si="9"/>
        <v>106.7920792079077</v>
      </c>
      <c r="AG23" s="19">
        <f>'20'!G88</f>
        <v>0</v>
      </c>
      <c r="AH23" s="19">
        <f>'20'!G89</f>
        <v>11.18999999999869</v>
      </c>
      <c r="AI23" s="19">
        <f>'20'!G90</f>
        <v>2.7399999999906868</v>
      </c>
      <c r="AJ23" s="19">
        <f t="shared" si="10"/>
        <v>13.929999999989377</v>
      </c>
      <c r="AK23" s="19">
        <f>'20'!G91</f>
        <v>0</v>
      </c>
      <c r="AL23" s="19">
        <f>'20'!G92</f>
        <v>10.329999999999927</v>
      </c>
      <c r="AM23" s="19"/>
      <c r="AN23" s="19">
        <f t="shared" si="11"/>
        <v>10.329999999999927</v>
      </c>
      <c r="AO23" s="52">
        <f>'20'!G74</f>
        <v>295.15000000002328</v>
      </c>
      <c r="AP23" s="55">
        <f>'20'!G35</f>
        <v>1491.2900000000009</v>
      </c>
      <c r="AQ23" s="19">
        <f>'20'!G37</f>
        <v>1537.7799999999988</v>
      </c>
      <c r="AR23" s="19">
        <f>'20'!G38</f>
        <v>1612.8499999999985</v>
      </c>
      <c r="AS23" s="19">
        <f>'20'!G39</f>
        <v>2507.0499999999993</v>
      </c>
      <c r="AT23" s="19">
        <f>'20'!G40</f>
        <v>442.67999999999847</v>
      </c>
      <c r="AU23" s="19">
        <f>'20'!G41</f>
        <v>0</v>
      </c>
      <c r="AV23" s="19">
        <f>'20'!G42</f>
        <v>0</v>
      </c>
      <c r="AW23" s="19">
        <f>'20'!G43</f>
        <v>2313.4700000000012</v>
      </c>
      <c r="AX23" s="23">
        <f>'20'!G44</f>
        <v>0</v>
      </c>
      <c r="AY23" s="56">
        <f>'20'!G36</f>
        <v>594.86000000000058</v>
      </c>
      <c r="AZ23" s="55">
        <f>'20'!G49</f>
        <v>1079.2800000000007</v>
      </c>
      <c r="BA23" s="19">
        <f>'20'!G51</f>
        <v>0</v>
      </c>
      <c r="BB23" s="19">
        <f>'20'!G52</f>
        <v>0</v>
      </c>
      <c r="BC23" s="19">
        <f>'20'!G588</f>
        <v>0</v>
      </c>
      <c r="BD23" s="19">
        <f>'20'!G54</f>
        <v>0</v>
      </c>
      <c r="BE23" s="19">
        <f>'20'!G55</f>
        <v>2588.6399999999994</v>
      </c>
      <c r="BF23" s="19">
        <f>'20'!G56</f>
        <v>0</v>
      </c>
      <c r="BG23" s="19">
        <f>'20'!G57</f>
        <v>0</v>
      </c>
      <c r="BH23" s="56">
        <f>'20'!G50</f>
        <v>914.65999999999622</v>
      </c>
      <c r="BI23" s="60">
        <f t="shared" si="12"/>
        <v>2588.6399999999994</v>
      </c>
      <c r="BJ23" s="60">
        <f>'20'!G133</f>
        <v>655.39000000001397</v>
      </c>
      <c r="BK23" s="23">
        <f t="shared" si="13"/>
        <v>43.103218546079347</v>
      </c>
      <c r="BL23" s="23">
        <f t="shared" si="14"/>
        <v>14.460932899033301</v>
      </c>
      <c r="BM23" s="24">
        <f t="shared" si="15"/>
        <v>9.3030915323610797E-2</v>
      </c>
      <c r="BN23" s="25">
        <f t="shared" si="16"/>
        <v>234824.97999999757</v>
      </c>
      <c r="BO23" s="38">
        <f t="shared" si="17"/>
        <v>5557.5000000000146</v>
      </c>
      <c r="BP23">
        <f t="shared" si="18"/>
        <v>0.81882072135775208</v>
      </c>
    </row>
    <row r="24" spans="1:68" x14ac:dyDescent="0.25">
      <c r="A24" s="16">
        <v>21</v>
      </c>
      <c r="B24" s="26">
        <v>21</v>
      </c>
      <c r="C24" s="28"/>
      <c r="D24" s="19">
        <v>21</v>
      </c>
      <c r="E24" s="50">
        <f>'21'!D4</f>
        <v>0.78</v>
      </c>
      <c r="F24" s="50">
        <f>'21'!D2</f>
        <v>0.71</v>
      </c>
      <c r="G24" s="19">
        <f>'21'!G7</f>
        <v>17868.559999999998</v>
      </c>
      <c r="H24" s="19">
        <f>'21'!G8</f>
        <v>18548.039999999979</v>
      </c>
      <c r="I24" s="19">
        <v>9</v>
      </c>
      <c r="J24" s="49">
        <f t="shared" si="3"/>
        <v>166932.35999999981</v>
      </c>
      <c r="K24" s="45">
        <f t="shared" si="4"/>
        <v>91.821980198019702</v>
      </c>
      <c r="L24" s="19">
        <f>'21'!G15</f>
        <v>1017.3400000000838</v>
      </c>
      <c r="M24" s="19">
        <v>56.2</v>
      </c>
      <c r="N24" s="41">
        <f t="shared" si="5"/>
        <v>57174.508000004716</v>
      </c>
      <c r="O24" s="19">
        <f>'21'!G20</f>
        <v>167</v>
      </c>
      <c r="P24" s="19">
        <v>108</v>
      </c>
      <c r="Q24" s="46">
        <f t="shared" si="0"/>
        <v>18036</v>
      </c>
      <c r="R24" s="47">
        <f t="shared" si="1"/>
        <v>116.44122158694744</v>
      </c>
      <c r="S24" s="19">
        <f>'21'!G24</f>
        <v>0</v>
      </c>
      <c r="T24" s="19">
        <v>69</v>
      </c>
      <c r="U24" s="48">
        <f t="shared" si="6"/>
        <v>0</v>
      </c>
      <c r="V24" s="22">
        <f>'21'!G65</f>
        <v>72</v>
      </c>
      <c r="W24" s="22">
        <f>'21'!G66</f>
        <v>12</v>
      </c>
      <c r="X24" s="22">
        <f>'21'!G67</f>
        <v>20</v>
      </c>
      <c r="Y24" s="22">
        <f t="shared" si="7"/>
        <v>104</v>
      </c>
      <c r="Z24" s="19">
        <f>'21'!G84</f>
        <v>0.13999999999941792</v>
      </c>
      <c r="AA24" s="19">
        <f>'21'!G85</f>
        <v>0</v>
      </c>
      <c r="AB24" s="19">
        <f>'21'!G86</f>
        <v>24.07999999999447</v>
      </c>
      <c r="AC24" s="19">
        <f>'21'!G87</f>
        <v>0</v>
      </c>
      <c r="AD24" s="19">
        <f t="shared" si="8"/>
        <v>24.219999999993888</v>
      </c>
      <c r="AE24" s="23">
        <f t="shared" si="2"/>
        <v>2838.3999999999942</v>
      </c>
      <c r="AF24" s="23">
        <f t="shared" si="9"/>
        <v>117.19240297277912</v>
      </c>
      <c r="AG24" s="19">
        <f>'21'!G88</f>
        <v>0</v>
      </c>
      <c r="AH24" s="19">
        <f>'21'!G89</f>
        <v>10.30000000000291</v>
      </c>
      <c r="AI24" s="19">
        <f>'21'!G90</f>
        <v>2.1199999999953434</v>
      </c>
      <c r="AJ24" s="19">
        <f t="shared" si="10"/>
        <v>12.419999999998254</v>
      </c>
      <c r="AK24" s="19">
        <f>'21'!G91</f>
        <v>0</v>
      </c>
      <c r="AL24" s="19">
        <f>'21'!G92</f>
        <v>10.309999999999491</v>
      </c>
      <c r="AM24" s="19"/>
      <c r="AN24" s="19">
        <f t="shared" si="11"/>
        <v>10.309999999999491</v>
      </c>
      <c r="AO24" s="52">
        <f>'21'!G74</f>
        <v>294.76000000000931</v>
      </c>
      <c r="AP24" s="55">
        <f>'21'!G35</f>
        <v>1453.9699999999975</v>
      </c>
      <c r="AQ24" s="19">
        <f>'21'!G37</f>
        <v>1565.5</v>
      </c>
      <c r="AR24" s="19">
        <f>'21'!G38</f>
        <v>1671.4500000000007</v>
      </c>
      <c r="AS24" s="19">
        <f>'21'!G39</f>
        <v>2598.239999999998</v>
      </c>
      <c r="AT24" s="19">
        <f>'21'!G40</f>
        <v>355.32999999999993</v>
      </c>
      <c r="AU24" s="19">
        <f>'21'!G41</f>
        <v>0</v>
      </c>
      <c r="AV24" s="19">
        <f>'21'!G42</f>
        <v>0</v>
      </c>
      <c r="AW24" s="19">
        <f>'21'!G43</f>
        <v>2339.9399999999878</v>
      </c>
      <c r="AX24" s="23">
        <f>'21'!G44</f>
        <v>0</v>
      </c>
      <c r="AY24" s="56">
        <f>'21'!G36</f>
        <v>661.91000000000349</v>
      </c>
      <c r="AZ24" s="55">
        <f>'21'!G49</f>
        <v>1101.7999999999993</v>
      </c>
      <c r="BA24" s="19">
        <f>'21'!G51</f>
        <v>0</v>
      </c>
      <c r="BB24" s="19">
        <f>'21'!G52</f>
        <v>0</v>
      </c>
      <c r="BC24" s="19">
        <f>'21'!G53</f>
        <v>0</v>
      </c>
      <c r="BD24" s="19">
        <f>'21'!G54</f>
        <v>0</v>
      </c>
      <c r="BE24" s="19">
        <f>'21'!G55</f>
        <v>2838.3999999999942</v>
      </c>
      <c r="BF24" s="19">
        <f>'21'!G56</f>
        <v>0</v>
      </c>
      <c r="BG24" s="19">
        <f>'21'!G57</f>
        <v>0</v>
      </c>
      <c r="BH24" s="56">
        <f>'21'!G50</f>
        <v>1160.0500000000029</v>
      </c>
      <c r="BI24" s="60">
        <f t="shared" si="12"/>
        <v>2838.3999999999942</v>
      </c>
      <c r="BJ24" s="60">
        <f>'21'!G133</f>
        <v>655.83999999999651</v>
      </c>
      <c r="BK24" s="23">
        <f t="shared" si="13"/>
        <v>41.69772116083417</v>
      </c>
      <c r="BL24" s="23">
        <f t="shared" si="14"/>
        <v>14.008164744091562</v>
      </c>
      <c r="BM24" s="24">
        <f t="shared" si="15"/>
        <v>9.0114642840968789E-2</v>
      </c>
      <c r="BN24" s="25">
        <f t="shared" si="16"/>
        <v>242142.86800000453</v>
      </c>
      <c r="BO24" s="38">
        <f t="shared" si="17"/>
        <v>5834.1799999999785</v>
      </c>
      <c r="BP24">
        <f t="shared" si="18"/>
        <v>0.86029550548564504</v>
      </c>
    </row>
    <row r="25" spans="1:68" x14ac:dyDescent="0.25">
      <c r="A25" s="16">
        <v>22</v>
      </c>
      <c r="B25" s="27">
        <v>22</v>
      </c>
      <c r="C25" s="28"/>
      <c r="D25" s="19">
        <f>'22'!D3</f>
        <v>28</v>
      </c>
      <c r="E25" s="50">
        <f>'22'!D4</f>
        <v>0.9</v>
      </c>
      <c r="F25" s="50">
        <f>'22'!D2</f>
        <v>0.97</v>
      </c>
      <c r="G25" s="19">
        <f>'22'!G7</f>
        <v>19215.959999999963</v>
      </c>
      <c r="H25" s="19">
        <f>'22'!G8</f>
        <v>19922.760000000009</v>
      </c>
      <c r="I25" s="19">
        <v>9</v>
      </c>
      <c r="J25" s="49">
        <f t="shared" si="3"/>
        <v>179304.84000000008</v>
      </c>
      <c r="K25" s="45">
        <f t="shared" si="4"/>
        <v>98.627524752475296</v>
      </c>
      <c r="L25" s="19">
        <f>'22'!G15</f>
        <v>1036.4099999999162</v>
      </c>
      <c r="M25" s="19">
        <v>56.2</v>
      </c>
      <c r="N25" s="41">
        <f t="shared" si="5"/>
        <v>58246.241999995291</v>
      </c>
      <c r="O25" s="19">
        <f>'22'!G20</f>
        <v>176</v>
      </c>
      <c r="P25" s="19">
        <v>108</v>
      </c>
      <c r="Q25" s="46">
        <f t="shared" si="0"/>
        <v>19008</v>
      </c>
      <c r="R25" s="47">
        <f t="shared" si="1"/>
        <v>89.823415331223842</v>
      </c>
      <c r="S25" s="19">
        <f>'22'!G24</f>
        <v>0</v>
      </c>
      <c r="T25" s="19">
        <v>69</v>
      </c>
      <c r="U25" s="48">
        <f t="shared" si="6"/>
        <v>0</v>
      </c>
      <c r="V25" s="22">
        <f>'22'!G65</f>
        <v>75</v>
      </c>
      <c r="W25" s="22">
        <f>'22'!G66</f>
        <v>14</v>
      </c>
      <c r="X25" s="22">
        <f>'22'!G67</f>
        <v>20</v>
      </c>
      <c r="Y25" s="22">
        <f t="shared" si="7"/>
        <v>109</v>
      </c>
      <c r="Z25" s="19">
        <f>'22'!G84</f>
        <v>0</v>
      </c>
      <c r="AA25" s="19">
        <f>'22'!G85</f>
        <v>0</v>
      </c>
      <c r="AB25" s="19">
        <f>'22'!G86</f>
        <v>24.410000000003492</v>
      </c>
      <c r="AC25" s="19">
        <f>'22'!G87</f>
        <v>0</v>
      </c>
      <c r="AD25" s="19">
        <f t="shared" si="8"/>
        <v>24.410000000003492</v>
      </c>
      <c r="AE25" s="23">
        <f t="shared" si="2"/>
        <v>3073.5800000000017</v>
      </c>
      <c r="AF25" s="23">
        <f t="shared" si="9"/>
        <v>125.91478902087513</v>
      </c>
      <c r="AG25" s="19">
        <f>'22'!G88</f>
        <v>0</v>
      </c>
      <c r="AH25" s="19">
        <f>'22'!G89</f>
        <v>9.8799999999973807</v>
      </c>
      <c r="AI25" s="19">
        <f>'22'!G90</f>
        <v>3.4500000000116415</v>
      </c>
      <c r="AJ25" s="19">
        <f t="shared" si="10"/>
        <v>13.330000000009022</v>
      </c>
      <c r="AK25" s="19">
        <f>'22'!G91</f>
        <v>0</v>
      </c>
      <c r="AL25" s="19">
        <f>'22'!G92</f>
        <v>10.75</v>
      </c>
      <c r="AM25" s="19"/>
      <c r="AN25" s="19">
        <f t="shared" si="11"/>
        <v>10.75</v>
      </c>
      <c r="AO25" s="52">
        <f>'22'!G74</f>
        <v>307.70999999996275</v>
      </c>
      <c r="AP25" s="55">
        <f>'22'!G35</f>
        <v>1422.8000000000029</v>
      </c>
      <c r="AQ25" s="19">
        <f>'22'!G37</f>
        <v>1587.0900000000001</v>
      </c>
      <c r="AR25" s="19">
        <f>'22'!G38</f>
        <v>1787.2400000000016</v>
      </c>
      <c r="AS25" s="19">
        <f>'22'!G39</f>
        <v>2648.7000000000044</v>
      </c>
      <c r="AT25" s="19">
        <f>'22'!G40</f>
        <v>293.48000000000138</v>
      </c>
      <c r="AU25" s="19">
        <f>'22'!G41</f>
        <v>0</v>
      </c>
      <c r="AV25" s="19">
        <f>'22'!G42</f>
        <v>0</v>
      </c>
      <c r="AW25" s="19">
        <f>'22'!G43</f>
        <v>2333.4200000000128</v>
      </c>
      <c r="AX25" s="23">
        <f>'22'!G44</f>
        <v>0</v>
      </c>
      <c r="AY25" s="56">
        <f>'22'!G36</f>
        <v>834.2899999999936</v>
      </c>
      <c r="AZ25" s="55">
        <f>'22'!G49</f>
        <v>1173.83</v>
      </c>
      <c r="BA25" s="19">
        <f>'22'!G51</f>
        <v>0</v>
      </c>
      <c r="BB25" s="19">
        <f>'22'!G52</f>
        <v>0</v>
      </c>
      <c r="BC25" s="19">
        <f>'22'!G53</f>
        <v>0</v>
      </c>
      <c r="BD25" s="19">
        <f>'22'!G54</f>
        <v>0</v>
      </c>
      <c r="BE25" s="19">
        <f>'22'!G55</f>
        <v>3073.5800000000017</v>
      </c>
      <c r="BF25" s="19">
        <f>'22'!G56</f>
        <v>0</v>
      </c>
      <c r="BG25" s="19">
        <f>'22'!G57</f>
        <v>0</v>
      </c>
      <c r="BH25" s="56">
        <f>'22'!G50</f>
        <v>1510.6999999999971</v>
      </c>
      <c r="BI25" s="60">
        <f t="shared" si="12"/>
        <v>3073.5800000000017</v>
      </c>
      <c r="BJ25" s="60">
        <f>'22'!G133</f>
        <v>653.44000000000233</v>
      </c>
      <c r="BK25" s="23">
        <f t="shared" si="13"/>
        <v>40.173299281826488</v>
      </c>
      <c r="BL25" s="23">
        <f t="shared" si="14"/>
        <v>13.294844690193544</v>
      </c>
      <c r="BM25" s="24">
        <f t="shared" si="15"/>
        <v>8.9708454049539366E-2</v>
      </c>
      <c r="BN25" s="25">
        <f t="shared" si="16"/>
        <v>256559.08199999537</v>
      </c>
      <c r="BO25" s="38">
        <f t="shared" si="17"/>
        <v>6060.4400000000169</v>
      </c>
      <c r="BP25">
        <f t="shared" si="18"/>
        <v>0.88670334172165244</v>
      </c>
    </row>
    <row r="26" spans="1:68" x14ac:dyDescent="0.25">
      <c r="A26" s="16">
        <v>23</v>
      </c>
      <c r="B26" s="27">
        <v>23</v>
      </c>
      <c r="C26" s="28"/>
      <c r="D26" s="19">
        <f>'23'!D3</f>
        <v>24</v>
      </c>
      <c r="E26" s="50">
        <f>'23'!D4</f>
        <v>0.77</v>
      </c>
      <c r="F26" s="50">
        <f>'23'!D2</f>
        <v>0.61</v>
      </c>
      <c r="G26" s="19">
        <f>'23'!G7</f>
        <v>18703.160000000033</v>
      </c>
      <c r="H26" s="19">
        <f>'23'!G8</f>
        <v>19388.319999999949</v>
      </c>
      <c r="I26" s="19">
        <v>9</v>
      </c>
      <c r="J26" s="49">
        <f t="shared" si="3"/>
        <v>174494.87999999954</v>
      </c>
      <c r="K26" s="45">
        <f t="shared" si="4"/>
        <v>95.981782178217571</v>
      </c>
      <c r="L26" s="19">
        <f>'23'!G15</f>
        <v>979.91999999992549</v>
      </c>
      <c r="M26" s="19">
        <v>56.2</v>
      </c>
      <c r="N26" s="41">
        <f t="shared" si="5"/>
        <v>55071.503999995817</v>
      </c>
      <c r="O26" s="19">
        <f>'23'!G20</f>
        <v>216</v>
      </c>
      <c r="P26" s="19">
        <v>108</v>
      </c>
      <c r="Q26" s="46">
        <f t="shared" si="0"/>
        <v>23328</v>
      </c>
      <c r="R26" s="47">
        <f t="shared" si="1"/>
        <v>175.29621814640481</v>
      </c>
      <c r="S26" s="19">
        <f>'23'!G24</f>
        <v>0</v>
      </c>
      <c r="T26" s="19">
        <v>69</v>
      </c>
      <c r="U26" s="48">
        <f t="shared" si="6"/>
        <v>0</v>
      </c>
      <c r="V26" s="22">
        <f>'23'!G65</f>
        <v>88</v>
      </c>
      <c r="W26" s="22">
        <f>'23'!G66</f>
        <v>23</v>
      </c>
      <c r="X26" s="22">
        <f>'23'!G67</f>
        <v>25</v>
      </c>
      <c r="Y26" s="22">
        <f t="shared" si="7"/>
        <v>136</v>
      </c>
      <c r="Z26" s="19">
        <f>'23'!G84</f>
        <v>0</v>
      </c>
      <c r="AA26" s="19">
        <f>'23'!G85</f>
        <v>0</v>
      </c>
      <c r="AB26" s="19">
        <f>'23'!G86</f>
        <v>24.25</v>
      </c>
      <c r="AC26" s="19">
        <f>'23'!G87</f>
        <v>0</v>
      </c>
      <c r="AD26" s="19">
        <f t="shared" si="8"/>
        <v>24.25</v>
      </c>
      <c r="AE26" s="23">
        <f t="shared" si="2"/>
        <v>2695.2200000000012</v>
      </c>
      <c r="AF26" s="23">
        <f t="shared" si="9"/>
        <v>111.1430927835052</v>
      </c>
      <c r="AG26" s="19">
        <f>'23'!G88</f>
        <v>2.0100000000020373</v>
      </c>
      <c r="AH26" s="19">
        <f>'23'!G89</f>
        <v>8.1700000000018917</v>
      </c>
      <c r="AI26" s="19">
        <f>'23'!G90</f>
        <v>1.4899999999906868</v>
      </c>
      <c r="AJ26" s="19">
        <f t="shared" si="10"/>
        <v>11.669999999994616</v>
      </c>
      <c r="AK26" s="19">
        <f>'23'!G91</f>
        <v>0</v>
      </c>
      <c r="AL26" s="19">
        <f>'23'!G92</f>
        <v>10.220000000000255</v>
      </c>
      <c r="AM26" s="19"/>
      <c r="AN26" s="19">
        <f t="shared" si="11"/>
        <v>10.220000000000255</v>
      </c>
      <c r="AO26" s="52">
        <f>'23'!G74</f>
        <v>292.69000000006054</v>
      </c>
      <c r="AP26" s="55">
        <f>'23'!G35</f>
        <v>1355.7099999999991</v>
      </c>
      <c r="AQ26" s="19">
        <f>'23'!G37</f>
        <v>1571.9800000000032</v>
      </c>
      <c r="AR26" s="19">
        <f>'23'!G38</f>
        <v>1932.0699999999997</v>
      </c>
      <c r="AS26" s="19">
        <f>'23'!G39</f>
        <v>2576.25</v>
      </c>
      <c r="AT26" s="19">
        <f>'23'!G40</f>
        <v>383.89999999999964</v>
      </c>
      <c r="AU26" s="19">
        <f>'23'!G41</f>
        <v>0</v>
      </c>
      <c r="AV26" s="19">
        <f>'23'!G42</f>
        <v>0</v>
      </c>
      <c r="AW26" s="19">
        <f>'23'!G43</f>
        <v>2339.2399999999907</v>
      </c>
      <c r="AX26" s="23">
        <f>'23'!G44</f>
        <v>0</v>
      </c>
      <c r="AY26" s="56">
        <f>'23'!G36</f>
        <v>1155.2800000000061</v>
      </c>
      <c r="AZ26" s="55">
        <f>'23'!G49</f>
        <v>1092.9700000000012</v>
      </c>
      <c r="BA26" s="19">
        <f>'23'!G51</f>
        <v>0</v>
      </c>
      <c r="BB26" s="19">
        <f>'23'!G52</f>
        <v>0</v>
      </c>
      <c r="BC26" s="19">
        <f>'23'!G53</f>
        <v>0</v>
      </c>
      <c r="BD26" s="19">
        <f>'23'!G54</f>
        <v>0</v>
      </c>
      <c r="BE26" s="19">
        <f>'23'!G55</f>
        <v>2695.2200000000012</v>
      </c>
      <c r="BF26" s="19">
        <f>'23'!G56</f>
        <v>0</v>
      </c>
      <c r="BG26" s="19">
        <f>'23'!G57</f>
        <v>0</v>
      </c>
      <c r="BH26" s="56">
        <f>'23'!G50</f>
        <v>1627.260000000002</v>
      </c>
      <c r="BI26" s="60">
        <f t="shared" si="12"/>
        <v>2695.2200000000012</v>
      </c>
      <c r="BJ26" s="60">
        <f>'23'!G133</f>
        <v>661.32999999998719</v>
      </c>
      <c r="BK26" s="23">
        <f t="shared" si="13"/>
        <v>38.596123851886148</v>
      </c>
      <c r="BL26" s="23">
        <f t="shared" si="14"/>
        <v>13.28763915594547</v>
      </c>
      <c r="BM26" s="24">
        <f t="shared" si="15"/>
        <v>9.9651233319854676E-2</v>
      </c>
      <c r="BN26" s="25">
        <f t="shared" si="16"/>
        <v>252894.38399999536</v>
      </c>
      <c r="BO26" s="38">
        <f t="shared" si="17"/>
        <v>5695.789999999979</v>
      </c>
      <c r="BP26">
        <f t="shared" si="18"/>
        <v>0.8388497790868894</v>
      </c>
    </row>
    <row r="27" spans="1:68" x14ac:dyDescent="0.25">
      <c r="A27" s="16">
        <v>24</v>
      </c>
      <c r="B27" s="17">
        <v>24</v>
      </c>
      <c r="C27" s="28"/>
      <c r="D27" s="19">
        <f>'24'!D3</f>
        <v>21</v>
      </c>
      <c r="E27" s="50">
        <f>'24'!D4</f>
        <v>0.75</v>
      </c>
      <c r="F27" s="50">
        <f>'24'!D2</f>
        <v>0.75</v>
      </c>
      <c r="G27" s="19">
        <f>'24'!G7</f>
        <v>16363.169999999984</v>
      </c>
      <c r="H27" s="19">
        <f>'24'!G8</f>
        <v>16876.170000000042</v>
      </c>
      <c r="I27" s="19">
        <v>9</v>
      </c>
      <c r="J27" s="49">
        <f t="shared" si="3"/>
        <v>151885.53000000038</v>
      </c>
      <c r="K27" s="45">
        <f t="shared" si="4"/>
        <v>83.545396039604171</v>
      </c>
      <c r="L27" s="19">
        <f>'24'!G15</f>
        <v>1037.0800000000745</v>
      </c>
      <c r="M27" s="19">
        <v>56.2</v>
      </c>
      <c r="N27" s="41">
        <f t="shared" si="5"/>
        <v>58283.896000004192</v>
      </c>
      <c r="O27" s="19">
        <f>'24'!G20</f>
        <v>212</v>
      </c>
      <c r="P27" s="19">
        <v>108</v>
      </c>
      <c r="Q27" s="46">
        <f t="shared" si="0"/>
        <v>22896</v>
      </c>
      <c r="R27" s="47">
        <f t="shared" si="1"/>
        <v>139.93399339933995</v>
      </c>
      <c r="S27" s="19">
        <f>'24'!G24</f>
        <v>0</v>
      </c>
      <c r="T27" s="19">
        <v>69</v>
      </c>
      <c r="U27" s="48">
        <f t="shared" si="6"/>
        <v>0</v>
      </c>
      <c r="V27" s="22">
        <f>'24'!G65</f>
        <v>103</v>
      </c>
      <c r="W27" s="22">
        <f>'24'!G66</f>
        <v>14</v>
      </c>
      <c r="X27" s="22">
        <f>'24'!G67</f>
        <v>25</v>
      </c>
      <c r="Y27" s="22">
        <f t="shared" si="7"/>
        <v>142</v>
      </c>
      <c r="Z27" s="19">
        <f>'24'!G84</f>
        <v>-0.40000000000145519</v>
      </c>
      <c r="AA27" s="19">
        <f>'24'!G85</f>
        <v>0</v>
      </c>
      <c r="AB27" s="19">
        <f>'24'!G86</f>
        <v>23.889999999999418</v>
      </c>
      <c r="AC27" s="19">
        <f>'24'!G87</f>
        <v>0</v>
      </c>
      <c r="AD27" s="19">
        <f t="shared" si="8"/>
        <v>23.489999999997963</v>
      </c>
      <c r="AE27" s="23">
        <f t="shared" si="2"/>
        <v>2484.3300000000017</v>
      </c>
      <c r="AF27" s="23">
        <f t="shared" si="9"/>
        <v>105.76117496808077</v>
      </c>
      <c r="AG27" s="19">
        <f>'24'!G88</f>
        <v>-0.38000000000101863</v>
      </c>
      <c r="AH27" s="19">
        <f>'24'!G89</f>
        <v>10.389999999999418</v>
      </c>
      <c r="AI27" s="19">
        <f>'24'!G90</f>
        <v>2.6300000000046566</v>
      </c>
      <c r="AJ27" s="19">
        <f t="shared" si="10"/>
        <v>12.640000000003056</v>
      </c>
      <c r="AK27" s="19">
        <f>'24'!G91</f>
        <v>0</v>
      </c>
      <c r="AL27" s="19">
        <f>'24'!G92</f>
        <v>11.329999999999927</v>
      </c>
      <c r="AM27" s="19"/>
      <c r="AN27" s="19">
        <f t="shared" si="11"/>
        <v>11.329999999999927</v>
      </c>
      <c r="AO27" s="52">
        <f>'24'!G74</f>
        <v>311.18999999994412</v>
      </c>
      <c r="AP27" s="55">
        <f>'24'!G35</f>
        <v>1181.7099999999991</v>
      </c>
      <c r="AQ27" s="19">
        <f>'24'!G37</f>
        <v>1645.5099999999984</v>
      </c>
      <c r="AR27" s="19">
        <f>'24'!G38</f>
        <v>1826.3899999999994</v>
      </c>
      <c r="AS27" s="19">
        <f>'24'!G39</f>
        <v>2607.1999999999971</v>
      </c>
      <c r="AT27" s="19">
        <f>'24'!G40</f>
        <v>650.23999999999978</v>
      </c>
      <c r="AU27" s="19">
        <f>'24'!G41</f>
        <v>0</v>
      </c>
      <c r="AV27" s="19">
        <f>'24'!G42</f>
        <v>0</v>
      </c>
      <c r="AW27" s="19">
        <f>'24'!G43</f>
        <v>2087.4100000000035</v>
      </c>
      <c r="AX27" s="23">
        <f>'24'!G44</f>
        <v>0</v>
      </c>
      <c r="AY27" s="56">
        <f>'24'!G36</f>
        <v>656.69999999999709</v>
      </c>
      <c r="AZ27" s="55">
        <f>'24'!G49</f>
        <v>855.29999999999927</v>
      </c>
      <c r="BA27" s="19">
        <f>'24'!G51</f>
        <v>0</v>
      </c>
      <c r="BB27" s="19">
        <f>'24'!G52</f>
        <v>0</v>
      </c>
      <c r="BC27" s="19">
        <f>'24'!G53</f>
        <v>0</v>
      </c>
      <c r="BD27" s="19">
        <f>'24'!G54</f>
        <v>-0.42000000000007276</v>
      </c>
      <c r="BE27" s="19">
        <f>'24'!G55</f>
        <v>2484.3300000000017</v>
      </c>
      <c r="BF27" s="19">
        <f>'24'!G56</f>
        <v>0</v>
      </c>
      <c r="BG27" s="19">
        <f>'24'!G57</f>
        <v>0</v>
      </c>
      <c r="BH27" s="56">
        <f>'24'!G50</f>
        <v>1014.6399999999994</v>
      </c>
      <c r="BI27" s="60">
        <f t="shared" si="12"/>
        <v>2484.3300000000017</v>
      </c>
      <c r="BJ27" s="60">
        <f>'24'!G133</f>
        <v>437.57000000000698</v>
      </c>
      <c r="BK27" s="23">
        <f t="shared" si="13"/>
        <v>39.160247852445117</v>
      </c>
      <c r="BL27" s="23">
        <f t="shared" si="14"/>
        <v>15.44900294320329</v>
      </c>
      <c r="BM27" s="24">
        <f t="shared" si="15"/>
        <v>0.10822301505614099</v>
      </c>
      <c r="BN27" s="25">
        <f t="shared" si="16"/>
        <v>233065.42600000458</v>
      </c>
      <c r="BO27" s="38">
        <f t="shared" si="17"/>
        <v>5009.3100000000122</v>
      </c>
      <c r="BP27">
        <f t="shared" si="18"/>
        <v>0.76161740558299074</v>
      </c>
    </row>
    <row r="28" spans="1:68" x14ac:dyDescent="0.25">
      <c r="A28" s="16">
        <v>25</v>
      </c>
      <c r="B28" s="26">
        <v>25</v>
      </c>
      <c r="C28" s="28"/>
      <c r="D28" s="19">
        <f>'25'!D3</f>
        <v>22</v>
      </c>
      <c r="E28" s="50">
        <f>'25'!D4</f>
        <v>0.78</v>
      </c>
      <c r="F28" s="50">
        <f>'25'!D2</f>
        <v>0.92</v>
      </c>
      <c r="G28" s="19">
        <f>'25'!G7</f>
        <v>16329</v>
      </c>
      <c r="H28" s="19">
        <f>'25'!G8</f>
        <v>16627</v>
      </c>
      <c r="I28" s="19">
        <v>9</v>
      </c>
      <c r="J28" s="49">
        <f t="shared" si="3"/>
        <v>149643</v>
      </c>
      <c r="K28" s="45">
        <f t="shared" si="4"/>
        <v>82.311881188118818</v>
      </c>
      <c r="L28" s="19">
        <f>'25'!G15</f>
        <v>815</v>
      </c>
      <c r="M28" s="19">
        <v>56.2</v>
      </c>
      <c r="N28" s="41">
        <f t="shared" si="5"/>
        <v>45803</v>
      </c>
      <c r="O28" s="19">
        <f>'25'!G20</f>
        <v>190</v>
      </c>
      <c r="P28" s="19">
        <v>108</v>
      </c>
      <c r="Q28" s="46">
        <f t="shared" si="0"/>
        <v>20520</v>
      </c>
      <c r="R28" s="47">
        <f t="shared" si="1"/>
        <v>102.23848471803701</v>
      </c>
      <c r="S28" s="19">
        <f>'25'!G24</f>
        <v>0</v>
      </c>
      <c r="T28" s="19">
        <v>69</v>
      </c>
      <c r="U28" s="48">
        <f t="shared" si="6"/>
        <v>0</v>
      </c>
      <c r="V28" s="22">
        <f>'25'!G65</f>
        <v>86</v>
      </c>
      <c r="W28" s="22">
        <f>'25'!G66</f>
        <v>11</v>
      </c>
      <c r="X28" s="22">
        <f>'25'!G67</f>
        <v>20</v>
      </c>
      <c r="Y28" s="22">
        <f t="shared" si="7"/>
        <v>117</v>
      </c>
      <c r="Z28" s="19">
        <f>'25'!G84</f>
        <v>0.40000000000145519</v>
      </c>
      <c r="AA28" s="19">
        <f>'25'!G85</f>
        <v>21.440000000000055</v>
      </c>
      <c r="AB28" s="19">
        <f>'25'!G86</f>
        <v>0</v>
      </c>
      <c r="AC28" s="19">
        <f>'25'!G87</f>
        <v>0</v>
      </c>
      <c r="AD28" s="19">
        <f t="shared" si="8"/>
        <v>21.84000000000151</v>
      </c>
      <c r="AE28" s="23">
        <f t="shared" si="2"/>
        <v>0</v>
      </c>
      <c r="AF28" s="23">
        <f t="shared" si="9"/>
        <v>0</v>
      </c>
      <c r="AG28" s="19">
        <f>'25'!G88</f>
        <v>0</v>
      </c>
      <c r="AH28" s="19">
        <f>'25'!G89</f>
        <v>4.9799999999995634</v>
      </c>
      <c r="AI28" s="19">
        <f>'25'!G90</f>
        <v>4</v>
      </c>
      <c r="AJ28" s="19">
        <f t="shared" si="10"/>
        <v>8.9799999999995634</v>
      </c>
      <c r="AK28" s="19">
        <f>'25'!G91</f>
        <v>-0.32000000000016371</v>
      </c>
      <c r="AL28" s="19">
        <f>'25'!G92</f>
        <v>10</v>
      </c>
      <c r="AM28" s="19"/>
      <c r="AN28" s="19">
        <f t="shared" si="11"/>
        <v>9.6799999999998363</v>
      </c>
      <c r="AO28" s="52">
        <f>'25'!G74</f>
        <v>296</v>
      </c>
      <c r="AP28" s="55">
        <f>'25'!G35</f>
        <v>1308</v>
      </c>
      <c r="AQ28" s="19">
        <f>'25'!G37</f>
        <v>1608</v>
      </c>
      <c r="AR28" s="19">
        <f>'25'!G38</f>
        <v>1761</v>
      </c>
      <c r="AS28" s="19">
        <f>'25'!G39</f>
        <v>2591</v>
      </c>
      <c r="AT28" s="19">
        <f>'25'!G40</f>
        <v>593</v>
      </c>
      <c r="AU28" s="19">
        <f>'25'!G41</f>
        <v>0</v>
      </c>
      <c r="AV28" s="19"/>
      <c r="AW28" s="19">
        <f>'25'!G43</f>
        <v>1958</v>
      </c>
      <c r="AX28" s="23">
        <f>'25'!G44</f>
        <v>0</v>
      </c>
      <c r="AY28" s="56">
        <f>'25'!G36</f>
        <v>600</v>
      </c>
      <c r="AZ28" s="55">
        <f>'25'!G49</f>
        <v>832</v>
      </c>
      <c r="BA28" s="19">
        <f>'25'!G51</f>
        <v>0</v>
      </c>
      <c r="BB28" s="19">
        <f>'25'!G52</f>
        <v>0</v>
      </c>
      <c r="BC28" s="19">
        <f>'25'!G53</f>
        <v>0</v>
      </c>
      <c r="BD28" s="19">
        <f>'24'!G54</f>
        <v>-0.42000000000007276</v>
      </c>
      <c r="BE28" s="19">
        <f>'25'!G55</f>
        <v>0</v>
      </c>
      <c r="BF28" s="19">
        <f>'25'!G56</f>
        <v>0</v>
      </c>
      <c r="BG28" s="19">
        <f>'25'!G57</f>
        <v>0</v>
      </c>
      <c r="BH28" s="56">
        <f>'25'!G50</f>
        <v>1011</v>
      </c>
      <c r="BI28" s="60">
        <f t="shared" si="12"/>
        <v>0</v>
      </c>
      <c r="BJ28" s="60">
        <f>'25'!G133</f>
        <v>397</v>
      </c>
      <c r="BK28" s="23">
        <f t="shared" si="13"/>
        <v>24.646659048535511</v>
      </c>
      <c r="BL28" s="23">
        <f t="shared" si="14"/>
        <v>15.583087748842244</v>
      </c>
      <c r="BM28" s="24">
        <f t="shared" si="15"/>
        <v>0.10591207072833343</v>
      </c>
      <c r="BN28" s="25">
        <f t="shared" si="16"/>
        <v>215966</v>
      </c>
      <c r="BO28" s="38">
        <f t="shared" si="17"/>
        <v>2355</v>
      </c>
      <c r="BP28">
        <f t="shared" si="18"/>
        <v>0.38510596546308168</v>
      </c>
    </row>
    <row r="29" spans="1:68" x14ac:dyDescent="0.25">
      <c r="A29" s="16">
        <v>26</v>
      </c>
      <c r="B29" s="26">
        <v>26</v>
      </c>
      <c r="C29" s="29"/>
      <c r="D29" s="19">
        <f>'26'!D3</f>
        <v>22</v>
      </c>
      <c r="E29" s="50">
        <f>'26'!D4</f>
        <v>0.78</v>
      </c>
      <c r="F29" s="50">
        <f>'26'!D2</f>
        <v>0.87</v>
      </c>
      <c r="G29" s="19">
        <f>'26'!G7</f>
        <v>16454</v>
      </c>
      <c r="H29" s="19">
        <f>'26'!G8</f>
        <v>16892</v>
      </c>
      <c r="I29" s="19">
        <v>9</v>
      </c>
      <c r="J29" s="49">
        <f t="shared" si="3"/>
        <v>152028</v>
      </c>
      <c r="K29" s="45">
        <f t="shared" si="4"/>
        <v>83.623762376237622</v>
      </c>
      <c r="L29" s="19">
        <f>'26'!G15</f>
        <v>936</v>
      </c>
      <c r="M29" s="19">
        <v>56.2</v>
      </c>
      <c r="N29" s="41">
        <f t="shared" si="5"/>
        <v>52603.200000000004</v>
      </c>
      <c r="O29" s="19">
        <f>'26'!G20</f>
        <v>175</v>
      </c>
      <c r="P29" s="19">
        <v>108</v>
      </c>
      <c r="Q29" s="46">
        <f t="shared" si="0"/>
        <v>18900</v>
      </c>
      <c r="R29" s="47">
        <f t="shared" si="1"/>
        <v>99.57892340958233</v>
      </c>
      <c r="S29" s="19">
        <f>'26'!G24</f>
        <v>0</v>
      </c>
      <c r="T29" s="19">
        <v>69</v>
      </c>
      <c r="U29" s="48">
        <f t="shared" si="6"/>
        <v>0</v>
      </c>
      <c r="V29" s="22">
        <f>'26'!G65</f>
        <v>84</v>
      </c>
      <c r="W29" s="22">
        <f>'26'!G66</f>
        <v>19</v>
      </c>
      <c r="X29" s="22">
        <f>'26'!G67</f>
        <v>26</v>
      </c>
      <c r="Y29" s="22">
        <f t="shared" si="7"/>
        <v>129</v>
      </c>
      <c r="Z29" s="19">
        <f>'26'!G84</f>
        <v>0</v>
      </c>
      <c r="AA29" s="19">
        <f>'26'!G85</f>
        <v>24</v>
      </c>
      <c r="AB29" s="19">
        <f>'26'!G86</f>
        <v>0</v>
      </c>
      <c r="AC29" s="19">
        <f>'26'!G87</f>
        <v>0</v>
      </c>
      <c r="AD29" s="19">
        <f t="shared" si="8"/>
        <v>24</v>
      </c>
      <c r="AE29" s="23">
        <f t="shared" si="2"/>
        <v>3448</v>
      </c>
      <c r="AF29" s="23">
        <f t="shared" si="9"/>
        <v>143.66666666666666</v>
      </c>
      <c r="AG29" s="19">
        <f>'26'!G88</f>
        <v>0</v>
      </c>
      <c r="AH29" s="19">
        <f>'26'!G89</f>
        <v>9.0200000000004366</v>
      </c>
      <c r="AI29" s="19">
        <f>'26'!G90</f>
        <v>3</v>
      </c>
      <c r="AJ29" s="19">
        <f t="shared" si="10"/>
        <v>12.020000000000437</v>
      </c>
      <c r="AK29" s="19">
        <f>'26'!G91</f>
        <v>0</v>
      </c>
      <c r="AL29" s="19">
        <f>'26'!G92</f>
        <v>11</v>
      </c>
      <c r="AM29" s="19"/>
      <c r="AN29" s="19">
        <f t="shared" si="11"/>
        <v>11</v>
      </c>
      <c r="AO29" s="52">
        <f>'26'!G74</f>
        <v>286</v>
      </c>
      <c r="AP29" s="55">
        <f>'26'!G35</f>
        <v>1248</v>
      </c>
      <c r="AQ29" s="19">
        <f>'26'!G37</f>
        <v>1519</v>
      </c>
      <c r="AR29" s="19">
        <f>'26'!G38</f>
        <v>1746</v>
      </c>
      <c r="AS29" s="19">
        <f>'26'!G39</f>
        <v>2557</v>
      </c>
      <c r="AT29" s="19">
        <f>'26'!G40</f>
        <v>692</v>
      </c>
      <c r="AU29" s="19">
        <f>'26'!G41</f>
        <v>0</v>
      </c>
      <c r="AV29" s="19">
        <f>'26'!G42</f>
        <v>3448</v>
      </c>
      <c r="AW29" s="19">
        <f>'26'!G43</f>
        <v>1948</v>
      </c>
      <c r="AX29" s="23">
        <f>'26'!G44</f>
        <v>0</v>
      </c>
      <c r="AY29" s="56">
        <f>'26'!G36</f>
        <v>643</v>
      </c>
      <c r="AZ29" s="55">
        <f>'26'!G49</f>
        <v>831</v>
      </c>
      <c r="BA29" s="19">
        <f>'26'!G51</f>
        <v>0</v>
      </c>
      <c r="BB29" s="19">
        <f>'26'!G52</f>
        <v>0</v>
      </c>
      <c r="BC29" s="19">
        <f>'26'!G53</f>
        <v>0</v>
      </c>
      <c r="BD29" s="19">
        <f>'26'!G54</f>
        <v>0</v>
      </c>
      <c r="BE29" s="19">
        <f>'26'!G55</f>
        <v>0</v>
      </c>
      <c r="BF29" s="19">
        <f>'26'!G56</f>
        <v>0</v>
      </c>
      <c r="BG29" s="19">
        <f>'26'!G57</f>
        <v>0</v>
      </c>
      <c r="BH29" s="56">
        <f>'26'!G50</f>
        <v>1009</v>
      </c>
      <c r="BI29" s="60">
        <f t="shared" si="12"/>
        <v>3448</v>
      </c>
      <c r="BJ29" s="60">
        <f>'26'!G133</f>
        <v>428</v>
      </c>
      <c r="BK29" s="23">
        <f t="shared" si="13"/>
        <v>44.251716789012555</v>
      </c>
      <c r="BL29" s="23">
        <f t="shared" si="14"/>
        <v>15.137343121004026</v>
      </c>
      <c r="BM29" s="24">
        <f t="shared" si="15"/>
        <v>0.10336253847975373</v>
      </c>
      <c r="BN29" s="25">
        <f t="shared" si="16"/>
        <v>223531.2</v>
      </c>
      <c r="BO29" s="38">
        <f t="shared" si="17"/>
        <v>5824</v>
      </c>
      <c r="BP29">
        <f t="shared" si="18"/>
        <v>0.8666666666666667</v>
      </c>
    </row>
    <row r="30" spans="1:68" x14ac:dyDescent="0.25">
      <c r="A30" s="16">
        <v>27</v>
      </c>
      <c r="B30" s="17">
        <v>27</v>
      </c>
      <c r="C30" s="28"/>
      <c r="D30" s="19">
        <f>'27'!D3</f>
        <v>25</v>
      </c>
      <c r="E30" s="50">
        <f>'27'!D4</f>
        <v>0.77</v>
      </c>
      <c r="F30" s="50">
        <f>'27'!D2</f>
        <v>0.76</v>
      </c>
      <c r="G30" s="19">
        <f>'27'!G7</f>
        <v>23500</v>
      </c>
      <c r="H30" s="19">
        <f>'27'!G8</f>
        <v>23500</v>
      </c>
      <c r="I30" s="19">
        <v>9</v>
      </c>
      <c r="J30" s="49">
        <f t="shared" si="3"/>
        <v>211500</v>
      </c>
      <c r="K30" s="45">
        <f t="shared" si="4"/>
        <v>116.33663366336634</v>
      </c>
      <c r="L30" s="19">
        <f>'27'!G15</f>
        <v>1100</v>
      </c>
      <c r="M30" s="19">
        <v>56.2</v>
      </c>
      <c r="N30" s="41">
        <f t="shared" si="5"/>
        <v>61820</v>
      </c>
      <c r="O30" s="19">
        <f>'27'!G20</f>
        <v>295</v>
      </c>
      <c r="P30" s="19">
        <v>108</v>
      </c>
      <c r="Q30" s="46">
        <f t="shared" si="0"/>
        <v>31860</v>
      </c>
      <c r="R30" s="47">
        <f t="shared" si="1"/>
        <v>192.15737363210005</v>
      </c>
      <c r="S30" s="19">
        <f>'27'!G24</f>
        <v>0</v>
      </c>
      <c r="T30" s="19">
        <v>69</v>
      </c>
      <c r="U30" s="48">
        <f t="shared" si="6"/>
        <v>0</v>
      </c>
      <c r="V30" s="22">
        <f>'27'!G65</f>
        <v>-2320</v>
      </c>
      <c r="W30" s="22">
        <f>'27'!G66</f>
        <v>-496</v>
      </c>
      <c r="X30" s="22">
        <f>'27'!G67</f>
        <v>-718</v>
      </c>
      <c r="Y30" s="22">
        <f t="shared" si="7"/>
        <v>-3534</v>
      </c>
      <c r="Z30" s="19">
        <f>'27'!G84</f>
        <v>0</v>
      </c>
      <c r="AA30" s="19">
        <f>'27'!G85</f>
        <v>-106</v>
      </c>
      <c r="AB30" s="19">
        <f>'27'!G86</f>
        <v>-615.52999999999884</v>
      </c>
      <c r="AC30" s="19">
        <f>'27'!G87</f>
        <v>0</v>
      </c>
      <c r="AD30" s="19">
        <f t="shared" si="8"/>
        <v>-721.52999999999884</v>
      </c>
      <c r="AE30" s="23">
        <f t="shared" si="2"/>
        <v>-91537</v>
      </c>
      <c r="AF30" s="23">
        <f t="shared" si="9"/>
        <v>126.86513381287008</v>
      </c>
      <c r="AG30" s="19">
        <f>'27'!G88</f>
        <v>-24</v>
      </c>
      <c r="AH30" s="19">
        <f>'27'!G89</f>
        <v>-209</v>
      </c>
      <c r="AI30" s="19">
        <f>'27'!G90</f>
        <v>-142</v>
      </c>
      <c r="AJ30" s="19">
        <f t="shared" si="10"/>
        <v>-375</v>
      </c>
      <c r="AK30" s="19">
        <f>'27'!G91</f>
        <v>0</v>
      </c>
      <c r="AL30" s="19">
        <f>'27'!G92</f>
        <v>-315</v>
      </c>
      <c r="AM30" s="19"/>
      <c r="AN30" s="19">
        <f t="shared" si="11"/>
        <v>-315</v>
      </c>
      <c r="AO30" s="52">
        <f>'27'!G74</f>
        <v>-8952</v>
      </c>
      <c r="AP30" s="55">
        <f>'27'!G35</f>
        <v>119415</v>
      </c>
      <c r="AQ30" s="19">
        <f>'27'!G37</f>
        <v>161594</v>
      </c>
      <c r="AR30" s="19">
        <f>'27'!G38</f>
        <v>195159</v>
      </c>
      <c r="AS30" s="19">
        <f>'27'!G39</f>
        <v>354051</v>
      </c>
      <c r="AT30" s="19">
        <f>'27'!G40</f>
        <v>-13385</v>
      </c>
      <c r="AU30" s="19">
        <f>'27'!G41</f>
        <v>0</v>
      </c>
      <c r="AV30" s="19">
        <f>'27'!G42</f>
        <v>-17171</v>
      </c>
      <c r="AW30" s="19">
        <f>'27'!G43</f>
        <v>-68023</v>
      </c>
      <c r="AX30" s="23">
        <f>'27'!G44</f>
        <v>0</v>
      </c>
      <c r="AY30" s="56">
        <f>'27'!G36</f>
        <v>-21645</v>
      </c>
      <c r="AZ30" s="55">
        <f>'27'!G49</f>
        <v>245778</v>
      </c>
      <c r="BA30" s="19">
        <f>'27'!G51</f>
        <v>0</v>
      </c>
      <c r="BB30" s="19">
        <f>'27'!G52</f>
        <v>0</v>
      </c>
      <c r="BC30" s="19">
        <f>'27'!G53</f>
        <v>0</v>
      </c>
      <c r="BD30" s="19">
        <f>'27'!G54</f>
        <v>-1981</v>
      </c>
      <c r="BE30" s="19">
        <f>'27'!G55</f>
        <v>-74366</v>
      </c>
      <c r="BF30" s="19">
        <f>'27'!G56</f>
        <v>0</v>
      </c>
      <c r="BG30" s="19">
        <f>'27'!G57</f>
        <v>0</v>
      </c>
      <c r="BH30" s="56">
        <f>'27'!G50</f>
        <v>-30843</v>
      </c>
      <c r="BI30" s="60">
        <f t="shared" si="12"/>
        <v>-91537</v>
      </c>
      <c r="BJ30" s="60">
        <f>'27'!G133</f>
        <v>-18038</v>
      </c>
      <c r="BK30" s="23">
        <f t="shared" si="13"/>
        <v>875.03404255319151</v>
      </c>
      <c r="BL30" s="23">
        <f t="shared" si="14"/>
        <v>1506.6</v>
      </c>
      <c r="BM30" s="24">
        <f t="shared" si="15"/>
        <v>8.3046382978723408</v>
      </c>
      <c r="BN30" s="25">
        <f t="shared" si="16"/>
        <v>305180</v>
      </c>
      <c r="BO30" s="38">
        <f t="shared" si="17"/>
        <v>-177598</v>
      </c>
      <c r="BP30">
        <f t="shared" si="18"/>
        <v>0.87907442715974726</v>
      </c>
    </row>
    <row r="31" spans="1:68" x14ac:dyDescent="0.25">
      <c r="A31" s="16">
        <v>28</v>
      </c>
      <c r="B31" s="26">
        <v>28</v>
      </c>
      <c r="C31" s="28"/>
      <c r="D31" s="19">
        <f>'28'!D3</f>
        <v>28</v>
      </c>
      <c r="E31" s="50">
        <f>'28'!D4</f>
        <v>0.78</v>
      </c>
      <c r="F31" s="50">
        <f>'28'!D2</f>
        <v>0.92</v>
      </c>
      <c r="G31" s="19">
        <f>'28'!G7</f>
        <v>30714</v>
      </c>
      <c r="H31" s="19">
        <f>'28'!G8</f>
        <v>23500</v>
      </c>
      <c r="I31" s="19">
        <v>9</v>
      </c>
      <c r="J31" s="49">
        <f t="shared" si="3"/>
        <v>211500</v>
      </c>
      <c r="K31" s="45">
        <f t="shared" si="4"/>
        <v>116.33663366336634</v>
      </c>
      <c r="L31" s="19">
        <f>'28'!G15</f>
        <v>1100</v>
      </c>
      <c r="M31" s="19">
        <v>56.2</v>
      </c>
      <c r="N31" s="41">
        <f t="shared" si="5"/>
        <v>61820</v>
      </c>
      <c r="O31" s="19">
        <f>'28'!G20</f>
        <v>415</v>
      </c>
      <c r="P31" s="19">
        <v>108</v>
      </c>
      <c r="Q31" s="46">
        <f t="shared" si="0"/>
        <v>44820</v>
      </c>
      <c r="R31" s="47">
        <f t="shared" si="1"/>
        <v>223.31037451571243</v>
      </c>
      <c r="S31" s="19">
        <f>'28'!G24</f>
        <v>0</v>
      </c>
      <c r="T31" s="19">
        <v>69</v>
      </c>
      <c r="U31" s="48">
        <f t="shared" si="6"/>
        <v>0</v>
      </c>
      <c r="V31" s="22">
        <f>'28'!G65</f>
        <v>134</v>
      </c>
      <c r="W31" s="22">
        <f>'28'!G66</f>
        <v>16</v>
      </c>
      <c r="X31" s="22">
        <f>'28'!G67</f>
        <v>26</v>
      </c>
      <c r="Y31" s="22">
        <f t="shared" si="7"/>
        <v>176</v>
      </c>
      <c r="Z31" s="19">
        <f>'28'!G84</f>
        <v>-0.15000000000145519</v>
      </c>
      <c r="AA31" s="19">
        <f>'28'!G85</f>
        <v>24.070000000000164</v>
      </c>
      <c r="AB31" s="19">
        <f>'28'!G86</f>
        <v>-0.47000000000116415</v>
      </c>
      <c r="AC31" s="19">
        <f>'28'!G87</f>
        <v>0</v>
      </c>
      <c r="AD31" s="19">
        <f t="shared" si="8"/>
        <v>23.449999999997544</v>
      </c>
      <c r="AE31" s="23">
        <f t="shared" si="2"/>
        <v>4561.429999999993</v>
      </c>
      <c r="AF31" s="23">
        <f t="shared" si="9"/>
        <v>194.51727078893265</v>
      </c>
      <c r="AG31" s="19">
        <f>'28'!G88</f>
        <v>1.8699999999989814</v>
      </c>
      <c r="AH31" s="19">
        <f>'28'!G89</f>
        <v>7.9399999999986903</v>
      </c>
      <c r="AI31" s="19">
        <f>'28'!G90</f>
        <v>5.9299999999930151</v>
      </c>
      <c r="AJ31" s="19">
        <f t="shared" si="10"/>
        <v>15.739999999990687</v>
      </c>
      <c r="AK31" s="19">
        <f>'28'!G91</f>
        <v>0</v>
      </c>
      <c r="AL31" s="19">
        <f>'28'!G92</f>
        <v>11.680000000000291</v>
      </c>
      <c r="AM31" s="19"/>
      <c r="AN31" s="19">
        <f t="shared" si="11"/>
        <v>11.680000000000291</v>
      </c>
      <c r="AO31" s="52">
        <f>'28'!G74</f>
        <v>325.92099999997299</v>
      </c>
      <c r="AP31" s="55">
        <f>'28'!G35</f>
        <v>1836.2699999999895</v>
      </c>
      <c r="AQ31" s="19">
        <f>'28'!G37</f>
        <v>1536.2300000000105</v>
      </c>
      <c r="AR31" s="19">
        <f>'28'!G38</f>
        <v>1967.4899999999907</v>
      </c>
      <c r="AS31" s="19">
        <f>'28'!G39</f>
        <v>2740.429999999993</v>
      </c>
      <c r="AT31" s="19">
        <f>'28'!G40</f>
        <v>982.77000000000044</v>
      </c>
      <c r="AU31" s="19">
        <f>'28'!G41</f>
        <v>0</v>
      </c>
      <c r="AV31" s="19">
        <f>'28'!G42</f>
        <v>4561.429999999993</v>
      </c>
      <c r="AW31" s="86">
        <f>'28'!G43</f>
        <v>2482.0699999999997</v>
      </c>
      <c r="AX31" s="23">
        <f>'28'!G44</f>
        <v>0</v>
      </c>
      <c r="AY31" s="56">
        <f>'28'!G36</f>
        <v>766.93999999999869</v>
      </c>
      <c r="AZ31" s="55">
        <f>'28'!G49</f>
        <v>1484.4099999999744</v>
      </c>
      <c r="BA31" s="19">
        <f>'28'!G51</f>
        <v>0</v>
      </c>
      <c r="BB31" s="19">
        <f>'28'!G52</f>
        <v>0</v>
      </c>
      <c r="BC31" s="19">
        <f>'28'!G53</f>
        <v>0</v>
      </c>
      <c r="BD31" s="19">
        <f>'28'!G54</f>
        <v>4.4000000000000909</v>
      </c>
      <c r="BE31" s="19">
        <f>'28'!G55</f>
        <v>0</v>
      </c>
      <c r="BF31" s="19">
        <f>'28'!G56</f>
        <v>0</v>
      </c>
      <c r="BG31" s="19">
        <f>'28'!G57</f>
        <v>0</v>
      </c>
      <c r="BH31" s="56">
        <f>'28'!G50</f>
        <v>1148.2000000000007</v>
      </c>
      <c r="BI31" s="60">
        <f t="shared" si="12"/>
        <v>4561.429999999993</v>
      </c>
      <c r="BJ31" s="60">
        <f>'28'!G133</f>
        <v>658.92999999999302</v>
      </c>
      <c r="BK31" s="23">
        <f>SUM(AP31,AU31,AV31,AW31,AZ31,BE31,BF31,BG31)/H31%</f>
        <v>44.102893617021095</v>
      </c>
      <c r="BL31" s="23">
        <f t="shared" si="14"/>
        <v>11.66140425531912</v>
      </c>
      <c r="BM31" s="24">
        <f t="shared" si="15"/>
        <v>8.3722978723403854E-2</v>
      </c>
      <c r="BN31" s="25">
        <f t="shared" si="16"/>
        <v>318140</v>
      </c>
      <c r="BO31" s="38">
        <f t="shared" si="17"/>
        <v>7702.4299999999857</v>
      </c>
      <c r="BP31">
        <f t="shared" si="18"/>
        <v>1.1730779774597613</v>
      </c>
    </row>
    <row r="32" spans="1:68" x14ac:dyDescent="0.25">
      <c r="A32" s="16">
        <v>29</v>
      </c>
      <c r="B32" s="26">
        <v>29</v>
      </c>
      <c r="C32" s="28"/>
      <c r="D32" s="19">
        <f>'29'!D3</f>
        <v>28</v>
      </c>
      <c r="E32" s="50">
        <f>'29'!D4</f>
        <v>0.8</v>
      </c>
      <c r="F32" s="50">
        <f>'29'!D2</f>
        <v>0.45</v>
      </c>
      <c r="G32" s="19">
        <f>'29'!G7</f>
        <v>23500</v>
      </c>
      <c r="H32" s="19">
        <f>'29'!G8</f>
        <v>23500</v>
      </c>
      <c r="I32" s="19">
        <v>9</v>
      </c>
      <c r="J32" s="49">
        <f t="shared" si="3"/>
        <v>211500</v>
      </c>
      <c r="K32" s="45">
        <f t="shared" si="4"/>
        <v>116.33663366336634</v>
      </c>
      <c r="L32" s="19">
        <f>'29'!G15</f>
        <v>1100</v>
      </c>
      <c r="M32" s="19">
        <v>56.2</v>
      </c>
      <c r="N32" s="41">
        <f t="shared" si="5"/>
        <v>61820</v>
      </c>
      <c r="O32" s="19">
        <f>'29'!G20</f>
        <v>535</v>
      </c>
      <c r="P32" s="19">
        <v>108</v>
      </c>
      <c r="Q32" s="46">
        <f t="shared" si="0"/>
        <v>57780</v>
      </c>
      <c r="R32" s="47">
        <f t="shared" si="1"/>
        <v>588.55885588558851</v>
      </c>
      <c r="S32" s="19">
        <f>'29'!G24</f>
        <v>0</v>
      </c>
      <c r="T32" s="19">
        <v>69</v>
      </c>
      <c r="U32" s="48">
        <f t="shared" si="6"/>
        <v>0</v>
      </c>
      <c r="V32" s="22">
        <f>'29'!G65</f>
        <v>104</v>
      </c>
      <c r="W32" s="22">
        <f>'29'!G66</f>
        <v>20</v>
      </c>
      <c r="X32" s="22">
        <f>'29'!G67</f>
        <v>28</v>
      </c>
      <c r="Y32" s="22">
        <f t="shared" si="7"/>
        <v>152</v>
      </c>
      <c r="Z32" s="19">
        <f>'29'!G84</f>
        <v>1.0000000002037268E-2</v>
      </c>
      <c r="AA32" s="19">
        <f>'29'!G85</f>
        <v>23.519999999999982</v>
      </c>
      <c r="AB32" s="19">
        <f>'29'!G86</f>
        <v>6.9999999999708962E-2</v>
      </c>
      <c r="AC32" s="19">
        <f>'29'!G87</f>
        <v>0</v>
      </c>
      <c r="AD32" s="19">
        <f t="shared" si="8"/>
        <v>23.600000000001728</v>
      </c>
      <c r="AE32" s="23">
        <f t="shared" si="2"/>
        <v>4224.9400000000023</v>
      </c>
      <c r="AF32" s="23">
        <f t="shared" si="9"/>
        <v>179.0228813559192</v>
      </c>
      <c r="AG32" s="19">
        <f>'29'!G88</f>
        <v>0.19000000000232831</v>
      </c>
      <c r="AH32" s="19">
        <f>'29'!G89</f>
        <v>9.319999999999709</v>
      </c>
      <c r="AI32" s="19">
        <f>'29'!G90</f>
        <v>5.1000000000058208</v>
      </c>
      <c r="AJ32" s="19">
        <f t="shared" si="10"/>
        <v>14.610000000007858</v>
      </c>
      <c r="AK32" s="19">
        <f>'29'!G91</f>
        <v>0</v>
      </c>
      <c r="AL32" s="19">
        <f>'29'!G92</f>
        <v>11.449999999999818</v>
      </c>
      <c r="AM32" s="19"/>
      <c r="AN32" s="19">
        <f t="shared" si="11"/>
        <v>11.449999999999818</v>
      </c>
      <c r="AO32" s="52">
        <f>'29'!G74</f>
        <v>326.39899999997579</v>
      </c>
      <c r="AP32" s="55">
        <f>'29'!G35</f>
        <v>1871.7200000000012</v>
      </c>
      <c r="AQ32" s="19">
        <f>'29'!G37</f>
        <v>1544.4799999999814</v>
      </c>
      <c r="AR32" s="19">
        <f>'29'!G38</f>
        <v>1870.5800000000163</v>
      </c>
      <c r="AS32" s="19">
        <f>'29'!G39</f>
        <v>2727.320000000007</v>
      </c>
      <c r="AT32" s="19">
        <f>'29'!G40</f>
        <v>381.89999999999964</v>
      </c>
      <c r="AU32" s="19">
        <f>'29'!G41</f>
        <v>0</v>
      </c>
      <c r="AV32" s="19">
        <f>'29'!G42</f>
        <v>4224.9400000000023</v>
      </c>
      <c r="AW32" s="19">
        <f>'29'!G43</f>
        <v>2459.9199999999983</v>
      </c>
      <c r="AX32" s="23">
        <f>'29'!G44</f>
        <v>0</v>
      </c>
      <c r="AY32" s="56">
        <f>'29'!G36</f>
        <v>817.22999999999956</v>
      </c>
      <c r="AZ32" s="55">
        <f>'29'!G49</f>
        <v>1433.8400000000256</v>
      </c>
      <c r="BA32" s="19">
        <f>'29'!G51</f>
        <v>0</v>
      </c>
      <c r="BB32" s="19">
        <f>'29'!G52</f>
        <v>0</v>
      </c>
      <c r="BC32" s="19">
        <f>'29'!G53</f>
        <v>0</v>
      </c>
      <c r="BD32" s="19">
        <f>'29'!G54</f>
        <v>4.3600000000001273</v>
      </c>
      <c r="BE32" s="19">
        <f>'29'!G55</f>
        <v>0</v>
      </c>
      <c r="BF32" s="19">
        <f>'29'!G56</f>
        <v>0</v>
      </c>
      <c r="BG32" s="19">
        <f>'29'!G57</f>
        <v>0</v>
      </c>
      <c r="BH32" s="56">
        <f>'29'!G50</f>
        <v>950.39999999999782</v>
      </c>
      <c r="BI32" s="60">
        <f t="shared" si="12"/>
        <v>4224.9400000000023</v>
      </c>
      <c r="BJ32" s="60">
        <f>'29'!G133</f>
        <v>707.36000000000058</v>
      </c>
      <c r="BK32" s="23">
        <f t="shared" si="13"/>
        <v>42.512425531915007</v>
      </c>
      <c r="BL32" s="23">
        <f t="shared" si="14"/>
        <v>11.605617021276625</v>
      </c>
      <c r="BM32" s="24">
        <f t="shared" si="15"/>
        <v>7.9599148936170913E-2</v>
      </c>
      <c r="BN32" s="25">
        <f t="shared" si="16"/>
        <v>331100</v>
      </c>
      <c r="BO32" s="38">
        <f t="shared" si="17"/>
        <v>7392.2200000000012</v>
      </c>
      <c r="BP32">
        <f t="shared" si="18"/>
        <v>1.1186773607747367</v>
      </c>
    </row>
    <row r="33" spans="1:68" x14ac:dyDescent="0.25">
      <c r="A33" s="16">
        <v>30</v>
      </c>
      <c r="B33" s="27">
        <v>30</v>
      </c>
      <c r="C33" s="28"/>
      <c r="D33" s="19">
        <f>'30'!D3</f>
        <v>25</v>
      </c>
      <c r="E33" s="50">
        <f>'30'!D4</f>
        <v>0.8</v>
      </c>
      <c r="F33" s="50">
        <f>'30'!D2</f>
        <v>0.61</v>
      </c>
      <c r="G33" s="19">
        <f>'30'!G7</f>
        <v>23500</v>
      </c>
      <c r="H33" s="19">
        <f>'30'!G8</f>
        <v>23500</v>
      </c>
      <c r="I33" s="19">
        <v>9</v>
      </c>
      <c r="J33" s="49">
        <f t="shared" si="3"/>
        <v>211500</v>
      </c>
      <c r="K33" s="45">
        <f t="shared" si="4"/>
        <v>116.33663366336634</v>
      </c>
      <c r="L33" s="19">
        <f>'30'!G15</f>
        <v>1100</v>
      </c>
      <c r="M33" s="19">
        <v>56.2</v>
      </c>
      <c r="N33" s="41">
        <f t="shared" si="5"/>
        <v>61820</v>
      </c>
      <c r="O33" s="19">
        <f>'30'!G20</f>
        <v>655</v>
      </c>
      <c r="P33" s="19">
        <v>108</v>
      </c>
      <c r="Q33" s="46">
        <f t="shared" si="0"/>
        <v>70740</v>
      </c>
      <c r="R33" s="47">
        <f t="shared" si="1"/>
        <v>531.56955039766274</v>
      </c>
      <c r="S33" s="19">
        <f>'30'!G24</f>
        <v>0</v>
      </c>
      <c r="T33" s="19">
        <v>69</v>
      </c>
      <c r="U33" s="48">
        <f t="shared" si="6"/>
        <v>0</v>
      </c>
      <c r="V33" s="22">
        <f>'30'!G65</f>
        <v>103</v>
      </c>
      <c r="W33" s="22">
        <f>'30'!G66</f>
        <v>18</v>
      </c>
      <c r="X33" s="22">
        <f>'30'!G67</f>
        <v>35</v>
      </c>
      <c r="Y33" s="22">
        <f t="shared" si="7"/>
        <v>156</v>
      </c>
      <c r="Z33" s="19">
        <f>'30'!G84</f>
        <v>0</v>
      </c>
      <c r="AA33" s="19">
        <f>'30'!G85</f>
        <v>12.9699999999998</v>
      </c>
      <c r="AB33" s="19">
        <f>'30'!G86</f>
        <v>12.930000000000291</v>
      </c>
      <c r="AC33" s="19">
        <f>'30'!G87</f>
        <v>0</v>
      </c>
      <c r="AD33" s="19">
        <f t="shared" si="8"/>
        <v>25.900000000000091</v>
      </c>
      <c r="AE33" s="23">
        <f t="shared" si="2"/>
        <v>4162.6300000000047</v>
      </c>
      <c r="AF33" s="23">
        <f t="shared" si="9"/>
        <v>160.71930501930464</v>
      </c>
      <c r="AG33" s="19">
        <f>'30'!G88</f>
        <v>-6.0000000001309672E-2</v>
      </c>
      <c r="AH33" s="19">
        <f>'30'!G89</f>
        <v>9.7400000000016007</v>
      </c>
      <c r="AI33" s="19">
        <f>'30'!G90</f>
        <v>4.9700000000011642</v>
      </c>
      <c r="AJ33" s="19">
        <f t="shared" si="10"/>
        <v>14.650000000001455</v>
      </c>
      <c r="AK33" s="19">
        <f>'30'!G91</f>
        <v>0</v>
      </c>
      <c r="AL33" s="19">
        <f>'30'!G92</f>
        <v>10.869999999999891</v>
      </c>
      <c r="AM33" s="19"/>
      <c r="AN33" s="19">
        <f t="shared" si="11"/>
        <v>10.869999999999891</v>
      </c>
      <c r="AO33" s="52">
        <f>'30'!G74</f>
        <v>306.68000000005122</v>
      </c>
      <c r="AP33" s="55">
        <f>'30'!G35</f>
        <v>2062.0100000000093</v>
      </c>
      <c r="AQ33" s="19">
        <f>'30'!G37</f>
        <v>1598.2900000000081</v>
      </c>
      <c r="AR33" s="19">
        <f>'30'!G38</f>
        <v>1908.929999999993</v>
      </c>
      <c r="AS33" s="19">
        <f>'30'!G39</f>
        <v>2712.25</v>
      </c>
      <c r="AT33" s="19">
        <f>'30'!G40</f>
        <v>160.32999999999993</v>
      </c>
      <c r="AU33" s="19">
        <f>'30'!G41</f>
        <v>0</v>
      </c>
      <c r="AV33" s="19">
        <f>'30'!G42</f>
        <v>1908.6300000000047</v>
      </c>
      <c r="AW33" s="19">
        <f>'30'!G43</f>
        <v>2662.010000000002</v>
      </c>
      <c r="AX33" s="23">
        <f>'30'!G44</f>
        <v>0</v>
      </c>
      <c r="AY33" s="56">
        <f>'30'!G36</f>
        <v>847.83000000000175</v>
      </c>
      <c r="AZ33" s="55">
        <f>'30'!G49</f>
        <v>1433.75</v>
      </c>
      <c r="BA33" s="19">
        <f>'30'!G51</f>
        <v>0</v>
      </c>
      <c r="BB33" s="19">
        <f>'30'!G52</f>
        <v>0</v>
      </c>
      <c r="BC33" s="19">
        <f>'30'!G53</f>
        <v>0</v>
      </c>
      <c r="BD33" s="19">
        <f>'30'!G54</f>
        <v>4.2399999999997817</v>
      </c>
      <c r="BE33" s="19">
        <f>'30'!G55</f>
        <v>2254</v>
      </c>
      <c r="BF33" s="19">
        <f>'30'!G56</f>
        <v>0</v>
      </c>
      <c r="BG33" s="19">
        <f>'30'!G57</f>
        <v>0</v>
      </c>
      <c r="BH33" s="56">
        <f>'30'!G50</f>
        <v>1046.4000000000015</v>
      </c>
      <c r="BI33" s="60">
        <f t="shared" ref="BI33" si="19">SUM(AU33,AV33,BE33,BF33)</f>
        <v>4162.6300000000047</v>
      </c>
      <c r="BJ33" s="60">
        <f>'30'!G133</f>
        <v>587.7100000000064</v>
      </c>
      <c r="BK33" s="23">
        <f t="shared" si="13"/>
        <v>43.916595744680919</v>
      </c>
      <c r="BL33" s="23">
        <f t="shared" si="14"/>
        <v>11.541489361702128</v>
      </c>
      <c r="BM33" s="24">
        <f t="shared" si="15"/>
        <v>8.123106382978694E-2</v>
      </c>
      <c r="BN33" s="25">
        <f t="shared" si="16"/>
        <v>344060</v>
      </c>
      <c r="BO33" s="38">
        <f t="shared" si="17"/>
        <v>7412.3500000000131</v>
      </c>
      <c r="BP33">
        <f t="shared" si="18"/>
        <v>1.0221111417539972</v>
      </c>
    </row>
    <row r="34" spans="1:68" x14ac:dyDescent="0.25">
      <c r="A34" s="16">
        <v>31</v>
      </c>
      <c r="B34" s="27">
        <v>31</v>
      </c>
      <c r="C34" s="28"/>
      <c r="D34" s="19">
        <v>30</v>
      </c>
      <c r="E34" s="50" t="str">
        <f>'30'!D5</f>
        <v>Unit</v>
      </c>
      <c r="F34" s="50">
        <f>'30'!D3</f>
        <v>25</v>
      </c>
      <c r="G34" s="19">
        <f>'31'!G7</f>
        <v>23500</v>
      </c>
      <c r="H34" s="19">
        <f>'31'!G8</f>
        <v>23500</v>
      </c>
      <c r="I34" s="19">
        <v>9</v>
      </c>
      <c r="J34" s="49">
        <f t="shared" si="3"/>
        <v>211500</v>
      </c>
      <c r="K34" s="45">
        <f t="shared" ref="K34" si="20">H34/202</f>
        <v>116.33663366336634</v>
      </c>
      <c r="L34" s="19">
        <f>'31'!G15</f>
        <v>1100</v>
      </c>
      <c r="M34" s="19">
        <v>56.2</v>
      </c>
      <c r="N34" s="41">
        <f t="shared" ref="N34" si="21">L34*M34</f>
        <v>61820</v>
      </c>
      <c r="O34" s="19">
        <f>'31'!G20</f>
        <v>775</v>
      </c>
      <c r="P34" s="19">
        <v>108</v>
      </c>
      <c r="Q34" s="46">
        <f t="shared" ref="Q34" si="22">O34*P34</f>
        <v>83700</v>
      </c>
      <c r="R34" s="47">
        <f t="shared" si="1"/>
        <v>15.346534653465346</v>
      </c>
      <c r="S34" s="19">
        <f>'30'!G25</f>
        <v>0</v>
      </c>
      <c r="T34" s="19">
        <v>70</v>
      </c>
      <c r="U34" s="48">
        <f t="shared" ref="U34" si="23">S34*T34</f>
        <v>0</v>
      </c>
      <c r="V34" s="22">
        <f>'31'!G65</f>
        <v>94</v>
      </c>
      <c r="W34" s="22">
        <f>'31'!G66</f>
        <v>19</v>
      </c>
      <c r="X34" s="22">
        <f>'31'!G67</f>
        <v>31</v>
      </c>
      <c r="Y34" s="22">
        <f t="shared" ref="Y34" si="24">V34+W34+X34</f>
        <v>144</v>
      </c>
      <c r="Z34" s="19">
        <f>'31'!G84</f>
        <v>-0.26000000000203727</v>
      </c>
      <c r="AA34" s="19">
        <f>'31'!G85</f>
        <v>0</v>
      </c>
      <c r="AB34" s="19">
        <f>'31'!G86</f>
        <v>24</v>
      </c>
      <c r="AC34" s="19">
        <f>'31'!G87</f>
        <v>0</v>
      </c>
      <c r="AD34" s="19">
        <f t="shared" ref="AD34" si="25">Z34+AA34+AB34+AC34</f>
        <v>23.739999999997963</v>
      </c>
      <c r="AE34" s="23">
        <f t="shared" ref="AE34" si="26">AU34+AV34+BE34+BF34</f>
        <v>3511</v>
      </c>
      <c r="AF34" s="23">
        <f t="shared" ref="AF34" si="27">AE34/AD34</f>
        <v>147.89385004213568</v>
      </c>
      <c r="AG34" s="19">
        <f>'31'!G88</f>
        <v>6</v>
      </c>
      <c r="AH34" s="19">
        <f>'31'!G89</f>
        <v>2</v>
      </c>
      <c r="AI34" s="19">
        <f>'31'!G90</f>
        <v>7</v>
      </c>
      <c r="AJ34" s="19">
        <f t="shared" ref="AJ34" si="28">AG34+AH34+AI34</f>
        <v>15</v>
      </c>
      <c r="AK34" s="19">
        <f>'31'!G91</f>
        <v>0.32000000000016371</v>
      </c>
      <c r="AL34" s="19">
        <f>'31'!G92</f>
        <v>9</v>
      </c>
      <c r="AM34" s="19"/>
      <c r="AN34" s="19">
        <f t="shared" ref="AN34" si="29">AK34+AL34</f>
        <v>9.3200000000001637</v>
      </c>
      <c r="AO34" s="52">
        <f>'31'!G74</f>
        <v>269</v>
      </c>
      <c r="AP34" s="55">
        <f>'31'!G35</f>
        <v>1893</v>
      </c>
      <c r="AQ34" s="19">
        <f>'31'!G37</f>
        <v>1605</v>
      </c>
      <c r="AR34" s="19">
        <f>'31'!G38</f>
        <v>1751</v>
      </c>
      <c r="AS34" s="19">
        <f>'31'!G39</f>
        <v>2762</v>
      </c>
      <c r="AT34" s="19">
        <f>'31'!G40</f>
        <v>1</v>
      </c>
      <c r="AU34" s="19">
        <f>'31'!G41</f>
        <v>0</v>
      </c>
      <c r="AV34" s="19">
        <f>'31'!G42</f>
        <v>0</v>
      </c>
      <c r="AW34" s="19">
        <f>'31'!G43</f>
        <v>2607</v>
      </c>
      <c r="AX34" s="23">
        <f>'31'!G44</f>
        <v>0</v>
      </c>
      <c r="AY34" s="56">
        <f>'31'!G36</f>
        <v>857</v>
      </c>
      <c r="AZ34" s="55">
        <f>'31'!G49</f>
        <v>1432</v>
      </c>
      <c r="BA34" s="19">
        <f>'31'!G51</f>
        <v>0</v>
      </c>
      <c r="BB34" s="19">
        <f>'31'!G52</f>
        <v>0</v>
      </c>
      <c r="BC34" s="19">
        <f>'31'!G53</f>
        <v>0</v>
      </c>
      <c r="BD34" s="19">
        <f>'31'!G54</f>
        <v>4</v>
      </c>
      <c r="BE34" s="19">
        <f>'31'!G55</f>
        <v>3511</v>
      </c>
      <c r="BF34" s="19">
        <f>'31'!G56</f>
        <v>0</v>
      </c>
      <c r="BG34" s="19">
        <f>'31'!G57</f>
        <v>0</v>
      </c>
      <c r="BH34" s="56">
        <f>'31'!G50</f>
        <v>1079</v>
      </c>
      <c r="BI34" s="60">
        <f t="shared" ref="BI34" si="30">SUM(AU34,AV34,BE34,BF34)</f>
        <v>3511</v>
      </c>
      <c r="BJ34" s="60">
        <f>'31'!G133</f>
        <v>647</v>
      </c>
      <c r="BK34" s="23">
        <f t="shared" ref="BK34" si="31">SUM(AP34,AU34,AV34,AW34,AZ34,BE34,BF34,BG34)/H34%</f>
        <v>40.182978723404254</v>
      </c>
      <c r="BL34" s="23">
        <f t="shared" ref="BL34" si="32">SUM(AS34,BC34)/H34%</f>
        <v>11.753191489361702</v>
      </c>
      <c r="BM34" s="24">
        <f t="shared" ref="BM34" si="33">(AR34+BB34)/H34</f>
        <v>7.4510638297872342E-2</v>
      </c>
      <c r="BN34" s="25">
        <f t="shared" ref="BN34" si="34">J34+N34+Q34+U34</f>
        <v>357020</v>
      </c>
      <c r="BO34" s="38">
        <f t="shared" ref="BO34" si="35">SUM(AU34,AV34,AW34,BE34,BF34,BG34,BJ34)</f>
        <v>6765</v>
      </c>
      <c r="BP34">
        <f t="shared" ref="BP34" si="36">BO34/(AD34*280)</f>
        <v>1.0177217475027953</v>
      </c>
    </row>
    <row r="35" spans="1:68" x14ac:dyDescent="0.25">
      <c r="A35" s="16" t="s">
        <v>196</v>
      </c>
      <c r="B35" s="30"/>
      <c r="C35" s="31"/>
      <c r="D35" s="32">
        <f>AVERAGE(D4:D34)</f>
        <v>25</v>
      </c>
      <c r="E35" s="33"/>
      <c r="F35" s="73">
        <f>AVERAGE(F4:F34)</f>
        <v>1.4474483870967745</v>
      </c>
      <c r="G35" s="34">
        <f>SUM(G4:G34)</f>
        <v>594016</v>
      </c>
      <c r="H35" s="34">
        <f t="shared" ref="H35:BN35" si="37">SUM(H4:H34)</f>
        <v>596725</v>
      </c>
      <c r="I35" s="19">
        <v>9</v>
      </c>
      <c r="J35" s="34">
        <f t="shared" si="37"/>
        <v>5370525</v>
      </c>
      <c r="K35" s="34">
        <f t="shared" si="37"/>
        <v>2954.0841584158406</v>
      </c>
      <c r="L35" s="34">
        <f t="shared" si="37"/>
        <v>28935</v>
      </c>
      <c r="M35" s="34">
        <f t="shared" si="37"/>
        <v>1742.200000000001</v>
      </c>
      <c r="N35" s="34">
        <f t="shared" si="37"/>
        <v>1626146.9999999998</v>
      </c>
      <c r="O35" s="34">
        <f t="shared" si="37"/>
        <v>7058</v>
      </c>
      <c r="P35" s="34">
        <f t="shared" si="37"/>
        <v>3348</v>
      </c>
      <c r="Q35" s="34">
        <f t="shared" si="37"/>
        <v>762264</v>
      </c>
      <c r="R35" s="34">
        <f t="shared" si="37"/>
        <v>5268.0453415603861</v>
      </c>
      <c r="S35" s="34">
        <f t="shared" si="37"/>
        <v>110</v>
      </c>
      <c r="T35" s="34">
        <f t="shared" si="37"/>
        <v>2140</v>
      </c>
      <c r="U35" s="34">
        <f t="shared" si="37"/>
        <v>7590</v>
      </c>
      <c r="V35" s="34">
        <f t="shared" si="37"/>
        <v>432712</v>
      </c>
      <c r="W35" s="34">
        <f t="shared" si="37"/>
        <v>0</v>
      </c>
      <c r="X35" s="34">
        <f t="shared" si="37"/>
        <v>0</v>
      </c>
      <c r="Y35" s="34">
        <f t="shared" si="37"/>
        <v>432712</v>
      </c>
      <c r="Z35" s="34">
        <f t="shared" si="37"/>
        <v>0</v>
      </c>
      <c r="AA35" s="34">
        <f t="shared" si="37"/>
        <v>0</v>
      </c>
      <c r="AB35" s="34">
        <f t="shared" si="37"/>
        <v>0</v>
      </c>
      <c r="AC35" s="34">
        <f t="shared" si="37"/>
        <v>0</v>
      </c>
      <c r="AD35" s="34">
        <f t="shared" si="37"/>
        <v>0</v>
      </c>
      <c r="AE35" s="34">
        <f t="shared" si="37"/>
        <v>-774.39999999999418</v>
      </c>
      <c r="AF35" s="34">
        <f t="shared" si="37"/>
        <v>3889.8701069424496</v>
      </c>
      <c r="AG35" s="34">
        <f t="shared" si="37"/>
        <v>0</v>
      </c>
      <c r="AH35" s="34">
        <f t="shared" si="37"/>
        <v>0</v>
      </c>
      <c r="AI35" s="34">
        <f t="shared" si="37"/>
        <v>0</v>
      </c>
      <c r="AJ35" s="34">
        <f t="shared" si="37"/>
        <v>0</v>
      </c>
      <c r="AK35" s="34">
        <f t="shared" si="37"/>
        <v>0</v>
      </c>
      <c r="AL35" s="34">
        <f t="shared" si="37"/>
        <v>0</v>
      </c>
      <c r="AM35" s="34">
        <f t="shared" si="37"/>
        <v>0</v>
      </c>
      <c r="AN35" s="34">
        <f t="shared" si="37"/>
        <v>0</v>
      </c>
      <c r="AO35" s="34">
        <f t="shared" si="37"/>
        <v>-326</v>
      </c>
      <c r="AP35" s="34">
        <f t="shared" si="37"/>
        <v>168042</v>
      </c>
      <c r="AQ35" s="34">
        <f t="shared" si="37"/>
        <v>207605</v>
      </c>
      <c r="AR35" s="34">
        <f t="shared" si="37"/>
        <v>245682</v>
      </c>
      <c r="AS35" s="34">
        <f t="shared" si="37"/>
        <v>432761</v>
      </c>
      <c r="AT35" s="34">
        <f t="shared" si="37"/>
        <v>0</v>
      </c>
      <c r="AU35" s="34">
        <f t="shared" si="37"/>
        <v>0</v>
      </c>
      <c r="AV35" s="34">
        <f t="shared" si="37"/>
        <v>-3028.3999999999942</v>
      </c>
      <c r="AW35" s="34">
        <f t="shared" si="37"/>
        <v>0</v>
      </c>
      <c r="AX35" s="34">
        <f t="shared" si="37"/>
        <v>0</v>
      </c>
      <c r="AY35" s="34">
        <f t="shared" si="37"/>
        <v>0</v>
      </c>
      <c r="AZ35" s="34">
        <f t="shared" si="37"/>
        <v>285361</v>
      </c>
      <c r="BA35" s="34">
        <f t="shared" si="37"/>
        <v>0</v>
      </c>
      <c r="BB35" s="34">
        <f t="shared" si="37"/>
        <v>0</v>
      </c>
      <c r="BC35" s="34">
        <f t="shared" si="37"/>
        <v>0</v>
      </c>
      <c r="BD35" s="34">
        <f t="shared" si="37"/>
        <v>4949.66</v>
      </c>
      <c r="BE35" s="34">
        <f t="shared" si="37"/>
        <v>2254</v>
      </c>
      <c r="BF35" s="34">
        <f t="shared" si="37"/>
        <v>0</v>
      </c>
      <c r="BG35" s="34">
        <f t="shared" si="37"/>
        <v>0</v>
      </c>
      <c r="BH35" s="34">
        <f t="shared" si="37"/>
        <v>0</v>
      </c>
      <c r="BI35" s="34">
        <f t="shared" si="37"/>
        <v>-774.39999999999418</v>
      </c>
      <c r="BJ35" s="34">
        <f t="shared" si="37"/>
        <v>641.38000000000466</v>
      </c>
      <c r="BK35" s="34">
        <f t="shared" si="37"/>
        <v>2166.1931470917534</v>
      </c>
      <c r="BL35" s="34">
        <f t="shared" si="37"/>
        <v>1922.1126394354687</v>
      </c>
      <c r="BM35" s="34">
        <f t="shared" si="37"/>
        <v>10.968108915706726</v>
      </c>
      <c r="BN35" s="34">
        <f t="shared" si="37"/>
        <v>7766525.9999999991</v>
      </c>
      <c r="BO35" s="38">
        <f t="shared" si="17"/>
        <v>-133.01999999998952</v>
      </c>
      <c r="BP35" t="e">
        <f t="shared" si="18"/>
        <v>#DIV/0!</v>
      </c>
    </row>
    <row r="36" spans="1:68" x14ac:dyDescent="0.25">
      <c r="A36" s="35"/>
      <c r="B36" s="35">
        <f t="shared" ref="B36:F36" si="38">B18-B17</f>
        <v>1</v>
      </c>
      <c r="C36" s="35">
        <f t="shared" si="38"/>
        <v>0</v>
      </c>
      <c r="D36" s="35">
        <f t="shared" si="38"/>
        <v>5</v>
      </c>
      <c r="E36" s="35">
        <f t="shared" si="38"/>
        <v>-8.0000000000000071E-2</v>
      </c>
      <c r="F36" s="35">
        <f t="shared" si="38"/>
        <v>0.25</v>
      </c>
      <c r="G36" s="35"/>
      <c r="H36" s="35">
        <f t="shared" ref="H36:AN36" si="39">H18-H17</f>
        <v>-101.28999999997905</v>
      </c>
      <c r="I36" s="35">
        <f t="shared" si="39"/>
        <v>0</v>
      </c>
      <c r="J36" s="42">
        <f t="shared" si="39"/>
        <v>-911.60999999981141</v>
      </c>
      <c r="K36" s="42">
        <f t="shared" si="39"/>
        <v>-0.50143564356426396</v>
      </c>
      <c r="L36" s="35">
        <f t="shared" si="39"/>
        <v>220</v>
      </c>
      <c r="M36" s="35">
        <f t="shared" si="39"/>
        <v>0</v>
      </c>
      <c r="N36" s="42">
        <f t="shared" si="39"/>
        <v>12364</v>
      </c>
      <c r="O36" s="35">
        <f t="shared" si="39"/>
        <v>41</v>
      </c>
      <c r="P36" s="35">
        <f t="shared" si="39"/>
        <v>0</v>
      </c>
      <c r="Q36" s="42">
        <f t="shared" si="39"/>
        <v>4428</v>
      </c>
      <c r="R36" s="42">
        <f t="shared" si="39"/>
        <v>-72.277227722772267</v>
      </c>
      <c r="S36" s="35">
        <f t="shared" si="39"/>
        <v>0</v>
      </c>
      <c r="T36" s="35">
        <f t="shared" si="39"/>
        <v>0</v>
      </c>
      <c r="U36" s="42">
        <f t="shared" si="39"/>
        <v>0</v>
      </c>
      <c r="V36" s="35">
        <f t="shared" si="39"/>
        <v>14</v>
      </c>
      <c r="W36" s="35">
        <f t="shared" si="39"/>
        <v>4</v>
      </c>
      <c r="X36" s="35">
        <f t="shared" si="39"/>
        <v>5</v>
      </c>
      <c r="Y36" s="35">
        <f t="shared" si="39"/>
        <v>23</v>
      </c>
      <c r="Z36" s="35">
        <f t="shared" si="39"/>
        <v>0</v>
      </c>
      <c r="AA36" s="35">
        <f t="shared" si="39"/>
        <v>0</v>
      </c>
      <c r="AB36" s="35">
        <f t="shared" si="39"/>
        <v>0.48999999999796273</v>
      </c>
      <c r="AC36" s="35">
        <f t="shared" si="39"/>
        <v>0</v>
      </c>
      <c r="AD36" s="35">
        <f t="shared" si="39"/>
        <v>0.48999999999796273</v>
      </c>
      <c r="AE36" s="35">
        <f t="shared" si="39"/>
        <v>-123.6299999999901</v>
      </c>
      <c r="AF36" s="35">
        <f t="shared" si="39"/>
        <v>-7.6592486729171014</v>
      </c>
      <c r="AG36" s="35">
        <f t="shared" si="39"/>
        <v>2.0000000000436557E-2</v>
      </c>
      <c r="AH36" s="35">
        <f t="shared" si="39"/>
        <v>8.1499999999978172</v>
      </c>
      <c r="AI36" s="35">
        <f t="shared" si="39"/>
        <v>-6.2899999999935972</v>
      </c>
      <c r="AJ36" s="35">
        <f t="shared" si="39"/>
        <v>1.8800000000046566</v>
      </c>
      <c r="AK36" s="35">
        <f t="shared" si="39"/>
        <v>0</v>
      </c>
      <c r="AL36" s="35">
        <f t="shared" si="39"/>
        <v>-0.43000000000120053</v>
      </c>
      <c r="AM36" s="35">
        <f t="shared" si="39"/>
        <v>0</v>
      </c>
      <c r="AN36" s="35">
        <f t="shared" si="39"/>
        <v>-0.43000000000120053</v>
      </c>
      <c r="AO36" s="35"/>
      <c r="AP36" s="35">
        <f t="shared" ref="AP36:AW36" si="40">AP18-AP17</f>
        <v>-61.159999999999854</v>
      </c>
      <c r="AQ36" s="35">
        <f t="shared" si="40"/>
        <v>-11.260000000000218</v>
      </c>
      <c r="AR36" s="35">
        <f t="shared" si="40"/>
        <v>-445.04999999999927</v>
      </c>
      <c r="AS36" s="35">
        <f t="shared" si="40"/>
        <v>-9.9999999998544808E-2</v>
      </c>
      <c r="AT36" s="35">
        <f t="shared" si="40"/>
        <v>-113</v>
      </c>
      <c r="AU36" s="35">
        <f t="shared" si="40"/>
        <v>0</v>
      </c>
      <c r="AV36" s="35">
        <f t="shared" si="40"/>
        <v>-0.39999999999417923</v>
      </c>
      <c r="AW36" s="35">
        <f t="shared" si="40"/>
        <v>1.7100000000064028</v>
      </c>
      <c r="AX36" s="35"/>
      <c r="AY36" s="35"/>
      <c r="AZ36" s="35">
        <f t="shared" ref="AZ36:BG36" si="41">AZ18-AZ17</f>
        <v>49.590000000000146</v>
      </c>
      <c r="BA36" s="35">
        <f t="shared" si="41"/>
        <v>0</v>
      </c>
      <c r="BB36" s="35">
        <f t="shared" si="41"/>
        <v>0</v>
      </c>
      <c r="BC36" s="35">
        <f t="shared" si="41"/>
        <v>0</v>
      </c>
      <c r="BD36" s="35">
        <f t="shared" si="41"/>
        <v>47.510000000000218</v>
      </c>
      <c r="BE36" s="35">
        <f t="shared" si="41"/>
        <v>-122.7699999999968</v>
      </c>
      <c r="BF36" s="35">
        <f t="shared" si="41"/>
        <v>-0.45999999999912689</v>
      </c>
      <c r="BG36" s="35">
        <f t="shared" si="41"/>
        <v>0</v>
      </c>
      <c r="BH36" s="35"/>
      <c r="BI36" s="35"/>
      <c r="BJ36" s="35"/>
      <c r="BK36" s="35">
        <f>BK18-BK17</f>
        <v>-0.51188308269773586</v>
      </c>
      <c r="BL36" s="35">
        <f>BL18-BL17</f>
        <v>8.3093641851576194E-2</v>
      </c>
      <c r="BM36" s="35"/>
      <c r="BN36" s="35">
        <f>BN18-BN17</f>
        <v>15880.390000000189</v>
      </c>
      <c r="BO36" s="35">
        <f>BO18-BO17</f>
        <v>-126.64999999997963</v>
      </c>
    </row>
    <row r="37" spans="1:68" x14ac:dyDescent="0.25">
      <c r="F37" s="38">
        <f>AVERAGE(F4:F35)</f>
        <v>1.4474483870967745</v>
      </c>
      <c r="G37" s="38"/>
      <c r="H37" s="38">
        <f>AVERAGE(H4:H35)</f>
        <v>37295.3125</v>
      </c>
    </row>
    <row r="38" spans="1:68" x14ac:dyDescent="0.25">
      <c r="B38" s="36" t="s">
        <v>66</v>
      </c>
      <c r="F38" s="72">
        <f>AVERAGE(F4:F35)</f>
        <v>1.4474483870967745</v>
      </c>
      <c r="G38" s="72"/>
    </row>
    <row r="41" spans="1:68" x14ac:dyDescent="0.25">
      <c r="BI41">
        <f>(BI31+BJ31)/400</f>
        <v>13.050899999999965</v>
      </c>
    </row>
  </sheetData>
  <mergeCells count="11">
    <mergeCell ref="A1:BN1"/>
    <mergeCell ref="H2:J2"/>
    <mergeCell ref="L2:N2"/>
    <mergeCell ref="O2:Q2"/>
    <mergeCell ref="S2:U2"/>
    <mergeCell ref="V2:X2"/>
    <mergeCell ref="Z2:AC2"/>
    <mergeCell ref="AG2:AI2"/>
    <mergeCell ref="AK2:AM2"/>
    <mergeCell ref="AP2:AY2"/>
    <mergeCell ref="AZ2:BH2"/>
  </mergeCells>
  <hyperlinks>
    <hyperlink ref="B38" r:id="rId1" xr:uid="{00000000-0004-0000-0200-000000000000}"/>
  </hyperlinks>
  <pageMargins left="0.7" right="0.7" top="0.75" bottom="0.75" header="0.3" footer="0.3"/>
  <pageSetup orientation="portrait" r:id="rId2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Q33"/>
  <sheetViews>
    <sheetView tabSelected="1" topLeftCell="A4" workbookViewId="0">
      <selection activeCell="G29" sqref="G29"/>
    </sheetView>
  </sheetViews>
  <sheetFormatPr defaultRowHeight="15.75" x14ac:dyDescent="0.25"/>
  <cols>
    <col min="2" max="2" width="8.33203125" style="275" customWidth="1"/>
    <col min="3" max="3" width="6.6640625" style="275" customWidth="1"/>
    <col min="4" max="4" width="7.5546875" style="275" customWidth="1"/>
    <col min="5" max="5" width="7.88671875" style="275" customWidth="1"/>
    <col min="6" max="6" width="7.109375" style="275" customWidth="1"/>
    <col min="8" max="8" width="7.5546875" customWidth="1"/>
  </cols>
  <sheetData>
    <row r="1" spans="1:17" ht="47.25" x14ac:dyDescent="0.25">
      <c r="A1" s="248"/>
      <c r="B1" s="280" t="s">
        <v>313</v>
      </c>
      <c r="C1" s="280" t="s">
        <v>271</v>
      </c>
      <c r="D1" s="280" t="s">
        <v>272</v>
      </c>
      <c r="E1" s="280" t="s">
        <v>274</v>
      </c>
      <c r="F1" s="280" t="s">
        <v>273</v>
      </c>
      <c r="G1" s="283" t="s">
        <v>275</v>
      </c>
      <c r="H1" s="306" t="s">
        <v>310</v>
      </c>
      <c r="J1" s="464" t="s">
        <v>355</v>
      </c>
    </row>
    <row r="2" spans="1:17" x14ac:dyDescent="0.25">
      <c r="A2" s="248">
        <v>1</v>
      </c>
      <c r="B2" s="465">
        <f>C2/202%</f>
        <v>77.227722772277232</v>
      </c>
      <c r="C2" s="465">
        <v>156</v>
      </c>
      <c r="D2" s="465">
        <v>5</v>
      </c>
      <c r="E2" s="465">
        <v>80</v>
      </c>
      <c r="F2" s="466">
        <v>614</v>
      </c>
      <c r="G2" s="466">
        <f>C2+D2</f>
        <v>161</v>
      </c>
      <c r="H2" s="467">
        <f>C2/202%</f>
        <v>77.227722772277232</v>
      </c>
      <c r="I2" s="468"/>
      <c r="J2" s="467">
        <f>'Section Load'!C5/G2</f>
        <v>127.01242236024845</v>
      </c>
      <c r="K2">
        <f>10/202</f>
        <v>4.9504950495049507E-2</v>
      </c>
    </row>
    <row r="3" spans="1:17" x14ac:dyDescent="0.25">
      <c r="A3" s="248">
        <v>2</v>
      </c>
      <c r="B3" s="465">
        <f t="shared" ref="B3:B32" si="0">C3/202%</f>
        <v>53.465346534653463</v>
      </c>
      <c r="C3" s="465">
        <v>108</v>
      </c>
      <c r="D3" s="465">
        <v>5</v>
      </c>
      <c r="E3" s="465">
        <v>56</v>
      </c>
      <c r="F3" s="466">
        <v>516</v>
      </c>
      <c r="G3" s="466">
        <f t="shared" ref="G3:G31" si="1">C3+D3</f>
        <v>113</v>
      </c>
      <c r="H3" s="467">
        <f t="shared" ref="H3:H32" si="2">C3/202%</f>
        <v>53.465346534653463</v>
      </c>
      <c r="I3" s="468"/>
      <c r="J3" s="467">
        <f>'Section Load'!C6/G3</f>
        <v>176.04424778761063</v>
      </c>
    </row>
    <row r="4" spans="1:17" x14ac:dyDescent="0.25">
      <c r="A4" s="248">
        <v>3</v>
      </c>
      <c r="B4" s="465">
        <f t="shared" si="0"/>
        <v>54.455445544554458</v>
      </c>
      <c r="C4" s="465">
        <v>110</v>
      </c>
      <c r="D4" s="465">
        <v>5</v>
      </c>
      <c r="E4" s="465">
        <v>57</v>
      </c>
      <c r="F4" s="466">
        <v>306</v>
      </c>
      <c r="G4" s="466">
        <f t="shared" si="1"/>
        <v>115</v>
      </c>
      <c r="H4" s="467">
        <f t="shared" si="2"/>
        <v>54.455445544554458</v>
      </c>
      <c r="I4" s="468"/>
      <c r="J4" s="467">
        <f>'Section Load'!C7/G4</f>
        <v>169.81739130434784</v>
      </c>
      <c r="Q4" s="487">
        <f>C2/202</f>
        <v>0.7722772277227723</v>
      </c>
    </row>
    <row r="5" spans="1:17" x14ac:dyDescent="0.25">
      <c r="A5" s="248">
        <v>4</v>
      </c>
      <c r="B5" s="465">
        <f t="shared" si="0"/>
        <v>62.376237623762378</v>
      </c>
      <c r="C5" s="465">
        <v>126</v>
      </c>
      <c r="D5" s="465">
        <v>6</v>
      </c>
      <c r="E5" s="465">
        <v>65</v>
      </c>
      <c r="F5" s="466">
        <v>385</v>
      </c>
      <c r="G5" s="466">
        <f t="shared" si="1"/>
        <v>132</v>
      </c>
      <c r="H5" s="467">
        <f t="shared" si="2"/>
        <v>62.376237623762378</v>
      </c>
      <c r="I5" s="468"/>
      <c r="J5" s="467">
        <f>'Section Load'!C8/G5</f>
        <v>153.17386363636373</v>
      </c>
    </row>
    <row r="6" spans="1:17" x14ac:dyDescent="0.25">
      <c r="A6" s="248">
        <v>5</v>
      </c>
      <c r="B6" s="465">
        <f t="shared" si="0"/>
        <v>59.900990099009903</v>
      </c>
      <c r="C6" s="465">
        <v>121</v>
      </c>
      <c r="D6" s="465">
        <v>6</v>
      </c>
      <c r="E6" s="465">
        <v>63</v>
      </c>
      <c r="F6" s="466">
        <v>417</v>
      </c>
      <c r="G6" s="466">
        <f t="shared" si="1"/>
        <v>127</v>
      </c>
      <c r="H6" s="467">
        <f t="shared" si="2"/>
        <v>59.900990099009903</v>
      </c>
      <c r="I6" s="468"/>
      <c r="J6" s="467">
        <f>'Section Load'!C9/G6</f>
        <v>160.11850393700777</v>
      </c>
    </row>
    <row r="7" spans="1:17" x14ac:dyDescent="0.25">
      <c r="A7" s="248">
        <v>6</v>
      </c>
      <c r="B7" s="465">
        <f t="shared" si="0"/>
        <v>58.415841584158414</v>
      </c>
      <c r="C7" s="465">
        <v>118</v>
      </c>
      <c r="D7" s="465">
        <v>10</v>
      </c>
      <c r="E7" s="465">
        <v>63</v>
      </c>
      <c r="F7" s="466">
        <v>477</v>
      </c>
      <c r="G7" s="466">
        <f t="shared" si="1"/>
        <v>128</v>
      </c>
      <c r="H7" s="467">
        <f t="shared" si="2"/>
        <v>58.415841584158414</v>
      </c>
      <c r="I7" s="468"/>
      <c r="J7" s="467">
        <f>'Section Load'!C10/G7</f>
        <v>161.78125</v>
      </c>
    </row>
    <row r="8" spans="1:17" x14ac:dyDescent="0.25">
      <c r="A8" s="248">
        <v>7</v>
      </c>
      <c r="B8" s="465">
        <f t="shared" si="0"/>
        <v>50.990099009900987</v>
      </c>
      <c r="C8" s="465">
        <v>103</v>
      </c>
      <c r="D8" s="465">
        <v>12</v>
      </c>
      <c r="E8" s="465">
        <v>57</v>
      </c>
      <c r="F8" s="466">
        <v>355</v>
      </c>
      <c r="G8" s="466">
        <f t="shared" si="1"/>
        <v>115</v>
      </c>
      <c r="H8" s="467">
        <f t="shared" si="2"/>
        <v>50.990099009900987</v>
      </c>
      <c r="I8" s="468"/>
      <c r="J8" s="467">
        <f>'Section Load'!C11/G8</f>
        <v>176.18260869565216</v>
      </c>
      <c r="K8">
        <f>30*202</f>
        <v>6060</v>
      </c>
      <c r="L8">
        <f>1638*(69/202%)</f>
        <v>55951.485148514854</v>
      </c>
    </row>
    <row r="9" spans="1:17" x14ac:dyDescent="0.25">
      <c r="A9" s="248">
        <v>8</v>
      </c>
      <c r="B9" s="465">
        <f t="shared" si="0"/>
        <v>50.495049504950494</v>
      </c>
      <c r="C9" s="465">
        <v>102</v>
      </c>
      <c r="D9" s="465">
        <v>10</v>
      </c>
      <c r="E9" s="465">
        <v>55</v>
      </c>
      <c r="F9" s="466">
        <v>301</v>
      </c>
      <c r="G9" s="466">
        <f t="shared" si="1"/>
        <v>112</v>
      </c>
      <c r="H9" s="467">
        <f t="shared" si="2"/>
        <v>50.495049504950494</v>
      </c>
      <c r="I9" s="468"/>
      <c r="J9" s="467">
        <f>'Section Load'!C12/G9</f>
        <v>175.41964285714286</v>
      </c>
    </row>
    <row r="10" spans="1:17" x14ac:dyDescent="0.25">
      <c r="A10" s="248">
        <v>9</v>
      </c>
      <c r="B10" s="465">
        <f t="shared" si="0"/>
        <v>49.009900990099013</v>
      </c>
      <c r="C10" s="465">
        <v>99</v>
      </c>
      <c r="D10" s="465">
        <v>11</v>
      </c>
      <c r="E10" s="465">
        <v>54</v>
      </c>
      <c r="F10" s="466">
        <v>349</v>
      </c>
      <c r="G10" s="466">
        <f t="shared" si="1"/>
        <v>110</v>
      </c>
      <c r="H10" s="467">
        <f t="shared" si="2"/>
        <v>49.009900990099013</v>
      </c>
      <c r="I10" s="468"/>
      <c r="J10" s="467">
        <f>'Section Load'!C13/G10</f>
        <v>163.73636363636365</v>
      </c>
    </row>
    <row r="11" spans="1:17" x14ac:dyDescent="0.25">
      <c r="A11" s="248">
        <v>10</v>
      </c>
      <c r="B11" s="465">
        <f t="shared" si="0"/>
        <v>45.544554455445542</v>
      </c>
      <c r="C11" s="465">
        <v>92</v>
      </c>
      <c r="D11" s="465">
        <v>11</v>
      </c>
      <c r="E11" s="465">
        <v>51</v>
      </c>
      <c r="F11" s="466">
        <v>280</v>
      </c>
      <c r="G11" s="466">
        <f t="shared" si="1"/>
        <v>103</v>
      </c>
      <c r="H11" s="467">
        <f t="shared" si="2"/>
        <v>45.544554455445542</v>
      </c>
      <c r="I11" s="468"/>
      <c r="J11" s="467">
        <f>'Section Load'!C14/G11</f>
        <v>165.66019417475729</v>
      </c>
    </row>
    <row r="12" spans="1:17" x14ac:dyDescent="0.25">
      <c r="A12" s="248">
        <v>11</v>
      </c>
      <c r="B12" s="465">
        <f t="shared" si="0"/>
        <v>35.148514851485146</v>
      </c>
      <c r="C12" s="465">
        <v>71</v>
      </c>
      <c r="D12" s="465">
        <v>11</v>
      </c>
      <c r="E12" s="465">
        <v>41</v>
      </c>
      <c r="F12" s="466">
        <v>290</v>
      </c>
      <c r="G12" s="466">
        <f t="shared" si="1"/>
        <v>82</v>
      </c>
      <c r="H12" s="467">
        <f t="shared" si="2"/>
        <v>35.148514851485146</v>
      </c>
      <c r="I12" s="468"/>
      <c r="J12" s="467">
        <f>'Section Load'!C15/G12</f>
        <v>210.51219512195121</v>
      </c>
    </row>
    <row r="13" spans="1:17" x14ac:dyDescent="0.25">
      <c r="A13" s="248">
        <v>12</v>
      </c>
      <c r="B13" s="465">
        <f t="shared" si="0"/>
        <v>35.643564356435647</v>
      </c>
      <c r="C13" s="465">
        <v>72</v>
      </c>
      <c r="D13" s="465">
        <v>11</v>
      </c>
      <c r="E13" s="465">
        <v>41</v>
      </c>
      <c r="F13" s="465">
        <v>302</v>
      </c>
      <c r="G13" s="466">
        <f t="shared" si="1"/>
        <v>83</v>
      </c>
      <c r="H13" s="467">
        <f t="shared" si="2"/>
        <v>35.643564356435647</v>
      </c>
      <c r="I13" s="468"/>
      <c r="J13" s="467">
        <f>'Section Load'!C16/G13</f>
        <v>201.36144578313252</v>
      </c>
    </row>
    <row r="14" spans="1:17" x14ac:dyDescent="0.25">
      <c r="A14" s="248">
        <v>13</v>
      </c>
      <c r="B14" s="465">
        <f t="shared" si="0"/>
        <v>38.118811881188115</v>
      </c>
      <c r="C14" s="465">
        <v>77</v>
      </c>
      <c r="D14" s="465">
        <v>11</v>
      </c>
      <c r="E14" s="465">
        <f t="shared" ref="E14:E31" si="3">SUM(C14:D14)/202%</f>
        <v>43.564356435643568</v>
      </c>
      <c r="F14" s="465">
        <v>249</v>
      </c>
      <c r="G14" s="466">
        <f t="shared" si="1"/>
        <v>88</v>
      </c>
      <c r="H14" s="467">
        <f t="shared" si="2"/>
        <v>38.118811881188115</v>
      </c>
      <c r="I14" s="468"/>
      <c r="J14" s="467">
        <f>'Section Load'!C17/G14</f>
        <v>193.75</v>
      </c>
    </row>
    <row r="15" spans="1:17" x14ac:dyDescent="0.25">
      <c r="A15" s="248">
        <v>14</v>
      </c>
      <c r="B15" s="465">
        <f t="shared" si="0"/>
        <v>42.079207920792079</v>
      </c>
      <c r="C15" s="465">
        <v>85</v>
      </c>
      <c r="D15" s="465">
        <v>10</v>
      </c>
      <c r="E15" s="465">
        <f t="shared" si="3"/>
        <v>47.029702970297031</v>
      </c>
      <c r="F15" s="465">
        <v>224</v>
      </c>
      <c r="G15" s="466">
        <f t="shared" si="1"/>
        <v>95</v>
      </c>
      <c r="H15" s="467">
        <f t="shared" si="2"/>
        <v>42.079207920792079</v>
      </c>
      <c r="I15" s="468"/>
      <c r="J15" s="467">
        <f>'Section Load'!C18/G15</f>
        <v>183.47368421052633</v>
      </c>
    </row>
    <row r="16" spans="1:17" x14ac:dyDescent="0.25">
      <c r="A16" s="248">
        <v>15</v>
      </c>
      <c r="B16" s="465">
        <f t="shared" si="0"/>
        <v>55.445544554455445</v>
      </c>
      <c r="C16" s="465">
        <v>112</v>
      </c>
      <c r="D16" s="465">
        <v>9</v>
      </c>
      <c r="E16" s="465">
        <f t="shared" si="3"/>
        <v>59.900990099009903</v>
      </c>
      <c r="F16" s="465">
        <v>338</v>
      </c>
      <c r="G16" s="466">
        <f t="shared" si="1"/>
        <v>121</v>
      </c>
      <c r="H16" s="467">
        <f t="shared" si="2"/>
        <v>55.445544554455445</v>
      </c>
      <c r="I16" s="468"/>
      <c r="J16" s="467">
        <f>'Section Load'!C19/G16</f>
        <v>143.21247933884314</v>
      </c>
    </row>
    <row r="17" spans="1:10" x14ac:dyDescent="0.25">
      <c r="A17" s="248">
        <v>16</v>
      </c>
      <c r="B17" s="465">
        <f t="shared" si="0"/>
        <v>40.099009900990097</v>
      </c>
      <c r="C17" s="465">
        <v>81</v>
      </c>
      <c r="D17" s="465">
        <v>8</v>
      </c>
      <c r="E17" s="465">
        <f>SUM(C17:D17)/202%</f>
        <v>44.059405940594061</v>
      </c>
      <c r="F17" s="465">
        <v>309</v>
      </c>
      <c r="G17" s="466">
        <f t="shared" si="1"/>
        <v>89</v>
      </c>
      <c r="H17" s="467">
        <f t="shared" si="2"/>
        <v>40.099009900990097</v>
      </c>
      <c r="I17" s="468"/>
      <c r="J17" s="467">
        <f>'Section Load'!C20/G17</f>
        <v>195.57629213483122</v>
      </c>
    </row>
    <row r="18" spans="1:10" x14ac:dyDescent="0.25">
      <c r="A18" s="248">
        <v>17</v>
      </c>
      <c r="B18" s="465">
        <f t="shared" si="0"/>
        <v>42.079207920792079</v>
      </c>
      <c r="C18" s="465">
        <v>85</v>
      </c>
      <c r="D18" s="465">
        <v>9</v>
      </c>
      <c r="E18" s="465">
        <f t="shared" si="3"/>
        <v>46.534653465346537</v>
      </c>
      <c r="F18" s="465">
        <v>204</v>
      </c>
      <c r="G18" s="466">
        <f t="shared" si="1"/>
        <v>94</v>
      </c>
      <c r="H18" s="467">
        <f t="shared" si="2"/>
        <v>42.079207920792079</v>
      </c>
      <c r="I18" s="468"/>
      <c r="J18" s="467">
        <f>'Section Load'!C21/G18</f>
        <v>186.62765957446808</v>
      </c>
    </row>
    <row r="19" spans="1:10" x14ac:dyDescent="0.25">
      <c r="A19" s="248">
        <v>18</v>
      </c>
      <c r="B19" s="465">
        <f t="shared" si="0"/>
        <v>47.524752475247524</v>
      </c>
      <c r="C19" s="469">
        <v>96</v>
      </c>
      <c r="D19" s="469">
        <v>9</v>
      </c>
      <c r="E19" s="465">
        <f t="shared" si="3"/>
        <v>51.980198019801982</v>
      </c>
      <c r="F19" s="469">
        <v>325</v>
      </c>
      <c r="G19" s="466">
        <f t="shared" si="1"/>
        <v>105</v>
      </c>
      <c r="H19" s="467">
        <f t="shared" si="2"/>
        <v>47.524752475247524</v>
      </c>
      <c r="I19" s="468"/>
      <c r="J19" s="467">
        <f>'Section Load'!C22/G19</f>
        <v>172.04600000000016</v>
      </c>
    </row>
    <row r="20" spans="1:10" x14ac:dyDescent="0.25">
      <c r="A20" s="248">
        <v>19</v>
      </c>
      <c r="B20" s="465">
        <f t="shared" si="0"/>
        <v>43.564356435643568</v>
      </c>
      <c r="C20" s="465">
        <v>88</v>
      </c>
      <c r="D20" s="465">
        <v>10</v>
      </c>
      <c r="E20" s="465">
        <f t="shared" si="3"/>
        <v>48.514851485148512</v>
      </c>
      <c r="F20" s="465">
        <v>304</v>
      </c>
      <c r="G20" s="466">
        <f t="shared" si="1"/>
        <v>98</v>
      </c>
      <c r="H20" s="467">
        <f t="shared" si="2"/>
        <v>43.564356435643568</v>
      </c>
      <c r="I20" s="468"/>
      <c r="J20" s="467">
        <f>'Section Load'!C23/G20</f>
        <v>191.03234693877533</v>
      </c>
    </row>
    <row r="21" spans="1:10" x14ac:dyDescent="0.25">
      <c r="A21" s="248">
        <v>20</v>
      </c>
      <c r="B21" s="465">
        <f t="shared" si="0"/>
        <v>39.10891089108911</v>
      </c>
      <c r="C21" s="465">
        <v>79</v>
      </c>
      <c r="D21" s="465">
        <v>10</v>
      </c>
      <c r="E21" s="465">
        <f t="shared" si="3"/>
        <v>44.059405940594061</v>
      </c>
      <c r="F21" s="465">
        <v>304</v>
      </c>
      <c r="G21" s="466">
        <f t="shared" si="1"/>
        <v>89</v>
      </c>
      <c r="H21" s="467">
        <f t="shared" si="2"/>
        <v>39.10891089108911</v>
      </c>
      <c r="I21" s="468"/>
      <c r="J21" s="467">
        <f>'Section Load'!C24/G21</f>
        <v>194.79449438202272</v>
      </c>
    </row>
    <row r="22" spans="1:10" x14ac:dyDescent="0.25">
      <c r="A22" s="248">
        <v>21</v>
      </c>
      <c r="B22" s="465">
        <f t="shared" si="0"/>
        <v>47.029702970297031</v>
      </c>
      <c r="C22" s="465">
        <v>95</v>
      </c>
      <c r="D22" s="465">
        <v>14</v>
      </c>
      <c r="E22" s="465">
        <f t="shared" si="3"/>
        <v>53.960396039603957</v>
      </c>
      <c r="F22" s="465">
        <v>338</v>
      </c>
      <c r="G22" s="466">
        <f t="shared" si="1"/>
        <v>109</v>
      </c>
      <c r="H22" s="467">
        <f t="shared" si="2"/>
        <v>47.029702970297031</v>
      </c>
      <c r="I22" s="468"/>
      <c r="J22" s="467">
        <f>'Section Load'!C25/G22</f>
        <v>170.16550458715577</v>
      </c>
    </row>
    <row r="23" spans="1:10" x14ac:dyDescent="0.25">
      <c r="A23" s="248">
        <v>22</v>
      </c>
      <c r="B23" s="465">
        <v>83</v>
      </c>
      <c r="C23" s="465">
        <v>131</v>
      </c>
      <c r="D23" s="465">
        <v>13</v>
      </c>
      <c r="E23" s="465">
        <f t="shared" si="3"/>
        <v>71.287128712871294</v>
      </c>
      <c r="F23" s="465">
        <v>462</v>
      </c>
      <c r="G23" s="466">
        <f t="shared" si="1"/>
        <v>144</v>
      </c>
      <c r="H23" s="467">
        <f t="shared" si="2"/>
        <v>64.851485148514854</v>
      </c>
      <c r="I23" s="468"/>
      <c r="J23" s="467">
        <f>'Section Load'!C26/G23</f>
        <v>138.35250000000008</v>
      </c>
    </row>
    <row r="24" spans="1:10" x14ac:dyDescent="0.25">
      <c r="A24" s="248">
        <v>23</v>
      </c>
      <c r="B24" s="465">
        <v>98</v>
      </c>
      <c r="C24" s="465">
        <v>108</v>
      </c>
      <c r="D24" s="465">
        <v>16</v>
      </c>
      <c r="E24" s="465">
        <f t="shared" si="3"/>
        <v>61.386138613861384</v>
      </c>
      <c r="F24" s="465">
        <v>825</v>
      </c>
      <c r="G24" s="466">
        <f t="shared" si="1"/>
        <v>124</v>
      </c>
      <c r="H24" s="467">
        <f t="shared" si="2"/>
        <v>53.465346534653463</v>
      </c>
      <c r="I24" s="468"/>
      <c r="J24" s="467">
        <f>'Section Load'!C27/G24</f>
        <v>156.3574193548383</v>
      </c>
    </row>
    <row r="25" spans="1:10" x14ac:dyDescent="0.25">
      <c r="A25" s="248">
        <v>24</v>
      </c>
      <c r="B25" s="465">
        <f t="shared" si="0"/>
        <v>47.524752475247524</v>
      </c>
      <c r="C25" s="465">
        <v>96</v>
      </c>
      <c r="D25" s="465">
        <v>12</v>
      </c>
      <c r="E25" s="465">
        <f t="shared" si="3"/>
        <v>53.465346534653463</v>
      </c>
      <c r="F25" s="465">
        <v>358</v>
      </c>
      <c r="G25" s="466">
        <f t="shared" si="1"/>
        <v>108</v>
      </c>
      <c r="H25" s="467">
        <f t="shared" si="2"/>
        <v>47.524752475247524</v>
      </c>
      <c r="I25" s="468"/>
      <c r="J25" s="467">
        <f>'Section Load'!C28/G25</f>
        <v>156.26083333333372</v>
      </c>
    </row>
    <row r="26" spans="1:10" x14ac:dyDescent="0.25">
      <c r="A26" s="248">
        <v>25</v>
      </c>
      <c r="B26" s="465">
        <f t="shared" si="0"/>
        <v>59.900990099009903</v>
      </c>
      <c r="C26" s="465">
        <v>121</v>
      </c>
      <c r="D26" s="465">
        <v>12</v>
      </c>
      <c r="E26" s="465">
        <f t="shared" si="3"/>
        <v>65.841584158415841</v>
      </c>
      <c r="F26" s="465">
        <v>384</v>
      </c>
      <c r="G26" s="466">
        <f t="shared" si="1"/>
        <v>133</v>
      </c>
      <c r="H26" s="467">
        <f t="shared" si="2"/>
        <v>59.900990099009903</v>
      </c>
      <c r="I26" s="468"/>
      <c r="J26" s="467">
        <f>'Section Load'!C29/G26</f>
        <v>125.01503759398496</v>
      </c>
    </row>
    <row r="27" spans="1:10" x14ac:dyDescent="0.25">
      <c r="A27" s="248">
        <v>26</v>
      </c>
      <c r="B27" s="465">
        <f t="shared" si="0"/>
        <v>59.405940594059409</v>
      </c>
      <c r="C27" s="465">
        <v>120</v>
      </c>
      <c r="D27" s="465">
        <v>12</v>
      </c>
      <c r="E27" s="465">
        <f t="shared" si="3"/>
        <v>65.346534653465341</v>
      </c>
      <c r="F27" s="465">
        <v>323</v>
      </c>
      <c r="G27" s="466">
        <f t="shared" si="1"/>
        <v>132</v>
      </c>
      <c r="H27" s="467">
        <f t="shared" si="2"/>
        <v>59.405940594059409</v>
      </c>
      <c r="I27" s="468"/>
      <c r="J27" s="467">
        <f>'Section Load'!C30/G27</f>
        <v>127.96969696969697</v>
      </c>
    </row>
    <row r="28" spans="1:10" x14ac:dyDescent="0.25">
      <c r="A28" s="248">
        <v>27</v>
      </c>
      <c r="B28" s="465">
        <f t="shared" si="0"/>
        <v>0</v>
      </c>
      <c r="C28" s="465"/>
      <c r="D28" s="465"/>
      <c r="E28" s="465">
        <f t="shared" si="3"/>
        <v>0</v>
      </c>
      <c r="F28" s="465"/>
      <c r="G28" s="466">
        <f t="shared" si="1"/>
        <v>0</v>
      </c>
      <c r="H28" s="467">
        <f t="shared" si="2"/>
        <v>0</v>
      </c>
      <c r="I28" s="468"/>
      <c r="J28" s="467" t="e">
        <f>'Section Load'!C31/G28</f>
        <v>#DIV/0!</v>
      </c>
    </row>
    <row r="29" spans="1:10" x14ac:dyDescent="0.25">
      <c r="A29" s="248">
        <v>28</v>
      </c>
      <c r="B29" s="465">
        <f t="shared" si="0"/>
        <v>0</v>
      </c>
      <c r="C29" s="465"/>
      <c r="D29" s="465"/>
      <c r="E29" s="465">
        <f t="shared" si="3"/>
        <v>0</v>
      </c>
      <c r="F29" s="465"/>
      <c r="G29" s="466">
        <f t="shared" si="1"/>
        <v>0</v>
      </c>
      <c r="H29" s="467">
        <f t="shared" si="2"/>
        <v>0</v>
      </c>
      <c r="I29" s="468"/>
      <c r="J29" s="467" t="e">
        <f>'Section Load'!C32/G29</f>
        <v>#DIV/0!</v>
      </c>
    </row>
    <row r="30" spans="1:10" x14ac:dyDescent="0.25">
      <c r="A30" s="248">
        <v>29</v>
      </c>
      <c r="B30" s="465">
        <f>C30/202%</f>
        <v>0</v>
      </c>
      <c r="C30" s="465"/>
      <c r="D30" s="465"/>
      <c r="E30" s="465">
        <f t="shared" si="3"/>
        <v>0</v>
      </c>
      <c r="F30" s="465"/>
      <c r="G30" s="466">
        <f t="shared" si="1"/>
        <v>0</v>
      </c>
      <c r="H30" s="467">
        <f>C30/202%</f>
        <v>0</v>
      </c>
      <c r="I30" s="468"/>
      <c r="J30" s="467" t="e">
        <f>'Section Load'!C33/G30</f>
        <v>#DIV/0!</v>
      </c>
    </row>
    <row r="31" spans="1:10" x14ac:dyDescent="0.25">
      <c r="A31" s="248">
        <v>30</v>
      </c>
      <c r="B31" s="465">
        <f t="shared" si="0"/>
        <v>0</v>
      </c>
      <c r="C31" s="465"/>
      <c r="D31" s="465"/>
      <c r="E31" s="465">
        <f t="shared" si="3"/>
        <v>0</v>
      </c>
      <c r="F31" s="465"/>
      <c r="G31" s="470">
        <f t="shared" si="1"/>
        <v>0</v>
      </c>
      <c r="H31" s="467">
        <f t="shared" si="2"/>
        <v>0</v>
      </c>
      <c r="I31" s="468"/>
      <c r="J31" s="467" t="e">
        <f>'Section Load'!C34/G31</f>
        <v>#DIV/0!</v>
      </c>
    </row>
    <row r="32" spans="1:10" x14ac:dyDescent="0.25">
      <c r="A32" s="248">
        <v>31</v>
      </c>
      <c r="B32" s="465">
        <f t="shared" si="0"/>
        <v>0</v>
      </c>
      <c r="C32" s="465"/>
      <c r="D32" s="465"/>
      <c r="E32" s="465"/>
      <c r="F32" s="465"/>
      <c r="G32" s="470"/>
      <c r="H32" s="467">
        <f t="shared" si="2"/>
        <v>0</v>
      </c>
      <c r="I32" s="468"/>
      <c r="J32" s="467" t="e">
        <f>'Section Load'!C35/G32</f>
        <v>#DIV/0!</v>
      </c>
    </row>
    <row r="33" spans="1:8" x14ac:dyDescent="0.25">
      <c r="A33" t="s">
        <v>316</v>
      </c>
      <c r="B33" s="275">
        <f>AVERAGE(B2:B31)</f>
        <v>45.851815181518148</v>
      </c>
      <c r="C33" s="275">
        <f t="shared" ref="C33:H33" si="4">AVERAGE(C2:C31)</f>
        <v>102</v>
      </c>
      <c r="D33" s="275">
        <f t="shared" si="4"/>
        <v>9.9230769230769234</v>
      </c>
      <c r="E33" s="275">
        <f t="shared" si="4"/>
        <v>47.997689768976905</v>
      </c>
      <c r="F33" s="275">
        <f t="shared" si="4"/>
        <v>366.88461538461536</v>
      </c>
      <c r="G33" s="275">
        <f t="shared" si="4"/>
        <v>97</v>
      </c>
      <c r="H33" s="275">
        <f t="shared" si="4"/>
        <v>43.762376237623762</v>
      </c>
    </row>
  </sheetData>
  <pageMargins left="0.7" right="0.7" top="0.75" bottom="0.75" header="0.3" footer="0.3"/>
  <pageSetup orientation="portrait" horizontalDpi="4294967295" verticalDpi="4294967295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3:AI31"/>
  <sheetViews>
    <sheetView topLeftCell="C1" zoomScale="90" zoomScaleNormal="90" workbookViewId="0">
      <selection activeCell="N4" sqref="N4"/>
    </sheetView>
  </sheetViews>
  <sheetFormatPr defaultRowHeight="15.75" x14ac:dyDescent="0.25"/>
  <cols>
    <col min="2" max="2" width="16.44140625" style="92" customWidth="1"/>
    <col min="3" max="3" width="18.6640625" customWidth="1"/>
    <col min="4" max="4" width="6.5546875" customWidth="1"/>
    <col min="5" max="5" width="7.109375" customWidth="1"/>
    <col min="6" max="6" width="4.44140625" customWidth="1"/>
    <col min="7" max="7" width="3.77734375" customWidth="1"/>
    <col min="8" max="8" width="5.109375" customWidth="1"/>
    <col min="9" max="11" width="3.77734375" customWidth="1"/>
    <col min="12" max="12" width="4.21875" customWidth="1"/>
    <col min="13" max="35" width="3.77734375" customWidth="1"/>
  </cols>
  <sheetData>
    <row r="3" spans="2:35" s="37" customFormat="1" x14ac:dyDescent="0.25">
      <c r="B3" s="259"/>
      <c r="C3" s="260" t="s">
        <v>0</v>
      </c>
      <c r="D3" s="250">
        <v>1</v>
      </c>
      <c r="E3" s="250">
        <v>2</v>
      </c>
      <c r="F3" s="250">
        <v>3</v>
      </c>
      <c r="G3" s="250">
        <v>4</v>
      </c>
      <c r="H3" s="250">
        <v>5</v>
      </c>
      <c r="I3" s="250">
        <v>6</v>
      </c>
      <c r="J3" s="250">
        <v>7</v>
      </c>
      <c r="K3" s="250">
        <v>8</v>
      </c>
      <c r="L3" s="250">
        <v>9</v>
      </c>
      <c r="M3" s="250">
        <v>10</v>
      </c>
      <c r="N3" s="250">
        <v>11</v>
      </c>
      <c r="O3" s="250">
        <v>12</v>
      </c>
      <c r="P3" s="250">
        <v>13</v>
      </c>
      <c r="Q3" s="250">
        <v>14</v>
      </c>
      <c r="R3" s="260">
        <v>15</v>
      </c>
      <c r="S3" s="260">
        <v>16</v>
      </c>
      <c r="T3" s="260">
        <v>17</v>
      </c>
      <c r="U3" s="260">
        <v>18</v>
      </c>
      <c r="V3" s="260">
        <v>19</v>
      </c>
      <c r="W3" s="260">
        <v>20</v>
      </c>
      <c r="X3" s="260">
        <v>21</v>
      </c>
      <c r="Y3" s="260">
        <v>22</v>
      </c>
      <c r="Z3" s="260">
        <v>23</v>
      </c>
      <c r="AA3" s="260">
        <v>24</v>
      </c>
      <c r="AB3" s="260">
        <v>25</v>
      </c>
      <c r="AC3" s="260">
        <v>26</v>
      </c>
      <c r="AD3" s="260">
        <v>27</v>
      </c>
      <c r="AE3" s="260">
        <v>28</v>
      </c>
      <c r="AF3" s="260">
        <v>29</v>
      </c>
      <c r="AG3" s="260">
        <v>30</v>
      </c>
      <c r="AH3" s="260">
        <v>31</v>
      </c>
      <c r="AI3" s="260"/>
    </row>
    <row r="4" spans="2:35" x14ac:dyDescent="0.25">
      <c r="B4" s="93"/>
      <c r="C4" s="90" t="s">
        <v>67</v>
      </c>
      <c r="D4" s="91">
        <f>Occupancy!B2</f>
        <v>77.227722772277232</v>
      </c>
      <c r="E4" s="91">
        <f>Occupancy!B3</f>
        <v>53.465346534653463</v>
      </c>
      <c r="F4" s="91">
        <f>Occupancy!C3</f>
        <v>108</v>
      </c>
      <c r="G4" s="91">
        <f>Occupancy!D3</f>
        <v>5</v>
      </c>
      <c r="H4" s="91">
        <f>Occupancy!E3</f>
        <v>56</v>
      </c>
      <c r="I4" s="91">
        <f>Occupancy!F3</f>
        <v>516</v>
      </c>
      <c r="J4" s="91">
        <f>Occupancy!G3</f>
        <v>113</v>
      </c>
      <c r="K4" s="91">
        <f>Occupancy!H3</f>
        <v>53.465346534653463</v>
      </c>
      <c r="L4" s="91">
        <f>Occupancy!I3</f>
        <v>0</v>
      </c>
      <c r="M4" s="91">
        <f>Occupancy!J3</f>
        <v>176.04424778761063</v>
      </c>
      <c r="N4" s="91">
        <f>Occupancy!K3</f>
        <v>0</v>
      </c>
      <c r="O4" s="91">
        <f>Occupancy!L3</f>
        <v>0</v>
      </c>
      <c r="P4" s="91">
        <f>Occupancy!M3</f>
        <v>0</v>
      </c>
      <c r="Q4" s="91">
        <f>Occupancy!N3</f>
        <v>0</v>
      </c>
      <c r="R4" s="91">
        <f>Occupancy!O3</f>
        <v>0</v>
      </c>
      <c r="S4" s="91">
        <f>Occupancy!P3</f>
        <v>0</v>
      </c>
      <c r="T4" s="91">
        <f>Occupancy!Q3</f>
        <v>0</v>
      </c>
      <c r="U4" s="91">
        <f>Occupancy!R3</f>
        <v>0</v>
      </c>
      <c r="V4" s="91">
        <f>Occupancy!S3</f>
        <v>0</v>
      </c>
      <c r="W4" s="91">
        <f>Occupancy!T3</f>
        <v>0</v>
      </c>
      <c r="X4" s="91">
        <f>Occupancy!U3</f>
        <v>0</v>
      </c>
      <c r="Y4" s="91">
        <f>Occupancy!V3</f>
        <v>0</v>
      </c>
      <c r="Z4" s="91">
        <f>Occupancy!W3</f>
        <v>0</v>
      </c>
      <c r="AA4" s="91">
        <f>Occupancy!X3</f>
        <v>0</v>
      </c>
      <c r="AB4" s="91">
        <f>Occupancy!Y3</f>
        <v>0</v>
      </c>
      <c r="AC4" s="91">
        <f>Occupancy!Z3</f>
        <v>0</v>
      </c>
      <c r="AD4" s="91">
        <f>Occupancy!AA3</f>
        <v>0</v>
      </c>
      <c r="AE4" s="91">
        <f>Occupancy!AB3</f>
        <v>0</v>
      </c>
      <c r="AF4" s="91">
        <f>Occupancy!AC3</f>
        <v>0</v>
      </c>
      <c r="AG4" s="91">
        <f>Occupancy!AD3</f>
        <v>0</v>
      </c>
      <c r="AH4" s="91">
        <f>Occupancy!AE3</f>
        <v>0</v>
      </c>
      <c r="AI4" s="90"/>
    </row>
    <row r="5" spans="2:35" x14ac:dyDescent="0.25">
      <c r="B5" s="93"/>
      <c r="C5" s="90" t="s">
        <v>68</v>
      </c>
      <c r="D5" s="91">
        <f>'1'!G18</f>
        <v>0</v>
      </c>
      <c r="E5" s="91">
        <f>'2'!G18</f>
        <v>0</v>
      </c>
      <c r="F5" s="91">
        <f>'3'!G18</f>
        <v>300</v>
      </c>
      <c r="G5" s="91">
        <f>'4'!G18</f>
        <v>170</v>
      </c>
      <c r="H5" s="91">
        <f>'5'!G18</f>
        <v>120</v>
      </c>
      <c r="I5" s="91">
        <f>'6'!G18</f>
        <v>160</v>
      </c>
      <c r="J5" s="91">
        <f>'7'!G18</f>
        <v>160</v>
      </c>
      <c r="K5" s="91">
        <f>'8'!G18</f>
        <v>160</v>
      </c>
      <c r="L5" s="91">
        <f>'9'!G18</f>
        <v>150</v>
      </c>
      <c r="M5" s="91">
        <f>'10'!G18</f>
        <v>70</v>
      </c>
      <c r="N5" s="91">
        <f>'11'!G18</f>
        <v>80</v>
      </c>
      <c r="O5" s="91">
        <f>'12'!G18</f>
        <v>80</v>
      </c>
      <c r="P5" s="91">
        <f>'13'!G18</f>
        <v>50</v>
      </c>
      <c r="Q5" s="91">
        <f>'14'!G18</f>
        <v>60</v>
      </c>
      <c r="R5" s="91">
        <f>'15'!G18</f>
        <v>100</v>
      </c>
      <c r="S5" s="91">
        <f>'16'!G18</f>
        <v>80</v>
      </c>
      <c r="T5" s="91">
        <f>'17'!G18</f>
        <v>80</v>
      </c>
      <c r="U5" s="91">
        <f>'18 '!G18</f>
        <v>100</v>
      </c>
      <c r="V5" s="91">
        <f>'19'!G18</f>
        <v>100</v>
      </c>
      <c r="W5" s="91">
        <f>'20'!G18</f>
        <v>160</v>
      </c>
      <c r="X5" s="91">
        <f>'21'!G18</f>
        <v>110</v>
      </c>
      <c r="Y5" s="91">
        <f>'22'!G18</f>
        <v>120</v>
      </c>
      <c r="Z5" s="91">
        <f>'23'!G18</f>
        <v>160</v>
      </c>
      <c r="AA5" s="91">
        <f>'24'!G18</f>
        <v>160</v>
      </c>
      <c r="AB5" s="91">
        <f>'25'!G18</f>
        <v>140</v>
      </c>
      <c r="AC5" s="91">
        <f>'26'!G18</f>
        <v>120</v>
      </c>
      <c r="AD5" s="91">
        <f>'27'!G18</f>
        <v>240</v>
      </c>
      <c r="AE5" s="91">
        <f>'28'!G18</f>
        <v>360</v>
      </c>
      <c r="AF5" s="91">
        <f>'29'!G18</f>
        <v>480</v>
      </c>
      <c r="AG5" s="91">
        <f>'30'!G18</f>
        <v>600</v>
      </c>
      <c r="AH5" s="91">
        <f>'31'!G18</f>
        <v>720</v>
      </c>
      <c r="AI5" s="90"/>
    </row>
    <row r="6" spans="2:35" x14ac:dyDescent="0.25">
      <c r="B6" s="93"/>
      <c r="C6" s="90" t="s">
        <v>69</v>
      </c>
      <c r="D6" s="91">
        <f>'1'!G19</f>
        <v>54</v>
      </c>
      <c r="E6" s="91">
        <f>'2'!G19</f>
        <v>56</v>
      </c>
      <c r="F6" s="91">
        <f>'3'!G19</f>
        <v>56</v>
      </c>
      <c r="G6" s="91">
        <f>'4'!G19</f>
        <v>49</v>
      </c>
      <c r="H6" s="91">
        <f>'5'!G19</f>
        <v>51</v>
      </c>
      <c r="I6" s="91">
        <f>'6'!G19</f>
        <v>44</v>
      </c>
      <c r="J6" s="91">
        <f>'7'!G19</f>
        <v>54</v>
      </c>
      <c r="K6" s="91">
        <f>'8'!G19</f>
        <v>51</v>
      </c>
      <c r="L6" s="91">
        <f>'9'!G19</f>
        <v>55</v>
      </c>
      <c r="M6" s="91">
        <f>'10'!G19</f>
        <v>54</v>
      </c>
      <c r="N6" s="91">
        <f>'11'!G19</f>
        <v>50</v>
      </c>
      <c r="O6" s="91">
        <f>'12'!G19</f>
        <v>56</v>
      </c>
      <c r="P6" s="91">
        <f>'13'!G19</f>
        <v>53</v>
      </c>
      <c r="Q6" s="91">
        <f>'14'!G19</f>
        <v>54</v>
      </c>
      <c r="R6" s="91">
        <f>'15'!G19</f>
        <v>55</v>
      </c>
      <c r="S6" s="91">
        <f>'16'!G19</f>
        <v>55</v>
      </c>
      <c r="T6" s="91">
        <f>'17'!G19</f>
        <v>53</v>
      </c>
      <c r="U6" s="91">
        <f>'18 '!G19</f>
        <v>54</v>
      </c>
      <c r="V6" s="91">
        <f>'19'!G19</f>
        <v>57</v>
      </c>
      <c r="W6" s="91">
        <f>'20'!G19</f>
        <v>56</v>
      </c>
      <c r="X6" s="91">
        <f>'21'!G19</f>
        <v>57</v>
      </c>
      <c r="Y6" s="91">
        <f>'22'!G19</f>
        <v>56</v>
      </c>
      <c r="Z6" s="91">
        <f>'23'!G19</f>
        <v>56</v>
      </c>
      <c r="AA6" s="91">
        <f>'24'!G19</f>
        <v>52</v>
      </c>
      <c r="AB6" s="91">
        <f>'25'!G19</f>
        <v>50</v>
      </c>
      <c r="AC6" s="91">
        <f>'26'!G19</f>
        <v>55</v>
      </c>
      <c r="AD6" s="91">
        <f>'27'!G19</f>
        <v>55</v>
      </c>
      <c r="AE6" s="91">
        <f>'28'!G19</f>
        <v>55</v>
      </c>
      <c r="AF6" s="91">
        <f>'29'!G19</f>
        <v>55</v>
      </c>
      <c r="AG6" s="91">
        <f>'30'!G19</f>
        <v>55</v>
      </c>
      <c r="AH6" s="91">
        <f>'31'!G19</f>
        <v>55</v>
      </c>
      <c r="AI6" s="90"/>
    </row>
    <row r="7" spans="2:35" x14ac:dyDescent="0.25">
      <c r="B7" s="93"/>
      <c r="C7" s="90" t="s">
        <v>70</v>
      </c>
      <c r="D7" s="91">
        <f>'1'!G62</f>
        <v>0</v>
      </c>
      <c r="E7" s="91">
        <f>'2'!G62</f>
        <v>0</v>
      </c>
      <c r="F7" s="91">
        <f>'3'!G62</f>
        <v>30</v>
      </c>
      <c r="G7" s="91">
        <f>'4'!G62</f>
        <v>100</v>
      </c>
      <c r="H7" s="91">
        <f>'5'!G62</f>
        <v>86</v>
      </c>
      <c r="I7" s="91">
        <f>'6'!G62</f>
        <v>81</v>
      </c>
      <c r="J7" s="91">
        <f>'7'!G62</f>
        <v>57</v>
      </c>
      <c r="K7" s="91">
        <f>'8'!G62</f>
        <v>103</v>
      </c>
      <c r="L7" s="91">
        <f>'9'!G62</f>
        <v>80</v>
      </c>
      <c r="M7" s="91">
        <f>'10'!G62</f>
        <v>61</v>
      </c>
      <c r="N7" s="91">
        <f>'11'!G62</f>
        <v>73</v>
      </c>
      <c r="O7" s="91">
        <f>'12'!G62</f>
        <v>44</v>
      </c>
      <c r="P7" s="91">
        <f>'13'!G62</f>
        <v>54</v>
      </c>
      <c r="Q7" s="91">
        <f>'14'!G62</f>
        <v>46</v>
      </c>
      <c r="R7" s="91">
        <f>'15'!G62</f>
        <v>79</v>
      </c>
      <c r="S7" s="91">
        <f>'16'!G62</f>
        <v>66</v>
      </c>
      <c r="T7" s="91">
        <f>'17'!G62</f>
        <v>66</v>
      </c>
      <c r="U7" s="91">
        <f>'18 '!G62</f>
        <v>69</v>
      </c>
      <c r="V7" s="91">
        <f>'19'!G62</f>
        <v>60</v>
      </c>
      <c r="W7" s="91">
        <f>'20'!G62</f>
        <v>69</v>
      </c>
      <c r="X7" s="91">
        <f>'21'!G62</f>
        <v>60</v>
      </c>
      <c r="Y7" s="91">
        <f>'22'!G62</f>
        <v>72</v>
      </c>
      <c r="Z7" s="91">
        <f>'23'!G62</f>
        <v>119</v>
      </c>
      <c r="AA7" s="91">
        <f>'24'!G62</f>
        <v>124</v>
      </c>
      <c r="AB7" s="91">
        <f>'25'!G62</f>
        <v>102</v>
      </c>
      <c r="AC7" s="91">
        <f>'26'!G62</f>
        <v>93</v>
      </c>
      <c r="AD7" s="91">
        <f>'27'!G62</f>
        <v>-2189</v>
      </c>
      <c r="AE7" s="91">
        <f>'28'!G62</f>
        <v>138</v>
      </c>
      <c r="AF7" s="91">
        <f>'29'!G62</f>
        <v>131</v>
      </c>
      <c r="AG7" s="91">
        <f>'30'!G62</f>
        <v>120</v>
      </c>
      <c r="AH7" s="91">
        <f>'31'!G62</f>
        <v>6</v>
      </c>
      <c r="AI7" s="90"/>
    </row>
    <row r="8" spans="2:35" x14ac:dyDescent="0.25">
      <c r="B8" s="93"/>
      <c r="C8" s="90" t="s">
        <v>299</v>
      </c>
      <c r="D8" s="91">
        <f>'1'!G63</f>
        <v>133</v>
      </c>
      <c r="E8" s="91">
        <f>'2'!G63</f>
        <v>114</v>
      </c>
      <c r="F8" s="91">
        <f>'3'!G63</f>
        <v>61</v>
      </c>
      <c r="G8" s="91">
        <f>'4'!G63</f>
        <v>152</v>
      </c>
      <c r="H8" s="91">
        <f>'5'!G63</f>
        <v>119</v>
      </c>
      <c r="I8" s="91">
        <f>'6'!G63</f>
        <v>119</v>
      </c>
      <c r="J8" s="91">
        <f>'7'!G63</f>
        <v>95</v>
      </c>
      <c r="K8" s="91">
        <f>'8'!G63</f>
        <v>112</v>
      </c>
      <c r="L8" s="91">
        <f>'9'!G63</f>
        <v>67</v>
      </c>
      <c r="M8" s="91">
        <f>'10'!G63</f>
        <v>104</v>
      </c>
      <c r="N8" s="91">
        <f>'11'!G63</f>
        <v>108</v>
      </c>
      <c r="O8" s="91">
        <f>'12'!G63</f>
        <v>97</v>
      </c>
      <c r="P8" s="91">
        <f>'13'!G63</f>
        <v>93</v>
      </c>
      <c r="Q8" s="91">
        <f>'14'!G63</f>
        <v>49</v>
      </c>
      <c r="R8" s="91">
        <f>'15'!G63</f>
        <v>95</v>
      </c>
      <c r="S8" s="91">
        <f>'16'!G63</f>
        <v>91</v>
      </c>
      <c r="T8" s="91">
        <f>'17'!G63</f>
        <v>84</v>
      </c>
      <c r="U8" s="91">
        <f>'18 '!G63</f>
        <v>124</v>
      </c>
      <c r="V8" s="91">
        <f>'19'!G63</f>
        <v>93</v>
      </c>
      <c r="W8" s="91">
        <f>'20'!G63</f>
        <v>105</v>
      </c>
      <c r="X8" s="91">
        <f>'21'!G63</f>
        <v>96</v>
      </c>
      <c r="Y8" s="91">
        <f>'22'!G63</f>
        <v>108</v>
      </c>
      <c r="Z8" s="91">
        <f>'23'!G63</f>
        <v>126</v>
      </c>
      <c r="AA8" s="91">
        <f>'24'!G63</f>
        <v>68</v>
      </c>
      <c r="AB8" s="91">
        <f>'25'!G63</f>
        <v>164</v>
      </c>
      <c r="AC8" s="91">
        <f>'26'!G63</f>
        <v>127</v>
      </c>
      <c r="AD8" s="91">
        <f>'27'!G63</f>
        <v>-3067</v>
      </c>
      <c r="AE8" s="91">
        <f>'28'!G63</f>
        <v>104.10000000000582</v>
      </c>
      <c r="AF8" s="91">
        <f>'29'!G63</f>
        <v>75.899999999994179</v>
      </c>
      <c r="AG8" s="91">
        <f>'30'!G63</f>
        <v>97</v>
      </c>
      <c r="AH8" s="91">
        <f>'31'!G63</f>
        <v>86</v>
      </c>
      <c r="AI8" s="90"/>
    </row>
    <row r="9" spans="2:35" x14ac:dyDescent="0.25">
      <c r="B9" s="723" t="s">
        <v>71</v>
      </c>
      <c r="C9" s="90" t="s">
        <v>31</v>
      </c>
      <c r="D9" s="91">
        <f>'1'!G65</f>
        <v>98</v>
      </c>
      <c r="E9" s="91">
        <f>'2'!G65</f>
        <v>60</v>
      </c>
      <c r="F9" s="91">
        <f>'3'!G65</f>
        <v>40</v>
      </c>
      <c r="G9" s="91">
        <f>'4'!G65</f>
        <v>81</v>
      </c>
      <c r="H9" s="91">
        <f>'5'!G65</f>
        <v>74</v>
      </c>
      <c r="I9" s="91">
        <f>'6'!G65</f>
        <v>69</v>
      </c>
      <c r="J9" s="91">
        <f>'7'!G65</f>
        <v>79</v>
      </c>
      <c r="K9" s="91">
        <f>'8'!G65</f>
        <v>92</v>
      </c>
      <c r="L9" s="91">
        <f>'9'!G65</f>
        <v>78</v>
      </c>
      <c r="M9" s="91">
        <f>'10'!G65</f>
        <v>58</v>
      </c>
      <c r="N9" s="91">
        <f>'11'!G65</f>
        <v>79</v>
      </c>
      <c r="O9" s="91">
        <f>'12'!G65</f>
        <v>48</v>
      </c>
      <c r="P9" s="91">
        <f>'13'!G65</f>
        <v>69</v>
      </c>
      <c r="Q9" s="91">
        <f>'14'!G65</f>
        <v>56</v>
      </c>
      <c r="R9" s="91">
        <f>'15'!G65</f>
        <v>70</v>
      </c>
      <c r="S9" s="91">
        <f>'16'!G65</f>
        <v>62</v>
      </c>
      <c r="T9" s="91">
        <f>'17'!G65</f>
        <v>65</v>
      </c>
      <c r="U9" s="91">
        <f>'18 '!G65</f>
        <v>64</v>
      </c>
      <c r="V9" s="91">
        <f>'19'!G65</f>
        <v>63</v>
      </c>
      <c r="W9" s="91">
        <f>'20'!G65</f>
        <v>72</v>
      </c>
      <c r="X9" s="91">
        <f>'21'!G65</f>
        <v>72</v>
      </c>
      <c r="Y9" s="91">
        <f>'22'!G65</f>
        <v>75</v>
      </c>
      <c r="Z9" s="91">
        <f>'23'!G65</f>
        <v>88</v>
      </c>
      <c r="AA9" s="91">
        <f>'24'!G65</f>
        <v>103</v>
      </c>
      <c r="AB9" s="91">
        <f>'25'!G65</f>
        <v>86</v>
      </c>
      <c r="AC9" s="91">
        <f>'26'!G65</f>
        <v>84</v>
      </c>
      <c r="AD9" s="91">
        <f>'27'!G65</f>
        <v>-2320</v>
      </c>
      <c r="AE9" s="91">
        <f>'28'!G65</f>
        <v>134</v>
      </c>
      <c r="AF9" s="91">
        <f>'29'!G65</f>
        <v>104</v>
      </c>
      <c r="AG9" s="91">
        <f>'30'!G65</f>
        <v>103</v>
      </c>
      <c r="AH9" s="91">
        <f>'31'!G65</f>
        <v>94</v>
      </c>
      <c r="AI9" s="90"/>
    </row>
    <row r="10" spans="2:35" x14ac:dyDescent="0.25">
      <c r="B10" s="723"/>
      <c r="C10" s="90" t="s">
        <v>32</v>
      </c>
      <c r="D10" s="91">
        <f>'1'!G66</f>
        <v>28</v>
      </c>
      <c r="E10" s="91">
        <f>'2'!G66</f>
        <v>27</v>
      </c>
      <c r="F10" s="91">
        <f>'3'!G66</f>
        <v>18</v>
      </c>
      <c r="G10" s="91">
        <f>'4'!G66</f>
        <v>21</v>
      </c>
      <c r="H10" s="91">
        <f>'5'!G66</f>
        <v>19</v>
      </c>
      <c r="I10" s="91">
        <f>'6'!G66</f>
        <v>15</v>
      </c>
      <c r="J10" s="91">
        <f>'7'!G66</f>
        <v>17</v>
      </c>
      <c r="K10" s="91">
        <f>'8'!G66</f>
        <v>20</v>
      </c>
      <c r="L10" s="91">
        <f>'9'!G66</f>
        <v>17</v>
      </c>
      <c r="M10" s="91">
        <f>'10'!G66</f>
        <v>14</v>
      </c>
      <c r="N10" s="91">
        <f>'11'!G66</f>
        <v>14</v>
      </c>
      <c r="O10" s="91">
        <f>'12'!G66</f>
        <v>6</v>
      </c>
      <c r="P10" s="91">
        <f>'13'!G66</f>
        <v>12</v>
      </c>
      <c r="Q10" s="91">
        <f>'14'!G66</f>
        <v>13</v>
      </c>
      <c r="R10" s="91">
        <f>'15'!G66</f>
        <v>17</v>
      </c>
      <c r="S10" s="91">
        <f>'16'!G66</f>
        <v>21</v>
      </c>
      <c r="T10" s="91">
        <f>'17'!G66</f>
        <v>15</v>
      </c>
      <c r="U10" s="91">
        <f>'18 '!G66</f>
        <v>11</v>
      </c>
      <c r="V10" s="91">
        <f>'19'!G66</f>
        <v>15</v>
      </c>
      <c r="W10" s="91">
        <f>'20'!G66</f>
        <v>10</v>
      </c>
      <c r="X10" s="91">
        <f>'21'!G66</f>
        <v>12</v>
      </c>
      <c r="Y10" s="91">
        <f>'22'!G66</f>
        <v>14</v>
      </c>
      <c r="Z10" s="91">
        <f>'23'!G66</f>
        <v>23</v>
      </c>
      <c r="AA10" s="91">
        <f>'24'!G66</f>
        <v>14</v>
      </c>
      <c r="AB10" s="91">
        <f>'25'!G66</f>
        <v>11</v>
      </c>
      <c r="AC10" s="91">
        <f>'26'!G66</f>
        <v>19</v>
      </c>
      <c r="AD10" s="91">
        <f>'27'!G66</f>
        <v>-496</v>
      </c>
      <c r="AE10" s="91">
        <f>'28'!G66</f>
        <v>16</v>
      </c>
      <c r="AF10" s="91">
        <f>'29'!G66</f>
        <v>20</v>
      </c>
      <c r="AG10" s="91">
        <f>'30'!G66</f>
        <v>18</v>
      </c>
      <c r="AH10" s="91">
        <f>'31'!G66</f>
        <v>19</v>
      </c>
      <c r="AI10" s="90"/>
    </row>
    <row r="11" spans="2:35" x14ac:dyDescent="0.25">
      <c r="B11" s="723"/>
      <c r="C11" s="90" t="s">
        <v>33</v>
      </c>
      <c r="D11" s="91">
        <f>'1'!G67</f>
        <v>40</v>
      </c>
      <c r="E11" s="91">
        <f>'2'!G67</f>
        <v>39</v>
      </c>
      <c r="F11" s="91">
        <f>'3'!G67</f>
        <v>20</v>
      </c>
      <c r="G11" s="91">
        <f>'4'!G67</f>
        <v>27</v>
      </c>
      <c r="H11" s="91">
        <f>'5'!G67</f>
        <v>22</v>
      </c>
      <c r="I11" s="91">
        <f>'6'!G67</f>
        <v>21</v>
      </c>
      <c r="J11" s="91">
        <f>'7'!G67</f>
        <v>23</v>
      </c>
      <c r="K11" s="91">
        <f>'8'!G67</f>
        <v>21</v>
      </c>
      <c r="L11" s="91">
        <f>'9'!G67</f>
        <v>24</v>
      </c>
      <c r="M11" s="91">
        <f>'10'!G67</f>
        <v>21</v>
      </c>
      <c r="N11" s="91">
        <f>'11'!G67</f>
        <v>17</v>
      </c>
      <c r="O11" s="91">
        <f>'12'!G67</f>
        <v>15</v>
      </c>
      <c r="P11" s="91">
        <f>'13'!G67</f>
        <v>18</v>
      </c>
      <c r="Q11" s="91">
        <f>'14'!G67</f>
        <v>18</v>
      </c>
      <c r="R11" s="91">
        <f>'15'!G67</f>
        <v>23</v>
      </c>
      <c r="S11" s="91">
        <f>'16'!G67</f>
        <v>26</v>
      </c>
      <c r="T11" s="91">
        <f>'17'!G67</f>
        <v>19</v>
      </c>
      <c r="U11" s="91">
        <f>'18 '!G67</f>
        <v>22</v>
      </c>
      <c r="V11" s="91">
        <f>'19'!G67</f>
        <v>23</v>
      </c>
      <c r="W11" s="91">
        <f>'20'!G67</f>
        <v>23</v>
      </c>
      <c r="X11" s="91">
        <f>'21'!G67</f>
        <v>20</v>
      </c>
      <c r="Y11" s="91">
        <f>'22'!G67</f>
        <v>20</v>
      </c>
      <c r="Z11" s="91">
        <f>'23'!G67</f>
        <v>25</v>
      </c>
      <c r="AA11" s="91">
        <f>'24'!G67</f>
        <v>25</v>
      </c>
      <c r="AB11" s="91">
        <f>'25'!G67</f>
        <v>20</v>
      </c>
      <c r="AC11" s="91">
        <f>'26'!G67</f>
        <v>26</v>
      </c>
      <c r="AD11" s="91">
        <f>'27'!G67</f>
        <v>-718</v>
      </c>
      <c r="AE11" s="91">
        <f>'28'!G67</f>
        <v>26</v>
      </c>
      <c r="AF11" s="91">
        <f>'29'!G67</f>
        <v>28</v>
      </c>
      <c r="AG11" s="91">
        <f>'30'!G67</f>
        <v>35</v>
      </c>
      <c r="AH11" s="91">
        <f>'31'!G67</f>
        <v>31</v>
      </c>
      <c r="AI11" s="90"/>
    </row>
    <row r="12" spans="2:35" x14ac:dyDescent="0.25">
      <c r="B12" s="93"/>
      <c r="C12" s="90"/>
      <c r="D12" s="90"/>
      <c r="E12" s="90"/>
      <c r="F12" s="90"/>
      <c r="G12" s="90"/>
      <c r="H12" s="90"/>
      <c r="I12" s="90"/>
      <c r="J12" s="90"/>
      <c r="K12" s="90"/>
      <c r="L12" s="90"/>
      <c r="M12" s="90"/>
      <c r="N12" s="90"/>
      <c r="O12" s="90"/>
      <c r="P12" s="90"/>
      <c r="Q12" s="90"/>
      <c r="R12" s="90"/>
      <c r="S12" s="90"/>
      <c r="T12" s="90"/>
      <c r="U12" s="90"/>
      <c r="V12" s="90"/>
      <c r="W12" s="90"/>
      <c r="X12" s="90"/>
      <c r="Y12" s="90"/>
      <c r="Z12" s="90"/>
      <c r="AA12" s="90"/>
      <c r="AB12" s="90"/>
      <c r="AC12" s="90"/>
      <c r="AD12" s="90"/>
      <c r="AE12" s="90"/>
      <c r="AF12" s="90"/>
      <c r="AG12" s="90"/>
      <c r="AH12" s="90"/>
      <c r="AI12" s="90"/>
    </row>
    <row r="13" spans="2:35" x14ac:dyDescent="0.25">
      <c r="B13" s="723" t="s">
        <v>72</v>
      </c>
      <c r="C13" s="90" t="s">
        <v>31</v>
      </c>
      <c r="D13" s="91">
        <f>'1'!G68</f>
        <v>14</v>
      </c>
      <c r="E13" s="91">
        <f>'2'!G68</f>
        <v>10</v>
      </c>
      <c r="F13" s="91">
        <f>'3'!G68</f>
        <v>9</v>
      </c>
      <c r="G13" s="91">
        <f>'4'!G68</f>
        <v>27</v>
      </c>
      <c r="H13" s="91">
        <f>'5'!G68</f>
        <v>27</v>
      </c>
      <c r="I13" s="91">
        <f>'6'!G68</f>
        <v>47</v>
      </c>
      <c r="J13" s="91">
        <f>'7'!G68</f>
        <v>42</v>
      </c>
      <c r="K13" s="91">
        <f>'8'!G68</f>
        <v>30</v>
      </c>
      <c r="L13" s="91">
        <f>'9'!G68</f>
        <v>27</v>
      </c>
      <c r="M13" s="91">
        <f>'10'!G68</f>
        <v>26</v>
      </c>
      <c r="N13" s="91">
        <f>'11'!G68</f>
        <v>26</v>
      </c>
      <c r="O13" s="91">
        <f>'12'!G68</f>
        <v>23</v>
      </c>
      <c r="P13" s="91">
        <f>'13'!G68</f>
        <v>20</v>
      </c>
      <c r="Q13" s="91">
        <f>'14'!G68</f>
        <v>35</v>
      </c>
      <c r="R13" s="91">
        <f>'15'!G68</f>
        <v>23</v>
      </c>
      <c r="S13" s="91">
        <f>'16'!G68</f>
        <v>31</v>
      </c>
      <c r="T13" s="91">
        <f>'17'!G68</f>
        <v>21</v>
      </c>
      <c r="U13" s="91">
        <f>'18 '!G68</f>
        <v>55</v>
      </c>
      <c r="V13" s="91">
        <f>'19'!G68</f>
        <v>30</v>
      </c>
      <c r="W13" s="91">
        <f>'20'!G68</f>
        <v>50</v>
      </c>
      <c r="X13" s="91">
        <f>'21'!G68</f>
        <v>34</v>
      </c>
      <c r="Y13" s="91">
        <f>'22'!G68</f>
        <v>45</v>
      </c>
      <c r="Z13" s="91">
        <f>'23'!G68</f>
        <v>42</v>
      </c>
      <c r="AA13" s="506">
        <f>'24'!G68</f>
        <v>33</v>
      </c>
      <c r="AB13" s="91" t="str">
        <f>'25'!G68</f>
        <v xml:space="preserve">                                                            </v>
      </c>
      <c r="AC13" s="91">
        <f>'26'!G68</f>
        <v>50</v>
      </c>
      <c r="AD13" s="91">
        <f>'27'!G68</f>
        <v>-990</v>
      </c>
      <c r="AE13" s="91">
        <f>'28'!G68</f>
        <v>40</v>
      </c>
      <c r="AF13" s="91">
        <f>'29'!G68</f>
        <v>40</v>
      </c>
      <c r="AG13" s="91">
        <f>'30'!G68</f>
        <v>36</v>
      </c>
      <c r="AH13" s="91">
        <f>'31'!G68</f>
        <v>24</v>
      </c>
      <c r="AI13" s="90"/>
    </row>
    <row r="14" spans="2:35" x14ac:dyDescent="0.25">
      <c r="B14" s="723"/>
      <c r="C14" s="90" t="s">
        <v>32</v>
      </c>
      <c r="D14" s="91">
        <f>'1'!G69</f>
        <v>25</v>
      </c>
      <c r="E14" s="91">
        <f>'2'!G69</f>
        <v>11</v>
      </c>
      <c r="F14" s="91">
        <f>'3'!G69</f>
        <v>22</v>
      </c>
      <c r="G14" s="91">
        <f>'4'!G69</f>
        <v>7</v>
      </c>
      <c r="H14" s="91">
        <f>'5'!G69</f>
        <v>11</v>
      </c>
      <c r="I14" s="91">
        <f>'6'!G69</f>
        <v>8</v>
      </c>
      <c r="J14" s="91">
        <f>'7'!G69</f>
        <v>7</v>
      </c>
      <c r="K14" s="91">
        <f>'8'!G69</f>
        <v>6</v>
      </c>
      <c r="L14" s="91">
        <f>'9'!G69</f>
        <v>7</v>
      </c>
      <c r="M14" s="91">
        <f>'10'!G69</f>
        <v>9</v>
      </c>
      <c r="N14" s="91">
        <f>'11'!G69</f>
        <v>8</v>
      </c>
      <c r="O14" s="91">
        <f>'12'!G69</f>
        <v>6</v>
      </c>
      <c r="P14" s="91">
        <f>'13'!G69</f>
        <v>5</v>
      </c>
      <c r="Q14" s="91">
        <f>'14'!G69</f>
        <v>6</v>
      </c>
      <c r="R14" s="91">
        <f>'15'!G69</f>
        <v>11</v>
      </c>
      <c r="S14" s="91">
        <f>'16'!G69</f>
        <v>6</v>
      </c>
      <c r="T14" s="91">
        <f>'17'!G69</f>
        <v>8</v>
      </c>
      <c r="U14" s="91">
        <f>'18 '!G69</f>
        <v>12</v>
      </c>
      <c r="V14" s="91">
        <f>'19'!G69</f>
        <v>8</v>
      </c>
      <c r="W14" s="91">
        <f>'20'!G69</f>
        <v>14</v>
      </c>
      <c r="X14" s="91">
        <f>'21'!G69</f>
        <v>8</v>
      </c>
      <c r="Y14" s="91">
        <f>'22'!G69</f>
        <v>8</v>
      </c>
      <c r="Z14" s="91">
        <f>'23'!G69</f>
        <v>31</v>
      </c>
      <c r="AA14" s="91">
        <f>'24'!G69</f>
        <v>31</v>
      </c>
      <c r="AB14" s="91">
        <f>'25'!G69</f>
        <v>5</v>
      </c>
      <c r="AC14" s="91">
        <f>'26'!G69</f>
        <v>8</v>
      </c>
      <c r="AD14" s="91">
        <f>'27'!G69</f>
        <v>-343</v>
      </c>
      <c r="AE14" s="91">
        <f>'28'!G69</f>
        <v>17</v>
      </c>
      <c r="AF14" s="91">
        <f>'29'!G69</f>
        <v>18</v>
      </c>
      <c r="AG14" s="91">
        <f>'30'!G69</f>
        <v>12</v>
      </c>
      <c r="AH14" s="91">
        <f>'31'!G69</f>
        <v>8</v>
      </c>
      <c r="AI14" s="90"/>
    </row>
    <row r="15" spans="2:35" x14ac:dyDescent="0.25">
      <c r="B15" s="723"/>
      <c r="C15" s="90" t="s">
        <v>33</v>
      </c>
      <c r="D15" s="91">
        <f>'1'!G70</f>
        <v>13</v>
      </c>
      <c r="E15" s="91">
        <f>'2'!G70</f>
        <v>12</v>
      </c>
      <c r="F15" s="91">
        <f>'3'!G70</f>
        <v>7</v>
      </c>
      <c r="G15" s="91">
        <f>'4'!G70</f>
        <v>6</v>
      </c>
      <c r="H15" s="91">
        <f>'5'!G70</f>
        <v>6</v>
      </c>
      <c r="I15" s="91">
        <f>'6'!G70</f>
        <v>6</v>
      </c>
      <c r="J15" s="91">
        <f>'7'!G70</f>
        <v>9</v>
      </c>
      <c r="K15" s="91">
        <f>'8'!G70</f>
        <v>8</v>
      </c>
      <c r="L15" s="91">
        <f>'9'!G70</f>
        <v>14</v>
      </c>
      <c r="M15" s="91">
        <f>'10'!G70</f>
        <v>4</v>
      </c>
      <c r="N15" s="91">
        <f>'11'!G70</f>
        <v>6</v>
      </c>
      <c r="O15" s="91">
        <f>'12'!G70</f>
        <v>4</v>
      </c>
      <c r="P15" s="91">
        <f>'13'!G70</f>
        <v>7</v>
      </c>
      <c r="Q15" s="91">
        <f>'14'!G70</f>
        <v>6</v>
      </c>
      <c r="R15" s="91">
        <f>'15'!G70</f>
        <v>7</v>
      </c>
      <c r="S15" s="91">
        <f>'16'!G70</f>
        <v>7</v>
      </c>
      <c r="T15" s="91">
        <f>'17'!G70</f>
        <v>7</v>
      </c>
      <c r="U15" s="91">
        <f>'18 '!G70</f>
        <v>4</v>
      </c>
      <c r="V15" s="91">
        <f>'19'!G70</f>
        <v>6.1000000000003638</v>
      </c>
      <c r="W15" s="91">
        <f>'20'!G70</f>
        <v>4.8999999999996362</v>
      </c>
      <c r="X15" s="91">
        <f>'21'!G70</f>
        <v>4</v>
      </c>
      <c r="Y15" s="91">
        <f>'22'!G70</f>
        <v>6</v>
      </c>
      <c r="Z15" s="91">
        <f>'23'!G70</f>
        <v>6</v>
      </c>
      <c r="AA15" s="91">
        <f>'24'!G70</f>
        <v>8</v>
      </c>
      <c r="AB15" s="91">
        <f>'25'!G70</f>
        <v>12</v>
      </c>
      <c r="AC15" s="91">
        <f>'26'!G70</f>
        <v>13</v>
      </c>
      <c r="AD15" s="91">
        <f>'27'!G70</f>
        <v>-218</v>
      </c>
      <c r="AE15" s="91">
        <f>'28'!G70</f>
        <v>6</v>
      </c>
      <c r="AF15" s="91">
        <f>'29'!G70</f>
        <v>6</v>
      </c>
      <c r="AG15" s="91">
        <f>'30'!G70</f>
        <v>6</v>
      </c>
      <c r="AH15" s="91">
        <f>'31'!G70</f>
        <v>7</v>
      </c>
      <c r="AI15" s="90"/>
    </row>
    <row r="16" spans="2:35" x14ac:dyDescent="0.25">
      <c r="B16" s="93"/>
      <c r="C16" s="90"/>
      <c r="D16" s="90"/>
      <c r="E16" s="90"/>
      <c r="F16" s="90"/>
      <c r="G16" s="90"/>
      <c r="H16" s="90"/>
      <c r="I16" s="90"/>
      <c r="J16" s="90"/>
      <c r="K16" s="90"/>
      <c r="L16" s="90"/>
      <c r="M16" s="90"/>
      <c r="N16" s="90"/>
      <c r="O16" s="90"/>
      <c r="P16" s="90"/>
      <c r="Q16" s="90"/>
      <c r="R16" s="90"/>
      <c r="S16" s="90"/>
      <c r="T16" s="90"/>
      <c r="U16" s="90"/>
      <c r="V16" s="90"/>
      <c r="W16" s="90"/>
      <c r="X16" s="90"/>
      <c r="Y16" s="90"/>
      <c r="Z16" s="90"/>
      <c r="AA16" s="90"/>
      <c r="AB16" s="90"/>
      <c r="AC16" s="90"/>
      <c r="AD16" s="90"/>
      <c r="AE16" s="90"/>
      <c r="AF16" s="90"/>
      <c r="AG16" s="90"/>
      <c r="AH16" s="90"/>
      <c r="AI16" s="90"/>
    </row>
    <row r="17" spans="2:35" x14ac:dyDescent="0.25">
      <c r="B17" s="723" t="s">
        <v>73</v>
      </c>
      <c r="C17" s="90" t="s">
        <v>74</v>
      </c>
      <c r="D17" s="90">
        <f>'1'!G173</f>
        <v>0</v>
      </c>
      <c r="E17" s="91">
        <f>'2'!G173</f>
        <v>0</v>
      </c>
      <c r="F17" s="91">
        <f>'3'!G173</f>
        <v>0</v>
      </c>
      <c r="G17" s="91">
        <f>'4'!G173</f>
        <v>0</v>
      </c>
      <c r="H17" s="91">
        <f>'5'!G173</f>
        <v>0</v>
      </c>
      <c r="I17" s="91">
        <f>'6'!G173</f>
        <v>0</v>
      </c>
      <c r="J17" s="91">
        <f>'7'!G173</f>
        <v>0</v>
      </c>
      <c r="K17" s="91">
        <f>'8'!G173</f>
        <v>0</v>
      </c>
      <c r="L17" s="91">
        <f>'9'!G173</f>
        <v>0</v>
      </c>
      <c r="M17" s="91">
        <f>'10'!G173</f>
        <v>0</v>
      </c>
      <c r="N17" s="91">
        <f>'11'!G173</f>
        <v>0</v>
      </c>
      <c r="O17" s="91">
        <f>'12'!G173</f>
        <v>0</v>
      </c>
      <c r="P17" s="91">
        <f>'13'!G173</f>
        <v>0</v>
      </c>
      <c r="Q17" s="91">
        <f>'14'!G173</f>
        <v>0</v>
      </c>
      <c r="R17" s="91">
        <f>'15'!G173</f>
        <v>0</v>
      </c>
      <c r="S17" s="91">
        <f>'16'!G173</f>
        <v>0</v>
      </c>
      <c r="T17" s="91">
        <f>'17'!G173</f>
        <v>0</v>
      </c>
      <c r="U17" s="91">
        <f>'18 '!G173</f>
        <v>0</v>
      </c>
      <c r="V17" s="91">
        <f>'19'!G173</f>
        <v>0</v>
      </c>
      <c r="W17" s="91">
        <f>'20'!G173</f>
        <v>0</v>
      </c>
      <c r="X17" s="91">
        <f>'21'!G173</f>
        <v>0</v>
      </c>
      <c r="Y17" s="91">
        <f>'22'!G173</f>
        <v>0</v>
      </c>
      <c r="Z17" s="91">
        <f>'23'!G173</f>
        <v>0</v>
      </c>
      <c r="AA17" s="91">
        <f>'24'!G173</f>
        <v>0</v>
      </c>
      <c r="AB17" s="91">
        <f>'25'!G173</f>
        <v>0</v>
      </c>
      <c r="AC17" s="91">
        <f>'26'!G173</f>
        <v>0</v>
      </c>
      <c r="AD17" s="91">
        <f>'27'!G173</f>
        <v>0</v>
      </c>
      <c r="AE17" s="91">
        <f>'28'!G173</f>
        <v>0</v>
      </c>
      <c r="AF17" s="91">
        <f>'29'!G173</f>
        <v>0</v>
      </c>
      <c r="AG17" s="91">
        <f>'30'!G173</f>
        <v>0</v>
      </c>
      <c r="AH17" s="91">
        <f>'31'!G173</f>
        <v>0</v>
      </c>
      <c r="AI17" s="90"/>
    </row>
    <row r="18" spans="2:35" x14ac:dyDescent="0.25">
      <c r="B18" s="723"/>
      <c r="C18" s="90" t="s">
        <v>75</v>
      </c>
      <c r="D18" s="90">
        <f>'1'!G174</f>
        <v>15</v>
      </c>
      <c r="E18" s="91">
        <f>'2'!G174</f>
        <v>0</v>
      </c>
      <c r="F18" s="91">
        <f>'3'!G174</f>
        <v>0</v>
      </c>
      <c r="G18" s="91">
        <f>'4'!G174</f>
        <v>14</v>
      </c>
      <c r="H18" s="91">
        <f>'5'!G174</f>
        <v>14</v>
      </c>
      <c r="I18" s="91">
        <f>'6'!G174</f>
        <v>11</v>
      </c>
      <c r="J18" s="91">
        <f>'7'!G174</f>
        <v>11</v>
      </c>
      <c r="K18" s="91">
        <f>'8'!G174</f>
        <v>12</v>
      </c>
      <c r="L18" s="91">
        <f>'9'!G174</f>
        <v>18</v>
      </c>
      <c r="M18" s="91">
        <f>'10'!G174</f>
        <v>1</v>
      </c>
      <c r="N18" s="91">
        <f>'11'!G174</f>
        <v>14</v>
      </c>
      <c r="O18" s="91">
        <f>'12'!G174</f>
        <v>0</v>
      </c>
      <c r="P18" s="91">
        <f>'13'!G174</f>
        <v>13</v>
      </c>
      <c r="Q18" s="91">
        <f>'14'!G174</f>
        <v>5</v>
      </c>
      <c r="R18" s="91">
        <f>'15'!G174</f>
        <v>10</v>
      </c>
      <c r="S18" s="91">
        <f>'16'!G174</f>
        <v>13</v>
      </c>
      <c r="T18" s="91">
        <f>'17'!G174</f>
        <v>0</v>
      </c>
      <c r="U18" s="91">
        <f>'18 '!G174</f>
        <v>13</v>
      </c>
      <c r="V18" s="91">
        <f>'19'!G174</f>
        <v>9</v>
      </c>
      <c r="W18" s="91">
        <f>'20'!G174</f>
        <v>12</v>
      </c>
      <c r="X18" s="91">
        <f>'21'!G174</f>
        <v>11</v>
      </c>
      <c r="Y18" s="91">
        <f>'22'!G174</f>
        <v>12</v>
      </c>
      <c r="Z18" s="91">
        <f>'23'!G174</f>
        <v>13</v>
      </c>
      <c r="AA18" s="91">
        <f>'24'!G174</f>
        <v>14</v>
      </c>
      <c r="AB18" s="91">
        <f>'25'!G174</f>
        <v>8</v>
      </c>
      <c r="AC18" s="91">
        <f>'26'!G174</f>
        <v>12</v>
      </c>
      <c r="AD18" s="91">
        <f>'27'!G174</f>
        <v>-312</v>
      </c>
      <c r="AE18" s="91">
        <f>'28'!G174</f>
        <v>16</v>
      </c>
      <c r="AF18" s="91">
        <f>'29'!G174</f>
        <v>10</v>
      </c>
      <c r="AG18" s="91">
        <f>'30'!G174</f>
        <v>17</v>
      </c>
      <c r="AH18" s="91">
        <f>'31'!G174</f>
        <v>14</v>
      </c>
      <c r="AI18" s="90"/>
    </row>
    <row r="19" spans="2:35" x14ac:dyDescent="0.25">
      <c r="B19" s="723"/>
      <c r="C19" s="90" t="s">
        <v>76</v>
      </c>
      <c r="D19" s="90">
        <f>'1'!G175</f>
        <v>12</v>
      </c>
      <c r="E19" s="91">
        <f>'2'!G175</f>
        <v>7</v>
      </c>
      <c r="F19" s="91">
        <f>'3'!G175</f>
        <v>2</v>
      </c>
      <c r="G19" s="91">
        <f>'4'!G175</f>
        <v>17</v>
      </c>
      <c r="H19" s="91">
        <f>'5'!G175</f>
        <v>11</v>
      </c>
      <c r="I19" s="91">
        <f>'6'!G175</f>
        <v>9</v>
      </c>
      <c r="J19" s="91">
        <f>'7'!G175</f>
        <v>11</v>
      </c>
      <c r="K19" s="91">
        <f>'8'!G175</f>
        <v>9</v>
      </c>
      <c r="L19" s="91">
        <f>'9'!G175</f>
        <v>10</v>
      </c>
      <c r="M19" s="91">
        <f>'10'!G175</f>
        <v>4</v>
      </c>
      <c r="N19" s="91">
        <f>'11'!G175</f>
        <v>11</v>
      </c>
      <c r="O19" s="91">
        <f>'12'!G175</f>
        <v>5</v>
      </c>
      <c r="P19" s="91">
        <f>'13'!G175</f>
        <v>11</v>
      </c>
      <c r="Q19" s="91">
        <f>'14'!G175</f>
        <v>6</v>
      </c>
      <c r="R19" s="91">
        <f>'15'!G175</f>
        <v>13</v>
      </c>
      <c r="S19" s="91">
        <f>'16'!G175</f>
        <v>10</v>
      </c>
      <c r="T19" s="91">
        <f>'17'!G175</f>
        <v>7</v>
      </c>
      <c r="U19" s="91">
        <f>'18 '!G175</f>
        <v>10</v>
      </c>
      <c r="V19" s="91">
        <f>'19'!G175</f>
        <v>9</v>
      </c>
      <c r="W19" s="91">
        <f>'20'!G175</f>
        <v>12</v>
      </c>
      <c r="X19" s="91">
        <f>'21'!G175</f>
        <v>10</v>
      </c>
      <c r="Y19" s="91">
        <f>'22'!G175</f>
        <v>10</v>
      </c>
      <c r="Z19" s="91">
        <f>'23'!G175</f>
        <v>11</v>
      </c>
      <c r="AA19" s="91">
        <f>'24'!G175</f>
        <v>10</v>
      </c>
      <c r="AB19" s="91">
        <f>'25'!G175</f>
        <v>8</v>
      </c>
      <c r="AC19" s="91">
        <f>'26'!G175</f>
        <v>10</v>
      </c>
      <c r="AD19" s="91">
        <f>'27'!G175</f>
        <v>-288</v>
      </c>
      <c r="AE19" s="91">
        <f>'28'!G175</f>
        <v>11</v>
      </c>
      <c r="AF19" s="91">
        <f>'29'!G175</f>
        <v>12</v>
      </c>
      <c r="AG19" s="91">
        <f>'30'!G175</f>
        <v>12</v>
      </c>
      <c r="AH19" s="91">
        <f>'31'!G175</f>
        <v>8</v>
      </c>
      <c r="AI19" s="90"/>
    </row>
    <row r="20" spans="2:35" x14ac:dyDescent="0.25">
      <c r="B20" s="93"/>
      <c r="C20" s="90"/>
      <c r="D20" s="90"/>
      <c r="E20" s="90"/>
      <c r="F20" s="90"/>
      <c r="G20" s="90"/>
      <c r="H20" s="90"/>
      <c r="I20" s="90"/>
      <c r="J20" s="90"/>
      <c r="K20" s="90"/>
      <c r="L20" s="90"/>
      <c r="M20" s="90"/>
      <c r="N20" s="90"/>
      <c r="O20" s="90"/>
      <c r="P20" s="90"/>
      <c r="Q20" s="90"/>
      <c r="R20" s="90"/>
      <c r="S20" s="90"/>
      <c r="T20" s="90"/>
      <c r="U20" s="90"/>
      <c r="V20" s="90"/>
      <c r="W20" s="90"/>
      <c r="X20" s="90"/>
      <c r="Y20" s="90"/>
      <c r="Z20" s="90"/>
      <c r="AA20" s="90"/>
      <c r="AB20" s="90"/>
      <c r="AC20" s="90"/>
      <c r="AD20" s="90"/>
      <c r="AE20" s="90"/>
      <c r="AF20" s="90"/>
      <c r="AG20" s="90"/>
      <c r="AH20" s="90"/>
      <c r="AI20" s="90"/>
    </row>
    <row r="21" spans="2:35" x14ac:dyDescent="0.25">
      <c r="B21" s="723" t="s">
        <v>77</v>
      </c>
      <c r="C21" s="90" t="s">
        <v>78</v>
      </c>
      <c r="D21" s="90">
        <f>'1'!G178</f>
        <v>62</v>
      </c>
      <c r="E21" s="91">
        <f>'2'!G178</f>
        <v>64</v>
      </c>
      <c r="F21" s="91">
        <f>'3'!G178</f>
        <v>58</v>
      </c>
      <c r="G21" s="91">
        <f>'4'!G178</f>
        <v>79</v>
      </c>
      <c r="H21" s="91">
        <f>'5'!G178</f>
        <v>97</v>
      </c>
      <c r="I21" s="91">
        <f>'6'!G178</f>
        <v>72</v>
      </c>
      <c r="J21" s="91">
        <f>'7'!G178</f>
        <v>62</v>
      </c>
      <c r="K21" s="91">
        <f>'8'!G178</f>
        <v>60</v>
      </c>
      <c r="L21" s="91">
        <f>'9'!G178</f>
        <v>61</v>
      </c>
      <c r="M21" s="91">
        <f>'10'!G178</f>
        <v>41</v>
      </c>
      <c r="N21" s="91">
        <f>'11'!G178</f>
        <v>42</v>
      </c>
      <c r="O21" s="91">
        <f>'12'!G178</f>
        <v>43</v>
      </c>
      <c r="P21" s="91">
        <f>'13'!G178</f>
        <v>21</v>
      </c>
      <c r="Q21" s="91">
        <f>'14'!G178</f>
        <v>21</v>
      </c>
      <c r="R21" s="91">
        <f>'15'!G178</f>
        <v>72</v>
      </c>
      <c r="S21" s="91">
        <f>'16'!G178</f>
        <v>60</v>
      </c>
      <c r="T21" s="91">
        <f>'17'!G178</f>
        <v>60</v>
      </c>
      <c r="U21" s="91">
        <f>'18 '!G178</f>
        <v>64</v>
      </c>
      <c r="V21" s="91">
        <f>'19'!G178</f>
        <v>35</v>
      </c>
      <c r="W21" s="91">
        <f>'20'!G178</f>
        <v>41</v>
      </c>
      <c r="X21" s="91">
        <f>'21'!G178</f>
        <v>61</v>
      </c>
      <c r="Y21" s="91">
        <f>'22'!G178</f>
        <v>0</v>
      </c>
      <c r="Z21" s="91">
        <f>'23'!G178</f>
        <v>104</v>
      </c>
      <c r="AA21" s="91">
        <f>'24'!G178</f>
        <v>42</v>
      </c>
      <c r="AB21" s="91">
        <f>'25'!G178</f>
        <v>21</v>
      </c>
      <c r="AC21" s="91">
        <f>'26'!G178</f>
        <v>55</v>
      </c>
      <c r="AD21" s="91">
        <f>'27'!G178</f>
        <v>-1674</v>
      </c>
      <c r="AE21" s="91">
        <f>'28'!G178</f>
        <v>64</v>
      </c>
      <c r="AF21" s="91">
        <f>'29'!G178</f>
        <v>95</v>
      </c>
      <c r="AG21" s="91">
        <f>'30'!G178</f>
        <v>72</v>
      </c>
      <c r="AH21" s="91">
        <f>'31'!G178</f>
        <v>45</v>
      </c>
      <c r="AI21" s="90"/>
    </row>
    <row r="22" spans="2:35" x14ac:dyDescent="0.25">
      <c r="B22" s="723"/>
      <c r="C22" s="90" t="s">
        <v>79</v>
      </c>
      <c r="D22" s="90">
        <f>'1'!G179</f>
        <v>42</v>
      </c>
      <c r="E22" s="91">
        <f>'2'!G179</f>
        <v>1</v>
      </c>
      <c r="F22" s="91">
        <f>'3'!G179</f>
        <v>15</v>
      </c>
      <c r="G22" s="91">
        <f>'4'!G179</f>
        <v>35</v>
      </c>
      <c r="H22" s="91">
        <f>'5'!G179</f>
        <v>16</v>
      </c>
      <c r="I22" s="91">
        <f>'6'!G179</f>
        <v>5</v>
      </c>
      <c r="J22" s="91">
        <f>'7'!G179</f>
        <v>9</v>
      </c>
      <c r="K22" s="91">
        <f>'8'!G179</f>
        <v>14</v>
      </c>
      <c r="L22" s="91">
        <f>'9'!G179</f>
        <v>18</v>
      </c>
      <c r="M22" s="91">
        <f>'10'!G179</f>
        <v>23</v>
      </c>
      <c r="N22" s="91">
        <f>'11'!G179</f>
        <v>34</v>
      </c>
      <c r="O22" s="91">
        <f>'12'!G179</f>
        <v>19</v>
      </c>
      <c r="P22" s="91">
        <f>'13'!G179</f>
        <v>54</v>
      </c>
      <c r="Q22" s="91">
        <f>'14'!G179</f>
        <v>3</v>
      </c>
      <c r="R22" s="91">
        <f>'15'!G179</f>
        <v>20</v>
      </c>
      <c r="S22" s="91">
        <f>'16'!G179</f>
        <v>28</v>
      </c>
      <c r="T22" s="91">
        <f>'17'!G179</f>
        <v>27</v>
      </c>
      <c r="U22" s="91">
        <f>'18 '!G179</f>
        <v>54</v>
      </c>
      <c r="V22" s="91">
        <f>'19'!G179</f>
        <v>4</v>
      </c>
      <c r="W22" s="91">
        <f>'20'!G179</f>
        <v>0</v>
      </c>
      <c r="X22" s="91">
        <f>'21'!G179</f>
        <v>20</v>
      </c>
      <c r="Y22" s="91">
        <f>'22'!G179</f>
        <v>14</v>
      </c>
      <c r="Z22" s="91">
        <f>'23'!G179</f>
        <v>52</v>
      </c>
      <c r="AA22" s="91">
        <f>'24'!G179</f>
        <v>30</v>
      </c>
      <c r="AB22" s="91">
        <f>'25'!G179</f>
        <v>80</v>
      </c>
      <c r="AC22" s="91">
        <f>'26'!G179</f>
        <v>48</v>
      </c>
      <c r="AD22" s="91">
        <f>'27'!G179</f>
        <v>-665</v>
      </c>
      <c r="AE22" s="91">
        <f>'28'!G179</f>
        <v>0</v>
      </c>
      <c r="AF22" s="91">
        <f>'29'!G179</f>
        <v>0</v>
      </c>
      <c r="AG22" s="91">
        <f>'30'!G179</f>
        <v>0</v>
      </c>
      <c r="AH22" s="91">
        <f>'31'!G179</f>
        <v>0</v>
      </c>
      <c r="AI22" s="90"/>
    </row>
    <row r="23" spans="2:35" x14ac:dyDescent="0.25">
      <c r="B23" s="723"/>
      <c r="C23" s="90" t="s">
        <v>80</v>
      </c>
      <c r="D23" s="90">
        <f>'1'!G180</f>
        <v>4</v>
      </c>
      <c r="E23" s="91">
        <f>'2'!G180</f>
        <v>3</v>
      </c>
      <c r="F23" s="91">
        <f>'3'!G180</f>
        <v>4</v>
      </c>
      <c r="G23" s="91">
        <f>'4'!G180</f>
        <v>16</v>
      </c>
      <c r="H23" s="91">
        <f>'5'!G180</f>
        <v>1</v>
      </c>
      <c r="I23" s="91">
        <f>'6'!G180</f>
        <v>20</v>
      </c>
      <c r="J23" s="91">
        <f>'7'!G180</f>
        <v>3</v>
      </c>
      <c r="K23" s="91">
        <f>'8'!G180</f>
        <v>15</v>
      </c>
      <c r="L23" s="91">
        <f>'9'!G180</f>
        <v>1</v>
      </c>
      <c r="M23" s="91">
        <f>'10'!G180</f>
        <v>0</v>
      </c>
      <c r="N23" s="91">
        <f>'11'!G180</f>
        <v>2</v>
      </c>
      <c r="O23" s="91">
        <f>'12'!G180</f>
        <v>17</v>
      </c>
      <c r="P23" s="91">
        <f>'13'!G180</f>
        <v>3</v>
      </c>
      <c r="Q23" s="91">
        <f>'14'!G180</f>
        <v>15</v>
      </c>
      <c r="R23" s="91">
        <f>'15'!G180</f>
        <v>11</v>
      </c>
      <c r="S23" s="91">
        <f>'16'!G180</f>
        <v>3</v>
      </c>
      <c r="T23" s="91">
        <f>'17'!G180</f>
        <v>1</v>
      </c>
      <c r="U23" s="91">
        <f>'18 '!G180</f>
        <v>15</v>
      </c>
      <c r="V23" s="91">
        <f>'19'!G180</f>
        <v>0</v>
      </c>
      <c r="W23" s="91">
        <f>'20'!G180</f>
        <v>12</v>
      </c>
      <c r="X23" s="91">
        <f>'21'!G180</f>
        <v>14</v>
      </c>
      <c r="Y23" s="91">
        <f>'22'!G180</f>
        <v>5</v>
      </c>
      <c r="Z23" s="91">
        <f>'23'!G180</f>
        <v>2</v>
      </c>
      <c r="AA23" s="91">
        <f>'24'!G180</f>
        <v>7</v>
      </c>
      <c r="AB23" s="91">
        <f>'25'!G180</f>
        <v>7</v>
      </c>
      <c r="AC23" s="91">
        <f>'26'!G180</f>
        <v>0</v>
      </c>
      <c r="AD23" s="91">
        <f>'27'!G180</f>
        <v>-201</v>
      </c>
      <c r="AE23" s="91">
        <f>'28'!G180</f>
        <v>6</v>
      </c>
      <c r="AF23" s="91">
        <f>'29'!G180</f>
        <v>8</v>
      </c>
      <c r="AG23" s="91">
        <f>'30'!G180</f>
        <v>0</v>
      </c>
      <c r="AH23" s="91">
        <f>'31'!G180</f>
        <v>6</v>
      </c>
      <c r="AI23" s="90"/>
    </row>
    <row r="24" spans="2:35" ht="30" x14ac:dyDescent="0.25">
      <c r="B24" s="93" t="s">
        <v>301</v>
      </c>
      <c r="C24" s="90"/>
      <c r="D24" s="91">
        <f>SUM(D5:D6)</f>
        <v>54</v>
      </c>
      <c r="E24" s="91">
        <f t="shared" ref="E24:AH24" si="0">SUM(E5:E6)</f>
        <v>56</v>
      </c>
      <c r="F24" s="91">
        <f t="shared" si="0"/>
        <v>356</v>
      </c>
      <c r="G24" s="91">
        <f t="shared" si="0"/>
        <v>219</v>
      </c>
      <c r="H24" s="91">
        <f t="shared" si="0"/>
        <v>171</v>
      </c>
      <c r="I24" s="91">
        <f t="shared" si="0"/>
        <v>204</v>
      </c>
      <c r="J24" s="91">
        <f t="shared" si="0"/>
        <v>214</v>
      </c>
      <c r="K24" s="91">
        <f t="shared" si="0"/>
        <v>211</v>
      </c>
      <c r="L24" s="91">
        <f t="shared" si="0"/>
        <v>205</v>
      </c>
      <c r="M24" s="91">
        <f t="shared" si="0"/>
        <v>124</v>
      </c>
      <c r="N24" s="91">
        <f t="shared" si="0"/>
        <v>130</v>
      </c>
      <c r="O24" s="91">
        <f t="shared" si="0"/>
        <v>136</v>
      </c>
      <c r="P24" s="91">
        <f t="shared" si="0"/>
        <v>103</v>
      </c>
      <c r="Q24" s="91">
        <f t="shared" si="0"/>
        <v>114</v>
      </c>
      <c r="R24" s="91">
        <f t="shared" si="0"/>
        <v>155</v>
      </c>
      <c r="S24" s="91">
        <f t="shared" si="0"/>
        <v>135</v>
      </c>
      <c r="T24" s="91">
        <f t="shared" si="0"/>
        <v>133</v>
      </c>
      <c r="U24" s="91">
        <f t="shared" si="0"/>
        <v>154</v>
      </c>
      <c r="V24" s="91">
        <f t="shared" si="0"/>
        <v>157</v>
      </c>
      <c r="W24" s="91">
        <f t="shared" si="0"/>
        <v>216</v>
      </c>
      <c r="X24" s="91">
        <f t="shared" si="0"/>
        <v>167</v>
      </c>
      <c r="Y24" s="91">
        <f t="shared" si="0"/>
        <v>176</v>
      </c>
      <c r="Z24" s="91">
        <f t="shared" si="0"/>
        <v>216</v>
      </c>
      <c r="AA24" s="91">
        <f>SUM(AA5:AA6)</f>
        <v>212</v>
      </c>
      <c r="AB24" s="91">
        <f t="shared" si="0"/>
        <v>190</v>
      </c>
      <c r="AC24" s="91">
        <f t="shared" si="0"/>
        <v>175</v>
      </c>
      <c r="AD24" s="91">
        <f t="shared" si="0"/>
        <v>295</v>
      </c>
      <c r="AE24" s="91">
        <f t="shared" si="0"/>
        <v>415</v>
      </c>
      <c r="AF24" s="91">
        <f t="shared" si="0"/>
        <v>535</v>
      </c>
      <c r="AG24" s="91">
        <f t="shared" si="0"/>
        <v>655</v>
      </c>
      <c r="AH24" s="91">
        <f t="shared" si="0"/>
        <v>775</v>
      </c>
      <c r="AI24" s="90"/>
    </row>
    <row r="25" spans="2:35" ht="30" x14ac:dyDescent="0.25">
      <c r="B25" s="93" t="s">
        <v>81</v>
      </c>
      <c r="C25" s="90"/>
      <c r="D25" s="91">
        <f>SUM(D9:D11,D14:D15,)</f>
        <v>204</v>
      </c>
      <c r="E25" s="91">
        <f t="shared" ref="E25:AI25" si="1">SUM(E9:E11,E14:E15,)</f>
        <v>149</v>
      </c>
      <c r="F25" s="91">
        <f t="shared" si="1"/>
        <v>107</v>
      </c>
      <c r="G25" s="91">
        <f t="shared" si="1"/>
        <v>142</v>
      </c>
      <c r="H25" s="91">
        <f t="shared" si="1"/>
        <v>132</v>
      </c>
      <c r="I25" s="91">
        <f t="shared" si="1"/>
        <v>119</v>
      </c>
      <c r="J25" s="91">
        <f t="shared" si="1"/>
        <v>135</v>
      </c>
      <c r="K25" s="91">
        <f>SUM(K9:K11,K14:K15,)</f>
        <v>147</v>
      </c>
      <c r="L25" s="91">
        <f t="shared" si="1"/>
        <v>140</v>
      </c>
      <c r="M25" s="91">
        <f t="shared" si="1"/>
        <v>106</v>
      </c>
      <c r="N25" s="91">
        <f t="shared" si="1"/>
        <v>124</v>
      </c>
      <c r="O25" s="91">
        <f t="shared" si="1"/>
        <v>79</v>
      </c>
      <c r="P25" s="91">
        <f t="shared" si="1"/>
        <v>111</v>
      </c>
      <c r="Q25" s="91">
        <f t="shared" si="1"/>
        <v>99</v>
      </c>
      <c r="R25" s="91">
        <f t="shared" si="1"/>
        <v>128</v>
      </c>
      <c r="S25" s="91">
        <f t="shared" si="1"/>
        <v>122</v>
      </c>
      <c r="T25" s="91">
        <f>SUM(T9:T11,T14:T15,)</f>
        <v>114</v>
      </c>
      <c r="U25" s="91">
        <f t="shared" si="1"/>
        <v>113</v>
      </c>
      <c r="V25" s="91">
        <f t="shared" si="1"/>
        <v>115.10000000000036</v>
      </c>
      <c r="W25" s="91">
        <f t="shared" si="1"/>
        <v>123.89999999999964</v>
      </c>
      <c r="X25" s="91">
        <f t="shared" si="1"/>
        <v>116</v>
      </c>
      <c r="Y25" s="91">
        <f t="shared" si="1"/>
        <v>123</v>
      </c>
      <c r="Z25" s="91">
        <f t="shared" si="1"/>
        <v>173</v>
      </c>
      <c r="AA25" s="91">
        <f t="shared" si="1"/>
        <v>181</v>
      </c>
      <c r="AB25" s="91">
        <f t="shared" si="1"/>
        <v>134</v>
      </c>
      <c r="AC25" s="91">
        <f t="shared" si="1"/>
        <v>150</v>
      </c>
      <c r="AD25" s="91">
        <f t="shared" si="1"/>
        <v>-4095</v>
      </c>
      <c r="AE25" s="91">
        <f t="shared" si="1"/>
        <v>199</v>
      </c>
      <c r="AF25" s="91">
        <f t="shared" si="1"/>
        <v>176</v>
      </c>
      <c r="AG25" s="91">
        <f t="shared" si="1"/>
        <v>174</v>
      </c>
      <c r="AH25" s="91">
        <f t="shared" si="1"/>
        <v>159</v>
      </c>
      <c r="AI25" s="91">
        <f t="shared" si="1"/>
        <v>0</v>
      </c>
    </row>
    <row r="26" spans="2:35" x14ac:dyDescent="0.25">
      <c r="B26" s="93"/>
      <c r="C26" s="90"/>
      <c r="D26" s="90"/>
      <c r="E26" s="90"/>
      <c r="F26" s="90"/>
      <c r="G26" s="90"/>
      <c r="H26" s="90"/>
      <c r="I26" s="90"/>
      <c r="J26" s="90"/>
      <c r="K26" s="90"/>
      <c r="L26" s="90"/>
      <c r="M26" s="90"/>
      <c r="N26" s="90"/>
      <c r="O26" s="90"/>
      <c r="P26" s="90"/>
      <c r="Q26" s="90"/>
      <c r="R26" s="90"/>
      <c r="S26" s="90"/>
      <c r="T26" s="90"/>
      <c r="U26" s="90"/>
      <c r="V26" s="90"/>
      <c r="W26" s="90"/>
      <c r="X26" s="90"/>
      <c r="Y26" s="90"/>
      <c r="Z26" s="90"/>
      <c r="AA26" s="90"/>
      <c r="AB26" s="90"/>
      <c r="AC26" s="90"/>
      <c r="AD26" s="90"/>
      <c r="AE26" s="90"/>
      <c r="AF26" s="90"/>
      <c r="AG26" s="90"/>
      <c r="AH26" s="90"/>
      <c r="AI26" s="90"/>
    </row>
    <row r="27" spans="2:35" ht="30" x14ac:dyDescent="0.25">
      <c r="B27" s="93" t="s">
        <v>82</v>
      </c>
      <c r="C27" s="90"/>
      <c r="D27" s="91">
        <f>SUM(D13,D21,D23)</f>
        <v>80</v>
      </c>
      <c r="E27" s="91">
        <f t="shared" ref="E27:AH27" si="2">SUM(E13,E21,E23)</f>
        <v>77</v>
      </c>
      <c r="F27" s="91">
        <f>SUM(F13,F21,F23)</f>
        <v>71</v>
      </c>
      <c r="G27" s="91">
        <f t="shared" si="2"/>
        <v>122</v>
      </c>
      <c r="H27" s="91">
        <f t="shared" si="2"/>
        <v>125</v>
      </c>
      <c r="I27" s="91">
        <f t="shared" si="2"/>
        <v>139</v>
      </c>
      <c r="J27" s="91">
        <f t="shared" si="2"/>
        <v>107</v>
      </c>
      <c r="K27" s="91">
        <f t="shared" si="2"/>
        <v>105</v>
      </c>
      <c r="L27" s="91">
        <f t="shared" si="2"/>
        <v>89</v>
      </c>
      <c r="M27" s="91">
        <f t="shared" si="2"/>
        <v>67</v>
      </c>
      <c r="N27" s="91">
        <f t="shared" si="2"/>
        <v>70</v>
      </c>
      <c r="O27" s="91">
        <f t="shared" si="2"/>
        <v>83</v>
      </c>
      <c r="P27" s="91">
        <f t="shared" si="2"/>
        <v>44</v>
      </c>
      <c r="Q27" s="91">
        <f t="shared" si="2"/>
        <v>71</v>
      </c>
      <c r="R27" s="91">
        <f t="shared" si="2"/>
        <v>106</v>
      </c>
      <c r="S27" s="91">
        <f t="shared" si="2"/>
        <v>94</v>
      </c>
      <c r="T27" s="91">
        <f t="shared" si="2"/>
        <v>82</v>
      </c>
      <c r="U27" s="91">
        <f t="shared" si="2"/>
        <v>134</v>
      </c>
      <c r="V27" s="91">
        <f t="shared" si="2"/>
        <v>65</v>
      </c>
      <c r="W27" s="91">
        <f t="shared" si="2"/>
        <v>103</v>
      </c>
      <c r="X27" s="91">
        <f t="shared" si="2"/>
        <v>109</v>
      </c>
      <c r="Y27" s="91">
        <f t="shared" si="2"/>
        <v>50</v>
      </c>
      <c r="Z27" s="91">
        <f t="shared" si="2"/>
        <v>148</v>
      </c>
      <c r="AA27" s="91">
        <f t="shared" si="2"/>
        <v>82</v>
      </c>
      <c r="AB27" s="91">
        <f t="shared" si="2"/>
        <v>28</v>
      </c>
      <c r="AC27" s="91">
        <f t="shared" si="2"/>
        <v>105</v>
      </c>
      <c r="AD27" s="91">
        <f t="shared" si="2"/>
        <v>-2865</v>
      </c>
      <c r="AE27" s="91">
        <f t="shared" si="2"/>
        <v>110</v>
      </c>
      <c r="AF27" s="91">
        <f t="shared" si="2"/>
        <v>143</v>
      </c>
      <c r="AG27" s="91">
        <f t="shared" si="2"/>
        <v>108</v>
      </c>
      <c r="AH27" s="91">
        <f t="shared" si="2"/>
        <v>75</v>
      </c>
      <c r="AI27" s="91">
        <f t="shared" ref="AI27" si="3">SUM(AI13)</f>
        <v>0</v>
      </c>
    </row>
    <row r="28" spans="2:35" x14ac:dyDescent="0.25">
      <c r="B28" s="247"/>
      <c r="C28" s="248"/>
      <c r="D28" s="248"/>
      <c r="E28" s="248"/>
      <c r="F28" s="248"/>
      <c r="G28" s="248"/>
      <c r="H28" s="248"/>
      <c r="I28" s="248"/>
      <c r="J28" s="248"/>
      <c r="K28" s="248"/>
      <c r="L28" s="248"/>
      <c r="M28" s="248"/>
      <c r="N28" s="248"/>
      <c r="O28" s="248"/>
      <c r="P28" s="248"/>
      <c r="Q28" s="248"/>
      <c r="R28" s="248"/>
      <c r="S28" s="248"/>
      <c r="T28" s="248"/>
      <c r="U28" s="248"/>
      <c r="V28" s="248"/>
      <c r="W28" s="248"/>
      <c r="X28" s="248"/>
      <c r="Y28" s="248"/>
      <c r="Z28" s="248"/>
      <c r="AA28" s="248"/>
      <c r="AB28" s="248"/>
      <c r="AC28" s="248"/>
      <c r="AD28" s="248"/>
      <c r="AE28" s="248"/>
      <c r="AF28" s="248"/>
      <c r="AG28" s="248"/>
      <c r="AH28" s="248"/>
      <c r="AI28" s="248"/>
    </row>
    <row r="29" spans="2:35" x14ac:dyDescent="0.25">
      <c r="B29" s="247" t="s">
        <v>83</v>
      </c>
      <c r="C29" s="248"/>
      <c r="D29" s="249">
        <f>D9</f>
        <v>98</v>
      </c>
      <c r="E29" s="249">
        <f t="shared" ref="E29:AH29" si="4">E9</f>
        <v>60</v>
      </c>
      <c r="F29" s="249">
        <f t="shared" si="4"/>
        <v>40</v>
      </c>
      <c r="G29" s="249">
        <f t="shared" si="4"/>
        <v>81</v>
      </c>
      <c r="H29" s="249">
        <f t="shared" si="4"/>
        <v>74</v>
      </c>
      <c r="I29" s="249">
        <f t="shared" si="4"/>
        <v>69</v>
      </c>
      <c r="J29" s="249">
        <f t="shared" si="4"/>
        <v>79</v>
      </c>
      <c r="K29" s="249">
        <f t="shared" si="4"/>
        <v>92</v>
      </c>
      <c r="L29" s="249">
        <f t="shared" si="4"/>
        <v>78</v>
      </c>
      <c r="M29" s="249">
        <f t="shared" si="4"/>
        <v>58</v>
      </c>
      <c r="N29" s="249">
        <f t="shared" si="4"/>
        <v>79</v>
      </c>
      <c r="O29" s="249">
        <f t="shared" si="4"/>
        <v>48</v>
      </c>
      <c r="P29" s="249">
        <f t="shared" si="4"/>
        <v>69</v>
      </c>
      <c r="Q29" s="249">
        <f t="shared" si="4"/>
        <v>56</v>
      </c>
      <c r="R29" s="249">
        <f t="shared" si="4"/>
        <v>70</v>
      </c>
      <c r="S29" s="249">
        <f t="shared" si="4"/>
        <v>62</v>
      </c>
      <c r="T29" s="249">
        <f t="shared" si="4"/>
        <v>65</v>
      </c>
      <c r="U29" s="249">
        <f t="shared" si="4"/>
        <v>64</v>
      </c>
      <c r="V29" s="249">
        <f t="shared" si="4"/>
        <v>63</v>
      </c>
      <c r="W29" s="249">
        <f t="shared" si="4"/>
        <v>72</v>
      </c>
      <c r="X29" s="249">
        <f t="shared" si="4"/>
        <v>72</v>
      </c>
      <c r="Y29" s="249">
        <f t="shared" si="4"/>
        <v>75</v>
      </c>
      <c r="Z29" s="249">
        <f t="shared" si="4"/>
        <v>88</v>
      </c>
      <c r="AA29" s="249">
        <f t="shared" si="4"/>
        <v>103</v>
      </c>
      <c r="AB29" s="249">
        <f t="shared" si="4"/>
        <v>86</v>
      </c>
      <c r="AC29" s="249">
        <f t="shared" si="4"/>
        <v>84</v>
      </c>
      <c r="AD29" s="249">
        <f t="shared" si="4"/>
        <v>-2320</v>
      </c>
      <c r="AE29" s="249">
        <f t="shared" si="4"/>
        <v>134</v>
      </c>
      <c r="AF29" s="249">
        <f t="shared" si="4"/>
        <v>104</v>
      </c>
      <c r="AG29" s="249">
        <f t="shared" si="4"/>
        <v>103</v>
      </c>
      <c r="AH29" s="249">
        <f t="shared" si="4"/>
        <v>94</v>
      </c>
      <c r="AI29" s="248"/>
    </row>
    <row r="30" spans="2:35" x14ac:dyDescent="0.25">
      <c r="B30" s="247" t="s">
        <v>84</v>
      </c>
      <c r="C30" s="248"/>
      <c r="D30" s="249">
        <f>SUM(D10:D11,D14:D15)</f>
        <v>106</v>
      </c>
      <c r="E30" s="249">
        <f t="shared" ref="E30:AH30" si="5">SUM(E10:E11,E14:E15)</f>
        <v>89</v>
      </c>
      <c r="F30" s="249">
        <f t="shared" si="5"/>
        <v>67</v>
      </c>
      <c r="G30" s="249">
        <f t="shared" si="5"/>
        <v>61</v>
      </c>
      <c r="H30" s="249">
        <f t="shared" si="5"/>
        <v>58</v>
      </c>
      <c r="I30" s="249">
        <f t="shared" si="5"/>
        <v>50</v>
      </c>
      <c r="J30" s="249">
        <f t="shared" si="5"/>
        <v>56</v>
      </c>
      <c r="K30" s="249">
        <f t="shared" si="5"/>
        <v>55</v>
      </c>
      <c r="L30" s="249">
        <f t="shared" si="5"/>
        <v>62</v>
      </c>
      <c r="M30" s="249">
        <f t="shared" si="5"/>
        <v>48</v>
      </c>
      <c r="N30" s="249">
        <f t="shared" si="5"/>
        <v>45</v>
      </c>
      <c r="O30" s="249">
        <f t="shared" si="5"/>
        <v>31</v>
      </c>
      <c r="P30" s="249">
        <f t="shared" si="5"/>
        <v>42</v>
      </c>
      <c r="Q30" s="249">
        <f t="shared" si="5"/>
        <v>43</v>
      </c>
      <c r="R30" s="249">
        <f t="shared" si="5"/>
        <v>58</v>
      </c>
      <c r="S30" s="249">
        <f t="shared" si="5"/>
        <v>60</v>
      </c>
      <c r="T30" s="249">
        <f t="shared" si="5"/>
        <v>49</v>
      </c>
      <c r="U30" s="249">
        <f t="shared" si="5"/>
        <v>49</v>
      </c>
      <c r="V30" s="249">
        <f t="shared" si="5"/>
        <v>52.100000000000364</v>
      </c>
      <c r="W30" s="249">
        <f t="shared" si="5"/>
        <v>51.899999999999636</v>
      </c>
      <c r="X30" s="249">
        <f t="shared" si="5"/>
        <v>44</v>
      </c>
      <c r="Y30" s="249">
        <f t="shared" si="5"/>
        <v>48</v>
      </c>
      <c r="Z30" s="249">
        <f t="shared" si="5"/>
        <v>85</v>
      </c>
      <c r="AA30" s="249">
        <f t="shared" si="5"/>
        <v>78</v>
      </c>
      <c r="AB30" s="249">
        <f t="shared" si="5"/>
        <v>48</v>
      </c>
      <c r="AC30" s="249">
        <f t="shared" si="5"/>
        <v>66</v>
      </c>
      <c r="AD30" s="249">
        <f t="shared" si="5"/>
        <v>-1775</v>
      </c>
      <c r="AE30" s="249">
        <f t="shared" si="5"/>
        <v>65</v>
      </c>
      <c r="AF30" s="249">
        <f t="shared" si="5"/>
        <v>72</v>
      </c>
      <c r="AG30" s="249">
        <f t="shared" si="5"/>
        <v>71</v>
      </c>
      <c r="AH30" s="249">
        <f t="shared" si="5"/>
        <v>65</v>
      </c>
      <c r="AI30" s="248"/>
    </row>
    <row r="31" spans="2:35" x14ac:dyDescent="0.25">
      <c r="B31" s="247" t="s">
        <v>85</v>
      </c>
      <c r="C31" s="248"/>
      <c r="D31" s="248">
        <f>D30/SUM(D29:D30)%</f>
        <v>51.96078431372549</v>
      </c>
      <c r="E31" s="248">
        <f t="shared" ref="E31:AH31" si="6">E30/SUM(E29:E30)%</f>
        <v>59.731543624161077</v>
      </c>
      <c r="F31" s="248">
        <f t="shared" si="6"/>
        <v>62.616822429906541</v>
      </c>
      <c r="G31" s="248">
        <f t="shared" si="6"/>
        <v>42.95774647887324</v>
      </c>
      <c r="H31" s="248">
        <f t="shared" si="6"/>
        <v>43.939393939393938</v>
      </c>
      <c r="I31" s="248">
        <f t="shared" si="6"/>
        <v>42.016806722689076</v>
      </c>
      <c r="J31" s="248">
        <f t="shared" si="6"/>
        <v>41.481481481481481</v>
      </c>
      <c r="K31" s="248">
        <f t="shared" si="6"/>
        <v>37.414965986394556</v>
      </c>
      <c r="L31" s="248">
        <f t="shared" si="6"/>
        <v>44.285714285714292</v>
      </c>
      <c r="M31" s="248">
        <f t="shared" si="6"/>
        <v>45.283018867924525</v>
      </c>
      <c r="N31" s="248">
        <f t="shared" si="6"/>
        <v>36.29032258064516</v>
      </c>
      <c r="O31" s="248">
        <f t="shared" si="6"/>
        <v>39.24050632911392</v>
      </c>
      <c r="P31" s="248">
        <f t="shared" si="6"/>
        <v>37.837837837837832</v>
      </c>
      <c r="Q31" s="248">
        <f t="shared" si="6"/>
        <v>43.434343434343432</v>
      </c>
      <c r="R31" s="248">
        <f t="shared" si="6"/>
        <v>45.3125</v>
      </c>
      <c r="S31" s="248">
        <f t="shared" si="6"/>
        <v>49.180327868852459</v>
      </c>
      <c r="T31" s="248">
        <f t="shared" si="6"/>
        <v>42.982456140350884</v>
      </c>
      <c r="U31" s="248">
        <f t="shared" si="6"/>
        <v>43.362831858407084</v>
      </c>
      <c r="V31" s="248">
        <f t="shared" si="6"/>
        <v>45.264986967854213</v>
      </c>
      <c r="W31" s="248">
        <f t="shared" si="6"/>
        <v>41.888619854721384</v>
      </c>
      <c r="X31" s="248">
        <f t="shared" si="6"/>
        <v>37.931034482758626</v>
      </c>
      <c r="Y31" s="248">
        <f t="shared" si="6"/>
        <v>39.024390243902438</v>
      </c>
      <c r="Z31" s="248">
        <f t="shared" si="6"/>
        <v>49.132947976878611</v>
      </c>
      <c r="AA31" s="248">
        <f t="shared" si="6"/>
        <v>43.093922651933703</v>
      </c>
      <c r="AB31" s="248">
        <f t="shared" si="6"/>
        <v>35.820895522388057</v>
      </c>
      <c r="AC31" s="248">
        <f t="shared" si="6"/>
        <v>44</v>
      </c>
      <c r="AD31" s="248">
        <f t="shared" si="6"/>
        <v>43.345543345543341</v>
      </c>
      <c r="AE31" s="248">
        <f t="shared" si="6"/>
        <v>32.663316582914575</v>
      </c>
      <c r="AF31" s="248">
        <f t="shared" si="6"/>
        <v>40.909090909090907</v>
      </c>
      <c r="AG31" s="248">
        <f t="shared" si="6"/>
        <v>40.804597701149426</v>
      </c>
      <c r="AH31" s="248">
        <f t="shared" si="6"/>
        <v>40.880503144654085</v>
      </c>
      <c r="AI31" s="248"/>
    </row>
  </sheetData>
  <mergeCells count="4">
    <mergeCell ref="B9:B11"/>
    <mergeCell ref="B13:B15"/>
    <mergeCell ref="B17:B19"/>
    <mergeCell ref="B21:B23"/>
  </mergeCells>
  <pageMargins left="0.7" right="0.7" top="0.75" bottom="0.75" header="0.3" footer="0.3"/>
  <pageSetup orientation="portrait" horizontalDpi="4294967295" verticalDpi="4294967295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C92"/>
  <sheetViews>
    <sheetView zoomScale="70" zoomScaleNormal="70" workbookViewId="0">
      <pane xSplit="1" topLeftCell="B1" activePane="topRight" state="frozen"/>
      <selection activeCell="A4" sqref="A4"/>
      <selection pane="topRight" activeCell="C30" sqref="C5:C30"/>
    </sheetView>
  </sheetViews>
  <sheetFormatPr defaultRowHeight="15" x14ac:dyDescent="0.2"/>
  <cols>
    <col min="1" max="5" width="8.88671875" style="311"/>
    <col min="6" max="6" width="8.109375" style="311" bestFit="1" customWidth="1"/>
    <col min="7" max="7" width="6.44140625" style="311" customWidth="1"/>
    <col min="8" max="8" width="7.5546875" style="311" bestFit="1" customWidth="1"/>
    <col min="9" max="9" width="7.77734375" style="311" bestFit="1" customWidth="1"/>
    <col min="10" max="10" width="8.109375" style="311" bestFit="1" customWidth="1"/>
    <col min="11" max="11" width="8.21875" style="311" bestFit="1" customWidth="1"/>
    <col min="12" max="13" width="7.109375" style="311" customWidth="1"/>
    <col min="14" max="32" width="7.33203125" style="311" customWidth="1"/>
    <col min="33" max="51" width="7" style="311" customWidth="1"/>
    <col min="52" max="53" width="8.88671875" style="311"/>
    <col min="54" max="54" width="11.21875" style="311" bestFit="1" customWidth="1"/>
    <col min="55" max="55" width="9.109375" style="311" bestFit="1" customWidth="1"/>
    <col min="56" max="16384" width="8.88671875" style="311"/>
  </cols>
  <sheetData>
    <row r="1" spans="1:55" ht="15.75" thickBot="1" x14ac:dyDescent="0.25"/>
    <row r="2" spans="1:55" x14ac:dyDescent="0.2">
      <c r="F2" s="727" t="s">
        <v>308</v>
      </c>
      <c r="G2" s="728"/>
      <c r="H2" s="728"/>
      <c r="I2" s="728"/>
      <c r="J2" s="728"/>
      <c r="K2" s="728"/>
      <c r="L2" s="728"/>
      <c r="M2" s="729"/>
      <c r="N2" s="726" t="s">
        <v>86</v>
      </c>
      <c r="O2" s="726"/>
      <c r="P2" s="726"/>
      <c r="Q2" s="726"/>
      <c r="R2" s="726"/>
      <c r="S2" s="726"/>
      <c r="T2" s="726"/>
      <c r="U2" s="726"/>
      <c r="V2" s="726"/>
      <c r="W2" s="726"/>
      <c r="X2" s="726"/>
      <c r="Y2" s="726"/>
      <c r="Z2" s="726"/>
      <c r="AA2" s="726"/>
      <c r="AB2" s="726"/>
      <c r="AC2" s="726"/>
      <c r="AD2" s="726"/>
      <c r="AE2" s="726"/>
      <c r="AF2" s="726"/>
      <c r="AG2" s="726"/>
      <c r="AH2" s="726"/>
      <c r="AI2" s="726"/>
      <c r="AJ2" s="726"/>
      <c r="AK2" s="726"/>
      <c r="AL2" s="726"/>
      <c r="AM2" s="726"/>
      <c r="AN2" s="725"/>
      <c r="AO2" s="725"/>
      <c r="AP2" s="725"/>
      <c r="AQ2" s="725"/>
      <c r="AR2" s="725"/>
      <c r="AS2" s="725"/>
      <c r="AT2" s="725"/>
      <c r="AU2" s="640"/>
      <c r="AV2" s="724" t="s">
        <v>87</v>
      </c>
      <c r="AW2" s="724"/>
      <c r="AX2" s="724"/>
      <c r="AY2" s="724"/>
      <c r="BB2" s="318" t="s">
        <v>334</v>
      </c>
      <c r="BC2" s="318" t="s">
        <v>335</v>
      </c>
    </row>
    <row r="3" spans="1:55" x14ac:dyDescent="0.2">
      <c r="F3" s="642"/>
      <c r="G3" s="643"/>
      <c r="H3" s="643"/>
      <c r="I3" s="643"/>
      <c r="J3" s="643"/>
      <c r="K3" s="643"/>
      <c r="L3" s="643"/>
      <c r="M3" s="644"/>
      <c r="N3" s="641"/>
      <c r="O3" s="641"/>
      <c r="P3" s="641"/>
      <c r="Q3" s="641"/>
      <c r="R3" s="641"/>
      <c r="S3" s="641"/>
      <c r="T3" s="641"/>
      <c r="U3" s="641"/>
      <c r="V3" s="641"/>
      <c r="W3" s="641"/>
      <c r="X3" s="641"/>
      <c r="Y3" s="641"/>
      <c r="Z3" s="641"/>
      <c r="AA3" s="312"/>
      <c r="AB3" s="312"/>
      <c r="AC3" s="312"/>
      <c r="AD3" s="312"/>
      <c r="AE3" s="312"/>
      <c r="AF3" s="312"/>
      <c r="AG3" s="312"/>
      <c r="AH3" s="312"/>
      <c r="AI3" s="312"/>
      <c r="AJ3" s="312"/>
      <c r="AK3" s="312"/>
      <c r="AL3" s="312"/>
      <c r="AM3" s="641"/>
      <c r="AN3" s="730" t="s">
        <v>138</v>
      </c>
      <c r="AO3" s="730"/>
      <c r="AP3" s="730"/>
      <c r="AQ3" s="730"/>
      <c r="AR3" s="730"/>
      <c r="AS3" s="730"/>
      <c r="AT3" s="730"/>
      <c r="AU3" s="731" t="s">
        <v>283</v>
      </c>
      <c r="AV3" s="731"/>
      <c r="AW3" s="731"/>
      <c r="AX3" s="731"/>
      <c r="AY3" s="731"/>
      <c r="BB3" s="318"/>
      <c r="BC3" s="318"/>
    </row>
    <row r="4" spans="1:55" ht="39.75" customHeight="1" x14ac:dyDescent="0.2">
      <c r="A4" s="252" t="s">
        <v>0</v>
      </c>
      <c r="B4" s="303" t="s">
        <v>304</v>
      </c>
      <c r="C4" s="303" t="s">
        <v>305</v>
      </c>
      <c r="D4" s="303" t="s">
        <v>307</v>
      </c>
      <c r="E4" s="303" t="s">
        <v>306</v>
      </c>
      <c r="F4" s="645" t="s">
        <v>284</v>
      </c>
      <c r="G4" s="646" t="s">
        <v>285</v>
      </c>
      <c r="H4" s="646" t="s">
        <v>286</v>
      </c>
      <c r="I4" s="646" t="s">
        <v>287</v>
      </c>
      <c r="J4" s="646" t="s">
        <v>282</v>
      </c>
      <c r="K4" s="646" t="s">
        <v>51</v>
      </c>
      <c r="L4" s="647" t="s">
        <v>60</v>
      </c>
      <c r="M4" s="647" t="s">
        <v>53</v>
      </c>
      <c r="N4" s="252" t="s">
        <v>88</v>
      </c>
      <c r="O4" s="252" t="s">
        <v>89</v>
      </c>
      <c r="P4" s="252" t="s">
        <v>104</v>
      </c>
      <c r="Q4" s="252" t="s">
        <v>288</v>
      </c>
      <c r="R4" s="252" t="s">
        <v>289</v>
      </c>
      <c r="S4" s="252" t="s">
        <v>290</v>
      </c>
      <c r="T4" s="252" t="s">
        <v>291</v>
      </c>
      <c r="U4" s="252" t="s">
        <v>90</v>
      </c>
      <c r="V4" s="252" t="s">
        <v>292</v>
      </c>
      <c r="W4" s="252" t="s">
        <v>293</v>
      </c>
      <c r="X4" s="252" t="s">
        <v>278</v>
      </c>
      <c r="Y4" s="252" t="s">
        <v>75</v>
      </c>
      <c r="Z4" s="252" t="s">
        <v>294</v>
      </c>
      <c r="AA4" s="253" t="s">
        <v>295</v>
      </c>
      <c r="AB4" s="253" t="s">
        <v>100</v>
      </c>
      <c r="AC4" s="253" t="s">
        <v>94</v>
      </c>
      <c r="AD4" s="253" t="s">
        <v>95</v>
      </c>
      <c r="AE4" s="82" t="s">
        <v>296</v>
      </c>
      <c r="AF4" s="83" t="s">
        <v>343</v>
      </c>
      <c r="AG4" s="83" t="s">
        <v>97</v>
      </c>
      <c r="AH4" s="83" t="s">
        <v>98</v>
      </c>
      <c r="AI4" s="83" t="s">
        <v>277</v>
      </c>
      <c r="AJ4" s="83" t="s">
        <v>100</v>
      </c>
      <c r="AK4" s="83" t="s">
        <v>101</v>
      </c>
      <c r="AL4" s="83" t="s">
        <v>102</v>
      </c>
      <c r="AM4" s="252" t="s">
        <v>195</v>
      </c>
      <c r="AN4" s="252" t="s">
        <v>297</v>
      </c>
      <c r="AO4" s="252" t="s">
        <v>103</v>
      </c>
      <c r="AP4" s="252" t="s">
        <v>104</v>
      </c>
      <c r="AQ4" s="252" t="s">
        <v>105</v>
      </c>
      <c r="AR4" s="252" t="s">
        <v>106</v>
      </c>
      <c r="AS4" s="252" t="s">
        <v>107</v>
      </c>
      <c r="AT4" s="252" t="s">
        <v>298</v>
      </c>
      <c r="AU4" s="252" t="s">
        <v>103</v>
      </c>
      <c r="AV4" s="252" t="s">
        <v>39</v>
      </c>
      <c r="AW4" s="252" t="s">
        <v>40</v>
      </c>
      <c r="AX4" s="252" t="s">
        <v>276</v>
      </c>
      <c r="AY4" s="252" t="s">
        <v>108</v>
      </c>
      <c r="BB4" s="318"/>
      <c r="BC4" s="318"/>
    </row>
    <row r="5" spans="1:55" x14ac:dyDescent="0.2">
      <c r="A5" s="359">
        <v>1</v>
      </c>
      <c r="B5" s="648">
        <f>'1'!G7</f>
        <v>20006.53</v>
      </c>
      <c r="C5" s="648">
        <f>'1'!G8</f>
        <v>20449</v>
      </c>
      <c r="D5" s="648">
        <f>'1'!G15</f>
        <v>1070.0859999998938</v>
      </c>
      <c r="E5" s="648">
        <f>'1'!G20</f>
        <v>54</v>
      </c>
      <c r="F5" s="648">
        <f>SUM('1'!G35,'1'!G49)</f>
        <v>3670.9500000000116</v>
      </c>
      <c r="G5" s="648">
        <f>SUM('1'!H37,'1'!H51)</f>
        <v>1573.5100000000093</v>
      </c>
      <c r="H5" s="648">
        <f>SUM('1'!G38,'1'!G52)</f>
        <v>1665.429999999993</v>
      </c>
      <c r="I5" s="648">
        <f>SUM('1'!G39,'1'!G53)</f>
        <v>2724.390000000014</v>
      </c>
      <c r="J5" s="648">
        <f>SUM('1'!G41,'1'!G42,'1'!G55,'1'!G56)</f>
        <v>2431.4200000000055</v>
      </c>
      <c r="K5" s="648">
        <f>SUM('1'!G43,'1'!G57)</f>
        <v>2561.2300000000032</v>
      </c>
      <c r="L5" s="254">
        <f>'1'!G50</f>
        <v>1236.0200000000004</v>
      </c>
      <c r="M5" s="254">
        <f>'1'!G36</f>
        <v>885.33000000000175</v>
      </c>
      <c r="N5" s="254">
        <f>'1'!G138</f>
        <v>49</v>
      </c>
      <c r="O5" s="254">
        <f>'1'!G139</f>
        <v>1</v>
      </c>
      <c r="P5" s="254">
        <f>'1'!G140</f>
        <v>0</v>
      </c>
      <c r="Q5" s="254">
        <f>'1'!G141</f>
        <v>193.59999999999854</v>
      </c>
      <c r="R5" s="254">
        <f>'1'!G142</f>
        <v>73</v>
      </c>
      <c r="S5" s="254">
        <f>'1'!$G$145</f>
        <v>15.25</v>
      </c>
      <c r="T5" s="254">
        <f>'1'!$G$146</f>
        <v>474</v>
      </c>
      <c r="U5" s="254">
        <f>'1'!$G$144</f>
        <v>229</v>
      </c>
      <c r="V5" s="254">
        <f>'1'!$G$147</f>
        <v>437.31999999994878</v>
      </c>
      <c r="W5" s="254">
        <f>'1'!$G$148</f>
        <v>375.11999999999534</v>
      </c>
      <c r="X5" s="254">
        <f>'1'!$G$143</f>
        <v>27.239999999999782</v>
      </c>
      <c r="Y5" s="254">
        <f>'1'!$G$58</f>
        <v>225.94000000000233</v>
      </c>
      <c r="Z5" s="254">
        <f>'1'!$G$151</f>
        <v>293</v>
      </c>
      <c r="AA5" s="254">
        <f>'1'!G161</f>
        <v>0</v>
      </c>
      <c r="AB5" s="254">
        <f>'1'!G162</f>
        <v>22</v>
      </c>
      <c r="AC5" s="254"/>
      <c r="AD5" s="254">
        <f>'1'!G163+'1'!G164</f>
        <v>34</v>
      </c>
      <c r="AE5" s="254">
        <f>'1'!$G$116</f>
        <v>0</v>
      </c>
      <c r="AF5" s="254">
        <f>'1'!$G$117</f>
        <v>21.400000000000091</v>
      </c>
      <c r="AG5" s="254">
        <f>'1'!$G$118</f>
        <v>362.5</v>
      </c>
      <c r="AH5" s="254">
        <f>'1'!$G$119</f>
        <v>431.91000000000349</v>
      </c>
      <c r="AI5" s="254">
        <f>'1'!$G$120</f>
        <v>433.7400000000016</v>
      </c>
      <c r="AJ5" s="254">
        <f>'1'!$G$121</f>
        <v>784.71000000002095</v>
      </c>
      <c r="AK5" s="254">
        <f>'1'!$G$122</f>
        <v>213.74000000000524</v>
      </c>
      <c r="AL5" s="254">
        <f>'1'!$G$123</f>
        <v>346.69000000000233</v>
      </c>
      <c r="AM5" s="254">
        <f>'1'!$G$133</f>
        <v>833.86000000000058</v>
      </c>
      <c r="AN5" s="254">
        <f>'1'!$G$15</f>
        <v>1070.0859999998938</v>
      </c>
      <c r="AO5" s="254">
        <f>'1'!$G$74</f>
        <v>267.77000000001863</v>
      </c>
      <c r="AP5" s="254">
        <f>'1'!$G$75</f>
        <v>0</v>
      </c>
      <c r="AQ5" s="254">
        <f>'1'!$G$76</f>
        <v>102.91000000000349</v>
      </c>
      <c r="AR5" s="254">
        <f>'1'!$G$77</f>
        <v>27.400000000001455</v>
      </c>
      <c r="AS5" s="254">
        <f>'1'!$G$78</f>
        <v>1.8999999999996362</v>
      </c>
      <c r="AT5" s="254">
        <f>AN5-SUM(AO5:AS5)</f>
        <v>670.10599999987062</v>
      </c>
      <c r="AU5" s="254">
        <f>SUM('1'!G91:G92)</f>
        <v>9.6599999999998545</v>
      </c>
      <c r="AV5" s="254">
        <f>'1'!$G$88</f>
        <v>6.3800000000010186</v>
      </c>
      <c r="AW5" s="254">
        <f>'1'!$G$89</f>
        <v>4.0900000000001455</v>
      </c>
      <c r="AX5" s="254">
        <f>'1'!$G$90</f>
        <v>5.6100000000005821</v>
      </c>
      <c r="AY5" s="252">
        <f>SUM(AV5:AX5)</f>
        <v>16.080000000001746</v>
      </c>
      <c r="AZ5" s="311">
        <f>AO5/AU5</f>
        <v>27.719461697724913</v>
      </c>
      <c r="BA5" s="311">
        <f>AT5/AY5</f>
        <v>41.673258706455087</v>
      </c>
      <c r="BB5" s="351">
        <f>C5-SUM(F5:K5,Y5)</f>
        <v>5596.129999999961</v>
      </c>
      <c r="BC5" s="351">
        <f>BB5/B5%</f>
        <v>27.971517299601487</v>
      </c>
    </row>
    <row r="6" spans="1:55" x14ac:dyDescent="0.2">
      <c r="A6" s="359">
        <v>2</v>
      </c>
      <c r="B6" s="648">
        <f>'2'!G7</f>
        <v>19489.369999999995</v>
      </c>
      <c r="C6" s="648">
        <f>'2'!G8</f>
        <v>19893</v>
      </c>
      <c r="D6" s="648">
        <f>'2'!G15</f>
        <v>808.52700000000186</v>
      </c>
      <c r="E6" s="648">
        <f>'2'!G20</f>
        <v>56</v>
      </c>
      <c r="F6" s="648">
        <f>SUM('2'!G35,'2'!G49)</f>
        <v>3641.6900000000023</v>
      </c>
      <c r="G6" s="648">
        <f>SUM('2'!G37,'2'!G51)</f>
        <v>1509.2399999999907</v>
      </c>
      <c r="H6" s="648">
        <f>SUM('2'!G38,'2'!G52)</f>
        <v>1563.0599999999977</v>
      </c>
      <c r="I6" s="648">
        <f>SUM('2'!G39,'2'!G53)</f>
        <v>2721.7999999999884</v>
      </c>
      <c r="J6" s="648">
        <f>SUM('2'!G41,'2'!G42,'2'!G55,'2'!G56)</f>
        <v>3100</v>
      </c>
      <c r="K6" s="648">
        <f>SUM('2'!G43,'2'!G57)</f>
        <v>2437.1699999999983</v>
      </c>
      <c r="L6" s="254">
        <f>'2'!G50</f>
        <v>1150.7200000000012</v>
      </c>
      <c r="M6" s="254">
        <f>'2'!G36</f>
        <v>756.53999999999724</v>
      </c>
      <c r="N6" s="254">
        <f>'2'!G138</f>
        <v>103</v>
      </c>
      <c r="O6" s="254">
        <f>'2'!$G$139</f>
        <v>0</v>
      </c>
      <c r="P6" s="254">
        <f>'2'!$G$140</f>
        <v>13.899999999994179</v>
      </c>
      <c r="Q6" s="254">
        <f>'2'!$G$141</f>
        <v>171.09999999999854</v>
      </c>
      <c r="R6" s="254">
        <f>'2'!$G$142</f>
        <v>72.119999999998981</v>
      </c>
      <c r="S6" s="254">
        <f>'2'!$G$145</f>
        <v>16.75</v>
      </c>
      <c r="T6" s="254">
        <f>'2'!$G$146</f>
        <v>508</v>
      </c>
      <c r="U6" s="254">
        <f>'2'!$G$144</f>
        <v>224</v>
      </c>
      <c r="V6" s="254">
        <f>'2'!$G$147</f>
        <v>448.68000000005122</v>
      </c>
      <c r="W6" s="251">
        <f>'2'!$G$148</f>
        <v>258.23999999999069</v>
      </c>
      <c r="X6" s="251">
        <f>'2'!$G$143</f>
        <v>25.0600000000004</v>
      </c>
      <c r="Y6" s="251">
        <f>'2'!$G$58</f>
        <v>92.020000000004075</v>
      </c>
      <c r="Z6" s="251">
        <f>'2'!$G$151</f>
        <v>264</v>
      </c>
      <c r="AA6" s="251">
        <f>'2'!G161</f>
        <v>-0.15999999997438863</v>
      </c>
      <c r="AB6" s="254">
        <f>'2'!G162</f>
        <v>14</v>
      </c>
      <c r="AC6" s="254"/>
      <c r="AD6" s="254">
        <f>'2'!G163+'2'!G164</f>
        <v>36.399999999999636</v>
      </c>
      <c r="AE6" s="254">
        <f>'2'!$G$116</f>
        <v>0</v>
      </c>
      <c r="AF6" s="254">
        <f>'2'!$G$117</f>
        <v>20.809999999999945</v>
      </c>
      <c r="AG6" s="254">
        <f>'2'!$G$118</f>
        <v>364.48999999999069</v>
      </c>
      <c r="AH6" s="254">
        <f>'2'!$G$119</f>
        <v>423.11999999999534</v>
      </c>
      <c r="AI6" s="254">
        <f>'2'!$G$120</f>
        <v>421.32999999999811</v>
      </c>
      <c r="AJ6" s="254">
        <f>'2'!$G$121</f>
        <v>753.75999999995111</v>
      </c>
      <c r="AK6" s="254">
        <f>'2'!$G$122</f>
        <v>213.86000000000058</v>
      </c>
      <c r="AL6" s="254">
        <f>'2'!$G$123</f>
        <v>347.07999999998719</v>
      </c>
      <c r="AM6" s="254">
        <f>'2'!$G$133</f>
        <v>832.02000000000407</v>
      </c>
      <c r="AN6" s="254">
        <f>'2'!$G$15</f>
        <v>808.52700000000186</v>
      </c>
      <c r="AO6" s="254">
        <f>'2'!$G$74</f>
        <v>258.03000000002794</v>
      </c>
      <c r="AP6" s="254">
        <f>'2'!$G$75</f>
        <v>0</v>
      </c>
      <c r="AQ6" s="254">
        <f>'2'!$G$76</f>
        <v>98.589999999996508</v>
      </c>
      <c r="AR6" s="254">
        <f>'2'!$G$77</f>
        <v>40</v>
      </c>
      <c r="AS6" s="254">
        <f>'2'!$G$78</f>
        <v>0.6000000000003638</v>
      </c>
      <c r="AT6" s="254">
        <f t="shared" ref="AT6:AT34" si="0">AN6-SUM(AO6:AS6)</f>
        <v>411.30699999997705</v>
      </c>
      <c r="AU6" s="254">
        <f>SUM('2'!G91:G92)</f>
        <v>9.0100000000002183</v>
      </c>
      <c r="AV6" s="254">
        <f>'2'!$G$88</f>
        <v>2.6899999999986903</v>
      </c>
      <c r="AW6" s="254">
        <f>'2'!$G$89</f>
        <v>0.47000000000116415</v>
      </c>
      <c r="AX6" s="254">
        <f>'2'!$G$90</f>
        <v>9.1499999999941792</v>
      </c>
      <c r="AY6" s="252">
        <f t="shared" ref="AY6:AY34" si="1">SUM(AV6:AX6)</f>
        <v>12.309999999994034</v>
      </c>
      <c r="AZ6" s="311">
        <f t="shared" ref="AZ6:AZ8" si="2">AO6/AU6</f>
        <v>28.638179800224382</v>
      </c>
      <c r="BA6" s="311">
        <f t="shared" ref="BA6:BA35" si="3">AT6/AY6</f>
        <v>33.41242891959191</v>
      </c>
      <c r="BB6" s="351">
        <f t="shared" ref="BB6:BB35" si="4">C6-SUM(F6:K6,Y6)</f>
        <v>4828.0200000000186</v>
      </c>
      <c r="BC6" s="351">
        <f t="shared" ref="BC6:BC35" si="5">BB6/B6%</f>
        <v>24.772581155778866</v>
      </c>
    </row>
    <row r="7" spans="1:55" s="313" customFormat="1" x14ac:dyDescent="0.2">
      <c r="A7" s="359">
        <v>3</v>
      </c>
      <c r="B7" s="648">
        <f>'3'!G7</f>
        <v>19192.100000000006</v>
      </c>
      <c r="C7" s="648">
        <f>'3'!G8</f>
        <v>19529</v>
      </c>
      <c r="D7" s="648">
        <f>'3'!G15</f>
        <v>524.78700000001118</v>
      </c>
      <c r="E7" s="648">
        <f>'3'!G20</f>
        <v>356</v>
      </c>
      <c r="F7" s="648">
        <f>SUM('3'!G35,'3'!G49)</f>
        <v>3773.3099999999977</v>
      </c>
      <c r="G7" s="648">
        <f>SUM('3'!G37,'3'!G51)</f>
        <v>1514.2000000000116</v>
      </c>
      <c r="H7" s="648">
        <f>SUM('3'!G38,'3'!G52)</f>
        <v>1476.640000000014</v>
      </c>
      <c r="I7" s="648">
        <f>SUM('3'!G39,'3'!G53)</f>
        <v>2758.7999999999884</v>
      </c>
      <c r="J7" s="648">
        <f>SUM('3'!G41,'3'!G42,'3'!G55,'3'!G56)</f>
        <v>3094.6399999999994</v>
      </c>
      <c r="K7" s="648">
        <f>SUM('3'!G43,'3'!G57)</f>
        <v>2419.6699999999983</v>
      </c>
      <c r="L7" s="251">
        <f>'3'!G50</f>
        <v>965.46999999999753</v>
      </c>
      <c r="M7" s="251">
        <f>'3'!G36</f>
        <v>783.35000000000218</v>
      </c>
      <c r="N7" s="251">
        <f>'3'!G138</f>
        <v>84</v>
      </c>
      <c r="O7" s="251">
        <f>'3'!$G$139</f>
        <v>0</v>
      </c>
      <c r="P7" s="251">
        <f>'3'!$G$140</f>
        <v>0</v>
      </c>
      <c r="Q7" s="251">
        <f>'3'!$G$141</f>
        <v>184.10000000000582</v>
      </c>
      <c r="R7" s="251">
        <f>'3'!$G$142</f>
        <v>69.680000000000291</v>
      </c>
      <c r="S7" s="251">
        <f>'3'!$G$145</f>
        <v>16.960000000000036</v>
      </c>
      <c r="T7" s="251">
        <f>'3'!$G$146</f>
        <v>426</v>
      </c>
      <c r="U7" s="251">
        <f>'3'!$G$144</f>
        <v>221</v>
      </c>
      <c r="V7" s="251">
        <f>'3'!$G$147</f>
        <v>395.80000000004657</v>
      </c>
      <c r="W7" s="251">
        <f>'3'!$G$148</f>
        <v>249.04000000003725</v>
      </c>
      <c r="X7" s="251">
        <f>'3'!$G$143</f>
        <v>8.3899999999998727</v>
      </c>
      <c r="Y7" s="251">
        <f>'3'!$G$58</f>
        <v>22.669999999998254</v>
      </c>
      <c r="Z7" s="251">
        <f>'3'!$G$151</f>
        <v>215</v>
      </c>
      <c r="AA7" s="254">
        <f>'3'!G161</f>
        <v>0.55999999999767169</v>
      </c>
      <c r="AB7" s="254">
        <f>'3'!G162</f>
        <v>29.600000000005821</v>
      </c>
      <c r="AC7" s="254"/>
      <c r="AD7" s="254">
        <f>'3'!G163+'3'!G164</f>
        <v>55</v>
      </c>
      <c r="AE7" s="251">
        <f>'3'!$G$116</f>
        <v>0</v>
      </c>
      <c r="AF7" s="251">
        <f>'3'!$G$117</f>
        <v>20.75</v>
      </c>
      <c r="AG7" s="251">
        <f>'3'!$G$118</f>
        <v>392.5</v>
      </c>
      <c r="AH7" s="251">
        <f>'3'!$G$119</f>
        <v>449.51999999998952</v>
      </c>
      <c r="AI7" s="251">
        <f>'3'!$G$120</f>
        <v>429.38000000000102</v>
      </c>
      <c r="AJ7" s="251">
        <f>'3'!$G$121</f>
        <v>774.68000000005122</v>
      </c>
      <c r="AK7" s="251">
        <f>'3'!$G$122</f>
        <v>238.93999999998778</v>
      </c>
      <c r="AL7" s="251">
        <f>'3'!$G$123</f>
        <v>338.12000000002445</v>
      </c>
      <c r="AM7" s="251">
        <f>'3'!$G$133</f>
        <v>837.55999999999767</v>
      </c>
      <c r="AN7" s="251">
        <f>'3'!$G$15</f>
        <v>524.78700000001118</v>
      </c>
      <c r="AO7" s="251">
        <f>'3'!$G$74</f>
        <v>240.55999999993946</v>
      </c>
      <c r="AP7" s="251">
        <f>'3'!$G$75</f>
        <v>0</v>
      </c>
      <c r="AQ7" s="251">
        <f>'3'!$G$76</f>
        <v>90.5</v>
      </c>
      <c r="AR7" s="251">
        <f>'3'!$G$77</f>
        <v>34.69999999999709</v>
      </c>
      <c r="AS7" s="251">
        <f>'3'!$G$78</f>
        <v>0.7999999999992724</v>
      </c>
      <c r="AT7" s="251">
        <f t="shared" si="0"/>
        <v>158.22700000007535</v>
      </c>
      <c r="AU7" s="254">
        <f>SUM('3'!G91:G92)</f>
        <v>8.5399999999999636</v>
      </c>
      <c r="AV7" s="251">
        <f>'3'!$G$88</f>
        <v>0</v>
      </c>
      <c r="AW7" s="251">
        <f>'3'!$G$89</f>
        <v>0</v>
      </c>
      <c r="AX7" s="251">
        <f>'3'!$G$90</f>
        <v>3.2400000000052387</v>
      </c>
      <c r="AY7" s="255">
        <f t="shared" si="1"/>
        <v>3.2400000000052387</v>
      </c>
      <c r="AZ7" s="311">
        <f t="shared" si="2"/>
        <v>28.168618266971954</v>
      </c>
      <c r="BA7" s="311">
        <f t="shared" si="3"/>
        <v>48.835493827104791</v>
      </c>
      <c r="BB7" s="351">
        <f t="shared" si="4"/>
        <v>4469.0699999999924</v>
      </c>
      <c r="BC7" s="351">
        <f t="shared" si="5"/>
        <v>23.285987463591745</v>
      </c>
    </row>
    <row r="8" spans="1:55" x14ac:dyDescent="0.2">
      <c r="A8" s="359">
        <v>4</v>
      </c>
      <c r="B8" s="648">
        <f>'4'!G7</f>
        <v>19783.089999999997</v>
      </c>
      <c r="C8" s="648">
        <f>'4'!G8</f>
        <v>20218.950000000012</v>
      </c>
      <c r="D8" s="648">
        <f>'4'!G15</f>
        <v>1035.25</v>
      </c>
      <c r="E8" s="648">
        <f>'4'!G20</f>
        <v>219</v>
      </c>
      <c r="F8" s="648">
        <f>SUM('4'!G35,'4'!G49)</f>
        <v>3322.8600000000151</v>
      </c>
      <c r="G8" s="648">
        <f>SUM('4'!G37,'4'!G51)</f>
        <v>1526.8799999999756</v>
      </c>
      <c r="H8" s="648">
        <f>SUM('4'!G38,'4'!G52)</f>
        <v>1752.359999999986</v>
      </c>
      <c r="I8" s="648">
        <f>SUM('4'!G39,'4'!G53)</f>
        <v>2740.5200000000186</v>
      </c>
      <c r="J8" s="648">
        <f>SUM('4'!G41,'4'!G42,'4'!G55,'4'!G56)</f>
        <v>3146.7900000000009</v>
      </c>
      <c r="K8" s="648">
        <f>SUM('4'!G43,'4'!G57)</f>
        <v>2444.6500000000015</v>
      </c>
      <c r="L8" s="254">
        <f>'4'!G50</f>
        <v>1036.4099999999999</v>
      </c>
      <c r="M8" s="254">
        <f>'4'!G36</f>
        <v>727.02999999999884</v>
      </c>
      <c r="N8" s="254">
        <f>'4'!G138</f>
        <v>70</v>
      </c>
      <c r="O8" s="254">
        <f>'4'!$G$139</f>
        <v>0</v>
      </c>
      <c r="P8" s="254">
        <f>'4'!$G$140</f>
        <v>2.4000000000087311</v>
      </c>
      <c r="Q8" s="254">
        <f>'4'!$G$141</f>
        <v>180.23999999999796</v>
      </c>
      <c r="R8" s="254">
        <f>'4'!$G$142</f>
        <v>67.950000000000728</v>
      </c>
      <c r="S8" s="254">
        <f>'4'!$G$145</f>
        <v>17.269999999999527</v>
      </c>
      <c r="T8" s="254">
        <f>'4'!$G$146</f>
        <v>462</v>
      </c>
      <c r="U8" s="254">
        <f>'4'!$G$144</f>
        <v>225</v>
      </c>
      <c r="V8" s="251">
        <f>'4'!$G$147</f>
        <v>396.03999999992084</v>
      </c>
      <c r="W8" s="251">
        <f>'4'!$G$148</f>
        <v>255.28000000002794</v>
      </c>
      <c r="X8" s="254">
        <f>'4'!$G$143</f>
        <v>30.670000000000073</v>
      </c>
      <c r="Y8" s="254">
        <f>'4'!$G$58</f>
        <v>173.66</v>
      </c>
      <c r="Z8" s="254">
        <f>'4'!$G$151</f>
        <v>268</v>
      </c>
      <c r="AA8" s="254">
        <f>'4'!G161</f>
        <v>0</v>
      </c>
      <c r="AB8" s="254">
        <f>'4'!G162</f>
        <v>25.599999999991269</v>
      </c>
      <c r="AC8" s="254"/>
      <c r="AD8" s="254">
        <f>'4'!G163+'4'!G164</f>
        <v>50.000000000006366</v>
      </c>
      <c r="AE8" s="254">
        <f>'4'!$G$116</f>
        <v>0</v>
      </c>
      <c r="AF8" s="254">
        <f>'4'!$G$117</f>
        <v>31.4699999999998</v>
      </c>
      <c r="AG8" s="254">
        <f>'4'!$G$118</f>
        <v>384.05999999999767</v>
      </c>
      <c r="AH8" s="254">
        <f>'4'!$G$119</f>
        <v>438.76000000000931</v>
      </c>
      <c r="AI8" s="254">
        <f>'4'!$G$120</f>
        <v>413</v>
      </c>
      <c r="AJ8" s="254">
        <f>'4'!$G$121</f>
        <v>784.44000000000233</v>
      </c>
      <c r="AK8" s="254">
        <f>'4'!$G$122</f>
        <v>245.56000000001222</v>
      </c>
      <c r="AL8" s="254">
        <f>'4'!$G$123</f>
        <v>321.77999999999884</v>
      </c>
      <c r="AM8" s="254">
        <f>'4'!$G$133</f>
        <v>840.17999999999302</v>
      </c>
      <c r="AN8" s="254">
        <f>'4'!$G$15</f>
        <v>1035.25</v>
      </c>
      <c r="AO8" s="254">
        <f>'4'!$G$74</f>
        <v>317.86999999999534</v>
      </c>
      <c r="AP8" s="254">
        <f>'4'!$G$75</f>
        <v>0</v>
      </c>
      <c r="AQ8" s="254">
        <f>'4'!$G$76</f>
        <v>94.320000000006985</v>
      </c>
      <c r="AR8" s="254">
        <f>'4'!$G$77</f>
        <v>22.900000000001455</v>
      </c>
      <c r="AS8" s="254">
        <f>'4'!$G$78</f>
        <v>0.7000000000007276</v>
      </c>
      <c r="AT8" s="254">
        <f t="shared" si="0"/>
        <v>599.45999999999549</v>
      </c>
      <c r="AU8" s="254">
        <f>SUM('4'!G91:G92)</f>
        <v>11.090000000000146</v>
      </c>
      <c r="AV8" s="254">
        <f>'4'!$G$88</f>
        <v>1.9900000000016007</v>
      </c>
      <c r="AW8" s="254">
        <f>'4'!$G$89</f>
        <v>8.7199999999975262</v>
      </c>
      <c r="AX8" s="254">
        <f>'4'!$G$90</f>
        <v>4.1399999999994179</v>
      </c>
      <c r="AY8" s="252">
        <f t="shared" si="1"/>
        <v>14.849999999998545</v>
      </c>
      <c r="AZ8" s="311">
        <f t="shared" si="2"/>
        <v>28.662759242560071</v>
      </c>
      <c r="BA8" s="311">
        <f t="shared" si="3"/>
        <v>40.367676767680422</v>
      </c>
      <c r="BB8" s="351">
        <f t="shared" si="4"/>
        <v>5111.2300000000141</v>
      </c>
      <c r="BC8" s="351">
        <f t="shared" si="5"/>
        <v>25.836358223108803</v>
      </c>
    </row>
    <row r="9" spans="1:55" x14ac:dyDescent="0.2">
      <c r="A9" s="359">
        <v>5</v>
      </c>
      <c r="B9" s="648">
        <f>'5'!G7</f>
        <v>19899.910000000003</v>
      </c>
      <c r="C9" s="648">
        <f>'5'!G8</f>
        <v>20335.049999999988</v>
      </c>
      <c r="D9" s="648">
        <f>'5'!G15</f>
        <v>1002.0500000000466</v>
      </c>
      <c r="E9" s="648">
        <f>'5'!G20</f>
        <v>171</v>
      </c>
      <c r="F9" s="648">
        <f>SUM('5'!G35,'5'!G49)</f>
        <v>3487.7099999999919</v>
      </c>
      <c r="G9" s="648">
        <f>SUM('5'!G37,'5'!G51)</f>
        <v>1513.0600000000268</v>
      </c>
      <c r="H9" s="648">
        <f>SUM('5'!G38,'5'!G52)</f>
        <v>1672.4000000000233</v>
      </c>
      <c r="I9" s="648">
        <f>SUM('5'!G39,'5'!G53)</f>
        <v>2669.0800000000163</v>
      </c>
      <c r="J9" s="648">
        <f>SUM('5'!G41,'5'!G42,'5'!G55,'5'!G56)</f>
        <v>3314.6699999999983</v>
      </c>
      <c r="K9" s="648">
        <f>SUM('5'!G43,'5'!G57)</f>
        <v>2407.4700000000012</v>
      </c>
      <c r="L9" s="254">
        <f>'5'!G50</f>
        <v>989.63999999999942</v>
      </c>
      <c r="M9" s="254">
        <f>'5'!G36</f>
        <v>802.54000000000087</v>
      </c>
      <c r="N9" s="254">
        <f>'5'!G138</f>
        <v>59</v>
      </c>
      <c r="O9" s="254">
        <f>'5'!$G$139</f>
        <v>0</v>
      </c>
      <c r="P9" s="254">
        <f>'5'!$G$140</f>
        <v>0</v>
      </c>
      <c r="Q9" s="258">
        <f>'5'!$G$141</f>
        <v>171.05999999999767</v>
      </c>
      <c r="R9" s="254">
        <f>'5'!$G$142</f>
        <v>77</v>
      </c>
      <c r="S9" s="251">
        <f>'5'!$G$145</f>
        <v>16.770000000000437</v>
      </c>
      <c r="T9" s="254">
        <f>'5'!$G$146</f>
        <v>450</v>
      </c>
      <c r="U9" s="254">
        <f>'5'!$G$144</f>
        <v>225</v>
      </c>
      <c r="V9" s="256">
        <f>'5'!$G$147</f>
        <v>381.1600000000326</v>
      </c>
      <c r="W9" s="254">
        <f>'5'!$G$148</f>
        <v>231.19999999995343</v>
      </c>
      <c r="X9" s="254">
        <f>'5'!$G$143</f>
        <v>20.339999999999691</v>
      </c>
      <c r="Y9" s="254">
        <f>'5'!$G$58</f>
        <v>76.81</v>
      </c>
      <c r="Z9" s="254">
        <f>'5'!$G$151</f>
        <v>246</v>
      </c>
      <c r="AA9" s="254">
        <f>'5'!G161</f>
        <v>0</v>
      </c>
      <c r="AB9" s="254">
        <f>'5'!G162</f>
        <v>25.80000000000291</v>
      </c>
      <c r="AC9" s="254"/>
      <c r="AD9" s="254">
        <f>'5'!G163+'5'!G164</f>
        <v>54.399999999991451</v>
      </c>
      <c r="AE9" s="254">
        <f>'5'!$G$116</f>
        <v>0</v>
      </c>
      <c r="AF9" s="254">
        <f>'5'!$G$117</f>
        <v>34.360000000000127</v>
      </c>
      <c r="AG9" s="254">
        <f>'5'!$G$118</f>
        <v>378.98000000001048</v>
      </c>
      <c r="AH9" s="254">
        <f>'5'!$G$119</f>
        <v>421.61999999999534</v>
      </c>
      <c r="AI9" s="254">
        <f>'5'!$G$120</f>
        <v>411.54999999999927</v>
      </c>
      <c r="AJ9" s="254">
        <f>'5'!$G$121</f>
        <v>726.40999999997439</v>
      </c>
      <c r="AK9" s="254">
        <f>'5'!$G$122</f>
        <v>241.27999999999884</v>
      </c>
      <c r="AL9" s="254">
        <f>'5'!$G$123</f>
        <v>314.07999999998719</v>
      </c>
      <c r="AM9" s="254">
        <f>'5'!$G$133</f>
        <v>846.25</v>
      </c>
      <c r="AN9" s="254">
        <f>'5'!$G$15</f>
        <v>1002.0500000000466</v>
      </c>
      <c r="AO9" s="256">
        <f>'5'!$G$74</f>
        <v>282.26000000000931</v>
      </c>
      <c r="AP9" s="256">
        <f>'5'!$G$75</f>
        <v>0</v>
      </c>
      <c r="AQ9" s="256">
        <f>'5'!$G$76</f>
        <v>95.679999999993015</v>
      </c>
      <c r="AR9" s="256">
        <f>'5'!$G$77</f>
        <v>52.30000000000291</v>
      </c>
      <c r="AS9" s="256">
        <f>'5'!$G$78</f>
        <v>1</v>
      </c>
      <c r="AT9" s="256">
        <f t="shared" si="0"/>
        <v>570.81000000004133</v>
      </c>
      <c r="AU9" s="254">
        <f>SUM('5'!G91:G92)</f>
        <v>9.8599999999996726</v>
      </c>
      <c r="AV9" s="254">
        <f>'5'!$G$88</f>
        <v>0</v>
      </c>
      <c r="AW9" s="254">
        <f>'5'!$G$89</f>
        <v>9.6200000000026193</v>
      </c>
      <c r="AX9" s="254">
        <f>'5'!$G$90</f>
        <v>4.0399999999935972</v>
      </c>
      <c r="AY9" s="252">
        <f t="shared" si="1"/>
        <v>13.659999999996217</v>
      </c>
      <c r="AZ9" s="311">
        <f>AO9/AU9</f>
        <v>28.626774847872078</v>
      </c>
      <c r="BA9" s="311">
        <f t="shared" si="3"/>
        <v>41.786969253308889</v>
      </c>
      <c r="BB9" s="351">
        <f t="shared" si="4"/>
        <v>5193.8499999999312</v>
      </c>
      <c r="BC9" s="351">
        <f t="shared" si="5"/>
        <v>26.099866783316763</v>
      </c>
    </row>
    <row r="10" spans="1:55" x14ac:dyDescent="0.2">
      <c r="A10" s="359">
        <v>6</v>
      </c>
      <c r="B10" s="648">
        <f>'6'!G7</f>
        <v>20272</v>
      </c>
      <c r="C10" s="648">
        <f>'6'!G8</f>
        <v>20708</v>
      </c>
      <c r="D10" s="648">
        <f>'6'!G15</f>
        <v>933.30000000004657</v>
      </c>
      <c r="E10" s="648">
        <f>'6'!G20</f>
        <v>204</v>
      </c>
      <c r="F10" s="648">
        <f>SUM('6'!G35,'6'!G49)</f>
        <v>3481.4799999999814</v>
      </c>
      <c r="G10" s="648">
        <f>SUM('6'!G37,'6'!G51)</f>
        <v>1517.109999999986</v>
      </c>
      <c r="H10" s="648">
        <f>SUM('6'!G38,'6'!G52)</f>
        <v>1687.109999999986</v>
      </c>
      <c r="I10" s="648">
        <f>SUM('6'!G39,'6'!G53)</f>
        <v>2707.4099999999744</v>
      </c>
      <c r="J10" s="648">
        <f>SUM('6'!G41,'6'!G42,'6'!G55,'6'!G56)</f>
        <v>3311.0800000000017</v>
      </c>
      <c r="K10" s="648">
        <f>SUM('6'!G43,'6'!G57)</f>
        <v>2434.8099999999977</v>
      </c>
      <c r="L10" s="254">
        <f>'6'!G50</f>
        <v>1030.7400000000016</v>
      </c>
      <c r="M10" s="254">
        <f>'6'!G36</f>
        <v>1049.2099999999991</v>
      </c>
      <c r="N10" s="254">
        <f>'6'!G138</f>
        <v>63</v>
      </c>
      <c r="O10" s="254">
        <f>'6'!$G$139</f>
        <v>2</v>
      </c>
      <c r="P10" s="254">
        <f>'6'!$G$140</f>
        <v>0</v>
      </c>
      <c r="Q10" s="254">
        <f>'6'!$G$141</f>
        <v>163.90000000000146</v>
      </c>
      <c r="R10" s="254">
        <f>'6'!$G$142</f>
        <v>68.25</v>
      </c>
      <c r="S10" s="254">
        <f>'6'!$G$145</f>
        <v>18</v>
      </c>
      <c r="T10" s="251">
        <f>'6'!$G$146</f>
        <v>438</v>
      </c>
      <c r="U10" s="251">
        <f>'6'!$G$144</f>
        <v>220</v>
      </c>
      <c r="V10" s="251">
        <f>'6'!$G$147</f>
        <v>377</v>
      </c>
      <c r="W10" s="251">
        <f>'6'!$G$148</f>
        <v>288</v>
      </c>
      <c r="X10" s="251">
        <f>'6'!$G$143</f>
        <v>22.300000000000182</v>
      </c>
      <c r="Y10" s="251">
        <f>'6'!$G$58</f>
        <v>203.53</v>
      </c>
      <c r="Z10" s="251">
        <f>'6'!$G$151</f>
        <v>243</v>
      </c>
      <c r="AA10" s="251">
        <f>'6'!G161</f>
        <v>0</v>
      </c>
      <c r="AB10" s="251">
        <f>'6'!G162</f>
        <v>31</v>
      </c>
      <c r="AC10" s="251"/>
      <c r="AD10" s="251">
        <f>'6'!G163+'6'!G164</f>
        <v>37.200000000002547</v>
      </c>
      <c r="AE10" s="254">
        <f>'6'!$G$116</f>
        <v>0</v>
      </c>
      <c r="AF10" s="254">
        <f>'6'!$G$117</f>
        <v>30.210000000000036</v>
      </c>
      <c r="AG10" s="254">
        <f>'6'!$G$118</f>
        <v>356.47000000000116</v>
      </c>
      <c r="AH10" s="254">
        <f>'6'!$G$119</f>
        <v>425.07000000000698</v>
      </c>
      <c r="AI10" s="254">
        <f>'6'!$G$120</f>
        <v>416</v>
      </c>
      <c r="AJ10" s="254">
        <f>'6'!$G$121</f>
        <v>745</v>
      </c>
      <c r="AK10" s="254">
        <f>'6'!$G$122</f>
        <v>238.61999999999534</v>
      </c>
      <c r="AL10" s="254">
        <f>'6'!$G$123</f>
        <v>307.25</v>
      </c>
      <c r="AM10" s="254">
        <f>'6'!$G$133</f>
        <v>813.13000000000466</v>
      </c>
      <c r="AN10" s="254">
        <f>'6'!$G$15</f>
        <v>933.30000000004657</v>
      </c>
      <c r="AO10" s="256">
        <f>'6'!$G$74</f>
        <v>304.51000000000931</v>
      </c>
      <c r="AP10" s="256">
        <f>'6'!$G$75</f>
        <v>0</v>
      </c>
      <c r="AQ10" s="256">
        <f>'6'!$G$76</f>
        <v>80</v>
      </c>
      <c r="AR10" s="256">
        <f>'6'!$G$77</f>
        <v>37.69999999999709</v>
      </c>
      <c r="AS10" s="256">
        <f>'6'!$G$78</f>
        <v>1</v>
      </c>
      <c r="AT10" s="256">
        <f t="shared" si="0"/>
        <v>510.09000000004016</v>
      </c>
      <c r="AU10" s="254">
        <f>SUM('6'!G91:G92)</f>
        <v>10.650000000000546</v>
      </c>
      <c r="AV10" s="254">
        <f>'6'!$G$88</f>
        <v>-6.0000000001309672E-2</v>
      </c>
      <c r="AW10" s="254">
        <f>'6'!$G$89</f>
        <v>9.0999999999985448</v>
      </c>
      <c r="AX10" s="254">
        <f>'6'!$G$90</f>
        <v>2.8200000000069849</v>
      </c>
      <c r="AY10" s="252">
        <f t="shared" si="1"/>
        <v>11.86000000000422</v>
      </c>
      <c r="AZ10" s="311">
        <f t="shared" ref="AZ10:AZ28" si="6">AO10/AU10</f>
        <v>28.592488262910209</v>
      </c>
      <c r="BA10" s="311">
        <f t="shared" si="3"/>
        <v>43.009274873512531</v>
      </c>
      <c r="BB10" s="351">
        <f t="shared" si="4"/>
        <v>5365.4700000000721</v>
      </c>
      <c r="BC10" s="351">
        <f t="shared" si="5"/>
        <v>26.4673934490927</v>
      </c>
    </row>
    <row r="11" spans="1:55" x14ac:dyDescent="0.2">
      <c r="A11" s="359">
        <v>7</v>
      </c>
      <c r="B11" s="648">
        <f>'7'!G7</f>
        <v>19831</v>
      </c>
      <c r="C11" s="648">
        <f>'7'!G8</f>
        <v>20261</v>
      </c>
      <c r="D11" s="648">
        <f>'7'!G15</f>
        <v>963</v>
      </c>
      <c r="E11" s="648">
        <f>'7'!G20</f>
        <v>214</v>
      </c>
      <c r="F11" s="648">
        <f>SUM('7'!G35,'7'!G49)</f>
        <v>3527</v>
      </c>
      <c r="G11" s="648">
        <f>SUM('7'!G37,'7'!G51)</f>
        <v>1524</v>
      </c>
      <c r="H11" s="648">
        <f>SUM('7'!G38,'7'!G52)</f>
        <v>1668</v>
      </c>
      <c r="I11" s="648">
        <f>SUM('7'!G39,'7'!G53)</f>
        <v>2675</v>
      </c>
      <c r="J11" s="648">
        <f>SUM('7'!G41,'7'!G42,'7'!G55,'7'!G56)</f>
        <v>3369</v>
      </c>
      <c r="K11" s="648">
        <f>SUM('7'!G43,'7'!G57)</f>
        <v>2246</v>
      </c>
      <c r="L11" s="254">
        <f>'7'!G50</f>
        <v>1043</v>
      </c>
      <c r="M11" s="254">
        <f>'7'!G36</f>
        <v>698</v>
      </c>
      <c r="N11" s="254">
        <f>'7'!G138</f>
        <v>74</v>
      </c>
      <c r="O11" s="254">
        <f>'7'!$G$139</f>
        <v>0</v>
      </c>
      <c r="P11" s="254">
        <f>'7'!$G$140</f>
        <v>-0.30000000000291038</v>
      </c>
      <c r="Q11" s="254">
        <f>'7'!$G$141</f>
        <v>172</v>
      </c>
      <c r="R11" s="254">
        <f>'7'!$G$142</f>
        <v>66</v>
      </c>
      <c r="S11" s="254">
        <f>'7'!$G$145</f>
        <v>17</v>
      </c>
      <c r="T11" s="251">
        <f>'7'!$G$146</f>
        <v>410</v>
      </c>
      <c r="U11" s="251">
        <f>'7'!$G$144</f>
        <v>230</v>
      </c>
      <c r="V11" s="251">
        <f>'7'!$G$147</f>
        <v>368</v>
      </c>
      <c r="W11" s="251">
        <f>'7'!$G$148</f>
        <v>247</v>
      </c>
      <c r="X11" s="251">
        <f>'7'!$G$143</f>
        <v>25</v>
      </c>
      <c r="Y11" s="251">
        <f>'7'!$G$58</f>
        <v>199</v>
      </c>
      <c r="Z11" s="256">
        <f>'7'!$G$151</f>
        <v>215</v>
      </c>
      <c r="AA11" s="256">
        <f>'7'!G161</f>
        <v>65.440000000002328</v>
      </c>
      <c r="AB11" s="251">
        <f>'7'!G162</f>
        <v>34</v>
      </c>
      <c r="AC11" s="251"/>
      <c r="AD11" s="251">
        <f>'7'!G163+'7'!G164</f>
        <v>48</v>
      </c>
      <c r="AE11" s="254">
        <f>'7'!$G$116</f>
        <v>0</v>
      </c>
      <c r="AF11" s="254">
        <f>'7'!$G$117</f>
        <v>29</v>
      </c>
      <c r="AG11" s="254">
        <f>'7'!$G$118</f>
        <v>639</v>
      </c>
      <c r="AH11" s="254">
        <f>'7'!$G$119</f>
        <v>437</v>
      </c>
      <c r="AI11" s="254">
        <f>'7'!$G$120</f>
        <v>428</v>
      </c>
      <c r="AJ11" s="254">
        <f>'7'!$G$121</f>
        <v>720</v>
      </c>
      <c r="AK11" s="256">
        <f>'7'!$G$122</f>
        <v>240</v>
      </c>
      <c r="AL11" s="254">
        <f>'7'!$G$123</f>
        <v>318</v>
      </c>
      <c r="AM11" s="254">
        <f>'7'!$G$133</f>
        <v>756</v>
      </c>
      <c r="AN11" s="254">
        <f>'7'!$G$15</f>
        <v>963</v>
      </c>
      <c r="AO11" s="256">
        <f>'7'!$G$74</f>
        <v>301</v>
      </c>
      <c r="AP11" s="256">
        <f>'7'!$G$75</f>
        <v>0</v>
      </c>
      <c r="AQ11" s="256">
        <f>'7'!$G$76</f>
        <v>72</v>
      </c>
      <c r="AR11" s="256">
        <f>'7'!$G$77</f>
        <v>39</v>
      </c>
      <c r="AS11" s="256">
        <f>'7'!$G$78</f>
        <v>1</v>
      </c>
      <c r="AT11" s="256">
        <f t="shared" si="0"/>
        <v>550</v>
      </c>
      <c r="AU11" s="254">
        <f>SUM('7'!G91:G92)</f>
        <v>10.529999999999745</v>
      </c>
      <c r="AV11" s="254">
        <f>'7'!$G$88</f>
        <v>0</v>
      </c>
      <c r="AW11" s="254">
        <f>'7'!$G$89</f>
        <v>10</v>
      </c>
      <c r="AX11" s="254">
        <f>'7'!$G$90</f>
        <v>5</v>
      </c>
      <c r="AY11" s="252">
        <f t="shared" si="1"/>
        <v>15</v>
      </c>
      <c r="AZ11" s="311">
        <f>AO11/AU11</f>
        <v>28.584995251662608</v>
      </c>
      <c r="BA11" s="311">
        <f t="shared" si="3"/>
        <v>36.666666666666664</v>
      </c>
      <c r="BB11" s="351">
        <f t="shared" si="4"/>
        <v>5053</v>
      </c>
      <c r="BC11" s="351">
        <f t="shared" si="5"/>
        <v>25.480308607735363</v>
      </c>
    </row>
    <row r="12" spans="1:55" x14ac:dyDescent="0.2">
      <c r="A12" s="359">
        <v>8</v>
      </c>
      <c r="B12" s="648">
        <f>'8'!G7</f>
        <v>19232</v>
      </c>
      <c r="C12" s="648">
        <f>'8'!G8</f>
        <v>19647</v>
      </c>
      <c r="D12" s="648">
        <f>'8'!G15</f>
        <v>925</v>
      </c>
      <c r="E12" s="648">
        <f>'8'!G20</f>
        <v>211</v>
      </c>
      <c r="F12" s="648">
        <f>SUM('8'!G35,'8'!G49)</f>
        <v>3416</v>
      </c>
      <c r="G12" s="648">
        <f>SUM('8'!G37,'8'!G51)</f>
        <v>1534</v>
      </c>
      <c r="H12" s="648">
        <f>SUM('8'!G38,'8'!G52)</f>
        <v>1715</v>
      </c>
      <c r="I12" s="648">
        <f>SUM('8'!G39,'8'!G53)</f>
        <v>2685</v>
      </c>
      <c r="J12" s="648">
        <f>SUM('8'!G41,'8'!G42,'8'!G55,'8'!G56)</f>
        <v>3190</v>
      </c>
      <c r="K12" s="648">
        <f>SUM('8'!G43,'8'!G57)</f>
        <v>2170</v>
      </c>
      <c r="L12" s="254">
        <f>'8'!G50</f>
        <v>974</v>
      </c>
      <c r="M12" s="254">
        <f>'8'!G36</f>
        <v>742</v>
      </c>
      <c r="N12" s="254">
        <f>'8'!G138</f>
        <v>64</v>
      </c>
      <c r="O12" s="254">
        <f>'8'!$G$139</f>
        <v>0</v>
      </c>
      <c r="P12" s="254">
        <f>'8'!$G$140</f>
        <v>0</v>
      </c>
      <c r="Q12" s="254">
        <f>'8'!$G$141</f>
        <v>172</v>
      </c>
      <c r="R12" s="254">
        <f>'8'!$G$142</f>
        <v>64</v>
      </c>
      <c r="S12" s="254">
        <f>'8'!$G$145</f>
        <v>18</v>
      </c>
      <c r="T12" s="251">
        <f>'8'!$G$146</f>
        <v>408</v>
      </c>
      <c r="U12" s="251">
        <f>'8'!$G$144</f>
        <v>240</v>
      </c>
      <c r="V12" s="251">
        <f>'8'!$G$147</f>
        <v>358</v>
      </c>
      <c r="W12" s="251">
        <f>'8'!$G$148</f>
        <v>265</v>
      </c>
      <c r="X12" s="251">
        <f>'8'!$G$143</f>
        <v>28</v>
      </c>
      <c r="Y12" s="251">
        <f>'8'!$G$58</f>
        <v>181</v>
      </c>
      <c r="Z12" s="251">
        <f>'8'!$G$151</f>
        <v>231</v>
      </c>
      <c r="AA12" s="251">
        <f>'8'!G161</f>
        <v>6</v>
      </c>
      <c r="AB12" s="251">
        <f>'8'!G162</f>
        <v>21</v>
      </c>
      <c r="AC12" s="251"/>
      <c r="AD12" s="251">
        <f>'8'!G163+'8'!G164</f>
        <v>28</v>
      </c>
      <c r="AE12" s="254">
        <f>'8'!$G$116</f>
        <v>0</v>
      </c>
      <c r="AF12" s="254">
        <f>'8'!$G$117</f>
        <v>22</v>
      </c>
      <c r="AG12" s="254">
        <f>'8'!$G$118</f>
        <v>85</v>
      </c>
      <c r="AH12" s="254">
        <f>'8'!$G$119</f>
        <v>453</v>
      </c>
      <c r="AI12" s="254">
        <f>'8'!$G$120</f>
        <v>414</v>
      </c>
      <c r="AJ12" s="254">
        <f>'8'!$G$121</f>
        <v>709</v>
      </c>
      <c r="AK12" s="254">
        <f>'8'!$G$122</f>
        <v>216</v>
      </c>
      <c r="AL12" s="254">
        <f>'8'!$G$123</f>
        <v>319</v>
      </c>
      <c r="AM12" s="254">
        <f>'8'!$G$133</f>
        <v>767</v>
      </c>
      <c r="AN12" s="254">
        <f>'8'!$G$15</f>
        <v>925</v>
      </c>
      <c r="AO12" s="256">
        <f>'8'!$G$74</f>
        <v>306</v>
      </c>
      <c r="AP12" s="256">
        <f>'8'!$G$75</f>
        <v>0</v>
      </c>
      <c r="AQ12" s="256">
        <f>'8'!$G$76</f>
        <v>87</v>
      </c>
      <c r="AR12" s="256">
        <f>'8'!$G$77</f>
        <v>24</v>
      </c>
      <c r="AS12" s="256">
        <f>'8'!$G$78</f>
        <v>0</v>
      </c>
      <c r="AT12" s="256">
        <f t="shared" si="0"/>
        <v>508</v>
      </c>
      <c r="AU12" s="254">
        <f>SUM('8'!G91:G92)</f>
        <v>10.659999999999854</v>
      </c>
      <c r="AV12" s="254">
        <f>'8'!$G$88</f>
        <v>0</v>
      </c>
      <c r="AW12" s="254">
        <f>'8'!$G$89</f>
        <v>9</v>
      </c>
      <c r="AX12" s="254">
        <f>'8'!$G$90</f>
        <v>4</v>
      </c>
      <c r="AY12" s="252">
        <f t="shared" si="1"/>
        <v>13</v>
      </c>
      <c r="AZ12" s="311">
        <f t="shared" si="6"/>
        <v>28.705440900563243</v>
      </c>
      <c r="BA12" s="311">
        <f t="shared" si="3"/>
        <v>39.07692307692308</v>
      </c>
      <c r="BB12" s="351">
        <f t="shared" si="4"/>
        <v>4756</v>
      </c>
      <c r="BC12" s="351">
        <f t="shared" si="5"/>
        <v>24.729617304492514</v>
      </c>
    </row>
    <row r="13" spans="1:55" x14ac:dyDescent="0.2">
      <c r="A13" s="359">
        <v>9</v>
      </c>
      <c r="B13" s="648">
        <f>'9'!G7</f>
        <v>17711</v>
      </c>
      <c r="C13" s="648">
        <f>'9'!G8</f>
        <v>18011</v>
      </c>
      <c r="D13" s="648">
        <f>'9'!G15</f>
        <v>907</v>
      </c>
      <c r="E13" s="648">
        <f>'9'!G20</f>
        <v>205</v>
      </c>
      <c r="F13" s="648">
        <f>SUM('9'!G35,'9'!G49)</f>
        <v>3089</v>
      </c>
      <c r="G13" s="648">
        <f>SUM('9'!G37,'9'!G51)</f>
        <v>1472</v>
      </c>
      <c r="H13" s="648">
        <f>SUM('9'!G38,'9'!G52)</f>
        <v>1658</v>
      </c>
      <c r="I13" s="648">
        <f>SUM('9'!G39,'9'!G53)</f>
        <v>2610</v>
      </c>
      <c r="J13" s="648">
        <f>SUM('9'!G41,'9'!G42,'9'!G55,'9'!G56)</f>
        <v>2762.4599999999991</v>
      </c>
      <c r="K13" s="648">
        <f>SUM('9'!G43,'9'!G57)</f>
        <v>2151</v>
      </c>
      <c r="L13" s="254">
        <f>'9'!G50</f>
        <v>969</v>
      </c>
      <c r="M13" s="254">
        <f>'9'!G36</f>
        <v>704</v>
      </c>
      <c r="N13" s="254">
        <f>'9'!G138</f>
        <v>54</v>
      </c>
      <c r="O13" s="254">
        <f>'9'!$G$139</f>
        <v>0</v>
      </c>
      <c r="P13" s="254">
        <f>'9'!$G$140</f>
        <v>0</v>
      </c>
      <c r="Q13" s="254">
        <f>'9'!$G$141</f>
        <v>176</v>
      </c>
      <c r="R13" s="254">
        <f>'9'!$G$142</f>
        <v>72</v>
      </c>
      <c r="S13" s="254">
        <f>'9'!$G$145</f>
        <v>18</v>
      </c>
      <c r="T13" s="251">
        <f>'9'!$G$146</f>
        <v>382</v>
      </c>
      <c r="U13" s="251">
        <f>'9'!$G$144</f>
        <v>220</v>
      </c>
      <c r="V13" s="251">
        <f>'9'!$G$147</f>
        <v>358</v>
      </c>
      <c r="W13" s="251">
        <f>'9'!$G$148</f>
        <v>228</v>
      </c>
      <c r="X13" s="251">
        <f>'9'!$G$143</f>
        <v>25</v>
      </c>
      <c r="Y13" s="251">
        <f>'9'!$G$58</f>
        <v>184</v>
      </c>
      <c r="Z13" s="251">
        <f>'9'!$G$151</f>
        <v>216</v>
      </c>
      <c r="AA13" s="251">
        <f>'9'!G161</f>
        <v>6</v>
      </c>
      <c r="AB13" s="251">
        <f>'9'!G162</f>
        <v>23</v>
      </c>
      <c r="AC13" s="251"/>
      <c r="AD13" s="251">
        <f>'9'!G163+'9'!G164</f>
        <v>33</v>
      </c>
      <c r="AE13" s="254">
        <f>'9'!$G$116</f>
        <v>0</v>
      </c>
      <c r="AF13" s="254">
        <f>'9'!$G$117</f>
        <v>23</v>
      </c>
      <c r="AG13" s="254">
        <f>'9'!$G$118</f>
        <v>346</v>
      </c>
      <c r="AH13" s="254">
        <f>'9'!$G$119</f>
        <v>442</v>
      </c>
      <c r="AI13" s="254">
        <f>'9'!$G$120</f>
        <v>422</v>
      </c>
      <c r="AJ13" s="254">
        <f>'9'!$G$121</f>
        <v>702</v>
      </c>
      <c r="AK13" s="254">
        <f>'9'!$G$122</f>
        <v>185</v>
      </c>
      <c r="AL13" s="254">
        <f>'9'!$G$123</f>
        <v>306</v>
      </c>
      <c r="AM13" s="254">
        <f>'9'!$G$133</f>
        <v>524</v>
      </c>
      <c r="AN13" s="254">
        <f>'9'!$G$15</f>
        <v>907</v>
      </c>
      <c r="AO13" s="256">
        <f>'9'!$G$74</f>
        <v>305</v>
      </c>
      <c r="AP13" s="256">
        <f>'9'!$G$75</f>
        <v>0.19999999999708962</v>
      </c>
      <c r="AQ13" s="256">
        <f>'9'!$G$76</f>
        <v>76</v>
      </c>
      <c r="AR13" s="256">
        <f>'9'!$G$77</f>
        <v>24</v>
      </c>
      <c r="AS13" s="256">
        <f>'9'!$G$78</f>
        <v>0</v>
      </c>
      <c r="AT13" s="256">
        <f t="shared" si="0"/>
        <v>501.80000000000291</v>
      </c>
      <c r="AU13" s="254">
        <f>SUM('9'!G91:G92)</f>
        <v>11</v>
      </c>
      <c r="AV13" s="254">
        <f>'9'!$G$88</f>
        <v>0</v>
      </c>
      <c r="AW13" s="254">
        <f>'9'!$G$89</f>
        <v>9</v>
      </c>
      <c r="AX13" s="254">
        <f>'9'!$G$90</f>
        <v>2</v>
      </c>
      <c r="AY13" s="252">
        <f t="shared" si="1"/>
        <v>11</v>
      </c>
      <c r="AZ13" s="311">
        <f t="shared" si="6"/>
        <v>27.727272727272727</v>
      </c>
      <c r="BA13" s="311">
        <f t="shared" si="3"/>
        <v>45.61818181818208</v>
      </c>
      <c r="BB13" s="351">
        <f t="shared" si="4"/>
        <v>4084.5400000000009</v>
      </c>
      <c r="BC13" s="351">
        <f t="shared" si="5"/>
        <v>23.062164756366105</v>
      </c>
    </row>
    <row r="14" spans="1:55" x14ac:dyDescent="0.2">
      <c r="A14" s="359">
        <v>10</v>
      </c>
      <c r="B14" s="648">
        <f>'10'!G7</f>
        <v>16861</v>
      </c>
      <c r="C14" s="648">
        <f>'10'!G8</f>
        <v>17063</v>
      </c>
      <c r="D14" s="648">
        <f>'10'!G15</f>
        <v>759</v>
      </c>
      <c r="E14" s="648">
        <f>'10'!G20</f>
        <v>124</v>
      </c>
      <c r="F14" s="648">
        <f>SUM('10'!G35,'10'!G49)</f>
        <v>2752</v>
      </c>
      <c r="G14" s="648">
        <f>SUM('10'!G37,'10'!G51)</f>
        <v>1452</v>
      </c>
      <c r="H14" s="648">
        <f>SUM('10'!G38,'10'!G52)</f>
        <v>1541</v>
      </c>
      <c r="I14" s="648">
        <f>SUM('10'!G39,'10'!G53)</f>
        <v>2574</v>
      </c>
      <c r="J14" s="648">
        <f>SUM('10'!G41,'10'!G42,'10'!G55,'10'!G56)</f>
        <v>2760</v>
      </c>
      <c r="K14" s="648">
        <f>SUM('10'!G43,'10'!G57)</f>
        <v>2123</v>
      </c>
      <c r="L14" s="254">
        <f>'10'!G50</f>
        <v>940</v>
      </c>
      <c r="M14" s="254">
        <f>'10'!G36</f>
        <v>634</v>
      </c>
      <c r="N14" s="254">
        <f>'10'!G138</f>
        <v>42</v>
      </c>
      <c r="O14" s="254">
        <f>'10'!$G$139</f>
        <v>0</v>
      </c>
      <c r="P14" s="254">
        <f>'10'!$G$140</f>
        <v>0</v>
      </c>
      <c r="Q14" s="254">
        <f>'10'!$G$141</f>
        <v>175</v>
      </c>
      <c r="R14" s="254">
        <f>'10'!$G$142</f>
        <v>66</v>
      </c>
      <c r="S14" s="254">
        <f>'10'!$G$145</f>
        <v>11</v>
      </c>
      <c r="T14" s="251">
        <f>'10'!$G$146</f>
        <v>362</v>
      </c>
      <c r="U14" s="251">
        <f>'10'!$G$144</f>
        <v>228</v>
      </c>
      <c r="V14" s="257">
        <f>'10'!$G$147</f>
        <v>374</v>
      </c>
      <c r="W14" s="257">
        <f>'10'!$G$148</f>
        <v>221</v>
      </c>
      <c r="X14" s="251">
        <f>'10'!$G$143</f>
        <v>22</v>
      </c>
      <c r="Y14" s="251">
        <f>'10'!$G$58</f>
        <v>80</v>
      </c>
      <c r="Z14" s="251">
        <f>'10'!$G$151</f>
        <v>218</v>
      </c>
      <c r="AA14" s="251">
        <f>'10'!G161</f>
        <v>65</v>
      </c>
      <c r="AB14" s="251">
        <f>'10'!G162</f>
        <v>28</v>
      </c>
      <c r="AC14" s="251"/>
      <c r="AD14" s="251">
        <f>'10'!G163+'10'!G164</f>
        <v>63</v>
      </c>
      <c r="AE14" s="254">
        <f>'10'!$G$116</f>
        <v>0</v>
      </c>
      <c r="AF14" s="254">
        <f>'10'!$G$117</f>
        <v>23</v>
      </c>
      <c r="AG14" s="254">
        <f>'10'!$G$118</f>
        <v>362</v>
      </c>
      <c r="AH14" s="254">
        <f>'10'!$G$119</f>
        <v>411</v>
      </c>
      <c r="AI14" s="254">
        <f>'10'!$G$120</f>
        <v>410</v>
      </c>
      <c r="AJ14" s="254">
        <f>'10'!$G$121</f>
        <v>662</v>
      </c>
      <c r="AK14" s="254">
        <f>'10'!$G$122</f>
        <v>175</v>
      </c>
      <c r="AL14" s="254">
        <f>'10'!$G$123</f>
        <v>302</v>
      </c>
      <c r="AM14" s="254">
        <f>'10'!$G$133</f>
        <v>366</v>
      </c>
      <c r="AN14" s="254">
        <f>'10'!$G$15</f>
        <v>759</v>
      </c>
      <c r="AO14" s="256">
        <f>'10'!$G$74</f>
        <v>313</v>
      </c>
      <c r="AP14" s="256">
        <f>'10'!$G$75</f>
        <v>0</v>
      </c>
      <c r="AQ14" s="256">
        <f>'10'!$G$76</f>
        <v>91</v>
      </c>
      <c r="AR14" s="256">
        <f>'10'!$G$77</f>
        <v>34</v>
      </c>
      <c r="AS14" s="256">
        <f>'10'!$G$78</f>
        <v>1.2999999999992724</v>
      </c>
      <c r="AT14" s="256">
        <f t="shared" si="0"/>
        <v>319.70000000000073</v>
      </c>
      <c r="AU14" s="254">
        <f>SUM('10'!G91:G92)</f>
        <v>11</v>
      </c>
      <c r="AV14" s="254">
        <f>'10'!$G$88</f>
        <v>0</v>
      </c>
      <c r="AW14" s="254">
        <f>'10'!$G$89</f>
        <v>0</v>
      </c>
      <c r="AX14" s="254">
        <f>'10'!$G$90</f>
        <v>13</v>
      </c>
      <c r="AY14" s="252">
        <f t="shared" si="1"/>
        <v>13</v>
      </c>
      <c r="AZ14" s="311">
        <f t="shared" si="6"/>
        <v>28.454545454545453</v>
      </c>
      <c r="BA14" s="311">
        <f t="shared" si="3"/>
        <v>24.592307692307749</v>
      </c>
      <c r="BB14" s="351">
        <f t="shared" si="4"/>
        <v>3781</v>
      </c>
      <c r="BC14" s="351">
        <f t="shared" si="5"/>
        <v>22.424529980428204</v>
      </c>
    </row>
    <row r="15" spans="1:55" x14ac:dyDescent="0.2">
      <c r="A15" s="359">
        <v>11</v>
      </c>
      <c r="B15" s="648">
        <f>'11'!G7</f>
        <v>17025</v>
      </c>
      <c r="C15" s="648">
        <f>'11'!G8</f>
        <v>17262</v>
      </c>
      <c r="D15" s="648">
        <f>'11'!G15</f>
        <v>931</v>
      </c>
      <c r="E15" s="648">
        <f>'11'!G20</f>
        <v>130</v>
      </c>
      <c r="F15" s="648">
        <f>SUM('11'!G35,'11'!G49)</f>
        <v>2699</v>
      </c>
      <c r="G15" s="648">
        <f>SUM('11'!G37,'11'!G51)</f>
        <v>1445</v>
      </c>
      <c r="H15" s="648">
        <f>SUM('11'!G38,'11'!G52)</f>
        <v>1494</v>
      </c>
      <c r="I15" s="648">
        <f>SUM('11'!G39,'11'!G53)</f>
        <v>2471</v>
      </c>
      <c r="J15" s="648">
        <f>SUM('11'!G41,'11'!G42,'11'!G55,'11'!G56)</f>
        <v>2906.3999999999942</v>
      </c>
      <c r="K15" s="648">
        <f>SUM('11'!G43,'11'!G57)</f>
        <v>2040</v>
      </c>
      <c r="L15" s="254">
        <f>'11'!G50</f>
        <v>979</v>
      </c>
      <c r="M15" s="254">
        <f>'11'!G36</f>
        <v>590</v>
      </c>
      <c r="N15" s="254">
        <f>'11'!G138</f>
        <v>48</v>
      </c>
      <c r="O15" s="254">
        <f>'11'!$G$139</f>
        <v>0</v>
      </c>
      <c r="P15" s="254">
        <f>'11'!$G$140</f>
        <v>0</v>
      </c>
      <c r="Q15" s="254">
        <f>'11'!$G$141</f>
        <v>167</v>
      </c>
      <c r="R15" s="254">
        <f>'11'!$G$142</f>
        <v>65</v>
      </c>
      <c r="S15" s="254">
        <f>'11'!$G$145</f>
        <v>10</v>
      </c>
      <c r="T15" s="251">
        <f>'11'!$G$146</f>
        <v>287</v>
      </c>
      <c r="U15" s="251">
        <f>'11'!$G$144</f>
        <v>214</v>
      </c>
      <c r="V15" s="251">
        <f>'11'!$G$147</f>
        <v>353</v>
      </c>
      <c r="W15" s="251">
        <f>'11'!$G$148</f>
        <v>188</v>
      </c>
      <c r="X15" s="251">
        <f>'11'!$G$143</f>
        <v>24</v>
      </c>
      <c r="Y15" s="251">
        <f>'11'!$G$58</f>
        <v>231</v>
      </c>
      <c r="Z15" s="251">
        <f>'11'!$G$151</f>
        <v>213</v>
      </c>
      <c r="AA15" s="251">
        <f>'11'!G161</f>
        <v>107</v>
      </c>
      <c r="AB15" s="251">
        <f>'11'!G162</f>
        <v>36</v>
      </c>
      <c r="AC15" s="251">
        <f>'11'!G88</f>
        <v>0</v>
      </c>
      <c r="AD15" s="251">
        <f>'11'!G163+'11'!G164</f>
        <v>35</v>
      </c>
      <c r="AE15" s="254">
        <f>'11'!$G$116</f>
        <v>0</v>
      </c>
      <c r="AF15" s="254">
        <f>'11'!$G$117</f>
        <v>25</v>
      </c>
      <c r="AG15" s="254">
        <f>'11'!$G$118</f>
        <v>338</v>
      </c>
      <c r="AH15" s="254">
        <f>'11'!$G$119</f>
        <v>400</v>
      </c>
      <c r="AI15" s="254">
        <f>'11'!$G$120</f>
        <v>379</v>
      </c>
      <c r="AJ15" s="254">
        <f>'11'!$G$121</f>
        <v>619</v>
      </c>
      <c r="AK15" s="254">
        <f>'11'!$G$122</f>
        <v>173</v>
      </c>
      <c r="AL15" s="254">
        <f>'11'!$G$123</f>
        <v>283</v>
      </c>
      <c r="AM15" s="254">
        <f>'11'!$G$133</f>
        <v>386</v>
      </c>
      <c r="AN15" s="254">
        <f>'11'!$G$15</f>
        <v>931</v>
      </c>
      <c r="AO15" s="256">
        <f>'11'!$G$74</f>
        <v>314</v>
      </c>
      <c r="AP15" s="256">
        <f>'11'!$G$75</f>
        <v>0</v>
      </c>
      <c r="AQ15" s="256">
        <f>'11'!$G$76</f>
        <v>63</v>
      </c>
      <c r="AR15" s="256">
        <f>'11'!$G$77</f>
        <v>19</v>
      </c>
      <c r="AS15" s="256">
        <f>'11'!$G$78</f>
        <v>1.7000000000007276</v>
      </c>
      <c r="AT15" s="256">
        <f t="shared" si="0"/>
        <v>533.29999999999927</v>
      </c>
      <c r="AU15" s="254">
        <f>SUM('11'!G91:G92)</f>
        <v>11</v>
      </c>
      <c r="AV15" s="254">
        <f>'11'!$G$88</f>
        <v>0</v>
      </c>
      <c r="AW15" s="254">
        <f>'11'!$G$89</f>
        <v>11</v>
      </c>
      <c r="AX15" s="254">
        <f>'11'!$G$90</f>
        <v>1</v>
      </c>
      <c r="AY15" s="252">
        <f t="shared" si="1"/>
        <v>12</v>
      </c>
      <c r="AZ15" s="311">
        <f t="shared" si="6"/>
        <v>28.545454545454547</v>
      </c>
      <c r="BA15" s="311">
        <f t="shared" si="3"/>
        <v>44.441666666666606</v>
      </c>
      <c r="BB15" s="351">
        <f t="shared" si="4"/>
        <v>3975.6000000000058</v>
      </c>
      <c r="BC15" s="351">
        <f t="shared" si="5"/>
        <v>23.351541850220297</v>
      </c>
    </row>
    <row r="16" spans="1:55" x14ac:dyDescent="0.2">
      <c r="A16" s="359">
        <v>12</v>
      </c>
      <c r="B16" s="648">
        <f>'12'!G7</f>
        <v>16531</v>
      </c>
      <c r="C16" s="648">
        <f>'12'!G8</f>
        <v>16713</v>
      </c>
      <c r="D16" s="648">
        <f>'12'!G15</f>
        <v>644</v>
      </c>
      <c r="E16" s="648">
        <f>'12'!G20</f>
        <v>136</v>
      </c>
      <c r="F16" s="648">
        <f>SUM('12'!G35,'12'!G49)</f>
        <v>2756</v>
      </c>
      <c r="G16" s="648">
        <f>SUM('12'!G37,'12'!G51)</f>
        <v>1481</v>
      </c>
      <c r="H16" s="648">
        <f>SUM('12'!G38,'12'!G52)</f>
        <v>1484</v>
      </c>
      <c r="I16" s="648">
        <f>SUM('12'!G39,'12'!G53)</f>
        <v>2461</v>
      </c>
      <c r="J16" s="648">
        <f>SUM('12'!G41,'12'!G42,'12'!G55,'12'!G56)</f>
        <v>2812</v>
      </c>
      <c r="K16" s="648">
        <f>SUM('12'!G43,'12'!G57)</f>
        <v>2022</v>
      </c>
      <c r="L16" s="254">
        <f>'12'!G50</f>
        <v>848</v>
      </c>
      <c r="M16" s="254">
        <f>'12'!G36</f>
        <v>613</v>
      </c>
      <c r="N16" s="254">
        <f>'12'!G138</f>
        <v>55</v>
      </c>
      <c r="O16" s="254">
        <f>'12'!$G$139</f>
        <v>0</v>
      </c>
      <c r="P16" s="254">
        <f>'12'!$G$140</f>
        <v>0</v>
      </c>
      <c r="Q16" s="254">
        <f>'12'!$G$141</f>
        <v>174</v>
      </c>
      <c r="R16" s="254">
        <f>'12'!$G$142</f>
        <v>69</v>
      </c>
      <c r="S16" s="254">
        <f>'12'!$G$145</f>
        <v>10</v>
      </c>
      <c r="T16" s="251">
        <f>'12'!$G$146</f>
        <v>321</v>
      </c>
      <c r="U16" s="251">
        <f>'12'!$G$144</f>
        <v>231</v>
      </c>
      <c r="V16" s="251">
        <f>'12'!$G$147</f>
        <v>306</v>
      </c>
      <c r="W16" s="251">
        <f>'12'!$G$148</f>
        <v>196</v>
      </c>
      <c r="X16" s="251">
        <f>'12'!$G$143</f>
        <v>25</v>
      </c>
      <c r="Y16" s="251">
        <f>'12'!$G$58</f>
        <v>13</v>
      </c>
      <c r="Z16" s="251">
        <f>'12'!$G$151</f>
        <v>232</v>
      </c>
      <c r="AA16" s="251">
        <f>'12'!G161</f>
        <v>8</v>
      </c>
      <c r="AB16" s="251">
        <f>'12'!G162</f>
        <v>30</v>
      </c>
      <c r="AC16" s="251">
        <f>'12'!G88</f>
        <v>0</v>
      </c>
      <c r="AD16" s="251">
        <f>'12'!G163+'12'!G164</f>
        <v>35</v>
      </c>
      <c r="AE16" s="254">
        <f>'12'!$G$116</f>
        <v>0</v>
      </c>
      <c r="AF16" s="254">
        <f>'12'!$G$117</f>
        <v>17</v>
      </c>
      <c r="AG16" s="254">
        <f>'12'!$G$118</f>
        <v>339</v>
      </c>
      <c r="AH16" s="254">
        <f>'12'!$G$119</f>
        <v>401</v>
      </c>
      <c r="AI16" s="254">
        <f>'12'!$G$120</f>
        <v>397</v>
      </c>
      <c r="AJ16" s="254">
        <f>'12'!$G$121</f>
        <v>641</v>
      </c>
      <c r="AK16" s="254">
        <f>'12'!$G$122</f>
        <v>189</v>
      </c>
      <c r="AL16" s="254">
        <f>'12'!$G$123</f>
        <v>281</v>
      </c>
      <c r="AM16" s="254">
        <f>'12'!$G$133</f>
        <v>413</v>
      </c>
      <c r="AN16" s="254">
        <f>'12'!$G$15</f>
        <v>644</v>
      </c>
      <c r="AO16" s="256">
        <f>'12'!$G$74</f>
        <v>379</v>
      </c>
      <c r="AP16" s="256">
        <f>'12'!$G$75</f>
        <v>0</v>
      </c>
      <c r="AQ16" s="256">
        <f>'12'!$G$76</f>
        <v>78</v>
      </c>
      <c r="AR16" s="256">
        <f>'12'!$G$77</f>
        <v>23</v>
      </c>
      <c r="AS16" s="256">
        <f>'12'!$G$78</f>
        <v>0</v>
      </c>
      <c r="AT16" s="256">
        <f t="shared" si="0"/>
        <v>164</v>
      </c>
      <c r="AU16" s="254">
        <f>SUM('12'!G91:G92)</f>
        <v>9.4200000000000728</v>
      </c>
      <c r="AV16" s="254">
        <f>'12'!$G$88</f>
        <v>0</v>
      </c>
      <c r="AW16" s="254">
        <f>'12'!$G$89</f>
        <v>-0.2000000000007276</v>
      </c>
      <c r="AX16" s="254">
        <f>'12'!$G$90</f>
        <v>9.3699999999953434</v>
      </c>
      <c r="AY16" s="252">
        <f t="shared" si="1"/>
        <v>9.1699999999946158</v>
      </c>
      <c r="AZ16" s="311">
        <f t="shared" si="6"/>
        <v>40.233545647558074</v>
      </c>
      <c r="BA16" s="311">
        <f t="shared" si="3"/>
        <v>17.884405670675715</v>
      </c>
      <c r="BB16" s="351">
        <f t="shared" si="4"/>
        <v>3684</v>
      </c>
      <c r="BC16" s="351">
        <f t="shared" si="5"/>
        <v>22.285403181900673</v>
      </c>
    </row>
    <row r="17" spans="1:55" x14ac:dyDescent="0.2">
      <c r="A17" s="359">
        <v>13</v>
      </c>
      <c r="B17" s="648">
        <f>'13'!G7</f>
        <v>16800</v>
      </c>
      <c r="C17" s="648">
        <f>'13'!G8</f>
        <v>17050</v>
      </c>
      <c r="D17" s="648">
        <f>'13'!G15</f>
        <v>957</v>
      </c>
      <c r="E17" s="648">
        <f>'13'!G20</f>
        <v>103</v>
      </c>
      <c r="F17" s="648">
        <f>SUM('13'!G35,'13'!G49)</f>
        <v>2750</v>
      </c>
      <c r="G17" s="648">
        <f>SUM('13'!G37,'13'!G51)</f>
        <v>1471</v>
      </c>
      <c r="H17" s="648">
        <f>SUM('13'!G38,'13'!G52)</f>
        <v>1543</v>
      </c>
      <c r="I17" s="648">
        <f>SUM('13'!G39,'13'!G53)</f>
        <v>2404</v>
      </c>
      <c r="J17" s="648">
        <f>SUM('13'!G41,'13'!G42,'13'!G55,'13'!G56)</f>
        <v>2861</v>
      </c>
      <c r="K17" s="648">
        <f>SUM('13'!G43,'13'!G57)</f>
        <v>2011</v>
      </c>
      <c r="L17" s="254">
        <f>'13'!G50</f>
        <v>842</v>
      </c>
      <c r="M17" s="254">
        <f>'13'!G36</f>
        <v>582</v>
      </c>
      <c r="N17" s="254">
        <f>'13'!G138</f>
        <v>53</v>
      </c>
      <c r="O17" s="254">
        <f>'13'!$G$139</f>
        <v>0</v>
      </c>
      <c r="P17" s="254">
        <f>'13'!$G$140</f>
        <v>0</v>
      </c>
      <c r="Q17" s="254">
        <f>'13'!$G$141</f>
        <v>165</v>
      </c>
      <c r="R17" s="254">
        <f>'13'!$G$142</f>
        <v>69</v>
      </c>
      <c r="S17" s="254">
        <f>'13'!$G$145</f>
        <v>12</v>
      </c>
      <c r="T17" s="251">
        <f>'13'!$G$146</f>
        <v>352</v>
      </c>
      <c r="U17" s="251">
        <f>'13'!$G$144</f>
        <v>220</v>
      </c>
      <c r="V17" s="251">
        <f>'13'!$G$147</f>
        <v>292</v>
      </c>
      <c r="W17" s="251">
        <f>'13'!$G$148</f>
        <v>135</v>
      </c>
      <c r="X17" s="251">
        <f>'13'!$G$143</f>
        <v>26</v>
      </c>
      <c r="Y17" s="251">
        <f>'13'!$G$58</f>
        <v>214</v>
      </c>
      <c r="Z17" s="251">
        <f>'13'!$G$151</f>
        <v>214</v>
      </c>
      <c r="AA17" s="251">
        <f>'13'!G161</f>
        <v>7</v>
      </c>
      <c r="AB17" s="251">
        <f>'13'!G162</f>
        <v>34</v>
      </c>
      <c r="AC17" s="251">
        <f>'13'!G88</f>
        <v>1.2700000000004366</v>
      </c>
      <c r="AD17" s="251">
        <f>'13'!G163+'13'!G164</f>
        <v>36</v>
      </c>
      <c r="AE17" s="254">
        <f>'13'!$G$116</f>
        <v>0</v>
      </c>
      <c r="AF17" s="254">
        <f>'13'!$G$117</f>
        <v>21</v>
      </c>
      <c r="AG17" s="254">
        <f>'13'!$G$118</f>
        <v>344</v>
      </c>
      <c r="AH17" s="254">
        <f>'13'!$G$119</f>
        <v>344</v>
      </c>
      <c r="AI17" s="254">
        <f>'13'!$G$120</f>
        <v>394</v>
      </c>
      <c r="AJ17" s="254">
        <f>'13'!$G$121</f>
        <v>616</v>
      </c>
      <c r="AK17" s="254">
        <f>'13'!$G$122</f>
        <v>188</v>
      </c>
      <c r="AL17" s="254">
        <f>'13'!$G$123</f>
        <v>274</v>
      </c>
      <c r="AM17" s="254">
        <f>'13'!$G$133</f>
        <v>406</v>
      </c>
      <c r="AN17" s="254">
        <f>'13'!$G$15</f>
        <v>957</v>
      </c>
      <c r="AO17" s="256">
        <f>'13'!$G$74</f>
        <v>209</v>
      </c>
      <c r="AP17" s="256">
        <f>'13'!$G$75</f>
        <v>0</v>
      </c>
      <c r="AQ17" s="256">
        <f>'13'!$G$76</f>
        <v>81</v>
      </c>
      <c r="AR17" s="256">
        <f>'13'!$G$77</f>
        <v>24</v>
      </c>
      <c r="AS17" s="256">
        <f>'13'!$G$78</f>
        <v>0</v>
      </c>
      <c r="AT17" s="256">
        <f t="shared" si="0"/>
        <v>643</v>
      </c>
      <c r="AU17" s="254">
        <f>SUM('13'!G91:G92)</f>
        <v>10.899999999999636</v>
      </c>
      <c r="AV17" s="254">
        <f>'13'!$G$88</f>
        <v>1.2700000000004366</v>
      </c>
      <c r="AW17" s="254">
        <f>'13'!$G$89</f>
        <v>7.3800000000010186</v>
      </c>
      <c r="AX17" s="254">
        <f>'13'!$G$90</f>
        <v>6.930000000007567</v>
      </c>
      <c r="AY17" s="252">
        <f t="shared" si="1"/>
        <v>15.580000000009022</v>
      </c>
      <c r="AZ17" s="311">
        <f t="shared" si="6"/>
        <v>19.174311926606144</v>
      </c>
      <c r="BA17" s="311">
        <f t="shared" si="3"/>
        <v>41.27086007699792</v>
      </c>
      <c r="BB17" s="351">
        <f t="shared" si="4"/>
        <v>3796</v>
      </c>
      <c r="BC17" s="351">
        <f t="shared" si="5"/>
        <v>22.595238095238095</v>
      </c>
    </row>
    <row r="18" spans="1:55" x14ac:dyDescent="0.2">
      <c r="A18" s="359">
        <v>14</v>
      </c>
      <c r="B18" s="648">
        <f>'14'!G7</f>
        <v>17228</v>
      </c>
      <c r="C18" s="648">
        <f>'14'!G8</f>
        <v>17430</v>
      </c>
      <c r="D18" s="648">
        <f>'14'!G15</f>
        <v>745</v>
      </c>
      <c r="E18" s="648">
        <f>'14'!G20</f>
        <v>114</v>
      </c>
      <c r="F18" s="648">
        <f>SUM('14'!G35,'14'!G49)</f>
        <v>2564</v>
      </c>
      <c r="G18" s="648">
        <f>SUM('14'!G37,'14'!G51)</f>
        <v>1509</v>
      </c>
      <c r="H18" s="648">
        <f>SUM('14'!G38,'14'!G52)</f>
        <v>1832</v>
      </c>
      <c r="I18" s="648">
        <f>SUM('14'!G39,'14'!G53)</f>
        <v>2495</v>
      </c>
      <c r="J18" s="648">
        <f>SUM('14'!G41,'14'!G42,'14'!G55,'14'!G56)</f>
        <v>3132</v>
      </c>
      <c r="K18" s="648">
        <f>SUM('14'!G43,'14'!G57)</f>
        <v>2011</v>
      </c>
      <c r="L18" s="254">
        <f>'14'!G50</f>
        <v>861</v>
      </c>
      <c r="M18" s="254">
        <f>'14'!G36</f>
        <v>627</v>
      </c>
      <c r="N18" s="254">
        <f>'14'!G138</f>
        <v>65</v>
      </c>
      <c r="O18" s="254">
        <f>'14'!$G$139</f>
        <v>0</v>
      </c>
      <c r="P18" s="254">
        <f>'14'!$G$140</f>
        <v>0</v>
      </c>
      <c r="Q18" s="254">
        <f>'14'!$G$141</f>
        <v>164</v>
      </c>
      <c r="R18" s="254">
        <f>'14'!$G$142</f>
        <v>63</v>
      </c>
      <c r="S18" s="254">
        <f>'14'!$G$145</f>
        <v>13</v>
      </c>
      <c r="T18" s="251">
        <f>'14'!$G$146</f>
        <v>368</v>
      </c>
      <c r="U18" s="251">
        <f>'14'!$G$144</f>
        <v>236</v>
      </c>
      <c r="V18" s="251">
        <f>'14'!$G$147</f>
        <v>325</v>
      </c>
      <c r="W18" s="251">
        <f>'14'!$G$148</f>
        <v>181</v>
      </c>
      <c r="X18" s="251">
        <f>'14'!$G$143</f>
        <v>20</v>
      </c>
      <c r="Y18" s="251">
        <f>'14'!$G$58</f>
        <v>76</v>
      </c>
      <c r="Z18" s="251">
        <f>'14'!$G$151</f>
        <v>196</v>
      </c>
      <c r="AA18" s="251">
        <f>'14'!G161</f>
        <v>6</v>
      </c>
      <c r="AB18" s="251">
        <f>'14'!G162</f>
        <v>40</v>
      </c>
      <c r="AC18" s="251">
        <f>'14'!G88</f>
        <v>0</v>
      </c>
      <c r="AD18" s="251">
        <f>'14'!G163+'14'!G164</f>
        <v>73</v>
      </c>
      <c r="AE18" s="254">
        <f>'14'!$G$116</f>
        <v>0</v>
      </c>
      <c r="AF18" s="254">
        <f>'14'!$G$117</f>
        <v>21</v>
      </c>
      <c r="AG18" s="254">
        <f>'14'!$G$118</f>
        <v>377</v>
      </c>
      <c r="AH18" s="254">
        <f>'14'!$G$119</f>
        <v>377</v>
      </c>
      <c r="AI18" s="254">
        <f>'14'!$G$120</f>
        <v>411</v>
      </c>
      <c r="AJ18" s="254">
        <f>'14'!$G$121</f>
        <v>655</v>
      </c>
      <c r="AK18" s="254">
        <f>'14'!$G$122</f>
        <v>188</v>
      </c>
      <c r="AL18" s="254">
        <f>'14'!$G$123</f>
        <v>297</v>
      </c>
      <c r="AM18" s="254">
        <f>'14'!$G$133</f>
        <v>403</v>
      </c>
      <c r="AN18" s="254">
        <f>'14'!$G$15</f>
        <v>745</v>
      </c>
      <c r="AO18" s="256">
        <f>'14'!$G$74</f>
        <v>326</v>
      </c>
      <c r="AP18" s="256">
        <f>'14'!$G$75</f>
        <v>0</v>
      </c>
      <c r="AQ18" s="256">
        <f>'14'!$G$76</f>
        <v>75</v>
      </c>
      <c r="AR18" s="256">
        <f>'14'!$G$77</f>
        <v>27</v>
      </c>
      <c r="AS18" s="256">
        <f>'14'!$G$78</f>
        <v>1</v>
      </c>
      <c r="AT18" s="256">
        <f t="shared" si="0"/>
        <v>316</v>
      </c>
      <c r="AU18" s="254">
        <f>SUM('14'!G91:G92)</f>
        <v>11.450000000000728</v>
      </c>
      <c r="AV18" s="254">
        <f>'14'!$G$88</f>
        <v>0</v>
      </c>
      <c r="AW18" s="254">
        <f>'14'!$G$89</f>
        <v>1.8100000000013097</v>
      </c>
      <c r="AX18" s="254">
        <f>'14'!$G$90</f>
        <v>9.2299999999959255</v>
      </c>
      <c r="AY18" s="252">
        <f t="shared" si="1"/>
        <v>11.039999999997235</v>
      </c>
      <c r="AZ18" s="311">
        <f t="shared" si="6"/>
        <v>28.471615720522209</v>
      </c>
      <c r="BA18" s="311">
        <f t="shared" si="3"/>
        <v>28.623188405804271</v>
      </c>
      <c r="BB18" s="351">
        <f t="shared" si="4"/>
        <v>3811</v>
      </c>
      <c r="BC18" s="351">
        <f t="shared" si="5"/>
        <v>22.120965869514745</v>
      </c>
    </row>
    <row r="19" spans="1:55" x14ac:dyDescent="0.2">
      <c r="A19" s="359">
        <v>15</v>
      </c>
      <c r="B19" s="648">
        <f>'15'!G7</f>
        <v>17216.75</v>
      </c>
      <c r="C19" s="648">
        <f>'15'!G8</f>
        <v>17328.710000000021</v>
      </c>
      <c r="D19" s="648">
        <f>'15'!G15</f>
        <v>965</v>
      </c>
      <c r="E19" s="648">
        <f>'15'!G20</f>
        <v>155</v>
      </c>
      <c r="F19" s="648">
        <f>SUM('15'!G35,'15'!G49)</f>
        <v>2552.4300000000003</v>
      </c>
      <c r="G19" s="648">
        <f>SUM('15'!G37,'15'!G51)</f>
        <v>1497.7399999999998</v>
      </c>
      <c r="H19" s="648">
        <f>SUM('15'!G38,'15'!G52)</f>
        <v>1386.9500000000007</v>
      </c>
      <c r="I19" s="648">
        <f>SUM('15'!G39,'15'!G53)</f>
        <v>2494.9000000000015</v>
      </c>
      <c r="J19" s="648">
        <f>SUM('15'!G41,'15'!G42,'15'!G55,'15'!G56)</f>
        <v>3008.3700000000099</v>
      </c>
      <c r="K19" s="648">
        <f>SUM('15'!G43,'15'!G57)</f>
        <v>2012.7100000000064</v>
      </c>
      <c r="L19" s="254">
        <f>'15'!G50</f>
        <v>902.7300000000032</v>
      </c>
      <c r="M19" s="254">
        <f>'15'!G36</f>
        <v>573.68999999999869</v>
      </c>
      <c r="N19" s="254">
        <f>'15'!G138</f>
        <v>56</v>
      </c>
      <c r="O19" s="254">
        <f>'15'!$G$139</f>
        <v>1</v>
      </c>
      <c r="P19" s="254">
        <f>'15'!$G$140</f>
        <v>0</v>
      </c>
      <c r="Q19" s="254">
        <f>'15'!$G$141</f>
        <v>175.9800000000032</v>
      </c>
      <c r="R19" s="254">
        <f>'15'!$G$142</f>
        <v>71.919999999998254</v>
      </c>
      <c r="S19" s="254">
        <f>'15'!$G$145</f>
        <v>14.420000000000073</v>
      </c>
      <c r="T19" s="251">
        <f>'15'!$G$146</f>
        <v>381</v>
      </c>
      <c r="U19" s="251">
        <f>'15'!$G$144</f>
        <v>231</v>
      </c>
      <c r="V19" s="251">
        <f>'15'!$G$147</f>
        <v>390.8399999999674</v>
      </c>
      <c r="W19" s="251">
        <f>'15'!$G$148</f>
        <v>181.56000000005588</v>
      </c>
      <c r="X19" s="251">
        <f>'15'!$G$143</f>
        <v>26.070000000000164</v>
      </c>
      <c r="Y19" s="251">
        <f>'15'!$G$58</f>
        <v>179.03999999999996</v>
      </c>
      <c r="Z19" s="251">
        <f>'15'!$G$151</f>
        <v>238</v>
      </c>
      <c r="AA19" s="251">
        <f>'15'!G161</f>
        <v>8.0399999999790452</v>
      </c>
      <c r="AB19" s="251">
        <f>'15'!G162</f>
        <v>38.30000000000291</v>
      </c>
      <c r="AC19" s="251">
        <f>'15'!G88</f>
        <v>2.0000000000436557E-2</v>
      </c>
      <c r="AD19" s="251">
        <f>'15'!G163+'15'!G164</f>
        <v>59.600000000005821</v>
      </c>
      <c r="AE19" s="254">
        <f>'15'!$G$116</f>
        <v>0</v>
      </c>
      <c r="AF19" s="254">
        <f>'15'!$G$117</f>
        <v>23.873999999999796</v>
      </c>
      <c r="AG19" s="254">
        <f>'15'!$G$118</f>
        <v>324.19000000000233</v>
      </c>
      <c r="AH19" s="254">
        <f>'15'!$G$119</f>
        <v>345.26999999998952</v>
      </c>
      <c r="AI19" s="254">
        <f>'15'!$G$120</f>
        <v>418</v>
      </c>
      <c r="AJ19" s="254">
        <f>'15'!$G$121</f>
        <v>645.19000000000233</v>
      </c>
      <c r="AK19" s="254">
        <f>'15'!$G$122</f>
        <v>183.83999999999651</v>
      </c>
      <c r="AL19" s="254">
        <f>'15'!$G$123</f>
        <v>230.64000000001397</v>
      </c>
      <c r="AM19" s="254">
        <f>'15'!$G$133</f>
        <v>398.27000000000407</v>
      </c>
      <c r="AN19" s="254">
        <f>'15'!$G$15</f>
        <v>965</v>
      </c>
      <c r="AO19" s="256">
        <f>'15'!$G$74</f>
        <v>313</v>
      </c>
      <c r="AP19" s="256">
        <f>'15'!$G$75</f>
        <v>0</v>
      </c>
      <c r="AQ19" s="256">
        <f>'15'!$G$76</f>
        <v>75</v>
      </c>
      <c r="AR19" s="256">
        <f>'15'!$G$77</f>
        <v>26.400000000001455</v>
      </c>
      <c r="AS19" s="256">
        <f>'15'!$G$78</f>
        <v>1</v>
      </c>
      <c r="AT19" s="256">
        <f t="shared" si="0"/>
        <v>549.59999999999854</v>
      </c>
      <c r="AU19" s="254">
        <f>SUM('15'!G91:G92)</f>
        <v>11.019999999999527</v>
      </c>
      <c r="AV19" s="254">
        <f>'15'!$G$88</f>
        <v>2.0000000000436557E-2</v>
      </c>
      <c r="AW19" s="254">
        <f>'15'!$G$89</f>
        <v>9.9599999999991269</v>
      </c>
      <c r="AX19" s="254">
        <f>'15'!$G$90</f>
        <v>2.9400000000023283</v>
      </c>
      <c r="AY19" s="252">
        <f t="shared" si="1"/>
        <v>12.920000000001892</v>
      </c>
      <c r="AZ19" s="311">
        <f t="shared" si="6"/>
        <v>28.402903811253488</v>
      </c>
      <c r="BA19" s="311">
        <f t="shared" si="3"/>
        <v>42.538699690396136</v>
      </c>
      <c r="BB19" s="351">
        <f t="shared" si="4"/>
        <v>4196.5700000000033</v>
      </c>
      <c r="BC19" s="351">
        <f t="shared" si="5"/>
        <v>24.374925581192755</v>
      </c>
    </row>
    <row r="20" spans="1:55" x14ac:dyDescent="0.2">
      <c r="A20" s="359">
        <v>16</v>
      </c>
      <c r="B20" s="648">
        <f>'16'!G7</f>
        <v>17314.25</v>
      </c>
      <c r="C20" s="648">
        <f>'16'!G8</f>
        <v>17406.289999999979</v>
      </c>
      <c r="D20" s="648">
        <f>'16'!G15</f>
        <v>1006</v>
      </c>
      <c r="E20" s="648">
        <f>'16'!G20</f>
        <v>135</v>
      </c>
      <c r="F20" s="648">
        <f>SUM('16'!G35,'16'!G49)</f>
        <v>2589.5699999999997</v>
      </c>
      <c r="G20" s="648">
        <f>SUM('16'!G37,'16'!G51)</f>
        <v>1483.2600000000002</v>
      </c>
      <c r="H20" s="648">
        <f>SUM('16'!G38,'16'!G52)</f>
        <v>1625.0499999999993</v>
      </c>
      <c r="I20" s="648">
        <f>SUM('16'!G39,'16'!G53)</f>
        <v>2600.0999999999985</v>
      </c>
      <c r="J20" s="648">
        <f>SUM('16'!G41,'16'!G42,'16'!G55,'16'!G56)</f>
        <v>3032.7699999999968</v>
      </c>
      <c r="K20" s="648">
        <f>SUM('16'!G43,'16'!G57)</f>
        <v>2071.2899999999936</v>
      </c>
      <c r="L20" s="254">
        <f>'16'!G50</f>
        <v>868.2699999999968</v>
      </c>
      <c r="M20" s="254">
        <f>'16'!G36</f>
        <v>587.31000000000131</v>
      </c>
      <c r="N20" s="254">
        <f>'16'!G138</f>
        <v>59</v>
      </c>
      <c r="O20" s="254">
        <f>'16'!$G$139</f>
        <v>0</v>
      </c>
      <c r="P20" s="254">
        <f>'16'!$G$140</f>
        <v>0</v>
      </c>
      <c r="Q20" s="254">
        <f>'16'!$G$141</f>
        <v>165.0199999999968</v>
      </c>
      <c r="R20" s="254">
        <f>'16'!$G$142</f>
        <v>76.080000000001746</v>
      </c>
      <c r="S20" s="254">
        <f>'16'!$G$145</f>
        <v>15.579999999999927</v>
      </c>
      <c r="T20" s="251">
        <f>'16'!$G$146</f>
        <v>441</v>
      </c>
      <c r="U20" s="251">
        <f>'16'!$G$144</f>
        <v>226</v>
      </c>
      <c r="V20" s="251">
        <f>'16'!$G$147</f>
        <v>336.1600000000326</v>
      </c>
      <c r="W20" s="251">
        <f>'16'!$G$148</f>
        <v>163.43999999994412</v>
      </c>
      <c r="X20" s="251">
        <f>'16'!$G$143</f>
        <v>22.929999999999836</v>
      </c>
      <c r="Y20" s="251">
        <f>'16'!$G$58</f>
        <v>187.96000000000004</v>
      </c>
      <c r="Z20" s="251">
        <f>'16'!$G$151</f>
        <v>224</v>
      </c>
      <c r="AA20" s="251">
        <f>'16'!G161</f>
        <v>6.9600000000209548</v>
      </c>
      <c r="AB20" s="251">
        <f>'16'!G162</f>
        <v>13.69999999999709</v>
      </c>
      <c r="AC20" s="251">
        <f>'16'!G88</f>
        <v>0</v>
      </c>
      <c r="AD20" s="251">
        <f>'16'!G163+'16'!G164</f>
        <v>36.399999999994179</v>
      </c>
      <c r="AE20" s="254">
        <f>'16'!$G$116</f>
        <v>0</v>
      </c>
      <c r="AF20" s="254">
        <f>'16'!$G$117</f>
        <v>23.126000000000204</v>
      </c>
      <c r="AG20" s="254">
        <f>'16'!$G$118</f>
        <v>306.80999999999767</v>
      </c>
      <c r="AH20" s="254">
        <f>'16'!$G$119</f>
        <v>457.73000000001048</v>
      </c>
      <c r="AI20" s="254">
        <f>'16'!$G$120</f>
        <v>435</v>
      </c>
      <c r="AJ20" s="254">
        <f>'16'!$G$121</f>
        <v>669.80999999999767</v>
      </c>
      <c r="AK20" s="254">
        <f>'16'!$G$122</f>
        <v>168.16000000000349</v>
      </c>
      <c r="AL20" s="254">
        <f>'16'!$G$123</f>
        <v>270.35999999998603</v>
      </c>
      <c r="AM20" s="254">
        <f>'16'!$G$133</f>
        <v>468.72999999999593</v>
      </c>
      <c r="AN20" s="254">
        <f>'16'!$G$15</f>
        <v>1006</v>
      </c>
      <c r="AO20" s="256">
        <f>'16'!$G$74</f>
        <v>304</v>
      </c>
      <c r="AP20" s="256">
        <f>'16'!$G$75</f>
        <v>0</v>
      </c>
      <c r="AQ20" s="256">
        <f>'16'!$G$76</f>
        <v>90</v>
      </c>
      <c r="AR20" s="256">
        <f>'16'!$G$77</f>
        <v>26.599999999998545</v>
      </c>
      <c r="AS20" s="256">
        <f>'16'!$G$78</f>
        <v>1</v>
      </c>
      <c r="AT20" s="256">
        <f t="shared" si="0"/>
        <v>584.40000000000146</v>
      </c>
      <c r="AU20" s="254">
        <f>SUM('16'!G91:G92)</f>
        <v>10.619999999999891</v>
      </c>
      <c r="AV20" s="254">
        <f>'16'!$G$88</f>
        <v>0</v>
      </c>
      <c r="AW20" s="254">
        <f>'16'!$G$89</f>
        <v>8.1399999999994179</v>
      </c>
      <c r="AX20" s="254">
        <f>'16'!$G$90</f>
        <v>9.6900000000023283</v>
      </c>
      <c r="AY20" s="252">
        <f t="shared" si="1"/>
        <v>17.830000000001746</v>
      </c>
      <c r="AZ20" s="311">
        <f t="shared" si="6"/>
        <v>28.625235404896717</v>
      </c>
      <c r="BA20" s="311">
        <f t="shared" si="3"/>
        <v>32.776219854175224</v>
      </c>
      <c r="BB20" s="351">
        <f t="shared" si="4"/>
        <v>3816.28999999999</v>
      </c>
      <c r="BC20" s="351">
        <f t="shared" si="5"/>
        <v>22.041324342665664</v>
      </c>
    </row>
    <row r="21" spans="1:55" x14ac:dyDescent="0.2">
      <c r="A21" s="359">
        <v>17</v>
      </c>
      <c r="B21" s="648">
        <f>'17'!G7</f>
        <v>17454</v>
      </c>
      <c r="C21" s="648">
        <f>'17'!G8</f>
        <v>17543</v>
      </c>
      <c r="D21" s="648">
        <f>'17'!G15</f>
        <v>734.2730000000447</v>
      </c>
      <c r="E21" s="648">
        <f>'17'!G20</f>
        <v>133</v>
      </c>
      <c r="F21" s="648">
        <f>SUM('17'!G35,'17'!G49)</f>
        <v>2686.2100000000009</v>
      </c>
      <c r="G21" s="648">
        <f>SUM('17'!G37,'17'!G51)</f>
        <v>1510.42</v>
      </c>
      <c r="H21" s="648">
        <f>SUM('17'!G38,'17'!G52)</f>
        <v>1604.1599999999999</v>
      </c>
      <c r="I21" s="648">
        <f>SUM('17'!G39,'17'!G53)</f>
        <v>2698</v>
      </c>
      <c r="J21" s="648">
        <f>SUM('17'!G41,'17'!G42,'17'!G55,'17'!G56)</f>
        <v>3005.1699999999983</v>
      </c>
      <c r="K21" s="648">
        <f>SUM('17'!G43,'17'!G57)</f>
        <v>2219.1499999999942</v>
      </c>
      <c r="L21" s="254">
        <f>'17'!G50</f>
        <v>838.52999999999884</v>
      </c>
      <c r="M21" s="254">
        <f>'17'!G36</f>
        <v>592.45999999999913</v>
      </c>
      <c r="N21" s="254">
        <f>'18 '!G138</f>
        <v>60</v>
      </c>
      <c r="O21" s="254">
        <f>'17'!$G$139</f>
        <v>0</v>
      </c>
      <c r="P21" s="254">
        <f>'17'!$G$140</f>
        <v>0</v>
      </c>
      <c r="Q21" s="254">
        <f>'17'!$G$141</f>
        <v>158.80000000000291</v>
      </c>
      <c r="R21" s="254">
        <f>'17'!$G$142</f>
        <v>78.090000000000146</v>
      </c>
      <c r="S21" s="254">
        <f>'17'!$G$145</f>
        <v>14.340000000000146</v>
      </c>
      <c r="T21" s="251">
        <f>'17'!$G$146</f>
        <v>428</v>
      </c>
      <c r="U21" s="251">
        <f>'17'!$G$144</f>
        <v>233</v>
      </c>
      <c r="V21" s="251">
        <f>'17'!$G$147</f>
        <v>330</v>
      </c>
      <c r="W21" s="251">
        <f>'17'!$G$148</f>
        <v>164</v>
      </c>
      <c r="X21" s="251">
        <f>'17'!$G$143</f>
        <v>27.510000000000218</v>
      </c>
      <c r="Y21" s="251">
        <f>'17'!$G$58</f>
        <v>17.599999999999909</v>
      </c>
      <c r="Z21" s="251">
        <f>'17'!$G$151</f>
        <v>213</v>
      </c>
      <c r="AA21" s="251">
        <f>'17'!G161</f>
        <v>7</v>
      </c>
      <c r="AB21" s="251">
        <f>'17'!G162</f>
        <v>37</v>
      </c>
      <c r="AC21" s="251">
        <f>'17'!G88</f>
        <v>0</v>
      </c>
      <c r="AD21" s="251">
        <f>'17'!G163+'17'!G164</f>
        <v>62.599999999996726</v>
      </c>
      <c r="AE21" s="254">
        <f>'17'!$G$116</f>
        <v>0</v>
      </c>
      <c r="AF21" s="254">
        <f>'17'!$G$117</f>
        <v>22.9699999999998</v>
      </c>
      <c r="AG21" s="254">
        <f>'17'!$G$118</f>
        <v>337</v>
      </c>
      <c r="AH21" s="254">
        <f>'17'!$G$119</f>
        <v>457</v>
      </c>
      <c r="AI21" s="254">
        <f>'17'!$G$120</f>
        <v>434.40000000000146</v>
      </c>
      <c r="AJ21" s="254">
        <f>'17'!$G$121</f>
        <v>691</v>
      </c>
      <c r="AK21" s="254">
        <f>'17'!$G$122</f>
        <v>185.44000000000233</v>
      </c>
      <c r="AL21" s="254">
        <f>'17'!$G$123</f>
        <v>256.63000000000466</v>
      </c>
      <c r="AM21" s="254">
        <f>'17'!$G$133</f>
        <v>488.60000000000582</v>
      </c>
      <c r="AN21" s="254">
        <f>'17'!$G$15</f>
        <v>734.2730000000447</v>
      </c>
      <c r="AO21" s="256">
        <f>'17'!$G$74</f>
        <v>307.90000000002328</v>
      </c>
      <c r="AP21" s="256">
        <f>'17'!$G$75</f>
        <v>-0.19999999999708962</v>
      </c>
      <c r="AQ21" s="256">
        <f>'17'!$G$76</f>
        <v>73.5</v>
      </c>
      <c r="AR21" s="256">
        <f>'17'!$G$77</f>
        <v>23.30000000000291</v>
      </c>
      <c r="AS21" s="256">
        <f>'17'!$G$78</f>
        <v>0</v>
      </c>
      <c r="AT21" s="256">
        <f t="shared" si="0"/>
        <v>329.7730000000156</v>
      </c>
      <c r="AU21" s="254">
        <f>SUM('17'!G91:G92)</f>
        <v>10.850000000000364</v>
      </c>
      <c r="AV21" s="254">
        <f>'17'!$G$88</f>
        <v>0</v>
      </c>
      <c r="AW21" s="254">
        <f>'17'!$G$89</f>
        <v>3.5400000000008731</v>
      </c>
      <c r="AX21" s="254">
        <f>'17'!$G$90</f>
        <v>4.8399999999965075</v>
      </c>
      <c r="AY21" s="252">
        <f t="shared" si="1"/>
        <v>8.3799999999973807</v>
      </c>
      <c r="AZ21" s="311">
        <f t="shared" si="6"/>
        <v>28.377880184332991</v>
      </c>
      <c r="BA21" s="311">
        <f t="shared" si="3"/>
        <v>39.35238663485903</v>
      </c>
      <c r="BB21" s="351">
        <f t="shared" si="4"/>
        <v>3802.2900000000063</v>
      </c>
      <c r="BC21" s="351">
        <f t="shared" si="5"/>
        <v>21.78463389480925</v>
      </c>
    </row>
    <row r="22" spans="1:55" x14ac:dyDescent="0.2">
      <c r="A22" s="359">
        <v>18</v>
      </c>
      <c r="B22" s="648">
        <f>'18 '!G7</f>
        <v>17765</v>
      </c>
      <c r="C22" s="648">
        <f>'18 '!G8</f>
        <v>18064.830000000016</v>
      </c>
      <c r="D22" s="648">
        <f>'18 '!G15</f>
        <v>881.7269999999553</v>
      </c>
      <c r="E22" s="648">
        <f>'18 '!G20</f>
        <v>154</v>
      </c>
      <c r="F22" s="648">
        <f>SUM('18 '!G35,'18 '!G49)</f>
        <v>2634.4799999999996</v>
      </c>
      <c r="G22" s="648">
        <f>SUM('18 '!G37,'18 '!G51)</f>
        <v>1562.5499999999993</v>
      </c>
      <c r="H22" s="648">
        <f>SUM('18 '!G38,'18 '!G52)</f>
        <v>1696.2999999999993</v>
      </c>
      <c r="I22" s="648">
        <f>SUM('18 '!G39,'18 '!G53)</f>
        <v>2546.4900000000016</v>
      </c>
      <c r="J22" s="648">
        <f>SUM('18 '!G41,'18 '!G42,'18 '!G55,'18 '!G56)</f>
        <v>3090.5200000000041</v>
      </c>
      <c r="K22" s="648">
        <f>SUM('18 '!G43,'18 '!G57)</f>
        <v>2338</v>
      </c>
      <c r="L22" s="254">
        <f>'18 '!G50</f>
        <v>921.40000000000146</v>
      </c>
      <c r="M22" s="254">
        <f>'18 '!G36</f>
        <v>600.90000000000146</v>
      </c>
      <c r="N22" s="254">
        <f>'18 '!G138</f>
        <v>60</v>
      </c>
      <c r="O22" s="254">
        <f>'18 '!$G$139</f>
        <v>1</v>
      </c>
      <c r="P22" s="254">
        <f>'18 '!$G$140</f>
        <v>0</v>
      </c>
      <c r="Q22" s="254">
        <f>'18 '!$G$141</f>
        <v>171.84999999999854</v>
      </c>
      <c r="R22" s="254">
        <f>'18 '!$G$142</f>
        <v>80.540000000000873</v>
      </c>
      <c r="S22" s="254">
        <f>'18 '!$G$145</f>
        <v>14.849999999999454</v>
      </c>
      <c r="T22" s="251">
        <f>'18 '!$G$146</f>
        <v>366</v>
      </c>
      <c r="U22" s="251">
        <f>'18 '!$G$144</f>
        <v>220</v>
      </c>
      <c r="V22" s="256">
        <f>'18 '!$G$147</f>
        <v>304.56000000005588</v>
      </c>
      <c r="W22" s="256">
        <f>'18 '!$G$148</f>
        <v>155.43999999994412</v>
      </c>
      <c r="X22" s="256">
        <f>'18 '!$G$143</f>
        <v>24.949999999999818</v>
      </c>
      <c r="Y22" s="256">
        <f>'18 '!$G$58</f>
        <v>131.88000000000011</v>
      </c>
      <c r="Z22" s="256">
        <f>'18 '!$G$151</f>
        <v>254</v>
      </c>
      <c r="AA22" s="256">
        <f>'18 '!G161</f>
        <v>7.5599999999976717</v>
      </c>
      <c r="AB22" s="251">
        <f>'18 '!G162</f>
        <v>40.30000000000291</v>
      </c>
      <c r="AC22" s="251">
        <f>'18 '!G88</f>
        <v>1.8699999999989814</v>
      </c>
      <c r="AD22" s="251">
        <f>'18 '!G163+'18 '!G164</f>
        <v>71.900000000003274</v>
      </c>
      <c r="AE22" s="254">
        <f>'18 '!$G$116</f>
        <v>0</v>
      </c>
      <c r="AF22" s="254">
        <f>'18 '!$G$117</f>
        <v>23.140000000000327</v>
      </c>
      <c r="AG22" s="254">
        <f>'18 '!$G$118</f>
        <v>351.48999999999069</v>
      </c>
      <c r="AH22" s="254">
        <f>'18 '!$G$119</f>
        <v>441.04999999998836</v>
      </c>
      <c r="AI22" s="254">
        <f>'18 '!$G$120</f>
        <v>434.66999999999825</v>
      </c>
      <c r="AJ22" s="254">
        <f>'18 '!$G$121</f>
        <v>651</v>
      </c>
      <c r="AK22" s="254">
        <f>'18 '!$G$122</f>
        <v>168.55999999999767</v>
      </c>
      <c r="AL22" s="254">
        <f>'18 '!$G$123</f>
        <v>264.95999999999185</v>
      </c>
      <c r="AM22" s="254">
        <f>'18 '!$G$133</f>
        <v>500.79999999998836</v>
      </c>
      <c r="AN22" s="254">
        <f>'18 '!$G$15</f>
        <v>881.7269999999553</v>
      </c>
      <c r="AO22" s="256">
        <f>'18 '!$G$74</f>
        <v>285.25</v>
      </c>
      <c r="AP22" s="256">
        <f>'18 '!$G$75</f>
        <v>0</v>
      </c>
      <c r="AQ22" s="256">
        <f>'18 '!$G$76</f>
        <v>80.5</v>
      </c>
      <c r="AR22" s="256">
        <f>'18 '!$G$77</f>
        <v>22.69999999999709</v>
      </c>
      <c r="AS22" s="256">
        <f>'18 '!$G$78</f>
        <v>1</v>
      </c>
      <c r="AT22" s="256">
        <f t="shared" si="0"/>
        <v>492.27699999995821</v>
      </c>
      <c r="AU22" s="254">
        <f>SUM('18 '!G91:G92)</f>
        <v>10.069999999999709</v>
      </c>
      <c r="AV22" s="254">
        <f>'18 '!$G$88</f>
        <v>1.8699999999989814</v>
      </c>
      <c r="AW22" s="254">
        <f>'18 '!$G$89</f>
        <v>7.4199999999982538</v>
      </c>
      <c r="AX22" s="254">
        <f>'18 '!$G$90</f>
        <v>0.71000000000640284</v>
      </c>
      <c r="AY22" s="252">
        <f t="shared" si="1"/>
        <v>10.000000000003638</v>
      </c>
      <c r="AZ22" s="311">
        <f t="shared" si="6"/>
        <v>28.326713008938256</v>
      </c>
      <c r="BA22" s="311">
        <f t="shared" si="3"/>
        <v>49.227699999977915</v>
      </c>
      <c r="BB22" s="351">
        <f t="shared" si="4"/>
        <v>4064.6100000000115</v>
      </c>
      <c r="BC22" s="351">
        <f t="shared" si="5"/>
        <v>22.879876160990776</v>
      </c>
    </row>
    <row r="23" spans="1:55" s="313" customFormat="1" x14ac:dyDescent="0.2">
      <c r="A23" s="359">
        <v>19</v>
      </c>
      <c r="B23" s="648">
        <f>'19'!G7</f>
        <v>18033</v>
      </c>
      <c r="C23" s="648">
        <f>'19'!G8</f>
        <v>18721.169999999984</v>
      </c>
      <c r="D23" s="648">
        <f>'19'!G15</f>
        <v>834.30000000004657</v>
      </c>
      <c r="E23" s="648">
        <f>'19'!G20</f>
        <v>157</v>
      </c>
      <c r="F23" s="648">
        <f>SUM('19'!G35,'19'!G49)</f>
        <v>2941.6499999999996</v>
      </c>
      <c r="G23" s="648">
        <f>SUM('19'!G37,'19'!G51)</f>
        <v>1596.17</v>
      </c>
      <c r="H23" s="648">
        <f>SUM('19'!G38,'19'!G52)</f>
        <v>1623.5400000000009</v>
      </c>
      <c r="I23" s="648">
        <f>SUM('19'!G39,'19'!G53)</f>
        <v>2646.0699999999997</v>
      </c>
      <c r="J23" s="648">
        <f>SUM('19'!G41,'19'!G42,'19'!G55,'19'!G56)</f>
        <v>2846.1399999999994</v>
      </c>
      <c r="K23" s="648">
        <f>SUM('19'!G43,'19'!G57)</f>
        <v>2372.3700000000099</v>
      </c>
      <c r="L23" s="251">
        <f>'19'!G50</f>
        <v>975.76000000000204</v>
      </c>
      <c r="M23" s="251">
        <f>'19'!G36</f>
        <v>661.59999999999854</v>
      </c>
      <c r="N23" s="251">
        <f>'19'!G138</f>
        <v>59</v>
      </c>
      <c r="O23" s="251">
        <f>'19'!$G$139</f>
        <v>0</v>
      </c>
      <c r="P23" s="251">
        <f>'19'!$G$140</f>
        <v>0</v>
      </c>
      <c r="Q23" s="251">
        <f>'19'!$G$141</f>
        <v>171.04999999999563</v>
      </c>
      <c r="R23" s="254">
        <f>'19'!G142</f>
        <v>66.610000000000582</v>
      </c>
      <c r="S23" s="251">
        <f>'19'!$G$145</f>
        <v>16.210000000000036</v>
      </c>
      <c r="T23" s="251">
        <f>'19'!$G$146</f>
        <v>407</v>
      </c>
      <c r="U23" s="251">
        <f>'19'!$G$144</f>
        <v>220</v>
      </c>
      <c r="V23" s="251">
        <f>'19'!$G$147</f>
        <v>351.07999999995809</v>
      </c>
      <c r="W23" s="251">
        <f>'19'!$G$148</f>
        <v>166.08000000007451</v>
      </c>
      <c r="X23" s="251">
        <f>'19'!$G$143</f>
        <v>24.059999999999945</v>
      </c>
      <c r="Y23" s="251">
        <f>'19'!$G$58</f>
        <v>161.78999999999996</v>
      </c>
      <c r="Z23" s="251">
        <f>'19'!$G$151</f>
        <v>190</v>
      </c>
      <c r="AA23" s="251">
        <f>'19'!G161</f>
        <v>7.2000000000116415</v>
      </c>
      <c r="AB23" s="251">
        <f>'19'!G162</f>
        <v>42.099999999991269</v>
      </c>
      <c r="AC23" s="251">
        <f>'19'!G88</f>
        <v>0.20999999999912689</v>
      </c>
      <c r="AD23" s="251">
        <f>'19'!G163+'19'!G164</f>
        <v>68.80000000000291</v>
      </c>
      <c r="AE23" s="251">
        <f>'19'!$G$116</f>
        <v>0</v>
      </c>
      <c r="AF23" s="251">
        <f>'19'!$G$117</f>
        <v>23.339999999999691</v>
      </c>
      <c r="AG23" s="251">
        <f>'19'!$G$118</f>
        <v>365.60000000000582</v>
      </c>
      <c r="AH23" s="251">
        <f>'19'!$G$119</f>
        <v>443.40000000002328</v>
      </c>
      <c r="AI23" s="251">
        <f>'19'!$G$120</f>
        <v>407.05999999999767</v>
      </c>
      <c r="AJ23" s="251">
        <f>'19'!$G$121</f>
        <v>665.42999999999302</v>
      </c>
      <c r="AK23" s="251">
        <f>'19'!$G$122</f>
        <v>173.49000000000524</v>
      </c>
      <c r="AL23" s="251">
        <f>'19'!$G$123</f>
        <v>278.76000000000931</v>
      </c>
      <c r="AM23" s="251">
        <f>'19'!$G$133</f>
        <v>668.02999999999884</v>
      </c>
      <c r="AN23" s="251">
        <f>'19'!$G$15</f>
        <v>834.30000000004657</v>
      </c>
      <c r="AO23" s="256">
        <f>'19'!$G$74</f>
        <v>306.34999999997672</v>
      </c>
      <c r="AP23" s="256">
        <f>'19'!$G$75</f>
        <v>0</v>
      </c>
      <c r="AQ23" s="256">
        <f>'19'!$G$76</f>
        <v>83.899999999994179</v>
      </c>
      <c r="AR23" s="256">
        <f>'19'!$G$77</f>
        <v>27.099999999998545</v>
      </c>
      <c r="AS23" s="256">
        <f>'19'!$G$78</f>
        <v>1.2999999999992724</v>
      </c>
      <c r="AT23" s="256">
        <f t="shared" si="0"/>
        <v>415.65000000007785</v>
      </c>
      <c r="AU23" s="251">
        <f>SUM('19'!G91:G92)</f>
        <v>10.730000000000473</v>
      </c>
      <c r="AV23" s="251">
        <f>'19'!$G$88</f>
        <v>0.20999999999912689</v>
      </c>
      <c r="AW23" s="251">
        <f>'19'!$G$89</f>
        <v>7.0200000000004366</v>
      </c>
      <c r="AX23" s="251">
        <f>'19'!$G$90</f>
        <v>1.8600000000005821</v>
      </c>
      <c r="AY23" s="255">
        <f t="shared" si="1"/>
        <v>9.0900000000001455</v>
      </c>
      <c r="AZ23" s="311">
        <f t="shared" si="6"/>
        <v>28.550792171478399</v>
      </c>
      <c r="BA23" s="311">
        <f t="shared" si="3"/>
        <v>45.726072607268556</v>
      </c>
      <c r="BB23" s="351">
        <f t="shared" si="4"/>
        <v>4533.4399999999732</v>
      </c>
      <c r="BC23" s="351">
        <f t="shared" si="5"/>
        <v>25.139688349137543</v>
      </c>
    </row>
    <row r="24" spans="1:55" x14ac:dyDescent="0.2">
      <c r="A24" s="359">
        <v>20</v>
      </c>
      <c r="B24" s="648">
        <f>'20'!G7</f>
        <v>16723.150000000023</v>
      </c>
      <c r="C24" s="648">
        <f>'20'!G8</f>
        <v>17336.710000000021</v>
      </c>
      <c r="D24" s="648">
        <f>'20'!G15</f>
        <v>986.94999999995343</v>
      </c>
      <c r="E24" s="648">
        <f>'20'!G20</f>
        <v>216</v>
      </c>
      <c r="F24" s="648">
        <f>SUM('20'!G35,'20'!G49)</f>
        <v>2570.5700000000015</v>
      </c>
      <c r="G24" s="648">
        <f>SUM('20'!G37,'20'!G51)</f>
        <v>1537.7799999999988</v>
      </c>
      <c r="H24" s="648">
        <f>SUM('20'!G38,'20'!G52)</f>
        <v>1612.8499999999985</v>
      </c>
      <c r="I24" s="648">
        <f>SUM('20'!G39,'20'!G53)</f>
        <v>2507.0499999999993</v>
      </c>
      <c r="J24" s="648">
        <f>SUM('20'!G41,'20'!G42,'20'!G55,'20'!G56)</f>
        <v>2588.6399999999994</v>
      </c>
      <c r="K24" s="648">
        <f>SUM('20'!G43,'20'!G57)</f>
        <v>2313.4700000000012</v>
      </c>
      <c r="L24" s="254">
        <f>'20'!G50</f>
        <v>914.65999999999622</v>
      </c>
      <c r="M24" s="254">
        <f>'20'!G36</f>
        <v>594.86000000000058</v>
      </c>
      <c r="N24" s="254">
        <f>'20'!G138</f>
        <v>57</v>
      </c>
      <c r="O24" s="254">
        <f>'20'!$G$139</f>
        <v>1</v>
      </c>
      <c r="P24" s="254">
        <f>'20'!$G$140</f>
        <v>19</v>
      </c>
      <c r="Q24" s="254">
        <f>'20'!$G$141</f>
        <v>163.31999999999971</v>
      </c>
      <c r="R24" s="254">
        <f>'20'!$G$142</f>
        <v>74.889999999999418</v>
      </c>
      <c r="S24" s="254">
        <f>'20'!$G$145</f>
        <v>14.880000000000109</v>
      </c>
      <c r="T24" s="251">
        <f>'20'!$G$146</f>
        <v>346</v>
      </c>
      <c r="U24" s="251">
        <f>'20'!$G$144</f>
        <v>226</v>
      </c>
      <c r="V24" s="251">
        <f>'20'!$G$147</f>
        <v>347.35999999998603</v>
      </c>
      <c r="W24" s="251">
        <f>'20'!$G$148</f>
        <v>160.47999999998137</v>
      </c>
      <c r="X24" s="251">
        <f>'20'!$G$143</f>
        <v>26.25</v>
      </c>
      <c r="Y24" s="251">
        <f>'20'!$G$58</f>
        <v>256.7199999999998</v>
      </c>
      <c r="Z24" s="251">
        <f>'20'!$G$151</f>
        <v>212</v>
      </c>
      <c r="AA24" s="251">
        <f>'20'!G161</f>
        <v>6.4799999999813735</v>
      </c>
      <c r="AB24" s="251">
        <f>'20'!G162</f>
        <v>36.100000000005821</v>
      </c>
      <c r="AC24" s="251">
        <f>'20'!G88</f>
        <v>0</v>
      </c>
      <c r="AD24" s="251">
        <f>'20'!G163+'20'!G164</f>
        <v>53.30000000000291</v>
      </c>
      <c r="AE24" s="254">
        <f>'20'!$G$116</f>
        <v>0</v>
      </c>
      <c r="AF24" s="254">
        <f>'20'!$G$117</f>
        <v>22.680000000000291</v>
      </c>
      <c r="AG24" s="254">
        <f>'20'!$G$118</f>
        <v>343.23999999999069</v>
      </c>
      <c r="AH24" s="254">
        <f>'20'!$G$119</f>
        <v>432.47999999998137</v>
      </c>
      <c r="AI24" s="254">
        <f>'20'!$G$120</f>
        <v>402.74000000000524</v>
      </c>
      <c r="AJ24" s="254">
        <f>'20'!$G$121</f>
        <v>607.0800000000163</v>
      </c>
      <c r="AK24" s="254">
        <f>'20'!$G$122</f>
        <v>154.1299999999901</v>
      </c>
      <c r="AL24" s="254">
        <f>'20'!$G$123</f>
        <v>273.07000000000698</v>
      </c>
      <c r="AM24" s="254">
        <f>'20'!$G$133</f>
        <v>655.39000000001397</v>
      </c>
      <c r="AN24" s="254">
        <f>'20'!$G$15</f>
        <v>986.94999999995343</v>
      </c>
      <c r="AO24" s="256">
        <f>'20'!$G$74</f>
        <v>295.15000000002328</v>
      </c>
      <c r="AP24" s="256">
        <f>'20'!$G$75</f>
        <v>0</v>
      </c>
      <c r="AQ24" s="256">
        <f>'20'!$G$76</f>
        <v>83.64000000001397</v>
      </c>
      <c r="AR24" s="256">
        <f>'20'!$G$77</f>
        <v>25.599999999998545</v>
      </c>
      <c r="AS24" s="256">
        <f>'20'!$G$78</f>
        <v>0.6000000000003638</v>
      </c>
      <c r="AT24" s="256">
        <f t="shared" si="0"/>
        <v>581.95999999991727</v>
      </c>
      <c r="AU24" s="254">
        <f>SUM('20'!G91:G92)</f>
        <v>10.329999999999927</v>
      </c>
      <c r="AV24" s="254">
        <f>'20'!$G$88</f>
        <v>0</v>
      </c>
      <c r="AW24" s="254">
        <f>'20'!$G$89</f>
        <v>11.18999999999869</v>
      </c>
      <c r="AX24" s="254">
        <f>'20'!$G$90</f>
        <v>2.7399999999906868</v>
      </c>
      <c r="AY24" s="252">
        <f t="shared" si="1"/>
        <v>13.929999999989377</v>
      </c>
      <c r="AZ24" s="311">
        <f t="shared" si="6"/>
        <v>28.572120038724623</v>
      </c>
      <c r="BA24" s="311">
        <f t="shared" si="3"/>
        <v>41.777458722208259</v>
      </c>
      <c r="BB24" s="351">
        <f t="shared" si="4"/>
        <v>3949.6300000000228</v>
      </c>
      <c r="BC24" s="351">
        <f t="shared" si="5"/>
        <v>23.617739480899335</v>
      </c>
    </row>
    <row r="25" spans="1:55" x14ac:dyDescent="0.2">
      <c r="A25" s="359">
        <v>21</v>
      </c>
      <c r="B25" s="648">
        <f>'21'!G7</f>
        <v>17868.559999999998</v>
      </c>
      <c r="C25" s="648">
        <f>'21'!G8</f>
        <v>18548.039999999979</v>
      </c>
      <c r="D25" s="648">
        <f>'21'!G15</f>
        <v>1017.3400000000838</v>
      </c>
      <c r="E25" s="648">
        <f>'21'!G20</f>
        <v>167</v>
      </c>
      <c r="F25" s="648">
        <f>SUM('21'!G35,'21'!G49)</f>
        <v>2555.7699999999968</v>
      </c>
      <c r="G25" s="648">
        <f>SUM('21'!G37,'21'!G51)</f>
        <v>1565.5</v>
      </c>
      <c r="H25" s="648">
        <f>SUM('21'!G38,'21'!G52)</f>
        <v>1671.4500000000007</v>
      </c>
      <c r="I25" s="648">
        <f>SUM('21'!G39,'21'!G53)</f>
        <v>2598.239999999998</v>
      </c>
      <c r="J25" s="648">
        <f>SUM('21'!G41,'21'!G42,'21'!G55,'21'!G56)</f>
        <v>2838.3999999999942</v>
      </c>
      <c r="K25" s="648">
        <f>SUM('21'!G43,'21'!G57)</f>
        <v>2339.9399999999878</v>
      </c>
      <c r="L25" s="254">
        <f>'21'!G50</f>
        <v>1160.0500000000029</v>
      </c>
      <c r="M25" s="254">
        <f>'21'!G36</f>
        <v>661.91000000000349</v>
      </c>
      <c r="N25" s="254">
        <f>'21'!G138</f>
        <v>68</v>
      </c>
      <c r="O25" s="254">
        <f>'21'!$G$139</f>
        <v>2</v>
      </c>
      <c r="P25" s="254">
        <f>'21'!$G$140</f>
        <v>1.5</v>
      </c>
      <c r="Q25" s="254">
        <f>'21'!$G$141</f>
        <v>183.9600000000064</v>
      </c>
      <c r="R25" s="254">
        <f>'21'!$G$142</f>
        <v>82.779999999998836</v>
      </c>
      <c r="S25" s="254">
        <f>'21'!$G$145</f>
        <v>15.119999999999891</v>
      </c>
      <c r="T25" s="251">
        <f>'21'!$G$146</f>
        <v>369</v>
      </c>
      <c r="U25" s="251">
        <f>'21'!$G$144</f>
        <v>227</v>
      </c>
      <c r="V25" s="251">
        <f>'21'!$G$147</f>
        <v>376.11999999999534</v>
      </c>
      <c r="W25" s="251">
        <f>'21'!$G$148</f>
        <v>154.88000000000466</v>
      </c>
      <c r="X25" s="251">
        <f>'21'!$G$143</f>
        <v>23.769999999999982</v>
      </c>
      <c r="Y25" s="251">
        <f>'21'!$G$58</f>
        <v>234.19000000000005</v>
      </c>
      <c r="Z25" s="251">
        <f>'21'!$G$151</f>
        <v>226</v>
      </c>
      <c r="AA25" s="251">
        <f>'21'!G161</f>
        <v>101.76000000000931</v>
      </c>
      <c r="AB25" s="251">
        <f>'21'!G162</f>
        <v>41.80000000000291</v>
      </c>
      <c r="AC25" s="251">
        <f>'21'!G88</f>
        <v>0</v>
      </c>
      <c r="AD25" s="251">
        <f>'21'!G163+'21'!G164</f>
        <v>54.100000000000364</v>
      </c>
      <c r="AE25" s="254">
        <f>'21'!$G$116</f>
        <v>0</v>
      </c>
      <c r="AF25" s="254">
        <f>'21'!$G$117</f>
        <v>23.139999999999873</v>
      </c>
      <c r="AG25" s="254">
        <f>'21'!$G$118</f>
        <v>333.44000000000233</v>
      </c>
      <c r="AH25" s="254">
        <f>'21'!$G$119</f>
        <v>440.86000000001513</v>
      </c>
      <c r="AI25" s="254">
        <f>'21'!$G$120</f>
        <v>411.36000000000058</v>
      </c>
      <c r="AJ25" s="254">
        <f>'21'!$G$121</f>
        <v>673.20000000001164</v>
      </c>
      <c r="AK25" s="254">
        <f>'21'!$G$122</f>
        <v>203.35000000000582</v>
      </c>
      <c r="AL25" s="254">
        <f>'21'!$G$123</f>
        <v>265.57999999998719</v>
      </c>
      <c r="AM25" s="254">
        <f>'21'!$G$133</f>
        <v>655.83999999999651</v>
      </c>
      <c r="AN25" s="254">
        <f>'21'!$G$15</f>
        <v>1017.3400000000838</v>
      </c>
      <c r="AO25" s="256">
        <f>'21'!$G$74</f>
        <v>294.76000000000931</v>
      </c>
      <c r="AP25" s="256">
        <f>'21'!$G$75</f>
        <v>0</v>
      </c>
      <c r="AQ25" s="256">
        <f>'21'!$G$76</f>
        <v>104.77999999999884</v>
      </c>
      <c r="AR25" s="256">
        <f>'21'!$G$77</f>
        <v>50.30000000000291</v>
      </c>
      <c r="AS25" s="256">
        <f>'21'!$G$78</f>
        <v>1.1000000000003638</v>
      </c>
      <c r="AT25" s="256">
        <f t="shared" si="0"/>
        <v>566.4000000000724</v>
      </c>
      <c r="AU25" s="254">
        <f>SUM('21'!G91:G92)</f>
        <v>10.309999999999491</v>
      </c>
      <c r="AV25" s="254">
        <f>'21'!$G$88</f>
        <v>0</v>
      </c>
      <c r="AW25" s="254">
        <f>'21'!$G$89</f>
        <v>10.30000000000291</v>
      </c>
      <c r="AX25" s="254">
        <f>'21'!$G$90</f>
        <v>2.1199999999953434</v>
      </c>
      <c r="AY25" s="252">
        <f t="shared" si="1"/>
        <v>12.419999999998254</v>
      </c>
      <c r="AZ25" s="311">
        <f t="shared" si="6"/>
        <v>28.589718719691938</v>
      </c>
      <c r="BA25" s="311">
        <f t="shared" si="3"/>
        <v>45.603864734311756</v>
      </c>
      <c r="BB25" s="351">
        <f t="shared" si="4"/>
        <v>4744.5500000000011</v>
      </c>
      <c r="BC25" s="351">
        <f t="shared" si="5"/>
        <v>26.552503391431667</v>
      </c>
    </row>
    <row r="26" spans="1:55" x14ac:dyDescent="0.2">
      <c r="A26" s="359">
        <v>22</v>
      </c>
      <c r="B26" s="648">
        <f>'22'!G7</f>
        <v>19215.959999999963</v>
      </c>
      <c r="C26" s="648">
        <f>'22'!G8</f>
        <v>19922.760000000009</v>
      </c>
      <c r="D26" s="648">
        <f>'22'!G15</f>
        <v>1036.4099999999162</v>
      </c>
      <c r="E26" s="648">
        <f>'22'!G20</f>
        <v>176</v>
      </c>
      <c r="F26" s="648">
        <f>SUM('22'!G35,'22'!G49)</f>
        <v>2596.6300000000028</v>
      </c>
      <c r="G26" s="648">
        <f>SUM('22'!G37,'22'!G51)</f>
        <v>1587.0900000000001</v>
      </c>
      <c r="H26" s="648">
        <f>SUM('22'!G38,'22'!G52)</f>
        <v>1787.2400000000016</v>
      </c>
      <c r="I26" s="648">
        <f>SUM('22'!G39,'22'!G53)</f>
        <v>2648.7000000000044</v>
      </c>
      <c r="J26" s="648">
        <f>SUM('22'!G41,'22'!G42,'22'!G55,'22'!G56)</f>
        <v>3073.5800000000017</v>
      </c>
      <c r="K26" s="648">
        <f>SUM('22'!G43,'22'!G57)</f>
        <v>2333.4200000000128</v>
      </c>
      <c r="L26" s="254">
        <f>'22'!G50</f>
        <v>1510.6999999999971</v>
      </c>
      <c r="M26" s="254">
        <f>'22'!G36</f>
        <v>834.2899999999936</v>
      </c>
      <c r="N26" s="254">
        <f>'22'!G138</f>
        <v>107</v>
      </c>
      <c r="O26" s="254">
        <f>'22'!$G$139</f>
        <v>9</v>
      </c>
      <c r="P26" s="254">
        <f>'22'!$G$140</f>
        <v>1.5299999999988358</v>
      </c>
      <c r="Q26" s="254">
        <f>'22'!$G$141</f>
        <v>192.63999999999942</v>
      </c>
      <c r="R26" s="254">
        <f>'22'!$G$142</f>
        <v>79.819999999999709</v>
      </c>
      <c r="S26" s="254">
        <f>'22'!$G$145</f>
        <v>14.800000000000182</v>
      </c>
      <c r="T26" s="251">
        <f>'22'!$G$146</f>
        <v>446</v>
      </c>
      <c r="U26" s="251">
        <f>'22'!$G$144</f>
        <v>229</v>
      </c>
      <c r="V26" s="251">
        <f>'22'!$G$147</f>
        <v>492</v>
      </c>
      <c r="W26" s="251">
        <f>'22'!$G$148</f>
        <v>202.55999999993946</v>
      </c>
      <c r="X26" s="251">
        <f>'22'!$G$143</f>
        <v>27.960000000000036</v>
      </c>
      <c r="Y26" s="251">
        <f>'22'!$G$58</f>
        <v>243.45000000000027</v>
      </c>
      <c r="Z26" s="251">
        <f>'22'!$G$151</f>
        <v>219</v>
      </c>
      <c r="AA26" s="251">
        <f>'22'!G161</f>
        <v>218</v>
      </c>
      <c r="AB26" s="251">
        <f>'22'!G162</f>
        <v>29.30000000000291</v>
      </c>
      <c r="AC26" s="251">
        <f>'22'!G88</f>
        <v>0</v>
      </c>
      <c r="AD26" s="251">
        <f>'22'!G163+'22'!G164</f>
        <v>37.599999999996726</v>
      </c>
      <c r="AE26" s="254">
        <f>'22'!$G$116</f>
        <v>0</v>
      </c>
      <c r="AF26" s="254">
        <f>'22'!$G$117</f>
        <v>23.110000000000127</v>
      </c>
      <c r="AG26" s="254">
        <f>'22'!$G$118</f>
        <v>312.96000000002095</v>
      </c>
      <c r="AH26" s="254">
        <f>'22'!$G$119</f>
        <v>408.85999999998603</v>
      </c>
      <c r="AI26" s="254">
        <f>'22'!$G$120</f>
        <v>424.18000000000029</v>
      </c>
      <c r="AJ26" s="254">
        <f>'22'!$G$121</f>
        <v>705.19999999995343</v>
      </c>
      <c r="AK26" s="254">
        <f>'22'!$G$122</f>
        <v>222.64999999999418</v>
      </c>
      <c r="AL26" s="254">
        <f>'22'!$G$123</f>
        <v>271.79999999998836</v>
      </c>
      <c r="AM26" s="254">
        <f>'22'!$G$133</f>
        <v>653.44000000000233</v>
      </c>
      <c r="AN26" s="254">
        <f>'22'!$G$15</f>
        <v>1036.4099999999162</v>
      </c>
      <c r="AO26" s="256">
        <f>'22'!$G$74</f>
        <v>307.70999999996275</v>
      </c>
      <c r="AP26" s="256">
        <f>'22'!$G$75</f>
        <v>0</v>
      </c>
      <c r="AQ26" s="256">
        <f>'22'!$G$76</f>
        <v>119.35000000000582</v>
      </c>
      <c r="AR26" s="256">
        <f>'22'!$G$77</f>
        <v>40</v>
      </c>
      <c r="AS26" s="256">
        <f>'22'!$G$78</f>
        <v>3</v>
      </c>
      <c r="AT26" s="256">
        <f t="shared" si="0"/>
        <v>566.34999999994761</v>
      </c>
      <c r="AU26" s="254">
        <f>SUM('22'!G91:G92)</f>
        <v>10.75</v>
      </c>
      <c r="AV26" s="254">
        <f>'22'!$G$88</f>
        <v>0</v>
      </c>
      <c r="AW26" s="254">
        <f>'22'!$G$89</f>
        <v>9.8799999999973807</v>
      </c>
      <c r="AX26" s="254">
        <f>'22'!$G$90</f>
        <v>3.4500000000116415</v>
      </c>
      <c r="AY26" s="252">
        <f t="shared" si="1"/>
        <v>13.330000000009022</v>
      </c>
      <c r="AZ26" s="311">
        <f t="shared" si="6"/>
        <v>28.624186046508161</v>
      </c>
      <c r="BA26" s="311">
        <f t="shared" si="3"/>
        <v>42.486871717896797</v>
      </c>
      <c r="BB26" s="351">
        <f t="shared" si="4"/>
        <v>5652.6499999999851</v>
      </c>
      <c r="BC26" s="351">
        <f t="shared" si="5"/>
        <v>29.416433006729804</v>
      </c>
    </row>
    <row r="27" spans="1:55" x14ac:dyDescent="0.2">
      <c r="A27" s="359">
        <v>23</v>
      </c>
      <c r="B27" s="648">
        <f>'23'!G7</f>
        <v>18703.160000000033</v>
      </c>
      <c r="C27" s="648">
        <f>'23'!G8</f>
        <v>19388.319999999949</v>
      </c>
      <c r="D27" s="648">
        <f>'23'!G15</f>
        <v>979.91999999992549</v>
      </c>
      <c r="E27" s="648">
        <f>'23'!G20</f>
        <v>216</v>
      </c>
      <c r="F27" s="648">
        <f>SUM('23'!G35,'23'!G49)</f>
        <v>2448.6800000000003</v>
      </c>
      <c r="G27" s="648">
        <f>SUM('23'!G37,'23'!G51)</f>
        <v>1571.9800000000032</v>
      </c>
      <c r="H27" s="648">
        <f>SUM('23'!G38,'23'!G52)</f>
        <v>1932.0699999999997</v>
      </c>
      <c r="I27" s="648">
        <f>SUM('23'!G39,'23'!G53)</f>
        <v>2576.25</v>
      </c>
      <c r="J27" s="648">
        <f>SUM('23'!G41,'23'!G42,'23'!G55,'23'!G56)</f>
        <v>2695.2200000000012</v>
      </c>
      <c r="K27" s="648">
        <f>SUM('23'!G43,'23'!G57)</f>
        <v>2339.2399999999907</v>
      </c>
      <c r="L27" s="254">
        <f>'23'!G50</f>
        <v>1627.260000000002</v>
      </c>
      <c r="M27" s="254">
        <f>'23'!G36</f>
        <v>1155.2800000000061</v>
      </c>
      <c r="N27" s="254">
        <f>'23'!G138</f>
        <v>109</v>
      </c>
      <c r="O27" s="254">
        <f>'23'!G139</f>
        <v>5</v>
      </c>
      <c r="P27" s="254">
        <f>'23'!$G$140</f>
        <v>2</v>
      </c>
      <c r="Q27" s="254">
        <f>'23'!$G$141</f>
        <v>183.70999999999913</v>
      </c>
      <c r="R27" s="254">
        <f>'23'!$G$142</f>
        <v>78.540000000000873</v>
      </c>
      <c r="S27" s="254">
        <f>'23'!$G$145</f>
        <v>14.0600000000004</v>
      </c>
      <c r="T27" s="251">
        <f>'23'!$G$146</f>
        <v>417</v>
      </c>
      <c r="U27" s="251">
        <f>'23'!$G$144</f>
        <v>221</v>
      </c>
      <c r="V27" s="251">
        <f>'23'!$G$147</f>
        <v>421.8399999999674</v>
      </c>
      <c r="W27" s="251">
        <f>'23'!$G$148</f>
        <v>267.52000000001863</v>
      </c>
      <c r="X27" s="251">
        <f>'23'!$G$143</f>
        <v>27.119999999999891</v>
      </c>
      <c r="Y27" s="251">
        <f>'23'!$G$58</f>
        <v>225.96000000000004</v>
      </c>
      <c r="Z27" s="251">
        <f>'23'!$G$151</f>
        <v>238</v>
      </c>
      <c r="AA27" s="251">
        <f>'23'!$G$161</f>
        <v>16</v>
      </c>
      <c r="AB27" s="251">
        <f>'23'!G162</f>
        <v>14.299999999988358</v>
      </c>
      <c r="AC27" s="251">
        <f>'23'!G88</f>
        <v>2.0100000000020373</v>
      </c>
      <c r="AD27" s="251">
        <f>'23'!G163+'23'!G164</f>
        <v>35.099999999996726</v>
      </c>
      <c r="AE27" s="254">
        <f>'23'!$G$116</f>
        <v>0</v>
      </c>
      <c r="AF27" s="254">
        <f>'23'!$G$117</f>
        <v>23.099999999999909</v>
      </c>
      <c r="AG27" s="254">
        <f>'23'!$G$118</f>
        <v>340.17999999999302</v>
      </c>
      <c r="AH27" s="254">
        <f>'23'!$G$119</f>
        <v>417.17999999999302</v>
      </c>
      <c r="AI27" s="254">
        <f>'23'!$G$120</f>
        <v>406.45999999999913</v>
      </c>
      <c r="AJ27" s="254">
        <f>'23'!$G$121</f>
        <v>664.1600000000326</v>
      </c>
      <c r="AK27" s="254">
        <f>'23'!$G$122</f>
        <v>209.97000000000116</v>
      </c>
      <c r="AL27" s="254">
        <f>'23'!$G$123</f>
        <v>273.30999999999767</v>
      </c>
      <c r="AM27" s="254">
        <f>'23'!$G$133</f>
        <v>661.32999999998719</v>
      </c>
      <c r="AN27" s="254">
        <f>'23'!$G$15</f>
        <v>979.91999999992549</v>
      </c>
      <c r="AO27" s="256">
        <f>'23'!$G$74</f>
        <v>292.69000000006054</v>
      </c>
      <c r="AP27" s="256">
        <f>'23'!$G$75</f>
        <v>0</v>
      </c>
      <c r="AQ27" s="256">
        <f>'23'!$G$76</f>
        <v>101.32999999998719</v>
      </c>
      <c r="AR27" s="256">
        <f>'23'!$G$77</f>
        <v>36</v>
      </c>
      <c r="AS27" s="256">
        <f>'23'!$G$78</f>
        <v>1</v>
      </c>
      <c r="AT27" s="256">
        <f t="shared" si="0"/>
        <v>548.89999999987776</v>
      </c>
      <c r="AU27" s="254">
        <f>SUM('23'!G91:G92)</f>
        <v>10.220000000000255</v>
      </c>
      <c r="AV27" s="254">
        <f>'23'!$G$88</f>
        <v>2.0100000000020373</v>
      </c>
      <c r="AW27" s="254">
        <f>'23'!$G$89</f>
        <v>8.1700000000018917</v>
      </c>
      <c r="AX27" s="254">
        <f>'23'!$G$90</f>
        <v>1.4899999999906868</v>
      </c>
      <c r="AY27" s="252">
        <f t="shared" si="1"/>
        <v>11.669999999994616</v>
      </c>
      <c r="AZ27" s="311">
        <f t="shared" si="6"/>
        <v>28.638943248537501</v>
      </c>
      <c r="BA27" s="311">
        <f t="shared" si="3"/>
        <v>47.035132819205742</v>
      </c>
      <c r="BB27" s="351">
        <f t="shared" si="4"/>
        <v>5598.9199999999546</v>
      </c>
      <c r="BC27" s="351">
        <f t="shared" si="5"/>
        <v>29.935690011741034</v>
      </c>
    </row>
    <row r="28" spans="1:55" s="315" customFormat="1" x14ac:dyDescent="0.2">
      <c r="A28" s="359">
        <v>24</v>
      </c>
      <c r="B28" s="648">
        <f>'24'!G7</f>
        <v>16363.169999999984</v>
      </c>
      <c r="C28" s="648">
        <f>'24'!G8</f>
        <v>16876.170000000042</v>
      </c>
      <c r="D28" s="648">
        <f>'24'!G15</f>
        <v>1037.0800000000745</v>
      </c>
      <c r="E28" s="648">
        <f>'24'!G20</f>
        <v>212</v>
      </c>
      <c r="F28" s="648">
        <f>SUM('24'!G35,'24'!G49)</f>
        <v>2037.0099999999984</v>
      </c>
      <c r="G28" s="648">
        <f>SUM('24'!G37,'24'!G51)</f>
        <v>1645.5099999999984</v>
      </c>
      <c r="H28" s="648">
        <f>SUM('24'!G38,'24'!G52)</f>
        <v>1826.3899999999994</v>
      </c>
      <c r="I28" s="648">
        <f>SUM('24'!G39,'24'!G53)</f>
        <v>2607.1999999999971</v>
      </c>
      <c r="J28" s="648">
        <f>SUM('24'!G41,'24'!G42,'24'!G55,'24'!G56)</f>
        <v>2484.3300000000017</v>
      </c>
      <c r="K28" s="648">
        <f>SUM('24'!G43,'24'!G57)</f>
        <v>2087.4100000000035</v>
      </c>
      <c r="L28" s="254">
        <f>'24'!G50</f>
        <v>1014.6399999999994</v>
      </c>
      <c r="M28" s="251">
        <f>'24'!G36</f>
        <v>656.69999999999709</v>
      </c>
      <c r="N28" s="251">
        <f>'24'!G138</f>
        <v>64</v>
      </c>
      <c r="O28" s="251">
        <f>'24'!G139</f>
        <v>0</v>
      </c>
      <c r="P28" s="251">
        <f>'24'!$G$140</f>
        <v>-2.9999999998835847E-2</v>
      </c>
      <c r="Q28" s="251">
        <f>'24'!$G$141</f>
        <v>173.66999999999825</v>
      </c>
      <c r="R28" s="251">
        <f>'24'!$G$142</f>
        <v>81.729999999999563</v>
      </c>
      <c r="S28" s="251">
        <f>'24'!$G$145</f>
        <v>6.7399999999997817</v>
      </c>
      <c r="T28" s="251">
        <f>'24'!$G$146</f>
        <v>398</v>
      </c>
      <c r="U28" s="251">
        <f>'24'!$G$144</f>
        <v>213</v>
      </c>
      <c r="V28" s="251">
        <f>'24'!$G$147</f>
        <v>318.04000000003725</v>
      </c>
      <c r="W28" s="251">
        <f>'24'!$G$148</f>
        <v>154.04000000003725</v>
      </c>
      <c r="X28" s="251">
        <f>'24'!$G$143</f>
        <v>34.380000000000109</v>
      </c>
      <c r="Y28" s="251">
        <f>'24'!$G$58</f>
        <v>214.40999999999985</v>
      </c>
      <c r="Z28" s="251">
        <f>'24'!$G$151</f>
        <v>207</v>
      </c>
      <c r="AA28" s="251">
        <f>'24'!G161</f>
        <v>69.520000000018626</v>
      </c>
      <c r="AB28" s="251">
        <f>'24'!G162</f>
        <v>34.100000000005821</v>
      </c>
      <c r="AC28" s="251">
        <f>'24'!G88</f>
        <v>-0.38000000000101863</v>
      </c>
      <c r="AD28" s="251">
        <f>'24'!G163+'24'!G164</f>
        <v>71.600000000000364</v>
      </c>
      <c r="AE28" s="251">
        <f>'24'!$G$116</f>
        <v>0</v>
      </c>
      <c r="AF28" s="251">
        <f>'24'!$G$117</f>
        <v>22.519999999999982</v>
      </c>
      <c r="AG28" s="251">
        <f>'24'!$G$118</f>
        <v>376.08999999999651</v>
      </c>
      <c r="AH28" s="251">
        <f>'24'!$G$119</f>
        <v>407.17000000001281</v>
      </c>
      <c r="AI28" s="251">
        <f>'24'!$G$120</f>
        <v>413.89999999999418</v>
      </c>
      <c r="AJ28" s="251">
        <f>'24'!$G$121</f>
        <v>659.92999999999302</v>
      </c>
      <c r="AK28" s="251">
        <f>'24'!$G$122</f>
        <v>187.41000000000349</v>
      </c>
      <c r="AL28" s="251">
        <f>'24'!$G$123</f>
        <v>265.89000000001397</v>
      </c>
      <c r="AM28" s="251">
        <f>'24'!$G$133</f>
        <v>437.57000000000698</v>
      </c>
      <c r="AN28" s="251">
        <f>'24'!$G$15</f>
        <v>1037.0800000000745</v>
      </c>
      <c r="AO28" s="256">
        <f>'24'!$G$74</f>
        <v>311.18999999994412</v>
      </c>
      <c r="AP28" s="256">
        <f>'24'!$G$75</f>
        <v>0</v>
      </c>
      <c r="AQ28" s="256">
        <f>'24'!$G$76</f>
        <v>114</v>
      </c>
      <c r="AR28" s="256">
        <f>'24'!$G$77</f>
        <v>34</v>
      </c>
      <c r="AS28" s="256">
        <f>'24'!$G$78</f>
        <v>1</v>
      </c>
      <c r="AT28" s="256">
        <f>AN28-SUM(AO28:AS28)</f>
        <v>576.89000000013039</v>
      </c>
      <c r="AU28" s="251">
        <f>SUM('24'!G91:G92)</f>
        <v>11.329999999999927</v>
      </c>
      <c r="AV28" s="251">
        <f>'24'!$G$88</f>
        <v>-0.38000000000101863</v>
      </c>
      <c r="AW28" s="251">
        <f>'24'!$G$89</f>
        <v>10.389999999999418</v>
      </c>
      <c r="AX28" s="251">
        <f>'24'!$G$90</f>
        <v>2.6300000000046566</v>
      </c>
      <c r="AY28" s="255">
        <f t="shared" si="1"/>
        <v>12.640000000003056</v>
      </c>
      <c r="AZ28" s="311">
        <f t="shared" si="6"/>
        <v>27.466019417470971</v>
      </c>
      <c r="BA28" s="311">
        <f t="shared" si="3"/>
        <v>45.640031645568904</v>
      </c>
      <c r="BB28" s="351">
        <f t="shared" si="4"/>
        <v>3973.9100000000435</v>
      </c>
      <c r="BC28" s="351">
        <f t="shared" si="5"/>
        <v>24.28569769794024</v>
      </c>
    </row>
    <row r="29" spans="1:55" x14ac:dyDescent="0.2">
      <c r="A29" s="359">
        <v>25</v>
      </c>
      <c r="B29" s="648">
        <f>'25'!G7</f>
        <v>16329</v>
      </c>
      <c r="C29" s="648">
        <f>'25'!G8</f>
        <v>16627</v>
      </c>
      <c r="D29" s="648">
        <f>'25'!G15</f>
        <v>815</v>
      </c>
      <c r="E29" s="648">
        <f>'25'!G20</f>
        <v>190</v>
      </c>
      <c r="F29" s="648">
        <f>SUM('25'!G35,'25'!G49)</f>
        <v>2140</v>
      </c>
      <c r="G29" s="648">
        <f>SUM('25'!G37,'25'!G51)</f>
        <v>1608</v>
      </c>
      <c r="H29" s="648">
        <f>SUM('25'!G38,'25'!G52)</f>
        <v>1761</v>
      </c>
      <c r="I29" s="648">
        <f>SUM('25'!G39,'25'!G53)</f>
        <v>2591</v>
      </c>
      <c r="J29" s="648">
        <f>SUM('25'!G41,'25'!G42,'25'!G55,'25'!G56)</f>
        <v>3028.3999999999942</v>
      </c>
      <c r="K29" s="648">
        <f>SUM('25'!G43,'25'!G57)</f>
        <v>1958</v>
      </c>
      <c r="L29" s="254">
        <f>'25'!G50</f>
        <v>1011</v>
      </c>
      <c r="M29" s="254">
        <f>'25'!G36</f>
        <v>600</v>
      </c>
      <c r="N29" s="254">
        <f>'25'!G138</f>
        <v>76</v>
      </c>
      <c r="O29" s="254">
        <f>'25'!$G$139</f>
        <v>1</v>
      </c>
      <c r="P29" s="254">
        <f>'25'!$G$140</f>
        <v>0</v>
      </c>
      <c r="Q29" s="254">
        <f>'25'!$G$141</f>
        <v>173</v>
      </c>
      <c r="R29" s="254">
        <f>'25'!$G$142</f>
        <v>65</v>
      </c>
      <c r="S29" s="254">
        <f>'25'!$G$145</f>
        <v>6</v>
      </c>
      <c r="T29" s="251">
        <f>'25'!$G$146</f>
        <v>402</v>
      </c>
      <c r="U29" s="251">
        <f>'25'!$G$144</f>
        <v>204</v>
      </c>
      <c r="V29" s="251">
        <f>'25'!$G$147</f>
        <v>365</v>
      </c>
      <c r="W29" s="251">
        <f>'25'!$G$148</f>
        <v>158</v>
      </c>
      <c r="X29" s="251">
        <f>'25'!$G$143</f>
        <v>26</v>
      </c>
      <c r="Y29" s="251">
        <f>'25'!$G$58</f>
        <v>110</v>
      </c>
      <c r="Z29" s="251">
        <f>'25'!$G$151</f>
        <v>250</v>
      </c>
      <c r="AA29" s="251">
        <f>'25'!G161</f>
        <v>20.479999999981374</v>
      </c>
      <c r="AB29" s="251">
        <f>'25'!G162</f>
        <v>38</v>
      </c>
      <c r="AC29" s="251">
        <f>'25'!G88</f>
        <v>0</v>
      </c>
      <c r="AD29" s="251">
        <f>'25'!G163+'25'!G164</f>
        <v>36</v>
      </c>
      <c r="AE29" s="254">
        <f>'25'!$G$116</f>
        <v>0</v>
      </c>
      <c r="AF29" s="254">
        <f>'25'!$G$117</f>
        <v>23</v>
      </c>
      <c r="AG29" s="254">
        <f>'25'!$G$118</f>
        <v>338</v>
      </c>
      <c r="AH29" s="254">
        <f>'25'!$G$119</f>
        <v>419</v>
      </c>
      <c r="AI29" s="254">
        <f>'25'!$G$120</f>
        <v>406.2300000000032</v>
      </c>
      <c r="AJ29" s="254">
        <f>'25'!$G$121</f>
        <v>710</v>
      </c>
      <c r="AK29" s="254">
        <f>'25'!$G$122</f>
        <v>179</v>
      </c>
      <c r="AL29" s="254">
        <f>'25'!$G$123</f>
        <v>263</v>
      </c>
      <c r="AM29" s="254">
        <f>'25'!$G$133</f>
        <v>397</v>
      </c>
      <c r="AN29" s="254">
        <f>'25'!$G$15</f>
        <v>815</v>
      </c>
      <c r="AO29" s="256">
        <f>'25'!$G$74</f>
        <v>296</v>
      </c>
      <c r="AP29" s="256">
        <f>'25'!$G$75</f>
        <v>0</v>
      </c>
      <c r="AQ29" s="256">
        <f>'25'!$G$76</f>
        <v>102</v>
      </c>
      <c r="AR29" s="256">
        <f>'25'!$G$77</f>
        <v>28</v>
      </c>
      <c r="AS29" s="256">
        <f>'25'!$G$78</f>
        <v>0</v>
      </c>
      <c r="AT29" s="256">
        <f t="shared" si="0"/>
        <v>389</v>
      </c>
      <c r="AU29" s="254">
        <f>SUM('25'!G91:G92)</f>
        <v>9.6799999999998363</v>
      </c>
      <c r="AV29" s="254">
        <f>'25'!$G$88</f>
        <v>0</v>
      </c>
      <c r="AW29" s="254">
        <f>'25'!$G$89</f>
        <v>4.9799999999995634</v>
      </c>
      <c r="AX29" s="254">
        <f>'25'!$G$90</f>
        <v>4</v>
      </c>
      <c r="AY29" s="252">
        <f t="shared" si="1"/>
        <v>8.9799999999995634</v>
      </c>
      <c r="BA29" s="311">
        <f t="shared" si="3"/>
        <v>43.318485523387409</v>
      </c>
      <c r="BB29" s="351">
        <f t="shared" si="4"/>
        <v>3430.6000000000058</v>
      </c>
      <c r="BC29" s="351">
        <f t="shared" si="5"/>
        <v>21.009247351338146</v>
      </c>
    </row>
    <row r="30" spans="1:55" x14ac:dyDescent="0.2">
      <c r="A30" s="359">
        <v>26</v>
      </c>
      <c r="B30" s="648">
        <f>'26'!G7</f>
        <v>16454</v>
      </c>
      <c r="C30" s="648">
        <f>'26'!G8</f>
        <v>16892</v>
      </c>
      <c r="D30" s="648">
        <f>'26'!G15</f>
        <v>936</v>
      </c>
      <c r="E30" s="648">
        <f>'26'!G20</f>
        <v>175</v>
      </c>
      <c r="F30" s="648">
        <f>SUM('26'!G35,'26'!G49)</f>
        <v>2079</v>
      </c>
      <c r="G30" s="648">
        <f>SUM('26'!G37,'26'!G51)</f>
        <v>1519</v>
      </c>
      <c r="H30" s="648">
        <f>SUM('26'!G38,'26'!G52)</f>
        <v>1746</v>
      </c>
      <c r="I30" s="648">
        <f>SUM('26'!G39,'26'!G53)</f>
        <v>2557</v>
      </c>
      <c r="J30" s="648">
        <f>SUM('26'!G41,'26'!G42,'26'!G55,'26'!G56)</f>
        <v>3448</v>
      </c>
      <c r="K30" s="648">
        <f>SUM('26'!G43,'26'!G57)</f>
        <v>1948</v>
      </c>
      <c r="L30" s="254">
        <f>'26'!G50</f>
        <v>1009</v>
      </c>
      <c r="M30" s="254">
        <f>'26'!G36</f>
        <v>643</v>
      </c>
      <c r="N30" s="254">
        <f>'26'!G138</f>
        <v>62</v>
      </c>
      <c r="O30" s="254">
        <f>'26'!$G$139</f>
        <v>0</v>
      </c>
      <c r="P30" s="254">
        <f>'26'!$G$140</f>
        <v>0</v>
      </c>
      <c r="Q30" s="254">
        <f>'26'!$G$141</f>
        <v>189</v>
      </c>
      <c r="R30" s="254">
        <f>'26'!$G$142</f>
        <v>95</v>
      </c>
      <c r="S30" s="254">
        <f>'26'!$G$145</f>
        <v>6</v>
      </c>
      <c r="T30" s="251">
        <f>'26'!$G$146</f>
        <v>380</v>
      </c>
      <c r="U30" s="251">
        <f>'26'!$G$144</f>
        <v>194</v>
      </c>
      <c r="V30" s="251">
        <f>'26'!$G$147</f>
        <v>348</v>
      </c>
      <c r="W30" s="251">
        <f>'26'!$G$148</f>
        <v>191</v>
      </c>
      <c r="X30" s="251">
        <f>'26'!$G$143</f>
        <v>30</v>
      </c>
      <c r="Y30" s="251">
        <f>'26'!$G$58</f>
        <v>202</v>
      </c>
      <c r="Z30" s="251">
        <f>'26'!$G$151</f>
        <v>232</v>
      </c>
      <c r="AA30" s="251">
        <f>'26'!G161</f>
        <v>16</v>
      </c>
      <c r="AB30" s="251">
        <f>'26'!G162</f>
        <v>30</v>
      </c>
      <c r="AC30" s="251">
        <f>'26'!G88</f>
        <v>0</v>
      </c>
      <c r="AD30" s="251">
        <f>'26'!G163+'26'!G164</f>
        <v>34</v>
      </c>
      <c r="AE30" s="254">
        <f>'26'!$G$116</f>
        <v>0</v>
      </c>
      <c r="AF30" s="254">
        <f>'26'!$G$117</f>
        <v>27</v>
      </c>
      <c r="AG30" s="254">
        <f>'26'!$G$118</f>
        <v>337</v>
      </c>
      <c r="AH30" s="254">
        <f>'26'!$G$119</f>
        <v>427</v>
      </c>
      <c r="AI30" s="254">
        <f>'26'!$G$120</f>
        <v>423</v>
      </c>
      <c r="AJ30" s="254">
        <f>'26'!$G$121</f>
        <v>837</v>
      </c>
      <c r="AK30" s="254">
        <f>'26'!$G$122</f>
        <v>157</v>
      </c>
      <c r="AL30" s="254">
        <f>'26'!$G$123</f>
        <v>266</v>
      </c>
      <c r="AM30" s="254">
        <f>'26'!$G$133</f>
        <v>428</v>
      </c>
      <c r="AN30" s="254">
        <f>'26'!$G$15</f>
        <v>936</v>
      </c>
      <c r="AO30" s="256">
        <f>'26'!$G$74</f>
        <v>286</v>
      </c>
      <c r="AP30" s="256">
        <f>'26'!$G$75</f>
        <v>0</v>
      </c>
      <c r="AQ30" s="256">
        <f>'26'!$G$76</f>
        <v>105</v>
      </c>
      <c r="AR30" s="256">
        <f>'26'!$G$77</f>
        <v>31</v>
      </c>
      <c r="AS30" s="256">
        <f>'26'!$G$78</f>
        <v>1</v>
      </c>
      <c r="AT30" s="256">
        <f t="shared" si="0"/>
        <v>513</v>
      </c>
      <c r="AU30" s="254">
        <f>SUM('26'!G91:G92)</f>
        <v>11</v>
      </c>
      <c r="AV30" s="254">
        <f>'26'!$G$88</f>
        <v>0</v>
      </c>
      <c r="AW30" s="254">
        <f>'26'!$G$89</f>
        <v>9.0200000000004366</v>
      </c>
      <c r="AX30" s="254">
        <f>'26'!$G$90</f>
        <v>3</v>
      </c>
      <c r="AY30" s="252">
        <f t="shared" si="1"/>
        <v>12.020000000000437</v>
      </c>
      <c r="BA30" s="311">
        <f t="shared" si="3"/>
        <v>42.678868552411096</v>
      </c>
      <c r="BB30" s="351">
        <f t="shared" si="4"/>
        <v>3393</v>
      </c>
      <c r="BC30" s="351">
        <f t="shared" si="5"/>
        <v>20.621125562173333</v>
      </c>
    </row>
    <row r="31" spans="1:55" x14ac:dyDescent="0.2">
      <c r="A31" s="359">
        <v>27</v>
      </c>
      <c r="B31" s="648">
        <f>'27'!G7</f>
        <v>23500</v>
      </c>
      <c r="C31" s="648">
        <f>'27'!G8</f>
        <v>23500</v>
      </c>
      <c r="D31" s="648">
        <f>'27'!G15</f>
        <v>1100</v>
      </c>
      <c r="E31" s="648">
        <f>'27'!G20</f>
        <v>295</v>
      </c>
      <c r="F31" s="648">
        <f>SUM('27'!G35,'27'!G49)</f>
        <v>365193</v>
      </c>
      <c r="G31" s="648">
        <f>SUM('27'!G37,'27'!G51)</f>
        <v>161594</v>
      </c>
      <c r="H31" s="648">
        <f>SUM('27'!G38,'27'!G52)</f>
        <v>195159</v>
      </c>
      <c r="I31" s="648">
        <f>SUM('27'!G39,'27'!G53)</f>
        <v>354051</v>
      </c>
      <c r="J31" s="648">
        <f>SUM('27'!G41,'27'!G42,'27'!G55,'27'!G56)</f>
        <v>-91537</v>
      </c>
      <c r="K31" s="648">
        <f>SUM('27'!G43,'27'!G57)</f>
        <v>-68023</v>
      </c>
      <c r="L31" s="254">
        <f>'27'!G50</f>
        <v>-30843</v>
      </c>
      <c r="M31" s="254">
        <f>'27'!G36</f>
        <v>-21645</v>
      </c>
      <c r="N31" s="254">
        <f>'27'!G138</f>
        <v>-2149</v>
      </c>
      <c r="O31" s="254">
        <f>'27'!$G$139</f>
        <v>-27</v>
      </c>
      <c r="P31" s="254">
        <f>'27'!$G$140</f>
        <v>-40</v>
      </c>
      <c r="Q31" s="254">
        <f>'27'!$G$141</f>
        <v>-5282</v>
      </c>
      <c r="R31" s="254">
        <f>'27'!$G$142</f>
        <v>-2200</v>
      </c>
      <c r="S31" s="254">
        <f>'27'!$G$145</f>
        <v>-415</v>
      </c>
      <c r="T31" s="251">
        <f>'27'!$G$146</f>
        <v>-12295</v>
      </c>
      <c r="U31" s="251">
        <f>'27'!$G$144</f>
        <v>-6755</v>
      </c>
      <c r="V31" s="251">
        <f>'27'!$G$147</f>
        <v>-11185</v>
      </c>
      <c r="W31" s="251">
        <f>'27'!$G$148</f>
        <v>-6522</v>
      </c>
      <c r="X31" s="251">
        <f>'27'!$G$143</f>
        <v>-743</v>
      </c>
      <c r="Y31" s="251">
        <f>'27'!$G$58</f>
        <v>87687</v>
      </c>
      <c r="Z31" s="251">
        <f>'27'!$G$151</f>
        <v>-6960</v>
      </c>
      <c r="AA31" s="251">
        <f>'27'!G161</f>
        <v>-758</v>
      </c>
      <c r="AB31" s="251">
        <f>'27'!G162</f>
        <v>-905</v>
      </c>
      <c r="AC31" s="251">
        <f>'27'!G88</f>
        <v>-24</v>
      </c>
      <c r="AD31" s="251">
        <f>'27'!G163+'27'!G164</f>
        <v>-1525</v>
      </c>
      <c r="AE31" s="254">
        <f>'27'!$G$116</f>
        <v>0</v>
      </c>
      <c r="AF31" s="254">
        <f>'27'!$G$117</f>
        <v>-706</v>
      </c>
      <c r="AG31" s="254">
        <f>'27'!$G$118</f>
        <v>-10718</v>
      </c>
      <c r="AH31" s="254">
        <f>'27'!$G$119</f>
        <v>-12598</v>
      </c>
      <c r="AI31" s="254">
        <f>'27'!$G$120</f>
        <v>-12448</v>
      </c>
      <c r="AJ31" s="254">
        <f>'27'!$G$121</f>
        <v>-21181</v>
      </c>
      <c r="AK31" s="254">
        <f>'27'!$G$122</f>
        <v>-6048</v>
      </c>
      <c r="AL31" s="254">
        <f>'27'!$G$123</f>
        <v>-8894</v>
      </c>
      <c r="AM31" s="254">
        <f>'27'!$G$133</f>
        <v>-18038</v>
      </c>
      <c r="AN31" s="254">
        <f>'27'!$G$15</f>
        <v>1100</v>
      </c>
      <c r="AO31" s="254">
        <f>'27'!$G$74</f>
        <v>-8952</v>
      </c>
      <c r="AP31" s="254">
        <f>'27'!$G$75</f>
        <v>0</v>
      </c>
      <c r="AQ31" s="254">
        <f>'27'!$G$76</f>
        <v>-2704</v>
      </c>
      <c r="AR31" s="254">
        <f>'27'!$G$77</f>
        <v>-956</v>
      </c>
      <c r="AS31" s="254">
        <f>'27'!$G$78</f>
        <v>-30</v>
      </c>
      <c r="AT31" s="254">
        <f t="shared" si="0"/>
        <v>13742</v>
      </c>
      <c r="AU31" s="254">
        <f>SUM('27'!G91:G92)</f>
        <v>-315</v>
      </c>
      <c r="AV31" s="254">
        <f>'27'!$G$88</f>
        <v>-24</v>
      </c>
      <c r="AW31" s="254">
        <f>'27'!$G$89</f>
        <v>-209</v>
      </c>
      <c r="AX31" s="254">
        <f>'27'!$G$90</f>
        <v>-142</v>
      </c>
      <c r="AY31" s="252">
        <f t="shared" si="1"/>
        <v>-375</v>
      </c>
      <c r="BA31" s="311">
        <f t="shared" si="3"/>
        <v>-36.645333333333333</v>
      </c>
      <c r="BB31" s="351">
        <f t="shared" si="4"/>
        <v>-980624</v>
      </c>
      <c r="BC31" s="351">
        <f t="shared" si="5"/>
        <v>-4172.8680851063828</v>
      </c>
    </row>
    <row r="32" spans="1:55" x14ac:dyDescent="0.2">
      <c r="A32" s="359">
        <v>28</v>
      </c>
      <c r="B32" s="648">
        <f>'28'!G7</f>
        <v>30714</v>
      </c>
      <c r="C32" s="648">
        <f>'28'!G8</f>
        <v>23500</v>
      </c>
      <c r="D32" s="648">
        <f>'28'!G15</f>
        <v>1100</v>
      </c>
      <c r="E32" s="648">
        <f>'28'!G20</f>
        <v>415</v>
      </c>
      <c r="F32" s="648">
        <f>SUM('28'!G35,'28'!G49)</f>
        <v>3320.6799999999639</v>
      </c>
      <c r="G32" s="648">
        <f>SUM('28'!G37,'28'!G51)</f>
        <v>1536.2300000000105</v>
      </c>
      <c r="H32" s="648">
        <f>SUM('28'!G38,'28'!G52)</f>
        <v>1967.4899999999907</v>
      </c>
      <c r="I32" s="648">
        <f>SUM('28'!G39,'28'!G53)</f>
        <v>2740.429999999993</v>
      </c>
      <c r="J32" s="648">
        <f>SUM('28'!G41,'28'!G42,'28'!G55,'28'!G56)</f>
        <v>4561.429999999993</v>
      </c>
      <c r="K32" s="648">
        <f>SUM('28'!G43,'28'!G57)</f>
        <v>2482.0699999999997</v>
      </c>
      <c r="L32" s="254">
        <f>'28'!G50</f>
        <v>1148.2000000000007</v>
      </c>
      <c r="M32" s="254">
        <f>'28'!G36</f>
        <v>766.93999999999869</v>
      </c>
      <c r="N32" s="254">
        <f>'28'!G138</f>
        <v>127</v>
      </c>
      <c r="O32" s="254">
        <f>'28'!$G$139</f>
        <v>2</v>
      </c>
      <c r="P32" s="254">
        <f>'28'!$G$140</f>
        <v>0</v>
      </c>
      <c r="Q32" s="254">
        <f>'28'!$G$141</f>
        <v>183.37999999999738</v>
      </c>
      <c r="R32" s="254">
        <f>'28'!$G$142</f>
        <v>81.340000000000146</v>
      </c>
      <c r="S32" s="254">
        <f>'28'!$G$145</f>
        <v>12.779999999999745</v>
      </c>
      <c r="T32" s="251">
        <f>'28'!$G$146</f>
        <v>480</v>
      </c>
      <c r="U32" s="251">
        <f>'28'!$G$144</f>
        <v>244</v>
      </c>
      <c r="V32" s="251">
        <f>'28'!$G$147</f>
        <v>430.76000000000931</v>
      </c>
      <c r="W32" s="251">
        <f>'28'!$G$148</f>
        <v>256.07999999995809</v>
      </c>
      <c r="X32" s="251">
        <f>'28'!$G$143</f>
        <v>24.889999999999873</v>
      </c>
      <c r="Y32" s="251">
        <f>'28'!$G$58</f>
        <v>218.32000000000698</v>
      </c>
      <c r="Z32" s="251">
        <f>'28'!$G$151</f>
        <v>256</v>
      </c>
      <c r="AA32" s="251">
        <f>'28'!G161</f>
        <v>1</v>
      </c>
      <c r="AB32" s="251">
        <f>'28'!G162</f>
        <v>27.19999999999709</v>
      </c>
      <c r="AC32" s="251">
        <f>'28'!G88</f>
        <v>1.8699999999989814</v>
      </c>
      <c r="AD32" s="251">
        <f>'28'!G163+'28'!G164</f>
        <v>99.899999999994179</v>
      </c>
      <c r="AE32" s="254">
        <f>'28'!$G$116</f>
        <v>0</v>
      </c>
      <c r="AF32" s="254">
        <f>'28'!$G$117</f>
        <v>21.059999999999945</v>
      </c>
      <c r="AG32" s="254">
        <f>'28'!$G$118</f>
        <v>426.67000000001281</v>
      </c>
      <c r="AH32" s="254">
        <f>'28'!$G$119</f>
        <v>424.25</v>
      </c>
      <c r="AI32" s="254">
        <f>'28'!$G$120</f>
        <v>414.63999999999942</v>
      </c>
      <c r="AJ32" s="254">
        <f>'28'!$G$121</f>
        <v>799.14100000000326</v>
      </c>
      <c r="AK32" s="254">
        <f>'28'!$G$122</f>
        <v>228.52000000000407</v>
      </c>
      <c r="AL32" s="254">
        <f>'28'!$G$123</f>
        <v>347.63000000000466</v>
      </c>
      <c r="AM32" s="254">
        <f>'28'!$G$133</f>
        <v>658.92999999999302</v>
      </c>
      <c r="AN32" s="254">
        <f>'28'!$G$15</f>
        <v>1100</v>
      </c>
      <c r="AO32" s="254">
        <f>'28'!$G$74</f>
        <v>325.92099999997299</v>
      </c>
      <c r="AP32" s="254">
        <f>'28'!$G$75</f>
        <v>0</v>
      </c>
      <c r="AQ32" s="254">
        <f>'28'!$G$76</f>
        <v>85.940000000002328</v>
      </c>
      <c r="AR32" s="254">
        <f>'28'!$G$77</f>
        <v>30</v>
      </c>
      <c r="AS32" s="254">
        <f>'28'!$G$78</f>
        <v>0.8999999999996362</v>
      </c>
      <c r="AT32" s="254">
        <f t="shared" si="0"/>
        <v>657.23900000002504</v>
      </c>
      <c r="AU32" s="254">
        <f>SUM('28'!G91:G92)</f>
        <v>11.680000000000291</v>
      </c>
      <c r="AV32" s="254">
        <f>'28'!$G$88</f>
        <v>1.8699999999989814</v>
      </c>
      <c r="AW32" s="254">
        <f>'28'!$G$89</f>
        <v>7.9399999999986903</v>
      </c>
      <c r="AX32" s="254">
        <f>'28'!$G$90</f>
        <v>5.9299999999930151</v>
      </c>
      <c r="AY32" s="252">
        <f t="shared" si="1"/>
        <v>15.739999999990687</v>
      </c>
      <c r="BA32" s="311">
        <f t="shared" si="3"/>
        <v>41.755972045769624</v>
      </c>
      <c r="BB32" s="351">
        <f t="shared" si="4"/>
        <v>6673.3500000000422</v>
      </c>
      <c r="BC32" s="351">
        <f t="shared" si="5"/>
        <v>21.727388161750479</v>
      </c>
    </row>
    <row r="33" spans="1:55" x14ac:dyDescent="0.2">
      <c r="A33" s="359">
        <v>29</v>
      </c>
      <c r="B33" s="648">
        <f>'29'!G7</f>
        <v>23500</v>
      </c>
      <c r="C33" s="648">
        <f>'29'!G8</f>
        <v>23500</v>
      </c>
      <c r="D33" s="648">
        <f>'29'!G15</f>
        <v>1100</v>
      </c>
      <c r="E33" s="648">
        <f>'29'!G20</f>
        <v>535</v>
      </c>
      <c r="F33" s="648">
        <f>SUM('29'!G35,'29'!G49)</f>
        <v>3305.5600000000268</v>
      </c>
      <c r="G33" s="648">
        <f>SUM('29'!G37,'29'!G51)</f>
        <v>1544.4799999999814</v>
      </c>
      <c r="H33" s="648">
        <f>SUM('29'!G38,'29'!G52)</f>
        <v>1870.5800000000163</v>
      </c>
      <c r="I33" s="648">
        <f>SUM('29'!G39,'29'!G53)</f>
        <v>2727.320000000007</v>
      </c>
      <c r="J33" s="648">
        <f>SUM('29'!G41,'29'!G42,'29'!G55,'29'!G56)</f>
        <v>4224.9400000000023</v>
      </c>
      <c r="K33" s="648">
        <f>SUM('29'!G43,'29'!G57)</f>
        <v>2459.9199999999983</v>
      </c>
      <c r="L33" s="254">
        <f>'29'!G50</f>
        <v>950.39999999999782</v>
      </c>
      <c r="M33" s="254">
        <f>'29'!G36</f>
        <v>817.22999999999956</v>
      </c>
      <c r="N33" s="254">
        <f>'29'!G138</f>
        <v>104</v>
      </c>
      <c r="O33" s="254">
        <f>'29'!$G$139</f>
        <v>1</v>
      </c>
      <c r="P33" s="254">
        <f>'29'!$G$140</f>
        <v>0</v>
      </c>
      <c r="Q33" s="254">
        <f>'29'!$G$141</f>
        <v>180.20000000000437</v>
      </c>
      <c r="R33" s="254">
        <f>'29'!$G$142</f>
        <v>72.400000000001455</v>
      </c>
      <c r="S33" s="254">
        <f>'29'!$G$145</f>
        <v>11.220000000000255</v>
      </c>
      <c r="T33" s="254">
        <f>'29'!$G$146</f>
        <v>443</v>
      </c>
      <c r="U33" s="254">
        <f>'29'!$G$144</f>
        <v>247</v>
      </c>
      <c r="V33" s="254">
        <f>'29'!$G$147</f>
        <v>371.52000000001863</v>
      </c>
      <c r="W33" s="254">
        <f>'29'!$G$148</f>
        <v>246.88000000000466</v>
      </c>
      <c r="X33" s="254">
        <f>'29'!$G$143</f>
        <v>24.010000000000218</v>
      </c>
      <c r="Y33" s="254">
        <f>'29'!$G$58</f>
        <v>181.27999999999884</v>
      </c>
      <c r="Z33" s="254">
        <f>'29'!$G$151</f>
        <v>223</v>
      </c>
      <c r="AA33" s="254">
        <f>'29'!G161</f>
        <v>3.9999999979045242E-2</v>
      </c>
      <c r="AB33" s="254">
        <f>'29'!G162</f>
        <v>30.400000000008731</v>
      </c>
      <c r="AC33" s="254">
        <f>'29'!G88</f>
        <v>0.19000000000232831</v>
      </c>
      <c r="AD33" s="254">
        <f>'29'!G163+'29'!G164</f>
        <v>114.10000000000855</v>
      </c>
      <c r="AE33" s="254">
        <f>'29'!$G$116</f>
        <v>0</v>
      </c>
      <c r="AF33" s="254">
        <f>'29'!$G$117</f>
        <v>20.950000000000273</v>
      </c>
      <c r="AG33" s="254">
        <f>'29'!$G$118</f>
        <v>440.03999999997905</v>
      </c>
      <c r="AH33" s="254">
        <f>'29'!$G$119</f>
        <v>389.04000000000815</v>
      </c>
      <c r="AI33" s="254">
        <f>'29'!$G$120</f>
        <v>401.86999999999898</v>
      </c>
      <c r="AJ33" s="254">
        <f>'29'!$G$121</f>
        <v>739.46899999998277</v>
      </c>
      <c r="AK33" s="254">
        <f>'29'!$G$122</f>
        <v>218.55000000000291</v>
      </c>
      <c r="AL33" s="254">
        <f>'29'!$G$123</f>
        <v>349</v>
      </c>
      <c r="AM33" s="254">
        <f>'29'!$G$133</f>
        <v>707.36000000000058</v>
      </c>
      <c r="AN33" s="254">
        <f>'29'!$G$15</f>
        <v>1100</v>
      </c>
      <c r="AO33" s="254">
        <f>'29'!$G$74</f>
        <v>326.39899999997579</v>
      </c>
      <c r="AP33" s="254">
        <f>'29'!$G$75</f>
        <v>0</v>
      </c>
      <c r="AQ33" s="254">
        <f>'29'!$G$76</f>
        <v>93.589999999996508</v>
      </c>
      <c r="AR33" s="254">
        <f>'29'!$G$77</f>
        <v>36</v>
      </c>
      <c r="AS33" s="254">
        <f>'29'!$G$78</f>
        <v>1.3000000000010914</v>
      </c>
      <c r="AT33" s="254">
        <f t="shared" si="0"/>
        <v>642.71100000002662</v>
      </c>
      <c r="AU33" s="254">
        <f>SUM('29'!G91:G92)</f>
        <v>11.449999999999818</v>
      </c>
      <c r="AV33" s="254">
        <f>'29'!$G$88</f>
        <v>0.19000000000232831</v>
      </c>
      <c r="AW33" s="254">
        <f>'29'!$G$89</f>
        <v>9.319999999999709</v>
      </c>
      <c r="AX33" s="254">
        <f>'29'!$G$90</f>
        <v>5.1000000000058208</v>
      </c>
      <c r="AY33" s="252">
        <f t="shared" si="1"/>
        <v>14.610000000007858</v>
      </c>
      <c r="BA33" s="311">
        <f t="shared" si="3"/>
        <v>43.991170431189659</v>
      </c>
      <c r="BB33" s="351">
        <f t="shared" si="4"/>
        <v>7185.9199999999691</v>
      </c>
      <c r="BC33" s="351">
        <f t="shared" si="5"/>
        <v>30.578382978723273</v>
      </c>
    </row>
    <row r="34" spans="1:55" s="313" customFormat="1" x14ac:dyDescent="0.2">
      <c r="A34" s="359">
        <v>30</v>
      </c>
      <c r="B34" s="648">
        <f>'30'!G7</f>
        <v>23500</v>
      </c>
      <c r="C34" s="648">
        <f>'30'!G8</f>
        <v>23500</v>
      </c>
      <c r="D34" s="648">
        <f>'30'!G15</f>
        <v>1100</v>
      </c>
      <c r="E34" s="648">
        <f>'30'!G20</f>
        <v>655</v>
      </c>
      <c r="F34" s="648">
        <f>SUM('30'!G35,'30'!G49)</f>
        <v>3495.7600000000093</v>
      </c>
      <c r="G34" s="648">
        <f>SUM('30'!G37,'30'!G51)</f>
        <v>1598.2900000000081</v>
      </c>
      <c r="H34" s="648">
        <f>SUM('30'!G38,'30'!G52)</f>
        <v>1908.929999999993</v>
      </c>
      <c r="I34" s="648">
        <f>SUM('30'!G39,'30'!G53)</f>
        <v>2712.25</v>
      </c>
      <c r="J34" s="648">
        <f>SUM('30'!G41,'30'!G42,'30'!G55,'30'!G56)</f>
        <v>4162.6300000000047</v>
      </c>
      <c r="K34" s="648">
        <f>SUM('30'!G43,'30'!G57)</f>
        <v>2662.010000000002</v>
      </c>
      <c r="L34" s="251">
        <f>'30'!G50</f>
        <v>1046.4000000000015</v>
      </c>
      <c r="M34" s="251">
        <f>'30'!G36</f>
        <v>847.83000000000175</v>
      </c>
      <c r="N34" s="251">
        <f>'30'!G138</f>
        <v>96</v>
      </c>
      <c r="O34" s="251">
        <f>'30'!$G$139</f>
        <v>1</v>
      </c>
      <c r="P34" s="251">
        <f>'30'!$G$140</f>
        <v>0</v>
      </c>
      <c r="Q34" s="251">
        <f>'30'!$G$141</f>
        <v>179.41999999999825</v>
      </c>
      <c r="R34" s="251">
        <f>'30'!$G$142</f>
        <v>75.259999999998399</v>
      </c>
      <c r="S34" s="251">
        <f>'30'!$G$145</f>
        <v>14</v>
      </c>
      <c r="T34" s="251">
        <f>'30'!$G$146</f>
        <v>481</v>
      </c>
      <c r="U34" s="251">
        <f>'30'!$G$144</f>
        <v>228</v>
      </c>
      <c r="V34" s="251">
        <f>'30'!$G$147</f>
        <v>404.71999999997206</v>
      </c>
      <c r="W34" s="251">
        <f>'30'!$G$148</f>
        <v>282.04000000003725</v>
      </c>
      <c r="X34" s="251">
        <f>'30'!$G$143</f>
        <v>23.099999999999909</v>
      </c>
      <c r="Y34" s="251">
        <f>'30'!$G$58</f>
        <v>187.39999999999418</v>
      </c>
      <c r="Z34" s="251">
        <f>'30'!$G$151</f>
        <v>241</v>
      </c>
      <c r="AA34" s="251">
        <f>'30'!G161</f>
        <v>0.96000000002095476</v>
      </c>
      <c r="AB34" s="251">
        <f>'30'!G162</f>
        <v>33.399999999994179</v>
      </c>
      <c r="AC34" s="251">
        <f>'30'!G88</f>
        <v>-6.0000000001309672E-2</v>
      </c>
      <c r="AD34" s="251">
        <f>'30'!G163+'30'!G164</f>
        <v>37.999999999997272</v>
      </c>
      <c r="AE34" s="251">
        <f>'30'!$G$116</f>
        <v>0</v>
      </c>
      <c r="AF34" s="251">
        <f>'30'!$G$117</f>
        <v>21.989999999999782</v>
      </c>
      <c r="AG34" s="251">
        <f>'30'!$G$118</f>
        <v>363.29000000000815</v>
      </c>
      <c r="AH34" s="251">
        <f>'30'!$G$119</f>
        <v>408.70999999999185</v>
      </c>
      <c r="AI34" s="251">
        <f>'30'!$G$120</f>
        <v>421.4900000000016</v>
      </c>
      <c r="AJ34" s="251">
        <f>'30'!$G$121</f>
        <v>771.39000000001397</v>
      </c>
      <c r="AK34" s="251">
        <f>'30'!$G$122</f>
        <v>215.92999999999302</v>
      </c>
      <c r="AL34" s="251">
        <f>'30'!$G$123</f>
        <v>324.36999999999534</v>
      </c>
      <c r="AM34" s="251">
        <f>'30'!$G$133</f>
        <v>587.7100000000064</v>
      </c>
      <c r="AN34" s="251">
        <f>'30'!$G$15</f>
        <v>1100</v>
      </c>
      <c r="AO34" s="251">
        <f>'30'!$G$74</f>
        <v>306.68000000005122</v>
      </c>
      <c r="AP34" s="251">
        <f>'30'!$G$75</f>
        <v>0</v>
      </c>
      <c r="AQ34" s="251">
        <f>'30'!$G$76</f>
        <v>92.470000000001164</v>
      </c>
      <c r="AR34" s="251">
        <f>'30'!$G$77</f>
        <v>41</v>
      </c>
      <c r="AS34" s="251">
        <f>'30'!$G$78</f>
        <v>0.7999999999992724</v>
      </c>
      <c r="AT34" s="251">
        <f t="shared" si="0"/>
        <v>659.04999999994834</v>
      </c>
      <c r="AU34" s="251">
        <f>SUM('30'!G91:G92)</f>
        <v>10.869999999999891</v>
      </c>
      <c r="AV34" s="251">
        <f>'30'!$G$88</f>
        <v>-6.0000000001309672E-2</v>
      </c>
      <c r="AW34" s="251">
        <f>'30'!$G$89</f>
        <v>9.7400000000016007</v>
      </c>
      <c r="AX34" s="251">
        <f>'30'!$G$90</f>
        <v>4.9700000000011642</v>
      </c>
      <c r="AY34" s="255">
        <f t="shared" si="1"/>
        <v>14.650000000001455</v>
      </c>
      <c r="BA34" s="311">
        <f t="shared" si="3"/>
        <v>44.9863481228589</v>
      </c>
      <c r="BB34" s="351">
        <f t="shared" si="4"/>
        <v>6772.7299999999886</v>
      </c>
      <c r="BC34" s="351">
        <f t="shared" si="5"/>
        <v>28.820127659574421</v>
      </c>
    </row>
    <row r="35" spans="1:55" x14ac:dyDescent="0.2">
      <c r="A35" s="359">
        <v>31</v>
      </c>
      <c r="B35" s="648">
        <f>'31'!G7</f>
        <v>23500</v>
      </c>
      <c r="C35" s="648">
        <f>'31'!G8</f>
        <v>23500</v>
      </c>
      <c r="D35" s="648">
        <f>'31'!G15</f>
        <v>1100</v>
      </c>
      <c r="E35" s="648">
        <f>'31'!G20</f>
        <v>775</v>
      </c>
      <c r="F35" s="648">
        <f>SUM('31'!G35,'31'!G49)</f>
        <v>3325</v>
      </c>
      <c r="G35" s="648">
        <f>SUM('31'!G37,'31'!G51)</f>
        <v>1605</v>
      </c>
      <c r="H35" s="648">
        <f>SUM('31'!G38,'31'!G52)</f>
        <v>1751</v>
      </c>
      <c r="I35" s="648">
        <f>SUM('31'!G39,'31'!G53)</f>
        <v>2762</v>
      </c>
      <c r="J35" s="648">
        <f>SUM('31'!G41,'31'!G42,'31'!G55,'31'!G56)</f>
        <v>3511</v>
      </c>
      <c r="K35" s="648">
        <f>SUM('31'!G43,'31'!G57)</f>
        <v>2607</v>
      </c>
      <c r="L35" s="251">
        <f>'31'!G50</f>
        <v>1079</v>
      </c>
      <c r="M35" s="251">
        <f>'31'!G36</f>
        <v>857</v>
      </c>
      <c r="N35" s="251">
        <f>'31'!G138</f>
        <v>102</v>
      </c>
      <c r="O35" s="251">
        <f>'31'!$G$139</f>
        <v>0</v>
      </c>
      <c r="P35" s="251">
        <f>'31'!$G$140</f>
        <v>0</v>
      </c>
      <c r="Q35" s="251">
        <f>'31'!$G$141</f>
        <v>208</v>
      </c>
      <c r="R35" s="251">
        <f>'31'!$G$142</f>
        <v>78</v>
      </c>
      <c r="S35" s="251">
        <f>'31'!$G$145</f>
        <v>14</v>
      </c>
      <c r="T35" s="251">
        <f>'31'!$G$146</f>
        <v>462</v>
      </c>
      <c r="U35" s="251">
        <f>'31'!$G$144</f>
        <v>229</v>
      </c>
      <c r="V35" s="251">
        <f>'31'!$G$147</f>
        <v>427</v>
      </c>
      <c r="W35" s="251">
        <f>'31'!$G$148</f>
        <v>300.11999999999534</v>
      </c>
      <c r="X35" s="251">
        <f>'31'!$G$143</f>
        <v>21</v>
      </c>
      <c r="Y35" s="251">
        <f>'31'!$G$58</f>
        <v>214</v>
      </c>
      <c r="Z35" s="251">
        <f>'31'!$G$151</f>
        <v>273</v>
      </c>
      <c r="AA35" s="251">
        <f>'31'!G161</f>
        <v>10.159999999974389</v>
      </c>
      <c r="AB35" s="251">
        <f>'31'!G162</f>
        <v>25</v>
      </c>
      <c r="AC35" s="251">
        <f>'31'!G89</f>
        <v>2</v>
      </c>
      <c r="AD35" s="251">
        <f>'31'!G163+'31'!G164</f>
        <v>34</v>
      </c>
      <c r="AE35" s="251">
        <f>'31'!$G$116</f>
        <v>0</v>
      </c>
      <c r="AF35" s="251">
        <f>'31'!$G$117</f>
        <v>21</v>
      </c>
      <c r="AG35" s="251">
        <f>'31'!$G$118</f>
        <v>353</v>
      </c>
      <c r="AH35" s="251">
        <f>'31'!$G$119</f>
        <v>424</v>
      </c>
      <c r="AI35" s="251">
        <f>'31'!$G$120</f>
        <v>413</v>
      </c>
      <c r="AJ35" s="251">
        <f>'31'!$G$121</f>
        <v>799</v>
      </c>
      <c r="AK35" s="251">
        <f>'31'!$G$122</f>
        <v>246</v>
      </c>
      <c r="AL35" s="251">
        <f>'31'!$G$123</f>
        <v>338</v>
      </c>
      <c r="AM35" s="251">
        <f>'31'!$G$133</f>
        <v>647</v>
      </c>
      <c r="AN35" s="251">
        <f>'31'!$G$15</f>
        <v>1100</v>
      </c>
      <c r="AO35" s="251">
        <f>'31'!$G$74</f>
        <v>269</v>
      </c>
      <c r="AP35" s="251">
        <f>'31'!$G$75</f>
        <v>0</v>
      </c>
      <c r="AQ35" s="251">
        <f>'31'!$G$76</f>
        <v>114</v>
      </c>
      <c r="AR35" s="251">
        <f>'31'!$G$77</f>
        <v>49</v>
      </c>
      <c r="AS35" s="251">
        <f>'31'!$G$78</f>
        <v>4</v>
      </c>
      <c r="AT35" s="251">
        <f t="shared" ref="AT35" si="7">AN35-SUM(AO35:AS35)</f>
        <v>664</v>
      </c>
      <c r="AU35" s="251">
        <f>SUM('31'!G92:G142)</f>
        <v>31012.744553191493</v>
      </c>
      <c r="AV35" s="251">
        <f>'31'!$G$88</f>
        <v>6</v>
      </c>
      <c r="AW35" s="251">
        <f>'31'!$G$89</f>
        <v>2</v>
      </c>
      <c r="AX35" s="251">
        <f>'30'!$G$90</f>
        <v>4.9700000000011642</v>
      </c>
      <c r="AY35" s="255">
        <f t="shared" ref="AY35" si="8">SUM(AV35:AX35)</f>
        <v>12.970000000001164</v>
      </c>
      <c r="BA35" s="311">
        <f t="shared" si="3"/>
        <v>51.19506553584737</v>
      </c>
      <c r="BB35" s="351">
        <f t="shared" si="4"/>
        <v>7725</v>
      </c>
      <c r="BC35" s="351">
        <f t="shared" si="5"/>
        <v>32.872340425531917</v>
      </c>
    </row>
    <row r="36" spans="1:55" s="316" customFormat="1" x14ac:dyDescent="0.2">
      <c r="A36" s="304" t="s">
        <v>359</v>
      </c>
      <c r="B36" s="305">
        <f>AVERAGE(B5:B35)</f>
        <v>19161.806451612902</v>
      </c>
      <c r="C36" s="305">
        <f t="shared" ref="C36:BC36" si="9">AVERAGE(C5:C35)</f>
        <v>19249.193548387098</v>
      </c>
      <c r="D36" s="305">
        <f t="shared" si="9"/>
        <v>933.38709677419354</v>
      </c>
      <c r="E36" s="305">
        <f t="shared" si="9"/>
        <v>227.67741935483872</v>
      </c>
      <c r="F36" s="305">
        <f t="shared" si="9"/>
        <v>14625.903225806451</v>
      </c>
      <c r="G36" s="305">
        <f t="shared" si="9"/>
        <v>6696.9354838709678</v>
      </c>
      <c r="H36" s="305">
        <f t="shared" si="9"/>
        <v>7925.2258064516127</v>
      </c>
      <c r="I36" s="305">
        <f t="shared" si="9"/>
        <v>13960.032258064517</v>
      </c>
      <c r="J36" s="305">
        <f t="shared" si="9"/>
        <v>72.709677419354833</v>
      </c>
      <c r="K36" s="305">
        <f t="shared" si="9"/>
        <v>0</v>
      </c>
      <c r="L36" s="305">
        <f t="shared" si="9"/>
        <v>0</v>
      </c>
      <c r="M36" s="305">
        <f t="shared" si="9"/>
        <v>0</v>
      </c>
      <c r="N36" s="305">
        <f t="shared" si="9"/>
        <v>0</v>
      </c>
      <c r="O36" s="305">
        <f t="shared" si="9"/>
        <v>0</v>
      </c>
      <c r="P36" s="305">
        <f t="shared" si="9"/>
        <v>0</v>
      </c>
      <c r="Q36" s="305">
        <f t="shared" si="9"/>
        <v>0</v>
      </c>
      <c r="R36" s="305">
        <f t="shared" si="9"/>
        <v>0</v>
      </c>
      <c r="S36" s="305">
        <f t="shared" si="9"/>
        <v>0</v>
      </c>
      <c r="T36" s="305">
        <f t="shared" si="9"/>
        <v>0</v>
      </c>
      <c r="U36" s="305">
        <f t="shared" si="9"/>
        <v>0</v>
      </c>
      <c r="V36" s="305">
        <f t="shared" si="9"/>
        <v>0</v>
      </c>
      <c r="W36" s="305">
        <f t="shared" si="9"/>
        <v>0</v>
      </c>
      <c r="X36" s="305">
        <f t="shared" si="9"/>
        <v>0</v>
      </c>
      <c r="Y36" s="305">
        <f t="shared" si="9"/>
        <v>2987.9235483870971</v>
      </c>
      <c r="Z36" s="305">
        <f t="shared" si="9"/>
        <v>0</v>
      </c>
      <c r="AA36" s="305">
        <f t="shared" si="9"/>
        <v>0.32258064516129031</v>
      </c>
      <c r="AB36" s="305">
        <f t="shared" si="9"/>
        <v>0</v>
      </c>
      <c r="AC36" s="305">
        <f t="shared" si="9"/>
        <v>-0.7142857142857143</v>
      </c>
      <c r="AD36" s="305">
        <f t="shared" si="9"/>
        <v>0</v>
      </c>
      <c r="AE36" s="305">
        <f t="shared" si="9"/>
        <v>0</v>
      </c>
      <c r="AF36" s="305">
        <f t="shared" si="9"/>
        <v>0</v>
      </c>
      <c r="AG36" s="305">
        <f t="shared" si="9"/>
        <v>0</v>
      </c>
      <c r="AH36" s="305">
        <f t="shared" si="9"/>
        <v>0</v>
      </c>
      <c r="AI36" s="305">
        <f t="shared" si="9"/>
        <v>0</v>
      </c>
      <c r="AJ36" s="305">
        <f t="shared" si="9"/>
        <v>0</v>
      </c>
      <c r="AK36" s="305">
        <f t="shared" si="9"/>
        <v>0</v>
      </c>
      <c r="AL36" s="305">
        <f t="shared" si="9"/>
        <v>0</v>
      </c>
      <c r="AM36" s="305">
        <f t="shared" si="9"/>
        <v>0</v>
      </c>
      <c r="AN36" s="305">
        <f t="shared" si="9"/>
        <v>933.38709677419354</v>
      </c>
      <c r="AO36" s="305">
        <f t="shared" si="9"/>
        <v>0</v>
      </c>
      <c r="AP36" s="305">
        <f t="shared" si="9"/>
        <v>0</v>
      </c>
      <c r="AQ36" s="305">
        <f t="shared" si="9"/>
        <v>0</v>
      </c>
      <c r="AR36" s="305">
        <f t="shared" si="9"/>
        <v>0</v>
      </c>
      <c r="AS36" s="305">
        <f t="shared" si="9"/>
        <v>0</v>
      </c>
      <c r="AT36" s="305">
        <f t="shared" si="9"/>
        <v>933.38709677419342</v>
      </c>
      <c r="AU36" s="305">
        <f t="shared" si="9"/>
        <v>1000.1104694577901</v>
      </c>
      <c r="AV36" s="305">
        <f t="shared" si="9"/>
        <v>0</v>
      </c>
      <c r="AW36" s="305">
        <f t="shared" si="9"/>
        <v>0</v>
      </c>
      <c r="AX36" s="305">
        <f t="shared" si="9"/>
        <v>-6.5483870967704388E-2</v>
      </c>
      <c r="AY36" s="305">
        <f t="shared" si="9"/>
        <v>-6.5483870967704388E-2</v>
      </c>
      <c r="AZ36" s="305">
        <f t="shared" si="9"/>
        <v>28.519999014345075</v>
      </c>
      <c r="BA36" s="305">
        <f t="shared" si="9"/>
        <v>38.409816700834725</v>
      </c>
      <c r="BB36" s="305">
        <f t="shared" si="9"/>
        <v>-27019.536451612905</v>
      </c>
      <c r="BC36" s="305">
        <f t="shared" si="9"/>
        <v>-110.53959635578602</v>
      </c>
    </row>
    <row r="37" spans="1:55" x14ac:dyDescent="0.2">
      <c r="A37" s="261" t="s">
        <v>196</v>
      </c>
      <c r="B37" s="305">
        <f>SUM(B5:B35)</f>
        <v>594016</v>
      </c>
      <c r="C37" s="305">
        <f t="shared" ref="C37:BC37" si="10">SUM(C5:C35)</f>
        <v>596725</v>
      </c>
      <c r="D37" s="305">
        <f t="shared" si="10"/>
        <v>28935</v>
      </c>
      <c r="E37" s="305">
        <f t="shared" si="10"/>
        <v>7058</v>
      </c>
      <c r="F37" s="305">
        <f>SUM(F5:F35)</f>
        <v>453403</v>
      </c>
      <c r="G37" s="305">
        <f t="shared" si="10"/>
        <v>207605</v>
      </c>
      <c r="H37" s="305">
        <f t="shared" si="10"/>
        <v>245682</v>
      </c>
      <c r="I37" s="305">
        <f t="shared" si="10"/>
        <v>432761</v>
      </c>
      <c r="J37" s="305">
        <f t="shared" si="10"/>
        <v>2254</v>
      </c>
      <c r="K37" s="305">
        <f t="shared" si="10"/>
        <v>0</v>
      </c>
      <c r="L37" s="305">
        <f t="shared" si="10"/>
        <v>0</v>
      </c>
      <c r="M37" s="305">
        <f t="shared" si="10"/>
        <v>0</v>
      </c>
      <c r="N37" s="305">
        <f t="shared" si="10"/>
        <v>0</v>
      </c>
      <c r="O37" s="305">
        <f t="shared" si="10"/>
        <v>0</v>
      </c>
      <c r="P37" s="305">
        <f t="shared" si="10"/>
        <v>0</v>
      </c>
      <c r="Q37" s="305">
        <f t="shared" si="10"/>
        <v>0</v>
      </c>
      <c r="R37" s="305">
        <f t="shared" si="10"/>
        <v>0</v>
      </c>
      <c r="S37" s="305">
        <f t="shared" si="10"/>
        <v>0</v>
      </c>
      <c r="T37" s="305">
        <f t="shared" si="10"/>
        <v>0</v>
      </c>
      <c r="U37" s="305">
        <f t="shared" si="10"/>
        <v>0</v>
      </c>
      <c r="V37" s="305">
        <f t="shared" si="10"/>
        <v>0</v>
      </c>
      <c r="W37" s="305">
        <f t="shared" si="10"/>
        <v>0</v>
      </c>
      <c r="X37" s="305">
        <f t="shared" si="10"/>
        <v>0</v>
      </c>
      <c r="Y37" s="305">
        <f t="shared" si="10"/>
        <v>92625.63</v>
      </c>
      <c r="Z37" s="305">
        <f t="shared" si="10"/>
        <v>0</v>
      </c>
      <c r="AA37" s="305">
        <f t="shared" si="10"/>
        <v>10</v>
      </c>
      <c r="AB37" s="305">
        <f t="shared" si="10"/>
        <v>0</v>
      </c>
      <c r="AC37" s="305">
        <f t="shared" si="10"/>
        <v>-15</v>
      </c>
      <c r="AD37" s="305">
        <f t="shared" si="10"/>
        <v>0</v>
      </c>
      <c r="AE37" s="305">
        <f t="shared" si="10"/>
        <v>0</v>
      </c>
      <c r="AF37" s="305">
        <f t="shared" si="10"/>
        <v>0</v>
      </c>
      <c r="AG37" s="305">
        <f t="shared" si="10"/>
        <v>0</v>
      </c>
      <c r="AH37" s="305">
        <f t="shared" si="10"/>
        <v>0</v>
      </c>
      <c r="AI37" s="305">
        <f t="shared" si="10"/>
        <v>0</v>
      </c>
      <c r="AJ37" s="305">
        <f t="shared" si="10"/>
        <v>0</v>
      </c>
      <c r="AK37" s="305">
        <f t="shared" si="10"/>
        <v>0</v>
      </c>
      <c r="AL37" s="305">
        <f t="shared" si="10"/>
        <v>0</v>
      </c>
      <c r="AM37" s="305">
        <f t="shared" si="10"/>
        <v>0</v>
      </c>
      <c r="AN37" s="305">
        <f t="shared" si="10"/>
        <v>28935</v>
      </c>
      <c r="AO37" s="305">
        <f t="shared" si="10"/>
        <v>0</v>
      </c>
      <c r="AP37" s="305">
        <f t="shared" si="10"/>
        <v>0</v>
      </c>
      <c r="AQ37" s="305">
        <f t="shared" si="10"/>
        <v>0</v>
      </c>
      <c r="AR37" s="305">
        <f t="shared" si="10"/>
        <v>0</v>
      </c>
      <c r="AS37" s="305">
        <f t="shared" si="10"/>
        <v>0</v>
      </c>
      <c r="AT37" s="305">
        <f t="shared" si="10"/>
        <v>28934.999999999996</v>
      </c>
      <c r="AU37" s="305">
        <f t="shared" si="10"/>
        <v>31003.424553191493</v>
      </c>
      <c r="AV37" s="305">
        <f t="shared" si="10"/>
        <v>0</v>
      </c>
      <c r="AW37" s="305">
        <f t="shared" si="10"/>
        <v>0</v>
      </c>
      <c r="AX37" s="305">
        <f t="shared" si="10"/>
        <v>-2.0299999999988358</v>
      </c>
      <c r="AY37" s="305">
        <f t="shared" si="10"/>
        <v>-2.0299999999988358</v>
      </c>
      <c r="AZ37" s="305">
        <f t="shared" si="10"/>
        <v>684.47997634428179</v>
      </c>
      <c r="BA37" s="305">
        <f t="shared" si="10"/>
        <v>1190.7043177258765</v>
      </c>
      <c r="BB37" s="305">
        <f t="shared" si="10"/>
        <v>-837605.63</v>
      </c>
      <c r="BC37" s="305">
        <f t="shared" si="10"/>
        <v>-3426.7274870293663</v>
      </c>
    </row>
    <row r="38" spans="1:55" s="316" customFormat="1" x14ac:dyDescent="0.2">
      <c r="A38" s="304"/>
      <c r="B38" s="305"/>
      <c r="C38" s="304"/>
      <c r="D38" s="304"/>
      <c r="E38" s="304"/>
      <c r="F38" s="304"/>
      <c r="G38" s="304"/>
      <c r="H38" s="304"/>
      <c r="I38" s="304"/>
      <c r="J38" s="304"/>
      <c r="K38" s="304"/>
      <c r="L38" s="304"/>
      <c r="M38" s="304"/>
      <c r="N38" s="304"/>
      <c r="O38" s="304"/>
      <c r="P38" s="304"/>
      <c r="Q38" s="304"/>
      <c r="R38" s="304"/>
      <c r="S38" s="304"/>
      <c r="T38" s="304"/>
      <c r="U38" s="304"/>
      <c r="V38" s="304"/>
      <c r="W38" s="304"/>
      <c r="X38" s="304"/>
      <c r="Y38" s="304"/>
      <c r="Z38" s="304"/>
      <c r="AA38" s="304"/>
      <c r="AB38" s="304"/>
      <c r="AC38" s="304"/>
      <c r="AD38" s="304"/>
      <c r="AE38" s="304"/>
      <c r="AF38" s="304"/>
      <c r="AG38" s="304"/>
      <c r="AH38" s="304"/>
      <c r="AI38" s="304"/>
      <c r="AJ38" s="304"/>
      <c r="AK38" s="304"/>
      <c r="AL38" s="304"/>
      <c r="AM38" s="304"/>
      <c r="AN38" s="304"/>
      <c r="AO38" s="304"/>
      <c r="AP38" s="304"/>
      <c r="AQ38" s="304"/>
      <c r="AR38" s="304"/>
      <c r="AS38" s="304"/>
      <c r="AT38" s="304"/>
      <c r="AU38" s="304"/>
      <c r="AV38" s="304"/>
      <c r="AW38" s="304"/>
      <c r="AX38" s="304"/>
      <c r="AY38" s="304"/>
      <c r="BB38" s="350"/>
      <c r="BC38" s="350"/>
    </row>
    <row r="39" spans="1:55" x14ac:dyDescent="0.2">
      <c r="A39" s="261"/>
      <c r="B39" s="261"/>
      <c r="C39" s="261"/>
      <c r="D39" s="261"/>
      <c r="E39" s="261"/>
      <c r="F39" s="649">
        <f t="shared" ref="F39:K39" si="11">F19-F18</f>
        <v>-11.569999999999709</v>
      </c>
      <c r="G39" s="649">
        <f t="shared" si="11"/>
        <v>-11.260000000000218</v>
      </c>
      <c r="H39" s="649">
        <f t="shared" si="11"/>
        <v>-445.04999999999927</v>
      </c>
      <c r="I39" s="649">
        <f t="shared" si="11"/>
        <v>-9.9999999998544808E-2</v>
      </c>
      <c r="J39" s="649">
        <f t="shared" si="11"/>
        <v>-123.6299999999901</v>
      </c>
      <c r="K39" s="649">
        <f t="shared" si="11"/>
        <v>1.7100000000064028</v>
      </c>
      <c r="L39" s="649"/>
      <c r="M39" s="649"/>
      <c r="AO39" s="317" t="s">
        <v>109</v>
      </c>
      <c r="AP39" s="318">
        <v>191</v>
      </c>
      <c r="AQ39" s="318"/>
      <c r="AR39" s="318"/>
    </row>
    <row r="40" spans="1:55" x14ac:dyDescent="0.2">
      <c r="A40" s="261"/>
      <c r="B40" s="261"/>
      <c r="C40" s="261"/>
      <c r="D40" s="261"/>
      <c r="E40" s="261"/>
      <c r="AO40" s="318"/>
      <c r="AP40" s="318">
        <v>88</v>
      </c>
      <c r="AQ40" s="318"/>
      <c r="AR40" s="318"/>
    </row>
    <row r="41" spans="1:55" x14ac:dyDescent="0.2">
      <c r="A41" s="261"/>
      <c r="B41" s="261"/>
      <c r="C41" s="261"/>
      <c r="D41" s="261"/>
      <c r="E41" s="261"/>
      <c r="AO41" s="318"/>
      <c r="AP41" s="319">
        <f>SUM(AP39:AP40)</f>
        <v>279</v>
      </c>
      <c r="AQ41" s="318" t="s">
        <v>110</v>
      </c>
      <c r="AR41" s="318">
        <v>335</v>
      </c>
    </row>
    <row r="42" spans="1:55" x14ac:dyDescent="0.2">
      <c r="A42" s="261"/>
      <c r="B42" s="261"/>
      <c r="C42" s="261"/>
      <c r="D42" s="261"/>
      <c r="E42" s="261"/>
      <c r="AO42" s="318"/>
      <c r="AP42" s="318"/>
      <c r="AQ42" s="318"/>
      <c r="AR42" s="318"/>
    </row>
    <row r="43" spans="1:55" x14ac:dyDescent="0.2">
      <c r="A43" s="261"/>
      <c r="B43" s="261"/>
      <c r="C43" s="261"/>
      <c r="D43" s="261"/>
      <c r="E43" s="261"/>
      <c r="N43" s="314"/>
      <c r="O43" s="314"/>
      <c r="P43" s="314"/>
      <c r="Q43" s="314"/>
      <c r="R43" s="314"/>
      <c r="S43" s="314"/>
      <c r="T43" s="314"/>
      <c r="U43" s="314"/>
      <c r="V43" s="314"/>
      <c r="W43" s="314"/>
      <c r="X43" s="314"/>
      <c r="Y43" s="314"/>
      <c r="Z43" s="314"/>
      <c r="AA43" s="314"/>
      <c r="AB43" s="314"/>
      <c r="AC43" s="314"/>
      <c r="AD43" s="314"/>
      <c r="AE43" s="314"/>
      <c r="AF43" s="314"/>
      <c r="AG43" s="314"/>
      <c r="AH43" s="314"/>
      <c r="AI43" s="314"/>
      <c r="AJ43" s="314"/>
      <c r="AK43" s="314"/>
      <c r="AL43" s="314"/>
      <c r="AN43" s="314"/>
      <c r="AO43" s="317" t="s">
        <v>111</v>
      </c>
      <c r="AP43" s="319">
        <v>168</v>
      </c>
      <c r="AQ43" s="318"/>
      <c r="AR43" s="318"/>
    </row>
    <row r="44" spans="1:55" x14ac:dyDescent="0.2">
      <c r="A44" s="261"/>
      <c r="B44" s="261"/>
      <c r="C44" s="261"/>
      <c r="D44" s="261"/>
      <c r="E44" s="261"/>
      <c r="AO44" s="318"/>
      <c r="AP44" s="318"/>
      <c r="AQ44" s="318" t="s">
        <v>112</v>
      </c>
      <c r="AR44" s="318"/>
    </row>
    <row r="45" spans="1:55" x14ac:dyDescent="0.2">
      <c r="A45" s="261"/>
      <c r="B45" s="261"/>
      <c r="C45" s="261"/>
      <c r="D45" s="261"/>
      <c r="E45" s="261"/>
      <c r="AO45" s="318" t="s">
        <v>113</v>
      </c>
      <c r="AP45" s="318">
        <f>20*38.68</f>
        <v>773.6</v>
      </c>
      <c r="AQ45" s="318" t="s">
        <v>114</v>
      </c>
      <c r="AR45" s="318"/>
    </row>
    <row r="46" spans="1:55" x14ac:dyDescent="0.2">
      <c r="A46" s="261"/>
      <c r="B46" s="261"/>
      <c r="C46" s="261"/>
      <c r="D46" s="261"/>
      <c r="E46" s="261"/>
    </row>
    <row r="47" spans="1:55" x14ac:dyDescent="0.2">
      <c r="A47" s="261"/>
      <c r="B47" s="261"/>
      <c r="C47" s="261"/>
      <c r="D47" s="261"/>
      <c r="E47" s="261"/>
    </row>
    <row r="48" spans="1:55" x14ac:dyDescent="0.2">
      <c r="A48" s="261"/>
      <c r="B48" s="261"/>
      <c r="C48" s="261"/>
      <c r="D48" s="261"/>
      <c r="E48" s="261"/>
    </row>
    <row r="49" spans="1:5" x14ac:dyDescent="0.2">
      <c r="A49" s="261"/>
      <c r="B49" s="261"/>
      <c r="C49" s="261"/>
      <c r="D49" s="261"/>
      <c r="E49" s="261"/>
    </row>
    <row r="50" spans="1:5" x14ac:dyDescent="0.2">
      <c r="A50" s="261"/>
      <c r="B50" s="261"/>
      <c r="C50" s="261"/>
      <c r="D50" s="261"/>
      <c r="E50" s="261"/>
    </row>
    <row r="51" spans="1:5" x14ac:dyDescent="0.2">
      <c r="A51" s="261"/>
      <c r="B51" s="261"/>
      <c r="C51" s="261"/>
      <c r="D51" s="261"/>
      <c r="E51" s="261"/>
    </row>
    <row r="52" spans="1:5" x14ac:dyDescent="0.2">
      <c r="A52" s="261"/>
      <c r="B52" s="261"/>
      <c r="C52" s="261"/>
      <c r="D52" s="261"/>
      <c r="E52" s="261"/>
    </row>
    <row r="53" spans="1:5" x14ac:dyDescent="0.2">
      <c r="A53" s="261"/>
      <c r="B53" s="261"/>
      <c r="C53" s="261"/>
      <c r="D53" s="261"/>
      <c r="E53" s="261"/>
    </row>
    <row r="54" spans="1:5" x14ac:dyDescent="0.2">
      <c r="A54" s="261"/>
      <c r="B54" s="261"/>
      <c r="C54" s="261"/>
      <c r="D54" s="261"/>
      <c r="E54" s="261"/>
    </row>
    <row r="55" spans="1:5" x14ac:dyDescent="0.2">
      <c r="A55" s="261"/>
      <c r="B55" s="261"/>
      <c r="C55" s="261"/>
      <c r="D55" s="261"/>
      <c r="E55" s="261"/>
    </row>
    <row r="56" spans="1:5" x14ac:dyDescent="0.2">
      <c r="A56" s="261"/>
      <c r="B56" s="261"/>
      <c r="C56" s="261"/>
      <c r="D56" s="261"/>
      <c r="E56" s="261"/>
    </row>
    <row r="57" spans="1:5" x14ac:dyDescent="0.2">
      <c r="A57" s="261"/>
      <c r="B57" s="261"/>
      <c r="C57" s="261"/>
      <c r="D57" s="261"/>
      <c r="E57" s="261"/>
    </row>
    <row r="58" spans="1:5" x14ac:dyDescent="0.2">
      <c r="A58" s="261"/>
      <c r="B58" s="261"/>
      <c r="C58" s="261"/>
      <c r="D58" s="261"/>
      <c r="E58" s="261"/>
    </row>
    <row r="59" spans="1:5" x14ac:dyDescent="0.2">
      <c r="A59" s="261"/>
      <c r="B59" s="261"/>
      <c r="C59" s="261"/>
      <c r="D59" s="261"/>
      <c r="E59" s="261"/>
    </row>
    <row r="60" spans="1:5" x14ac:dyDescent="0.2">
      <c r="A60" s="261"/>
      <c r="B60" s="261"/>
      <c r="C60" s="261"/>
      <c r="D60" s="261"/>
      <c r="E60" s="261"/>
    </row>
    <row r="61" spans="1:5" x14ac:dyDescent="0.2">
      <c r="A61" s="261"/>
      <c r="B61" s="261"/>
      <c r="C61" s="261"/>
      <c r="D61" s="261"/>
      <c r="E61" s="261"/>
    </row>
    <row r="62" spans="1:5" x14ac:dyDescent="0.2">
      <c r="A62" s="261"/>
      <c r="B62" s="261"/>
      <c r="C62" s="261"/>
      <c r="D62" s="261"/>
      <c r="E62" s="261"/>
    </row>
    <row r="63" spans="1:5" x14ac:dyDescent="0.2">
      <c r="A63" s="261"/>
      <c r="B63" s="261"/>
      <c r="C63" s="261"/>
      <c r="D63" s="261"/>
      <c r="E63" s="261"/>
    </row>
    <row r="64" spans="1:5" x14ac:dyDescent="0.2">
      <c r="A64" s="261"/>
      <c r="B64" s="261"/>
      <c r="C64" s="261"/>
      <c r="D64" s="261"/>
      <c r="E64" s="261"/>
    </row>
    <row r="65" spans="1:5" x14ac:dyDescent="0.2">
      <c r="A65" s="261"/>
      <c r="B65" s="261"/>
      <c r="C65" s="261"/>
      <c r="D65" s="261"/>
      <c r="E65" s="261"/>
    </row>
    <row r="66" spans="1:5" x14ac:dyDescent="0.2">
      <c r="A66" s="261"/>
      <c r="B66" s="261"/>
      <c r="C66" s="261"/>
      <c r="D66" s="261"/>
      <c r="E66" s="261"/>
    </row>
    <row r="67" spans="1:5" x14ac:dyDescent="0.2">
      <c r="A67" s="261"/>
      <c r="B67" s="261"/>
      <c r="C67" s="261"/>
      <c r="D67" s="261"/>
      <c r="E67" s="261"/>
    </row>
    <row r="68" spans="1:5" x14ac:dyDescent="0.2">
      <c r="A68" s="261"/>
      <c r="B68" s="261"/>
      <c r="C68" s="261"/>
      <c r="D68" s="261"/>
      <c r="E68" s="261"/>
    </row>
    <row r="69" spans="1:5" x14ac:dyDescent="0.2">
      <c r="A69" s="261"/>
      <c r="B69" s="261"/>
      <c r="C69" s="261"/>
      <c r="D69" s="261"/>
      <c r="E69" s="261"/>
    </row>
    <row r="70" spans="1:5" x14ac:dyDescent="0.2">
      <c r="A70" s="261"/>
      <c r="B70" s="261"/>
      <c r="C70" s="261"/>
      <c r="D70" s="261"/>
      <c r="E70" s="261"/>
    </row>
    <row r="71" spans="1:5" x14ac:dyDescent="0.2">
      <c r="A71" s="261"/>
      <c r="B71" s="261"/>
      <c r="C71" s="261"/>
      <c r="D71" s="261"/>
      <c r="E71" s="261"/>
    </row>
    <row r="72" spans="1:5" x14ac:dyDescent="0.2">
      <c r="A72" s="261"/>
      <c r="B72" s="261"/>
      <c r="C72" s="261"/>
      <c r="D72" s="261"/>
      <c r="E72" s="261"/>
    </row>
    <row r="73" spans="1:5" x14ac:dyDescent="0.2">
      <c r="A73" s="261"/>
      <c r="B73" s="261"/>
      <c r="C73" s="261"/>
      <c r="D73" s="261"/>
      <c r="E73" s="261"/>
    </row>
    <row r="74" spans="1:5" x14ac:dyDescent="0.2">
      <c r="A74" s="261"/>
      <c r="B74" s="261"/>
      <c r="C74" s="261"/>
      <c r="D74" s="261"/>
      <c r="E74" s="261"/>
    </row>
    <row r="75" spans="1:5" x14ac:dyDescent="0.2">
      <c r="A75" s="261"/>
      <c r="B75" s="261"/>
      <c r="C75" s="261"/>
      <c r="D75" s="261"/>
      <c r="E75" s="261"/>
    </row>
    <row r="76" spans="1:5" x14ac:dyDescent="0.2">
      <c r="A76" s="261"/>
      <c r="B76" s="261"/>
      <c r="C76" s="261"/>
      <c r="D76" s="261"/>
      <c r="E76" s="261"/>
    </row>
    <row r="77" spans="1:5" x14ac:dyDescent="0.2">
      <c r="A77" s="261"/>
      <c r="B77" s="261"/>
      <c r="C77" s="261"/>
      <c r="D77" s="261"/>
      <c r="E77" s="261"/>
    </row>
    <row r="78" spans="1:5" x14ac:dyDescent="0.2">
      <c r="A78" s="261"/>
      <c r="B78" s="261"/>
      <c r="C78" s="261"/>
      <c r="D78" s="261"/>
      <c r="E78" s="261"/>
    </row>
    <row r="79" spans="1:5" x14ac:dyDescent="0.2">
      <c r="A79" s="261"/>
      <c r="B79" s="261"/>
      <c r="C79" s="261"/>
      <c r="D79" s="261"/>
      <c r="E79" s="261"/>
    </row>
    <row r="80" spans="1:5" x14ac:dyDescent="0.2">
      <c r="A80" s="261"/>
      <c r="B80" s="261"/>
      <c r="C80" s="261"/>
      <c r="D80" s="261"/>
      <c r="E80" s="261"/>
    </row>
    <row r="81" spans="1:5" x14ac:dyDescent="0.2">
      <c r="A81" s="261"/>
      <c r="B81" s="261"/>
      <c r="C81" s="261"/>
      <c r="D81" s="261"/>
      <c r="E81" s="261"/>
    </row>
    <row r="82" spans="1:5" x14ac:dyDescent="0.2">
      <c r="A82" s="261"/>
      <c r="B82" s="261"/>
      <c r="C82" s="261"/>
      <c r="D82" s="261"/>
      <c r="E82" s="261"/>
    </row>
    <row r="83" spans="1:5" x14ac:dyDescent="0.2">
      <c r="A83" s="261"/>
      <c r="B83" s="261"/>
      <c r="C83" s="261"/>
      <c r="D83" s="261"/>
      <c r="E83" s="261"/>
    </row>
    <row r="84" spans="1:5" x14ac:dyDescent="0.2">
      <c r="A84" s="261"/>
      <c r="B84" s="261"/>
      <c r="C84" s="261"/>
      <c r="D84" s="261"/>
      <c r="E84" s="261"/>
    </row>
    <row r="85" spans="1:5" x14ac:dyDescent="0.2">
      <c r="A85" s="261"/>
      <c r="B85" s="261"/>
      <c r="C85" s="261"/>
      <c r="D85" s="261"/>
      <c r="E85" s="261"/>
    </row>
    <row r="86" spans="1:5" x14ac:dyDescent="0.2">
      <c r="A86" s="261"/>
      <c r="B86" s="261"/>
      <c r="C86" s="261"/>
      <c r="D86" s="261"/>
      <c r="E86" s="261"/>
    </row>
    <row r="87" spans="1:5" x14ac:dyDescent="0.2">
      <c r="A87" s="261"/>
      <c r="B87" s="261"/>
      <c r="C87" s="261"/>
      <c r="D87" s="261"/>
      <c r="E87" s="261"/>
    </row>
    <row r="88" spans="1:5" x14ac:dyDescent="0.2">
      <c r="A88" s="261"/>
      <c r="B88" s="261"/>
      <c r="C88" s="261"/>
      <c r="D88" s="261"/>
      <c r="E88" s="261"/>
    </row>
    <row r="89" spans="1:5" x14ac:dyDescent="0.2">
      <c r="A89" s="320"/>
      <c r="B89" s="320"/>
      <c r="C89" s="320"/>
      <c r="D89" s="320"/>
      <c r="E89" s="320"/>
    </row>
    <row r="90" spans="1:5" x14ac:dyDescent="0.2">
      <c r="A90" s="320"/>
      <c r="B90" s="320"/>
      <c r="C90" s="320"/>
      <c r="D90" s="320"/>
      <c r="E90" s="320"/>
    </row>
    <row r="91" spans="1:5" x14ac:dyDescent="0.2">
      <c r="A91" s="320"/>
      <c r="B91" s="320"/>
      <c r="C91" s="320"/>
      <c r="D91" s="320"/>
      <c r="E91" s="320"/>
    </row>
    <row r="92" spans="1:5" x14ac:dyDescent="0.2">
      <c r="A92" s="320"/>
      <c r="B92" s="320"/>
      <c r="C92" s="320"/>
      <c r="D92" s="320"/>
      <c r="E92" s="320"/>
    </row>
  </sheetData>
  <mergeCells count="6">
    <mergeCell ref="AV2:AY2"/>
    <mergeCell ref="AN2:AT2"/>
    <mergeCell ref="N2:AM2"/>
    <mergeCell ref="F2:M2"/>
    <mergeCell ref="AN3:AT3"/>
    <mergeCell ref="AU3:AY3"/>
  </mergeCells>
  <pageMargins left="0.7" right="0.7" top="0.75" bottom="0.75" header="0.3" footer="0.3"/>
  <pageSetup paperSize="9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R270"/>
  <sheetViews>
    <sheetView view="pageBreakPreview" topLeftCell="A34" zoomScale="60" zoomScaleNormal="61" zoomScalePageLayoutView="70" workbookViewId="0">
      <selection activeCell="E11" sqref="E11"/>
    </sheetView>
  </sheetViews>
  <sheetFormatPr defaultColWidth="22.33203125" defaultRowHeight="21.95" customHeight="1" x14ac:dyDescent="0.4"/>
  <cols>
    <col min="1" max="1" width="50.21875" style="160" customWidth="1"/>
    <col min="2" max="2" width="22.6640625" style="169" customWidth="1"/>
    <col min="3" max="3" width="14.44140625" style="169" customWidth="1"/>
    <col min="4" max="4" width="13.6640625" style="169" customWidth="1"/>
    <col min="5" max="5" width="30" style="497" customWidth="1"/>
    <col min="6" max="6" width="19.44140625" style="497" customWidth="1"/>
    <col min="7" max="7" width="28.88671875" style="691" customWidth="1"/>
    <col min="8" max="8" width="24.6640625" style="170" customWidth="1"/>
    <col min="9" max="9" width="23.5546875" style="497" customWidth="1"/>
    <col min="10" max="10" width="24" style="170" customWidth="1"/>
    <col min="11" max="11" width="43.21875" style="169" hidden="1" customWidth="1"/>
    <col min="12" max="13" width="0" style="169" hidden="1" customWidth="1"/>
    <col min="14" max="14" width="25.109375" style="169" customWidth="1"/>
    <col min="15" max="16" width="22.33203125" style="169"/>
    <col min="17" max="17" width="44.77734375" style="169" customWidth="1"/>
    <col min="18" max="16384" width="22.33203125" style="169"/>
  </cols>
  <sheetData>
    <row r="1" spans="1:15" ht="22.5" x14ac:dyDescent="0.4">
      <c r="A1" s="750" t="s">
        <v>115</v>
      </c>
      <c r="B1" s="751"/>
      <c r="C1" s="751"/>
      <c r="D1" s="751"/>
      <c r="E1" s="751"/>
      <c r="F1" s="751"/>
      <c r="G1" s="751"/>
      <c r="H1" s="751"/>
      <c r="I1" s="751"/>
      <c r="J1" s="752"/>
    </row>
    <row r="2" spans="1:15" ht="22.5" x14ac:dyDescent="0.4">
      <c r="A2" s="510" t="s">
        <v>350</v>
      </c>
      <c r="B2" s="533">
        <v>44562</v>
      </c>
      <c r="C2" s="378" t="s">
        <v>67</v>
      </c>
      <c r="D2" s="379">
        <v>0.96</v>
      </c>
      <c r="E2" s="378"/>
      <c r="F2" s="378"/>
      <c r="G2" s="681" t="s">
        <v>116</v>
      </c>
      <c r="H2" s="378" t="s">
        <v>5</v>
      </c>
      <c r="I2" s="378" t="s">
        <v>7</v>
      </c>
      <c r="J2" s="383" t="s">
        <v>117</v>
      </c>
    </row>
    <row r="3" spans="1:15" ht="22.5" x14ac:dyDescent="0.4">
      <c r="A3" s="511"/>
      <c r="B3" s="380"/>
      <c r="C3" s="378" t="s">
        <v>118</v>
      </c>
      <c r="D3" s="381">
        <v>22</v>
      </c>
      <c r="E3" s="762" t="s">
        <v>119</v>
      </c>
      <c r="F3" s="763"/>
      <c r="G3" s="681"/>
      <c r="H3" s="382"/>
      <c r="I3" s="382"/>
      <c r="J3" s="383"/>
      <c r="K3" s="534"/>
      <c r="L3" s="429"/>
    </row>
    <row r="4" spans="1:15" ht="22.5" x14ac:dyDescent="0.4">
      <c r="A4" s="512"/>
      <c r="B4" s="384"/>
      <c r="C4" s="378" t="s">
        <v>120</v>
      </c>
      <c r="D4" s="379">
        <v>0.76</v>
      </c>
      <c r="E4" s="385"/>
      <c r="F4" s="385"/>
      <c r="G4" s="681"/>
      <c r="H4" s="385"/>
      <c r="I4" s="386"/>
      <c r="J4" s="383"/>
      <c r="K4" s="535"/>
      <c r="L4" s="429"/>
    </row>
    <row r="5" spans="1:15" ht="22.5" x14ac:dyDescent="0.4">
      <c r="A5" s="513" t="s">
        <v>121</v>
      </c>
      <c r="B5" s="387"/>
      <c r="C5" s="387"/>
      <c r="D5" s="387" t="s">
        <v>122</v>
      </c>
      <c r="E5" s="405" t="s">
        <v>369</v>
      </c>
      <c r="F5" s="405" t="s">
        <v>110</v>
      </c>
      <c r="G5" s="559" t="s">
        <v>124</v>
      </c>
      <c r="H5" s="395" t="s">
        <v>125</v>
      </c>
      <c r="I5" s="396" t="s">
        <v>126</v>
      </c>
      <c r="J5" s="389" t="s">
        <v>127</v>
      </c>
      <c r="K5" s="536"/>
      <c r="L5" s="429"/>
    </row>
    <row r="6" spans="1:15" ht="22.5" x14ac:dyDescent="0.4">
      <c r="A6" s="753" t="s">
        <v>128</v>
      </c>
      <c r="B6" s="754"/>
      <c r="C6" s="755"/>
      <c r="D6" s="390"/>
      <c r="E6" s="391"/>
      <c r="F6" s="391"/>
      <c r="G6" s="571"/>
      <c r="H6" s="391"/>
      <c r="I6" s="391"/>
      <c r="J6" s="392"/>
      <c r="K6" s="537"/>
      <c r="L6" s="429"/>
    </row>
    <row r="7" spans="1:15" ht="23.25" thickBot="1" x14ac:dyDescent="0.45">
      <c r="A7" s="514" t="s">
        <v>129</v>
      </c>
      <c r="B7" s="393"/>
      <c r="C7" s="393"/>
      <c r="D7" s="151" t="s">
        <v>130</v>
      </c>
      <c r="E7" s="396">
        <v>94561</v>
      </c>
      <c r="F7" s="396">
        <v>114567.53</v>
      </c>
      <c r="G7" s="682">
        <f>F7-E7</f>
        <v>20006.53</v>
      </c>
      <c r="H7" s="396">
        <f>G7</f>
        <v>20006.53</v>
      </c>
      <c r="I7" s="403">
        <v>12000</v>
      </c>
      <c r="J7" s="397">
        <f>H7/DAY(B2)</f>
        <v>20006.53</v>
      </c>
      <c r="K7" s="538">
        <v>1375467</v>
      </c>
      <c r="L7" s="429"/>
      <c r="N7" s="539"/>
      <c r="O7" s="171"/>
    </row>
    <row r="8" spans="1:15" ht="23.25" thickBot="1" x14ac:dyDescent="0.45">
      <c r="A8" s="515" t="s">
        <v>131</v>
      </c>
      <c r="B8" s="398"/>
      <c r="C8" s="399"/>
      <c r="D8" s="224" t="s">
        <v>24</v>
      </c>
      <c r="E8" s="396">
        <v>140885</v>
      </c>
      <c r="F8" s="396">
        <v>161334</v>
      </c>
      <c r="G8" s="682">
        <f>F8-E8</f>
        <v>20449</v>
      </c>
      <c r="H8" s="396">
        <f>G8</f>
        <v>20449</v>
      </c>
      <c r="I8" s="400">
        <v>12000</v>
      </c>
      <c r="J8" s="397">
        <f>H8/DAY(B2)</f>
        <v>20449</v>
      </c>
      <c r="K8" s="538">
        <v>1715917</v>
      </c>
      <c r="L8" s="395">
        <v>1728480</v>
      </c>
      <c r="M8" s="539">
        <f>L8-K8</f>
        <v>12563</v>
      </c>
      <c r="N8" s="539"/>
      <c r="O8" s="171"/>
    </row>
    <row r="9" spans="1:15" ht="22.5" x14ac:dyDescent="0.4">
      <c r="A9" s="516" t="s">
        <v>132</v>
      </c>
      <c r="B9" s="401"/>
      <c r="C9" s="401"/>
      <c r="D9" s="394" t="s">
        <v>130</v>
      </c>
      <c r="E9" s="667">
        <v>2258776</v>
      </c>
      <c r="F9" s="668">
        <v>2271542.1</v>
      </c>
      <c r="G9" s="683">
        <f>F9-E9</f>
        <v>12766.100000000093</v>
      </c>
      <c r="H9" s="396">
        <f t="shared" ref="H9:H13" si="0">G9</f>
        <v>12766.100000000093</v>
      </c>
      <c r="I9" s="403">
        <f>I8-J8</f>
        <v>-8449</v>
      </c>
      <c r="J9" s="397">
        <f>H9/DAY(B2)</f>
        <v>12766.100000000093</v>
      </c>
      <c r="K9" s="540">
        <f>K8-100</f>
        <v>1715817</v>
      </c>
      <c r="L9" s="429"/>
      <c r="N9" s="539"/>
      <c r="O9" s="171"/>
    </row>
    <row r="10" spans="1:15" ht="22.5" x14ac:dyDescent="0.4">
      <c r="A10" s="514" t="s">
        <v>133</v>
      </c>
      <c r="B10" s="393"/>
      <c r="C10" s="393"/>
      <c r="D10" s="394" t="s">
        <v>130</v>
      </c>
      <c r="E10" s="668">
        <v>540826</v>
      </c>
      <c r="F10" s="668">
        <v>547525.15</v>
      </c>
      <c r="G10" s="683">
        <f t="shared" ref="G10:G11" si="1">F10-E10</f>
        <v>6699.1500000000233</v>
      </c>
      <c r="H10" s="396">
        <f t="shared" si="0"/>
        <v>6699.1500000000233</v>
      </c>
      <c r="I10" s="396"/>
      <c r="J10" s="397">
        <f>H10/DAY(B2)</f>
        <v>6699.1500000000233</v>
      </c>
      <c r="K10" s="540"/>
      <c r="L10" s="429"/>
      <c r="N10" s="539"/>
      <c r="O10" s="171"/>
    </row>
    <row r="11" spans="1:15" ht="22.5" x14ac:dyDescent="0.4">
      <c r="A11" s="514" t="s">
        <v>134</v>
      </c>
      <c r="B11" s="393"/>
      <c r="C11" s="393"/>
      <c r="D11" s="394" t="s">
        <v>130</v>
      </c>
      <c r="E11" s="396">
        <v>37000</v>
      </c>
      <c r="F11" s="396">
        <v>37000</v>
      </c>
      <c r="G11" s="683">
        <f t="shared" si="1"/>
        <v>0</v>
      </c>
      <c r="H11" s="396">
        <f t="shared" si="0"/>
        <v>0</v>
      </c>
      <c r="I11" s="396"/>
      <c r="J11" s="397">
        <f>H11/DAY(B2)</f>
        <v>0</v>
      </c>
      <c r="K11" s="540"/>
      <c r="L11" s="429"/>
      <c r="N11" s="539"/>
      <c r="O11" s="171">
        <f>142-18</f>
        <v>124</v>
      </c>
    </row>
    <row r="12" spans="1:15" ht="22.5" x14ac:dyDescent="0.4">
      <c r="A12" s="514" t="s">
        <v>135</v>
      </c>
      <c r="B12" s="393"/>
      <c r="C12" s="393"/>
      <c r="D12" s="394" t="s">
        <v>130</v>
      </c>
      <c r="E12" s="668">
        <v>40010</v>
      </c>
      <c r="F12" s="668">
        <v>40010</v>
      </c>
      <c r="G12" s="683">
        <f>F12-E12</f>
        <v>0</v>
      </c>
      <c r="H12" s="396">
        <f t="shared" si="0"/>
        <v>0</v>
      </c>
      <c r="I12" s="396"/>
      <c r="J12" s="397">
        <f>H12/DAY(B2)</f>
        <v>0</v>
      </c>
      <c r="K12" s="540"/>
      <c r="L12" s="429"/>
      <c r="N12" s="539"/>
      <c r="O12" s="171"/>
    </row>
    <row r="13" spans="1:15" ht="22.5" x14ac:dyDescent="0.4">
      <c r="A13" s="517" t="s">
        <v>136</v>
      </c>
      <c r="B13" s="404"/>
      <c r="C13" s="404"/>
      <c r="D13" s="394"/>
      <c r="E13" s="396"/>
      <c r="F13" s="396"/>
      <c r="G13" s="683">
        <f>F13-E13</f>
        <v>0</v>
      </c>
      <c r="H13" s="396">
        <f t="shared" si="0"/>
        <v>0</v>
      </c>
      <c r="I13" s="403">
        <f>G7-G13</f>
        <v>20006.53</v>
      </c>
      <c r="J13" s="397">
        <f>H13/DAY(B2)</f>
        <v>0</v>
      </c>
      <c r="K13" s="540"/>
      <c r="L13" s="429"/>
      <c r="N13" s="539"/>
      <c r="O13" s="171"/>
    </row>
    <row r="14" spans="1:15" ht="22.5" x14ac:dyDescent="0.4">
      <c r="A14" s="756" t="s">
        <v>137</v>
      </c>
      <c r="B14" s="757"/>
      <c r="C14" s="758"/>
      <c r="D14" s="391"/>
      <c r="E14" s="654"/>
      <c r="F14" s="654"/>
      <c r="G14" s="125"/>
      <c r="H14" s="654"/>
      <c r="I14" s="654"/>
      <c r="J14" s="655"/>
      <c r="K14" s="541"/>
      <c r="L14" s="429"/>
      <c r="N14" s="539"/>
      <c r="O14" s="171"/>
    </row>
    <row r="15" spans="1:15" ht="22.5" x14ac:dyDescent="0.4">
      <c r="A15" s="518" t="s">
        <v>138</v>
      </c>
      <c r="B15" s="407"/>
      <c r="C15" s="407"/>
      <c r="D15" s="394" t="s">
        <v>139</v>
      </c>
      <c r="E15" s="667">
        <v>1878430</v>
      </c>
      <c r="F15" s="669">
        <v>1879500.0859999999</v>
      </c>
      <c r="G15" s="684">
        <f>(F15-E15)</f>
        <v>1070.0859999998938</v>
      </c>
      <c r="H15" s="403">
        <f>G15</f>
        <v>1070.0859999998938</v>
      </c>
      <c r="I15" s="403">
        <v>800</v>
      </c>
      <c r="J15" s="397">
        <f>H15/DAY(B2)</f>
        <v>1070.0859999998938</v>
      </c>
      <c r="K15" s="540"/>
      <c r="L15" s="429"/>
      <c r="N15" s="539"/>
      <c r="O15" s="171"/>
    </row>
    <row r="16" spans="1:15" ht="22.5" x14ac:dyDescent="0.4">
      <c r="A16" s="519"/>
      <c r="B16" s="410"/>
      <c r="C16" s="410"/>
      <c r="D16" s="411"/>
      <c r="E16" s="667"/>
      <c r="F16" s="667"/>
      <c r="G16" s="683"/>
      <c r="H16" s="403"/>
      <c r="I16" s="403">
        <f>I15-J15</f>
        <v>-270.08599999989383</v>
      </c>
      <c r="J16" s="412"/>
      <c r="K16" s="540"/>
      <c r="L16" s="429"/>
      <c r="N16" s="539"/>
      <c r="O16" s="171"/>
    </row>
    <row r="17" spans="1:15" ht="22.5" x14ac:dyDescent="0.4">
      <c r="A17" s="756" t="s">
        <v>140</v>
      </c>
      <c r="B17" s="757"/>
      <c r="C17" s="758"/>
      <c r="D17" s="391"/>
      <c r="E17" s="654"/>
      <c r="F17" s="654"/>
      <c r="G17" s="125"/>
      <c r="H17" s="654"/>
      <c r="I17" s="654"/>
      <c r="J17" s="655"/>
      <c r="K17" s="540"/>
      <c r="L17" s="429"/>
      <c r="N17" s="539"/>
      <c r="O17" s="171"/>
    </row>
    <row r="18" spans="1:15" ht="22.5" x14ac:dyDescent="0.4">
      <c r="A18" s="747" t="s">
        <v>141</v>
      </c>
      <c r="B18" s="748"/>
      <c r="C18" s="749"/>
      <c r="D18" s="394" t="s">
        <v>142</v>
      </c>
      <c r="E18" s="670">
        <v>0</v>
      </c>
      <c r="F18" s="670">
        <v>0</v>
      </c>
      <c r="G18" s="658">
        <f>F18*10</f>
        <v>0</v>
      </c>
      <c r="H18" s="396">
        <f>G18</f>
        <v>0</v>
      </c>
      <c r="I18" s="403">
        <v>65</v>
      </c>
      <c r="J18" s="397">
        <f>H18/DAY(B2)</f>
        <v>0</v>
      </c>
      <c r="K18" s="540"/>
      <c r="L18" s="429"/>
      <c r="N18" s="539"/>
      <c r="O18" s="171"/>
    </row>
    <row r="19" spans="1:15" ht="22.5" x14ac:dyDescent="0.4">
      <c r="A19" s="747" t="s">
        <v>69</v>
      </c>
      <c r="B19" s="748"/>
      <c r="C19" s="749"/>
      <c r="D19" s="394" t="s">
        <v>142</v>
      </c>
      <c r="E19" s="670">
        <v>152225</v>
      </c>
      <c r="F19" s="670">
        <v>152279</v>
      </c>
      <c r="G19" s="683">
        <f t="shared" ref="G19" si="2">F19-E19</f>
        <v>54</v>
      </c>
      <c r="H19" s="396">
        <f t="shared" ref="H19" si="3">G19</f>
        <v>54</v>
      </c>
      <c r="I19" s="668"/>
      <c r="J19" s="397">
        <f>H19/DAY(B2)</f>
        <v>54</v>
      </c>
      <c r="K19" s="540"/>
      <c r="L19" s="429"/>
      <c r="N19" s="539"/>
      <c r="O19" s="171"/>
    </row>
    <row r="20" spans="1:15" ht="22.5" x14ac:dyDescent="0.4">
      <c r="A20" s="517" t="s">
        <v>143</v>
      </c>
      <c r="B20" s="404"/>
      <c r="C20" s="404"/>
      <c r="D20" s="414"/>
      <c r="E20" s="671"/>
      <c r="F20" s="671"/>
      <c r="G20" s="685">
        <f>G18+G19</f>
        <v>54</v>
      </c>
      <c r="H20" s="396">
        <f>G20</f>
        <v>54</v>
      </c>
      <c r="I20" s="415">
        <f>I18-J20</f>
        <v>11</v>
      </c>
      <c r="J20" s="397">
        <f>H20/DAY(B2)</f>
        <v>54</v>
      </c>
      <c r="K20" s="540"/>
      <c r="L20" s="429"/>
      <c r="N20" s="539"/>
      <c r="O20" s="171"/>
    </row>
    <row r="21" spans="1:15" ht="22.5" x14ac:dyDescent="0.4">
      <c r="A21" s="756" t="s">
        <v>144</v>
      </c>
      <c r="B21" s="757"/>
      <c r="C21" s="758"/>
      <c r="D21" s="391"/>
      <c r="E21" s="654"/>
      <c r="F21" s="654"/>
      <c r="G21" s="125"/>
      <c r="H21" s="654"/>
      <c r="I21" s="654"/>
      <c r="J21" s="655"/>
      <c r="K21" s="540"/>
      <c r="L21" s="429"/>
      <c r="N21" s="539"/>
      <c r="O21" s="171"/>
    </row>
    <row r="22" spans="1:15" ht="22.5" x14ac:dyDescent="0.4">
      <c r="A22" s="518" t="s">
        <v>145</v>
      </c>
      <c r="B22" s="407"/>
      <c r="C22" s="407"/>
      <c r="D22" s="394" t="s">
        <v>146</v>
      </c>
      <c r="E22" s="670">
        <v>2970</v>
      </c>
      <c r="F22" s="670">
        <v>2970</v>
      </c>
      <c r="G22" s="658">
        <f>(F22-E22)</f>
        <v>0</v>
      </c>
      <c r="H22" s="396">
        <f>G22</f>
        <v>0</v>
      </c>
      <c r="I22" s="396"/>
      <c r="J22" s="397">
        <f>H22/DAY(B2)</f>
        <v>0</v>
      </c>
      <c r="K22" s="540"/>
      <c r="L22" s="429"/>
      <c r="N22" s="539"/>
      <c r="O22" s="171"/>
    </row>
    <row r="23" spans="1:15" ht="22.5" x14ac:dyDescent="0.4">
      <c r="A23" s="518" t="s">
        <v>147</v>
      </c>
      <c r="B23" s="407"/>
      <c r="C23" s="407"/>
      <c r="D23" s="394" t="s">
        <v>146</v>
      </c>
      <c r="E23" s="670">
        <v>1500</v>
      </c>
      <c r="F23" s="670">
        <v>1500</v>
      </c>
      <c r="G23" s="658">
        <f t="shared" ref="G23" si="4">(F23-E23)</f>
        <v>0</v>
      </c>
      <c r="H23" s="396">
        <f t="shared" ref="H23:H24" si="5">G23</f>
        <v>0</v>
      </c>
      <c r="I23" s="396"/>
      <c r="J23" s="397">
        <f>H23/DAY(B2)</f>
        <v>0</v>
      </c>
      <c r="K23" s="540"/>
      <c r="L23" s="429"/>
      <c r="N23" s="539"/>
      <c r="O23" s="171"/>
    </row>
    <row r="24" spans="1:15" ht="22.5" x14ac:dyDescent="0.4">
      <c r="A24" s="520" t="s">
        <v>148</v>
      </c>
      <c r="B24" s="416"/>
      <c r="C24" s="416"/>
      <c r="D24" s="387" t="s">
        <v>146</v>
      </c>
      <c r="E24" s="672">
        <v>4970</v>
      </c>
      <c r="F24" s="672"/>
      <c r="G24" s="658">
        <f>SUM(G22:G23)</f>
        <v>0</v>
      </c>
      <c r="H24" s="396">
        <f t="shared" si="5"/>
        <v>0</v>
      </c>
      <c r="I24" s="396"/>
      <c r="J24" s="397">
        <f>H24/DAY(B2)</f>
        <v>0</v>
      </c>
      <c r="K24" s="540"/>
      <c r="L24" s="429"/>
      <c r="N24" s="539"/>
      <c r="O24" s="171"/>
    </row>
    <row r="25" spans="1:15" ht="22.5" x14ac:dyDescent="0.4">
      <c r="A25" s="753" t="s">
        <v>149</v>
      </c>
      <c r="B25" s="754"/>
      <c r="C25" s="755"/>
      <c r="D25" s="390"/>
      <c r="E25" s="654"/>
      <c r="F25" s="654"/>
      <c r="G25" s="125"/>
      <c r="H25" s="654"/>
      <c r="I25" s="673"/>
      <c r="J25" s="655"/>
      <c r="K25" s="540"/>
      <c r="L25" s="429"/>
      <c r="N25" s="539"/>
      <c r="O25" s="171"/>
    </row>
    <row r="26" spans="1:15" ht="22.5" x14ac:dyDescent="0.4">
      <c r="A26" s="521" t="s">
        <v>150</v>
      </c>
      <c r="B26" s="417"/>
      <c r="C26" s="418"/>
      <c r="D26" s="419" t="s">
        <v>151</v>
      </c>
      <c r="E26" s="674"/>
      <c r="F26" s="674"/>
      <c r="G26" s="686"/>
      <c r="H26" s="396"/>
      <c r="I26" s="420"/>
      <c r="J26" s="397"/>
      <c r="K26" s="541"/>
      <c r="L26" s="429"/>
      <c r="N26" s="539"/>
      <c r="O26" s="171"/>
    </row>
    <row r="27" spans="1:15" ht="22.5" x14ac:dyDescent="0.4">
      <c r="A27" s="521" t="s">
        <v>5</v>
      </c>
      <c r="B27" s="417"/>
      <c r="C27" s="418"/>
      <c r="D27" s="421" t="s">
        <v>24</v>
      </c>
      <c r="E27" s="675">
        <f>G8</f>
        <v>20449</v>
      </c>
      <c r="F27" s="675">
        <v>9</v>
      </c>
      <c r="G27" s="687">
        <f>E27*F27</f>
        <v>184041</v>
      </c>
      <c r="H27" s="396">
        <f t="shared" ref="H27:H32" si="6">G27</f>
        <v>184041</v>
      </c>
      <c r="I27" s="676"/>
      <c r="J27" s="397">
        <f>H27/DAY(B2)</f>
        <v>184041</v>
      </c>
      <c r="K27" s="540"/>
      <c r="L27" s="429"/>
      <c r="N27" s="539"/>
      <c r="O27" s="171"/>
    </row>
    <row r="28" spans="1:15" ht="22.5" x14ac:dyDescent="0.4">
      <c r="A28" s="521" t="s">
        <v>152</v>
      </c>
      <c r="B28" s="417"/>
      <c r="C28" s="418"/>
      <c r="D28" s="421" t="s">
        <v>153</v>
      </c>
      <c r="E28" s="675">
        <f>G15</f>
        <v>1070.0859999998938</v>
      </c>
      <c r="F28" s="675">
        <v>52</v>
      </c>
      <c r="G28" s="687">
        <f>E28*F28</f>
        <v>55644.471999994479</v>
      </c>
      <c r="H28" s="396">
        <f t="shared" si="6"/>
        <v>55644.471999994479</v>
      </c>
      <c r="I28" s="420"/>
      <c r="J28" s="397">
        <f>H28/DAY(B2)</f>
        <v>55644.471999994479</v>
      </c>
      <c r="K28" s="540"/>
      <c r="L28" s="429"/>
      <c r="N28" s="539"/>
      <c r="O28" s="171"/>
    </row>
    <row r="29" spans="1:15" ht="22.5" x14ac:dyDescent="0.4">
      <c r="A29" s="521" t="s">
        <v>154</v>
      </c>
      <c r="B29" s="417"/>
      <c r="C29" s="418"/>
      <c r="D29" s="421" t="s">
        <v>155</v>
      </c>
      <c r="E29" s="675">
        <f>G24</f>
        <v>0</v>
      </c>
      <c r="F29" s="675">
        <v>69</v>
      </c>
      <c r="G29" s="687">
        <f>E29*F29</f>
        <v>0</v>
      </c>
      <c r="H29" s="396">
        <f t="shared" si="6"/>
        <v>0</v>
      </c>
      <c r="I29" s="420"/>
      <c r="J29" s="397">
        <f>H29/DAY(B2)</f>
        <v>0</v>
      </c>
      <c r="K29" s="540"/>
      <c r="L29" s="429"/>
      <c r="N29" s="539"/>
      <c r="O29" s="171"/>
    </row>
    <row r="30" spans="1:15" ht="22.5" x14ac:dyDescent="0.4">
      <c r="A30" s="521" t="s">
        <v>156</v>
      </c>
      <c r="B30" s="417"/>
      <c r="C30" s="418"/>
      <c r="D30" s="421" t="s">
        <v>157</v>
      </c>
      <c r="E30" s="675">
        <f>G19</f>
        <v>54</v>
      </c>
      <c r="F30" s="675">
        <v>146</v>
      </c>
      <c r="G30" s="687">
        <f>E30*F30</f>
        <v>7884</v>
      </c>
      <c r="H30" s="396">
        <f t="shared" si="6"/>
        <v>7884</v>
      </c>
      <c r="I30" s="420"/>
      <c r="J30" s="397">
        <f>H30/DAY(B2)</f>
        <v>7884</v>
      </c>
      <c r="K30" s="540"/>
      <c r="L30" s="429"/>
      <c r="N30" s="539"/>
      <c r="O30" s="171"/>
    </row>
    <row r="31" spans="1:15" ht="22.5" x14ac:dyDescent="0.4">
      <c r="A31" s="521" t="s">
        <v>158</v>
      </c>
      <c r="B31" s="417"/>
      <c r="C31" s="418"/>
      <c r="D31" s="421" t="s">
        <v>142</v>
      </c>
      <c r="E31" s="675">
        <f>G18</f>
        <v>0</v>
      </c>
      <c r="F31" s="675">
        <v>80</v>
      </c>
      <c r="G31" s="687">
        <f>E31*F31</f>
        <v>0</v>
      </c>
      <c r="H31" s="396">
        <f t="shared" si="6"/>
        <v>0</v>
      </c>
      <c r="I31" s="420"/>
      <c r="J31" s="397">
        <f>H31/DAY(B2)</f>
        <v>0</v>
      </c>
      <c r="K31" s="540"/>
      <c r="L31" s="429"/>
      <c r="N31" s="539"/>
      <c r="O31" s="171"/>
    </row>
    <row r="32" spans="1:15" ht="22.5" x14ac:dyDescent="0.4">
      <c r="A32" s="522" t="s">
        <v>159</v>
      </c>
      <c r="B32" s="422"/>
      <c r="C32" s="423"/>
      <c r="D32" s="424"/>
      <c r="E32" s="656"/>
      <c r="F32" s="656"/>
      <c r="G32" s="694">
        <f>G27+G28+G29+G30+G31</f>
        <v>247569.47199999448</v>
      </c>
      <c r="H32" s="695">
        <f t="shared" si="6"/>
        <v>247569.47199999448</v>
      </c>
      <c r="I32" s="696"/>
      <c r="J32" s="697">
        <f>H32/DAY(B2)</f>
        <v>247569.47199999448</v>
      </c>
      <c r="K32" s="540"/>
      <c r="L32" s="429"/>
      <c r="N32" s="539"/>
      <c r="O32" s="171"/>
    </row>
    <row r="33" spans="1:15" ht="25.5" customHeight="1" x14ac:dyDescent="0.4">
      <c r="A33" s="764" t="s">
        <v>331</v>
      </c>
      <c r="B33" s="765"/>
      <c r="C33" s="765"/>
      <c r="D33" s="542"/>
      <c r="E33" s="677"/>
      <c r="F33" s="678"/>
      <c r="G33" s="688"/>
      <c r="H33" s="678"/>
      <c r="I33" s="678"/>
      <c r="J33" s="679"/>
      <c r="K33" s="540"/>
      <c r="L33" s="429"/>
      <c r="N33" s="539"/>
      <c r="O33" s="171"/>
    </row>
    <row r="34" spans="1:15" ht="22.5" x14ac:dyDescent="0.4">
      <c r="A34" s="523" t="s">
        <v>160</v>
      </c>
      <c r="B34" s="425"/>
      <c r="C34" s="425"/>
      <c r="D34" s="391"/>
      <c r="E34" s="654"/>
      <c r="F34" s="654"/>
      <c r="G34" s="486"/>
      <c r="H34" s="654"/>
      <c r="I34" s="654"/>
      <c r="J34" s="655"/>
      <c r="K34" s="540"/>
      <c r="L34" s="429"/>
      <c r="N34" s="539"/>
      <c r="O34" s="171"/>
    </row>
    <row r="35" spans="1:15" ht="22.5" x14ac:dyDescent="0.4">
      <c r="A35" s="514" t="s">
        <v>161</v>
      </c>
      <c r="B35" s="393"/>
      <c r="C35" s="393"/>
      <c r="D35" s="394" t="s">
        <v>130</v>
      </c>
      <c r="E35" s="668">
        <v>152842</v>
      </c>
      <c r="F35" s="668">
        <v>154894.12</v>
      </c>
      <c r="G35" s="683">
        <f t="shared" ref="G35:G46" si="7">F35-E35</f>
        <v>2052.1199999999953</v>
      </c>
      <c r="H35" s="396">
        <f t="shared" ref="H35:H47" si="8">G35</f>
        <v>2052.1199999999953</v>
      </c>
      <c r="I35" s="396"/>
      <c r="J35" s="397">
        <f>H35/DAY(B2)</f>
        <v>2052.1199999999953</v>
      </c>
      <c r="K35" s="540"/>
      <c r="L35" s="429"/>
      <c r="N35" s="539"/>
      <c r="O35" s="171"/>
    </row>
    <row r="36" spans="1:15" ht="22.5" x14ac:dyDescent="0.4">
      <c r="A36" s="514" t="s">
        <v>162</v>
      </c>
      <c r="B36" s="393"/>
      <c r="C36" s="393"/>
      <c r="D36" s="394" t="s">
        <v>130</v>
      </c>
      <c r="E36" s="668">
        <v>21527</v>
      </c>
      <c r="F36" s="668">
        <v>22412.33</v>
      </c>
      <c r="G36" s="683">
        <f t="shared" si="7"/>
        <v>885.33000000000175</v>
      </c>
      <c r="H36" s="396">
        <f t="shared" si="8"/>
        <v>885.33000000000175</v>
      </c>
      <c r="I36" s="396"/>
      <c r="J36" s="397">
        <f>H36/DAY(B2)</f>
        <v>885.33000000000175</v>
      </c>
      <c r="K36" s="540"/>
      <c r="L36" s="429"/>
      <c r="N36" s="539"/>
      <c r="O36" s="543"/>
    </row>
    <row r="37" spans="1:15" ht="22.5" x14ac:dyDescent="0.4">
      <c r="A37" s="514" t="s">
        <v>163</v>
      </c>
      <c r="B37" s="393"/>
      <c r="C37" s="393"/>
      <c r="D37" s="394" t="s">
        <v>130</v>
      </c>
      <c r="E37" s="668">
        <v>195393</v>
      </c>
      <c r="F37" s="668">
        <v>196966.51</v>
      </c>
      <c r="G37" s="683">
        <f t="shared" si="7"/>
        <v>1573.5100000000093</v>
      </c>
      <c r="H37" s="396">
        <f t="shared" si="8"/>
        <v>1573.5100000000093</v>
      </c>
      <c r="I37" s="396"/>
      <c r="J37" s="397">
        <f>H37/DAY(B2)</f>
        <v>1573.5100000000093</v>
      </c>
      <c r="K37" s="540"/>
      <c r="L37" s="429"/>
      <c r="N37" s="539"/>
      <c r="O37" s="544"/>
    </row>
    <row r="38" spans="1:15" ht="22.5" x14ac:dyDescent="0.4">
      <c r="A38" s="514" t="s">
        <v>164</v>
      </c>
      <c r="B38" s="393"/>
      <c r="C38" s="393"/>
      <c r="D38" s="394" t="s">
        <v>130</v>
      </c>
      <c r="E38" s="396">
        <v>232482</v>
      </c>
      <c r="F38" s="396">
        <v>234147.43</v>
      </c>
      <c r="G38" s="683">
        <f t="shared" si="7"/>
        <v>1665.429999999993</v>
      </c>
      <c r="H38" s="396">
        <f t="shared" si="8"/>
        <v>1665.429999999993</v>
      </c>
      <c r="I38" s="396"/>
      <c r="J38" s="397">
        <f>H38/DAY(B2)</f>
        <v>1665.429999999993</v>
      </c>
      <c r="K38" s="540"/>
      <c r="L38" s="429"/>
      <c r="N38" s="539"/>
      <c r="O38" s="171"/>
    </row>
    <row r="39" spans="1:15" ht="22.5" x14ac:dyDescent="0.4">
      <c r="A39" s="514" t="s">
        <v>165</v>
      </c>
      <c r="B39" s="393"/>
      <c r="C39" s="393"/>
      <c r="D39" s="394" t="s">
        <v>130</v>
      </c>
      <c r="E39" s="668">
        <v>411079</v>
      </c>
      <c r="F39" s="668">
        <v>413803.39</v>
      </c>
      <c r="G39" s="683">
        <f t="shared" si="7"/>
        <v>2724.390000000014</v>
      </c>
      <c r="H39" s="396">
        <f t="shared" si="8"/>
        <v>2724.390000000014</v>
      </c>
      <c r="I39" s="396"/>
      <c r="J39" s="397">
        <f>H39/DAY(B2)</f>
        <v>2724.390000000014</v>
      </c>
      <c r="K39" s="540"/>
      <c r="L39" s="429"/>
      <c r="N39" s="539"/>
      <c r="O39" s="171"/>
    </row>
    <row r="40" spans="1:15" ht="22.5" x14ac:dyDescent="0.4">
      <c r="A40" s="524" t="s">
        <v>166</v>
      </c>
      <c r="B40" s="426"/>
      <c r="C40" s="426"/>
      <c r="D40" s="394" t="s">
        <v>130</v>
      </c>
      <c r="E40" s="668">
        <v>5610</v>
      </c>
      <c r="F40" s="668">
        <v>5609.97</v>
      </c>
      <c r="G40" s="683">
        <f t="shared" si="7"/>
        <v>-2.9999999999745341E-2</v>
      </c>
      <c r="H40" s="396">
        <f t="shared" si="8"/>
        <v>-2.9999999999745341E-2</v>
      </c>
      <c r="I40" s="396"/>
      <c r="J40" s="397">
        <f>H40/DAY(B2)</f>
        <v>-2.9999999999745341E-2</v>
      </c>
      <c r="K40" s="541"/>
      <c r="L40" s="429"/>
      <c r="N40" s="539"/>
      <c r="O40" s="171"/>
    </row>
    <row r="41" spans="1:15" ht="22.5" x14ac:dyDescent="0.4">
      <c r="A41" s="514" t="s">
        <v>167</v>
      </c>
      <c r="B41" s="393"/>
      <c r="C41" s="393"/>
      <c r="D41" s="394" t="s">
        <v>130</v>
      </c>
      <c r="E41" s="668">
        <v>0</v>
      </c>
      <c r="F41" s="668">
        <v>0</v>
      </c>
      <c r="G41" s="683">
        <f t="shared" si="7"/>
        <v>0</v>
      </c>
      <c r="H41" s="396">
        <f t="shared" si="8"/>
        <v>0</v>
      </c>
      <c r="I41" s="396"/>
      <c r="J41" s="397">
        <f>H41/DAY(B2)</f>
        <v>0</v>
      </c>
      <c r="K41" s="540"/>
      <c r="L41" s="429"/>
      <c r="N41" s="539"/>
      <c r="O41" s="171"/>
    </row>
    <row r="42" spans="1:15" ht="22.5" x14ac:dyDescent="0.4">
      <c r="A42" s="514" t="s">
        <v>168</v>
      </c>
      <c r="B42" s="393"/>
      <c r="C42" s="393"/>
      <c r="D42" s="394" t="s">
        <v>130</v>
      </c>
      <c r="E42" s="668">
        <v>73809</v>
      </c>
      <c r="F42" s="668">
        <v>73808.600000000006</v>
      </c>
      <c r="G42" s="683">
        <f t="shared" si="7"/>
        <v>-0.39999999999417923</v>
      </c>
      <c r="H42" s="396">
        <f t="shared" si="8"/>
        <v>-0.39999999999417923</v>
      </c>
      <c r="I42" s="396"/>
      <c r="J42" s="397">
        <f>H42/DAY(B2)</f>
        <v>-0.39999999999417923</v>
      </c>
      <c r="K42" s="540"/>
      <c r="L42" s="429"/>
      <c r="N42" s="539"/>
      <c r="O42" s="171"/>
    </row>
    <row r="43" spans="1:15" ht="22.5" x14ac:dyDescent="0.4">
      <c r="A43" s="514" t="s">
        <v>169</v>
      </c>
      <c r="B43" s="393"/>
      <c r="C43" s="393"/>
      <c r="D43" s="394" t="s">
        <v>130</v>
      </c>
      <c r="E43" s="668">
        <v>47261</v>
      </c>
      <c r="F43" s="668">
        <v>49822.23</v>
      </c>
      <c r="G43" s="683">
        <f t="shared" si="7"/>
        <v>2561.2300000000032</v>
      </c>
      <c r="H43" s="396">
        <f t="shared" si="8"/>
        <v>2561.2300000000032</v>
      </c>
      <c r="I43" s="396"/>
      <c r="J43" s="397">
        <f>H43/DAY(B2)</f>
        <v>2561.2300000000032</v>
      </c>
      <c r="K43" s="540"/>
      <c r="L43" s="429"/>
      <c r="N43" s="539"/>
      <c r="O43" s="171"/>
    </row>
    <row r="44" spans="1:15" ht="22.5" x14ac:dyDescent="0.4">
      <c r="A44" s="514" t="s">
        <v>170</v>
      </c>
      <c r="B44" s="393"/>
      <c r="C44" s="393"/>
      <c r="D44" s="394" t="s">
        <v>130</v>
      </c>
      <c r="E44" s="668">
        <v>0</v>
      </c>
      <c r="F44" s="668">
        <v>0</v>
      </c>
      <c r="G44" s="683">
        <f t="shared" si="7"/>
        <v>0</v>
      </c>
      <c r="H44" s="396">
        <f t="shared" si="8"/>
        <v>0</v>
      </c>
      <c r="I44" s="396"/>
      <c r="J44" s="397">
        <f>H44/DAY(B2)</f>
        <v>0</v>
      </c>
      <c r="K44" s="540"/>
      <c r="L44" s="429"/>
      <c r="N44" s="539"/>
      <c r="O44" s="171"/>
    </row>
    <row r="45" spans="1:15" ht="22.5" x14ac:dyDescent="0.4">
      <c r="A45" s="514" t="s">
        <v>171</v>
      </c>
      <c r="B45" s="393"/>
      <c r="C45" s="393"/>
      <c r="D45" s="394" t="s">
        <v>130</v>
      </c>
      <c r="E45" s="668">
        <v>0</v>
      </c>
      <c r="F45" s="668">
        <v>0</v>
      </c>
      <c r="G45" s="683">
        <f t="shared" si="7"/>
        <v>0</v>
      </c>
      <c r="H45" s="396">
        <f t="shared" si="8"/>
        <v>0</v>
      </c>
      <c r="I45" s="396"/>
      <c r="J45" s="397">
        <f>H45/DAY(B2)</f>
        <v>0</v>
      </c>
      <c r="K45" s="540"/>
      <c r="L45" s="429"/>
      <c r="N45" s="539"/>
      <c r="O45" s="171"/>
    </row>
    <row r="46" spans="1:15" ht="22.5" x14ac:dyDescent="0.4">
      <c r="A46" s="514" t="s">
        <v>172</v>
      </c>
      <c r="B46" s="393"/>
      <c r="C46" s="393"/>
      <c r="D46" s="394" t="s">
        <v>130</v>
      </c>
      <c r="E46" s="668">
        <v>0</v>
      </c>
      <c r="F46" s="668">
        <v>0</v>
      </c>
      <c r="G46" s="683">
        <f t="shared" si="7"/>
        <v>0</v>
      </c>
      <c r="H46" s="396">
        <f t="shared" si="8"/>
        <v>0</v>
      </c>
      <c r="I46" s="396"/>
      <c r="J46" s="397">
        <f>H46/DAY(B2)</f>
        <v>0</v>
      </c>
      <c r="K46" s="540"/>
      <c r="L46" s="429"/>
      <c r="N46" s="539"/>
      <c r="O46" s="171"/>
    </row>
    <row r="47" spans="1:15" ht="22.5" x14ac:dyDescent="0.4">
      <c r="A47" s="517" t="s">
        <v>173</v>
      </c>
      <c r="B47" s="404"/>
      <c r="C47" s="404"/>
      <c r="D47" s="388"/>
      <c r="E47" s="396"/>
      <c r="F47" s="396"/>
      <c r="G47" s="658">
        <f>G35+G36+G37+G38+G39+G40+G41+G42+G43+G44+G45+G46</f>
        <v>11461.580000000024</v>
      </c>
      <c r="H47" s="396">
        <f t="shared" si="8"/>
        <v>11461.580000000024</v>
      </c>
      <c r="I47" s="396"/>
      <c r="J47" s="397">
        <f>H47/DAY(B2)</f>
        <v>11461.580000000024</v>
      </c>
      <c r="K47" s="540"/>
      <c r="L47" s="429"/>
      <c r="N47" s="539"/>
      <c r="O47" s="171"/>
    </row>
    <row r="48" spans="1:15" ht="22.5" x14ac:dyDescent="0.4">
      <c r="A48" s="523" t="s">
        <v>174</v>
      </c>
      <c r="B48" s="425"/>
      <c r="C48" s="425"/>
      <c r="D48" s="391"/>
      <c r="E48" s="654"/>
      <c r="F48" s="654"/>
      <c r="G48" s="486"/>
      <c r="H48" s="654"/>
      <c r="I48" s="654"/>
      <c r="J48" s="655"/>
      <c r="K48" s="540"/>
      <c r="L48" s="429"/>
      <c r="N48" s="539"/>
      <c r="O48" s="171"/>
    </row>
    <row r="49" spans="1:15" ht="22.5" x14ac:dyDescent="0.4">
      <c r="A49" s="514" t="s">
        <v>161</v>
      </c>
      <c r="B49" s="427"/>
      <c r="C49" s="427"/>
      <c r="D49" s="394" t="s">
        <v>130</v>
      </c>
      <c r="E49" s="668">
        <v>272240</v>
      </c>
      <c r="F49" s="668">
        <v>273858.83</v>
      </c>
      <c r="G49" s="683">
        <f t="shared" ref="G49:G58" si="9">F49-E49</f>
        <v>1618.8300000000163</v>
      </c>
      <c r="H49" s="396">
        <f t="shared" ref="H49:H60" si="10">G49</f>
        <v>1618.8300000000163</v>
      </c>
      <c r="I49" s="396"/>
      <c r="J49" s="397">
        <f>H49/DAY(B2)</f>
        <v>1618.8300000000163</v>
      </c>
      <c r="K49" s="540"/>
      <c r="L49" s="429"/>
      <c r="N49" s="539"/>
      <c r="O49" s="171"/>
    </row>
    <row r="50" spans="1:15" ht="22.5" x14ac:dyDescent="0.4">
      <c r="A50" s="514" t="s">
        <v>175</v>
      </c>
      <c r="B50" s="427"/>
      <c r="C50" s="427"/>
      <c r="D50" s="394" t="s">
        <v>130</v>
      </c>
      <c r="E50" s="668">
        <v>24650</v>
      </c>
      <c r="F50" s="668">
        <v>25886.02</v>
      </c>
      <c r="G50" s="683">
        <f t="shared" si="9"/>
        <v>1236.0200000000004</v>
      </c>
      <c r="H50" s="396">
        <f t="shared" si="10"/>
        <v>1236.0200000000004</v>
      </c>
      <c r="I50" s="396"/>
      <c r="J50" s="397">
        <f>H50/DAY(B2)</f>
        <v>1236.0200000000004</v>
      </c>
      <c r="K50" s="540"/>
      <c r="L50" s="429"/>
      <c r="N50" s="539"/>
      <c r="O50" s="171"/>
    </row>
    <row r="51" spans="1:15" ht="22.5" x14ac:dyDescent="0.4">
      <c r="A51" s="514" t="s">
        <v>163</v>
      </c>
      <c r="B51" s="427"/>
      <c r="C51" s="427"/>
      <c r="D51" s="394" t="s">
        <v>130</v>
      </c>
      <c r="E51" s="668">
        <v>0</v>
      </c>
      <c r="F51" s="668">
        <v>0</v>
      </c>
      <c r="G51" s="683">
        <f t="shared" si="9"/>
        <v>0</v>
      </c>
      <c r="H51" s="396">
        <f t="shared" si="10"/>
        <v>0</v>
      </c>
      <c r="I51" s="396"/>
      <c r="J51" s="397">
        <f>H51/DAY(B2)</f>
        <v>0</v>
      </c>
      <c r="K51" s="540"/>
      <c r="L51" s="429"/>
      <c r="N51" s="539"/>
      <c r="O51" s="171"/>
    </row>
    <row r="52" spans="1:15" ht="22.5" x14ac:dyDescent="0.4">
      <c r="A52" s="514" t="s">
        <v>176</v>
      </c>
      <c r="B52" s="427"/>
      <c r="C52" s="427"/>
      <c r="D52" s="394" t="s">
        <v>130</v>
      </c>
      <c r="E52" s="668">
        <v>0</v>
      </c>
      <c r="F52" s="668">
        <v>0</v>
      </c>
      <c r="G52" s="683">
        <f t="shared" si="9"/>
        <v>0</v>
      </c>
      <c r="H52" s="396">
        <f t="shared" si="10"/>
        <v>0</v>
      </c>
      <c r="I52" s="396"/>
      <c r="J52" s="397">
        <f>H52/DAY(B2)</f>
        <v>0</v>
      </c>
      <c r="K52" s="540"/>
      <c r="L52" s="429"/>
      <c r="N52" s="539"/>
      <c r="O52" s="171"/>
    </row>
    <row r="53" spans="1:15" ht="22.5" x14ac:dyDescent="0.4">
      <c r="A53" s="514" t="s">
        <v>165</v>
      </c>
      <c r="B53" s="427"/>
      <c r="C53" s="427"/>
      <c r="D53" s="394" t="s">
        <v>130</v>
      </c>
      <c r="E53" s="668">
        <v>0</v>
      </c>
      <c r="F53" s="668">
        <v>0</v>
      </c>
      <c r="G53" s="683">
        <f t="shared" si="9"/>
        <v>0</v>
      </c>
      <c r="H53" s="396">
        <f t="shared" si="10"/>
        <v>0</v>
      </c>
      <c r="I53" s="396"/>
      <c r="J53" s="397">
        <f>H53/DAY(B2)</f>
        <v>0</v>
      </c>
      <c r="K53" s="540"/>
      <c r="L53" s="429"/>
      <c r="N53" s="539"/>
      <c r="O53" s="171"/>
    </row>
    <row r="54" spans="1:15" ht="22.5" x14ac:dyDescent="0.4">
      <c r="A54" s="514" t="s">
        <v>177</v>
      </c>
      <c r="B54" s="427"/>
      <c r="C54" s="427"/>
      <c r="D54" s="394" t="s">
        <v>130</v>
      </c>
      <c r="E54" s="668">
        <v>3183</v>
      </c>
      <c r="F54" s="668">
        <v>3188.13</v>
      </c>
      <c r="G54" s="683">
        <f t="shared" si="9"/>
        <v>5.1300000000001091</v>
      </c>
      <c r="H54" s="396">
        <f t="shared" si="10"/>
        <v>5.1300000000001091</v>
      </c>
      <c r="I54" s="396"/>
      <c r="J54" s="397">
        <f>H54/DAY(B2)</f>
        <v>5.1300000000001091</v>
      </c>
      <c r="K54" s="540"/>
      <c r="L54" s="429"/>
      <c r="N54" s="539"/>
      <c r="O54" s="171"/>
    </row>
    <row r="55" spans="1:15" ht="22.5" x14ac:dyDescent="0.4">
      <c r="A55" s="514" t="s">
        <v>178</v>
      </c>
      <c r="B55" s="427"/>
      <c r="C55" s="427"/>
      <c r="D55" s="394" t="s">
        <v>130</v>
      </c>
      <c r="E55" s="668">
        <v>3511</v>
      </c>
      <c r="F55" s="668">
        <v>5942.82</v>
      </c>
      <c r="G55" s="683">
        <f t="shared" si="9"/>
        <v>2431.8199999999997</v>
      </c>
      <c r="H55" s="396">
        <f t="shared" si="10"/>
        <v>2431.8199999999997</v>
      </c>
      <c r="I55" s="396"/>
      <c r="J55" s="397">
        <f>H55/DAY(B2)</f>
        <v>2431.8199999999997</v>
      </c>
      <c r="K55" s="540"/>
      <c r="L55" s="429"/>
      <c r="N55" s="539"/>
      <c r="O55" s="171"/>
    </row>
    <row r="56" spans="1:15" ht="22.5" x14ac:dyDescent="0.4">
      <c r="A56" s="514" t="s">
        <v>179</v>
      </c>
      <c r="B56" s="427"/>
      <c r="C56" s="427"/>
      <c r="D56" s="394" t="s">
        <v>180</v>
      </c>
      <c r="E56" s="668">
        <v>8610.5400000000009</v>
      </c>
      <c r="F56" s="668">
        <v>8610.5400000000009</v>
      </c>
      <c r="G56" s="683">
        <f t="shared" si="9"/>
        <v>0</v>
      </c>
      <c r="H56" s="396">
        <f t="shared" si="10"/>
        <v>0</v>
      </c>
      <c r="I56" s="396"/>
      <c r="J56" s="397">
        <f>H56/DAY(B2)</f>
        <v>0</v>
      </c>
      <c r="K56" s="537"/>
      <c r="L56" s="429"/>
      <c r="N56" s="539"/>
      <c r="O56" s="171"/>
    </row>
    <row r="57" spans="1:15" ht="22.5" x14ac:dyDescent="0.4">
      <c r="A57" s="514" t="s">
        <v>169</v>
      </c>
      <c r="B57" s="427"/>
      <c r="C57" s="427"/>
      <c r="D57" s="394" t="s">
        <v>130</v>
      </c>
      <c r="E57" s="668">
        <v>0</v>
      </c>
      <c r="F57" s="668">
        <v>0</v>
      </c>
      <c r="G57" s="683">
        <f t="shared" si="9"/>
        <v>0</v>
      </c>
      <c r="H57" s="396">
        <f t="shared" si="10"/>
        <v>0</v>
      </c>
      <c r="I57" s="396"/>
      <c r="J57" s="397">
        <f>H57/DAY(B2)</f>
        <v>0</v>
      </c>
      <c r="K57" s="540"/>
      <c r="L57" s="429"/>
      <c r="N57" s="539"/>
      <c r="O57" s="171"/>
    </row>
    <row r="58" spans="1:15" ht="22.5" x14ac:dyDescent="0.4">
      <c r="A58" s="514" t="s">
        <v>181</v>
      </c>
      <c r="B58" s="427"/>
      <c r="C58" s="427"/>
      <c r="D58" s="394" t="s">
        <v>130</v>
      </c>
      <c r="E58" s="668">
        <v>92285</v>
      </c>
      <c r="F58" s="668">
        <v>92510.94</v>
      </c>
      <c r="G58" s="683">
        <f t="shared" si="9"/>
        <v>225.94000000000233</v>
      </c>
      <c r="H58" s="396">
        <f t="shared" si="10"/>
        <v>225.94000000000233</v>
      </c>
      <c r="I58" s="396"/>
      <c r="J58" s="397">
        <f>H58/DAY(B2)</f>
        <v>225.94000000000233</v>
      </c>
      <c r="K58" s="540"/>
      <c r="L58" s="429"/>
      <c r="N58" s="539"/>
      <c r="O58" s="171"/>
    </row>
    <row r="59" spans="1:15" ht="22.5" x14ac:dyDescent="0.4">
      <c r="A59" s="517" t="s">
        <v>173</v>
      </c>
      <c r="B59" s="404"/>
      <c r="C59" s="404"/>
      <c r="D59" s="387"/>
      <c r="E59" s="396"/>
      <c r="F59" s="396"/>
      <c r="G59" s="658">
        <f>G49+G50+G51+G52+G53+G54+G55+G56+G57+G58</f>
        <v>5517.7400000000189</v>
      </c>
      <c r="H59" s="396">
        <f t="shared" si="10"/>
        <v>5517.7400000000189</v>
      </c>
      <c r="I59" s="396">
        <f>G7-G60</f>
        <v>3027.2099999999555</v>
      </c>
      <c r="J59" s="397">
        <f>H59/DAY(B2)</f>
        <v>5517.7400000000189</v>
      </c>
      <c r="K59" s="540"/>
      <c r="L59" s="429"/>
      <c r="N59" s="539"/>
      <c r="O59" s="171"/>
    </row>
    <row r="60" spans="1:15" ht="22.5" x14ac:dyDescent="0.4">
      <c r="A60" s="514"/>
      <c r="B60" s="393"/>
      <c r="C60" s="393"/>
      <c r="D60" s="387" t="s">
        <v>182</v>
      </c>
      <c r="E60" s="396"/>
      <c r="F60" s="396"/>
      <c r="G60" s="658">
        <f>G47+G59</f>
        <v>16979.320000000043</v>
      </c>
      <c r="H60" s="396">
        <f t="shared" si="10"/>
        <v>16979.320000000043</v>
      </c>
      <c r="I60" s="396">
        <f>G13-G60</f>
        <v>-16979.320000000043</v>
      </c>
      <c r="J60" s="397">
        <f>H60/DAY(B2)</f>
        <v>16979.320000000043</v>
      </c>
      <c r="K60" s="540"/>
      <c r="L60" s="429"/>
      <c r="N60" s="539"/>
      <c r="O60" s="171"/>
    </row>
    <row r="61" spans="1:15" s="547" customFormat="1" ht="22.5" x14ac:dyDescent="0.4">
      <c r="A61" s="766" t="s">
        <v>332</v>
      </c>
      <c r="B61" s="767"/>
      <c r="C61" s="768"/>
      <c r="D61" s="428"/>
      <c r="E61" s="652"/>
      <c r="F61" s="652"/>
      <c r="G61" s="340"/>
      <c r="H61" s="652"/>
      <c r="I61" s="652"/>
      <c r="J61" s="680"/>
      <c r="K61" s="545"/>
      <c r="L61" s="546"/>
      <c r="N61" s="539"/>
      <c r="O61" s="171"/>
    </row>
    <row r="62" spans="1:15" ht="22.5" x14ac:dyDescent="0.4">
      <c r="A62" s="747" t="s">
        <v>198</v>
      </c>
      <c r="B62" s="748"/>
      <c r="C62" s="749"/>
      <c r="D62" s="394" t="s">
        <v>142</v>
      </c>
      <c r="E62" s="670">
        <v>267213</v>
      </c>
      <c r="F62" s="670">
        <v>267213</v>
      </c>
      <c r="G62" s="683">
        <f t="shared" ref="G62:G63" si="11">F62-E62</f>
        <v>0</v>
      </c>
      <c r="H62" s="396">
        <f t="shared" ref="H62:H71" si="12">G62</f>
        <v>0</v>
      </c>
      <c r="I62" s="396"/>
      <c r="J62" s="397">
        <f>H62/DAY(B2)</f>
        <v>0</v>
      </c>
      <c r="K62" s="541"/>
      <c r="L62" s="429"/>
      <c r="N62" s="539"/>
      <c r="O62" s="171"/>
    </row>
    <row r="63" spans="1:15" ht="22.5" x14ac:dyDescent="0.4">
      <c r="A63" s="747" t="s">
        <v>199</v>
      </c>
      <c r="B63" s="748"/>
      <c r="C63" s="749"/>
      <c r="D63" s="394" t="s">
        <v>142</v>
      </c>
      <c r="E63" s="670">
        <v>212425</v>
      </c>
      <c r="F63" s="670">
        <v>212558</v>
      </c>
      <c r="G63" s="683">
        <f t="shared" si="11"/>
        <v>133</v>
      </c>
      <c r="H63" s="396">
        <f t="shared" si="12"/>
        <v>133</v>
      </c>
      <c r="I63" s="396"/>
      <c r="J63" s="397">
        <f>H63/DAY(B2)</f>
        <v>133</v>
      </c>
      <c r="K63" s="545"/>
      <c r="L63" s="429"/>
      <c r="N63" s="539"/>
      <c r="O63" s="171"/>
    </row>
    <row r="64" spans="1:15" ht="22.5" x14ac:dyDescent="0.4">
      <c r="A64" s="732" t="s">
        <v>200</v>
      </c>
      <c r="B64" s="733"/>
      <c r="C64" s="734"/>
      <c r="D64" s="394"/>
      <c r="E64" s="670"/>
      <c r="F64" s="670"/>
      <c r="G64" s="683">
        <f>G62+G63</f>
        <v>133</v>
      </c>
      <c r="H64" s="396">
        <f t="shared" si="12"/>
        <v>133</v>
      </c>
      <c r="I64" s="396"/>
      <c r="J64" s="397">
        <f>H64/DAY(B2)</f>
        <v>133</v>
      </c>
      <c r="K64" s="545"/>
      <c r="L64" s="429"/>
      <c r="N64" s="539"/>
      <c r="O64" s="171"/>
    </row>
    <row r="65" spans="1:15" ht="22.5" x14ac:dyDescent="0.4">
      <c r="A65" s="759" t="s">
        <v>201</v>
      </c>
      <c r="B65" s="760"/>
      <c r="C65" s="761"/>
      <c r="D65" s="394" t="s">
        <v>142</v>
      </c>
      <c r="E65" s="670">
        <v>432614</v>
      </c>
      <c r="F65" s="670">
        <v>432712</v>
      </c>
      <c r="G65" s="683">
        <f t="shared" ref="G65:G70" si="13">F65-E65</f>
        <v>98</v>
      </c>
      <c r="H65" s="396">
        <f t="shared" si="12"/>
        <v>98</v>
      </c>
      <c r="I65" s="396"/>
      <c r="J65" s="397">
        <f>H65/DAY(B2)</f>
        <v>98</v>
      </c>
      <c r="K65" s="545"/>
      <c r="L65" s="429"/>
      <c r="N65" s="539"/>
      <c r="O65" s="171"/>
    </row>
    <row r="66" spans="1:15" ht="22.5" x14ac:dyDescent="0.4">
      <c r="A66" s="518" t="s">
        <v>202</v>
      </c>
      <c r="B66" s="407"/>
      <c r="C66" s="407"/>
      <c r="D66" s="394" t="s">
        <v>142</v>
      </c>
      <c r="E66" s="670">
        <v>107214</v>
      </c>
      <c r="F66" s="670">
        <v>107242</v>
      </c>
      <c r="G66" s="683">
        <f t="shared" si="13"/>
        <v>28</v>
      </c>
      <c r="H66" s="396">
        <f t="shared" si="12"/>
        <v>28</v>
      </c>
      <c r="I66" s="396"/>
      <c r="J66" s="397">
        <f>H66/DAY(B2)</f>
        <v>28</v>
      </c>
      <c r="K66" s="537"/>
      <c r="L66" s="429"/>
      <c r="N66" s="539"/>
      <c r="O66" s="171"/>
    </row>
    <row r="67" spans="1:15" ht="22.5" x14ac:dyDescent="0.4">
      <c r="A67" s="518" t="s">
        <v>203</v>
      </c>
      <c r="B67" s="407"/>
      <c r="C67" s="407"/>
      <c r="D67" s="394" t="s">
        <v>142</v>
      </c>
      <c r="E67" s="670">
        <v>103928</v>
      </c>
      <c r="F67" s="670">
        <v>103968</v>
      </c>
      <c r="G67" s="683">
        <f t="shared" si="13"/>
        <v>40</v>
      </c>
      <c r="H67" s="396">
        <f t="shared" si="12"/>
        <v>40</v>
      </c>
      <c r="I67" s="396"/>
      <c r="J67" s="397">
        <f>H67/DAY(B2)</f>
        <v>40</v>
      </c>
      <c r="K67" s="548"/>
      <c r="L67" s="429"/>
      <c r="N67" s="539"/>
      <c r="O67" s="171"/>
    </row>
    <row r="68" spans="1:15" ht="22.5" x14ac:dyDescent="0.4">
      <c r="A68" s="518" t="s">
        <v>204</v>
      </c>
      <c r="B68" s="407"/>
      <c r="C68" s="407"/>
      <c r="D68" s="394" t="s">
        <v>142</v>
      </c>
      <c r="E68" s="670">
        <v>156620</v>
      </c>
      <c r="F68" s="670">
        <v>156634</v>
      </c>
      <c r="G68" s="683">
        <f t="shared" si="13"/>
        <v>14</v>
      </c>
      <c r="H68" s="396">
        <f t="shared" si="12"/>
        <v>14</v>
      </c>
      <c r="I68" s="396"/>
      <c r="J68" s="397">
        <f>H68/DAY(B2)</f>
        <v>14</v>
      </c>
      <c r="K68" s="545"/>
      <c r="L68" s="429"/>
      <c r="N68" s="539"/>
      <c r="O68" s="171"/>
    </row>
    <row r="69" spans="1:15" ht="22.5" x14ac:dyDescent="0.4">
      <c r="A69" s="518" t="s">
        <v>205</v>
      </c>
      <c r="B69" s="407"/>
      <c r="C69" s="407"/>
      <c r="D69" s="394" t="s">
        <v>142</v>
      </c>
      <c r="E69" s="670">
        <v>10214</v>
      </c>
      <c r="F69" s="670">
        <v>10239</v>
      </c>
      <c r="G69" s="683">
        <f t="shared" si="13"/>
        <v>25</v>
      </c>
      <c r="H69" s="396">
        <f t="shared" si="12"/>
        <v>25</v>
      </c>
      <c r="I69" s="396"/>
      <c r="J69" s="397">
        <f>H69/DAY(B2)</f>
        <v>25</v>
      </c>
      <c r="K69" s="545"/>
      <c r="L69" s="429"/>
      <c r="N69" s="539"/>
      <c r="O69" s="171"/>
    </row>
    <row r="70" spans="1:15" ht="22.5" x14ac:dyDescent="0.4">
      <c r="A70" s="518" t="s">
        <v>206</v>
      </c>
      <c r="B70" s="407"/>
      <c r="C70" s="407"/>
      <c r="D70" s="394" t="s">
        <v>142</v>
      </c>
      <c r="E70" s="413">
        <v>7862</v>
      </c>
      <c r="F70" s="413">
        <v>7875</v>
      </c>
      <c r="G70" s="689">
        <f t="shared" si="13"/>
        <v>13</v>
      </c>
      <c r="H70" s="396">
        <f t="shared" si="12"/>
        <v>13</v>
      </c>
      <c r="I70" s="395"/>
      <c r="J70" s="397">
        <f>H70/DAY(B2)</f>
        <v>13</v>
      </c>
      <c r="K70" s="545"/>
      <c r="L70" s="429"/>
      <c r="N70" s="539"/>
      <c r="O70" s="171"/>
    </row>
    <row r="71" spans="1:15" ht="22.5" x14ac:dyDescent="0.4">
      <c r="A71" s="732" t="s">
        <v>208</v>
      </c>
      <c r="B71" s="733"/>
      <c r="C71" s="734"/>
      <c r="D71" s="411"/>
      <c r="E71" s="411"/>
      <c r="F71" s="411"/>
      <c r="G71" s="573">
        <f>SUM(G65:G70)</f>
        <v>218</v>
      </c>
      <c r="H71" s="396">
        <f t="shared" si="12"/>
        <v>218</v>
      </c>
      <c r="I71" s="659"/>
      <c r="J71" s="397">
        <f>H71/DAY(B2)</f>
        <v>218</v>
      </c>
      <c r="K71" s="545"/>
      <c r="L71" s="429"/>
      <c r="N71" s="539"/>
      <c r="O71" s="171"/>
    </row>
    <row r="72" spans="1:15" ht="22.5" x14ac:dyDescent="0.4">
      <c r="A72" s="769"/>
      <c r="B72" s="746"/>
      <c r="C72" s="507"/>
      <c r="D72" s="429"/>
      <c r="E72" s="660"/>
      <c r="F72" s="660"/>
      <c r="G72" s="690"/>
      <c r="H72" s="430"/>
      <c r="I72" s="660"/>
      <c r="J72" s="661"/>
      <c r="N72" s="539"/>
      <c r="O72" s="171"/>
    </row>
    <row r="73" spans="1:15" ht="22.5" x14ac:dyDescent="0.4">
      <c r="A73" s="766" t="s">
        <v>333</v>
      </c>
      <c r="B73" s="767"/>
      <c r="C73" s="768"/>
      <c r="D73" s="428"/>
      <c r="E73" s="428"/>
      <c r="F73" s="428"/>
      <c r="G73" s="572"/>
      <c r="H73" s="431"/>
      <c r="I73" s="431"/>
      <c r="J73" s="432"/>
      <c r="K73" s="545"/>
      <c r="L73" s="429"/>
      <c r="N73" s="539"/>
      <c r="O73" s="171"/>
    </row>
    <row r="74" spans="1:15" ht="22.5" x14ac:dyDescent="0.4">
      <c r="A74" s="747" t="s">
        <v>220</v>
      </c>
      <c r="B74" s="748"/>
      <c r="C74" s="749"/>
      <c r="D74" s="394" t="s">
        <v>139</v>
      </c>
      <c r="E74" s="408">
        <v>892032</v>
      </c>
      <c r="F74" s="408">
        <v>892299.77</v>
      </c>
      <c r="G74" s="689">
        <f t="shared" ref="G74:G78" si="14">F74-E74</f>
        <v>267.77000000001863</v>
      </c>
      <c r="H74" s="396">
        <f t="shared" ref="H74:H79" si="15">G74</f>
        <v>267.77000000001863</v>
      </c>
      <c r="I74" s="659"/>
      <c r="J74" s="397">
        <f>H74/DAY(B2)</f>
        <v>267.77000000001863</v>
      </c>
      <c r="K74" s="545"/>
      <c r="L74" s="429"/>
      <c r="N74" s="539"/>
      <c r="O74" s="171"/>
    </row>
    <row r="75" spans="1:15" ht="22.5" x14ac:dyDescent="0.4">
      <c r="A75" s="747" t="s">
        <v>221</v>
      </c>
      <c r="B75" s="748"/>
      <c r="C75" s="749"/>
      <c r="D75" s="394" t="s">
        <v>139</v>
      </c>
      <c r="E75" s="408">
        <v>73586.8</v>
      </c>
      <c r="F75" s="408">
        <v>73586.8</v>
      </c>
      <c r="G75" s="689">
        <f t="shared" si="14"/>
        <v>0</v>
      </c>
      <c r="H75" s="396">
        <f t="shared" si="15"/>
        <v>0</v>
      </c>
      <c r="I75" s="659"/>
      <c r="J75" s="397">
        <f>H75/DAY(B2)</f>
        <v>0</v>
      </c>
      <c r="K75" s="545"/>
      <c r="L75" s="429"/>
      <c r="N75" s="539"/>
      <c r="O75" s="171"/>
    </row>
    <row r="76" spans="1:15" ht="22.5" x14ac:dyDescent="0.4">
      <c r="A76" s="770" t="s">
        <v>222</v>
      </c>
      <c r="B76" s="771"/>
      <c r="C76" s="772"/>
      <c r="D76" s="394" t="s">
        <v>139</v>
      </c>
      <c r="E76" s="408">
        <v>167207</v>
      </c>
      <c r="F76" s="408">
        <v>167309.91</v>
      </c>
      <c r="G76" s="689">
        <f t="shared" si="14"/>
        <v>102.91000000000349</v>
      </c>
      <c r="H76" s="396">
        <f t="shared" si="15"/>
        <v>102.91000000000349</v>
      </c>
      <c r="I76" s="659"/>
      <c r="J76" s="397">
        <f>H76/DAY(B2)</f>
        <v>102.91000000000349</v>
      </c>
      <c r="K76" s="545"/>
      <c r="L76" s="429"/>
      <c r="N76" s="539"/>
      <c r="O76" s="171"/>
    </row>
    <row r="77" spans="1:15" ht="22.5" x14ac:dyDescent="0.4">
      <c r="A77" s="770" t="s">
        <v>223</v>
      </c>
      <c r="B77" s="771"/>
      <c r="C77" s="772"/>
      <c r="D77" s="394" t="s">
        <v>139</v>
      </c>
      <c r="E77" s="509">
        <v>40316</v>
      </c>
      <c r="F77" s="408">
        <v>40343.4</v>
      </c>
      <c r="G77" s="689">
        <f t="shared" si="14"/>
        <v>27.400000000001455</v>
      </c>
      <c r="H77" s="396">
        <f t="shared" si="15"/>
        <v>27.400000000001455</v>
      </c>
      <c r="I77" s="659"/>
      <c r="J77" s="397">
        <f>H77/DAY(B2)</f>
        <v>27.400000000001455</v>
      </c>
      <c r="K77" s="545"/>
      <c r="L77" s="429"/>
      <c r="N77" s="539"/>
      <c r="O77" s="171"/>
    </row>
    <row r="78" spans="1:15" ht="22.5" x14ac:dyDescent="0.4">
      <c r="A78" s="770" t="s">
        <v>224</v>
      </c>
      <c r="B78" s="771"/>
      <c r="C78" s="772"/>
      <c r="D78" s="394" t="s">
        <v>139</v>
      </c>
      <c r="E78" s="408">
        <v>9486</v>
      </c>
      <c r="F78" s="408">
        <v>9487.9</v>
      </c>
      <c r="G78" s="689">
        <f t="shared" si="14"/>
        <v>1.8999999999996362</v>
      </c>
      <c r="H78" s="396">
        <f t="shared" si="15"/>
        <v>1.8999999999996362</v>
      </c>
      <c r="I78" s="395"/>
      <c r="J78" s="397">
        <f>H78/DAY(B2)</f>
        <v>1.8999999999996362</v>
      </c>
      <c r="K78" s="545"/>
      <c r="L78" s="429"/>
      <c r="N78" s="539"/>
      <c r="O78" s="171"/>
    </row>
    <row r="79" spans="1:15" ht="22.5" x14ac:dyDescent="0.4">
      <c r="A79" s="770" t="s">
        <v>225</v>
      </c>
      <c r="B79" s="771"/>
      <c r="C79" s="772"/>
      <c r="D79" s="394"/>
      <c r="E79" s="408"/>
      <c r="F79" s="408"/>
      <c r="G79" s="689">
        <f>G15-SUM(G74:G78)</f>
        <v>670.10599999987062</v>
      </c>
      <c r="H79" s="396">
        <f t="shared" si="15"/>
        <v>670.10599999987062</v>
      </c>
      <c r="I79" s="395"/>
      <c r="J79" s="397"/>
      <c r="K79" s="545"/>
      <c r="L79" s="429"/>
      <c r="N79" s="539"/>
      <c r="O79" s="171"/>
    </row>
    <row r="80" spans="1:15" ht="22.5" x14ac:dyDescent="0.4">
      <c r="A80" s="732" t="s">
        <v>329</v>
      </c>
      <c r="B80" s="733"/>
      <c r="C80" s="734"/>
      <c r="D80" s="394"/>
      <c r="E80" s="402"/>
      <c r="F80" s="402"/>
      <c r="G80" s="689">
        <f>SUM(G74:G79)</f>
        <v>1070.0859999998938</v>
      </c>
      <c r="H80" s="396"/>
      <c r="I80" s="395"/>
      <c r="J80" s="397"/>
      <c r="K80" s="545"/>
      <c r="L80" s="429"/>
      <c r="N80" s="539"/>
      <c r="O80" s="171"/>
    </row>
    <row r="81" spans="1:15" ht="22.5" x14ac:dyDescent="0.4">
      <c r="A81" s="773" t="s">
        <v>226</v>
      </c>
      <c r="B81" s="774"/>
      <c r="C81" s="775"/>
      <c r="D81" s="390"/>
      <c r="E81" s="391"/>
      <c r="F81" s="391"/>
      <c r="G81" s="575"/>
      <c r="H81" s="433"/>
      <c r="I81" s="433"/>
      <c r="J81" s="434"/>
      <c r="O81" s="171"/>
    </row>
    <row r="82" spans="1:15" ht="22.5" x14ac:dyDescent="0.4">
      <c r="A82" s="518" t="s">
        <v>227</v>
      </c>
      <c r="B82" s="407"/>
      <c r="C82" s="407"/>
      <c r="D82" s="394" t="s">
        <v>228</v>
      </c>
      <c r="E82" s="413">
        <v>0</v>
      </c>
      <c r="F82" s="413">
        <v>0</v>
      </c>
      <c r="G82" s="689">
        <f t="shared" ref="G82:G92" si="16">F82-E82</f>
        <v>0</v>
      </c>
      <c r="H82" s="396">
        <f t="shared" ref="H82:H92" si="17">G82</f>
        <v>0</v>
      </c>
      <c r="I82" s="395"/>
      <c r="J82" s="397">
        <f>H82/DAY(B2)</f>
        <v>0</v>
      </c>
      <c r="O82" s="171"/>
    </row>
    <row r="83" spans="1:15" ht="22.5" x14ac:dyDescent="0.4">
      <c r="A83" s="518" t="s">
        <v>229</v>
      </c>
      <c r="B83" s="407"/>
      <c r="C83" s="407"/>
      <c r="D83" s="394" t="s">
        <v>228</v>
      </c>
      <c r="E83" s="413">
        <v>0</v>
      </c>
      <c r="F83" s="413">
        <v>0</v>
      </c>
      <c r="G83" s="689">
        <f t="shared" si="16"/>
        <v>0</v>
      </c>
      <c r="H83" s="396">
        <f t="shared" si="17"/>
        <v>0</v>
      </c>
      <c r="I83" s="395"/>
      <c r="J83" s="397">
        <f>H83/DAY(B2)</f>
        <v>0</v>
      </c>
      <c r="O83" s="171"/>
    </row>
    <row r="84" spans="1:15" ht="22.5" x14ac:dyDescent="0.4">
      <c r="A84" s="518" t="s">
        <v>230</v>
      </c>
      <c r="B84" s="407"/>
      <c r="C84" s="407"/>
      <c r="D84" s="394" t="s">
        <v>228</v>
      </c>
      <c r="E84" s="435">
        <v>41675</v>
      </c>
      <c r="F84" s="435">
        <v>41675</v>
      </c>
      <c r="G84" s="689">
        <f t="shared" si="16"/>
        <v>0</v>
      </c>
      <c r="H84" s="396">
        <f t="shared" si="17"/>
        <v>0</v>
      </c>
      <c r="I84" s="395"/>
      <c r="J84" s="397">
        <f>H84/DAY(B2)</f>
        <v>0</v>
      </c>
      <c r="O84" s="171"/>
    </row>
    <row r="85" spans="1:15" ht="22.5" x14ac:dyDescent="0.4">
      <c r="A85" s="518" t="s">
        <v>231</v>
      </c>
      <c r="B85" s="407"/>
      <c r="C85" s="407"/>
      <c r="D85" s="394" t="s">
        <v>228</v>
      </c>
      <c r="E85" s="435">
        <v>2096.56</v>
      </c>
      <c r="F85" s="435">
        <v>2096.56</v>
      </c>
      <c r="G85" s="689">
        <f t="shared" si="16"/>
        <v>0</v>
      </c>
      <c r="H85" s="396">
        <f t="shared" si="17"/>
        <v>0</v>
      </c>
      <c r="I85" s="395">
        <f>G82+G83+G84+G85</f>
        <v>0</v>
      </c>
      <c r="J85" s="397">
        <f>H85/DAY(B2)</f>
        <v>0</v>
      </c>
      <c r="O85" s="171"/>
    </row>
    <row r="86" spans="1:15" ht="22.5" x14ac:dyDescent="0.4">
      <c r="A86" s="518" t="s">
        <v>232</v>
      </c>
      <c r="B86" s="407"/>
      <c r="C86" s="407"/>
      <c r="D86" s="394" t="s">
        <v>228</v>
      </c>
      <c r="E86" s="435">
        <v>42863</v>
      </c>
      <c r="F86" s="435">
        <v>42887</v>
      </c>
      <c r="G86" s="692">
        <f t="shared" si="16"/>
        <v>24</v>
      </c>
      <c r="H86" s="396">
        <f t="shared" si="17"/>
        <v>24</v>
      </c>
      <c r="I86" s="395"/>
      <c r="J86" s="397">
        <f>H86/DAY(B2)</f>
        <v>24</v>
      </c>
      <c r="O86" s="171"/>
    </row>
    <row r="87" spans="1:15" ht="22.5" x14ac:dyDescent="0.4">
      <c r="A87" s="518" t="s">
        <v>233</v>
      </c>
      <c r="B87" s="407"/>
      <c r="C87" s="407"/>
      <c r="D87" s="394" t="s">
        <v>228</v>
      </c>
      <c r="E87" s="435">
        <v>34598.550000000003</v>
      </c>
      <c r="F87" s="435">
        <v>34598.550000000003</v>
      </c>
      <c r="G87" s="689">
        <f t="shared" si="16"/>
        <v>0</v>
      </c>
      <c r="H87" s="396">
        <f t="shared" si="17"/>
        <v>0</v>
      </c>
      <c r="I87" s="395"/>
      <c r="J87" s="397">
        <f>H87/DAY(B2)</f>
        <v>0</v>
      </c>
      <c r="O87" s="171"/>
    </row>
    <row r="88" spans="1:15" ht="22.5" x14ac:dyDescent="0.4">
      <c r="A88" s="518" t="s">
        <v>234</v>
      </c>
      <c r="B88" s="407"/>
      <c r="C88" s="407"/>
      <c r="D88" s="394" t="s">
        <v>228</v>
      </c>
      <c r="E88" s="435">
        <v>24047</v>
      </c>
      <c r="F88" s="435">
        <v>24053.38</v>
      </c>
      <c r="G88" s="689">
        <f t="shared" si="16"/>
        <v>6.3800000000010186</v>
      </c>
      <c r="H88" s="396">
        <f t="shared" si="17"/>
        <v>6.3800000000010186</v>
      </c>
      <c r="I88" s="395">
        <f>G86+G87+G88</f>
        <v>30.380000000001019</v>
      </c>
      <c r="J88" s="397">
        <f>H88/DAY(B2)</f>
        <v>6.3800000000010186</v>
      </c>
      <c r="O88" s="171"/>
    </row>
    <row r="89" spans="1:15" ht="22.5" x14ac:dyDescent="0.4">
      <c r="A89" s="518" t="s">
        <v>235</v>
      </c>
      <c r="B89" s="407"/>
      <c r="C89" s="407"/>
      <c r="D89" s="394" t="s">
        <v>228</v>
      </c>
      <c r="E89" s="435">
        <v>25663</v>
      </c>
      <c r="F89" s="435">
        <v>25667.09</v>
      </c>
      <c r="G89" s="689">
        <f t="shared" si="16"/>
        <v>4.0900000000001455</v>
      </c>
      <c r="H89" s="396">
        <f t="shared" si="17"/>
        <v>4.0900000000001455</v>
      </c>
      <c r="I89" s="395"/>
      <c r="J89" s="397">
        <f>H89/DAY(B2)</f>
        <v>4.0900000000001455</v>
      </c>
      <c r="O89" s="171"/>
    </row>
    <row r="90" spans="1:15" ht="22.5" x14ac:dyDescent="0.4">
      <c r="A90" s="518" t="s">
        <v>236</v>
      </c>
      <c r="B90" s="407"/>
      <c r="C90" s="407"/>
      <c r="D90" s="394" t="s">
        <v>228</v>
      </c>
      <c r="E90" s="435">
        <v>71034</v>
      </c>
      <c r="F90" s="435">
        <v>71039.61</v>
      </c>
      <c r="G90" s="689">
        <f t="shared" si="16"/>
        <v>5.6100000000005821</v>
      </c>
      <c r="H90" s="396">
        <f t="shared" si="17"/>
        <v>5.6100000000005821</v>
      </c>
      <c r="I90" s="395">
        <f>G89+G90</f>
        <v>9.7000000000007276</v>
      </c>
      <c r="J90" s="397">
        <f>H90/DAY(B2)</f>
        <v>5.6100000000005821</v>
      </c>
      <c r="O90" s="171"/>
    </row>
    <row r="91" spans="1:15" ht="22.5" x14ac:dyDescent="0.4">
      <c r="A91" s="518" t="s">
        <v>237</v>
      </c>
      <c r="B91" s="407"/>
      <c r="C91" s="407"/>
      <c r="D91" s="394" t="s">
        <v>228</v>
      </c>
      <c r="E91" s="413">
        <v>3226.32</v>
      </c>
      <c r="F91" s="413">
        <v>3226.32</v>
      </c>
      <c r="G91" s="689">
        <f t="shared" si="16"/>
        <v>0</v>
      </c>
      <c r="H91" s="396">
        <f t="shared" si="17"/>
        <v>0</v>
      </c>
      <c r="I91" s="444"/>
      <c r="J91" s="397">
        <f>H91/DAY(B2)</f>
        <v>0</v>
      </c>
      <c r="O91" s="171"/>
    </row>
    <row r="92" spans="1:15" ht="22.5" x14ac:dyDescent="0.4">
      <c r="A92" s="518" t="s">
        <v>238</v>
      </c>
      <c r="B92" s="407"/>
      <c r="C92" s="407"/>
      <c r="D92" s="394" t="s">
        <v>228</v>
      </c>
      <c r="E92" s="413">
        <v>5438</v>
      </c>
      <c r="F92" s="413">
        <v>5447.66</v>
      </c>
      <c r="G92" s="689">
        <f t="shared" si="16"/>
        <v>9.6599999999998545</v>
      </c>
      <c r="H92" s="396">
        <f t="shared" si="17"/>
        <v>9.6599999999998545</v>
      </c>
      <c r="I92" s="444"/>
      <c r="J92" s="397">
        <f>H92/DAY(B2)</f>
        <v>9.6599999999998545</v>
      </c>
      <c r="O92" s="171"/>
    </row>
    <row r="93" spans="1:15" ht="22.5" x14ac:dyDescent="0.4">
      <c r="A93" s="776" t="s">
        <v>239</v>
      </c>
      <c r="B93" s="777"/>
      <c r="C93" s="778"/>
      <c r="D93" s="391"/>
      <c r="E93" s="391"/>
      <c r="F93" s="391"/>
      <c r="G93" s="564"/>
      <c r="H93" s="406"/>
      <c r="I93" s="406"/>
      <c r="J93" s="437"/>
      <c r="K93" s="545"/>
      <c r="L93" s="429"/>
      <c r="O93" s="171"/>
    </row>
    <row r="94" spans="1:15" ht="22.5" x14ac:dyDescent="0.4">
      <c r="A94" s="747" t="s">
        <v>240</v>
      </c>
      <c r="B94" s="748"/>
      <c r="C94" s="749"/>
      <c r="D94" s="394" t="s">
        <v>130</v>
      </c>
      <c r="E94" s="394"/>
      <c r="F94" s="394"/>
      <c r="G94" s="576">
        <f>G35+G43+G49+G57</f>
        <v>6232.1800000000148</v>
      </c>
      <c r="H94" s="396">
        <f t="shared" ref="H94:H105" si="18">G94</f>
        <v>6232.1800000000148</v>
      </c>
      <c r="I94" s="395"/>
      <c r="J94" s="397">
        <f>H94/DAY(B2)</f>
        <v>6232.1800000000148</v>
      </c>
      <c r="K94" s="545"/>
      <c r="L94" s="429"/>
      <c r="O94" s="171"/>
    </row>
    <row r="95" spans="1:15" ht="22.5" x14ac:dyDescent="0.4">
      <c r="A95" s="747" t="s">
        <v>241</v>
      </c>
      <c r="B95" s="748"/>
      <c r="C95" s="749"/>
      <c r="D95" s="394" t="s">
        <v>23</v>
      </c>
      <c r="E95" s="394"/>
      <c r="F95" s="394"/>
      <c r="G95" s="577">
        <f>G94/G7</f>
        <v>0.31150729286887907</v>
      </c>
      <c r="H95" s="396">
        <f t="shared" si="18"/>
        <v>0.31150729286887907</v>
      </c>
      <c r="I95" s="662"/>
      <c r="J95" s="397">
        <f>H95/DAY(B2)</f>
        <v>0.31150729286887907</v>
      </c>
      <c r="K95" s="545"/>
      <c r="L95" s="429"/>
      <c r="O95" s="171"/>
    </row>
    <row r="96" spans="1:15" ht="22.5" x14ac:dyDescent="0.4">
      <c r="A96" s="747" t="s">
        <v>242</v>
      </c>
      <c r="B96" s="748"/>
      <c r="C96" s="749"/>
      <c r="D96" s="394" t="s">
        <v>130</v>
      </c>
      <c r="E96" s="395"/>
      <c r="F96" s="395"/>
      <c r="G96" s="576">
        <f>G41+G42+G55+G56</f>
        <v>2431.4200000000055</v>
      </c>
      <c r="H96" s="396">
        <f t="shared" si="18"/>
        <v>2431.4200000000055</v>
      </c>
      <c r="I96" s="395"/>
      <c r="J96" s="397">
        <f>H96/DAY(B2)</f>
        <v>2431.4200000000055</v>
      </c>
      <c r="K96" s="545"/>
      <c r="L96" s="429"/>
      <c r="O96" s="171"/>
    </row>
    <row r="97" spans="1:15" ht="22.5" x14ac:dyDescent="0.4">
      <c r="A97" s="747" t="s">
        <v>243</v>
      </c>
      <c r="B97" s="748"/>
      <c r="C97" s="749"/>
      <c r="D97" s="394" t="s">
        <v>23</v>
      </c>
      <c r="E97" s="395"/>
      <c r="F97" s="395"/>
      <c r="G97" s="577">
        <f>G96/G7</f>
        <v>0.12153132002401244</v>
      </c>
      <c r="H97" s="396">
        <f t="shared" si="18"/>
        <v>0.12153132002401244</v>
      </c>
      <c r="I97" s="662"/>
      <c r="J97" s="397">
        <f>H97/DAY(B2)</f>
        <v>0.12153132002401244</v>
      </c>
      <c r="K97" s="545"/>
      <c r="L97" s="429"/>
      <c r="O97" s="171"/>
    </row>
    <row r="98" spans="1:15" ht="22.5" x14ac:dyDescent="0.4">
      <c r="A98" s="747" t="s">
        <v>244</v>
      </c>
      <c r="B98" s="748"/>
      <c r="C98" s="749"/>
      <c r="D98" s="394" t="s">
        <v>130</v>
      </c>
      <c r="E98" s="395"/>
      <c r="F98" s="395"/>
      <c r="G98" s="576">
        <f>G39+G53</f>
        <v>2724.390000000014</v>
      </c>
      <c r="H98" s="396">
        <f t="shared" si="18"/>
        <v>2724.390000000014</v>
      </c>
      <c r="I98" s="663"/>
      <c r="J98" s="397">
        <f>H98/DAY(B2)</f>
        <v>2724.390000000014</v>
      </c>
      <c r="K98" s="545"/>
      <c r="L98" s="429"/>
      <c r="O98" s="171"/>
    </row>
    <row r="99" spans="1:15" ht="22.5" x14ac:dyDescent="0.4">
      <c r="A99" s="747" t="s">
        <v>245</v>
      </c>
      <c r="B99" s="748"/>
      <c r="C99" s="749"/>
      <c r="D99" s="394" t="s">
        <v>23</v>
      </c>
      <c r="E99" s="395"/>
      <c r="F99" s="395"/>
      <c r="G99" s="577">
        <f>G98/G7</f>
        <v>0.13617503884981624</v>
      </c>
      <c r="H99" s="396">
        <f t="shared" si="18"/>
        <v>0.13617503884981624</v>
      </c>
      <c r="I99" s="663"/>
      <c r="J99" s="397">
        <f>H99/DAY(B2)</f>
        <v>0.13617503884981624</v>
      </c>
      <c r="O99" s="171"/>
    </row>
    <row r="100" spans="1:15" ht="22.5" x14ac:dyDescent="0.4">
      <c r="A100" s="747" t="s">
        <v>246</v>
      </c>
      <c r="B100" s="748"/>
      <c r="C100" s="749"/>
      <c r="D100" s="394" t="s">
        <v>180</v>
      </c>
      <c r="E100" s="395"/>
      <c r="F100" s="395"/>
      <c r="G100" s="576">
        <f>G38+G52</f>
        <v>1665.429999999993</v>
      </c>
      <c r="H100" s="396">
        <f t="shared" si="18"/>
        <v>1665.429999999993</v>
      </c>
      <c r="I100" s="395"/>
      <c r="J100" s="397">
        <f>H100/DAY(B2)</f>
        <v>1665.429999999993</v>
      </c>
      <c r="K100" s="549"/>
      <c r="O100" s="171"/>
    </row>
    <row r="101" spans="1:15" ht="22.5" x14ac:dyDescent="0.4">
      <c r="A101" s="747" t="s">
        <v>247</v>
      </c>
      <c r="B101" s="748"/>
      <c r="C101" s="749"/>
      <c r="D101" s="394" t="s">
        <v>23</v>
      </c>
      <c r="E101" s="395"/>
      <c r="F101" s="395"/>
      <c r="G101" s="577">
        <f>G100/G7</f>
        <v>8.3244320729281548E-2</v>
      </c>
      <c r="H101" s="396">
        <f t="shared" si="18"/>
        <v>8.3244320729281548E-2</v>
      </c>
      <c r="I101" s="663"/>
      <c r="J101" s="397">
        <f>H101/DAY(B2)</f>
        <v>8.3244320729281548E-2</v>
      </c>
      <c r="O101" s="171"/>
    </row>
    <row r="102" spans="1:15" ht="22.5" x14ac:dyDescent="0.4">
      <c r="A102" s="747" t="s">
        <v>248</v>
      </c>
      <c r="B102" s="748"/>
      <c r="C102" s="749"/>
      <c r="D102" s="394" t="s">
        <v>180</v>
      </c>
      <c r="E102" s="395"/>
      <c r="F102" s="395"/>
      <c r="G102" s="576">
        <f>G36+G50</f>
        <v>2121.3500000000022</v>
      </c>
      <c r="H102" s="396">
        <f t="shared" si="18"/>
        <v>2121.3500000000022</v>
      </c>
      <c r="I102" s="663"/>
      <c r="J102" s="397">
        <f>H102/DAY(B2)</f>
        <v>2121.3500000000022</v>
      </c>
      <c r="O102" s="171"/>
    </row>
    <row r="103" spans="1:15" ht="22.5" x14ac:dyDescent="0.4">
      <c r="A103" s="747" t="s">
        <v>249</v>
      </c>
      <c r="B103" s="748"/>
      <c r="C103" s="749"/>
      <c r="D103" s="394" t="s">
        <v>23</v>
      </c>
      <c r="E103" s="395"/>
      <c r="F103" s="395"/>
      <c r="G103" s="577">
        <f>G102/G7</f>
        <v>0.10603288026459373</v>
      </c>
      <c r="H103" s="396">
        <f t="shared" si="18"/>
        <v>0.10603288026459373</v>
      </c>
      <c r="I103" s="395"/>
      <c r="J103" s="397">
        <f>H103/DAY(B2)</f>
        <v>0.10603288026459373</v>
      </c>
      <c r="O103" s="171"/>
    </row>
    <row r="104" spans="1:15" ht="22.5" x14ac:dyDescent="0.4">
      <c r="A104" s="747" t="s">
        <v>250</v>
      </c>
      <c r="B104" s="748"/>
      <c r="C104" s="749"/>
      <c r="D104" s="394" t="s">
        <v>180</v>
      </c>
      <c r="E104" s="395"/>
      <c r="F104" s="395"/>
      <c r="G104" s="576">
        <f>G37+G51</f>
        <v>1573.5100000000093</v>
      </c>
      <c r="H104" s="396">
        <f t="shared" si="18"/>
        <v>1573.5100000000093</v>
      </c>
      <c r="I104" s="395"/>
      <c r="J104" s="397">
        <f>H104/DAY(B2)</f>
        <v>1573.5100000000093</v>
      </c>
      <c r="O104" s="171"/>
    </row>
    <row r="105" spans="1:15" ht="23.25" thickBot="1" x14ac:dyDescent="0.45">
      <c r="A105" s="783" t="s">
        <v>251</v>
      </c>
      <c r="B105" s="784"/>
      <c r="C105" s="785"/>
      <c r="D105" s="438" t="s">
        <v>23</v>
      </c>
      <c r="E105" s="439"/>
      <c r="F105" s="439"/>
      <c r="G105" s="578">
        <f>G104/G7</f>
        <v>7.8649820833498335E-2</v>
      </c>
      <c r="H105" s="396">
        <f t="shared" si="18"/>
        <v>7.8649820833498335E-2</v>
      </c>
      <c r="I105" s="439"/>
      <c r="J105" s="440">
        <f>H105/DAY(B2)</f>
        <v>7.8649820833498335E-2</v>
      </c>
      <c r="O105" s="171"/>
    </row>
    <row r="106" spans="1:15" ht="22.5" x14ac:dyDescent="0.4">
      <c r="O106" s="171"/>
    </row>
    <row r="107" spans="1:15" ht="22.5" x14ac:dyDescent="0.4"/>
    <row r="108" spans="1:15" ht="22.5" x14ac:dyDescent="0.4">
      <c r="A108" s="786" t="s">
        <v>324</v>
      </c>
      <c r="B108" s="786"/>
      <c r="C108" s="786"/>
      <c r="D108" s="786"/>
      <c r="E108" s="786"/>
      <c r="F108" s="786"/>
      <c r="G108" s="786"/>
      <c r="H108" s="786"/>
      <c r="I108" s="786"/>
      <c r="J108" s="786"/>
    </row>
    <row r="109" spans="1:15" ht="22.5" x14ac:dyDescent="0.4">
      <c r="A109" s="779"/>
      <c r="B109" s="779"/>
    </row>
    <row r="110" spans="1:15" ht="22.5" x14ac:dyDescent="0.4">
      <c r="A110" s="787" t="s">
        <v>165</v>
      </c>
      <c r="B110" s="788"/>
      <c r="C110" s="788"/>
      <c r="D110" s="788"/>
      <c r="E110" s="788"/>
      <c r="F110" s="788"/>
      <c r="G110" s="788"/>
      <c r="H110" s="788"/>
      <c r="I110" s="788"/>
      <c r="J110" s="789"/>
    </row>
    <row r="111" spans="1:15" ht="22.5" x14ac:dyDescent="0.4">
      <c r="A111" s="790"/>
      <c r="B111" s="791"/>
      <c r="C111" s="792"/>
      <c r="D111" s="436"/>
      <c r="E111" s="444"/>
      <c r="F111" s="444"/>
      <c r="G111" s="585"/>
      <c r="H111" s="441"/>
      <c r="I111" s="444"/>
      <c r="J111" s="441"/>
    </row>
    <row r="112" spans="1:15" ht="22.5" x14ac:dyDescent="0.4">
      <c r="A112" s="744" t="s">
        <v>252</v>
      </c>
      <c r="B112" s="745"/>
      <c r="C112" s="746"/>
      <c r="D112" s="387" t="s">
        <v>183</v>
      </c>
      <c r="E112" s="442">
        <v>55681</v>
      </c>
      <c r="F112" s="442">
        <v>55750.8</v>
      </c>
      <c r="G112" s="689">
        <f t="shared" ref="G112:G123" si="19">F112-E112</f>
        <v>69.80000000000291</v>
      </c>
      <c r="H112" s="396">
        <f t="shared" ref="H112:H123" si="20">G112</f>
        <v>69.80000000000291</v>
      </c>
      <c r="I112" s="444"/>
      <c r="J112" s="443">
        <f>H112/DAY(B2)</f>
        <v>69.80000000000291</v>
      </c>
    </row>
    <row r="113" spans="1:18" ht="29.25" customHeight="1" x14ac:dyDescent="0.4">
      <c r="A113" s="744" t="s">
        <v>253</v>
      </c>
      <c r="B113" s="745"/>
      <c r="C113" s="746"/>
      <c r="D113" s="387" t="s">
        <v>183</v>
      </c>
      <c r="E113" s="442">
        <v>32195</v>
      </c>
      <c r="F113" s="442">
        <v>32649.73</v>
      </c>
      <c r="G113" s="689">
        <f t="shared" si="19"/>
        <v>454.72999999999956</v>
      </c>
      <c r="H113" s="396">
        <f t="shared" si="20"/>
        <v>454.72999999999956</v>
      </c>
      <c r="I113" s="444"/>
      <c r="J113" s="443">
        <f>H113/DAY(B2)</f>
        <v>454.72999999999956</v>
      </c>
    </row>
    <row r="114" spans="1:18" ht="29.25" customHeight="1" x14ac:dyDescent="0.4">
      <c r="A114" s="744" t="s">
        <v>254</v>
      </c>
      <c r="B114" s="745"/>
      <c r="C114" s="746"/>
      <c r="D114" s="387" t="s">
        <v>183</v>
      </c>
      <c r="E114" s="442">
        <v>24871</v>
      </c>
      <c r="F114" s="442">
        <v>25139.35</v>
      </c>
      <c r="G114" s="689">
        <f t="shared" si="19"/>
        <v>268.34999999999854</v>
      </c>
      <c r="H114" s="396">
        <f t="shared" si="20"/>
        <v>268.34999999999854</v>
      </c>
      <c r="I114" s="444"/>
      <c r="J114" s="443">
        <f>H114/DAY(B2)</f>
        <v>268.34999999999854</v>
      </c>
    </row>
    <row r="115" spans="1:18" ht="29.25" customHeight="1" x14ac:dyDescent="0.4">
      <c r="A115" s="744" t="s">
        <v>255</v>
      </c>
      <c r="B115" s="745"/>
      <c r="C115" s="746"/>
      <c r="D115" s="387" t="s">
        <v>183</v>
      </c>
      <c r="E115" s="442">
        <v>8785</v>
      </c>
      <c r="F115" s="442">
        <v>8793.5</v>
      </c>
      <c r="G115" s="689">
        <f t="shared" si="19"/>
        <v>8.5</v>
      </c>
      <c r="H115" s="396">
        <f t="shared" si="20"/>
        <v>8.5</v>
      </c>
      <c r="I115" s="444"/>
      <c r="J115" s="443">
        <f>H115/DAY(B2)</f>
        <v>8.5</v>
      </c>
    </row>
    <row r="116" spans="1:18" ht="29.25" customHeight="1" x14ac:dyDescent="0.4">
      <c r="A116" s="780" t="s">
        <v>96</v>
      </c>
      <c r="B116" s="781"/>
      <c r="C116" s="782"/>
      <c r="D116" s="387" t="s">
        <v>183</v>
      </c>
      <c r="E116" s="442">
        <v>0</v>
      </c>
      <c r="F116" s="442">
        <v>0</v>
      </c>
      <c r="G116" s="689">
        <f t="shared" si="19"/>
        <v>0</v>
      </c>
      <c r="H116" s="396">
        <f t="shared" si="20"/>
        <v>0</v>
      </c>
      <c r="I116" s="444"/>
      <c r="J116" s="443">
        <f>H116/DAY(B2)</f>
        <v>0</v>
      </c>
      <c r="Q116" s="744"/>
      <c r="R116" s="746"/>
    </row>
    <row r="117" spans="1:18" ht="29.25" customHeight="1" x14ac:dyDescent="0.4">
      <c r="A117" s="780" t="s">
        <v>184</v>
      </c>
      <c r="B117" s="781"/>
      <c r="C117" s="782"/>
      <c r="D117" s="387" t="s">
        <v>183</v>
      </c>
      <c r="E117" s="442">
        <v>2590</v>
      </c>
      <c r="F117" s="442">
        <v>2611.4</v>
      </c>
      <c r="G117" s="689">
        <f t="shared" si="19"/>
        <v>21.400000000000091</v>
      </c>
      <c r="H117" s="396">
        <f t="shared" si="20"/>
        <v>21.400000000000091</v>
      </c>
      <c r="I117" s="444"/>
      <c r="J117" s="443">
        <f>H117/DAY(B2)</f>
        <v>21.400000000000091</v>
      </c>
      <c r="Q117" s="744"/>
      <c r="R117" s="746"/>
    </row>
    <row r="118" spans="1:18" ht="22.5" x14ac:dyDescent="0.4">
      <c r="A118" s="800" t="s">
        <v>97</v>
      </c>
      <c r="B118" s="800"/>
      <c r="C118" s="800"/>
      <c r="D118" s="394" t="s">
        <v>183</v>
      </c>
      <c r="E118" s="442">
        <v>241647</v>
      </c>
      <c r="F118" s="442">
        <v>242009.5</v>
      </c>
      <c r="G118" s="689">
        <f t="shared" si="19"/>
        <v>362.5</v>
      </c>
      <c r="H118" s="396">
        <f t="shared" si="20"/>
        <v>362.5</v>
      </c>
      <c r="I118" s="444"/>
      <c r="J118" s="443">
        <f>H118/DAY(B2)</f>
        <v>362.5</v>
      </c>
      <c r="Q118" s="744"/>
      <c r="R118" s="746"/>
    </row>
    <row r="119" spans="1:18" ht="22.5" x14ac:dyDescent="0.4">
      <c r="A119" s="800" t="s">
        <v>98</v>
      </c>
      <c r="B119" s="800"/>
      <c r="C119" s="800"/>
      <c r="D119" s="394" t="s">
        <v>183</v>
      </c>
      <c r="E119" s="442">
        <v>245126</v>
      </c>
      <c r="F119" s="442">
        <v>245557.91</v>
      </c>
      <c r="G119" s="689">
        <f t="shared" si="19"/>
        <v>431.91000000000349</v>
      </c>
      <c r="H119" s="396">
        <f t="shared" si="20"/>
        <v>431.91000000000349</v>
      </c>
      <c r="I119" s="444"/>
      <c r="J119" s="443">
        <f>H119/DAY(B2)</f>
        <v>431.91000000000349</v>
      </c>
    </row>
    <row r="120" spans="1:18" ht="22.5" x14ac:dyDescent="0.4">
      <c r="A120" s="800" t="s">
        <v>99</v>
      </c>
      <c r="B120" s="800"/>
      <c r="C120" s="800"/>
      <c r="D120" s="394" t="s">
        <v>183</v>
      </c>
      <c r="E120" s="442">
        <v>30078</v>
      </c>
      <c r="F120" s="442">
        <v>30511.74</v>
      </c>
      <c r="G120" s="689">
        <f t="shared" si="19"/>
        <v>433.7400000000016</v>
      </c>
      <c r="H120" s="396">
        <f t="shared" si="20"/>
        <v>433.7400000000016</v>
      </c>
      <c r="I120" s="444"/>
      <c r="J120" s="443">
        <f>H120/DAY(B2)</f>
        <v>433.7400000000016</v>
      </c>
    </row>
    <row r="121" spans="1:18" ht="22.5" x14ac:dyDescent="0.4">
      <c r="A121" s="800" t="s">
        <v>100</v>
      </c>
      <c r="B121" s="800"/>
      <c r="C121" s="800"/>
      <c r="D121" s="394" t="s">
        <v>183</v>
      </c>
      <c r="E121" s="442">
        <v>376529</v>
      </c>
      <c r="F121" s="442">
        <v>377313.71</v>
      </c>
      <c r="G121" s="689">
        <f t="shared" si="19"/>
        <v>784.71000000002095</v>
      </c>
      <c r="H121" s="396">
        <f t="shared" si="20"/>
        <v>784.71000000002095</v>
      </c>
      <c r="I121" s="444"/>
      <c r="J121" s="443">
        <f>H121/DAY(B2)</f>
        <v>784.71000000002095</v>
      </c>
    </row>
    <row r="122" spans="1:18" ht="22.5" x14ac:dyDescent="0.4">
      <c r="A122" s="800" t="s">
        <v>101</v>
      </c>
      <c r="B122" s="800"/>
      <c r="C122" s="800"/>
      <c r="D122" s="394" t="s">
        <v>183</v>
      </c>
      <c r="E122" s="442">
        <v>120050</v>
      </c>
      <c r="F122" s="442">
        <v>120263.74</v>
      </c>
      <c r="G122" s="689">
        <f t="shared" si="19"/>
        <v>213.74000000000524</v>
      </c>
      <c r="H122" s="396">
        <f t="shared" si="20"/>
        <v>213.74000000000524</v>
      </c>
      <c r="I122" s="444"/>
      <c r="J122" s="443">
        <f>H122/DAY(B2)</f>
        <v>213.74000000000524</v>
      </c>
    </row>
    <row r="123" spans="1:18" ht="22.5" x14ac:dyDescent="0.4">
      <c r="A123" s="800" t="s">
        <v>102</v>
      </c>
      <c r="B123" s="800"/>
      <c r="C123" s="800"/>
      <c r="D123" s="394" t="s">
        <v>183</v>
      </c>
      <c r="E123" s="442">
        <v>145125</v>
      </c>
      <c r="F123" s="442">
        <v>145471.69</v>
      </c>
      <c r="G123" s="689">
        <f t="shared" si="19"/>
        <v>346.69000000000233</v>
      </c>
      <c r="H123" s="396">
        <f t="shared" si="20"/>
        <v>346.69000000000233</v>
      </c>
      <c r="I123" s="444"/>
      <c r="J123" s="443">
        <f>H123/DAY(B2)</f>
        <v>346.69000000000233</v>
      </c>
    </row>
    <row r="124" spans="1:18" ht="29.25" customHeight="1" x14ac:dyDescent="0.4">
      <c r="A124" s="790"/>
      <c r="B124" s="791"/>
      <c r="C124" s="792"/>
      <c r="D124" s="436"/>
      <c r="E124" s="444"/>
      <c r="F124" s="444"/>
      <c r="G124" s="585"/>
      <c r="H124" s="441"/>
      <c r="I124" s="444"/>
      <c r="J124" s="441"/>
    </row>
    <row r="125" spans="1:18" ht="22.5" x14ac:dyDescent="0.4">
      <c r="A125" s="732" t="s">
        <v>196</v>
      </c>
      <c r="B125" s="733"/>
      <c r="C125" s="734"/>
      <c r="D125" s="394"/>
      <c r="E125" s="444"/>
      <c r="F125" s="444"/>
      <c r="G125" s="689">
        <f>SUM(G112:G124)</f>
        <v>3396.0700000000347</v>
      </c>
      <c r="H125" s="441"/>
      <c r="I125" s="156">
        <f>G125-(G39+G53)</f>
        <v>671.68000000002075</v>
      </c>
      <c r="J125" s="441"/>
    </row>
    <row r="126" spans="1:18" ht="22.5" x14ac:dyDescent="0.4">
      <c r="A126" s="802" t="s">
        <v>317</v>
      </c>
      <c r="B126" s="802"/>
      <c r="C126" s="802"/>
      <c r="D126" s="802"/>
      <c r="E126" s="802"/>
      <c r="F126" s="802"/>
      <c r="G126" s="802"/>
      <c r="H126" s="802"/>
      <c r="I126" s="802"/>
      <c r="J126" s="802"/>
    </row>
    <row r="127" spans="1:18" ht="22.5" x14ac:dyDescent="0.4">
      <c r="A127" s="793"/>
      <c r="B127" s="793"/>
      <c r="C127" s="436"/>
      <c r="D127" s="394"/>
      <c r="E127" s="444"/>
      <c r="F127" s="444"/>
      <c r="G127" s="689"/>
      <c r="H127" s="396">
        <f t="shared" ref="H127:H135" si="21">G127</f>
        <v>0</v>
      </c>
      <c r="I127" s="444"/>
      <c r="J127" s="443">
        <f>H127/DAY(B2)</f>
        <v>0</v>
      </c>
    </row>
    <row r="128" spans="1:18" ht="29.25" customHeight="1" x14ac:dyDescent="0.4">
      <c r="A128" s="744" t="s">
        <v>318</v>
      </c>
      <c r="B128" s="745"/>
      <c r="C128" s="746"/>
      <c r="D128" s="394" t="s">
        <v>183</v>
      </c>
      <c r="E128" s="444">
        <v>38004</v>
      </c>
      <c r="F128" s="444">
        <v>38365.74</v>
      </c>
      <c r="G128" s="689">
        <f t="shared" ref="G128:G133" si="22">F128-E128</f>
        <v>361.73999999999796</v>
      </c>
      <c r="H128" s="396">
        <f t="shared" si="21"/>
        <v>361.73999999999796</v>
      </c>
      <c r="I128" s="444"/>
      <c r="J128" s="443">
        <f>H128/DAY(B2)</f>
        <v>361.73999999999796</v>
      </c>
    </row>
    <row r="129" spans="1:15" ht="22.5" x14ac:dyDescent="0.4">
      <c r="A129" s="525" t="s">
        <v>319</v>
      </c>
      <c r="B129" s="445"/>
      <c r="C129" s="446"/>
      <c r="D129" s="394" t="s">
        <v>183</v>
      </c>
      <c r="E129" s="444">
        <v>20321</v>
      </c>
      <c r="F129" s="444">
        <v>20525.43</v>
      </c>
      <c r="G129" s="689">
        <f t="shared" si="22"/>
        <v>204.43000000000029</v>
      </c>
      <c r="H129" s="396">
        <f t="shared" si="21"/>
        <v>204.43000000000029</v>
      </c>
      <c r="I129" s="444"/>
      <c r="J129" s="443">
        <f>H129/DAY(B2)</f>
        <v>204.43000000000029</v>
      </c>
      <c r="N129" s="550"/>
      <c r="O129" s="497"/>
    </row>
    <row r="130" spans="1:15" ht="22.5" x14ac:dyDescent="0.4">
      <c r="A130" s="525" t="s">
        <v>320</v>
      </c>
      <c r="B130" s="445"/>
      <c r="C130" s="446"/>
      <c r="D130" s="394" t="s">
        <v>183</v>
      </c>
      <c r="E130" s="444">
        <v>18382</v>
      </c>
      <c r="F130" s="444">
        <v>19180.349999999999</v>
      </c>
      <c r="G130" s="689">
        <f t="shared" si="22"/>
        <v>798.34999999999854</v>
      </c>
      <c r="H130" s="396">
        <f t="shared" si="21"/>
        <v>798.34999999999854</v>
      </c>
      <c r="I130" s="444"/>
      <c r="J130" s="443">
        <f>H130/DAY(B2)</f>
        <v>798.34999999999854</v>
      </c>
      <c r="N130" s="550"/>
      <c r="O130" s="497"/>
    </row>
    <row r="131" spans="1:15" ht="22.5" x14ac:dyDescent="0.4">
      <c r="A131" s="744" t="s">
        <v>321</v>
      </c>
      <c r="B131" s="745"/>
      <c r="C131" s="746"/>
      <c r="D131" s="394" t="s">
        <v>183</v>
      </c>
      <c r="E131" s="444">
        <v>13153</v>
      </c>
      <c r="F131" s="650">
        <v>13233.4</v>
      </c>
      <c r="G131" s="692">
        <f t="shared" si="22"/>
        <v>80.399999999999636</v>
      </c>
      <c r="H131" s="396">
        <f t="shared" si="21"/>
        <v>80.399999999999636</v>
      </c>
      <c r="I131" s="444"/>
      <c r="J131" s="443">
        <f>H131/DAY(B2)</f>
        <v>80.399999999999636</v>
      </c>
      <c r="N131" s="550"/>
      <c r="O131" s="497"/>
    </row>
    <row r="132" spans="1:15" ht="22.5" x14ac:dyDescent="0.4">
      <c r="A132" s="744" t="s">
        <v>322</v>
      </c>
      <c r="B132" s="745"/>
      <c r="C132" s="746"/>
      <c r="D132" s="394" t="s">
        <v>183</v>
      </c>
      <c r="E132" s="444">
        <v>41023</v>
      </c>
      <c r="F132" s="650">
        <v>41473.43</v>
      </c>
      <c r="G132" s="692">
        <f t="shared" si="22"/>
        <v>450.43000000000029</v>
      </c>
      <c r="H132" s="396">
        <f t="shared" si="21"/>
        <v>450.43000000000029</v>
      </c>
      <c r="I132" s="444"/>
      <c r="J132" s="443">
        <f>H132/DAY(B2)</f>
        <v>450.43000000000029</v>
      </c>
    </row>
    <row r="133" spans="1:15" ht="22.5" x14ac:dyDescent="0.4">
      <c r="A133" s="744" t="s">
        <v>342</v>
      </c>
      <c r="B133" s="745"/>
      <c r="C133" s="746"/>
      <c r="D133" s="394" t="s">
        <v>183</v>
      </c>
      <c r="E133" s="444">
        <v>87703</v>
      </c>
      <c r="F133" s="650">
        <v>88536.86</v>
      </c>
      <c r="G133" s="692">
        <f t="shared" si="22"/>
        <v>833.86000000000058</v>
      </c>
      <c r="H133" s="396">
        <f t="shared" si="21"/>
        <v>833.86000000000058</v>
      </c>
      <c r="I133" s="444"/>
      <c r="J133" s="443">
        <f>H133/DAY(B2)</f>
        <v>833.86000000000058</v>
      </c>
    </row>
    <row r="134" spans="1:15" ht="22.5" x14ac:dyDescent="0.4">
      <c r="A134" s="801" t="s">
        <v>340</v>
      </c>
      <c r="B134" s="798"/>
      <c r="C134" s="799"/>
      <c r="D134" s="394" t="s">
        <v>183</v>
      </c>
      <c r="E134" s="444">
        <v>668880</v>
      </c>
      <c r="F134" s="650">
        <v>669520</v>
      </c>
      <c r="G134" s="692">
        <f>F134-E134</f>
        <v>640</v>
      </c>
      <c r="H134" s="396">
        <f t="shared" ref="H134" si="23">G134</f>
        <v>640</v>
      </c>
      <c r="I134" s="444"/>
      <c r="J134" s="443">
        <f>H134/DAY(B2)</f>
        <v>640</v>
      </c>
    </row>
    <row r="135" spans="1:15" ht="22.5" x14ac:dyDescent="0.4">
      <c r="A135" s="732" t="s">
        <v>196</v>
      </c>
      <c r="B135" s="733"/>
      <c r="C135" s="734"/>
      <c r="D135" s="394"/>
      <c r="E135" s="444"/>
      <c r="F135" s="444"/>
      <c r="G135" s="689">
        <f>SUM(G128:G134)</f>
        <v>3369.2099999999973</v>
      </c>
      <c r="H135" s="396">
        <f t="shared" si="21"/>
        <v>3369.2099999999973</v>
      </c>
      <c r="I135" s="156">
        <f>G135-(G35+G49)</f>
        <v>-301.74000000001433</v>
      </c>
      <c r="J135" s="443">
        <f>H135/DAY(B2)</f>
        <v>3369.2099999999973</v>
      </c>
    </row>
    <row r="136" spans="1:15" ht="22.5" x14ac:dyDescent="0.4">
      <c r="A136" s="802" t="s">
        <v>325</v>
      </c>
      <c r="B136" s="802"/>
      <c r="C136" s="802"/>
      <c r="D136" s="802"/>
      <c r="E136" s="802"/>
      <c r="F136" s="802"/>
      <c r="G136" s="802"/>
      <c r="H136" s="802"/>
      <c r="I136" s="802"/>
      <c r="J136" s="802"/>
    </row>
    <row r="137" spans="1:15" ht="22.5" x14ac:dyDescent="0.4">
      <c r="A137" s="165"/>
      <c r="B137" s="436"/>
      <c r="C137" s="436"/>
      <c r="D137" s="436"/>
      <c r="E137" s="444"/>
      <c r="F137" s="444"/>
      <c r="G137" s="585"/>
      <c r="H137" s="441"/>
      <c r="I137" s="444"/>
      <c r="J137" s="441"/>
    </row>
    <row r="138" spans="1:15" ht="22.5" x14ac:dyDescent="0.4">
      <c r="A138" s="800" t="s">
        <v>185</v>
      </c>
      <c r="B138" s="800"/>
      <c r="C138" s="800"/>
      <c r="D138" s="394" t="s">
        <v>183</v>
      </c>
      <c r="E138" s="447">
        <v>864171</v>
      </c>
      <c r="F138" s="447">
        <v>864220</v>
      </c>
      <c r="G138" s="689">
        <f t="shared" ref="G138:G150" si="24">F138-E138</f>
        <v>49</v>
      </c>
      <c r="H138" s="396">
        <f t="shared" ref="H138:H150" si="25">G138</f>
        <v>49</v>
      </c>
      <c r="I138" s="395"/>
      <c r="J138" s="443">
        <f>H138/DAY(B2)</f>
        <v>49</v>
      </c>
    </row>
    <row r="139" spans="1:15" ht="22.5" x14ac:dyDescent="0.4">
      <c r="A139" s="800" t="s">
        <v>186</v>
      </c>
      <c r="B139" s="800"/>
      <c r="C139" s="800"/>
      <c r="D139" s="394" t="s">
        <v>183</v>
      </c>
      <c r="E139" s="448">
        <v>886546</v>
      </c>
      <c r="F139" s="448">
        <v>886547</v>
      </c>
      <c r="G139" s="689">
        <f t="shared" si="24"/>
        <v>1</v>
      </c>
      <c r="H139" s="396">
        <f t="shared" si="25"/>
        <v>1</v>
      </c>
      <c r="I139" s="395"/>
      <c r="J139" s="443">
        <f>H139/DAY(B2)</f>
        <v>1</v>
      </c>
    </row>
    <row r="140" spans="1:15" ht="22.5" x14ac:dyDescent="0.4">
      <c r="A140" s="800" t="s">
        <v>187</v>
      </c>
      <c r="B140" s="800"/>
      <c r="C140" s="800"/>
      <c r="D140" s="394" t="s">
        <v>183</v>
      </c>
      <c r="E140" s="449">
        <v>88882</v>
      </c>
      <c r="F140" s="449">
        <v>88882</v>
      </c>
      <c r="G140" s="689">
        <f t="shared" si="24"/>
        <v>0</v>
      </c>
      <c r="H140" s="396">
        <f t="shared" si="25"/>
        <v>0</v>
      </c>
      <c r="I140" s="395"/>
      <c r="J140" s="443">
        <f>H140/DAY(B2)</f>
        <v>0</v>
      </c>
    </row>
    <row r="141" spans="1:15" ht="22.5" x14ac:dyDescent="0.4">
      <c r="A141" s="738" t="s">
        <v>188</v>
      </c>
      <c r="B141" s="738"/>
      <c r="C141" s="738"/>
      <c r="D141" s="450" t="s">
        <v>183</v>
      </c>
      <c r="E141" s="449">
        <v>49306</v>
      </c>
      <c r="F141" s="448">
        <v>49499.6</v>
      </c>
      <c r="G141" s="692">
        <f t="shared" si="24"/>
        <v>193.59999999999854</v>
      </c>
      <c r="H141" s="455">
        <f t="shared" si="25"/>
        <v>193.59999999999854</v>
      </c>
      <c r="I141" s="664"/>
      <c r="J141" s="527">
        <f>H141/DAY(B2)</f>
        <v>193.59999999999854</v>
      </c>
    </row>
    <row r="142" spans="1:15" ht="22.5" x14ac:dyDescent="0.4">
      <c r="A142" s="738" t="s">
        <v>189</v>
      </c>
      <c r="B142" s="738"/>
      <c r="C142" s="738"/>
      <c r="D142" s="450" t="s">
        <v>183</v>
      </c>
      <c r="E142" s="448">
        <v>19009</v>
      </c>
      <c r="F142" s="448">
        <v>19082</v>
      </c>
      <c r="G142" s="692">
        <f t="shared" si="24"/>
        <v>73</v>
      </c>
      <c r="H142" s="455">
        <f t="shared" si="25"/>
        <v>73</v>
      </c>
      <c r="I142" s="665"/>
      <c r="J142" s="527">
        <f>H142/DAY(B2)</f>
        <v>73</v>
      </c>
    </row>
    <row r="143" spans="1:15" ht="22.5" x14ac:dyDescent="0.4">
      <c r="A143" s="740" t="s">
        <v>91</v>
      </c>
      <c r="B143" s="740"/>
      <c r="C143" s="740"/>
      <c r="D143" s="450" t="s">
        <v>183</v>
      </c>
      <c r="E143" s="449">
        <v>3061</v>
      </c>
      <c r="F143" s="448">
        <v>3088.24</v>
      </c>
      <c r="G143" s="692">
        <f t="shared" si="24"/>
        <v>27.239999999999782</v>
      </c>
      <c r="H143" s="455">
        <f t="shared" si="25"/>
        <v>27.239999999999782</v>
      </c>
      <c r="I143" s="665"/>
      <c r="J143" s="527">
        <f>H143/DAY(B2)</f>
        <v>27.239999999999782</v>
      </c>
    </row>
    <row r="144" spans="1:15" ht="22.5" x14ac:dyDescent="0.4">
      <c r="A144" s="738" t="s">
        <v>90</v>
      </c>
      <c r="B144" s="738"/>
      <c r="C144" s="738"/>
      <c r="D144" s="450" t="s">
        <v>183</v>
      </c>
      <c r="E144" s="449">
        <v>869670</v>
      </c>
      <c r="F144" s="448">
        <v>869899</v>
      </c>
      <c r="G144" s="692">
        <f t="shared" si="24"/>
        <v>229</v>
      </c>
      <c r="H144" s="455">
        <f t="shared" si="25"/>
        <v>229</v>
      </c>
      <c r="I144" s="665"/>
      <c r="J144" s="527">
        <f>H144/DAY(B2)</f>
        <v>229</v>
      </c>
    </row>
    <row r="145" spans="1:10" ht="22.5" x14ac:dyDescent="0.4">
      <c r="A145" s="740" t="s">
        <v>190</v>
      </c>
      <c r="B145" s="740"/>
      <c r="C145" s="740"/>
      <c r="D145" s="450" t="s">
        <v>183</v>
      </c>
      <c r="E145" s="449">
        <v>4558</v>
      </c>
      <c r="F145" s="448">
        <v>4573.25</v>
      </c>
      <c r="G145" s="692">
        <f t="shared" si="24"/>
        <v>15.25</v>
      </c>
      <c r="H145" s="455">
        <f t="shared" si="25"/>
        <v>15.25</v>
      </c>
      <c r="I145" s="665"/>
      <c r="J145" s="527">
        <f>H145/DAY(B2)</f>
        <v>15.25</v>
      </c>
    </row>
    <row r="146" spans="1:10" ht="22.5" x14ac:dyDescent="0.4">
      <c r="A146" s="741" t="s">
        <v>191</v>
      </c>
      <c r="B146" s="742"/>
      <c r="C146" s="743"/>
      <c r="D146" s="450" t="s">
        <v>183</v>
      </c>
      <c r="E146" s="448">
        <v>724858</v>
      </c>
      <c r="F146" s="448">
        <v>725332</v>
      </c>
      <c r="G146" s="692">
        <f t="shared" si="24"/>
        <v>474</v>
      </c>
      <c r="H146" s="455">
        <f t="shared" si="25"/>
        <v>474</v>
      </c>
      <c r="I146" s="665"/>
      <c r="J146" s="527">
        <f>H146/DAY(B2)</f>
        <v>474</v>
      </c>
    </row>
    <row r="147" spans="1:10" ht="22.5" x14ac:dyDescent="0.4">
      <c r="A147" s="738" t="s">
        <v>192</v>
      </c>
      <c r="B147" s="738"/>
      <c r="C147" s="738"/>
      <c r="D147" s="450" t="s">
        <v>183</v>
      </c>
      <c r="E147" s="448">
        <v>615282</v>
      </c>
      <c r="F147" s="448">
        <v>615719.31999999995</v>
      </c>
      <c r="G147" s="692">
        <f t="shared" si="24"/>
        <v>437.31999999994878</v>
      </c>
      <c r="H147" s="455">
        <f t="shared" si="25"/>
        <v>437.31999999994878</v>
      </c>
      <c r="I147" s="665"/>
      <c r="J147" s="527">
        <f>H147/DAY(B2)</f>
        <v>437.31999999994878</v>
      </c>
    </row>
    <row r="148" spans="1:10" ht="22.5" x14ac:dyDescent="0.4">
      <c r="A148" s="735" t="s">
        <v>193</v>
      </c>
      <c r="B148" s="736"/>
      <c r="C148" s="737"/>
      <c r="D148" s="509" t="s">
        <v>130</v>
      </c>
      <c r="E148" s="409">
        <v>683033.12</v>
      </c>
      <c r="F148" s="435">
        <v>683408.24</v>
      </c>
      <c r="G148" s="692">
        <f t="shared" si="24"/>
        <v>375.11999999999534</v>
      </c>
      <c r="H148" s="455">
        <f t="shared" si="25"/>
        <v>375.11999999999534</v>
      </c>
      <c r="I148" s="455"/>
      <c r="J148" s="527">
        <f>H148/DAY(B2)</f>
        <v>375.11999999999534</v>
      </c>
    </row>
    <row r="149" spans="1:10" ht="22.5" x14ac:dyDescent="0.4">
      <c r="A149" s="735" t="s">
        <v>336</v>
      </c>
      <c r="B149" s="736"/>
      <c r="C149" s="737"/>
      <c r="D149" s="528" t="s">
        <v>130</v>
      </c>
      <c r="E149" s="394">
        <v>10749</v>
      </c>
      <c r="F149" s="450">
        <v>11075.3</v>
      </c>
      <c r="G149" s="692">
        <f t="shared" si="24"/>
        <v>326.29999999999927</v>
      </c>
      <c r="H149" s="455">
        <f t="shared" si="25"/>
        <v>326.29999999999927</v>
      </c>
      <c r="I149" s="657"/>
      <c r="J149" s="527">
        <f>H149/DAY(B2)</f>
        <v>326.29999999999927</v>
      </c>
    </row>
    <row r="150" spans="1:10" ht="22.5" x14ac:dyDescent="0.4">
      <c r="A150" s="735" t="s">
        <v>337</v>
      </c>
      <c r="B150" s="736"/>
      <c r="C150" s="737"/>
      <c r="D150" s="509" t="s">
        <v>130</v>
      </c>
      <c r="E150" s="450">
        <v>4052</v>
      </c>
      <c r="F150" s="450">
        <v>4283.5</v>
      </c>
      <c r="G150" s="692">
        <f t="shared" si="24"/>
        <v>231.5</v>
      </c>
      <c r="H150" s="455">
        <f t="shared" si="25"/>
        <v>231.5</v>
      </c>
      <c r="I150" s="657"/>
      <c r="J150" s="527">
        <f>H150/DAY(B2)</f>
        <v>231.5</v>
      </c>
    </row>
    <row r="151" spans="1:10" ht="22.5" x14ac:dyDescent="0.4">
      <c r="A151" s="735" t="s">
        <v>338</v>
      </c>
      <c r="B151" s="736"/>
      <c r="C151" s="737"/>
      <c r="D151" s="529"/>
      <c r="E151" s="450">
        <v>78217</v>
      </c>
      <c r="F151" s="450">
        <v>78510</v>
      </c>
      <c r="G151" s="692">
        <f t="shared" ref="G151:G152" si="26">F151-E151</f>
        <v>293</v>
      </c>
      <c r="H151" s="455">
        <f t="shared" ref="H151:H153" si="27">G151</f>
        <v>293</v>
      </c>
      <c r="I151" s="657"/>
      <c r="J151" s="527">
        <f>H151/DAY(B2)</f>
        <v>293</v>
      </c>
    </row>
    <row r="152" spans="1:10" ht="22.5" x14ac:dyDescent="0.4">
      <c r="A152" s="735" t="s">
        <v>339</v>
      </c>
      <c r="B152" s="736"/>
      <c r="C152" s="737"/>
      <c r="D152" s="529"/>
      <c r="E152" s="450">
        <v>1127</v>
      </c>
      <c r="F152" s="450">
        <v>1167</v>
      </c>
      <c r="G152" s="692">
        <f t="shared" si="26"/>
        <v>40</v>
      </c>
      <c r="H152" s="455">
        <f t="shared" si="27"/>
        <v>40</v>
      </c>
      <c r="I152" s="657"/>
      <c r="J152" s="527">
        <f>H152/DAY(B2)</f>
        <v>40</v>
      </c>
    </row>
    <row r="153" spans="1:10" ht="22.5" x14ac:dyDescent="0.4">
      <c r="A153" s="732" t="s">
        <v>196</v>
      </c>
      <c r="B153" s="733"/>
      <c r="C153" s="734"/>
      <c r="D153" s="529"/>
      <c r="E153" s="451"/>
      <c r="F153" s="451"/>
      <c r="G153" s="693">
        <f>SUM(G138:G152)</f>
        <v>2765.3299999999417</v>
      </c>
      <c r="H153" s="530">
        <f t="shared" si="27"/>
        <v>2765.3299999999417</v>
      </c>
      <c r="I153" s="658">
        <f>G153-(G38+G52)</f>
        <v>1099.8999999999487</v>
      </c>
      <c r="J153" s="531"/>
    </row>
    <row r="154" spans="1:10" ht="22.5" x14ac:dyDescent="0.4">
      <c r="A154" s="739" t="s">
        <v>344</v>
      </c>
      <c r="B154" s="739"/>
      <c r="C154" s="739"/>
      <c r="D154" s="739"/>
      <c r="E154" s="739"/>
      <c r="F154" s="739"/>
      <c r="G154" s="739"/>
      <c r="H154" s="739"/>
      <c r="I154" s="739"/>
      <c r="J154" s="739"/>
    </row>
    <row r="155" spans="1:10" ht="27.75" customHeight="1" x14ac:dyDescent="0.4">
      <c r="A155" s="738" t="s">
        <v>345</v>
      </c>
      <c r="B155" s="738"/>
      <c r="C155" s="738"/>
      <c r="D155" s="459"/>
      <c r="E155" s="651">
        <v>12792</v>
      </c>
      <c r="F155" s="650">
        <v>13472</v>
      </c>
      <c r="G155" s="692">
        <f t="shared" ref="G155:G158" si="28">F155-E155</f>
        <v>680</v>
      </c>
      <c r="H155" s="650"/>
      <c r="I155" s="650"/>
      <c r="J155" s="527">
        <f>H155/DAY(B2)</f>
        <v>0</v>
      </c>
    </row>
    <row r="156" spans="1:10" ht="25.5" customHeight="1" x14ac:dyDescent="0.4">
      <c r="A156" s="738" t="s">
        <v>349</v>
      </c>
      <c r="B156" s="738"/>
      <c r="C156" s="738"/>
      <c r="D156" s="463"/>
      <c r="E156" s="444">
        <v>1034</v>
      </c>
      <c r="F156" s="650">
        <v>1088</v>
      </c>
      <c r="G156" s="692">
        <f t="shared" si="28"/>
        <v>54</v>
      </c>
      <c r="H156" s="462"/>
      <c r="I156" s="650"/>
      <c r="J156" s="527">
        <f>H156/DAY(B2)</f>
        <v>0</v>
      </c>
    </row>
    <row r="157" spans="1:10" ht="25.5" customHeight="1" x14ac:dyDescent="0.5">
      <c r="A157" s="803" t="s">
        <v>364</v>
      </c>
      <c r="B157" s="804"/>
      <c r="C157" s="805"/>
      <c r="D157" s="402" t="s">
        <v>130</v>
      </c>
      <c r="E157" s="395">
        <v>1236</v>
      </c>
      <c r="F157" s="650">
        <v>1306.01</v>
      </c>
      <c r="G157" s="692">
        <f t="shared" si="28"/>
        <v>70.009999999999991</v>
      </c>
      <c r="H157" s="462"/>
      <c r="I157" s="650"/>
      <c r="J157" s="527"/>
    </row>
    <row r="158" spans="1:10" ht="25.5" customHeight="1" x14ac:dyDescent="0.5">
      <c r="A158" s="803" t="s">
        <v>365</v>
      </c>
      <c r="B158" s="804"/>
      <c r="C158" s="805"/>
      <c r="D158" s="402" t="s">
        <v>130</v>
      </c>
      <c r="E158" s="444">
        <v>7.83</v>
      </c>
      <c r="F158" s="650">
        <v>8.1</v>
      </c>
      <c r="G158" s="692">
        <f t="shared" si="28"/>
        <v>0.26999999999999957</v>
      </c>
      <c r="H158" s="462"/>
      <c r="I158" s="650"/>
      <c r="J158" s="527"/>
    </row>
    <row r="159" spans="1:10" ht="25.5" customHeight="1" x14ac:dyDescent="0.4">
      <c r="A159" s="806"/>
      <c r="B159" s="807"/>
      <c r="C159" s="808"/>
      <c r="D159" s="463"/>
      <c r="E159" s="444"/>
      <c r="F159" s="650"/>
      <c r="G159" s="692"/>
      <c r="H159" s="462"/>
      <c r="I159" s="650"/>
      <c r="J159" s="527"/>
    </row>
    <row r="160" spans="1:10" ht="22.5" x14ac:dyDescent="0.4">
      <c r="A160" s="802" t="s">
        <v>326</v>
      </c>
      <c r="B160" s="802"/>
      <c r="C160" s="802"/>
      <c r="D160" s="802"/>
      <c r="E160" s="802"/>
      <c r="F160" s="802"/>
      <c r="G160" s="802"/>
      <c r="H160" s="802"/>
      <c r="I160" s="802"/>
      <c r="J160" s="802"/>
    </row>
    <row r="161" spans="1:10" ht="22.5" x14ac:dyDescent="0.4">
      <c r="A161" s="526" t="s">
        <v>92</v>
      </c>
      <c r="B161" s="452"/>
      <c r="C161" s="452"/>
      <c r="D161" s="453" t="s">
        <v>180</v>
      </c>
      <c r="E161" s="454">
        <v>471153.16</v>
      </c>
      <c r="F161" s="454">
        <v>471153.16</v>
      </c>
      <c r="G161" s="584">
        <f t="shared" ref="G161:G168" si="29">F161-E161</f>
        <v>0</v>
      </c>
      <c r="H161" s="396">
        <f t="shared" ref="H161:H168" si="30">G161</f>
        <v>0</v>
      </c>
      <c r="I161" s="657"/>
      <c r="J161" s="456">
        <f>H161/DAY(B2)</f>
        <v>0</v>
      </c>
    </row>
    <row r="162" spans="1:10" ht="22.5" x14ac:dyDescent="0.4">
      <c r="A162" s="526" t="s">
        <v>93</v>
      </c>
      <c r="B162" s="452"/>
      <c r="C162" s="452"/>
      <c r="D162" s="453" t="s">
        <v>180</v>
      </c>
      <c r="E162" s="454">
        <v>87570</v>
      </c>
      <c r="F162" s="454">
        <v>87592</v>
      </c>
      <c r="G162" s="584">
        <f t="shared" si="29"/>
        <v>22</v>
      </c>
      <c r="H162" s="396">
        <f t="shared" si="30"/>
        <v>22</v>
      </c>
      <c r="I162" s="657"/>
      <c r="J162" s="456">
        <f>H162/DAY(B2)</f>
        <v>22</v>
      </c>
    </row>
    <row r="163" spans="1:10" ht="22.5" x14ac:dyDescent="0.4">
      <c r="A163" s="526" t="s">
        <v>197</v>
      </c>
      <c r="B163" s="452"/>
      <c r="C163" s="452"/>
      <c r="D163" s="453" t="s">
        <v>180</v>
      </c>
      <c r="E163" s="454">
        <v>77825</v>
      </c>
      <c r="F163" s="454">
        <v>77859</v>
      </c>
      <c r="G163" s="584">
        <f t="shared" si="29"/>
        <v>34</v>
      </c>
      <c r="H163" s="396">
        <f t="shared" si="30"/>
        <v>34</v>
      </c>
      <c r="I163" s="657"/>
      <c r="J163" s="456">
        <f>H163/DAY(B2)</f>
        <v>34</v>
      </c>
    </row>
    <row r="164" spans="1:10" ht="22.5" x14ac:dyDescent="0.4">
      <c r="A164" s="526" t="s">
        <v>197</v>
      </c>
      <c r="B164" s="452"/>
      <c r="C164" s="452"/>
      <c r="D164" s="453" t="s">
        <v>180</v>
      </c>
      <c r="E164" s="454">
        <v>4242</v>
      </c>
      <c r="F164" s="454">
        <v>4242</v>
      </c>
      <c r="G164" s="584">
        <f>F164-E164</f>
        <v>0</v>
      </c>
      <c r="H164" s="396">
        <f t="shared" si="30"/>
        <v>0</v>
      </c>
      <c r="I164" s="657"/>
      <c r="J164" s="456">
        <f>H164/DAY(B2)</f>
        <v>0</v>
      </c>
    </row>
    <row r="165" spans="1:10" ht="22.5" x14ac:dyDescent="0.4">
      <c r="A165" s="526" t="s">
        <v>309</v>
      </c>
      <c r="B165" s="452"/>
      <c r="C165" s="452"/>
      <c r="D165" s="453" t="s">
        <v>180</v>
      </c>
      <c r="E165" s="454">
        <v>29646</v>
      </c>
      <c r="F165" s="454">
        <v>29652.55</v>
      </c>
      <c r="G165" s="584">
        <f t="shared" si="29"/>
        <v>6.5499999999992724</v>
      </c>
      <c r="H165" s="396">
        <f t="shared" si="30"/>
        <v>6.5499999999992724</v>
      </c>
      <c r="I165" s="657"/>
      <c r="J165" s="456">
        <f>H165/DAY(B2)</f>
        <v>6.5499999999992724</v>
      </c>
    </row>
    <row r="166" spans="1:10" ht="22.5" x14ac:dyDescent="0.4">
      <c r="A166" s="793"/>
      <c r="B166" s="793"/>
      <c r="C166" s="436"/>
      <c r="D166" s="453" t="s">
        <v>180</v>
      </c>
      <c r="E166" s="444"/>
      <c r="F166" s="444"/>
      <c r="G166" s="584">
        <f t="shared" si="29"/>
        <v>0</v>
      </c>
      <c r="H166" s="396">
        <f t="shared" si="30"/>
        <v>0</v>
      </c>
      <c r="I166" s="444"/>
      <c r="J166" s="441"/>
    </row>
    <row r="167" spans="1:10" ht="22.5" x14ac:dyDescent="0.4">
      <c r="A167" s="793"/>
      <c r="B167" s="793"/>
      <c r="C167" s="436"/>
      <c r="D167" s="453" t="s">
        <v>180</v>
      </c>
      <c r="E167" s="444"/>
      <c r="F167" s="444"/>
      <c r="G167" s="584">
        <f t="shared" si="29"/>
        <v>0</v>
      </c>
      <c r="H167" s="396">
        <f t="shared" si="30"/>
        <v>0</v>
      </c>
      <c r="I167" s="444"/>
      <c r="J167" s="441"/>
    </row>
    <row r="168" spans="1:10" ht="22.5" x14ac:dyDescent="0.4">
      <c r="A168" s="793"/>
      <c r="B168" s="793"/>
      <c r="C168" s="436"/>
      <c r="D168" s="453" t="s">
        <v>180</v>
      </c>
      <c r="E168" s="444"/>
      <c r="F168" s="444"/>
      <c r="G168" s="584">
        <f t="shared" si="29"/>
        <v>0</v>
      </c>
      <c r="H168" s="396">
        <f t="shared" si="30"/>
        <v>0</v>
      </c>
      <c r="I168" s="444"/>
      <c r="J168" s="441"/>
    </row>
    <row r="169" spans="1:10" ht="22.5" x14ac:dyDescent="0.4"/>
    <row r="170" spans="1:10" ht="22.5" x14ac:dyDescent="0.4"/>
    <row r="171" spans="1:10" ht="22.5" x14ac:dyDescent="0.4">
      <c r="A171" s="794" t="s">
        <v>330</v>
      </c>
      <c r="B171" s="795"/>
      <c r="C171" s="795"/>
      <c r="D171" s="795"/>
      <c r="E171" s="795"/>
      <c r="F171" s="795"/>
      <c r="G171" s="795"/>
      <c r="H171" s="795"/>
      <c r="I171" s="795"/>
      <c r="J171" s="796"/>
    </row>
    <row r="172" spans="1:10" ht="22.5" x14ac:dyDescent="0.4">
      <c r="A172" s="813"/>
      <c r="B172" s="814"/>
      <c r="C172" s="457"/>
      <c r="D172" s="508"/>
      <c r="E172" s="444"/>
      <c r="F172" s="444"/>
      <c r="G172" s="585"/>
      <c r="H172" s="441"/>
      <c r="I172" s="444"/>
      <c r="J172" s="458">
        <f>H172/DAY(B2)</f>
        <v>0</v>
      </c>
    </row>
    <row r="173" spans="1:10" ht="22.5" x14ac:dyDescent="0.4">
      <c r="A173" s="797" t="s">
        <v>209</v>
      </c>
      <c r="B173" s="799"/>
      <c r="C173" s="377"/>
      <c r="D173" s="508" t="s">
        <v>142</v>
      </c>
      <c r="E173" s="444">
        <v>8126</v>
      </c>
      <c r="F173" s="444">
        <v>8126</v>
      </c>
      <c r="G173" s="585">
        <f>F173-E173</f>
        <v>0</v>
      </c>
      <c r="H173" s="396">
        <f t="shared" ref="H173:H189" si="31">G173</f>
        <v>0</v>
      </c>
      <c r="I173" s="444"/>
      <c r="J173" s="458">
        <f>H173/DAY(B2)</f>
        <v>0</v>
      </c>
    </row>
    <row r="174" spans="1:10" ht="22.5" x14ac:dyDescent="0.4">
      <c r="A174" s="797" t="s">
        <v>75</v>
      </c>
      <c r="B174" s="799"/>
      <c r="C174" s="377"/>
      <c r="D174" s="508" t="s">
        <v>142</v>
      </c>
      <c r="E174" s="650">
        <v>38293</v>
      </c>
      <c r="F174" s="650">
        <v>38308</v>
      </c>
      <c r="G174" s="585">
        <f t="shared" ref="G174:G175" si="32">F174-E174</f>
        <v>15</v>
      </c>
      <c r="H174" s="396">
        <f t="shared" si="31"/>
        <v>15</v>
      </c>
      <c r="I174" s="444"/>
      <c r="J174" s="458">
        <f>H174/DAY(B2)</f>
        <v>15</v>
      </c>
    </row>
    <row r="175" spans="1:10" ht="22.5" x14ac:dyDescent="0.4">
      <c r="A175" s="797" t="s">
        <v>76</v>
      </c>
      <c r="B175" s="798"/>
      <c r="C175" s="799"/>
      <c r="D175" s="508" t="s">
        <v>142</v>
      </c>
      <c r="E175" s="444">
        <v>21518</v>
      </c>
      <c r="F175" s="444">
        <v>21530</v>
      </c>
      <c r="G175" s="585">
        <f t="shared" si="32"/>
        <v>12</v>
      </c>
      <c r="H175" s="396">
        <f t="shared" si="31"/>
        <v>12</v>
      </c>
      <c r="I175" s="444"/>
      <c r="J175" s="458"/>
    </row>
    <row r="176" spans="1:10" ht="22.5" x14ac:dyDescent="0.4">
      <c r="A176" s="809" t="s">
        <v>196</v>
      </c>
      <c r="B176" s="810"/>
      <c r="C176" s="377"/>
      <c r="D176" s="508"/>
      <c r="E176" s="444"/>
      <c r="F176" s="444"/>
      <c r="G176" s="585">
        <f>SUM(G173:G175)</f>
        <v>27</v>
      </c>
      <c r="H176" s="396">
        <f t="shared" si="31"/>
        <v>27</v>
      </c>
      <c r="I176" s="444"/>
      <c r="J176" s="458">
        <f>H176/DAY(B2)</f>
        <v>27</v>
      </c>
    </row>
    <row r="177" spans="1:10" ht="22.5" x14ac:dyDescent="0.4">
      <c r="A177" s="797" t="s">
        <v>77</v>
      </c>
      <c r="B177" s="799"/>
      <c r="C177" s="377"/>
      <c r="D177" s="508" t="s">
        <v>142</v>
      </c>
      <c r="E177" s="444"/>
      <c r="F177" s="444"/>
      <c r="G177" s="585"/>
      <c r="H177" s="396">
        <f t="shared" si="31"/>
        <v>0</v>
      </c>
      <c r="I177" s="444"/>
      <c r="J177" s="458">
        <f>H177/DAY(B2)</f>
        <v>0</v>
      </c>
    </row>
    <row r="178" spans="1:10" ht="22.5" x14ac:dyDescent="0.4">
      <c r="A178" s="797" t="s">
        <v>210</v>
      </c>
      <c r="B178" s="799"/>
      <c r="C178" s="377"/>
      <c r="D178" s="508" t="s">
        <v>142</v>
      </c>
      <c r="E178" s="444">
        <v>79614</v>
      </c>
      <c r="F178" s="444">
        <v>79676</v>
      </c>
      <c r="G178" s="585">
        <f>F178-E178</f>
        <v>62</v>
      </c>
      <c r="H178" s="396">
        <f t="shared" si="31"/>
        <v>62</v>
      </c>
      <c r="I178" s="444"/>
      <c r="J178" s="458">
        <f>H178/DAY(B2)</f>
        <v>62</v>
      </c>
    </row>
    <row r="179" spans="1:10" ht="22.5" x14ac:dyDescent="0.4">
      <c r="A179" s="797" t="s">
        <v>211</v>
      </c>
      <c r="B179" s="799"/>
      <c r="C179" s="377"/>
      <c r="D179" s="508" t="s">
        <v>142</v>
      </c>
      <c r="E179" s="444">
        <v>33915</v>
      </c>
      <c r="F179" s="444">
        <v>33957</v>
      </c>
      <c r="G179" s="585">
        <f t="shared" ref="G179:G180" si="33">F179-E179</f>
        <v>42</v>
      </c>
      <c r="H179" s="396">
        <f t="shared" si="31"/>
        <v>42</v>
      </c>
      <c r="I179" s="444"/>
      <c r="J179" s="458">
        <f>H179/DAY(B2)</f>
        <v>42</v>
      </c>
    </row>
    <row r="180" spans="1:10" ht="22.5" x14ac:dyDescent="0.4">
      <c r="A180" s="797" t="s">
        <v>212</v>
      </c>
      <c r="B180" s="799"/>
      <c r="C180" s="377"/>
      <c r="D180" s="508" t="s">
        <v>142</v>
      </c>
      <c r="E180" s="444">
        <v>5477</v>
      </c>
      <c r="F180" s="444">
        <v>5481</v>
      </c>
      <c r="G180" s="585">
        <f t="shared" si="33"/>
        <v>4</v>
      </c>
      <c r="H180" s="396">
        <f t="shared" si="31"/>
        <v>4</v>
      </c>
      <c r="I180" s="444"/>
      <c r="J180" s="458">
        <f>H180/DAY(B2)</f>
        <v>4</v>
      </c>
    </row>
    <row r="181" spans="1:10" ht="22.5" x14ac:dyDescent="0.4">
      <c r="A181" s="809" t="s">
        <v>108</v>
      </c>
      <c r="B181" s="810"/>
      <c r="C181" s="377"/>
      <c r="D181" s="508"/>
      <c r="E181" s="444"/>
      <c r="F181" s="444"/>
      <c r="G181" s="585">
        <f>SUM(G178:G180)</f>
        <v>108</v>
      </c>
      <c r="H181" s="396">
        <f t="shared" si="31"/>
        <v>108</v>
      </c>
      <c r="I181" s="444"/>
      <c r="J181" s="458">
        <f>H181/DAY(B2)</f>
        <v>108</v>
      </c>
    </row>
    <row r="182" spans="1:10" ht="21.95" customHeight="1" x14ac:dyDescent="0.4">
      <c r="A182" s="797" t="s">
        <v>213</v>
      </c>
      <c r="B182" s="799"/>
      <c r="C182" s="377"/>
      <c r="D182" s="508"/>
      <c r="E182" s="444"/>
      <c r="F182" s="444"/>
      <c r="G182" s="585"/>
      <c r="H182" s="396">
        <f t="shared" si="31"/>
        <v>0</v>
      </c>
      <c r="I182" s="444"/>
      <c r="J182" s="458">
        <f>H182/DAY(B2)</f>
        <v>0</v>
      </c>
    </row>
    <row r="183" spans="1:10" ht="21.95" customHeight="1" x14ac:dyDescent="0.4">
      <c r="A183" s="797" t="s">
        <v>214</v>
      </c>
      <c r="B183" s="799"/>
      <c r="C183" s="377"/>
      <c r="D183" s="508" t="s">
        <v>142</v>
      </c>
      <c r="E183" s="650">
        <v>14947</v>
      </c>
      <c r="F183" s="650">
        <v>14977</v>
      </c>
      <c r="G183" s="586">
        <f>F183-E183</f>
        <v>30</v>
      </c>
      <c r="H183" s="396">
        <f t="shared" si="31"/>
        <v>30</v>
      </c>
      <c r="I183" s="444"/>
      <c r="J183" s="458">
        <f>H183/DAY(B2)</f>
        <v>30</v>
      </c>
    </row>
    <row r="184" spans="1:10" ht="21.95" customHeight="1" x14ac:dyDescent="0.4">
      <c r="A184" s="797" t="s">
        <v>215</v>
      </c>
      <c r="B184" s="799"/>
      <c r="C184" s="377"/>
      <c r="D184" s="508" t="s">
        <v>142</v>
      </c>
      <c r="E184" s="650">
        <v>10301</v>
      </c>
      <c r="F184" s="650">
        <v>10308</v>
      </c>
      <c r="G184" s="586">
        <f t="shared" ref="G184:G185" si="34">F184-E184</f>
        <v>7</v>
      </c>
      <c r="H184" s="396">
        <f t="shared" si="31"/>
        <v>7</v>
      </c>
      <c r="I184" s="444"/>
      <c r="J184" s="458">
        <f>H184/DAY(B2)</f>
        <v>7</v>
      </c>
    </row>
    <row r="185" spans="1:10" ht="22.5" x14ac:dyDescent="0.4">
      <c r="A185" s="797" t="s">
        <v>216</v>
      </c>
      <c r="B185" s="799"/>
      <c r="C185" s="377"/>
      <c r="D185" s="508" t="s">
        <v>142</v>
      </c>
      <c r="E185" s="650"/>
      <c r="F185" s="650"/>
      <c r="G185" s="586">
        <f t="shared" si="34"/>
        <v>0</v>
      </c>
      <c r="H185" s="396">
        <f t="shared" si="31"/>
        <v>0</v>
      </c>
      <c r="I185" s="444"/>
      <c r="J185" s="460">
        <f>H185/DAY(B2)</f>
        <v>0</v>
      </c>
    </row>
    <row r="186" spans="1:10" ht="22.5" x14ac:dyDescent="0.4">
      <c r="A186" s="809" t="s">
        <v>196</v>
      </c>
      <c r="B186" s="810"/>
      <c r="C186" s="377"/>
      <c r="D186" s="229"/>
      <c r="E186" s="650"/>
      <c r="F186" s="650"/>
      <c r="G186" s="586">
        <f>SUM(G183:G185)</f>
        <v>37</v>
      </c>
      <c r="H186" s="396">
        <f t="shared" si="31"/>
        <v>37</v>
      </c>
      <c r="I186" s="650"/>
      <c r="J186" s="460">
        <f>H186/DAY(B2)</f>
        <v>37</v>
      </c>
    </row>
    <row r="187" spans="1:10" ht="22.5" x14ac:dyDescent="0.4">
      <c r="A187" s="797" t="s">
        <v>217</v>
      </c>
      <c r="B187" s="799"/>
      <c r="C187" s="377"/>
      <c r="D187" s="461" t="s">
        <v>142</v>
      </c>
      <c r="E187" s="462"/>
      <c r="F187" s="462"/>
      <c r="G187" s="586">
        <f>G62+G19</f>
        <v>54</v>
      </c>
      <c r="H187" s="396">
        <f t="shared" si="31"/>
        <v>54</v>
      </c>
      <c r="I187" s="650"/>
      <c r="J187" s="460">
        <f>H187/DAY(B2)</f>
        <v>54</v>
      </c>
    </row>
    <row r="188" spans="1:10" ht="22.5" x14ac:dyDescent="0.4">
      <c r="A188" s="797" t="s">
        <v>218</v>
      </c>
      <c r="B188" s="799"/>
      <c r="C188" s="377"/>
      <c r="D188" s="461" t="s">
        <v>142</v>
      </c>
      <c r="E188" s="462"/>
      <c r="F188" s="462"/>
      <c r="G188" s="586">
        <f>G65+G66+G67+G69+G70</f>
        <v>204</v>
      </c>
      <c r="H188" s="396">
        <f t="shared" si="31"/>
        <v>204</v>
      </c>
      <c r="I188" s="650"/>
      <c r="J188" s="661"/>
    </row>
    <row r="189" spans="1:10" ht="22.5" x14ac:dyDescent="0.4">
      <c r="A189" s="797" t="s">
        <v>219</v>
      </c>
      <c r="B189" s="799"/>
      <c r="C189" s="377"/>
      <c r="D189" s="461" t="s">
        <v>142</v>
      </c>
      <c r="E189" s="650"/>
      <c r="F189" s="650"/>
      <c r="G189" s="586">
        <f>G181</f>
        <v>108</v>
      </c>
      <c r="H189" s="396">
        <f t="shared" si="31"/>
        <v>108</v>
      </c>
      <c r="I189" s="650"/>
      <c r="J189" s="456">
        <f>H189/DAY(B2)</f>
        <v>108</v>
      </c>
    </row>
    <row r="190" spans="1:10" ht="27" x14ac:dyDescent="0.5">
      <c r="A190" s="811" t="s">
        <v>360</v>
      </c>
      <c r="B190" s="812"/>
      <c r="C190" s="598"/>
      <c r="D190" s="476"/>
      <c r="E190" s="666"/>
      <c r="F190" s="599">
        <v>52955</v>
      </c>
      <c r="G190" s="653">
        <f>F190-E190</f>
        <v>52955</v>
      </c>
      <c r="H190" s="478"/>
      <c r="I190" s="599"/>
      <c r="J190" s="478"/>
    </row>
    <row r="191" spans="1:10" ht="22.5" x14ac:dyDescent="0.4">
      <c r="A191" s="797"/>
      <c r="B191" s="799"/>
    </row>
    <row r="192" spans="1:10" ht="22.5" x14ac:dyDescent="0.4"/>
    <row r="193" ht="22.5" x14ac:dyDescent="0.4"/>
    <row r="194" ht="22.5" x14ac:dyDescent="0.4"/>
    <row r="195" ht="22.5" x14ac:dyDescent="0.4"/>
    <row r="196" ht="22.5" x14ac:dyDescent="0.4"/>
    <row r="197" ht="22.5" x14ac:dyDescent="0.4"/>
    <row r="198" ht="22.5" x14ac:dyDescent="0.4"/>
    <row r="199" ht="22.5" x14ac:dyDescent="0.4"/>
    <row r="200" ht="22.5" x14ac:dyDescent="0.4"/>
    <row r="201" ht="22.5" x14ac:dyDescent="0.4"/>
    <row r="202" ht="22.5" x14ac:dyDescent="0.4"/>
    <row r="203" ht="22.5" x14ac:dyDescent="0.4"/>
    <row r="204" ht="22.5" x14ac:dyDescent="0.4"/>
    <row r="205" ht="22.5" x14ac:dyDescent="0.4"/>
    <row r="206" ht="22.5" x14ac:dyDescent="0.4"/>
    <row r="207" ht="22.5" x14ac:dyDescent="0.4"/>
    <row r="208" ht="22.5" x14ac:dyDescent="0.4"/>
    <row r="209" ht="22.5" x14ac:dyDescent="0.4"/>
    <row r="210" ht="22.5" x14ac:dyDescent="0.4"/>
    <row r="211" ht="22.5" x14ac:dyDescent="0.4"/>
    <row r="212" ht="22.5" x14ac:dyDescent="0.4"/>
    <row r="213" ht="22.5" x14ac:dyDescent="0.4"/>
    <row r="214" ht="22.5" x14ac:dyDescent="0.4"/>
    <row r="215" ht="22.5" x14ac:dyDescent="0.4"/>
    <row r="216" ht="22.5" x14ac:dyDescent="0.4"/>
    <row r="217" ht="22.5" x14ac:dyDescent="0.4"/>
    <row r="218" ht="22.5" x14ac:dyDescent="0.4"/>
    <row r="219" ht="22.5" x14ac:dyDescent="0.4"/>
    <row r="220" ht="22.5" x14ac:dyDescent="0.4"/>
    <row r="221" ht="22.5" x14ac:dyDescent="0.4"/>
    <row r="222" ht="22.5" x14ac:dyDescent="0.4"/>
    <row r="223" ht="22.5" x14ac:dyDescent="0.4"/>
    <row r="224" ht="22.5" x14ac:dyDescent="0.4"/>
    <row r="225" ht="22.5" x14ac:dyDescent="0.4"/>
    <row r="226" ht="22.5" x14ac:dyDescent="0.4"/>
    <row r="227" ht="22.5" x14ac:dyDescent="0.4"/>
    <row r="228" ht="22.5" x14ac:dyDescent="0.4"/>
    <row r="229" ht="22.5" x14ac:dyDescent="0.4"/>
    <row r="230" ht="22.5" x14ac:dyDescent="0.4"/>
    <row r="231" ht="22.5" x14ac:dyDescent="0.4"/>
    <row r="232" ht="22.5" x14ac:dyDescent="0.4"/>
    <row r="233" ht="22.5" x14ac:dyDescent="0.4"/>
    <row r="234" ht="22.5" x14ac:dyDescent="0.4"/>
    <row r="235" ht="22.5" x14ac:dyDescent="0.4"/>
    <row r="236" ht="22.5" x14ac:dyDescent="0.4"/>
    <row r="237" ht="22.5" x14ac:dyDescent="0.4"/>
    <row r="238" ht="22.5" x14ac:dyDescent="0.4"/>
    <row r="239" ht="22.5" x14ac:dyDescent="0.4"/>
    <row r="240" ht="22.5" x14ac:dyDescent="0.4"/>
    <row r="241" ht="22.5" x14ac:dyDescent="0.4"/>
    <row r="242" ht="22.5" x14ac:dyDescent="0.4"/>
    <row r="243" ht="22.5" x14ac:dyDescent="0.4"/>
    <row r="244" ht="22.5" x14ac:dyDescent="0.4"/>
    <row r="245" ht="22.5" x14ac:dyDescent="0.4"/>
    <row r="246" ht="22.5" x14ac:dyDescent="0.4"/>
    <row r="247" ht="22.5" x14ac:dyDescent="0.4"/>
    <row r="248" ht="22.5" x14ac:dyDescent="0.4"/>
    <row r="249" ht="22.5" x14ac:dyDescent="0.4"/>
    <row r="250" ht="22.5" x14ac:dyDescent="0.4"/>
    <row r="251" ht="22.5" x14ac:dyDescent="0.4"/>
    <row r="252" ht="22.5" x14ac:dyDescent="0.4"/>
    <row r="253" ht="22.5" x14ac:dyDescent="0.4"/>
    <row r="254" ht="22.5" x14ac:dyDescent="0.4"/>
    <row r="255" ht="22.5" x14ac:dyDescent="0.4"/>
    <row r="256" ht="22.5" x14ac:dyDescent="0.4"/>
    <row r="257" ht="22.5" x14ac:dyDescent="0.4"/>
    <row r="258" ht="22.5" x14ac:dyDescent="0.4"/>
    <row r="259" ht="22.5" x14ac:dyDescent="0.4"/>
    <row r="260" ht="22.5" x14ac:dyDescent="0.4"/>
    <row r="261" ht="22.5" x14ac:dyDescent="0.4"/>
    <row r="262" ht="22.5" x14ac:dyDescent="0.4"/>
    <row r="263" ht="22.5" x14ac:dyDescent="0.4"/>
    <row r="264" ht="22.5" x14ac:dyDescent="0.4"/>
    <row r="265" ht="22.5" x14ac:dyDescent="0.4"/>
    <row r="266" ht="22.5" x14ac:dyDescent="0.4"/>
    <row r="267" ht="22.5" x14ac:dyDescent="0.4"/>
    <row r="268" ht="22.5" x14ac:dyDescent="0.4"/>
    <row r="269" ht="22.5" x14ac:dyDescent="0.4"/>
    <row r="270" ht="22.5" x14ac:dyDescent="0.4"/>
  </sheetData>
  <mergeCells count="116">
    <mergeCell ref="A157:C157"/>
    <mergeCell ref="A158:C158"/>
    <mergeCell ref="A159:C159"/>
    <mergeCell ref="A186:B186"/>
    <mergeCell ref="A187:B187"/>
    <mergeCell ref="A188:B188"/>
    <mergeCell ref="A189:B189"/>
    <mergeCell ref="A191:B191"/>
    <mergeCell ref="A178:B178"/>
    <mergeCell ref="A179:B179"/>
    <mergeCell ref="A180:B180"/>
    <mergeCell ref="A181:B181"/>
    <mergeCell ref="A185:B185"/>
    <mergeCell ref="A182:B182"/>
    <mergeCell ref="A183:B183"/>
    <mergeCell ref="A184:B184"/>
    <mergeCell ref="A190:B190"/>
    <mergeCell ref="A172:B172"/>
    <mergeCell ref="A173:B173"/>
    <mergeCell ref="A174:B174"/>
    <mergeCell ref="A176:B176"/>
    <mergeCell ref="A177:B177"/>
    <mergeCell ref="A160:J160"/>
    <mergeCell ref="A166:B166"/>
    <mergeCell ref="A167:B167"/>
    <mergeCell ref="A168:B168"/>
    <mergeCell ref="A171:J171"/>
    <mergeCell ref="A175:C175"/>
    <mergeCell ref="A118:C118"/>
    <mergeCell ref="Q118:R118"/>
    <mergeCell ref="A138:C138"/>
    <mergeCell ref="A139:C139"/>
    <mergeCell ref="A140:C140"/>
    <mergeCell ref="A141:C141"/>
    <mergeCell ref="A132:C132"/>
    <mergeCell ref="A133:C133"/>
    <mergeCell ref="A134:C134"/>
    <mergeCell ref="A135:C135"/>
    <mergeCell ref="A136:J136"/>
    <mergeCell ref="A119:C119"/>
    <mergeCell ref="A120:C120"/>
    <mergeCell ref="A121:C121"/>
    <mergeCell ref="A122:C122"/>
    <mergeCell ref="A124:C124"/>
    <mergeCell ref="A123:C123"/>
    <mergeCell ref="A126:J126"/>
    <mergeCell ref="A127:B127"/>
    <mergeCell ref="A128:C128"/>
    <mergeCell ref="A100:C100"/>
    <mergeCell ref="A101:C101"/>
    <mergeCell ref="A103:C103"/>
    <mergeCell ref="A104:C104"/>
    <mergeCell ref="A102:C102"/>
    <mergeCell ref="A109:B109"/>
    <mergeCell ref="Q116:R116"/>
    <mergeCell ref="A117:C117"/>
    <mergeCell ref="Q117:R117"/>
    <mergeCell ref="A113:C113"/>
    <mergeCell ref="A114:C114"/>
    <mergeCell ref="A115:C115"/>
    <mergeCell ref="A116:C116"/>
    <mergeCell ref="A105:C105"/>
    <mergeCell ref="A108:J108"/>
    <mergeCell ref="A110:J110"/>
    <mergeCell ref="A111:C111"/>
    <mergeCell ref="A112:C112"/>
    <mergeCell ref="A81:C81"/>
    <mergeCell ref="A93:C93"/>
    <mergeCell ref="A73:C73"/>
    <mergeCell ref="A74:C74"/>
    <mergeCell ref="A75:C75"/>
    <mergeCell ref="A76:C76"/>
    <mergeCell ref="A95:C95"/>
    <mergeCell ref="A96:C96"/>
    <mergeCell ref="A94:C94"/>
    <mergeCell ref="A99:C99"/>
    <mergeCell ref="A1:J1"/>
    <mergeCell ref="A6:C6"/>
    <mergeCell ref="A14:C14"/>
    <mergeCell ref="A64:C64"/>
    <mergeCell ref="A65:C65"/>
    <mergeCell ref="A17:C17"/>
    <mergeCell ref="A18:C18"/>
    <mergeCell ref="A19:C19"/>
    <mergeCell ref="E3:F3"/>
    <mergeCell ref="A21:C21"/>
    <mergeCell ref="A25:C25"/>
    <mergeCell ref="A33:C33"/>
    <mergeCell ref="A61:C61"/>
    <mergeCell ref="A62:C62"/>
    <mergeCell ref="A63:C63"/>
    <mergeCell ref="A71:C71"/>
    <mergeCell ref="A72:B72"/>
    <mergeCell ref="A78:C78"/>
    <mergeCell ref="A97:C97"/>
    <mergeCell ref="A98:C98"/>
    <mergeCell ref="A77:C77"/>
    <mergeCell ref="A79:C79"/>
    <mergeCell ref="A80:C80"/>
    <mergeCell ref="A153:C153"/>
    <mergeCell ref="A125:C125"/>
    <mergeCell ref="A148:C148"/>
    <mergeCell ref="A149:C149"/>
    <mergeCell ref="A150:C150"/>
    <mergeCell ref="A151:C151"/>
    <mergeCell ref="A152:C152"/>
    <mergeCell ref="A156:C156"/>
    <mergeCell ref="A147:C147"/>
    <mergeCell ref="A154:J154"/>
    <mergeCell ref="A155:C155"/>
    <mergeCell ref="A145:C145"/>
    <mergeCell ref="A146:C146"/>
    <mergeCell ref="A144:C144"/>
    <mergeCell ref="A143:C143"/>
    <mergeCell ref="A142:C142"/>
    <mergeCell ref="A131:C131"/>
  </mergeCells>
  <pageMargins left="0.22" right="0.17" top="0.14000000000000001" bottom="0.2" header="0.2" footer="0.2"/>
  <pageSetup paperSize="5" scale="23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R270"/>
  <sheetViews>
    <sheetView view="pageBreakPreview" zoomScale="55" zoomScaleSheetLayoutView="55" workbookViewId="0">
      <selection activeCell="F24" sqref="F24"/>
    </sheetView>
  </sheetViews>
  <sheetFormatPr defaultColWidth="22.33203125" defaultRowHeight="21.95" customHeight="1" x14ac:dyDescent="0.5"/>
  <cols>
    <col min="1" max="1" width="36" style="94" customWidth="1"/>
    <col min="2" max="2" width="22.88671875" style="97" customWidth="1"/>
    <col min="3" max="3" width="15.88671875" style="97" customWidth="1"/>
    <col min="4" max="4" width="13.6640625" style="160" customWidth="1"/>
    <col min="5" max="5" width="27" style="160" customWidth="1"/>
    <col min="6" max="6" width="27.44140625" style="160" customWidth="1"/>
    <col min="7" max="7" width="28.88671875" style="160" customWidth="1"/>
    <col min="8" max="8" width="29.21875" style="161" customWidth="1"/>
    <col min="9" max="9" width="23.5546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6" ht="33.75" x14ac:dyDescent="0.65">
      <c r="A1" s="821" t="s">
        <v>115</v>
      </c>
      <c r="B1" s="822"/>
      <c r="C1" s="822"/>
      <c r="D1" s="822"/>
      <c r="E1" s="822"/>
      <c r="F1" s="822"/>
      <c r="G1" s="822"/>
      <c r="H1" s="822"/>
      <c r="I1" s="822"/>
      <c r="J1" s="823"/>
    </row>
    <row r="2" spans="1:16" s="57" customFormat="1" ht="27" x14ac:dyDescent="0.5">
      <c r="A2" s="191" t="s">
        <v>350</v>
      </c>
      <c r="B2" s="262">
        <v>44563</v>
      </c>
      <c r="C2" s="348" t="s">
        <v>67</v>
      </c>
      <c r="D2" s="218">
        <v>0.43559999999999999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6" s="57" customFormat="1" ht="27" x14ac:dyDescent="0.5">
      <c r="A3" s="189"/>
      <c r="B3" s="221"/>
      <c r="C3" s="348" t="s">
        <v>118</v>
      </c>
      <c r="D3" s="219">
        <v>28</v>
      </c>
      <c r="E3" s="830" t="s">
        <v>119</v>
      </c>
      <c r="F3" s="831"/>
      <c r="G3" s="101"/>
      <c r="H3" s="102"/>
      <c r="I3" s="102"/>
      <c r="J3" s="222"/>
      <c r="K3" s="61"/>
      <c r="L3" s="58"/>
    </row>
    <row r="4" spans="1:16" s="57" customFormat="1" ht="27" x14ac:dyDescent="0.5">
      <c r="A4" s="192"/>
      <c r="B4" s="223"/>
      <c r="C4" s="348" t="s">
        <v>120</v>
      </c>
      <c r="D4" s="218">
        <v>0.68</v>
      </c>
      <c r="E4" s="103"/>
      <c r="F4" s="103"/>
      <c r="G4" s="103"/>
      <c r="H4" s="103"/>
      <c r="I4" s="104"/>
      <c r="J4" s="222"/>
      <c r="K4" s="62"/>
      <c r="L4" s="58"/>
    </row>
    <row r="5" spans="1:16" ht="29.25" x14ac:dyDescent="0.4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6" ht="29.25" x14ac:dyDescent="0.4">
      <c r="A6" s="824" t="s">
        <v>128</v>
      </c>
      <c r="B6" s="825"/>
      <c r="C6" s="826"/>
      <c r="D6" s="110"/>
      <c r="E6" s="110"/>
      <c r="F6" s="110"/>
      <c r="G6" s="110"/>
      <c r="H6" s="111"/>
      <c r="I6" s="111"/>
      <c r="J6" s="174"/>
      <c r="K6" s="78"/>
      <c r="L6" s="66"/>
    </row>
    <row r="7" spans="1:16" ht="30" thickBot="1" x14ac:dyDescent="0.45">
      <c r="A7" s="194" t="s">
        <v>129</v>
      </c>
      <c r="B7" s="195"/>
      <c r="C7" s="195"/>
      <c r="D7" s="151" t="s">
        <v>130</v>
      </c>
      <c r="E7" s="95">
        <f>'1'!F7</f>
        <v>114567.53</v>
      </c>
      <c r="F7" s="95">
        <v>134056.9</v>
      </c>
      <c r="G7" s="112">
        <f>F7-E7</f>
        <v>19489.369999999995</v>
      </c>
      <c r="H7" s="99">
        <f>G7+'1'!H7</f>
        <v>39495.899999999994</v>
      </c>
      <c r="I7" s="113">
        <f>'[1]1'!I7</f>
        <v>12000</v>
      </c>
      <c r="J7" s="175">
        <f>H7/DAY(B2)</f>
        <v>19747.949999999997</v>
      </c>
      <c r="K7" s="172">
        <v>1375467</v>
      </c>
      <c r="L7" s="66"/>
      <c r="N7" s="87"/>
      <c r="O7" s="373">
        <v>26905.200000000001</v>
      </c>
      <c r="P7" s="57" t="s">
        <v>351</v>
      </c>
    </row>
    <row r="8" spans="1:16" ht="27.75" thickBot="1" x14ac:dyDescent="0.45">
      <c r="A8" s="196" t="s">
        <v>131</v>
      </c>
      <c r="B8" s="197"/>
      <c r="C8" s="198"/>
      <c r="D8" s="224" t="s">
        <v>24</v>
      </c>
      <c r="E8" s="95">
        <f>'1'!F8</f>
        <v>161334</v>
      </c>
      <c r="F8" s="114">
        <v>181227</v>
      </c>
      <c r="G8" s="115">
        <f>F8-E8</f>
        <v>19893</v>
      </c>
      <c r="H8" s="99">
        <f>G8+'1'!H8</f>
        <v>40342</v>
      </c>
      <c r="I8" s="116">
        <v>12000</v>
      </c>
      <c r="J8" s="175">
        <f>H8/DAY(B2)</f>
        <v>20171</v>
      </c>
      <c r="K8" s="172">
        <v>1715917</v>
      </c>
      <c r="L8" s="76">
        <v>1728480</v>
      </c>
      <c r="M8" s="87">
        <f>L8-K8</f>
        <v>12563</v>
      </c>
      <c r="N8" s="87"/>
      <c r="O8" s="373">
        <v>12182.6</v>
      </c>
      <c r="P8" s="57" t="s">
        <v>130</v>
      </c>
    </row>
    <row r="9" spans="1:16" ht="29.25" x14ac:dyDescent="0.4">
      <c r="A9" s="199" t="s">
        <v>132</v>
      </c>
      <c r="B9" s="200"/>
      <c r="C9" s="200"/>
      <c r="D9" s="151" t="s">
        <v>130</v>
      </c>
      <c r="E9" s="95">
        <f>'1'!F9</f>
        <v>2271542.1</v>
      </c>
      <c r="F9" s="353">
        <v>2283852.9</v>
      </c>
      <c r="G9" s="112">
        <f t="shared" ref="G9:G11" si="0">F9-E9</f>
        <v>12310.799999999814</v>
      </c>
      <c r="H9" s="99">
        <f>G9+'1'!H9</f>
        <v>25076.899999999907</v>
      </c>
      <c r="I9" s="124">
        <f>I8-J8</f>
        <v>-8171</v>
      </c>
      <c r="J9" s="175">
        <f>H9/DAY(B2)</f>
        <v>12538.449999999953</v>
      </c>
      <c r="K9" s="79">
        <f>K8-100</f>
        <v>1715817</v>
      </c>
      <c r="L9" s="66"/>
      <c r="N9" s="87"/>
      <c r="O9" s="71"/>
    </row>
    <row r="10" spans="1:16" ht="29.25" x14ac:dyDescent="0.4">
      <c r="A10" s="194" t="s">
        <v>133</v>
      </c>
      <c r="B10" s="195"/>
      <c r="C10" s="195"/>
      <c r="D10" s="151" t="s">
        <v>130</v>
      </c>
      <c r="E10" s="95">
        <f>'1'!F10</f>
        <v>547525.15</v>
      </c>
      <c r="F10" s="117">
        <v>554172.82999999996</v>
      </c>
      <c r="G10" s="112">
        <f t="shared" si="0"/>
        <v>6647.6799999999348</v>
      </c>
      <c r="H10" s="99">
        <f>G10+'1'!H10</f>
        <v>13346.829999999958</v>
      </c>
      <c r="I10" s="118"/>
      <c r="J10" s="175">
        <f>H10/DAY(B2)</f>
        <v>6673.414999999979</v>
      </c>
      <c r="K10" s="79"/>
      <c r="L10" s="66"/>
      <c r="N10" s="87"/>
      <c r="O10" s="71"/>
    </row>
    <row r="11" spans="1:16" ht="29.25" x14ac:dyDescent="0.4">
      <c r="A11" s="194" t="s">
        <v>134</v>
      </c>
      <c r="B11" s="195"/>
      <c r="C11" s="195"/>
      <c r="D11" s="151" t="s">
        <v>130</v>
      </c>
      <c r="E11" s="95">
        <f>'1'!F11</f>
        <v>37000</v>
      </c>
      <c r="F11" s="95">
        <v>37000</v>
      </c>
      <c r="G11" s="112">
        <f t="shared" si="0"/>
        <v>0</v>
      </c>
      <c r="H11" s="99">
        <f>G11+'1'!H11</f>
        <v>0</v>
      </c>
      <c r="I11" s="118"/>
      <c r="J11" s="175">
        <f>H11/DAY(B2)</f>
        <v>0</v>
      </c>
      <c r="K11" s="79"/>
      <c r="L11" s="66"/>
      <c r="N11" s="87"/>
      <c r="O11" s="71">
        <f>10328+26905</f>
        <v>37233</v>
      </c>
    </row>
    <row r="12" spans="1:16" ht="29.25" x14ac:dyDescent="0.4">
      <c r="A12" s="194" t="s">
        <v>135</v>
      </c>
      <c r="B12" s="195"/>
      <c r="C12" s="195"/>
      <c r="D12" s="151" t="s">
        <v>130</v>
      </c>
      <c r="E12" s="95">
        <f>'1'!F12</f>
        <v>40010</v>
      </c>
      <c r="F12" s="117">
        <v>40010</v>
      </c>
      <c r="G12" s="112">
        <v>0</v>
      </c>
      <c r="H12" s="99">
        <f>G12+'1'!H12</f>
        <v>0</v>
      </c>
      <c r="I12" s="118"/>
      <c r="J12" s="175">
        <f>H12/DAY(B2)</f>
        <v>0</v>
      </c>
      <c r="K12" s="79"/>
      <c r="L12" s="66"/>
      <c r="N12" s="87"/>
      <c r="O12" s="71"/>
      <c r="P12" s="65">
        <v>698</v>
      </c>
    </row>
    <row r="13" spans="1:16" ht="29.25" x14ac:dyDescent="0.5">
      <c r="A13" s="201" t="s">
        <v>136</v>
      </c>
      <c r="B13" s="202"/>
      <c r="C13" s="202"/>
      <c r="D13" s="151"/>
      <c r="E13" s="95"/>
      <c r="F13" s="95"/>
      <c r="G13" s="119">
        <f>G9+G10+G11+G12</f>
        <v>18958.479999999749</v>
      </c>
      <c r="H13" s="99">
        <f>G13+'1'!H13</f>
        <v>18958.479999999749</v>
      </c>
      <c r="I13" s="120">
        <f>G7-G13</f>
        <v>530.8900000002468</v>
      </c>
      <c r="J13" s="175">
        <f>H13/DAY(B2)</f>
        <v>9479.2399999998743</v>
      </c>
      <c r="K13" s="79"/>
      <c r="L13" s="66"/>
      <c r="N13" s="87"/>
      <c r="O13" s="71"/>
      <c r="P13" s="65">
        <v>822</v>
      </c>
    </row>
    <row r="14" spans="1:16" ht="29.25" x14ac:dyDescent="0.5">
      <c r="A14" s="827" t="s">
        <v>137</v>
      </c>
      <c r="B14" s="828"/>
      <c r="C14" s="829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6" ht="29.25" x14ac:dyDescent="0.5">
      <c r="A15" s="345" t="s">
        <v>138</v>
      </c>
      <c r="B15" s="205"/>
      <c r="C15" s="205"/>
      <c r="D15" s="151" t="s">
        <v>139</v>
      </c>
      <c r="E15" s="95">
        <f>'1'!F15</f>
        <v>1879500.0859999999</v>
      </c>
      <c r="F15" s="352">
        <v>1880308.6129999999</v>
      </c>
      <c r="G15" s="356">
        <f>(F15-E15)</f>
        <v>808.52700000000186</v>
      </c>
      <c r="H15" s="99">
        <f>G15+'1'!H15</f>
        <v>1878.6129999998957</v>
      </c>
      <c r="I15" s="113">
        <v>800</v>
      </c>
      <c r="J15" s="175">
        <f>H15/DAY(B2)</f>
        <v>939.30649999994785</v>
      </c>
      <c r="K15" s="79"/>
      <c r="L15" s="66"/>
      <c r="N15" s="87"/>
      <c r="O15" s="71"/>
    </row>
    <row r="16" spans="1:16" ht="29.25" x14ac:dyDescent="0.4">
      <c r="A16" s="203"/>
      <c r="B16" s="204"/>
      <c r="C16" s="204"/>
      <c r="D16" s="152"/>
      <c r="E16" s="123"/>
      <c r="F16" s="123"/>
      <c r="G16" s="112"/>
      <c r="H16" s="124"/>
      <c r="I16" s="120">
        <f>I15-J15</f>
        <v>-139.30649999994785</v>
      </c>
      <c r="J16" s="176"/>
      <c r="K16" s="79"/>
      <c r="L16" s="66"/>
      <c r="N16" s="87"/>
      <c r="O16" s="71"/>
      <c r="P16" s="71">
        <f>G9+P12</f>
        <v>13008.799999999814</v>
      </c>
    </row>
    <row r="17" spans="1:16" ht="29.25" x14ac:dyDescent="0.5">
      <c r="A17" s="827" t="s">
        <v>140</v>
      </c>
      <c r="B17" s="828"/>
      <c r="C17" s="829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  <c r="P17" s="71">
        <f>G9+P13</f>
        <v>13132.799999999814</v>
      </c>
    </row>
    <row r="18" spans="1:16" ht="27.75" x14ac:dyDescent="0.5">
      <c r="A18" s="818" t="s">
        <v>141</v>
      </c>
      <c r="B18" s="819"/>
      <c r="C18" s="820"/>
      <c r="D18" s="151" t="s">
        <v>142</v>
      </c>
      <c r="E18" s="95">
        <f>'1'!F18</f>
        <v>0</v>
      </c>
      <c r="F18" s="117">
        <v>0</v>
      </c>
      <c r="G18" s="119">
        <f>F18*10</f>
        <v>0</v>
      </c>
      <c r="H18" s="99">
        <f>G18+'1'!H18</f>
        <v>0</v>
      </c>
      <c r="I18" s="113">
        <f>'[1]1'!I18</f>
        <v>65</v>
      </c>
      <c r="J18" s="175">
        <f>H18/DAY(B2)</f>
        <v>0</v>
      </c>
      <c r="K18" s="79"/>
      <c r="L18" s="66"/>
      <c r="N18" s="87"/>
      <c r="O18" s="71"/>
    </row>
    <row r="19" spans="1:16" ht="27.75" x14ac:dyDescent="0.5">
      <c r="A19" s="818" t="s">
        <v>69</v>
      </c>
      <c r="B19" s="819"/>
      <c r="C19" s="820"/>
      <c r="D19" s="151" t="s">
        <v>142</v>
      </c>
      <c r="E19" s="95">
        <f>'1'!F19</f>
        <v>152279</v>
      </c>
      <c r="F19" s="353">
        <v>152335</v>
      </c>
      <c r="G19" s="112">
        <f>F19-E19</f>
        <v>56</v>
      </c>
      <c r="H19" s="99">
        <f>G19+'1'!H19</f>
        <v>110</v>
      </c>
      <c r="I19" s="354"/>
      <c r="J19" s="175">
        <f>H19/DAY(B2)</f>
        <v>55</v>
      </c>
      <c r="K19" s="79"/>
      <c r="L19" s="66"/>
      <c r="N19" s="87"/>
      <c r="O19" s="71"/>
    </row>
    <row r="20" spans="1:16" ht="29.25" x14ac:dyDescent="0.5">
      <c r="A20" s="201" t="s">
        <v>143</v>
      </c>
      <c r="B20" s="202"/>
      <c r="C20" s="202"/>
      <c r="D20" s="126"/>
      <c r="E20" s="126"/>
      <c r="F20" s="151"/>
      <c r="G20" s="355">
        <f>G18+G19</f>
        <v>56</v>
      </c>
      <c r="H20" s="99">
        <f>G20+'1'!H20</f>
        <v>110</v>
      </c>
      <c r="I20" s="336">
        <f>I18-J20</f>
        <v>10</v>
      </c>
      <c r="J20" s="175">
        <f>H20/DAY(B2)</f>
        <v>55</v>
      </c>
      <c r="K20" s="79"/>
      <c r="L20" s="66"/>
      <c r="N20" s="87"/>
      <c r="O20" s="71"/>
    </row>
    <row r="21" spans="1:16" ht="29.25" x14ac:dyDescent="0.5">
      <c r="A21" s="827" t="s">
        <v>144</v>
      </c>
      <c r="B21" s="828"/>
      <c r="C21" s="829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6" ht="29.25" x14ac:dyDescent="0.5">
      <c r="A22" s="345" t="s">
        <v>145</v>
      </c>
      <c r="B22" s="205"/>
      <c r="C22" s="205"/>
      <c r="D22" s="151" t="s">
        <v>146</v>
      </c>
      <c r="E22" s="95">
        <f>'1'!F22</f>
        <v>2970</v>
      </c>
      <c r="F22" s="117">
        <v>2970</v>
      </c>
      <c r="G22" s="119">
        <f t="shared" ref="G22" si="1">(F22-E22)</f>
        <v>0</v>
      </c>
      <c r="H22" s="99">
        <f>G22+'1'!H22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6" ht="29.25" x14ac:dyDescent="0.5">
      <c r="A23" s="345" t="s">
        <v>147</v>
      </c>
      <c r="B23" s="205"/>
      <c r="C23" s="205"/>
      <c r="D23" s="151" t="s">
        <v>146</v>
      </c>
      <c r="E23" s="95">
        <f>'1'!F23</f>
        <v>1500</v>
      </c>
      <c r="F23" s="117">
        <v>1500</v>
      </c>
      <c r="G23" s="119">
        <v>0</v>
      </c>
      <c r="H23" s="99">
        <f>G23+'1'!H23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6" ht="29.25" x14ac:dyDescent="0.4">
      <c r="A24" s="206" t="s">
        <v>148</v>
      </c>
      <c r="B24" s="207"/>
      <c r="C24" s="207"/>
      <c r="D24" s="146" t="s">
        <v>146</v>
      </c>
      <c r="E24" s="95">
        <f>'1'!F24</f>
        <v>0</v>
      </c>
      <c r="F24" s="123">
        <v>4970</v>
      </c>
      <c r="G24" s="119">
        <v>0</v>
      </c>
      <c r="H24" s="99">
        <f>G24+'1'!H24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6" s="88" customFormat="1" ht="27" x14ac:dyDescent="0.35">
      <c r="A25" s="832" t="s">
        <v>149</v>
      </c>
      <c r="B25" s="833"/>
      <c r="C25" s="834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6" s="88" customFormat="1" ht="27.75" x14ac:dyDescent="0.5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/>
      <c r="I26" s="134"/>
      <c r="J26" s="175"/>
      <c r="K26" s="64"/>
      <c r="L26" s="89"/>
      <c r="N26" s="87"/>
      <c r="O26" s="71"/>
    </row>
    <row r="27" spans="1:16" s="88" customFormat="1" ht="27.75" x14ac:dyDescent="0.5">
      <c r="A27" s="208" t="s">
        <v>5</v>
      </c>
      <c r="B27" s="209"/>
      <c r="C27" s="210"/>
      <c r="D27" s="226" t="s">
        <v>24</v>
      </c>
      <c r="E27" s="135">
        <f>G8</f>
        <v>19893</v>
      </c>
      <c r="F27" s="136">
        <v>9</v>
      </c>
      <c r="G27" s="137">
        <f>E27*F27</f>
        <v>179037</v>
      </c>
      <c r="H27" s="99">
        <f>G27+'1'!H27</f>
        <v>363078</v>
      </c>
      <c r="I27" s="138"/>
      <c r="J27" s="175">
        <f>H27/DAY(B2)</f>
        <v>181539</v>
      </c>
      <c r="K27" s="63"/>
      <c r="L27" s="89"/>
      <c r="N27" s="87"/>
      <c r="O27" s="71"/>
    </row>
    <row r="28" spans="1:16" s="88" customFormat="1" ht="27.75" x14ac:dyDescent="0.5">
      <c r="A28" s="208" t="s">
        <v>152</v>
      </c>
      <c r="B28" s="209"/>
      <c r="C28" s="210"/>
      <c r="D28" s="226" t="s">
        <v>153</v>
      </c>
      <c r="E28" s="139">
        <f>G15</f>
        <v>808.52700000000186</v>
      </c>
      <c r="F28" s="136">
        <v>52</v>
      </c>
      <c r="G28" s="137">
        <f t="shared" ref="G28:G31" si="2">E28*F28</f>
        <v>42043.404000000097</v>
      </c>
      <c r="H28" s="99">
        <f>G28+'1'!H28</f>
        <v>97687.875999994576</v>
      </c>
      <c r="I28" s="140"/>
      <c r="J28" s="175">
        <f>H28/DAY(B2)</f>
        <v>48843.937999997288</v>
      </c>
      <c r="K28" s="63"/>
      <c r="L28" s="89"/>
      <c r="N28" s="87"/>
      <c r="O28" s="71"/>
    </row>
    <row r="29" spans="1:16" s="88" customFormat="1" ht="27.75" x14ac:dyDescent="0.5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 t="shared" si="2"/>
        <v>0</v>
      </c>
      <c r="H29" s="99">
        <f>G29+'1'!H29</f>
        <v>0</v>
      </c>
      <c r="I29" s="140"/>
      <c r="J29" s="175">
        <f>H29/DAY(B2)</f>
        <v>0</v>
      </c>
      <c r="K29" s="63"/>
      <c r="L29" s="89"/>
      <c r="N29" s="87"/>
      <c r="O29" s="71"/>
    </row>
    <row r="30" spans="1:16" s="88" customFormat="1" ht="27.75" x14ac:dyDescent="0.5">
      <c r="A30" s="208" t="s">
        <v>156</v>
      </c>
      <c r="B30" s="209"/>
      <c r="C30" s="210"/>
      <c r="D30" s="226" t="s">
        <v>157</v>
      </c>
      <c r="E30" s="141">
        <f>G19</f>
        <v>56</v>
      </c>
      <c r="F30" s="136">
        <v>146</v>
      </c>
      <c r="G30" s="137">
        <f t="shared" si="2"/>
        <v>8176</v>
      </c>
      <c r="H30" s="99">
        <f>G30+'1'!H30</f>
        <v>16060</v>
      </c>
      <c r="I30" s="140"/>
      <c r="J30" s="175">
        <f>H30/DAY(B2)</f>
        <v>8030</v>
      </c>
      <c r="K30" s="63"/>
      <c r="L30" s="89"/>
      <c r="N30" s="87"/>
      <c r="O30" s="71"/>
    </row>
    <row r="31" spans="1:16" s="88" customFormat="1" ht="27.75" x14ac:dyDescent="0.5">
      <c r="A31" s="208" t="s">
        <v>158</v>
      </c>
      <c r="B31" s="209"/>
      <c r="C31" s="210"/>
      <c r="D31" s="226" t="s">
        <v>142</v>
      </c>
      <c r="E31" s="141">
        <f>G18</f>
        <v>0</v>
      </c>
      <c r="F31" s="136">
        <v>80</v>
      </c>
      <c r="G31" s="137">
        <f t="shared" si="2"/>
        <v>0</v>
      </c>
      <c r="H31" s="99">
        <f>G31+'1'!H31</f>
        <v>0</v>
      </c>
      <c r="I31" s="140"/>
      <c r="J31" s="175">
        <f>H31/DAY(B2)</f>
        <v>0</v>
      </c>
      <c r="K31" s="63"/>
      <c r="L31" s="89"/>
      <c r="N31" s="87"/>
      <c r="O31" s="71"/>
    </row>
    <row r="32" spans="1:16" s="88" customFormat="1" ht="27.75" x14ac:dyDescent="0.5">
      <c r="A32" s="211" t="s">
        <v>159</v>
      </c>
      <c r="B32" s="212"/>
      <c r="C32" s="213"/>
      <c r="D32" s="142"/>
      <c r="E32" s="142"/>
      <c r="F32" s="142"/>
      <c r="G32" s="143">
        <f>G27+G28+G29+G30+G31</f>
        <v>229256.4040000001</v>
      </c>
      <c r="H32" s="99">
        <f>G32+'1'!H32</f>
        <v>476825.87599999458</v>
      </c>
      <c r="I32" s="144"/>
      <c r="J32" s="175">
        <f>H32/DAY(B2)</f>
        <v>238412.93799999729</v>
      </c>
      <c r="K32" s="63"/>
      <c r="L32" s="89"/>
      <c r="N32" s="87"/>
      <c r="O32" s="71"/>
    </row>
    <row r="33" spans="1:15" ht="25.5" customHeight="1" x14ac:dyDescent="0.35">
      <c r="A33" s="835" t="s">
        <v>331</v>
      </c>
      <c r="B33" s="836"/>
      <c r="C33" s="836"/>
      <c r="D33" s="337"/>
      <c r="E33" s="337"/>
      <c r="F33" s="337"/>
      <c r="G33" s="337"/>
      <c r="H33" s="337"/>
      <c r="I33" s="337"/>
      <c r="J33" s="338"/>
      <c r="K33" s="79"/>
      <c r="L33" s="66"/>
      <c r="N33" s="87"/>
      <c r="O33" s="71"/>
    </row>
    <row r="34" spans="1:15" ht="29.25" x14ac:dyDescent="0.5">
      <c r="A34" s="214" t="s">
        <v>160</v>
      </c>
      <c r="B34" s="349"/>
      <c r="C34" s="349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29.25" x14ac:dyDescent="0.4">
      <c r="A35" s="194" t="s">
        <v>161</v>
      </c>
      <c r="B35" s="195"/>
      <c r="C35" s="195"/>
      <c r="D35" s="151" t="s">
        <v>130</v>
      </c>
      <c r="E35" s="95">
        <f>'1'!F35</f>
        <v>154894.12</v>
      </c>
      <c r="F35" s="145">
        <v>156908.64000000001</v>
      </c>
      <c r="G35" s="112">
        <f t="shared" ref="G35:G46" si="3">F35-E35</f>
        <v>2014.5200000000186</v>
      </c>
      <c r="H35" s="99">
        <f>G35+'1'!H35</f>
        <v>4066.640000000014</v>
      </c>
      <c r="I35" s="95"/>
      <c r="J35" s="175">
        <f>H35/DAY(B2)</f>
        <v>2033.320000000007</v>
      </c>
      <c r="K35" s="79"/>
      <c r="L35" s="66"/>
      <c r="N35" s="87"/>
      <c r="O35" s="71"/>
    </row>
    <row r="36" spans="1:15" ht="29.25" x14ac:dyDescent="0.4">
      <c r="A36" s="194" t="s">
        <v>162</v>
      </c>
      <c r="B36" s="195"/>
      <c r="C36" s="195"/>
      <c r="D36" s="151" t="s">
        <v>130</v>
      </c>
      <c r="E36" s="95">
        <f>'1'!F36</f>
        <v>22412.33</v>
      </c>
      <c r="F36" s="145">
        <v>23168.87</v>
      </c>
      <c r="G36" s="112">
        <f t="shared" si="3"/>
        <v>756.53999999999724</v>
      </c>
      <c r="H36" s="99">
        <f>G36+'1'!H36</f>
        <v>1641.869999999999</v>
      </c>
      <c r="I36" s="95"/>
      <c r="J36" s="175">
        <f>H36/DAY(B2)</f>
        <v>820.93499999999949</v>
      </c>
      <c r="K36" s="79"/>
      <c r="L36" s="66"/>
      <c r="N36" s="87"/>
      <c r="O36" s="344"/>
    </row>
    <row r="37" spans="1:15" ht="29.25" x14ac:dyDescent="0.4">
      <c r="A37" s="194" t="s">
        <v>163</v>
      </c>
      <c r="B37" s="195"/>
      <c r="C37" s="195"/>
      <c r="D37" s="151" t="s">
        <v>130</v>
      </c>
      <c r="E37" s="95">
        <f>'1'!F37</f>
        <v>196966.51</v>
      </c>
      <c r="F37" s="145">
        <v>198475.75</v>
      </c>
      <c r="G37" s="112">
        <f t="shared" si="3"/>
        <v>1509.2399999999907</v>
      </c>
      <c r="H37" s="99">
        <f>G37+'1'!H37</f>
        <v>3082.75</v>
      </c>
      <c r="I37" s="95"/>
      <c r="J37" s="175">
        <f>H37/DAY(B2)</f>
        <v>1541.375</v>
      </c>
      <c r="K37" s="79"/>
      <c r="L37" s="66"/>
      <c r="N37" s="87"/>
      <c r="O37" s="234"/>
    </row>
    <row r="38" spans="1:15" ht="29.25" x14ac:dyDescent="0.4">
      <c r="A38" s="194" t="s">
        <v>164</v>
      </c>
      <c r="B38" s="195"/>
      <c r="C38" s="195"/>
      <c r="D38" s="151" t="s">
        <v>130</v>
      </c>
      <c r="E38" s="95">
        <f>'1'!F38</f>
        <v>234147.43</v>
      </c>
      <c r="F38" s="108">
        <v>235710.49</v>
      </c>
      <c r="G38" s="112">
        <f t="shared" si="3"/>
        <v>1563.0599999999977</v>
      </c>
      <c r="H38" s="99">
        <f>G38+'1'!H38</f>
        <v>3228.4899999999907</v>
      </c>
      <c r="I38" s="95"/>
      <c r="J38" s="175">
        <f>H38/DAY(B2)</f>
        <v>1614.2449999999953</v>
      </c>
      <c r="K38" s="79"/>
      <c r="L38" s="66"/>
      <c r="N38" s="87"/>
      <c r="O38" s="71"/>
    </row>
    <row r="39" spans="1:15" ht="29.25" x14ac:dyDescent="0.4">
      <c r="A39" s="194" t="s">
        <v>165</v>
      </c>
      <c r="B39" s="195"/>
      <c r="C39" s="195"/>
      <c r="D39" s="151" t="s">
        <v>130</v>
      </c>
      <c r="E39" s="95">
        <f>'1'!F39</f>
        <v>413803.39</v>
      </c>
      <c r="F39" s="145">
        <v>416525.19</v>
      </c>
      <c r="G39" s="112">
        <f t="shared" si="3"/>
        <v>2721.7999999999884</v>
      </c>
      <c r="H39" s="99">
        <f>G39+'1'!H39</f>
        <v>5446.1900000000023</v>
      </c>
      <c r="I39" s="95"/>
      <c r="J39" s="175">
        <f>H39/DAY(B2)</f>
        <v>2723.0950000000012</v>
      </c>
      <c r="K39" s="79"/>
      <c r="L39" s="66"/>
      <c r="N39" s="87"/>
      <c r="O39" s="71"/>
    </row>
    <row r="40" spans="1:15" ht="29.25" x14ac:dyDescent="0.4">
      <c r="A40" s="215" t="s">
        <v>166</v>
      </c>
      <c r="B40" s="216"/>
      <c r="C40" s="216"/>
      <c r="D40" s="151" t="s">
        <v>130</v>
      </c>
      <c r="E40" s="95">
        <f>'1'!F40</f>
        <v>5609.97</v>
      </c>
      <c r="F40" s="145">
        <v>5609.98</v>
      </c>
      <c r="G40" s="112">
        <f t="shared" si="3"/>
        <v>9.999999999308784E-3</v>
      </c>
      <c r="H40" s="99">
        <f>G40+'1'!H40</f>
        <v>-2.0000000000436557E-2</v>
      </c>
      <c r="I40" s="95"/>
      <c r="J40" s="175">
        <f>H40/DAY(B2)</f>
        <v>-1.0000000000218279E-2</v>
      </c>
      <c r="K40" s="80"/>
      <c r="L40" s="66"/>
      <c r="N40" s="87"/>
      <c r="O40" s="71"/>
    </row>
    <row r="41" spans="1:15" ht="29.25" x14ac:dyDescent="0.4">
      <c r="A41" s="194" t="s">
        <v>167</v>
      </c>
      <c r="B41" s="195"/>
      <c r="C41" s="195"/>
      <c r="D41" s="151" t="s">
        <v>130</v>
      </c>
      <c r="E41" s="95">
        <f>'1'!F41</f>
        <v>0</v>
      </c>
      <c r="F41" s="145">
        <v>0</v>
      </c>
      <c r="G41" s="112">
        <f t="shared" si="3"/>
        <v>0</v>
      </c>
      <c r="H41" s="99">
        <f>G41+'1'!H41</f>
        <v>0</v>
      </c>
      <c r="I41" s="95"/>
      <c r="J41" s="175">
        <f>H41/DAY(B2)</f>
        <v>0</v>
      </c>
      <c r="K41" s="79"/>
      <c r="L41" s="66"/>
      <c r="N41" s="87"/>
      <c r="O41" s="71"/>
    </row>
    <row r="42" spans="1:15" ht="29.25" x14ac:dyDescent="0.4">
      <c r="A42" s="194" t="s">
        <v>168</v>
      </c>
      <c r="B42" s="195"/>
      <c r="C42" s="195"/>
      <c r="D42" s="151" t="s">
        <v>130</v>
      </c>
      <c r="E42" s="95">
        <f>'1'!F42</f>
        <v>73808.600000000006</v>
      </c>
      <c r="F42" s="145">
        <v>73808.600000000006</v>
      </c>
      <c r="G42" s="112">
        <f t="shared" si="3"/>
        <v>0</v>
      </c>
      <c r="H42" s="99">
        <f>G42+'1'!H42</f>
        <v>-0.39999999999417923</v>
      </c>
      <c r="I42" s="95"/>
      <c r="J42" s="175">
        <f>H42/DAY(B2)</f>
        <v>-0.19999999999708962</v>
      </c>
      <c r="K42" s="79"/>
      <c r="L42" s="66"/>
      <c r="N42" s="87"/>
      <c r="O42" s="71"/>
    </row>
    <row r="43" spans="1:15" ht="29.25" x14ac:dyDescent="0.4">
      <c r="A43" s="194" t="s">
        <v>169</v>
      </c>
      <c r="B43" s="195"/>
      <c r="C43" s="195"/>
      <c r="D43" s="151" t="s">
        <v>130</v>
      </c>
      <c r="E43" s="95">
        <f>'1'!F43</f>
        <v>49822.23</v>
      </c>
      <c r="F43" s="145">
        <v>52259.4</v>
      </c>
      <c r="G43" s="112">
        <f t="shared" si="3"/>
        <v>2437.1699999999983</v>
      </c>
      <c r="H43" s="99">
        <f>G43+'1'!H43</f>
        <v>4998.4000000000015</v>
      </c>
      <c r="I43" s="95"/>
      <c r="J43" s="175">
        <f>H43/DAY(B2)</f>
        <v>2499.2000000000007</v>
      </c>
      <c r="K43" s="79"/>
      <c r="L43" s="66"/>
      <c r="N43" s="87"/>
      <c r="O43" s="71"/>
    </row>
    <row r="44" spans="1:15" ht="29.25" x14ac:dyDescent="0.4">
      <c r="A44" s="194" t="s">
        <v>170</v>
      </c>
      <c r="B44" s="195"/>
      <c r="C44" s="195"/>
      <c r="D44" s="151" t="s">
        <v>130</v>
      </c>
      <c r="E44" s="95">
        <f>'1'!F44</f>
        <v>0</v>
      </c>
      <c r="F44" s="145">
        <v>0</v>
      </c>
      <c r="G44" s="112">
        <f t="shared" si="3"/>
        <v>0</v>
      </c>
      <c r="H44" s="99">
        <f>G44+'1'!H44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29.25" x14ac:dyDescent="0.4">
      <c r="A45" s="194" t="s">
        <v>171</v>
      </c>
      <c r="B45" s="195"/>
      <c r="C45" s="195"/>
      <c r="D45" s="151" t="s">
        <v>130</v>
      </c>
      <c r="E45" s="95">
        <f>'1'!F45</f>
        <v>0</v>
      </c>
      <c r="F45" s="145">
        <v>0</v>
      </c>
      <c r="G45" s="112">
        <f t="shared" si="3"/>
        <v>0</v>
      </c>
      <c r="H45" s="99">
        <f>G45+'1'!H45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29.25" x14ac:dyDescent="0.4">
      <c r="A46" s="194" t="s">
        <v>172</v>
      </c>
      <c r="B46" s="195"/>
      <c r="C46" s="195"/>
      <c r="D46" s="151" t="s">
        <v>130</v>
      </c>
      <c r="E46" s="95">
        <f>'1'!F46</f>
        <v>0</v>
      </c>
      <c r="F46" s="145">
        <v>0</v>
      </c>
      <c r="G46" s="112">
        <f t="shared" si="3"/>
        <v>0</v>
      </c>
      <c r="H46" s="99">
        <f>G46+'1'!H46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29.25" x14ac:dyDescent="0.5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11002.339999999989</v>
      </c>
      <c r="H47" s="99">
        <f>G47+'1'!H47</f>
        <v>22463.920000000013</v>
      </c>
      <c r="I47" s="95"/>
      <c r="J47" s="175">
        <f>H47/DAY(B2)</f>
        <v>11231.960000000006</v>
      </c>
      <c r="K47" s="79"/>
      <c r="L47" s="66"/>
      <c r="N47" s="87"/>
      <c r="O47" s="71"/>
    </row>
    <row r="48" spans="1:15" ht="29.25" x14ac:dyDescent="0.5">
      <c r="A48" s="214" t="s">
        <v>174</v>
      </c>
      <c r="B48" s="349"/>
      <c r="C48" s="349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29.25" x14ac:dyDescent="0.4">
      <c r="A49" s="194" t="s">
        <v>161</v>
      </c>
      <c r="B49" s="217"/>
      <c r="C49" s="217"/>
      <c r="D49" s="151" t="s">
        <v>130</v>
      </c>
      <c r="E49" s="95">
        <f>'1'!F49</f>
        <v>273858.83</v>
      </c>
      <c r="F49" s="145">
        <v>275486</v>
      </c>
      <c r="G49" s="112">
        <f t="shared" ref="G49:G58" si="4">F49-E49</f>
        <v>1627.1699999999837</v>
      </c>
      <c r="H49" s="99">
        <f>G49+'1'!H49</f>
        <v>3246</v>
      </c>
      <c r="I49" s="95"/>
      <c r="J49" s="175">
        <f>H49/DAY(B2)</f>
        <v>1623</v>
      </c>
      <c r="K49" s="79"/>
      <c r="L49" s="66"/>
      <c r="N49" s="87"/>
      <c r="O49" s="71"/>
    </row>
    <row r="50" spans="1:15" ht="29.25" x14ac:dyDescent="0.4">
      <c r="A50" s="194" t="s">
        <v>175</v>
      </c>
      <c r="B50" s="217"/>
      <c r="C50" s="217"/>
      <c r="D50" s="151" t="s">
        <v>130</v>
      </c>
      <c r="E50" s="95">
        <f>'1'!F50</f>
        <v>25886.02</v>
      </c>
      <c r="F50" s="145">
        <v>27036.74</v>
      </c>
      <c r="G50" s="112">
        <f t="shared" si="4"/>
        <v>1150.7200000000012</v>
      </c>
      <c r="H50" s="99">
        <f>G50+'1'!H50</f>
        <v>2386.7400000000016</v>
      </c>
      <c r="I50" s="95"/>
      <c r="J50" s="175">
        <f>H50/DAY(B2)</f>
        <v>1193.3700000000008</v>
      </c>
      <c r="K50" s="79"/>
      <c r="L50" s="66"/>
      <c r="N50" s="87"/>
      <c r="O50" s="71"/>
    </row>
    <row r="51" spans="1:15" ht="29.25" x14ac:dyDescent="0.4">
      <c r="A51" s="194" t="s">
        <v>163</v>
      </c>
      <c r="B51" s="217"/>
      <c r="C51" s="217"/>
      <c r="D51" s="151" t="s">
        <v>130</v>
      </c>
      <c r="E51" s="95">
        <f>'1'!F51</f>
        <v>0</v>
      </c>
      <c r="F51" s="145">
        <v>0</v>
      </c>
      <c r="G51" s="112">
        <f t="shared" si="4"/>
        <v>0</v>
      </c>
      <c r="H51" s="99">
        <f>G51+'1'!H51</f>
        <v>0</v>
      </c>
      <c r="I51" s="95"/>
      <c r="J51" s="175">
        <f>H51/DAY(B2)</f>
        <v>0</v>
      </c>
      <c r="K51" s="79"/>
      <c r="L51" s="66"/>
      <c r="N51" s="87"/>
      <c r="O51" s="71"/>
    </row>
    <row r="52" spans="1:15" ht="29.25" x14ac:dyDescent="0.4">
      <c r="A52" s="194" t="s">
        <v>176</v>
      </c>
      <c r="B52" s="217"/>
      <c r="C52" s="217"/>
      <c r="D52" s="151" t="s">
        <v>130</v>
      </c>
      <c r="E52" s="95">
        <f>'1'!F52</f>
        <v>0</v>
      </c>
      <c r="F52" s="145">
        <v>0</v>
      </c>
      <c r="G52" s="112">
        <f t="shared" si="4"/>
        <v>0</v>
      </c>
      <c r="H52" s="99">
        <f>G52+'1'!H52</f>
        <v>0</v>
      </c>
      <c r="I52" s="95"/>
      <c r="J52" s="175">
        <f>H52/DAY(B2)</f>
        <v>0</v>
      </c>
      <c r="K52" s="79"/>
      <c r="L52" s="66"/>
      <c r="N52" s="87"/>
      <c r="O52" s="71"/>
    </row>
    <row r="53" spans="1:15" ht="29.25" x14ac:dyDescent="0.4">
      <c r="A53" s="194" t="s">
        <v>165</v>
      </c>
      <c r="B53" s="217"/>
      <c r="C53" s="217"/>
      <c r="D53" s="151" t="s">
        <v>130</v>
      </c>
      <c r="E53" s="95">
        <f>'1'!F53</f>
        <v>0</v>
      </c>
      <c r="F53" s="145">
        <v>0</v>
      </c>
      <c r="G53" s="112">
        <f t="shared" si="4"/>
        <v>0</v>
      </c>
      <c r="H53" s="99">
        <f>G53+'1'!H53</f>
        <v>0</v>
      </c>
      <c r="I53" s="95"/>
      <c r="J53" s="175">
        <f>H53/DAY(B2)</f>
        <v>0</v>
      </c>
      <c r="K53" s="79"/>
      <c r="L53" s="66"/>
      <c r="N53" s="87"/>
      <c r="O53" s="71"/>
    </row>
    <row r="54" spans="1:15" ht="29.25" x14ac:dyDescent="0.4">
      <c r="A54" s="194" t="s">
        <v>177</v>
      </c>
      <c r="B54" s="217"/>
      <c r="C54" s="217"/>
      <c r="D54" s="151" t="s">
        <v>130</v>
      </c>
      <c r="E54" s="95">
        <f>'1'!F54</f>
        <v>3188.13</v>
      </c>
      <c r="F54" s="145">
        <v>3192.59</v>
      </c>
      <c r="G54" s="112">
        <f t="shared" si="4"/>
        <v>4.4600000000000364</v>
      </c>
      <c r="H54" s="99">
        <f>G54+'1'!H54</f>
        <v>9.5900000000001455</v>
      </c>
      <c r="I54" s="95"/>
      <c r="J54" s="175">
        <f>H54/DAY(B2)</f>
        <v>4.7950000000000728</v>
      </c>
      <c r="K54" s="79"/>
      <c r="L54" s="66"/>
      <c r="N54" s="87"/>
      <c r="O54" s="71"/>
    </row>
    <row r="55" spans="1:15" ht="29.25" x14ac:dyDescent="0.4">
      <c r="A55" s="194" t="s">
        <v>178</v>
      </c>
      <c r="B55" s="217"/>
      <c r="C55" s="217"/>
      <c r="D55" s="151" t="s">
        <v>130</v>
      </c>
      <c r="E55" s="95">
        <f>'1'!F55</f>
        <v>5942.82</v>
      </c>
      <c r="F55" s="145">
        <v>9042.82</v>
      </c>
      <c r="G55" s="112">
        <f t="shared" si="4"/>
        <v>3100</v>
      </c>
      <c r="H55" s="99">
        <f>G55+'1'!H55</f>
        <v>5531.82</v>
      </c>
      <c r="I55" s="95"/>
      <c r="J55" s="175">
        <f>H55/DAY(B2)</f>
        <v>2765.91</v>
      </c>
      <c r="K55" s="79"/>
      <c r="L55" s="66"/>
      <c r="N55" s="87"/>
      <c r="O55" s="71"/>
    </row>
    <row r="56" spans="1:15" ht="29.25" x14ac:dyDescent="0.4">
      <c r="A56" s="194" t="s">
        <v>179</v>
      </c>
      <c r="B56" s="217"/>
      <c r="C56" s="217"/>
      <c r="D56" s="151" t="s">
        <v>180</v>
      </c>
      <c r="E56" s="95">
        <f>'1'!F56</f>
        <v>8610.5400000000009</v>
      </c>
      <c r="F56" s="145">
        <v>8610.5400000000009</v>
      </c>
      <c r="G56" s="112">
        <f t="shared" si="4"/>
        <v>0</v>
      </c>
      <c r="H56" s="99">
        <f>G56+'1'!H56</f>
        <v>0</v>
      </c>
      <c r="I56" s="95"/>
      <c r="J56" s="175">
        <f>H56/DAY(B2)</f>
        <v>0</v>
      </c>
      <c r="K56" s="78"/>
      <c r="L56" s="66"/>
      <c r="N56" s="87"/>
      <c r="O56" s="71"/>
    </row>
    <row r="57" spans="1:15" ht="29.25" x14ac:dyDescent="0.4">
      <c r="A57" s="194" t="s">
        <v>169</v>
      </c>
      <c r="B57" s="217"/>
      <c r="C57" s="217"/>
      <c r="D57" s="151" t="s">
        <v>130</v>
      </c>
      <c r="E57" s="95">
        <f>'1'!F57</f>
        <v>0</v>
      </c>
      <c r="F57" s="145">
        <v>0</v>
      </c>
      <c r="G57" s="112">
        <f t="shared" si="4"/>
        <v>0</v>
      </c>
      <c r="H57" s="99">
        <f>G57+'1'!H57</f>
        <v>0</v>
      </c>
      <c r="I57" s="95"/>
      <c r="J57" s="175">
        <f>H57/DAY(B2)</f>
        <v>0</v>
      </c>
      <c r="K57" s="79"/>
      <c r="L57" s="66"/>
      <c r="N57" s="87"/>
      <c r="O57" s="71"/>
    </row>
    <row r="58" spans="1:15" ht="29.25" x14ac:dyDescent="0.4">
      <c r="A58" s="194" t="s">
        <v>181</v>
      </c>
      <c r="B58" s="217"/>
      <c r="C58" s="217"/>
      <c r="D58" s="151" t="s">
        <v>130</v>
      </c>
      <c r="E58" s="95">
        <f>'1'!F58</f>
        <v>92510.94</v>
      </c>
      <c r="F58" s="145">
        <v>92602.96</v>
      </c>
      <c r="G58" s="112">
        <f t="shared" si="4"/>
        <v>92.020000000004075</v>
      </c>
      <c r="H58" s="99">
        <f>G58+'1'!H58</f>
        <v>317.9600000000064</v>
      </c>
      <c r="I58" s="95"/>
      <c r="J58" s="175">
        <f>H58/DAY(B2)</f>
        <v>158.9800000000032</v>
      </c>
      <c r="K58" s="79"/>
      <c r="L58" s="66"/>
      <c r="N58" s="87"/>
      <c r="O58" s="71"/>
    </row>
    <row r="59" spans="1:15" ht="29.25" x14ac:dyDescent="0.5">
      <c r="A59" s="201" t="s">
        <v>173</v>
      </c>
      <c r="B59" s="202"/>
      <c r="C59" s="202"/>
      <c r="D59" s="146"/>
      <c r="E59" s="146"/>
      <c r="F59" s="146"/>
      <c r="G59" s="119">
        <f>G49+G50+G51+G52+G53+G54+G55+G56+G57+G58</f>
        <v>5974.369999999989</v>
      </c>
      <c r="H59" s="99">
        <f>G59+'1'!H59</f>
        <v>11492.110000000008</v>
      </c>
      <c r="I59" s="95">
        <f>G7-G60</f>
        <v>2512.660000000018</v>
      </c>
      <c r="J59" s="175">
        <f>H59/DAY(B2)</f>
        <v>5746.0550000000039</v>
      </c>
      <c r="K59" s="79"/>
      <c r="L59" s="66"/>
      <c r="N59" s="87"/>
      <c r="O59" s="71"/>
    </row>
    <row r="60" spans="1:15" ht="29.25" x14ac:dyDescent="0.4">
      <c r="A60" s="194"/>
      <c r="B60" s="195"/>
      <c r="C60" s="195"/>
      <c r="D60" s="146" t="s">
        <v>182</v>
      </c>
      <c r="E60" s="146"/>
      <c r="F60" s="146"/>
      <c r="G60" s="119">
        <f>G47+G59</f>
        <v>16976.709999999977</v>
      </c>
      <c r="H60" s="99">
        <f>G60+'1'!H60</f>
        <v>33956.030000000021</v>
      </c>
      <c r="I60" s="95">
        <f>G13-G60</f>
        <v>1981.7699999997712</v>
      </c>
      <c r="J60" s="175">
        <f>H60/DAY(B2)</f>
        <v>16978.01500000001</v>
      </c>
      <c r="K60" s="79"/>
      <c r="L60" s="66"/>
      <c r="N60" s="87"/>
      <c r="O60" s="71"/>
    </row>
    <row r="61" spans="1:15" s="68" customFormat="1" ht="27.75" x14ac:dyDescent="0.5">
      <c r="A61" s="837" t="s">
        <v>332</v>
      </c>
      <c r="B61" s="838"/>
      <c r="C61" s="839"/>
      <c r="D61" s="339"/>
      <c r="E61" s="339"/>
      <c r="F61" s="339"/>
      <c r="G61" s="340"/>
      <c r="H61" s="339"/>
      <c r="I61" s="339"/>
      <c r="J61" s="341"/>
      <c r="K61" s="69"/>
      <c r="L61" s="67"/>
      <c r="N61" s="87"/>
      <c r="O61" s="71"/>
    </row>
    <row r="62" spans="1:15" ht="27.75" x14ac:dyDescent="0.5">
      <c r="A62" s="818" t="s">
        <v>198</v>
      </c>
      <c r="B62" s="819"/>
      <c r="C62" s="820"/>
      <c r="D62" s="151" t="s">
        <v>142</v>
      </c>
      <c r="E62" s="95">
        <f>'1'!F62</f>
        <v>267213</v>
      </c>
      <c r="F62" s="122">
        <v>267213</v>
      </c>
      <c r="G62" s="112">
        <f t="shared" ref="G62:G63" si="5">F62-E62</f>
        <v>0</v>
      </c>
      <c r="H62" s="99">
        <f>G62+'1'!H62</f>
        <v>0</v>
      </c>
      <c r="I62" s="118"/>
      <c r="J62" s="175">
        <f>H62/DAY(B2)</f>
        <v>0</v>
      </c>
      <c r="K62" s="80"/>
      <c r="L62" s="66"/>
      <c r="N62" s="87"/>
      <c r="O62" s="71"/>
    </row>
    <row r="63" spans="1:15" ht="27.75" x14ac:dyDescent="0.5">
      <c r="A63" s="818" t="s">
        <v>199</v>
      </c>
      <c r="B63" s="819"/>
      <c r="C63" s="820"/>
      <c r="D63" s="151" t="s">
        <v>142</v>
      </c>
      <c r="E63" s="95">
        <f>'1'!F63</f>
        <v>212558</v>
      </c>
      <c r="F63" s="122">
        <v>212672</v>
      </c>
      <c r="G63" s="112">
        <f t="shared" si="5"/>
        <v>114</v>
      </c>
      <c r="H63" s="99">
        <f>G63+'1'!H63</f>
        <v>247</v>
      </c>
      <c r="I63" s="118"/>
      <c r="J63" s="175">
        <f>H63/DAY(B2)</f>
        <v>123.5</v>
      </c>
      <c r="K63" s="69"/>
      <c r="L63" s="66"/>
      <c r="N63" s="87"/>
      <c r="O63" s="71"/>
    </row>
    <row r="64" spans="1:15" ht="29.25" x14ac:dyDescent="0.5">
      <c r="A64" s="815" t="s">
        <v>200</v>
      </c>
      <c r="B64" s="816"/>
      <c r="C64" s="817"/>
      <c r="D64" s="151"/>
      <c r="E64" s="95">
        <f>'1'!F64</f>
        <v>0</v>
      </c>
      <c r="F64" s="122"/>
      <c r="G64" s="112">
        <f>G62+G63</f>
        <v>114</v>
      </c>
      <c r="H64" s="99">
        <f>G64+'1'!H64</f>
        <v>247</v>
      </c>
      <c r="I64" s="118"/>
      <c r="J64" s="175">
        <f>H64/DAY(B2)</f>
        <v>123.5</v>
      </c>
      <c r="K64" s="69"/>
      <c r="L64" s="66"/>
      <c r="N64" s="87"/>
      <c r="O64" s="71"/>
    </row>
    <row r="65" spans="1:15" ht="27.75" x14ac:dyDescent="0.5">
      <c r="A65" s="818" t="s">
        <v>201</v>
      </c>
      <c r="B65" s="819"/>
      <c r="C65" s="820"/>
      <c r="D65" s="151" t="s">
        <v>142</v>
      </c>
      <c r="E65" s="95">
        <f>'1'!F65</f>
        <v>432712</v>
      </c>
      <c r="F65" s="122">
        <v>432772</v>
      </c>
      <c r="G65" s="112">
        <f t="shared" ref="G65:G70" si="6">F65-E65</f>
        <v>60</v>
      </c>
      <c r="H65" s="99">
        <f>G65+'1'!H65</f>
        <v>158</v>
      </c>
      <c r="I65" s="118"/>
      <c r="J65" s="175">
        <f>H65/DAY(B2)</f>
        <v>79</v>
      </c>
      <c r="K65" s="69"/>
      <c r="L65" s="66"/>
      <c r="N65" s="87"/>
      <c r="O65" s="71"/>
    </row>
    <row r="66" spans="1:15" ht="27.75" x14ac:dyDescent="0.5">
      <c r="A66" s="345" t="s">
        <v>202</v>
      </c>
      <c r="B66" s="346"/>
      <c r="C66" s="346"/>
      <c r="D66" s="151" t="s">
        <v>142</v>
      </c>
      <c r="E66" s="95">
        <f>'1'!F66</f>
        <v>107242</v>
      </c>
      <c r="F66" s="122">
        <v>107269</v>
      </c>
      <c r="G66" s="112">
        <f t="shared" si="6"/>
        <v>27</v>
      </c>
      <c r="H66" s="99">
        <f>G66+'1'!H66</f>
        <v>55</v>
      </c>
      <c r="I66" s="118"/>
      <c r="J66" s="175">
        <f>H66/DAY(B2)</f>
        <v>27.5</v>
      </c>
      <c r="K66" s="78"/>
      <c r="L66" s="66"/>
      <c r="N66" s="87"/>
      <c r="O66" s="71"/>
    </row>
    <row r="67" spans="1:15" ht="27.75" x14ac:dyDescent="0.5">
      <c r="A67" s="345" t="s">
        <v>203</v>
      </c>
      <c r="B67" s="346"/>
      <c r="C67" s="346"/>
      <c r="D67" s="151" t="s">
        <v>142</v>
      </c>
      <c r="E67" s="95">
        <f>'1'!F67</f>
        <v>103968</v>
      </c>
      <c r="F67" s="122">
        <v>104007</v>
      </c>
      <c r="G67" s="112">
        <f t="shared" si="6"/>
        <v>39</v>
      </c>
      <c r="H67" s="99">
        <f>G67+'1'!H67</f>
        <v>79</v>
      </c>
      <c r="I67" s="118"/>
      <c r="J67" s="175">
        <f>H67/DAY(B2)</f>
        <v>39.5</v>
      </c>
      <c r="K67" s="81"/>
      <c r="L67" s="66"/>
      <c r="N67" s="87"/>
      <c r="O67" s="71"/>
    </row>
    <row r="68" spans="1:15" ht="27.75" x14ac:dyDescent="0.5">
      <c r="A68" s="345" t="s">
        <v>204</v>
      </c>
      <c r="B68" s="346"/>
      <c r="C68" s="346"/>
      <c r="D68" s="151" t="s">
        <v>142</v>
      </c>
      <c r="E68" s="95">
        <f>'1'!F68</f>
        <v>156634</v>
      </c>
      <c r="F68" s="122">
        <v>156644</v>
      </c>
      <c r="G68" s="112">
        <f t="shared" si="6"/>
        <v>10</v>
      </c>
      <c r="H68" s="99">
        <f>G68+'1'!H68</f>
        <v>24</v>
      </c>
      <c r="I68" s="118"/>
      <c r="J68" s="175">
        <f>H68/DAY(B2)</f>
        <v>12</v>
      </c>
      <c r="K68" s="69"/>
      <c r="L68" s="66"/>
      <c r="N68" s="87"/>
      <c r="O68" s="71"/>
    </row>
    <row r="69" spans="1:15" ht="27.75" x14ac:dyDescent="0.5">
      <c r="A69" s="345" t="s">
        <v>205</v>
      </c>
      <c r="B69" s="346"/>
      <c r="C69" s="346"/>
      <c r="D69" s="151" t="s">
        <v>142</v>
      </c>
      <c r="E69" s="95">
        <f>'1'!F69</f>
        <v>10239</v>
      </c>
      <c r="F69" s="122">
        <v>10250</v>
      </c>
      <c r="G69" s="236">
        <f t="shared" si="6"/>
        <v>11</v>
      </c>
      <c r="H69" s="99">
        <f>G69+'1'!H69</f>
        <v>36</v>
      </c>
      <c r="I69" s="118"/>
      <c r="J69" s="175">
        <f>H69/DAY(B2)</f>
        <v>18</v>
      </c>
      <c r="K69" s="69"/>
      <c r="L69" s="66"/>
      <c r="N69" s="87"/>
      <c r="O69" s="71"/>
    </row>
    <row r="70" spans="1:15" ht="27.75" x14ac:dyDescent="0.5">
      <c r="A70" s="345" t="s">
        <v>206</v>
      </c>
      <c r="B70" s="346"/>
      <c r="C70" s="346"/>
      <c r="D70" s="151" t="s">
        <v>142</v>
      </c>
      <c r="E70" s="95">
        <f>'1'!F70</f>
        <v>7875</v>
      </c>
      <c r="F70" s="122">
        <v>7887</v>
      </c>
      <c r="G70" s="112">
        <f t="shared" si="6"/>
        <v>12</v>
      </c>
      <c r="H70" s="99">
        <f>G70+'1'!H70</f>
        <v>25</v>
      </c>
      <c r="I70" s="118"/>
      <c r="J70" s="175">
        <f>H70/DAY(B2)</f>
        <v>12.5</v>
      </c>
      <c r="K70" s="69"/>
      <c r="L70" s="66"/>
      <c r="N70" s="87"/>
      <c r="O70" s="71"/>
    </row>
    <row r="71" spans="1:15" ht="29.25" x14ac:dyDescent="0.5">
      <c r="A71" s="815" t="s">
        <v>208</v>
      </c>
      <c r="B71" s="816"/>
      <c r="C71" s="817"/>
      <c r="D71" s="152"/>
      <c r="E71" s="152"/>
      <c r="F71" s="152"/>
      <c r="G71" s="153">
        <f>SUM(G65:G70)</f>
        <v>159</v>
      </c>
      <c r="H71" s="99">
        <f>G71+'1'!H71</f>
        <v>377</v>
      </c>
      <c r="I71" s="154"/>
      <c r="J71" s="175">
        <f>H71/DAY(B2)</f>
        <v>188.5</v>
      </c>
      <c r="K71" s="69"/>
      <c r="L71" s="66"/>
      <c r="N71" s="87"/>
      <c r="O71" s="71"/>
    </row>
    <row r="72" spans="1:15" s="88" customFormat="1" ht="27.75" x14ac:dyDescent="0.5">
      <c r="A72" s="861"/>
      <c r="B72" s="853"/>
      <c r="C72" s="347"/>
      <c r="D72" s="180"/>
      <c r="E72" s="180" t="s">
        <v>207</v>
      </c>
      <c r="F72" s="180"/>
      <c r="G72" s="180"/>
      <c r="H72" s="181"/>
      <c r="I72" s="180"/>
      <c r="J72" s="182"/>
      <c r="N72" s="87"/>
      <c r="O72" s="71"/>
    </row>
    <row r="73" spans="1:15" ht="29.25" x14ac:dyDescent="0.5">
      <c r="A73" s="866" t="s">
        <v>333</v>
      </c>
      <c r="B73" s="867"/>
      <c r="C73" s="868"/>
      <c r="D73" s="339"/>
      <c r="E73" s="339"/>
      <c r="F73" s="339"/>
      <c r="G73" s="342"/>
      <c r="H73" s="342"/>
      <c r="I73" s="342"/>
      <c r="J73" s="343"/>
      <c r="K73" s="69"/>
      <c r="L73" s="66"/>
      <c r="N73" s="87"/>
      <c r="O73" s="71"/>
    </row>
    <row r="74" spans="1:15" ht="27.75" x14ac:dyDescent="0.5">
      <c r="A74" s="818" t="s">
        <v>220</v>
      </c>
      <c r="B74" s="819"/>
      <c r="C74" s="820"/>
      <c r="D74" s="151" t="s">
        <v>139</v>
      </c>
      <c r="E74" s="95">
        <f>'1'!F74</f>
        <v>892299.77</v>
      </c>
      <c r="F74" s="123">
        <v>892557.8</v>
      </c>
      <c r="G74" s="112">
        <f t="shared" ref="G74:G78" si="7">F74-E74</f>
        <v>258.03000000002794</v>
      </c>
      <c r="H74" s="99">
        <f>G74+'1'!H74</f>
        <v>525.80000000004657</v>
      </c>
      <c r="I74" s="154"/>
      <c r="J74" s="175">
        <f>H74/DAY(B2)</f>
        <v>262.90000000002328</v>
      </c>
      <c r="K74" s="69"/>
      <c r="L74" s="66"/>
      <c r="N74" s="87"/>
      <c r="O74" s="71"/>
    </row>
    <row r="75" spans="1:15" ht="27.75" x14ac:dyDescent="0.5">
      <c r="A75" s="818" t="s">
        <v>221</v>
      </c>
      <c r="B75" s="819"/>
      <c r="C75" s="820"/>
      <c r="D75" s="151" t="s">
        <v>139</v>
      </c>
      <c r="E75" s="95">
        <f>'1'!F75</f>
        <v>73586.8</v>
      </c>
      <c r="F75" s="123">
        <v>73586.8</v>
      </c>
      <c r="G75" s="112">
        <f t="shared" si="7"/>
        <v>0</v>
      </c>
      <c r="H75" s="99">
        <f>G75+'1'!H75</f>
        <v>0</v>
      </c>
      <c r="I75" s="154"/>
      <c r="J75" s="175">
        <f>H75/DAY(B2)</f>
        <v>0</v>
      </c>
      <c r="K75" s="69"/>
      <c r="L75" s="66"/>
      <c r="N75" s="87"/>
      <c r="O75" s="71"/>
    </row>
    <row r="76" spans="1:15" ht="27.75" x14ac:dyDescent="0.5">
      <c r="A76" s="862" t="s">
        <v>222</v>
      </c>
      <c r="B76" s="848"/>
      <c r="C76" s="849"/>
      <c r="D76" s="151" t="s">
        <v>139</v>
      </c>
      <c r="E76" s="95">
        <f>'1'!F76</f>
        <v>167309.91</v>
      </c>
      <c r="F76" s="123">
        <v>167408.5</v>
      </c>
      <c r="G76" s="112">
        <f t="shared" si="7"/>
        <v>98.589999999996508</v>
      </c>
      <c r="H76" s="99">
        <f>G76+'1'!H76</f>
        <v>201.5</v>
      </c>
      <c r="I76" s="154"/>
      <c r="J76" s="175">
        <f>H76/DAY(B2)</f>
        <v>100.75</v>
      </c>
      <c r="K76" s="69"/>
      <c r="L76" s="66"/>
      <c r="N76" s="87"/>
      <c r="O76" s="71"/>
    </row>
    <row r="77" spans="1:15" ht="27.75" x14ac:dyDescent="0.5">
      <c r="A77" s="862" t="s">
        <v>223</v>
      </c>
      <c r="B77" s="848"/>
      <c r="C77" s="849"/>
      <c r="D77" s="151" t="s">
        <v>139</v>
      </c>
      <c r="E77" s="95">
        <f>'1'!F77</f>
        <v>40343.4</v>
      </c>
      <c r="F77" s="123">
        <v>40383.4</v>
      </c>
      <c r="G77" s="112">
        <f t="shared" si="7"/>
        <v>40</v>
      </c>
      <c r="H77" s="99">
        <f>G77+'1'!H77</f>
        <v>67.400000000001455</v>
      </c>
      <c r="I77" s="154"/>
      <c r="J77" s="175">
        <f>H77/DAY(B2)</f>
        <v>33.700000000000728</v>
      </c>
      <c r="K77" s="69"/>
      <c r="L77" s="66"/>
      <c r="N77" s="87"/>
      <c r="O77" s="71"/>
    </row>
    <row r="78" spans="1:15" ht="27.75" x14ac:dyDescent="0.5">
      <c r="A78" s="862" t="s">
        <v>224</v>
      </c>
      <c r="B78" s="848"/>
      <c r="C78" s="849"/>
      <c r="D78" s="151" t="s">
        <v>139</v>
      </c>
      <c r="E78" s="95">
        <f>'1'!F78</f>
        <v>9487.9</v>
      </c>
      <c r="F78" s="123">
        <v>9488.5</v>
      </c>
      <c r="G78" s="112">
        <f t="shared" si="7"/>
        <v>0.6000000000003638</v>
      </c>
      <c r="H78" s="99">
        <f>G78+'1'!H78</f>
        <v>2.5</v>
      </c>
      <c r="I78" s="118"/>
      <c r="J78" s="175">
        <f>H78/DAY(B2)</f>
        <v>1.25</v>
      </c>
      <c r="K78" s="69"/>
      <c r="L78" s="66"/>
      <c r="N78" s="87"/>
      <c r="O78" s="71"/>
    </row>
    <row r="79" spans="1:15" s="57" customFormat="1" ht="27.75" x14ac:dyDescent="0.5">
      <c r="A79" s="862" t="s">
        <v>225</v>
      </c>
      <c r="B79" s="848"/>
      <c r="C79" s="849"/>
      <c r="D79" s="151"/>
      <c r="E79" s="95">
        <f>'1'!F79</f>
        <v>0</v>
      </c>
      <c r="F79" s="123"/>
      <c r="G79" s="112">
        <f>G15-SUM(G74:G78)</f>
        <v>411.30699999997705</v>
      </c>
      <c r="H79" s="99">
        <f>G79+'1'!H79</f>
        <v>1081.4129999998477</v>
      </c>
      <c r="I79" s="118"/>
      <c r="J79" s="175"/>
      <c r="K79" s="59"/>
      <c r="L79" s="58"/>
      <c r="N79" s="87"/>
      <c r="O79" s="71"/>
    </row>
    <row r="80" spans="1:15" s="57" customFormat="1" ht="29.25" x14ac:dyDescent="0.5">
      <c r="A80" s="815" t="s">
        <v>329</v>
      </c>
      <c r="B80" s="816"/>
      <c r="C80" s="817"/>
      <c r="D80" s="151"/>
      <c r="E80" s="117"/>
      <c r="F80" s="117"/>
      <c r="G80" s="112">
        <f>SUM(G74:G79)</f>
        <v>808.52700000000186</v>
      </c>
      <c r="H80" s="99">
        <f>G80+'1'!H80</f>
        <v>808.52700000000186</v>
      </c>
      <c r="I80" s="118"/>
      <c r="J80" s="175"/>
      <c r="K80" s="59"/>
      <c r="L80" s="58"/>
      <c r="N80" s="87"/>
      <c r="O80" s="71"/>
    </row>
    <row r="81" spans="1:15" ht="27" x14ac:dyDescent="0.4">
      <c r="A81" s="854" t="s">
        <v>226</v>
      </c>
      <c r="B81" s="855"/>
      <c r="C81" s="856"/>
      <c r="D81" s="110"/>
      <c r="E81" s="110"/>
      <c r="F81" s="110"/>
      <c r="G81" s="163"/>
      <c r="H81" s="163"/>
      <c r="I81" s="163"/>
      <c r="J81" s="184"/>
      <c r="O81" s="71"/>
    </row>
    <row r="82" spans="1:15" ht="27.75" x14ac:dyDescent="0.5">
      <c r="A82" s="345" t="s">
        <v>227</v>
      </c>
      <c r="B82" s="346"/>
      <c r="C82" s="346"/>
      <c r="D82" s="151" t="s">
        <v>228</v>
      </c>
      <c r="E82" s="95">
        <f>'1'!F82</f>
        <v>0</v>
      </c>
      <c r="F82" s="122">
        <v>0</v>
      </c>
      <c r="G82" s="112">
        <f t="shared" ref="G82:G92" si="8">F82-E82</f>
        <v>0</v>
      </c>
      <c r="H82" s="99">
        <f>G82+'1'!H82</f>
        <v>0</v>
      </c>
      <c r="I82" s="118"/>
      <c r="J82" s="175">
        <f>H82/DAY(B2)</f>
        <v>0</v>
      </c>
      <c r="O82" s="71"/>
    </row>
    <row r="83" spans="1:15" ht="27.75" x14ac:dyDescent="0.5">
      <c r="A83" s="345" t="s">
        <v>229</v>
      </c>
      <c r="B83" s="346"/>
      <c r="C83" s="346"/>
      <c r="D83" s="151" t="s">
        <v>228</v>
      </c>
      <c r="E83" s="95">
        <f>'1'!F83</f>
        <v>0</v>
      </c>
      <c r="F83" s="122">
        <v>0</v>
      </c>
      <c r="G83" s="112">
        <f t="shared" si="8"/>
        <v>0</v>
      </c>
      <c r="H83" s="99">
        <f>G83+'1'!H83</f>
        <v>0</v>
      </c>
      <c r="I83" s="118"/>
      <c r="J83" s="175">
        <f>H83/DAY(B2)</f>
        <v>0</v>
      </c>
      <c r="O83" s="71"/>
    </row>
    <row r="84" spans="1:15" ht="27.75" x14ac:dyDescent="0.5">
      <c r="A84" s="345" t="s">
        <v>230</v>
      </c>
      <c r="B84" s="346"/>
      <c r="C84" s="346"/>
      <c r="D84" s="151" t="s">
        <v>228</v>
      </c>
      <c r="E84" s="95">
        <f>'1'!F84</f>
        <v>41675</v>
      </c>
      <c r="F84" s="164">
        <v>41675</v>
      </c>
      <c r="G84" s="112">
        <f t="shared" si="8"/>
        <v>0</v>
      </c>
      <c r="H84" s="99">
        <f>G84+'1'!H84</f>
        <v>0</v>
      </c>
      <c r="I84" s="118"/>
      <c r="J84" s="175">
        <f>H84/DAY(B2)</f>
        <v>0</v>
      </c>
      <c r="O84" s="71"/>
    </row>
    <row r="85" spans="1:15" ht="27.75" x14ac:dyDescent="0.5">
      <c r="A85" s="345" t="s">
        <v>231</v>
      </c>
      <c r="B85" s="346"/>
      <c r="C85" s="346"/>
      <c r="D85" s="151" t="s">
        <v>228</v>
      </c>
      <c r="E85" s="95">
        <f>'1'!F85</f>
        <v>2096.56</v>
      </c>
      <c r="F85" s="164">
        <v>2096.56</v>
      </c>
      <c r="G85" s="112">
        <f t="shared" si="8"/>
        <v>0</v>
      </c>
      <c r="H85" s="99">
        <f>G85+'1'!H85</f>
        <v>0</v>
      </c>
      <c r="I85" s="118">
        <f>G82+G83+G84+G85</f>
        <v>0</v>
      </c>
      <c r="J85" s="175">
        <f>H85/DAY(B2)</f>
        <v>0</v>
      </c>
      <c r="O85" s="71"/>
    </row>
    <row r="86" spans="1:15" ht="27.75" x14ac:dyDescent="0.5">
      <c r="A86" s="345" t="s">
        <v>232</v>
      </c>
      <c r="B86" s="346"/>
      <c r="C86" s="346"/>
      <c r="D86" s="151" t="s">
        <v>228</v>
      </c>
      <c r="E86" s="95">
        <f>'1'!F86</f>
        <v>42887</v>
      </c>
      <c r="F86" s="164">
        <v>42911.11</v>
      </c>
      <c r="G86" s="112">
        <f t="shared" si="8"/>
        <v>24.110000000000582</v>
      </c>
      <c r="H86" s="99">
        <f>G86+'1'!H86</f>
        <v>48.110000000000582</v>
      </c>
      <c r="I86" s="118"/>
      <c r="J86" s="175">
        <f>H86/DAY(B2)</f>
        <v>24.055000000000291</v>
      </c>
      <c r="O86" s="71"/>
    </row>
    <row r="87" spans="1:15" ht="27.75" x14ac:dyDescent="0.5">
      <c r="A87" s="345" t="s">
        <v>233</v>
      </c>
      <c r="B87" s="346"/>
      <c r="C87" s="346"/>
      <c r="D87" s="151" t="s">
        <v>228</v>
      </c>
      <c r="E87" s="95">
        <f>'1'!F87</f>
        <v>34598.550000000003</v>
      </c>
      <c r="F87" s="164">
        <v>34598.550000000003</v>
      </c>
      <c r="G87" s="112">
        <f t="shared" si="8"/>
        <v>0</v>
      </c>
      <c r="H87" s="99">
        <f>G87+'1'!H87</f>
        <v>0</v>
      </c>
      <c r="I87" s="118"/>
      <c r="J87" s="175">
        <f>H87/DAY(B2)</f>
        <v>0</v>
      </c>
      <c r="O87" s="71"/>
    </row>
    <row r="88" spans="1:15" ht="27.75" x14ac:dyDescent="0.5">
      <c r="A88" s="345" t="s">
        <v>234</v>
      </c>
      <c r="B88" s="346"/>
      <c r="C88" s="346"/>
      <c r="D88" s="151" t="s">
        <v>228</v>
      </c>
      <c r="E88" s="95">
        <f>'1'!F88</f>
        <v>24053.38</v>
      </c>
      <c r="F88" s="164">
        <v>24056.07</v>
      </c>
      <c r="G88" s="112">
        <f t="shared" si="8"/>
        <v>2.6899999999986903</v>
      </c>
      <c r="H88" s="99">
        <f>G88+'1'!H88</f>
        <v>9.069999999999709</v>
      </c>
      <c r="I88" s="118">
        <f>G86+G87+G88</f>
        <v>26.799999999999272</v>
      </c>
      <c r="J88" s="175">
        <f>H88/DAY(B2)</f>
        <v>4.5349999999998545</v>
      </c>
      <c r="O88" s="71"/>
    </row>
    <row r="89" spans="1:15" ht="27.75" x14ac:dyDescent="0.5">
      <c r="A89" s="345" t="s">
        <v>235</v>
      </c>
      <c r="B89" s="346"/>
      <c r="C89" s="346"/>
      <c r="D89" s="151" t="s">
        <v>228</v>
      </c>
      <c r="E89" s="95">
        <f>'1'!F89</f>
        <v>25667.09</v>
      </c>
      <c r="F89" s="164">
        <v>25667.56</v>
      </c>
      <c r="G89" s="112">
        <f t="shared" si="8"/>
        <v>0.47000000000116415</v>
      </c>
      <c r="H89" s="99">
        <f>G89+'1'!H89</f>
        <v>4.5600000000013097</v>
      </c>
      <c r="I89" s="118"/>
      <c r="J89" s="175">
        <f>H89/DAY(B2)</f>
        <v>2.2800000000006548</v>
      </c>
      <c r="O89" s="71"/>
    </row>
    <row r="90" spans="1:15" ht="27.75" x14ac:dyDescent="0.5">
      <c r="A90" s="345" t="s">
        <v>236</v>
      </c>
      <c r="B90" s="346"/>
      <c r="C90" s="346"/>
      <c r="D90" s="151" t="s">
        <v>228</v>
      </c>
      <c r="E90" s="95">
        <f>'1'!F90</f>
        <v>71039.61</v>
      </c>
      <c r="F90" s="164">
        <v>71048.759999999995</v>
      </c>
      <c r="G90" s="112">
        <f t="shared" si="8"/>
        <v>9.1499999999941792</v>
      </c>
      <c r="H90" s="99">
        <f>G90+'1'!H90</f>
        <v>14.759999999994761</v>
      </c>
      <c r="I90" s="118">
        <f>G89+G90</f>
        <v>9.6199999999953434</v>
      </c>
      <c r="J90" s="175">
        <f>H90/DAY(B2)</f>
        <v>7.3799999999973807</v>
      </c>
      <c r="O90" s="71"/>
    </row>
    <row r="91" spans="1:15" ht="27.75" x14ac:dyDescent="0.5">
      <c r="A91" s="345" t="s">
        <v>237</v>
      </c>
      <c r="B91" s="346"/>
      <c r="C91" s="346"/>
      <c r="D91" s="151" t="s">
        <v>228</v>
      </c>
      <c r="E91" s="95">
        <f>'1'!F91</f>
        <v>3226.32</v>
      </c>
      <c r="F91" s="122">
        <v>3226.32</v>
      </c>
      <c r="G91" s="112">
        <f t="shared" si="8"/>
        <v>0</v>
      </c>
      <c r="H91" s="99">
        <f>G91+'1'!H91</f>
        <v>0</v>
      </c>
      <c r="I91" s="165"/>
      <c r="J91" s="175">
        <f>H91/DAY(B2)</f>
        <v>0</v>
      </c>
      <c r="O91" s="71"/>
    </row>
    <row r="92" spans="1:15" ht="27.75" x14ac:dyDescent="0.5">
      <c r="A92" s="345" t="s">
        <v>238</v>
      </c>
      <c r="B92" s="346"/>
      <c r="C92" s="346"/>
      <c r="D92" s="151" t="s">
        <v>228</v>
      </c>
      <c r="E92" s="95">
        <f>'1'!F92</f>
        <v>5447.66</v>
      </c>
      <c r="F92" s="122">
        <v>5456.67</v>
      </c>
      <c r="G92" s="112">
        <f t="shared" si="8"/>
        <v>9.0100000000002183</v>
      </c>
      <c r="H92" s="99">
        <f>G92+'1'!H92</f>
        <v>18.670000000000073</v>
      </c>
      <c r="I92" s="165"/>
      <c r="J92" s="175">
        <f>H92/DAY(B2)</f>
        <v>9.3350000000000364</v>
      </c>
      <c r="O92" s="71"/>
    </row>
    <row r="93" spans="1:15" ht="29.25" x14ac:dyDescent="0.5">
      <c r="A93" s="863" t="s">
        <v>239</v>
      </c>
      <c r="B93" s="864"/>
      <c r="C93" s="865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27.75" x14ac:dyDescent="0.5">
      <c r="A94" s="818" t="s">
        <v>240</v>
      </c>
      <c r="B94" s="819"/>
      <c r="C94" s="820"/>
      <c r="D94" s="151" t="s">
        <v>130</v>
      </c>
      <c r="E94" s="151"/>
      <c r="F94" s="151"/>
      <c r="G94" s="99">
        <f>G35+G43+G49+G57</f>
        <v>6078.8600000000006</v>
      </c>
      <c r="H94" s="99">
        <f>G94+'1'!H94</f>
        <v>12311.040000000015</v>
      </c>
      <c r="I94" s="118"/>
      <c r="J94" s="175">
        <f>H94/DAY(B2)</f>
        <v>6155.5200000000077</v>
      </c>
      <c r="K94" s="69"/>
      <c r="L94" s="66"/>
      <c r="O94" s="71"/>
    </row>
    <row r="95" spans="1:15" ht="27.75" x14ac:dyDescent="0.5">
      <c r="A95" s="818" t="s">
        <v>241</v>
      </c>
      <c r="B95" s="819"/>
      <c r="C95" s="820"/>
      <c r="D95" s="151" t="s">
        <v>23</v>
      </c>
      <c r="E95" s="146"/>
      <c r="F95" s="146"/>
      <c r="G95" s="166">
        <f>G94/G7</f>
        <v>0.31190643925380873</v>
      </c>
      <c r="H95" s="99">
        <f>G95+'1'!H95</f>
        <v>0.6234137321226878</v>
      </c>
      <c r="I95" s="167"/>
      <c r="J95" s="175">
        <f>H95/DAY(B2)</f>
        <v>0.3117068660613439</v>
      </c>
      <c r="K95" s="69"/>
      <c r="L95" s="66"/>
      <c r="O95" s="71"/>
    </row>
    <row r="96" spans="1:15" ht="27.75" x14ac:dyDescent="0.5">
      <c r="A96" s="818" t="s">
        <v>242</v>
      </c>
      <c r="B96" s="819"/>
      <c r="C96" s="820"/>
      <c r="D96" s="151" t="s">
        <v>130</v>
      </c>
      <c r="E96" s="95"/>
      <c r="F96" s="95"/>
      <c r="G96" s="99">
        <f>G41+G42+G55+G56</f>
        <v>3100</v>
      </c>
      <c r="H96" s="99">
        <f>G96+'1'!H96</f>
        <v>5531.4200000000055</v>
      </c>
      <c r="I96" s="118"/>
      <c r="J96" s="175">
        <f>H96/DAY(B2)</f>
        <v>2765.7100000000028</v>
      </c>
      <c r="K96" s="69"/>
      <c r="L96" s="66"/>
      <c r="O96" s="71"/>
    </row>
    <row r="97" spans="1:15" ht="27.75" x14ac:dyDescent="0.5">
      <c r="A97" s="818" t="s">
        <v>243</v>
      </c>
      <c r="B97" s="819"/>
      <c r="C97" s="820"/>
      <c r="D97" s="151" t="s">
        <v>23</v>
      </c>
      <c r="E97" s="95"/>
      <c r="F97" s="95"/>
      <c r="G97" s="166">
        <f>G96/G7</f>
        <v>0.15906106764867212</v>
      </c>
      <c r="H97" s="99">
        <f>G97+'1'!H97</f>
        <v>0.28059238767268457</v>
      </c>
      <c r="I97" s="167"/>
      <c r="J97" s="175">
        <f>H97/DAY(B2)</f>
        <v>0.14029619383634229</v>
      </c>
      <c r="K97" s="69"/>
      <c r="L97" s="66"/>
      <c r="O97" s="71"/>
    </row>
    <row r="98" spans="1:15" ht="27.75" x14ac:dyDescent="0.5">
      <c r="A98" s="818" t="s">
        <v>244</v>
      </c>
      <c r="B98" s="819"/>
      <c r="C98" s="820"/>
      <c r="D98" s="151" t="s">
        <v>130</v>
      </c>
      <c r="E98" s="95"/>
      <c r="F98" s="95"/>
      <c r="G98" s="99">
        <f>G39+G53</f>
        <v>2721.7999999999884</v>
      </c>
      <c r="H98" s="99">
        <f>G98+'1'!H98</f>
        <v>5446.1900000000023</v>
      </c>
      <c r="I98" s="168"/>
      <c r="J98" s="175">
        <f>H98/DAY(B2)</f>
        <v>2723.0950000000012</v>
      </c>
      <c r="K98" s="69"/>
      <c r="L98" s="66"/>
      <c r="O98" s="71"/>
    </row>
    <row r="99" spans="1:15" ht="27.75" x14ac:dyDescent="0.5">
      <c r="A99" s="818" t="s">
        <v>245</v>
      </c>
      <c r="B99" s="819"/>
      <c r="C99" s="820"/>
      <c r="D99" s="151" t="s">
        <v>23</v>
      </c>
      <c r="E99" s="95"/>
      <c r="F99" s="95"/>
      <c r="G99" s="166">
        <f>G98/G7</f>
        <v>0.1396556173955335</v>
      </c>
      <c r="H99" s="99">
        <f>G99+'1'!H99</f>
        <v>0.27583065624534975</v>
      </c>
      <c r="I99" s="168"/>
      <c r="J99" s="175">
        <f>H99/DAY(B2)</f>
        <v>0.13791532812267487</v>
      </c>
      <c r="O99" s="71"/>
    </row>
    <row r="100" spans="1:15" ht="27.75" x14ac:dyDescent="0.5">
      <c r="A100" s="818" t="s">
        <v>246</v>
      </c>
      <c r="B100" s="819"/>
      <c r="C100" s="820"/>
      <c r="D100" s="151" t="s">
        <v>180</v>
      </c>
      <c r="E100" s="95"/>
      <c r="F100" s="95"/>
      <c r="G100" s="99">
        <f>G38+G52</f>
        <v>1563.0599999999977</v>
      </c>
      <c r="H100" s="99">
        <f>G100+'1'!H100</f>
        <v>3228.4899999999907</v>
      </c>
      <c r="I100" s="118"/>
      <c r="J100" s="175">
        <f>H100/DAY(B2)</f>
        <v>1614.2449999999953</v>
      </c>
      <c r="K100" s="70"/>
      <c r="O100" s="71"/>
    </row>
    <row r="101" spans="1:15" ht="27.75" x14ac:dyDescent="0.5">
      <c r="A101" s="818" t="s">
        <v>247</v>
      </c>
      <c r="B101" s="819"/>
      <c r="C101" s="820"/>
      <c r="D101" s="151" t="s">
        <v>23</v>
      </c>
      <c r="E101" s="95"/>
      <c r="F101" s="95"/>
      <c r="G101" s="166">
        <f>G100/G7</f>
        <v>8.0200642709333247E-2</v>
      </c>
      <c r="H101" s="99">
        <f>G101+'1'!H101</f>
        <v>0.16344496343861481</v>
      </c>
      <c r="I101" s="168"/>
      <c r="J101" s="175">
        <f>H101/DAY(B2)</f>
        <v>8.1722481719307405E-2</v>
      </c>
      <c r="O101" s="71"/>
    </row>
    <row r="102" spans="1:15" ht="27.75" x14ac:dyDescent="0.5">
      <c r="A102" s="818" t="s">
        <v>248</v>
      </c>
      <c r="B102" s="819"/>
      <c r="C102" s="820"/>
      <c r="D102" s="151" t="s">
        <v>180</v>
      </c>
      <c r="E102" s="95"/>
      <c r="F102" s="95"/>
      <c r="G102" s="99">
        <f>G36+G50</f>
        <v>1907.2599999999984</v>
      </c>
      <c r="H102" s="99">
        <f>G102+'1'!H102</f>
        <v>4028.6100000000006</v>
      </c>
      <c r="I102" s="168"/>
      <c r="J102" s="175">
        <f>H102/DAY(B2)</f>
        <v>2014.3050000000003</v>
      </c>
      <c r="O102" s="71"/>
    </row>
    <row r="103" spans="1:15" ht="27.75" x14ac:dyDescent="0.5">
      <c r="A103" s="818" t="s">
        <v>249</v>
      </c>
      <c r="B103" s="819"/>
      <c r="C103" s="820"/>
      <c r="D103" s="151" t="s">
        <v>23</v>
      </c>
      <c r="E103" s="95"/>
      <c r="F103" s="95"/>
      <c r="G103" s="166">
        <f>G102/G7</f>
        <v>9.7861552220518094E-2</v>
      </c>
      <c r="H103" s="99">
        <f>G103+'1'!H103</f>
        <v>0.20389443248511183</v>
      </c>
      <c r="I103" s="118"/>
      <c r="J103" s="175">
        <f>H103/DAY(B2)</f>
        <v>0.10194721624255591</v>
      </c>
      <c r="O103" s="71"/>
    </row>
    <row r="104" spans="1:15" ht="27.75" x14ac:dyDescent="0.5">
      <c r="A104" s="818" t="s">
        <v>250</v>
      </c>
      <c r="B104" s="819"/>
      <c r="C104" s="820"/>
      <c r="D104" s="151" t="s">
        <v>180</v>
      </c>
      <c r="E104" s="95"/>
      <c r="F104" s="95"/>
      <c r="G104" s="99">
        <f>G37+G51</f>
        <v>1509.2399999999907</v>
      </c>
      <c r="H104" s="99">
        <f>G104+'1'!H104</f>
        <v>3082.75</v>
      </c>
      <c r="I104" s="118"/>
      <c r="J104" s="175">
        <f>H104/DAY(B2)</f>
        <v>1541.375</v>
      </c>
      <c r="O104" s="71"/>
    </row>
    <row r="105" spans="1:15" ht="28.5" thickBot="1" x14ac:dyDescent="0.55000000000000004">
      <c r="A105" s="858" t="s">
        <v>251</v>
      </c>
      <c r="B105" s="859"/>
      <c r="C105" s="860"/>
      <c r="D105" s="231" t="s">
        <v>23</v>
      </c>
      <c r="E105" s="185"/>
      <c r="F105" s="185"/>
      <c r="G105" s="186">
        <f>G104/G7</f>
        <v>7.7439137334864655E-2</v>
      </c>
      <c r="H105" s="99">
        <f>G105+'1'!H105</f>
        <v>0.15608895816836299</v>
      </c>
      <c r="I105" s="187"/>
      <c r="J105" s="188">
        <f>H105/DAY(B2)</f>
        <v>7.8044479084181495E-2</v>
      </c>
      <c r="O105" s="71"/>
    </row>
    <row r="106" spans="1:15" ht="29.25" x14ac:dyDescent="0.5">
      <c r="A106" s="105"/>
      <c r="B106" s="96"/>
      <c r="C106" s="96"/>
      <c r="D106" s="169"/>
      <c r="E106" s="169"/>
      <c r="F106" s="169"/>
      <c r="G106" s="169"/>
      <c r="H106" s="170"/>
      <c r="I106" s="169"/>
      <c r="J106" s="171"/>
      <c r="O106" s="71"/>
    </row>
    <row r="107" spans="1:15" ht="29.25" x14ac:dyDescent="0.5"/>
    <row r="108" spans="1:15" ht="31.5" x14ac:dyDescent="0.55000000000000004">
      <c r="A108" s="872" t="s">
        <v>324</v>
      </c>
      <c r="B108" s="872"/>
      <c r="C108" s="872"/>
      <c r="D108" s="872"/>
      <c r="E108" s="872"/>
      <c r="F108" s="872"/>
      <c r="G108" s="872"/>
      <c r="H108" s="872"/>
      <c r="I108" s="872"/>
      <c r="J108" s="872"/>
    </row>
    <row r="109" spans="1:15" ht="29.25" x14ac:dyDescent="0.5">
      <c r="A109" s="857"/>
      <c r="B109" s="857"/>
    </row>
    <row r="110" spans="1:15" ht="29.25" x14ac:dyDescent="0.5">
      <c r="A110" s="873" t="s">
        <v>165</v>
      </c>
      <c r="B110" s="874"/>
      <c r="C110" s="874"/>
      <c r="D110" s="874"/>
      <c r="E110" s="874"/>
      <c r="F110" s="874"/>
      <c r="G110" s="874"/>
      <c r="H110" s="874"/>
      <c r="I110" s="874"/>
      <c r="J110" s="875"/>
    </row>
    <row r="111" spans="1:15" ht="27.75" x14ac:dyDescent="0.5">
      <c r="A111" s="876"/>
      <c r="B111" s="877"/>
      <c r="C111" s="878"/>
      <c r="D111" s="165"/>
      <c r="E111" s="165"/>
      <c r="F111" s="165"/>
      <c r="G111" s="165"/>
      <c r="H111" s="156"/>
      <c r="I111" s="165"/>
      <c r="J111" s="327"/>
    </row>
    <row r="112" spans="1:15" ht="27.75" x14ac:dyDescent="0.5">
      <c r="A112" s="851" t="s">
        <v>252</v>
      </c>
      <c r="B112" s="852"/>
      <c r="C112" s="853"/>
      <c r="D112" s="146" t="s">
        <v>183</v>
      </c>
      <c r="E112" s="95">
        <f>'1'!F112</f>
        <v>55750.8</v>
      </c>
      <c r="F112" s="237">
        <v>55818.83</v>
      </c>
      <c r="G112" s="112">
        <f t="shared" ref="G112:G123" si="9">F112-E112</f>
        <v>68.029999999998836</v>
      </c>
      <c r="H112" s="99">
        <f>G112+'1'!H112</f>
        <v>137.83000000000175</v>
      </c>
      <c r="I112" s="165"/>
      <c r="J112" s="328">
        <f>H112/DAY(B2)</f>
        <v>68.915000000000873</v>
      </c>
    </row>
    <row r="113" spans="1:18" ht="29.25" customHeight="1" x14ac:dyDescent="0.5">
      <c r="A113" s="851" t="s">
        <v>253</v>
      </c>
      <c r="B113" s="852"/>
      <c r="C113" s="853"/>
      <c r="D113" s="146" t="s">
        <v>183</v>
      </c>
      <c r="E113" s="95">
        <f>'1'!F113</f>
        <v>32649.73</v>
      </c>
      <c r="F113" s="237">
        <v>33097.18</v>
      </c>
      <c r="G113" s="112">
        <f t="shared" si="9"/>
        <v>447.45000000000073</v>
      </c>
      <c r="H113" s="99">
        <f>G113+'1'!H113</f>
        <v>902.18000000000029</v>
      </c>
      <c r="I113" s="165"/>
      <c r="J113" s="328">
        <f>H113/DAY(B2)</f>
        <v>451.09000000000015</v>
      </c>
    </row>
    <row r="114" spans="1:18" ht="29.25" customHeight="1" x14ac:dyDescent="0.5">
      <c r="A114" s="851" t="s">
        <v>254</v>
      </c>
      <c r="B114" s="852"/>
      <c r="C114" s="853"/>
      <c r="D114" s="146" t="s">
        <v>183</v>
      </c>
      <c r="E114" s="95">
        <f>'1'!F114</f>
        <v>25139.35</v>
      </c>
      <c r="F114" s="237">
        <v>25408.3</v>
      </c>
      <c r="G114" s="112">
        <f t="shared" si="9"/>
        <v>268.95000000000073</v>
      </c>
      <c r="H114" s="99">
        <f>G114+'1'!H114</f>
        <v>537.29999999999927</v>
      </c>
      <c r="I114" s="165"/>
      <c r="J114" s="328">
        <f>H114/DAY(B2)</f>
        <v>268.64999999999964</v>
      </c>
    </row>
    <row r="115" spans="1:18" ht="29.25" customHeight="1" x14ac:dyDescent="0.5">
      <c r="A115" s="851" t="s">
        <v>255</v>
      </c>
      <c r="B115" s="852"/>
      <c r="C115" s="853"/>
      <c r="D115" s="146" t="s">
        <v>183</v>
      </c>
      <c r="E115" s="95">
        <f>'1'!F115</f>
        <v>8793.5</v>
      </c>
      <c r="F115" s="237">
        <v>8802.7999999999993</v>
      </c>
      <c r="G115" s="112">
        <f t="shared" si="9"/>
        <v>9.2999999999992724</v>
      </c>
      <c r="H115" s="99">
        <f>G115+'1'!H115</f>
        <v>17.799999999999272</v>
      </c>
      <c r="I115" s="165"/>
      <c r="J115" s="328">
        <f>H115/DAY(B2)</f>
        <v>8.8999999999996362</v>
      </c>
    </row>
    <row r="116" spans="1:18" ht="29.25" customHeight="1" x14ac:dyDescent="0.5">
      <c r="A116" s="869" t="s">
        <v>96</v>
      </c>
      <c r="B116" s="870"/>
      <c r="C116" s="871"/>
      <c r="D116" s="700" t="s">
        <v>183</v>
      </c>
      <c r="E116" s="95">
        <f>'1'!F116</f>
        <v>0</v>
      </c>
      <c r="F116" s="237">
        <v>0</v>
      </c>
      <c r="G116" s="112">
        <f t="shared" si="9"/>
        <v>0</v>
      </c>
      <c r="H116" s="99">
        <f>G116+'1'!H116</f>
        <v>0</v>
      </c>
      <c r="I116" s="165"/>
      <c r="J116" s="328">
        <f>H116/DAY(B2)</f>
        <v>0</v>
      </c>
      <c r="Q116" s="851"/>
      <c r="R116" s="853"/>
    </row>
    <row r="117" spans="1:18" ht="29.25" customHeight="1" x14ac:dyDescent="0.5">
      <c r="A117" s="869" t="s">
        <v>184</v>
      </c>
      <c r="B117" s="870"/>
      <c r="C117" s="871"/>
      <c r="D117" s="146" t="s">
        <v>183</v>
      </c>
      <c r="E117" s="95">
        <f>'1'!F117</f>
        <v>2611.4</v>
      </c>
      <c r="F117" s="237">
        <v>2632.21</v>
      </c>
      <c r="G117" s="112">
        <f t="shared" si="9"/>
        <v>20.809999999999945</v>
      </c>
      <c r="H117" s="99">
        <f>G117+'1'!H117</f>
        <v>42.210000000000036</v>
      </c>
      <c r="I117" s="165"/>
      <c r="J117" s="328">
        <f>H117/DAY(B2)</f>
        <v>21.105000000000018</v>
      </c>
      <c r="Q117" s="851"/>
      <c r="R117" s="853"/>
    </row>
    <row r="118" spans="1:18" ht="27.75" x14ac:dyDescent="0.5">
      <c r="A118" s="846" t="s">
        <v>97</v>
      </c>
      <c r="B118" s="846"/>
      <c r="C118" s="846"/>
      <c r="D118" s="151" t="s">
        <v>183</v>
      </c>
      <c r="E118" s="95">
        <f>'1'!F118</f>
        <v>242009.5</v>
      </c>
      <c r="F118" s="237">
        <v>242373.99</v>
      </c>
      <c r="G118" s="112">
        <f t="shared" si="9"/>
        <v>364.48999999999069</v>
      </c>
      <c r="H118" s="99">
        <f>G118+'1'!H118</f>
        <v>726.98999999999069</v>
      </c>
      <c r="I118" s="165"/>
      <c r="J118" s="328">
        <f>H118/DAY(B2)</f>
        <v>363.49499999999534</v>
      </c>
      <c r="Q118" s="851"/>
      <c r="R118" s="853"/>
    </row>
    <row r="119" spans="1:18" ht="27.75" x14ac:dyDescent="0.5">
      <c r="A119" s="846" t="s">
        <v>98</v>
      </c>
      <c r="B119" s="846"/>
      <c r="C119" s="846"/>
      <c r="D119" s="151" t="s">
        <v>183</v>
      </c>
      <c r="E119" s="95">
        <f>'1'!F119</f>
        <v>245557.91</v>
      </c>
      <c r="F119" s="237">
        <v>245981.03</v>
      </c>
      <c r="G119" s="112">
        <f t="shared" si="9"/>
        <v>423.11999999999534</v>
      </c>
      <c r="H119" s="99">
        <f>G119+'1'!H119</f>
        <v>855.02999999999884</v>
      </c>
      <c r="I119" s="165"/>
      <c r="J119" s="328">
        <f>H119/DAY(B2)</f>
        <v>427.51499999999942</v>
      </c>
    </row>
    <row r="120" spans="1:18" ht="27.75" x14ac:dyDescent="0.5">
      <c r="A120" s="846" t="s">
        <v>99</v>
      </c>
      <c r="B120" s="846"/>
      <c r="C120" s="846"/>
      <c r="D120" s="151" t="s">
        <v>183</v>
      </c>
      <c r="E120" s="95">
        <f>'1'!F120</f>
        <v>30511.74</v>
      </c>
      <c r="F120" s="237">
        <v>30933.07</v>
      </c>
      <c r="G120" s="112">
        <f t="shared" si="9"/>
        <v>421.32999999999811</v>
      </c>
      <c r="H120" s="99">
        <f>G120+'1'!H120</f>
        <v>855.06999999999971</v>
      </c>
      <c r="I120" s="165"/>
      <c r="J120" s="328">
        <f>H120/DAY(B2)</f>
        <v>427.53499999999985</v>
      </c>
    </row>
    <row r="121" spans="1:18" ht="27.75" x14ac:dyDescent="0.5">
      <c r="A121" s="846" t="s">
        <v>100</v>
      </c>
      <c r="B121" s="846"/>
      <c r="C121" s="846"/>
      <c r="D121" s="151" t="s">
        <v>183</v>
      </c>
      <c r="E121" s="95">
        <f>'1'!F121</f>
        <v>377313.71</v>
      </c>
      <c r="F121" s="237">
        <v>378067.47</v>
      </c>
      <c r="G121" s="112">
        <f t="shared" si="9"/>
        <v>753.75999999995111</v>
      </c>
      <c r="H121" s="99">
        <f>G121+'1'!H121</f>
        <v>1538.4699999999721</v>
      </c>
      <c r="I121" s="165"/>
      <c r="J121" s="328">
        <f>H121/DAY(B2)</f>
        <v>769.23499999998603</v>
      </c>
    </row>
    <row r="122" spans="1:18" ht="27.75" x14ac:dyDescent="0.5">
      <c r="A122" s="846" t="s">
        <v>101</v>
      </c>
      <c r="B122" s="846"/>
      <c r="C122" s="846"/>
      <c r="D122" s="151" t="s">
        <v>183</v>
      </c>
      <c r="E122" s="95">
        <f>'1'!F122</f>
        <v>120263.74</v>
      </c>
      <c r="F122" s="237">
        <v>120477.6</v>
      </c>
      <c r="G122" s="112">
        <f t="shared" si="9"/>
        <v>213.86000000000058</v>
      </c>
      <c r="H122" s="99">
        <f>G122+'1'!H122</f>
        <v>427.60000000000582</v>
      </c>
      <c r="I122" s="165"/>
      <c r="J122" s="328">
        <f>H122/DAY(B2)</f>
        <v>213.80000000000291</v>
      </c>
    </row>
    <row r="123" spans="1:18" ht="27.75" x14ac:dyDescent="0.5">
      <c r="A123" s="846" t="s">
        <v>102</v>
      </c>
      <c r="B123" s="846"/>
      <c r="C123" s="846"/>
      <c r="D123" s="151" t="s">
        <v>183</v>
      </c>
      <c r="E123" s="95">
        <f>'1'!F123</f>
        <v>145471.69</v>
      </c>
      <c r="F123" s="237">
        <v>145818.76999999999</v>
      </c>
      <c r="G123" s="112">
        <f t="shared" si="9"/>
        <v>347.07999999998719</v>
      </c>
      <c r="H123" s="99">
        <f>G123+'1'!H123</f>
        <v>693.76999999998952</v>
      </c>
      <c r="I123" s="165"/>
      <c r="J123" s="328">
        <f>H123/DAY(B2)</f>
        <v>346.88499999999476</v>
      </c>
    </row>
    <row r="124" spans="1:18" ht="29.25" customHeight="1" x14ac:dyDescent="0.5">
      <c r="A124" s="876"/>
      <c r="B124" s="877"/>
      <c r="C124" s="878"/>
      <c r="D124" s="165"/>
      <c r="E124" s="165"/>
      <c r="F124" s="165"/>
      <c r="G124" s="327"/>
      <c r="H124" s="156"/>
      <c r="I124" s="165"/>
      <c r="J124" s="327"/>
    </row>
    <row r="125" spans="1:18" ht="27.75" x14ac:dyDescent="0.5">
      <c r="A125" s="879" t="s">
        <v>196</v>
      </c>
      <c r="B125" s="880"/>
      <c r="C125" s="245"/>
      <c r="D125" s="307"/>
      <c r="E125" s="308"/>
      <c r="F125" s="308"/>
      <c r="G125" s="309">
        <f>SUM(G112:G124)</f>
        <v>3338.1799999999225</v>
      </c>
      <c r="H125" s="156"/>
      <c r="I125" s="327">
        <f>G125-(G39+G53)</f>
        <v>616.37999999993417</v>
      </c>
      <c r="J125" s="327"/>
    </row>
    <row r="126" spans="1:18" ht="27.75" x14ac:dyDescent="0.5">
      <c r="A126" s="881" t="s">
        <v>317</v>
      </c>
      <c r="B126" s="881"/>
      <c r="C126" s="881"/>
      <c r="D126" s="881"/>
      <c r="E126" s="881"/>
      <c r="F126" s="881"/>
      <c r="G126" s="881"/>
      <c r="H126" s="881"/>
      <c r="I126" s="881"/>
      <c r="J126" s="881"/>
    </row>
    <row r="127" spans="1:18" ht="27.75" x14ac:dyDescent="0.5">
      <c r="A127" s="882"/>
      <c r="B127" s="882"/>
      <c r="C127" s="245"/>
      <c r="D127" s="307"/>
      <c r="E127" s="308"/>
      <c r="F127" s="308"/>
      <c r="G127" s="309"/>
      <c r="H127" s="99">
        <f>G127+'1'!H127</f>
        <v>0</v>
      </c>
      <c r="I127" s="165"/>
      <c r="J127" s="328">
        <f>H127/DAY(B2)</f>
        <v>0</v>
      </c>
    </row>
    <row r="128" spans="1:18" ht="29.25" customHeight="1" x14ac:dyDescent="0.5">
      <c r="A128" s="851" t="s">
        <v>318</v>
      </c>
      <c r="B128" s="852"/>
      <c r="C128" s="853"/>
      <c r="D128" s="151" t="s">
        <v>183</v>
      </c>
      <c r="E128" s="95">
        <f>'1'!F128</f>
        <v>38365.74</v>
      </c>
      <c r="F128" s="165">
        <v>38727.72</v>
      </c>
      <c r="G128" s="112">
        <f t="shared" ref="G128:G133" si="10">F128-E128</f>
        <v>361.9800000000032</v>
      </c>
      <c r="H128" s="99">
        <f>G128+'1'!H128</f>
        <v>723.72000000000116</v>
      </c>
      <c r="I128" s="165"/>
      <c r="J128" s="328">
        <f>H128/DAY(B2)</f>
        <v>361.86000000000058</v>
      </c>
    </row>
    <row r="129" spans="1:15" ht="27.75" x14ac:dyDescent="0.5">
      <c r="A129" s="329" t="s">
        <v>319</v>
      </c>
      <c r="B129" s="330"/>
      <c r="C129" s="331"/>
      <c r="D129" s="151" t="s">
        <v>183</v>
      </c>
      <c r="E129" s="95">
        <f>'1'!F129</f>
        <v>20525.43</v>
      </c>
      <c r="F129" s="165">
        <v>20725.8</v>
      </c>
      <c r="G129" s="112">
        <f t="shared" si="10"/>
        <v>200.36999999999898</v>
      </c>
      <c r="H129" s="99">
        <f>G129+'1'!H129</f>
        <v>404.79999999999927</v>
      </c>
      <c r="I129" s="165"/>
      <c r="J129" s="328">
        <f>H129/DAY(B2)</f>
        <v>202.39999999999964</v>
      </c>
      <c r="N129" s="240"/>
      <c r="O129" s="241"/>
    </row>
    <row r="130" spans="1:15" ht="27.75" x14ac:dyDescent="0.5">
      <c r="A130" s="329" t="s">
        <v>320</v>
      </c>
      <c r="B130" s="330"/>
      <c r="C130" s="331"/>
      <c r="D130" s="151" t="s">
        <v>183</v>
      </c>
      <c r="E130" s="95">
        <f>'1'!F130</f>
        <v>19180.349999999999</v>
      </c>
      <c r="F130" s="165">
        <v>19929.53</v>
      </c>
      <c r="G130" s="112">
        <f t="shared" si="10"/>
        <v>749.18000000000029</v>
      </c>
      <c r="H130" s="99">
        <f>G130+'1'!H130</f>
        <v>1547.5299999999988</v>
      </c>
      <c r="I130" s="165"/>
      <c r="J130" s="328">
        <f>H130/DAY(B2)</f>
        <v>773.76499999999942</v>
      </c>
      <c r="N130" s="240"/>
      <c r="O130" s="241"/>
    </row>
    <row r="131" spans="1:15" ht="27.75" x14ac:dyDescent="0.5">
      <c r="A131" s="851" t="s">
        <v>321</v>
      </c>
      <c r="B131" s="852"/>
      <c r="C131" s="853"/>
      <c r="D131" s="151" t="s">
        <v>183</v>
      </c>
      <c r="E131" s="95">
        <f>'1'!F131</f>
        <v>13233.4</v>
      </c>
      <c r="F131" s="165">
        <v>13311.723</v>
      </c>
      <c r="G131" s="112">
        <f t="shared" si="10"/>
        <v>78.32300000000032</v>
      </c>
      <c r="H131" s="99">
        <f>G131+'1'!H131</f>
        <v>158.72299999999996</v>
      </c>
      <c r="I131" s="165"/>
      <c r="J131" s="328">
        <f>H131/DAY(B2)</f>
        <v>79.361499999999978</v>
      </c>
      <c r="N131" s="240"/>
      <c r="O131" s="241"/>
    </row>
    <row r="132" spans="1:15" ht="27.75" x14ac:dyDescent="0.5">
      <c r="A132" s="851" t="s">
        <v>322</v>
      </c>
      <c r="B132" s="852"/>
      <c r="C132" s="853"/>
      <c r="D132" s="151" t="s">
        <v>183</v>
      </c>
      <c r="E132" s="95">
        <f>'1'!F132</f>
        <v>41473.43</v>
      </c>
      <c r="F132" s="165">
        <v>41921.1</v>
      </c>
      <c r="G132" s="112">
        <f t="shared" si="10"/>
        <v>447.66999999999825</v>
      </c>
      <c r="H132" s="99">
        <f>G132+'1'!H132</f>
        <v>898.09999999999854</v>
      </c>
      <c r="I132" s="165"/>
      <c r="J132" s="328">
        <f>H132/DAY(B2)</f>
        <v>449.04999999999927</v>
      </c>
    </row>
    <row r="133" spans="1:15" ht="27.75" x14ac:dyDescent="0.5">
      <c r="A133" s="851" t="s">
        <v>342</v>
      </c>
      <c r="B133" s="852"/>
      <c r="C133" s="853"/>
      <c r="D133" s="151" t="s">
        <v>183</v>
      </c>
      <c r="E133" s="95">
        <f>'1'!F133</f>
        <v>88536.86</v>
      </c>
      <c r="F133" s="165">
        <v>89368.88</v>
      </c>
      <c r="G133" s="112">
        <f t="shared" si="10"/>
        <v>832.02000000000407</v>
      </c>
      <c r="H133" s="99">
        <f>G133+'1'!H133</f>
        <v>1665.8800000000047</v>
      </c>
      <c r="I133" s="165"/>
      <c r="J133" s="328">
        <f>H133/DAY(B2)</f>
        <v>832.94000000000233</v>
      </c>
    </row>
    <row r="134" spans="1:15" ht="27.75" x14ac:dyDescent="0.5">
      <c r="A134" s="851" t="s">
        <v>340</v>
      </c>
      <c r="B134" s="852"/>
      <c r="C134" s="853"/>
      <c r="D134" s="698" t="s">
        <v>183</v>
      </c>
      <c r="E134" s="95">
        <f>'1'!F134</f>
        <v>669520</v>
      </c>
      <c r="F134" s="158">
        <v>670206</v>
      </c>
      <c r="G134" s="112">
        <f>F134-E134</f>
        <v>686</v>
      </c>
      <c r="H134" s="99">
        <f>G134+'1'!H134</f>
        <v>1326</v>
      </c>
      <c r="I134" s="165"/>
      <c r="J134" s="328">
        <f>H134/DAY(B2)</f>
        <v>663</v>
      </c>
    </row>
    <row r="135" spans="1:15" ht="27.75" x14ac:dyDescent="0.5">
      <c r="A135" s="879" t="s">
        <v>196</v>
      </c>
      <c r="B135" s="880"/>
      <c r="C135" s="331"/>
      <c r="D135" s="151"/>
      <c r="E135" s="95"/>
      <c r="F135" s="165"/>
      <c r="G135" s="112">
        <f>SUM(G128:G134)</f>
        <v>3355.5430000000051</v>
      </c>
      <c r="H135" s="99">
        <f>G135+'1'!H135</f>
        <v>6724.7530000000024</v>
      </c>
      <c r="I135" s="327">
        <f>G135-(G35+G49)</f>
        <v>-286.14699999999721</v>
      </c>
      <c r="J135" s="328">
        <f>H135/DAY(B2)</f>
        <v>3362.3765000000012</v>
      </c>
    </row>
    <row r="136" spans="1:15" ht="31.5" x14ac:dyDescent="0.55000000000000004">
      <c r="A136" s="883" t="s">
        <v>325</v>
      </c>
      <c r="B136" s="883"/>
      <c r="C136" s="883"/>
      <c r="D136" s="883"/>
      <c r="E136" s="883"/>
      <c r="F136" s="883"/>
      <c r="G136" s="883"/>
      <c r="H136" s="883"/>
      <c r="I136" s="883"/>
      <c r="J136" s="883"/>
    </row>
    <row r="137" spans="1:15" ht="29.25" x14ac:dyDescent="0.5">
      <c r="A137" s="245"/>
      <c r="B137" s="246"/>
      <c r="C137" s="246"/>
      <c r="D137" s="165"/>
      <c r="E137" s="165"/>
      <c r="F137" s="165"/>
      <c r="G137" s="165"/>
      <c r="H137" s="156"/>
      <c r="I137" s="165"/>
      <c r="J137" s="327"/>
    </row>
    <row r="138" spans="1:15" ht="27.75" x14ac:dyDescent="0.5">
      <c r="A138" s="846" t="s">
        <v>185</v>
      </c>
      <c r="B138" s="846"/>
      <c r="C138" s="846"/>
      <c r="D138" s="698" t="s">
        <v>183</v>
      </c>
      <c r="E138" s="95">
        <f>'1'!F138</f>
        <v>864220</v>
      </c>
      <c r="F138" s="147">
        <v>864323</v>
      </c>
      <c r="G138" s="112">
        <f t="shared" ref="G138:G152" si="11">F138-E138</f>
        <v>103</v>
      </c>
      <c r="H138" s="99">
        <f>G138+'1'!H138</f>
        <v>152</v>
      </c>
      <c r="I138" s="118"/>
      <c r="J138" s="328">
        <f>H138/DAY(B2)</f>
        <v>76</v>
      </c>
    </row>
    <row r="139" spans="1:15" ht="27.75" x14ac:dyDescent="0.5">
      <c r="A139" s="846" t="s">
        <v>186</v>
      </c>
      <c r="B139" s="846"/>
      <c r="C139" s="846"/>
      <c r="D139" s="698" t="s">
        <v>183</v>
      </c>
      <c r="E139" s="95">
        <f>'1'!F139</f>
        <v>886547</v>
      </c>
      <c r="F139" s="148">
        <v>886547</v>
      </c>
      <c r="G139" s="112">
        <f t="shared" si="11"/>
        <v>0</v>
      </c>
      <c r="H139" s="99">
        <f>G139+'1'!H139</f>
        <v>1</v>
      </c>
      <c r="I139" s="118"/>
      <c r="J139" s="328">
        <f>H139/DAY(B2)</f>
        <v>0.5</v>
      </c>
    </row>
    <row r="140" spans="1:15" ht="27.75" x14ac:dyDescent="0.5">
      <c r="A140" s="846" t="s">
        <v>187</v>
      </c>
      <c r="B140" s="846"/>
      <c r="C140" s="846"/>
      <c r="D140" s="698" t="s">
        <v>183</v>
      </c>
      <c r="E140" s="95">
        <f>'1'!F140</f>
        <v>88882</v>
      </c>
      <c r="F140" s="149">
        <v>88895.9</v>
      </c>
      <c r="G140" s="112">
        <f t="shared" si="11"/>
        <v>13.899999999994179</v>
      </c>
      <c r="H140" s="99">
        <f>G140+'1'!H140</f>
        <v>13.899999999994179</v>
      </c>
      <c r="I140" s="118"/>
      <c r="J140" s="328">
        <f>H140/DAY(B2)</f>
        <v>6.9499999999970896</v>
      </c>
    </row>
    <row r="141" spans="1:15" ht="27.75" x14ac:dyDescent="0.5">
      <c r="A141" s="850" t="s">
        <v>188</v>
      </c>
      <c r="B141" s="850"/>
      <c r="C141" s="850"/>
      <c r="D141" s="151" t="s">
        <v>183</v>
      </c>
      <c r="E141" s="95">
        <f>'1'!F141</f>
        <v>49499.6</v>
      </c>
      <c r="F141" s="149">
        <v>49670.7</v>
      </c>
      <c r="G141" s="112">
        <f t="shared" si="11"/>
        <v>171.09999999999854</v>
      </c>
      <c r="H141" s="99">
        <f>G141+'1'!H141</f>
        <v>364.69999999999709</v>
      </c>
      <c r="I141" s="118"/>
      <c r="J141" s="328">
        <f>H141/DAY(B2)</f>
        <v>182.34999999999854</v>
      </c>
    </row>
    <row r="142" spans="1:15" ht="27.75" x14ac:dyDescent="0.5">
      <c r="A142" s="850" t="s">
        <v>189</v>
      </c>
      <c r="B142" s="850"/>
      <c r="C142" s="850"/>
      <c r="D142" s="151" t="s">
        <v>183</v>
      </c>
      <c r="E142" s="95">
        <f>'1'!F142</f>
        <v>19082</v>
      </c>
      <c r="F142" s="148">
        <v>19154.12</v>
      </c>
      <c r="G142" s="112">
        <f t="shared" si="11"/>
        <v>72.119999999998981</v>
      </c>
      <c r="H142" s="99">
        <f>G142+'1'!H142</f>
        <v>145.11999999999898</v>
      </c>
      <c r="I142" s="140"/>
      <c r="J142" s="328">
        <f>H142/DAY(B2)</f>
        <v>72.559999999999491</v>
      </c>
    </row>
    <row r="143" spans="1:15" ht="27.75" x14ac:dyDescent="0.5">
      <c r="A143" s="846" t="s">
        <v>91</v>
      </c>
      <c r="B143" s="846"/>
      <c r="C143" s="846"/>
      <c r="D143" s="151" t="s">
        <v>183</v>
      </c>
      <c r="E143" s="95">
        <f>'1'!F143</f>
        <v>3088.24</v>
      </c>
      <c r="F143" s="149">
        <v>3113.3</v>
      </c>
      <c r="G143" s="112">
        <f t="shared" si="11"/>
        <v>25.0600000000004</v>
      </c>
      <c r="H143" s="99">
        <f>G143+'1'!H143</f>
        <v>52.300000000000182</v>
      </c>
      <c r="I143" s="140"/>
      <c r="J143" s="328">
        <f>H143/DAY(B2)</f>
        <v>26.150000000000091</v>
      </c>
    </row>
    <row r="144" spans="1:15" ht="27.75" x14ac:dyDescent="0.5">
      <c r="A144" s="850" t="s">
        <v>90</v>
      </c>
      <c r="B144" s="850"/>
      <c r="C144" s="850"/>
      <c r="D144" s="698" t="s">
        <v>183</v>
      </c>
      <c r="E144" s="95">
        <f>'1'!F144</f>
        <v>869899</v>
      </c>
      <c r="F144" s="149">
        <v>870123</v>
      </c>
      <c r="G144" s="112">
        <f t="shared" si="11"/>
        <v>224</v>
      </c>
      <c r="H144" s="99">
        <f>G144+'1'!H144</f>
        <v>453</v>
      </c>
      <c r="I144" s="140"/>
      <c r="J144" s="328">
        <f>H144/DAY(B2)</f>
        <v>226.5</v>
      </c>
    </row>
    <row r="145" spans="1:10" ht="27.75" x14ac:dyDescent="0.5">
      <c r="A145" s="846" t="s">
        <v>190</v>
      </c>
      <c r="B145" s="846"/>
      <c r="C145" s="846"/>
      <c r="D145" s="152" t="s">
        <v>183</v>
      </c>
      <c r="E145" s="95">
        <f>'1'!F145</f>
        <v>4573.25</v>
      </c>
      <c r="F145" s="149">
        <v>4590</v>
      </c>
      <c r="G145" s="112">
        <f t="shared" si="11"/>
        <v>16.75</v>
      </c>
      <c r="H145" s="99">
        <f>G145+'1'!H145</f>
        <v>32</v>
      </c>
      <c r="I145" s="140"/>
      <c r="J145" s="328">
        <f>H145/DAY(B2)</f>
        <v>16</v>
      </c>
    </row>
    <row r="146" spans="1:10" ht="27.75" x14ac:dyDescent="0.5">
      <c r="A146" s="847" t="s">
        <v>191</v>
      </c>
      <c r="B146" s="848"/>
      <c r="C146" s="849"/>
      <c r="D146" s="698" t="s">
        <v>183</v>
      </c>
      <c r="E146" s="95">
        <f>'1'!F146</f>
        <v>725332</v>
      </c>
      <c r="F146" s="148">
        <v>725840</v>
      </c>
      <c r="G146" s="112">
        <f t="shared" si="11"/>
        <v>508</v>
      </c>
      <c r="H146" s="99">
        <f>G146+'1'!H146</f>
        <v>982</v>
      </c>
      <c r="I146" s="140"/>
      <c r="J146" s="328">
        <f>H146/DAY(B2)</f>
        <v>491</v>
      </c>
    </row>
    <row r="147" spans="1:10" ht="27.75" x14ac:dyDescent="0.5">
      <c r="A147" s="850" t="s">
        <v>192</v>
      </c>
      <c r="B147" s="850"/>
      <c r="C147" s="850"/>
      <c r="D147" s="698" t="s">
        <v>183</v>
      </c>
      <c r="E147" s="95">
        <f>'1'!F147</f>
        <v>615719.31999999995</v>
      </c>
      <c r="F147" s="148">
        <v>616168</v>
      </c>
      <c r="G147" s="112">
        <f t="shared" si="11"/>
        <v>448.68000000005122</v>
      </c>
      <c r="H147" s="99">
        <f>G147+'1'!H147</f>
        <v>886</v>
      </c>
      <c r="I147" s="140"/>
      <c r="J147" s="328">
        <f>H147/DAY(B2)</f>
        <v>443</v>
      </c>
    </row>
    <row r="148" spans="1:10" ht="27.75" x14ac:dyDescent="0.5">
      <c r="A148" s="842" t="s">
        <v>193</v>
      </c>
      <c r="B148" s="843"/>
      <c r="C148" s="844"/>
      <c r="D148" s="699" t="s">
        <v>130</v>
      </c>
      <c r="E148" s="95">
        <f>'1'!F148</f>
        <v>683408.24</v>
      </c>
      <c r="F148" s="150">
        <v>683666.48</v>
      </c>
      <c r="G148" s="112">
        <f t="shared" si="11"/>
        <v>258.23999999999069</v>
      </c>
      <c r="H148" s="99">
        <f>G148+'1'!H148</f>
        <v>633.35999999998603</v>
      </c>
      <c r="I148" s="124"/>
      <c r="J148" s="328">
        <f>H148/DAY(B2)</f>
        <v>316.67999999999302</v>
      </c>
    </row>
    <row r="149" spans="1:10" ht="27.75" x14ac:dyDescent="0.5">
      <c r="A149" s="842" t="s">
        <v>336</v>
      </c>
      <c r="B149" s="843"/>
      <c r="C149" s="844"/>
      <c r="D149" s="700" t="s">
        <v>130</v>
      </c>
      <c r="E149" s="95">
        <f>'1'!F149</f>
        <v>11075.3</v>
      </c>
      <c r="F149" s="146">
        <v>11363.9</v>
      </c>
      <c r="G149" s="112">
        <f t="shared" si="11"/>
        <v>288.60000000000036</v>
      </c>
      <c r="H149" s="99">
        <f>G149+'1'!H149</f>
        <v>614.89999999999964</v>
      </c>
      <c r="I149" s="119"/>
      <c r="J149" s="328">
        <f>H149/DAY(B2)</f>
        <v>307.44999999999982</v>
      </c>
    </row>
    <row r="150" spans="1:10" ht="27.75" x14ac:dyDescent="0.5">
      <c r="A150" s="842" t="s">
        <v>337</v>
      </c>
      <c r="B150" s="843"/>
      <c r="C150" s="844"/>
      <c r="D150" s="117" t="s">
        <v>130</v>
      </c>
      <c r="E150" s="95">
        <f>'1'!F150</f>
        <v>4283.5</v>
      </c>
      <c r="F150" s="233">
        <v>4500.7</v>
      </c>
      <c r="G150" s="112">
        <f t="shared" si="11"/>
        <v>217.19999999999982</v>
      </c>
      <c r="H150" s="99">
        <f>G150+'1'!H150</f>
        <v>448.69999999999982</v>
      </c>
      <c r="I150" s="119"/>
      <c r="J150" s="328">
        <f>H150/DAY(B2)</f>
        <v>224.34999999999991</v>
      </c>
    </row>
    <row r="151" spans="1:10" ht="27.75" x14ac:dyDescent="0.5">
      <c r="A151" s="842" t="s">
        <v>338</v>
      </c>
      <c r="B151" s="843"/>
      <c r="C151" s="844"/>
      <c r="D151" s="699" t="s">
        <v>130</v>
      </c>
      <c r="E151" s="95">
        <f>'1'!F151</f>
        <v>78510</v>
      </c>
      <c r="F151" s="233">
        <v>78774</v>
      </c>
      <c r="G151" s="112">
        <f t="shared" si="11"/>
        <v>264</v>
      </c>
      <c r="H151" s="99">
        <f>G151+'1'!H151</f>
        <v>557</v>
      </c>
      <c r="I151" s="119"/>
      <c r="J151" s="328">
        <f>H151/DAY(B2)</f>
        <v>278.5</v>
      </c>
    </row>
    <row r="152" spans="1:10" ht="27.75" x14ac:dyDescent="0.5">
      <c r="A152" s="842" t="s">
        <v>339</v>
      </c>
      <c r="B152" s="843"/>
      <c r="C152" s="844"/>
      <c r="D152" s="117" t="s">
        <v>130</v>
      </c>
      <c r="E152" s="95">
        <f>'1'!F152</f>
        <v>1167</v>
      </c>
      <c r="F152" s="233">
        <v>1191.7</v>
      </c>
      <c r="G152" s="112">
        <f t="shared" si="11"/>
        <v>24.700000000000045</v>
      </c>
      <c r="H152" s="99">
        <f>G152+'1'!H152</f>
        <v>64.700000000000045</v>
      </c>
      <c r="I152" s="119"/>
      <c r="J152" s="328">
        <f>H152/DAY(B2)</f>
        <v>32.350000000000023</v>
      </c>
    </row>
    <row r="153" spans="1:10" ht="27.75" x14ac:dyDescent="0.5">
      <c r="A153" s="879" t="s">
        <v>196</v>
      </c>
      <c r="B153" s="880"/>
      <c r="C153" s="365"/>
      <c r="D153" s="358"/>
      <c r="E153" s="360"/>
      <c r="F153" s="361"/>
      <c r="G153" s="362">
        <f>SUM(G138:G152)</f>
        <v>2635.350000000034</v>
      </c>
      <c r="H153" s="363"/>
      <c r="I153" s="119">
        <f>G153-(G38+G52)</f>
        <v>1072.2900000000363</v>
      </c>
      <c r="J153" s="366"/>
    </row>
    <row r="154" spans="1:10" ht="31.5" x14ac:dyDescent="0.55000000000000004">
      <c r="A154" s="883" t="s">
        <v>344</v>
      </c>
      <c r="B154" s="883"/>
      <c r="C154" s="883"/>
      <c r="D154" s="883"/>
      <c r="E154" s="883"/>
      <c r="F154" s="883"/>
      <c r="G154" s="883"/>
      <c r="H154" s="883"/>
      <c r="I154" s="883"/>
      <c r="J154" s="883"/>
    </row>
    <row r="155" spans="1:10" ht="31.5" x14ac:dyDescent="0.55000000000000004">
      <c r="A155" s="850" t="s">
        <v>345</v>
      </c>
      <c r="B155" s="850"/>
      <c r="C155" s="850"/>
      <c r="D155" s="701" t="s">
        <v>130</v>
      </c>
      <c r="E155" s="95">
        <f>'1'!F155</f>
        <v>13472</v>
      </c>
      <c r="F155" s="551">
        <v>14130</v>
      </c>
      <c r="G155" s="112">
        <f t="shared" ref="G155:G158" si="12">F155-E155</f>
        <v>658</v>
      </c>
      <c r="H155" s="99">
        <f>G155+'1'!H155</f>
        <v>658</v>
      </c>
      <c r="I155" s="364"/>
      <c r="J155" s="328">
        <f>H155/DAY(B2)</f>
        <v>329</v>
      </c>
    </row>
    <row r="156" spans="1:10" ht="27.75" x14ac:dyDescent="0.5">
      <c r="A156" s="850" t="s">
        <v>347</v>
      </c>
      <c r="B156" s="850"/>
      <c r="C156" s="850"/>
      <c r="D156" s="701" t="s">
        <v>130</v>
      </c>
      <c r="E156" s="95">
        <f>'1'!F156</f>
        <v>1088</v>
      </c>
      <c r="F156" s="165">
        <v>1143</v>
      </c>
      <c r="G156" s="112">
        <f t="shared" si="12"/>
        <v>55</v>
      </c>
      <c r="H156" s="99">
        <f>G156+'1'!H156</f>
        <v>55</v>
      </c>
      <c r="I156" s="165"/>
      <c r="J156" s="328">
        <f>H156/DAY(B2)</f>
        <v>27.5</v>
      </c>
    </row>
    <row r="157" spans="1:10" ht="27.75" x14ac:dyDescent="0.5">
      <c r="A157" s="842" t="s">
        <v>364</v>
      </c>
      <c r="B157" s="843"/>
      <c r="C157" s="844"/>
      <c r="D157" s="701" t="s">
        <v>130</v>
      </c>
      <c r="E157" s="95">
        <f>'1'!F157</f>
        <v>1306.01</v>
      </c>
      <c r="F157" s="165">
        <v>1372.34</v>
      </c>
      <c r="G157" s="112">
        <f t="shared" si="12"/>
        <v>66.329999999999927</v>
      </c>
      <c r="H157" s="99"/>
      <c r="I157" s="165"/>
      <c r="J157" s="328"/>
    </row>
    <row r="158" spans="1:10" ht="27.75" x14ac:dyDescent="0.5">
      <c r="A158" s="842" t="s">
        <v>365</v>
      </c>
      <c r="B158" s="843"/>
      <c r="C158" s="844"/>
      <c r="D158" s="117" t="s">
        <v>130</v>
      </c>
      <c r="E158" s="95">
        <v>7.9</v>
      </c>
      <c r="F158" s="165">
        <v>7.9</v>
      </c>
      <c r="G158" s="112">
        <f t="shared" si="12"/>
        <v>0</v>
      </c>
      <c r="H158" s="99"/>
      <c r="I158" s="165"/>
      <c r="J158" s="328"/>
    </row>
    <row r="159" spans="1:10" ht="27.75" x14ac:dyDescent="0.5">
      <c r="A159" s="842"/>
      <c r="B159" s="843"/>
      <c r="C159" s="844"/>
      <c r="D159" s="117"/>
      <c r="E159" s="95"/>
      <c r="F159" s="165"/>
      <c r="G159" s="112"/>
      <c r="H159" s="99"/>
      <c r="I159" s="165"/>
      <c r="J159" s="328"/>
    </row>
    <row r="160" spans="1:10" ht="31.5" x14ac:dyDescent="0.55000000000000004">
      <c r="A160" s="883" t="s">
        <v>326</v>
      </c>
      <c r="B160" s="883"/>
      <c r="C160" s="883"/>
      <c r="D160" s="883"/>
      <c r="E160" s="883"/>
      <c r="F160" s="883"/>
      <c r="G160" s="883"/>
      <c r="H160" s="883"/>
      <c r="I160" s="883"/>
      <c r="J160" s="883"/>
    </row>
    <row r="161" spans="1:14" ht="29.25" x14ac:dyDescent="0.5">
      <c r="A161" s="242" t="s">
        <v>92</v>
      </c>
      <c r="B161" s="243"/>
      <c r="C161" s="243"/>
      <c r="D161" s="244" t="s">
        <v>180</v>
      </c>
      <c r="E161" s="95">
        <f>'1'!F161</f>
        <v>471153.16</v>
      </c>
      <c r="F161" s="235">
        <v>471153</v>
      </c>
      <c r="G161" s="238">
        <f t="shared" ref="G161:G165" si="13">F161-E161</f>
        <v>-0.15999999997438863</v>
      </c>
      <c r="H161" s="99">
        <f>G161+'1'!H161</f>
        <v>-0.15999999997438863</v>
      </c>
      <c r="I161" s="236"/>
      <c r="J161" s="239">
        <f>H161/DAY(B2)</f>
        <v>-7.9999999987194315E-2</v>
      </c>
    </row>
    <row r="162" spans="1:14" ht="29.25" x14ac:dyDescent="0.5">
      <c r="A162" s="242" t="s">
        <v>93</v>
      </c>
      <c r="B162" s="243"/>
      <c r="C162" s="243"/>
      <c r="D162" s="244" t="s">
        <v>180</v>
      </c>
      <c r="E162" s="95">
        <f>'1'!F162</f>
        <v>87592</v>
      </c>
      <c r="F162" s="235">
        <v>87606</v>
      </c>
      <c r="G162" s="238">
        <f t="shared" si="13"/>
        <v>14</v>
      </c>
      <c r="H162" s="99">
        <f>G162+'1'!H162</f>
        <v>36</v>
      </c>
      <c r="I162" s="236"/>
      <c r="J162" s="239">
        <f>H162/DAY(B2)</f>
        <v>18</v>
      </c>
    </row>
    <row r="163" spans="1:14" ht="29.25" x14ac:dyDescent="0.5">
      <c r="A163" s="242" t="s">
        <v>197</v>
      </c>
      <c r="B163" s="243"/>
      <c r="C163" s="243"/>
      <c r="D163" s="244" t="s">
        <v>180</v>
      </c>
      <c r="E163" s="95">
        <f>'1'!F163</f>
        <v>77859</v>
      </c>
      <c r="F163" s="235">
        <v>77895.5</v>
      </c>
      <c r="G163" s="238">
        <f t="shared" si="13"/>
        <v>36.5</v>
      </c>
      <c r="H163" s="99">
        <f>G163+'1'!H163</f>
        <v>70.5</v>
      </c>
      <c r="I163" s="236"/>
      <c r="J163" s="239">
        <f>H163/DAY(B2)</f>
        <v>35.25</v>
      </c>
    </row>
    <row r="164" spans="1:14" ht="29.25" x14ac:dyDescent="0.5">
      <c r="A164" s="242" t="s">
        <v>197</v>
      </c>
      <c r="B164" s="243"/>
      <c r="C164" s="243"/>
      <c r="D164" s="244" t="s">
        <v>180</v>
      </c>
      <c r="E164" s="95">
        <f>'1'!F164</f>
        <v>4242</v>
      </c>
      <c r="F164" s="235">
        <v>4241.8999999999996</v>
      </c>
      <c r="G164" s="238">
        <f t="shared" si="13"/>
        <v>-0.1000000000003638</v>
      </c>
      <c r="H164" s="99">
        <f>G164+'1'!H164</f>
        <v>-0.1000000000003638</v>
      </c>
      <c r="I164" s="236"/>
      <c r="J164" s="239">
        <f>H164/DAY(B2)</f>
        <v>-5.0000000000181899E-2</v>
      </c>
    </row>
    <row r="165" spans="1:14" ht="29.25" x14ac:dyDescent="0.5">
      <c r="A165" s="242" t="s">
        <v>309</v>
      </c>
      <c r="B165" s="243"/>
      <c r="C165" s="243"/>
      <c r="D165" s="244" t="s">
        <v>180</v>
      </c>
      <c r="E165" s="95">
        <f>'1'!F165</f>
        <v>29652.55</v>
      </c>
      <c r="F165" s="235">
        <v>29653.45</v>
      </c>
      <c r="G165" s="238">
        <f t="shared" si="13"/>
        <v>0.90000000000145519</v>
      </c>
      <c r="H165" s="99">
        <f>G165+'1'!H165</f>
        <v>7.4500000000007276</v>
      </c>
      <c r="I165" s="236"/>
      <c r="J165" s="239">
        <f>H165/DAY(B2)</f>
        <v>3.7250000000003638</v>
      </c>
    </row>
    <row r="166" spans="1:14" ht="29.25" customHeight="1" x14ac:dyDescent="0.5">
      <c r="A166" s="882"/>
      <c r="B166" s="882"/>
      <c r="C166" s="246"/>
      <c r="D166" s="244" t="s">
        <v>180</v>
      </c>
      <c r="E166" s="95">
        <f>'1'!F166</f>
        <v>0</v>
      </c>
      <c r="F166" s="165"/>
      <c r="G166" s="165"/>
      <c r="H166" s="99">
        <f>G166+'1'!H166</f>
        <v>0</v>
      </c>
      <c r="I166" s="165"/>
      <c r="J166" s="327"/>
    </row>
    <row r="167" spans="1:14" ht="29.25" x14ac:dyDescent="0.5">
      <c r="A167" s="882"/>
      <c r="B167" s="882"/>
      <c r="C167" s="246"/>
      <c r="D167" s="244" t="s">
        <v>180</v>
      </c>
      <c r="E167" s="95">
        <f>'1'!F167</f>
        <v>0</v>
      </c>
      <c r="F167" s="165"/>
      <c r="G167" s="165"/>
      <c r="H167" s="99">
        <f>G167+'1'!H167</f>
        <v>0</v>
      </c>
      <c r="I167" s="165"/>
      <c r="J167" s="327"/>
    </row>
    <row r="168" spans="1:14" ht="29.25" x14ac:dyDescent="0.5">
      <c r="A168" s="882"/>
      <c r="B168" s="882"/>
      <c r="C168" s="246"/>
      <c r="D168" s="244" t="s">
        <v>180</v>
      </c>
      <c r="E168" s="95">
        <f>'1'!F168</f>
        <v>0</v>
      </c>
      <c r="F168" s="165"/>
      <c r="G168" s="165"/>
      <c r="H168" s="99">
        <f>G168+'1'!H168</f>
        <v>0</v>
      </c>
      <c r="I168" s="165"/>
      <c r="J168" s="327"/>
    </row>
    <row r="169" spans="1:14" ht="29.25" x14ac:dyDescent="0.5"/>
    <row r="170" spans="1:14" ht="29.25" x14ac:dyDescent="0.5"/>
    <row r="171" spans="1:14" ht="31.5" x14ac:dyDescent="0.35">
      <c r="A171" s="890" t="s">
        <v>330</v>
      </c>
      <c r="B171" s="891"/>
      <c r="C171" s="891"/>
      <c r="D171" s="891"/>
      <c r="E171" s="891"/>
      <c r="F171" s="891"/>
      <c r="G171" s="891"/>
      <c r="H171" s="891"/>
      <c r="I171" s="891"/>
      <c r="J171" s="892"/>
    </row>
    <row r="172" spans="1:14" ht="27.75" x14ac:dyDescent="0.5">
      <c r="A172" s="886"/>
      <c r="B172" s="887"/>
      <c r="C172" s="332"/>
      <c r="D172" s="228"/>
      <c r="E172" s="155"/>
      <c r="F172" s="155"/>
      <c r="G172" s="155"/>
      <c r="H172" s="156"/>
      <c r="I172" s="155"/>
      <c r="J172" s="178"/>
    </row>
    <row r="173" spans="1:14" ht="35.25" customHeight="1" x14ac:dyDescent="0.5">
      <c r="A173" s="840" t="s">
        <v>209</v>
      </c>
      <c r="B173" s="841"/>
      <c r="C173" s="333"/>
      <c r="D173" s="228" t="s">
        <v>142</v>
      </c>
      <c r="E173" s="95">
        <f>'1'!F173</f>
        <v>8126</v>
      </c>
      <c r="F173" s="155">
        <v>8126</v>
      </c>
      <c r="G173" s="155">
        <f>F173-E173</f>
        <v>0</v>
      </c>
      <c r="H173" s="99">
        <f>G173+'1'!H173</f>
        <v>0</v>
      </c>
      <c r="I173" s="155"/>
      <c r="J173" s="178">
        <f>H173/DAY(B2)</f>
        <v>0</v>
      </c>
    </row>
    <row r="174" spans="1:14" ht="27.75" x14ac:dyDescent="0.5">
      <c r="A174" s="840" t="s">
        <v>75</v>
      </c>
      <c r="B174" s="841"/>
      <c r="C174" s="333"/>
      <c r="D174" s="228" t="s">
        <v>142</v>
      </c>
      <c r="E174" s="95">
        <f>'1'!F174</f>
        <v>38308</v>
      </c>
      <c r="F174" s="157">
        <v>38308</v>
      </c>
      <c r="G174" s="155">
        <f t="shared" ref="G174:G175" si="14">F174-E174</f>
        <v>0</v>
      </c>
      <c r="H174" s="99">
        <f>G174+'1'!H174</f>
        <v>15</v>
      </c>
      <c r="I174" s="155"/>
      <c r="J174" s="178">
        <f>H174/DAY(B2)</f>
        <v>7.5</v>
      </c>
    </row>
    <row r="175" spans="1:14" ht="27.75" x14ac:dyDescent="0.5">
      <c r="A175" s="840" t="s">
        <v>76</v>
      </c>
      <c r="B175" s="845"/>
      <c r="C175" s="841"/>
      <c r="D175" s="228" t="s">
        <v>142</v>
      </c>
      <c r="E175" s="95">
        <f>'1'!F175</f>
        <v>21530</v>
      </c>
      <c r="F175" s="155">
        <v>21537</v>
      </c>
      <c r="G175" s="155">
        <f t="shared" si="14"/>
        <v>7</v>
      </c>
      <c r="H175" s="99">
        <f>G175+'1'!H175</f>
        <v>19</v>
      </c>
      <c r="I175" s="155"/>
      <c r="J175" s="178">
        <f>H175/DAY(B2)</f>
        <v>9.5</v>
      </c>
      <c r="N175" s="602"/>
    </row>
    <row r="176" spans="1:14" ht="27.75" x14ac:dyDescent="0.5">
      <c r="A176" s="879" t="s">
        <v>196</v>
      </c>
      <c r="B176" s="880"/>
      <c r="C176" s="485"/>
      <c r="D176" s="228"/>
      <c r="E176" s="95"/>
      <c r="F176" s="155"/>
      <c r="G176" s="155">
        <f>SUM(G173:G175)</f>
        <v>7</v>
      </c>
      <c r="H176" s="99">
        <f>G176+'1'!H176</f>
        <v>34</v>
      </c>
      <c r="I176" s="155"/>
      <c r="J176" s="178">
        <f>H176/DAY(B2)</f>
        <v>17</v>
      </c>
    </row>
    <row r="177" spans="1:10" ht="27.75" x14ac:dyDescent="0.5">
      <c r="A177" s="840" t="s">
        <v>77</v>
      </c>
      <c r="B177" s="841"/>
      <c r="C177" s="333"/>
      <c r="D177" s="228" t="s">
        <v>142</v>
      </c>
      <c r="E177" s="95"/>
      <c r="F177" s="155"/>
      <c r="G177" s="155"/>
      <c r="H177" s="99">
        <f>G177+'1'!H177</f>
        <v>0</v>
      </c>
      <c r="I177" s="155"/>
      <c r="J177" s="178"/>
    </row>
    <row r="178" spans="1:10" ht="27.75" x14ac:dyDescent="0.5">
      <c r="A178" s="840" t="s">
        <v>210</v>
      </c>
      <c r="B178" s="841"/>
      <c r="C178" s="333"/>
      <c r="D178" s="228" t="s">
        <v>142</v>
      </c>
      <c r="E178" s="95">
        <f>'1'!F178</f>
        <v>79676</v>
      </c>
      <c r="F178" s="155">
        <v>79740</v>
      </c>
      <c r="G178" s="155">
        <f>F178-E178</f>
        <v>64</v>
      </c>
      <c r="H178" s="99">
        <f>G178+'1'!H178</f>
        <v>126</v>
      </c>
      <c r="I178" s="155"/>
      <c r="J178" s="178">
        <f>H178/DAY(B2)</f>
        <v>63</v>
      </c>
    </row>
    <row r="179" spans="1:10" ht="27.75" x14ac:dyDescent="0.5">
      <c r="A179" s="840" t="s">
        <v>211</v>
      </c>
      <c r="B179" s="841"/>
      <c r="C179" s="333"/>
      <c r="D179" s="228" t="s">
        <v>142</v>
      </c>
      <c r="E179" s="95">
        <f>'1'!F179</f>
        <v>33957</v>
      </c>
      <c r="F179" s="155">
        <v>33958</v>
      </c>
      <c r="G179" s="155">
        <f t="shared" ref="G179:G180" si="15">F179-E179</f>
        <v>1</v>
      </c>
      <c r="H179" s="99">
        <f>G179+'1'!H179</f>
        <v>43</v>
      </c>
      <c r="I179" s="155"/>
      <c r="J179" s="178">
        <f>H179/DAY(B2)</f>
        <v>21.5</v>
      </c>
    </row>
    <row r="180" spans="1:10" ht="27.75" x14ac:dyDescent="0.5">
      <c r="A180" s="840" t="s">
        <v>212</v>
      </c>
      <c r="B180" s="841"/>
      <c r="C180" s="333"/>
      <c r="D180" s="228" t="s">
        <v>142</v>
      </c>
      <c r="E180" s="95">
        <f>'1'!F180</f>
        <v>5481</v>
      </c>
      <c r="F180" s="155">
        <v>5484</v>
      </c>
      <c r="G180" s="155">
        <f t="shared" si="15"/>
        <v>3</v>
      </c>
      <c r="H180" s="99">
        <f>G180+'1'!H180</f>
        <v>7</v>
      </c>
      <c r="I180" s="155"/>
      <c r="J180" s="178">
        <f>H180/DAY(B2)</f>
        <v>3.5</v>
      </c>
    </row>
    <row r="181" spans="1:10" ht="27.75" x14ac:dyDescent="0.5">
      <c r="A181" s="884" t="s">
        <v>108</v>
      </c>
      <c r="B181" s="885"/>
      <c r="C181" s="485"/>
      <c r="D181" s="228"/>
      <c r="E181" s="95"/>
      <c r="F181" s="155"/>
      <c r="G181" s="155">
        <f>SUM(G178:G180)</f>
        <v>68</v>
      </c>
      <c r="H181" s="99">
        <f>G181+'1'!H181</f>
        <v>176</v>
      </c>
      <c r="I181" s="155"/>
      <c r="J181" s="178">
        <f>H181/DAY(B2)</f>
        <v>88</v>
      </c>
    </row>
    <row r="182" spans="1:10" ht="31.5" customHeight="1" x14ac:dyDescent="0.5">
      <c r="A182" s="840" t="s">
        <v>213</v>
      </c>
      <c r="B182" s="841"/>
      <c r="C182" s="333"/>
      <c r="D182" s="228"/>
      <c r="E182" s="95"/>
      <c r="F182" s="155"/>
      <c r="G182" s="155"/>
      <c r="H182" s="99">
        <f>G182+'1'!H182</f>
        <v>0</v>
      </c>
      <c r="I182" s="155"/>
      <c r="J182" s="178">
        <f>H182/DAY(B2)</f>
        <v>0</v>
      </c>
    </row>
    <row r="183" spans="1:10" ht="29.25" customHeight="1" x14ac:dyDescent="0.5">
      <c r="A183" s="840" t="s">
        <v>214</v>
      </c>
      <c r="B183" s="841"/>
      <c r="C183" s="334"/>
      <c r="D183" s="228" t="s">
        <v>142</v>
      </c>
      <c r="E183" s="95">
        <f>'1'!F183</f>
        <v>14977</v>
      </c>
      <c r="F183" s="157">
        <v>14989</v>
      </c>
      <c r="G183" s="157">
        <f>F183-E183</f>
        <v>12</v>
      </c>
      <c r="H183" s="99">
        <f>G183+'1'!H183</f>
        <v>42</v>
      </c>
      <c r="I183" s="155"/>
      <c r="J183" s="178">
        <f>H183/DAY(B2)</f>
        <v>21</v>
      </c>
    </row>
    <row r="184" spans="1:10" ht="27.75" customHeight="1" x14ac:dyDescent="0.5">
      <c r="A184" s="840" t="s">
        <v>215</v>
      </c>
      <c r="B184" s="841"/>
      <c r="C184" s="334"/>
      <c r="D184" s="228" t="s">
        <v>142</v>
      </c>
      <c r="E184" s="95">
        <f>'1'!F184</f>
        <v>10308</v>
      </c>
      <c r="F184" s="157">
        <v>10320</v>
      </c>
      <c r="G184" s="157">
        <f t="shared" ref="G184:G185" si="16">F184-E184</f>
        <v>12</v>
      </c>
      <c r="H184" s="99">
        <f>G184+'1'!H184</f>
        <v>19</v>
      </c>
      <c r="I184" s="155"/>
      <c r="J184" s="178">
        <f>H184/DAY(B2)</f>
        <v>9.5</v>
      </c>
    </row>
    <row r="185" spans="1:10" ht="24.75" customHeight="1" x14ac:dyDescent="0.5">
      <c r="A185" s="840" t="s">
        <v>216</v>
      </c>
      <c r="B185" s="841"/>
      <c r="C185" s="334"/>
      <c r="D185" s="228" t="s">
        <v>142</v>
      </c>
      <c r="E185" s="95">
        <f>'1'!F185</f>
        <v>0</v>
      </c>
      <c r="F185" s="157"/>
      <c r="G185" s="157">
        <f t="shared" si="16"/>
        <v>0</v>
      </c>
      <c r="H185" s="99">
        <f>G185+'1'!H185</f>
        <v>0</v>
      </c>
      <c r="I185" s="155"/>
      <c r="J185" s="178">
        <f>H185/DAY(B2)</f>
        <v>0</v>
      </c>
    </row>
    <row r="186" spans="1:10" ht="33.75" customHeight="1" x14ac:dyDescent="0.5">
      <c r="A186" s="879" t="s">
        <v>196</v>
      </c>
      <c r="B186" s="880"/>
      <c r="C186" s="484"/>
      <c r="D186" s="229"/>
      <c r="E186" s="95"/>
      <c r="F186" s="157"/>
      <c r="G186" s="157">
        <f>SUM(G183:G185)</f>
        <v>24</v>
      </c>
      <c r="H186" s="99">
        <f>G186+'1'!H186</f>
        <v>61</v>
      </c>
      <c r="I186" s="157"/>
      <c r="J186" s="178">
        <f>H186/DAY(B2)</f>
        <v>30.5</v>
      </c>
    </row>
    <row r="187" spans="1:10" ht="28.5" customHeight="1" x14ac:dyDescent="0.5">
      <c r="A187" s="888" t="s">
        <v>217</v>
      </c>
      <c r="B187" s="889"/>
      <c r="C187" s="333"/>
      <c r="D187" s="230" t="s">
        <v>142</v>
      </c>
      <c r="E187" s="95"/>
      <c r="F187" s="159"/>
      <c r="G187" s="462">
        <f>G62+G19</f>
        <v>56</v>
      </c>
      <c r="H187" s="99">
        <f>G187+'1'!H187</f>
        <v>110</v>
      </c>
      <c r="I187" s="158"/>
      <c r="J187" s="179">
        <f>H187/DAY(B2)</f>
        <v>55</v>
      </c>
    </row>
    <row r="188" spans="1:10" ht="24" customHeight="1" x14ac:dyDescent="0.5">
      <c r="A188" s="888" t="s">
        <v>218</v>
      </c>
      <c r="B188" s="889"/>
      <c r="C188" s="333"/>
      <c r="D188" s="230" t="s">
        <v>142</v>
      </c>
      <c r="E188" s="95"/>
      <c r="F188" s="159"/>
      <c r="G188" s="462">
        <f>G65+G66+G67+G69+G70</f>
        <v>149</v>
      </c>
      <c r="H188" s="99">
        <f>G188+'1'!H188</f>
        <v>353</v>
      </c>
      <c r="I188" s="158"/>
      <c r="J188" s="179">
        <f>H188/DAY(B2)</f>
        <v>176.5</v>
      </c>
    </row>
    <row r="189" spans="1:10" ht="24.75" customHeight="1" x14ac:dyDescent="0.5">
      <c r="A189" s="888" t="s">
        <v>219</v>
      </c>
      <c r="B189" s="889"/>
      <c r="C189" s="333"/>
      <c r="D189" s="230" t="s">
        <v>142</v>
      </c>
      <c r="E189" s="95"/>
      <c r="F189" s="157"/>
      <c r="G189" s="459">
        <f>G181</f>
        <v>68</v>
      </c>
      <c r="H189" s="99">
        <f>G189+'1'!H189</f>
        <v>176</v>
      </c>
      <c r="I189" s="158"/>
      <c r="J189" s="179">
        <f>H189/DAY(B2)</f>
        <v>88</v>
      </c>
    </row>
    <row r="190" spans="1:10" ht="27.75" x14ac:dyDescent="0.5">
      <c r="A190" s="811"/>
      <c r="B190" s="812"/>
      <c r="C190" s="483"/>
      <c r="D190" s="480"/>
      <c r="E190" s="480" t="s">
        <v>207</v>
      </c>
      <c r="F190" s="480"/>
      <c r="G190" s="480"/>
      <c r="H190" s="481"/>
      <c r="I190" s="480"/>
      <c r="J190" s="482"/>
    </row>
    <row r="191" spans="1:10" ht="29.25" x14ac:dyDescent="0.5"/>
    <row r="192" spans="1:10" ht="29.25" x14ac:dyDescent="0.5"/>
    <row r="193" ht="29.25" x14ac:dyDescent="0.5"/>
    <row r="194" ht="29.25" x14ac:dyDescent="0.5"/>
    <row r="195" ht="29.25" x14ac:dyDescent="0.5"/>
    <row r="196" ht="29.25" x14ac:dyDescent="0.5"/>
    <row r="197" ht="29.25" x14ac:dyDescent="0.5"/>
    <row r="198" ht="29.25" x14ac:dyDescent="0.5"/>
    <row r="199" ht="29.25" x14ac:dyDescent="0.5"/>
    <row r="200" ht="29.25" x14ac:dyDescent="0.5"/>
    <row r="201" ht="29.25" x14ac:dyDescent="0.5"/>
    <row r="202" ht="29.25" x14ac:dyDescent="0.5"/>
    <row r="203" ht="29.25" x14ac:dyDescent="0.5"/>
    <row r="204" ht="29.25" x14ac:dyDescent="0.5"/>
    <row r="205" ht="29.25" x14ac:dyDescent="0.5"/>
    <row r="206" ht="29.25" x14ac:dyDescent="0.5"/>
    <row r="207" ht="29.25" x14ac:dyDescent="0.5"/>
    <row r="208" ht="29.25" x14ac:dyDescent="0.5"/>
    <row r="209" ht="29.25" x14ac:dyDescent="0.5"/>
    <row r="210" ht="29.25" x14ac:dyDescent="0.5"/>
    <row r="211" ht="29.25" x14ac:dyDescent="0.5"/>
    <row r="212" ht="29.25" x14ac:dyDescent="0.5"/>
    <row r="213" ht="29.25" x14ac:dyDescent="0.5"/>
    <row r="214" ht="29.25" x14ac:dyDescent="0.5"/>
    <row r="215" ht="29.25" x14ac:dyDescent="0.5"/>
    <row r="216" ht="29.25" x14ac:dyDescent="0.5"/>
    <row r="217" ht="29.25" x14ac:dyDescent="0.5"/>
    <row r="218" ht="29.25" x14ac:dyDescent="0.5"/>
    <row r="219" ht="29.25" x14ac:dyDescent="0.5"/>
    <row r="220" ht="29.25" x14ac:dyDescent="0.5"/>
    <row r="221" ht="29.25" x14ac:dyDescent="0.5"/>
    <row r="222" ht="29.25" x14ac:dyDescent="0.5"/>
    <row r="223" ht="29.25" x14ac:dyDescent="0.5"/>
    <row r="224" ht="29.25" x14ac:dyDescent="0.5"/>
    <row r="225" ht="29.25" x14ac:dyDescent="0.5"/>
    <row r="226" ht="29.25" x14ac:dyDescent="0.5"/>
    <row r="227" ht="29.25" x14ac:dyDescent="0.5"/>
    <row r="228" ht="29.25" x14ac:dyDescent="0.5"/>
    <row r="229" ht="29.25" x14ac:dyDescent="0.5"/>
    <row r="230" ht="29.25" x14ac:dyDescent="0.5"/>
    <row r="231" ht="29.25" x14ac:dyDescent="0.5"/>
    <row r="232" ht="29.25" x14ac:dyDescent="0.5"/>
    <row r="233" ht="29.25" x14ac:dyDescent="0.5"/>
    <row r="234" ht="29.25" x14ac:dyDescent="0.5"/>
    <row r="235" ht="29.25" x14ac:dyDescent="0.5"/>
    <row r="236" ht="29.25" x14ac:dyDescent="0.5"/>
    <row r="237" ht="29.25" x14ac:dyDescent="0.5"/>
    <row r="238" ht="29.25" x14ac:dyDescent="0.5"/>
    <row r="239" ht="29.25" x14ac:dyDescent="0.5"/>
    <row r="240" ht="29.25" x14ac:dyDescent="0.5"/>
    <row r="241" ht="29.25" x14ac:dyDescent="0.5"/>
    <row r="242" ht="29.25" x14ac:dyDescent="0.5"/>
    <row r="243" ht="29.25" x14ac:dyDescent="0.5"/>
    <row r="244" ht="29.25" x14ac:dyDescent="0.5"/>
    <row r="245" ht="29.25" x14ac:dyDescent="0.5"/>
    <row r="246" ht="29.25" x14ac:dyDescent="0.5"/>
    <row r="247" ht="29.25" x14ac:dyDescent="0.5"/>
    <row r="248" ht="29.25" x14ac:dyDescent="0.5"/>
    <row r="249" ht="29.25" x14ac:dyDescent="0.5"/>
    <row r="250" ht="29.25" x14ac:dyDescent="0.5"/>
    <row r="251" ht="29.25" x14ac:dyDescent="0.5"/>
    <row r="252" ht="29.25" x14ac:dyDescent="0.5"/>
    <row r="253" ht="29.25" x14ac:dyDescent="0.5"/>
    <row r="254" ht="29.25" x14ac:dyDescent="0.5"/>
    <row r="255" ht="29.25" x14ac:dyDescent="0.5"/>
    <row r="256" ht="29.25" x14ac:dyDescent="0.5"/>
    <row r="257" ht="29.25" x14ac:dyDescent="0.5"/>
    <row r="258" ht="29.25" x14ac:dyDescent="0.5"/>
    <row r="259" ht="29.25" x14ac:dyDescent="0.5"/>
    <row r="260" ht="29.25" x14ac:dyDescent="0.5"/>
    <row r="261" ht="29.25" x14ac:dyDescent="0.5"/>
    <row r="262" ht="29.25" x14ac:dyDescent="0.5"/>
    <row r="263" ht="29.25" x14ac:dyDescent="0.5"/>
    <row r="264" ht="29.25" x14ac:dyDescent="0.5"/>
    <row r="265" ht="29.25" x14ac:dyDescent="0.5"/>
    <row r="266" ht="29.25" x14ac:dyDescent="0.5"/>
    <row r="267" ht="29.25" x14ac:dyDescent="0.5"/>
    <row r="268" ht="29.25" x14ac:dyDescent="0.5"/>
    <row r="269" ht="29.25" x14ac:dyDescent="0.5"/>
    <row r="270" ht="29.25" x14ac:dyDescent="0.5"/>
  </sheetData>
  <mergeCells count="115">
    <mergeCell ref="A155:C155"/>
    <mergeCell ref="A156:C156"/>
    <mergeCell ref="A150:C150"/>
    <mergeCell ref="A151:C151"/>
    <mergeCell ref="A152:C152"/>
    <mergeCell ref="A186:B186"/>
    <mergeCell ref="A187:B187"/>
    <mergeCell ref="A188:B188"/>
    <mergeCell ref="A189:B189"/>
    <mergeCell ref="A160:J160"/>
    <mergeCell ref="A166:B166"/>
    <mergeCell ref="A167:B167"/>
    <mergeCell ref="A168:B168"/>
    <mergeCell ref="A171:J171"/>
    <mergeCell ref="A154:J154"/>
    <mergeCell ref="A153:B153"/>
    <mergeCell ref="A157:C157"/>
    <mergeCell ref="A158:C158"/>
    <mergeCell ref="A159:C159"/>
    <mergeCell ref="A190:B190"/>
    <mergeCell ref="A178:B178"/>
    <mergeCell ref="A179:B179"/>
    <mergeCell ref="A180:B180"/>
    <mergeCell ref="A181:B181"/>
    <mergeCell ref="A185:B185"/>
    <mergeCell ref="A172:B172"/>
    <mergeCell ref="A173:B173"/>
    <mergeCell ref="A174:B174"/>
    <mergeCell ref="A176:B176"/>
    <mergeCell ref="A177:B177"/>
    <mergeCell ref="A138:C138"/>
    <mergeCell ref="A139:C139"/>
    <mergeCell ref="A140:C140"/>
    <mergeCell ref="A141:C141"/>
    <mergeCell ref="A142:C142"/>
    <mergeCell ref="A132:C132"/>
    <mergeCell ref="A133:C133"/>
    <mergeCell ref="A134:C134"/>
    <mergeCell ref="A136:J136"/>
    <mergeCell ref="A135:B135"/>
    <mergeCell ref="A125:B125"/>
    <mergeCell ref="A126:J126"/>
    <mergeCell ref="A127:B127"/>
    <mergeCell ref="A128:C128"/>
    <mergeCell ref="A131:C131"/>
    <mergeCell ref="A119:C119"/>
    <mergeCell ref="A120:C120"/>
    <mergeCell ref="A121:C121"/>
    <mergeCell ref="A122:C122"/>
    <mergeCell ref="A124:C124"/>
    <mergeCell ref="A116:C116"/>
    <mergeCell ref="Q116:R116"/>
    <mergeCell ref="A117:C117"/>
    <mergeCell ref="Q117:R117"/>
    <mergeCell ref="A118:C118"/>
    <mergeCell ref="Q118:R118"/>
    <mergeCell ref="A108:J108"/>
    <mergeCell ref="A110:J110"/>
    <mergeCell ref="A111:C111"/>
    <mergeCell ref="A112:C112"/>
    <mergeCell ref="A113:C113"/>
    <mergeCell ref="A105:C105"/>
    <mergeCell ref="A72:B72"/>
    <mergeCell ref="A78:C78"/>
    <mergeCell ref="A97:C97"/>
    <mergeCell ref="A98:C98"/>
    <mergeCell ref="A99:C99"/>
    <mergeCell ref="A93:C93"/>
    <mergeCell ref="A94:C94"/>
    <mergeCell ref="A73:C73"/>
    <mergeCell ref="A74:C74"/>
    <mergeCell ref="A75:C75"/>
    <mergeCell ref="A76:C76"/>
    <mergeCell ref="A77:C77"/>
    <mergeCell ref="A79:C79"/>
    <mergeCell ref="A80:C80"/>
    <mergeCell ref="A71:C71"/>
    <mergeCell ref="A182:B182"/>
    <mergeCell ref="A183:B183"/>
    <mergeCell ref="A184:B184"/>
    <mergeCell ref="A149:C149"/>
    <mergeCell ref="A175:C175"/>
    <mergeCell ref="A145:C145"/>
    <mergeCell ref="A146:C146"/>
    <mergeCell ref="A147:C147"/>
    <mergeCell ref="A148:C148"/>
    <mergeCell ref="A114:C114"/>
    <mergeCell ref="A115:C115"/>
    <mergeCell ref="A81:C81"/>
    <mergeCell ref="A143:C143"/>
    <mergeCell ref="A144:C144"/>
    <mergeCell ref="A102:C102"/>
    <mergeCell ref="A123:C123"/>
    <mergeCell ref="A109:B109"/>
    <mergeCell ref="A95:C95"/>
    <mergeCell ref="A96:C96"/>
    <mergeCell ref="A100:C100"/>
    <mergeCell ref="A101:C101"/>
    <mergeCell ref="A103:C103"/>
    <mergeCell ref="A104:C104"/>
    <mergeCell ref="A64:C64"/>
    <mergeCell ref="A65:C65"/>
    <mergeCell ref="A1:J1"/>
    <mergeCell ref="A6:C6"/>
    <mergeCell ref="A14:C14"/>
    <mergeCell ref="A17:C17"/>
    <mergeCell ref="E3:F3"/>
    <mergeCell ref="A18:C18"/>
    <mergeCell ref="A19:C19"/>
    <mergeCell ref="A21:C21"/>
    <mergeCell ref="A25:C25"/>
    <mergeCell ref="A33:C33"/>
    <mergeCell ref="A61:C61"/>
    <mergeCell ref="A62:C62"/>
    <mergeCell ref="A63:C63"/>
  </mergeCells>
  <pageMargins left="0.22" right="0.17" top="0.14000000000000001" bottom="0.2" header="0.2" footer="0.2"/>
  <pageSetup paperSize="5" scale="18" orientation="portrait" r:id="rId1"/>
  <colBreaks count="1" manualBreakCount="1">
    <brk id="10" max="1048575" man="1"/>
  </col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FF0000"/>
    <pageSetUpPr fitToPage="1"/>
  </sheetPr>
  <dimension ref="A1:R270"/>
  <sheetViews>
    <sheetView view="pageBreakPreview" zoomScale="55" zoomScaleSheetLayoutView="55" workbookViewId="0">
      <selection activeCell="F24" sqref="F24"/>
    </sheetView>
  </sheetViews>
  <sheetFormatPr defaultColWidth="22.33203125" defaultRowHeight="21.95" customHeight="1" x14ac:dyDescent="0.5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6" width="30" style="160" customWidth="1"/>
    <col min="7" max="7" width="28.88671875" style="160" customWidth="1"/>
    <col min="8" max="8" width="39.21875" style="161" customWidth="1"/>
    <col min="9" max="9" width="23.5546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6" ht="33.75" x14ac:dyDescent="0.65">
      <c r="A1" s="821" t="s">
        <v>115</v>
      </c>
      <c r="B1" s="822"/>
      <c r="C1" s="822"/>
      <c r="D1" s="822"/>
      <c r="E1" s="822"/>
      <c r="F1" s="822"/>
      <c r="G1" s="822"/>
      <c r="H1" s="822"/>
      <c r="I1" s="822"/>
      <c r="J1" s="823"/>
    </row>
    <row r="2" spans="1:16" s="57" customFormat="1" ht="27" x14ac:dyDescent="0.5">
      <c r="A2" s="191" t="s">
        <v>350</v>
      </c>
      <c r="B2" s="375">
        <v>44564</v>
      </c>
      <c r="C2" s="348" t="s">
        <v>67</v>
      </c>
      <c r="D2" s="218">
        <v>0.51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  <c r="O2" s="57" t="s">
        <v>352</v>
      </c>
      <c r="P2" s="57">
        <v>19293.8</v>
      </c>
    </row>
    <row r="3" spans="1:16" s="57" customFormat="1" ht="27" x14ac:dyDescent="0.5">
      <c r="A3" s="189"/>
      <c r="B3" s="221"/>
      <c r="C3" s="348" t="s">
        <v>118</v>
      </c>
      <c r="D3" s="219">
        <v>28</v>
      </c>
      <c r="E3" s="830" t="s">
        <v>119</v>
      </c>
      <c r="F3" s="831"/>
      <c r="G3" s="101"/>
      <c r="H3" s="102"/>
      <c r="I3" s="102"/>
      <c r="J3" s="222"/>
      <c r="K3" s="61"/>
      <c r="L3" s="58"/>
      <c r="P3" s="57">
        <v>70944.800000000003</v>
      </c>
    </row>
    <row r="4" spans="1:16" s="57" customFormat="1" ht="27" x14ac:dyDescent="0.5">
      <c r="A4" s="192"/>
      <c r="B4" s="223"/>
      <c r="C4" s="348" t="s">
        <v>120</v>
      </c>
      <c r="D4" s="218">
        <v>0.9</v>
      </c>
      <c r="E4" s="103"/>
      <c r="F4" s="103"/>
      <c r="G4" s="103"/>
      <c r="H4" s="103"/>
      <c r="I4" s="104"/>
      <c r="J4" s="222"/>
      <c r="K4" s="62"/>
      <c r="L4" s="58"/>
      <c r="O4" s="57" t="s">
        <v>353</v>
      </c>
      <c r="P4" s="57">
        <v>28131.4</v>
      </c>
    </row>
    <row r="5" spans="1:16" ht="29.25" x14ac:dyDescent="0.4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  <c r="P5" s="57">
        <v>48693.66</v>
      </c>
    </row>
    <row r="6" spans="1:16" ht="29.25" x14ac:dyDescent="0.4">
      <c r="A6" s="824" t="s">
        <v>128</v>
      </c>
      <c r="B6" s="825"/>
      <c r="C6" s="826"/>
      <c r="D6" s="110"/>
      <c r="E6" s="110"/>
      <c r="F6" s="110"/>
      <c r="G6" s="110"/>
      <c r="H6" s="111"/>
      <c r="I6" s="111"/>
      <c r="J6" s="174"/>
      <c r="K6" s="78"/>
      <c r="L6" s="66"/>
    </row>
    <row r="7" spans="1:16" ht="30" thickBot="1" x14ac:dyDescent="0.45">
      <c r="A7" s="194" t="s">
        <v>129</v>
      </c>
      <c r="B7" s="195"/>
      <c r="C7" s="195"/>
      <c r="D7" s="151" t="s">
        <v>130</v>
      </c>
      <c r="E7" s="95">
        <f>'2'!F7</f>
        <v>134056.9</v>
      </c>
      <c r="F7" s="95">
        <v>153249</v>
      </c>
      <c r="G7" s="112">
        <f>F7-E7</f>
        <v>19192.100000000006</v>
      </c>
      <c r="H7" s="99">
        <f>G7+'2'!H7</f>
        <v>58688</v>
      </c>
      <c r="I7" s="113">
        <f>'1'!I7</f>
        <v>12000</v>
      </c>
      <c r="J7" s="175">
        <f>H7/DAY(B2)</f>
        <v>19562.666666666668</v>
      </c>
      <c r="K7" s="172">
        <v>1375467</v>
      </c>
      <c r="L7" s="66"/>
      <c r="N7" s="87"/>
      <c r="O7" s="71"/>
    </row>
    <row r="8" spans="1:16" ht="27.75" thickBot="1" x14ac:dyDescent="0.45">
      <c r="A8" s="196" t="s">
        <v>131</v>
      </c>
      <c r="B8" s="197"/>
      <c r="C8" s="198"/>
      <c r="D8" s="224" t="s">
        <v>24</v>
      </c>
      <c r="E8" s="95">
        <f>'2'!F8</f>
        <v>181227</v>
      </c>
      <c r="F8" s="114">
        <v>200756</v>
      </c>
      <c r="G8" s="115">
        <f>F8-E8</f>
        <v>19529</v>
      </c>
      <c r="H8" s="99">
        <f>G8+'2'!H8</f>
        <v>59871</v>
      </c>
      <c r="I8" s="116"/>
      <c r="J8" s="175">
        <f>H8/DAY(B2)</f>
        <v>19957</v>
      </c>
      <c r="K8" s="172">
        <v>1715917</v>
      </c>
      <c r="L8" s="76">
        <v>1728480</v>
      </c>
      <c r="M8" s="87">
        <f>L8-K8</f>
        <v>12563</v>
      </c>
      <c r="N8" s="87"/>
      <c r="O8" s="71"/>
    </row>
    <row r="9" spans="1:16" ht="29.25" x14ac:dyDescent="0.4">
      <c r="A9" s="199" t="s">
        <v>132</v>
      </c>
      <c r="B9" s="200"/>
      <c r="C9" s="200"/>
      <c r="D9" s="151" t="s">
        <v>130</v>
      </c>
      <c r="E9" s="95">
        <f>'2'!F9</f>
        <v>2283852.9</v>
      </c>
      <c r="F9" s="117">
        <v>2296070.1</v>
      </c>
      <c r="G9" s="112">
        <f>F9-E9</f>
        <v>12217.200000000186</v>
      </c>
      <c r="H9" s="99">
        <f>G9+'2'!H9</f>
        <v>37294.100000000093</v>
      </c>
      <c r="I9" s="124">
        <f>I7-J7</f>
        <v>-7562.6666666666679</v>
      </c>
      <c r="J9" s="175">
        <f>H9/DAY(B2)</f>
        <v>12431.366666666698</v>
      </c>
      <c r="K9" s="79">
        <f>K8-100</f>
        <v>1715817</v>
      </c>
      <c r="L9" s="66"/>
      <c r="N9" s="87"/>
      <c r="O9" s="71"/>
    </row>
    <row r="10" spans="1:16" ht="29.25" x14ac:dyDescent="0.4">
      <c r="A10" s="194" t="s">
        <v>133</v>
      </c>
      <c r="B10" s="195"/>
      <c r="C10" s="195"/>
      <c r="D10" s="151" t="s">
        <v>130</v>
      </c>
      <c r="E10" s="95">
        <f>'2'!F10</f>
        <v>554172.82999999996</v>
      </c>
      <c r="F10" s="117">
        <v>560620.94999999995</v>
      </c>
      <c r="G10" s="112">
        <f t="shared" ref="G10:G12" si="0">F10-E10</f>
        <v>6448.1199999999953</v>
      </c>
      <c r="H10" s="99">
        <f>G10+'2'!H10</f>
        <v>19794.949999999953</v>
      </c>
      <c r="I10" s="282"/>
      <c r="J10" s="175">
        <f>H10/DAY(B2)</f>
        <v>6598.3166666666511</v>
      </c>
      <c r="K10" s="79"/>
      <c r="L10" s="66"/>
      <c r="N10" s="87"/>
      <c r="O10" s="71"/>
    </row>
    <row r="11" spans="1:16" ht="29.25" x14ac:dyDescent="0.4">
      <c r="A11" s="194" t="s">
        <v>134</v>
      </c>
      <c r="B11" s="195"/>
      <c r="C11" s="195"/>
      <c r="D11" s="151" t="s">
        <v>130</v>
      </c>
      <c r="E11" s="95">
        <f>'2'!F11</f>
        <v>37000</v>
      </c>
      <c r="F11" s="95">
        <v>37000</v>
      </c>
      <c r="G11" s="112">
        <f t="shared" si="0"/>
        <v>0</v>
      </c>
      <c r="H11" s="99">
        <f>G11+'2'!H11</f>
        <v>0</v>
      </c>
      <c r="I11" s="282"/>
      <c r="J11" s="175">
        <f>H11/DAY(B2)</f>
        <v>0</v>
      </c>
      <c r="K11" s="79"/>
      <c r="L11" s="66"/>
      <c r="N11" s="87"/>
      <c r="O11" s="71"/>
    </row>
    <row r="12" spans="1:16" ht="29.25" x14ac:dyDescent="0.4">
      <c r="A12" s="194" t="s">
        <v>135</v>
      </c>
      <c r="B12" s="195"/>
      <c r="C12" s="195"/>
      <c r="D12" s="151" t="s">
        <v>130</v>
      </c>
      <c r="E12" s="95">
        <f>'2'!F12</f>
        <v>40010</v>
      </c>
      <c r="F12" s="117">
        <v>40010</v>
      </c>
      <c r="G12" s="112">
        <f t="shared" si="0"/>
        <v>0</v>
      </c>
      <c r="H12" s="99">
        <f>G12+'2'!H12</f>
        <v>0</v>
      </c>
      <c r="I12" s="282"/>
      <c r="J12" s="175">
        <f>H12/DAY(B2)</f>
        <v>0</v>
      </c>
      <c r="K12" s="79"/>
      <c r="L12" s="66"/>
      <c r="N12" s="87"/>
      <c r="O12" s="71"/>
    </row>
    <row r="13" spans="1:16" ht="29.25" x14ac:dyDescent="0.5">
      <c r="A13" s="201" t="s">
        <v>136</v>
      </c>
      <c r="B13" s="202"/>
      <c r="C13" s="202"/>
      <c r="D13" s="151"/>
      <c r="E13" s="95"/>
      <c r="F13" s="95"/>
      <c r="G13" s="119">
        <f>G9+G10+G11+G12</f>
        <v>18665.320000000182</v>
      </c>
      <c r="H13" s="99">
        <f>G13+'2'!H13</f>
        <v>37623.79999999993</v>
      </c>
      <c r="I13" s="120">
        <f>G7-G13</f>
        <v>526.77999999982421</v>
      </c>
      <c r="J13" s="175">
        <f>H13/DAY(B2)</f>
        <v>12541.266666666643</v>
      </c>
      <c r="K13" s="79"/>
      <c r="L13" s="66"/>
      <c r="N13" s="87"/>
      <c r="O13" s="71"/>
    </row>
    <row r="14" spans="1:16" ht="29.25" x14ac:dyDescent="0.5">
      <c r="A14" s="827" t="s">
        <v>137</v>
      </c>
      <c r="B14" s="828"/>
      <c r="C14" s="829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6" ht="29.25" x14ac:dyDescent="0.5">
      <c r="A15" s="345" t="s">
        <v>138</v>
      </c>
      <c r="B15" s="205"/>
      <c r="C15" s="205"/>
      <c r="D15" s="151" t="s">
        <v>139</v>
      </c>
      <c r="E15" s="95">
        <f>'2'!F15</f>
        <v>1880308.6129999999</v>
      </c>
      <c r="F15" s="494">
        <v>1880833.4</v>
      </c>
      <c r="G15" s="112">
        <f>(F15-E15)</f>
        <v>524.78700000001118</v>
      </c>
      <c r="H15" s="99">
        <f>G15+'2'!H15</f>
        <v>2403.3999999999069</v>
      </c>
      <c r="I15" s="113">
        <f>'1'!I15</f>
        <v>800</v>
      </c>
      <c r="J15" s="175">
        <f>H15/DAY(B2)</f>
        <v>801.13333333330229</v>
      </c>
      <c r="K15" s="79"/>
      <c r="L15" s="66"/>
      <c r="N15" s="87"/>
      <c r="O15" s="71"/>
    </row>
    <row r="16" spans="1:16" ht="29.25" x14ac:dyDescent="0.4">
      <c r="A16" s="203"/>
      <c r="B16" s="204"/>
      <c r="C16" s="204"/>
      <c r="D16" s="152"/>
      <c r="E16" s="123"/>
      <c r="F16" s="123"/>
      <c r="G16" s="112"/>
      <c r="H16" s="124"/>
      <c r="I16" s="120">
        <f>I15-J15</f>
        <v>-1.1333333333022892</v>
      </c>
      <c r="J16" s="176"/>
      <c r="K16" s="79"/>
      <c r="L16" s="66"/>
      <c r="N16" s="87"/>
      <c r="O16" s="71"/>
    </row>
    <row r="17" spans="1:15" ht="29.25" x14ac:dyDescent="0.5">
      <c r="A17" s="827" t="s">
        <v>140</v>
      </c>
      <c r="B17" s="828"/>
      <c r="C17" s="829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5" ht="27.75" x14ac:dyDescent="0.5">
      <c r="A18" s="818" t="s">
        <v>141</v>
      </c>
      <c r="B18" s="819"/>
      <c r="C18" s="820"/>
      <c r="D18" s="151" t="s">
        <v>142</v>
      </c>
      <c r="E18" s="95">
        <f>'2'!F18</f>
        <v>0</v>
      </c>
      <c r="F18" s="122">
        <v>30</v>
      </c>
      <c r="G18" s="119">
        <f>F18*10</f>
        <v>300</v>
      </c>
      <c r="H18" s="99">
        <f>G18+'2'!H18</f>
        <v>300</v>
      </c>
      <c r="I18" s="113">
        <f>'1'!I18</f>
        <v>65</v>
      </c>
      <c r="J18" s="175">
        <f>H18/DAY(B2)</f>
        <v>100</v>
      </c>
      <c r="K18" s="79"/>
      <c r="L18" s="66"/>
      <c r="N18" s="87"/>
      <c r="O18" s="71"/>
    </row>
    <row r="19" spans="1:15" ht="27.75" x14ac:dyDescent="0.5">
      <c r="A19" s="818" t="s">
        <v>69</v>
      </c>
      <c r="B19" s="819"/>
      <c r="C19" s="820"/>
      <c r="D19" s="151" t="s">
        <v>142</v>
      </c>
      <c r="E19" s="95">
        <f>'2'!F19</f>
        <v>152335</v>
      </c>
      <c r="F19" s="122">
        <v>152391</v>
      </c>
      <c r="G19" s="112">
        <f t="shared" ref="G19" si="1">F19-E19</f>
        <v>56</v>
      </c>
      <c r="H19" s="99">
        <f>G19+'2'!H19</f>
        <v>166</v>
      </c>
      <c r="I19" s="335"/>
      <c r="J19" s="175">
        <f>H19/DAY(B2)</f>
        <v>55.333333333333336</v>
      </c>
      <c r="K19" s="79"/>
      <c r="L19" s="66"/>
      <c r="N19" s="87"/>
      <c r="O19" s="71"/>
    </row>
    <row r="20" spans="1:15" ht="29.25" x14ac:dyDescent="0.5">
      <c r="A20" s="201" t="s">
        <v>143</v>
      </c>
      <c r="B20" s="202"/>
      <c r="C20" s="202"/>
      <c r="D20" s="126"/>
      <c r="E20" s="126"/>
      <c r="F20" s="126"/>
      <c r="G20" s="127">
        <f>G18+G19</f>
        <v>356</v>
      </c>
      <c r="H20" s="99">
        <f>G20+'2'!H20</f>
        <v>466</v>
      </c>
      <c r="I20" s="336">
        <f>I18-J20</f>
        <v>-90.333333333333343</v>
      </c>
      <c r="J20" s="175">
        <f>H20/DAY(B2)</f>
        <v>155.33333333333334</v>
      </c>
      <c r="K20" s="79"/>
      <c r="L20" s="66"/>
      <c r="N20" s="87"/>
      <c r="O20" s="71"/>
    </row>
    <row r="21" spans="1:15" ht="29.25" x14ac:dyDescent="0.5">
      <c r="A21" s="827" t="s">
        <v>144</v>
      </c>
      <c r="B21" s="828"/>
      <c r="C21" s="829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5" ht="29.25" x14ac:dyDescent="0.5">
      <c r="A22" s="345" t="s">
        <v>145</v>
      </c>
      <c r="B22" s="205"/>
      <c r="C22" s="205"/>
      <c r="D22" s="151" t="s">
        <v>146</v>
      </c>
      <c r="E22" s="95">
        <f>'2'!F22</f>
        <v>2970</v>
      </c>
      <c r="F22" s="122">
        <v>2970</v>
      </c>
      <c r="G22" s="119">
        <f t="shared" ref="G22" si="2">(F22-E22)</f>
        <v>0</v>
      </c>
      <c r="H22" s="99">
        <f>G22+'2'!H22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29.25" x14ac:dyDescent="0.5">
      <c r="A23" s="345" t="s">
        <v>147</v>
      </c>
      <c r="B23" s="205"/>
      <c r="C23" s="205"/>
      <c r="D23" s="151" t="s">
        <v>146</v>
      </c>
      <c r="E23" s="95">
        <f>'2'!F23</f>
        <v>1500</v>
      </c>
      <c r="F23" s="122">
        <v>1500</v>
      </c>
      <c r="G23" s="119">
        <v>0</v>
      </c>
      <c r="H23" s="99">
        <f>G23+'2'!H23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5" ht="29.25" x14ac:dyDescent="0.4">
      <c r="A24" s="206" t="s">
        <v>148</v>
      </c>
      <c r="B24" s="207"/>
      <c r="C24" s="207"/>
      <c r="D24" s="146" t="s">
        <v>146</v>
      </c>
      <c r="E24" s="95">
        <f>'2'!F24</f>
        <v>4970</v>
      </c>
      <c r="F24" s="128">
        <v>4970</v>
      </c>
      <c r="G24" s="119">
        <v>0</v>
      </c>
      <c r="H24" s="99">
        <f>G24+'2'!H24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5" s="88" customFormat="1" ht="27" x14ac:dyDescent="0.35">
      <c r="A25" s="832" t="s">
        <v>149</v>
      </c>
      <c r="B25" s="833"/>
      <c r="C25" s="834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5" s="88" customFormat="1" ht="27.75" x14ac:dyDescent="0.5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/>
      <c r="I26" s="134"/>
      <c r="J26" s="175"/>
      <c r="K26" s="64"/>
      <c r="L26" s="89"/>
      <c r="N26" s="87"/>
      <c r="O26" s="71"/>
    </row>
    <row r="27" spans="1:15" s="88" customFormat="1" ht="27.75" x14ac:dyDescent="0.5">
      <c r="A27" s="208" t="s">
        <v>5</v>
      </c>
      <c r="B27" s="209"/>
      <c r="C27" s="210"/>
      <c r="D27" s="226" t="s">
        <v>24</v>
      </c>
      <c r="E27" s="135">
        <f>G8</f>
        <v>19529</v>
      </c>
      <c r="F27" s="136">
        <v>9</v>
      </c>
      <c r="G27" s="137">
        <f>E27*F27</f>
        <v>175761</v>
      </c>
      <c r="H27" s="99">
        <f>G27+'2'!H27</f>
        <v>538839</v>
      </c>
      <c r="I27" s="138"/>
      <c r="J27" s="175">
        <f>H27/DAY(B2)</f>
        <v>179613</v>
      </c>
      <c r="K27" s="63"/>
      <c r="L27" s="89"/>
      <c r="N27" s="87"/>
      <c r="O27" s="71"/>
    </row>
    <row r="28" spans="1:15" s="88" customFormat="1" ht="27.75" x14ac:dyDescent="0.5">
      <c r="A28" s="208" t="s">
        <v>152</v>
      </c>
      <c r="B28" s="209"/>
      <c r="C28" s="210"/>
      <c r="D28" s="226" t="s">
        <v>153</v>
      </c>
      <c r="E28" s="139">
        <f>G15</f>
        <v>524.78700000001118</v>
      </c>
      <c r="F28" s="136">
        <v>52</v>
      </c>
      <c r="G28" s="137">
        <f>E28*F28</f>
        <v>27288.924000000581</v>
      </c>
      <c r="H28" s="99">
        <f>G28+'2'!H28</f>
        <v>124976.79999999516</v>
      </c>
      <c r="I28" s="140"/>
      <c r="J28" s="175">
        <f>H28/DAY(B2)</f>
        <v>41658.933333331719</v>
      </c>
      <c r="K28" s="63"/>
      <c r="L28" s="89"/>
      <c r="N28" s="87"/>
      <c r="O28" s="71"/>
    </row>
    <row r="29" spans="1:15" s="88" customFormat="1" ht="27.75" x14ac:dyDescent="0.5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>E29*F29</f>
        <v>0</v>
      </c>
      <c r="H29" s="99">
        <f>G29+'2'!H29</f>
        <v>0</v>
      </c>
      <c r="I29" s="140"/>
      <c r="J29" s="175">
        <f>H29/DAY(B2)</f>
        <v>0</v>
      </c>
      <c r="K29" s="63"/>
      <c r="L29" s="89"/>
      <c r="N29" s="87"/>
      <c r="O29" s="71"/>
    </row>
    <row r="30" spans="1:15" s="88" customFormat="1" ht="27.75" x14ac:dyDescent="0.5">
      <c r="A30" s="208" t="s">
        <v>156</v>
      </c>
      <c r="B30" s="209"/>
      <c r="C30" s="210"/>
      <c r="D30" s="226" t="s">
        <v>157</v>
      </c>
      <c r="E30" s="141">
        <f>G19</f>
        <v>56</v>
      </c>
      <c r="F30" s="136">
        <v>146</v>
      </c>
      <c r="G30" s="137">
        <f>E30*F30</f>
        <v>8176</v>
      </c>
      <c r="H30" s="99">
        <f>G30+'2'!H30</f>
        <v>24236</v>
      </c>
      <c r="I30" s="140"/>
      <c r="J30" s="175">
        <f>H30/DAY(B2)</f>
        <v>8078.666666666667</v>
      </c>
      <c r="K30" s="63"/>
      <c r="L30" s="89"/>
      <c r="N30" s="87"/>
      <c r="O30" s="71"/>
    </row>
    <row r="31" spans="1:15" s="88" customFormat="1" ht="27.75" x14ac:dyDescent="0.5">
      <c r="A31" s="208" t="s">
        <v>158</v>
      </c>
      <c r="B31" s="209"/>
      <c r="C31" s="210"/>
      <c r="D31" s="226" t="s">
        <v>142</v>
      </c>
      <c r="E31" s="141">
        <f>G18</f>
        <v>300</v>
      </c>
      <c r="F31" s="136">
        <v>80</v>
      </c>
      <c r="G31" s="137">
        <f>E31*F31</f>
        <v>24000</v>
      </c>
      <c r="H31" s="99">
        <f>G31+'2'!H31</f>
        <v>24000</v>
      </c>
      <c r="I31" s="140"/>
      <c r="J31" s="175">
        <f>H31/DAY(B2)</f>
        <v>8000</v>
      </c>
      <c r="K31" s="63"/>
      <c r="L31" s="89"/>
      <c r="N31" s="87"/>
      <c r="O31" s="71"/>
    </row>
    <row r="32" spans="1:15" s="88" customFormat="1" ht="27.75" x14ac:dyDescent="0.5">
      <c r="A32" s="211" t="s">
        <v>159</v>
      </c>
      <c r="B32" s="212"/>
      <c r="C32" s="213"/>
      <c r="D32" s="142"/>
      <c r="E32" s="142"/>
      <c r="F32" s="142"/>
      <c r="G32" s="143">
        <f>G27+G28+G29+G30+G31</f>
        <v>235225.92400000058</v>
      </c>
      <c r="H32" s="99">
        <f>G32+'2'!H32</f>
        <v>712051.79999999516</v>
      </c>
      <c r="I32" s="144"/>
      <c r="J32" s="175">
        <f>H32/DAY(B2)</f>
        <v>237350.59999999838</v>
      </c>
      <c r="K32" s="63"/>
      <c r="L32" s="89"/>
      <c r="N32" s="87"/>
      <c r="O32" s="71"/>
    </row>
    <row r="33" spans="1:15" ht="25.5" customHeight="1" x14ac:dyDescent="0.35">
      <c r="A33" s="835" t="s">
        <v>331</v>
      </c>
      <c r="B33" s="836"/>
      <c r="C33" s="836"/>
      <c r="D33" s="337"/>
      <c r="E33" s="337"/>
      <c r="F33" s="337"/>
      <c r="G33" s="337"/>
      <c r="H33" s="337"/>
      <c r="I33" s="337"/>
      <c r="J33" s="338"/>
      <c r="K33" s="79"/>
      <c r="L33" s="66"/>
      <c r="N33" s="87"/>
      <c r="O33" s="71"/>
    </row>
    <row r="34" spans="1:15" ht="29.25" x14ac:dyDescent="0.5">
      <c r="A34" s="214" t="s">
        <v>160</v>
      </c>
      <c r="B34" s="349"/>
      <c r="C34" s="349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29.25" x14ac:dyDescent="0.4">
      <c r="A35" s="194" t="s">
        <v>161</v>
      </c>
      <c r="B35" s="195"/>
      <c r="C35" s="195"/>
      <c r="D35" s="151" t="s">
        <v>130</v>
      </c>
      <c r="E35" s="95">
        <f>'2'!F35</f>
        <v>156908.64000000001</v>
      </c>
      <c r="F35" s="145">
        <v>158786.95000000001</v>
      </c>
      <c r="G35" s="112">
        <f t="shared" ref="G35:G46" si="3">F35-E35</f>
        <v>1878.3099999999977</v>
      </c>
      <c r="H35" s="99">
        <f>G35+'2'!H35</f>
        <v>5944.9500000000116</v>
      </c>
      <c r="I35" s="95"/>
      <c r="J35" s="175">
        <f>H35/DAY(B2)</f>
        <v>1981.650000000004</v>
      </c>
      <c r="K35" s="79"/>
      <c r="L35" s="66"/>
      <c r="N35" s="87"/>
      <c r="O35" s="71"/>
    </row>
    <row r="36" spans="1:15" ht="29.25" x14ac:dyDescent="0.4">
      <c r="A36" s="194" t="s">
        <v>162</v>
      </c>
      <c r="B36" s="195"/>
      <c r="C36" s="195"/>
      <c r="D36" s="151" t="s">
        <v>130</v>
      </c>
      <c r="E36" s="95">
        <f>'2'!F36</f>
        <v>23168.87</v>
      </c>
      <c r="F36" s="145">
        <v>23952.22</v>
      </c>
      <c r="G36" s="112">
        <f t="shared" si="3"/>
        <v>783.35000000000218</v>
      </c>
      <c r="H36" s="99">
        <f>G36+'2'!H36</f>
        <v>2425.2200000000012</v>
      </c>
      <c r="I36" s="95"/>
      <c r="J36" s="175">
        <f>H36/DAY(B2)</f>
        <v>808.40666666666709</v>
      </c>
      <c r="K36" s="79"/>
      <c r="L36" s="66"/>
      <c r="N36" s="87"/>
      <c r="O36" s="344"/>
    </row>
    <row r="37" spans="1:15" ht="29.25" x14ac:dyDescent="0.4">
      <c r="A37" s="194" t="s">
        <v>163</v>
      </c>
      <c r="B37" s="195"/>
      <c r="C37" s="195"/>
      <c r="D37" s="151" t="s">
        <v>130</v>
      </c>
      <c r="E37" s="95">
        <f>'2'!F37</f>
        <v>198475.75</v>
      </c>
      <c r="F37" s="145">
        <v>199989.95</v>
      </c>
      <c r="G37" s="112">
        <f t="shared" si="3"/>
        <v>1514.2000000000116</v>
      </c>
      <c r="H37" s="99">
        <f>G37+'2'!H37</f>
        <v>4596.9500000000116</v>
      </c>
      <c r="I37" s="95"/>
      <c r="J37" s="175">
        <f>H37/DAY(B2)</f>
        <v>1532.3166666666705</v>
      </c>
      <c r="K37" s="79"/>
      <c r="L37" s="66"/>
      <c r="N37" s="87"/>
      <c r="O37" s="234"/>
    </row>
    <row r="38" spans="1:15" ht="29.25" x14ac:dyDescent="0.4">
      <c r="A38" s="194" t="s">
        <v>164</v>
      </c>
      <c r="B38" s="195"/>
      <c r="C38" s="195"/>
      <c r="D38" s="151" t="s">
        <v>130</v>
      </c>
      <c r="E38" s="95">
        <f>'2'!F38</f>
        <v>235710.49</v>
      </c>
      <c r="F38" s="108">
        <v>237187.13</v>
      </c>
      <c r="G38" s="112">
        <f t="shared" si="3"/>
        <v>1476.640000000014</v>
      </c>
      <c r="H38" s="99">
        <f>G38+'2'!H38</f>
        <v>4705.1300000000047</v>
      </c>
      <c r="I38" s="95"/>
      <c r="J38" s="175">
        <f>H38/DAY(B2)</f>
        <v>1568.3766666666681</v>
      </c>
      <c r="K38" s="79"/>
      <c r="L38" s="66"/>
      <c r="N38" s="87"/>
      <c r="O38" s="71"/>
    </row>
    <row r="39" spans="1:15" ht="29.25" x14ac:dyDescent="0.4">
      <c r="A39" s="194" t="s">
        <v>165</v>
      </c>
      <c r="B39" s="195"/>
      <c r="C39" s="195"/>
      <c r="D39" s="151" t="s">
        <v>130</v>
      </c>
      <c r="E39" s="95">
        <f>'2'!F39</f>
        <v>416525.19</v>
      </c>
      <c r="F39" s="145">
        <v>419283.99</v>
      </c>
      <c r="G39" s="112">
        <f t="shared" si="3"/>
        <v>2758.7999999999884</v>
      </c>
      <c r="H39" s="99">
        <f>G39+'2'!H39</f>
        <v>8204.9899999999907</v>
      </c>
      <c r="I39" s="95"/>
      <c r="J39" s="175">
        <f>H39/DAY(B2)</f>
        <v>2734.9966666666637</v>
      </c>
      <c r="K39" s="79"/>
      <c r="L39" s="66"/>
      <c r="N39" s="87"/>
      <c r="O39" s="71"/>
    </row>
    <row r="40" spans="1:15" ht="29.25" x14ac:dyDescent="0.4">
      <c r="A40" s="215" t="s">
        <v>166</v>
      </c>
      <c r="B40" s="216"/>
      <c r="C40" s="216"/>
      <c r="D40" s="151" t="s">
        <v>130</v>
      </c>
      <c r="E40" s="95">
        <f>'2'!F40</f>
        <v>5609.98</v>
      </c>
      <c r="F40" s="145">
        <v>5609.98</v>
      </c>
      <c r="G40" s="112">
        <f t="shared" si="3"/>
        <v>0</v>
      </c>
      <c r="H40" s="99">
        <f>G40+'2'!H40</f>
        <v>-2.0000000000436557E-2</v>
      </c>
      <c r="I40" s="95"/>
      <c r="J40" s="175">
        <f>H40/DAY(B2)</f>
        <v>-6.6666666668121861E-3</v>
      </c>
      <c r="K40" s="80"/>
      <c r="L40" s="66"/>
      <c r="N40" s="87"/>
      <c r="O40" s="71"/>
    </row>
    <row r="41" spans="1:15" ht="29.25" x14ac:dyDescent="0.4">
      <c r="A41" s="194" t="s">
        <v>167</v>
      </c>
      <c r="B41" s="195"/>
      <c r="C41" s="195"/>
      <c r="D41" s="151" t="s">
        <v>130</v>
      </c>
      <c r="E41" s="95">
        <f>'2'!F41</f>
        <v>0</v>
      </c>
      <c r="F41" s="145">
        <v>0</v>
      </c>
      <c r="G41" s="112">
        <f t="shared" si="3"/>
        <v>0</v>
      </c>
      <c r="H41" s="99">
        <f>G41+'2'!H41</f>
        <v>0</v>
      </c>
      <c r="I41" s="95"/>
      <c r="J41" s="175">
        <f>H41/DAY(B2)</f>
        <v>0</v>
      </c>
      <c r="K41" s="79"/>
      <c r="L41" s="66"/>
      <c r="N41" s="87"/>
      <c r="O41" s="71"/>
    </row>
    <row r="42" spans="1:15" ht="29.25" x14ac:dyDescent="0.4">
      <c r="A42" s="194" t="s">
        <v>168</v>
      </c>
      <c r="B42" s="195"/>
      <c r="C42" s="195"/>
      <c r="D42" s="151" t="s">
        <v>130</v>
      </c>
      <c r="E42" s="95">
        <f>'2'!F42</f>
        <v>73808.600000000006</v>
      </c>
      <c r="F42" s="145">
        <v>73808.600000000006</v>
      </c>
      <c r="G42" s="112">
        <f t="shared" si="3"/>
        <v>0</v>
      </c>
      <c r="H42" s="99">
        <f>G42+'2'!H42</f>
        <v>-0.39999999999417923</v>
      </c>
      <c r="I42" s="95"/>
      <c r="J42" s="175">
        <f>H42/DAY(B2)</f>
        <v>-0.13333333333139308</v>
      </c>
      <c r="K42" s="79"/>
      <c r="L42" s="66"/>
      <c r="N42" s="87"/>
      <c r="O42" s="71"/>
    </row>
    <row r="43" spans="1:15" ht="29.25" x14ac:dyDescent="0.4">
      <c r="A43" s="194" t="s">
        <v>169</v>
      </c>
      <c r="B43" s="195"/>
      <c r="C43" s="195"/>
      <c r="D43" s="151" t="s">
        <v>130</v>
      </c>
      <c r="E43" s="95">
        <f>'2'!F43</f>
        <v>52259.4</v>
      </c>
      <c r="F43" s="145">
        <v>54679.07</v>
      </c>
      <c r="G43" s="112">
        <f t="shared" si="3"/>
        <v>2419.6699999999983</v>
      </c>
      <c r="H43" s="99">
        <f>G43+'2'!H43</f>
        <v>7418.07</v>
      </c>
      <c r="I43" s="95"/>
      <c r="J43" s="175">
        <f>H43/DAY(B2)</f>
        <v>2472.69</v>
      </c>
      <c r="K43" s="79"/>
      <c r="L43" s="66"/>
      <c r="N43" s="87"/>
      <c r="O43" s="71"/>
    </row>
    <row r="44" spans="1:15" ht="29.25" x14ac:dyDescent="0.4">
      <c r="A44" s="194" t="s">
        <v>170</v>
      </c>
      <c r="B44" s="195"/>
      <c r="C44" s="195"/>
      <c r="D44" s="151" t="s">
        <v>130</v>
      </c>
      <c r="E44" s="95">
        <f>'2'!F44</f>
        <v>0</v>
      </c>
      <c r="F44" s="145">
        <v>0</v>
      </c>
      <c r="G44" s="112">
        <f t="shared" si="3"/>
        <v>0</v>
      </c>
      <c r="H44" s="99">
        <f>G44+'2'!H44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29.25" x14ac:dyDescent="0.4">
      <c r="A45" s="194" t="s">
        <v>171</v>
      </c>
      <c r="B45" s="195"/>
      <c r="C45" s="195"/>
      <c r="D45" s="151" t="s">
        <v>130</v>
      </c>
      <c r="E45" s="95">
        <f>'2'!F45</f>
        <v>0</v>
      </c>
      <c r="F45" s="145">
        <v>0</v>
      </c>
      <c r="G45" s="112">
        <f t="shared" si="3"/>
        <v>0</v>
      </c>
      <c r="H45" s="99">
        <f>G45+'2'!H45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29.25" x14ac:dyDescent="0.4">
      <c r="A46" s="194" t="s">
        <v>172</v>
      </c>
      <c r="B46" s="195"/>
      <c r="C46" s="195"/>
      <c r="D46" s="151" t="s">
        <v>130</v>
      </c>
      <c r="E46" s="95">
        <f>'2'!F46</f>
        <v>0</v>
      </c>
      <c r="F46" s="145">
        <v>0</v>
      </c>
      <c r="G46" s="112">
        <f t="shared" si="3"/>
        <v>0</v>
      </c>
      <c r="H46" s="99">
        <f>G46+'2'!H46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29.25" x14ac:dyDescent="0.5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10830.970000000012</v>
      </c>
      <c r="H47" s="99">
        <f>G47+'2'!H47</f>
        <v>33294.890000000029</v>
      </c>
      <c r="I47" s="95"/>
      <c r="J47" s="175">
        <f>H47/DAY(B2)</f>
        <v>11098.296666666676</v>
      </c>
      <c r="K47" s="79"/>
      <c r="L47" s="66"/>
      <c r="N47" s="87"/>
      <c r="O47" s="71"/>
    </row>
    <row r="48" spans="1:15" ht="29.25" x14ac:dyDescent="0.5">
      <c r="A48" s="214" t="s">
        <v>174</v>
      </c>
      <c r="B48" s="349"/>
      <c r="C48" s="349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29.25" x14ac:dyDescent="0.4">
      <c r="A49" s="194" t="s">
        <v>161</v>
      </c>
      <c r="B49" s="217"/>
      <c r="C49" s="217"/>
      <c r="D49" s="151" t="s">
        <v>130</v>
      </c>
      <c r="E49" s="95">
        <f>'2'!F49</f>
        <v>275486</v>
      </c>
      <c r="F49" s="145">
        <v>277381</v>
      </c>
      <c r="G49" s="112">
        <f t="shared" ref="G49:G58" si="4">F49-E49</f>
        <v>1895</v>
      </c>
      <c r="H49" s="99">
        <f>G49+'2'!H49</f>
        <v>5141</v>
      </c>
      <c r="I49" s="95"/>
      <c r="J49" s="175">
        <f>H49/DAY(B2)</f>
        <v>1713.6666666666667</v>
      </c>
      <c r="K49" s="79"/>
      <c r="L49" s="66"/>
      <c r="N49" s="87">
        <f>G35+G49</f>
        <v>3773.3099999999977</v>
      </c>
      <c r="O49" s="71"/>
    </row>
    <row r="50" spans="1:15" ht="29.25" x14ac:dyDescent="0.4">
      <c r="A50" s="194" t="s">
        <v>175</v>
      </c>
      <c r="B50" s="217"/>
      <c r="C50" s="217"/>
      <c r="D50" s="151" t="s">
        <v>130</v>
      </c>
      <c r="E50" s="95">
        <f>'2'!F50</f>
        <v>27036.74</v>
      </c>
      <c r="F50" s="145">
        <v>28002.21</v>
      </c>
      <c r="G50" s="112">
        <f t="shared" si="4"/>
        <v>965.46999999999753</v>
      </c>
      <c r="H50" s="99">
        <f>G50+'2'!H50</f>
        <v>3352.2099999999991</v>
      </c>
      <c r="I50" s="95"/>
      <c r="J50" s="175">
        <f>H50/DAY(B2)</f>
        <v>1117.403333333333</v>
      </c>
      <c r="K50" s="79"/>
      <c r="L50" s="66"/>
      <c r="N50" s="87"/>
      <c r="O50" s="71"/>
    </row>
    <row r="51" spans="1:15" ht="29.25" x14ac:dyDescent="0.4">
      <c r="A51" s="194" t="s">
        <v>163</v>
      </c>
      <c r="B51" s="217"/>
      <c r="C51" s="217"/>
      <c r="D51" s="151" t="s">
        <v>130</v>
      </c>
      <c r="E51" s="95">
        <f>'2'!F51</f>
        <v>0</v>
      </c>
      <c r="F51" s="145">
        <v>0</v>
      </c>
      <c r="G51" s="112">
        <f t="shared" si="4"/>
        <v>0</v>
      </c>
      <c r="H51" s="99">
        <f>G51+'2'!H51</f>
        <v>0</v>
      </c>
      <c r="I51" s="95"/>
      <c r="J51" s="175">
        <f>H51/DAY(B2)</f>
        <v>0</v>
      </c>
      <c r="K51" s="79"/>
      <c r="L51" s="66"/>
      <c r="N51" s="87"/>
      <c r="O51" s="71"/>
    </row>
    <row r="52" spans="1:15" ht="29.25" x14ac:dyDescent="0.4">
      <c r="A52" s="194" t="s">
        <v>176</v>
      </c>
      <c r="B52" s="217"/>
      <c r="C52" s="217"/>
      <c r="D52" s="151" t="s">
        <v>130</v>
      </c>
      <c r="E52" s="95">
        <f>'2'!F52</f>
        <v>0</v>
      </c>
      <c r="F52" s="145">
        <v>0</v>
      </c>
      <c r="G52" s="112">
        <f t="shared" si="4"/>
        <v>0</v>
      </c>
      <c r="H52" s="99">
        <f>G52+'2'!H52</f>
        <v>0</v>
      </c>
      <c r="I52" s="95"/>
      <c r="J52" s="175">
        <f>H52/DAY(B2)</f>
        <v>0</v>
      </c>
      <c r="K52" s="79"/>
      <c r="L52" s="66"/>
      <c r="N52" s="87"/>
      <c r="O52" s="71"/>
    </row>
    <row r="53" spans="1:15" ht="29.25" x14ac:dyDescent="0.4">
      <c r="A53" s="194" t="s">
        <v>165</v>
      </c>
      <c r="B53" s="217"/>
      <c r="C53" s="217"/>
      <c r="D53" s="151" t="s">
        <v>130</v>
      </c>
      <c r="E53" s="95">
        <f>'2'!F53</f>
        <v>0</v>
      </c>
      <c r="F53" s="145">
        <v>0</v>
      </c>
      <c r="G53" s="112">
        <f t="shared" si="4"/>
        <v>0</v>
      </c>
      <c r="H53" s="99">
        <f>G53+'2'!H53</f>
        <v>0</v>
      </c>
      <c r="I53" s="95"/>
      <c r="J53" s="175">
        <f>H53/DAY(B2)</f>
        <v>0</v>
      </c>
      <c r="K53" s="79"/>
      <c r="L53" s="66"/>
      <c r="N53" s="87"/>
      <c r="O53" s="71"/>
    </row>
    <row r="54" spans="1:15" ht="29.25" x14ac:dyDescent="0.4">
      <c r="A54" s="194" t="s">
        <v>177</v>
      </c>
      <c r="B54" s="217"/>
      <c r="C54" s="217"/>
      <c r="D54" s="151" t="s">
        <v>130</v>
      </c>
      <c r="E54" s="95">
        <f>'2'!F54</f>
        <v>3192.59</v>
      </c>
      <c r="F54" s="145">
        <v>3197.08</v>
      </c>
      <c r="G54" s="112">
        <f t="shared" si="4"/>
        <v>4.4899999999997817</v>
      </c>
      <c r="H54" s="99">
        <f>G54+'2'!H54</f>
        <v>14.079999999999927</v>
      </c>
      <c r="I54" s="95"/>
      <c r="J54" s="175">
        <f>H54/DAY(B2)</f>
        <v>4.6933333333333094</v>
      </c>
      <c r="K54" s="79"/>
      <c r="L54" s="66"/>
      <c r="N54" s="87"/>
      <c r="O54" s="71"/>
    </row>
    <row r="55" spans="1:15" ht="29.25" x14ac:dyDescent="0.4">
      <c r="A55" s="194" t="s">
        <v>178</v>
      </c>
      <c r="B55" s="217"/>
      <c r="C55" s="217"/>
      <c r="D55" s="151" t="s">
        <v>130</v>
      </c>
      <c r="E55" s="95">
        <f>'2'!F55</f>
        <v>9042.82</v>
      </c>
      <c r="F55" s="145">
        <v>12137.46</v>
      </c>
      <c r="G55" s="112">
        <f t="shared" si="4"/>
        <v>3094.6399999999994</v>
      </c>
      <c r="H55" s="99">
        <f>G55+'2'!H55</f>
        <v>8626.4599999999991</v>
      </c>
      <c r="I55" s="95"/>
      <c r="J55" s="175">
        <f>H55/DAY(B2)</f>
        <v>2875.4866666666662</v>
      </c>
      <c r="K55" s="79"/>
      <c r="L55" s="66"/>
      <c r="N55" s="87"/>
      <c r="O55" s="71"/>
    </row>
    <row r="56" spans="1:15" ht="29.25" x14ac:dyDescent="0.4">
      <c r="A56" s="194" t="s">
        <v>179</v>
      </c>
      <c r="B56" s="217"/>
      <c r="C56" s="217"/>
      <c r="D56" s="151" t="s">
        <v>180</v>
      </c>
      <c r="E56" s="95">
        <f>'2'!F56</f>
        <v>8610.5400000000009</v>
      </c>
      <c r="F56" s="145">
        <v>8610.5400000000009</v>
      </c>
      <c r="G56" s="112">
        <f t="shared" si="4"/>
        <v>0</v>
      </c>
      <c r="H56" s="99">
        <f>G56+'2'!H56</f>
        <v>0</v>
      </c>
      <c r="I56" s="95"/>
      <c r="J56" s="175">
        <f>H56/DAY(B2)</f>
        <v>0</v>
      </c>
      <c r="K56" s="78"/>
      <c r="L56" s="66"/>
      <c r="N56" s="87"/>
      <c r="O56" s="71"/>
    </row>
    <row r="57" spans="1:15" ht="29.25" x14ac:dyDescent="0.4">
      <c r="A57" s="194" t="s">
        <v>169</v>
      </c>
      <c r="B57" s="217"/>
      <c r="C57" s="217"/>
      <c r="D57" s="151" t="s">
        <v>130</v>
      </c>
      <c r="E57" s="95">
        <f>'2'!F57</f>
        <v>0</v>
      </c>
      <c r="F57" s="145">
        <v>0</v>
      </c>
      <c r="G57" s="112">
        <f t="shared" si="4"/>
        <v>0</v>
      </c>
      <c r="H57" s="99">
        <f>G57+'2'!H57</f>
        <v>0</v>
      </c>
      <c r="I57" s="95"/>
      <c r="J57" s="175">
        <f>H57/DAY(B2)</f>
        <v>0</v>
      </c>
      <c r="K57" s="79"/>
      <c r="L57" s="66"/>
      <c r="N57" s="87"/>
      <c r="O57" s="71"/>
    </row>
    <row r="58" spans="1:15" ht="29.25" x14ac:dyDescent="0.4">
      <c r="A58" s="194" t="s">
        <v>181</v>
      </c>
      <c r="B58" s="217"/>
      <c r="C58" s="217"/>
      <c r="D58" s="151" t="s">
        <v>130</v>
      </c>
      <c r="E58" s="95">
        <f>'2'!F58</f>
        <v>92602.96</v>
      </c>
      <c r="F58" s="145">
        <v>92625.63</v>
      </c>
      <c r="G58" s="112">
        <f t="shared" si="4"/>
        <v>22.669999999998254</v>
      </c>
      <c r="H58" s="99">
        <f>G58+'2'!H58</f>
        <v>340.63000000000466</v>
      </c>
      <c r="I58" s="95"/>
      <c r="J58" s="175">
        <f>H58/DAY(B2)</f>
        <v>113.54333333333489</v>
      </c>
      <c r="K58" s="79"/>
      <c r="L58" s="66"/>
      <c r="N58" s="87"/>
      <c r="O58" s="71"/>
    </row>
    <row r="59" spans="1:15" ht="29.25" x14ac:dyDescent="0.5">
      <c r="A59" s="201" t="s">
        <v>173</v>
      </c>
      <c r="B59" s="202"/>
      <c r="C59" s="202"/>
      <c r="D59" s="146"/>
      <c r="E59" s="146"/>
      <c r="F59" s="146"/>
      <c r="G59" s="119">
        <f>G49+G50+G51+G52+G53+G54+G55+G56+G57+G58</f>
        <v>5982.269999999995</v>
      </c>
      <c r="H59" s="99">
        <f>G59+'2'!H59</f>
        <v>17474.380000000005</v>
      </c>
      <c r="I59" s="95">
        <f>G7-G60</f>
        <v>2378.8600000000006</v>
      </c>
      <c r="J59" s="175">
        <f>H59/DAY(B2)</f>
        <v>5824.7933333333349</v>
      </c>
      <c r="K59" s="79"/>
      <c r="L59" s="66"/>
      <c r="N59" s="87"/>
      <c r="O59" s="71"/>
    </row>
    <row r="60" spans="1:15" ht="29.25" x14ac:dyDescent="0.4">
      <c r="A60" s="194"/>
      <c r="B60" s="195"/>
      <c r="C60" s="195"/>
      <c r="D60" s="146" t="s">
        <v>182</v>
      </c>
      <c r="E60" s="146"/>
      <c r="F60" s="146"/>
      <c r="G60" s="119">
        <f>G47+G59</f>
        <v>16813.240000000005</v>
      </c>
      <c r="H60" s="99">
        <f>G60+'2'!H60</f>
        <v>50769.270000000026</v>
      </c>
      <c r="I60" s="95">
        <f>G13-G60</f>
        <v>1852.0800000001764</v>
      </c>
      <c r="J60" s="175">
        <f>H60/DAY(B2)</f>
        <v>16923.090000000007</v>
      </c>
      <c r="K60" s="79"/>
      <c r="L60" s="66"/>
      <c r="N60" s="87"/>
      <c r="O60" s="71"/>
    </row>
    <row r="61" spans="1:15" s="68" customFormat="1" ht="27.75" x14ac:dyDescent="0.5">
      <c r="A61" s="837" t="s">
        <v>332</v>
      </c>
      <c r="B61" s="838"/>
      <c r="C61" s="839"/>
      <c r="D61" s="339"/>
      <c r="E61" s="339"/>
      <c r="F61" s="339"/>
      <c r="G61" s="340"/>
      <c r="H61" s="339"/>
      <c r="I61" s="339"/>
      <c r="J61" s="341"/>
      <c r="K61" s="69"/>
      <c r="L61" s="67"/>
      <c r="N61" s="87"/>
      <c r="O61" s="71"/>
    </row>
    <row r="62" spans="1:15" ht="27.75" x14ac:dyDescent="0.5">
      <c r="A62" s="818" t="s">
        <v>198</v>
      </c>
      <c r="B62" s="819"/>
      <c r="C62" s="820"/>
      <c r="D62" s="151" t="s">
        <v>142</v>
      </c>
      <c r="E62" s="95">
        <f>'2'!F62</f>
        <v>267213</v>
      </c>
      <c r="F62" s="164">
        <v>267243</v>
      </c>
      <c r="G62" s="112">
        <f t="shared" ref="G62:G63" si="5">F62-E62</f>
        <v>30</v>
      </c>
      <c r="H62" s="99">
        <f>G62+'2'!H62</f>
        <v>30</v>
      </c>
      <c r="I62" s="118"/>
      <c r="J62" s="175">
        <f>H62/DAY(B2)</f>
        <v>10</v>
      </c>
      <c r="K62" s="80"/>
      <c r="L62" s="66"/>
      <c r="N62" s="87"/>
      <c r="O62" s="71"/>
    </row>
    <row r="63" spans="1:15" ht="27.75" x14ac:dyDescent="0.5">
      <c r="A63" s="818" t="s">
        <v>199</v>
      </c>
      <c r="B63" s="819"/>
      <c r="C63" s="820"/>
      <c r="D63" s="151" t="s">
        <v>142</v>
      </c>
      <c r="E63" s="95">
        <f>'2'!F63</f>
        <v>212672</v>
      </c>
      <c r="F63" s="122">
        <v>212733</v>
      </c>
      <c r="G63" s="112">
        <f t="shared" si="5"/>
        <v>61</v>
      </c>
      <c r="H63" s="99">
        <f>G63+'2'!H63</f>
        <v>308</v>
      </c>
      <c r="I63" s="118"/>
      <c r="J63" s="175">
        <f>H63/DAY(B2)</f>
        <v>102.66666666666667</v>
      </c>
      <c r="K63" s="69"/>
      <c r="L63" s="66"/>
      <c r="N63" s="87"/>
      <c r="O63" s="71"/>
    </row>
    <row r="64" spans="1:15" ht="29.25" x14ac:dyDescent="0.5">
      <c r="A64" s="815" t="s">
        <v>200</v>
      </c>
      <c r="B64" s="816"/>
      <c r="C64" s="817"/>
      <c r="D64" s="151"/>
      <c r="E64" s="95">
        <f>'2'!F64</f>
        <v>0</v>
      </c>
      <c r="F64" s="122"/>
      <c r="G64" s="112">
        <f>G62+G63</f>
        <v>91</v>
      </c>
      <c r="H64" s="99">
        <f>G64+'2'!H64</f>
        <v>338</v>
      </c>
      <c r="I64" s="118"/>
      <c r="J64" s="175">
        <f>H64/DAY(B2)</f>
        <v>112.66666666666667</v>
      </c>
      <c r="K64" s="69"/>
      <c r="L64" s="66"/>
      <c r="N64" s="87"/>
      <c r="O64" s="71"/>
    </row>
    <row r="65" spans="1:15" ht="27.75" x14ac:dyDescent="0.5">
      <c r="A65" s="818" t="s">
        <v>201</v>
      </c>
      <c r="B65" s="819"/>
      <c r="C65" s="820"/>
      <c r="D65" s="151" t="s">
        <v>142</v>
      </c>
      <c r="E65" s="95">
        <f>'2'!F65</f>
        <v>432772</v>
      </c>
      <c r="F65" s="122">
        <v>432812</v>
      </c>
      <c r="G65" s="112">
        <f t="shared" ref="G65:G70" si="6">F65-E65</f>
        <v>40</v>
      </c>
      <c r="H65" s="99">
        <f>G65+'2'!H65</f>
        <v>198</v>
      </c>
      <c r="I65" s="118"/>
      <c r="J65" s="175">
        <f>H65/DAY(B2)</f>
        <v>66</v>
      </c>
      <c r="K65" s="69"/>
      <c r="L65" s="66"/>
      <c r="N65" s="87"/>
      <c r="O65" s="71"/>
    </row>
    <row r="66" spans="1:15" ht="27.75" x14ac:dyDescent="0.5">
      <c r="A66" s="345" t="s">
        <v>202</v>
      </c>
      <c r="B66" s="346"/>
      <c r="C66" s="346"/>
      <c r="D66" s="151" t="s">
        <v>142</v>
      </c>
      <c r="E66" s="95">
        <f>'2'!F66</f>
        <v>107269</v>
      </c>
      <c r="F66" s="122">
        <v>107287</v>
      </c>
      <c r="G66" s="112">
        <f t="shared" si="6"/>
        <v>18</v>
      </c>
      <c r="H66" s="99">
        <f>G66+'2'!H66</f>
        <v>73</v>
      </c>
      <c r="I66" s="118"/>
      <c r="J66" s="175">
        <f>H66/DAY(B2)</f>
        <v>24.333333333333332</v>
      </c>
      <c r="K66" s="78"/>
      <c r="L66" s="66"/>
      <c r="N66" s="87"/>
      <c r="O66" s="71"/>
    </row>
    <row r="67" spans="1:15" ht="27.75" x14ac:dyDescent="0.5">
      <c r="A67" s="345" t="s">
        <v>203</v>
      </c>
      <c r="B67" s="346"/>
      <c r="C67" s="346"/>
      <c r="D67" s="151" t="s">
        <v>142</v>
      </c>
      <c r="E67" s="95">
        <f>'2'!F67</f>
        <v>104007</v>
      </c>
      <c r="F67" s="122">
        <v>104027</v>
      </c>
      <c r="G67" s="112">
        <f t="shared" si="6"/>
        <v>20</v>
      </c>
      <c r="H67" s="99">
        <f>G67+'2'!H67</f>
        <v>99</v>
      </c>
      <c r="I67" s="118"/>
      <c r="J67" s="175">
        <f>H67/DAY(B2)</f>
        <v>33</v>
      </c>
      <c r="K67" s="81"/>
      <c r="L67" s="66"/>
      <c r="N67" s="87"/>
      <c r="O67" s="71"/>
    </row>
    <row r="68" spans="1:15" ht="27.75" x14ac:dyDescent="0.5">
      <c r="A68" s="345" t="s">
        <v>204</v>
      </c>
      <c r="B68" s="346"/>
      <c r="C68" s="346"/>
      <c r="D68" s="151" t="s">
        <v>142</v>
      </c>
      <c r="E68" s="95">
        <f>'2'!F68</f>
        <v>156644</v>
      </c>
      <c r="F68" s="122">
        <v>156653</v>
      </c>
      <c r="G68" s="112">
        <f t="shared" si="6"/>
        <v>9</v>
      </c>
      <c r="H68" s="99">
        <f>G68+'2'!H68</f>
        <v>33</v>
      </c>
      <c r="I68" s="118"/>
      <c r="J68" s="175">
        <f>H68/DAY(B2)</f>
        <v>11</v>
      </c>
      <c r="K68" s="69"/>
      <c r="L68" s="66"/>
      <c r="N68" s="87"/>
      <c r="O68" s="71"/>
    </row>
    <row r="69" spans="1:15" ht="27.75" x14ac:dyDescent="0.5">
      <c r="A69" s="345" t="s">
        <v>205</v>
      </c>
      <c r="B69" s="346"/>
      <c r="C69" s="346"/>
      <c r="D69" s="151" t="s">
        <v>142</v>
      </c>
      <c r="E69" s="95">
        <f>'2'!F69</f>
        <v>10250</v>
      </c>
      <c r="F69" s="122">
        <v>10272</v>
      </c>
      <c r="G69" s="112">
        <f t="shared" si="6"/>
        <v>22</v>
      </c>
      <c r="H69" s="99">
        <f>G69+'2'!H69</f>
        <v>58</v>
      </c>
      <c r="I69" s="118"/>
      <c r="J69" s="175">
        <f>H69/DAY(B2)</f>
        <v>19.333333333333332</v>
      </c>
      <c r="K69" s="69"/>
      <c r="L69" s="66"/>
      <c r="N69" s="87"/>
      <c r="O69" s="71"/>
    </row>
    <row r="70" spans="1:15" ht="27.75" x14ac:dyDescent="0.5">
      <c r="A70" s="345" t="s">
        <v>206</v>
      </c>
      <c r="B70" s="346"/>
      <c r="C70" s="346"/>
      <c r="D70" s="151" t="s">
        <v>142</v>
      </c>
      <c r="E70" s="95">
        <f>'2'!F70</f>
        <v>7887</v>
      </c>
      <c r="F70" s="122">
        <v>7894</v>
      </c>
      <c r="G70" s="112">
        <f t="shared" si="6"/>
        <v>7</v>
      </c>
      <c r="H70" s="99">
        <f>G70+'2'!H70</f>
        <v>32</v>
      </c>
      <c r="I70" s="118"/>
      <c r="J70" s="175">
        <f>H70/DAY(B2)</f>
        <v>10.666666666666666</v>
      </c>
      <c r="K70" s="69"/>
      <c r="L70" s="66"/>
      <c r="N70" s="87"/>
      <c r="O70" s="71"/>
    </row>
    <row r="71" spans="1:15" ht="29.25" x14ac:dyDescent="0.5">
      <c r="A71" s="815" t="s">
        <v>208</v>
      </c>
      <c r="B71" s="816"/>
      <c r="C71" s="817"/>
      <c r="D71" s="152"/>
      <c r="E71" s="152"/>
      <c r="F71" s="152"/>
      <c r="G71" s="153">
        <f>SUM(G65:G70)</f>
        <v>116</v>
      </c>
      <c r="H71" s="99">
        <f>G71+'2'!H71</f>
        <v>493</v>
      </c>
      <c r="I71" s="154"/>
      <c r="J71" s="175">
        <f>H71/DAY(B2)</f>
        <v>164.33333333333334</v>
      </c>
      <c r="K71" s="69"/>
      <c r="L71" s="66"/>
      <c r="N71" s="87"/>
      <c r="O71" s="71"/>
    </row>
    <row r="72" spans="1:15" s="88" customFormat="1" ht="27.75" x14ac:dyDescent="0.5">
      <c r="A72" s="861"/>
      <c r="B72" s="853"/>
      <c r="C72" s="347"/>
      <c r="D72" s="180"/>
      <c r="E72" s="180" t="s">
        <v>207</v>
      </c>
      <c r="F72" s="180"/>
      <c r="G72" s="180"/>
      <c r="H72" s="181"/>
      <c r="I72" s="180"/>
      <c r="J72" s="182"/>
      <c r="N72" s="87"/>
      <c r="O72" s="71"/>
    </row>
    <row r="73" spans="1:15" ht="29.25" x14ac:dyDescent="0.5">
      <c r="A73" s="866" t="s">
        <v>333</v>
      </c>
      <c r="B73" s="867"/>
      <c r="C73" s="868"/>
      <c r="D73" s="339"/>
      <c r="E73" s="339"/>
      <c r="F73" s="339"/>
      <c r="G73" s="342"/>
      <c r="H73" s="342"/>
      <c r="I73" s="342"/>
      <c r="J73" s="343"/>
      <c r="K73" s="69"/>
      <c r="L73" s="66"/>
      <c r="N73" s="87"/>
      <c r="O73" s="71"/>
    </row>
    <row r="74" spans="1:15" ht="27.75" x14ac:dyDescent="0.5">
      <c r="A74" s="818" t="s">
        <v>220</v>
      </c>
      <c r="B74" s="819"/>
      <c r="C74" s="820"/>
      <c r="D74" s="151" t="s">
        <v>139</v>
      </c>
      <c r="E74" s="95">
        <f>'2'!F74</f>
        <v>892557.8</v>
      </c>
      <c r="F74" s="117">
        <v>892798.36</v>
      </c>
      <c r="G74" s="112">
        <f t="shared" ref="G74:G78" si="7">F74-E74</f>
        <v>240.55999999993946</v>
      </c>
      <c r="H74" s="99">
        <f>G74+'2'!H74</f>
        <v>766.35999999998603</v>
      </c>
      <c r="I74" s="154"/>
      <c r="J74" s="175">
        <f>H74/DAY(B2)</f>
        <v>255.45333333332869</v>
      </c>
      <c r="K74" s="69"/>
      <c r="L74" s="66"/>
      <c r="N74" s="87"/>
      <c r="O74" s="71"/>
    </row>
    <row r="75" spans="1:15" ht="27.75" x14ac:dyDescent="0.5">
      <c r="A75" s="818" t="s">
        <v>221</v>
      </c>
      <c r="B75" s="819"/>
      <c r="C75" s="820"/>
      <c r="D75" s="151" t="s">
        <v>139</v>
      </c>
      <c r="E75" s="95">
        <f>'2'!F75</f>
        <v>73586.8</v>
      </c>
      <c r="F75" s="123">
        <v>73586.8</v>
      </c>
      <c r="G75" s="112">
        <f t="shared" si="7"/>
        <v>0</v>
      </c>
      <c r="H75" s="99">
        <f>G75+'2'!H75</f>
        <v>0</v>
      </c>
      <c r="I75" s="154"/>
      <c r="J75" s="175">
        <f>H75/DAY(B2)</f>
        <v>0</v>
      </c>
      <c r="K75" s="69"/>
      <c r="L75" s="66"/>
      <c r="N75" s="87"/>
      <c r="O75" s="71"/>
    </row>
    <row r="76" spans="1:15" ht="27.75" x14ac:dyDescent="0.5">
      <c r="A76" s="862" t="s">
        <v>222</v>
      </c>
      <c r="B76" s="848"/>
      <c r="C76" s="849"/>
      <c r="D76" s="151" t="s">
        <v>139</v>
      </c>
      <c r="E76" s="95">
        <f>'2'!F76</f>
        <v>167408.5</v>
      </c>
      <c r="F76" s="123">
        <v>167499</v>
      </c>
      <c r="G76" s="112">
        <f t="shared" si="7"/>
        <v>90.5</v>
      </c>
      <c r="H76" s="99">
        <f>G76+'2'!H76</f>
        <v>292</v>
      </c>
      <c r="I76" s="154"/>
      <c r="J76" s="175">
        <f>H76/DAY(B2)</f>
        <v>97.333333333333329</v>
      </c>
      <c r="K76" s="69"/>
      <c r="L76" s="66"/>
      <c r="N76" s="87"/>
      <c r="O76" s="71"/>
    </row>
    <row r="77" spans="1:15" ht="27.75" x14ac:dyDescent="0.5">
      <c r="A77" s="862" t="s">
        <v>223</v>
      </c>
      <c r="B77" s="848"/>
      <c r="C77" s="849"/>
      <c r="D77" s="151" t="s">
        <v>139</v>
      </c>
      <c r="E77" s="95">
        <f>'2'!F77</f>
        <v>40383.4</v>
      </c>
      <c r="F77" s="123">
        <v>40418.1</v>
      </c>
      <c r="G77" s="112">
        <f t="shared" si="7"/>
        <v>34.69999999999709</v>
      </c>
      <c r="H77" s="99">
        <f>G77+'2'!H77</f>
        <v>102.09999999999854</v>
      </c>
      <c r="I77" s="154"/>
      <c r="J77" s="175">
        <f>H77/DAY(B2)</f>
        <v>34.033333333332848</v>
      </c>
      <c r="K77" s="69"/>
      <c r="L77" s="66"/>
      <c r="N77" s="87"/>
      <c r="O77" s="71"/>
    </row>
    <row r="78" spans="1:15" ht="27.75" x14ac:dyDescent="0.5">
      <c r="A78" s="862" t="s">
        <v>224</v>
      </c>
      <c r="B78" s="848"/>
      <c r="C78" s="849"/>
      <c r="D78" s="151" t="s">
        <v>139</v>
      </c>
      <c r="E78" s="95">
        <f>'2'!F78</f>
        <v>9488.5</v>
      </c>
      <c r="F78" s="123">
        <v>9489.2999999999993</v>
      </c>
      <c r="G78" s="112">
        <f t="shared" si="7"/>
        <v>0.7999999999992724</v>
      </c>
      <c r="H78" s="99">
        <f>G78+'2'!H78</f>
        <v>3.2999999999992724</v>
      </c>
      <c r="I78" s="118"/>
      <c r="J78" s="175">
        <f>H78/DAY(B2)</f>
        <v>1.0999999999997574</v>
      </c>
      <c r="K78" s="69"/>
      <c r="L78" s="66"/>
      <c r="N78" s="87"/>
      <c r="O78" s="71"/>
    </row>
    <row r="79" spans="1:15" s="57" customFormat="1" ht="27.75" x14ac:dyDescent="0.5">
      <c r="A79" s="862" t="s">
        <v>225</v>
      </c>
      <c r="B79" s="848"/>
      <c r="C79" s="849"/>
      <c r="D79" s="151"/>
      <c r="E79" s="95">
        <f>'2'!F79</f>
        <v>0</v>
      </c>
      <c r="F79" s="117"/>
      <c r="G79" s="112">
        <f>G15-SUM(G74:G78)</f>
        <v>158.22700000007535</v>
      </c>
      <c r="H79" s="99">
        <f>G79+'2'!H79</f>
        <v>1239.639999999923</v>
      </c>
      <c r="I79" s="118"/>
      <c r="J79" s="175"/>
      <c r="K79" s="59"/>
      <c r="L79" s="58"/>
      <c r="N79" s="87"/>
      <c r="O79" s="71"/>
    </row>
    <row r="80" spans="1:15" s="57" customFormat="1" ht="29.25" x14ac:dyDescent="0.5">
      <c r="A80" s="815" t="s">
        <v>329</v>
      </c>
      <c r="B80" s="816"/>
      <c r="C80" s="817"/>
      <c r="D80" s="151"/>
      <c r="E80" s="117"/>
      <c r="F80" s="117"/>
      <c r="G80" s="112">
        <f>SUM(G74:G79)</f>
        <v>524.78700000001118</v>
      </c>
      <c r="H80" s="99">
        <f>G80+'2'!H80</f>
        <v>1333.314000000013</v>
      </c>
      <c r="I80" s="118"/>
      <c r="J80" s="175"/>
      <c r="K80" s="59"/>
      <c r="L80" s="58"/>
      <c r="N80" s="87"/>
      <c r="O80" s="71"/>
    </row>
    <row r="81" spans="1:15" ht="27" x14ac:dyDescent="0.4">
      <c r="A81" s="854" t="s">
        <v>226</v>
      </c>
      <c r="B81" s="855"/>
      <c r="C81" s="856"/>
      <c r="D81" s="110"/>
      <c r="E81" s="110"/>
      <c r="F81" s="110"/>
      <c r="G81" s="163"/>
      <c r="H81" s="163"/>
      <c r="I81" s="163"/>
      <c r="J81" s="184"/>
      <c r="O81" s="71"/>
    </row>
    <row r="82" spans="1:15" ht="27.75" x14ac:dyDescent="0.5">
      <c r="A82" s="345" t="s">
        <v>227</v>
      </c>
      <c r="B82" s="346"/>
      <c r="C82" s="346"/>
      <c r="D82" s="151" t="s">
        <v>228</v>
      </c>
      <c r="E82" s="95">
        <f>'2'!F82</f>
        <v>0</v>
      </c>
      <c r="F82" s="122">
        <v>0</v>
      </c>
      <c r="G82" s="112">
        <f t="shared" ref="G82:G92" si="8">F82-E82</f>
        <v>0</v>
      </c>
      <c r="H82" s="99">
        <f>G82+'2'!H82</f>
        <v>0</v>
      </c>
      <c r="I82" s="118"/>
      <c r="J82" s="175">
        <f>H82/DAY(B2)</f>
        <v>0</v>
      </c>
      <c r="O82" s="71"/>
    </row>
    <row r="83" spans="1:15" ht="27.75" x14ac:dyDescent="0.5">
      <c r="A83" s="345" t="s">
        <v>229</v>
      </c>
      <c r="B83" s="346"/>
      <c r="C83" s="346"/>
      <c r="D83" s="151" t="s">
        <v>228</v>
      </c>
      <c r="E83" s="95">
        <f>'2'!F83</f>
        <v>0</v>
      </c>
      <c r="F83" s="122">
        <v>0</v>
      </c>
      <c r="G83" s="112">
        <f t="shared" si="8"/>
        <v>0</v>
      </c>
      <c r="H83" s="99">
        <f>G83+'2'!H83</f>
        <v>0</v>
      </c>
      <c r="I83" s="118"/>
      <c r="J83" s="175">
        <f>H83/DAY(B2)</f>
        <v>0</v>
      </c>
      <c r="O83" s="71"/>
    </row>
    <row r="84" spans="1:15" ht="27.75" x14ac:dyDescent="0.5">
      <c r="A84" s="345" t="s">
        <v>230</v>
      </c>
      <c r="B84" s="346"/>
      <c r="C84" s="346"/>
      <c r="D84" s="151" t="s">
        <v>228</v>
      </c>
      <c r="E84" s="95">
        <f>'2'!F84</f>
        <v>41675</v>
      </c>
      <c r="F84" s="164">
        <v>41675</v>
      </c>
      <c r="G84" s="112">
        <f t="shared" si="8"/>
        <v>0</v>
      </c>
      <c r="H84" s="99">
        <f>G84+'2'!H84</f>
        <v>0</v>
      </c>
      <c r="I84" s="118"/>
      <c r="J84" s="175">
        <f>H84/DAY(B2)</f>
        <v>0</v>
      </c>
      <c r="O84" s="71"/>
    </row>
    <row r="85" spans="1:15" ht="27.75" x14ac:dyDescent="0.5">
      <c r="A85" s="345" t="s">
        <v>231</v>
      </c>
      <c r="B85" s="346"/>
      <c r="C85" s="346"/>
      <c r="D85" s="151" t="s">
        <v>228</v>
      </c>
      <c r="E85" s="95">
        <f>'2'!F85</f>
        <v>2096.56</v>
      </c>
      <c r="F85" s="164">
        <v>2096.56</v>
      </c>
      <c r="G85" s="112">
        <f t="shared" si="8"/>
        <v>0</v>
      </c>
      <c r="H85" s="99">
        <f>G85+'2'!H85</f>
        <v>0</v>
      </c>
      <c r="I85" s="118">
        <f>G82+G83+G84+G85</f>
        <v>0</v>
      </c>
      <c r="J85" s="175">
        <f>H85/DAY(B2)</f>
        <v>0</v>
      </c>
      <c r="O85" s="71"/>
    </row>
    <row r="86" spans="1:15" ht="27.75" x14ac:dyDescent="0.5">
      <c r="A86" s="345" t="s">
        <v>232</v>
      </c>
      <c r="B86" s="346"/>
      <c r="C86" s="346"/>
      <c r="D86" s="151" t="s">
        <v>228</v>
      </c>
      <c r="E86" s="95">
        <f>'2'!F86</f>
        <v>42911.11</v>
      </c>
      <c r="F86" s="164">
        <v>42935.15</v>
      </c>
      <c r="G86" s="112">
        <f t="shared" si="8"/>
        <v>24.040000000000873</v>
      </c>
      <c r="H86" s="99">
        <f>G86+'2'!H86</f>
        <v>72.150000000001455</v>
      </c>
      <c r="I86" s="118"/>
      <c r="J86" s="175">
        <f>H86/DAY(B2)</f>
        <v>24.050000000000484</v>
      </c>
      <c r="O86" s="71"/>
    </row>
    <row r="87" spans="1:15" ht="27.75" x14ac:dyDescent="0.5">
      <c r="A87" s="345" t="s">
        <v>233</v>
      </c>
      <c r="B87" s="346"/>
      <c r="C87" s="346"/>
      <c r="D87" s="151" t="s">
        <v>228</v>
      </c>
      <c r="E87" s="95">
        <f>'2'!F87</f>
        <v>34598.550000000003</v>
      </c>
      <c r="F87" s="164">
        <v>34598.550000000003</v>
      </c>
      <c r="G87" s="112">
        <f t="shared" si="8"/>
        <v>0</v>
      </c>
      <c r="H87" s="99">
        <f>G87+'2'!H87</f>
        <v>0</v>
      </c>
      <c r="I87" s="118"/>
      <c r="J87" s="175">
        <f>H87/DAY(B2)</f>
        <v>0</v>
      </c>
      <c r="O87" s="71"/>
    </row>
    <row r="88" spans="1:15" ht="27.75" x14ac:dyDescent="0.5">
      <c r="A88" s="345" t="s">
        <v>234</v>
      </c>
      <c r="B88" s="346"/>
      <c r="C88" s="346"/>
      <c r="D88" s="151" t="s">
        <v>228</v>
      </c>
      <c r="E88" s="95">
        <f>'2'!F88</f>
        <v>24056.07</v>
      </c>
      <c r="F88" s="164">
        <v>24056.07</v>
      </c>
      <c r="G88" s="112">
        <f t="shared" si="8"/>
        <v>0</v>
      </c>
      <c r="H88" s="99">
        <f>G88+'2'!H88</f>
        <v>9.069999999999709</v>
      </c>
      <c r="I88" s="118">
        <f>G86+G87+G88</f>
        <v>24.040000000000873</v>
      </c>
      <c r="J88" s="175">
        <f>H88/DAY(B2)</f>
        <v>3.0233333333332362</v>
      </c>
      <c r="O88" s="71"/>
    </row>
    <row r="89" spans="1:15" ht="27.75" x14ac:dyDescent="0.5">
      <c r="A89" s="345" t="s">
        <v>235</v>
      </c>
      <c r="B89" s="346"/>
      <c r="C89" s="346"/>
      <c r="D89" s="151" t="s">
        <v>228</v>
      </c>
      <c r="E89" s="95">
        <f>'2'!F89</f>
        <v>25667.56</v>
      </c>
      <c r="F89" s="164">
        <v>25667.56</v>
      </c>
      <c r="G89" s="112">
        <f t="shared" si="8"/>
        <v>0</v>
      </c>
      <c r="H89" s="99">
        <f>G89+'2'!H89</f>
        <v>4.5600000000013097</v>
      </c>
      <c r="I89" s="118"/>
      <c r="J89" s="175">
        <f>H89/DAY(B2)</f>
        <v>1.5200000000004366</v>
      </c>
      <c r="O89" s="71"/>
    </row>
    <row r="90" spans="1:15" ht="27.75" x14ac:dyDescent="0.5">
      <c r="A90" s="345" t="s">
        <v>236</v>
      </c>
      <c r="B90" s="346"/>
      <c r="C90" s="346"/>
      <c r="D90" s="151" t="s">
        <v>228</v>
      </c>
      <c r="E90" s="95">
        <f>'2'!F90</f>
        <v>71048.759999999995</v>
      </c>
      <c r="F90" s="164">
        <v>71052</v>
      </c>
      <c r="G90" s="112">
        <f t="shared" si="8"/>
        <v>3.2400000000052387</v>
      </c>
      <c r="H90" s="99">
        <f>G90+'2'!H90</f>
        <v>18</v>
      </c>
      <c r="I90" s="118">
        <f>G89+G90</f>
        <v>3.2400000000052387</v>
      </c>
      <c r="J90" s="175">
        <f>H90/DAY(B2)</f>
        <v>6</v>
      </c>
      <c r="O90" s="71"/>
    </row>
    <row r="91" spans="1:15" ht="27.75" x14ac:dyDescent="0.5">
      <c r="A91" s="345" t="s">
        <v>237</v>
      </c>
      <c r="B91" s="346"/>
      <c r="C91" s="346"/>
      <c r="D91" s="151" t="s">
        <v>228</v>
      </c>
      <c r="E91" s="95">
        <f>'2'!F91</f>
        <v>3226.32</v>
      </c>
      <c r="F91" s="122">
        <v>3226.32</v>
      </c>
      <c r="G91" s="112">
        <f t="shared" si="8"/>
        <v>0</v>
      </c>
      <c r="H91" s="99">
        <f>G91+'2'!H91</f>
        <v>0</v>
      </c>
      <c r="I91" s="165"/>
      <c r="J91" s="175">
        <f>H91/DAY(B2)</f>
        <v>0</v>
      </c>
      <c r="O91" s="71"/>
    </row>
    <row r="92" spans="1:15" ht="27.75" x14ac:dyDescent="0.5">
      <c r="A92" s="345" t="s">
        <v>238</v>
      </c>
      <c r="B92" s="346"/>
      <c r="C92" s="346"/>
      <c r="D92" s="151" t="s">
        <v>228</v>
      </c>
      <c r="E92" s="95">
        <f>'2'!F92</f>
        <v>5456.67</v>
      </c>
      <c r="F92" s="122">
        <v>5465.21</v>
      </c>
      <c r="G92" s="112">
        <f t="shared" si="8"/>
        <v>8.5399999999999636</v>
      </c>
      <c r="H92" s="99">
        <f>G92+'2'!H92</f>
        <v>27.210000000000036</v>
      </c>
      <c r="I92" s="165"/>
      <c r="J92" s="175">
        <f>H92/DAY(B2)</f>
        <v>9.0700000000000127</v>
      </c>
      <c r="O92" s="71"/>
    </row>
    <row r="93" spans="1:15" ht="29.25" x14ac:dyDescent="0.5">
      <c r="A93" s="863" t="s">
        <v>239</v>
      </c>
      <c r="B93" s="864"/>
      <c r="C93" s="865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27.75" x14ac:dyDescent="0.5">
      <c r="A94" s="818" t="s">
        <v>240</v>
      </c>
      <c r="B94" s="819"/>
      <c r="C94" s="820"/>
      <c r="D94" s="151" t="s">
        <v>130</v>
      </c>
      <c r="E94" s="151"/>
      <c r="F94" s="151"/>
      <c r="G94" s="99">
        <f>G35+G43+G49+G57</f>
        <v>6192.9799999999959</v>
      </c>
      <c r="H94" s="99">
        <f>G94+'2'!H94</f>
        <v>18504.020000000011</v>
      </c>
      <c r="I94" s="118"/>
      <c r="J94" s="175">
        <f>H94/DAY(B2)</f>
        <v>6168.0066666666708</v>
      </c>
      <c r="K94" s="69"/>
      <c r="L94" s="66"/>
      <c r="O94" s="71"/>
    </row>
    <row r="95" spans="1:15" ht="27.75" x14ac:dyDescent="0.5">
      <c r="A95" s="818" t="s">
        <v>241</v>
      </c>
      <c r="B95" s="819"/>
      <c r="C95" s="820"/>
      <c r="D95" s="151" t="s">
        <v>23</v>
      </c>
      <c r="E95" s="146"/>
      <c r="F95" s="146"/>
      <c r="G95" s="166">
        <f>G94/G7</f>
        <v>0.32268381261039669</v>
      </c>
      <c r="H95" s="99">
        <f>G95+'2'!H95</f>
        <v>0.94609754473308449</v>
      </c>
      <c r="I95" s="167"/>
      <c r="J95" s="175">
        <f>H95/DAY(B2)</f>
        <v>0.31536584824436148</v>
      </c>
      <c r="K95" s="69"/>
      <c r="L95" s="66"/>
      <c r="O95" s="71"/>
    </row>
    <row r="96" spans="1:15" ht="27.75" x14ac:dyDescent="0.5">
      <c r="A96" s="818" t="s">
        <v>242</v>
      </c>
      <c r="B96" s="819"/>
      <c r="C96" s="820"/>
      <c r="D96" s="151" t="s">
        <v>130</v>
      </c>
      <c r="E96" s="95"/>
      <c r="F96" s="95"/>
      <c r="G96" s="99">
        <f>G41+G42+G55+G56</f>
        <v>3094.6399999999994</v>
      </c>
      <c r="H96" s="99">
        <f>G96+'2'!H96</f>
        <v>8626.0600000000049</v>
      </c>
      <c r="I96" s="118"/>
      <c r="J96" s="175">
        <f>H96/DAY(B2)</f>
        <v>2875.3533333333348</v>
      </c>
      <c r="K96" s="69"/>
      <c r="L96" s="66"/>
      <c r="O96" s="71"/>
    </row>
    <row r="97" spans="1:15" ht="27.75" x14ac:dyDescent="0.5">
      <c r="A97" s="818" t="s">
        <v>243</v>
      </c>
      <c r="B97" s="819"/>
      <c r="C97" s="820"/>
      <c r="D97" s="151" t="s">
        <v>23</v>
      </c>
      <c r="E97" s="95"/>
      <c r="F97" s="95"/>
      <c r="G97" s="166">
        <f>G96/G7</f>
        <v>0.16124551247648763</v>
      </c>
      <c r="H97" s="99">
        <f>G97+'2'!H97</f>
        <v>0.44183790014917224</v>
      </c>
      <c r="I97" s="167"/>
      <c r="J97" s="175">
        <f>H97/DAY(B2)</f>
        <v>0.14727930004972409</v>
      </c>
      <c r="K97" s="69"/>
      <c r="L97" s="66"/>
      <c r="O97" s="71"/>
    </row>
    <row r="98" spans="1:15" ht="27.75" x14ac:dyDescent="0.5">
      <c r="A98" s="818" t="s">
        <v>244</v>
      </c>
      <c r="B98" s="819"/>
      <c r="C98" s="820"/>
      <c r="D98" s="151" t="s">
        <v>130</v>
      </c>
      <c r="E98" s="95"/>
      <c r="F98" s="95"/>
      <c r="G98" s="99">
        <f>G39+G53</f>
        <v>2758.7999999999884</v>
      </c>
      <c r="H98" s="99">
        <f>G98+'2'!H98</f>
        <v>8204.9899999999907</v>
      </c>
      <c r="I98" s="168"/>
      <c r="J98" s="175">
        <f>H98/DAY(B2)</f>
        <v>2734.9966666666637</v>
      </c>
      <c r="K98" s="69"/>
      <c r="L98" s="66"/>
      <c r="O98" s="71"/>
    </row>
    <row r="99" spans="1:15" ht="27.75" x14ac:dyDescent="0.5">
      <c r="A99" s="818" t="s">
        <v>245</v>
      </c>
      <c r="B99" s="819"/>
      <c r="C99" s="820"/>
      <c r="D99" s="151" t="s">
        <v>23</v>
      </c>
      <c r="E99" s="95"/>
      <c r="F99" s="95"/>
      <c r="G99" s="166">
        <f>G98/G7</f>
        <v>0.14374664575528406</v>
      </c>
      <c r="H99" s="99">
        <f>G99+'2'!H99</f>
        <v>0.41957730200063381</v>
      </c>
      <c r="I99" s="168"/>
      <c r="J99" s="175">
        <f>H99/DAY(B2)</f>
        <v>0.13985910066687793</v>
      </c>
      <c r="O99" s="71"/>
    </row>
    <row r="100" spans="1:15" ht="27.75" x14ac:dyDescent="0.5">
      <c r="A100" s="818" t="s">
        <v>246</v>
      </c>
      <c r="B100" s="819"/>
      <c r="C100" s="820"/>
      <c r="D100" s="151" t="s">
        <v>180</v>
      </c>
      <c r="E100" s="95"/>
      <c r="F100" s="95"/>
      <c r="G100" s="99">
        <f>G38+G52</f>
        <v>1476.640000000014</v>
      </c>
      <c r="H100" s="99">
        <f>G100+'2'!H100</f>
        <v>4705.1300000000047</v>
      </c>
      <c r="I100" s="118"/>
      <c r="J100" s="175">
        <f>H100/DAY(B2)</f>
        <v>1568.3766666666681</v>
      </c>
      <c r="K100" s="70"/>
      <c r="O100" s="71"/>
    </row>
    <row r="101" spans="1:15" ht="27.75" x14ac:dyDescent="0.5">
      <c r="A101" s="818" t="s">
        <v>247</v>
      </c>
      <c r="B101" s="819"/>
      <c r="C101" s="820"/>
      <c r="D101" s="151" t="s">
        <v>23</v>
      </c>
      <c r="E101" s="95"/>
      <c r="F101" s="95"/>
      <c r="G101" s="166">
        <f>G100/G7</f>
        <v>7.6939990933770325E-2</v>
      </c>
      <c r="H101" s="99">
        <f>G101+'2'!H101</f>
        <v>0.24038495437238513</v>
      </c>
      <c r="I101" s="168"/>
      <c r="J101" s="175">
        <f>H101/DAY(B2)</f>
        <v>8.0128318124128378E-2</v>
      </c>
      <c r="O101" s="71"/>
    </row>
    <row r="102" spans="1:15" ht="27.75" x14ac:dyDescent="0.5">
      <c r="A102" s="818" t="s">
        <v>248</v>
      </c>
      <c r="B102" s="819"/>
      <c r="C102" s="820"/>
      <c r="D102" s="151" t="s">
        <v>180</v>
      </c>
      <c r="E102" s="95"/>
      <c r="F102" s="95"/>
      <c r="G102" s="99">
        <f>G36+G50</f>
        <v>1748.8199999999997</v>
      </c>
      <c r="H102" s="99">
        <f>G102+'2'!H102</f>
        <v>5777.43</v>
      </c>
      <c r="I102" s="168"/>
      <c r="J102" s="175">
        <f>H102/DAY(B2)</f>
        <v>1925.8100000000002</v>
      </c>
      <c r="O102" s="71"/>
    </row>
    <row r="103" spans="1:15" ht="27.75" x14ac:dyDescent="0.5">
      <c r="A103" s="818" t="s">
        <v>249</v>
      </c>
      <c r="B103" s="819"/>
      <c r="C103" s="820"/>
      <c r="D103" s="151" t="s">
        <v>23</v>
      </c>
      <c r="E103" s="95"/>
      <c r="F103" s="95"/>
      <c r="G103" s="166">
        <f>G102/G7</f>
        <v>9.1121867851876509E-2</v>
      </c>
      <c r="H103" s="99">
        <f>G103+'2'!H103</f>
        <v>0.29501630033698834</v>
      </c>
      <c r="I103" s="118"/>
      <c r="J103" s="175">
        <f>H103/DAY(B2)</f>
        <v>9.8338766778996112E-2</v>
      </c>
      <c r="O103" s="71"/>
    </row>
    <row r="104" spans="1:15" ht="27.75" x14ac:dyDescent="0.5">
      <c r="A104" s="818" t="s">
        <v>250</v>
      </c>
      <c r="B104" s="819"/>
      <c r="C104" s="820"/>
      <c r="D104" s="151" t="s">
        <v>180</v>
      </c>
      <c r="E104" s="95"/>
      <c r="F104" s="95"/>
      <c r="G104" s="99">
        <f>G37+G51</f>
        <v>1514.2000000000116</v>
      </c>
      <c r="H104" s="99">
        <f>G104+'2'!H104</f>
        <v>4596.9500000000116</v>
      </c>
      <c r="I104" s="118"/>
      <c r="J104" s="175">
        <f>H104/DAY(B2)</f>
        <v>1532.3166666666705</v>
      </c>
      <c r="O104" s="71"/>
    </row>
    <row r="105" spans="1:15" ht="28.5" thickBot="1" x14ac:dyDescent="0.55000000000000004">
      <c r="A105" s="858" t="s">
        <v>251</v>
      </c>
      <c r="B105" s="859"/>
      <c r="C105" s="860"/>
      <c r="D105" s="231" t="s">
        <v>23</v>
      </c>
      <c r="E105" s="185"/>
      <c r="F105" s="185"/>
      <c r="G105" s="186">
        <f>G104/G7</f>
        <v>7.8897046180460256E-2</v>
      </c>
      <c r="H105" s="99">
        <f>G105+'2'!H105</f>
        <v>0.23498600434882325</v>
      </c>
      <c r="I105" s="187"/>
      <c r="J105" s="188">
        <f>H105/DAY(B2)</f>
        <v>7.8328668116274411E-2</v>
      </c>
      <c r="O105" s="71"/>
    </row>
    <row r="106" spans="1:15" ht="29.25" x14ac:dyDescent="0.5">
      <c r="A106" s="105"/>
      <c r="B106" s="96"/>
      <c r="C106" s="96"/>
      <c r="D106" s="169"/>
      <c r="E106" s="169"/>
      <c r="F106" s="169"/>
      <c r="G106" s="169"/>
      <c r="H106" s="170"/>
      <c r="I106" s="169"/>
      <c r="J106" s="171"/>
      <c r="O106" s="71"/>
    </row>
    <row r="107" spans="1:15" ht="29.25" x14ac:dyDescent="0.5"/>
    <row r="108" spans="1:15" ht="31.5" x14ac:dyDescent="0.55000000000000004">
      <c r="A108" s="872" t="s">
        <v>324</v>
      </c>
      <c r="B108" s="872"/>
      <c r="C108" s="872"/>
      <c r="D108" s="872"/>
      <c r="E108" s="872"/>
      <c r="F108" s="872"/>
      <c r="G108" s="872"/>
      <c r="H108" s="872"/>
      <c r="I108" s="872"/>
      <c r="J108" s="872"/>
    </row>
    <row r="109" spans="1:15" ht="29.25" x14ac:dyDescent="0.5">
      <c r="A109" s="857"/>
      <c r="B109" s="857"/>
    </row>
    <row r="110" spans="1:15" ht="29.25" x14ac:dyDescent="0.5">
      <c r="A110" s="873" t="s">
        <v>165</v>
      </c>
      <c r="B110" s="874"/>
      <c r="C110" s="874"/>
      <c r="D110" s="874"/>
      <c r="E110" s="874"/>
      <c r="F110" s="874"/>
      <c r="G110" s="874"/>
      <c r="H110" s="874"/>
      <c r="I110" s="874"/>
      <c r="J110" s="875"/>
    </row>
    <row r="111" spans="1:15" ht="27.75" x14ac:dyDescent="0.5">
      <c r="A111" s="876"/>
      <c r="B111" s="877"/>
      <c r="C111" s="878"/>
      <c r="D111" s="165"/>
      <c r="E111" s="165"/>
      <c r="F111" s="165"/>
      <c r="G111" s="165"/>
      <c r="H111" s="156"/>
      <c r="I111" s="165"/>
      <c r="J111" s="327"/>
    </row>
    <row r="112" spans="1:15" ht="27.75" x14ac:dyDescent="0.5">
      <c r="A112" s="851" t="s">
        <v>252</v>
      </c>
      <c r="B112" s="852"/>
      <c r="C112" s="853"/>
      <c r="D112" s="146" t="s">
        <v>183</v>
      </c>
      <c r="E112" s="95">
        <f>'2'!F112</f>
        <v>55818.83</v>
      </c>
      <c r="F112" s="237">
        <v>55886.89</v>
      </c>
      <c r="G112" s="112">
        <f t="shared" ref="G112:G123" si="9">F112-E112</f>
        <v>68.059999999997672</v>
      </c>
      <c r="H112" s="99">
        <f>G112+'2'!H112</f>
        <v>205.88999999999942</v>
      </c>
      <c r="I112" s="165"/>
      <c r="J112" s="328">
        <f>H112/DAY(B2)</f>
        <v>68.629999999999811</v>
      </c>
    </row>
    <row r="113" spans="1:18" ht="29.25" customHeight="1" x14ac:dyDescent="0.5">
      <c r="A113" s="851" t="s">
        <v>253</v>
      </c>
      <c r="B113" s="852"/>
      <c r="C113" s="853"/>
      <c r="D113" s="146" t="s">
        <v>183</v>
      </c>
      <c r="E113" s="95">
        <f>'2'!F113</f>
        <v>33097.18</v>
      </c>
      <c r="F113" s="237">
        <v>33563</v>
      </c>
      <c r="G113" s="112">
        <f t="shared" si="9"/>
        <v>465.81999999999971</v>
      </c>
      <c r="H113" s="99">
        <f>G113+'2'!H113</f>
        <v>1368</v>
      </c>
      <c r="I113" s="165"/>
      <c r="J113" s="328">
        <f>H113/DAY(B2)</f>
        <v>456</v>
      </c>
    </row>
    <row r="114" spans="1:18" ht="29.25" customHeight="1" x14ac:dyDescent="0.5">
      <c r="A114" s="851" t="s">
        <v>254</v>
      </c>
      <c r="B114" s="852"/>
      <c r="C114" s="853"/>
      <c r="D114" s="146" t="s">
        <v>183</v>
      </c>
      <c r="E114" s="95">
        <f>'2'!F114</f>
        <v>25408.3</v>
      </c>
      <c r="F114" s="237">
        <v>25683.7</v>
      </c>
      <c r="G114" s="112">
        <f t="shared" si="9"/>
        <v>275.40000000000146</v>
      </c>
      <c r="H114" s="99">
        <f>G114+'2'!H114</f>
        <v>812.70000000000073</v>
      </c>
      <c r="I114" s="165"/>
      <c r="J114" s="328">
        <f>H114/DAY(B2)</f>
        <v>270.90000000000026</v>
      </c>
    </row>
    <row r="115" spans="1:18" ht="29.25" customHeight="1" x14ac:dyDescent="0.5">
      <c r="A115" s="851" t="s">
        <v>255</v>
      </c>
      <c r="B115" s="852"/>
      <c r="C115" s="853"/>
      <c r="D115" s="146" t="s">
        <v>183</v>
      </c>
      <c r="E115" s="95">
        <f>'2'!F115</f>
        <v>8802.7999999999993</v>
      </c>
      <c r="F115" s="237">
        <v>8813.23</v>
      </c>
      <c r="G115" s="112">
        <f t="shared" si="9"/>
        <v>10.430000000000291</v>
      </c>
      <c r="H115" s="99">
        <f>G115+'2'!H115</f>
        <v>28.229999999999563</v>
      </c>
      <c r="I115" s="165"/>
      <c r="J115" s="328">
        <f>H115/DAY(B2)</f>
        <v>9.4099999999998545</v>
      </c>
    </row>
    <row r="116" spans="1:18" ht="29.25" customHeight="1" x14ac:dyDescent="0.5">
      <c r="A116" s="869" t="s">
        <v>96</v>
      </c>
      <c r="B116" s="870"/>
      <c r="C116" s="871"/>
      <c r="D116" s="146" t="s">
        <v>183</v>
      </c>
      <c r="E116" s="95">
        <f>'2'!F116</f>
        <v>0</v>
      </c>
      <c r="F116" s="237">
        <v>0</v>
      </c>
      <c r="G116" s="112">
        <f t="shared" si="9"/>
        <v>0</v>
      </c>
      <c r="H116" s="99">
        <f>G116+'2'!H116</f>
        <v>0</v>
      </c>
      <c r="I116" s="165"/>
      <c r="J116" s="328">
        <f>H116/DAY(B2)</f>
        <v>0</v>
      </c>
      <c r="Q116" s="851"/>
      <c r="R116" s="853"/>
    </row>
    <row r="117" spans="1:18" ht="29.25" customHeight="1" x14ac:dyDescent="0.5">
      <c r="A117" s="869" t="s">
        <v>184</v>
      </c>
      <c r="B117" s="870"/>
      <c r="C117" s="871"/>
      <c r="D117" s="146" t="s">
        <v>183</v>
      </c>
      <c r="E117" s="95">
        <f>'2'!F117</f>
        <v>2632.21</v>
      </c>
      <c r="F117" s="237">
        <v>2652.96</v>
      </c>
      <c r="G117" s="112">
        <f t="shared" si="9"/>
        <v>20.75</v>
      </c>
      <c r="H117" s="99">
        <f>G117+'2'!H117</f>
        <v>62.960000000000036</v>
      </c>
      <c r="I117" s="165"/>
      <c r="J117" s="328">
        <f>H117/DAY(B2)</f>
        <v>20.986666666666679</v>
      </c>
      <c r="Q117" s="851"/>
      <c r="R117" s="853"/>
    </row>
    <row r="118" spans="1:18" ht="27.75" x14ac:dyDescent="0.5">
      <c r="A118" s="846" t="s">
        <v>97</v>
      </c>
      <c r="B118" s="846"/>
      <c r="C118" s="846"/>
      <c r="D118" s="151" t="s">
        <v>183</v>
      </c>
      <c r="E118" s="95">
        <f>'2'!F118</f>
        <v>242373.99</v>
      </c>
      <c r="F118" s="237">
        <v>242766.49</v>
      </c>
      <c r="G118" s="112">
        <f t="shared" si="9"/>
        <v>392.5</v>
      </c>
      <c r="H118" s="99">
        <f>G118+'2'!H118</f>
        <v>1119.4899999999907</v>
      </c>
      <c r="I118" s="165"/>
      <c r="J118" s="328">
        <f>H118/DAY(B2)</f>
        <v>373.16333333333023</v>
      </c>
      <c r="Q118" s="851"/>
      <c r="R118" s="853"/>
    </row>
    <row r="119" spans="1:18" ht="27.75" x14ac:dyDescent="0.5">
      <c r="A119" s="846" t="s">
        <v>98</v>
      </c>
      <c r="B119" s="846"/>
      <c r="C119" s="846"/>
      <c r="D119" s="151" t="s">
        <v>183</v>
      </c>
      <c r="E119" s="95">
        <f>'2'!F119</f>
        <v>245981.03</v>
      </c>
      <c r="F119" s="237">
        <v>246430.55</v>
      </c>
      <c r="G119" s="112">
        <f t="shared" si="9"/>
        <v>449.51999999998952</v>
      </c>
      <c r="H119" s="99">
        <f>G119+'2'!H119</f>
        <v>1304.5499999999884</v>
      </c>
      <c r="I119" s="165"/>
      <c r="J119" s="328">
        <f>H119/DAY(B2)</f>
        <v>434.8499999999961</v>
      </c>
    </row>
    <row r="120" spans="1:18" ht="27.75" x14ac:dyDescent="0.5">
      <c r="A120" s="846" t="s">
        <v>99</v>
      </c>
      <c r="B120" s="846"/>
      <c r="C120" s="846"/>
      <c r="D120" s="151" t="s">
        <v>183</v>
      </c>
      <c r="E120" s="95">
        <f>'2'!F120</f>
        <v>30933.07</v>
      </c>
      <c r="F120" s="237">
        <v>31362.45</v>
      </c>
      <c r="G120" s="112">
        <f t="shared" si="9"/>
        <v>429.38000000000102</v>
      </c>
      <c r="H120" s="99">
        <f>G120+'2'!H120</f>
        <v>1284.4500000000007</v>
      </c>
      <c r="I120" s="165"/>
      <c r="J120" s="328">
        <f>H120/DAY(B2)</f>
        <v>428.15000000000026</v>
      </c>
    </row>
    <row r="121" spans="1:18" ht="27.75" x14ac:dyDescent="0.5">
      <c r="A121" s="846" t="s">
        <v>100</v>
      </c>
      <c r="B121" s="846"/>
      <c r="C121" s="846"/>
      <c r="D121" s="151" t="s">
        <v>183</v>
      </c>
      <c r="E121" s="95">
        <f>'2'!F121</f>
        <v>378067.47</v>
      </c>
      <c r="F121" s="237">
        <v>378842.15</v>
      </c>
      <c r="G121" s="112">
        <f t="shared" si="9"/>
        <v>774.68000000005122</v>
      </c>
      <c r="H121" s="99">
        <f>G121+'2'!H121</f>
        <v>2313.1500000000233</v>
      </c>
      <c r="I121" s="165"/>
      <c r="J121" s="328">
        <f>H121/DAY(B2)</f>
        <v>771.0500000000078</v>
      </c>
    </row>
    <row r="122" spans="1:18" ht="27.75" x14ac:dyDescent="0.5">
      <c r="A122" s="846" t="s">
        <v>101</v>
      </c>
      <c r="B122" s="846"/>
      <c r="C122" s="846"/>
      <c r="D122" s="151" t="s">
        <v>183</v>
      </c>
      <c r="E122" s="95">
        <f>'2'!F122</f>
        <v>120477.6</v>
      </c>
      <c r="F122" s="237">
        <v>120716.54</v>
      </c>
      <c r="G122" s="112">
        <f t="shared" si="9"/>
        <v>238.93999999998778</v>
      </c>
      <c r="H122" s="99">
        <f>G122+'2'!H122</f>
        <v>666.5399999999936</v>
      </c>
      <c r="I122" s="165"/>
      <c r="J122" s="328">
        <f>H122/DAY(B2)</f>
        <v>222.17999999999788</v>
      </c>
    </row>
    <row r="123" spans="1:18" ht="27.75" x14ac:dyDescent="0.5">
      <c r="A123" s="846" t="s">
        <v>102</v>
      </c>
      <c r="B123" s="846"/>
      <c r="C123" s="846"/>
      <c r="D123" s="151" t="s">
        <v>183</v>
      </c>
      <c r="E123" s="95">
        <f>'2'!F123</f>
        <v>145818.76999999999</v>
      </c>
      <c r="F123" s="237">
        <v>146156.89000000001</v>
      </c>
      <c r="G123" s="112">
        <f t="shared" si="9"/>
        <v>338.12000000002445</v>
      </c>
      <c r="H123" s="99">
        <f>G123+'2'!H123</f>
        <v>1031.890000000014</v>
      </c>
      <c r="I123" s="165"/>
      <c r="J123" s="328">
        <f>H123/DAY(B2)</f>
        <v>343.96333333333797</v>
      </c>
    </row>
    <row r="124" spans="1:18" ht="29.25" customHeight="1" x14ac:dyDescent="0.5">
      <c r="A124" s="876"/>
      <c r="B124" s="877"/>
      <c r="C124" s="878"/>
      <c r="D124" s="165"/>
      <c r="E124" s="165"/>
      <c r="F124" s="165"/>
      <c r="G124" s="327"/>
      <c r="H124" s="156"/>
      <c r="I124" s="165"/>
      <c r="J124" s="327"/>
    </row>
    <row r="125" spans="1:18" ht="29.25" x14ac:dyDescent="0.5">
      <c r="A125" s="815" t="s">
        <v>196</v>
      </c>
      <c r="B125" s="816"/>
      <c r="C125" s="817"/>
      <c r="D125" s="307"/>
      <c r="E125" s="308"/>
      <c r="F125" s="308"/>
      <c r="G125" s="309">
        <f>SUM(G112:G124)</f>
        <v>3463.6000000000531</v>
      </c>
      <c r="H125" s="156"/>
      <c r="I125" s="327">
        <f>G125-(G39+G53)</f>
        <v>704.80000000006476</v>
      </c>
      <c r="J125" s="327"/>
    </row>
    <row r="126" spans="1:18" ht="27.75" x14ac:dyDescent="0.5">
      <c r="A126" s="881" t="s">
        <v>317</v>
      </c>
      <c r="B126" s="881"/>
      <c r="C126" s="881"/>
      <c r="D126" s="881"/>
      <c r="E126" s="881"/>
      <c r="F126" s="881"/>
      <c r="G126" s="881"/>
      <c r="H126" s="881"/>
      <c r="I126" s="881"/>
      <c r="J126" s="881"/>
    </row>
    <row r="127" spans="1:18" ht="27.75" x14ac:dyDescent="0.5">
      <c r="A127" s="882"/>
      <c r="B127" s="882"/>
      <c r="C127" s="245"/>
      <c r="D127" s="307"/>
      <c r="E127" s="95"/>
      <c r="F127" s="308"/>
      <c r="G127" s="309"/>
      <c r="H127" s="99">
        <f>G127+'2'!H127</f>
        <v>0</v>
      </c>
      <c r="I127" s="165"/>
      <c r="J127" s="328">
        <f>H127/DAY(B2)</f>
        <v>0</v>
      </c>
    </row>
    <row r="128" spans="1:18" ht="29.25" customHeight="1" x14ac:dyDescent="0.5">
      <c r="A128" s="851" t="s">
        <v>318</v>
      </c>
      <c r="B128" s="852"/>
      <c r="C128" s="853"/>
      <c r="D128" s="151" t="s">
        <v>183</v>
      </c>
      <c r="E128" s="95">
        <f>'2'!F128</f>
        <v>38727.72</v>
      </c>
      <c r="F128" s="165">
        <v>39060.46</v>
      </c>
      <c r="G128" s="112">
        <f t="shared" ref="G128:G134" si="10">F128-E128</f>
        <v>332.73999999999796</v>
      </c>
      <c r="H128" s="99">
        <f>G128+'2'!H128</f>
        <v>1056.4599999999991</v>
      </c>
      <c r="I128" s="165"/>
      <c r="J128" s="328">
        <f>H128/DAY(B2)</f>
        <v>352.15333333333302</v>
      </c>
    </row>
    <row r="129" spans="1:15" ht="27.75" x14ac:dyDescent="0.5">
      <c r="A129" s="329" t="s">
        <v>319</v>
      </c>
      <c r="B129" s="330"/>
      <c r="C129" s="331"/>
      <c r="D129" s="151" t="s">
        <v>183</v>
      </c>
      <c r="E129" s="95">
        <f>'2'!F129</f>
        <v>20725.8</v>
      </c>
      <c r="F129" s="165">
        <v>20938.84</v>
      </c>
      <c r="G129" s="112">
        <f t="shared" si="10"/>
        <v>213.04000000000087</v>
      </c>
      <c r="H129" s="99">
        <f>G129+'2'!H129</f>
        <v>617.84000000000015</v>
      </c>
      <c r="I129" s="165"/>
      <c r="J129" s="328">
        <f>H129/DAY(B2)</f>
        <v>205.94666666666672</v>
      </c>
      <c r="N129" s="240"/>
      <c r="O129" s="241"/>
    </row>
    <row r="130" spans="1:15" ht="27.75" x14ac:dyDescent="0.5">
      <c r="A130" s="329" t="s">
        <v>320</v>
      </c>
      <c r="B130" s="330"/>
      <c r="C130" s="331"/>
      <c r="D130" s="151" t="s">
        <v>183</v>
      </c>
      <c r="E130" s="95">
        <f>'2'!F130</f>
        <v>19929.53</v>
      </c>
      <c r="F130" s="165">
        <v>20550.099999999999</v>
      </c>
      <c r="G130" s="112">
        <f t="shared" si="10"/>
        <v>620.56999999999971</v>
      </c>
      <c r="H130" s="99">
        <f>G130+'2'!H130</f>
        <v>2168.0999999999985</v>
      </c>
      <c r="I130" s="165"/>
      <c r="J130" s="328">
        <f>H130/DAY(B2)</f>
        <v>722.69999999999948</v>
      </c>
      <c r="N130" s="240"/>
      <c r="O130" s="241"/>
    </row>
    <row r="131" spans="1:15" ht="27.75" x14ac:dyDescent="0.5">
      <c r="A131" s="851" t="s">
        <v>321</v>
      </c>
      <c r="B131" s="852"/>
      <c r="C131" s="853"/>
      <c r="D131" s="151" t="s">
        <v>183</v>
      </c>
      <c r="E131" s="95">
        <f>'2'!F131</f>
        <v>13311.723</v>
      </c>
      <c r="F131" s="165">
        <v>13412</v>
      </c>
      <c r="G131" s="112">
        <f t="shared" si="10"/>
        <v>100.27700000000004</v>
      </c>
      <c r="H131" s="99">
        <f>G131+'2'!H131</f>
        <v>259</v>
      </c>
      <c r="I131" s="165"/>
      <c r="J131" s="328">
        <f>H131/DAY(B2)</f>
        <v>86.333333333333329</v>
      </c>
      <c r="N131" s="240"/>
      <c r="O131" s="241"/>
    </row>
    <row r="132" spans="1:15" ht="27.75" x14ac:dyDescent="0.5">
      <c r="A132" s="851" t="s">
        <v>322</v>
      </c>
      <c r="B132" s="852"/>
      <c r="C132" s="853"/>
      <c r="D132" s="151" t="s">
        <v>183</v>
      </c>
      <c r="E132" s="95">
        <f>'2'!F132</f>
        <v>41921.1</v>
      </c>
      <c r="F132" s="165">
        <v>42365.21</v>
      </c>
      <c r="G132" s="112">
        <f t="shared" si="10"/>
        <v>444.11000000000058</v>
      </c>
      <c r="H132" s="99">
        <f>G132+'2'!H132</f>
        <v>1342.2099999999991</v>
      </c>
      <c r="I132" s="165"/>
      <c r="J132" s="328">
        <f>H132/DAY(B2)</f>
        <v>447.40333333333302</v>
      </c>
    </row>
    <row r="133" spans="1:15" ht="27.75" x14ac:dyDescent="0.5">
      <c r="A133" s="851" t="s">
        <v>342</v>
      </c>
      <c r="B133" s="852"/>
      <c r="C133" s="853"/>
      <c r="D133" s="151" t="s">
        <v>183</v>
      </c>
      <c r="E133" s="95">
        <f>'2'!F133</f>
        <v>89368.88</v>
      </c>
      <c r="F133" s="165">
        <v>90206.44</v>
      </c>
      <c r="G133" s="112">
        <f t="shared" si="10"/>
        <v>837.55999999999767</v>
      </c>
      <c r="H133" s="99">
        <f>G133+'2'!H133</f>
        <v>2503.4400000000023</v>
      </c>
      <c r="I133" s="165"/>
      <c r="J133" s="328">
        <f>H133/DAY(B2)</f>
        <v>834.48000000000081</v>
      </c>
    </row>
    <row r="134" spans="1:15" ht="27.75" x14ac:dyDescent="0.5">
      <c r="A134" s="893" t="s">
        <v>340</v>
      </c>
      <c r="B134" s="894"/>
      <c r="C134" s="889"/>
      <c r="D134" s="151" t="s">
        <v>183</v>
      </c>
      <c r="E134" s="95">
        <f>'2'!F134</f>
        <v>670206</v>
      </c>
      <c r="F134" s="165">
        <v>670802</v>
      </c>
      <c r="G134" s="112">
        <f t="shared" si="10"/>
        <v>596</v>
      </c>
      <c r="H134" s="99">
        <f>G134+'2'!H134</f>
        <v>1922</v>
      </c>
      <c r="I134" s="165"/>
      <c r="J134" s="328">
        <f>H134/DAY(B2)</f>
        <v>640.66666666666663</v>
      </c>
    </row>
    <row r="135" spans="1:15" ht="29.25" x14ac:dyDescent="0.5">
      <c r="A135" s="815" t="s">
        <v>196</v>
      </c>
      <c r="B135" s="816"/>
      <c r="C135" s="817"/>
      <c r="D135" s="151"/>
      <c r="E135" s="95"/>
      <c r="F135" s="165"/>
      <c r="G135" s="112">
        <f>SUM(G128:G134)</f>
        <v>3144.2969999999968</v>
      </c>
      <c r="H135" s="99">
        <f>G135+'2'!H135</f>
        <v>9869.0499999999993</v>
      </c>
      <c r="I135" s="327">
        <f>G135-(G35+G49)</f>
        <v>-629.01300000000083</v>
      </c>
      <c r="J135" s="328">
        <f>H135/DAY(B2)</f>
        <v>3289.6833333333329</v>
      </c>
    </row>
    <row r="136" spans="1:15" ht="31.5" x14ac:dyDescent="0.55000000000000004">
      <c r="A136" s="883" t="s">
        <v>325</v>
      </c>
      <c r="B136" s="883"/>
      <c r="C136" s="883"/>
      <c r="D136" s="883"/>
      <c r="E136" s="883"/>
      <c r="F136" s="883"/>
      <c r="G136" s="883"/>
      <c r="H136" s="883"/>
      <c r="I136" s="883"/>
      <c r="J136" s="883"/>
    </row>
    <row r="137" spans="1:15" ht="29.25" x14ac:dyDescent="0.5">
      <c r="A137" s="245"/>
      <c r="B137" s="246"/>
      <c r="C137" s="246"/>
      <c r="D137" s="165"/>
      <c r="E137" s="165"/>
      <c r="F137" s="165"/>
      <c r="G137" s="165"/>
      <c r="H137" s="156"/>
      <c r="I137" s="165"/>
      <c r="J137" s="327"/>
    </row>
    <row r="138" spans="1:15" ht="27.75" x14ac:dyDescent="0.5">
      <c r="A138" s="846" t="s">
        <v>185</v>
      </c>
      <c r="B138" s="846"/>
      <c r="C138" s="846"/>
      <c r="D138" s="151" t="s">
        <v>183</v>
      </c>
      <c r="E138" s="95">
        <f>'2'!F138</f>
        <v>864323</v>
      </c>
      <c r="F138" s="147">
        <v>864407</v>
      </c>
      <c r="G138" s="112">
        <f t="shared" ref="G138:G152" si="11">F138-E138</f>
        <v>84</v>
      </c>
      <c r="H138" s="99">
        <f>G138+'2'!H138</f>
        <v>236</v>
      </c>
      <c r="I138" s="118"/>
      <c r="J138" s="328">
        <f>H138/DAY(B2)</f>
        <v>78.666666666666671</v>
      </c>
    </row>
    <row r="139" spans="1:15" ht="27.75" x14ac:dyDescent="0.5">
      <c r="A139" s="846" t="s">
        <v>186</v>
      </c>
      <c r="B139" s="846"/>
      <c r="C139" s="846"/>
      <c r="D139" s="151" t="s">
        <v>183</v>
      </c>
      <c r="E139" s="95">
        <f>'2'!F139</f>
        <v>886547</v>
      </c>
      <c r="F139" s="148">
        <v>886547</v>
      </c>
      <c r="G139" s="112">
        <f t="shared" si="11"/>
        <v>0</v>
      </c>
      <c r="H139" s="99">
        <f>G139+'2'!H139</f>
        <v>1</v>
      </c>
      <c r="I139" s="118"/>
      <c r="J139" s="328">
        <f>H139/DAY(B2)</f>
        <v>0.33333333333333331</v>
      </c>
    </row>
    <row r="140" spans="1:15" ht="27.75" x14ac:dyDescent="0.5">
      <c r="A140" s="846" t="s">
        <v>187</v>
      </c>
      <c r="B140" s="846"/>
      <c r="C140" s="846"/>
      <c r="D140" s="151" t="s">
        <v>183</v>
      </c>
      <c r="E140" s="95">
        <f>'2'!F140</f>
        <v>88895.9</v>
      </c>
      <c r="F140" s="149">
        <v>88895.9</v>
      </c>
      <c r="G140" s="112">
        <f t="shared" si="11"/>
        <v>0</v>
      </c>
      <c r="H140" s="99">
        <f>G140+'2'!H140</f>
        <v>13.899999999994179</v>
      </c>
      <c r="I140" s="118"/>
      <c r="J140" s="328">
        <f>H140/DAY(B2)</f>
        <v>4.6333333333313931</v>
      </c>
    </row>
    <row r="141" spans="1:15" ht="27.75" x14ac:dyDescent="0.5">
      <c r="A141" s="850" t="s">
        <v>188</v>
      </c>
      <c r="B141" s="850"/>
      <c r="C141" s="850"/>
      <c r="D141" s="151" t="s">
        <v>183</v>
      </c>
      <c r="E141" s="95">
        <f>'2'!F141</f>
        <v>49670.7</v>
      </c>
      <c r="F141" s="149">
        <v>49854.8</v>
      </c>
      <c r="G141" s="112">
        <f t="shared" si="11"/>
        <v>184.10000000000582</v>
      </c>
      <c r="H141" s="99">
        <f>G141+'2'!H141</f>
        <v>548.80000000000291</v>
      </c>
      <c r="I141" s="118"/>
      <c r="J141" s="328">
        <f>H141/DAY(B2)</f>
        <v>182.9333333333343</v>
      </c>
    </row>
    <row r="142" spans="1:15" ht="27.75" x14ac:dyDescent="0.5">
      <c r="A142" s="850" t="s">
        <v>189</v>
      </c>
      <c r="B142" s="850"/>
      <c r="C142" s="850"/>
      <c r="D142" s="151" t="s">
        <v>183</v>
      </c>
      <c r="E142" s="95">
        <f>'2'!F142</f>
        <v>19154.12</v>
      </c>
      <c r="F142" s="148">
        <v>19223.8</v>
      </c>
      <c r="G142" s="112">
        <f t="shared" si="11"/>
        <v>69.680000000000291</v>
      </c>
      <c r="H142" s="99">
        <f>G142+'2'!H142</f>
        <v>214.79999999999927</v>
      </c>
      <c r="I142" s="140"/>
      <c r="J142" s="328">
        <f>H142/DAY(B2)</f>
        <v>71.599999999999753</v>
      </c>
    </row>
    <row r="143" spans="1:15" ht="27.75" x14ac:dyDescent="0.5">
      <c r="A143" s="846" t="s">
        <v>91</v>
      </c>
      <c r="B143" s="846"/>
      <c r="C143" s="846"/>
      <c r="D143" s="151" t="s">
        <v>183</v>
      </c>
      <c r="E143" s="95">
        <f>'2'!F143</f>
        <v>3113.3</v>
      </c>
      <c r="F143" s="149">
        <v>3121.69</v>
      </c>
      <c r="G143" s="112">
        <f t="shared" si="11"/>
        <v>8.3899999999998727</v>
      </c>
      <c r="H143" s="99">
        <f>G143+'2'!H143</f>
        <v>60.690000000000055</v>
      </c>
      <c r="I143" s="140"/>
      <c r="J143" s="328">
        <f>H143/DAY(B2)</f>
        <v>20.230000000000018</v>
      </c>
    </row>
    <row r="144" spans="1:15" ht="27.75" x14ac:dyDescent="0.5">
      <c r="A144" s="850" t="s">
        <v>90</v>
      </c>
      <c r="B144" s="850"/>
      <c r="C144" s="850"/>
      <c r="D144" s="151" t="s">
        <v>183</v>
      </c>
      <c r="E144" s="95">
        <f>'2'!F144</f>
        <v>870123</v>
      </c>
      <c r="F144" s="149">
        <v>870344</v>
      </c>
      <c r="G144" s="112">
        <f t="shared" si="11"/>
        <v>221</v>
      </c>
      <c r="H144" s="99">
        <f>G144+'2'!H144</f>
        <v>674</v>
      </c>
      <c r="I144" s="140"/>
      <c r="J144" s="328">
        <f>H144/DAY(B2)</f>
        <v>224.66666666666666</v>
      </c>
    </row>
    <row r="145" spans="1:10" ht="27.75" x14ac:dyDescent="0.5">
      <c r="A145" s="846" t="s">
        <v>190</v>
      </c>
      <c r="B145" s="846"/>
      <c r="C145" s="846"/>
      <c r="D145" s="152" t="s">
        <v>183</v>
      </c>
      <c r="E145" s="95">
        <f>'2'!F145</f>
        <v>4590</v>
      </c>
      <c r="F145" s="149">
        <v>4606.96</v>
      </c>
      <c r="G145" s="112">
        <f t="shared" si="11"/>
        <v>16.960000000000036</v>
      </c>
      <c r="H145" s="99">
        <f>G145+'2'!H145</f>
        <v>48.960000000000036</v>
      </c>
      <c r="I145" s="140"/>
      <c r="J145" s="328">
        <f>H145/DAY(B2)</f>
        <v>16.320000000000011</v>
      </c>
    </row>
    <row r="146" spans="1:10" ht="27.75" x14ac:dyDescent="0.5">
      <c r="A146" s="847" t="s">
        <v>191</v>
      </c>
      <c r="B146" s="848"/>
      <c r="C146" s="849"/>
      <c r="D146" s="152" t="s">
        <v>183</v>
      </c>
      <c r="E146" s="95">
        <f>'2'!F146</f>
        <v>725840</v>
      </c>
      <c r="F146" s="147">
        <v>726266</v>
      </c>
      <c r="G146" s="112">
        <f t="shared" si="11"/>
        <v>426</v>
      </c>
      <c r="H146" s="99">
        <f>G146+'2'!H146</f>
        <v>1408</v>
      </c>
      <c r="I146" s="140"/>
      <c r="J146" s="328">
        <f>H146/DAY(B2)</f>
        <v>469.33333333333331</v>
      </c>
    </row>
    <row r="147" spans="1:10" ht="27.75" x14ac:dyDescent="0.5">
      <c r="A147" s="850" t="s">
        <v>192</v>
      </c>
      <c r="B147" s="850"/>
      <c r="C147" s="850"/>
      <c r="D147" s="152" t="s">
        <v>183</v>
      </c>
      <c r="E147" s="95">
        <f>'2'!F147</f>
        <v>616168</v>
      </c>
      <c r="F147" s="148">
        <v>616563.80000000005</v>
      </c>
      <c r="G147" s="112">
        <f t="shared" si="11"/>
        <v>395.80000000004657</v>
      </c>
      <c r="H147" s="99">
        <f>G147+'2'!H147</f>
        <v>1281.8000000000466</v>
      </c>
      <c r="I147" s="140"/>
      <c r="J147" s="328">
        <f>H147/DAY(B2)</f>
        <v>427.26666666668217</v>
      </c>
    </row>
    <row r="148" spans="1:10" ht="27.75" x14ac:dyDescent="0.5">
      <c r="A148" s="842" t="s">
        <v>193</v>
      </c>
      <c r="B148" s="843"/>
      <c r="C148" s="844"/>
      <c r="D148" s="123" t="s">
        <v>130</v>
      </c>
      <c r="E148" s="95">
        <f>'2'!F148</f>
        <v>683666.48</v>
      </c>
      <c r="F148" s="150">
        <v>683915.52</v>
      </c>
      <c r="G148" s="112">
        <f t="shared" si="11"/>
        <v>249.04000000003725</v>
      </c>
      <c r="H148" s="99">
        <f>G148+'2'!H148</f>
        <v>882.40000000002328</v>
      </c>
      <c r="I148" s="124"/>
      <c r="J148" s="328">
        <f>H148/DAY(B2)</f>
        <v>294.13333333334111</v>
      </c>
    </row>
    <row r="149" spans="1:10" ht="27.75" x14ac:dyDescent="0.5">
      <c r="A149" s="895" t="s">
        <v>336</v>
      </c>
      <c r="B149" s="896"/>
      <c r="C149" s="897"/>
      <c r="D149" s="227" t="s">
        <v>130</v>
      </c>
      <c r="E149" s="95">
        <f>'2'!F149</f>
        <v>11363.9</v>
      </c>
      <c r="F149" s="146">
        <v>11666.01</v>
      </c>
      <c r="G149" s="112">
        <f t="shared" si="11"/>
        <v>302.11000000000058</v>
      </c>
      <c r="H149" s="99">
        <f>G149+'2'!H149</f>
        <v>917.01000000000022</v>
      </c>
      <c r="I149" s="119"/>
      <c r="J149" s="328">
        <f>H149/DAY(B2)</f>
        <v>305.67000000000007</v>
      </c>
    </row>
    <row r="150" spans="1:10" ht="27.75" x14ac:dyDescent="0.5">
      <c r="A150" s="895" t="s">
        <v>337</v>
      </c>
      <c r="B150" s="896"/>
      <c r="C150" s="897"/>
      <c r="D150" s="117" t="s">
        <v>130</v>
      </c>
      <c r="E150" s="95">
        <f>'2'!F150</f>
        <v>4500.7</v>
      </c>
      <c r="F150" s="233">
        <v>4698.6000000000004</v>
      </c>
      <c r="G150" s="112">
        <f t="shared" si="11"/>
        <v>197.90000000000055</v>
      </c>
      <c r="H150" s="99">
        <f>G150+'2'!H150</f>
        <v>646.60000000000036</v>
      </c>
      <c r="I150" s="119"/>
      <c r="J150" s="328">
        <f>H150/DAY(B2)</f>
        <v>215.53333333333345</v>
      </c>
    </row>
    <row r="151" spans="1:10" ht="29.25" customHeight="1" x14ac:dyDescent="0.5">
      <c r="A151" s="895" t="s">
        <v>338</v>
      </c>
      <c r="B151" s="896"/>
      <c r="C151" s="897"/>
      <c r="D151" s="117" t="s">
        <v>130</v>
      </c>
      <c r="E151" s="95">
        <f>'2'!F151</f>
        <v>78774</v>
      </c>
      <c r="F151" s="233">
        <v>78989</v>
      </c>
      <c r="G151" s="112">
        <f t="shared" si="11"/>
        <v>215</v>
      </c>
      <c r="H151" s="99">
        <f>G151+'2'!H151</f>
        <v>772</v>
      </c>
      <c r="I151" s="119"/>
      <c r="J151" s="328">
        <f>H151/DAY(B2)</f>
        <v>257.33333333333331</v>
      </c>
    </row>
    <row r="152" spans="1:10" ht="29.25" customHeight="1" x14ac:dyDescent="0.5">
      <c r="A152" s="895" t="s">
        <v>339</v>
      </c>
      <c r="B152" s="896"/>
      <c r="C152" s="897"/>
      <c r="D152" s="117" t="s">
        <v>130</v>
      </c>
      <c r="E152" s="95">
        <f>'2'!F152</f>
        <v>1191.7</v>
      </c>
      <c r="F152" s="233">
        <v>1213.8</v>
      </c>
      <c r="G152" s="112">
        <f t="shared" si="11"/>
        <v>22.099999999999909</v>
      </c>
      <c r="H152" s="99">
        <f>G152+'2'!H152</f>
        <v>86.799999999999955</v>
      </c>
      <c r="I152" s="119"/>
      <c r="J152" s="328">
        <f>H152/DAY(B2)</f>
        <v>28.933333333333319</v>
      </c>
    </row>
    <row r="153" spans="1:10" ht="29.25" customHeight="1" x14ac:dyDescent="0.5">
      <c r="A153" s="815" t="s">
        <v>196</v>
      </c>
      <c r="B153" s="816"/>
      <c r="C153" s="817"/>
      <c r="D153" s="367"/>
      <c r="E153" s="368"/>
      <c r="F153" s="369"/>
      <c r="G153" s="370">
        <f>SUM(G138:G152)</f>
        <v>2392.0800000000909</v>
      </c>
      <c r="H153" s="371"/>
      <c r="I153" s="119">
        <f>G153-(G38+G52)</f>
        <v>915.44000000007691</v>
      </c>
      <c r="J153" s="372"/>
    </row>
    <row r="154" spans="1:10" ht="29.25" customHeight="1" x14ac:dyDescent="0.55000000000000004">
      <c r="A154" s="883" t="s">
        <v>344</v>
      </c>
      <c r="B154" s="883"/>
      <c r="C154" s="883"/>
      <c r="D154" s="883"/>
      <c r="E154" s="883"/>
      <c r="F154" s="883"/>
      <c r="G154" s="883"/>
      <c r="H154" s="883"/>
      <c r="I154" s="883"/>
      <c r="J154" s="883"/>
    </row>
    <row r="155" spans="1:10" ht="29.25" customHeight="1" x14ac:dyDescent="0.55000000000000004">
      <c r="A155" s="850" t="s">
        <v>345</v>
      </c>
      <c r="B155" s="850"/>
      <c r="C155" s="850"/>
      <c r="D155" s="117" t="s">
        <v>130</v>
      </c>
      <c r="E155" s="95">
        <f>'2'!F155</f>
        <v>14130</v>
      </c>
      <c r="F155" s="473">
        <v>14751.96</v>
      </c>
      <c r="G155" s="112">
        <f t="shared" ref="G155:G158" si="12">F155-E155</f>
        <v>621.95999999999913</v>
      </c>
      <c r="H155" s="99">
        <f>G155+'2'!H155</f>
        <v>1279.9599999999991</v>
      </c>
      <c r="I155" s="364"/>
      <c r="J155" s="328">
        <f>H155/DAY(B2)</f>
        <v>426.65333333333302</v>
      </c>
    </row>
    <row r="156" spans="1:10" ht="29.25" customHeight="1" x14ac:dyDescent="0.5">
      <c r="A156" s="898" t="s">
        <v>346</v>
      </c>
      <c r="B156" s="898"/>
      <c r="C156" s="898"/>
      <c r="D156" s="117" t="s">
        <v>130</v>
      </c>
      <c r="E156" s="95">
        <f>'2'!F156</f>
        <v>1143</v>
      </c>
      <c r="F156" s="473">
        <v>1197.82</v>
      </c>
      <c r="G156" s="112">
        <f t="shared" si="12"/>
        <v>54.819999999999936</v>
      </c>
      <c r="H156" s="99">
        <f>G156+'2'!H156</f>
        <v>109.81999999999994</v>
      </c>
      <c r="I156" s="165"/>
      <c r="J156" s="328">
        <f>H156/DAY(B2)</f>
        <v>36.606666666666648</v>
      </c>
    </row>
    <row r="157" spans="1:10" ht="29.25" customHeight="1" x14ac:dyDescent="0.5">
      <c r="A157" s="842" t="s">
        <v>364</v>
      </c>
      <c r="B157" s="843"/>
      <c r="C157" s="844"/>
      <c r="D157" s="117" t="s">
        <v>130</v>
      </c>
      <c r="E157" s="95">
        <f>'2'!F157</f>
        <v>1372.34</v>
      </c>
      <c r="F157" s="473">
        <v>1435.6</v>
      </c>
      <c r="G157" s="112">
        <f t="shared" si="12"/>
        <v>63.259999999999991</v>
      </c>
      <c r="H157" s="99"/>
      <c r="I157" s="165"/>
      <c r="J157" s="328"/>
    </row>
    <row r="158" spans="1:10" ht="29.25" customHeight="1" x14ac:dyDescent="0.5">
      <c r="A158" s="842" t="s">
        <v>365</v>
      </c>
      <c r="B158" s="843"/>
      <c r="C158" s="844"/>
      <c r="D158" s="117" t="s">
        <v>130</v>
      </c>
      <c r="E158" s="95">
        <f>'2'!F158</f>
        <v>7.9</v>
      </c>
      <c r="F158" s="473">
        <v>7.9</v>
      </c>
      <c r="G158" s="112">
        <f t="shared" si="12"/>
        <v>0</v>
      </c>
      <c r="H158" s="99"/>
      <c r="I158" s="165"/>
      <c r="J158" s="328"/>
    </row>
    <row r="159" spans="1:10" ht="29.25" customHeight="1" x14ac:dyDescent="0.5">
      <c r="A159" s="895"/>
      <c r="B159" s="896"/>
      <c r="C159" s="897"/>
      <c r="D159" s="117"/>
      <c r="E159" s="95"/>
      <c r="F159" s="165"/>
      <c r="G159" s="112"/>
      <c r="H159" s="99"/>
      <c r="I159" s="165"/>
      <c r="J159" s="328"/>
    </row>
    <row r="160" spans="1:10" ht="31.5" x14ac:dyDescent="0.55000000000000004">
      <c r="A160" s="883" t="s">
        <v>326</v>
      </c>
      <c r="B160" s="883"/>
      <c r="C160" s="883"/>
      <c r="D160" s="883"/>
      <c r="E160" s="883"/>
      <c r="F160" s="883"/>
      <c r="G160" s="883"/>
      <c r="H160" s="883"/>
      <c r="I160" s="883"/>
      <c r="J160" s="883"/>
    </row>
    <row r="161" spans="1:10" ht="29.25" x14ac:dyDescent="0.5">
      <c r="A161" s="242" t="s">
        <v>92</v>
      </c>
      <c r="B161" s="243"/>
      <c r="C161" s="243"/>
      <c r="D161" s="244" t="s">
        <v>180</v>
      </c>
      <c r="E161" s="95">
        <f>'2'!F161</f>
        <v>471153</v>
      </c>
      <c r="F161" s="235">
        <v>471153.56</v>
      </c>
      <c r="G161" s="238">
        <f t="shared" ref="G161:G165" si="13">F161-E161</f>
        <v>0.55999999999767169</v>
      </c>
      <c r="H161" s="99">
        <f>G161+'2'!H161</f>
        <v>0.40000000002328306</v>
      </c>
      <c r="I161" s="236"/>
      <c r="J161" s="239">
        <f>H161/DAY(B2)</f>
        <v>0.13333333334109435</v>
      </c>
    </row>
    <row r="162" spans="1:10" ht="29.25" x14ac:dyDescent="0.5">
      <c r="A162" s="242" t="s">
        <v>93</v>
      </c>
      <c r="B162" s="243"/>
      <c r="C162" s="243"/>
      <c r="D162" s="244" t="s">
        <v>180</v>
      </c>
      <c r="E162" s="95">
        <f>'2'!F162</f>
        <v>87606</v>
      </c>
      <c r="F162" s="235">
        <v>87635.6</v>
      </c>
      <c r="G162" s="238">
        <f t="shared" si="13"/>
        <v>29.600000000005821</v>
      </c>
      <c r="H162" s="99">
        <f>G162+'2'!H162</f>
        <v>65.600000000005821</v>
      </c>
      <c r="I162" s="236"/>
      <c r="J162" s="239">
        <f>H162/DAY(B2)</f>
        <v>21.866666666668607</v>
      </c>
    </row>
    <row r="163" spans="1:10" ht="29.25" x14ac:dyDescent="0.5">
      <c r="A163" s="242" t="s">
        <v>197</v>
      </c>
      <c r="B163" s="243"/>
      <c r="C163" s="243"/>
      <c r="D163" s="244" t="s">
        <v>180</v>
      </c>
      <c r="E163" s="95">
        <f>'2'!F163</f>
        <v>77895.5</v>
      </c>
      <c r="F163" s="235">
        <v>77946.5</v>
      </c>
      <c r="G163" s="238">
        <f t="shared" si="13"/>
        <v>51</v>
      </c>
      <c r="H163" s="99">
        <f>G163+'2'!H163</f>
        <v>121.5</v>
      </c>
      <c r="I163" s="236"/>
      <c r="J163" s="239">
        <f>H163/DAY(B2)</f>
        <v>40.5</v>
      </c>
    </row>
    <row r="164" spans="1:10" ht="29.25" x14ac:dyDescent="0.5">
      <c r="A164" s="242" t="s">
        <v>197</v>
      </c>
      <c r="B164" s="243"/>
      <c r="C164" s="243"/>
      <c r="D164" s="244" t="s">
        <v>180</v>
      </c>
      <c r="E164" s="95">
        <f>'2'!F164</f>
        <v>4241.8999999999996</v>
      </c>
      <c r="F164" s="235">
        <v>4245.8999999999996</v>
      </c>
      <c r="G164" s="238">
        <f t="shared" si="13"/>
        <v>4</v>
      </c>
      <c r="H164" s="99">
        <f>G164+'2'!H164</f>
        <v>3.8999999999996362</v>
      </c>
      <c r="I164" s="236"/>
      <c r="J164" s="239">
        <f>H164/DAY(B2)</f>
        <v>1.2999999999998788</v>
      </c>
    </row>
    <row r="165" spans="1:10" ht="29.25" x14ac:dyDescent="0.5">
      <c r="A165" s="242" t="s">
        <v>309</v>
      </c>
      <c r="B165" s="243"/>
      <c r="C165" s="243"/>
      <c r="D165" s="244" t="s">
        <v>180</v>
      </c>
      <c r="E165" s="95">
        <f>'2'!F165</f>
        <v>29653.45</v>
      </c>
      <c r="F165" s="235">
        <v>29660.5</v>
      </c>
      <c r="G165" s="238">
        <f t="shared" si="13"/>
        <v>7.0499999999992724</v>
      </c>
      <c r="H165" s="99">
        <f>G165+'2'!H165</f>
        <v>14.5</v>
      </c>
      <c r="I165" s="236"/>
      <c r="J165" s="239">
        <f>H165/DAY(B2)</f>
        <v>4.833333333333333</v>
      </c>
    </row>
    <row r="166" spans="1:10" ht="29.25" x14ac:dyDescent="0.5">
      <c r="A166" s="882"/>
      <c r="B166" s="882"/>
      <c r="C166" s="246"/>
      <c r="D166" s="244" t="s">
        <v>180</v>
      </c>
      <c r="E166" s="95">
        <f>'2'!F166</f>
        <v>0</v>
      </c>
      <c r="F166" s="165"/>
      <c r="G166" s="165"/>
      <c r="H166" s="99">
        <f>G166+'2'!H166</f>
        <v>0</v>
      </c>
      <c r="I166" s="165"/>
      <c r="J166" s="327"/>
    </row>
    <row r="167" spans="1:10" ht="29.25" x14ac:dyDescent="0.5">
      <c r="A167" s="882"/>
      <c r="B167" s="882"/>
      <c r="C167" s="246"/>
      <c r="D167" s="244" t="s">
        <v>180</v>
      </c>
      <c r="E167" s="95">
        <f>'2'!F167</f>
        <v>0</v>
      </c>
      <c r="F167" s="165"/>
      <c r="G167" s="165"/>
      <c r="H167" s="99">
        <f>G167+'2'!H167</f>
        <v>0</v>
      </c>
      <c r="I167" s="165"/>
      <c r="J167" s="327"/>
    </row>
    <row r="168" spans="1:10" ht="29.25" x14ac:dyDescent="0.5">
      <c r="A168" s="882"/>
      <c r="B168" s="882"/>
      <c r="C168" s="246"/>
      <c r="D168" s="244" t="s">
        <v>180</v>
      </c>
      <c r="E168" s="95">
        <f>'2'!F168</f>
        <v>0</v>
      </c>
      <c r="F168" s="165"/>
      <c r="G168" s="165"/>
      <c r="H168" s="99">
        <f>G168+'2'!H168</f>
        <v>0</v>
      </c>
      <c r="I168" s="165"/>
      <c r="J168" s="327"/>
    </row>
    <row r="169" spans="1:10" ht="29.25" x14ac:dyDescent="0.5"/>
    <row r="170" spans="1:10" ht="29.25" x14ac:dyDescent="0.5"/>
    <row r="171" spans="1:10" ht="31.5" x14ac:dyDescent="0.35">
      <c r="A171" s="890" t="s">
        <v>330</v>
      </c>
      <c r="B171" s="891"/>
      <c r="C171" s="891"/>
      <c r="D171" s="891"/>
      <c r="E171" s="891"/>
      <c r="F171" s="891"/>
      <c r="G171" s="891"/>
      <c r="H171" s="891"/>
      <c r="I171" s="891"/>
      <c r="J171" s="892"/>
    </row>
    <row r="172" spans="1:10" ht="27.75" x14ac:dyDescent="0.5">
      <c r="A172" s="886"/>
      <c r="B172" s="887"/>
      <c r="C172" s="332"/>
      <c r="D172" s="228"/>
      <c r="E172" s="155"/>
      <c r="F172" s="155"/>
      <c r="G172" s="155"/>
      <c r="H172" s="156"/>
      <c r="I172" s="155"/>
      <c r="J172" s="178"/>
    </row>
    <row r="173" spans="1:10" ht="27.75" x14ac:dyDescent="0.5">
      <c r="A173" s="840" t="s">
        <v>209</v>
      </c>
      <c r="B173" s="841"/>
      <c r="C173" s="333"/>
      <c r="D173" s="228" t="s">
        <v>142</v>
      </c>
      <c r="E173" s="95">
        <f>'2'!F173</f>
        <v>8126</v>
      </c>
      <c r="F173" s="155">
        <v>8126</v>
      </c>
      <c r="G173" s="155">
        <f>F173-E173</f>
        <v>0</v>
      </c>
      <c r="H173" s="99">
        <f>G173+'2'!H173</f>
        <v>0</v>
      </c>
      <c r="I173" s="155"/>
      <c r="J173" s="178">
        <f>H173/DAY(B2)</f>
        <v>0</v>
      </c>
    </row>
    <row r="174" spans="1:10" ht="27.75" x14ac:dyDescent="0.5">
      <c r="A174" s="840" t="s">
        <v>75</v>
      </c>
      <c r="B174" s="841"/>
      <c r="C174" s="333"/>
      <c r="D174" s="228" t="s">
        <v>142</v>
      </c>
      <c r="E174" s="95">
        <f>'2'!F174</f>
        <v>38308</v>
      </c>
      <c r="F174" s="157">
        <v>38308</v>
      </c>
      <c r="G174" s="155">
        <f t="shared" ref="G174:G175" si="14">F174-E174</f>
        <v>0</v>
      </c>
      <c r="H174" s="99">
        <f>G174+'2'!H174</f>
        <v>15</v>
      </c>
      <c r="I174" s="155"/>
      <c r="J174" s="178">
        <f>H174/DAY(B2)</f>
        <v>5</v>
      </c>
    </row>
    <row r="175" spans="1:10" ht="21.75" customHeight="1" x14ac:dyDescent="0.5">
      <c r="A175" s="840" t="s">
        <v>76</v>
      </c>
      <c r="B175" s="845"/>
      <c r="C175" s="841"/>
      <c r="D175" s="228" t="s">
        <v>142</v>
      </c>
      <c r="E175" s="95">
        <f>'2'!F175</f>
        <v>21537</v>
      </c>
      <c r="F175" s="155">
        <v>21539</v>
      </c>
      <c r="G175" s="155">
        <f t="shared" si="14"/>
        <v>2</v>
      </c>
      <c r="H175" s="99">
        <f>G175+'2'!H175</f>
        <v>21</v>
      </c>
      <c r="I175" s="155"/>
      <c r="J175" s="178">
        <f>H175/DAY(B2)</f>
        <v>7</v>
      </c>
    </row>
    <row r="176" spans="1:10" ht="21.75" customHeight="1" x14ac:dyDescent="0.5">
      <c r="A176" s="815" t="s">
        <v>196</v>
      </c>
      <c r="B176" s="816"/>
      <c r="C176" s="817"/>
      <c r="D176" s="228"/>
      <c r="E176" s="95"/>
      <c r="F176" s="155"/>
      <c r="G176" s="155">
        <f>SUM(G173:G175)</f>
        <v>2</v>
      </c>
      <c r="H176" s="99">
        <f>G176+'2'!H176</f>
        <v>36</v>
      </c>
      <c r="I176" s="155"/>
      <c r="J176" s="178">
        <f>H176/DAY(B2)</f>
        <v>12</v>
      </c>
    </row>
    <row r="177" spans="1:10" ht="21.75" customHeight="1" x14ac:dyDescent="0.5">
      <c r="A177" s="840" t="s">
        <v>77</v>
      </c>
      <c r="B177" s="841"/>
      <c r="C177" s="333"/>
      <c r="D177" s="228" t="s">
        <v>142</v>
      </c>
      <c r="E177" s="95"/>
      <c r="F177" s="155"/>
      <c r="G177" s="155"/>
      <c r="H177" s="99">
        <f>G177+'2'!H177</f>
        <v>0</v>
      </c>
      <c r="I177" s="155"/>
      <c r="J177" s="178">
        <f>H177/DAY(B2)</f>
        <v>0</v>
      </c>
    </row>
    <row r="178" spans="1:10" ht="27.75" customHeight="1" x14ac:dyDescent="0.5">
      <c r="A178" s="840" t="s">
        <v>210</v>
      </c>
      <c r="B178" s="841"/>
      <c r="C178" s="333"/>
      <c r="D178" s="228" t="s">
        <v>142</v>
      </c>
      <c r="E178" s="95">
        <f>'2'!F178</f>
        <v>79740</v>
      </c>
      <c r="F178" s="155">
        <v>79798</v>
      </c>
      <c r="G178" s="155">
        <f>F178-E178</f>
        <v>58</v>
      </c>
      <c r="H178" s="99">
        <f>G178+'2'!H178</f>
        <v>184</v>
      </c>
      <c r="I178" s="155"/>
      <c r="J178" s="178">
        <f>H178/DAY(B2)</f>
        <v>61.333333333333336</v>
      </c>
    </row>
    <row r="179" spans="1:10" ht="24" customHeight="1" x14ac:dyDescent="0.5">
      <c r="A179" s="840" t="s">
        <v>211</v>
      </c>
      <c r="B179" s="841"/>
      <c r="C179" s="333"/>
      <c r="D179" s="228" t="s">
        <v>142</v>
      </c>
      <c r="E179" s="95">
        <f>'2'!F179</f>
        <v>33958</v>
      </c>
      <c r="F179" s="155">
        <v>33973</v>
      </c>
      <c r="G179" s="155">
        <f t="shared" ref="G179:G180" si="15">F179-E179</f>
        <v>15</v>
      </c>
      <c r="H179" s="99">
        <f>G179+'2'!H179</f>
        <v>58</v>
      </c>
      <c r="I179" s="155"/>
      <c r="J179" s="178">
        <f>H179/DAY(B2)</f>
        <v>19.333333333333332</v>
      </c>
    </row>
    <row r="180" spans="1:10" ht="22.5" customHeight="1" x14ac:dyDescent="0.5">
      <c r="A180" s="840" t="s">
        <v>212</v>
      </c>
      <c r="B180" s="841"/>
      <c r="C180" s="333"/>
      <c r="D180" s="228" t="s">
        <v>142</v>
      </c>
      <c r="E180" s="95">
        <f>'2'!F180</f>
        <v>5484</v>
      </c>
      <c r="F180" s="155">
        <v>5488</v>
      </c>
      <c r="G180" s="155">
        <f t="shared" si="15"/>
        <v>4</v>
      </c>
      <c r="H180" s="99">
        <f>G180+'2'!H180</f>
        <v>11</v>
      </c>
      <c r="I180" s="155"/>
      <c r="J180" s="178">
        <f>H180/DAY(B2)</f>
        <v>3.6666666666666665</v>
      </c>
    </row>
    <row r="181" spans="1:10" ht="29.25" x14ac:dyDescent="0.5">
      <c r="A181" s="815" t="s">
        <v>196</v>
      </c>
      <c r="B181" s="816"/>
      <c r="C181" s="817"/>
      <c r="D181" s="228"/>
      <c r="E181" s="95"/>
      <c r="F181" s="155"/>
      <c r="G181" s="155">
        <f>SUM(G178:G180)</f>
        <v>77</v>
      </c>
      <c r="H181" s="99">
        <f>G181+'2'!H181</f>
        <v>253</v>
      </c>
      <c r="I181" s="155"/>
      <c r="J181" s="178">
        <f>H181/DAY(B2)</f>
        <v>84.333333333333329</v>
      </c>
    </row>
    <row r="182" spans="1:10" ht="27" customHeight="1" x14ac:dyDescent="0.5">
      <c r="A182" s="840" t="s">
        <v>213</v>
      </c>
      <c r="B182" s="841"/>
      <c r="C182" s="333"/>
      <c r="D182" s="228"/>
      <c r="E182" s="95"/>
      <c r="F182" s="155"/>
      <c r="G182" s="155"/>
      <c r="H182" s="99">
        <f>G182+'2'!H182</f>
        <v>0</v>
      </c>
      <c r="I182" s="155"/>
      <c r="J182" s="178">
        <f>H182/DAY(B2)</f>
        <v>0</v>
      </c>
    </row>
    <row r="183" spans="1:10" ht="27" customHeight="1" x14ac:dyDescent="0.5">
      <c r="A183" s="840" t="s">
        <v>214</v>
      </c>
      <c r="B183" s="841"/>
      <c r="C183" s="334"/>
      <c r="D183" s="228" t="s">
        <v>142</v>
      </c>
      <c r="E183" s="95">
        <f>'2'!F183</f>
        <v>14989</v>
      </c>
      <c r="F183" s="157">
        <v>15014</v>
      </c>
      <c r="G183" s="157">
        <f>F183-E183</f>
        <v>25</v>
      </c>
      <c r="H183" s="99">
        <f>G183+'2'!H183</f>
        <v>67</v>
      </c>
      <c r="I183" s="155"/>
      <c r="J183" s="178">
        <f>H183/DAY(B2)</f>
        <v>22.333333333333332</v>
      </c>
    </row>
    <row r="184" spans="1:10" ht="25.5" customHeight="1" x14ac:dyDescent="0.5">
      <c r="A184" s="840" t="s">
        <v>215</v>
      </c>
      <c r="B184" s="841"/>
      <c r="C184" s="334"/>
      <c r="D184" s="228" t="s">
        <v>142</v>
      </c>
      <c r="E184" s="95">
        <f>'2'!F184</f>
        <v>10320</v>
      </c>
      <c r="F184" s="157">
        <v>10326</v>
      </c>
      <c r="G184" s="157">
        <f t="shared" ref="G184:G185" si="16">F184-E184</f>
        <v>6</v>
      </c>
      <c r="H184" s="99">
        <f>G184+'2'!H184</f>
        <v>25</v>
      </c>
      <c r="I184" s="155"/>
      <c r="J184" s="178">
        <f>H184/DAY(B2)</f>
        <v>8.3333333333333339</v>
      </c>
    </row>
    <row r="185" spans="1:10" ht="27.75" x14ac:dyDescent="0.5">
      <c r="A185" s="840" t="s">
        <v>216</v>
      </c>
      <c r="B185" s="841"/>
      <c r="C185" s="334"/>
      <c r="D185" s="228" t="s">
        <v>142</v>
      </c>
      <c r="E185" s="95">
        <f>'2'!F185</f>
        <v>0</v>
      </c>
      <c r="F185" s="157"/>
      <c r="G185" s="157">
        <f t="shared" si="16"/>
        <v>0</v>
      </c>
      <c r="H185" s="99">
        <f>G185+'2'!H185</f>
        <v>0</v>
      </c>
      <c r="I185" s="155"/>
      <c r="J185" s="178">
        <f>H185/DAY(B2)</f>
        <v>0</v>
      </c>
    </row>
    <row r="186" spans="1:10" ht="29.25" x14ac:dyDescent="0.5">
      <c r="A186" s="815" t="s">
        <v>196</v>
      </c>
      <c r="B186" s="816"/>
      <c r="C186" s="817"/>
      <c r="D186" s="229"/>
      <c r="E186" s="95"/>
      <c r="F186" s="157"/>
      <c r="G186" s="157">
        <f>SUM(G183:G185)</f>
        <v>31</v>
      </c>
      <c r="H186" s="99">
        <f>G186+'2'!H186</f>
        <v>92</v>
      </c>
      <c r="I186" s="157"/>
      <c r="J186" s="178">
        <f>H186/DAY(B2)</f>
        <v>30.666666666666668</v>
      </c>
    </row>
    <row r="187" spans="1:10" ht="27.75" x14ac:dyDescent="0.5">
      <c r="A187" s="888" t="s">
        <v>217</v>
      </c>
      <c r="B187" s="889"/>
      <c r="C187" s="333"/>
      <c r="D187" s="230" t="s">
        <v>142</v>
      </c>
      <c r="E187" s="95"/>
      <c r="F187" s="159"/>
      <c r="G187" s="462">
        <f>G62+G19</f>
        <v>86</v>
      </c>
      <c r="H187" s="99">
        <f>G187+'2'!H187</f>
        <v>196</v>
      </c>
      <c r="I187" s="158"/>
      <c r="J187" s="179">
        <f>H187/DAY(B2)</f>
        <v>65.333333333333329</v>
      </c>
    </row>
    <row r="188" spans="1:10" ht="27.75" x14ac:dyDescent="0.5">
      <c r="A188" s="888" t="s">
        <v>218</v>
      </c>
      <c r="B188" s="889"/>
      <c r="C188" s="333"/>
      <c r="D188" s="230" t="s">
        <v>142</v>
      </c>
      <c r="E188" s="95"/>
      <c r="F188" s="159"/>
      <c r="G188" s="462">
        <f>G65+G66+G67+G69+G70</f>
        <v>107</v>
      </c>
      <c r="H188" s="99">
        <f>G188+'2'!H188</f>
        <v>460</v>
      </c>
      <c r="I188" s="158"/>
      <c r="J188" s="179">
        <f>H188/DAY(B2)</f>
        <v>153.33333333333334</v>
      </c>
    </row>
    <row r="189" spans="1:10" ht="27.75" x14ac:dyDescent="0.5">
      <c r="A189" s="888" t="s">
        <v>219</v>
      </c>
      <c r="B189" s="889"/>
      <c r="C189" s="333"/>
      <c r="D189" s="230" t="s">
        <v>142</v>
      </c>
      <c r="E189" s="95"/>
      <c r="F189" s="157"/>
      <c r="G189" s="459">
        <f>G181</f>
        <v>77</v>
      </c>
      <c r="H189" s="99">
        <f>G189+'2'!H189</f>
        <v>253</v>
      </c>
      <c r="I189" s="158"/>
      <c r="J189" s="179">
        <f>H189/DAY(B2)</f>
        <v>84.333333333333329</v>
      </c>
    </row>
    <row r="190" spans="1:10" ht="27.75" x14ac:dyDescent="0.5">
      <c r="A190" s="888"/>
      <c r="B190" s="889"/>
      <c r="C190" s="333"/>
      <c r="D190" s="180"/>
      <c r="E190" s="180" t="s">
        <v>207</v>
      </c>
      <c r="F190" s="180"/>
      <c r="G190" s="180"/>
      <c r="H190" s="181"/>
      <c r="I190" s="180"/>
      <c r="J190" s="182"/>
    </row>
    <row r="191" spans="1:10" ht="29.25" x14ac:dyDescent="0.5"/>
    <row r="192" spans="1:10" ht="29.25" x14ac:dyDescent="0.5"/>
    <row r="193" ht="29.25" x14ac:dyDescent="0.5"/>
    <row r="194" ht="29.25" x14ac:dyDescent="0.5"/>
    <row r="195" ht="29.25" x14ac:dyDescent="0.5"/>
    <row r="196" ht="29.25" customHeight="1" x14ac:dyDescent="0.5"/>
    <row r="197" ht="29.25" customHeight="1" x14ac:dyDescent="0.5"/>
    <row r="198" ht="29.25" customHeight="1" x14ac:dyDescent="0.5"/>
    <row r="199" ht="29.25" customHeight="1" x14ac:dyDescent="0.5"/>
    <row r="200" ht="29.25" customHeight="1" x14ac:dyDescent="0.5"/>
    <row r="201" ht="29.25" customHeight="1" x14ac:dyDescent="0.5"/>
    <row r="202" ht="29.25" customHeight="1" x14ac:dyDescent="0.5"/>
    <row r="203" ht="29.25" x14ac:dyDescent="0.5"/>
    <row r="204" ht="29.25" x14ac:dyDescent="0.5"/>
    <row r="205" ht="29.25" x14ac:dyDescent="0.5"/>
    <row r="206" ht="29.25" x14ac:dyDescent="0.5"/>
    <row r="207" ht="29.25" x14ac:dyDescent="0.5"/>
    <row r="208" ht="29.25" x14ac:dyDescent="0.5"/>
    <row r="209" ht="29.25" x14ac:dyDescent="0.5"/>
    <row r="210" ht="29.25" x14ac:dyDescent="0.5"/>
    <row r="211" ht="29.25" x14ac:dyDescent="0.5"/>
    <row r="212" ht="29.25" x14ac:dyDescent="0.5"/>
    <row r="213" ht="29.25" x14ac:dyDescent="0.5"/>
    <row r="214" ht="29.25" x14ac:dyDescent="0.5"/>
    <row r="215" ht="29.25" x14ac:dyDescent="0.5"/>
    <row r="216" ht="29.25" x14ac:dyDescent="0.5"/>
    <row r="217" ht="29.25" x14ac:dyDescent="0.5"/>
    <row r="218" ht="29.25" x14ac:dyDescent="0.5"/>
    <row r="219" ht="29.25" x14ac:dyDescent="0.5"/>
    <row r="220" ht="29.25" x14ac:dyDescent="0.5"/>
    <row r="221" ht="29.25" x14ac:dyDescent="0.5"/>
    <row r="222" ht="29.25" x14ac:dyDescent="0.5"/>
    <row r="223" ht="29.25" x14ac:dyDescent="0.5"/>
    <row r="224" ht="29.25" x14ac:dyDescent="0.5"/>
    <row r="225" ht="29.25" x14ac:dyDescent="0.5"/>
    <row r="226" ht="29.25" x14ac:dyDescent="0.5"/>
    <row r="227" ht="29.25" x14ac:dyDescent="0.5"/>
    <row r="228" ht="29.25" x14ac:dyDescent="0.5"/>
    <row r="229" ht="29.25" x14ac:dyDescent="0.5"/>
    <row r="230" ht="29.25" x14ac:dyDescent="0.5"/>
    <row r="231" ht="29.25" x14ac:dyDescent="0.5"/>
    <row r="232" ht="29.25" x14ac:dyDescent="0.5"/>
    <row r="233" ht="29.25" x14ac:dyDescent="0.5"/>
    <row r="234" ht="29.25" x14ac:dyDescent="0.5"/>
    <row r="235" ht="29.25" x14ac:dyDescent="0.5"/>
    <row r="236" ht="29.25" x14ac:dyDescent="0.5"/>
    <row r="237" ht="29.25" x14ac:dyDescent="0.5"/>
    <row r="238" ht="29.25" x14ac:dyDescent="0.5"/>
    <row r="239" ht="29.25" x14ac:dyDescent="0.5"/>
    <row r="240" ht="29.25" x14ac:dyDescent="0.5"/>
    <row r="241" ht="29.25" x14ac:dyDescent="0.5"/>
    <row r="242" ht="29.25" x14ac:dyDescent="0.5"/>
    <row r="243" ht="29.25" x14ac:dyDescent="0.5"/>
    <row r="244" ht="29.25" x14ac:dyDescent="0.5"/>
    <row r="245" ht="29.25" x14ac:dyDescent="0.5"/>
    <row r="246" ht="29.25" x14ac:dyDescent="0.5"/>
    <row r="247" ht="29.25" x14ac:dyDescent="0.5"/>
    <row r="248" ht="29.25" x14ac:dyDescent="0.5"/>
    <row r="249" ht="29.25" x14ac:dyDescent="0.5"/>
    <row r="250" ht="29.25" x14ac:dyDescent="0.5"/>
    <row r="251" ht="29.25" x14ac:dyDescent="0.5"/>
    <row r="252" ht="29.25" x14ac:dyDescent="0.5"/>
    <row r="253" ht="29.25" x14ac:dyDescent="0.5"/>
    <row r="254" ht="29.25" x14ac:dyDescent="0.5"/>
    <row r="255" ht="29.25" x14ac:dyDescent="0.5"/>
    <row r="256" ht="29.25" x14ac:dyDescent="0.5"/>
    <row r="257" ht="29.25" x14ac:dyDescent="0.5"/>
    <row r="258" ht="29.25" x14ac:dyDescent="0.5"/>
    <row r="259" ht="29.25" x14ac:dyDescent="0.5"/>
    <row r="260" ht="29.25" x14ac:dyDescent="0.5"/>
    <row r="261" ht="29.25" x14ac:dyDescent="0.5"/>
    <row r="262" ht="29.25" x14ac:dyDescent="0.5"/>
    <row r="263" ht="29.25" x14ac:dyDescent="0.5"/>
    <row r="264" ht="29.25" x14ac:dyDescent="0.5"/>
    <row r="265" ht="29.25" x14ac:dyDescent="0.5"/>
    <row r="266" ht="29.25" x14ac:dyDescent="0.5"/>
    <row r="267" ht="29.25" x14ac:dyDescent="0.5"/>
    <row r="268" ht="29.25" x14ac:dyDescent="0.5"/>
    <row r="269" ht="29.25" x14ac:dyDescent="0.5"/>
    <row r="270" ht="29.25" x14ac:dyDescent="0.5"/>
  </sheetData>
  <mergeCells count="115">
    <mergeCell ref="A152:C152"/>
    <mergeCell ref="A188:B188"/>
    <mergeCell ref="A189:B189"/>
    <mergeCell ref="A190:B190"/>
    <mergeCell ref="A178:B178"/>
    <mergeCell ref="A179:B179"/>
    <mergeCell ref="A180:B180"/>
    <mergeCell ref="A185:B185"/>
    <mergeCell ref="A182:B182"/>
    <mergeCell ref="A183:B183"/>
    <mergeCell ref="A184:B184"/>
    <mergeCell ref="A167:B167"/>
    <mergeCell ref="A168:B168"/>
    <mergeCell ref="A154:J154"/>
    <mergeCell ref="A155:C155"/>
    <mergeCell ref="A156:C156"/>
    <mergeCell ref="A153:C153"/>
    <mergeCell ref="A176:C176"/>
    <mergeCell ref="A181:C181"/>
    <mergeCell ref="A186:C186"/>
    <mergeCell ref="A157:C157"/>
    <mergeCell ref="A158:C158"/>
    <mergeCell ref="A159:C159"/>
    <mergeCell ref="A142:C142"/>
    <mergeCell ref="A160:J160"/>
    <mergeCell ref="A133:C133"/>
    <mergeCell ref="A134:C134"/>
    <mergeCell ref="A135:C135"/>
    <mergeCell ref="A136:J136"/>
    <mergeCell ref="A138:C138"/>
    <mergeCell ref="A187:B187"/>
    <mergeCell ref="A171:J171"/>
    <mergeCell ref="A172:B172"/>
    <mergeCell ref="A173:B173"/>
    <mergeCell ref="A174:B174"/>
    <mergeCell ref="A177:B177"/>
    <mergeCell ref="A144:C144"/>
    <mergeCell ref="A145:C145"/>
    <mergeCell ref="A146:C146"/>
    <mergeCell ref="A147:C147"/>
    <mergeCell ref="A148:C148"/>
    <mergeCell ref="A143:C143"/>
    <mergeCell ref="A149:C149"/>
    <mergeCell ref="A175:C175"/>
    <mergeCell ref="A166:B166"/>
    <mergeCell ref="A150:C150"/>
    <mergeCell ref="A151:C151"/>
    <mergeCell ref="A132:C132"/>
    <mergeCell ref="Q116:R116"/>
    <mergeCell ref="A117:C117"/>
    <mergeCell ref="Q117:R117"/>
    <mergeCell ref="A118:C118"/>
    <mergeCell ref="Q118:R118"/>
    <mergeCell ref="A139:C139"/>
    <mergeCell ref="A140:C140"/>
    <mergeCell ref="A141:C141"/>
    <mergeCell ref="A126:J126"/>
    <mergeCell ref="A127:B127"/>
    <mergeCell ref="A128:C128"/>
    <mergeCell ref="A131:C131"/>
    <mergeCell ref="A122:C122"/>
    <mergeCell ref="A124:C124"/>
    <mergeCell ref="A123:C123"/>
    <mergeCell ref="A125:C125"/>
    <mergeCell ref="A33:C33"/>
    <mergeCell ref="A61:C61"/>
    <mergeCell ref="A62:C62"/>
    <mergeCell ref="A63:C63"/>
    <mergeCell ref="A71:C71"/>
    <mergeCell ref="A80:C80"/>
    <mergeCell ref="A81:C81"/>
    <mergeCell ref="A95:C95"/>
    <mergeCell ref="A96:C96"/>
    <mergeCell ref="A93:C93"/>
    <mergeCell ref="A94:C94"/>
    <mergeCell ref="A73:C73"/>
    <mergeCell ref="A74:C74"/>
    <mergeCell ref="A75:C75"/>
    <mergeCell ref="A76:C76"/>
    <mergeCell ref="A77:C77"/>
    <mergeCell ref="A79:C79"/>
    <mergeCell ref="A64:C64"/>
    <mergeCell ref="A65:C65"/>
    <mergeCell ref="A72:B72"/>
    <mergeCell ref="A78:C78"/>
    <mergeCell ref="A1:J1"/>
    <mergeCell ref="A6:C6"/>
    <mergeCell ref="A14:C14"/>
    <mergeCell ref="A17:C17"/>
    <mergeCell ref="E3:F3"/>
    <mergeCell ref="A18:C18"/>
    <mergeCell ref="A19:C19"/>
    <mergeCell ref="A21:C21"/>
    <mergeCell ref="A25:C25"/>
    <mergeCell ref="A97:C97"/>
    <mergeCell ref="A98:C98"/>
    <mergeCell ref="A99:C99"/>
    <mergeCell ref="A114:C114"/>
    <mergeCell ref="A115:C115"/>
    <mergeCell ref="A116:C116"/>
    <mergeCell ref="A119:C119"/>
    <mergeCell ref="A120:C120"/>
    <mergeCell ref="A121:C121"/>
    <mergeCell ref="A102:C102"/>
    <mergeCell ref="A108:J108"/>
    <mergeCell ref="A110:J110"/>
    <mergeCell ref="A111:C111"/>
    <mergeCell ref="A112:C112"/>
    <mergeCell ref="A113:C113"/>
    <mergeCell ref="A100:C100"/>
    <mergeCell ref="A101:C101"/>
    <mergeCell ref="A103:C103"/>
    <mergeCell ref="A104:C104"/>
    <mergeCell ref="A105:C105"/>
    <mergeCell ref="A109:B109"/>
  </mergeCells>
  <pageMargins left="0.22" right="0.17" top="0.14000000000000001" bottom="0.2" header="0.2" footer="0.2"/>
  <pageSetup paperSize="5" scale="1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1:R270"/>
  <sheetViews>
    <sheetView view="pageBreakPreview" zoomScale="55" zoomScaleNormal="48" zoomScaleSheetLayoutView="55" workbookViewId="0">
      <selection activeCell="F24" sqref="F24"/>
    </sheetView>
  </sheetViews>
  <sheetFormatPr defaultColWidth="22.33203125" defaultRowHeight="21.95" customHeight="1" x14ac:dyDescent="0.5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6" width="30" style="160" customWidth="1"/>
    <col min="7" max="7" width="28.88671875" style="160" customWidth="1"/>
    <col min="8" max="8" width="39.21875" style="161" customWidth="1"/>
    <col min="9" max="9" width="23.5546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33.75" x14ac:dyDescent="0.65">
      <c r="A1" s="821" t="s">
        <v>115</v>
      </c>
      <c r="B1" s="822"/>
      <c r="C1" s="822"/>
      <c r="D1" s="822"/>
      <c r="E1" s="822"/>
      <c r="F1" s="822"/>
      <c r="G1" s="822"/>
      <c r="H1" s="822"/>
      <c r="I1" s="822"/>
      <c r="J1" s="823"/>
    </row>
    <row r="2" spans="1:15" s="57" customFormat="1" ht="27" x14ac:dyDescent="0.5">
      <c r="A2" s="191" t="s">
        <v>356</v>
      </c>
      <c r="B2" s="262">
        <v>44565</v>
      </c>
      <c r="C2" s="348" t="s">
        <v>67</v>
      </c>
      <c r="D2" s="218">
        <v>0.89610000000000001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27" x14ac:dyDescent="0.5">
      <c r="A3" s="189"/>
      <c r="B3" s="221"/>
      <c r="C3" s="348" t="s">
        <v>118</v>
      </c>
      <c r="D3" s="219">
        <v>28</v>
      </c>
      <c r="E3" s="830" t="s">
        <v>119</v>
      </c>
      <c r="F3" s="831"/>
      <c r="G3" s="101"/>
      <c r="H3" s="102"/>
      <c r="I3" s="102"/>
      <c r="J3" s="222"/>
      <c r="K3" s="61"/>
      <c r="L3" s="58"/>
      <c r="N3" s="57" t="s">
        <v>354</v>
      </c>
      <c r="O3" s="57">
        <v>19294.8</v>
      </c>
    </row>
    <row r="4" spans="1:15" s="57" customFormat="1" ht="27" x14ac:dyDescent="0.5">
      <c r="A4" s="192"/>
      <c r="B4" s="223"/>
      <c r="C4" s="348" t="s">
        <v>120</v>
      </c>
      <c r="D4" s="218">
        <v>0.9</v>
      </c>
      <c r="E4" s="103"/>
      <c r="F4" s="103"/>
      <c r="G4" s="103"/>
      <c r="H4" s="103"/>
      <c r="I4" s="104"/>
      <c r="J4" s="222"/>
      <c r="K4" s="62"/>
      <c r="L4" s="58"/>
      <c r="O4" s="57">
        <v>70950.2</v>
      </c>
    </row>
    <row r="5" spans="1:15" ht="29.25" x14ac:dyDescent="0.4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  <c r="N5" s="65" t="s">
        <v>353</v>
      </c>
      <c r="O5" s="65">
        <v>28135.7</v>
      </c>
    </row>
    <row r="6" spans="1:15" ht="29.25" x14ac:dyDescent="0.4">
      <c r="A6" s="824" t="s">
        <v>128</v>
      </c>
      <c r="B6" s="825"/>
      <c r="C6" s="826"/>
      <c r="D6" s="110"/>
      <c r="E6" s="110"/>
      <c r="F6" s="110"/>
      <c r="G6" s="110"/>
      <c r="H6" s="111"/>
      <c r="I6" s="111"/>
      <c r="J6" s="174"/>
      <c r="K6" s="78"/>
      <c r="L6" s="66"/>
      <c r="O6" s="65">
        <v>48780.83</v>
      </c>
    </row>
    <row r="7" spans="1:15" ht="30" thickBot="1" x14ac:dyDescent="0.45">
      <c r="A7" s="194" t="s">
        <v>129</v>
      </c>
      <c r="B7" s="195"/>
      <c r="C7" s="195"/>
      <c r="D7" s="151" t="s">
        <v>130</v>
      </c>
      <c r="E7" s="95">
        <f>'3'!F7</f>
        <v>153249</v>
      </c>
      <c r="F7" s="95">
        <v>173032.09</v>
      </c>
      <c r="G7" s="112">
        <f>F7-E7</f>
        <v>19783.089999999997</v>
      </c>
      <c r="H7" s="99">
        <f>G7+'3'!H7</f>
        <v>78471.09</v>
      </c>
      <c r="I7" s="113">
        <f>'1'!I7</f>
        <v>12000</v>
      </c>
      <c r="J7" s="175">
        <f>H7/DAY(B2)</f>
        <v>19617.772499999999</v>
      </c>
      <c r="K7" s="172">
        <v>1375467</v>
      </c>
      <c r="L7" s="66"/>
      <c r="N7" s="87"/>
      <c r="O7" s="71"/>
    </row>
    <row r="8" spans="1:15" ht="27.75" thickBot="1" x14ac:dyDescent="0.45">
      <c r="A8" s="196" t="s">
        <v>131</v>
      </c>
      <c r="B8" s="197"/>
      <c r="C8" s="198"/>
      <c r="D8" s="224" t="s">
        <v>24</v>
      </c>
      <c r="E8" s="95">
        <f>'3'!F8</f>
        <v>200756</v>
      </c>
      <c r="F8" s="114">
        <v>220974.95</v>
      </c>
      <c r="G8" s="115">
        <f>F8-E8</f>
        <v>20218.950000000012</v>
      </c>
      <c r="H8" s="99">
        <f>G8+'3'!H8</f>
        <v>80089.950000000012</v>
      </c>
      <c r="I8" s="116"/>
      <c r="J8" s="175">
        <f>H8/DAY(B2)</f>
        <v>20022.487500000003</v>
      </c>
      <c r="K8" s="172">
        <v>1715917</v>
      </c>
      <c r="L8" s="76">
        <v>1728480</v>
      </c>
      <c r="M8" s="87">
        <f>L8-K8</f>
        <v>12563</v>
      </c>
      <c r="N8" s="87"/>
      <c r="O8" s="71"/>
    </row>
    <row r="9" spans="1:15" ht="29.25" x14ac:dyDescent="0.4">
      <c r="A9" s="199" t="s">
        <v>132</v>
      </c>
      <c r="B9" s="200"/>
      <c r="C9" s="200"/>
      <c r="D9" s="151" t="s">
        <v>130</v>
      </c>
      <c r="E9" s="95">
        <f>'3'!F9</f>
        <v>2296070.1</v>
      </c>
      <c r="F9" s="117">
        <v>2308514.5</v>
      </c>
      <c r="G9" s="112">
        <f>F9-E9</f>
        <v>12444.399999999907</v>
      </c>
      <c r="H9" s="99">
        <f>G9+'3'!H9</f>
        <v>49738.5</v>
      </c>
      <c r="I9" s="124">
        <f>I7-J7</f>
        <v>-7617.7724999999991</v>
      </c>
      <c r="J9" s="175">
        <f>H9/DAY(B2)</f>
        <v>12434.625</v>
      </c>
      <c r="K9" s="79">
        <f>K8-100</f>
        <v>1715817</v>
      </c>
      <c r="L9" s="66"/>
      <c r="N9" s="87"/>
      <c r="O9" s="71"/>
    </row>
    <row r="10" spans="1:15" ht="29.25" x14ac:dyDescent="0.4">
      <c r="A10" s="194" t="s">
        <v>133</v>
      </c>
      <c r="B10" s="195"/>
      <c r="C10" s="195"/>
      <c r="D10" s="151" t="s">
        <v>130</v>
      </c>
      <c r="E10" s="95">
        <f>'3'!F10</f>
        <v>560620.94999999995</v>
      </c>
      <c r="F10" s="117">
        <v>567423.27</v>
      </c>
      <c r="G10" s="112">
        <f t="shared" ref="G10:G12" si="0">F10-E10</f>
        <v>6802.3200000000652</v>
      </c>
      <c r="H10" s="99">
        <f>G10+'3'!H10</f>
        <v>26597.270000000019</v>
      </c>
      <c r="I10" s="282"/>
      <c r="J10" s="175">
        <f>H10/DAY(B2)</f>
        <v>6649.3175000000047</v>
      </c>
      <c r="K10" s="79"/>
      <c r="L10" s="66"/>
      <c r="N10" s="87"/>
      <c r="O10" s="71"/>
    </row>
    <row r="11" spans="1:15" ht="29.25" x14ac:dyDescent="0.4">
      <c r="A11" s="194" t="s">
        <v>134</v>
      </c>
      <c r="B11" s="195"/>
      <c r="C11" s="195"/>
      <c r="D11" s="151" t="s">
        <v>130</v>
      </c>
      <c r="E11" s="95">
        <f>'3'!F11</f>
        <v>37000</v>
      </c>
      <c r="F11" s="95">
        <v>37000</v>
      </c>
      <c r="G11" s="112">
        <f t="shared" si="0"/>
        <v>0</v>
      </c>
      <c r="H11" s="99">
        <f>G11+'3'!H11</f>
        <v>0</v>
      </c>
      <c r="I11" s="282"/>
      <c r="J11" s="175">
        <f>H11/DAY(B2)</f>
        <v>0</v>
      </c>
      <c r="K11" s="79"/>
      <c r="L11" s="66"/>
      <c r="N11" s="87"/>
      <c r="O11" s="71"/>
    </row>
    <row r="12" spans="1:15" ht="29.25" x14ac:dyDescent="0.4">
      <c r="A12" s="194" t="s">
        <v>135</v>
      </c>
      <c r="B12" s="195"/>
      <c r="C12" s="195"/>
      <c r="D12" s="151" t="s">
        <v>130</v>
      </c>
      <c r="E12" s="95">
        <f>'3'!F12</f>
        <v>40010</v>
      </c>
      <c r="F12" s="117">
        <v>40010</v>
      </c>
      <c r="G12" s="112">
        <f t="shared" si="0"/>
        <v>0</v>
      </c>
      <c r="H12" s="99">
        <f>G12+'3'!H12</f>
        <v>0</v>
      </c>
      <c r="I12" s="282"/>
      <c r="J12" s="175">
        <f>H12/DAY(B2)</f>
        <v>0</v>
      </c>
      <c r="K12" s="79"/>
      <c r="L12" s="66"/>
      <c r="N12" s="87"/>
      <c r="O12" s="71"/>
    </row>
    <row r="13" spans="1:15" ht="29.25" x14ac:dyDescent="0.5">
      <c r="A13" s="201" t="s">
        <v>136</v>
      </c>
      <c r="B13" s="202"/>
      <c r="C13" s="202"/>
      <c r="D13" s="151"/>
      <c r="E13" s="95"/>
      <c r="F13" s="95"/>
      <c r="G13" s="119">
        <f>G9+G10+G11+G12</f>
        <v>19246.719999999972</v>
      </c>
      <c r="H13" s="99">
        <f>G13+'3'!H13</f>
        <v>56870.519999999902</v>
      </c>
      <c r="I13" s="120">
        <f>G7-G13</f>
        <v>536.37000000002445</v>
      </c>
      <c r="J13" s="175">
        <f>H13/DAY(B2)</f>
        <v>14217.629999999976</v>
      </c>
      <c r="K13" s="79"/>
      <c r="L13" s="66"/>
      <c r="N13" s="87"/>
      <c r="O13" s="71"/>
    </row>
    <row r="14" spans="1:15" ht="29.25" x14ac:dyDescent="0.5">
      <c r="A14" s="827" t="s">
        <v>137</v>
      </c>
      <c r="B14" s="828"/>
      <c r="C14" s="829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5" ht="29.25" x14ac:dyDescent="0.5">
      <c r="A15" s="345" t="s">
        <v>138</v>
      </c>
      <c r="B15" s="205"/>
      <c r="C15" s="205"/>
      <c r="D15" s="151" t="s">
        <v>139</v>
      </c>
      <c r="E15" s="95">
        <f>'3'!F15</f>
        <v>1880833.4</v>
      </c>
      <c r="F15" s="123">
        <v>1881868.65</v>
      </c>
      <c r="G15" s="112">
        <f>(F15-E15)</f>
        <v>1035.25</v>
      </c>
      <c r="H15" s="99">
        <f>G15+'3'!H15</f>
        <v>3438.6499999999069</v>
      </c>
      <c r="I15" s="113">
        <f>'1'!I15</f>
        <v>800</v>
      </c>
      <c r="J15" s="175">
        <f>H15/DAY(B2)</f>
        <v>859.66249999997672</v>
      </c>
      <c r="K15" s="79"/>
      <c r="L15" s="66"/>
      <c r="N15" s="87"/>
      <c r="O15" s="71"/>
    </row>
    <row r="16" spans="1:15" ht="29.25" x14ac:dyDescent="0.4">
      <c r="A16" s="203"/>
      <c r="B16" s="204"/>
      <c r="C16" s="204"/>
      <c r="D16" s="152"/>
      <c r="E16" s="123"/>
      <c r="F16" s="123"/>
      <c r="G16" s="112"/>
      <c r="H16" s="124"/>
      <c r="I16" s="120">
        <f>I15-J15</f>
        <v>-59.662499999976717</v>
      </c>
      <c r="J16" s="176"/>
      <c r="K16" s="79"/>
      <c r="L16" s="66"/>
      <c r="N16" s="87"/>
      <c r="O16" s="71"/>
    </row>
    <row r="17" spans="1:15" ht="29.25" x14ac:dyDescent="0.5">
      <c r="A17" s="827" t="s">
        <v>140</v>
      </c>
      <c r="B17" s="828"/>
      <c r="C17" s="829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5" ht="27.75" x14ac:dyDescent="0.5">
      <c r="A18" s="818" t="s">
        <v>141</v>
      </c>
      <c r="B18" s="819"/>
      <c r="C18" s="820"/>
      <c r="D18" s="151" t="s">
        <v>142</v>
      </c>
      <c r="E18" s="95">
        <f>'3'!F18</f>
        <v>30</v>
      </c>
      <c r="F18" s="122">
        <v>17</v>
      </c>
      <c r="G18" s="119">
        <f>F18*10</f>
        <v>170</v>
      </c>
      <c r="H18" s="99">
        <f>G18+'3'!H18</f>
        <v>470</v>
      </c>
      <c r="I18" s="113">
        <f>'1'!I18</f>
        <v>65</v>
      </c>
      <c r="J18" s="175">
        <f>H18/DAY(B2)</f>
        <v>117.5</v>
      </c>
      <c r="K18" s="79"/>
      <c r="L18" s="66"/>
      <c r="N18" s="87"/>
      <c r="O18" s="71"/>
    </row>
    <row r="19" spans="1:15" ht="27.75" x14ac:dyDescent="0.5">
      <c r="A19" s="818" t="s">
        <v>69</v>
      </c>
      <c r="B19" s="819"/>
      <c r="C19" s="820"/>
      <c r="D19" s="151" t="s">
        <v>142</v>
      </c>
      <c r="E19" s="95">
        <f>'3'!F19</f>
        <v>152391</v>
      </c>
      <c r="F19" s="122">
        <v>152440</v>
      </c>
      <c r="G19" s="112">
        <f t="shared" ref="G19" si="1">F19-E19</f>
        <v>49</v>
      </c>
      <c r="H19" s="99">
        <f>G19+'3'!H19</f>
        <v>215</v>
      </c>
      <c r="I19" s="335"/>
      <c r="J19" s="175">
        <f>H19/DAY(B2)</f>
        <v>53.75</v>
      </c>
      <c r="K19" s="79"/>
      <c r="L19" s="66"/>
      <c r="N19" s="87"/>
      <c r="O19" s="71"/>
    </row>
    <row r="20" spans="1:15" ht="29.25" x14ac:dyDescent="0.5">
      <c r="A20" s="201" t="s">
        <v>143</v>
      </c>
      <c r="B20" s="202"/>
      <c r="C20" s="202"/>
      <c r="D20" s="126"/>
      <c r="E20" s="126"/>
      <c r="F20" s="126"/>
      <c r="G20" s="127">
        <f>G18+G19</f>
        <v>219</v>
      </c>
      <c r="H20" s="99">
        <f>G20+'3'!H20</f>
        <v>685</v>
      </c>
      <c r="I20" s="336">
        <f>I18-J20</f>
        <v>-106.25</v>
      </c>
      <c r="J20" s="175">
        <f>H20/DAY(B2)</f>
        <v>171.25</v>
      </c>
      <c r="K20" s="79"/>
      <c r="L20" s="66"/>
      <c r="N20" s="87"/>
      <c r="O20" s="71"/>
    </row>
    <row r="21" spans="1:15" ht="29.25" x14ac:dyDescent="0.5">
      <c r="A21" s="827" t="s">
        <v>144</v>
      </c>
      <c r="B21" s="828"/>
      <c r="C21" s="829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5" ht="29.25" x14ac:dyDescent="0.5">
      <c r="A22" s="345" t="s">
        <v>145</v>
      </c>
      <c r="B22" s="205"/>
      <c r="C22" s="205"/>
      <c r="D22" s="151" t="s">
        <v>146</v>
      </c>
      <c r="E22" s="95">
        <f>'3'!F22</f>
        <v>2970</v>
      </c>
      <c r="F22" s="122">
        <v>2970</v>
      </c>
      <c r="G22" s="119">
        <f t="shared" ref="G22" si="2">(F22-E22)</f>
        <v>0</v>
      </c>
      <c r="H22" s="99">
        <f>G22+'3'!H22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29.25" x14ac:dyDescent="0.5">
      <c r="A23" s="345" t="s">
        <v>147</v>
      </c>
      <c r="B23" s="205"/>
      <c r="C23" s="205"/>
      <c r="D23" s="151" t="s">
        <v>146</v>
      </c>
      <c r="E23" s="95">
        <f>'3'!F23</f>
        <v>1500</v>
      </c>
      <c r="F23" s="122">
        <v>1500</v>
      </c>
      <c r="G23" s="119">
        <v>0</v>
      </c>
      <c r="H23" s="99">
        <f>G23+'3'!H23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5" ht="29.25" x14ac:dyDescent="0.4">
      <c r="A24" s="206" t="s">
        <v>148</v>
      </c>
      <c r="B24" s="207"/>
      <c r="C24" s="207"/>
      <c r="D24" s="146" t="s">
        <v>146</v>
      </c>
      <c r="E24" s="95">
        <f>'3'!F24</f>
        <v>4970</v>
      </c>
      <c r="F24" s="128">
        <v>4970</v>
      </c>
      <c r="G24" s="119">
        <v>0</v>
      </c>
      <c r="H24" s="99">
        <f>G24+'3'!H24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5" s="88" customFormat="1" ht="27" x14ac:dyDescent="0.35">
      <c r="A25" s="832" t="s">
        <v>149</v>
      </c>
      <c r="B25" s="833"/>
      <c r="C25" s="834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5" s="88" customFormat="1" ht="27.75" x14ac:dyDescent="0.5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/>
      <c r="I26" s="134"/>
      <c r="J26" s="175"/>
      <c r="K26" s="64"/>
      <c r="L26" s="89"/>
      <c r="N26" s="87"/>
      <c r="O26" s="71"/>
    </row>
    <row r="27" spans="1:15" s="88" customFormat="1" ht="27.75" x14ac:dyDescent="0.5">
      <c r="A27" s="208" t="s">
        <v>5</v>
      </c>
      <c r="B27" s="209"/>
      <c r="C27" s="210"/>
      <c r="D27" s="226" t="s">
        <v>24</v>
      </c>
      <c r="E27" s="135">
        <f>G8</f>
        <v>20218.950000000012</v>
      </c>
      <c r="F27" s="136">
        <v>9</v>
      </c>
      <c r="G27" s="137">
        <f>E27*F27</f>
        <v>181970.5500000001</v>
      </c>
      <c r="H27" s="99">
        <f>G27+'3'!H27</f>
        <v>720809.55</v>
      </c>
      <c r="I27" s="138"/>
      <c r="J27" s="175">
        <f>H27/DAY(B2)</f>
        <v>180202.38750000001</v>
      </c>
      <c r="K27" s="63"/>
      <c r="L27" s="89"/>
      <c r="N27" s="87"/>
      <c r="O27" s="71"/>
    </row>
    <row r="28" spans="1:15" s="88" customFormat="1" ht="27.75" x14ac:dyDescent="0.5">
      <c r="A28" s="208" t="s">
        <v>152</v>
      </c>
      <c r="B28" s="209"/>
      <c r="C28" s="210"/>
      <c r="D28" s="226" t="s">
        <v>153</v>
      </c>
      <c r="E28" s="139">
        <f>G15</f>
        <v>1035.25</v>
      </c>
      <c r="F28" s="136">
        <v>52</v>
      </c>
      <c r="G28" s="137">
        <f>E28*F28</f>
        <v>53833</v>
      </c>
      <c r="H28" s="99">
        <f>G28+'3'!H28</f>
        <v>178809.79999999516</v>
      </c>
      <c r="I28" s="140"/>
      <c r="J28" s="175">
        <f>H28/DAY(B2)</f>
        <v>44702.449999998789</v>
      </c>
      <c r="K28" s="63"/>
      <c r="L28" s="89"/>
      <c r="N28" s="87"/>
      <c r="O28" s="71"/>
    </row>
    <row r="29" spans="1:15" s="88" customFormat="1" ht="27.75" x14ac:dyDescent="0.5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>E29*F29</f>
        <v>0</v>
      </c>
      <c r="H29" s="99">
        <f>G29+'3'!H29</f>
        <v>0</v>
      </c>
      <c r="I29" s="140"/>
      <c r="J29" s="175">
        <f>H29/DAY(B2)</f>
        <v>0</v>
      </c>
      <c r="K29" s="63"/>
      <c r="L29" s="89"/>
      <c r="N29" s="87"/>
      <c r="O29" s="71"/>
    </row>
    <row r="30" spans="1:15" s="88" customFormat="1" ht="27.75" x14ac:dyDescent="0.5">
      <c r="A30" s="208" t="s">
        <v>156</v>
      </c>
      <c r="B30" s="209"/>
      <c r="C30" s="210"/>
      <c r="D30" s="226" t="s">
        <v>157</v>
      </c>
      <c r="E30" s="141">
        <f>G19</f>
        <v>49</v>
      </c>
      <c r="F30" s="136">
        <v>146</v>
      </c>
      <c r="G30" s="137">
        <f>E30*F30</f>
        <v>7154</v>
      </c>
      <c r="H30" s="99">
        <f>G30+'3'!H30</f>
        <v>31390</v>
      </c>
      <c r="I30" s="140"/>
      <c r="J30" s="175">
        <f>H30/DAY(B2)</f>
        <v>7847.5</v>
      </c>
      <c r="K30" s="63"/>
      <c r="L30" s="89"/>
      <c r="N30" s="87"/>
      <c r="O30" s="71"/>
    </row>
    <row r="31" spans="1:15" s="88" customFormat="1" ht="27.75" x14ac:dyDescent="0.5">
      <c r="A31" s="208" t="s">
        <v>158</v>
      </c>
      <c r="B31" s="209"/>
      <c r="C31" s="210"/>
      <c r="D31" s="226" t="s">
        <v>142</v>
      </c>
      <c r="E31" s="141">
        <f>G18</f>
        <v>170</v>
      </c>
      <c r="F31" s="136">
        <v>80</v>
      </c>
      <c r="G31" s="137">
        <f>E31*F31</f>
        <v>13600</v>
      </c>
      <c r="H31" s="99">
        <f>G31+'3'!H31</f>
        <v>37600</v>
      </c>
      <c r="I31" s="140"/>
      <c r="J31" s="175">
        <f>H31/DAY(B2)</f>
        <v>9400</v>
      </c>
      <c r="K31" s="63"/>
      <c r="L31" s="89"/>
      <c r="N31" s="87"/>
      <c r="O31" s="71"/>
    </row>
    <row r="32" spans="1:15" s="88" customFormat="1" ht="27.75" x14ac:dyDescent="0.5">
      <c r="A32" s="211" t="s">
        <v>159</v>
      </c>
      <c r="B32" s="212"/>
      <c r="C32" s="213"/>
      <c r="D32" s="142"/>
      <c r="E32" s="142"/>
      <c r="F32" s="142"/>
      <c r="G32" s="143">
        <f>G27+G28+G29+G30+G31</f>
        <v>256557.5500000001</v>
      </c>
      <c r="H32" s="99">
        <f>G32+'3'!H32</f>
        <v>968609.3499999952</v>
      </c>
      <c r="I32" s="144"/>
      <c r="J32" s="175">
        <f>H32/DAY(B2)</f>
        <v>242152.3374999988</v>
      </c>
      <c r="K32" s="63"/>
      <c r="L32" s="89"/>
      <c r="N32" s="87"/>
      <c r="O32" s="71"/>
    </row>
    <row r="33" spans="1:15" ht="25.5" customHeight="1" x14ac:dyDescent="0.35">
      <c r="A33" s="835" t="s">
        <v>331</v>
      </c>
      <c r="B33" s="836"/>
      <c r="C33" s="836"/>
      <c r="D33" s="337"/>
      <c r="E33" s="337"/>
      <c r="F33" s="337"/>
      <c r="G33" s="337"/>
      <c r="H33" s="337"/>
      <c r="I33" s="337"/>
      <c r="J33" s="338"/>
      <c r="K33" s="79"/>
      <c r="L33" s="66"/>
      <c r="N33" s="87"/>
      <c r="O33" s="71"/>
    </row>
    <row r="34" spans="1:15" ht="29.25" x14ac:dyDescent="0.5">
      <c r="A34" s="214" t="s">
        <v>160</v>
      </c>
      <c r="B34" s="349"/>
      <c r="C34" s="349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29.25" x14ac:dyDescent="0.4">
      <c r="A35" s="194" t="s">
        <v>161</v>
      </c>
      <c r="B35" s="195"/>
      <c r="C35" s="195"/>
      <c r="D35" s="151" t="s">
        <v>130</v>
      </c>
      <c r="E35" s="95">
        <f>'3'!F35</f>
        <v>158786.95000000001</v>
      </c>
      <c r="F35" s="145">
        <v>160674.78</v>
      </c>
      <c r="G35" s="112">
        <f t="shared" ref="G35:G46" si="3">F35-E35</f>
        <v>1887.8299999999872</v>
      </c>
      <c r="H35" s="99">
        <f>G35+'3'!H35</f>
        <v>7832.7799999999988</v>
      </c>
      <c r="I35" s="95"/>
      <c r="J35" s="175">
        <f>H35/DAY(B2)</f>
        <v>1958.1949999999997</v>
      </c>
      <c r="K35" s="79"/>
      <c r="L35" s="66"/>
      <c r="N35" s="87"/>
      <c r="O35" s="71"/>
    </row>
    <row r="36" spans="1:15" ht="29.25" x14ac:dyDescent="0.4">
      <c r="A36" s="194" t="s">
        <v>162</v>
      </c>
      <c r="B36" s="195"/>
      <c r="C36" s="195"/>
      <c r="D36" s="151" t="s">
        <v>130</v>
      </c>
      <c r="E36" s="95">
        <f>'3'!F36</f>
        <v>23952.22</v>
      </c>
      <c r="F36" s="145">
        <v>24679.25</v>
      </c>
      <c r="G36" s="112">
        <f t="shared" si="3"/>
        <v>727.02999999999884</v>
      </c>
      <c r="H36" s="99">
        <f>G36+'3'!H36</f>
        <v>3152.25</v>
      </c>
      <c r="I36" s="95"/>
      <c r="J36" s="175">
        <f>H36/DAY(B2)</f>
        <v>788.0625</v>
      </c>
      <c r="K36" s="79"/>
      <c r="L36" s="66"/>
      <c r="N36" s="87"/>
      <c r="O36" s="344"/>
    </row>
    <row r="37" spans="1:15" ht="29.25" x14ac:dyDescent="0.4">
      <c r="A37" s="194" t="s">
        <v>163</v>
      </c>
      <c r="B37" s="195"/>
      <c r="C37" s="195"/>
      <c r="D37" s="151" t="s">
        <v>130</v>
      </c>
      <c r="E37" s="95">
        <f>'3'!F37</f>
        <v>199989.95</v>
      </c>
      <c r="F37" s="145">
        <v>201516.83</v>
      </c>
      <c r="G37" s="112">
        <f t="shared" si="3"/>
        <v>1526.8799999999756</v>
      </c>
      <c r="H37" s="99">
        <f>G37+'3'!H37</f>
        <v>6123.8299999999872</v>
      </c>
      <c r="I37" s="95"/>
      <c r="J37" s="175">
        <f>H37/DAY(B2)</f>
        <v>1530.9574999999968</v>
      </c>
      <c r="K37" s="79"/>
      <c r="L37" s="66"/>
      <c r="N37" s="87"/>
      <c r="O37" s="234"/>
    </row>
    <row r="38" spans="1:15" ht="29.25" x14ac:dyDescent="0.4">
      <c r="A38" s="194" t="s">
        <v>164</v>
      </c>
      <c r="B38" s="195"/>
      <c r="C38" s="195"/>
      <c r="D38" s="151" t="s">
        <v>130</v>
      </c>
      <c r="E38" s="95">
        <f>'3'!F38</f>
        <v>237187.13</v>
      </c>
      <c r="F38" s="108">
        <v>238939.49</v>
      </c>
      <c r="G38" s="112">
        <f t="shared" si="3"/>
        <v>1752.359999999986</v>
      </c>
      <c r="H38" s="99">
        <f>G38+'3'!H38</f>
        <v>6457.4899999999907</v>
      </c>
      <c r="I38" s="95"/>
      <c r="J38" s="175">
        <f>H38/DAY(B2)</f>
        <v>1614.3724999999977</v>
      </c>
      <c r="K38" s="79"/>
      <c r="L38" s="66"/>
      <c r="N38" s="87"/>
      <c r="O38" s="71"/>
    </row>
    <row r="39" spans="1:15" ht="29.25" x14ac:dyDescent="0.4">
      <c r="A39" s="194" t="s">
        <v>165</v>
      </c>
      <c r="B39" s="195"/>
      <c r="C39" s="195"/>
      <c r="D39" s="151" t="s">
        <v>130</v>
      </c>
      <c r="E39" s="95">
        <f>'3'!F39</f>
        <v>419283.99</v>
      </c>
      <c r="F39" s="145">
        <v>422024.51</v>
      </c>
      <c r="G39" s="112">
        <f t="shared" si="3"/>
        <v>2740.5200000000186</v>
      </c>
      <c r="H39" s="99">
        <f>G39+'3'!H39</f>
        <v>10945.510000000009</v>
      </c>
      <c r="I39" s="95"/>
      <c r="J39" s="175">
        <f>H39/DAY(B2)</f>
        <v>2736.3775000000023</v>
      </c>
      <c r="K39" s="79"/>
      <c r="L39" s="66"/>
      <c r="N39" s="87"/>
      <c r="O39" s="71"/>
    </row>
    <row r="40" spans="1:15" ht="29.25" x14ac:dyDescent="0.4">
      <c r="A40" s="215" t="s">
        <v>166</v>
      </c>
      <c r="B40" s="216"/>
      <c r="C40" s="216"/>
      <c r="D40" s="151" t="s">
        <v>130</v>
      </c>
      <c r="E40" s="95">
        <f>'3'!F40</f>
        <v>5609.98</v>
      </c>
      <c r="F40" s="145">
        <v>5609.98</v>
      </c>
      <c r="G40" s="112">
        <f t="shared" si="3"/>
        <v>0</v>
      </c>
      <c r="H40" s="99">
        <f>G40+'3'!H40</f>
        <v>-2.0000000000436557E-2</v>
      </c>
      <c r="I40" s="95"/>
      <c r="J40" s="175">
        <f>H40/DAY(B2)</f>
        <v>-5.0000000001091394E-3</v>
      </c>
      <c r="K40" s="80"/>
      <c r="L40" s="66"/>
      <c r="N40" s="87"/>
      <c r="O40" s="71"/>
    </row>
    <row r="41" spans="1:15" ht="29.25" x14ac:dyDescent="0.4">
      <c r="A41" s="194" t="s">
        <v>167</v>
      </c>
      <c r="B41" s="195"/>
      <c r="C41" s="195"/>
      <c r="D41" s="151" t="s">
        <v>130</v>
      </c>
      <c r="E41" s="95">
        <f>'3'!F41</f>
        <v>0</v>
      </c>
      <c r="F41" s="145">
        <v>0</v>
      </c>
      <c r="G41" s="112">
        <f t="shared" si="3"/>
        <v>0</v>
      </c>
      <c r="H41" s="99">
        <f>G41+'3'!H41</f>
        <v>0</v>
      </c>
      <c r="I41" s="95"/>
      <c r="J41" s="175">
        <f>H41/DAY(B2)</f>
        <v>0</v>
      </c>
      <c r="K41" s="79"/>
      <c r="L41" s="66"/>
      <c r="N41" s="87"/>
      <c r="O41" s="71"/>
    </row>
    <row r="42" spans="1:15" ht="29.25" x14ac:dyDescent="0.4">
      <c r="A42" s="194" t="s">
        <v>168</v>
      </c>
      <c r="B42" s="195"/>
      <c r="C42" s="195"/>
      <c r="D42" s="151" t="s">
        <v>130</v>
      </c>
      <c r="E42" s="95">
        <f>'3'!F42</f>
        <v>73808.600000000006</v>
      </c>
      <c r="F42" s="145">
        <v>73808.600000000006</v>
      </c>
      <c r="G42" s="112">
        <f t="shared" si="3"/>
        <v>0</v>
      </c>
      <c r="H42" s="99">
        <f>G42+'3'!H42</f>
        <v>-0.39999999999417923</v>
      </c>
      <c r="I42" s="95"/>
      <c r="J42" s="175">
        <f>H42/DAY(B2)</f>
        <v>-9.9999999998544808E-2</v>
      </c>
      <c r="K42" s="79"/>
      <c r="L42" s="66"/>
      <c r="N42" s="87"/>
      <c r="O42" s="71"/>
    </row>
    <row r="43" spans="1:15" ht="29.25" x14ac:dyDescent="0.4">
      <c r="A43" s="194" t="s">
        <v>169</v>
      </c>
      <c r="B43" s="195"/>
      <c r="C43" s="195"/>
      <c r="D43" s="151" t="s">
        <v>130</v>
      </c>
      <c r="E43" s="95">
        <f>'3'!F43</f>
        <v>54679.07</v>
      </c>
      <c r="F43" s="145">
        <v>57123.72</v>
      </c>
      <c r="G43" s="112">
        <f t="shared" si="3"/>
        <v>2444.6500000000015</v>
      </c>
      <c r="H43" s="99">
        <f>G43+'3'!H43</f>
        <v>9862.7200000000012</v>
      </c>
      <c r="I43" s="95"/>
      <c r="J43" s="175">
        <f>H43/DAY(B2)</f>
        <v>2465.6800000000003</v>
      </c>
      <c r="K43" s="79"/>
      <c r="L43" s="66"/>
      <c r="N43" s="87"/>
      <c r="O43" s="71"/>
    </row>
    <row r="44" spans="1:15" ht="29.25" x14ac:dyDescent="0.4">
      <c r="A44" s="194" t="s">
        <v>170</v>
      </c>
      <c r="B44" s="195"/>
      <c r="C44" s="195"/>
      <c r="D44" s="151" t="s">
        <v>130</v>
      </c>
      <c r="E44" s="95">
        <f>'3'!F44</f>
        <v>0</v>
      </c>
      <c r="F44" s="145">
        <v>0</v>
      </c>
      <c r="G44" s="112">
        <f t="shared" si="3"/>
        <v>0</v>
      </c>
      <c r="H44" s="99">
        <f>G44+'3'!H44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29.25" x14ac:dyDescent="0.4">
      <c r="A45" s="194" t="s">
        <v>171</v>
      </c>
      <c r="B45" s="195"/>
      <c r="C45" s="195"/>
      <c r="D45" s="151" t="s">
        <v>130</v>
      </c>
      <c r="E45" s="95">
        <f>'3'!F45</f>
        <v>0</v>
      </c>
      <c r="F45" s="145">
        <v>0</v>
      </c>
      <c r="G45" s="112">
        <f t="shared" si="3"/>
        <v>0</v>
      </c>
      <c r="H45" s="99">
        <f>G45+'3'!H45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29.25" x14ac:dyDescent="0.4">
      <c r="A46" s="194" t="s">
        <v>172</v>
      </c>
      <c r="B46" s="195"/>
      <c r="C46" s="195"/>
      <c r="D46" s="151" t="s">
        <v>130</v>
      </c>
      <c r="E46" s="95">
        <f>'3'!F46</f>
        <v>0</v>
      </c>
      <c r="F46" s="145">
        <v>0</v>
      </c>
      <c r="G46" s="112">
        <f t="shared" si="3"/>
        <v>0</v>
      </c>
      <c r="H46" s="99">
        <f>G46+'3'!H46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29.25" x14ac:dyDescent="0.5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11079.269999999968</v>
      </c>
      <c r="H47" s="99">
        <f>G47+'3'!H47</f>
        <v>44374.159999999996</v>
      </c>
      <c r="I47" s="95"/>
      <c r="J47" s="175">
        <f>H47/DAY(B2)</f>
        <v>11093.539999999999</v>
      </c>
      <c r="K47" s="79"/>
      <c r="L47" s="66"/>
      <c r="N47" s="87"/>
      <c r="O47" s="71"/>
    </row>
    <row r="48" spans="1:15" ht="29.25" x14ac:dyDescent="0.5">
      <c r="A48" s="214" t="s">
        <v>174</v>
      </c>
      <c r="B48" s="349"/>
      <c r="C48" s="349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29.25" x14ac:dyDescent="0.4">
      <c r="A49" s="194" t="s">
        <v>161</v>
      </c>
      <c r="B49" s="217"/>
      <c r="C49" s="217"/>
      <c r="D49" s="151" t="s">
        <v>130</v>
      </c>
      <c r="E49" s="95">
        <f>'3'!F49</f>
        <v>277381</v>
      </c>
      <c r="F49" s="552">
        <v>278816.03000000003</v>
      </c>
      <c r="G49" s="112">
        <f t="shared" ref="G49:G58" si="4">F49-E49</f>
        <v>1435.0300000000279</v>
      </c>
      <c r="H49" s="99">
        <f>G49+'3'!H49</f>
        <v>6576.0300000000279</v>
      </c>
      <c r="I49" s="95"/>
      <c r="J49" s="175">
        <f>H49/DAY(B2)</f>
        <v>1644.007500000007</v>
      </c>
      <c r="K49" s="79"/>
      <c r="L49" s="66"/>
      <c r="N49" s="87"/>
      <c r="O49" s="71"/>
    </row>
    <row r="50" spans="1:15" ht="29.25" x14ac:dyDescent="0.4">
      <c r="A50" s="194" t="s">
        <v>175</v>
      </c>
      <c r="B50" s="217"/>
      <c r="C50" s="217"/>
      <c r="D50" s="151" t="s">
        <v>130</v>
      </c>
      <c r="E50" s="95">
        <f>'3'!F50</f>
        <v>28002.21</v>
      </c>
      <c r="F50" s="145">
        <v>29038.62</v>
      </c>
      <c r="G50" s="112">
        <f t="shared" si="4"/>
        <v>1036.4099999999999</v>
      </c>
      <c r="H50" s="99">
        <f>G50+'3'!H50</f>
        <v>4388.619999999999</v>
      </c>
      <c r="I50" s="95"/>
      <c r="J50" s="175">
        <f>H50/DAY(B2)</f>
        <v>1097.1549999999997</v>
      </c>
      <c r="K50" s="79"/>
      <c r="L50" s="66"/>
      <c r="N50" s="87"/>
      <c r="O50" s="71"/>
    </row>
    <row r="51" spans="1:15" ht="29.25" x14ac:dyDescent="0.4">
      <c r="A51" s="194" t="s">
        <v>163</v>
      </c>
      <c r="B51" s="217"/>
      <c r="C51" s="217"/>
      <c r="D51" s="151" t="s">
        <v>130</v>
      </c>
      <c r="E51" s="95">
        <f>'3'!F51</f>
        <v>0</v>
      </c>
      <c r="F51" s="145">
        <v>0</v>
      </c>
      <c r="G51" s="112">
        <f t="shared" si="4"/>
        <v>0</v>
      </c>
      <c r="H51" s="99">
        <f>G51+'3'!H51</f>
        <v>0</v>
      </c>
      <c r="I51" s="95"/>
      <c r="J51" s="175">
        <f>H51/DAY(B2)</f>
        <v>0</v>
      </c>
      <c r="K51" s="79"/>
      <c r="L51" s="66"/>
      <c r="N51" s="87"/>
      <c r="O51" s="71"/>
    </row>
    <row r="52" spans="1:15" ht="29.25" x14ac:dyDescent="0.4">
      <c r="A52" s="194" t="s">
        <v>176</v>
      </c>
      <c r="B52" s="217"/>
      <c r="C52" s="217"/>
      <c r="D52" s="151" t="s">
        <v>130</v>
      </c>
      <c r="E52" s="95">
        <f>'3'!F52</f>
        <v>0</v>
      </c>
      <c r="F52" s="145">
        <v>0</v>
      </c>
      <c r="G52" s="112">
        <f t="shared" si="4"/>
        <v>0</v>
      </c>
      <c r="H52" s="99">
        <f>G52+'3'!H52</f>
        <v>0</v>
      </c>
      <c r="I52" s="95"/>
      <c r="J52" s="175">
        <f>H52/DAY(B2)</f>
        <v>0</v>
      </c>
      <c r="K52" s="79"/>
      <c r="L52" s="66"/>
      <c r="N52" s="87"/>
      <c r="O52" s="71"/>
    </row>
    <row r="53" spans="1:15" ht="29.25" x14ac:dyDescent="0.4">
      <c r="A53" s="194" t="s">
        <v>165</v>
      </c>
      <c r="B53" s="217"/>
      <c r="C53" s="217"/>
      <c r="D53" s="151" t="s">
        <v>130</v>
      </c>
      <c r="E53" s="95">
        <f>'3'!F53</f>
        <v>0</v>
      </c>
      <c r="F53" s="145">
        <v>0</v>
      </c>
      <c r="G53" s="112">
        <f t="shared" si="4"/>
        <v>0</v>
      </c>
      <c r="H53" s="99">
        <f>G53+'3'!H53</f>
        <v>0</v>
      </c>
      <c r="I53" s="95"/>
      <c r="J53" s="175">
        <f>H53/DAY(B2)</f>
        <v>0</v>
      </c>
      <c r="K53" s="79"/>
      <c r="L53" s="66"/>
      <c r="N53" s="87"/>
      <c r="O53" s="71"/>
    </row>
    <row r="54" spans="1:15" ht="29.25" x14ac:dyDescent="0.4">
      <c r="A54" s="194" t="s">
        <v>177</v>
      </c>
      <c r="B54" s="217"/>
      <c r="C54" s="217"/>
      <c r="D54" s="151" t="s">
        <v>130</v>
      </c>
      <c r="E54" s="95">
        <v>0</v>
      </c>
      <c r="F54" s="145">
        <v>198.08</v>
      </c>
      <c r="G54" s="112">
        <f t="shared" si="4"/>
        <v>198.08</v>
      </c>
      <c r="H54" s="99">
        <f>G54+'3'!H54</f>
        <v>212.15999999999994</v>
      </c>
      <c r="I54" s="95"/>
      <c r="J54" s="175">
        <f>H54/DAY(B2)</f>
        <v>53.039999999999985</v>
      </c>
      <c r="K54" s="79"/>
      <c r="L54" s="66"/>
      <c r="N54" s="87"/>
      <c r="O54" s="71"/>
    </row>
    <row r="55" spans="1:15" ht="29.25" x14ac:dyDescent="0.4">
      <c r="A55" s="194" t="s">
        <v>178</v>
      </c>
      <c r="B55" s="217"/>
      <c r="C55" s="217"/>
      <c r="D55" s="151" t="s">
        <v>130</v>
      </c>
      <c r="E55" s="95">
        <f>'3'!F55</f>
        <v>12137.46</v>
      </c>
      <c r="F55" s="145">
        <v>15284.25</v>
      </c>
      <c r="G55" s="112">
        <f t="shared" si="4"/>
        <v>3146.7900000000009</v>
      </c>
      <c r="H55" s="99">
        <f>G55+'3'!H55</f>
        <v>11773.25</v>
      </c>
      <c r="I55" s="95"/>
      <c r="J55" s="175">
        <f>H55/DAY(B2)</f>
        <v>2943.3125</v>
      </c>
      <c r="K55" s="79"/>
      <c r="L55" s="66"/>
      <c r="N55" s="87"/>
      <c r="O55" s="71"/>
    </row>
    <row r="56" spans="1:15" ht="29.25" x14ac:dyDescent="0.4">
      <c r="A56" s="194" t="s">
        <v>179</v>
      </c>
      <c r="B56" s="217"/>
      <c r="C56" s="217"/>
      <c r="D56" s="151" t="s">
        <v>180</v>
      </c>
      <c r="E56" s="95">
        <f>'3'!F56</f>
        <v>8610.5400000000009</v>
      </c>
      <c r="F56" s="145">
        <v>8610.5400000000009</v>
      </c>
      <c r="G56" s="112">
        <f t="shared" si="4"/>
        <v>0</v>
      </c>
      <c r="H56" s="99">
        <f>G56+'3'!H56</f>
        <v>0</v>
      </c>
      <c r="I56" s="95"/>
      <c r="J56" s="175">
        <f>H56/DAY(B2)</f>
        <v>0</v>
      </c>
      <c r="K56" s="78"/>
      <c r="L56" s="66"/>
      <c r="N56" s="87"/>
      <c r="O56" s="71"/>
    </row>
    <row r="57" spans="1:15" ht="29.25" x14ac:dyDescent="0.4">
      <c r="A57" s="194" t="s">
        <v>169</v>
      </c>
      <c r="B57" s="217"/>
      <c r="C57" s="217"/>
      <c r="D57" s="151" t="s">
        <v>130</v>
      </c>
      <c r="E57" s="95">
        <f>'3'!F57</f>
        <v>0</v>
      </c>
      <c r="F57" s="145">
        <v>0</v>
      </c>
      <c r="G57" s="112">
        <f t="shared" si="4"/>
        <v>0</v>
      </c>
      <c r="H57" s="99">
        <f>G57+'3'!H57</f>
        <v>0</v>
      </c>
      <c r="I57" s="95"/>
      <c r="J57" s="175">
        <f>H57/DAY(B2)</f>
        <v>0</v>
      </c>
      <c r="K57" s="79"/>
      <c r="L57" s="66"/>
      <c r="N57" s="87"/>
      <c r="O57" s="71"/>
    </row>
    <row r="58" spans="1:15" ht="29.25" x14ac:dyDescent="0.4">
      <c r="A58" s="194" t="s">
        <v>181</v>
      </c>
      <c r="B58" s="217"/>
      <c r="C58" s="217"/>
      <c r="D58" s="151" t="s">
        <v>130</v>
      </c>
      <c r="E58" s="95">
        <v>0</v>
      </c>
      <c r="F58" s="145">
        <v>173.66</v>
      </c>
      <c r="G58" s="112">
        <f t="shared" si="4"/>
        <v>173.66</v>
      </c>
      <c r="H58" s="99">
        <f>G58+'3'!H58</f>
        <v>514.29000000000462</v>
      </c>
      <c r="I58" s="95"/>
      <c r="J58" s="175">
        <f>H58/DAY(B2)</f>
        <v>128.57250000000116</v>
      </c>
      <c r="K58" s="79"/>
      <c r="L58" s="66"/>
      <c r="N58" s="87"/>
      <c r="O58" s="71"/>
    </row>
    <row r="59" spans="1:15" ht="29.25" x14ac:dyDescent="0.5">
      <c r="A59" s="201" t="s">
        <v>173</v>
      </c>
      <c r="B59" s="202"/>
      <c r="C59" s="202"/>
      <c r="D59" s="146"/>
      <c r="E59" s="146"/>
      <c r="F59" s="146"/>
      <c r="G59" s="119">
        <f>G49+G50+G51+G52+G53+G54+G55+G56+G57+G58</f>
        <v>5989.9700000000284</v>
      </c>
      <c r="H59" s="99">
        <f>G59+'3'!H59</f>
        <v>23464.350000000035</v>
      </c>
      <c r="I59" s="95">
        <f>G7-G60</f>
        <v>2713.8499999999985</v>
      </c>
      <c r="J59" s="175">
        <f>H59/DAY(B2)</f>
        <v>5866.0875000000087</v>
      </c>
      <c r="K59" s="79"/>
      <c r="L59" s="66"/>
      <c r="N59" s="87"/>
      <c r="O59" s="71"/>
    </row>
    <row r="60" spans="1:15" ht="29.25" x14ac:dyDescent="0.4">
      <c r="A60" s="194"/>
      <c r="B60" s="195"/>
      <c r="C60" s="195"/>
      <c r="D60" s="146" t="s">
        <v>182</v>
      </c>
      <c r="E60" s="146"/>
      <c r="F60" s="146"/>
      <c r="G60" s="119">
        <f>G47+G59</f>
        <v>17069.239999999998</v>
      </c>
      <c r="H60" s="99">
        <f>G60+'3'!H60</f>
        <v>67838.510000000024</v>
      </c>
      <c r="I60" s="95">
        <f>G13-G60</f>
        <v>2177.4799999999741</v>
      </c>
      <c r="J60" s="175">
        <f>H60/DAY(B2)</f>
        <v>16959.627500000006</v>
      </c>
      <c r="K60" s="79"/>
      <c r="L60" s="66"/>
      <c r="N60" s="87"/>
      <c r="O60" s="71"/>
    </row>
    <row r="61" spans="1:15" s="68" customFormat="1" ht="27.75" x14ac:dyDescent="0.5">
      <c r="A61" s="837" t="s">
        <v>332</v>
      </c>
      <c r="B61" s="838"/>
      <c r="C61" s="839"/>
      <c r="D61" s="339"/>
      <c r="E61" s="339"/>
      <c r="F61" s="339"/>
      <c r="G61" s="340"/>
      <c r="H61" s="339"/>
      <c r="I61" s="339"/>
      <c r="J61" s="341"/>
      <c r="K61" s="69"/>
      <c r="L61" s="67"/>
      <c r="N61" s="87"/>
      <c r="O61" s="71"/>
    </row>
    <row r="62" spans="1:15" ht="27.75" x14ac:dyDescent="0.5">
      <c r="A62" s="818" t="s">
        <v>198</v>
      </c>
      <c r="B62" s="819"/>
      <c r="C62" s="820"/>
      <c r="D62" s="151" t="s">
        <v>142</v>
      </c>
      <c r="E62" s="95">
        <f>'3'!F62</f>
        <v>267243</v>
      </c>
      <c r="F62" s="122">
        <v>267343</v>
      </c>
      <c r="G62" s="112">
        <f t="shared" ref="G62:G63" si="5">F62-E62</f>
        <v>100</v>
      </c>
      <c r="H62" s="99">
        <f>G62+'3'!H62</f>
        <v>130</v>
      </c>
      <c r="I62" s="118"/>
      <c r="J62" s="175">
        <f>H62/DAY(B2)</f>
        <v>32.5</v>
      </c>
      <c r="K62" s="80"/>
      <c r="L62" s="66"/>
      <c r="N62" s="87"/>
      <c r="O62" s="71"/>
    </row>
    <row r="63" spans="1:15" ht="27.75" x14ac:dyDescent="0.5">
      <c r="A63" s="818" t="s">
        <v>199</v>
      </c>
      <c r="B63" s="819"/>
      <c r="C63" s="820"/>
      <c r="D63" s="151" t="s">
        <v>142</v>
      </c>
      <c r="E63" s="95">
        <f>'3'!F63</f>
        <v>212733</v>
      </c>
      <c r="F63" s="122">
        <v>212885</v>
      </c>
      <c r="G63" s="112">
        <f t="shared" si="5"/>
        <v>152</v>
      </c>
      <c r="H63" s="99">
        <f>G63+'3'!H63</f>
        <v>460</v>
      </c>
      <c r="I63" s="118"/>
      <c r="J63" s="175">
        <f>H63/DAY(B2)</f>
        <v>115</v>
      </c>
      <c r="K63" s="69"/>
      <c r="L63" s="66"/>
      <c r="N63" s="87"/>
      <c r="O63" s="71"/>
    </row>
    <row r="64" spans="1:15" ht="29.25" x14ac:dyDescent="0.5">
      <c r="A64" s="815" t="s">
        <v>200</v>
      </c>
      <c r="B64" s="816"/>
      <c r="C64" s="817"/>
      <c r="D64" s="151"/>
      <c r="E64" s="122"/>
      <c r="F64" s="122"/>
      <c r="G64" s="112">
        <f>G62+G63</f>
        <v>252</v>
      </c>
      <c r="H64" s="99">
        <f>G64+'3'!H64</f>
        <v>590</v>
      </c>
      <c r="I64" s="118"/>
      <c r="J64" s="175">
        <f>H64/DAY(B2)</f>
        <v>147.5</v>
      </c>
      <c r="K64" s="69"/>
      <c r="L64" s="66"/>
      <c r="N64" s="87"/>
      <c r="O64" s="71"/>
    </row>
    <row r="65" spans="1:15" ht="27.75" x14ac:dyDescent="0.5">
      <c r="A65" s="818" t="s">
        <v>201</v>
      </c>
      <c r="B65" s="819"/>
      <c r="C65" s="820"/>
      <c r="D65" s="151" t="s">
        <v>142</v>
      </c>
      <c r="E65" s="95">
        <f>'3'!F65</f>
        <v>432812</v>
      </c>
      <c r="F65" s="122">
        <v>432893</v>
      </c>
      <c r="G65" s="112">
        <f t="shared" ref="G65:G70" si="6">F65-E65</f>
        <v>81</v>
      </c>
      <c r="H65" s="99">
        <f>G65+'3'!H65</f>
        <v>279</v>
      </c>
      <c r="I65" s="118"/>
      <c r="J65" s="175">
        <f>H65/DAY(B2)</f>
        <v>69.75</v>
      </c>
      <c r="K65" s="69"/>
      <c r="L65" s="66"/>
      <c r="N65" s="87"/>
      <c r="O65" s="71"/>
    </row>
    <row r="66" spans="1:15" ht="27.75" x14ac:dyDescent="0.5">
      <c r="A66" s="345" t="s">
        <v>202</v>
      </c>
      <c r="B66" s="346"/>
      <c r="C66" s="346"/>
      <c r="D66" s="151" t="s">
        <v>142</v>
      </c>
      <c r="E66" s="95">
        <f>'3'!F66</f>
        <v>107287</v>
      </c>
      <c r="F66" s="122">
        <v>107308</v>
      </c>
      <c r="G66" s="112">
        <f t="shared" si="6"/>
        <v>21</v>
      </c>
      <c r="H66" s="99">
        <f>G66+'3'!H66</f>
        <v>94</v>
      </c>
      <c r="I66" s="118"/>
      <c r="J66" s="175">
        <f>H66/DAY(B2)</f>
        <v>23.5</v>
      </c>
      <c r="K66" s="78"/>
      <c r="L66" s="66"/>
      <c r="N66" s="87"/>
      <c r="O66" s="71"/>
    </row>
    <row r="67" spans="1:15" ht="27.75" x14ac:dyDescent="0.5">
      <c r="A67" s="345" t="s">
        <v>203</v>
      </c>
      <c r="B67" s="346"/>
      <c r="C67" s="346"/>
      <c r="D67" s="151" t="s">
        <v>142</v>
      </c>
      <c r="E67" s="95">
        <f>'3'!F67</f>
        <v>104027</v>
      </c>
      <c r="F67" s="122">
        <v>104054</v>
      </c>
      <c r="G67" s="112">
        <f t="shared" si="6"/>
        <v>27</v>
      </c>
      <c r="H67" s="99">
        <f>G67+'3'!H67</f>
        <v>126</v>
      </c>
      <c r="I67" s="118"/>
      <c r="J67" s="175">
        <f>H67/DAY(B2)</f>
        <v>31.5</v>
      </c>
      <c r="K67" s="81"/>
      <c r="L67" s="66"/>
      <c r="N67" s="87"/>
      <c r="O67" s="71"/>
    </row>
    <row r="68" spans="1:15" ht="27.75" x14ac:dyDescent="0.5">
      <c r="A68" s="345" t="s">
        <v>204</v>
      </c>
      <c r="B68" s="346"/>
      <c r="C68" s="346"/>
      <c r="D68" s="151" t="s">
        <v>142</v>
      </c>
      <c r="E68" s="95">
        <f>'3'!F68</f>
        <v>156653</v>
      </c>
      <c r="F68" s="122">
        <v>156680</v>
      </c>
      <c r="G68" s="112">
        <f t="shared" si="6"/>
        <v>27</v>
      </c>
      <c r="H68" s="99">
        <f>G68+'3'!H68</f>
        <v>60</v>
      </c>
      <c r="I68" s="118"/>
      <c r="J68" s="175">
        <f>H68/DAY(B2)</f>
        <v>15</v>
      </c>
      <c r="K68" s="69"/>
      <c r="L68" s="66"/>
      <c r="N68" s="87"/>
      <c r="O68" s="71"/>
    </row>
    <row r="69" spans="1:15" ht="27.75" x14ac:dyDescent="0.5">
      <c r="A69" s="345" t="s">
        <v>205</v>
      </c>
      <c r="B69" s="346"/>
      <c r="C69" s="346"/>
      <c r="D69" s="151" t="s">
        <v>142</v>
      </c>
      <c r="E69" s="95">
        <f>'3'!F69</f>
        <v>10272</v>
      </c>
      <c r="F69" s="164">
        <v>10279</v>
      </c>
      <c r="G69" s="112">
        <f t="shared" si="6"/>
        <v>7</v>
      </c>
      <c r="H69" s="99">
        <f>G69+'3'!H69</f>
        <v>65</v>
      </c>
      <c r="I69" s="118"/>
      <c r="J69" s="175">
        <f>H69/DAY(B2)</f>
        <v>16.25</v>
      </c>
      <c r="K69" s="69"/>
      <c r="L69" s="66"/>
      <c r="N69" s="87"/>
      <c r="O69" s="71"/>
    </row>
    <row r="70" spans="1:15" ht="27.75" x14ac:dyDescent="0.5">
      <c r="A70" s="345" t="s">
        <v>206</v>
      </c>
      <c r="B70" s="346"/>
      <c r="C70" s="346"/>
      <c r="D70" s="151" t="s">
        <v>142</v>
      </c>
      <c r="E70" s="95">
        <f>'3'!F70</f>
        <v>7894</v>
      </c>
      <c r="F70" s="122">
        <v>7900</v>
      </c>
      <c r="G70" s="112">
        <f t="shared" si="6"/>
        <v>6</v>
      </c>
      <c r="H70" s="99">
        <f>G70+'3'!H70</f>
        <v>38</v>
      </c>
      <c r="I70" s="118"/>
      <c r="J70" s="175">
        <f>H70/DAY(B2)</f>
        <v>9.5</v>
      </c>
      <c r="K70" s="69"/>
      <c r="L70" s="66"/>
      <c r="N70" s="87"/>
      <c r="O70" s="71"/>
    </row>
    <row r="71" spans="1:15" ht="29.25" x14ac:dyDescent="0.5">
      <c r="A71" s="815" t="s">
        <v>208</v>
      </c>
      <c r="B71" s="816"/>
      <c r="C71" s="817"/>
      <c r="D71" s="152"/>
      <c r="E71" s="152"/>
      <c r="F71" s="152"/>
      <c r="G71" s="153">
        <f>SUM(G65:G70)</f>
        <v>169</v>
      </c>
      <c r="H71" s="99">
        <f>G71+'3'!H71</f>
        <v>662</v>
      </c>
      <c r="I71" s="154"/>
      <c r="J71" s="175">
        <f>H71/DAY(B2)</f>
        <v>165.5</v>
      </c>
      <c r="K71" s="69"/>
      <c r="L71" s="66"/>
      <c r="N71" s="87"/>
      <c r="O71" s="71"/>
    </row>
    <row r="72" spans="1:15" s="88" customFormat="1" ht="27.75" x14ac:dyDescent="0.5">
      <c r="A72" s="861"/>
      <c r="B72" s="853"/>
      <c r="C72" s="347"/>
      <c r="D72" s="180"/>
      <c r="E72" s="180" t="s">
        <v>207</v>
      </c>
      <c r="F72" s="180"/>
      <c r="G72" s="180"/>
      <c r="H72" s="181"/>
      <c r="I72" s="180"/>
      <c r="J72" s="182"/>
      <c r="N72" s="87"/>
      <c r="O72" s="71"/>
    </row>
    <row r="73" spans="1:15" ht="29.25" x14ac:dyDescent="0.5">
      <c r="A73" s="866" t="s">
        <v>333</v>
      </c>
      <c r="B73" s="867"/>
      <c r="C73" s="868"/>
      <c r="D73" s="339"/>
      <c r="E73" s="339"/>
      <c r="F73" s="339"/>
      <c r="G73" s="342"/>
      <c r="H73" s="342"/>
      <c r="I73" s="342"/>
      <c r="J73" s="343"/>
      <c r="K73" s="69"/>
      <c r="L73" s="66"/>
      <c r="N73" s="87"/>
      <c r="O73" s="71"/>
    </row>
    <row r="74" spans="1:15" ht="27.75" x14ac:dyDescent="0.5">
      <c r="A74" s="818" t="s">
        <v>220</v>
      </c>
      <c r="B74" s="819"/>
      <c r="C74" s="820"/>
      <c r="D74" s="151" t="s">
        <v>139</v>
      </c>
      <c r="E74" s="95">
        <f>'3'!F74</f>
        <v>892798.36</v>
      </c>
      <c r="F74" s="117">
        <v>893116.23</v>
      </c>
      <c r="G74" s="112">
        <f t="shared" ref="G74:G78" si="7">F74-E74</f>
        <v>317.86999999999534</v>
      </c>
      <c r="H74" s="99">
        <f>G74+'3'!H74</f>
        <v>1084.2299999999814</v>
      </c>
      <c r="I74" s="154"/>
      <c r="J74" s="175">
        <f>H74/DAY(B2)</f>
        <v>271.05749999999534</v>
      </c>
      <c r="K74" s="69"/>
      <c r="L74" s="66"/>
      <c r="N74" s="87"/>
      <c r="O74" s="71"/>
    </row>
    <row r="75" spans="1:15" ht="27.75" x14ac:dyDescent="0.5">
      <c r="A75" s="818" t="s">
        <v>221</v>
      </c>
      <c r="B75" s="819"/>
      <c r="C75" s="820"/>
      <c r="D75" s="151" t="s">
        <v>139</v>
      </c>
      <c r="E75" s="95">
        <f>'3'!F75</f>
        <v>73586.8</v>
      </c>
      <c r="F75" s="123">
        <v>73586.8</v>
      </c>
      <c r="G75" s="112">
        <f t="shared" si="7"/>
        <v>0</v>
      </c>
      <c r="H75" s="99">
        <f>G75+'3'!H75</f>
        <v>0</v>
      </c>
      <c r="I75" s="154"/>
      <c r="J75" s="175">
        <f>H75/DAY(B2)</f>
        <v>0</v>
      </c>
      <c r="K75" s="69"/>
      <c r="L75" s="66"/>
      <c r="N75" s="87"/>
      <c r="O75" s="71"/>
    </row>
    <row r="76" spans="1:15" ht="27.75" x14ac:dyDescent="0.5">
      <c r="A76" s="862" t="s">
        <v>222</v>
      </c>
      <c r="B76" s="848"/>
      <c r="C76" s="849"/>
      <c r="D76" s="151" t="s">
        <v>139</v>
      </c>
      <c r="E76" s="95">
        <f>'3'!F76</f>
        <v>167499</v>
      </c>
      <c r="F76" s="123">
        <v>167593.32</v>
      </c>
      <c r="G76" s="112">
        <f t="shared" si="7"/>
        <v>94.320000000006985</v>
      </c>
      <c r="H76" s="99">
        <f>G76+'3'!H76</f>
        <v>386.32000000000698</v>
      </c>
      <c r="I76" s="154"/>
      <c r="J76" s="175">
        <f>H76/DAY(B2)</f>
        <v>96.580000000001746</v>
      </c>
      <c r="K76" s="69"/>
      <c r="L76" s="66"/>
      <c r="N76" s="87"/>
      <c r="O76" s="71"/>
    </row>
    <row r="77" spans="1:15" ht="27.75" x14ac:dyDescent="0.5">
      <c r="A77" s="862" t="s">
        <v>223</v>
      </c>
      <c r="B77" s="848"/>
      <c r="C77" s="849"/>
      <c r="D77" s="151" t="s">
        <v>139</v>
      </c>
      <c r="E77" s="95">
        <f>'3'!F77</f>
        <v>40418.1</v>
      </c>
      <c r="F77" s="123">
        <v>40441</v>
      </c>
      <c r="G77" s="112">
        <f t="shared" si="7"/>
        <v>22.900000000001455</v>
      </c>
      <c r="H77" s="99">
        <f>G77+'3'!H77</f>
        <v>125</v>
      </c>
      <c r="I77" s="154"/>
      <c r="J77" s="175">
        <f>H77/DAY(B2)</f>
        <v>31.25</v>
      </c>
      <c r="K77" s="69"/>
      <c r="L77" s="66"/>
      <c r="N77" s="87"/>
      <c r="O77" s="71"/>
    </row>
    <row r="78" spans="1:15" ht="27.75" x14ac:dyDescent="0.5">
      <c r="A78" s="862" t="s">
        <v>224</v>
      </c>
      <c r="B78" s="848"/>
      <c r="C78" s="849"/>
      <c r="D78" s="151" t="s">
        <v>139</v>
      </c>
      <c r="E78" s="95">
        <f>'3'!F78</f>
        <v>9489.2999999999993</v>
      </c>
      <c r="F78" s="123">
        <v>9490</v>
      </c>
      <c r="G78" s="112">
        <f t="shared" si="7"/>
        <v>0.7000000000007276</v>
      </c>
      <c r="H78" s="99">
        <f>G78+'3'!H78</f>
        <v>4</v>
      </c>
      <c r="I78" s="118"/>
      <c r="J78" s="175">
        <f>H78/DAY(B2)</f>
        <v>1</v>
      </c>
      <c r="K78" s="69"/>
      <c r="L78" s="66"/>
      <c r="N78" s="87"/>
      <c r="O78" s="71"/>
    </row>
    <row r="79" spans="1:15" s="57" customFormat="1" ht="27.75" x14ac:dyDescent="0.5">
      <c r="A79" s="862" t="s">
        <v>225</v>
      </c>
      <c r="B79" s="848"/>
      <c r="C79" s="849"/>
      <c r="D79" s="151"/>
      <c r="E79" s="95">
        <f>'3'!F79</f>
        <v>0</v>
      </c>
      <c r="F79" s="117"/>
      <c r="G79" s="112">
        <f>G15-SUM(G74:G78)</f>
        <v>599.45999999999549</v>
      </c>
      <c r="H79" s="99">
        <f>G79+'3'!H79</f>
        <v>1839.0999999999185</v>
      </c>
      <c r="I79" s="118"/>
      <c r="J79" s="175"/>
      <c r="K79" s="59"/>
      <c r="L79" s="58"/>
      <c r="N79" s="87"/>
      <c r="O79" s="71"/>
    </row>
    <row r="80" spans="1:15" s="57" customFormat="1" ht="29.25" x14ac:dyDescent="0.5">
      <c r="A80" s="815" t="s">
        <v>329</v>
      </c>
      <c r="B80" s="816"/>
      <c r="C80" s="817"/>
      <c r="D80" s="151"/>
      <c r="E80" s="117"/>
      <c r="F80" s="117"/>
      <c r="G80" s="112">
        <f>SUM(G74:G79)</f>
        <v>1035.25</v>
      </c>
      <c r="H80" s="99">
        <f>G80+'3'!H80</f>
        <v>2368.564000000013</v>
      </c>
      <c r="I80" s="118"/>
      <c r="J80" s="175"/>
      <c r="K80" s="59"/>
      <c r="L80" s="58"/>
      <c r="N80" s="87"/>
      <c r="O80" s="71"/>
    </row>
    <row r="81" spans="1:15" ht="27" x14ac:dyDescent="0.4">
      <c r="A81" s="854" t="s">
        <v>226</v>
      </c>
      <c r="B81" s="855"/>
      <c r="C81" s="856"/>
      <c r="D81" s="110"/>
      <c r="E81" s="110"/>
      <c r="F81" s="110"/>
      <c r="G81" s="163"/>
      <c r="H81" s="163"/>
      <c r="I81" s="163"/>
      <c r="J81" s="184"/>
      <c r="O81" s="71"/>
    </row>
    <row r="82" spans="1:15" ht="27.75" x14ac:dyDescent="0.5">
      <c r="A82" s="345" t="s">
        <v>227</v>
      </c>
      <c r="B82" s="346"/>
      <c r="C82" s="346"/>
      <c r="D82" s="151" t="s">
        <v>228</v>
      </c>
      <c r="E82" s="95">
        <f>'3'!F82</f>
        <v>0</v>
      </c>
      <c r="F82" s="122">
        <v>0</v>
      </c>
      <c r="G82" s="112">
        <f t="shared" ref="G82:G92" si="8">F82-E82</f>
        <v>0</v>
      </c>
      <c r="H82" s="99">
        <f>G82+'3'!H82</f>
        <v>0</v>
      </c>
      <c r="I82" s="118"/>
      <c r="J82" s="175">
        <f>H82/DAY(B2)</f>
        <v>0</v>
      </c>
      <c r="O82" s="71"/>
    </row>
    <row r="83" spans="1:15" ht="27.75" x14ac:dyDescent="0.5">
      <c r="A83" s="345" t="s">
        <v>229</v>
      </c>
      <c r="B83" s="346"/>
      <c r="C83" s="346"/>
      <c r="D83" s="151" t="s">
        <v>228</v>
      </c>
      <c r="E83" s="95">
        <f>'3'!F83</f>
        <v>0</v>
      </c>
      <c r="F83" s="122">
        <v>0</v>
      </c>
      <c r="G83" s="112">
        <f t="shared" si="8"/>
        <v>0</v>
      </c>
      <c r="H83" s="99">
        <f>G83+'3'!H83</f>
        <v>0</v>
      </c>
      <c r="I83" s="118"/>
      <c r="J83" s="175">
        <f>H83/DAY(B2)</f>
        <v>0</v>
      </c>
      <c r="O83" s="71"/>
    </row>
    <row r="84" spans="1:15" ht="27.75" x14ac:dyDescent="0.5">
      <c r="A84" s="345" t="s">
        <v>230</v>
      </c>
      <c r="B84" s="346"/>
      <c r="C84" s="346"/>
      <c r="D84" s="151" t="s">
        <v>228</v>
      </c>
      <c r="E84" s="95">
        <f>'3'!F84</f>
        <v>41675</v>
      </c>
      <c r="F84" s="164">
        <v>41675.26</v>
      </c>
      <c r="G84" s="236">
        <f t="shared" si="8"/>
        <v>0.26000000000203727</v>
      </c>
      <c r="H84" s="99">
        <f>G84+'3'!H84</f>
        <v>0.26000000000203727</v>
      </c>
      <c r="I84" s="118"/>
      <c r="J84" s="175">
        <f>H84/DAY(B2)</f>
        <v>6.5000000000509317E-2</v>
      </c>
      <c r="O84" s="71"/>
    </row>
    <row r="85" spans="1:15" ht="27.75" x14ac:dyDescent="0.5">
      <c r="A85" s="345" t="s">
        <v>231</v>
      </c>
      <c r="B85" s="346"/>
      <c r="C85" s="346"/>
      <c r="D85" s="151" t="s">
        <v>228</v>
      </c>
      <c r="E85" s="95">
        <f>'3'!F85</f>
        <v>2096.56</v>
      </c>
      <c r="F85" s="164">
        <v>2096.56</v>
      </c>
      <c r="G85" s="236">
        <f t="shared" si="8"/>
        <v>0</v>
      </c>
      <c r="H85" s="99">
        <f>G85+'3'!H85</f>
        <v>0</v>
      </c>
      <c r="I85" s="118">
        <f>G82+G83+G84+G85</f>
        <v>0.26000000000203727</v>
      </c>
      <c r="J85" s="175">
        <f>H85/DAY(B2)</f>
        <v>0</v>
      </c>
      <c r="O85" s="71"/>
    </row>
    <row r="86" spans="1:15" ht="27.75" x14ac:dyDescent="0.5">
      <c r="A86" s="345" t="s">
        <v>232</v>
      </c>
      <c r="B86" s="346"/>
      <c r="C86" s="346"/>
      <c r="D86" s="151" t="s">
        <v>228</v>
      </c>
      <c r="E86" s="95">
        <f>'3'!F86</f>
        <v>42935.15</v>
      </c>
      <c r="F86" s="164">
        <v>42959.57</v>
      </c>
      <c r="G86" s="112">
        <f t="shared" si="8"/>
        <v>24.419999999998254</v>
      </c>
      <c r="H86" s="99">
        <f>G86+'3'!H86</f>
        <v>96.569999999999709</v>
      </c>
      <c r="I86" s="118"/>
      <c r="J86" s="175">
        <f>H86/DAY(B2)</f>
        <v>24.142499999999927</v>
      </c>
      <c r="O86" s="71"/>
    </row>
    <row r="87" spans="1:15" ht="27.75" x14ac:dyDescent="0.5">
      <c r="A87" s="345" t="s">
        <v>233</v>
      </c>
      <c r="B87" s="346"/>
      <c r="C87" s="346"/>
      <c r="D87" s="151" t="s">
        <v>228</v>
      </c>
      <c r="E87" s="95">
        <f>'3'!F87</f>
        <v>34598.550000000003</v>
      </c>
      <c r="F87" s="164">
        <v>34598.550000000003</v>
      </c>
      <c r="G87" s="112">
        <f t="shared" si="8"/>
        <v>0</v>
      </c>
      <c r="H87" s="99">
        <f>G87+'3'!H87</f>
        <v>0</v>
      </c>
      <c r="I87" s="118"/>
      <c r="J87" s="175">
        <f>H87/DAY(B2)</f>
        <v>0</v>
      </c>
      <c r="O87" s="71"/>
    </row>
    <row r="88" spans="1:15" ht="27.75" x14ac:dyDescent="0.5">
      <c r="A88" s="345" t="s">
        <v>234</v>
      </c>
      <c r="B88" s="346"/>
      <c r="C88" s="346"/>
      <c r="D88" s="151" t="s">
        <v>228</v>
      </c>
      <c r="E88" s="95">
        <f>'3'!F88</f>
        <v>24056.07</v>
      </c>
      <c r="F88" s="164">
        <v>24058.06</v>
      </c>
      <c r="G88" s="112">
        <f t="shared" si="8"/>
        <v>1.9900000000016007</v>
      </c>
      <c r="H88" s="99">
        <f>G88+'3'!H88</f>
        <v>11.06000000000131</v>
      </c>
      <c r="I88" s="118">
        <f>G86+G87+G88</f>
        <v>26.409999999999854</v>
      </c>
      <c r="J88" s="175">
        <f>H88/DAY(B2)</f>
        <v>2.7650000000003274</v>
      </c>
      <c r="O88" s="71"/>
    </row>
    <row r="89" spans="1:15" ht="27.75" x14ac:dyDescent="0.5">
      <c r="A89" s="345" t="s">
        <v>235</v>
      </c>
      <c r="B89" s="346"/>
      <c r="C89" s="346"/>
      <c r="D89" s="151" t="s">
        <v>228</v>
      </c>
      <c r="E89" s="95">
        <f>'3'!F89</f>
        <v>25667.56</v>
      </c>
      <c r="F89" s="164">
        <v>25676.28</v>
      </c>
      <c r="G89" s="112">
        <f t="shared" si="8"/>
        <v>8.7199999999975262</v>
      </c>
      <c r="H89" s="99">
        <f>G89+'3'!H89</f>
        <v>13.279999999998836</v>
      </c>
      <c r="I89" s="118"/>
      <c r="J89" s="175">
        <f>H89/DAY(B2)</f>
        <v>3.319999999999709</v>
      </c>
      <c r="O89" s="71"/>
    </row>
    <row r="90" spans="1:15" ht="27.75" x14ac:dyDescent="0.5">
      <c r="A90" s="345" t="s">
        <v>236</v>
      </c>
      <c r="B90" s="346"/>
      <c r="C90" s="346"/>
      <c r="D90" s="151" t="s">
        <v>228</v>
      </c>
      <c r="E90" s="95">
        <f>'3'!F90</f>
        <v>71052</v>
      </c>
      <c r="F90" s="164">
        <v>71056.14</v>
      </c>
      <c r="G90" s="112">
        <f t="shared" si="8"/>
        <v>4.1399999999994179</v>
      </c>
      <c r="H90" s="99">
        <f>G90+'3'!H90</f>
        <v>22.139999999999418</v>
      </c>
      <c r="I90" s="118">
        <f>G89+G90</f>
        <v>12.859999999996944</v>
      </c>
      <c r="J90" s="175">
        <f>H90/DAY(B2)</f>
        <v>5.5349999999998545</v>
      </c>
      <c r="O90" s="71"/>
    </row>
    <row r="91" spans="1:15" ht="27.75" x14ac:dyDescent="0.5">
      <c r="A91" s="345" t="s">
        <v>237</v>
      </c>
      <c r="B91" s="346"/>
      <c r="C91" s="346"/>
      <c r="D91" s="151" t="s">
        <v>228</v>
      </c>
      <c r="E91" s="95">
        <f>'3'!F91</f>
        <v>3226.32</v>
      </c>
      <c r="F91" s="122">
        <v>3226.32</v>
      </c>
      <c r="G91" s="112">
        <f t="shared" si="8"/>
        <v>0</v>
      </c>
      <c r="H91" s="99">
        <f>G91+'3'!H91</f>
        <v>0</v>
      </c>
      <c r="I91" s="165"/>
      <c r="J91" s="175">
        <f>H91/DAY(B2)</f>
        <v>0</v>
      </c>
      <c r="O91" s="71"/>
    </row>
    <row r="92" spans="1:15" ht="27.75" x14ac:dyDescent="0.5">
      <c r="A92" s="345" t="s">
        <v>238</v>
      </c>
      <c r="B92" s="346"/>
      <c r="C92" s="346"/>
      <c r="D92" s="151" t="s">
        <v>228</v>
      </c>
      <c r="E92" s="95">
        <f>'3'!F92</f>
        <v>5465.21</v>
      </c>
      <c r="F92" s="122">
        <v>5476.3</v>
      </c>
      <c r="G92" s="112">
        <f t="shared" si="8"/>
        <v>11.090000000000146</v>
      </c>
      <c r="H92" s="99">
        <f>G92+'3'!H92</f>
        <v>38.300000000000182</v>
      </c>
      <c r="I92" s="165"/>
      <c r="J92" s="175">
        <f>H92/DAY(B2)</f>
        <v>9.5750000000000455</v>
      </c>
      <c r="O92" s="71"/>
    </row>
    <row r="93" spans="1:15" ht="29.25" x14ac:dyDescent="0.5">
      <c r="A93" s="863" t="s">
        <v>239</v>
      </c>
      <c r="B93" s="864"/>
      <c r="C93" s="865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27.75" x14ac:dyDescent="0.5">
      <c r="A94" s="818" t="s">
        <v>240</v>
      </c>
      <c r="B94" s="819"/>
      <c r="C94" s="820"/>
      <c r="D94" s="151" t="s">
        <v>130</v>
      </c>
      <c r="E94" s="151"/>
      <c r="F94" s="151"/>
      <c r="G94" s="99">
        <f>G35+G43+G49+G57</f>
        <v>5767.5100000000166</v>
      </c>
      <c r="H94" s="99">
        <f>G94+'3'!H94</f>
        <v>24271.530000000028</v>
      </c>
      <c r="I94" s="118"/>
      <c r="J94" s="175">
        <f>H94/DAY(B2)</f>
        <v>6067.882500000007</v>
      </c>
      <c r="K94" s="69"/>
      <c r="L94" s="66"/>
      <c r="O94" s="71"/>
    </row>
    <row r="95" spans="1:15" ht="27.75" x14ac:dyDescent="0.5">
      <c r="A95" s="818" t="s">
        <v>241</v>
      </c>
      <c r="B95" s="819"/>
      <c r="C95" s="820"/>
      <c r="D95" s="151" t="s">
        <v>23</v>
      </c>
      <c r="E95" s="146"/>
      <c r="F95" s="146"/>
      <c r="G95" s="166">
        <f>G94/G7</f>
        <v>0.2915373685303973</v>
      </c>
      <c r="H95" s="99">
        <f>G95+'3'!H95</f>
        <v>1.2376349132634819</v>
      </c>
      <c r="I95" s="167"/>
      <c r="J95" s="175">
        <f>H95/DAY(B2)</f>
        <v>0.30940872831587046</v>
      </c>
      <c r="K95" s="69"/>
      <c r="L95" s="66"/>
      <c r="O95" s="71"/>
    </row>
    <row r="96" spans="1:15" ht="27.75" x14ac:dyDescent="0.5">
      <c r="A96" s="818" t="s">
        <v>242</v>
      </c>
      <c r="B96" s="819"/>
      <c r="C96" s="820"/>
      <c r="D96" s="151" t="s">
        <v>130</v>
      </c>
      <c r="E96" s="95"/>
      <c r="F96" s="95"/>
      <c r="G96" s="99">
        <f>G41+G42+G55+G56</f>
        <v>3146.7900000000009</v>
      </c>
      <c r="H96" s="99">
        <f>G96+'3'!H96</f>
        <v>11772.850000000006</v>
      </c>
      <c r="I96" s="118"/>
      <c r="J96" s="175">
        <f>H96/DAY(B2)</f>
        <v>2943.2125000000015</v>
      </c>
      <c r="K96" s="69"/>
      <c r="L96" s="66"/>
      <c r="O96" s="71"/>
    </row>
    <row r="97" spans="1:15" ht="27.75" x14ac:dyDescent="0.5">
      <c r="A97" s="818" t="s">
        <v>243</v>
      </c>
      <c r="B97" s="819"/>
      <c r="C97" s="820"/>
      <c r="D97" s="151" t="s">
        <v>23</v>
      </c>
      <c r="E97" s="95"/>
      <c r="F97" s="95"/>
      <c r="G97" s="166">
        <f>G96/G7</f>
        <v>0.15906463550436264</v>
      </c>
      <c r="H97" s="99">
        <f>G97+'3'!H97</f>
        <v>0.60090253565353491</v>
      </c>
      <c r="I97" s="167"/>
      <c r="J97" s="175">
        <f>H97/DAY(B2)</f>
        <v>0.15022563391338373</v>
      </c>
      <c r="K97" s="69"/>
      <c r="L97" s="66"/>
      <c r="O97" s="71"/>
    </row>
    <row r="98" spans="1:15" ht="27.75" x14ac:dyDescent="0.5">
      <c r="A98" s="818" t="s">
        <v>244</v>
      </c>
      <c r="B98" s="819"/>
      <c r="C98" s="820"/>
      <c r="D98" s="151" t="s">
        <v>130</v>
      </c>
      <c r="E98" s="95"/>
      <c r="F98" s="95"/>
      <c r="G98" s="99">
        <f>G39+G53</f>
        <v>2740.5200000000186</v>
      </c>
      <c r="H98" s="99">
        <f>G98+'3'!H98</f>
        <v>10945.510000000009</v>
      </c>
      <c r="I98" s="168"/>
      <c r="J98" s="175">
        <f>H98/DAY(B2)</f>
        <v>2736.3775000000023</v>
      </c>
      <c r="K98" s="69"/>
      <c r="L98" s="66"/>
      <c r="O98" s="71"/>
    </row>
    <row r="99" spans="1:15" ht="27.75" x14ac:dyDescent="0.5">
      <c r="A99" s="818" t="s">
        <v>245</v>
      </c>
      <c r="B99" s="819"/>
      <c r="C99" s="820"/>
      <c r="D99" s="151" t="s">
        <v>23</v>
      </c>
      <c r="E99" s="95"/>
      <c r="F99" s="95"/>
      <c r="G99" s="166">
        <f>G98/G7</f>
        <v>0.13852840986923778</v>
      </c>
      <c r="H99" s="99">
        <f>G99+'3'!H99</f>
        <v>0.55810571186987157</v>
      </c>
      <c r="I99" s="168"/>
      <c r="J99" s="175">
        <f>H99/DAY(B2)</f>
        <v>0.13952642796746789</v>
      </c>
      <c r="O99" s="71"/>
    </row>
    <row r="100" spans="1:15" ht="27.75" x14ac:dyDescent="0.5">
      <c r="A100" s="818" t="s">
        <v>246</v>
      </c>
      <c r="B100" s="819"/>
      <c r="C100" s="820"/>
      <c r="D100" s="151" t="s">
        <v>180</v>
      </c>
      <c r="E100" s="95"/>
      <c r="F100" s="95"/>
      <c r="G100" s="99">
        <f>G38+G52</f>
        <v>1752.359999999986</v>
      </c>
      <c r="H100" s="99">
        <f>G100+'3'!H100</f>
        <v>6457.4899999999907</v>
      </c>
      <c r="I100" s="118"/>
      <c r="J100" s="175">
        <f>H100/DAY(B2)</f>
        <v>1614.3724999999977</v>
      </c>
      <c r="K100" s="70"/>
      <c r="O100" s="71"/>
    </row>
    <row r="101" spans="1:15" ht="27.75" x14ac:dyDescent="0.5">
      <c r="A101" s="818" t="s">
        <v>247</v>
      </c>
      <c r="B101" s="819"/>
      <c r="C101" s="820"/>
      <c r="D101" s="151" t="s">
        <v>23</v>
      </c>
      <c r="E101" s="95"/>
      <c r="F101" s="95"/>
      <c r="G101" s="166">
        <f>G100/G7</f>
        <v>8.8578680074750019E-2</v>
      </c>
      <c r="H101" s="99">
        <f>G101+'3'!H101</f>
        <v>0.32896363444713517</v>
      </c>
      <c r="I101" s="168"/>
      <c r="J101" s="175">
        <f>H101/DAY(B2)</f>
        <v>8.2240908611783792E-2</v>
      </c>
      <c r="O101" s="71"/>
    </row>
    <row r="102" spans="1:15" ht="27.75" x14ac:dyDescent="0.5">
      <c r="A102" s="818" t="s">
        <v>248</v>
      </c>
      <c r="B102" s="819"/>
      <c r="C102" s="820"/>
      <c r="D102" s="151" t="s">
        <v>180</v>
      </c>
      <c r="E102" s="95"/>
      <c r="F102" s="95"/>
      <c r="G102" s="99">
        <f>G36+G50</f>
        <v>1763.4399999999987</v>
      </c>
      <c r="H102" s="99">
        <f>G102+'3'!H102</f>
        <v>7540.869999999999</v>
      </c>
      <c r="I102" s="168"/>
      <c r="J102" s="175">
        <f>H102/DAY(B2)</f>
        <v>1885.2174999999997</v>
      </c>
      <c r="O102" s="71"/>
    </row>
    <row r="103" spans="1:15" ht="27.75" x14ac:dyDescent="0.5">
      <c r="A103" s="818" t="s">
        <v>249</v>
      </c>
      <c r="B103" s="819"/>
      <c r="C103" s="820"/>
      <c r="D103" s="151" t="s">
        <v>23</v>
      </c>
      <c r="E103" s="95"/>
      <c r="F103" s="95"/>
      <c r="G103" s="166">
        <f>G102/G7</f>
        <v>8.9138754360415837E-2</v>
      </c>
      <c r="H103" s="99">
        <f>G103+'3'!H103</f>
        <v>0.38415505469740419</v>
      </c>
      <c r="I103" s="118"/>
      <c r="J103" s="175">
        <f>H103/DAY(B2)</f>
        <v>9.6038763674351046E-2</v>
      </c>
      <c r="O103" s="71"/>
    </row>
    <row r="104" spans="1:15" ht="27.75" x14ac:dyDescent="0.5">
      <c r="A104" s="818" t="s">
        <v>250</v>
      </c>
      <c r="B104" s="819"/>
      <c r="C104" s="820"/>
      <c r="D104" s="151" t="s">
        <v>180</v>
      </c>
      <c r="E104" s="95"/>
      <c r="F104" s="95"/>
      <c r="G104" s="99">
        <f>G37+G51</f>
        <v>1526.8799999999756</v>
      </c>
      <c r="H104" s="99">
        <f>G104+'3'!H104</f>
        <v>6123.8299999999872</v>
      </c>
      <c r="I104" s="118"/>
      <c r="J104" s="175">
        <f>H104/DAY(B2)</f>
        <v>1530.9574999999968</v>
      </c>
      <c r="O104" s="71"/>
    </row>
    <row r="105" spans="1:15" ht="28.5" thickBot="1" x14ac:dyDescent="0.55000000000000004">
      <c r="A105" s="858" t="s">
        <v>251</v>
      </c>
      <c r="B105" s="859"/>
      <c r="C105" s="860"/>
      <c r="D105" s="231" t="s">
        <v>23</v>
      </c>
      <c r="E105" s="185"/>
      <c r="F105" s="185"/>
      <c r="G105" s="186">
        <f>G104/G7</f>
        <v>7.718106726502158E-2</v>
      </c>
      <c r="H105" s="99">
        <f>G105+'3'!H105</f>
        <v>0.31216707161384483</v>
      </c>
      <c r="I105" s="187"/>
      <c r="J105" s="188">
        <f>H105/DAY(B2)</f>
        <v>7.8041767903461207E-2</v>
      </c>
      <c r="O105" s="71"/>
    </row>
    <row r="106" spans="1:15" ht="29.25" x14ac:dyDescent="0.5">
      <c r="A106" s="105"/>
      <c r="B106" s="96"/>
      <c r="C106" s="96"/>
      <c r="D106" s="169"/>
      <c r="E106" s="169"/>
      <c r="F106" s="169"/>
      <c r="G106" s="169"/>
      <c r="H106" s="170"/>
      <c r="I106" s="169"/>
      <c r="J106" s="171"/>
      <c r="O106" s="71"/>
    </row>
    <row r="107" spans="1:15" ht="29.25" x14ac:dyDescent="0.5"/>
    <row r="108" spans="1:15" ht="31.5" x14ac:dyDescent="0.55000000000000004">
      <c r="A108" s="872" t="s">
        <v>324</v>
      </c>
      <c r="B108" s="872"/>
      <c r="C108" s="872"/>
      <c r="D108" s="872"/>
      <c r="E108" s="872"/>
      <c r="F108" s="872"/>
      <c r="G108" s="872"/>
      <c r="H108" s="872"/>
      <c r="I108" s="872"/>
      <c r="J108" s="872"/>
    </row>
    <row r="109" spans="1:15" ht="29.25" x14ac:dyDescent="0.5">
      <c r="A109" s="857"/>
      <c r="B109" s="857"/>
    </row>
    <row r="110" spans="1:15" ht="29.25" x14ac:dyDescent="0.5">
      <c r="A110" s="873" t="s">
        <v>165</v>
      </c>
      <c r="B110" s="874"/>
      <c r="C110" s="874"/>
      <c r="D110" s="874"/>
      <c r="E110" s="874"/>
      <c r="F110" s="874"/>
      <c r="G110" s="874"/>
      <c r="H110" s="874"/>
      <c r="I110" s="874"/>
      <c r="J110" s="875"/>
    </row>
    <row r="111" spans="1:15" ht="27.75" x14ac:dyDescent="0.5">
      <c r="A111" s="876"/>
      <c r="B111" s="877"/>
      <c r="C111" s="878"/>
      <c r="D111" s="165"/>
      <c r="E111" s="165"/>
      <c r="F111" s="165"/>
      <c r="G111" s="165"/>
      <c r="H111" s="156"/>
      <c r="I111" s="165"/>
      <c r="J111" s="327"/>
    </row>
    <row r="112" spans="1:15" ht="27.75" x14ac:dyDescent="0.5">
      <c r="A112" s="851" t="s">
        <v>252</v>
      </c>
      <c r="B112" s="852"/>
      <c r="C112" s="853"/>
      <c r="D112" s="146" t="s">
        <v>183</v>
      </c>
      <c r="E112" s="95">
        <f>'3'!F112</f>
        <v>55886.89</v>
      </c>
      <c r="F112" s="237">
        <v>55960.22</v>
      </c>
      <c r="G112" s="112">
        <f t="shared" ref="G112:G123" si="9">F112-E112</f>
        <v>73.330000000001746</v>
      </c>
      <c r="H112" s="99">
        <f>G112+'3'!H112</f>
        <v>279.22000000000116</v>
      </c>
      <c r="I112" s="165"/>
      <c r="J112" s="328">
        <f>H112/DAY(B2)</f>
        <v>69.805000000000291</v>
      </c>
    </row>
    <row r="113" spans="1:18" ht="29.25" customHeight="1" x14ac:dyDescent="0.5">
      <c r="A113" s="851" t="s">
        <v>253</v>
      </c>
      <c r="B113" s="852"/>
      <c r="C113" s="853"/>
      <c r="D113" s="146" t="s">
        <v>183</v>
      </c>
      <c r="E113" s="95">
        <f>'3'!F113</f>
        <v>33563</v>
      </c>
      <c r="F113" s="237">
        <v>34018.86</v>
      </c>
      <c r="G113" s="112">
        <f t="shared" si="9"/>
        <v>455.86000000000058</v>
      </c>
      <c r="H113" s="99">
        <f>G113+'3'!H113</f>
        <v>1823.8600000000006</v>
      </c>
      <c r="I113" s="165"/>
      <c r="J113" s="328">
        <f>H113/DAY(B2)</f>
        <v>455.96500000000015</v>
      </c>
    </row>
    <row r="114" spans="1:18" ht="29.25" customHeight="1" x14ac:dyDescent="0.5">
      <c r="A114" s="851" t="s">
        <v>254</v>
      </c>
      <c r="B114" s="852"/>
      <c r="C114" s="853"/>
      <c r="D114" s="146" t="s">
        <v>183</v>
      </c>
      <c r="E114" s="95">
        <f>'3'!F114</f>
        <v>25683.7</v>
      </c>
      <c r="F114" s="237">
        <v>25950.21</v>
      </c>
      <c r="G114" s="112">
        <f t="shared" si="9"/>
        <v>266.5099999999984</v>
      </c>
      <c r="H114" s="99">
        <f>G114+'3'!H114</f>
        <v>1079.2099999999991</v>
      </c>
      <c r="I114" s="165"/>
      <c r="J114" s="328">
        <f>H114/DAY(B2)</f>
        <v>269.80249999999978</v>
      </c>
    </row>
    <row r="115" spans="1:18" ht="29.25" customHeight="1" x14ac:dyDescent="0.5">
      <c r="A115" s="851" t="s">
        <v>255</v>
      </c>
      <c r="B115" s="852"/>
      <c r="C115" s="853"/>
      <c r="D115" s="146" t="s">
        <v>183</v>
      </c>
      <c r="E115" s="95">
        <f>'3'!F115</f>
        <v>8813.23</v>
      </c>
      <c r="F115" s="237">
        <v>8822.5300000000007</v>
      </c>
      <c r="G115" s="112">
        <f t="shared" si="9"/>
        <v>9.3000000000010914</v>
      </c>
      <c r="H115" s="99">
        <f>G115+'3'!H115</f>
        <v>37.530000000000655</v>
      </c>
      <c r="I115" s="165"/>
      <c r="J115" s="328">
        <f>H115/DAY(B2)</f>
        <v>9.3825000000001637</v>
      </c>
    </row>
    <row r="116" spans="1:18" ht="29.25" customHeight="1" x14ac:dyDescent="0.5">
      <c r="A116" s="869" t="s">
        <v>96</v>
      </c>
      <c r="B116" s="870"/>
      <c r="C116" s="871"/>
      <c r="D116" s="146" t="s">
        <v>183</v>
      </c>
      <c r="E116" s="95">
        <f>'3'!F116</f>
        <v>0</v>
      </c>
      <c r="F116" s="237">
        <v>0</v>
      </c>
      <c r="G116" s="112">
        <f t="shared" si="9"/>
        <v>0</v>
      </c>
      <c r="H116" s="99">
        <f>G116+'3'!H116</f>
        <v>0</v>
      </c>
      <c r="I116" s="165"/>
      <c r="J116" s="328">
        <f>H116/DAY(B2)</f>
        <v>0</v>
      </c>
      <c r="Q116" s="851" t="s">
        <v>311</v>
      </c>
      <c r="R116" s="853"/>
    </row>
    <row r="117" spans="1:18" ht="29.25" customHeight="1" x14ac:dyDescent="0.5">
      <c r="A117" s="869" t="s">
        <v>184</v>
      </c>
      <c r="B117" s="870"/>
      <c r="C117" s="871"/>
      <c r="D117" s="146" t="s">
        <v>183</v>
      </c>
      <c r="E117" s="95">
        <f>'3'!F117</f>
        <v>2652.96</v>
      </c>
      <c r="F117" s="237">
        <v>2684.43</v>
      </c>
      <c r="G117" s="112">
        <f t="shared" si="9"/>
        <v>31.4699999999998</v>
      </c>
      <c r="H117" s="99">
        <f>G117+'3'!H117</f>
        <v>94.429999999999836</v>
      </c>
      <c r="I117" s="165"/>
      <c r="J117" s="328">
        <f>H117/DAY(B2)</f>
        <v>23.607499999999959</v>
      </c>
      <c r="Q117" s="851" t="s">
        <v>312</v>
      </c>
      <c r="R117" s="853"/>
    </row>
    <row r="118" spans="1:18" ht="27.75" x14ac:dyDescent="0.5">
      <c r="A118" s="846" t="s">
        <v>97</v>
      </c>
      <c r="B118" s="846"/>
      <c r="C118" s="846"/>
      <c r="D118" s="151" t="s">
        <v>183</v>
      </c>
      <c r="E118" s="95">
        <f>'3'!F118</f>
        <v>242766.49</v>
      </c>
      <c r="F118" s="237">
        <v>243150.55</v>
      </c>
      <c r="G118" s="112">
        <f t="shared" si="9"/>
        <v>384.05999999999767</v>
      </c>
      <c r="H118" s="99">
        <f>G118+'3'!H118</f>
        <v>1503.5499999999884</v>
      </c>
      <c r="I118" s="165"/>
      <c r="J118" s="328">
        <f>H118/DAY(B2)</f>
        <v>375.88749999999709</v>
      </c>
      <c r="Q118" s="851" t="s">
        <v>311</v>
      </c>
      <c r="R118" s="853"/>
    </row>
    <row r="119" spans="1:18" ht="27.75" x14ac:dyDescent="0.5">
      <c r="A119" s="846" t="s">
        <v>98</v>
      </c>
      <c r="B119" s="846"/>
      <c r="C119" s="846"/>
      <c r="D119" s="151" t="s">
        <v>183</v>
      </c>
      <c r="E119" s="95">
        <f>'3'!F119</f>
        <v>246430.55</v>
      </c>
      <c r="F119" s="237">
        <v>246869.31</v>
      </c>
      <c r="G119" s="112">
        <f t="shared" si="9"/>
        <v>438.76000000000931</v>
      </c>
      <c r="H119" s="99">
        <f>G119+'3'!H119</f>
        <v>1743.3099999999977</v>
      </c>
      <c r="I119" s="165"/>
      <c r="J119" s="328">
        <f>H119/DAY(B2)</f>
        <v>435.82749999999942</v>
      </c>
    </row>
    <row r="120" spans="1:18" ht="27.75" x14ac:dyDescent="0.5">
      <c r="A120" s="846" t="s">
        <v>99</v>
      </c>
      <c r="B120" s="846"/>
      <c r="C120" s="846"/>
      <c r="D120" s="151" t="s">
        <v>183</v>
      </c>
      <c r="E120" s="95">
        <f>'3'!F120</f>
        <v>31362.45</v>
      </c>
      <c r="F120" s="237">
        <v>31775.45</v>
      </c>
      <c r="G120" s="112">
        <f t="shared" si="9"/>
        <v>413</v>
      </c>
      <c r="H120" s="99">
        <f>G120+'3'!H120</f>
        <v>1697.4500000000007</v>
      </c>
      <c r="I120" s="165"/>
      <c r="J120" s="328">
        <f>H120/DAY(B2)</f>
        <v>424.36250000000018</v>
      </c>
    </row>
    <row r="121" spans="1:18" ht="27.75" x14ac:dyDescent="0.5">
      <c r="A121" s="846" t="s">
        <v>100</v>
      </c>
      <c r="B121" s="846"/>
      <c r="C121" s="846"/>
      <c r="D121" s="151" t="s">
        <v>183</v>
      </c>
      <c r="E121" s="95">
        <f>'3'!F121</f>
        <v>378842.15</v>
      </c>
      <c r="F121" s="237">
        <v>379626.59</v>
      </c>
      <c r="G121" s="112">
        <f t="shared" si="9"/>
        <v>784.44000000000233</v>
      </c>
      <c r="H121" s="99">
        <f>G121+'3'!H121</f>
        <v>3097.5900000000256</v>
      </c>
      <c r="I121" s="165"/>
      <c r="J121" s="328">
        <f>H121/DAY(B2)</f>
        <v>774.3975000000064</v>
      </c>
    </row>
    <row r="122" spans="1:18" ht="27.75" x14ac:dyDescent="0.5">
      <c r="A122" s="846" t="s">
        <v>101</v>
      </c>
      <c r="B122" s="846"/>
      <c r="C122" s="846"/>
      <c r="D122" s="151" t="s">
        <v>183</v>
      </c>
      <c r="E122" s="95">
        <f>'3'!F122</f>
        <v>120716.54</v>
      </c>
      <c r="F122" s="237">
        <v>120962.1</v>
      </c>
      <c r="G122" s="112">
        <f t="shared" si="9"/>
        <v>245.56000000001222</v>
      </c>
      <c r="H122" s="99">
        <f>G122+'3'!H122</f>
        <v>912.10000000000582</v>
      </c>
      <c r="I122" s="165"/>
      <c r="J122" s="328">
        <f>H122/DAY(B2)</f>
        <v>228.02500000000146</v>
      </c>
    </row>
    <row r="123" spans="1:18" ht="27.75" x14ac:dyDescent="0.5">
      <c r="A123" s="846" t="s">
        <v>102</v>
      </c>
      <c r="B123" s="846"/>
      <c r="C123" s="846"/>
      <c r="D123" s="151" t="s">
        <v>183</v>
      </c>
      <c r="E123" s="95">
        <f>'3'!F123</f>
        <v>146156.89000000001</v>
      </c>
      <c r="F123" s="237">
        <v>146478.67000000001</v>
      </c>
      <c r="G123" s="112">
        <f t="shared" si="9"/>
        <v>321.77999999999884</v>
      </c>
      <c r="H123" s="99">
        <f>G123+'3'!H123</f>
        <v>1353.6700000000128</v>
      </c>
      <c r="I123" s="165"/>
      <c r="J123" s="328">
        <f>H123/DAY(B2)</f>
        <v>338.4175000000032</v>
      </c>
    </row>
    <row r="124" spans="1:18" ht="29.25" customHeight="1" x14ac:dyDescent="0.5">
      <c r="A124" s="876"/>
      <c r="B124" s="877"/>
      <c r="C124" s="878"/>
      <c r="D124" s="165"/>
      <c r="E124" s="165"/>
      <c r="F124" s="165"/>
      <c r="G124" s="327"/>
      <c r="H124" s="99">
        <f>G124+'3'!H124</f>
        <v>0</v>
      </c>
      <c r="I124" s="165"/>
      <c r="J124" s="327"/>
    </row>
    <row r="125" spans="1:18" ht="29.25" x14ac:dyDescent="0.5">
      <c r="A125" s="589" t="s">
        <v>196</v>
      </c>
      <c r="B125" s="590"/>
      <c r="C125" s="591"/>
      <c r="D125" s="307"/>
      <c r="E125" s="308"/>
      <c r="F125" s="308"/>
      <c r="G125" s="309">
        <f>SUM(G112:G124)</f>
        <v>3424.070000000022</v>
      </c>
      <c r="H125" s="156"/>
      <c r="I125" s="327">
        <f>G125-(G39+G53)</f>
        <v>683.55000000000337</v>
      </c>
      <c r="J125" s="327"/>
    </row>
    <row r="126" spans="1:18" ht="27.75" x14ac:dyDescent="0.5">
      <c r="A126" s="881" t="s">
        <v>317</v>
      </c>
      <c r="B126" s="881"/>
      <c r="C126" s="881"/>
      <c r="D126" s="881"/>
      <c r="E126" s="881"/>
      <c r="F126" s="881"/>
      <c r="G126" s="881"/>
      <c r="H126" s="881"/>
      <c r="I126" s="881"/>
      <c r="J126" s="881"/>
    </row>
    <row r="127" spans="1:18" ht="27.75" x14ac:dyDescent="0.5">
      <c r="A127" s="882"/>
      <c r="B127" s="882"/>
      <c r="C127" s="245"/>
      <c r="D127" s="307"/>
      <c r="E127" s="308"/>
      <c r="F127" s="308"/>
      <c r="G127" s="309"/>
      <c r="H127" s="99">
        <f>G127+'3'!H127</f>
        <v>0</v>
      </c>
      <c r="I127" s="165"/>
      <c r="J127" s="328">
        <f>H127/DAY(B2)</f>
        <v>0</v>
      </c>
    </row>
    <row r="128" spans="1:18" ht="29.25" customHeight="1" x14ac:dyDescent="0.5">
      <c r="A128" s="851" t="s">
        <v>318</v>
      </c>
      <c r="B128" s="852"/>
      <c r="C128" s="853"/>
      <c r="D128" s="151" t="s">
        <v>183</v>
      </c>
      <c r="E128" s="95">
        <f>'3'!F128</f>
        <v>39060.46</v>
      </c>
      <c r="F128" s="165">
        <v>39388.42</v>
      </c>
      <c r="G128" s="112">
        <f t="shared" ref="G128:G134" si="10">F128-E128</f>
        <v>327.95999999999913</v>
      </c>
      <c r="H128" s="99">
        <f>G128+'3'!H128</f>
        <v>1384.4199999999983</v>
      </c>
      <c r="I128" s="165"/>
      <c r="J128" s="328">
        <f>H128/DAY(B2)</f>
        <v>346.10499999999956</v>
      </c>
    </row>
    <row r="129" spans="1:15" ht="27.75" x14ac:dyDescent="0.5">
      <c r="A129" s="329" t="s">
        <v>319</v>
      </c>
      <c r="B129" s="330"/>
      <c r="C129" s="331"/>
      <c r="D129" s="151" t="s">
        <v>183</v>
      </c>
      <c r="E129" s="95">
        <f>'3'!F129</f>
        <v>20938.84</v>
      </c>
      <c r="F129" s="165">
        <v>21201.37</v>
      </c>
      <c r="G129" s="112">
        <f t="shared" si="10"/>
        <v>262.52999999999884</v>
      </c>
      <c r="H129" s="99">
        <f>G129+'3'!H129</f>
        <v>880.36999999999898</v>
      </c>
      <c r="I129" s="165"/>
      <c r="J129" s="328">
        <f>H129/DAY(B2)</f>
        <v>220.09249999999975</v>
      </c>
      <c r="N129" s="240"/>
      <c r="O129" s="241"/>
    </row>
    <row r="130" spans="1:15" ht="27.75" x14ac:dyDescent="0.5">
      <c r="A130" s="329" t="s">
        <v>320</v>
      </c>
      <c r="B130" s="330"/>
      <c r="C130" s="331"/>
      <c r="D130" s="151" t="s">
        <v>183</v>
      </c>
      <c r="E130" s="95">
        <f>'3'!F130</f>
        <v>20550.099999999999</v>
      </c>
      <c r="F130" s="165">
        <v>21202.17</v>
      </c>
      <c r="G130" s="112">
        <f t="shared" si="10"/>
        <v>652.06999999999971</v>
      </c>
      <c r="H130" s="99">
        <f>G130+'3'!H130</f>
        <v>2820.1699999999983</v>
      </c>
      <c r="I130" s="165"/>
      <c r="J130" s="328">
        <f>H130/DAY(B2)</f>
        <v>705.04249999999956</v>
      </c>
      <c r="N130" s="240"/>
      <c r="O130" s="241"/>
    </row>
    <row r="131" spans="1:15" ht="27.75" x14ac:dyDescent="0.5">
      <c r="A131" s="851" t="s">
        <v>321</v>
      </c>
      <c r="B131" s="852"/>
      <c r="C131" s="853"/>
      <c r="D131" s="151" t="s">
        <v>183</v>
      </c>
      <c r="E131" s="95">
        <f>'3'!F131</f>
        <v>13412</v>
      </c>
      <c r="F131" s="165">
        <v>13484.52</v>
      </c>
      <c r="G131" s="112">
        <f t="shared" si="10"/>
        <v>72.520000000000437</v>
      </c>
      <c r="H131" s="99">
        <f>G131+'3'!H131</f>
        <v>331.52000000000044</v>
      </c>
      <c r="I131" s="165"/>
      <c r="J131" s="328">
        <f>H131/DAY(B2)</f>
        <v>82.880000000000109</v>
      </c>
      <c r="N131" s="240"/>
      <c r="O131" s="241"/>
    </row>
    <row r="132" spans="1:15" ht="27.75" x14ac:dyDescent="0.5">
      <c r="A132" s="851" t="s">
        <v>322</v>
      </c>
      <c r="B132" s="852"/>
      <c r="C132" s="853"/>
      <c r="D132" s="151" t="s">
        <v>183</v>
      </c>
      <c r="E132" s="95">
        <f>'3'!F132</f>
        <v>42365.21</v>
      </c>
      <c r="F132" s="165">
        <v>42815.69</v>
      </c>
      <c r="G132" s="112">
        <f t="shared" si="10"/>
        <v>450.4800000000032</v>
      </c>
      <c r="H132" s="99">
        <f>G132+'3'!H132</f>
        <v>1792.6900000000023</v>
      </c>
      <c r="I132" s="165"/>
      <c r="J132" s="328">
        <f>H132/DAY(B2)</f>
        <v>448.17250000000058</v>
      </c>
    </row>
    <row r="133" spans="1:15" ht="27.75" x14ac:dyDescent="0.5">
      <c r="A133" s="851" t="s">
        <v>323</v>
      </c>
      <c r="B133" s="852"/>
      <c r="C133" s="853"/>
      <c r="D133" s="151" t="s">
        <v>183</v>
      </c>
      <c r="E133" s="95">
        <f>'3'!F133</f>
        <v>90206.44</v>
      </c>
      <c r="F133" s="165">
        <v>91046.62</v>
      </c>
      <c r="G133" s="112">
        <f t="shared" si="10"/>
        <v>840.17999999999302</v>
      </c>
      <c r="H133" s="99">
        <f>G133+'3'!H133</f>
        <v>3343.6199999999953</v>
      </c>
      <c r="I133" s="165"/>
      <c r="J133" s="328">
        <f>H133/DAY(B2)</f>
        <v>835.90499999999884</v>
      </c>
    </row>
    <row r="134" spans="1:15" ht="27.75" x14ac:dyDescent="0.5">
      <c r="A134" s="851" t="s">
        <v>340</v>
      </c>
      <c r="B134" s="852"/>
      <c r="C134" s="853"/>
      <c r="D134" s="151" t="s">
        <v>183</v>
      </c>
      <c r="E134" s="95">
        <f>'3'!F134</f>
        <v>670802</v>
      </c>
      <c r="F134" s="165">
        <v>671437</v>
      </c>
      <c r="G134" s="112">
        <f t="shared" si="10"/>
        <v>635</v>
      </c>
      <c r="H134" s="99">
        <f>G134+'3'!H134</f>
        <v>2557</v>
      </c>
      <c r="I134" s="165"/>
      <c r="J134" s="328">
        <f>H134/DAY(B2)</f>
        <v>639.25</v>
      </c>
    </row>
    <row r="135" spans="1:15" ht="29.25" x14ac:dyDescent="0.5">
      <c r="A135" s="815" t="s">
        <v>196</v>
      </c>
      <c r="B135" s="816"/>
      <c r="C135" s="817"/>
      <c r="D135" s="151"/>
      <c r="E135" s="95"/>
      <c r="F135" s="165"/>
      <c r="G135" s="112">
        <f>SUM(G128:G134)</f>
        <v>3240.7399999999943</v>
      </c>
      <c r="H135" s="99">
        <f>G135+'3'!H135</f>
        <v>13109.789999999994</v>
      </c>
      <c r="I135" s="327">
        <f>G135-(G35+G49)</f>
        <v>-82.120000000020809</v>
      </c>
      <c r="J135" s="328">
        <f>H135/DAY(B2)</f>
        <v>3277.4474999999984</v>
      </c>
    </row>
    <row r="136" spans="1:15" ht="31.5" x14ac:dyDescent="0.55000000000000004">
      <c r="A136" s="883" t="s">
        <v>325</v>
      </c>
      <c r="B136" s="883"/>
      <c r="C136" s="883"/>
      <c r="D136" s="883"/>
      <c r="E136" s="883"/>
      <c r="F136" s="883"/>
      <c r="G136" s="883"/>
      <c r="H136" s="883"/>
      <c r="I136" s="883"/>
      <c r="J136" s="883"/>
    </row>
    <row r="137" spans="1:15" ht="29.25" x14ac:dyDescent="0.5">
      <c r="A137" s="245"/>
      <c r="B137" s="246"/>
      <c r="C137" s="246"/>
      <c r="D137" s="165"/>
      <c r="E137" s="165"/>
      <c r="F137" s="165"/>
      <c r="G137" s="165"/>
      <c r="H137" s="156"/>
      <c r="I137" s="165"/>
      <c r="J137" s="327"/>
    </row>
    <row r="138" spans="1:15" ht="27.75" x14ac:dyDescent="0.5">
      <c r="A138" s="846" t="s">
        <v>185</v>
      </c>
      <c r="B138" s="846"/>
      <c r="C138" s="846"/>
      <c r="D138" s="151" t="s">
        <v>183</v>
      </c>
      <c r="E138" s="95">
        <f>'3'!F138</f>
        <v>864407</v>
      </c>
      <c r="F138" s="147">
        <v>864477</v>
      </c>
      <c r="G138" s="112">
        <f t="shared" ref="G138:G152" si="11">F138-E138</f>
        <v>70</v>
      </c>
      <c r="H138" s="99">
        <f>G138+'3'!H138</f>
        <v>306</v>
      </c>
      <c r="I138" s="118"/>
      <c r="J138" s="328">
        <f>H138/DAY(B2)</f>
        <v>76.5</v>
      </c>
    </row>
    <row r="139" spans="1:15" ht="27.75" x14ac:dyDescent="0.5">
      <c r="A139" s="846" t="s">
        <v>186</v>
      </c>
      <c r="B139" s="846"/>
      <c r="C139" s="846"/>
      <c r="D139" s="151" t="s">
        <v>183</v>
      </c>
      <c r="E139" s="95">
        <f>'3'!F139</f>
        <v>886547</v>
      </c>
      <c r="F139" s="148">
        <v>886547</v>
      </c>
      <c r="G139" s="112">
        <f t="shared" si="11"/>
        <v>0</v>
      </c>
      <c r="H139" s="99">
        <f>G139+'3'!H139</f>
        <v>1</v>
      </c>
      <c r="I139" s="118"/>
      <c r="J139" s="328">
        <f>H139/DAY(B2)</f>
        <v>0.25</v>
      </c>
    </row>
    <row r="140" spans="1:15" ht="27.75" x14ac:dyDescent="0.5">
      <c r="A140" s="846" t="s">
        <v>187</v>
      </c>
      <c r="B140" s="846"/>
      <c r="C140" s="846"/>
      <c r="D140" s="151" t="s">
        <v>183</v>
      </c>
      <c r="E140" s="95">
        <f>'3'!F140</f>
        <v>88895.9</v>
      </c>
      <c r="F140" s="149">
        <v>88898.3</v>
      </c>
      <c r="G140" s="112">
        <f t="shared" si="11"/>
        <v>2.4000000000087311</v>
      </c>
      <c r="H140" s="99">
        <f>G140+'3'!H140</f>
        <v>16.30000000000291</v>
      </c>
      <c r="I140" s="118"/>
      <c r="J140" s="328">
        <f>H140/DAY(B2)</f>
        <v>4.0750000000007276</v>
      </c>
    </row>
    <row r="141" spans="1:15" ht="27.75" x14ac:dyDescent="0.5">
      <c r="A141" s="850" t="s">
        <v>188</v>
      </c>
      <c r="B141" s="850"/>
      <c r="C141" s="850"/>
      <c r="D141" s="151" t="s">
        <v>183</v>
      </c>
      <c r="E141" s="95">
        <f>'3'!F141</f>
        <v>49854.8</v>
      </c>
      <c r="F141" s="149">
        <v>50035.040000000001</v>
      </c>
      <c r="G141" s="112">
        <f t="shared" si="11"/>
        <v>180.23999999999796</v>
      </c>
      <c r="H141" s="99">
        <f>G141+'3'!H141</f>
        <v>729.04000000000087</v>
      </c>
      <c r="I141" s="118"/>
      <c r="J141" s="328">
        <f>H141/DAY(B2)</f>
        <v>182.26000000000022</v>
      </c>
    </row>
    <row r="142" spans="1:15" ht="27.75" x14ac:dyDescent="0.5">
      <c r="A142" s="850" t="s">
        <v>189</v>
      </c>
      <c r="B142" s="850"/>
      <c r="C142" s="850"/>
      <c r="D142" s="151" t="s">
        <v>183</v>
      </c>
      <c r="E142" s="95">
        <f>'3'!F142</f>
        <v>19223.8</v>
      </c>
      <c r="F142" s="148">
        <v>19291.75</v>
      </c>
      <c r="G142" s="112">
        <f t="shared" si="11"/>
        <v>67.950000000000728</v>
      </c>
      <c r="H142" s="99">
        <f>G142+'3'!H142</f>
        <v>282.75</v>
      </c>
      <c r="I142" s="140"/>
      <c r="J142" s="328">
        <f>H142/DAY(B2)</f>
        <v>70.6875</v>
      </c>
    </row>
    <row r="143" spans="1:15" ht="27.75" x14ac:dyDescent="0.5">
      <c r="A143" s="846" t="s">
        <v>91</v>
      </c>
      <c r="B143" s="846"/>
      <c r="C143" s="846"/>
      <c r="D143" s="151" t="s">
        <v>183</v>
      </c>
      <c r="E143" s="95">
        <f>'3'!F143</f>
        <v>3121.69</v>
      </c>
      <c r="F143" s="149">
        <v>3152.36</v>
      </c>
      <c r="G143" s="112">
        <f t="shared" si="11"/>
        <v>30.670000000000073</v>
      </c>
      <c r="H143" s="99">
        <f>G143+'3'!H143</f>
        <v>91.360000000000127</v>
      </c>
      <c r="I143" s="140"/>
      <c r="J143" s="328">
        <f>H143/DAY(B2)</f>
        <v>22.840000000000032</v>
      </c>
    </row>
    <row r="144" spans="1:15" ht="27.75" x14ac:dyDescent="0.5">
      <c r="A144" s="850" t="s">
        <v>90</v>
      </c>
      <c r="B144" s="850"/>
      <c r="C144" s="850"/>
      <c r="D144" s="151" t="s">
        <v>183</v>
      </c>
      <c r="E144" s="95">
        <f>'3'!F144</f>
        <v>870344</v>
      </c>
      <c r="F144" s="149">
        <v>870569</v>
      </c>
      <c r="G144" s="112">
        <f t="shared" si="11"/>
        <v>225</v>
      </c>
      <c r="H144" s="99">
        <f>G144+'3'!H144</f>
        <v>899</v>
      </c>
      <c r="I144" s="140"/>
      <c r="J144" s="328">
        <f>H144/DAY(B2)</f>
        <v>224.75</v>
      </c>
    </row>
    <row r="145" spans="1:10" ht="27.75" x14ac:dyDescent="0.5">
      <c r="A145" s="846" t="s">
        <v>190</v>
      </c>
      <c r="B145" s="846"/>
      <c r="C145" s="846"/>
      <c r="D145" s="152" t="s">
        <v>183</v>
      </c>
      <c r="E145" s="95">
        <f>'3'!F145</f>
        <v>4606.96</v>
      </c>
      <c r="F145" s="149">
        <v>4624.2299999999996</v>
      </c>
      <c r="G145" s="112">
        <f t="shared" si="11"/>
        <v>17.269999999999527</v>
      </c>
      <c r="H145" s="99">
        <f>G145+'3'!H145</f>
        <v>66.229999999999563</v>
      </c>
      <c r="I145" s="140"/>
      <c r="J145" s="328">
        <f>H145/DAY(B2)</f>
        <v>16.557499999999891</v>
      </c>
    </row>
    <row r="146" spans="1:10" ht="27.75" x14ac:dyDescent="0.5">
      <c r="A146" s="847" t="s">
        <v>191</v>
      </c>
      <c r="B146" s="848"/>
      <c r="C146" s="849"/>
      <c r="D146" s="152" t="s">
        <v>183</v>
      </c>
      <c r="E146" s="95">
        <f>'3'!F146</f>
        <v>726266</v>
      </c>
      <c r="F146" s="148">
        <v>726728</v>
      </c>
      <c r="G146" s="112">
        <f t="shared" si="11"/>
        <v>462</v>
      </c>
      <c r="H146" s="99">
        <f>G146+'3'!H146</f>
        <v>1870</v>
      </c>
      <c r="I146" s="140"/>
      <c r="J146" s="328">
        <f>H146/DAY(B2)</f>
        <v>467.5</v>
      </c>
    </row>
    <row r="147" spans="1:10" ht="27.75" x14ac:dyDescent="0.5">
      <c r="A147" s="850" t="s">
        <v>192</v>
      </c>
      <c r="B147" s="850"/>
      <c r="C147" s="850"/>
      <c r="D147" s="152" t="s">
        <v>183</v>
      </c>
      <c r="E147" s="95">
        <f>'3'!F147</f>
        <v>616563.80000000005</v>
      </c>
      <c r="F147" s="148">
        <v>616959.84</v>
      </c>
      <c r="G147" s="112">
        <f t="shared" si="11"/>
        <v>396.03999999992084</v>
      </c>
      <c r="H147" s="99">
        <f>G147+'3'!H147</f>
        <v>1677.8399999999674</v>
      </c>
      <c r="I147" s="140"/>
      <c r="J147" s="328">
        <f>H147/DAY(B2)</f>
        <v>419.45999999999185</v>
      </c>
    </row>
    <row r="148" spans="1:10" ht="27.75" x14ac:dyDescent="0.5">
      <c r="A148" s="842" t="s">
        <v>193</v>
      </c>
      <c r="B148" s="843"/>
      <c r="C148" s="844"/>
      <c r="D148" s="123" t="s">
        <v>130</v>
      </c>
      <c r="E148" s="95">
        <f>'3'!F148</f>
        <v>683915.52</v>
      </c>
      <c r="F148" s="150">
        <v>684170.8</v>
      </c>
      <c r="G148" s="112">
        <f t="shared" si="11"/>
        <v>255.28000000002794</v>
      </c>
      <c r="H148" s="99">
        <f>G148+'3'!H148</f>
        <v>1137.6800000000512</v>
      </c>
      <c r="I148" s="124"/>
      <c r="J148" s="328">
        <f>H148/DAY(B2)</f>
        <v>284.42000000001281</v>
      </c>
    </row>
    <row r="149" spans="1:10" ht="27.75" x14ac:dyDescent="0.5">
      <c r="A149" s="842" t="s">
        <v>336</v>
      </c>
      <c r="B149" s="843"/>
      <c r="C149" s="844"/>
      <c r="D149" s="227" t="s">
        <v>130</v>
      </c>
      <c r="E149" s="95">
        <f>'3'!F149</f>
        <v>11666.01</v>
      </c>
      <c r="F149" s="146">
        <v>12179.96</v>
      </c>
      <c r="G149" s="112">
        <f t="shared" si="11"/>
        <v>513.94999999999891</v>
      </c>
      <c r="H149" s="99">
        <f>G149+'3'!H149</f>
        <v>1430.9599999999991</v>
      </c>
      <c r="I149" s="119"/>
      <c r="J149" s="328">
        <f>H149/DAY(B2)</f>
        <v>357.73999999999978</v>
      </c>
    </row>
    <row r="150" spans="1:10" ht="27.75" x14ac:dyDescent="0.5">
      <c r="A150" s="842" t="s">
        <v>337</v>
      </c>
      <c r="B150" s="843"/>
      <c r="C150" s="844"/>
      <c r="D150" s="117" t="s">
        <v>130</v>
      </c>
      <c r="E150" s="95">
        <f>'3'!F150</f>
        <v>4698.6000000000004</v>
      </c>
      <c r="F150" s="233">
        <v>4925.78</v>
      </c>
      <c r="G150" s="112">
        <f t="shared" si="11"/>
        <v>227.17999999999938</v>
      </c>
      <c r="H150" s="99">
        <f>G150+'3'!H150</f>
        <v>873.77999999999975</v>
      </c>
      <c r="I150" s="119"/>
      <c r="J150" s="328">
        <f>H150/DAY(B2)</f>
        <v>218.44499999999994</v>
      </c>
    </row>
    <row r="151" spans="1:10" ht="27.75" x14ac:dyDescent="0.5">
      <c r="A151" s="842" t="s">
        <v>338</v>
      </c>
      <c r="B151" s="843"/>
      <c r="C151" s="844"/>
      <c r="D151" s="117" t="s">
        <v>130</v>
      </c>
      <c r="E151" s="95">
        <f>'3'!F151</f>
        <v>78989</v>
      </c>
      <c r="F151" s="233">
        <v>79257</v>
      </c>
      <c r="G151" s="112">
        <f t="shared" si="11"/>
        <v>268</v>
      </c>
      <c r="H151" s="99">
        <f>G151+'3'!H151</f>
        <v>1040</v>
      </c>
      <c r="I151" s="119"/>
      <c r="J151" s="328">
        <f>H151/DAY(B2)</f>
        <v>260</v>
      </c>
    </row>
    <row r="152" spans="1:10" ht="27.75" x14ac:dyDescent="0.5">
      <c r="A152" s="842" t="s">
        <v>339</v>
      </c>
      <c r="B152" s="843"/>
      <c r="C152" s="844"/>
      <c r="D152" s="117" t="s">
        <v>130</v>
      </c>
      <c r="E152" s="95">
        <f>'3'!F152</f>
        <v>1213.8</v>
      </c>
      <c r="F152" s="233">
        <v>1224.04</v>
      </c>
      <c r="G152" s="112">
        <f t="shared" si="11"/>
        <v>10.240000000000009</v>
      </c>
      <c r="H152" s="99">
        <f>G152+'3'!H152</f>
        <v>97.039999999999964</v>
      </c>
      <c r="I152" s="119"/>
      <c r="J152" s="328">
        <f>H152/DAY(B2)</f>
        <v>24.259999999999991</v>
      </c>
    </row>
    <row r="153" spans="1:10" ht="29.25" x14ac:dyDescent="0.5">
      <c r="A153" s="815" t="s">
        <v>196</v>
      </c>
      <c r="B153" s="816"/>
      <c r="C153" s="817"/>
      <c r="D153" s="358"/>
      <c r="E153" s="360"/>
      <c r="F153" s="361"/>
      <c r="G153" s="362">
        <f>SUM(G138:G152)</f>
        <v>2726.2199999999539</v>
      </c>
      <c r="H153" s="363"/>
      <c r="I153" s="119">
        <f>G153-(G38+G52)</f>
        <v>973.85999999996784</v>
      </c>
      <c r="J153" s="366"/>
    </row>
    <row r="154" spans="1:10" ht="31.5" x14ac:dyDescent="0.55000000000000004">
      <c r="A154" s="883" t="s">
        <v>344</v>
      </c>
      <c r="B154" s="883"/>
      <c r="C154" s="883"/>
      <c r="D154" s="883"/>
      <c r="E154" s="883"/>
      <c r="F154" s="883"/>
      <c r="G154" s="883"/>
      <c r="H154" s="883"/>
      <c r="I154" s="883"/>
      <c r="J154" s="883"/>
    </row>
    <row r="155" spans="1:10" ht="31.5" x14ac:dyDescent="0.55000000000000004">
      <c r="A155" s="850" t="s">
        <v>345</v>
      </c>
      <c r="B155" s="850"/>
      <c r="C155" s="850"/>
      <c r="D155" s="117" t="s">
        <v>130</v>
      </c>
      <c r="E155" s="95">
        <f>'3'!F155</f>
        <v>14751.96</v>
      </c>
      <c r="F155" s="374">
        <v>15390.56</v>
      </c>
      <c r="G155" s="112">
        <f t="shared" ref="G155:G158" si="12">F155-E155</f>
        <v>638.60000000000036</v>
      </c>
      <c r="H155" s="99">
        <f>G155+'3'!H155</f>
        <v>1918.5599999999995</v>
      </c>
      <c r="I155" s="364"/>
      <c r="J155" s="328">
        <f>H155/DAY(B2)</f>
        <v>479.63999999999987</v>
      </c>
    </row>
    <row r="156" spans="1:10" ht="27.75" x14ac:dyDescent="0.5">
      <c r="A156" s="850" t="s">
        <v>346</v>
      </c>
      <c r="B156" s="850"/>
      <c r="C156" s="850"/>
      <c r="D156" s="117" t="s">
        <v>130</v>
      </c>
      <c r="E156" s="95">
        <f>'3'!F156</f>
        <v>1197.82</v>
      </c>
      <c r="F156" s="155">
        <v>1255.8699999999999</v>
      </c>
      <c r="G156" s="112">
        <f t="shared" si="12"/>
        <v>58.049999999999955</v>
      </c>
      <c r="H156" s="99">
        <f>G156+'3'!H156</f>
        <v>167.86999999999989</v>
      </c>
      <c r="I156" s="165"/>
      <c r="J156" s="328">
        <f>H156/DAY(B2)</f>
        <v>41.967499999999973</v>
      </c>
    </row>
    <row r="157" spans="1:10" ht="27.75" x14ac:dyDescent="0.5">
      <c r="A157" s="842" t="s">
        <v>364</v>
      </c>
      <c r="B157" s="843"/>
      <c r="C157" s="844"/>
      <c r="D157" s="117" t="s">
        <v>130</v>
      </c>
      <c r="E157" s="95">
        <f>'3'!F157</f>
        <v>1435.6</v>
      </c>
      <c r="F157" s="155">
        <v>1498.22</v>
      </c>
      <c r="G157" s="112">
        <f t="shared" si="12"/>
        <v>62.620000000000118</v>
      </c>
      <c r="H157" s="99">
        <f>G157+'3'!H157</f>
        <v>62.620000000000118</v>
      </c>
      <c r="I157" s="165"/>
      <c r="J157" s="328">
        <f>H157/DAY(B2)</f>
        <v>15.65500000000003</v>
      </c>
    </row>
    <row r="158" spans="1:10" ht="27.75" x14ac:dyDescent="0.5">
      <c r="A158" s="842" t="s">
        <v>365</v>
      </c>
      <c r="B158" s="843"/>
      <c r="C158" s="844"/>
      <c r="D158" s="117" t="s">
        <v>130</v>
      </c>
      <c r="E158" s="95">
        <f>'3'!F158</f>
        <v>7.9</v>
      </c>
      <c r="F158" s="155">
        <v>8.5299999999999994</v>
      </c>
      <c r="G158" s="112">
        <f t="shared" si="12"/>
        <v>0.62999999999999901</v>
      </c>
      <c r="H158" s="99">
        <f>G158+'3'!H158</f>
        <v>0.62999999999999901</v>
      </c>
      <c r="I158" s="165"/>
      <c r="J158" s="328">
        <f>H158/DAY(B2)</f>
        <v>0.15749999999999975</v>
      </c>
    </row>
    <row r="159" spans="1:10" ht="27.75" x14ac:dyDescent="0.5">
      <c r="A159" s="899"/>
      <c r="B159" s="900"/>
      <c r="C159" s="901"/>
      <c r="D159" s="117"/>
      <c r="E159" s="95"/>
      <c r="F159" s="165"/>
      <c r="G159" s="112"/>
      <c r="H159" s="99"/>
      <c r="I159" s="165"/>
      <c r="J159" s="328"/>
    </row>
    <row r="160" spans="1:10" ht="31.5" x14ac:dyDescent="0.55000000000000004">
      <c r="A160" s="883" t="s">
        <v>326</v>
      </c>
      <c r="B160" s="883"/>
      <c r="C160" s="883"/>
      <c r="D160" s="883"/>
      <c r="E160" s="883"/>
      <c r="F160" s="883"/>
      <c r="G160" s="883"/>
      <c r="H160" s="883"/>
      <c r="I160" s="883"/>
      <c r="J160" s="883"/>
    </row>
    <row r="161" spans="1:10" ht="29.25" x14ac:dyDescent="0.5">
      <c r="A161" s="242" t="s">
        <v>92</v>
      </c>
      <c r="B161" s="243"/>
      <c r="C161" s="243"/>
      <c r="D161" s="244" t="s">
        <v>180</v>
      </c>
      <c r="E161" s="95">
        <f>'3'!F161</f>
        <v>471153.56</v>
      </c>
      <c r="F161" s="235">
        <v>471153.56</v>
      </c>
      <c r="G161" s="238">
        <f t="shared" ref="G161:G168" si="13">F161-E161</f>
        <v>0</v>
      </c>
      <c r="H161" s="99">
        <f>G161+'3'!H161</f>
        <v>0.40000000002328306</v>
      </c>
      <c r="I161" s="236"/>
      <c r="J161" s="239">
        <f>H161/DAY(B2)</f>
        <v>0.10000000000582077</v>
      </c>
    </row>
    <row r="162" spans="1:10" ht="29.25" x14ac:dyDescent="0.5">
      <c r="A162" s="242" t="s">
        <v>93</v>
      </c>
      <c r="B162" s="243"/>
      <c r="C162" s="243"/>
      <c r="D162" s="244" t="s">
        <v>180</v>
      </c>
      <c r="E162" s="95">
        <f>'3'!F162</f>
        <v>87635.6</v>
      </c>
      <c r="F162" s="235">
        <v>87661.2</v>
      </c>
      <c r="G162" s="238">
        <f t="shared" si="13"/>
        <v>25.599999999991269</v>
      </c>
      <c r="H162" s="99">
        <f>G162+'3'!H162</f>
        <v>91.19999999999709</v>
      </c>
      <c r="I162" s="236"/>
      <c r="J162" s="239">
        <f>H162/DAY(B2)</f>
        <v>22.799999999999272</v>
      </c>
    </row>
    <row r="163" spans="1:10" ht="29.25" x14ac:dyDescent="0.5">
      <c r="A163" s="242" t="s">
        <v>197</v>
      </c>
      <c r="B163" s="243"/>
      <c r="C163" s="243"/>
      <c r="D163" s="244" t="s">
        <v>180</v>
      </c>
      <c r="E163" s="95">
        <f>'3'!F163</f>
        <v>77946.5</v>
      </c>
      <c r="F163" s="235">
        <v>77995.100000000006</v>
      </c>
      <c r="G163" s="238">
        <f t="shared" si="13"/>
        <v>48.600000000005821</v>
      </c>
      <c r="H163" s="99">
        <f>G163+'3'!H163</f>
        <v>170.10000000000582</v>
      </c>
      <c r="I163" s="236"/>
      <c r="J163" s="239">
        <f>H163/DAY(B2)</f>
        <v>42.525000000001455</v>
      </c>
    </row>
    <row r="164" spans="1:10" ht="29.25" x14ac:dyDescent="0.5">
      <c r="A164" s="242" t="s">
        <v>197</v>
      </c>
      <c r="B164" s="243"/>
      <c r="C164" s="243"/>
      <c r="D164" s="244" t="s">
        <v>180</v>
      </c>
      <c r="E164" s="95">
        <f>'3'!F164</f>
        <v>4245.8999999999996</v>
      </c>
      <c r="F164" s="235">
        <v>4247.3</v>
      </c>
      <c r="G164" s="238">
        <f t="shared" si="13"/>
        <v>1.4000000000005457</v>
      </c>
      <c r="H164" s="99">
        <f>G164+'3'!H164</f>
        <v>5.3000000000001819</v>
      </c>
      <c r="I164" s="236"/>
      <c r="J164" s="239">
        <f>H164/DAY(B2)</f>
        <v>1.3250000000000455</v>
      </c>
    </row>
    <row r="165" spans="1:10" ht="29.25" x14ac:dyDescent="0.5">
      <c r="A165" s="242" t="s">
        <v>309</v>
      </c>
      <c r="B165" s="243"/>
      <c r="C165" s="243"/>
      <c r="D165" s="244" t="s">
        <v>180</v>
      </c>
      <c r="E165" s="95">
        <f>'3'!F165</f>
        <v>29660.5</v>
      </c>
      <c r="F165" s="235">
        <v>29670.03</v>
      </c>
      <c r="G165" s="238">
        <f t="shared" si="13"/>
        <v>9.5299999999988358</v>
      </c>
      <c r="H165" s="99">
        <f>G165+'3'!H165</f>
        <v>24.029999999998836</v>
      </c>
      <c r="I165" s="236"/>
      <c r="J165" s="239">
        <f>H165/DAY(B2)</f>
        <v>6.007499999999709</v>
      </c>
    </row>
    <row r="166" spans="1:10" ht="29.25" x14ac:dyDescent="0.5">
      <c r="A166" s="882"/>
      <c r="B166" s="882"/>
      <c r="C166" s="246"/>
      <c r="D166" s="244" t="s">
        <v>180</v>
      </c>
      <c r="E166" s="95">
        <f>'3'!F166</f>
        <v>0</v>
      </c>
      <c r="F166" s="165"/>
      <c r="G166" s="238">
        <f t="shared" si="13"/>
        <v>0</v>
      </c>
      <c r="H166" s="99">
        <f>G166+'3'!H166</f>
        <v>0</v>
      </c>
      <c r="I166" s="165"/>
      <c r="J166" s="327"/>
    </row>
    <row r="167" spans="1:10" ht="29.25" x14ac:dyDescent="0.5">
      <c r="A167" s="882"/>
      <c r="B167" s="882"/>
      <c r="C167" s="246"/>
      <c r="D167" s="244" t="s">
        <v>180</v>
      </c>
      <c r="E167" s="95">
        <f>'3'!F167</f>
        <v>0</v>
      </c>
      <c r="F167" s="165"/>
      <c r="G167" s="238">
        <f t="shared" si="13"/>
        <v>0</v>
      </c>
      <c r="H167" s="99">
        <f>G167+'3'!H167</f>
        <v>0</v>
      </c>
      <c r="I167" s="165"/>
      <c r="J167" s="327"/>
    </row>
    <row r="168" spans="1:10" ht="29.25" x14ac:dyDescent="0.5">
      <c r="A168" s="882"/>
      <c r="B168" s="882"/>
      <c r="C168" s="246"/>
      <c r="D168" s="244" t="s">
        <v>180</v>
      </c>
      <c r="E168" s="95">
        <f>'3'!F168</f>
        <v>0</v>
      </c>
      <c r="F168" s="165"/>
      <c r="G168" s="238">
        <f t="shared" si="13"/>
        <v>0</v>
      </c>
      <c r="H168" s="99">
        <f>G168+'3'!H168</f>
        <v>0</v>
      </c>
      <c r="I168" s="165"/>
      <c r="J168" s="327"/>
    </row>
    <row r="169" spans="1:10" ht="29.25" x14ac:dyDescent="0.5"/>
    <row r="170" spans="1:10" ht="29.25" x14ac:dyDescent="0.5"/>
    <row r="171" spans="1:10" ht="31.5" x14ac:dyDescent="0.35">
      <c r="A171" s="890" t="s">
        <v>330</v>
      </c>
      <c r="B171" s="891"/>
      <c r="C171" s="891"/>
      <c r="D171" s="891"/>
      <c r="E171" s="891"/>
      <c r="F171" s="891"/>
      <c r="G171" s="891"/>
      <c r="H171" s="891"/>
      <c r="I171" s="891"/>
      <c r="J171" s="892"/>
    </row>
    <row r="172" spans="1:10" ht="27.75" x14ac:dyDescent="0.5">
      <c r="A172" s="886"/>
      <c r="B172" s="887"/>
      <c r="C172" s="332"/>
      <c r="D172" s="228"/>
      <c r="E172" s="155"/>
      <c r="F172" s="155"/>
      <c r="G172" s="155"/>
      <c r="H172" s="156"/>
      <c r="I172" s="155"/>
      <c r="J172" s="178"/>
    </row>
    <row r="173" spans="1:10" ht="27.75" x14ac:dyDescent="0.5">
      <c r="A173" s="840" t="s">
        <v>209</v>
      </c>
      <c r="B173" s="841"/>
      <c r="C173" s="333"/>
      <c r="D173" s="228" t="s">
        <v>142</v>
      </c>
      <c r="E173" s="95">
        <f>'3'!F173</f>
        <v>8126</v>
      </c>
      <c r="F173" s="155">
        <v>8126</v>
      </c>
      <c r="G173" s="155">
        <f>F173-E173</f>
        <v>0</v>
      </c>
      <c r="H173" s="99">
        <f>G173+'3'!H173</f>
        <v>0</v>
      </c>
      <c r="I173" s="155"/>
      <c r="J173" s="178">
        <f>H173/DAY(B2)</f>
        <v>0</v>
      </c>
    </row>
    <row r="174" spans="1:10" ht="27.75" x14ac:dyDescent="0.5">
      <c r="A174" s="840" t="s">
        <v>75</v>
      </c>
      <c r="B174" s="841"/>
      <c r="C174" s="333"/>
      <c r="D174" s="228" t="s">
        <v>142</v>
      </c>
      <c r="E174" s="95">
        <f>'3'!F174</f>
        <v>38308</v>
      </c>
      <c r="F174" s="157">
        <v>38322</v>
      </c>
      <c r="G174" s="155">
        <f t="shared" ref="G174:G175" si="14">F174-E174</f>
        <v>14</v>
      </c>
      <c r="H174" s="99">
        <f>G174+'3'!H174</f>
        <v>29</v>
      </c>
      <c r="I174" s="155"/>
      <c r="J174" s="178">
        <f>H174/DAY(B2)</f>
        <v>7.25</v>
      </c>
    </row>
    <row r="175" spans="1:10" ht="25.5" customHeight="1" x14ac:dyDescent="0.5">
      <c r="A175" s="840" t="s">
        <v>76</v>
      </c>
      <c r="B175" s="845"/>
      <c r="C175" s="841"/>
      <c r="D175" s="228" t="s">
        <v>142</v>
      </c>
      <c r="E175" s="95">
        <f>'3'!F175</f>
        <v>21539</v>
      </c>
      <c r="F175" s="155">
        <v>21556</v>
      </c>
      <c r="G175" s="155">
        <f t="shared" si="14"/>
        <v>17</v>
      </c>
      <c r="H175" s="99">
        <f>G175+'3'!H175</f>
        <v>38</v>
      </c>
      <c r="I175" s="155"/>
      <c r="J175" s="178">
        <f>H175/DAY(B2)</f>
        <v>9.5</v>
      </c>
    </row>
    <row r="176" spans="1:10" ht="24.75" customHeight="1" x14ac:dyDescent="0.5">
      <c r="A176" s="815" t="s">
        <v>196</v>
      </c>
      <c r="B176" s="816"/>
      <c r="C176" s="817"/>
      <c r="D176" s="228"/>
      <c r="E176" s="95"/>
      <c r="F176" s="155"/>
      <c r="G176" s="155">
        <f>SUM(G173:G175)</f>
        <v>31</v>
      </c>
      <c r="H176" s="99">
        <f>G176+'3'!H176</f>
        <v>67</v>
      </c>
      <c r="I176" s="155"/>
      <c r="J176" s="178">
        <f>H176/DAY(B2)</f>
        <v>16.75</v>
      </c>
    </row>
    <row r="177" spans="1:10" ht="28.5" customHeight="1" x14ac:dyDescent="0.5">
      <c r="A177" s="840" t="s">
        <v>77</v>
      </c>
      <c r="B177" s="841"/>
      <c r="C177" s="333"/>
      <c r="D177" s="228" t="s">
        <v>142</v>
      </c>
      <c r="E177" s="95"/>
      <c r="F177" s="155"/>
      <c r="G177" s="155"/>
      <c r="H177" s="99">
        <f>G177+'3'!H177</f>
        <v>0</v>
      </c>
      <c r="I177" s="155"/>
      <c r="J177" s="178">
        <f>H177/DAY(B2)</f>
        <v>0</v>
      </c>
    </row>
    <row r="178" spans="1:10" ht="24.75" customHeight="1" x14ac:dyDescent="0.5">
      <c r="A178" s="840" t="s">
        <v>210</v>
      </c>
      <c r="B178" s="841"/>
      <c r="C178" s="333"/>
      <c r="D178" s="228" t="s">
        <v>142</v>
      </c>
      <c r="E178" s="95">
        <f>'3'!F178</f>
        <v>79798</v>
      </c>
      <c r="F178" s="157">
        <v>79877</v>
      </c>
      <c r="G178" s="155">
        <f>F178-E178</f>
        <v>79</v>
      </c>
      <c r="H178" s="99">
        <f>G178+'3'!H178</f>
        <v>263</v>
      </c>
      <c r="I178" s="155"/>
      <c r="J178" s="178">
        <f>H178/DAY(B2)</f>
        <v>65.75</v>
      </c>
    </row>
    <row r="179" spans="1:10" ht="24" customHeight="1" x14ac:dyDescent="0.5">
      <c r="A179" s="840" t="s">
        <v>211</v>
      </c>
      <c r="B179" s="841"/>
      <c r="C179" s="333"/>
      <c r="D179" s="228" t="s">
        <v>142</v>
      </c>
      <c r="E179" s="95">
        <f>'3'!F179</f>
        <v>33973</v>
      </c>
      <c r="F179" s="155">
        <v>34008</v>
      </c>
      <c r="G179" s="155">
        <f t="shared" ref="G179:G180" si="15">F179-E179</f>
        <v>35</v>
      </c>
      <c r="H179" s="99">
        <f>G179+'3'!H179</f>
        <v>93</v>
      </c>
      <c r="I179" s="155"/>
      <c r="J179" s="178">
        <f>H179/DAY(B2)</f>
        <v>23.25</v>
      </c>
    </row>
    <row r="180" spans="1:10" ht="27.75" x14ac:dyDescent="0.5">
      <c r="A180" s="840" t="s">
        <v>212</v>
      </c>
      <c r="B180" s="841"/>
      <c r="C180" s="333"/>
      <c r="D180" s="228" t="s">
        <v>142</v>
      </c>
      <c r="E180" s="95">
        <f>'3'!F180</f>
        <v>5488</v>
      </c>
      <c r="F180" s="155">
        <v>5504</v>
      </c>
      <c r="G180" s="155">
        <f t="shared" si="15"/>
        <v>16</v>
      </c>
      <c r="H180" s="99">
        <f>G180+'3'!H180</f>
        <v>27</v>
      </c>
      <c r="I180" s="155"/>
      <c r="J180" s="178">
        <f>H180/DAY(B2)</f>
        <v>6.75</v>
      </c>
    </row>
    <row r="181" spans="1:10" ht="21.95" customHeight="1" x14ac:dyDescent="0.5">
      <c r="A181" s="815" t="s">
        <v>196</v>
      </c>
      <c r="B181" s="816"/>
      <c r="C181" s="817"/>
      <c r="D181" s="228"/>
      <c r="E181" s="95"/>
      <c r="F181" s="155"/>
      <c r="G181" s="155">
        <f>SUM(G178:G180)</f>
        <v>130</v>
      </c>
      <c r="H181" s="99">
        <f>G181+'3'!H181</f>
        <v>383</v>
      </c>
      <c r="I181" s="155"/>
      <c r="J181" s="178">
        <f>H181/DAY(B2)</f>
        <v>95.75</v>
      </c>
    </row>
    <row r="182" spans="1:10" ht="21.95" customHeight="1" x14ac:dyDescent="0.5">
      <c r="A182" s="840" t="s">
        <v>213</v>
      </c>
      <c r="B182" s="841"/>
      <c r="C182" s="333"/>
      <c r="D182" s="228"/>
      <c r="E182" s="95"/>
      <c r="F182" s="155"/>
      <c r="G182" s="155"/>
      <c r="H182" s="99">
        <f>G182+'3'!H182</f>
        <v>0</v>
      </c>
      <c r="I182" s="155"/>
      <c r="J182" s="178">
        <f>H182/DAY(B2)</f>
        <v>0</v>
      </c>
    </row>
    <row r="183" spans="1:10" ht="27.75" x14ac:dyDescent="0.5">
      <c r="A183" s="840" t="s">
        <v>214</v>
      </c>
      <c r="B183" s="841"/>
      <c r="C183" s="334"/>
      <c r="D183" s="228" t="s">
        <v>142</v>
      </c>
      <c r="E183" s="95">
        <f>'3'!F183</f>
        <v>15014</v>
      </c>
      <c r="F183" s="157">
        <v>15024</v>
      </c>
      <c r="G183" s="157">
        <f>F183-E183</f>
        <v>10</v>
      </c>
      <c r="H183" s="99">
        <f>G183+'3'!H183</f>
        <v>77</v>
      </c>
      <c r="I183" s="155"/>
      <c r="J183" s="178">
        <f>H183/DAY(B2)</f>
        <v>19.25</v>
      </c>
    </row>
    <row r="184" spans="1:10" ht="27.75" x14ac:dyDescent="0.5">
      <c r="A184" s="840" t="s">
        <v>215</v>
      </c>
      <c r="B184" s="841"/>
      <c r="C184" s="334"/>
      <c r="D184" s="228" t="s">
        <v>142</v>
      </c>
      <c r="E184" s="95">
        <f>'3'!F184</f>
        <v>10326</v>
      </c>
      <c r="F184" s="157">
        <v>10332</v>
      </c>
      <c r="G184" s="157">
        <f t="shared" ref="G184:G185" si="16">F184-E184</f>
        <v>6</v>
      </c>
      <c r="H184" s="99">
        <f>G184+'3'!H184</f>
        <v>31</v>
      </c>
      <c r="I184" s="155"/>
      <c r="J184" s="178">
        <f>H184/DAY(B2)</f>
        <v>7.75</v>
      </c>
    </row>
    <row r="185" spans="1:10" ht="27.75" x14ac:dyDescent="0.5">
      <c r="A185" s="840" t="s">
        <v>216</v>
      </c>
      <c r="B185" s="841"/>
      <c r="C185" s="334"/>
      <c r="D185" s="228" t="s">
        <v>142</v>
      </c>
      <c r="E185" s="95">
        <f>'3'!F185</f>
        <v>0</v>
      </c>
      <c r="F185" s="157"/>
      <c r="G185" s="157">
        <f t="shared" si="16"/>
        <v>0</v>
      </c>
      <c r="H185" s="99">
        <f>G185+'3'!H185</f>
        <v>0</v>
      </c>
      <c r="I185" s="155"/>
      <c r="J185" s="178">
        <f>H185/DAY(B2)</f>
        <v>0</v>
      </c>
    </row>
    <row r="186" spans="1:10" ht="29.25" x14ac:dyDescent="0.5">
      <c r="A186" s="815" t="s">
        <v>196</v>
      </c>
      <c r="B186" s="816"/>
      <c r="C186" s="817"/>
      <c r="D186" s="229"/>
      <c r="E186" s="95"/>
      <c r="F186" s="157"/>
      <c r="G186" s="157">
        <f>SUM(G183:G185)</f>
        <v>16</v>
      </c>
      <c r="H186" s="99">
        <f>G186+'3'!H186</f>
        <v>108</v>
      </c>
      <c r="I186" s="157"/>
      <c r="J186" s="178">
        <f>H186/DAY(B2)</f>
        <v>27</v>
      </c>
    </row>
    <row r="187" spans="1:10" ht="25.5" customHeight="1" x14ac:dyDescent="0.5">
      <c r="A187" s="888" t="s">
        <v>217</v>
      </c>
      <c r="B187" s="889"/>
      <c r="C187" s="333"/>
      <c r="D187" s="230" t="s">
        <v>142</v>
      </c>
      <c r="E187" s="95"/>
      <c r="F187" s="99"/>
      <c r="G187" s="462">
        <f>G62+G19</f>
        <v>149</v>
      </c>
      <c r="H187" s="99">
        <f>G187+'3'!H187</f>
        <v>345</v>
      </c>
      <c r="I187" s="158"/>
      <c r="J187" s="179">
        <f>H187/DAY(B2)</f>
        <v>86.25</v>
      </c>
    </row>
    <row r="188" spans="1:10" ht="27.75" x14ac:dyDescent="0.5">
      <c r="A188" s="888" t="s">
        <v>218</v>
      </c>
      <c r="B188" s="889"/>
      <c r="C188" s="333"/>
      <c r="D188" s="230" t="s">
        <v>142</v>
      </c>
      <c r="E188" s="95"/>
      <c r="F188" s="159"/>
      <c r="G188" s="462">
        <f>G65+G66+G67+G69+G70</f>
        <v>142</v>
      </c>
      <c r="H188" s="99">
        <f>G188+'3'!H188</f>
        <v>602</v>
      </c>
      <c r="I188" s="158"/>
      <c r="J188" s="179">
        <f>H188/DAY(B2)</f>
        <v>150.5</v>
      </c>
    </row>
    <row r="189" spans="1:10" ht="27.75" x14ac:dyDescent="0.5">
      <c r="A189" s="888" t="s">
        <v>219</v>
      </c>
      <c r="B189" s="889"/>
      <c r="C189" s="333"/>
      <c r="D189" s="230" t="s">
        <v>142</v>
      </c>
      <c r="E189" s="95"/>
      <c r="F189" s="157"/>
      <c r="G189" s="459">
        <f>G181</f>
        <v>130</v>
      </c>
      <c r="H189" s="99">
        <f>G189+'3'!H189</f>
        <v>383</v>
      </c>
      <c r="I189" s="158"/>
      <c r="J189" s="179">
        <f>H189/DAY(B2)</f>
        <v>95.75</v>
      </c>
    </row>
    <row r="190" spans="1:10" ht="27.75" x14ac:dyDescent="0.5">
      <c r="A190" s="888"/>
      <c r="B190" s="889"/>
      <c r="C190" s="333"/>
      <c r="D190" s="180"/>
      <c r="E190" s="180" t="s">
        <v>207</v>
      </c>
      <c r="F190" s="180"/>
      <c r="G190" s="180"/>
      <c r="H190" s="181"/>
      <c r="I190" s="180"/>
      <c r="J190" s="182"/>
    </row>
    <row r="191" spans="1:10" ht="29.25" x14ac:dyDescent="0.5"/>
    <row r="192" spans="1:10" ht="29.25" x14ac:dyDescent="0.5"/>
    <row r="193" ht="29.25" x14ac:dyDescent="0.5"/>
    <row r="194" ht="29.25" x14ac:dyDescent="0.5"/>
    <row r="195" ht="18.75" customHeight="1" x14ac:dyDescent="0.5"/>
    <row r="196" ht="18.75" customHeight="1" x14ac:dyDescent="0.5"/>
    <row r="197" ht="18.75" customHeight="1" x14ac:dyDescent="0.5"/>
    <row r="198" ht="18.75" customHeight="1" x14ac:dyDescent="0.5"/>
    <row r="199" ht="18.75" customHeight="1" x14ac:dyDescent="0.5"/>
    <row r="200" ht="18.75" customHeight="1" x14ac:dyDescent="0.5"/>
    <row r="201" ht="18.75" customHeight="1" x14ac:dyDescent="0.5"/>
    <row r="202" ht="29.25" x14ac:dyDescent="0.5"/>
    <row r="203" ht="29.25" x14ac:dyDescent="0.5"/>
    <row r="204" ht="29.25" x14ac:dyDescent="0.5"/>
    <row r="205" ht="29.25" x14ac:dyDescent="0.5"/>
    <row r="206" ht="29.25" x14ac:dyDescent="0.5"/>
    <row r="207" ht="29.25" x14ac:dyDescent="0.5"/>
    <row r="208" ht="29.25" x14ac:dyDescent="0.5"/>
    <row r="209" ht="29.25" x14ac:dyDescent="0.5"/>
    <row r="210" ht="29.25" x14ac:dyDescent="0.5"/>
    <row r="211" ht="29.25" x14ac:dyDescent="0.5"/>
    <row r="212" ht="29.25" x14ac:dyDescent="0.5"/>
    <row r="213" ht="29.25" x14ac:dyDescent="0.5"/>
    <row r="214" ht="29.25" x14ac:dyDescent="0.5"/>
    <row r="215" ht="29.25" x14ac:dyDescent="0.5"/>
    <row r="216" ht="29.25" x14ac:dyDescent="0.5"/>
    <row r="217" ht="29.25" x14ac:dyDescent="0.5"/>
    <row r="218" ht="29.25" x14ac:dyDescent="0.5"/>
    <row r="219" ht="29.25" x14ac:dyDescent="0.5"/>
    <row r="220" ht="29.25" x14ac:dyDescent="0.5"/>
    <row r="221" ht="29.25" x14ac:dyDescent="0.5"/>
    <row r="222" ht="29.25" x14ac:dyDescent="0.5"/>
    <row r="223" ht="29.25" x14ac:dyDescent="0.5"/>
    <row r="224" ht="29.25" x14ac:dyDescent="0.5"/>
    <row r="225" ht="29.25" x14ac:dyDescent="0.5"/>
    <row r="226" ht="29.25" x14ac:dyDescent="0.5"/>
    <row r="227" ht="29.25" x14ac:dyDescent="0.5"/>
    <row r="228" ht="29.25" x14ac:dyDescent="0.5"/>
    <row r="229" ht="29.25" x14ac:dyDescent="0.5"/>
    <row r="230" ht="29.25" x14ac:dyDescent="0.5"/>
    <row r="231" ht="29.25" x14ac:dyDescent="0.5"/>
    <row r="232" ht="29.25" x14ac:dyDescent="0.5"/>
    <row r="233" ht="29.25" x14ac:dyDescent="0.5"/>
    <row r="234" ht="29.25" x14ac:dyDescent="0.5"/>
    <row r="235" ht="29.25" x14ac:dyDescent="0.5"/>
    <row r="236" ht="29.25" x14ac:dyDescent="0.5"/>
    <row r="237" ht="29.25" x14ac:dyDescent="0.5"/>
    <row r="238" ht="29.25" x14ac:dyDescent="0.5"/>
    <row r="239" ht="29.25" x14ac:dyDescent="0.5"/>
    <row r="240" ht="29.25" x14ac:dyDescent="0.5"/>
    <row r="241" ht="29.25" x14ac:dyDescent="0.5"/>
    <row r="242" ht="29.25" x14ac:dyDescent="0.5"/>
    <row r="243" ht="29.25" x14ac:dyDescent="0.5"/>
    <row r="244" ht="29.25" x14ac:dyDescent="0.5"/>
    <row r="245" ht="29.25" x14ac:dyDescent="0.5"/>
    <row r="246" ht="29.25" x14ac:dyDescent="0.5"/>
    <row r="247" ht="29.25" x14ac:dyDescent="0.5"/>
    <row r="248" ht="29.25" x14ac:dyDescent="0.5"/>
    <row r="249" ht="29.25" x14ac:dyDescent="0.5"/>
    <row r="250" ht="29.25" x14ac:dyDescent="0.5"/>
    <row r="251" ht="29.25" x14ac:dyDescent="0.5"/>
    <row r="252" ht="29.25" x14ac:dyDescent="0.5"/>
    <row r="253" ht="29.25" x14ac:dyDescent="0.5"/>
    <row r="254" ht="29.25" x14ac:dyDescent="0.5"/>
    <row r="255" ht="29.25" x14ac:dyDescent="0.5"/>
    <row r="256" ht="29.25" x14ac:dyDescent="0.5"/>
    <row r="257" ht="29.25" x14ac:dyDescent="0.5"/>
    <row r="258" ht="29.25" x14ac:dyDescent="0.5"/>
    <row r="259" ht="29.25" x14ac:dyDescent="0.5"/>
    <row r="260" ht="29.25" x14ac:dyDescent="0.5"/>
    <row r="261" ht="29.25" x14ac:dyDescent="0.5"/>
    <row r="262" ht="29.25" x14ac:dyDescent="0.5"/>
    <row r="263" ht="29.25" x14ac:dyDescent="0.5"/>
    <row r="264" ht="29.25" x14ac:dyDescent="0.5"/>
    <row r="265" ht="29.25" x14ac:dyDescent="0.5"/>
    <row r="266" ht="29.25" x14ac:dyDescent="0.5"/>
    <row r="267" ht="29.25" x14ac:dyDescent="0.5"/>
    <row r="268" ht="29.25" x14ac:dyDescent="0.5"/>
    <row r="269" ht="29.25" x14ac:dyDescent="0.5"/>
    <row r="270" ht="29.25" x14ac:dyDescent="0.5"/>
  </sheetData>
  <mergeCells count="114">
    <mergeCell ref="A149:C149"/>
    <mergeCell ref="A143:C143"/>
    <mergeCell ref="A144:C144"/>
    <mergeCell ref="A189:B189"/>
    <mergeCell ref="A155:C155"/>
    <mergeCell ref="A156:C156"/>
    <mergeCell ref="A150:C150"/>
    <mergeCell ref="A151:C151"/>
    <mergeCell ref="A152:C152"/>
    <mergeCell ref="A154:J154"/>
    <mergeCell ref="A153:C153"/>
    <mergeCell ref="A181:C181"/>
    <mergeCell ref="A186:C186"/>
    <mergeCell ref="A157:C157"/>
    <mergeCell ref="A158:C158"/>
    <mergeCell ref="A159:C159"/>
    <mergeCell ref="A190:B190"/>
    <mergeCell ref="A184:B184"/>
    <mergeCell ref="A185:B185"/>
    <mergeCell ref="A187:B187"/>
    <mergeCell ref="A188:B188"/>
    <mergeCell ref="A160:J160"/>
    <mergeCell ref="A166:B166"/>
    <mergeCell ref="A167:B167"/>
    <mergeCell ref="A168:B168"/>
    <mergeCell ref="A171:J171"/>
    <mergeCell ref="A177:B177"/>
    <mergeCell ref="A178:B178"/>
    <mergeCell ref="A183:B183"/>
    <mergeCell ref="A182:B182"/>
    <mergeCell ref="A179:B179"/>
    <mergeCell ref="A180:B180"/>
    <mergeCell ref="A175:C175"/>
    <mergeCell ref="A172:B172"/>
    <mergeCell ref="A173:B173"/>
    <mergeCell ref="A174:B174"/>
    <mergeCell ref="A176:C176"/>
    <mergeCell ref="A126:J126"/>
    <mergeCell ref="A127:B127"/>
    <mergeCell ref="A128:C128"/>
    <mergeCell ref="A131:C131"/>
    <mergeCell ref="A145:C145"/>
    <mergeCell ref="A146:C146"/>
    <mergeCell ref="A147:C147"/>
    <mergeCell ref="A148:C148"/>
    <mergeCell ref="A138:C138"/>
    <mergeCell ref="A139:C139"/>
    <mergeCell ref="A140:C140"/>
    <mergeCell ref="A141:C141"/>
    <mergeCell ref="A142:C142"/>
    <mergeCell ref="A132:C132"/>
    <mergeCell ref="A133:C133"/>
    <mergeCell ref="A134:C134"/>
    <mergeCell ref="A135:C135"/>
    <mergeCell ref="A136:J136"/>
    <mergeCell ref="A119:C119"/>
    <mergeCell ref="A120:C120"/>
    <mergeCell ref="A121:C121"/>
    <mergeCell ref="A122:C122"/>
    <mergeCell ref="A124:C124"/>
    <mergeCell ref="A123:C123"/>
    <mergeCell ref="Q116:R116"/>
    <mergeCell ref="A117:C117"/>
    <mergeCell ref="Q117:R117"/>
    <mergeCell ref="A118:C118"/>
    <mergeCell ref="Q118:R118"/>
    <mergeCell ref="A78:C78"/>
    <mergeCell ref="A97:C97"/>
    <mergeCell ref="A98:C98"/>
    <mergeCell ref="A99:C99"/>
    <mergeCell ref="A100:C100"/>
    <mergeCell ref="A116:C116"/>
    <mergeCell ref="A93:C93"/>
    <mergeCell ref="A94:C94"/>
    <mergeCell ref="A61:C61"/>
    <mergeCell ref="A62:C62"/>
    <mergeCell ref="A63:C63"/>
    <mergeCell ref="A71:C71"/>
    <mergeCell ref="A72:B72"/>
    <mergeCell ref="A112:C112"/>
    <mergeCell ref="A113:C113"/>
    <mergeCell ref="A114:C114"/>
    <mergeCell ref="A115:C115"/>
    <mergeCell ref="A109:B109"/>
    <mergeCell ref="A108:J108"/>
    <mergeCell ref="A110:J110"/>
    <mergeCell ref="A111:C111"/>
    <mergeCell ref="A95:C95"/>
    <mergeCell ref="A96:C96"/>
    <mergeCell ref="A101:C101"/>
    <mergeCell ref="A103:C103"/>
    <mergeCell ref="A104:C104"/>
    <mergeCell ref="A105:C105"/>
    <mergeCell ref="A102:C102"/>
    <mergeCell ref="A73:C73"/>
    <mergeCell ref="A74:C74"/>
    <mergeCell ref="A75:C75"/>
    <mergeCell ref="A76:C76"/>
    <mergeCell ref="A1:J1"/>
    <mergeCell ref="A6:C6"/>
    <mergeCell ref="A14:C14"/>
    <mergeCell ref="A17:C17"/>
    <mergeCell ref="E3:F3"/>
    <mergeCell ref="A77:C77"/>
    <mergeCell ref="A79:C79"/>
    <mergeCell ref="A80:C80"/>
    <mergeCell ref="A81:C81"/>
    <mergeCell ref="A64:C64"/>
    <mergeCell ref="A65:C65"/>
    <mergeCell ref="A18:C18"/>
    <mergeCell ref="A19:C19"/>
    <mergeCell ref="A21:C21"/>
    <mergeCell ref="A25:C25"/>
    <mergeCell ref="A33:C33"/>
  </mergeCells>
  <pageMargins left="0.22" right="0.17" top="0.14000000000000001" bottom="0.2" header="0.2" footer="0.2"/>
  <pageSetup paperSize="5" scale="1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1:R270"/>
  <sheetViews>
    <sheetView view="pageBreakPreview" zoomScale="53" zoomScaleNormal="48" zoomScaleSheetLayoutView="53" workbookViewId="0">
      <selection activeCell="F24" sqref="F24"/>
    </sheetView>
  </sheetViews>
  <sheetFormatPr defaultColWidth="22.33203125" defaultRowHeight="21.95" customHeight="1" x14ac:dyDescent="0.5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6" width="30" style="160" customWidth="1"/>
    <col min="7" max="7" width="28.88671875" style="160" customWidth="1"/>
    <col min="8" max="8" width="34.33203125" style="161" customWidth="1"/>
    <col min="9" max="9" width="23.5546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33.75" x14ac:dyDescent="0.65">
      <c r="A1" s="821" t="s">
        <v>115</v>
      </c>
      <c r="B1" s="822"/>
      <c r="C1" s="822"/>
      <c r="D1" s="822"/>
      <c r="E1" s="822"/>
      <c r="F1" s="822"/>
      <c r="G1" s="822"/>
      <c r="H1" s="822"/>
      <c r="I1" s="822"/>
      <c r="J1" s="823"/>
    </row>
    <row r="2" spans="1:15" s="57" customFormat="1" ht="27" x14ac:dyDescent="0.5">
      <c r="A2" s="191" t="s">
        <v>350</v>
      </c>
      <c r="B2" s="262">
        <v>44566</v>
      </c>
      <c r="C2" s="348" t="s">
        <v>67</v>
      </c>
      <c r="D2" s="218">
        <v>0.55940000000000001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27" x14ac:dyDescent="0.5">
      <c r="A3" s="189"/>
      <c r="B3" s="221"/>
      <c r="C3" s="348" t="s">
        <v>118</v>
      </c>
      <c r="D3" s="219">
        <v>29</v>
      </c>
      <c r="E3" s="830" t="s">
        <v>119</v>
      </c>
      <c r="F3" s="831"/>
      <c r="G3" s="101"/>
      <c r="H3" s="102"/>
      <c r="I3" s="102"/>
      <c r="J3" s="222"/>
      <c r="K3" s="61"/>
      <c r="L3" s="58"/>
    </row>
    <row r="4" spans="1:15" s="57" customFormat="1" ht="27" x14ac:dyDescent="0.5">
      <c r="A4" s="192"/>
      <c r="B4" s="223"/>
      <c r="C4" s="348" t="s">
        <v>120</v>
      </c>
      <c r="D4" s="218">
        <v>0.7</v>
      </c>
      <c r="E4" s="103"/>
      <c r="F4" s="103"/>
      <c r="G4" s="103"/>
      <c r="H4" s="103"/>
      <c r="I4" s="104"/>
      <c r="J4" s="222"/>
      <c r="K4" s="62"/>
      <c r="L4" s="58"/>
    </row>
    <row r="5" spans="1:15" ht="29.25" x14ac:dyDescent="0.4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5" ht="29.25" x14ac:dyDescent="0.4">
      <c r="A6" s="824" t="s">
        <v>128</v>
      </c>
      <c r="B6" s="825"/>
      <c r="C6" s="826"/>
      <c r="D6" s="110"/>
      <c r="E6" s="110"/>
      <c r="F6" s="110"/>
      <c r="G6" s="110"/>
      <c r="H6" s="111"/>
      <c r="I6" s="111"/>
      <c r="J6" s="174"/>
      <c r="K6" s="78"/>
      <c r="L6" s="66"/>
    </row>
    <row r="7" spans="1:15" ht="30" thickBot="1" x14ac:dyDescent="0.45">
      <c r="A7" s="194" t="s">
        <v>129</v>
      </c>
      <c r="B7" s="195"/>
      <c r="C7" s="195"/>
      <c r="D7" s="151" t="s">
        <v>130</v>
      </c>
      <c r="E7" s="95">
        <f>'4'!F7</f>
        <v>173032.09</v>
      </c>
      <c r="F7" s="95">
        <v>192932</v>
      </c>
      <c r="G7" s="112">
        <f>F7-E7</f>
        <v>19899.910000000003</v>
      </c>
      <c r="H7" s="99">
        <f>G7+'4'!H7</f>
        <v>98371</v>
      </c>
      <c r="I7" s="113">
        <f>'1'!I7</f>
        <v>12000</v>
      </c>
      <c r="J7" s="175">
        <f>H7/DAY(B2)</f>
        <v>19674.2</v>
      </c>
      <c r="K7" s="172">
        <v>1375467</v>
      </c>
      <c r="L7" s="66"/>
      <c r="N7" s="87"/>
      <c r="O7" s="71"/>
    </row>
    <row r="8" spans="1:15" ht="27.75" thickBot="1" x14ac:dyDescent="0.45">
      <c r="A8" s="196" t="s">
        <v>131</v>
      </c>
      <c r="B8" s="197"/>
      <c r="C8" s="198"/>
      <c r="D8" s="224" t="s">
        <v>24</v>
      </c>
      <c r="E8" s="95">
        <f>'4'!F8</f>
        <v>220974.95</v>
      </c>
      <c r="F8" s="114">
        <v>241310</v>
      </c>
      <c r="G8" s="115">
        <f>F8-E8</f>
        <v>20335.049999999988</v>
      </c>
      <c r="H8" s="99">
        <f>G8+'4'!H8</f>
        <v>100425</v>
      </c>
      <c r="I8" s="116"/>
      <c r="J8" s="175">
        <f>H8/DAY(B2)</f>
        <v>20085</v>
      </c>
      <c r="K8" s="172">
        <v>1715917</v>
      </c>
      <c r="L8" s="76">
        <v>1728480</v>
      </c>
      <c r="M8" s="87">
        <f>L8-K8</f>
        <v>12563</v>
      </c>
      <c r="N8" s="87"/>
      <c r="O8" s="71"/>
    </row>
    <row r="9" spans="1:15" ht="29.25" x14ac:dyDescent="0.4">
      <c r="A9" s="199" t="s">
        <v>132</v>
      </c>
      <c r="B9" s="200"/>
      <c r="C9" s="200"/>
      <c r="D9" s="151" t="s">
        <v>130</v>
      </c>
      <c r="E9" s="95">
        <f>'4'!F9</f>
        <v>2308514.5</v>
      </c>
      <c r="F9" s="117">
        <v>2320792.5</v>
      </c>
      <c r="G9" s="112">
        <f>F9-E9</f>
        <v>12278</v>
      </c>
      <c r="H9" s="99">
        <f>G9+'4'!H9</f>
        <v>62016.5</v>
      </c>
      <c r="I9" s="124">
        <f>I7-J7</f>
        <v>-7674.2000000000007</v>
      </c>
      <c r="J9" s="175">
        <f>H9/DAY(B2)</f>
        <v>12403.3</v>
      </c>
      <c r="K9" s="79">
        <f>K8-100</f>
        <v>1715817</v>
      </c>
      <c r="L9" s="66"/>
      <c r="N9" s="87"/>
      <c r="O9" s="71"/>
    </row>
    <row r="10" spans="1:15" ht="29.25" x14ac:dyDescent="0.4">
      <c r="A10" s="194" t="s">
        <v>133</v>
      </c>
      <c r="B10" s="195"/>
      <c r="C10" s="195"/>
      <c r="D10" s="151" t="s">
        <v>130</v>
      </c>
      <c r="E10" s="95">
        <f>'4'!F10</f>
        <v>567423.27</v>
      </c>
      <c r="F10" s="117">
        <v>574520.47</v>
      </c>
      <c r="G10" s="112">
        <f t="shared" ref="G10:G12" si="0">F10-E10</f>
        <v>7097.1999999999534</v>
      </c>
      <c r="H10" s="99">
        <f>G10+'4'!H10</f>
        <v>33694.469999999972</v>
      </c>
      <c r="I10" s="282"/>
      <c r="J10" s="175">
        <f>H10/DAY(B2)</f>
        <v>6738.8939999999948</v>
      </c>
      <c r="K10" s="79"/>
      <c r="L10" s="66"/>
      <c r="N10" s="87"/>
      <c r="O10" s="71"/>
    </row>
    <row r="11" spans="1:15" ht="29.25" x14ac:dyDescent="0.4">
      <c r="A11" s="194" t="s">
        <v>134</v>
      </c>
      <c r="B11" s="195"/>
      <c r="C11" s="195"/>
      <c r="D11" s="151" t="s">
        <v>130</v>
      </c>
      <c r="E11" s="95">
        <f>'4'!F11</f>
        <v>37000</v>
      </c>
      <c r="F11" s="95">
        <v>37000</v>
      </c>
      <c r="G11" s="112">
        <f t="shared" si="0"/>
        <v>0</v>
      </c>
      <c r="H11" s="99">
        <f>G11+'4'!H11</f>
        <v>0</v>
      </c>
      <c r="I11" s="282"/>
      <c r="J11" s="175">
        <f>H11/DAY(B2)</f>
        <v>0</v>
      </c>
      <c r="K11" s="79"/>
      <c r="L11" s="66"/>
      <c r="N11" s="87"/>
      <c r="O11" s="71"/>
    </row>
    <row r="12" spans="1:15" ht="29.25" x14ac:dyDescent="0.4">
      <c r="A12" s="194" t="s">
        <v>135</v>
      </c>
      <c r="B12" s="195"/>
      <c r="C12" s="195"/>
      <c r="D12" s="151" t="s">
        <v>130</v>
      </c>
      <c r="E12" s="95">
        <f>'4'!F12</f>
        <v>40010</v>
      </c>
      <c r="F12" s="117">
        <v>40010</v>
      </c>
      <c r="G12" s="112">
        <f t="shared" si="0"/>
        <v>0</v>
      </c>
      <c r="H12" s="99">
        <f>G12+'4'!H12</f>
        <v>0</v>
      </c>
      <c r="I12" s="282"/>
      <c r="J12" s="175">
        <f>H12/DAY(B2)</f>
        <v>0</v>
      </c>
      <c r="K12" s="79"/>
      <c r="L12" s="66"/>
      <c r="N12" s="87"/>
      <c r="O12" s="71"/>
    </row>
    <row r="13" spans="1:15" ht="29.25" x14ac:dyDescent="0.5">
      <c r="A13" s="201" t="s">
        <v>136</v>
      </c>
      <c r="B13" s="202"/>
      <c r="C13" s="202"/>
      <c r="D13" s="151"/>
      <c r="E13" s="95"/>
      <c r="F13" s="95"/>
      <c r="G13" s="119">
        <f>G9+G10+G11+G12</f>
        <v>19375.199999999953</v>
      </c>
      <c r="H13" s="99">
        <f>G13+'4'!H13</f>
        <v>76245.719999999856</v>
      </c>
      <c r="I13" s="120">
        <f>G7-G13</f>
        <v>524.71000000005006</v>
      </c>
      <c r="J13" s="175">
        <f>H13/DAY(B2)</f>
        <v>15249.143999999971</v>
      </c>
      <c r="K13" s="79"/>
      <c r="L13" s="66"/>
      <c r="N13" s="87"/>
      <c r="O13" s="71"/>
    </row>
    <row r="14" spans="1:15" ht="29.25" x14ac:dyDescent="0.5">
      <c r="A14" s="827" t="s">
        <v>137</v>
      </c>
      <c r="B14" s="828"/>
      <c r="C14" s="829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5" ht="29.25" x14ac:dyDescent="0.5">
      <c r="A15" s="345" t="s">
        <v>138</v>
      </c>
      <c r="B15" s="205"/>
      <c r="C15" s="205"/>
      <c r="D15" s="151" t="s">
        <v>139</v>
      </c>
      <c r="E15" s="95">
        <f>'4'!F15</f>
        <v>1881868.65</v>
      </c>
      <c r="F15" s="123">
        <v>1882870.7</v>
      </c>
      <c r="G15" s="112">
        <f>(F15-E15)</f>
        <v>1002.0500000000466</v>
      </c>
      <c r="H15" s="99">
        <f>G15+'4'!H15</f>
        <v>4440.6999999999534</v>
      </c>
      <c r="I15" s="113">
        <f>'1'!I15</f>
        <v>800</v>
      </c>
      <c r="J15" s="175">
        <f>H15/DAY(B2)</f>
        <v>888.13999999999066</v>
      </c>
      <c r="K15" s="79"/>
      <c r="L15" s="66"/>
      <c r="N15" s="87"/>
      <c r="O15" s="71"/>
    </row>
    <row r="16" spans="1:15" ht="29.25" x14ac:dyDescent="0.4">
      <c r="A16" s="203"/>
      <c r="B16" s="204"/>
      <c r="C16" s="204"/>
      <c r="D16" s="152"/>
      <c r="E16" s="123"/>
      <c r="F16" s="123"/>
      <c r="G16" s="112"/>
      <c r="H16" s="124"/>
      <c r="I16" s="120">
        <f>I15-J15</f>
        <v>-88.139999999990664</v>
      </c>
      <c r="J16" s="176"/>
      <c r="K16" s="79"/>
      <c r="L16" s="66"/>
      <c r="N16" s="87"/>
      <c r="O16" s="71"/>
    </row>
    <row r="17" spans="1:15" ht="29.25" x14ac:dyDescent="0.5">
      <c r="A17" s="827" t="s">
        <v>140</v>
      </c>
      <c r="B17" s="828"/>
      <c r="C17" s="829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5" ht="27.75" x14ac:dyDescent="0.5">
      <c r="A18" s="818" t="s">
        <v>141</v>
      </c>
      <c r="B18" s="819"/>
      <c r="C18" s="820"/>
      <c r="D18" s="151" t="s">
        <v>142</v>
      </c>
      <c r="E18" s="95">
        <f>'4'!F18</f>
        <v>17</v>
      </c>
      <c r="F18" s="122">
        <v>12</v>
      </c>
      <c r="G18" s="119">
        <f>F18*10</f>
        <v>120</v>
      </c>
      <c r="H18" s="99">
        <f>G18+'4'!H18</f>
        <v>590</v>
      </c>
      <c r="I18" s="113">
        <f>'1'!I18</f>
        <v>65</v>
      </c>
      <c r="J18" s="175">
        <f>H18/DAY(B2)</f>
        <v>118</v>
      </c>
      <c r="K18" s="79"/>
      <c r="L18" s="66"/>
      <c r="N18" s="87"/>
      <c r="O18" s="71"/>
    </row>
    <row r="19" spans="1:15" ht="27.75" x14ac:dyDescent="0.5">
      <c r="A19" s="818" t="s">
        <v>69</v>
      </c>
      <c r="B19" s="819"/>
      <c r="C19" s="820"/>
      <c r="D19" s="151" t="s">
        <v>142</v>
      </c>
      <c r="E19" s="95">
        <f>'4'!F19</f>
        <v>152440</v>
      </c>
      <c r="F19" s="122">
        <v>152491</v>
      </c>
      <c r="G19" s="112">
        <f t="shared" ref="G19" si="1">F19-E19</f>
        <v>51</v>
      </c>
      <c r="H19" s="99">
        <f>G19+'4'!H19</f>
        <v>266</v>
      </c>
      <c r="I19" s="335"/>
      <c r="J19" s="175">
        <f>H19/DAY(B2)</f>
        <v>53.2</v>
      </c>
      <c r="K19" s="79"/>
      <c r="L19" s="66"/>
      <c r="N19" s="87"/>
      <c r="O19" s="71"/>
    </row>
    <row r="20" spans="1:15" ht="29.25" x14ac:dyDescent="0.5">
      <c r="A20" s="201" t="s">
        <v>143</v>
      </c>
      <c r="B20" s="202"/>
      <c r="C20" s="202"/>
      <c r="D20" s="126"/>
      <c r="E20" s="126"/>
      <c r="F20" s="126"/>
      <c r="G20" s="127">
        <f>G18+G19</f>
        <v>171</v>
      </c>
      <c r="H20" s="99">
        <f>G20+'4'!H20</f>
        <v>856</v>
      </c>
      <c r="I20" s="336">
        <f>I18-J20</f>
        <v>-106.19999999999999</v>
      </c>
      <c r="J20" s="175">
        <f>H20/DAY(B2)</f>
        <v>171.2</v>
      </c>
      <c r="K20" s="79"/>
      <c r="L20" s="66"/>
      <c r="N20" s="87"/>
      <c r="O20" s="71"/>
    </row>
    <row r="21" spans="1:15" ht="29.25" x14ac:dyDescent="0.5">
      <c r="A21" s="827" t="s">
        <v>144</v>
      </c>
      <c r="B21" s="828"/>
      <c r="C21" s="829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5" ht="29.25" x14ac:dyDescent="0.5">
      <c r="A22" s="345" t="s">
        <v>145</v>
      </c>
      <c r="B22" s="205"/>
      <c r="C22" s="205"/>
      <c r="D22" s="151" t="s">
        <v>146</v>
      </c>
      <c r="E22" s="95">
        <f>'4'!F22</f>
        <v>2970</v>
      </c>
      <c r="F22" s="122">
        <v>2970</v>
      </c>
      <c r="G22" s="119">
        <f t="shared" ref="G22" si="2">(F22-E22)</f>
        <v>0</v>
      </c>
      <c r="H22" s="99">
        <f>G22+'4'!H22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29.25" x14ac:dyDescent="0.5">
      <c r="A23" s="345" t="s">
        <v>147</v>
      </c>
      <c r="B23" s="205"/>
      <c r="C23" s="205"/>
      <c r="D23" s="151" t="s">
        <v>146</v>
      </c>
      <c r="E23" s="95">
        <f>'4'!F23</f>
        <v>1500</v>
      </c>
      <c r="F23" s="122">
        <v>1500</v>
      </c>
      <c r="G23" s="119">
        <v>0</v>
      </c>
      <c r="H23" s="99">
        <f>G23+'4'!H23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5" ht="29.25" x14ac:dyDescent="0.4">
      <c r="A24" s="206" t="s">
        <v>148</v>
      </c>
      <c r="B24" s="207"/>
      <c r="C24" s="207"/>
      <c r="D24" s="146" t="s">
        <v>146</v>
      </c>
      <c r="E24" s="95">
        <f>'4'!F24</f>
        <v>4970</v>
      </c>
      <c r="F24" s="128">
        <v>4970</v>
      </c>
      <c r="G24" s="119">
        <v>0</v>
      </c>
      <c r="H24" s="99">
        <f>G24+'4'!H24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5" s="88" customFormat="1" ht="27" x14ac:dyDescent="0.35">
      <c r="A25" s="832" t="s">
        <v>149</v>
      </c>
      <c r="B25" s="833"/>
      <c r="C25" s="834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5" s="88" customFormat="1" ht="27.75" x14ac:dyDescent="0.5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/>
      <c r="I26" s="134"/>
      <c r="J26" s="175"/>
      <c r="K26" s="64"/>
      <c r="L26" s="89"/>
      <c r="N26" s="87"/>
      <c r="O26" s="71"/>
    </row>
    <row r="27" spans="1:15" s="88" customFormat="1" ht="27.75" x14ac:dyDescent="0.5">
      <c r="A27" s="208" t="s">
        <v>5</v>
      </c>
      <c r="B27" s="209"/>
      <c r="C27" s="210"/>
      <c r="D27" s="226" t="s">
        <v>24</v>
      </c>
      <c r="E27" s="135">
        <f>G8</f>
        <v>20335.049999999988</v>
      </c>
      <c r="F27" s="136">
        <v>9</v>
      </c>
      <c r="G27" s="137">
        <f>E27*F27</f>
        <v>183015.4499999999</v>
      </c>
      <c r="H27" s="99">
        <f>G27+'4'!H27</f>
        <v>903825</v>
      </c>
      <c r="I27" s="138"/>
      <c r="J27" s="175">
        <f>H27/DAY(B2)</f>
        <v>180765</v>
      </c>
      <c r="K27" s="63"/>
      <c r="L27" s="89"/>
      <c r="N27" s="87"/>
      <c r="O27" s="71"/>
    </row>
    <row r="28" spans="1:15" s="88" customFormat="1" ht="27.75" x14ac:dyDescent="0.5">
      <c r="A28" s="208" t="s">
        <v>152</v>
      </c>
      <c r="B28" s="209"/>
      <c r="C28" s="210"/>
      <c r="D28" s="226" t="s">
        <v>153</v>
      </c>
      <c r="E28" s="139">
        <f>G15</f>
        <v>1002.0500000000466</v>
      </c>
      <c r="F28" s="136">
        <v>52</v>
      </c>
      <c r="G28" s="137">
        <f>E28*F28</f>
        <v>52106.600000002421</v>
      </c>
      <c r="H28" s="99">
        <f>G28+'4'!H28</f>
        <v>230916.39999999758</v>
      </c>
      <c r="I28" s="140"/>
      <c r="J28" s="175">
        <f>H28/DAY(B2)</f>
        <v>46183.279999999519</v>
      </c>
      <c r="K28" s="63"/>
      <c r="L28" s="89"/>
      <c r="N28" s="87"/>
      <c r="O28" s="71"/>
    </row>
    <row r="29" spans="1:15" s="88" customFormat="1" ht="27.75" x14ac:dyDescent="0.5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>E29*F29</f>
        <v>0</v>
      </c>
      <c r="H29" s="99">
        <f>G29+'4'!H29</f>
        <v>0</v>
      </c>
      <c r="I29" s="140"/>
      <c r="J29" s="175">
        <f>H29/DAY(B2)</f>
        <v>0</v>
      </c>
      <c r="K29" s="63"/>
      <c r="L29" s="89"/>
      <c r="N29" s="87"/>
      <c r="O29" s="71"/>
    </row>
    <row r="30" spans="1:15" s="88" customFormat="1" ht="27.75" x14ac:dyDescent="0.5">
      <c r="A30" s="208" t="s">
        <v>156</v>
      </c>
      <c r="B30" s="209"/>
      <c r="C30" s="210"/>
      <c r="D30" s="226" t="s">
        <v>157</v>
      </c>
      <c r="E30" s="141">
        <f>G19</f>
        <v>51</v>
      </c>
      <c r="F30" s="136">
        <v>146</v>
      </c>
      <c r="G30" s="137">
        <f>E30*F30</f>
        <v>7446</v>
      </c>
      <c r="H30" s="99">
        <f>G30+'4'!H30</f>
        <v>38836</v>
      </c>
      <c r="I30" s="140"/>
      <c r="J30" s="175">
        <f>H30/DAY(B2)</f>
        <v>7767.2</v>
      </c>
      <c r="K30" s="63"/>
      <c r="L30" s="89"/>
      <c r="N30" s="87"/>
      <c r="O30" s="71"/>
    </row>
    <row r="31" spans="1:15" s="88" customFormat="1" ht="27.75" x14ac:dyDescent="0.5">
      <c r="A31" s="208" t="s">
        <v>158</v>
      </c>
      <c r="B31" s="209"/>
      <c r="C31" s="210"/>
      <c r="D31" s="226" t="s">
        <v>142</v>
      </c>
      <c r="E31" s="141">
        <f>G18</f>
        <v>120</v>
      </c>
      <c r="F31" s="136">
        <v>80</v>
      </c>
      <c r="G31" s="137">
        <f>E31*F31</f>
        <v>9600</v>
      </c>
      <c r="H31" s="99">
        <f>G31+'4'!H31</f>
        <v>47200</v>
      </c>
      <c r="I31" s="140"/>
      <c r="J31" s="175">
        <f>H31/DAY(B2)</f>
        <v>9440</v>
      </c>
      <c r="K31" s="63"/>
      <c r="L31" s="89"/>
      <c r="N31" s="87"/>
      <c r="O31" s="71"/>
    </row>
    <row r="32" spans="1:15" s="88" customFormat="1" ht="27.75" x14ac:dyDescent="0.5">
      <c r="A32" s="211" t="s">
        <v>159</v>
      </c>
      <c r="B32" s="212"/>
      <c r="C32" s="213"/>
      <c r="D32" s="142"/>
      <c r="E32" s="142"/>
      <c r="F32" s="142"/>
      <c r="G32" s="143">
        <f>G27+G28+G29+G30+G31</f>
        <v>252168.05000000232</v>
      </c>
      <c r="H32" s="99">
        <f>G32+'4'!H32</f>
        <v>1220777.3999999976</v>
      </c>
      <c r="I32" s="144"/>
      <c r="J32" s="175">
        <f>H32/DAY(B2)</f>
        <v>244155.47999999952</v>
      </c>
      <c r="K32" s="63"/>
      <c r="L32" s="89"/>
      <c r="N32" s="87"/>
      <c r="O32" s="71"/>
    </row>
    <row r="33" spans="1:15" ht="25.5" customHeight="1" x14ac:dyDescent="0.35">
      <c r="A33" s="835" t="s">
        <v>331</v>
      </c>
      <c r="B33" s="836"/>
      <c r="C33" s="836"/>
      <c r="D33" s="337"/>
      <c r="E33" s="337"/>
      <c r="F33" s="337"/>
      <c r="G33" s="337"/>
      <c r="H33" s="337"/>
      <c r="I33" s="337"/>
      <c r="J33" s="338"/>
      <c r="K33" s="79"/>
      <c r="L33" s="66"/>
      <c r="N33" s="87"/>
      <c r="O33" s="71"/>
    </row>
    <row r="34" spans="1:15" ht="29.25" x14ac:dyDescent="0.5">
      <c r="A34" s="214" t="s">
        <v>160</v>
      </c>
      <c r="B34" s="349"/>
      <c r="C34" s="349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29.25" x14ac:dyDescent="0.4">
      <c r="A35" s="194" t="s">
        <v>161</v>
      </c>
      <c r="B35" s="195"/>
      <c r="C35" s="195"/>
      <c r="D35" s="151" t="s">
        <v>130</v>
      </c>
      <c r="E35" s="95">
        <f>'4'!F35</f>
        <v>160674.78</v>
      </c>
      <c r="F35" s="145">
        <v>162553.63</v>
      </c>
      <c r="G35" s="112">
        <f t="shared" ref="G35:G46" si="3">F35-E35</f>
        <v>1878.8500000000058</v>
      </c>
      <c r="H35" s="99">
        <f>G35+'4'!H35</f>
        <v>9711.6300000000047</v>
      </c>
      <c r="I35" s="95"/>
      <c r="J35" s="175">
        <f>H35/DAY(B2)</f>
        <v>1942.3260000000009</v>
      </c>
      <c r="K35" s="79"/>
      <c r="L35" s="66"/>
      <c r="N35" s="87"/>
      <c r="O35" s="71"/>
    </row>
    <row r="36" spans="1:15" ht="29.25" x14ac:dyDescent="0.4">
      <c r="A36" s="194" t="s">
        <v>162</v>
      </c>
      <c r="B36" s="195"/>
      <c r="C36" s="195"/>
      <c r="D36" s="151" t="s">
        <v>130</v>
      </c>
      <c r="E36" s="95">
        <f>'4'!F36</f>
        <v>24679.25</v>
      </c>
      <c r="F36" s="145">
        <v>25481.79</v>
      </c>
      <c r="G36" s="112">
        <f t="shared" si="3"/>
        <v>802.54000000000087</v>
      </c>
      <c r="H36" s="99">
        <f>G36+'4'!H36</f>
        <v>3954.7900000000009</v>
      </c>
      <c r="I36" s="95"/>
      <c r="J36" s="175">
        <f>H36/DAY(B2)</f>
        <v>790.9580000000002</v>
      </c>
      <c r="K36" s="79"/>
      <c r="L36" s="66"/>
      <c r="N36" s="87"/>
      <c r="O36" s="344"/>
    </row>
    <row r="37" spans="1:15" ht="29.25" x14ac:dyDescent="0.4">
      <c r="A37" s="194" t="s">
        <v>163</v>
      </c>
      <c r="B37" s="195"/>
      <c r="C37" s="195"/>
      <c r="D37" s="151" t="s">
        <v>130</v>
      </c>
      <c r="E37" s="95">
        <f>'4'!F37</f>
        <v>201516.83</v>
      </c>
      <c r="F37" s="145">
        <v>203029.89</v>
      </c>
      <c r="G37" s="112">
        <f t="shared" si="3"/>
        <v>1513.0600000000268</v>
      </c>
      <c r="H37" s="99">
        <f>G37+'4'!H37</f>
        <v>7636.890000000014</v>
      </c>
      <c r="I37" s="95"/>
      <c r="J37" s="175">
        <f>H37/DAY(B2)</f>
        <v>1527.3780000000029</v>
      </c>
      <c r="K37" s="79"/>
      <c r="L37" s="66"/>
      <c r="N37" s="87"/>
      <c r="O37" s="234"/>
    </row>
    <row r="38" spans="1:15" ht="29.25" x14ac:dyDescent="0.4">
      <c r="A38" s="194" t="s">
        <v>164</v>
      </c>
      <c r="B38" s="195"/>
      <c r="C38" s="195"/>
      <c r="D38" s="151" t="s">
        <v>130</v>
      </c>
      <c r="E38" s="95">
        <f>'4'!F38</f>
        <v>238939.49</v>
      </c>
      <c r="F38" s="108">
        <v>240611.89</v>
      </c>
      <c r="G38" s="112">
        <f t="shared" si="3"/>
        <v>1672.4000000000233</v>
      </c>
      <c r="H38" s="99">
        <f>G38+'4'!H38</f>
        <v>8129.890000000014</v>
      </c>
      <c r="I38" s="95"/>
      <c r="J38" s="175">
        <f>H38/DAY(B2)</f>
        <v>1625.9780000000028</v>
      </c>
      <c r="K38" s="79"/>
      <c r="L38" s="66"/>
      <c r="N38" s="87"/>
      <c r="O38" s="71"/>
    </row>
    <row r="39" spans="1:15" ht="29.25" x14ac:dyDescent="0.4">
      <c r="A39" s="194" t="s">
        <v>165</v>
      </c>
      <c r="B39" s="195"/>
      <c r="C39" s="195"/>
      <c r="D39" s="151" t="s">
        <v>130</v>
      </c>
      <c r="E39" s="95">
        <f>'4'!F39</f>
        <v>422024.51</v>
      </c>
      <c r="F39" s="145">
        <v>424693.59</v>
      </c>
      <c r="G39" s="112">
        <f t="shared" si="3"/>
        <v>2669.0800000000163</v>
      </c>
      <c r="H39" s="99">
        <f>G39+'4'!H39</f>
        <v>13614.590000000026</v>
      </c>
      <c r="I39" s="95"/>
      <c r="J39" s="175">
        <f>H39/DAY(B2)</f>
        <v>2722.9180000000051</v>
      </c>
      <c r="K39" s="79"/>
      <c r="L39" s="66"/>
      <c r="N39" s="87"/>
      <c r="O39" s="71"/>
    </row>
    <row r="40" spans="1:15" ht="29.25" x14ac:dyDescent="0.4">
      <c r="A40" s="215" t="s">
        <v>166</v>
      </c>
      <c r="B40" s="216"/>
      <c r="C40" s="216"/>
      <c r="D40" s="151" t="s">
        <v>130</v>
      </c>
      <c r="E40" s="95">
        <f>'4'!F40</f>
        <v>5609.98</v>
      </c>
      <c r="F40" s="145">
        <v>6027.74</v>
      </c>
      <c r="G40" s="112">
        <f t="shared" si="3"/>
        <v>417.76000000000022</v>
      </c>
      <c r="H40" s="99">
        <f>G40+'4'!H40</f>
        <v>417.73999999999978</v>
      </c>
      <c r="I40" s="95"/>
      <c r="J40" s="175">
        <f>H40/DAY(B2)</f>
        <v>83.547999999999959</v>
      </c>
      <c r="K40" s="80"/>
      <c r="L40" s="66"/>
      <c r="N40" s="87"/>
      <c r="O40" s="71"/>
    </row>
    <row r="41" spans="1:15" ht="29.25" x14ac:dyDescent="0.4">
      <c r="A41" s="194" t="s">
        <v>167</v>
      </c>
      <c r="B41" s="195"/>
      <c r="C41" s="195"/>
      <c r="D41" s="151" t="s">
        <v>130</v>
      </c>
      <c r="E41" s="95">
        <f>'4'!F41</f>
        <v>0</v>
      </c>
      <c r="F41" s="145">
        <v>0</v>
      </c>
      <c r="G41" s="112">
        <f t="shared" si="3"/>
        <v>0</v>
      </c>
      <c r="H41" s="99">
        <f>G41+'4'!H41</f>
        <v>0</v>
      </c>
      <c r="I41" s="95"/>
      <c r="J41" s="175">
        <f>H41/DAY(B2)</f>
        <v>0</v>
      </c>
      <c r="K41" s="79"/>
      <c r="L41" s="66"/>
      <c r="N41" s="87"/>
      <c r="O41" s="71"/>
    </row>
    <row r="42" spans="1:15" ht="29.25" x14ac:dyDescent="0.4">
      <c r="A42" s="194" t="s">
        <v>168</v>
      </c>
      <c r="B42" s="195"/>
      <c r="C42" s="195"/>
      <c r="D42" s="151" t="s">
        <v>130</v>
      </c>
      <c r="E42" s="95">
        <f>'4'!F42</f>
        <v>73808.600000000006</v>
      </c>
      <c r="F42" s="145">
        <v>73808.600000000006</v>
      </c>
      <c r="G42" s="112">
        <f t="shared" si="3"/>
        <v>0</v>
      </c>
      <c r="H42" s="99">
        <f>G42+'4'!H42</f>
        <v>-0.39999999999417923</v>
      </c>
      <c r="I42" s="95"/>
      <c r="J42" s="175">
        <f>H42/DAY(B2)</f>
        <v>-7.999999999883585E-2</v>
      </c>
      <c r="K42" s="79"/>
      <c r="L42" s="66"/>
      <c r="N42" s="87"/>
      <c r="O42" s="71"/>
    </row>
    <row r="43" spans="1:15" ht="29.25" x14ac:dyDescent="0.4">
      <c r="A43" s="194" t="s">
        <v>169</v>
      </c>
      <c r="B43" s="195"/>
      <c r="C43" s="195"/>
      <c r="D43" s="151" t="s">
        <v>130</v>
      </c>
      <c r="E43" s="95">
        <f>'4'!F43</f>
        <v>57123.72</v>
      </c>
      <c r="F43" s="145">
        <v>59531.19</v>
      </c>
      <c r="G43" s="112">
        <f t="shared" si="3"/>
        <v>2407.4700000000012</v>
      </c>
      <c r="H43" s="99">
        <f>G43+'4'!H43</f>
        <v>12270.190000000002</v>
      </c>
      <c r="I43" s="95"/>
      <c r="J43" s="175">
        <f>H43/DAY(B2)</f>
        <v>2454.0380000000005</v>
      </c>
      <c r="K43" s="79"/>
      <c r="L43" s="66"/>
      <c r="N43" s="87"/>
      <c r="O43" s="71"/>
    </row>
    <row r="44" spans="1:15" ht="29.25" x14ac:dyDescent="0.4">
      <c r="A44" s="194" t="s">
        <v>170</v>
      </c>
      <c r="B44" s="195"/>
      <c r="C44" s="195"/>
      <c r="D44" s="151" t="s">
        <v>130</v>
      </c>
      <c r="E44" s="95">
        <f>'4'!F44</f>
        <v>0</v>
      </c>
      <c r="F44" s="145">
        <v>0</v>
      </c>
      <c r="G44" s="112">
        <f t="shared" si="3"/>
        <v>0</v>
      </c>
      <c r="H44" s="99">
        <f>G44+'4'!H44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29.25" x14ac:dyDescent="0.4">
      <c r="A45" s="194" t="s">
        <v>171</v>
      </c>
      <c r="B45" s="195"/>
      <c r="C45" s="195"/>
      <c r="D45" s="151" t="s">
        <v>130</v>
      </c>
      <c r="E45" s="95">
        <f>'4'!F45</f>
        <v>0</v>
      </c>
      <c r="F45" s="145">
        <v>0</v>
      </c>
      <c r="G45" s="112">
        <f t="shared" si="3"/>
        <v>0</v>
      </c>
      <c r="H45" s="99">
        <f>G45+'4'!H45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29.25" x14ac:dyDescent="0.4">
      <c r="A46" s="194" t="s">
        <v>172</v>
      </c>
      <c r="B46" s="195"/>
      <c r="C46" s="195"/>
      <c r="D46" s="151" t="s">
        <v>130</v>
      </c>
      <c r="E46" s="95">
        <f>'4'!F46</f>
        <v>0</v>
      </c>
      <c r="F46" s="145">
        <v>0</v>
      </c>
      <c r="G46" s="112">
        <f t="shared" si="3"/>
        <v>0</v>
      </c>
      <c r="H46" s="99">
        <f>G46+'4'!H46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29.25" x14ac:dyDescent="0.5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11361.160000000074</v>
      </c>
      <c r="H47" s="99">
        <f>G47+'4'!H47</f>
        <v>55735.320000000072</v>
      </c>
      <c r="I47" s="95"/>
      <c r="J47" s="175">
        <f>H47/DAY(B2)</f>
        <v>11147.064000000015</v>
      </c>
      <c r="K47" s="79"/>
      <c r="L47" s="66"/>
      <c r="N47" s="87"/>
      <c r="O47" s="71"/>
    </row>
    <row r="48" spans="1:15" ht="29.25" x14ac:dyDescent="0.5">
      <c r="A48" s="214" t="s">
        <v>174</v>
      </c>
      <c r="B48" s="349"/>
      <c r="C48" s="349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29.25" x14ac:dyDescent="0.4">
      <c r="A49" s="194" t="s">
        <v>161</v>
      </c>
      <c r="B49" s="217"/>
      <c r="C49" s="217"/>
      <c r="D49" s="151" t="s">
        <v>130</v>
      </c>
      <c r="E49" s="95">
        <f>'4'!F49</f>
        <v>278816.03000000003</v>
      </c>
      <c r="F49" s="145">
        <v>280424.89</v>
      </c>
      <c r="G49" s="112">
        <f t="shared" ref="G49:G58" si="4">F49-E49</f>
        <v>1608.859999999986</v>
      </c>
      <c r="H49" s="99">
        <f>G49+'4'!H49</f>
        <v>8184.890000000014</v>
      </c>
      <c r="I49" s="95"/>
      <c r="J49" s="175">
        <f>H49/DAY(B2)</f>
        <v>1636.9780000000028</v>
      </c>
      <c r="K49" s="79"/>
      <c r="L49" s="66"/>
      <c r="N49" s="87"/>
      <c r="O49" s="71"/>
    </row>
    <row r="50" spans="1:15" ht="29.25" x14ac:dyDescent="0.4">
      <c r="A50" s="194" t="s">
        <v>175</v>
      </c>
      <c r="B50" s="217"/>
      <c r="C50" s="217"/>
      <c r="D50" s="151" t="s">
        <v>130</v>
      </c>
      <c r="E50" s="95">
        <f>'4'!F50</f>
        <v>29038.62</v>
      </c>
      <c r="F50" s="145">
        <v>30028.26</v>
      </c>
      <c r="G50" s="112">
        <f t="shared" si="4"/>
        <v>989.63999999999942</v>
      </c>
      <c r="H50" s="99">
        <f>G50+'4'!H50</f>
        <v>5378.2599999999984</v>
      </c>
      <c r="I50" s="95"/>
      <c r="J50" s="175">
        <f>H50/DAY(B2)</f>
        <v>1075.6519999999996</v>
      </c>
      <c r="K50" s="79"/>
      <c r="L50" s="66"/>
      <c r="N50" s="87"/>
      <c r="O50" s="71"/>
    </row>
    <row r="51" spans="1:15" ht="29.25" x14ac:dyDescent="0.4">
      <c r="A51" s="194" t="s">
        <v>163</v>
      </c>
      <c r="B51" s="217"/>
      <c r="C51" s="217"/>
      <c r="D51" s="151" t="s">
        <v>130</v>
      </c>
      <c r="E51" s="95">
        <f>'4'!F51</f>
        <v>0</v>
      </c>
      <c r="F51" s="145">
        <v>0</v>
      </c>
      <c r="G51" s="112">
        <f t="shared" si="4"/>
        <v>0</v>
      </c>
      <c r="H51" s="99">
        <f>G51+'4'!H51</f>
        <v>0</v>
      </c>
      <c r="I51" s="95"/>
      <c r="J51" s="175">
        <f>H51/DAY(B2)</f>
        <v>0</v>
      </c>
      <c r="K51" s="79"/>
      <c r="L51" s="66"/>
      <c r="N51" s="87"/>
      <c r="O51" s="71"/>
    </row>
    <row r="52" spans="1:15" ht="29.25" x14ac:dyDescent="0.4">
      <c r="A52" s="194" t="s">
        <v>176</v>
      </c>
      <c r="B52" s="217"/>
      <c r="C52" s="217"/>
      <c r="D52" s="151" t="s">
        <v>130</v>
      </c>
      <c r="E52" s="95">
        <f>'4'!F52</f>
        <v>0</v>
      </c>
      <c r="F52" s="145">
        <v>0</v>
      </c>
      <c r="G52" s="112">
        <f t="shared" si="4"/>
        <v>0</v>
      </c>
      <c r="H52" s="99">
        <f>G52+'4'!H52</f>
        <v>0</v>
      </c>
      <c r="I52" s="95"/>
      <c r="J52" s="175">
        <f>H52/DAY(B2)</f>
        <v>0</v>
      </c>
      <c r="K52" s="79"/>
      <c r="L52" s="66"/>
      <c r="N52" s="87"/>
      <c r="O52" s="71"/>
    </row>
    <row r="53" spans="1:15" ht="29.25" x14ac:dyDescent="0.4">
      <c r="A53" s="194" t="s">
        <v>165</v>
      </c>
      <c r="B53" s="217"/>
      <c r="C53" s="217"/>
      <c r="D53" s="151" t="s">
        <v>130</v>
      </c>
      <c r="E53" s="95">
        <f>'4'!F53</f>
        <v>0</v>
      </c>
      <c r="F53" s="145">
        <v>0</v>
      </c>
      <c r="G53" s="112">
        <f t="shared" si="4"/>
        <v>0</v>
      </c>
      <c r="H53" s="99">
        <f>G53+'4'!H53</f>
        <v>0</v>
      </c>
      <c r="I53" s="95"/>
      <c r="J53" s="175">
        <f>H53/DAY(B2)</f>
        <v>0</v>
      </c>
      <c r="K53" s="79"/>
      <c r="L53" s="66"/>
      <c r="N53" s="87"/>
      <c r="O53" s="71"/>
    </row>
    <row r="54" spans="1:15" ht="29.25" x14ac:dyDescent="0.4">
      <c r="A54" s="194" t="s">
        <v>177</v>
      </c>
      <c r="B54" s="217"/>
      <c r="C54" s="217"/>
      <c r="D54" s="151" t="s">
        <v>130</v>
      </c>
      <c r="E54" s="95">
        <f>'4'!F54</f>
        <v>198.08</v>
      </c>
      <c r="F54" s="145">
        <v>659.69</v>
      </c>
      <c r="G54" s="112">
        <f t="shared" si="4"/>
        <v>461.61</v>
      </c>
      <c r="H54" s="99">
        <f>G54+'4'!H54</f>
        <v>673.77</v>
      </c>
      <c r="I54" s="95"/>
      <c r="J54" s="175">
        <f>H54/DAY(B2)</f>
        <v>134.75399999999999</v>
      </c>
      <c r="K54" s="79"/>
      <c r="L54" s="66"/>
      <c r="N54" s="87"/>
      <c r="O54" s="71"/>
    </row>
    <row r="55" spans="1:15" ht="29.25" x14ac:dyDescent="0.4">
      <c r="A55" s="194" t="s">
        <v>178</v>
      </c>
      <c r="B55" s="217"/>
      <c r="C55" s="217"/>
      <c r="D55" s="151" t="s">
        <v>130</v>
      </c>
      <c r="E55" s="95">
        <f>'4'!F55</f>
        <v>15284.25</v>
      </c>
      <c r="F55" s="145">
        <v>18598.919999999998</v>
      </c>
      <c r="G55" s="112">
        <f t="shared" si="4"/>
        <v>3314.6699999999983</v>
      </c>
      <c r="H55" s="99">
        <f>G55+'4'!H55</f>
        <v>15087.919999999998</v>
      </c>
      <c r="I55" s="95"/>
      <c r="J55" s="175">
        <f>H55/DAY(B2)</f>
        <v>3017.5839999999998</v>
      </c>
      <c r="K55" s="79"/>
      <c r="L55" s="66"/>
      <c r="N55" s="87"/>
      <c r="O55" s="71"/>
    </row>
    <row r="56" spans="1:15" ht="29.25" x14ac:dyDescent="0.4">
      <c r="A56" s="194" t="s">
        <v>179</v>
      </c>
      <c r="B56" s="217"/>
      <c r="C56" s="217"/>
      <c r="D56" s="151" t="s">
        <v>180</v>
      </c>
      <c r="E56" s="95">
        <f>'4'!F56</f>
        <v>8610.5400000000009</v>
      </c>
      <c r="F56" s="145">
        <v>8610.5400000000009</v>
      </c>
      <c r="G56" s="112">
        <f t="shared" si="4"/>
        <v>0</v>
      </c>
      <c r="H56" s="99">
        <f>G56+'4'!H56</f>
        <v>0</v>
      </c>
      <c r="I56" s="95"/>
      <c r="J56" s="175">
        <f>H56/DAY(B2)</f>
        <v>0</v>
      </c>
      <c r="K56" s="78"/>
      <c r="L56" s="66"/>
      <c r="N56" s="87"/>
      <c r="O56" s="71"/>
    </row>
    <row r="57" spans="1:15" ht="29.25" x14ac:dyDescent="0.4">
      <c r="A57" s="194" t="s">
        <v>169</v>
      </c>
      <c r="B57" s="217"/>
      <c r="C57" s="217"/>
      <c r="D57" s="151" t="s">
        <v>130</v>
      </c>
      <c r="E57" s="95">
        <f>'4'!F57</f>
        <v>0</v>
      </c>
      <c r="F57" s="145">
        <v>0</v>
      </c>
      <c r="G57" s="112">
        <f t="shared" si="4"/>
        <v>0</v>
      </c>
      <c r="H57" s="99">
        <f>G57+'4'!H57</f>
        <v>0</v>
      </c>
      <c r="I57" s="95"/>
      <c r="J57" s="175">
        <f>H57/DAY(B2)</f>
        <v>0</v>
      </c>
      <c r="K57" s="79"/>
      <c r="L57" s="66"/>
      <c r="N57" s="87"/>
      <c r="O57" s="71"/>
    </row>
    <row r="58" spans="1:15" ht="29.25" x14ac:dyDescent="0.4">
      <c r="A58" s="194" t="s">
        <v>181</v>
      </c>
      <c r="B58" s="217"/>
      <c r="C58" s="217"/>
      <c r="D58" s="151" t="s">
        <v>130</v>
      </c>
      <c r="E58" s="95">
        <f>'4'!F58</f>
        <v>173.66</v>
      </c>
      <c r="F58" s="145">
        <v>250.47</v>
      </c>
      <c r="G58" s="112">
        <f t="shared" si="4"/>
        <v>76.81</v>
      </c>
      <c r="H58" s="99">
        <f>G58+'4'!H58</f>
        <v>591.10000000000468</v>
      </c>
      <c r="I58" s="95"/>
      <c r="J58" s="175">
        <f>H58/DAY(B2)</f>
        <v>118.22000000000094</v>
      </c>
      <c r="K58" s="79"/>
      <c r="L58" s="66"/>
      <c r="N58" s="87"/>
      <c r="O58" s="71"/>
    </row>
    <row r="59" spans="1:15" ht="29.25" x14ac:dyDescent="0.5">
      <c r="A59" s="201" t="s">
        <v>173</v>
      </c>
      <c r="B59" s="202"/>
      <c r="C59" s="202"/>
      <c r="D59" s="146"/>
      <c r="E59" s="146"/>
      <c r="F59" s="146"/>
      <c r="G59" s="119">
        <f>G49+G50+G51+G52+G53+G54+G55+G56+G57+G58</f>
        <v>6451.5899999999847</v>
      </c>
      <c r="H59" s="99">
        <f>G59+'4'!H59</f>
        <v>29915.940000000021</v>
      </c>
      <c r="I59" s="95">
        <f>G7-G60</f>
        <v>2087.1599999999453</v>
      </c>
      <c r="J59" s="175">
        <f>H59/DAY(B2)</f>
        <v>5983.1880000000037</v>
      </c>
      <c r="K59" s="79"/>
      <c r="L59" s="66"/>
      <c r="N59" s="87"/>
      <c r="O59" s="71"/>
    </row>
    <row r="60" spans="1:15" ht="29.25" x14ac:dyDescent="0.4">
      <c r="A60" s="194"/>
      <c r="B60" s="195"/>
      <c r="C60" s="195"/>
      <c r="D60" s="146" t="s">
        <v>182</v>
      </c>
      <c r="E60" s="146"/>
      <c r="F60" s="146"/>
      <c r="G60" s="119">
        <f>G47+G59</f>
        <v>17812.750000000058</v>
      </c>
      <c r="H60" s="99">
        <f>G60+'4'!H60</f>
        <v>85651.260000000082</v>
      </c>
      <c r="I60" s="95">
        <f>G13-G60</f>
        <v>1562.4499999998952</v>
      </c>
      <c r="J60" s="175">
        <f>H60/DAY(B2)</f>
        <v>17130.252000000015</v>
      </c>
      <c r="K60" s="79"/>
      <c r="L60" s="66"/>
      <c r="N60" s="87"/>
      <c r="O60" s="71"/>
    </row>
    <row r="61" spans="1:15" s="68" customFormat="1" ht="27.75" x14ac:dyDescent="0.5">
      <c r="A61" s="837" t="s">
        <v>332</v>
      </c>
      <c r="B61" s="838"/>
      <c r="C61" s="839"/>
      <c r="D61" s="339"/>
      <c r="E61" s="339"/>
      <c r="F61" s="339"/>
      <c r="G61" s="340"/>
      <c r="H61" s="339"/>
      <c r="I61" s="339"/>
      <c r="J61" s="341"/>
      <c r="K61" s="69"/>
      <c r="L61" s="67"/>
      <c r="N61" s="87"/>
      <c r="O61" s="71"/>
    </row>
    <row r="62" spans="1:15" ht="27.75" x14ac:dyDescent="0.5">
      <c r="A62" s="818" t="s">
        <v>198</v>
      </c>
      <c r="B62" s="819"/>
      <c r="C62" s="820"/>
      <c r="D62" s="151" t="s">
        <v>142</v>
      </c>
      <c r="E62" s="95">
        <f>'4'!F62</f>
        <v>267343</v>
      </c>
      <c r="F62" s="122">
        <v>267429</v>
      </c>
      <c r="G62" s="112">
        <f t="shared" ref="G62:G63" si="5">F62-E62</f>
        <v>86</v>
      </c>
      <c r="H62" s="99">
        <f>G62+'4'!H62</f>
        <v>216</v>
      </c>
      <c r="I62" s="118"/>
      <c r="J62" s="175">
        <f>H62/DAY(B2)</f>
        <v>43.2</v>
      </c>
      <c r="K62" s="80"/>
      <c r="L62" s="66"/>
      <c r="N62" s="87"/>
      <c r="O62" s="71"/>
    </row>
    <row r="63" spans="1:15" ht="27.75" x14ac:dyDescent="0.5">
      <c r="A63" s="818" t="s">
        <v>199</v>
      </c>
      <c r="B63" s="819"/>
      <c r="C63" s="820"/>
      <c r="D63" s="151" t="s">
        <v>142</v>
      </c>
      <c r="E63" s="95">
        <f>'4'!F63</f>
        <v>212885</v>
      </c>
      <c r="F63" s="122">
        <v>213004</v>
      </c>
      <c r="G63" s="112">
        <f t="shared" si="5"/>
        <v>119</v>
      </c>
      <c r="H63" s="99">
        <f>G63+'4'!H63</f>
        <v>579</v>
      </c>
      <c r="I63" s="118"/>
      <c r="J63" s="175">
        <f>H63/DAY(B2)</f>
        <v>115.8</v>
      </c>
      <c r="K63" s="69"/>
      <c r="L63" s="66"/>
      <c r="N63" s="87"/>
      <c r="O63" s="71"/>
    </row>
    <row r="64" spans="1:15" ht="29.25" x14ac:dyDescent="0.5">
      <c r="A64" s="815" t="s">
        <v>200</v>
      </c>
      <c r="B64" s="816"/>
      <c r="C64" s="817"/>
      <c r="D64" s="151"/>
      <c r="E64" s="95">
        <f>'4'!F64</f>
        <v>0</v>
      </c>
      <c r="F64" s="122"/>
      <c r="G64" s="112">
        <f>G62+G63</f>
        <v>205</v>
      </c>
      <c r="H64" s="99">
        <f>G64+'4'!H64</f>
        <v>795</v>
      </c>
      <c r="I64" s="118"/>
      <c r="J64" s="175">
        <f>H64/DAY(B2)</f>
        <v>159</v>
      </c>
      <c r="K64" s="69"/>
      <c r="L64" s="66"/>
      <c r="N64" s="87"/>
      <c r="O64" s="71"/>
    </row>
    <row r="65" spans="1:15" ht="27.75" x14ac:dyDescent="0.5">
      <c r="A65" s="818" t="s">
        <v>201</v>
      </c>
      <c r="B65" s="819"/>
      <c r="C65" s="820"/>
      <c r="D65" s="151" t="s">
        <v>142</v>
      </c>
      <c r="E65" s="95">
        <f>'4'!F65</f>
        <v>432893</v>
      </c>
      <c r="F65" s="122">
        <v>432967</v>
      </c>
      <c r="G65" s="112">
        <f t="shared" ref="G65:G70" si="6">F65-E65</f>
        <v>74</v>
      </c>
      <c r="H65" s="99">
        <f>G65+'4'!H65</f>
        <v>353</v>
      </c>
      <c r="I65" s="118"/>
      <c r="J65" s="175">
        <f>H65/DAY(B2)</f>
        <v>70.599999999999994</v>
      </c>
      <c r="K65" s="69"/>
      <c r="L65" s="66"/>
      <c r="N65" s="87"/>
      <c r="O65" s="71"/>
    </row>
    <row r="66" spans="1:15" ht="27.75" x14ac:dyDescent="0.5">
      <c r="A66" s="345" t="s">
        <v>202</v>
      </c>
      <c r="B66" s="346"/>
      <c r="C66" s="346"/>
      <c r="D66" s="151" t="s">
        <v>142</v>
      </c>
      <c r="E66" s="95">
        <f>'4'!F66</f>
        <v>107308</v>
      </c>
      <c r="F66" s="122">
        <v>107327</v>
      </c>
      <c r="G66" s="112">
        <f t="shared" si="6"/>
        <v>19</v>
      </c>
      <c r="H66" s="99">
        <f>G66+'4'!H66</f>
        <v>113</v>
      </c>
      <c r="I66" s="118"/>
      <c r="J66" s="175">
        <f>H66/DAY(B2)</f>
        <v>22.6</v>
      </c>
      <c r="K66" s="78"/>
      <c r="L66" s="66"/>
      <c r="N66" s="87"/>
      <c r="O66" s="71"/>
    </row>
    <row r="67" spans="1:15" ht="27.75" x14ac:dyDescent="0.5">
      <c r="A67" s="345" t="s">
        <v>203</v>
      </c>
      <c r="B67" s="346"/>
      <c r="C67" s="346"/>
      <c r="D67" s="151" t="s">
        <v>142</v>
      </c>
      <c r="E67" s="95">
        <f>'4'!F67</f>
        <v>104054</v>
      </c>
      <c r="F67" s="122">
        <v>104076</v>
      </c>
      <c r="G67" s="112">
        <f t="shared" si="6"/>
        <v>22</v>
      </c>
      <c r="H67" s="99">
        <f>G67+'4'!H67</f>
        <v>148</v>
      </c>
      <c r="I67" s="118"/>
      <c r="J67" s="175">
        <f>H67/DAY(B2)</f>
        <v>29.6</v>
      </c>
      <c r="K67" s="81"/>
      <c r="L67" s="66"/>
      <c r="N67" s="87"/>
      <c r="O67" s="71"/>
    </row>
    <row r="68" spans="1:15" ht="27.75" x14ac:dyDescent="0.5">
      <c r="A68" s="345" t="s">
        <v>204</v>
      </c>
      <c r="B68" s="346"/>
      <c r="C68" s="346"/>
      <c r="D68" s="151" t="s">
        <v>142</v>
      </c>
      <c r="E68" s="95">
        <f>'4'!F68</f>
        <v>156680</v>
      </c>
      <c r="F68" s="122">
        <v>156707</v>
      </c>
      <c r="G68" s="112">
        <f t="shared" si="6"/>
        <v>27</v>
      </c>
      <c r="H68" s="99">
        <f>G68+'4'!H68</f>
        <v>87</v>
      </c>
      <c r="I68" s="118"/>
      <c r="J68" s="175">
        <f>H68/DAY(B2)</f>
        <v>17.399999999999999</v>
      </c>
      <c r="K68" s="69"/>
      <c r="L68" s="66"/>
      <c r="N68" s="87"/>
      <c r="O68" s="71"/>
    </row>
    <row r="69" spans="1:15" ht="27.75" x14ac:dyDescent="0.5">
      <c r="A69" s="345" t="s">
        <v>205</v>
      </c>
      <c r="B69" s="346"/>
      <c r="C69" s="346"/>
      <c r="D69" s="151" t="s">
        <v>142</v>
      </c>
      <c r="E69" s="95">
        <f>'4'!F69</f>
        <v>10279</v>
      </c>
      <c r="F69" s="122">
        <v>10290</v>
      </c>
      <c r="G69" s="112">
        <f t="shared" si="6"/>
        <v>11</v>
      </c>
      <c r="H69" s="99">
        <f>G69+'4'!H69</f>
        <v>76</v>
      </c>
      <c r="I69" s="118"/>
      <c r="J69" s="175">
        <f>H69/DAY(B2)</f>
        <v>15.2</v>
      </c>
      <c r="K69" s="69"/>
      <c r="L69" s="66"/>
      <c r="N69" s="87"/>
      <c r="O69" s="71"/>
    </row>
    <row r="70" spans="1:15" ht="27.75" x14ac:dyDescent="0.5">
      <c r="A70" s="345" t="s">
        <v>206</v>
      </c>
      <c r="B70" s="346"/>
      <c r="C70" s="346"/>
      <c r="D70" s="151" t="s">
        <v>142</v>
      </c>
      <c r="E70" s="95">
        <f>'4'!F70</f>
        <v>7900</v>
      </c>
      <c r="F70" s="122">
        <v>7906</v>
      </c>
      <c r="G70" s="112">
        <f t="shared" si="6"/>
        <v>6</v>
      </c>
      <c r="H70" s="99">
        <f>G70+'4'!H70</f>
        <v>44</v>
      </c>
      <c r="I70" s="118"/>
      <c r="J70" s="175">
        <f>H70/DAY(B2)</f>
        <v>8.8000000000000007</v>
      </c>
      <c r="K70" s="69"/>
      <c r="L70" s="66"/>
      <c r="N70" s="87"/>
      <c r="O70" s="71"/>
    </row>
    <row r="71" spans="1:15" ht="29.25" x14ac:dyDescent="0.5">
      <c r="A71" s="815" t="s">
        <v>208</v>
      </c>
      <c r="B71" s="816"/>
      <c r="C71" s="817"/>
      <c r="D71" s="152"/>
      <c r="E71" s="152"/>
      <c r="F71" s="152"/>
      <c r="G71" s="153">
        <f>SUM(G65:G70)</f>
        <v>159</v>
      </c>
      <c r="H71" s="99">
        <f>G71+'4'!H71</f>
        <v>821</v>
      </c>
      <c r="I71" s="154"/>
      <c r="J71" s="175">
        <f>H71/DAY(B2)</f>
        <v>164.2</v>
      </c>
      <c r="K71" s="69"/>
      <c r="L71" s="66"/>
      <c r="N71" s="87"/>
      <c r="O71" s="71"/>
    </row>
    <row r="72" spans="1:15" s="88" customFormat="1" ht="27.75" x14ac:dyDescent="0.5">
      <c r="A72" s="861"/>
      <c r="B72" s="853"/>
      <c r="C72" s="347"/>
      <c r="D72" s="180"/>
      <c r="E72" s="180" t="s">
        <v>207</v>
      </c>
      <c r="F72" s="180"/>
      <c r="G72" s="180"/>
      <c r="H72" s="181"/>
      <c r="I72" s="180"/>
      <c r="J72" s="182"/>
      <c r="N72" s="87"/>
      <c r="O72" s="71"/>
    </row>
    <row r="73" spans="1:15" ht="29.25" x14ac:dyDescent="0.5">
      <c r="A73" s="866" t="s">
        <v>333</v>
      </c>
      <c r="B73" s="867"/>
      <c r="C73" s="868"/>
      <c r="D73" s="339"/>
      <c r="E73" s="339"/>
      <c r="F73" s="339"/>
      <c r="G73" s="342"/>
      <c r="H73" s="342"/>
      <c r="I73" s="342"/>
      <c r="J73" s="343"/>
      <c r="K73" s="69"/>
      <c r="L73" s="66"/>
      <c r="N73" s="87"/>
      <c r="O73" s="71"/>
    </row>
    <row r="74" spans="1:15" ht="27.75" x14ac:dyDescent="0.5">
      <c r="A74" s="818" t="s">
        <v>220</v>
      </c>
      <c r="B74" s="819"/>
      <c r="C74" s="820"/>
      <c r="D74" s="151" t="s">
        <v>139</v>
      </c>
      <c r="E74" s="95">
        <f>'4'!F74</f>
        <v>893116.23</v>
      </c>
      <c r="F74" s="123">
        <v>893398.49</v>
      </c>
      <c r="G74" s="112">
        <f t="shared" ref="G74:G78" si="7">F74-E74</f>
        <v>282.26000000000931</v>
      </c>
      <c r="H74" s="99">
        <f>G74+'4'!H74</f>
        <v>1366.4899999999907</v>
      </c>
      <c r="I74" s="154"/>
      <c r="J74" s="175">
        <f>H74/DAY(B2)</f>
        <v>273.29799999999813</v>
      </c>
      <c r="K74" s="69"/>
      <c r="L74" s="66"/>
      <c r="N74" s="87"/>
      <c r="O74" s="71"/>
    </row>
    <row r="75" spans="1:15" ht="27.75" x14ac:dyDescent="0.5">
      <c r="A75" s="818" t="s">
        <v>221</v>
      </c>
      <c r="B75" s="819"/>
      <c r="C75" s="820"/>
      <c r="D75" s="151" t="s">
        <v>139</v>
      </c>
      <c r="E75" s="95">
        <f>'4'!F75</f>
        <v>73586.8</v>
      </c>
      <c r="F75" s="123">
        <v>73586.8</v>
      </c>
      <c r="G75" s="112">
        <f t="shared" si="7"/>
        <v>0</v>
      </c>
      <c r="H75" s="99">
        <f>G75+'4'!H75</f>
        <v>0</v>
      </c>
      <c r="I75" s="154"/>
      <c r="J75" s="175">
        <f>H75/DAY(B2)</f>
        <v>0</v>
      </c>
      <c r="K75" s="69"/>
      <c r="L75" s="66"/>
      <c r="N75" s="87"/>
      <c r="O75" s="71"/>
    </row>
    <row r="76" spans="1:15" ht="27.75" x14ac:dyDescent="0.5">
      <c r="A76" s="862" t="s">
        <v>222</v>
      </c>
      <c r="B76" s="848"/>
      <c r="C76" s="849"/>
      <c r="D76" s="151" t="s">
        <v>139</v>
      </c>
      <c r="E76" s="95">
        <f>'4'!F76</f>
        <v>167593.32</v>
      </c>
      <c r="F76" s="123">
        <v>167689</v>
      </c>
      <c r="G76" s="112">
        <f t="shared" si="7"/>
        <v>95.679999999993015</v>
      </c>
      <c r="H76" s="99">
        <f>G76+'4'!H76</f>
        <v>482</v>
      </c>
      <c r="I76" s="154"/>
      <c r="J76" s="175">
        <f>H76/DAY(B2)</f>
        <v>96.4</v>
      </c>
      <c r="K76" s="69"/>
      <c r="L76" s="66"/>
      <c r="N76" s="87"/>
      <c r="O76" s="71"/>
    </row>
    <row r="77" spans="1:15" ht="27.75" x14ac:dyDescent="0.5">
      <c r="A77" s="862" t="s">
        <v>223</v>
      </c>
      <c r="B77" s="848"/>
      <c r="C77" s="849"/>
      <c r="D77" s="151" t="s">
        <v>139</v>
      </c>
      <c r="E77" s="95">
        <f>'4'!F77</f>
        <v>40441</v>
      </c>
      <c r="F77" s="123">
        <v>40493.300000000003</v>
      </c>
      <c r="G77" s="112">
        <f t="shared" si="7"/>
        <v>52.30000000000291</v>
      </c>
      <c r="H77" s="99">
        <f>G77+'4'!H77</f>
        <v>177.30000000000291</v>
      </c>
      <c r="I77" s="154"/>
      <c r="J77" s="175">
        <f>H77/DAY(B2)</f>
        <v>35.460000000000583</v>
      </c>
      <c r="K77" s="69"/>
      <c r="L77" s="66"/>
      <c r="N77" s="87"/>
      <c r="O77" s="71"/>
    </row>
    <row r="78" spans="1:15" ht="27.75" x14ac:dyDescent="0.5">
      <c r="A78" s="862" t="s">
        <v>224</v>
      </c>
      <c r="B78" s="848"/>
      <c r="C78" s="849"/>
      <c r="D78" s="151" t="s">
        <v>139</v>
      </c>
      <c r="E78" s="95">
        <f>'4'!F78</f>
        <v>9490</v>
      </c>
      <c r="F78" s="123">
        <v>9491</v>
      </c>
      <c r="G78" s="112">
        <f t="shared" si="7"/>
        <v>1</v>
      </c>
      <c r="H78" s="99">
        <f>G78+'4'!H78</f>
        <v>5</v>
      </c>
      <c r="I78" s="118"/>
      <c r="J78" s="175">
        <f>H78/DAY(B2)</f>
        <v>1</v>
      </c>
      <c r="K78" s="69"/>
      <c r="L78" s="66"/>
      <c r="N78" s="87"/>
      <c r="O78" s="71"/>
    </row>
    <row r="79" spans="1:15" s="57" customFormat="1" ht="27.75" x14ac:dyDescent="0.5">
      <c r="A79" s="862" t="s">
        <v>225</v>
      </c>
      <c r="B79" s="848"/>
      <c r="C79" s="849"/>
      <c r="D79" s="151"/>
      <c r="E79" s="117"/>
      <c r="F79" s="117"/>
      <c r="G79" s="112">
        <f>G15-SUM(G74:G78)</f>
        <v>570.81000000004133</v>
      </c>
      <c r="H79" s="99">
        <f>G79+'4'!H79</f>
        <v>2409.9099999999598</v>
      </c>
      <c r="I79" s="118"/>
      <c r="J79" s="175"/>
      <c r="K79" s="59"/>
      <c r="L79" s="58"/>
      <c r="N79" s="87"/>
      <c r="O79" s="71"/>
    </row>
    <row r="80" spans="1:15" s="57" customFormat="1" ht="29.25" x14ac:dyDescent="0.5">
      <c r="A80" s="815" t="s">
        <v>329</v>
      </c>
      <c r="B80" s="816"/>
      <c r="C80" s="817"/>
      <c r="D80" s="151"/>
      <c r="E80" s="117"/>
      <c r="F80" s="117"/>
      <c r="G80" s="112">
        <f>SUM(G74:G79)</f>
        <v>1002.0500000000466</v>
      </c>
      <c r="H80" s="99"/>
      <c r="I80" s="118"/>
      <c r="J80" s="175"/>
      <c r="K80" s="59"/>
      <c r="L80" s="58"/>
      <c r="N80" s="87"/>
      <c r="O80" s="71"/>
    </row>
    <row r="81" spans="1:15" ht="27" x14ac:dyDescent="0.4">
      <c r="A81" s="854" t="s">
        <v>226</v>
      </c>
      <c r="B81" s="855"/>
      <c r="C81" s="856"/>
      <c r="D81" s="110"/>
      <c r="E81" s="110"/>
      <c r="F81" s="110"/>
      <c r="G81" s="163"/>
      <c r="H81" s="163"/>
      <c r="I81" s="163"/>
      <c r="J81" s="184"/>
      <c r="O81" s="71"/>
    </row>
    <row r="82" spans="1:15" ht="27.75" x14ac:dyDescent="0.5">
      <c r="A82" s="345" t="s">
        <v>227</v>
      </c>
      <c r="B82" s="346"/>
      <c r="C82" s="346"/>
      <c r="D82" s="151" t="s">
        <v>228</v>
      </c>
      <c r="E82" s="95">
        <f>'4'!F82</f>
        <v>0</v>
      </c>
      <c r="F82" s="122">
        <v>0</v>
      </c>
      <c r="G82" s="112">
        <f t="shared" ref="G82:G92" si="8">F82-E82</f>
        <v>0</v>
      </c>
      <c r="H82" s="99">
        <f>G82+'4'!H82</f>
        <v>0</v>
      </c>
      <c r="I82" s="118"/>
      <c r="J82" s="175">
        <f>H82/DAY(B2)</f>
        <v>0</v>
      </c>
      <c r="O82" s="71"/>
    </row>
    <row r="83" spans="1:15" ht="27.75" x14ac:dyDescent="0.5">
      <c r="A83" s="345" t="s">
        <v>229</v>
      </c>
      <c r="B83" s="346"/>
      <c r="C83" s="346"/>
      <c r="D83" s="151" t="s">
        <v>228</v>
      </c>
      <c r="E83" s="95">
        <f>'4'!F83</f>
        <v>0</v>
      </c>
      <c r="F83" s="122">
        <v>0</v>
      </c>
      <c r="G83" s="112">
        <f t="shared" si="8"/>
        <v>0</v>
      </c>
      <c r="H83" s="99">
        <f>G83+'4'!H83</f>
        <v>0</v>
      </c>
      <c r="I83" s="118"/>
      <c r="J83" s="175">
        <f>H83/DAY(B2)</f>
        <v>0</v>
      </c>
      <c r="O83" s="71"/>
    </row>
    <row r="84" spans="1:15" ht="27.75" x14ac:dyDescent="0.5">
      <c r="A84" s="345" t="s">
        <v>230</v>
      </c>
      <c r="B84" s="346"/>
      <c r="C84" s="346"/>
      <c r="D84" s="151" t="s">
        <v>228</v>
      </c>
      <c r="E84" s="95">
        <f>'4'!F84</f>
        <v>41675.26</v>
      </c>
      <c r="F84" s="164">
        <v>41675</v>
      </c>
      <c r="G84" s="112">
        <f t="shared" si="8"/>
        <v>-0.26000000000203727</v>
      </c>
      <c r="H84" s="99">
        <f>G84+'4'!H84</f>
        <v>0</v>
      </c>
      <c r="I84" s="118"/>
      <c r="J84" s="175">
        <f>H84/DAY(B2)</f>
        <v>0</v>
      </c>
      <c r="O84" s="71"/>
    </row>
    <row r="85" spans="1:15" ht="27.75" x14ac:dyDescent="0.5">
      <c r="A85" s="345" t="s">
        <v>231</v>
      </c>
      <c r="B85" s="346"/>
      <c r="C85" s="346"/>
      <c r="D85" s="151" t="s">
        <v>228</v>
      </c>
      <c r="E85" s="95">
        <f>'4'!F85</f>
        <v>2096.56</v>
      </c>
      <c r="F85" s="164">
        <v>2096.56</v>
      </c>
      <c r="G85" s="112">
        <f t="shared" si="8"/>
        <v>0</v>
      </c>
      <c r="H85" s="99">
        <f>G85+'4'!H85</f>
        <v>0</v>
      </c>
      <c r="I85" s="118">
        <f>G82+G83+G84+G85</f>
        <v>-0.26000000000203727</v>
      </c>
      <c r="J85" s="175">
        <f>H85/DAY(B2)</f>
        <v>0</v>
      </c>
      <c r="O85" s="71"/>
    </row>
    <row r="86" spans="1:15" ht="27.75" x14ac:dyDescent="0.5">
      <c r="A86" s="345" t="s">
        <v>232</v>
      </c>
      <c r="B86" s="346"/>
      <c r="C86" s="346"/>
      <c r="D86" s="151" t="s">
        <v>228</v>
      </c>
      <c r="E86" s="95">
        <f>'4'!F86</f>
        <v>42959.57</v>
      </c>
      <c r="F86" s="164">
        <v>42983.32</v>
      </c>
      <c r="G86" s="112">
        <f t="shared" si="8"/>
        <v>23.75</v>
      </c>
      <c r="H86" s="99">
        <f>G86+'4'!H86</f>
        <v>120.31999999999971</v>
      </c>
      <c r="I86" s="118"/>
      <c r="J86" s="175">
        <f>H86/DAY(B2)</f>
        <v>24.063999999999943</v>
      </c>
      <c r="O86" s="71"/>
    </row>
    <row r="87" spans="1:15" ht="27.75" x14ac:dyDescent="0.5">
      <c r="A87" s="345" t="s">
        <v>233</v>
      </c>
      <c r="B87" s="346"/>
      <c r="C87" s="346"/>
      <c r="D87" s="151" t="s">
        <v>228</v>
      </c>
      <c r="E87" s="95">
        <f>'4'!F87</f>
        <v>34598.550000000003</v>
      </c>
      <c r="F87" s="164">
        <v>34598.550000000003</v>
      </c>
      <c r="G87" s="112">
        <f t="shared" si="8"/>
        <v>0</v>
      </c>
      <c r="H87" s="99">
        <f>G87+'4'!H87</f>
        <v>0</v>
      </c>
      <c r="I87" s="118"/>
      <c r="J87" s="175">
        <f>H87/DAY(B2)</f>
        <v>0</v>
      </c>
      <c r="O87" s="71"/>
    </row>
    <row r="88" spans="1:15" ht="27.75" x14ac:dyDescent="0.5">
      <c r="A88" s="345" t="s">
        <v>234</v>
      </c>
      <c r="B88" s="346"/>
      <c r="C88" s="346"/>
      <c r="D88" s="151" t="s">
        <v>228</v>
      </c>
      <c r="E88" s="95">
        <f>'4'!F88</f>
        <v>24058.06</v>
      </c>
      <c r="F88" s="164">
        <v>24058.06</v>
      </c>
      <c r="G88" s="112">
        <f t="shared" si="8"/>
        <v>0</v>
      </c>
      <c r="H88" s="99">
        <f>G88+'4'!H88</f>
        <v>11.06000000000131</v>
      </c>
      <c r="I88" s="118">
        <f>G86+G87+G88</f>
        <v>23.75</v>
      </c>
      <c r="J88" s="175">
        <f>H88/DAY(B2)</f>
        <v>2.2120000000002618</v>
      </c>
      <c r="O88" s="71"/>
    </row>
    <row r="89" spans="1:15" ht="27.75" x14ac:dyDescent="0.5">
      <c r="A89" s="345" t="s">
        <v>235</v>
      </c>
      <c r="B89" s="346"/>
      <c r="C89" s="346"/>
      <c r="D89" s="151" t="s">
        <v>228</v>
      </c>
      <c r="E89" s="95">
        <f>'4'!F89</f>
        <v>25676.28</v>
      </c>
      <c r="F89" s="164">
        <v>25685.9</v>
      </c>
      <c r="G89" s="112">
        <f t="shared" si="8"/>
        <v>9.6200000000026193</v>
      </c>
      <c r="H89" s="99">
        <f>G89+'4'!H89</f>
        <v>22.900000000001455</v>
      </c>
      <c r="I89" s="118"/>
      <c r="J89" s="175">
        <f>H89/DAY(B2)</f>
        <v>4.5800000000002914</v>
      </c>
      <c r="O89" s="71"/>
    </row>
    <row r="90" spans="1:15" ht="27.75" x14ac:dyDescent="0.5">
      <c r="A90" s="345" t="s">
        <v>236</v>
      </c>
      <c r="B90" s="346"/>
      <c r="C90" s="346"/>
      <c r="D90" s="151" t="s">
        <v>228</v>
      </c>
      <c r="E90" s="95">
        <f>'4'!F90</f>
        <v>71056.14</v>
      </c>
      <c r="F90" s="164">
        <v>71060.179999999993</v>
      </c>
      <c r="G90" s="112">
        <f t="shared" si="8"/>
        <v>4.0399999999935972</v>
      </c>
      <c r="H90" s="99">
        <f>G90+'4'!H90</f>
        <v>26.179999999993015</v>
      </c>
      <c r="I90" s="118">
        <f>G89+G90</f>
        <v>13.659999999996217</v>
      </c>
      <c r="J90" s="175">
        <f>H90/DAY(B2)</f>
        <v>5.2359999999986027</v>
      </c>
      <c r="O90" s="71"/>
    </row>
    <row r="91" spans="1:15" ht="27.75" x14ac:dyDescent="0.5">
      <c r="A91" s="345" t="s">
        <v>237</v>
      </c>
      <c r="B91" s="346"/>
      <c r="C91" s="346"/>
      <c r="D91" s="151" t="s">
        <v>228</v>
      </c>
      <c r="E91" s="95">
        <f>'4'!F91</f>
        <v>3226.32</v>
      </c>
      <c r="F91" s="122">
        <v>3226.32</v>
      </c>
      <c r="G91" s="112">
        <f t="shared" si="8"/>
        <v>0</v>
      </c>
      <c r="H91" s="99">
        <f>G91+'4'!H91</f>
        <v>0</v>
      </c>
      <c r="I91" s="165"/>
      <c r="J91" s="175">
        <f>H91/DAY(B2)</f>
        <v>0</v>
      </c>
      <c r="O91" s="71"/>
    </row>
    <row r="92" spans="1:15" ht="27.75" x14ac:dyDescent="0.5">
      <c r="A92" s="345" t="s">
        <v>238</v>
      </c>
      <c r="B92" s="346"/>
      <c r="C92" s="346"/>
      <c r="D92" s="151" t="s">
        <v>228</v>
      </c>
      <c r="E92" s="95">
        <f>'4'!F92</f>
        <v>5476.3</v>
      </c>
      <c r="F92" s="122">
        <v>5486.16</v>
      </c>
      <c r="G92" s="112">
        <f t="shared" si="8"/>
        <v>9.8599999999996726</v>
      </c>
      <c r="H92" s="99">
        <f>G92+'4'!H92</f>
        <v>48.159999999999854</v>
      </c>
      <c r="I92" s="165"/>
      <c r="J92" s="175">
        <f>H92/DAY(B2)</f>
        <v>9.6319999999999713</v>
      </c>
      <c r="O92" s="71"/>
    </row>
    <row r="93" spans="1:15" ht="29.25" x14ac:dyDescent="0.5">
      <c r="A93" s="863" t="s">
        <v>239</v>
      </c>
      <c r="B93" s="864"/>
      <c r="C93" s="865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27.75" x14ac:dyDescent="0.5">
      <c r="A94" s="818" t="s">
        <v>240</v>
      </c>
      <c r="B94" s="819"/>
      <c r="C94" s="820"/>
      <c r="D94" s="151" t="s">
        <v>130</v>
      </c>
      <c r="E94" s="151"/>
      <c r="F94" s="151"/>
      <c r="G94" s="99">
        <f>G35+G43+G49+G57</f>
        <v>5895.179999999993</v>
      </c>
      <c r="H94" s="99">
        <f>G94+'4'!H94</f>
        <v>30166.710000000021</v>
      </c>
      <c r="I94" s="118"/>
      <c r="J94" s="175">
        <f>H94/DAY(B2)</f>
        <v>6033.3420000000042</v>
      </c>
      <c r="K94" s="69"/>
      <c r="L94" s="66"/>
      <c r="O94" s="71"/>
    </row>
    <row r="95" spans="1:15" ht="27.75" x14ac:dyDescent="0.5">
      <c r="A95" s="818" t="s">
        <v>241</v>
      </c>
      <c r="B95" s="819"/>
      <c r="C95" s="820"/>
      <c r="D95" s="151" t="s">
        <v>23</v>
      </c>
      <c r="E95" s="146"/>
      <c r="F95" s="146"/>
      <c r="G95" s="166">
        <f>G94/G7</f>
        <v>0.2962415407908876</v>
      </c>
      <c r="H95" s="99">
        <f>G95+'4'!H95</f>
        <v>1.5338764540543695</v>
      </c>
      <c r="I95" s="167"/>
      <c r="J95" s="175">
        <f>H95/DAY(B2)</f>
        <v>0.3067752908108739</v>
      </c>
      <c r="K95" s="69"/>
      <c r="L95" s="66"/>
      <c r="O95" s="71"/>
    </row>
    <row r="96" spans="1:15" ht="27.75" x14ac:dyDescent="0.5">
      <c r="A96" s="818" t="s">
        <v>242</v>
      </c>
      <c r="B96" s="819"/>
      <c r="C96" s="820"/>
      <c r="D96" s="151" t="s">
        <v>130</v>
      </c>
      <c r="E96" s="95"/>
      <c r="F96" s="95"/>
      <c r="G96" s="99">
        <f>G41+G42+G55+G56</f>
        <v>3314.6699999999983</v>
      </c>
      <c r="H96" s="99">
        <f>G96+'4'!H96</f>
        <v>15087.520000000004</v>
      </c>
      <c r="I96" s="118"/>
      <c r="J96" s="175">
        <f>H96/DAY(B2)</f>
        <v>3017.5040000000008</v>
      </c>
      <c r="K96" s="69"/>
      <c r="L96" s="66"/>
      <c r="O96" s="71"/>
    </row>
    <row r="97" spans="1:15" ht="27.75" x14ac:dyDescent="0.5">
      <c r="A97" s="818" t="s">
        <v>243</v>
      </c>
      <c r="B97" s="819"/>
      <c r="C97" s="820"/>
      <c r="D97" s="151" t="s">
        <v>23</v>
      </c>
      <c r="E97" s="95"/>
      <c r="F97" s="95"/>
      <c r="G97" s="166">
        <f>G96/G7</f>
        <v>0.16656708497676612</v>
      </c>
      <c r="H97" s="99">
        <f>G97+'4'!H97</f>
        <v>0.767469620630301</v>
      </c>
      <c r="I97" s="167"/>
      <c r="J97" s="175">
        <f>H97/DAY(B2)</f>
        <v>0.15349392412606019</v>
      </c>
      <c r="K97" s="69"/>
      <c r="L97" s="66"/>
      <c r="O97" s="71"/>
    </row>
    <row r="98" spans="1:15" ht="27.75" x14ac:dyDescent="0.5">
      <c r="A98" s="818" t="s">
        <v>244</v>
      </c>
      <c r="B98" s="819"/>
      <c r="C98" s="820"/>
      <c r="D98" s="151" t="s">
        <v>130</v>
      </c>
      <c r="E98" s="95"/>
      <c r="F98" s="95"/>
      <c r="G98" s="99">
        <f>G39+G53</f>
        <v>2669.0800000000163</v>
      </c>
      <c r="H98" s="99">
        <f>G98+'4'!H98</f>
        <v>13614.590000000026</v>
      </c>
      <c r="I98" s="168"/>
      <c r="J98" s="175">
        <f>H98/DAY(B2)</f>
        <v>2722.9180000000051</v>
      </c>
      <c r="K98" s="69"/>
      <c r="L98" s="66"/>
      <c r="O98" s="71"/>
    </row>
    <row r="99" spans="1:15" ht="27.75" x14ac:dyDescent="0.5">
      <c r="A99" s="818" t="s">
        <v>245</v>
      </c>
      <c r="B99" s="819"/>
      <c r="C99" s="820"/>
      <c r="D99" s="151" t="s">
        <v>23</v>
      </c>
      <c r="E99" s="95"/>
      <c r="F99" s="95"/>
      <c r="G99" s="166">
        <f>G98/G7</f>
        <v>0.13412522971209498</v>
      </c>
      <c r="H99" s="99">
        <f>G99+'4'!H99</f>
        <v>0.69223094158196652</v>
      </c>
      <c r="I99" s="168"/>
      <c r="J99" s="175">
        <f>H99/DAY(B2)</f>
        <v>0.1384461883163933</v>
      </c>
      <c r="O99" s="71"/>
    </row>
    <row r="100" spans="1:15" ht="27.75" x14ac:dyDescent="0.5">
      <c r="A100" s="818" t="s">
        <v>246</v>
      </c>
      <c r="B100" s="819"/>
      <c r="C100" s="820"/>
      <c r="D100" s="151" t="s">
        <v>180</v>
      </c>
      <c r="E100" s="95"/>
      <c r="F100" s="95"/>
      <c r="G100" s="99">
        <f>G38+G52</f>
        <v>1672.4000000000233</v>
      </c>
      <c r="H100" s="99">
        <f>G100+'4'!H100</f>
        <v>8129.890000000014</v>
      </c>
      <c r="I100" s="118"/>
      <c r="J100" s="175">
        <f>H100/DAY(B2)</f>
        <v>1625.9780000000028</v>
      </c>
      <c r="K100" s="70"/>
      <c r="O100" s="71"/>
    </row>
    <row r="101" spans="1:15" ht="27.75" x14ac:dyDescent="0.5">
      <c r="A101" s="818" t="s">
        <v>247</v>
      </c>
      <c r="B101" s="819"/>
      <c r="C101" s="820"/>
      <c r="D101" s="151" t="s">
        <v>23</v>
      </c>
      <c r="E101" s="95"/>
      <c r="F101" s="95"/>
      <c r="G101" s="166">
        <f>G100/G7</f>
        <v>8.4040581088056329E-2</v>
      </c>
      <c r="H101" s="99">
        <f>G101+'4'!H101</f>
        <v>0.41300421553519151</v>
      </c>
      <c r="I101" s="168"/>
      <c r="J101" s="175">
        <f>H101/DAY(B2)</f>
        <v>8.2600843107038302E-2</v>
      </c>
      <c r="O101" s="71"/>
    </row>
    <row r="102" spans="1:15" ht="27.75" x14ac:dyDescent="0.5">
      <c r="A102" s="818" t="s">
        <v>248</v>
      </c>
      <c r="B102" s="819"/>
      <c r="C102" s="820"/>
      <c r="D102" s="151" t="s">
        <v>180</v>
      </c>
      <c r="E102" s="95"/>
      <c r="F102" s="95"/>
      <c r="G102" s="99">
        <f>G36+G50</f>
        <v>1792.1800000000003</v>
      </c>
      <c r="H102" s="99">
        <f>G102+'4'!H102</f>
        <v>9333.0499999999993</v>
      </c>
      <c r="I102" s="168"/>
      <c r="J102" s="175">
        <f>H102/DAY(B2)</f>
        <v>1866.61</v>
      </c>
      <c r="O102" s="71"/>
    </row>
    <row r="103" spans="1:15" ht="27.75" x14ac:dyDescent="0.5">
      <c r="A103" s="818" t="s">
        <v>249</v>
      </c>
      <c r="B103" s="819"/>
      <c r="C103" s="820"/>
      <c r="D103" s="151" t="s">
        <v>23</v>
      </c>
      <c r="E103" s="95"/>
      <c r="F103" s="95"/>
      <c r="G103" s="166">
        <f>G102/G7</f>
        <v>9.0059703787605069E-2</v>
      </c>
      <c r="H103" s="99">
        <f>G103+'4'!H103</f>
        <v>0.47421475848500927</v>
      </c>
      <c r="I103" s="118"/>
      <c r="J103" s="175">
        <f>H103/DAY(B2)</f>
        <v>9.4842951697001854E-2</v>
      </c>
      <c r="O103" s="71"/>
    </row>
    <row r="104" spans="1:15" ht="27.75" x14ac:dyDescent="0.5">
      <c r="A104" s="818" t="s">
        <v>250</v>
      </c>
      <c r="B104" s="819"/>
      <c r="C104" s="820"/>
      <c r="D104" s="151" t="s">
        <v>180</v>
      </c>
      <c r="E104" s="95"/>
      <c r="F104" s="95"/>
      <c r="G104" s="99">
        <f>G37+G51</f>
        <v>1513.0600000000268</v>
      </c>
      <c r="H104" s="99">
        <f>G104+'4'!H104</f>
        <v>7636.890000000014</v>
      </c>
      <c r="I104" s="118"/>
      <c r="J104" s="175">
        <f>H104/DAY(B2)</f>
        <v>1527.3780000000029</v>
      </c>
      <c r="O104" s="71"/>
    </row>
    <row r="105" spans="1:15" ht="28.5" thickBot="1" x14ac:dyDescent="0.55000000000000004">
      <c r="A105" s="858" t="s">
        <v>251</v>
      </c>
      <c r="B105" s="859"/>
      <c r="C105" s="860"/>
      <c r="D105" s="231" t="s">
        <v>23</v>
      </c>
      <c r="E105" s="185"/>
      <c r="F105" s="185"/>
      <c r="G105" s="186">
        <f>G104/G7</f>
        <v>7.6033509699291429E-2</v>
      </c>
      <c r="H105" s="99">
        <f>G105+'4'!H105</f>
        <v>0.38820058131313628</v>
      </c>
      <c r="I105" s="187"/>
      <c r="J105" s="188">
        <f>H105/DAY(B2)</f>
        <v>7.7640116262627262E-2</v>
      </c>
      <c r="O105" s="71"/>
    </row>
    <row r="106" spans="1:15" ht="29.25" x14ac:dyDescent="0.5">
      <c r="A106" s="105"/>
      <c r="B106" s="96"/>
      <c r="C106" s="96"/>
      <c r="D106" s="169"/>
      <c r="E106" s="169"/>
      <c r="F106" s="169"/>
      <c r="G106" s="169"/>
      <c r="H106" s="170"/>
      <c r="I106" s="169"/>
      <c r="J106" s="171"/>
      <c r="O106" s="71"/>
    </row>
    <row r="107" spans="1:15" ht="29.25" x14ac:dyDescent="0.5"/>
    <row r="108" spans="1:15" ht="31.5" x14ac:dyDescent="0.55000000000000004">
      <c r="A108" s="872" t="s">
        <v>324</v>
      </c>
      <c r="B108" s="872"/>
      <c r="C108" s="872"/>
      <c r="D108" s="872"/>
      <c r="E108" s="872"/>
      <c r="F108" s="872"/>
      <c r="G108" s="872"/>
      <c r="H108" s="872"/>
      <c r="I108" s="872"/>
      <c r="J108" s="872"/>
    </row>
    <row r="109" spans="1:15" ht="29.25" x14ac:dyDescent="0.5">
      <c r="A109" s="857"/>
      <c r="B109" s="857"/>
    </row>
    <row r="110" spans="1:15" ht="29.25" x14ac:dyDescent="0.5">
      <c r="A110" s="873" t="s">
        <v>165</v>
      </c>
      <c r="B110" s="874"/>
      <c r="C110" s="874"/>
      <c r="D110" s="874"/>
      <c r="E110" s="874"/>
      <c r="F110" s="874"/>
      <c r="G110" s="874"/>
      <c r="H110" s="874"/>
      <c r="I110" s="874"/>
      <c r="J110" s="875"/>
    </row>
    <row r="111" spans="1:15" ht="27.75" x14ac:dyDescent="0.5">
      <c r="A111" s="876"/>
      <c r="B111" s="877"/>
      <c r="C111" s="878"/>
      <c r="D111" s="165"/>
      <c r="E111" s="165"/>
      <c r="F111" s="165"/>
      <c r="G111" s="165"/>
      <c r="H111" s="156"/>
      <c r="I111" s="165"/>
      <c r="J111" s="327"/>
    </row>
    <row r="112" spans="1:15" ht="27.75" x14ac:dyDescent="0.5">
      <c r="A112" s="851" t="s">
        <v>252</v>
      </c>
      <c r="B112" s="852"/>
      <c r="C112" s="853"/>
      <c r="D112" s="146" t="s">
        <v>183</v>
      </c>
      <c r="E112" s="95">
        <f>'4'!F112</f>
        <v>55960.22</v>
      </c>
      <c r="F112" s="237">
        <v>56038.400000000001</v>
      </c>
      <c r="G112" s="112">
        <f t="shared" ref="G112:G123" si="9">F112-E112</f>
        <v>78.180000000000291</v>
      </c>
      <c r="H112" s="99">
        <f>G112+'4'!H112</f>
        <v>357.40000000000146</v>
      </c>
      <c r="I112" s="165"/>
      <c r="J112" s="328">
        <f>H112/DAY(B2)</f>
        <v>71.480000000000288</v>
      </c>
    </row>
    <row r="113" spans="1:18" ht="29.25" customHeight="1" x14ac:dyDescent="0.5">
      <c r="A113" s="851" t="s">
        <v>253</v>
      </c>
      <c r="B113" s="852"/>
      <c r="C113" s="853"/>
      <c r="D113" s="146" t="s">
        <v>183</v>
      </c>
      <c r="E113" s="95">
        <f>'4'!F113</f>
        <v>34018.86</v>
      </c>
      <c r="F113" s="237">
        <v>34460.199999999997</v>
      </c>
      <c r="G113" s="112">
        <f t="shared" si="9"/>
        <v>441.33999999999651</v>
      </c>
      <c r="H113" s="99">
        <f>G113+'4'!H113</f>
        <v>2265.1999999999971</v>
      </c>
      <c r="I113" s="165"/>
      <c r="J113" s="328">
        <f>H113/DAY(B2)</f>
        <v>453.0399999999994</v>
      </c>
    </row>
    <row r="114" spans="1:18" ht="29.25" customHeight="1" x14ac:dyDescent="0.5">
      <c r="A114" s="851" t="s">
        <v>254</v>
      </c>
      <c r="B114" s="852"/>
      <c r="C114" s="853"/>
      <c r="D114" s="146" t="s">
        <v>183</v>
      </c>
      <c r="E114" s="95">
        <f>'4'!F114</f>
        <v>25950.21</v>
      </c>
      <c r="F114" s="237">
        <v>26212.2</v>
      </c>
      <c r="G114" s="112">
        <f t="shared" si="9"/>
        <v>261.9900000000016</v>
      </c>
      <c r="H114" s="99">
        <f>G114+'4'!H114</f>
        <v>1341.2000000000007</v>
      </c>
      <c r="I114" s="165"/>
      <c r="J114" s="328">
        <f>H114/DAY(B2)</f>
        <v>268.24000000000012</v>
      </c>
    </row>
    <row r="115" spans="1:18" ht="29.25" customHeight="1" x14ac:dyDescent="0.5">
      <c r="A115" s="851" t="s">
        <v>255</v>
      </c>
      <c r="B115" s="852"/>
      <c r="C115" s="853"/>
      <c r="D115" s="146" t="s">
        <v>183</v>
      </c>
      <c r="E115" s="95">
        <f>'4'!F115</f>
        <v>8822.5300000000007</v>
      </c>
      <c r="F115" s="237">
        <v>8837.7999999999993</v>
      </c>
      <c r="G115" s="112">
        <f t="shared" si="9"/>
        <v>15.269999999998618</v>
      </c>
      <c r="H115" s="99">
        <f>G115+'4'!H115</f>
        <v>52.799999999999272</v>
      </c>
      <c r="I115" s="165"/>
      <c r="J115" s="328">
        <f>H115/DAY(B2)</f>
        <v>10.559999999999855</v>
      </c>
    </row>
    <row r="116" spans="1:18" ht="29.25" customHeight="1" x14ac:dyDescent="0.5">
      <c r="A116" s="869" t="s">
        <v>96</v>
      </c>
      <c r="B116" s="870"/>
      <c r="C116" s="871"/>
      <c r="D116" s="146" t="s">
        <v>183</v>
      </c>
      <c r="E116" s="95">
        <f>'4'!F116</f>
        <v>0</v>
      </c>
      <c r="F116" s="237">
        <v>0</v>
      </c>
      <c r="G116" s="112">
        <f t="shared" si="9"/>
        <v>0</v>
      </c>
      <c r="H116" s="99">
        <f>G116+'4'!H116</f>
        <v>0</v>
      </c>
      <c r="I116" s="165"/>
      <c r="J116" s="328">
        <f>H116/DAY(B2)</f>
        <v>0</v>
      </c>
      <c r="Q116" s="904"/>
      <c r="R116" s="904"/>
    </row>
    <row r="117" spans="1:18" ht="29.25" customHeight="1" x14ac:dyDescent="0.5">
      <c r="A117" s="869" t="s">
        <v>184</v>
      </c>
      <c r="B117" s="870"/>
      <c r="C117" s="871"/>
      <c r="D117" s="146" t="s">
        <v>183</v>
      </c>
      <c r="E117" s="95">
        <f>'4'!F117</f>
        <v>2684.43</v>
      </c>
      <c r="F117" s="237">
        <v>2718.79</v>
      </c>
      <c r="G117" s="112">
        <f t="shared" si="9"/>
        <v>34.360000000000127</v>
      </c>
      <c r="H117" s="99">
        <f>G117+'4'!H117</f>
        <v>128.78999999999996</v>
      </c>
      <c r="I117" s="165"/>
      <c r="J117" s="328">
        <f>H117/DAY(B2)</f>
        <v>25.757999999999992</v>
      </c>
      <c r="Q117" s="904"/>
      <c r="R117" s="904"/>
    </row>
    <row r="118" spans="1:18" ht="27.75" x14ac:dyDescent="0.5">
      <c r="A118" s="846" t="s">
        <v>97</v>
      </c>
      <c r="B118" s="846"/>
      <c r="C118" s="846"/>
      <c r="D118" s="151" t="s">
        <v>183</v>
      </c>
      <c r="E118" s="95">
        <f>'4'!F118</f>
        <v>243150.55</v>
      </c>
      <c r="F118" s="237">
        <v>243529.53</v>
      </c>
      <c r="G118" s="112">
        <f t="shared" si="9"/>
        <v>378.98000000001048</v>
      </c>
      <c r="H118" s="99">
        <f>G118+'4'!H118</f>
        <v>1882.5299999999988</v>
      </c>
      <c r="I118" s="165"/>
      <c r="J118" s="328">
        <f>H118/DAY(B2)</f>
        <v>376.50599999999974</v>
      </c>
      <c r="Q118" s="904"/>
      <c r="R118" s="904"/>
    </row>
    <row r="119" spans="1:18" ht="27.75" x14ac:dyDescent="0.5">
      <c r="A119" s="846" t="s">
        <v>98</v>
      </c>
      <c r="B119" s="846"/>
      <c r="C119" s="846"/>
      <c r="D119" s="151" t="s">
        <v>183</v>
      </c>
      <c r="E119" s="95">
        <f>'4'!F119</f>
        <v>246869.31</v>
      </c>
      <c r="F119" s="237">
        <v>247290.93</v>
      </c>
      <c r="G119" s="112">
        <f t="shared" si="9"/>
        <v>421.61999999999534</v>
      </c>
      <c r="H119" s="99">
        <f>G119+'4'!H119</f>
        <v>2164.929999999993</v>
      </c>
      <c r="I119" s="165"/>
      <c r="J119" s="328">
        <f>H119/DAY(B2)</f>
        <v>432.98599999999863</v>
      </c>
    </row>
    <row r="120" spans="1:18" ht="27.75" x14ac:dyDescent="0.5">
      <c r="A120" s="846" t="s">
        <v>99</v>
      </c>
      <c r="B120" s="846"/>
      <c r="C120" s="846"/>
      <c r="D120" s="151" t="s">
        <v>183</v>
      </c>
      <c r="E120" s="95">
        <f>'4'!F120</f>
        <v>31775.45</v>
      </c>
      <c r="F120" s="600">
        <v>32187</v>
      </c>
      <c r="G120" s="112">
        <f t="shared" si="9"/>
        <v>411.54999999999927</v>
      </c>
      <c r="H120" s="99">
        <f>G120+'4'!H120</f>
        <v>2109</v>
      </c>
      <c r="I120" s="165"/>
      <c r="J120" s="328">
        <f>H120/DAY(B2)</f>
        <v>421.8</v>
      </c>
    </row>
    <row r="121" spans="1:18" ht="27.75" x14ac:dyDescent="0.5">
      <c r="A121" s="846" t="s">
        <v>100</v>
      </c>
      <c r="B121" s="846"/>
      <c r="C121" s="846"/>
      <c r="D121" s="151" t="s">
        <v>183</v>
      </c>
      <c r="E121" s="95">
        <f>'4'!F121</f>
        <v>379626.59</v>
      </c>
      <c r="F121" s="237">
        <v>380353</v>
      </c>
      <c r="G121" s="112">
        <f t="shared" si="9"/>
        <v>726.40999999997439</v>
      </c>
      <c r="H121" s="99">
        <f>G121+'4'!H121</f>
        <v>3824</v>
      </c>
      <c r="I121" s="165"/>
      <c r="J121" s="328">
        <f>H121/DAY(B2)</f>
        <v>764.8</v>
      </c>
    </row>
    <row r="122" spans="1:18" ht="27.75" x14ac:dyDescent="0.5">
      <c r="A122" s="846" t="s">
        <v>101</v>
      </c>
      <c r="B122" s="846"/>
      <c r="C122" s="846"/>
      <c r="D122" s="151" t="s">
        <v>183</v>
      </c>
      <c r="E122" s="95">
        <f>'4'!F122</f>
        <v>120962.1</v>
      </c>
      <c r="F122" s="237">
        <v>121203.38</v>
      </c>
      <c r="G122" s="112">
        <f t="shared" si="9"/>
        <v>241.27999999999884</v>
      </c>
      <c r="H122" s="99">
        <f>G122+'4'!H122</f>
        <v>1153.3800000000047</v>
      </c>
      <c r="I122" s="165"/>
      <c r="J122" s="328">
        <f>H122/DAY(B2)</f>
        <v>230.67600000000093</v>
      </c>
    </row>
    <row r="123" spans="1:18" ht="27.75" x14ac:dyDescent="0.5">
      <c r="A123" s="846" t="s">
        <v>102</v>
      </c>
      <c r="B123" s="846"/>
      <c r="C123" s="846"/>
      <c r="D123" s="151" t="s">
        <v>183</v>
      </c>
      <c r="E123" s="95">
        <f>'4'!F123</f>
        <v>146478.67000000001</v>
      </c>
      <c r="F123" s="237">
        <v>146792.75</v>
      </c>
      <c r="G123" s="112">
        <f t="shared" si="9"/>
        <v>314.07999999998719</v>
      </c>
      <c r="H123" s="99">
        <f>G123+'4'!H123</f>
        <v>1667.75</v>
      </c>
      <c r="I123" s="165"/>
      <c r="J123" s="328">
        <f>H123/DAY(B2)</f>
        <v>333.55</v>
      </c>
    </row>
    <row r="124" spans="1:18" ht="29.25" customHeight="1" x14ac:dyDescent="0.5">
      <c r="A124" s="876"/>
      <c r="B124" s="877"/>
      <c r="C124" s="878"/>
      <c r="D124" s="165"/>
      <c r="E124" s="165"/>
      <c r="F124" s="165"/>
      <c r="G124" s="327"/>
      <c r="H124" s="156"/>
      <c r="I124" s="165"/>
      <c r="J124" s="327"/>
    </row>
    <row r="125" spans="1:18" ht="27.75" x14ac:dyDescent="0.5">
      <c r="A125" s="902" t="s">
        <v>196</v>
      </c>
      <c r="B125" s="902"/>
      <c r="C125" s="245"/>
      <c r="D125" s="307"/>
      <c r="E125" s="308"/>
      <c r="F125" s="308"/>
      <c r="G125" s="309">
        <f>SUM(G112:G124)</f>
        <v>3325.0599999999627</v>
      </c>
      <c r="H125" s="156"/>
      <c r="I125" s="327">
        <f>G125-(G39+G53)</f>
        <v>655.97999999994636</v>
      </c>
      <c r="J125" s="327"/>
    </row>
    <row r="126" spans="1:18" ht="27.75" x14ac:dyDescent="0.5">
      <c r="A126" s="881" t="s">
        <v>317</v>
      </c>
      <c r="B126" s="881"/>
      <c r="C126" s="881"/>
      <c r="D126" s="881"/>
      <c r="E126" s="881"/>
      <c r="F126" s="881"/>
      <c r="G126" s="881"/>
      <c r="H126" s="881"/>
      <c r="I126" s="881"/>
      <c r="J126" s="881"/>
    </row>
    <row r="127" spans="1:18" ht="27.75" x14ac:dyDescent="0.5">
      <c r="A127" s="882"/>
      <c r="B127" s="882"/>
      <c r="C127" s="245"/>
      <c r="D127" s="307"/>
      <c r="E127" s="308"/>
      <c r="F127" s="471"/>
      <c r="G127" s="309"/>
      <c r="H127" s="99">
        <f>G127+'4'!H127</f>
        <v>0</v>
      </c>
      <c r="I127" s="165"/>
      <c r="J127" s="328">
        <f>H127/DAY(B2)</f>
        <v>0</v>
      </c>
    </row>
    <row r="128" spans="1:18" ht="29.25" customHeight="1" x14ac:dyDescent="0.5">
      <c r="A128" s="851" t="s">
        <v>318</v>
      </c>
      <c r="B128" s="852"/>
      <c r="C128" s="853"/>
      <c r="D128" s="151" t="s">
        <v>183</v>
      </c>
      <c r="E128" s="95">
        <f>'4'!F128</f>
        <v>39388.42</v>
      </c>
      <c r="F128" s="472">
        <v>39721.089999999997</v>
      </c>
      <c r="G128" s="112">
        <f t="shared" ref="G128:G134" si="10">F128-E128</f>
        <v>332.66999999999825</v>
      </c>
      <c r="H128" s="99">
        <f>G128+'4'!H128</f>
        <v>1717.0899999999965</v>
      </c>
      <c r="I128" s="165"/>
      <c r="J128" s="328">
        <f>H128/DAY(B2)</f>
        <v>343.41799999999932</v>
      </c>
    </row>
    <row r="129" spans="1:15" ht="27.75" x14ac:dyDescent="0.5">
      <c r="A129" s="329" t="s">
        <v>319</v>
      </c>
      <c r="B129" s="330"/>
      <c r="C129" s="331"/>
      <c r="D129" s="151" t="s">
        <v>183</v>
      </c>
      <c r="E129" s="95">
        <f>'4'!F129</f>
        <v>21201.37</v>
      </c>
      <c r="F129" s="472">
        <v>21399.47</v>
      </c>
      <c r="G129" s="112">
        <f t="shared" si="10"/>
        <v>198.10000000000218</v>
      </c>
      <c r="H129" s="99">
        <f>G129+'4'!H129</f>
        <v>1078.4700000000012</v>
      </c>
      <c r="I129" s="165"/>
      <c r="J129" s="328">
        <f>H129/DAY(B2)</f>
        <v>215.69400000000024</v>
      </c>
      <c r="N129" s="240"/>
      <c r="O129" s="241"/>
    </row>
    <row r="130" spans="1:15" ht="27.75" x14ac:dyDescent="0.5">
      <c r="A130" s="329" t="s">
        <v>320</v>
      </c>
      <c r="B130" s="330"/>
      <c r="C130" s="331"/>
      <c r="D130" s="151" t="s">
        <v>183</v>
      </c>
      <c r="E130" s="95">
        <f>'4'!F130</f>
        <v>21202.17</v>
      </c>
      <c r="F130" s="472">
        <v>21852.17</v>
      </c>
      <c r="G130" s="112">
        <f t="shared" si="10"/>
        <v>650</v>
      </c>
      <c r="H130" s="99">
        <f>G130+'4'!H130</f>
        <v>3470.1699999999983</v>
      </c>
      <c r="I130" s="165"/>
      <c r="J130" s="328">
        <f>H130/DAY(B2)</f>
        <v>694.03399999999965</v>
      </c>
      <c r="N130" s="240"/>
      <c r="O130" s="241"/>
    </row>
    <row r="131" spans="1:15" ht="27.75" x14ac:dyDescent="0.5">
      <c r="A131" s="851" t="s">
        <v>321</v>
      </c>
      <c r="B131" s="852"/>
      <c r="C131" s="853"/>
      <c r="D131" s="151" t="s">
        <v>183</v>
      </c>
      <c r="E131" s="95">
        <f>'4'!F131</f>
        <v>13484.52</v>
      </c>
      <c r="F131" s="472">
        <v>13561.44</v>
      </c>
      <c r="G131" s="112">
        <f t="shared" si="10"/>
        <v>76.920000000000073</v>
      </c>
      <c r="H131" s="99">
        <f>G131+'4'!H131</f>
        <v>408.44000000000051</v>
      </c>
      <c r="I131" s="165"/>
      <c r="J131" s="328">
        <f>H131/DAY(B2)</f>
        <v>81.688000000000102</v>
      </c>
      <c r="N131" s="240"/>
      <c r="O131" s="241"/>
    </row>
    <row r="132" spans="1:15" ht="27.75" x14ac:dyDescent="0.5">
      <c r="A132" s="851" t="s">
        <v>322</v>
      </c>
      <c r="B132" s="852"/>
      <c r="C132" s="853"/>
      <c r="D132" s="151" t="s">
        <v>183</v>
      </c>
      <c r="E132" s="95">
        <f>'4'!F132</f>
        <v>42815.69</v>
      </c>
      <c r="F132" s="472">
        <v>43251.08</v>
      </c>
      <c r="G132" s="112">
        <f t="shared" si="10"/>
        <v>435.38999999999942</v>
      </c>
      <c r="H132" s="99">
        <f>G132+'4'!H132</f>
        <v>2228.0800000000017</v>
      </c>
      <c r="I132" s="165"/>
      <c r="J132" s="328">
        <f>H132/DAY(B2)</f>
        <v>445.61600000000033</v>
      </c>
    </row>
    <row r="133" spans="1:15" ht="27.75" x14ac:dyDescent="0.5">
      <c r="A133" s="851" t="s">
        <v>323</v>
      </c>
      <c r="B133" s="852"/>
      <c r="C133" s="853"/>
      <c r="D133" s="151" t="s">
        <v>183</v>
      </c>
      <c r="E133" s="95">
        <f>'4'!F133</f>
        <v>91046.62</v>
      </c>
      <c r="F133" s="472">
        <v>91892.87</v>
      </c>
      <c r="G133" s="112">
        <f t="shared" si="10"/>
        <v>846.25</v>
      </c>
      <c r="H133" s="99">
        <f>G133+'4'!H133</f>
        <v>4189.8699999999953</v>
      </c>
      <c r="I133" s="165"/>
      <c r="J133" s="328">
        <f>H133/DAY(B2)</f>
        <v>837.97399999999902</v>
      </c>
    </row>
    <row r="134" spans="1:15" ht="27.75" x14ac:dyDescent="0.5">
      <c r="A134" s="851" t="s">
        <v>340</v>
      </c>
      <c r="B134" s="852"/>
      <c r="C134" s="853"/>
      <c r="D134" s="151" t="s">
        <v>183</v>
      </c>
      <c r="E134" s="95">
        <f>'4'!F134</f>
        <v>671437</v>
      </c>
      <c r="F134" s="472">
        <v>672078</v>
      </c>
      <c r="G134" s="112">
        <f t="shared" si="10"/>
        <v>641</v>
      </c>
      <c r="H134" s="99">
        <f>G134+'4'!H134</f>
        <v>3198</v>
      </c>
      <c r="I134" s="165"/>
      <c r="J134" s="328">
        <f>H134/DAY(B2)</f>
        <v>639.6</v>
      </c>
    </row>
    <row r="135" spans="1:15" ht="27.75" x14ac:dyDescent="0.5">
      <c r="A135" s="902" t="s">
        <v>196</v>
      </c>
      <c r="B135" s="902"/>
      <c r="C135" s="331"/>
      <c r="D135" s="151"/>
      <c r="E135" s="95"/>
      <c r="F135" s="165"/>
      <c r="G135" s="112">
        <f>SUM(G128:G134)</f>
        <v>3180.33</v>
      </c>
      <c r="H135" s="99">
        <f>G135+'4'!H135</f>
        <v>16290.119999999994</v>
      </c>
      <c r="I135" s="327">
        <f>G135-(G35+G49)</f>
        <v>-307.37999999999192</v>
      </c>
      <c r="J135" s="328">
        <f>H135/DAY(B2)</f>
        <v>3258.0239999999985</v>
      </c>
    </row>
    <row r="136" spans="1:15" ht="31.5" x14ac:dyDescent="0.55000000000000004">
      <c r="A136" s="883" t="s">
        <v>325</v>
      </c>
      <c r="B136" s="883"/>
      <c r="C136" s="883"/>
      <c r="D136" s="883"/>
      <c r="E136" s="883"/>
      <c r="F136" s="883"/>
      <c r="G136" s="883"/>
      <c r="H136" s="883"/>
      <c r="I136" s="883"/>
      <c r="J136" s="883"/>
    </row>
    <row r="137" spans="1:15" ht="29.25" x14ac:dyDescent="0.5">
      <c r="A137" s="245"/>
      <c r="B137" s="246"/>
      <c r="C137" s="246"/>
      <c r="D137" s="165"/>
      <c r="E137" s="165"/>
      <c r="F137" s="165"/>
      <c r="G137" s="165"/>
      <c r="H137" s="156"/>
      <c r="I137" s="165"/>
      <c r="J137" s="327"/>
    </row>
    <row r="138" spans="1:15" ht="27.75" x14ac:dyDescent="0.5">
      <c r="A138" s="846" t="s">
        <v>185</v>
      </c>
      <c r="B138" s="846"/>
      <c r="C138" s="846"/>
      <c r="D138" s="151" t="s">
        <v>183</v>
      </c>
      <c r="E138" s="95">
        <f>'4'!F138</f>
        <v>864477</v>
      </c>
      <c r="F138" s="147">
        <v>864536</v>
      </c>
      <c r="G138" s="112">
        <f t="shared" ref="G138:G152" si="11">F138-E138</f>
        <v>59</v>
      </c>
      <c r="H138" s="99">
        <f>G138+'4'!H138</f>
        <v>365</v>
      </c>
      <c r="I138" s="118"/>
      <c r="J138" s="328">
        <f>H138/DAY(B2)</f>
        <v>73</v>
      </c>
    </row>
    <row r="139" spans="1:15" ht="27.75" x14ac:dyDescent="0.5">
      <c r="A139" s="846" t="s">
        <v>186</v>
      </c>
      <c r="B139" s="846"/>
      <c r="C139" s="846"/>
      <c r="D139" s="151" t="s">
        <v>183</v>
      </c>
      <c r="E139" s="95">
        <f>'4'!F139</f>
        <v>886547</v>
      </c>
      <c r="F139" s="148">
        <v>886547</v>
      </c>
      <c r="G139" s="112">
        <f t="shared" si="11"/>
        <v>0</v>
      </c>
      <c r="H139" s="99">
        <f>G139+'4'!H139</f>
        <v>1</v>
      </c>
      <c r="I139" s="118"/>
      <c r="J139" s="328">
        <f>H139/DAY(B2)</f>
        <v>0.2</v>
      </c>
    </row>
    <row r="140" spans="1:15" ht="27.75" x14ac:dyDescent="0.5">
      <c r="A140" s="846" t="s">
        <v>187</v>
      </c>
      <c r="B140" s="846"/>
      <c r="C140" s="846"/>
      <c r="D140" s="151" t="s">
        <v>183</v>
      </c>
      <c r="E140" s="95">
        <f>'4'!F140</f>
        <v>88898.3</v>
      </c>
      <c r="F140" s="149">
        <v>88898.3</v>
      </c>
      <c r="G140" s="112">
        <f t="shared" si="11"/>
        <v>0</v>
      </c>
      <c r="H140" s="99">
        <f>G140+'4'!H140</f>
        <v>16.30000000000291</v>
      </c>
      <c r="I140" s="118"/>
      <c r="J140" s="328">
        <f>H140/DAY(B2)</f>
        <v>3.260000000000582</v>
      </c>
    </row>
    <row r="141" spans="1:15" ht="27.75" x14ac:dyDescent="0.5">
      <c r="A141" s="850" t="s">
        <v>188</v>
      </c>
      <c r="B141" s="850"/>
      <c r="C141" s="850"/>
      <c r="D141" s="151" t="s">
        <v>183</v>
      </c>
      <c r="E141" s="95">
        <f>'4'!F141</f>
        <v>50035.040000000001</v>
      </c>
      <c r="F141" s="149">
        <v>50206.1</v>
      </c>
      <c r="G141" s="112">
        <f t="shared" si="11"/>
        <v>171.05999999999767</v>
      </c>
      <c r="H141" s="99">
        <f>G141+'4'!H141</f>
        <v>900.09999999999854</v>
      </c>
      <c r="I141" s="118"/>
      <c r="J141" s="328">
        <f>H141/DAY(B2)</f>
        <v>180.0199999999997</v>
      </c>
    </row>
    <row r="142" spans="1:15" ht="27.75" x14ac:dyDescent="0.5">
      <c r="A142" s="850" t="s">
        <v>189</v>
      </c>
      <c r="B142" s="850"/>
      <c r="C142" s="850"/>
      <c r="D142" s="151" t="s">
        <v>183</v>
      </c>
      <c r="E142" s="95">
        <f>'4'!F142</f>
        <v>19291.75</v>
      </c>
      <c r="F142" s="148">
        <v>19368.75</v>
      </c>
      <c r="G142" s="112">
        <f t="shared" si="11"/>
        <v>77</v>
      </c>
      <c r="H142" s="99">
        <f>G142+'4'!H142</f>
        <v>359.75</v>
      </c>
      <c r="I142" s="140"/>
      <c r="J142" s="328">
        <f>H142/DAY(B2)</f>
        <v>71.95</v>
      </c>
    </row>
    <row r="143" spans="1:15" ht="27.75" x14ac:dyDescent="0.5">
      <c r="A143" s="846" t="s">
        <v>91</v>
      </c>
      <c r="B143" s="846"/>
      <c r="C143" s="846"/>
      <c r="D143" s="151" t="s">
        <v>183</v>
      </c>
      <c r="E143" s="95">
        <f>'4'!F143</f>
        <v>3152.36</v>
      </c>
      <c r="F143" s="149">
        <v>3172.7</v>
      </c>
      <c r="G143" s="112">
        <f t="shared" si="11"/>
        <v>20.339999999999691</v>
      </c>
      <c r="H143" s="99">
        <f>G143+'4'!H143</f>
        <v>111.69999999999982</v>
      </c>
      <c r="I143" s="140"/>
      <c r="J143" s="328">
        <f>H143/DAY(B2)</f>
        <v>22.339999999999964</v>
      </c>
    </row>
    <row r="144" spans="1:15" ht="27.75" x14ac:dyDescent="0.5">
      <c r="A144" s="850" t="s">
        <v>90</v>
      </c>
      <c r="B144" s="850"/>
      <c r="C144" s="850"/>
      <c r="D144" s="151" t="s">
        <v>183</v>
      </c>
      <c r="E144" s="95">
        <f>'4'!F144</f>
        <v>870569</v>
      </c>
      <c r="F144" s="149">
        <v>870794</v>
      </c>
      <c r="G144" s="112">
        <f t="shared" si="11"/>
        <v>225</v>
      </c>
      <c r="H144" s="99">
        <f>G144+'4'!H144</f>
        <v>1124</v>
      </c>
      <c r="I144" s="140"/>
      <c r="J144" s="328">
        <f>H144/DAY(B2)</f>
        <v>224.8</v>
      </c>
    </row>
    <row r="145" spans="1:10" ht="27.75" x14ac:dyDescent="0.5">
      <c r="A145" s="846" t="s">
        <v>190</v>
      </c>
      <c r="B145" s="846"/>
      <c r="C145" s="846"/>
      <c r="D145" s="152" t="s">
        <v>183</v>
      </c>
      <c r="E145" s="95">
        <f>'4'!F145</f>
        <v>4624.2299999999996</v>
      </c>
      <c r="F145" s="149">
        <v>4641</v>
      </c>
      <c r="G145" s="112">
        <f t="shared" si="11"/>
        <v>16.770000000000437</v>
      </c>
      <c r="H145" s="99">
        <f>G145+'4'!H145</f>
        <v>83</v>
      </c>
      <c r="I145" s="140"/>
      <c r="J145" s="328">
        <f>H145/DAY(B2)</f>
        <v>16.600000000000001</v>
      </c>
    </row>
    <row r="146" spans="1:10" ht="27.75" x14ac:dyDescent="0.5">
      <c r="A146" s="847" t="s">
        <v>191</v>
      </c>
      <c r="B146" s="848"/>
      <c r="C146" s="849"/>
      <c r="D146" s="152" t="s">
        <v>183</v>
      </c>
      <c r="E146" s="95">
        <f>'4'!F146</f>
        <v>726728</v>
      </c>
      <c r="F146" s="148">
        <v>727178</v>
      </c>
      <c r="G146" s="112">
        <f t="shared" si="11"/>
        <v>450</v>
      </c>
      <c r="H146" s="99">
        <f>G146+'4'!H146</f>
        <v>2320</v>
      </c>
      <c r="I146" s="140"/>
      <c r="J146" s="328">
        <f>H146/DAY(B2)</f>
        <v>464</v>
      </c>
    </row>
    <row r="147" spans="1:10" ht="27.75" x14ac:dyDescent="0.5">
      <c r="A147" s="850" t="s">
        <v>192</v>
      </c>
      <c r="B147" s="850"/>
      <c r="C147" s="850"/>
      <c r="D147" s="152" t="s">
        <v>183</v>
      </c>
      <c r="E147" s="95">
        <f>'4'!F147</f>
        <v>616959.84</v>
      </c>
      <c r="F147" s="148">
        <v>617341</v>
      </c>
      <c r="G147" s="112">
        <f t="shared" si="11"/>
        <v>381.1600000000326</v>
      </c>
      <c r="H147" s="99">
        <f>G147+'4'!H147</f>
        <v>2059</v>
      </c>
      <c r="I147" s="140"/>
      <c r="J147" s="328">
        <f>H147/DAY(B2)</f>
        <v>411.8</v>
      </c>
    </row>
    <row r="148" spans="1:10" ht="27.75" x14ac:dyDescent="0.5">
      <c r="A148" s="842" t="s">
        <v>193</v>
      </c>
      <c r="B148" s="843"/>
      <c r="C148" s="844"/>
      <c r="D148" s="123" t="s">
        <v>130</v>
      </c>
      <c r="E148" s="95">
        <f>'4'!F148</f>
        <v>684170.8</v>
      </c>
      <c r="F148" s="150">
        <f>684170+232</f>
        <v>684402</v>
      </c>
      <c r="G148" s="112">
        <f t="shared" si="11"/>
        <v>231.19999999995343</v>
      </c>
      <c r="H148" s="99">
        <f>G148+'4'!H148</f>
        <v>1368.8800000000047</v>
      </c>
      <c r="I148" s="124"/>
      <c r="J148" s="328">
        <f>H148/DAY(B2)</f>
        <v>273.77600000000092</v>
      </c>
    </row>
    <row r="149" spans="1:10" ht="27.75" x14ac:dyDescent="0.5">
      <c r="A149" s="842" t="s">
        <v>336</v>
      </c>
      <c r="B149" s="843"/>
      <c r="C149" s="844"/>
      <c r="D149" s="227" t="s">
        <v>130</v>
      </c>
      <c r="E149" s="95">
        <f>'4'!F149</f>
        <v>12179.96</v>
      </c>
      <c r="F149" s="146">
        <v>12661.14</v>
      </c>
      <c r="G149" s="112">
        <f t="shared" si="11"/>
        <v>481.18000000000029</v>
      </c>
      <c r="H149" s="99">
        <f>G149+'4'!H149</f>
        <v>1912.1399999999994</v>
      </c>
      <c r="I149" s="119"/>
      <c r="J149" s="328">
        <f>H149/DAY(B2)</f>
        <v>382.42799999999988</v>
      </c>
    </row>
    <row r="150" spans="1:10" ht="27.75" x14ac:dyDescent="0.5">
      <c r="A150" s="842" t="s">
        <v>337</v>
      </c>
      <c r="B150" s="843"/>
      <c r="C150" s="844"/>
      <c r="D150" s="117" t="s">
        <v>130</v>
      </c>
      <c r="E150" s="95">
        <f>'4'!F150</f>
        <v>4925.78</v>
      </c>
      <c r="F150" s="233">
        <v>5143.54</v>
      </c>
      <c r="G150" s="112">
        <f t="shared" si="11"/>
        <v>217.76000000000022</v>
      </c>
      <c r="H150" s="99">
        <f>G150+'4'!H150</f>
        <v>1091.54</v>
      </c>
      <c r="I150" s="119"/>
      <c r="J150" s="328">
        <f>H150/DAY(B2)</f>
        <v>218.30799999999999</v>
      </c>
    </row>
    <row r="151" spans="1:10" ht="27.75" x14ac:dyDescent="0.5">
      <c r="A151" s="842" t="s">
        <v>338</v>
      </c>
      <c r="B151" s="843"/>
      <c r="C151" s="844"/>
      <c r="D151" s="117" t="s">
        <v>130</v>
      </c>
      <c r="E151" s="95">
        <f>'4'!F151</f>
        <v>79257</v>
      </c>
      <c r="F151" s="233">
        <v>79503</v>
      </c>
      <c r="G151" s="112">
        <f t="shared" si="11"/>
        <v>246</v>
      </c>
      <c r="H151" s="99">
        <f>G151+'4'!H151</f>
        <v>1286</v>
      </c>
      <c r="I151" s="119"/>
      <c r="J151" s="328">
        <f>H151/DAY(B2)</f>
        <v>257.2</v>
      </c>
    </row>
    <row r="152" spans="1:10" ht="27.75" x14ac:dyDescent="0.5">
      <c r="A152" s="842" t="s">
        <v>339</v>
      </c>
      <c r="B152" s="843"/>
      <c r="C152" s="844"/>
      <c r="D152" s="117" t="s">
        <v>130</v>
      </c>
      <c r="E152" s="95">
        <f>'4'!F152</f>
        <v>1224.04</v>
      </c>
      <c r="F152" s="233">
        <v>1238.56</v>
      </c>
      <c r="G152" s="112">
        <f t="shared" si="11"/>
        <v>14.519999999999982</v>
      </c>
      <c r="H152" s="99">
        <f>G152+'4'!H152</f>
        <v>111.55999999999995</v>
      </c>
      <c r="I152" s="119"/>
      <c r="J152" s="328">
        <f>H152/DAY(B2)</f>
        <v>22.311999999999991</v>
      </c>
    </row>
    <row r="153" spans="1:10" ht="27.75" x14ac:dyDescent="0.5">
      <c r="A153" s="902" t="s">
        <v>196</v>
      </c>
      <c r="B153" s="902"/>
      <c r="C153" s="365"/>
      <c r="D153" s="358"/>
      <c r="E153" s="360"/>
      <c r="F153" s="361"/>
      <c r="G153" s="362">
        <f>SUM(G138:G152)</f>
        <v>2590.9899999999843</v>
      </c>
      <c r="H153" s="363"/>
      <c r="I153" s="119">
        <f>G153-(G38+G52)</f>
        <v>918.58999999996104</v>
      </c>
      <c r="J153" s="366"/>
    </row>
    <row r="154" spans="1:10" ht="31.5" x14ac:dyDescent="0.55000000000000004">
      <c r="A154" s="883" t="s">
        <v>344</v>
      </c>
      <c r="B154" s="883"/>
      <c r="C154" s="883"/>
      <c r="D154" s="883"/>
      <c r="E154" s="883"/>
      <c r="F154" s="883"/>
      <c r="G154" s="883"/>
      <c r="H154" s="883"/>
      <c r="I154" s="883"/>
      <c r="J154" s="883"/>
    </row>
    <row r="155" spans="1:10" ht="31.5" x14ac:dyDescent="0.55000000000000004">
      <c r="A155" s="850" t="s">
        <v>345</v>
      </c>
      <c r="B155" s="850"/>
      <c r="C155" s="850"/>
      <c r="D155" s="117" t="s">
        <v>130</v>
      </c>
      <c r="E155" s="95">
        <f>'4'!F155</f>
        <v>15390.56</v>
      </c>
      <c r="F155" s="473">
        <v>16004.02</v>
      </c>
      <c r="G155" s="112">
        <f t="shared" ref="G155:G158" si="12">F155-E155</f>
        <v>613.46000000000095</v>
      </c>
      <c r="H155" s="99">
        <f>G155+'4'!H155</f>
        <v>2532.0200000000004</v>
      </c>
      <c r="I155" s="364"/>
      <c r="J155" s="328">
        <f>H155/DAY(B2)</f>
        <v>506.40400000000011</v>
      </c>
    </row>
    <row r="156" spans="1:10" ht="27.75" x14ac:dyDescent="0.5">
      <c r="A156" s="850" t="s">
        <v>346</v>
      </c>
      <c r="B156" s="850"/>
      <c r="C156" s="850"/>
      <c r="D156" s="117" t="s">
        <v>130</v>
      </c>
      <c r="E156" s="95">
        <f>'4'!F156</f>
        <v>1255.8699999999999</v>
      </c>
      <c r="F156" s="165">
        <v>1308.71</v>
      </c>
      <c r="G156" s="112">
        <f t="shared" si="12"/>
        <v>52.840000000000146</v>
      </c>
      <c r="H156" s="99">
        <f>G156+'4'!H156</f>
        <v>220.71000000000004</v>
      </c>
      <c r="I156" s="165"/>
      <c r="J156" s="328">
        <f>H156/DAY(B2)</f>
        <v>44.14200000000001</v>
      </c>
    </row>
    <row r="157" spans="1:10" ht="27.75" x14ac:dyDescent="0.5">
      <c r="A157" s="842" t="s">
        <v>364</v>
      </c>
      <c r="B157" s="843"/>
      <c r="C157" s="844"/>
      <c r="D157" s="117" t="s">
        <v>130</v>
      </c>
      <c r="E157" s="95">
        <f>'4'!F157</f>
        <v>1498.22</v>
      </c>
      <c r="F157" s="165">
        <v>1560</v>
      </c>
      <c r="G157" s="112">
        <f t="shared" si="12"/>
        <v>61.779999999999973</v>
      </c>
      <c r="H157" s="99">
        <f>G157+'4'!H157</f>
        <v>124.40000000000009</v>
      </c>
      <c r="I157" s="165"/>
      <c r="J157" s="328">
        <f>H157/DAY(B2)</f>
        <v>24.880000000000017</v>
      </c>
    </row>
    <row r="158" spans="1:10" ht="27.75" x14ac:dyDescent="0.5">
      <c r="A158" s="842" t="s">
        <v>365</v>
      </c>
      <c r="B158" s="843"/>
      <c r="C158" s="844"/>
      <c r="D158" s="117" t="s">
        <v>130</v>
      </c>
      <c r="E158" s="95">
        <f>'4'!F158</f>
        <v>8.5299999999999994</v>
      </c>
      <c r="F158" s="165">
        <v>14.34</v>
      </c>
      <c r="G158" s="112">
        <f t="shared" si="12"/>
        <v>5.8100000000000005</v>
      </c>
      <c r="H158" s="99">
        <f>G158+'4'!H158</f>
        <v>6.4399999999999995</v>
      </c>
      <c r="I158" s="165"/>
      <c r="J158" s="328">
        <f>H158/DAY(B2)</f>
        <v>1.2879999999999998</v>
      </c>
    </row>
    <row r="159" spans="1:10" ht="27.75" x14ac:dyDescent="0.5">
      <c r="A159" s="899"/>
      <c r="B159" s="900"/>
      <c r="C159" s="901"/>
      <c r="D159" s="117"/>
      <c r="E159" s="95"/>
      <c r="F159" s="165"/>
      <c r="G159" s="112"/>
      <c r="H159" s="99"/>
      <c r="I159" s="165"/>
      <c r="J159" s="328">
        <f>H159/DAY(B2)</f>
        <v>0</v>
      </c>
    </row>
    <row r="160" spans="1:10" ht="31.5" x14ac:dyDescent="0.55000000000000004">
      <c r="A160" s="883" t="s">
        <v>326</v>
      </c>
      <c r="B160" s="883"/>
      <c r="C160" s="883"/>
      <c r="D160" s="883"/>
      <c r="E160" s="883"/>
      <c r="F160" s="883"/>
      <c r="G160" s="883"/>
      <c r="H160" s="883"/>
      <c r="I160" s="883"/>
      <c r="J160" s="883"/>
    </row>
    <row r="161" spans="1:10" ht="29.25" x14ac:dyDescent="0.5">
      <c r="A161" s="242" t="s">
        <v>92</v>
      </c>
      <c r="B161" s="243"/>
      <c r="C161" s="243"/>
      <c r="D161" s="244" t="s">
        <v>180</v>
      </c>
      <c r="E161" s="95">
        <f>'4'!F161</f>
        <v>471153.56</v>
      </c>
      <c r="F161" s="235">
        <v>471153.56</v>
      </c>
      <c r="G161" s="238">
        <f t="shared" ref="G161:G165" si="13">F161-E161</f>
        <v>0</v>
      </c>
      <c r="H161" s="99">
        <f>G161+'4'!H161</f>
        <v>0.40000000002328306</v>
      </c>
      <c r="I161" s="236"/>
      <c r="J161" s="239">
        <f>H161/DAY(B2)</f>
        <v>8.000000000465661E-2</v>
      </c>
    </row>
    <row r="162" spans="1:10" ht="29.25" x14ac:dyDescent="0.5">
      <c r="A162" s="242" t="s">
        <v>93</v>
      </c>
      <c r="B162" s="243"/>
      <c r="C162" s="243"/>
      <c r="D162" s="244" t="s">
        <v>180</v>
      </c>
      <c r="E162" s="95">
        <f>'4'!F162</f>
        <v>87661.2</v>
      </c>
      <c r="F162" s="235">
        <v>87687</v>
      </c>
      <c r="G162" s="238">
        <f t="shared" si="13"/>
        <v>25.80000000000291</v>
      </c>
      <c r="H162" s="99">
        <f>G162+'4'!H162</f>
        <v>117</v>
      </c>
      <c r="I162" s="236"/>
      <c r="J162" s="239">
        <f>H162/DAY(B2)</f>
        <v>23.4</v>
      </c>
    </row>
    <row r="163" spans="1:10" ht="29.25" x14ac:dyDescent="0.5">
      <c r="A163" s="242" t="s">
        <v>197</v>
      </c>
      <c r="B163" s="243"/>
      <c r="C163" s="243"/>
      <c r="D163" s="244" t="s">
        <v>180</v>
      </c>
      <c r="E163" s="95">
        <f>'4'!F163</f>
        <v>77995.100000000006</v>
      </c>
      <c r="F163" s="235">
        <v>78048.2</v>
      </c>
      <c r="G163" s="238">
        <f t="shared" si="13"/>
        <v>53.099999999991269</v>
      </c>
      <c r="H163" s="99">
        <f>G163+'4'!H163</f>
        <v>223.19999999999709</v>
      </c>
      <c r="I163" s="236"/>
      <c r="J163" s="239">
        <f>H163/DAY(B2)</f>
        <v>44.639999999999418</v>
      </c>
    </row>
    <row r="164" spans="1:10" ht="29.25" x14ac:dyDescent="0.5">
      <c r="A164" s="242" t="s">
        <v>197</v>
      </c>
      <c r="B164" s="243"/>
      <c r="C164" s="243"/>
      <c r="D164" s="244" t="s">
        <v>180</v>
      </c>
      <c r="E164" s="95">
        <f>'4'!F164</f>
        <v>4247.3</v>
      </c>
      <c r="F164" s="235">
        <v>4248.6000000000004</v>
      </c>
      <c r="G164" s="238">
        <f t="shared" si="13"/>
        <v>1.3000000000001819</v>
      </c>
      <c r="H164" s="99">
        <f>G164+'4'!H164</f>
        <v>6.6000000000003638</v>
      </c>
      <c r="I164" s="236"/>
      <c r="J164" s="239">
        <f>H164/DAY(B2)</f>
        <v>1.3200000000000727</v>
      </c>
    </row>
    <row r="165" spans="1:10" ht="29.25" x14ac:dyDescent="0.5">
      <c r="A165" s="242" t="s">
        <v>309</v>
      </c>
      <c r="B165" s="243"/>
      <c r="C165" s="243"/>
      <c r="D165" s="244" t="s">
        <v>180</v>
      </c>
      <c r="E165" s="95">
        <f>'4'!F165</f>
        <v>29670.03</v>
      </c>
      <c r="F165" s="235">
        <v>29679.3</v>
      </c>
      <c r="G165" s="238">
        <f t="shared" si="13"/>
        <v>9.2700000000004366</v>
      </c>
      <c r="H165" s="99">
        <f>G165+'4'!H165</f>
        <v>33.299999999999272</v>
      </c>
      <c r="I165" s="236"/>
      <c r="J165" s="239">
        <f>H165/DAY(B2)</f>
        <v>6.6599999999998545</v>
      </c>
    </row>
    <row r="166" spans="1:10" ht="29.25" x14ac:dyDescent="0.5">
      <c r="A166" s="882"/>
      <c r="B166" s="882"/>
      <c r="C166" s="246"/>
      <c r="D166" s="244" t="s">
        <v>180</v>
      </c>
      <c r="E166" s="95">
        <f>'4'!F166</f>
        <v>0</v>
      </c>
      <c r="F166" s="165"/>
      <c r="G166" s="165"/>
      <c r="H166" s="99">
        <f>G166+'4'!H166</f>
        <v>0</v>
      </c>
      <c r="I166" s="165"/>
      <c r="J166" s="327"/>
    </row>
    <row r="167" spans="1:10" ht="29.25" x14ac:dyDescent="0.5">
      <c r="A167" s="882"/>
      <c r="B167" s="882"/>
      <c r="C167" s="246"/>
      <c r="D167" s="244" t="s">
        <v>180</v>
      </c>
      <c r="E167" s="95">
        <f>'4'!F167</f>
        <v>0</v>
      </c>
      <c r="F167" s="165"/>
      <c r="G167" s="165"/>
      <c r="H167" s="99">
        <f>G167+'4'!H167</f>
        <v>0</v>
      </c>
      <c r="I167" s="165"/>
      <c r="J167" s="327"/>
    </row>
    <row r="168" spans="1:10" ht="29.25" x14ac:dyDescent="0.5">
      <c r="A168" s="882"/>
      <c r="B168" s="882"/>
      <c r="C168" s="246"/>
      <c r="D168" s="244" t="s">
        <v>180</v>
      </c>
      <c r="E168" s="95">
        <f>'4'!F168</f>
        <v>0</v>
      </c>
      <c r="F168" s="165"/>
      <c r="G168" s="165"/>
      <c r="H168" s="99">
        <f>G168+'4'!H168</f>
        <v>0</v>
      </c>
      <c r="I168" s="165"/>
      <c r="J168" s="327"/>
    </row>
    <row r="169" spans="1:10" ht="29.25" x14ac:dyDescent="0.5"/>
    <row r="170" spans="1:10" ht="29.25" x14ac:dyDescent="0.5"/>
    <row r="171" spans="1:10" ht="31.5" x14ac:dyDescent="0.35">
      <c r="A171" s="890" t="s">
        <v>330</v>
      </c>
      <c r="B171" s="891"/>
      <c r="C171" s="891"/>
      <c r="D171" s="891"/>
      <c r="E171" s="891"/>
      <c r="F171" s="891"/>
      <c r="G171" s="891"/>
      <c r="H171" s="891"/>
      <c r="I171" s="891"/>
      <c r="J171" s="892"/>
    </row>
    <row r="172" spans="1:10" ht="27.75" x14ac:dyDescent="0.5">
      <c r="A172" s="908"/>
      <c r="B172" s="908"/>
      <c r="C172" s="474"/>
      <c r="D172" s="155"/>
      <c r="E172" s="155"/>
      <c r="F172" s="155"/>
      <c r="G172" s="155"/>
      <c r="H172" s="156"/>
      <c r="I172" s="155"/>
      <c r="J172" s="156"/>
    </row>
    <row r="173" spans="1:10" ht="27.75" x14ac:dyDescent="0.5">
      <c r="A173" s="903" t="s">
        <v>209</v>
      </c>
      <c r="B173" s="903"/>
      <c r="C173" s="333"/>
      <c r="D173" s="155" t="s">
        <v>142</v>
      </c>
      <c r="E173" s="95">
        <f>'4'!F173</f>
        <v>8126</v>
      </c>
      <c r="F173" s="155">
        <v>8126</v>
      </c>
      <c r="G173" s="155">
        <f>F173-E173</f>
        <v>0</v>
      </c>
      <c r="H173" s="99">
        <f>G173+'4'!H173</f>
        <v>0</v>
      </c>
      <c r="I173" s="155"/>
      <c r="J173" s="156">
        <f>H173/DAY(B2)</f>
        <v>0</v>
      </c>
    </row>
    <row r="174" spans="1:10" ht="27.75" x14ac:dyDescent="0.5">
      <c r="A174" s="903" t="s">
        <v>75</v>
      </c>
      <c r="B174" s="903"/>
      <c r="C174" s="333"/>
      <c r="D174" s="155" t="s">
        <v>142</v>
      </c>
      <c r="E174" s="95">
        <f>'4'!F174</f>
        <v>38322</v>
      </c>
      <c r="F174" s="157">
        <v>38336</v>
      </c>
      <c r="G174" s="155">
        <f t="shared" ref="G174:G175" si="14">F174-E174</f>
        <v>14</v>
      </c>
      <c r="H174" s="99">
        <f>G174+'4'!H174</f>
        <v>43</v>
      </c>
      <c r="I174" s="155"/>
      <c r="J174" s="156">
        <f>H174/DAY(B2)</f>
        <v>8.6</v>
      </c>
    </row>
    <row r="175" spans="1:10" ht="27.75" x14ac:dyDescent="0.5">
      <c r="A175" s="903" t="s">
        <v>76</v>
      </c>
      <c r="B175" s="903"/>
      <c r="C175" s="903"/>
      <c r="D175" s="155" t="s">
        <v>142</v>
      </c>
      <c r="E175" s="95">
        <f>'4'!F175</f>
        <v>21556</v>
      </c>
      <c r="F175" s="157">
        <v>21567</v>
      </c>
      <c r="G175" s="155">
        <f t="shared" si="14"/>
        <v>11</v>
      </c>
      <c r="H175" s="99">
        <f>G175+'4'!H175</f>
        <v>49</v>
      </c>
      <c r="I175" s="155"/>
      <c r="J175" s="156">
        <f>H175/DAY(B2)</f>
        <v>9.8000000000000007</v>
      </c>
    </row>
    <row r="176" spans="1:10" ht="27.75" x14ac:dyDescent="0.5">
      <c r="A176" s="902" t="s">
        <v>196</v>
      </c>
      <c r="B176" s="902"/>
      <c r="C176" s="333"/>
      <c r="D176" s="155"/>
      <c r="E176" s="95">
        <f>'4'!F176</f>
        <v>0</v>
      </c>
      <c r="F176" s="155"/>
      <c r="G176" s="155">
        <f>SUM(G173:G175)</f>
        <v>25</v>
      </c>
      <c r="H176" s="99">
        <f>G176+'4'!H176</f>
        <v>92</v>
      </c>
      <c r="I176" s="155"/>
      <c r="J176" s="156">
        <f>H176/DAY(B2)</f>
        <v>18.399999999999999</v>
      </c>
    </row>
    <row r="177" spans="1:10" ht="27.75" x14ac:dyDescent="0.5">
      <c r="A177" s="903" t="s">
        <v>77</v>
      </c>
      <c r="B177" s="903"/>
      <c r="C177" s="333"/>
      <c r="D177" s="155" t="s">
        <v>142</v>
      </c>
      <c r="E177" s="95">
        <f>'4'!F177</f>
        <v>0</v>
      </c>
      <c r="F177" s="155"/>
      <c r="G177" s="155"/>
      <c r="H177" s="99">
        <f>G177+'4'!H177</f>
        <v>0</v>
      </c>
      <c r="I177" s="155"/>
      <c r="J177" s="156">
        <f>H177/DAY(B2)</f>
        <v>0</v>
      </c>
    </row>
    <row r="178" spans="1:10" ht="27.75" x14ac:dyDescent="0.5">
      <c r="A178" s="903" t="s">
        <v>210</v>
      </c>
      <c r="B178" s="903"/>
      <c r="C178" s="333"/>
      <c r="D178" s="155" t="s">
        <v>142</v>
      </c>
      <c r="E178" s="95">
        <f>'4'!F178</f>
        <v>79877</v>
      </c>
      <c r="F178" s="155">
        <v>79974</v>
      </c>
      <c r="G178" s="155">
        <f>F178-E178</f>
        <v>97</v>
      </c>
      <c r="H178" s="99">
        <f>G178+'4'!H178</f>
        <v>360</v>
      </c>
      <c r="I178" s="155"/>
      <c r="J178" s="156">
        <f>H178/DAY(B2)</f>
        <v>72</v>
      </c>
    </row>
    <row r="179" spans="1:10" ht="27.75" x14ac:dyDescent="0.5">
      <c r="A179" s="903" t="s">
        <v>211</v>
      </c>
      <c r="B179" s="903"/>
      <c r="C179" s="333"/>
      <c r="D179" s="155" t="s">
        <v>142</v>
      </c>
      <c r="E179" s="95">
        <f>'4'!F179</f>
        <v>34008</v>
      </c>
      <c r="F179" s="155">
        <v>34024</v>
      </c>
      <c r="G179" s="155">
        <f t="shared" ref="G179:G180" si="15">F179-E179</f>
        <v>16</v>
      </c>
      <c r="H179" s="99">
        <f>G179+'4'!H179</f>
        <v>109</v>
      </c>
      <c r="I179" s="155"/>
      <c r="J179" s="156">
        <f>H179/DAY(B2)</f>
        <v>21.8</v>
      </c>
    </row>
    <row r="180" spans="1:10" ht="27.75" x14ac:dyDescent="0.5">
      <c r="A180" s="903" t="s">
        <v>212</v>
      </c>
      <c r="B180" s="903"/>
      <c r="C180" s="333"/>
      <c r="D180" s="155" t="s">
        <v>142</v>
      </c>
      <c r="E180" s="95">
        <f>'4'!F180</f>
        <v>5504</v>
      </c>
      <c r="F180" s="155">
        <v>5505</v>
      </c>
      <c r="G180" s="155">
        <f t="shared" si="15"/>
        <v>1</v>
      </c>
      <c r="H180" s="99">
        <f>G180+'4'!H180</f>
        <v>28</v>
      </c>
      <c r="I180" s="155"/>
      <c r="J180" s="156">
        <f>H180/DAY(B2)</f>
        <v>5.6</v>
      </c>
    </row>
    <row r="181" spans="1:10" ht="27.75" x14ac:dyDescent="0.5">
      <c r="A181" s="907" t="s">
        <v>108</v>
      </c>
      <c r="B181" s="907"/>
      <c r="C181" s="333"/>
      <c r="D181" s="155"/>
      <c r="E181" s="95">
        <f>'4'!F181</f>
        <v>0</v>
      </c>
      <c r="F181" s="155"/>
      <c r="G181" s="155">
        <f>SUM(G178:G180)</f>
        <v>114</v>
      </c>
      <c r="H181" s="99">
        <f>G181+'4'!H181</f>
        <v>497</v>
      </c>
      <c r="I181" s="155"/>
      <c r="J181" s="156">
        <f>H181/DAY(B2)</f>
        <v>99.4</v>
      </c>
    </row>
    <row r="182" spans="1:10" ht="27.75" x14ac:dyDescent="0.5">
      <c r="A182" s="903" t="s">
        <v>213</v>
      </c>
      <c r="B182" s="903"/>
      <c r="C182" s="333"/>
      <c r="D182" s="155"/>
      <c r="E182" s="95">
        <f>'4'!F182</f>
        <v>0</v>
      </c>
      <c r="F182" s="155"/>
      <c r="G182" s="155"/>
      <c r="H182" s="99">
        <f>G182+'4'!H182</f>
        <v>0</v>
      </c>
      <c r="I182" s="155"/>
      <c r="J182" s="156">
        <f>H182/DAY(B2)</f>
        <v>0</v>
      </c>
    </row>
    <row r="183" spans="1:10" ht="27.75" x14ac:dyDescent="0.5">
      <c r="A183" s="903" t="s">
        <v>214</v>
      </c>
      <c r="B183" s="903"/>
      <c r="C183" s="334"/>
      <c r="D183" s="155" t="s">
        <v>142</v>
      </c>
      <c r="E183" s="95">
        <f>'4'!F183</f>
        <v>15024</v>
      </c>
      <c r="F183" s="157">
        <v>15037</v>
      </c>
      <c r="G183" s="157">
        <f>F183-E183</f>
        <v>13</v>
      </c>
      <c r="H183" s="99">
        <f>G183+'4'!H183</f>
        <v>90</v>
      </c>
      <c r="I183" s="155"/>
      <c r="J183" s="156">
        <f>H183/DAY(B2)</f>
        <v>18</v>
      </c>
    </row>
    <row r="184" spans="1:10" ht="27.75" x14ac:dyDescent="0.5">
      <c r="A184" s="903" t="s">
        <v>215</v>
      </c>
      <c r="B184" s="903"/>
      <c r="C184" s="334"/>
      <c r="D184" s="155" t="s">
        <v>142</v>
      </c>
      <c r="E184" s="95">
        <f>'4'!F184</f>
        <v>10332</v>
      </c>
      <c r="F184" s="157">
        <v>10338</v>
      </c>
      <c r="G184" s="157">
        <f t="shared" ref="G184:G185" si="16">F184-E184</f>
        <v>6</v>
      </c>
      <c r="H184" s="99">
        <f>G184+'4'!H184</f>
        <v>37</v>
      </c>
      <c r="I184" s="155"/>
      <c r="J184" s="156">
        <f>H184/DAY(B2)</f>
        <v>7.4</v>
      </c>
    </row>
    <row r="185" spans="1:10" ht="29.25" customHeight="1" x14ac:dyDescent="0.5">
      <c r="A185" s="903" t="s">
        <v>216</v>
      </c>
      <c r="B185" s="903"/>
      <c r="C185" s="334"/>
      <c r="D185" s="155" t="s">
        <v>142</v>
      </c>
      <c r="E185" s="95">
        <f>'4'!F185</f>
        <v>0</v>
      </c>
      <c r="F185" s="157">
        <v>0</v>
      </c>
      <c r="G185" s="157">
        <f t="shared" si="16"/>
        <v>0</v>
      </c>
      <c r="H185" s="99">
        <f>G185+'4'!H185</f>
        <v>0</v>
      </c>
      <c r="I185" s="155"/>
      <c r="J185" s="156">
        <f>H185/DAY(B2)</f>
        <v>0</v>
      </c>
    </row>
    <row r="186" spans="1:10" ht="27.75" x14ac:dyDescent="0.5">
      <c r="A186" s="902" t="s">
        <v>196</v>
      </c>
      <c r="B186" s="902"/>
      <c r="C186" s="334"/>
      <c r="D186" s="463"/>
      <c r="E186" s="95"/>
      <c r="F186" s="157"/>
      <c r="G186" s="157">
        <f>SUM(G183:G185)</f>
        <v>19</v>
      </c>
      <c r="H186" s="99">
        <f>G186+'4'!H186</f>
        <v>127</v>
      </c>
      <c r="I186" s="157"/>
      <c r="J186" s="156">
        <f>H186/DAY(B2)</f>
        <v>25.4</v>
      </c>
    </row>
    <row r="187" spans="1:10" ht="27.75" x14ac:dyDescent="0.5">
      <c r="A187" s="906" t="s">
        <v>217</v>
      </c>
      <c r="B187" s="906"/>
      <c r="C187" s="333"/>
      <c r="D187" s="157" t="s">
        <v>142</v>
      </c>
      <c r="E187" s="95"/>
      <c r="F187" s="159"/>
      <c r="G187" s="462">
        <f>G62+G19</f>
        <v>137</v>
      </c>
      <c r="H187" s="99">
        <f>G187+'4'!H187</f>
        <v>482</v>
      </c>
      <c r="I187" s="158"/>
      <c r="J187" s="159">
        <f>H187/DAY(B2)</f>
        <v>96.4</v>
      </c>
    </row>
    <row r="188" spans="1:10" ht="27.75" x14ac:dyDescent="0.5">
      <c r="A188" s="906" t="s">
        <v>218</v>
      </c>
      <c r="B188" s="906"/>
      <c r="C188" s="333"/>
      <c r="D188" s="157" t="s">
        <v>142</v>
      </c>
      <c r="E188" s="95"/>
      <c r="F188" s="159"/>
      <c r="G188" s="462">
        <f>G65+G66+G67+G69+G70</f>
        <v>132</v>
      </c>
      <c r="H188" s="99">
        <f>G188+'4'!H188</f>
        <v>734</v>
      </c>
      <c r="I188" s="158"/>
      <c r="J188" s="159">
        <f>H188/DAY(B2)</f>
        <v>146.80000000000001</v>
      </c>
    </row>
    <row r="189" spans="1:10" ht="27.75" x14ac:dyDescent="0.5">
      <c r="A189" s="906" t="s">
        <v>219</v>
      </c>
      <c r="B189" s="906"/>
      <c r="C189" s="333"/>
      <c r="D189" s="157" t="s">
        <v>142</v>
      </c>
      <c r="E189" s="95"/>
      <c r="F189" s="157"/>
      <c r="G189" s="459">
        <f>G181</f>
        <v>114</v>
      </c>
      <c r="H189" s="99">
        <f>G189+'4'!H189</f>
        <v>497</v>
      </c>
      <c r="I189" s="158"/>
      <c r="J189" s="159">
        <f>H189/DAY(B2)</f>
        <v>99.4</v>
      </c>
    </row>
    <row r="190" spans="1:10" ht="27.75" x14ac:dyDescent="0.5">
      <c r="A190" s="905"/>
      <c r="B190" s="905"/>
      <c r="C190" s="475"/>
      <c r="D190" s="476"/>
      <c r="E190" s="477"/>
      <c r="F190" s="476"/>
      <c r="G190" s="476"/>
      <c r="H190" s="478"/>
      <c r="I190" s="476"/>
      <c r="J190" s="479"/>
    </row>
    <row r="191" spans="1:10" ht="29.25" x14ac:dyDescent="0.5"/>
    <row r="192" spans="1:10" ht="29.25" x14ac:dyDescent="0.5"/>
    <row r="193" ht="29.25" x14ac:dyDescent="0.5"/>
    <row r="194" ht="29.25" x14ac:dyDescent="0.5"/>
    <row r="195" ht="29.25" x14ac:dyDescent="0.5"/>
    <row r="196" ht="29.25" x14ac:dyDescent="0.5"/>
    <row r="197" ht="29.25" x14ac:dyDescent="0.5"/>
    <row r="198" ht="29.25" x14ac:dyDescent="0.5"/>
    <row r="199" ht="29.25" x14ac:dyDescent="0.5"/>
    <row r="200" ht="29.25" x14ac:dyDescent="0.5"/>
    <row r="201" ht="29.25" x14ac:dyDescent="0.5"/>
    <row r="202" ht="29.25" x14ac:dyDescent="0.5"/>
    <row r="203" ht="29.25" x14ac:dyDescent="0.5"/>
    <row r="204" ht="29.25" x14ac:dyDescent="0.5"/>
    <row r="205" ht="29.25" x14ac:dyDescent="0.5"/>
    <row r="206" ht="29.25" x14ac:dyDescent="0.5"/>
    <row r="207" ht="29.25" x14ac:dyDescent="0.5"/>
    <row r="208" ht="29.25" x14ac:dyDescent="0.5"/>
    <row r="209" ht="29.25" x14ac:dyDescent="0.5"/>
    <row r="210" ht="29.25" x14ac:dyDescent="0.5"/>
    <row r="211" ht="29.25" x14ac:dyDescent="0.5"/>
    <row r="212" ht="29.25" x14ac:dyDescent="0.5"/>
    <row r="213" ht="29.25" x14ac:dyDescent="0.5"/>
    <row r="214" ht="29.25" x14ac:dyDescent="0.5"/>
    <row r="215" ht="29.25" x14ac:dyDescent="0.5"/>
    <row r="216" ht="29.25" x14ac:dyDescent="0.5"/>
    <row r="217" ht="29.25" x14ac:dyDescent="0.5"/>
    <row r="218" ht="29.25" x14ac:dyDescent="0.5"/>
    <row r="219" ht="29.25" x14ac:dyDescent="0.5"/>
    <row r="220" ht="29.25" x14ac:dyDescent="0.5"/>
    <row r="221" ht="29.25" x14ac:dyDescent="0.5"/>
    <row r="222" ht="29.25" x14ac:dyDescent="0.5"/>
    <row r="223" ht="29.25" x14ac:dyDescent="0.5"/>
    <row r="224" ht="29.25" x14ac:dyDescent="0.5"/>
    <row r="225" ht="29.25" x14ac:dyDescent="0.5"/>
    <row r="226" ht="29.25" x14ac:dyDescent="0.5"/>
    <row r="227" ht="29.25" x14ac:dyDescent="0.5"/>
    <row r="228" ht="29.25" x14ac:dyDescent="0.5"/>
    <row r="229" ht="29.25" x14ac:dyDescent="0.5"/>
    <row r="230" ht="29.25" x14ac:dyDescent="0.5"/>
    <row r="231" ht="29.25" x14ac:dyDescent="0.5"/>
    <row r="232" ht="29.25" x14ac:dyDescent="0.5"/>
    <row r="233" ht="29.25" x14ac:dyDescent="0.5"/>
    <row r="234" ht="29.25" x14ac:dyDescent="0.5"/>
    <row r="235" ht="29.25" x14ac:dyDescent="0.5"/>
    <row r="236" ht="29.25" x14ac:dyDescent="0.5"/>
    <row r="237" ht="29.25" x14ac:dyDescent="0.5"/>
    <row r="238" ht="29.25" x14ac:dyDescent="0.5"/>
    <row r="239" ht="29.25" x14ac:dyDescent="0.5"/>
    <row r="240" ht="29.25" x14ac:dyDescent="0.5"/>
    <row r="241" ht="29.25" x14ac:dyDescent="0.5"/>
    <row r="242" ht="29.25" x14ac:dyDescent="0.5"/>
    <row r="243" ht="29.25" x14ac:dyDescent="0.5"/>
    <row r="244" ht="29.25" x14ac:dyDescent="0.5"/>
    <row r="245" ht="29.25" x14ac:dyDescent="0.5"/>
    <row r="246" ht="29.25" x14ac:dyDescent="0.5"/>
    <row r="247" ht="29.25" x14ac:dyDescent="0.5"/>
    <row r="248" ht="29.25" x14ac:dyDescent="0.5"/>
    <row r="249" ht="29.25" x14ac:dyDescent="0.5"/>
    <row r="250" ht="29.25" x14ac:dyDescent="0.5"/>
    <row r="251" ht="29.25" x14ac:dyDescent="0.5"/>
    <row r="252" ht="29.25" x14ac:dyDescent="0.5"/>
    <row r="253" ht="29.25" x14ac:dyDescent="0.5"/>
    <row r="254" ht="29.25" x14ac:dyDescent="0.5"/>
    <row r="255" ht="29.25" x14ac:dyDescent="0.5"/>
    <row r="256" ht="29.25" x14ac:dyDescent="0.5"/>
    <row r="257" ht="29.25" x14ac:dyDescent="0.5"/>
    <row r="258" ht="29.25" x14ac:dyDescent="0.5"/>
    <row r="259" ht="29.25" x14ac:dyDescent="0.5"/>
    <row r="260" ht="29.25" x14ac:dyDescent="0.5"/>
    <row r="261" ht="29.25" x14ac:dyDescent="0.5"/>
    <row r="262" ht="29.25" x14ac:dyDescent="0.5"/>
    <row r="263" ht="29.25" x14ac:dyDescent="0.5"/>
    <row r="264" ht="29.25" x14ac:dyDescent="0.5"/>
    <row r="265" ht="29.25" x14ac:dyDescent="0.5"/>
    <row r="266" ht="29.25" x14ac:dyDescent="0.5"/>
    <row r="267" ht="29.25" x14ac:dyDescent="0.5"/>
    <row r="268" ht="29.25" x14ac:dyDescent="0.5"/>
    <row r="269" ht="29.25" x14ac:dyDescent="0.5"/>
    <row r="270" ht="29.25" x14ac:dyDescent="0.5"/>
  </sheetData>
  <mergeCells count="115">
    <mergeCell ref="A174:B174"/>
    <mergeCell ref="A176:B176"/>
    <mergeCell ref="A154:J154"/>
    <mergeCell ref="A155:C155"/>
    <mergeCell ref="A156:C156"/>
    <mergeCell ref="A150:C150"/>
    <mergeCell ref="A151:C151"/>
    <mergeCell ref="A152:C152"/>
    <mergeCell ref="A166:B166"/>
    <mergeCell ref="A168:B168"/>
    <mergeCell ref="A160:J160"/>
    <mergeCell ref="A153:B153"/>
    <mergeCell ref="A157:C157"/>
    <mergeCell ref="A158:C158"/>
    <mergeCell ref="A159:C159"/>
    <mergeCell ref="A146:C146"/>
    <mergeCell ref="A147:C147"/>
    <mergeCell ref="A148:C148"/>
    <mergeCell ref="A149:C149"/>
    <mergeCell ref="A143:C143"/>
    <mergeCell ref="A144:C144"/>
    <mergeCell ref="A171:J171"/>
    <mergeCell ref="A172:B172"/>
    <mergeCell ref="A173:B173"/>
    <mergeCell ref="A190:B190"/>
    <mergeCell ref="A185:B185"/>
    <mergeCell ref="A186:B186"/>
    <mergeCell ref="A187:B187"/>
    <mergeCell ref="A188:B188"/>
    <mergeCell ref="A189:B189"/>
    <mergeCell ref="A178:B178"/>
    <mergeCell ref="A179:B179"/>
    <mergeCell ref="A180:B180"/>
    <mergeCell ref="A183:B183"/>
    <mergeCell ref="A184:B184"/>
    <mergeCell ref="A182:B182"/>
    <mergeCell ref="A181:B181"/>
    <mergeCell ref="Q117:R117"/>
    <mergeCell ref="A118:C118"/>
    <mergeCell ref="Q118:R118"/>
    <mergeCell ref="A119:C119"/>
    <mergeCell ref="A113:C113"/>
    <mergeCell ref="A114:C114"/>
    <mergeCell ref="A115:C115"/>
    <mergeCell ref="A116:C116"/>
    <mergeCell ref="Q116:R116"/>
    <mergeCell ref="A117:C117"/>
    <mergeCell ref="A105:C105"/>
    <mergeCell ref="A108:J108"/>
    <mergeCell ref="A122:C122"/>
    <mergeCell ref="A124:C124"/>
    <mergeCell ref="A125:B125"/>
    <mergeCell ref="A112:C112"/>
    <mergeCell ref="A109:B109"/>
    <mergeCell ref="A121:C121"/>
    <mergeCell ref="A177:B177"/>
    <mergeCell ref="A175:C175"/>
    <mergeCell ref="A123:C123"/>
    <mergeCell ref="A128:C128"/>
    <mergeCell ref="A131:C131"/>
    <mergeCell ref="A132:C132"/>
    <mergeCell ref="A133:C133"/>
    <mergeCell ref="A134:C134"/>
    <mergeCell ref="A136:J136"/>
    <mergeCell ref="A138:C138"/>
    <mergeCell ref="A139:C139"/>
    <mergeCell ref="A140:C140"/>
    <mergeCell ref="A167:B167"/>
    <mergeCell ref="A141:C141"/>
    <mergeCell ref="A142:C142"/>
    <mergeCell ref="A145:C145"/>
    <mergeCell ref="A1:J1"/>
    <mergeCell ref="A6:C6"/>
    <mergeCell ref="A14:C14"/>
    <mergeCell ref="A17:C17"/>
    <mergeCell ref="E3:F3"/>
    <mergeCell ref="A64:C64"/>
    <mergeCell ref="A65:C65"/>
    <mergeCell ref="A74:C74"/>
    <mergeCell ref="A75:C75"/>
    <mergeCell ref="A73:C73"/>
    <mergeCell ref="A61:C61"/>
    <mergeCell ref="A62:C62"/>
    <mergeCell ref="A63:C63"/>
    <mergeCell ref="A71:C71"/>
    <mergeCell ref="A72:B72"/>
    <mergeCell ref="A18:C18"/>
    <mergeCell ref="A19:C19"/>
    <mergeCell ref="A21:C21"/>
    <mergeCell ref="A25:C25"/>
    <mergeCell ref="A33:C33"/>
    <mergeCell ref="A135:B135"/>
    <mergeCell ref="A76:C76"/>
    <mergeCell ref="A77:C77"/>
    <mergeCell ref="A79:C79"/>
    <mergeCell ref="A78:C78"/>
    <mergeCell ref="A103:C103"/>
    <mergeCell ref="A104:C104"/>
    <mergeCell ref="A93:C93"/>
    <mergeCell ref="A94:C94"/>
    <mergeCell ref="A80:C80"/>
    <mergeCell ref="A81:C81"/>
    <mergeCell ref="A95:C95"/>
    <mergeCell ref="A96:C96"/>
    <mergeCell ref="A102:C102"/>
    <mergeCell ref="A97:C97"/>
    <mergeCell ref="A98:C98"/>
    <mergeCell ref="A99:C99"/>
    <mergeCell ref="A100:C100"/>
    <mergeCell ref="A101:C101"/>
    <mergeCell ref="A126:J126"/>
    <mergeCell ref="A127:B127"/>
    <mergeCell ref="A110:J110"/>
    <mergeCell ref="A111:C111"/>
    <mergeCell ref="A120:C120"/>
  </mergeCells>
  <pageMargins left="0.22" right="0.17" top="0.14000000000000001" bottom="0.2" header="0.2" footer="0.2"/>
  <pageSetup paperSize="5" scale="18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1:R270"/>
  <sheetViews>
    <sheetView view="pageBreakPreview" zoomScale="55" zoomScaleSheetLayoutView="55" workbookViewId="0">
      <selection activeCell="F24" sqref="F24"/>
    </sheetView>
  </sheetViews>
  <sheetFormatPr defaultColWidth="22.33203125" defaultRowHeight="21.95" customHeight="1" x14ac:dyDescent="0.5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6" width="30" style="160" customWidth="1"/>
    <col min="7" max="7" width="28.88671875" style="160" customWidth="1"/>
    <col min="8" max="8" width="39.21875" style="161" customWidth="1"/>
    <col min="9" max="9" width="23.5546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33.75" x14ac:dyDescent="0.65">
      <c r="A1" s="821" t="s">
        <v>115</v>
      </c>
      <c r="B1" s="822"/>
      <c r="C1" s="822"/>
      <c r="D1" s="822"/>
      <c r="E1" s="822"/>
      <c r="F1" s="822"/>
      <c r="G1" s="822"/>
      <c r="H1" s="822"/>
      <c r="I1" s="822"/>
      <c r="J1" s="823"/>
    </row>
    <row r="2" spans="1:15" s="57" customFormat="1" ht="27" x14ac:dyDescent="0.5">
      <c r="A2" s="191" t="s">
        <v>363</v>
      </c>
      <c r="B2" s="262">
        <v>44567</v>
      </c>
      <c r="C2" s="348" t="s">
        <v>67</v>
      </c>
      <c r="D2" s="218">
        <v>0.78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27" x14ac:dyDescent="0.5">
      <c r="A3" s="189"/>
      <c r="B3" s="221"/>
      <c r="C3" s="348" t="s">
        <v>118</v>
      </c>
      <c r="D3" s="219">
        <v>25</v>
      </c>
      <c r="E3" s="830" t="s">
        <v>119</v>
      </c>
      <c r="F3" s="831"/>
      <c r="G3" s="101"/>
      <c r="H3" s="102"/>
      <c r="I3" s="102"/>
      <c r="J3" s="222"/>
      <c r="K3" s="61"/>
      <c r="L3" s="58"/>
    </row>
    <row r="4" spans="1:15" s="57" customFormat="1" ht="27" x14ac:dyDescent="0.5">
      <c r="A4" s="192"/>
      <c r="B4" s="223"/>
      <c r="C4" s="348" t="s">
        <v>120</v>
      </c>
      <c r="D4" s="218">
        <v>0.78</v>
      </c>
      <c r="E4" s="103"/>
      <c r="F4" s="103"/>
      <c r="G4" s="103"/>
      <c r="H4" s="103"/>
      <c r="I4" s="104"/>
      <c r="J4" s="222"/>
      <c r="K4" s="62"/>
      <c r="L4" s="58"/>
    </row>
    <row r="5" spans="1:15" ht="29.25" x14ac:dyDescent="0.4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5" ht="29.25" x14ac:dyDescent="0.4">
      <c r="A6" s="824" t="s">
        <v>128</v>
      </c>
      <c r="B6" s="825"/>
      <c r="C6" s="826"/>
      <c r="D6" s="110"/>
      <c r="E6" s="110"/>
      <c r="F6" s="110"/>
      <c r="G6" s="110"/>
      <c r="H6" s="111"/>
      <c r="I6" s="111"/>
      <c r="J6" s="174"/>
      <c r="K6" s="78"/>
      <c r="L6" s="66"/>
    </row>
    <row r="7" spans="1:15" ht="30" thickBot="1" x14ac:dyDescent="0.45">
      <c r="A7" s="194" t="s">
        <v>129</v>
      </c>
      <c r="B7" s="195"/>
      <c r="C7" s="195"/>
      <c r="D7" s="151" t="s">
        <v>130</v>
      </c>
      <c r="E7" s="95">
        <f>'5'!F7</f>
        <v>192932</v>
      </c>
      <c r="F7" s="95">
        <v>213204</v>
      </c>
      <c r="G7" s="112">
        <f>F7-E7</f>
        <v>20272</v>
      </c>
      <c r="H7" s="99">
        <f>G7+'5'!H7</f>
        <v>118643</v>
      </c>
      <c r="I7" s="113">
        <f>'1'!I7</f>
        <v>12000</v>
      </c>
      <c r="J7" s="175">
        <f>H7/DAY(B2)</f>
        <v>19773.833333333332</v>
      </c>
      <c r="K7" s="172">
        <v>1375467</v>
      </c>
      <c r="L7" s="66"/>
      <c r="N7" s="87"/>
      <c r="O7" s="71"/>
    </row>
    <row r="8" spans="1:15" ht="27.75" thickBot="1" x14ac:dyDescent="0.45">
      <c r="A8" s="196" t="s">
        <v>131</v>
      </c>
      <c r="B8" s="197"/>
      <c r="C8" s="198"/>
      <c r="D8" s="224" t="s">
        <v>24</v>
      </c>
      <c r="E8" s="95">
        <f>'5'!F8</f>
        <v>241310</v>
      </c>
      <c r="F8" s="114">
        <v>262018</v>
      </c>
      <c r="G8" s="115">
        <f>F8-E8</f>
        <v>20708</v>
      </c>
      <c r="H8" s="99">
        <f>G8+'5'!H8</f>
        <v>121133</v>
      </c>
      <c r="I8" s="116"/>
      <c r="J8" s="175">
        <f>H8/DAY(B2)</f>
        <v>20188.833333333332</v>
      </c>
      <c r="K8" s="172">
        <v>1715917</v>
      </c>
      <c r="L8" s="76">
        <v>1728480</v>
      </c>
      <c r="M8" s="87">
        <f>L8-K8</f>
        <v>12563</v>
      </c>
      <c r="N8" s="87"/>
      <c r="O8" s="71"/>
    </row>
    <row r="9" spans="1:15" ht="29.25" x14ac:dyDescent="0.4">
      <c r="A9" s="199" t="s">
        <v>132</v>
      </c>
      <c r="B9" s="200"/>
      <c r="C9" s="200"/>
      <c r="D9" s="151" t="s">
        <v>130</v>
      </c>
      <c r="E9" s="95">
        <f>'5'!F9</f>
        <v>2320792.5</v>
      </c>
      <c r="F9" s="117">
        <v>2333339</v>
      </c>
      <c r="G9" s="112">
        <f>F9-E9</f>
        <v>12546.5</v>
      </c>
      <c r="H9" s="99">
        <f>G9+'5'!H9</f>
        <v>74563</v>
      </c>
      <c r="I9" s="124">
        <f>I7-J7</f>
        <v>-7773.8333333333321</v>
      </c>
      <c r="J9" s="175">
        <f>H9/DAY(B2)</f>
        <v>12427.166666666666</v>
      </c>
      <c r="K9" s="79">
        <f>K8-100</f>
        <v>1715817</v>
      </c>
      <c r="L9" s="66"/>
      <c r="N9" s="87"/>
      <c r="O9" s="71"/>
    </row>
    <row r="10" spans="1:15" ht="29.25" x14ac:dyDescent="0.4">
      <c r="A10" s="194" t="s">
        <v>133</v>
      </c>
      <c r="B10" s="195"/>
      <c r="C10" s="195"/>
      <c r="D10" s="151" t="s">
        <v>130</v>
      </c>
      <c r="E10" s="95">
        <f>'5'!F10</f>
        <v>574520.47</v>
      </c>
      <c r="F10" s="117">
        <v>581680</v>
      </c>
      <c r="G10" s="112">
        <f t="shared" ref="G10:G12" si="0">F10-E10</f>
        <v>7159.5300000000279</v>
      </c>
      <c r="H10" s="99">
        <f>G10+'5'!H10</f>
        <v>40854</v>
      </c>
      <c r="I10" s="282"/>
      <c r="J10" s="175">
        <f>H10/DAY(B2)</f>
        <v>6809</v>
      </c>
      <c r="K10" s="79"/>
      <c r="L10" s="66"/>
      <c r="N10" s="87"/>
      <c r="O10" s="71"/>
    </row>
    <row r="11" spans="1:15" ht="29.25" x14ac:dyDescent="0.4">
      <c r="A11" s="194" t="s">
        <v>134</v>
      </c>
      <c r="B11" s="195"/>
      <c r="C11" s="195"/>
      <c r="D11" s="151" t="s">
        <v>130</v>
      </c>
      <c r="E11" s="95">
        <f>'5'!F11</f>
        <v>37000</v>
      </c>
      <c r="F11" s="95">
        <v>37000</v>
      </c>
      <c r="G11" s="112">
        <f t="shared" si="0"/>
        <v>0</v>
      </c>
      <c r="H11" s="99">
        <f>G11+'5'!H11</f>
        <v>0</v>
      </c>
      <c r="I11" s="282"/>
      <c r="J11" s="175">
        <f>H11/DAY(B2)</f>
        <v>0</v>
      </c>
      <c r="K11" s="79"/>
      <c r="L11" s="66"/>
      <c r="N11" s="87"/>
      <c r="O11" s="71"/>
    </row>
    <row r="12" spans="1:15" ht="29.25" x14ac:dyDescent="0.4">
      <c r="A12" s="194" t="s">
        <v>135</v>
      </c>
      <c r="B12" s="195"/>
      <c r="C12" s="195"/>
      <c r="D12" s="151" t="s">
        <v>130</v>
      </c>
      <c r="E12" s="95">
        <f>'5'!F12</f>
        <v>40010</v>
      </c>
      <c r="F12" s="117">
        <v>40010</v>
      </c>
      <c r="G12" s="112">
        <f t="shared" si="0"/>
        <v>0</v>
      </c>
      <c r="H12" s="99">
        <f>G12+'5'!H12</f>
        <v>0</v>
      </c>
      <c r="I12" s="282"/>
      <c r="J12" s="175">
        <f>H12/DAY(B2)</f>
        <v>0</v>
      </c>
      <c r="K12" s="79"/>
      <c r="L12" s="66"/>
      <c r="N12" s="87"/>
      <c r="O12" s="71"/>
    </row>
    <row r="13" spans="1:15" ht="29.25" x14ac:dyDescent="0.5">
      <c r="A13" s="201" t="s">
        <v>136</v>
      </c>
      <c r="B13" s="202"/>
      <c r="C13" s="202"/>
      <c r="D13" s="151"/>
      <c r="E13" s="95"/>
      <c r="F13" s="95"/>
      <c r="G13" s="119">
        <f>G9+G10+G11+G12</f>
        <v>19706.030000000028</v>
      </c>
      <c r="H13" s="99">
        <f>G13+'5'!H13</f>
        <v>95951.749999999884</v>
      </c>
      <c r="I13" s="120">
        <f>G7-G13</f>
        <v>565.96999999997206</v>
      </c>
      <c r="J13" s="175">
        <f>H13/DAY(B2)</f>
        <v>15991.958333333314</v>
      </c>
      <c r="K13" s="79"/>
      <c r="L13" s="66"/>
      <c r="N13" s="87"/>
      <c r="O13" s="71"/>
    </row>
    <row r="14" spans="1:15" ht="29.25" x14ac:dyDescent="0.5">
      <c r="A14" s="827" t="s">
        <v>137</v>
      </c>
      <c r="B14" s="828"/>
      <c r="C14" s="829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5" ht="29.25" x14ac:dyDescent="0.5">
      <c r="A15" s="345" t="s">
        <v>138</v>
      </c>
      <c r="B15" s="205"/>
      <c r="C15" s="205"/>
      <c r="D15" s="151" t="s">
        <v>139</v>
      </c>
      <c r="E15" s="95">
        <f>'5'!F15</f>
        <v>1882870.7</v>
      </c>
      <c r="F15" s="123">
        <v>1883804</v>
      </c>
      <c r="G15" s="112">
        <f>(F15-E15)</f>
        <v>933.30000000004657</v>
      </c>
      <c r="H15" s="99">
        <f>G15+'5'!H15</f>
        <v>5374</v>
      </c>
      <c r="I15" s="113">
        <f>'1'!I15</f>
        <v>800</v>
      </c>
      <c r="J15" s="175">
        <f>H15/DAY(B2)</f>
        <v>895.66666666666663</v>
      </c>
      <c r="K15" s="79"/>
      <c r="L15" s="66"/>
      <c r="N15" s="87"/>
      <c r="O15" s="71"/>
    </row>
    <row r="16" spans="1:15" ht="29.25" x14ac:dyDescent="0.4">
      <c r="A16" s="203"/>
      <c r="B16" s="204"/>
      <c r="C16" s="204"/>
      <c r="D16" s="152"/>
      <c r="E16" s="123"/>
      <c r="F16" s="123"/>
      <c r="G16" s="112"/>
      <c r="H16" s="124"/>
      <c r="I16" s="120">
        <f>I15-J15</f>
        <v>-95.666666666666629</v>
      </c>
      <c r="J16" s="176"/>
      <c r="K16" s="79"/>
      <c r="L16" s="66"/>
      <c r="N16" s="87"/>
      <c r="O16" s="71"/>
    </row>
    <row r="17" spans="1:15" ht="29.25" x14ac:dyDescent="0.5">
      <c r="A17" s="827" t="s">
        <v>140</v>
      </c>
      <c r="B17" s="828"/>
      <c r="C17" s="829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5" ht="27.75" x14ac:dyDescent="0.5">
      <c r="A18" s="818" t="s">
        <v>141</v>
      </c>
      <c r="B18" s="819"/>
      <c r="C18" s="820"/>
      <c r="D18" s="151" t="s">
        <v>142</v>
      </c>
      <c r="E18" s="95">
        <f>'5'!F18</f>
        <v>12</v>
      </c>
      <c r="F18" s="122">
        <v>16</v>
      </c>
      <c r="G18" s="119">
        <f>F18*10</f>
        <v>160</v>
      </c>
      <c r="H18" s="99">
        <f>G18+'5'!H18</f>
        <v>750</v>
      </c>
      <c r="I18" s="113">
        <f>'1'!I18</f>
        <v>65</v>
      </c>
      <c r="J18" s="175">
        <f>H18/DAY(B2)</f>
        <v>125</v>
      </c>
      <c r="K18" s="79"/>
      <c r="L18" s="66"/>
      <c r="N18" s="87"/>
      <c r="O18" s="71"/>
    </row>
    <row r="19" spans="1:15" ht="27.75" x14ac:dyDescent="0.5">
      <c r="A19" s="818" t="s">
        <v>69</v>
      </c>
      <c r="B19" s="819"/>
      <c r="C19" s="820"/>
      <c r="D19" s="151" t="s">
        <v>142</v>
      </c>
      <c r="E19" s="95">
        <f>'5'!F19</f>
        <v>152491</v>
      </c>
      <c r="F19" s="122">
        <v>152535</v>
      </c>
      <c r="G19" s="112">
        <f t="shared" ref="G19" si="1">F19-E19</f>
        <v>44</v>
      </c>
      <c r="H19" s="99">
        <f>G19+'5'!H19</f>
        <v>310</v>
      </c>
      <c r="I19" s="335"/>
      <c r="J19" s="175">
        <f>H19/DAY(B2)</f>
        <v>51.666666666666664</v>
      </c>
      <c r="K19" s="79"/>
      <c r="L19" s="66"/>
      <c r="N19" s="87"/>
      <c r="O19" s="71"/>
    </row>
    <row r="20" spans="1:15" ht="29.25" x14ac:dyDescent="0.5">
      <c r="A20" s="201" t="s">
        <v>143</v>
      </c>
      <c r="B20" s="202"/>
      <c r="C20" s="202"/>
      <c r="D20" s="126"/>
      <c r="E20" s="126"/>
      <c r="F20" s="126"/>
      <c r="G20" s="127">
        <f>G18+G19</f>
        <v>204</v>
      </c>
      <c r="H20" s="99">
        <f>G20+'5'!H20</f>
        <v>1060</v>
      </c>
      <c r="I20" s="336">
        <f>I18-J20</f>
        <v>-111.66666666666666</v>
      </c>
      <c r="J20" s="175">
        <f>H20/DAY(B2)</f>
        <v>176.66666666666666</v>
      </c>
      <c r="K20" s="79"/>
      <c r="L20" s="66"/>
      <c r="N20" s="87"/>
      <c r="O20" s="71"/>
    </row>
    <row r="21" spans="1:15" ht="29.25" x14ac:dyDescent="0.5">
      <c r="A21" s="827" t="s">
        <v>144</v>
      </c>
      <c r="B21" s="828"/>
      <c r="C21" s="829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5" ht="29.25" x14ac:dyDescent="0.5">
      <c r="A22" s="345" t="s">
        <v>145</v>
      </c>
      <c r="B22" s="205"/>
      <c r="C22" s="205"/>
      <c r="D22" s="151" t="s">
        <v>146</v>
      </c>
      <c r="E22" s="95">
        <f>'5'!F22</f>
        <v>2970</v>
      </c>
      <c r="F22" s="122">
        <v>2970</v>
      </c>
      <c r="G22" s="119">
        <f t="shared" ref="G22" si="2">(F22-E22)</f>
        <v>0</v>
      </c>
      <c r="H22" s="99">
        <f>G22+'5'!H22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29.25" x14ac:dyDescent="0.5">
      <c r="A23" s="345" t="s">
        <v>147</v>
      </c>
      <c r="B23" s="205"/>
      <c r="C23" s="205"/>
      <c r="D23" s="151" t="s">
        <v>146</v>
      </c>
      <c r="E23" s="95">
        <f>'5'!F23</f>
        <v>1500</v>
      </c>
      <c r="F23" s="122">
        <v>1500</v>
      </c>
      <c r="G23" s="119">
        <v>0</v>
      </c>
      <c r="H23" s="99">
        <f>G23+'5'!H23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5" ht="29.25" x14ac:dyDescent="0.4">
      <c r="A24" s="206" t="s">
        <v>148</v>
      </c>
      <c r="B24" s="207"/>
      <c r="C24" s="207"/>
      <c r="D24" s="146" t="s">
        <v>146</v>
      </c>
      <c r="E24" s="95">
        <f>'5'!F24</f>
        <v>4970</v>
      </c>
      <c r="F24" s="128">
        <v>4970</v>
      </c>
      <c r="G24" s="119">
        <v>0</v>
      </c>
      <c r="H24" s="99">
        <f>G24+'5'!H24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5" s="88" customFormat="1" ht="27" x14ac:dyDescent="0.35">
      <c r="A25" s="832" t="s">
        <v>149</v>
      </c>
      <c r="B25" s="833"/>
      <c r="C25" s="834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5" s="88" customFormat="1" ht="27.75" x14ac:dyDescent="0.5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/>
      <c r="I26" s="134"/>
      <c r="J26" s="175"/>
      <c r="K26" s="64"/>
      <c r="L26" s="89"/>
      <c r="N26" s="87"/>
      <c r="O26" s="71"/>
    </row>
    <row r="27" spans="1:15" s="88" customFormat="1" ht="27.75" x14ac:dyDescent="0.5">
      <c r="A27" s="208" t="s">
        <v>5</v>
      </c>
      <c r="B27" s="209"/>
      <c r="C27" s="210"/>
      <c r="D27" s="226" t="s">
        <v>24</v>
      </c>
      <c r="E27" s="135">
        <f>G8</f>
        <v>20708</v>
      </c>
      <c r="F27" s="136">
        <v>9</v>
      </c>
      <c r="G27" s="137">
        <f>E27*F27</f>
        <v>186372</v>
      </c>
      <c r="H27" s="99">
        <f>G27+'5'!H27</f>
        <v>1090197</v>
      </c>
      <c r="I27" s="138"/>
      <c r="J27" s="175">
        <f>H27/DAY(B2)</f>
        <v>181699.5</v>
      </c>
      <c r="K27" s="63"/>
      <c r="L27" s="89"/>
      <c r="N27" s="87"/>
      <c r="O27" s="71"/>
    </row>
    <row r="28" spans="1:15" s="88" customFormat="1" ht="27.75" x14ac:dyDescent="0.5">
      <c r="A28" s="208" t="s">
        <v>152</v>
      </c>
      <c r="B28" s="209"/>
      <c r="C28" s="210"/>
      <c r="D28" s="226" t="s">
        <v>153</v>
      </c>
      <c r="E28" s="139">
        <f>G15</f>
        <v>933.30000000004657</v>
      </c>
      <c r="F28" s="136">
        <v>52</v>
      </c>
      <c r="G28" s="137">
        <f>E28*F28</f>
        <v>48531.600000002421</v>
      </c>
      <c r="H28" s="99">
        <f>G28+'5'!H28</f>
        <v>279448</v>
      </c>
      <c r="I28" s="140"/>
      <c r="J28" s="175">
        <f>H28/DAY(B2)</f>
        <v>46574.666666666664</v>
      </c>
      <c r="K28" s="63"/>
      <c r="L28" s="89"/>
      <c r="N28" s="87"/>
      <c r="O28" s="71"/>
    </row>
    <row r="29" spans="1:15" s="88" customFormat="1" ht="27.75" x14ac:dyDescent="0.5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>E29*F29</f>
        <v>0</v>
      </c>
      <c r="H29" s="99">
        <f>G29+'5'!H29</f>
        <v>0</v>
      </c>
      <c r="I29" s="140"/>
      <c r="J29" s="175">
        <f>H29/DAY(B2)</f>
        <v>0</v>
      </c>
      <c r="K29" s="63"/>
      <c r="L29" s="89"/>
      <c r="N29" s="87"/>
      <c r="O29" s="71"/>
    </row>
    <row r="30" spans="1:15" s="88" customFormat="1" ht="27.75" x14ac:dyDescent="0.5">
      <c r="A30" s="208" t="s">
        <v>156</v>
      </c>
      <c r="B30" s="209"/>
      <c r="C30" s="210"/>
      <c r="D30" s="226" t="s">
        <v>157</v>
      </c>
      <c r="E30" s="141">
        <f>G19</f>
        <v>44</v>
      </c>
      <c r="F30" s="136">
        <v>146</v>
      </c>
      <c r="G30" s="137">
        <f>E30*F30</f>
        <v>6424</v>
      </c>
      <c r="H30" s="99">
        <f>G30+'5'!H30</f>
        <v>45260</v>
      </c>
      <c r="I30" s="140"/>
      <c r="J30" s="175">
        <f>H30/DAY(B2)</f>
        <v>7543.333333333333</v>
      </c>
      <c r="K30" s="63"/>
      <c r="L30" s="89"/>
      <c r="N30" s="87"/>
      <c r="O30" s="71"/>
    </row>
    <row r="31" spans="1:15" s="88" customFormat="1" ht="27.75" x14ac:dyDescent="0.5">
      <c r="A31" s="208" t="s">
        <v>158</v>
      </c>
      <c r="B31" s="209"/>
      <c r="C31" s="210"/>
      <c r="D31" s="226" t="s">
        <v>142</v>
      </c>
      <c r="E31" s="141">
        <f>G18</f>
        <v>160</v>
      </c>
      <c r="F31" s="136">
        <v>80</v>
      </c>
      <c r="G31" s="137">
        <f>E31*F31</f>
        <v>12800</v>
      </c>
      <c r="H31" s="99">
        <f>G31+'5'!H31</f>
        <v>60000</v>
      </c>
      <c r="I31" s="140"/>
      <c r="J31" s="175">
        <f>H31/DAY(B2)</f>
        <v>10000</v>
      </c>
      <c r="K31" s="63"/>
      <c r="L31" s="89"/>
      <c r="N31" s="87"/>
      <c r="O31" s="71"/>
    </row>
    <row r="32" spans="1:15" s="88" customFormat="1" ht="27.75" x14ac:dyDescent="0.5">
      <c r="A32" s="211" t="s">
        <v>159</v>
      </c>
      <c r="B32" s="212"/>
      <c r="C32" s="213"/>
      <c r="D32" s="142"/>
      <c r="E32" s="142"/>
      <c r="F32" s="142"/>
      <c r="G32" s="143">
        <f>G27+G28+G29+G30+G31</f>
        <v>254127.60000000242</v>
      </c>
      <c r="H32" s="99">
        <f>G32+'5'!H32</f>
        <v>1474905</v>
      </c>
      <c r="I32" s="144"/>
      <c r="J32" s="175">
        <f>H32/DAY(B2)</f>
        <v>245817.5</v>
      </c>
      <c r="K32" s="63"/>
      <c r="L32" s="89"/>
      <c r="N32" s="87"/>
      <c r="O32" s="71"/>
    </row>
    <row r="33" spans="1:15" ht="25.5" customHeight="1" x14ac:dyDescent="0.35">
      <c r="A33" s="835" t="s">
        <v>331</v>
      </c>
      <c r="B33" s="836"/>
      <c r="C33" s="836"/>
      <c r="D33" s="337"/>
      <c r="E33" s="337"/>
      <c r="F33" s="337"/>
      <c r="G33" s="337"/>
      <c r="H33" s="337"/>
      <c r="I33" s="337"/>
      <c r="J33" s="338"/>
      <c r="K33" s="79"/>
      <c r="L33" s="66"/>
      <c r="N33" s="87"/>
      <c r="O33" s="71"/>
    </row>
    <row r="34" spans="1:15" ht="29.25" x14ac:dyDescent="0.5">
      <c r="A34" s="214" t="s">
        <v>160</v>
      </c>
      <c r="B34" s="349"/>
      <c r="C34" s="349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29.25" x14ac:dyDescent="0.4">
      <c r="A35" s="194" t="s">
        <v>161</v>
      </c>
      <c r="B35" s="195"/>
      <c r="C35" s="195"/>
      <c r="D35" s="151" t="s">
        <v>130</v>
      </c>
      <c r="E35" s="95">
        <f>'5'!F35</f>
        <v>162553.63</v>
      </c>
      <c r="F35" s="145">
        <v>164358</v>
      </c>
      <c r="G35" s="112">
        <f t="shared" ref="G35:G46" si="3">F35-E35</f>
        <v>1804.3699999999953</v>
      </c>
      <c r="H35" s="99">
        <f>G35+'5'!H35</f>
        <v>11516</v>
      </c>
      <c r="I35" s="95"/>
      <c r="J35" s="175">
        <f>H35/DAY(B2)</f>
        <v>1919.3333333333333</v>
      </c>
      <c r="K35" s="79"/>
      <c r="L35" s="66"/>
      <c r="N35" s="87"/>
      <c r="O35" s="71"/>
    </row>
    <row r="36" spans="1:15" ht="29.25" x14ac:dyDescent="0.4">
      <c r="A36" s="194" t="s">
        <v>162</v>
      </c>
      <c r="B36" s="195"/>
      <c r="C36" s="195"/>
      <c r="D36" s="151" t="s">
        <v>130</v>
      </c>
      <c r="E36" s="95">
        <f>'5'!F36</f>
        <v>25481.79</v>
      </c>
      <c r="F36" s="145">
        <v>26531</v>
      </c>
      <c r="G36" s="112">
        <f t="shared" si="3"/>
        <v>1049.2099999999991</v>
      </c>
      <c r="H36" s="99">
        <f>G36+'5'!H36</f>
        <v>5004</v>
      </c>
      <c r="I36" s="95"/>
      <c r="J36" s="175">
        <f>H36/DAY(B2)</f>
        <v>834</v>
      </c>
      <c r="K36" s="79"/>
      <c r="L36" s="66"/>
      <c r="N36" s="87"/>
      <c r="O36" s="344"/>
    </row>
    <row r="37" spans="1:15" ht="29.25" x14ac:dyDescent="0.4">
      <c r="A37" s="194" t="s">
        <v>163</v>
      </c>
      <c r="B37" s="195"/>
      <c r="C37" s="195"/>
      <c r="D37" s="151" t="s">
        <v>130</v>
      </c>
      <c r="E37" s="95">
        <f>'5'!F37</f>
        <v>203029.89</v>
      </c>
      <c r="F37" s="145">
        <v>204547</v>
      </c>
      <c r="G37" s="112">
        <f t="shared" si="3"/>
        <v>1517.109999999986</v>
      </c>
      <c r="H37" s="99">
        <f>G37+'5'!H37</f>
        <v>9154</v>
      </c>
      <c r="I37" s="95"/>
      <c r="J37" s="175">
        <f>H37/DAY(B2)</f>
        <v>1525.6666666666667</v>
      </c>
      <c r="K37" s="79"/>
      <c r="L37" s="66"/>
      <c r="N37" s="87"/>
      <c r="O37" s="234"/>
    </row>
    <row r="38" spans="1:15" ht="29.25" x14ac:dyDescent="0.4">
      <c r="A38" s="194" t="s">
        <v>164</v>
      </c>
      <c r="B38" s="195"/>
      <c r="C38" s="195"/>
      <c r="D38" s="151" t="s">
        <v>130</v>
      </c>
      <c r="E38" s="95">
        <f>'5'!F38</f>
        <v>240611.89</v>
      </c>
      <c r="F38" s="108">
        <v>242299</v>
      </c>
      <c r="G38" s="112">
        <f t="shared" si="3"/>
        <v>1687.109999999986</v>
      </c>
      <c r="H38" s="99">
        <f>G38+'5'!H38</f>
        <v>9817</v>
      </c>
      <c r="I38" s="95"/>
      <c r="J38" s="175">
        <f>H38/DAY(B2)</f>
        <v>1636.1666666666667</v>
      </c>
      <c r="K38" s="79"/>
      <c r="L38" s="66"/>
      <c r="N38" s="87"/>
      <c r="O38" s="71"/>
    </row>
    <row r="39" spans="1:15" ht="29.25" x14ac:dyDescent="0.4">
      <c r="A39" s="194" t="s">
        <v>165</v>
      </c>
      <c r="B39" s="195"/>
      <c r="C39" s="195"/>
      <c r="D39" s="151" t="s">
        <v>130</v>
      </c>
      <c r="E39" s="95">
        <f>'5'!F39</f>
        <v>424693.59</v>
      </c>
      <c r="F39" s="145">
        <v>427401</v>
      </c>
      <c r="G39" s="112">
        <f t="shared" si="3"/>
        <v>2707.4099999999744</v>
      </c>
      <c r="H39" s="99">
        <f>G39+'5'!H39</f>
        <v>16322</v>
      </c>
      <c r="I39" s="95"/>
      <c r="J39" s="175">
        <f>H39/DAY(B2)</f>
        <v>2720.3333333333335</v>
      </c>
      <c r="K39" s="79"/>
      <c r="L39" s="66"/>
      <c r="N39" s="87"/>
      <c r="O39" s="71"/>
    </row>
    <row r="40" spans="1:15" ht="29.25" x14ac:dyDescent="0.4">
      <c r="A40" s="215" t="s">
        <v>166</v>
      </c>
      <c r="B40" s="216"/>
      <c r="C40" s="216"/>
      <c r="D40" s="151" t="s">
        <v>130</v>
      </c>
      <c r="E40" s="95">
        <f>'5'!F40</f>
        <v>6027.74</v>
      </c>
      <c r="F40" s="145">
        <v>6693</v>
      </c>
      <c r="G40" s="112">
        <f t="shared" si="3"/>
        <v>665.26000000000022</v>
      </c>
      <c r="H40" s="99">
        <f>G40+'5'!H40</f>
        <v>1083</v>
      </c>
      <c r="I40" s="95"/>
      <c r="J40" s="175">
        <f>H40/DAY(B2)</f>
        <v>180.5</v>
      </c>
      <c r="K40" s="80"/>
      <c r="L40" s="66"/>
      <c r="N40" s="87"/>
      <c r="O40" s="71"/>
    </row>
    <row r="41" spans="1:15" ht="29.25" x14ac:dyDescent="0.4">
      <c r="A41" s="194" t="s">
        <v>167</v>
      </c>
      <c r="B41" s="195"/>
      <c r="C41" s="195"/>
      <c r="D41" s="151" t="s">
        <v>130</v>
      </c>
      <c r="E41" s="95">
        <f>'5'!F41</f>
        <v>0</v>
      </c>
      <c r="F41" s="145">
        <v>0</v>
      </c>
      <c r="G41" s="112">
        <f t="shared" si="3"/>
        <v>0</v>
      </c>
      <c r="H41" s="99">
        <f>G41+'5'!H41</f>
        <v>0</v>
      </c>
      <c r="I41" s="95"/>
      <c r="J41" s="175">
        <f>H41/DAY(B2)</f>
        <v>0</v>
      </c>
      <c r="K41" s="79"/>
      <c r="L41" s="66"/>
      <c r="N41" s="87"/>
      <c r="O41" s="71"/>
    </row>
    <row r="42" spans="1:15" ht="29.25" x14ac:dyDescent="0.4">
      <c r="A42" s="194" t="s">
        <v>168</v>
      </c>
      <c r="B42" s="195"/>
      <c r="C42" s="195"/>
      <c r="D42" s="151" t="s">
        <v>130</v>
      </c>
      <c r="E42" s="95">
        <f>'5'!F42</f>
        <v>73808.600000000006</v>
      </c>
      <c r="F42" s="145">
        <v>73808.600000000006</v>
      </c>
      <c r="G42" s="112">
        <f t="shared" si="3"/>
        <v>0</v>
      </c>
      <c r="H42" s="99">
        <f>G42+'5'!H42</f>
        <v>-0.39999999999417923</v>
      </c>
      <c r="I42" s="95"/>
      <c r="J42" s="175">
        <f>H42/DAY(B2)</f>
        <v>-6.6666666665696539E-2</v>
      </c>
      <c r="K42" s="79"/>
      <c r="L42" s="66"/>
      <c r="N42" s="87"/>
      <c r="O42" s="71"/>
    </row>
    <row r="43" spans="1:15" ht="29.25" x14ac:dyDescent="0.4">
      <c r="A43" s="194" t="s">
        <v>169</v>
      </c>
      <c r="B43" s="195"/>
      <c r="C43" s="195"/>
      <c r="D43" s="151" t="s">
        <v>130</v>
      </c>
      <c r="E43" s="95">
        <f>'5'!F43</f>
        <v>59531.19</v>
      </c>
      <c r="F43" s="145">
        <v>61966</v>
      </c>
      <c r="G43" s="112">
        <f t="shared" si="3"/>
        <v>2434.8099999999977</v>
      </c>
      <c r="H43" s="99">
        <f>G43+'5'!H43</f>
        <v>14705</v>
      </c>
      <c r="I43" s="95"/>
      <c r="J43" s="175">
        <f>H43/DAY(B2)</f>
        <v>2450.8333333333335</v>
      </c>
      <c r="K43" s="79"/>
      <c r="L43" s="66"/>
      <c r="N43" s="87"/>
      <c r="O43" s="71"/>
    </row>
    <row r="44" spans="1:15" ht="29.25" x14ac:dyDescent="0.4">
      <c r="A44" s="194" t="s">
        <v>170</v>
      </c>
      <c r="B44" s="195"/>
      <c r="C44" s="195"/>
      <c r="D44" s="151" t="s">
        <v>130</v>
      </c>
      <c r="E44" s="95">
        <f>'5'!F44</f>
        <v>0</v>
      </c>
      <c r="F44" s="145">
        <v>0</v>
      </c>
      <c r="G44" s="112">
        <f t="shared" si="3"/>
        <v>0</v>
      </c>
      <c r="H44" s="99">
        <f>G44+'5'!H44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29.25" x14ac:dyDescent="0.4">
      <c r="A45" s="194" t="s">
        <v>171</v>
      </c>
      <c r="B45" s="195"/>
      <c r="C45" s="195"/>
      <c r="D45" s="151" t="s">
        <v>130</v>
      </c>
      <c r="E45" s="95">
        <f>'5'!F45</f>
        <v>0</v>
      </c>
      <c r="F45" s="145">
        <v>0</v>
      </c>
      <c r="G45" s="112">
        <f t="shared" si="3"/>
        <v>0</v>
      </c>
      <c r="H45" s="99">
        <f>G45+'5'!H45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29.25" x14ac:dyDescent="0.4">
      <c r="A46" s="194" t="s">
        <v>172</v>
      </c>
      <c r="B46" s="195"/>
      <c r="C46" s="195"/>
      <c r="D46" s="151" t="s">
        <v>130</v>
      </c>
      <c r="E46" s="95">
        <f>'5'!F46</f>
        <v>0</v>
      </c>
      <c r="F46" s="145">
        <v>0</v>
      </c>
      <c r="G46" s="112">
        <f t="shared" si="3"/>
        <v>0</v>
      </c>
      <c r="H46" s="99">
        <f>G46+'5'!H46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29.25" x14ac:dyDescent="0.5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11865.279999999939</v>
      </c>
      <c r="H47" s="99">
        <f>G47+'5'!H47</f>
        <v>67600.600000000006</v>
      </c>
      <c r="I47" s="95"/>
      <c r="J47" s="175">
        <f>H47/DAY(B2)</f>
        <v>11266.766666666668</v>
      </c>
      <c r="K47" s="79"/>
      <c r="L47" s="66"/>
      <c r="N47" s="87"/>
      <c r="O47" s="71"/>
    </row>
    <row r="48" spans="1:15" ht="29.25" x14ac:dyDescent="0.5">
      <c r="A48" s="214" t="s">
        <v>174</v>
      </c>
      <c r="B48" s="349"/>
      <c r="C48" s="349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29.25" x14ac:dyDescent="0.4">
      <c r="A49" s="194" t="s">
        <v>161</v>
      </c>
      <c r="B49" s="217"/>
      <c r="C49" s="217"/>
      <c r="D49" s="151" t="s">
        <v>130</v>
      </c>
      <c r="E49" s="95">
        <f>'5'!F49</f>
        <v>280424.89</v>
      </c>
      <c r="F49" s="145">
        <v>282102</v>
      </c>
      <c r="G49" s="112">
        <f t="shared" ref="G49:G58" si="4">F49-E49</f>
        <v>1677.109999999986</v>
      </c>
      <c r="H49" s="99">
        <f>G49+'5'!H49</f>
        <v>9862</v>
      </c>
      <c r="I49" s="95"/>
      <c r="J49" s="175">
        <f>H49/DAY(B2)</f>
        <v>1643.6666666666667</v>
      </c>
      <c r="K49" s="79"/>
      <c r="L49" s="66"/>
      <c r="N49" s="87"/>
      <c r="O49" s="71"/>
    </row>
    <row r="50" spans="1:15" ht="29.25" x14ac:dyDescent="0.4">
      <c r="A50" s="194" t="s">
        <v>175</v>
      </c>
      <c r="B50" s="217"/>
      <c r="C50" s="217"/>
      <c r="D50" s="151" t="s">
        <v>130</v>
      </c>
      <c r="E50" s="95">
        <f>'5'!F50</f>
        <v>30028.26</v>
      </c>
      <c r="F50" s="145">
        <v>31059</v>
      </c>
      <c r="G50" s="112">
        <f t="shared" si="4"/>
        <v>1030.7400000000016</v>
      </c>
      <c r="H50" s="99">
        <f>G50+'5'!H50</f>
        <v>6409</v>
      </c>
      <c r="I50" s="95"/>
      <c r="J50" s="175">
        <f>H50/DAY(B2)</f>
        <v>1068.1666666666667</v>
      </c>
      <c r="K50" s="79"/>
      <c r="L50" s="66"/>
      <c r="N50" s="87"/>
      <c r="O50" s="71"/>
    </row>
    <row r="51" spans="1:15" ht="29.25" x14ac:dyDescent="0.4">
      <c r="A51" s="194" t="s">
        <v>163</v>
      </c>
      <c r="B51" s="217"/>
      <c r="C51" s="217"/>
      <c r="D51" s="151" t="s">
        <v>130</v>
      </c>
      <c r="E51" s="95">
        <f>'5'!F51</f>
        <v>0</v>
      </c>
      <c r="F51" s="145">
        <v>0</v>
      </c>
      <c r="G51" s="112">
        <f t="shared" si="4"/>
        <v>0</v>
      </c>
      <c r="H51" s="99">
        <f>G51+'5'!H51</f>
        <v>0</v>
      </c>
      <c r="I51" s="95"/>
      <c r="J51" s="175">
        <f>H51/DAY(B2)</f>
        <v>0</v>
      </c>
      <c r="K51" s="79"/>
      <c r="L51" s="66"/>
      <c r="N51" s="87"/>
      <c r="O51" s="71"/>
    </row>
    <row r="52" spans="1:15" ht="29.25" x14ac:dyDescent="0.4">
      <c r="A52" s="194" t="s">
        <v>176</v>
      </c>
      <c r="B52" s="217"/>
      <c r="C52" s="217"/>
      <c r="D52" s="151" t="s">
        <v>130</v>
      </c>
      <c r="E52" s="95">
        <f>'5'!F52</f>
        <v>0</v>
      </c>
      <c r="F52" s="145">
        <v>0</v>
      </c>
      <c r="G52" s="112">
        <f t="shared" si="4"/>
        <v>0</v>
      </c>
      <c r="H52" s="99">
        <f>G52+'5'!H52</f>
        <v>0</v>
      </c>
      <c r="I52" s="95"/>
      <c r="J52" s="175">
        <f>H52/DAY(B2)</f>
        <v>0</v>
      </c>
      <c r="K52" s="79"/>
      <c r="L52" s="66"/>
      <c r="N52" s="87"/>
      <c r="O52" s="71"/>
    </row>
    <row r="53" spans="1:15" ht="29.25" x14ac:dyDescent="0.4">
      <c r="A53" s="194" t="s">
        <v>165</v>
      </c>
      <c r="B53" s="217"/>
      <c r="C53" s="217"/>
      <c r="D53" s="151" t="s">
        <v>130</v>
      </c>
      <c r="E53" s="95">
        <f>'5'!F53</f>
        <v>0</v>
      </c>
      <c r="F53" s="145">
        <v>0</v>
      </c>
      <c r="G53" s="112">
        <f t="shared" si="4"/>
        <v>0</v>
      </c>
      <c r="H53" s="99">
        <f>G53+'5'!H53</f>
        <v>0</v>
      </c>
      <c r="I53" s="95"/>
      <c r="J53" s="175">
        <f>H53/DAY(B2)</f>
        <v>0</v>
      </c>
      <c r="K53" s="79"/>
      <c r="L53" s="66"/>
      <c r="N53" s="87"/>
      <c r="O53" s="71"/>
    </row>
    <row r="54" spans="1:15" ht="29.25" x14ac:dyDescent="0.4">
      <c r="A54" s="194" t="s">
        <v>177</v>
      </c>
      <c r="B54" s="217"/>
      <c r="C54" s="217"/>
      <c r="D54" s="151" t="s">
        <v>130</v>
      </c>
      <c r="E54" s="95">
        <f>'5'!F54</f>
        <v>659.69</v>
      </c>
      <c r="F54" s="145">
        <v>1131</v>
      </c>
      <c r="G54" s="112">
        <f t="shared" si="4"/>
        <v>471.30999999999995</v>
      </c>
      <c r="H54" s="99">
        <f>G54+'5'!H54</f>
        <v>1145.08</v>
      </c>
      <c r="I54" s="95"/>
      <c r="J54" s="175">
        <f>H54/DAY(B2)</f>
        <v>190.84666666666666</v>
      </c>
      <c r="K54" s="79"/>
      <c r="L54" s="66"/>
      <c r="N54" s="87"/>
      <c r="O54" s="71"/>
    </row>
    <row r="55" spans="1:15" ht="29.25" x14ac:dyDescent="0.4">
      <c r="A55" s="194" t="s">
        <v>178</v>
      </c>
      <c r="B55" s="217"/>
      <c r="C55" s="217"/>
      <c r="D55" s="151" t="s">
        <v>130</v>
      </c>
      <c r="E55" s="95">
        <f>'5'!F55</f>
        <v>18598.919999999998</v>
      </c>
      <c r="F55" s="145">
        <v>21910</v>
      </c>
      <c r="G55" s="112">
        <f t="shared" si="4"/>
        <v>3311.0800000000017</v>
      </c>
      <c r="H55" s="99">
        <f>G55+'5'!H55</f>
        <v>18399</v>
      </c>
      <c r="I55" s="95"/>
      <c r="J55" s="175">
        <f>H55/DAY(B2)</f>
        <v>3066.5</v>
      </c>
      <c r="K55" s="79"/>
      <c r="L55" s="66"/>
      <c r="N55" s="87"/>
      <c r="O55" s="71"/>
    </row>
    <row r="56" spans="1:15" ht="29.25" x14ac:dyDescent="0.4">
      <c r="A56" s="194" t="s">
        <v>179</v>
      </c>
      <c r="B56" s="217"/>
      <c r="C56" s="217"/>
      <c r="D56" s="151" t="s">
        <v>180</v>
      </c>
      <c r="E56" s="95">
        <f>'5'!F56</f>
        <v>8610.5400000000009</v>
      </c>
      <c r="F56" s="145">
        <v>8610.5400000000009</v>
      </c>
      <c r="G56" s="112">
        <f t="shared" si="4"/>
        <v>0</v>
      </c>
      <c r="H56" s="99">
        <f>G56+'5'!H56</f>
        <v>0</v>
      </c>
      <c r="I56" s="95"/>
      <c r="J56" s="175">
        <f>H56/DAY(B2)</f>
        <v>0</v>
      </c>
      <c r="K56" s="78"/>
      <c r="L56" s="66"/>
      <c r="N56" s="87"/>
      <c r="O56" s="71"/>
    </row>
    <row r="57" spans="1:15" ht="29.25" x14ac:dyDescent="0.4">
      <c r="A57" s="194" t="s">
        <v>169</v>
      </c>
      <c r="B57" s="217"/>
      <c r="C57" s="217"/>
      <c r="D57" s="151" t="s">
        <v>130</v>
      </c>
      <c r="E57" s="95">
        <f>'5'!F57</f>
        <v>0</v>
      </c>
      <c r="F57" s="145">
        <v>0</v>
      </c>
      <c r="G57" s="112">
        <f t="shared" si="4"/>
        <v>0</v>
      </c>
      <c r="H57" s="99">
        <f>G57+'5'!H57</f>
        <v>0</v>
      </c>
      <c r="I57" s="95"/>
      <c r="J57" s="175">
        <f>H57/DAY(B2)</f>
        <v>0</v>
      </c>
      <c r="K57" s="79"/>
      <c r="L57" s="66"/>
      <c r="N57" s="87"/>
      <c r="O57" s="71"/>
    </row>
    <row r="58" spans="1:15" ht="29.25" x14ac:dyDescent="0.4">
      <c r="A58" s="194" t="s">
        <v>181</v>
      </c>
      <c r="B58" s="217"/>
      <c r="C58" s="217"/>
      <c r="D58" s="151" t="s">
        <v>130</v>
      </c>
      <c r="E58" s="95">
        <f>'5'!F58</f>
        <v>250.47</v>
      </c>
      <c r="F58" s="145">
        <v>454</v>
      </c>
      <c r="G58" s="112">
        <f t="shared" si="4"/>
        <v>203.53</v>
      </c>
      <c r="H58" s="99">
        <f>G58+'5'!H58</f>
        <v>794.63000000000466</v>
      </c>
      <c r="I58" s="95"/>
      <c r="J58" s="175">
        <f>H58/DAY(B2)</f>
        <v>132.4383333333341</v>
      </c>
      <c r="K58" s="79"/>
      <c r="L58" s="66"/>
      <c r="N58" s="87"/>
      <c r="O58" s="71"/>
    </row>
    <row r="59" spans="1:15" ht="29.25" x14ac:dyDescent="0.5">
      <c r="A59" s="201" t="s">
        <v>173</v>
      </c>
      <c r="B59" s="202"/>
      <c r="C59" s="202"/>
      <c r="D59" s="146"/>
      <c r="E59" s="146"/>
      <c r="F59" s="146"/>
      <c r="G59" s="119">
        <f>G49+G50+G51+G52+G53+G54+G55+G56+G57+G58</f>
        <v>6693.7699999999886</v>
      </c>
      <c r="H59" s="99">
        <f>G59+'5'!H59</f>
        <v>36609.710000000006</v>
      </c>
      <c r="I59" s="95">
        <f>G7-G60</f>
        <v>1712.9500000000735</v>
      </c>
      <c r="J59" s="175">
        <f>H59/DAY(B2)</f>
        <v>6101.6183333333347</v>
      </c>
      <c r="K59" s="79"/>
      <c r="L59" s="66"/>
      <c r="N59" s="87"/>
      <c r="O59" s="71"/>
    </row>
    <row r="60" spans="1:15" ht="29.25" x14ac:dyDescent="0.4">
      <c r="A60" s="194"/>
      <c r="B60" s="195"/>
      <c r="C60" s="195"/>
      <c r="D60" s="146" t="s">
        <v>182</v>
      </c>
      <c r="E60" s="146"/>
      <c r="F60" s="146"/>
      <c r="G60" s="119">
        <f>G47+G59</f>
        <v>18559.049999999927</v>
      </c>
      <c r="H60" s="99">
        <f>G60+'5'!H60</f>
        <v>104210.31000000001</v>
      </c>
      <c r="I60" s="95">
        <f>G13-G60</f>
        <v>1146.9800000001014</v>
      </c>
      <c r="J60" s="175">
        <f>H60/DAY(B2)</f>
        <v>17368.385000000002</v>
      </c>
      <c r="K60" s="79"/>
      <c r="L60" s="66"/>
      <c r="N60" s="87"/>
      <c r="O60" s="71"/>
    </row>
    <row r="61" spans="1:15" s="68" customFormat="1" ht="27.75" x14ac:dyDescent="0.5">
      <c r="A61" s="837" t="s">
        <v>332</v>
      </c>
      <c r="B61" s="838"/>
      <c r="C61" s="839"/>
      <c r="D61" s="339"/>
      <c r="E61" s="339"/>
      <c r="F61" s="339"/>
      <c r="G61" s="340"/>
      <c r="H61" s="339"/>
      <c r="I61" s="339"/>
      <c r="J61" s="341"/>
      <c r="K61" s="69"/>
      <c r="L61" s="67"/>
      <c r="N61" s="87"/>
      <c r="O61" s="71"/>
    </row>
    <row r="62" spans="1:15" ht="27.75" x14ac:dyDescent="0.5">
      <c r="A62" s="818" t="s">
        <v>198</v>
      </c>
      <c r="B62" s="819"/>
      <c r="C62" s="820"/>
      <c r="D62" s="151" t="s">
        <v>142</v>
      </c>
      <c r="E62" s="95">
        <f>'5'!F62</f>
        <v>267429</v>
      </c>
      <c r="F62" s="122">
        <v>267510</v>
      </c>
      <c r="G62" s="112">
        <f t="shared" ref="G62:G63" si="5">F62-E62</f>
        <v>81</v>
      </c>
      <c r="H62" s="99">
        <f>G62+'5'!H62</f>
        <v>297</v>
      </c>
      <c r="I62" s="118"/>
      <c r="J62" s="175">
        <f>H62/DAY(B2)</f>
        <v>49.5</v>
      </c>
      <c r="K62" s="80"/>
      <c r="L62" s="66"/>
      <c r="N62" s="87"/>
      <c r="O62" s="71"/>
    </row>
    <row r="63" spans="1:15" ht="27.75" x14ac:dyDescent="0.5">
      <c r="A63" s="818" t="s">
        <v>199</v>
      </c>
      <c r="B63" s="819"/>
      <c r="C63" s="820"/>
      <c r="D63" s="151" t="s">
        <v>142</v>
      </c>
      <c r="E63" s="95">
        <f>'5'!F63</f>
        <v>213004</v>
      </c>
      <c r="F63" s="122">
        <v>213123</v>
      </c>
      <c r="G63" s="112">
        <f t="shared" si="5"/>
        <v>119</v>
      </c>
      <c r="H63" s="99">
        <f>G63+'5'!H63</f>
        <v>698</v>
      </c>
      <c r="I63" s="118"/>
      <c r="J63" s="175">
        <f>H63/DAY(B2)</f>
        <v>116.33333333333333</v>
      </c>
      <c r="K63" s="69"/>
      <c r="L63" s="66"/>
      <c r="N63" s="87"/>
      <c r="O63" s="71"/>
    </row>
    <row r="64" spans="1:15" ht="29.25" x14ac:dyDescent="0.5">
      <c r="A64" s="815" t="s">
        <v>200</v>
      </c>
      <c r="B64" s="816"/>
      <c r="C64" s="817"/>
      <c r="D64" s="151"/>
      <c r="E64" s="95">
        <f>'5'!F64</f>
        <v>0</v>
      </c>
      <c r="F64" s="122"/>
      <c r="G64" s="112">
        <f>G62+G63</f>
        <v>200</v>
      </c>
      <c r="H64" s="99">
        <f>G64+'5'!H64</f>
        <v>995</v>
      </c>
      <c r="I64" s="118"/>
      <c r="J64" s="175">
        <f>H64/DAY(B2)</f>
        <v>165.83333333333334</v>
      </c>
      <c r="K64" s="69"/>
      <c r="L64" s="66"/>
      <c r="N64" s="87"/>
      <c r="O64" s="71"/>
    </row>
    <row r="65" spans="1:15" ht="27.75" x14ac:dyDescent="0.5">
      <c r="A65" s="818" t="s">
        <v>201</v>
      </c>
      <c r="B65" s="819"/>
      <c r="C65" s="820"/>
      <c r="D65" s="151" t="s">
        <v>142</v>
      </c>
      <c r="E65" s="95">
        <f>'5'!F65</f>
        <v>432967</v>
      </c>
      <c r="F65" s="122">
        <v>433036</v>
      </c>
      <c r="G65" s="112">
        <f t="shared" ref="G65:G70" si="6">F65-E65</f>
        <v>69</v>
      </c>
      <c r="H65" s="99">
        <f>G65+'5'!H65</f>
        <v>422</v>
      </c>
      <c r="I65" s="118"/>
      <c r="J65" s="175">
        <f>H65/DAY(B2)</f>
        <v>70.333333333333329</v>
      </c>
      <c r="K65" s="69"/>
      <c r="L65" s="66"/>
      <c r="N65" s="87"/>
      <c r="O65" s="71"/>
    </row>
    <row r="66" spans="1:15" ht="27.75" x14ac:dyDescent="0.5">
      <c r="A66" s="345" t="s">
        <v>202</v>
      </c>
      <c r="B66" s="346"/>
      <c r="C66" s="346"/>
      <c r="D66" s="151" t="s">
        <v>142</v>
      </c>
      <c r="E66" s="95">
        <f>'5'!F66</f>
        <v>107327</v>
      </c>
      <c r="F66" s="122">
        <v>107342</v>
      </c>
      <c r="G66" s="112">
        <f t="shared" si="6"/>
        <v>15</v>
      </c>
      <c r="H66" s="99">
        <f>G66+'5'!H66</f>
        <v>128</v>
      </c>
      <c r="I66" s="118"/>
      <c r="J66" s="175">
        <f>H66/DAY(B2)</f>
        <v>21.333333333333332</v>
      </c>
      <c r="K66" s="78"/>
      <c r="L66" s="66"/>
      <c r="N66" s="87"/>
      <c r="O66" s="71"/>
    </row>
    <row r="67" spans="1:15" ht="27.75" x14ac:dyDescent="0.5">
      <c r="A67" s="345" t="s">
        <v>203</v>
      </c>
      <c r="B67" s="346"/>
      <c r="C67" s="346"/>
      <c r="D67" s="151" t="s">
        <v>142</v>
      </c>
      <c r="E67" s="95">
        <f>'5'!F67</f>
        <v>104076</v>
      </c>
      <c r="F67" s="122">
        <v>104097</v>
      </c>
      <c r="G67" s="112">
        <f t="shared" si="6"/>
        <v>21</v>
      </c>
      <c r="H67" s="99">
        <f>G67+'5'!H67</f>
        <v>169</v>
      </c>
      <c r="I67" s="118"/>
      <c r="J67" s="175">
        <f>H67/DAY(B2)</f>
        <v>28.166666666666668</v>
      </c>
      <c r="K67" s="81"/>
      <c r="L67" s="66"/>
      <c r="N67" s="87"/>
      <c r="O67" s="71"/>
    </row>
    <row r="68" spans="1:15" ht="27.75" x14ac:dyDescent="0.5">
      <c r="A68" s="345" t="s">
        <v>204</v>
      </c>
      <c r="B68" s="346"/>
      <c r="C68" s="346"/>
      <c r="D68" s="151" t="s">
        <v>142</v>
      </c>
      <c r="E68" s="95">
        <f>'5'!F68</f>
        <v>156707</v>
      </c>
      <c r="F68" s="122">
        <v>156754</v>
      </c>
      <c r="G68" s="112">
        <f t="shared" si="6"/>
        <v>47</v>
      </c>
      <c r="H68" s="99">
        <f>G68+'5'!H68</f>
        <v>134</v>
      </c>
      <c r="I68" s="118"/>
      <c r="J68" s="175">
        <f>H68/DAY(B2)</f>
        <v>22.333333333333332</v>
      </c>
      <c r="K68" s="69"/>
      <c r="L68" s="66"/>
      <c r="N68" s="87"/>
      <c r="O68" s="71"/>
    </row>
    <row r="69" spans="1:15" ht="27.75" x14ac:dyDescent="0.5">
      <c r="A69" s="345" t="s">
        <v>205</v>
      </c>
      <c r="B69" s="346"/>
      <c r="C69" s="346"/>
      <c r="D69" s="151" t="s">
        <v>142</v>
      </c>
      <c r="E69" s="95">
        <f>'5'!F69</f>
        <v>10290</v>
      </c>
      <c r="F69" s="122">
        <v>10298</v>
      </c>
      <c r="G69" s="112">
        <f t="shared" si="6"/>
        <v>8</v>
      </c>
      <c r="H69" s="99">
        <f>G69+'5'!H69</f>
        <v>84</v>
      </c>
      <c r="I69" s="118"/>
      <c r="J69" s="175">
        <f>H69/DAY(B2)</f>
        <v>14</v>
      </c>
      <c r="K69" s="69"/>
      <c r="L69" s="66"/>
      <c r="N69" s="87"/>
      <c r="O69" s="71"/>
    </row>
    <row r="70" spans="1:15" ht="27.75" x14ac:dyDescent="0.5">
      <c r="A70" s="345" t="s">
        <v>206</v>
      </c>
      <c r="B70" s="346"/>
      <c r="C70" s="346"/>
      <c r="D70" s="151" t="s">
        <v>142</v>
      </c>
      <c r="E70" s="95">
        <f>'5'!F70</f>
        <v>7906</v>
      </c>
      <c r="F70" s="122">
        <v>7912</v>
      </c>
      <c r="G70" s="112">
        <f t="shared" si="6"/>
        <v>6</v>
      </c>
      <c r="H70" s="99">
        <f>G70+'5'!H70</f>
        <v>50</v>
      </c>
      <c r="I70" s="118"/>
      <c r="J70" s="175">
        <f>H70/DAY(B2)</f>
        <v>8.3333333333333339</v>
      </c>
      <c r="K70" s="69"/>
      <c r="L70" s="66"/>
      <c r="N70" s="87"/>
      <c r="O70" s="71"/>
    </row>
    <row r="71" spans="1:15" ht="29.25" x14ac:dyDescent="0.5">
      <c r="A71" s="815" t="s">
        <v>208</v>
      </c>
      <c r="B71" s="816"/>
      <c r="C71" s="817"/>
      <c r="D71" s="152"/>
      <c r="E71" s="152"/>
      <c r="F71" s="152"/>
      <c r="G71" s="153">
        <f>SUM(G65:G70)</f>
        <v>166</v>
      </c>
      <c r="H71" s="99">
        <f>G71+'5'!H71</f>
        <v>987</v>
      </c>
      <c r="I71" s="154"/>
      <c r="J71" s="175">
        <f>H71/DAY(B2)</f>
        <v>164.5</v>
      </c>
      <c r="K71" s="69"/>
      <c r="L71" s="66"/>
      <c r="N71" s="87"/>
      <c r="O71" s="71"/>
    </row>
    <row r="72" spans="1:15" s="88" customFormat="1" ht="27.75" x14ac:dyDescent="0.5">
      <c r="A72" s="861"/>
      <c r="B72" s="853"/>
      <c r="C72" s="347"/>
      <c r="D72" s="180"/>
      <c r="E72" s="180" t="s">
        <v>207</v>
      </c>
      <c r="F72" s="180"/>
      <c r="G72" s="180"/>
      <c r="H72" s="181"/>
      <c r="I72" s="180"/>
      <c r="J72" s="182"/>
      <c r="N72" s="87"/>
      <c r="O72" s="71"/>
    </row>
    <row r="73" spans="1:15" ht="29.25" x14ac:dyDescent="0.5">
      <c r="A73" s="866" t="s">
        <v>333</v>
      </c>
      <c r="B73" s="867"/>
      <c r="C73" s="868"/>
      <c r="D73" s="339"/>
      <c r="E73" s="339"/>
      <c r="F73" s="339"/>
      <c r="G73" s="342"/>
      <c r="H73" s="342"/>
      <c r="I73" s="342"/>
      <c r="J73" s="343"/>
      <c r="K73" s="69"/>
      <c r="L73" s="66"/>
      <c r="N73" s="87"/>
      <c r="O73" s="71"/>
    </row>
    <row r="74" spans="1:15" ht="27.75" x14ac:dyDescent="0.5">
      <c r="A74" s="818" t="s">
        <v>220</v>
      </c>
      <c r="B74" s="819"/>
      <c r="C74" s="820"/>
      <c r="D74" s="151" t="s">
        <v>139</v>
      </c>
      <c r="E74" s="95">
        <f>'5'!F74</f>
        <v>893398.49</v>
      </c>
      <c r="F74" s="123">
        <v>893703</v>
      </c>
      <c r="G74" s="112">
        <f t="shared" ref="G74:G78" si="7">F74-E74</f>
        <v>304.51000000000931</v>
      </c>
      <c r="H74" s="99">
        <f>G74+'5'!H74</f>
        <v>1671</v>
      </c>
      <c r="I74" s="154"/>
      <c r="J74" s="175">
        <f>H74/DAY(B2)</f>
        <v>278.5</v>
      </c>
      <c r="K74" s="69"/>
      <c r="L74" s="66"/>
      <c r="N74" s="87"/>
      <c r="O74" s="71"/>
    </row>
    <row r="75" spans="1:15" ht="27.75" x14ac:dyDescent="0.5">
      <c r="A75" s="818" t="s">
        <v>221</v>
      </c>
      <c r="B75" s="819"/>
      <c r="C75" s="820"/>
      <c r="D75" s="151" t="s">
        <v>139</v>
      </c>
      <c r="E75" s="95">
        <f>'5'!F75</f>
        <v>73586.8</v>
      </c>
      <c r="F75" s="123">
        <v>73586.8</v>
      </c>
      <c r="G75" s="112">
        <f t="shared" si="7"/>
        <v>0</v>
      </c>
      <c r="H75" s="99">
        <f>G75+'5'!H75</f>
        <v>0</v>
      </c>
      <c r="I75" s="154"/>
      <c r="J75" s="175">
        <f>H75/DAY(B2)</f>
        <v>0</v>
      </c>
      <c r="K75" s="69"/>
      <c r="L75" s="66"/>
      <c r="N75" s="87"/>
      <c r="O75" s="71"/>
    </row>
    <row r="76" spans="1:15" ht="27.75" x14ac:dyDescent="0.5">
      <c r="A76" s="862" t="s">
        <v>222</v>
      </c>
      <c r="B76" s="848"/>
      <c r="C76" s="849"/>
      <c r="D76" s="151" t="s">
        <v>139</v>
      </c>
      <c r="E76" s="95">
        <f>'5'!F76</f>
        <v>167689</v>
      </c>
      <c r="F76" s="123">
        <v>167769</v>
      </c>
      <c r="G76" s="112">
        <f t="shared" si="7"/>
        <v>80</v>
      </c>
      <c r="H76" s="99">
        <f>G76+'5'!H76</f>
        <v>562</v>
      </c>
      <c r="I76" s="154"/>
      <c r="J76" s="175">
        <f>H76/DAY(B2)</f>
        <v>93.666666666666671</v>
      </c>
      <c r="K76" s="69"/>
      <c r="L76" s="66"/>
      <c r="N76" s="87"/>
      <c r="O76" s="71"/>
    </row>
    <row r="77" spans="1:15" ht="27.75" x14ac:dyDescent="0.5">
      <c r="A77" s="862" t="s">
        <v>223</v>
      </c>
      <c r="B77" s="848"/>
      <c r="C77" s="849"/>
      <c r="D77" s="151" t="s">
        <v>139</v>
      </c>
      <c r="E77" s="95">
        <f>'5'!F77</f>
        <v>40493.300000000003</v>
      </c>
      <c r="F77" s="123">
        <v>40531</v>
      </c>
      <c r="G77" s="112">
        <f t="shared" si="7"/>
        <v>37.69999999999709</v>
      </c>
      <c r="H77" s="99">
        <f>G77+'5'!H77</f>
        <v>215</v>
      </c>
      <c r="I77" s="154"/>
      <c r="J77" s="175">
        <f>H77/DAY(B2)</f>
        <v>35.833333333333336</v>
      </c>
      <c r="K77" s="69"/>
      <c r="L77" s="66"/>
      <c r="N77" s="87"/>
      <c r="O77" s="71"/>
    </row>
    <row r="78" spans="1:15" ht="27.75" x14ac:dyDescent="0.5">
      <c r="A78" s="862" t="s">
        <v>224</v>
      </c>
      <c r="B78" s="848"/>
      <c r="C78" s="849"/>
      <c r="D78" s="151" t="s">
        <v>139</v>
      </c>
      <c r="E78" s="95">
        <f>'5'!F78</f>
        <v>9491</v>
      </c>
      <c r="F78" s="123">
        <v>9492</v>
      </c>
      <c r="G78" s="112">
        <f t="shared" si="7"/>
        <v>1</v>
      </c>
      <c r="H78" s="99">
        <f>G78+'5'!H78</f>
        <v>6</v>
      </c>
      <c r="I78" s="118"/>
      <c r="J78" s="175">
        <f>H78/DAY(B2)</f>
        <v>1</v>
      </c>
      <c r="K78" s="69"/>
      <c r="L78" s="66"/>
      <c r="N78" s="87"/>
      <c r="O78" s="71"/>
    </row>
    <row r="79" spans="1:15" s="57" customFormat="1" ht="27.75" x14ac:dyDescent="0.5">
      <c r="A79" s="862" t="s">
        <v>225</v>
      </c>
      <c r="B79" s="848"/>
      <c r="C79" s="849"/>
      <c r="D79" s="151"/>
      <c r="E79" s="117"/>
      <c r="F79" s="117"/>
      <c r="G79" s="112">
        <f>G15-SUM(G74:G78)</f>
        <v>510.09000000004016</v>
      </c>
      <c r="H79" s="99">
        <f>G79+'5'!H79</f>
        <v>2920</v>
      </c>
      <c r="I79" s="118"/>
      <c r="J79" s="175"/>
      <c r="K79" s="59"/>
      <c r="L79" s="58"/>
      <c r="N79" s="87"/>
      <c r="O79" s="71"/>
    </row>
    <row r="80" spans="1:15" s="57" customFormat="1" ht="29.25" x14ac:dyDescent="0.5">
      <c r="A80" s="815" t="s">
        <v>329</v>
      </c>
      <c r="B80" s="816"/>
      <c r="C80" s="817"/>
      <c r="D80" s="151"/>
      <c r="E80" s="117"/>
      <c r="F80" s="117"/>
      <c r="G80" s="112">
        <f>SUM(G74:G79)</f>
        <v>933.30000000004657</v>
      </c>
      <c r="H80" s="99"/>
      <c r="I80" s="118"/>
      <c r="J80" s="175"/>
      <c r="K80" s="59"/>
      <c r="L80" s="58"/>
      <c r="N80" s="87"/>
      <c r="O80" s="71"/>
    </row>
    <row r="81" spans="1:15" ht="27" x14ac:dyDescent="0.4">
      <c r="A81" s="854" t="s">
        <v>226</v>
      </c>
      <c r="B81" s="855"/>
      <c r="C81" s="856"/>
      <c r="D81" s="110"/>
      <c r="E81" s="110"/>
      <c r="F81" s="110"/>
      <c r="G81" s="163"/>
      <c r="H81" s="163"/>
      <c r="I81" s="163"/>
      <c r="J81" s="184"/>
      <c r="O81" s="71"/>
    </row>
    <row r="82" spans="1:15" ht="27.75" x14ac:dyDescent="0.5">
      <c r="A82" s="345" t="s">
        <v>227</v>
      </c>
      <c r="B82" s="346"/>
      <c r="C82" s="346"/>
      <c r="D82" s="151" t="s">
        <v>228</v>
      </c>
      <c r="E82" s="95">
        <f>'5'!F82</f>
        <v>0</v>
      </c>
      <c r="F82" s="122">
        <v>0</v>
      </c>
      <c r="G82" s="112">
        <f t="shared" ref="G82:G92" si="8">F82-E82</f>
        <v>0</v>
      </c>
      <c r="H82" s="99">
        <f>G82+'5'!H82</f>
        <v>0</v>
      </c>
      <c r="I82" s="118"/>
      <c r="J82" s="175">
        <f>H82/DAY(B2)</f>
        <v>0</v>
      </c>
      <c r="O82" s="71"/>
    </row>
    <row r="83" spans="1:15" ht="27.75" x14ac:dyDescent="0.5">
      <c r="A83" s="345" t="s">
        <v>229</v>
      </c>
      <c r="B83" s="346"/>
      <c r="C83" s="346"/>
      <c r="D83" s="151" t="s">
        <v>228</v>
      </c>
      <c r="E83" s="95">
        <f>'5'!F83</f>
        <v>0</v>
      </c>
      <c r="F83" s="122">
        <v>0</v>
      </c>
      <c r="G83" s="112">
        <f t="shared" si="8"/>
        <v>0</v>
      </c>
      <c r="H83" s="99">
        <f>G83+'5'!H83</f>
        <v>0</v>
      </c>
      <c r="I83" s="118"/>
      <c r="J83" s="175">
        <f>H83/DAY(B2)</f>
        <v>0</v>
      </c>
      <c r="O83" s="71"/>
    </row>
    <row r="84" spans="1:15" ht="27.75" x14ac:dyDescent="0.5">
      <c r="A84" s="345" t="s">
        <v>230</v>
      </c>
      <c r="B84" s="346"/>
      <c r="C84" s="346"/>
      <c r="D84" s="151" t="s">
        <v>228</v>
      </c>
      <c r="E84" s="95">
        <f>'5'!F84</f>
        <v>41675</v>
      </c>
      <c r="F84" s="164">
        <v>41675</v>
      </c>
      <c r="G84" s="112">
        <f t="shared" si="8"/>
        <v>0</v>
      </c>
      <c r="H84" s="99">
        <f>G84+'5'!H84</f>
        <v>0</v>
      </c>
      <c r="I84" s="118"/>
      <c r="J84" s="175">
        <f>H84/DAY(B2)</f>
        <v>0</v>
      </c>
      <c r="O84" s="71"/>
    </row>
    <row r="85" spans="1:15" ht="27.75" x14ac:dyDescent="0.5">
      <c r="A85" s="345" t="s">
        <v>231</v>
      </c>
      <c r="B85" s="346"/>
      <c r="C85" s="346"/>
      <c r="D85" s="151" t="s">
        <v>228</v>
      </c>
      <c r="E85" s="95">
        <f>'5'!F85</f>
        <v>2096.56</v>
      </c>
      <c r="F85" s="164">
        <v>2096.56</v>
      </c>
      <c r="G85" s="112">
        <f t="shared" si="8"/>
        <v>0</v>
      </c>
      <c r="H85" s="99">
        <f>G85+'5'!H85</f>
        <v>0</v>
      </c>
      <c r="I85" s="118">
        <f>G82+G83+G84+G85</f>
        <v>0</v>
      </c>
      <c r="J85" s="175">
        <f>H85/DAY(B2)</f>
        <v>0</v>
      </c>
      <c r="O85" s="71"/>
    </row>
    <row r="86" spans="1:15" ht="27.75" x14ac:dyDescent="0.5">
      <c r="A86" s="345" t="s">
        <v>232</v>
      </c>
      <c r="B86" s="346"/>
      <c r="C86" s="346"/>
      <c r="D86" s="151" t="s">
        <v>228</v>
      </c>
      <c r="E86" s="95">
        <f>'5'!F86</f>
        <v>42983.32</v>
      </c>
      <c r="F86" s="164">
        <v>43007.48</v>
      </c>
      <c r="G86" s="112">
        <f t="shared" si="8"/>
        <v>24.160000000003492</v>
      </c>
      <c r="H86" s="99">
        <f>G86+'5'!H86</f>
        <v>144.4800000000032</v>
      </c>
      <c r="I86" s="118"/>
      <c r="J86" s="175">
        <f>H86/DAY(B2)</f>
        <v>24.080000000000535</v>
      </c>
      <c r="O86" s="71"/>
    </row>
    <row r="87" spans="1:15" ht="27.75" x14ac:dyDescent="0.5">
      <c r="A87" s="345" t="s">
        <v>233</v>
      </c>
      <c r="B87" s="346"/>
      <c r="C87" s="346"/>
      <c r="D87" s="151" t="s">
        <v>228</v>
      </c>
      <c r="E87" s="95">
        <f>'5'!F87</f>
        <v>34598.550000000003</v>
      </c>
      <c r="F87" s="164">
        <v>34598.550000000003</v>
      </c>
      <c r="G87" s="112">
        <f t="shared" si="8"/>
        <v>0</v>
      </c>
      <c r="H87" s="99">
        <f>G87+'5'!H87</f>
        <v>0</v>
      </c>
      <c r="I87" s="118"/>
      <c r="J87" s="175">
        <f>H87/DAY(B2)</f>
        <v>0</v>
      </c>
      <c r="O87" s="71"/>
    </row>
    <row r="88" spans="1:15" ht="27.75" x14ac:dyDescent="0.5">
      <c r="A88" s="345" t="s">
        <v>234</v>
      </c>
      <c r="B88" s="346"/>
      <c r="C88" s="346"/>
      <c r="D88" s="151" t="s">
        <v>228</v>
      </c>
      <c r="E88" s="95">
        <f>'5'!F88</f>
        <v>24058.06</v>
      </c>
      <c r="F88" s="164">
        <v>24058</v>
      </c>
      <c r="G88" s="112">
        <f t="shared" si="8"/>
        <v>-6.0000000001309672E-2</v>
      </c>
      <c r="H88" s="99">
        <f>G88+'5'!H88</f>
        <v>11</v>
      </c>
      <c r="I88" s="118">
        <f>G86+G87+G88</f>
        <v>24.100000000002183</v>
      </c>
      <c r="J88" s="175">
        <f>H88/DAY(B2)</f>
        <v>1.8333333333333333</v>
      </c>
      <c r="O88" s="71"/>
    </row>
    <row r="89" spans="1:15" ht="27.75" x14ac:dyDescent="0.5">
      <c r="A89" s="345" t="s">
        <v>235</v>
      </c>
      <c r="B89" s="346"/>
      <c r="C89" s="346"/>
      <c r="D89" s="151" t="s">
        <v>228</v>
      </c>
      <c r="E89" s="95">
        <f>'5'!F89</f>
        <v>25685.9</v>
      </c>
      <c r="F89" s="164">
        <v>25695</v>
      </c>
      <c r="G89" s="112">
        <f t="shared" si="8"/>
        <v>9.0999999999985448</v>
      </c>
      <c r="H89" s="99">
        <f>G89+'5'!H89</f>
        <v>32</v>
      </c>
      <c r="I89" s="118"/>
      <c r="J89" s="175">
        <f>H89/DAY(B2)</f>
        <v>5.333333333333333</v>
      </c>
      <c r="O89" s="71"/>
    </row>
    <row r="90" spans="1:15" ht="27.75" x14ac:dyDescent="0.5">
      <c r="A90" s="345" t="s">
        <v>236</v>
      </c>
      <c r="B90" s="346"/>
      <c r="C90" s="346"/>
      <c r="D90" s="151" t="s">
        <v>228</v>
      </c>
      <c r="E90" s="95">
        <f>'5'!F90</f>
        <v>71060.179999999993</v>
      </c>
      <c r="F90" s="164">
        <v>71063</v>
      </c>
      <c r="G90" s="112">
        <f t="shared" si="8"/>
        <v>2.8200000000069849</v>
      </c>
      <c r="H90" s="99">
        <f>G90+'5'!H90</f>
        <v>29</v>
      </c>
      <c r="I90" s="118">
        <f>G89+G90</f>
        <v>11.92000000000553</v>
      </c>
      <c r="J90" s="175">
        <f>H90/DAY(B2)</f>
        <v>4.833333333333333</v>
      </c>
      <c r="O90" s="71"/>
    </row>
    <row r="91" spans="1:15" ht="27.75" x14ac:dyDescent="0.5">
      <c r="A91" s="345" t="s">
        <v>237</v>
      </c>
      <c r="B91" s="346"/>
      <c r="C91" s="346"/>
      <c r="D91" s="151" t="s">
        <v>228</v>
      </c>
      <c r="E91" s="95">
        <f>'5'!F91</f>
        <v>3226.32</v>
      </c>
      <c r="F91" s="122">
        <v>3226.32</v>
      </c>
      <c r="G91" s="112">
        <f t="shared" si="8"/>
        <v>0</v>
      </c>
      <c r="H91" s="99">
        <f>G91+'5'!H91</f>
        <v>0</v>
      </c>
      <c r="I91" s="165"/>
      <c r="J91" s="175">
        <f>H91/DAY(B2)</f>
        <v>0</v>
      </c>
      <c r="O91" s="71"/>
    </row>
    <row r="92" spans="1:15" ht="27.75" x14ac:dyDescent="0.5">
      <c r="A92" s="345" t="s">
        <v>238</v>
      </c>
      <c r="B92" s="346"/>
      <c r="C92" s="346"/>
      <c r="D92" s="151" t="s">
        <v>228</v>
      </c>
      <c r="E92" s="95">
        <f>'5'!F92</f>
        <v>5486.16</v>
      </c>
      <c r="F92" s="122">
        <v>5496.81</v>
      </c>
      <c r="G92" s="112">
        <f t="shared" si="8"/>
        <v>10.650000000000546</v>
      </c>
      <c r="H92" s="99">
        <f>G92+'5'!H92</f>
        <v>58.8100000000004</v>
      </c>
      <c r="I92" s="165"/>
      <c r="J92" s="175">
        <f>H92/DAY(B2)</f>
        <v>9.8016666666667334</v>
      </c>
      <c r="O92" s="71"/>
    </row>
    <row r="93" spans="1:15" ht="29.25" x14ac:dyDescent="0.5">
      <c r="A93" s="863" t="s">
        <v>239</v>
      </c>
      <c r="B93" s="864"/>
      <c r="C93" s="865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27.75" x14ac:dyDescent="0.5">
      <c r="A94" s="818" t="s">
        <v>240</v>
      </c>
      <c r="B94" s="819"/>
      <c r="C94" s="820"/>
      <c r="D94" s="151" t="s">
        <v>130</v>
      </c>
      <c r="E94" s="151"/>
      <c r="F94" s="151"/>
      <c r="G94" s="99">
        <f>G35+G43+G49+G57</f>
        <v>5916.289999999979</v>
      </c>
      <c r="H94" s="99">
        <f>G94+'5'!H94</f>
        <v>36083</v>
      </c>
      <c r="I94" s="118"/>
      <c r="J94" s="175">
        <f>H94/DAY(B2)</f>
        <v>6013.833333333333</v>
      </c>
      <c r="K94" s="69"/>
      <c r="L94" s="66"/>
      <c r="O94" s="71"/>
    </row>
    <row r="95" spans="1:15" ht="27.75" x14ac:dyDescent="0.5">
      <c r="A95" s="818" t="s">
        <v>241</v>
      </c>
      <c r="B95" s="819"/>
      <c r="C95" s="820"/>
      <c r="D95" s="151" t="s">
        <v>23</v>
      </c>
      <c r="E95" s="146"/>
      <c r="F95" s="146"/>
      <c r="G95" s="166">
        <f>G94/G7</f>
        <v>0.29184540252565011</v>
      </c>
      <c r="H95" s="99">
        <f>G95+'5'!H95</f>
        <v>1.8257218565800195</v>
      </c>
      <c r="I95" s="167"/>
      <c r="J95" s="175">
        <f>H95/DAY(B2)</f>
        <v>0.30428697609666994</v>
      </c>
      <c r="K95" s="69"/>
      <c r="L95" s="66"/>
      <c r="O95" s="71"/>
    </row>
    <row r="96" spans="1:15" ht="27.75" x14ac:dyDescent="0.5">
      <c r="A96" s="818" t="s">
        <v>242</v>
      </c>
      <c r="B96" s="819"/>
      <c r="C96" s="820"/>
      <c r="D96" s="151" t="s">
        <v>130</v>
      </c>
      <c r="E96" s="95"/>
      <c r="F96" s="95"/>
      <c r="G96" s="99">
        <f>G41+G42+G55+G56</f>
        <v>3311.0800000000017</v>
      </c>
      <c r="H96" s="99">
        <f>G96+'5'!H96</f>
        <v>18398.600000000006</v>
      </c>
      <c r="I96" s="118"/>
      <c r="J96" s="175">
        <f>H96/DAY(B2)</f>
        <v>3066.4333333333343</v>
      </c>
      <c r="K96" s="69"/>
      <c r="L96" s="66"/>
      <c r="O96" s="71"/>
    </row>
    <row r="97" spans="1:15" ht="27.75" x14ac:dyDescent="0.5">
      <c r="A97" s="818" t="s">
        <v>243</v>
      </c>
      <c r="B97" s="819"/>
      <c r="C97" s="820"/>
      <c r="D97" s="151" t="s">
        <v>23</v>
      </c>
      <c r="E97" s="95"/>
      <c r="F97" s="95"/>
      <c r="G97" s="166">
        <f>G96/G7</f>
        <v>0.16333267561168122</v>
      </c>
      <c r="H97" s="99">
        <f>G97+'5'!H97</f>
        <v>0.93080229624198219</v>
      </c>
      <c r="I97" s="167"/>
      <c r="J97" s="175">
        <f>H97/DAY(B2)</f>
        <v>0.15513371604033036</v>
      </c>
      <c r="K97" s="69"/>
      <c r="L97" s="66"/>
      <c r="O97" s="71"/>
    </row>
    <row r="98" spans="1:15" ht="27.75" x14ac:dyDescent="0.5">
      <c r="A98" s="818" t="s">
        <v>244</v>
      </c>
      <c r="B98" s="819"/>
      <c r="C98" s="820"/>
      <c r="D98" s="151" t="s">
        <v>130</v>
      </c>
      <c r="E98" s="95"/>
      <c r="F98" s="95"/>
      <c r="G98" s="99">
        <f>G39+G53</f>
        <v>2707.4099999999744</v>
      </c>
      <c r="H98" s="99">
        <f>G98+'5'!H98</f>
        <v>16322</v>
      </c>
      <c r="I98" s="168"/>
      <c r="J98" s="175">
        <f>H98/DAY(B2)</f>
        <v>2720.3333333333335</v>
      </c>
      <c r="K98" s="69"/>
      <c r="L98" s="66"/>
      <c r="O98" s="71"/>
    </row>
    <row r="99" spans="1:15" ht="27.75" x14ac:dyDescent="0.5">
      <c r="A99" s="818" t="s">
        <v>245</v>
      </c>
      <c r="B99" s="819"/>
      <c r="C99" s="820"/>
      <c r="D99" s="151" t="s">
        <v>23</v>
      </c>
      <c r="E99" s="95"/>
      <c r="F99" s="95"/>
      <c r="G99" s="166">
        <f>G98/G7</f>
        <v>0.13355416337805714</v>
      </c>
      <c r="H99" s="99">
        <f>G99+'5'!H99</f>
        <v>0.82578510496002366</v>
      </c>
      <c r="I99" s="168"/>
      <c r="J99" s="175">
        <f>H99/DAY(B2)</f>
        <v>0.13763085082667062</v>
      </c>
      <c r="O99" s="71"/>
    </row>
    <row r="100" spans="1:15" ht="27.75" x14ac:dyDescent="0.5">
      <c r="A100" s="818" t="s">
        <v>246</v>
      </c>
      <c r="B100" s="819"/>
      <c r="C100" s="820"/>
      <c r="D100" s="151" t="s">
        <v>180</v>
      </c>
      <c r="E100" s="95"/>
      <c r="F100" s="95"/>
      <c r="G100" s="99">
        <f>G38+G52</f>
        <v>1687.109999999986</v>
      </c>
      <c r="H100" s="99">
        <f>G100+'5'!H100</f>
        <v>9817</v>
      </c>
      <c r="I100" s="118"/>
      <c r="J100" s="175">
        <f>H100/DAY(B2)</f>
        <v>1636.1666666666667</v>
      </c>
      <c r="K100" s="70"/>
      <c r="O100" s="71"/>
    </row>
    <row r="101" spans="1:15" ht="27.75" x14ac:dyDescent="0.5">
      <c r="A101" s="818" t="s">
        <v>247</v>
      </c>
      <c r="B101" s="819"/>
      <c r="C101" s="820"/>
      <c r="D101" s="151" t="s">
        <v>23</v>
      </c>
      <c r="E101" s="95"/>
      <c r="F101" s="95"/>
      <c r="G101" s="166">
        <f>G100/G7</f>
        <v>8.3223658247828833E-2</v>
      </c>
      <c r="H101" s="99">
        <f>G101+'5'!H101</f>
        <v>0.49622787378302036</v>
      </c>
      <c r="I101" s="168"/>
      <c r="J101" s="175">
        <f>H101/DAY(B2)</f>
        <v>8.2704645630503393E-2</v>
      </c>
      <c r="O101" s="71"/>
    </row>
    <row r="102" spans="1:15" ht="27.75" x14ac:dyDescent="0.5">
      <c r="A102" s="818" t="s">
        <v>248</v>
      </c>
      <c r="B102" s="819"/>
      <c r="C102" s="820"/>
      <c r="D102" s="151" t="s">
        <v>180</v>
      </c>
      <c r="E102" s="95"/>
      <c r="F102" s="95"/>
      <c r="G102" s="99">
        <f>G36+G50</f>
        <v>2079.9500000000007</v>
      </c>
      <c r="H102" s="99">
        <f>G102+'5'!H102</f>
        <v>11413</v>
      </c>
      <c r="I102" s="168"/>
      <c r="J102" s="175">
        <f>H102/DAY(B2)</f>
        <v>1902.1666666666667</v>
      </c>
      <c r="O102" s="71"/>
    </row>
    <row r="103" spans="1:15" ht="27.75" x14ac:dyDescent="0.5">
      <c r="A103" s="818" t="s">
        <v>249</v>
      </c>
      <c r="B103" s="819"/>
      <c r="C103" s="820"/>
      <c r="D103" s="151" t="s">
        <v>23</v>
      </c>
      <c r="E103" s="95"/>
      <c r="F103" s="95"/>
      <c r="G103" s="166">
        <f>G102/G7</f>
        <v>0.10260211128650359</v>
      </c>
      <c r="H103" s="99">
        <f>G103+'5'!H103</f>
        <v>0.57681686977151281</v>
      </c>
      <c r="I103" s="118"/>
      <c r="J103" s="175">
        <f>H103/DAY(B2)</f>
        <v>9.6136144961918801E-2</v>
      </c>
      <c r="O103" s="71"/>
    </row>
    <row r="104" spans="1:15" ht="27.75" x14ac:dyDescent="0.5">
      <c r="A104" s="818" t="s">
        <v>250</v>
      </c>
      <c r="B104" s="819"/>
      <c r="C104" s="820"/>
      <c r="D104" s="151" t="s">
        <v>180</v>
      </c>
      <c r="E104" s="95"/>
      <c r="F104" s="95"/>
      <c r="G104" s="99">
        <f>G37+G51</f>
        <v>1517.109999999986</v>
      </c>
      <c r="H104" s="99">
        <f>G104+'5'!H104</f>
        <v>9154</v>
      </c>
      <c r="I104" s="118"/>
      <c r="J104" s="175">
        <f>H104/DAY(B2)</f>
        <v>1525.6666666666667</v>
      </c>
      <c r="O104" s="71"/>
    </row>
    <row r="105" spans="1:15" ht="28.5" thickBot="1" x14ac:dyDescent="0.55000000000000004">
      <c r="A105" s="858" t="s">
        <v>251</v>
      </c>
      <c r="B105" s="859"/>
      <c r="C105" s="860"/>
      <c r="D105" s="231" t="s">
        <v>23</v>
      </c>
      <c r="E105" s="185"/>
      <c r="F105" s="185"/>
      <c r="G105" s="186">
        <f>G104/G7</f>
        <v>7.4837707182319746E-2</v>
      </c>
      <c r="H105" s="99">
        <f>G105+'5'!H105</f>
        <v>0.46303828849545603</v>
      </c>
      <c r="I105" s="187"/>
      <c r="J105" s="188">
        <f>H105/DAY(B2)</f>
        <v>7.717304808257601E-2</v>
      </c>
      <c r="O105" s="71"/>
    </row>
    <row r="106" spans="1:15" ht="29.25" x14ac:dyDescent="0.5">
      <c r="A106" s="105"/>
      <c r="B106" s="96"/>
      <c r="C106" s="96"/>
      <c r="D106" s="169"/>
      <c r="E106" s="169"/>
      <c r="F106" s="169"/>
      <c r="G106" s="169"/>
      <c r="H106" s="170"/>
      <c r="I106" s="169"/>
      <c r="J106" s="171"/>
      <c r="O106" s="71"/>
    </row>
    <row r="107" spans="1:15" ht="29.25" x14ac:dyDescent="0.5"/>
    <row r="108" spans="1:15" ht="31.5" x14ac:dyDescent="0.55000000000000004">
      <c r="A108" s="872" t="s">
        <v>324</v>
      </c>
      <c r="B108" s="872"/>
      <c r="C108" s="872"/>
      <c r="D108" s="872"/>
      <c r="E108" s="872"/>
      <c r="F108" s="872"/>
      <c r="G108" s="872"/>
      <c r="H108" s="872"/>
      <c r="I108" s="872"/>
      <c r="J108" s="872"/>
    </row>
    <row r="109" spans="1:15" ht="29.25" x14ac:dyDescent="0.5">
      <c r="A109" s="857"/>
      <c r="B109" s="857"/>
    </row>
    <row r="110" spans="1:15" ht="29.25" x14ac:dyDescent="0.5">
      <c r="A110" s="873" t="s">
        <v>165</v>
      </c>
      <c r="B110" s="874"/>
      <c r="C110" s="874"/>
      <c r="D110" s="874"/>
      <c r="E110" s="874"/>
      <c r="F110" s="874"/>
      <c r="G110" s="874"/>
      <c r="H110" s="874"/>
      <c r="I110" s="874"/>
      <c r="J110" s="875"/>
    </row>
    <row r="111" spans="1:15" ht="27.75" x14ac:dyDescent="0.5">
      <c r="A111" s="876"/>
      <c r="B111" s="877"/>
      <c r="C111" s="878"/>
      <c r="D111" s="165"/>
      <c r="E111" s="165"/>
      <c r="F111" s="165"/>
      <c r="G111" s="165"/>
      <c r="H111" s="156"/>
      <c r="I111" s="165"/>
      <c r="J111" s="327"/>
    </row>
    <row r="112" spans="1:15" ht="27.75" x14ac:dyDescent="0.5">
      <c r="A112" s="851" t="s">
        <v>252</v>
      </c>
      <c r="B112" s="852"/>
      <c r="C112" s="853"/>
      <c r="D112" s="146" t="s">
        <v>183</v>
      </c>
      <c r="E112" s="95">
        <f>'5'!F112</f>
        <v>56038.400000000001</v>
      </c>
      <c r="F112" s="237">
        <v>56116</v>
      </c>
      <c r="G112" s="112">
        <f t="shared" ref="G112:G123" si="9">F112-E112</f>
        <v>77.599999999998545</v>
      </c>
      <c r="H112" s="99">
        <f>G112+'5'!H112</f>
        <v>435</v>
      </c>
      <c r="I112" s="165"/>
      <c r="J112" s="328">
        <f>H112/DAY(B2)</f>
        <v>72.5</v>
      </c>
    </row>
    <row r="113" spans="1:18" ht="29.25" customHeight="1" x14ac:dyDescent="0.5">
      <c r="A113" s="851" t="s">
        <v>253</v>
      </c>
      <c r="B113" s="852"/>
      <c r="C113" s="853"/>
      <c r="D113" s="146" t="s">
        <v>183</v>
      </c>
      <c r="E113" s="95">
        <f>'5'!F113</f>
        <v>34460.199999999997</v>
      </c>
      <c r="F113" s="237">
        <v>34902</v>
      </c>
      <c r="G113" s="112">
        <f t="shared" si="9"/>
        <v>441.80000000000291</v>
      </c>
      <c r="H113" s="99">
        <f>G113+'5'!H113</f>
        <v>2707</v>
      </c>
      <c r="I113" s="165"/>
      <c r="J113" s="328">
        <f>H113/DAY(B2)</f>
        <v>451.16666666666669</v>
      </c>
    </row>
    <row r="114" spans="1:18" ht="29.25" customHeight="1" x14ac:dyDescent="0.5">
      <c r="A114" s="851" t="s">
        <v>254</v>
      </c>
      <c r="B114" s="852"/>
      <c r="C114" s="853"/>
      <c r="D114" s="146" t="s">
        <v>183</v>
      </c>
      <c r="E114" s="95">
        <f>'5'!F114</f>
        <v>26212.2</v>
      </c>
      <c r="F114" s="237">
        <v>26475</v>
      </c>
      <c r="G114" s="112">
        <f t="shared" si="9"/>
        <v>262.79999999999927</v>
      </c>
      <c r="H114" s="99">
        <f>G114+'5'!H114</f>
        <v>1604</v>
      </c>
      <c r="I114" s="165"/>
      <c r="J114" s="328">
        <f>H114/DAY(B2)</f>
        <v>267.33333333333331</v>
      </c>
    </row>
    <row r="115" spans="1:18" ht="29.25" customHeight="1" x14ac:dyDescent="0.5">
      <c r="A115" s="851" t="s">
        <v>255</v>
      </c>
      <c r="B115" s="852"/>
      <c r="C115" s="853"/>
      <c r="D115" s="146" t="s">
        <v>183</v>
      </c>
      <c r="E115" s="95">
        <f>'5'!F115</f>
        <v>8837.7999999999993</v>
      </c>
      <c r="F115" s="237">
        <v>8850</v>
      </c>
      <c r="G115" s="112">
        <f t="shared" si="9"/>
        <v>12.200000000000728</v>
      </c>
      <c r="H115" s="99">
        <f>G115+'5'!H115</f>
        <v>65</v>
      </c>
      <c r="I115" s="165"/>
      <c r="J115" s="328">
        <f>H115/DAY(B2)</f>
        <v>10.833333333333334</v>
      </c>
    </row>
    <row r="116" spans="1:18" ht="29.25" customHeight="1" x14ac:dyDescent="0.5">
      <c r="A116" s="869" t="s">
        <v>96</v>
      </c>
      <c r="B116" s="870"/>
      <c r="C116" s="871"/>
      <c r="D116" s="146" t="s">
        <v>183</v>
      </c>
      <c r="E116" s="95">
        <f>'5'!F116</f>
        <v>0</v>
      </c>
      <c r="F116" s="237">
        <v>0</v>
      </c>
      <c r="G116" s="112">
        <f t="shared" si="9"/>
        <v>0</v>
      </c>
      <c r="H116" s="99">
        <f>G116+'5'!H116</f>
        <v>0</v>
      </c>
      <c r="I116" s="165"/>
      <c r="J116" s="328">
        <f>H116/DAY(B2)</f>
        <v>0</v>
      </c>
      <c r="Q116" s="851"/>
      <c r="R116" s="853"/>
    </row>
    <row r="117" spans="1:18" ht="29.25" customHeight="1" x14ac:dyDescent="0.5">
      <c r="A117" s="869" t="s">
        <v>184</v>
      </c>
      <c r="B117" s="870"/>
      <c r="C117" s="871"/>
      <c r="D117" s="146" t="s">
        <v>183</v>
      </c>
      <c r="E117" s="95">
        <f>'5'!F117</f>
        <v>2718.79</v>
      </c>
      <c r="F117" s="237">
        <v>2749</v>
      </c>
      <c r="G117" s="112">
        <f t="shared" si="9"/>
        <v>30.210000000000036</v>
      </c>
      <c r="H117" s="99">
        <f>G117+'5'!H117</f>
        <v>159</v>
      </c>
      <c r="I117" s="165"/>
      <c r="J117" s="328">
        <f>H117/DAY(B2)</f>
        <v>26.5</v>
      </c>
      <c r="Q117" s="851"/>
      <c r="R117" s="853"/>
    </row>
    <row r="118" spans="1:18" ht="27.75" x14ac:dyDescent="0.5">
      <c r="A118" s="846" t="s">
        <v>97</v>
      </c>
      <c r="B118" s="846"/>
      <c r="C118" s="846"/>
      <c r="D118" s="151" t="s">
        <v>183</v>
      </c>
      <c r="E118" s="95">
        <f>'5'!F118</f>
        <v>243529.53</v>
      </c>
      <c r="F118" s="237">
        <v>243886</v>
      </c>
      <c r="G118" s="112">
        <f t="shared" si="9"/>
        <v>356.47000000000116</v>
      </c>
      <c r="H118" s="99">
        <f>G118+'5'!H118</f>
        <v>2239</v>
      </c>
      <c r="I118" s="165"/>
      <c r="J118" s="328">
        <f>H118/DAY(B2)</f>
        <v>373.16666666666669</v>
      </c>
      <c r="Q118" s="851"/>
      <c r="R118" s="853"/>
    </row>
    <row r="119" spans="1:18" ht="27.75" x14ac:dyDescent="0.5">
      <c r="A119" s="846" t="s">
        <v>98</v>
      </c>
      <c r="B119" s="846"/>
      <c r="C119" s="846"/>
      <c r="D119" s="151" t="s">
        <v>183</v>
      </c>
      <c r="E119" s="95">
        <f>'5'!F119</f>
        <v>247290.93</v>
      </c>
      <c r="F119" s="237">
        <v>247716</v>
      </c>
      <c r="G119" s="112">
        <f t="shared" si="9"/>
        <v>425.07000000000698</v>
      </c>
      <c r="H119" s="99">
        <f>G119+'5'!H119</f>
        <v>2590</v>
      </c>
      <c r="I119" s="165"/>
      <c r="J119" s="328">
        <f>H119/DAY(B2)</f>
        <v>431.66666666666669</v>
      </c>
    </row>
    <row r="120" spans="1:18" ht="27.75" x14ac:dyDescent="0.5">
      <c r="A120" s="846" t="s">
        <v>99</v>
      </c>
      <c r="B120" s="846"/>
      <c r="C120" s="846"/>
      <c r="D120" s="151" t="s">
        <v>183</v>
      </c>
      <c r="E120" s="95">
        <f>'5'!F120</f>
        <v>32187</v>
      </c>
      <c r="F120" s="237">
        <v>32603</v>
      </c>
      <c r="G120" s="112">
        <f t="shared" si="9"/>
        <v>416</v>
      </c>
      <c r="H120" s="99">
        <f>G120+'5'!H120</f>
        <v>2525</v>
      </c>
      <c r="I120" s="165"/>
      <c r="J120" s="328">
        <f>H120/DAY(B2)</f>
        <v>420.83333333333331</v>
      </c>
    </row>
    <row r="121" spans="1:18" ht="27.75" x14ac:dyDescent="0.5">
      <c r="A121" s="846" t="s">
        <v>100</v>
      </c>
      <c r="B121" s="846"/>
      <c r="C121" s="846"/>
      <c r="D121" s="151" t="s">
        <v>183</v>
      </c>
      <c r="E121" s="95">
        <f>'5'!F121</f>
        <v>380353</v>
      </c>
      <c r="F121" s="237">
        <v>381098</v>
      </c>
      <c r="G121" s="112">
        <f t="shared" si="9"/>
        <v>745</v>
      </c>
      <c r="H121" s="99">
        <f>G121+'5'!H121</f>
        <v>4569</v>
      </c>
      <c r="I121" s="165"/>
      <c r="J121" s="328">
        <f>H121/DAY(B2)</f>
        <v>761.5</v>
      </c>
    </row>
    <row r="122" spans="1:18" ht="27.75" x14ac:dyDescent="0.5">
      <c r="A122" s="846" t="s">
        <v>101</v>
      </c>
      <c r="B122" s="846"/>
      <c r="C122" s="846"/>
      <c r="D122" s="151" t="s">
        <v>183</v>
      </c>
      <c r="E122" s="95">
        <f>'5'!F122</f>
        <v>121203.38</v>
      </c>
      <c r="F122" s="237">
        <v>121442</v>
      </c>
      <c r="G122" s="112">
        <f t="shared" si="9"/>
        <v>238.61999999999534</v>
      </c>
      <c r="H122" s="99">
        <f>G122+'5'!H122</f>
        <v>1392</v>
      </c>
      <c r="I122" s="165"/>
      <c r="J122" s="328">
        <f>H122/DAY(B2)</f>
        <v>232</v>
      </c>
    </row>
    <row r="123" spans="1:18" ht="27.75" x14ac:dyDescent="0.5">
      <c r="A123" s="846" t="s">
        <v>102</v>
      </c>
      <c r="B123" s="846"/>
      <c r="C123" s="846"/>
      <c r="D123" s="151" t="s">
        <v>183</v>
      </c>
      <c r="E123" s="95">
        <f>'5'!F123</f>
        <v>146792.75</v>
      </c>
      <c r="F123" s="237">
        <v>147100</v>
      </c>
      <c r="G123" s="112">
        <f t="shared" si="9"/>
        <v>307.25</v>
      </c>
      <c r="H123" s="99">
        <f>G123+'5'!H123</f>
        <v>1975</v>
      </c>
      <c r="I123" s="165"/>
      <c r="J123" s="328">
        <f>H123/DAY(B2)</f>
        <v>329.16666666666669</v>
      </c>
    </row>
    <row r="124" spans="1:18" ht="29.25" customHeight="1" x14ac:dyDescent="0.5">
      <c r="A124" s="876"/>
      <c r="B124" s="877"/>
      <c r="C124" s="878"/>
      <c r="D124" s="165"/>
      <c r="E124" s="95">
        <f>'5'!F124</f>
        <v>0</v>
      </c>
      <c r="F124" s="165"/>
      <c r="G124" s="327"/>
      <c r="H124" s="156"/>
      <c r="I124" s="165"/>
      <c r="J124" s="328"/>
    </row>
    <row r="125" spans="1:18" ht="27.75" x14ac:dyDescent="0.5">
      <c r="A125" s="879" t="s">
        <v>196</v>
      </c>
      <c r="B125" s="880"/>
      <c r="C125" s="245"/>
      <c r="D125" s="307"/>
      <c r="E125" s="308"/>
      <c r="F125" s="308"/>
      <c r="G125" s="309">
        <f>SUM(G112:G124)</f>
        <v>3313.020000000005</v>
      </c>
      <c r="H125" s="156"/>
      <c r="I125" s="327">
        <f>G125-(G39+G53)</f>
        <v>605.6100000000306</v>
      </c>
      <c r="J125" s="327"/>
    </row>
    <row r="126" spans="1:18" ht="27.75" x14ac:dyDescent="0.5">
      <c r="A126" s="881" t="s">
        <v>317</v>
      </c>
      <c r="B126" s="881"/>
      <c r="C126" s="881"/>
      <c r="D126" s="881"/>
      <c r="E126" s="881"/>
      <c r="F126" s="881"/>
      <c r="G126" s="881"/>
      <c r="H126" s="881"/>
      <c r="I126" s="881"/>
      <c r="J126" s="881"/>
    </row>
    <row r="127" spans="1:18" ht="27.75" x14ac:dyDescent="0.5">
      <c r="A127" s="882"/>
      <c r="B127" s="882"/>
      <c r="C127" s="245"/>
      <c r="D127" s="307"/>
      <c r="E127" s="308"/>
      <c r="F127" s="308"/>
      <c r="G127" s="309"/>
      <c r="H127" s="99">
        <f>G127+'5'!H127</f>
        <v>0</v>
      </c>
      <c r="I127" s="165"/>
      <c r="J127" s="328">
        <f>H127/DAY(B2)</f>
        <v>0</v>
      </c>
    </row>
    <row r="128" spans="1:18" ht="29.25" customHeight="1" x14ac:dyDescent="0.5">
      <c r="A128" s="851" t="s">
        <v>318</v>
      </c>
      <c r="B128" s="852"/>
      <c r="C128" s="853"/>
      <c r="D128" s="151" t="s">
        <v>183</v>
      </c>
      <c r="E128" s="95">
        <f>'5'!F128</f>
        <v>39721.089999999997</v>
      </c>
      <c r="F128" s="165">
        <v>40028</v>
      </c>
      <c r="G128" s="112">
        <f t="shared" ref="G128:G134" si="10">F128-E128</f>
        <v>306.91000000000349</v>
      </c>
      <c r="H128" s="99">
        <f>G128+'5'!H128</f>
        <v>2024</v>
      </c>
      <c r="I128" s="165"/>
      <c r="J128" s="328">
        <f>H128/DAY(B2)</f>
        <v>337.33333333333331</v>
      </c>
    </row>
    <row r="129" spans="1:15" ht="27.75" x14ac:dyDescent="0.5">
      <c r="A129" s="329" t="s">
        <v>319</v>
      </c>
      <c r="B129" s="330"/>
      <c r="C129" s="331"/>
      <c r="D129" s="151" t="s">
        <v>183</v>
      </c>
      <c r="E129" s="95">
        <f>'5'!F129</f>
        <v>21399.47</v>
      </c>
      <c r="F129" s="165">
        <v>21610</v>
      </c>
      <c r="G129" s="112">
        <f t="shared" si="10"/>
        <v>210.52999999999884</v>
      </c>
      <c r="H129" s="99">
        <f>G129+'5'!H129</f>
        <v>1289</v>
      </c>
      <c r="I129" s="165"/>
      <c r="J129" s="328">
        <f>H129/DAY(B2)</f>
        <v>214.83333333333334</v>
      </c>
      <c r="N129" s="240"/>
      <c r="O129" s="241"/>
    </row>
    <row r="130" spans="1:15" ht="27.75" x14ac:dyDescent="0.5">
      <c r="A130" s="329" t="s">
        <v>320</v>
      </c>
      <c r="B130" s="330"/>
      <c r="C130" s="331"/>
      <c r="D130" s="151" t="s">
        <v>183</v>
      </c>
      <c r="E130" s="95">
        <f>'5'!F130</f>
        <v>21852.17</v>
      </c>
      <c r="F130" s="165">
        <v>22476</v>
      </c>
      <c r="G130" s="112">
        <f t="shared" si="10"/>
        <v>623.83000000000175</v>
      </c>
      <c r="H130" s="99">
        <f>G130+'5'!H130</f>
        <v>4094</v>
      </c>
      <c r="I130" s="165"/>
      <c r="J130" s="328">
        <f>H130/DAY(B2)</f>
        <v>682.33333333333337</v>
      </c>
      <c r="N130" s="240"/>
      <c r="O130" s="241"/>
    </row>
    <row r="131" spans="1:15" ht="27.75" x14ac:dyDescent="0.5">
      <c r="A131" s="851" t="s">
        <v>321</v>
      </c>
      <c r="B131" s="852"/>
      <c r="C131" s="853"/>
      <c r="D131" s="151" t="s">
        <v>183</v>
      </c>
      <c r="E131" s="95">
        <f>'5'!F131</f>
        <v>13561.44</v>
      </c>
      <c r="F131" s="165">
        <v>13628</v>
      </c>
      <c r="G131" s="112">
        <f t="shared" si="10"/>
        <v>66.559999999999491</v>
      </c>
      <c r="H131" s="99">
        <f>G131+'5'!H131</f>
        <v>475</v>
      </c>
      <c r="I131" s="165"/>
      <c r="J131" s="328">
        <f>H131/DAY(B2)</f>
        <v>79.166666666666671</v>
      </c>
      <c r="N131" s="240"/>
      <c r="O131" s="241"/>
    </row>
    <row r="132" spans="1:15" ht="27.75" x14ac:dyDescent="0.5">
      <c r="A132" s="851" t="s">
        <v>322</v>
      </c>
      <c r="B132" s="852"/>
      <c r="C132" s="853"/>
      <c r="D132" s="151" t="s">
        <v>183</v>
      </c>
      <c r="E132" s="95">
        <f>'5'!F132</f>
        <v>43251.08</v>
      </c>
      <c r="F132" s="165">
        <v>43714</v>
      </c>
      <c r="G132" s="112">
        <f t="shared" si="10"/>
        <v>462.91999999999825</v>
      </c>
      <c r="H132" s="99">
        <f>G132+'5'!H132</f>
        <v>2691</v>
      </c>
      <c r="I132" s="165"/>
      <c r="J132" s="328">
        <f>H132/DAY(B2)</f>
        <v>448.5</v>
      </c>
    </row>
    <row r="133" spans="1:15" ht="27.75" x14ac:dyDescent="0.5">
      <c r="A133" s="851" t="s">
        <v>323</v>
      </c>
      <c r="B133" s="852"/>
      <c r="C133" s="853"/>
      <c r="D133" s="151" t="s">
        <v>183</v>
      </c>
      <c r="E133" s="95">
        <f>'5'!F133</f>
        <v>91892.87</v>
      </c>
      <c r="F133" s="165">
        <v>92706</v>
      </c>
      <c r="G133" s="112">
        <f t="shared" si="10"/>
        <v>813.13000000000466</v>
      </c>
      <c r="H133" s="99">
        <f>G133+'5'!H133</f>
        <v>5003</v>
      </c>
      <c r="I133" s="165"/>
      <c r="J133" s="328">
        <f>H133/DAY(B2)</f>
        <v>833.83333333333337</v>
      </c>
    </row>
    <row r="134" spans="1:15" ht="27.75" x14ac:dyDescent="0.5">
      <c r="A134" s="851" t="s">
        <v>340</v>
      </c>
      <c r="B134" s="852"/>
      <c r="C134" s="853"/>
      <c r="D134" s="151" t="s">
        <v>183</v>
      </c>
      <c r="E134" s="95">
        <f>'5'!F134</f>
        <v>672078</v>
      </c>
      <c r="F134" s="165">
        <v>672722</v>
      </c>
      <c r="G134" s="112">
        <f t="shared" si="10"/>
        <v>644</v>
      </c>
      <c r="H134" s="99">
        <f>G134+'5'!H134</f>
        <v>3842</v>
      </c>
      <c r="I134" s="165"/>
      <c r="J134" s="328">
        <f>H134/DAY(B2)</f>
        <v>640.33333333333337</v>
      </c>
    </row>
    <row r="135" spans="1:15" ht="27.75" x14ac:dyDescent="0.5">
      <c r="A135" s="879" t="s">
        <v>196</v>
      </c>
      <c r="B135" s="880"/>
      <c r="C135" s="331"/>
      <c r="D135" s="151"/>
      <c r="E135" s="95"/>
      <c r="F135" s="112"/>
      <c r="G135" s="112">
        <f>SUM(G128:G134)</f>
        <v>3127.8800000000065</v>
      </c>
      <c r="H135" s="99">
        <f>G135+'5'!H135</f>
        <v>19418</v>
      </c>
      <c r="I135" s="327">
        <f>G135-(G35+G49)</f>
        <v>-353.5999999999749</v>
      </c>
      <c r="J135" s="328">
        <f>H135/DAY(B2)</f>
        <v>3236.3333333333335</v>
      </c>
    </row>
    <row r="136" spans="1:15" ht="31.5" x14ac:dyDescent="0.55000000000000004">
      <c r="A136" s="883" t="s">
        <v>325</v>
      </c>
      <c r="B136" s="883"/>
      <c r="C136" s="883"/>
      <c r="D136" s="883"/>
      <c r="E136" s="883"/>
      <c r="F136" s="883"/>
      <c r="G136" s="883"/>
      <c r="H136" s="883"/>
      <c r="I136" s="883"/>
      <c r="J136" s="883"/>
    </row>
    <row r="137" spans="1:15" ht="29.25" x14ac:dyDescent="0.5">
      <c r="A137" s="245"/>
      <c r="B137" s="246"/>
      <c r="C137" s="246"/>
      <c r="D137" s="165"/>
      <c r="E137" s="165"/>
      <c r="F137" s="165"/>
      <c r="G137" s="165"/>
      <c r="H137" s="156"/>
      <c r="I137" s="165"/>
      <c r="J137" s="327"/>
    </row>
    <row r="138" spans="1:15" ht="27.75" x14ac:dyDescent="0.5">
      <c r="A138" s="846" t="s">
        <v>185</v>
      </c>
      <c r="B138" s="846"/>
      <c r="C138" s="846"/>
      <c r="D138" s="151" t="s">
        <v>183</v>
      </c>
      <c r="E138" s="95">
        <f>'5'!F138</f>
        <v>864536</v>
      </c>
      <c r="F138" s="147">
        <v>864599</v>
      </c>
      <c r="G138" s="112">
        <f t="shared" ref="G138:G152" si="11">F138-E138</f>
        <v>63</v>
      </c>
      <c r="H138" s="99">
        <f>G138+'5'!H138</f>
        <v>428</v>
      </c>
      <c r="I138" s="118"/>
      <c r="J138" s="328">
        <f>H138/DAY(B2)</f>
        <v>71.333333333333329</v>
      </c>
    </row>
    <row r="139" spans="1:15" ht="27.75" x14ac:dyDescent="0.5">
      <c r="A139" s="846" t="s">
        <v>186</v>
      </c>
      <c r="B139" s="846"/>
      <c r="C139" s="846"/>
      <c r="D139" s="151" t="s">
        <v>183</v>
      </c>
      <c r="E139" s="95">
        <f>'5'!F139</f>
        <v>886547</v>
      </c>
      <c r="F139" s="148">
        <v>886549</v>
      </c>
      <c r="G139" s="112">
        <f t="shared" si="11"/>
        <v>2</v>
      </c>
      <c r="H139" s="99">
        <f>G139+'5'!H139</f>
        <v>3</v>
      </c>
      <c r="I139" s="118"/>
      <c r="J139" s="328">
        <f>H139/DAY(B2)</f>
        <v>0.5</v>
      </c>
    </row>
    <row r="140" spans="1:15" ht="27.75" x14ac:dyDescent="0.5">
      <c r="A140" s="846" t="s">
        <v>187</v>
      </c>
      <c r="B140" s="846"/>
      <c r="C140" s="846"/>
      <c r="D140" s="151" t="s">
        <v>183</v>
      </c>
      <c r="E140" s="95">
        <f>'5'!F140</f>
        <v>88898.3</v>
      </c>
      <c r="F140" s="149">
        <v>88898.3</v>
      </c>
      <c r="G140" s="112">
        <f t="shared" si="11"/>
        <v>0</v>
      </c>
      <c r="H140" s="99">
        <f>G140+'5'!H140</f>
        <v>16.30000000000291</v>
      </c>
      <c r="I140" s="118"/>
      <c r="J140" s="328">
        <f>H140/DAY(B2)</f>
        <v>2.7166666666671517</v>
      </c>
    </row>
    <row r="141" spans="1:15" ht="27.75" x14ac:dyDescent="0.5">
      <c r="A141" s="850" t="s">
        <v>188</v>
      </c>
      <c r="B141" s="850"/>
      <c r="C141" s="850"/>
      <c r="D141" s="151" t="s">
        <v>183</v>
      </c>
      <c r="E141" s="95">
        <f>'5'!F141</f>
        <v>50206.1</v>
      </c>
      <c r="F141" s="149">
        <v>50370</v>
      </c>
      <c r="G141" s="112">
        <f t="shared" si="11"/>
        <v>163.90000000000146</v>
      </c>
      <c r="H141" s="99">
        <f>G141+'5'!H141</f>
        <v>1064</v>
      </c>
      <c r="I141" s="118"/>
      <c r="J141" s="328">
        <f>H141/DAY(B2)</f>
        <v>177.33333333333334</v>
      </c>
    </row>
    <row r="142" spans="1:15" ht="27.75" x14ac:dyDescent="0.5">
      <c r="A142" s="850" t="s">
        <v>189</v>
      </c>
      <c r="B142" s="850"/>
      <c r="C142" s="850"/>
      <c r="D142" s="151" t="s">
        <v>183</v>
      </c>
      <c r="E142" s="95">
        <f>'5'!F142</f>
        <v>19368.75</v>
      </c>
      <c r="F142" s="148">
        <v>19437</v>
      </c>
      <c r="G142" s="112">
        <f t="shared" si="11"/>
        <v>68.25</v>
      </c>
      <c r="H142" s="99">
        <f>G142+'5'!H142</f>
        <v>428</v>
      </c>
      <c r="I142" s="140"/>
      <c r="J142" s="328">
        <f>H142/DAY(B2)</f>
        <v>71.333333333333329</v>
      </c>
    </row>
    <row r="143" spans="1:15" ht="27.75" x14ac:dyDescent="0.5">
      <c r="A143" s="846" t="s">
        <v>91</v>
      </c>
      <c r="B143" s="846"/>
      <c r="C143" s="846"/>
      <c r="D143" s="151" t="s">
        <v>183</v>
      </c>
      <c r="E143" s="95">
        <f>'5'!F143</f>
        <v>3172.7</v>
      </c>
      <c r="F143" s="149">
        <v>3195</v>
      </c>
      <c r="G143" s="112">
        <f t="shared" si="11"/>
        <v>22.300000000000182</v>
      </c>
      <c r="H143" s="99">
        <f>G143+'5'!H143</f>
        <v>134</v>
      </c>
      <c r="I143" s="140"/>
      <c r="J143" s="328">
        <f>H143/DAY(B2)</f>
        <v>22.333333333333332</v>
      </c>
    </row>
    <row r="144" spans="1:15" ht="27.75" x14ac:dyDescent="0.5">
      <c r="A144" s="850" t="s">
        <v>90</v>
      </c>
      <c r="B144" s="850"/>
      <c r="C144" s="850"/>
      <c r="D144" s="151" t="s">
        <v>183</v>
      </c>
      <c r="E144" s="95">
        <f>'5'!F144</f>
        <v>870794</v>
      </c>
      <c r="F144" s="149">
        <v>871014</v>
      </c>
      <c r="G144" s="112">
        <f t="shared" si="11"/>
        <v>220</v>
      </c>
      <c r="H144" s="99">
        <f>G144+'5'!H144</f>
        <v>1344</v>
      </c>
      <c r="I144" s="140"/>
      <c r="J144" s="328">
        <f>H144/DAY(B2)</f>
        <v>224</v>
      </c>
    </row>
    <row r="145" spans="1:10" ht="27.75" x14ac:dyDescent="0.5">
      <c r="A145" s="846" t="s">
        <v>190</v>
      </c>
      <c r="B145" s="846"/>
      <c r="C145" s="846"/>
      <c r="D145" s="152" t="s">
        <v>183</v>
      </c>
      <c r="E145" s="95">
        <f>'5'!F145</f>
        <v>4641</v>
      </c>
      <c r="F145" s="149">
        <v>4659</v>
      </c>
      <c r="G145" s="112">
        <f t="shared" si="11"/>
        <v>18</v>
      </c>
      <c r="H145" s="99">
        <f>G145+'5'!H145</f>
        <v>101</v>
      </c>
      <c r="I145" s="140"/>
      <c r="J145" s="328">
        <f>H145/DAY(B2)</f>
        <v>16.833333333333332</v>
      </c>
    </row>
    <row r="146" spans="1:10" ht="27.75" x14ac:dyDescent="0.5">
      <c r="A146" s="847" t="s">
        <v>191</v>
      </c>
      <c r="B146" s="848"/>
      <c r="C146" s="849"/>
      <c r="D146" s="152" t="s">
        <v>183</v>
      </c>
      <c r="E146" s="95">
        <f>'5'!F146</f>
        <v>727178</v>
      </c>
      <c r="F146" s="148">
        <v>727616</v>
      </c>
      <c r="G146" s="112">
        <f t="shared" si="11"/>
        <v>438</v>
      </c>
      <c r="H146" s="99">
        <f>G146+'5'!H146</f>
        <v>2758</v>
      </c>
      <c r="I146" s="140"/>
      <c r="J146" s="328">
        <f>H146/DAY(B2)</f>
        <v>459.66666666666669</v>
      </c>
    </row>
    <row r="147" spans="1:10" ht="27.75" x14ac:dyDescent="0.5">
      <c r="A147" s="850" t="s">
        <v>192</v>
      </c>
      <c r="B147" s="850"/>
      <c r="C147" s="850"/>
      <c r="D147" s="152" t="s">
        <v>183</v>
      </c>
      <c r="E147" s="95">
        <f>'5'!F147</f>
        <v>617341</v>
      </c>
      <c r="F147" s="148">
        <v>617718</v>
      </c>
      <c r="G147" s="112">
        <f t="shared" si="11"/>
        <v>377</v>
      </c>
      <c r="H147" s="99">
        <f>G147+'5'!H147</f>
        <v>2436</v>
      </c>
      <c r="I147" s="140"/>
      <c r="J147" s="328">
        <f>H147/DAY(B2)</f>
        <v>406</v>
      </c>
    </row>
    <row r="148" spans="1:10" ht="27.75" x14ac:dyDescent="0.5">
      <c r="A148" s="842" t="s">
        <v>193</v>
      </c>
      <c r="B148" s="843"/>
      <c r="C148" s="844"/>
      <c r="D148" s="123" t="s">
        <v>130</v>
      </c>
      <c r="E148" s="95">
        <f>'5'!F148</f>
        <v>684402</v>
      </c>
      <c r="F148" s="150">
        <v>684690</v>
      </c>
      <c r="G148" s="112">
        <f t="shared" si="11"/>
        <v>288</v>
      </c>
      <c r="H148" s="99">
        <f>G148+'5'!H148</f>
        <v>1656.8800000000047</v>
      </c>
      <c r="I148" s="124"/>
      <c r="J148" s="328">
        <f>H148/DAY(B2)</f>
        <v>276.14666666666744</v>
      </c>
    </row>
    <row r="149" spans="1:10" ht="27.75" x14ac:dyDescent="0.5">
      <c r="A149" s="842" t="s">
        <v>336</v>
      </c>
      <c r="B149" s="843"/>
      <c r="C149" s="844"/>
      <c r="D149" s="227" t="s">
        <v>130</v>
      </c>
      <c r="E149" s="95">
        <f>'5'!F149</f>
        <v>12661.14</v>
      </c>
      <c r="F149" s="146">
        <v>13147</v>
      </c>
      <c r="G149" s="112">
        <f t="shared" si="11"/>
        <v>485.86000000000058</v>
      </c>
      <c r="H149" s="99">
        <f>G149+'5'!H149</f>
        <v>2398</v>
      </c>
      <c r="I149" s="119"/>
      <c r="J149" s="328">
        <f>H149/DAY(B2)</f>
        <v>399.66666666666669</v>
      </c>
    </row>
    <row r="150" spans="1:10" ht="27.75" x14ac:dyDescent="0.5">
      <c r="A150" s="842" t="s">
        <v>337</v>
      </c>
      <c r="B150" s="843"/>
      <c r="C150" s="844"/>
      <c r="D150" s="117" t="s">
        <v>130</v>
      </c>
      <c r="E150" s="95">
        <f>'5'!F150</f>
        <v>5143.54</v>
      </c>
      <c r="F150" s="233">
        <v>5359</v>
      </c>
      <c r="G150" s="112">
        <f t="shared" si="11"/>
        <v>215.46000000000004</v>
      </c>
      <c r="H150" s="99">
        <f>G150+'5'!H150</f>
        <v>1307</v>
      </c>
      <c r="I150" s="119"/>
      <c r="J150" s="328">
        <f>H150/DAY(B2)</f>
        <v>217.83333333333334</v>
      </c>
    </row>
    <row r="151" spans="1:10" ht="27.75" x14ac:dyDescent="0.5">
      <c r="A151" s="842" t="s">
        <v>338</v>
      </c>
      <c r="B151" s="843"/>
      <c r="C151" s="844"/>
      <c r="D151" s="117" t="s">
        <v>130</v>
      </c>
      <c r="E151" s="95">
        <f>'5'!F151</f>
        <v>79503</v>
      </c>
      <c r="F151" s="233">
        <v>79746</v>
      </c>
      <c r="G151" s="112">
        <f t="shared" si="11"/>
        <v>243</v>
      </c>
      <c r="H151" s="99">
        <f>G151+'5'!H151</f>
        <v>1529</v>
      </c>
      <c r="I151" s="119"/>
      <c r="J151" s="328">
        <f>H151/DAY(B2)</f>
        <v>254.83333333333334</v>
      </c>
    </row>
    <row r="152" spans="1:10" ht="27.75" x14ac:dyDescent="0.5">
      <c r="A152" s="842" t="s">
        <v>339</v>
      </c>
      <c r="B152" s="843"/>
      <c r="C152" s="844"/>
      <c r="D152" s="117" t="s">
        <v>130</v>
      </c>
      <c r="E152" s="95">
        <f>'5'!F152</f>
        <v>1238.56</v>
      </c>
      <c r="F152" s="233">
        <v>1253</v>
      </c>
      <c r="G152" s="112">
        <f t="shared" si="11"/>
        <v>14.440000000000055</v>
      </c>
      <c r="H152" s="99">
        <f>G152+'5'!H152</f>
        <v>126</v>
      </c>
      <c r="I152" s="119"/>
      <c r="J152" s="328">
        <f>H152/DAY(B2)</f>
        <v>21</v>
      </c>
    </row>
    <row r="153" spans="1:10" ht="27.75" x14ac:dyDescent="0.5">
      <c r="A153" s="879" t="s">
        <v>196</v>
      </c>
      <c r="B153" s="880"/>
      <c r="C153" s="365"/>
      <c r="D153" s="358"/>
      <c r="E153" s="360"/>
      <c r="F153" s="361"/>
      <c r="G153" s="362">
        <f>SUM(G138:G152)</f>
        <v>2619.2100000000023</v>
      </c>
      <c r="H153" s="363"/>
      <c r="I153" s="119">
        <f>G153-(G38+G52)</f>
        <v>932.10000000001628</v>
      </c>
      <c r="J153" s="366"/>
    </row>
    <row r="154" spans="1:10" ht="31.5" x14ac:dyDescent="0.55000000000000004">
      <c r="A154" s="883" t="s">
        <v>344</v>
      </c>
      <c r="B154" s="883"/>
      <c r="C154" s="883"/>
      <c r="D154" s="883"/>
      <c r="E154" s="883"/>
      <c r="F154" s="883"/>
      <c r="G154" s="883"/>
      <c r="H154" s="883"/>
      <c r="I154" s="883"/>
      <c r="J154" s="883"/>
    </row>
    <row r="155" spans="1:10" ht="31.5" x14ac:dyDescent="0.55000000000000004">
      <c r="A155" s="850" t="s">
        <v>345</v>
      </c>
      <c r="B155" s="850"/>
      <c r="C155" s="850"/>
      <c r="D155" s="117" t="s">
        <v>130</v>
      </c>
      <c r="E155" s="95">
        <f>'5'!F155</f>
        <v>16004.02</v>
      </c>
      <c r="F155" s="374">
        <v>16648</v>
      </c>
      <c r="G155" s="112">
        <f t="shared" ref="G155:G156" si="12">F155-E155</f>
        <v>643.97999999999956</v>
      </c>
      <c r="H155" s="99">
        <f>G155+'5'!H155</f>
        <v>3176</v>
      </c>
      <c r="I155" s="364"/>
      <c r="J155" s="328">
        <f>H155/DAY(B2)</f>
        <v>529.33333333333337</v>
      </c>
    </row>
    <row r="156" spans="1:10" ht="27.75" x14ac:dyDescent="0.5">
      <c r="A156" s="850" t="s">
        <v>346</v>
      </c>
      <c r="B156" s="850"/>
      <c r="C156" s="850"/>
      <c r="D156" s="117" t="s">
        <v>130</v>
      </c>
      <c r="E156" s="95">
        <f>'5'!F156</f>
        <v>1308.71</v>
      </c>
      <c r="F156" s="155">
        <v>1363</v>
      </c>
      <c r="G156" s="112">
        <f t="shared" si="12"/>
        <v>54.289999999999964</v>
      </c>
      <c r="H156" s="99">
        <f>G156+'5'!H156</f>
        <v>275</v>
      </c>
      <c r="I156" s="165"/>
      <c r="J156" s="328">
        <f>H156/DAY(B2)</f>
        <v>45.833333333333336</v>
      </c>
    </row>
    <row r="157" spans="1:10" ht="27.75" x14ac:dyDescent="0.5">
      <c r="A157" s="842" t="s">
        <v>364</v>
      </c>
      <c r="B157" s="843"/>
      <c r="C157" s="844"/>
      <c r="D157" s="117" t="s">
        <v>130</v>
      </c>
      <c r="E157" s="95"/>
      <c r="F157" s="155"/>
      <c r="G157" s="112"/>
      <c r="H157" s="99"/>
      <c r="I157" s="165"/>
      <c r="J157" s="328"/>
    </row>
    <row r="158" spans="1:10" ht="27.75" x14ac:dyDescent="0.5">
      <c r="A158" s="842" t="s">
        <v>365</v>
      </c>
      <c r="B158" s="843"/>
      <c r="C158" s="844"/>
      <c r="D158" s="117" t="s">
        <v>130</v>
      </c>
      <c r="E158" s="95"/>
      <c r="F158" s="155"/>
      <c r="G158" s="112"/>
      <c r="H158" s="99"/>
      <c r="I158" s="165"/>
      <c r="J158" s="328"/>
    </row>
    <row r="159" spans="1:10" ht="27.75" x14ac:dyDescent="0.5">
      <c r="A159" s="899"/>
      <c r="B159" s="900"/>
      <c r="C159" s="901"/>
      <c r="D159" s="117"/>
      <c r="E159" s="95"/>
      <c r="F159" s="155"/>
      <c r="G159" s="112"/>
      <c r="H159" s="99"/>
      <c r="I159" s="165"/>
      <c r="J159" s="328"/>
    </row>
    <row r="160" spans="1:10" ht="31.5" x14ac:dyDescent="0.55000000000000004">
      <c r="A160" s="883" t="s">
        <v>326</v>
      </c>
      <c r="B160" s="883"/>
      <c r="C160" s="883"/>
      <c r="D160" s="883"/>
      <c r="E160" s="883"/>
      <c r="F160" s="883"/>
      <c r="G160" s="883"/>
      <c r="H160" s="883"/>
      <c r="I160" s="883"/>
      <c r="J160" s="883"/>
    </row>
    <row r="161" spans="1:10" ht="29.25" x14ac:dyDescent="0.5">
      <c r="A161" s="242" t="s">
        <v>92</v>
      </c>
      <c r="B161" s="243"/>
      <c r="C161" s="243"/>
      <c r="D161" s="244" t="s">
        <v>180</v>
      </c>
      <c r="E161" s="95">
        <f>'5'!F161</f>
        <v>471153.56</v>
      </c>
      <c r="F161" s="235">
        <v>471153.56</v>
      </c>
      <c r="G161" s="238">
        <f t="shared" ref="G161:G165" si="13">F161-E161</f>
        <v>0</v>
      </c>
      <c r="H161" s="99">
        <f>G161+'5'!H161</f>
        <v>0.40000000002328306</v>
      </c>
      <c r="I161" s="236"/>
      <c r="J161" s="239">
        <f>H161/DAY(B2)</f>
        <v>6.6666666670547173E-2</v>
      </c>
    </row>
    <row r="162" spans="1:10" ht="29.25" x14ac:dyDescent="0.5">
      <c r="A162" s="242" t="s">
        <v>93</v>
      </c>
      <c r="B162" s="243"/>
      <c r="C162" s="243"/>
      <c r="D162" s="244" t="s">
        <v>180</v>
      </c>
      <c r="E162" s="95">
        <f>'5'!F162</f>
        <v>87687</v>
      </c>
      <c r="F162" s="235">
        <v>87718</v>
      </c>
      <c r="G162" s="238">
        <f t="shared" si="13"/>
        <v>31</v>
      </c>
      <c r="H162" s="99">
        <f>G162+'5'!H162</f>
        <v>148</v>
      </c>
      <c r="I162" s="236"/>
      <c r="J162" s="239">
        <f>H162/DAY(B2)</f>
        <v>24.666666666666668</v>
      </c>
    </row>
    <row r="163" spans="1:10" ht="29.25" x14ac:dyDescent="0.5">
      <c r="A163" s="242" t="s">
        <v>197</v>
      </c>
      <c r="B163" s="243"/>
      <c r="C163" s="243"/>
      <c r="D163" s="244" t="s">
        <v>180</v>
      </c>
      <c r="E163" s="95">
        <f>'5'!F163</f>
        <v>78048.2</v>
      </c>
      <c r="F163" s="235">
        <v>78084</v>
      </c>
      <c r="G163" s="238">
        <f t="shared" si="13"/>
        <v>35.80000000000291</v>
      </c>
      <c r="H163" s="99">
        <f>G163+'5'!H163</f>
        <v>259</v>
      </c>
      <c r="I163" s="236"/>
      <c r="J163" s="239">
        <f>H163/DAY(B2)</f>
        <v>43.166666666666664</v>
      </c>
    </row>
    <row r="164" spans="1:10" ht="29.25" x14ac:dyDescent="0.5">
      <c r="A164" s="242" t="s">
        <v>197</v>
      </c>
      <c r="B164" s="243"/>
      <c r="C164" s="243"/>
      <c r="D164" s="244" t="s">
        <v>180</v>
      </c>
      <c r="E164" s="95">
        <f>'5'!F164</f>
        <v>4248.6000000000004</v>
      </c>
      <c r="F164" s="235">
        <v>4250</v>
      </c>
      <c r="G164" s="238">
        <f t="shared" si="13"/>
        <v>1.3999999999996362</v>
      </c>
      <c r="H164" s="99">
        <f>G164+'5'!H164</f>
        <v>8</v>
      </c>
      <c r="I164" s="236"/>
      <c r="J164" s="239">
        <f>H164/DAY(B2)</f>
        <v>1.3333333333333333</v>
      </c>
    </row>
    <row r="165" spans="1:10" ht="29.25" x14ac:dyDescent="0.5">
      <c r="A165" s="242" t="s">
        <v>309</v>
      </c>
      <c r="B165" s="243"/>
      <c r="C165" s="243"/>
      <c r="D165" s="244" t="s">
        <v>180</v>
      </c>
      <c r="E165" s="95">
        <f>'5'!F165</f>
        <v>29679.3</v>
      </c>
      <c r="F165" s="235">
        <v>29685</v>
      </c>
      <c r="G165" s="238">
        <f t="shared" si="13"/>
        <v>5.7000000000007276</v>
      </c>
      <c r="H165" s="99">
        <f>G165+'5'!H165</f>
        <v>39</v>
      </c>
      <c r="I165" s="236"/>
      <c r="J165" s="239">
        <f>H165/DAY(B2)</f>
        <v>6.5</v>
      </c>
    </row>
    <row r="166" spans="1:10" ht="29.25" x14ac:dyDescent="0.5">
      <c r="A166" s="882"/>
      <c r="B166" s="882"/>
      <c r="C166" s="246"/>
      <c r="D166" s="244" t="s">
        <v>180</v>
      </c>
      <c r="E166" s="95">
        <f>'5'!F166</f>
        <v>0</v>
      </c>
      <c r="F166" s="165"/>
      <c r="G166" s="165"/>
      <c r="H166" s="99">
        <f>G166+'5'!H166</f>
        <v>0</v>
      </c>
      <c r="I166" s="165"/>
      <c r="J166" s="239">
        <f>H166/DAY(B2)</f>
        <v>0</v>
      </c>
    </row>
    <row r="167" spans="1:10" ht="29.25" x14ac:dyDescent="0.5">
      <c r="A167" s="882"/>
      <c r="B167" s="882"/>
      <c r="C167" s="246"/>
      <c r="D167" s="244" t="s">
        <v>180</v>
      </c>
      <c r="E167" s="95">
        <f>'5'!F167</f>
        <v>0</v>
      </c>
      <c r="F167" s="165"/>
      <c r="G167" s="165"/>
      <c r="H167" s="99">
        <f>G167+'5'!H167</f>
        <v>0</v>
      </c>
      <c r="I167" s="165"/>
      <c r="J167" s="239">
        <f>H167/DAY(B2)</f>
        <v>0</v>
      </c>
    </row>
    <row r="168" spans="1:10" ht="29.25" x14ac:dyDescent="0.5">
      <c r="A168" s="882"/>
      <c r="B168" s="882"/>
      <c r="C168" s="246"/>
      <c r="D168" s="244" t="s">
        <v>180</v>
      </c>
      <c r="E168" s="95">
        <f>'5'!F168</f>
        <v>0</v>
      </c>
      <c r="F168" s="165"/>
      <c r="G168" s="165"/>
      <c r="H168" s="99">
        <f>G168+'5'!H168</f>
        <v>0</v>
      </c>
      <c r="I168" s="165"/>
      <c r="J168" s="239">
        <f>H168/DAY(B2)</f>
        <v>0</v>
      </c>
    </row>
    <row r="169" spans="1:10" ht="29.25" x14ac:dyDescent="0.5"/>
    <row r="170" spans="1:10" ht="29.25" x14ac:dyDescent="0.5"/>
    <row r="171" spans="1:10" ht="31.5" x14ac:dyDescent="0.35">
      <c r="A171" s="890" t="s">
        <v>330</v>
      </c>
      <c r="B171" s="891"/>
      <c r="C171" s="891"/>
      <c r="D171" s="891"/>
      <c r="E171" s="891"/>
      <c r="F171" s="891"/>
      <c r="G171" s="891"/>
      <c r="H171" s="891"/>
      <c r="I171" s="891"/>
      <c r="J171" s="892"/>
    </row>
    <row r="172" spans="1:10" ht="27.75" x14ac:dyDescent="0.5">
      <c r="A172" s="886"/>
      <c r="B172" s="887"/>
      <c r="C172" s="332"/>
      <c r="D172" s="228"/>
      <c r="E172" s="155"/>
      <c r="F172" s="155"/>
      <c r="G172" s="155"/>
      <c r="H172" s="156"/>
      <c r="I172" s="155"/>
      <c r="J172" s="178"/>
    </row>
    <row r="173" spans="1:10" ht="27.75" x14ac:dyDescent="0.5">
      <c r="A173" s="840" t="s">
        <v>209</v>
      </c>
      <c r="B173" s="841"/>
      <c r="C173" s="333"/>
      <c r="D173" s="228" t="s">
        <v>142</v>
      </c>
      <c r="E173" s="95">
        <f>'5'!F173</f>
        <v>8126</v>
      </c>
      <c r="F173" s="155">
        <v>8126</v>
      </c>
      <c r="G173" s="155">
        <f>F173-E173</f>
        <v>0</v>
      </c>
      <c r="H173" s="99">
        <f>G173+'5'!H173</f>
        <v>0</v>
      </c>
      <c r="I173" s="155"/>
      <c r="J173" s="178">
        <f>H173/DAY(B2)</f>
        <v>0</v>
      </c>
    </row>
    <row r="174" spans="1:10" ht="27.75" x14ac:dyDescent="0.5">
      <c r="A174" s="840" t="s">
        <v>75</v>
      </c>
      <c r="B174" s="841"/>
      <c r="C174" s="333"/>
      <c r="D174" s="228" t="s">
        <v>142</v>
      </c>
      <c r="E174" s="95">
        <f>'5'!F174</f>
        <v>38336</v>
      </c>
      <c r="F174" s="157">
        <v>38347</v>
      </c>
      <c r="G174" s="155">
        <f t="shared" ref="G174:G175" si="14">F174-E174</f>
        <v>11</v>
      </c>
      <c r="H174" s="99">
        <f>G174+'5'!H174</f>
        <v>54</v>
      </c>
      <c r="I174" s="155"/>
      <c r="J174" s="178">
        <f>H174/DAY(B2)</f>
        <v>9</v>
      </c>
    </row>
    <row r="175" spans="1:10" ht="27.75" x14ac:dyDescent="0.5">
      <c r="A175" s="840" t="s">
        <v>76</v>
      </c>
      <c r="B175" s="845"/>
      <c r="C175" s="841"/>
      <c r="D175" s="228" t="s">
        <v>142</v>
      </c>
      <c r="E175" s="95">
        <f>'5'!F175</f>
        <v>21567</v>
      </c>
      <c r="F175" s="155">
        <v>21576</v>
      </c>
      <c r="G175" s="155">
        <f t="shared" si="14"/>
        <v>9</v>
      </c>
      <c r="H175" s="99">
        <f>G175+'5'!H175</f>
        <v>58</v>
      </c>
      <c r="I175" s="155"/>
      <c r="J175" s="178">
        <f>H175/DAY(B2)</f>
        <v>9.6666666666666661</v>
      </c>
    </row>
    <row r="176" spans="1:10" ht="27.75" x14ac:dyDescent="0.5">
      <c r="A176" s="592" t="s">
        <v>196</v>
      </c>
      <c r="B176" s="593"/>
      <c r="C176" s="333"/>
      <c r="D176" s="228"/>
      <c r="E176" s="95">
        <f>'5'!F176</f>
        <v>0</v>
      </c>
      <c r="F176" s="155"/>
      <c r="G176" s="155">
        <f>SUM(G173:G175)</f>
        <v>20</v>
      </c>
      <c r="H176" s="99">
        <f>G176+'5'!H176</f>
        <v>112</v>
      </c>
      <c r="I176" s="155"/>
      <c r="J176" s="178">
        <f>H176/DAY(B2)</f>
        <v>18.666666666666668</v>
      </c>
    </row>
    <row r="177" spans="1:10" ht="27.75" x14ac:dyDescent="0.5">
      <c r="A177" s="840" t="s">
        <v>77</v>
      </c>
      <c r="B177" s="841"/>
      <c r="C177" s="333"/>
      <c r="D177" s="228" t="s">
        <v>142</v>
      </c>
      <c r="E177" s="95">
        <f>'5'!F177</f>
        <v>0</v>
      </c>
      <c r="F177" s="155"/>
      <c r="G177" s="155"/>
      <c r="H177" s="99">
        <f>G177+'5'!H177</f>
        <v>0</v>
      </c>
      <c r="I177" s="155"/>
      <c r="J177" s="178">
        <f>H177/DAY(B2)</f>
        <v>0</v>
      </c>
    </row>
    <row r="178" spans="1:10" ht="27.75" x14ac:dyDescent="0.5">
      <c r="A178" s="840" t="s">
        <v>210</v>
      </c>
      <c r="B178" s="841"/>
      <c r="C178" s="333"/>
      <c r="D178" s="228" t="s">
        <v>142</v>
      </c>
      <c r="E178" s="95">
        <f>'5'!F178</f>
        <v>79974</v>
      </c>
      <c r="F178" s="155">
        <v>80046</v>
      </c>
      <c r="G178" s="155">
        <f>F178-E178</f>
        <v>72</v>
      </c>
      <c r="H178" s="99">
        <f>G178+'5'!H178</f>
        <v>432</v>
      </c>
      <c r="I178" s="155"/>
      <c r="J178" s="178">
        <f>H178/DAY(B2)</f>
        <v>72</v>
      </c>
    </row>
    <row r="179" spans="1:10" ht="27.75" x14ac:dyDescent="0.5">
      <c r="A179" s="840" t="s">
        <v>211</v>
      </c>
      <c r="B179" s="841"/>
      <c r="C179" s="333"/>
      <c r="D179" s="228" t="s">
        <v>142</v>
      </c>
      <c r="E179" s="95">
        <f>'5'!F179</f>
        <v>34024</v>
      </c>
      <c r="F179" s="155">
        <v>34029</v>
      </c>
      <c r="G179" s="155">
        <f t="shared" ref="G179:G180" si="15">F179-E179</f>
        <v>5</v>
      </c>
      <c r="H179" s="99">
        <f>G179+'5'!H179</f>
        <v>114</v>
      </c>
      <c r="I179" s="155"/>
      <c r="J179" s="178">
        <f>H179/DAY(B2)</f>
        <v>19</v>
      </c>
    </row>
    <row r="180" spans="1:10" ht="27.75" x14ac:dyDescent="0.5">
      <c r="A180" s="840" t="s">
        <v>212</v>
      </c>
      <c r="B180" s="841"/>
      <c r="C180" s="333"/>
      <c r="D180" s="228" t="s">
        <v>142</v>
      </c>
      <c r="E180" s="95">
        <f>'5'!F180</f>
        <v>5505</v>
      </c>
      <c r="F180" s="155">
        <v>5525</v>
      </c>
      <c r="G180" s="155">
        <f t="shared" si="15"/>
        <v>20</v>
      </c>
      <c r="H180" s="99">
        <f>G180+'5'!H180</f>
        <v>48</v>
      </c>
      <c r="I180" s="155"/>
      <c r="J180" s="178">
        <f>H180/DAY(B2)</f>
        <v>8</v>
      </c>
    </row>
    <row r="181" spans="1:10" ht="27.75" x14ac:dyDescent="0.5">
      <c r="A181" s="884" t="s">
        <v>108</v>
      </c>
      <c r="B181" s="885"/>
      <c r="C181" s="333"/>
      <c r="D181" s="228"/>
      <c r="E181" s="95">
        <f>'5'!F181</f>
        <v>0</v>
      </c>
      <c r="F181" s="155"/>
      <c r="G181" s="155">
        <f>SUM(G178:G180)</f>
        <v>97</v>
      </c>
      <c r="H181" s="99">
        <f>G181+'5'!H181</f>
        <v>594</v>
      </c>
      <c r="I181" s="155"/>
      <c r="J181" s="178">
        <f>H181/DAY(B2)</f>
        <v>99</v>
      </c>
    </row>
    <row r="182" spans="1:10" ht="27.75" x14ac:dyDescent="0.5">
      <c r="A182" s="840" t="s">
        <v>213</v>
      </c>
      <c r="B182" s="841"/>
      <c r="C182" s="333"/>
      <c r="D182" s="228"/>
      <c r="E182" s="95">
        <f>'5'!F182</f>
        <v>0</v>
      </c>
      <c r="F182" s="155"/>
      <c r="G182" s="155"/>
      <c r="H182" s="99">
        <f>G182+'5'!H182</f>
        <v>0</v>
      </c>
      <c r="I182" s="155"/>
      <c r="J182" s="178">
        <f>H182/DAY(B2)</f>
        <v>0</v>
      </c>
    </row>
    <row r="183" spans="1:10" ht="27.75" x14ac:dyDescent="0.5">
      <c r="A183" s="840" t="s">
        <v>214</v>
      </c>
      <c r="B183" s="841"/>
      <c r="C183" s="334"/>
      <c r="D183" s="228" t="s">
        <v>142</v>
      </c>
      <c r="E183" s="95">
        <f>'5'!F183</f>
        <v>15037</v>
      </c>
      <c r="F183" s="157">
        <v>15047</v>
      </c>
      <c r="G183" s="157">
        <f>F183-E183</f>
        <v>10</v>
      </c>
      <c r="H183" s="99">
        <f>G183+'5'!H183</f>
        <v>100</v>
      </c>
      <c r="I183" s="155"/>
      <c r="J183" s="178">
        <f>H183/DAY(B2)</f>
        <v>16.666666666666668</v>
      </c>
    </row>
    <row r="184" spans="1:10" ht="27.75" x14ac:dyDescent="0.5">
      <c r="A184" s="840" t="s">
        <v>215</v>
      </c>
      <c r="B184" s="841"/>
      <c r="C184" s="334"/>
      <c r="D184" s="228" t="s">
        <v>142</v>
      </c>
      <c r="E184" s="95">
        <f>'5'!F184</f>
        <v>10338</v>
      </c>
      <c r="F184" s="157">
        <v>10345</v>
      </c>
      <c r="G184" s="157">
        <f t="shared" ref="G184:G185" si="16">F184-E184</f>
        <v>7</v>
      </c>
      <c r="H184" s="99">
        <f>G184+'5'!H184</f>
        <v>44</v>
      </c>
      <c r="I184" s="155"/>
      <c r="J184" s="178">
        <f>H184/DAY(B2)</f>
        <v>7.333333333333333</v>
      </c>
    </row>
    <row r="185" spans="1:10" ht="27.75" x14ac:dyDescent="0.5">
      <c r="A185" s="840" t="s">
        <v>216</v>
      </c>
      <c r="B185" s="841"/>
      <c r="C185" s="334"/>
      <c r="D185" s="228" t="s">
        <v>142</v>
      </c>
      <c r="E185" s="95">
        <f>'5'!F185</f>
        <v>0</v>
      </c>
      <c r="F185" s="157">
        <v>0</v>
      </c>
      <c r="G185" s="157">
        <f t="shared" si="16"/>
        <v>0</v>
      </c>
      <c r="H185" s="99">
        <f>G185+'5'!H185</f>
        <v>0</v>
      </c>
      <c r="I185" s="155"/>
      <c r="J185" s="178">
        <f>H185/DAY(B2)</f>
        <v>0</v>
      </c>
    </row>
    <row r="186" spans="1:10" ht="27.75" x14ac:dyDescent="0.5">
      <c r="A186" s="879" t="s">
        <v>196</v>
      </c>
      <c r="B186" s="880"/>
      <c r="C186" s="334"/>
      <c r="D186" s="229"/>
      <c r="E186" s="95"/>
      <c r="F186" s="157"/>
      <c r="G186" s="157">
        <f>SUM(G183:G185)</f>
        <v>17</v>
      </c>
      <c r="H186" s="99">
        <f>G186+'5'!H186</f>
        <v>144</v>
      </c>
      <c r="I186" s="157"/>
      <c r="J186" s="178">
        <f>H186/DAY(B2)</f>
        <v>24</v>
      </c>
    </row>
    <row r="187" spans="1:10" ht="27.75" x14ac:dyDescent="0.5">
      <c r="A187" s="888" t="s">
        <v>217</v>
      </c>
      <c r="B187" s="889"/>
      <c r="C187" s="333"/>
      <c r="D187" s="230" t="s">
        <v>142</v>
      </c>
      <c r="E187" s="95"/>
      <c r="F187" s="159"/>
      <c r="G187" s="462">
        <f>G62+G19</f>
        <v>125</v>
      </c>
      <c r="H187" s="99">
        <f>G187+'5'!H187</f>
        <v>607</v>
      </c>
      <c r="I187" s="158"/>
      <c r="J187" s="179">
        <f>H187/DAY(B2)</f>
        <v>101.16666666666667</v>
      </c>
    </row>
    <row r="188" spans="1:10" ht="27.75" x14ac:dyDescent="0.5">
      <c r="A188" s="888" t="s">
        <v>218</v>
      </c>
      <c r="B188" s="889"/>
      <c r="C188" s="333"/>
      <c r="D188" s="230" t="s">
        <v>142</v>
      </c>
      <c r="E188" s="95"/>
      <c r="F188" s="159"/>
      <c r="G188" s="462">
        <f>G65+G66+G67+G69+G70</f>
        <v>119</v>
      </c>
      <c r="H188" s="99">
        <f>G188+'5'!H188</f>
        <v>853</v>
      </c>
      <c r="I188" s="158"/>
      <c r="J188" s="179">
        <f>H188/DAY(B2)</f>
        <v>142.16666666666666</v>
      </c>
    </row>
    <row r="189" spans="1:10" ht="27.75" x14ac:dyDescent="0.5">
      <c r="A189" s="888" t="s">
        <v>219</v>
      </c>
      <c r="B189" s="889"/>
      <c r="C189" s="333"/>
      <c r="D189" s="230" t="s">
        <v>142</v>
      </c>
      <c r="E189" s="95"/>
      <c r="F189" s="157"/>
      <c r="G189" s="459">
        <f>G181</f>
        <v>97</v>
      </c>
      <c r="H189" s="99">
        <f>G189+'5'!H189</f>
        <v>594</v>
      </c>
      <c r="I189" s="158"/>
      <c r="J189" s="179">
        <f>H189/DAY(B2)</f>
        <v>99</v>
      </c>
    </row>
    <row r="190" spans="1:10" ht="27.75" x14ac:dyDescent="0.5">
      <c r="A190" s="811"/>
      <c r="B190" s="812"/>
      <c r="C190" s="475"/>
      <c r="D190" s="480"/>
      <c r="E190" s="480" t="s">
        <v>207</v>
      </c>
      <c r="F190" s="480"/>
      <c r="G190" s="480"/>
      <c r="H190" s="481"/>
      <c r="I190" s="480"/>
      <c r="J190" s="482"/>
    </row>
    <row r="191" spans="1:10" ht="29.25" x14ac:dyDescent="0.5"/>
    <row r="192" spans="1:10" ht="29.25" x14ac:dyDescent="0.5"/>
    <row r="193" ht="29.25" x14ac:dyDescent="0.5"/>
    <row r="194" ht="29.25" x14ac:dyDescent="0.5"/>
    <row r="195" ht="29.25" x14ac:dyDescent="0.5"/>
    <row r="196" ht="29.25" x14ac:dyDescent="0.5"/>
    <row r="197" ht="29.25" x14ac:dyDescent="0.5"/>
    <row r="198" ht="29.25" x14ac:dyDescent="0.5"/>
    <row r="199" ht="29.25" x14ac:dyDescent="0.5"/>
    <row r="200" ht="29.25" x14ac:dyDescent="0.5"/>
    <row r="201" ht="29.25" x14ac:dyDescent="0.5"/>
    <row r="202" ht="29.25" x14ac:dyDescent="0.5"/>
    <row r="203" ht="29.25" x14ac:dyDescent="0.5"/>
    <row r="204" ht="29.25" x14ac:dyDescent="0.5"/>
    <row r="205" ht="29.25" x14ac:dyDescent="0.5"/>
    <row r="206" ht="29.25" x14ac:dyDescent="0.5"/>
    <row r="207" ht="29.25" x14ac:dyDescent="0.5"/>
    <row r="208" ht="29.25" x14ac:dyDescent="0.5"/>
    <row r="209" ht="29.25" x14ac:dyDescent="0.5"/>
    <row r="210" ht="29.25" x14ac:dyDescent="0.5"/>
    <row r="211" ht="29.25" x14ac:dyDescent="0.5"/>
    <row r="212" ht="29.25" x14ac:dyDescent="0.5"/>
    <row r="213" ht="29.25" x14ac:dyDescent="0.5"/>
    <row r="214" ht="29.25" x14ac:dyDescent="0.5"/>
    <row r="215" ht="29.25" x14ac:dyDescent="0.5"/>
    <row r="216" ht="29.25" x14ac:dyDescent="0.5"/>
    <row r="217" ht="29.25" x14ac:dyDescent="0.5"/>
    <row r="218" ht="29.25" x14ac:dyDescent="0.5"/>
    <row r="219" ht="29.25" x14ac:dyDescent="0.5"/>
    <row r="220" ht="29.25" x14ac:dyDescent="0.5"/>
    <row r="221" ht="29.25" x14ac:dyDescent="0.5"/>
    <row r="222" ht="29.25" x14ac:dyDescent="0.5"/>
    <row r="223" ht="29.25" x14ac:dyDescent="0.5"/>
    <row r="224" ht="29.25" x14ac:dyDescent="0.5"/>
    <row r="225" ht="29.25" x14ac:dyDescent="0.5"/>
    <row r="226" ht="29.25" x14ac:dyDescent="0.5"/>
    <row r="227" ht="29.25" x14ac:dyDescent="0.5"/>
    <row r="228" ht="29.25" x14ac:dyDescent="0.5"/>
    <row r="229" ht="29.25" x14ac:dyDescent="0.5"/>
    <row r="230" ht="29.25" x14ac:dyDescent="0.5"/>
    <row r="231" ht="29.25" x14ac:dyDescent="0.5"/>
    <row r="232" ht="29.25" x14ac:dyDescent="0.5"/>
    <row r="233" ht="29.25" x14ac:dyDescent="0.5"/>
    <row r="234" ht="29.25" x14ac:dyDescent="0.5"/>
    <row r="235" ht="29.25" x14ac:dyDescent="0.5"/>
    <row r="236" ht="29.25" x14ac:dyDescent="0.5"/>
    <row r="237" ht="29.25" x14ac:dyDescent="0.5"/>
    <row r="238" ht="29.25" x14ac:dyDescent="0.5"/>
    <row r="239" ht="29.25" x14ac:dyDescent="0.5"/>
    <row r="240" ht="29.25" x14ac:dyDescent="0.5"/>
    <row r="241" ht="29.25" x14ac:dyDescent="0.5"/>
    <row r="242" ht="29.25" x14ac:dyDescent="0.5"/>
    <row r="243" ht="29.25" x14ac:dyDescent="0.5"/>
    <row r="244" ht="29.25" x14ac:dyDescent="0.5"/>
    <row r="245" ht="29.25" x14ac:dyDescent="0.5"/>
    <row r="246" ht="29.25" x14ac:dyDescent="0.5"/>
    <row r="247" ht="29.25" x14ac:dyDescent="0.5"/>
    <row r="248" ht="29.25" x14ac:dyDescent="0.5"/>
    <row r="249" ht="29.25" x14ac:dyDescent="0.5"/>
    <row r="250" ht="29.25" x14ac:dyDescent="0.5"/>
    <row r="251" ht="29.25" x14ac:dyDescent="0.5"/>
    <row r="252" ht="29.25" x14ac:dyDescent="0.5"/>
    <row r="253" ht="29.25" x14ac:dyDescent="0.5"/>
    <row r="254" ht="29.25" x14ac:dyDescent="0.5"/>
    <row r="255" ht="29.25" x14ac:dyDescent="0.5"/>
    <row r="256" ht="29.25" x14ac:dyDescent="0.5"/>
    <row r="257" ht="29.25" x14ac:dyDescent="0.5"/>
    <row r="258" ht="29.25" x14ac:dyDescent="0.5"/>
    <row r="259" ht="29.25" x14ac:dyDescent="0.5"/>
    <row r="260" ht="29.25" x14ac:dyDescent="0.5"/>
    <row r="261" ht="29.25" x14ac:dyDescent="0.5"/>
    <row r="262" ht="29.25" x14ac:dyDescent="0.5"/>
    <row r="263" ht="29.25" x14ac:dyDescent="0.5"/>
    <row r="264" ht="29.25" x14ac:dyDescent="0.5"/>
    <row r="265" ht="29.25" x14ac:dyDescent="0.5"/>
    <row r="266" ht="29.25" x14ac:dyDescent="0.5"/>
    <row r="267" ht="29.25" x14ac:dyDescent="0.5"/>
    <row r="268" ht="29.25" x14ac:dyDescent="0.5"/>
    <row r="269" ht="29.25" x14ac:dyDescent="0.5"/>
    <row r="270" ht="29.25" x14ac:dyDescent="0.5"/>
  </sheetData>
  <mergeCells count="114">
    <mergeCell ref="A187:B187"/>
    <mergeCell ref="A188:B188"/>
    <mergeCell ref="A189:B189"/>
    <mergeCell ref="A190:B190"/>
    <mergeCell ref="A178:B178"/>
    <mergeCell ref="A179:B179"/>
    <mergeCell ref="A180:B180"/>
    <mergeCell ref="A184:B184"/>
    <mergeCell ref="A185:B185"/>
    <mergeCell ref="A183:B183"/>
    <mergeCell ref="A182:B182"/>
    <mergeCell ref="A144:C144"/>
    <mergeCell ref="A150:C150"/>
    <mergeCell ref="A151:C151"/>
    <mergeCell ref="A152:C152"/>
    <mergeCell ref="A154:J154"/>
    <mergeCell ref="A155:C155"/>
    <mergeCell ref="A156:C156"/>
    <mergeCell ref="A153:B153"/>
    <mergeCell ref="A186:B186"/>
    <mergeCell ref="A157:C157"/>
    <mergeCell ref="A158:C158"/>
    <mergeCell ref="A159:C159"/>
    <mergeCell ref="A128:C128"/>
    <mergeCell ref="A131:C131"/>
    <mergeCell ref="A132:C132"/>
    <mergeCell ref="A133:C133"/>
    <mergeCell ref="A134:C134"/>
    <mergeCell ref="A122:C122"/>
    <mergeCell ref="A124:C124"/>
    <mergeCell ref="A125:B125"/>
    <mergeCell ref="A126:J126"/>
    <mergeCell ref="A127:B127"/>
    <mergeCell ref="A123:C123"/>
    <mergeCell ref="A118:C118"/>
    <mergeCell ref="Q118:R118"/>
    <mergeCell ref="A119:C119"/>
    <mergeCell ref="A120:C120"/>
    <mergeCell ref="A121:C121"/>
    <mergeCell ref="A114:C114"/>
    <mergeCell ref="A115:C115"/>
    <mergeCell ref="A116:C116"/>
    <mergeCell ref="Q116:R116"/>
    <mergeCell ref="A117:C117"/>
    <mergeCell ref="Q117:R117"/>
    <mergeCell ref="A61:C61"/>
    <mergeCell ref="A62:C62"/>
    <mergeCell ref="A63:C63"/>
    <mergeCell ref="A71:C71"/>
    <mergeCell ref="A72:B72"/>
    <mergeCell ref="A76:C76"/>
    <mergeCell ref="A77:C77"/>
    <mergeCell ref="A79:C79"/>
    <mergeCell ref="A80:C80"/>
    <mergeCell ref="A64:C64"/>
    <mergeCell ref="A65:C65"/>
    <mergeCell ref="A109:B109"/>
    <mergeCell ref="A110:J110"/>
    <mergeCell ref="A111:C111"/>
    <mergeCell ref="A112:C112"/>
    <mergeCell ref="A113:C113"/>
    <mergeCell ref="A73:C73"/>
    <mergeCell ref="A74:C74"/>
    <mergeCell ref="A75:C75"/>
    <mergeCell ref="A102:C102"/>
    <mergeCell ref="A78:C78"/>
    <mergeCell ref="A97:C97"/>
    <mergeCell ref="A98:C98"/>
    <mergeCell ref="A99:C99"/>
    <mergeCell ref="A100:C100"/>
    <mergeCell ref="A101:C101"/>
    <mergeCell ref="A103:C103"/>
    <mergeCell ref="A104:C104"/>
    <mergeCell ref="A105:C105"/>
    <mergeCell ref="A108:J108"/>
    <mergeCell ref="A81:C81"/>
    <mergeCell ref="A93:C93"/>
    <mergeCell ref="A94:C94"/>
    <mergeCell ref="A95:C95"/>
    <mergeCell ref="A96:C96"/>
    <mergeCell ref="A18:C18"/>
    <mergeCell ref="A19:C19"/>
    <mergeCell ref="A21:C21"/>
    <mergeCell ref="A25:C25"/>
    <mergeCell ref="A33:C33"/>
    <mergeCell ref="A1:J1"/>
    <mergeCell ref="A6:C6"/>
    <mergeCell ref="A14:C14"/>
    <mergeCell ref="A17:C17"/>
    <mergeCell ref="E3:F3"/>
    <mergeCell ref="A135:B135"/>
    <mergeCell ref="A175:C175"/>
    <mergeCell ref="A181:B181"/>
    <mergeCell ref="A168:B168"/>
    <mergeCell ref="A171:J171"/>
    <mergeCell ref="A172:B172"/>
    <mergeCell ref="A173:B173"/>
    <mergeCell ref="A174:B174"/>
    <mergeCell ref="A177:B177"/>
    <mergeCell ref="A141:C141"/>
    <mergeCell ref="A142:C142"/>
    <mergeCell ref="A160:J160"/>
    <mergeCell ref="A166:B166"/>
    <mergeCell ref="A167:B167"/>
    <mergeCell ref="A136:J136"/>
    <mergeCell ref="A138:C138"/>
    <mergeCell ref="A139:C139"/>
    <mergeCell ref="A140:C140"/>
    <mergeCell ref="A145:C145"/>
    <mergeCell ref="A146:C146"/>
    <mergeCell ref="A147:C147"/>
    <mergeCell ref="A148:C148"/>
    <mergeCell ref="A149:C149"/>
    <mergeCell ref="A143:C143"/>
  </mergeCells>
  <pageMargins left="0.22" right="0.17" top="0.14000000000000001" bottom="0.2" header="0.2" footer="0.2"/>
  <pageSetup paperSize="5" scale="18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000000"/>
  </sheetPr>
  <dimension ref="A1:R270"/>
  <sheetViews>
    <sheetView view="pageBreakPreview" topLeftCell="A4" zoomScale="60" zoomScaleNormal="77" workbookViewId="0">
      <selection activeCell="F24" sqref="F24"/>
    </sheetView>
  </sheetViews>
  <sheetFormatPr defaultColWidth="22.33203125" defaultRowHeight="21.95" customHeight="1" x14ac:dyDescent="0.5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6" width="30" style="160" customWidth="1"/>
    <col min="7" max="7" width="28.88671875" style="160" customWidth="1"/>
    <col min="8" max="8" width="39.21875" style="161" customWidth="1"/>
    <col min="9" max="9" width="23.5546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33.75" x14ac:dyDescent="0.65">
      <c r="A1" s="821" t="s">
        <v>115</v>
      </c>
      <c r="B1" s="822"/>
      <c r="C1" s="822"/>
      <c r="D1" s="822"/>
      <c r="E1" s="822"/>
      <c r="F1" s="822"/>
      <c r="G1" s="822"/>
      <c r="H1" s="822"/>
      <c r="I1" s="822"/>
      <c r="J1" s="823"/>
    </row>
    <row r="2" spans="1:15" s="57" customFormat="1" ht="27" x14ac:dyDescent="0.5">
      <c r="A2" s="191" t="s">
        <v>357</v>
      </c>
      <c r="B2" s="262">
        <v>44568</v>
      </c>
      <c r="C2" s="348" t="s">
        <v>67</v>
      </c>
      <c r="D2" s="218">
        <v>0.71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27" x14ac:dyDescent="0.5">
      <c r="A3" s="189"/>
      <c r="B3" s="221"/>
      <c r="C3" s="348" t="s">
        <v>118</v>
      </c>
      <c r="D3" s="219">
        <v>25</v>
      </c>
      <c r="E3" s="830" t="s">
        <v>119</v>
      </c>
      <c r="F3" s="831"/>
      <c r="G3" s="101"/>
      <c r="H3" s="102"/>
      <c r="I3" s="102"/>
      <c r="J3" s="222"/>
      <c r="K3" s="61"/>
      <c r="L3" s="58"/>
    </row>
    <row r="4" spans="1:15" s="57" customFormat="1" ht="27" x14ac:dyDescent="0.5">
      <c r="A4" s="192"/>
      <c r="B4" s="223"/>
      <c r="C4" s="348" t="s">
        <v>120</v>
      </c>
      <c r="D4" s="218">
        <v>0.78</v>
      </c>
      <c r="E4" s="103"/>
      <c r="F4" s="103"/>
      <c r="G4" s="103"/>
      <c r="H4" s="103"/>
      <c r="I4" s="104"/>
      <c r="J4" s="222"/>
      <c r="K4" s="62"/>
      <c r="L4" s="58"/>
    </row>
    <row r="5" spans="1:15" ht="29.25" x14ac:dyDescent="0.4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5" ht="29.25" x14ac:dyDescent="0.4">
      <c r="A6" s="824" t="s">
        <v>128</v>
      </c>
      <c r="B6" s="825"/>
      <c r="C6" s="826"/>
      <c r="D6" s="110"/>
      <c r="E6" s="110"/>
      <c r="F6" s="110"/>
      <c r="G6" s="110"/>
      <c r="H6" s="111"/>
      <c r="I6" s="111"/>
      <c r="J6" s="174"/>
      <c r="K6" s="78"/>
      <c r="L6" s="66"/>
    </row>
    <row r="7" spans="1:15" ht="30" thickBot="1" x14ac:dyDescent="0.45">
      <c r="A7" s="194" t="s">
        <v>129</v>
      </c>
      <c r="B7" s="195"/>
      <c r="C7" s="195"/>
      <c r="D7" s="151" t="s">
        <v>130</v>
      </c>
      <c r="E7" s="95">
        <f>'6'!F7</f>
        <v>213204</v>
      </c>
      <c r="F7" s="95">
        <v>233035</v>
      </c>
      <c r="G7" s="112">
        <f>F7-E7</f>
        <v>19831</v>
      </c>
      <c r="H7" s="99">
        <f>G7+'6'!H7</f>
        <v>138474</v>
      </c>
      <c r="I7" s="113">
        <f>'1'!I7</f>
        <v>12000</v>
      </c>
      <c r="J7" s="175">
        <f>H7/DAY(B2)</f>
        <v>19782</v>
      </c>
      <c r="K7" s="172">
        <v>1375467</v>
      </c>
      <c r="L7" s="66"/>
      <c r="N7" s="87"/>
      <c r="O7" s="71"/>
    </row>
    <row r="8" spans="1:15" ht="27.75" thickBot="1" x14ac:dyDescent="0.45">
      <c r="A8" s="196" t="s">
        <v>131</v>
      </c>
      <c r="B8" s="197"/>
      <c r="C8" s="198"/>
      <c r="D8" s="224" t="s">
        <v>24</v>
      </c>
      <c r="E8" s="95">
        <f>'6'!F8</f>
        <v>262018</v>
      </c>
      <c r="F8" s="114">
        <v>282279</v>
      </c>
      <c r="G8" s="115">
        <f>F8-E8</f>
        <v>20261</v>
      </c>
      <c r="H8" s="99">
        <f>G8+'6'!H8</f>
        <v>141394</v>
      </c>
      <c r="I8" s="116"/>
      <c r="J8" s="175">
        <f>H8/DAY(B2)</f>
        <v>20199.142857142859</v>
      </c>
      <c r="K8" s="172">
        <v>1715917</v>
      </c>
      <c r="L8" s="76">
        <v>1728480</v>
      </c>
      <c r="M8" s="87">
        <f>L8-K8</f>
        <v>12563</v>
      </c>
      <c r="N8" s="87"/>
      <c r="O8" s="71"/>
    </row>
    <row r="9" spans="1:15" ht="29.25" x14ac:dyDescent="0.4">
      <c r="A9" s="199" t="s">
        <v>132</v>
      </c>
      <c r="B9" s="200"/>
      <c r="C9" s="200"/>
      <c r="D9" s="151" t="s">
        <v>130</v>
      </c>
      <c r="E9" s="95">
        <f>'6'!F9</f>
        <v>2333339</v>
      </c>
      <c r="F9" s="117">
        <v>2345355</v>
      </c>
      <c r="G9" s="112">
        <f>F9-E9</f>
        <v>12016</v>
      </c>
      <c r="H9" s="99">
        <f>G9+'6'!H9</f>
        <v>86579</v>
      </c>
      <c r="I9" s="124">
        <f>I7-J7</f>
        <v>-7782</v>
      </c>
      <c r="J9" s="175">
        <f>H9/DAY(B2)</f>
        <v>12368.428571428571</v>
      </c>
      <c r="K9" s="79">
        <f>K8-100</f>
        <v>1715817</v>
      </c>
      <c r="L9" s="66"/>
      <c r="N9" s="87"/>
      <c r="O9" s="71"/>
    </row>
    <row r="10" spans="1:15" ht="29.25" x14ac:dyDescent="0.4">
      <c r="A10" s="194" t="s">
        <v>133</v>
      </c>
      <c r="B10" s="195"/>
      <c r="C10" s="195"/>
      <c r="D10" s="151" t="s">
        <v>130</v>
      </c>
      <c r="E10" s="95">
        <f>'6'!F10</f>
        <v>581680</v>
      </c>
      <c r="F10" s="117">
        <v>588953</v>
      </c>
      <c r="G10" s="112">
        <f t="shared" ref="G10:G12" si="0">F10-E10</f>
        <v>7273</v>
      </c>
      <c r="H10" s="99">
        <f>G10+'6'!H10</f>
        <v>48127</v>
      </c>
      <c r="I10" s="282"/>
      <c r="J10" s="175">
        <f>H10/DAY(B2)</f>
        <v>6875.2857142857147</v>
      </c>
      <c r="K10" s="79"/>
      <c r="L10" s="66"/>
      <c r="N10" s="87"/>
      <c r="O10" s="71"/>
    </row>
    <row r="11" spans="1:15" ht="29.25" x14ac:dyDescent="0.4">
      <c r="A11" s="194" t="s">
        <v>134</v>
      </c>
      <c r="B11" s="195"/>
      <c r="C11" s="195"/>
      <c r="D11" s="151" t="s">
        <v>130</v>
      </c>
      <c r="E11" s="95">
        <f>'6'!F11</f>
        <v>37000</v>
      </c>
      <c r="F11" s="95">
        <v>37000</v>
      </c>
      <c r="G11" s="112">
        <f t="shared" si="0"/>
        <v>0</v>
      </c>
      <c r="H11" s="99">
        <f>G11+'6'!H11</f>
        <v>0</v>
      </c>
      <c r="I11" s="282"/>
      <c r="J11" s="175">
        <f>H11/DAY(B2)</f>
        <v>0</v>
      </c>
      <c r="K11" s="79"/>
      <c r="L11" s="66"/>
      <c r="N11" s="87"/>
      <c r="O11" s="71"/>
    </row>
    <row r="12" spans="1:15" ht="29.25" x14ac:dyDescent="0.4">
      <c r="A12" s="194" t="s">
        <v>135</v>
      </c>
      <c r="B12" s="195"/>
      <c r="C12" s="195"/>
      <c r="D12" s="151" t="s">
        <v>130</v>
      </c>
      <c r="E12" s="95">
        <f>'6'!F12</f>
        <v>40010</v>
      </c>
      <c r="F12" s="117">
        <v>40010</v>
      </c>
      <c r="G12" s="112">
        <f t="shared" si="0"/>
        <v>0</v>
      </c>
      <c r="H12" s="99">
        <f>G12+'6'!H12</f>
        <v>0</v>
      </c>
      <c r="I12" s="282"/>
      <c r="J12" s="175">
        <f>H12/DAY(B2)</f>
        <v>0</v>
      </c>
      <c r="K12" s="79"/>
      <c r="L12" s="66"/>
      <c r="N12" s="87"/>
      <c r="O12" s="71"/>
    </row>
    <row r="13" spans="1:15" ht="29.25" x14ac:dyDescent="0.5">
      <c r="A13" s="201" t="s">
        <v>136</v>
      </c>
      <c r="B13" s="202"/>
      <c r="C13" s="202"/>
      <c r="D13" s="151"/>
      <c r="E13" s="95"/>
      <c r="F13" s="95"/>
      <c r="G13" s="119">
        <f>G9+G10+G11+G12</f>
        <v>19289</v>
      </c>
      <c r="H13" s="99">
        <f>G13+'6'!H13</f>
        <v>115240.74999999988</v>
      </c>
      <c r="I13" s="120">
        <f>G7-G13</f>
        <v>542</v>
      </c>
      <c r="J13" s="175">
        <f>H13/DAY(B2)</f>
        <v>16462.964285714268</v>
      </c>
      <c r="K13" s="79"/>
      <c r="L13" s="66"/>
      <c r="N13" s="87"/>
      <c r="O13" s="71"/>
    </row>
    <row r="14" spans="1:15" ht="29.25" x14ac:dyDescent="0.5">
      <c r="A14" s="827" t="s">
        <v>137</v>
      </c>
      <c r="B14" s="828"/>
      <c r="C14" s="829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5" ht="29.25" x14ac:dyDescent="0.5">
      <c r="A15" s="345" t="s">
        <v>138</v>
      </c>
      <c r="B15" s="205"/>
      <c r="C15" s="205"/>
      <c r="D15" s="151" t="s">
        <v>139</v>
      </c>
      <c r="E15" s="95">
        <f>'6'!F15</f>
        <v>1883804</v>
      </c>
      <c r="F15" s="123">
        <v>1884767</v>
      </c>
      <c r="G15" s="112">
        <f>(F15-E15)</f>
        <v>963</v>
      </c>
      <c r="H15" s="99">
        <f>G15+'6'!H15</f>
        <v>6337</v>
      </c>
      <c r="I15" s="113">
        <f>'1'!I15</f>
        <v>800</v>
      </c>
      <c r="J15" s="175">
        <f>H15/DAY(B2)</f>
        <v>905.28571428571433</v>
      </c>
      <c r="K15" s="79"/>
      <c r="L15" s="66"/>
      <c r="N15" s="87"/>
      <c r="O15" s="71"/>
    </row>
    <row r="16" spans="1:15" ht="29.25" x14ac:dyDescent="0.4">
      <c r="A16" s="203"/>
      <c r="B16" s="204"/>
      <c r="C16" s="204"/>
      <c r="D16" s="152"/>
      <c r="E16" s="123"/>
      <c r="F16" s="123"/>
      <c r="G16" s="112"/>
      <c r="H16" s="124"/>
      <c r="I16" s="120">
        <f>I15-J15</f>
        <v>-105.28571428571433</v>
      </c>
      <c r="J16" s="176"/>
      <c r="K16" s="79"/>
      <c r="L16" s="66"/>
      <c r="N16" s="87"/>
      <c r="O16" s="71"/>
    </row>
    <row r="17" spans="1:15" ht="29.25" x14ac:dyDescent="0.5">
      <c r="A17" s="827" t="s">
        <v>140</v>
      </c>
      <c r="B17" s="828"/>
      <c r="C17" s="829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5" ht="27.75" x14ac:dyDescent="0.5">
      <c r="A18" s="818" t="s">
        <v>141</v>
      </c>
      <c r="B18" s="819"/>
      <c r="C18" s="820"/>
      <c r="D18" s="151" t="s">
        <v>142</v>
      </c>
      <c r="E18" s="95">
        <f>'6'!F18</f>
        <v>16</v>
      </c>
      <c r="F18" s="122">
        <v>16</v>
      </c>
      <c r="G18" s="119">
        <f>F18*10</f>
        <v>160</v>
      </c>
      <c r="H18" s="99">
        <f>G18+'6'!H18</f>
        <v>910</v>
      </c>
      <c r="I18" s="113">
        <f>'1'!I18</f>
        <v>65</v>
      </c>
      <c r="J18" s="175">
        <f>H18/DAY(B2)</f>
        <v>130</v>
      </c>
      <c r="K18" s="79"/>
      <c r="L18" s="66"/>
      <c r="N18" s="87"/>
      <c r="O18" s="71"/>
    </row>
    <row r="19" spans="1:15" ht="27.75" x14ac:dyDescent="0.5">
      <c r="A19" s="818" t="s">
        <v>69</v>
      </c>
      <c r="B19" s="819"/>
      <c r="C19" s="820"/>
      <c r="D19" s="151" t="s">
        <v>142</v>
      </c>
      <c r="E19" s="95">
        <f>'6'!F19</f>
        <v>152535</v>
      </c>
      <c r="F19" s="122">
        <v>152589</v>
      </c>
      <c r="G19" s="112">
        <f t="shared" ref="G19" si="1">F19-E19</f>
        <v>54</v>
      </c>
      <c r="H19" s="99">
        <f>G19+'6'!H19</f>
        <v>364</v>
      </c>
      <c r="I19" s="335"/>
      <c r="J19" s="175">
        <f>H19/DAY(B2)</f>
        <v>52</v>
      </c>
      <c r="K19" s="79"/>
      <c r="L19" s="66"/>
      <c r="N19" s="87"/>
      <c r="O19" s="71"/>
    </row>
    <row r="20" spans="1:15" ht="29.25" x14ac:dyDescent="0.5">
      <c r="A20" s="201" t="s">
        <v>143</v>
      </c>
      <c r="B20" s="202"/>
      <c r="C20" s="202"/>
      <c r="D20" s="126"/>
      <c r="E20" s="126"/>
      <c r="F20" s="126"/>
      <c r="G20" s="127">
        <f>G18+G19</f>
        <v>214</v>
      </c>
      <c r="H20" s="99">
        <f>G20+'6'!H20</f>
        <v>1274</v>
      </c>
      <c r="I20" s="336">
        <f>I18-J20</f>
        <v>-117</v>
      </c>
      <c r="J20" s="175">
        <f>H20/DAY(B2)</f>
        <v>182</v>
      </c>
      <c r="K20" s="79"/>
      <c r="L20" s="66"/>
      <c r="N20" s="87"/>
      <c r="O20" s="71"/>
    </row>
    <row r="21" spans="1:15" ht="29.25" x14ac:dyDescent="0.5">
      <c r="A21" s="827" t="s">
        <v>144</v>
      </c>
      <c r="B21" s="828"/>
      <c r="C21" s="829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5" ht="29.25" x14ac:dyDescent="0.5">
      <c r="A22" s="345" t="s">
        <v>145</v>
      </c>
      <c r="B22" s="205"/>
      <c r="C22" s="205"/>
      <c r="D22" s="151" t="s">
        <v>146</v>
      </c>
      <c r="E22" s="95">
        <f>'6'!F22</f>
        <v>2970</v>
      </c>
      <c r="F22" s="122">
        <v>2970</v>
      </c>
      <c r="G22" s="119">
        <f t="shared" ref="G22" si="2">(F22-E22)</f>
        <v>0</v>
      </c>
      <c r="H22" s="99">
        <f>G22+'6'!H22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29.25" x14ac:dyDescent="0.5">
      <c r="A23" s="345" t="s">
        <v>147</v>
      </c>
      <c r="B23" s="205"/>
      <c r="C23" s="205"/>
      <c r="D23" s="151" t="s">
        <v>146</v>
      </c>
      <c r="E23" s="95">
        <f>'6'!F23</f>
        <v>1500</v>
      </c>
      <c r="F23" s="122">
        <v>1500</v>
      </c>
      <c r="G23" s="119">
        <v>0</v>
      </c>
      <c r="H23" s="99">
        <f>G23+'6'!H23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5" ht="29.25" x14ac:dyDescent="0.4">
      <c r="A24" s="206" t="s">
        <v>148</v>
      </c>
      <c r="B24" s="207"/>
      <c r="C24" s="207"/>
      <c r="D24" s="146" t="s">
        <v>146</v>
      </c>
      <c r="E24" s="95">
        <f>'6'!F24</f>
        <v>4970</v>
      </c>
      <c r="F24" s="128">
        <v>4970</v>
      </c>
      <c r="G24" s="119">
        <v>0</v>
      </c>
      <c r="H24" s="99">
        <f>G24+'6'!H24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5" s="88" customFormat="1" ht="27" x14ac:dyDescent="0.35">
      <c r="A25" s="832" t="s">
        <v>149</v>
      </c>
      <c r="B25" s="833"/>
      <c r="C25" s="834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5" s="88" customFormat="1" ht="27.75" x14ac:dyDescent="0.5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/>
      <c r="I26" s="134"/>
      <c r="J26" s="175"/>
      <c r="K26" s="64"/>
      <c r="L26" s="89"/>
      <c r="N26" s="87"/>
      <c r="O26" s="71"/>
    </row>
    <row r="27" spans="1:15" s="88" customFormat="1" ht="27.75" x14ac:dyDescent="0.5">
      <c r="A27" s="208" t="s">
        <v>5</v>
      </c>
      <c r="B27" s="209"/>
      <c r="C27" s="210"/>
      <c r="D27" s="226" t="s">
        <v>24</v>
      </c>
      <c r="E27" s="135">
        <f>G8</f>
        <v>20261</v>
      </c>
      <c r="F27" s="136">
        <v>9</v>
      </c>
      <c r="G27" s="137">
        <f>E27*F27</f>
        <v>182349</v>
      </c>
      <c r="H27" s="99">
        <f>G27+'6'!H27</f>
        <v>1272546</v>
      </c>
      <c r="I27" s="138"/>
      <c r="J27" s="175">
        <f>H27/DAY(B2)</f>
        <v>181792.28571428571</v>
      </c>
      <c r="K27" s="63"/>
      <c r="L27" s="89"/>
      <c r="N27" s="87"/>
      <c r="O27" s="71"/>
    </row>
    <row r="28" spans="1:15" s="88" customFormat="1" ht="27.75" x14ac:dyDescent="0.5">
      <c r="A28" s="208" t="s">
        <v>152</v>
      </c>
      <c r="B28" s="209"/>
      <c r="C28" s="210"/>
      <c r="D28" s="226" t="s">
        <v>153</v>
      </c>
      <c r="E28" s="139">
        <f>G15</f>
        <v>963</v>
      </c>
      <c r="F28" s="136">
        <v>52</v>
      </c>
      <c r="G28" s="137">
        <f>E28*F28</f>
        <v>50076</v>
      </c>
      <c r="H28" s="99">
        <f>G28+'6'!H28</f>
        <v>329524</v>
      </c>
      <c r="I28" s="140"/>
      <c r="J28" s="175">
        <f>H28/DAY(B2)</f>
        <v>47074.857142857145</v>
      </c>
      <c r="K28" s="63"/>
      <c r="L28" s="89"/>
      <c r="N28" s="87"/>
      <c r="O28" s="71"/>
    </row>
    <row r="29" spans="1:15" s="88" customFormat="1" ht="27.75" x14ac:dyDescent="0.5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>E29*F29</f>
        <v>0</v>
      </c>
      <c r="H29" s="99">
        <f>G29+'6'!H29</f>
        <v>0</v>
      </c>
      <c r="I29" s="140"/>
      <c r="J29" s="175">
        <f>H29/DAY(B2)</f>
        <v>0</v>
      </c>
      <c r="K29" s="63"/>
      <c r="L29" s="89"/>
      <c r="N29" s="87"/>
      <c r="O29" s="71"/>
    </row>
    <row r="30" spans="1:15" s="88" customFormat="1" ht="27.75" x14ac:dyDescent="0.5">
      <c r="A30" s="208" t="s">
        <v>156</v>
      </c>
      <c r="B30" s="209"/>
      <c r="C30" s="210"/>
      <c r="D30" s="226" t="s">
        <v>157</v>
      </c>
      <c r="E30" s="141">
        <f>G19</f>
        <v>54</v>
      </c>
      <c r="F30" s="136">
        <v>146</v>
      </c>
      <c r="G30" s="137">
        <f>E30*F30</f>
        <v>7884</v>
      </c>
      <c r="H30" s="99">
        <f>G30+'6'!H30</f>
        <v>53144</v>
      </c>
      <c r="I30" s="140"/>
      <c r="J30" s="175">
        <f>H30/DAY(B2)</f>
        <v>7592</v>
      </c>
      <c r="K30" s="63"/>
      <c r="L30" s="89"/>
      <c r="N30" s="87"/>
      <c r="O30" s="71"/>
    </row>
    <row r="31" spans="1:15" s="88" customFormat="1" ht="27.75" x14ac:dyDescent="0.5">
      <c r="A31" s="208" t="s">
        <v>158</v>
      </c>
      <c r="B31" s="209"/>
      <c r="C31" s="210"/>
      <c r="D31" s="226" t="s">
        <v>142</v>
      </c>
      <c r="E31" s="141">
        <f>G18</f>
        <v>160</v>
      </c>
      <c r="F31" s="136">
        <v>80</v>
      </c>
      <c r="G31" s="137">
        <f>E31*F31</f>
        <v>12800</v>
      </c>
      <c r="H31" s="99">
        <f>G31+'6'!H31</f>
        <v>72800</v>
      </c>
      <c r="I31" s="140"/>
      <c r="J31" s="175">
        <f>H31/DAY(B2)</f>
        <v>10400</v>
      </c>
      <c r="K31" s="63"/>
      <c r="L31" s="89"/>
      <c r="N31" s="87"/>
      <c r="O31" s="71"/>
    </row>
    <row r="32" spans="1:15" s="88" customFormat="1" ht="27.75" x14ac:dyDescent="0.5">
      <c r="A32" s="211" t="s">
        <v>159</v>
      </c>
      <c r="B32" s="212"/>
      <c r="C32" s="213"/>
      <c r="D32" s="142"/>
      <c r="E32" s="142"/>
      <c r="F32" s="142"/>
      <c r="G32" s="143">
        <f>G27+G28+G29+G30+G31</f>
        <v>253109</v>
      </c>
      <c r="H32" s="99">
        <f>G32+'6'!H32</f>
        <v>1728014</v>
      </c>
      <c r="I32" s="144"/>
      <c r="J32" s="175">
        <f>H32/DAY(B2)</f>
        <v>246859.14285714287</v>
      </c>
      <c r="K32" s="63"/>
      <c r="L32" s="89"/>
      <c r="N32" s="87"/>
      <c r="O32" s="71"/>
    </row>
    <row r="33" spans="1:15" ht="25.5" customHeight="1" x14ac:dyDescent="0.35">
      <c r="A33" s="835" t="s">
        <v>331</v>
      </c>
      <c r="B33" s="836"/>
      <c r="C33" s="836"/>
      <c r="D33" s="337"/>
      <c r="E33" s="337"/>
      <c r="F33" s="337"/>
      <c r="G33" s="337"/>
      <c r="H33" s="337"/>
      <c r="I33" s="337"/>
      <c r="J33" s="338"/>
      <c r="K33" s="79"/>
      <c r="L33" s="66"/>
      <c r="N33" s="87"/>
      <c r="O33" s="71"/>
    </row>
    <row r="34" spans="1:15" ht="29.25" x14ac:dyDescent="0.5">
      <c r="A34" s="214" t="s">
        <v>160</v>
      </c>
      <c r="B34" s="349"/>
      <c r="C34" s="349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29.25" x14ac:dyDescent="0.4">
      <c r="A35" s="194" t="s">
        <v>161</v>
      </c>
      <c r="B35" s="195"/>
      <c r="C35" s="195"/>
      <c r="D35" s="151" t="s">
        <v>130</v>
      </c>
      <c r="E35" s="95">
        <f>'6'!F35</f>
        <v>164358</v>
      </c>
      <c r="F35" s="145">
        <v>166246</v>
      </c>
      <c r="G35" s="112">
        <f t="shared" ref="G35:G46" si="3">F35-E35</f>
        <v>1888</v>
      </c>
      <c r="H35" s="99">
        <f>G35+'6'!H35</f>
        <v>13404</v>
      </c>
      <c r="I35" s="95"/>
      <c r="J35" s="175">
        <f>H35/DAY(B2)</f>
        <v>1914.8571428571429</v>
      </c>
      <c r="K35" s="79"/>
      <c r="L35" s="66"/>
      <c r="N35" s="87"/>
      <c r="O35" s="71"/>
    </row>
    <row r="36" spans="1:15" ht="29.25" x14ac:dyDescent="0.4">
      <c r="A36" s="194" t="s">
        <v>162</v>
      </c>
      <c r="B36" s="195"/>
      <c r="C36" s="195"/>
      <c r="D36" s="151" t="s">
        <v>130</v>
      </c>
      <c r="E36" s="95">
        <f>'6'!F36</f>
        <v>26531</v>
      </c>
      <c r="F36" s="145">
        <v>27229</v>
      </c>
      <c r="G36" s="112">
        <f t="shared" si="3"/>
        <v>698</v>
      </c>
      <c r="H36" s="99">
        <f>G36+'6'!H36</f>
        <v>5702</v>
      </c>
      <c r="I36" s="95"/>
      <c r="J36" s="175">
        <f>H36/DAY(B2)</f>
        <v>814.57142857142856</v>
      </c>
      <c r="K36" s="79"/>
      <c r="L36" s="66"/>
      <c r="N36" s="87"/>
      <c r="O36" s="344"/>
    </row>
    <row r="37" spans="1:15" ht="29.25" x14ac:dyDescent="0.4">
      <c r="A37" s="194" t="s">
        <v>163</v>
      </c>
      <c r="B37" s="195"/>
      <c r="C37" s="195"/>
      <c r="D37" s="151" t="s">
        <v>130</v>
      </c>
      <c r="E37" s="95">
        <f>'6'!F37</f>
        <v>204547</v>
      </c>
      <c r="F37" s="145">
        <v>206071</v>
      </c>
      <c r="G37" s="112">
        <f t="shared" si="3"/>
        <v>1524</v>
      </c>
      <c r="H37" s="99">
        <f>G37+'6'!H37</f>
        <v>10678</v>
      </c>
      <c r="I37" s="95"/>
      <c r="J37" s="175">
        <f>H37/DAY(B2)</f>
        <v>1525.4285714285713</v>
      </c>
      <c r="K37" s="79"/>
      <c r="L37" s="66"/>
      <c r="N37" s="87"/>
      <c r="O37" s="234"/>
    </row>
    <row r="38" spans="1:15" ht="29.25" x14ac:dyDescent="0.4">
      <c r="A38" s="194" t="s">
        <v>164</v>
      </c>
      <c r="B38" s="195"/>
      <c r="C38" s="195"/>
      <c r="D38" s="151" t="s">
        <v>130</v>
      </c>
      <c r="E38" s="95">
        <f>'6'!F38</f>
        <v>242299</v>
      </c>
      <c r="F38" s="108">
        <v>243967</v>
      </c>
      <c r="G38" s="112">
        <f t="shared" si="3"/>
        <v>1668</v>
      </c>
      <c r="H38" s="99">
        <f>G38+'6'!H38</f>
        <v>11485</v>
      </c>
      <c r="I38" s="95"/>
      <c r="J38" s="175">
        <f>H38/DAY(B2)</f>
        <v>1640.7142857142858</v>
      </c>
      <c r="K38" s="79"/>
      <c r="L38" s="66"/>
      <c r="N38" s="87"/>
      <c r="O38" s="71"/>
    </row>
    <row r="39" spans="1:15" ht="29.25" x14ac:dyDescent="0.4">
      <c r="A39" s="194" t="s">
        <v>165</v>
      </c>
      <c r="B39" s="195"/>
      <c r="C39" s="195"/>
      <c r="D39" s="151" t="s">
        <v>130</v>
      </c>
      <c r="E39" s="95">
        <f>'6'!F39</f>
        <v>427401</v>
      </c>
      <c r="F39" s="145">
        <v>430076</v>
      </c>
      <c r="G39" s="112">
        <f t="shared" si="3"/>
        <v>2675</v>
      </c>
      <c r="H39" s="99">
        <f>G39+'6'!H39</f>
        <v>18997</v>
      </c>
      <c r="I39" s="95"/>
      <c r="J39" s="175">
        <f>H39/DAY(B2)</f>
        <v>2713.8571428571427</v>
      </c>
      <c r="K39" s="79"/>
      <c r="L39" s="66"/>
      <c r="N39" s="87"/>
      <c r="O39" s="71"/>
    </row>
    <row r="40" spans="1:15" ht="29.25" x14ac:dyDescent="0.4">
      <c r="A40" s="215" t="s">
        <v>166</v>
      </c>
      <c r="B40" s="216"/>
      <c r="C40" s="216"/>
      <c r="D40" s="151" t="s">
        <v>130</v>
      </c>
      <c r="E40" s="95">
        <f>'6'!F40</f>
        <v>6693</v>
      </c>
      <c r="F40" s="145">
        <v>7301</v>
      </c>
      <c r="G40" s="112">
        <f t="shared" si="3"/>
        <v>608</v>
      </c>
      <c r="H40" s="99">
        <f>G40+'6'!H40</f>
        <v>1691</v>
      </c>
      <c r="I40" s="95"/>
      <c r="J40" s="175">
        <f>H40/DAY(B2)</f>
        <v>241.57142857142858</v>
      </c>
      <c r="K40" s="80"/>
      <c r="L40" s="66"/>
      <c r="N40" s="87"/>
      <c r="O40" s="71"/>
    </row>
    <row r="41" spans="1:15" ht="29.25" x14ac:dyDescent="0.4">
      <c r="A41" s="194" t="s">
        <v>167</v>
      </c>
      <c r="B41" s="195"/>
      <c r="C41" s="195"/>
      <c r="D41" s="151" t="s">
        <v>130</v>
      </c>
      <c r="E41" s="95">
        <f>'6'!F41</f>
        <v>0</v>
      </c>
      <c r="F41" s="145">
        <v>0</v>
      </c>
      <c r="G41" s="112">
        <f t="shared" si="3"/>
        <v>0</v>
      </c>
      <c r="H41" s="99">
        <f>G41+'6'!H41</f>
        <v>0</v>
      </c>
      <c r="I41" s="95"/>
      <c r="J41" s="175">
        <f>H41/DAY(B2)</f>
        <v>0</v>
      </c>
      <c r="K41" s="79"/>
      <c r="L41" s="66"/>
      <c r="N41" s="87"/>
      <c r="O41" s="71"/>
    </row>
    <row r="42" spans="1:15" ht="29.25" x14ac:dyDescent="0.4">
      <c r="A42" s="194" t="s">
        <v>168</v>
      </c>
      <c r="B42" s="195"/>
      <c r="C42" s="195"/>
      <c r="D42" s="151" t="s">
        <v>130</v>
      </c>
      <c r="E42" s="95">
        <f>'6'!F42</f>
        <v>73808.600000000006</v>
      </c>
      <c r="F42" s="145">
        <v>73808.600000000006</v>
      </c>
      <c r="G42" s="112">
        <f t="shared" si="3"/>
        <v>0</v>
      </c>
      <c r="H42" s="99">
        <f>G42+'6'!H42</f>
        <v>-0.39999999999417923</v>
      </c>
      <c r="I42" s="95"/>
      <c r="J42" s="175">
        <f>H42/DAY(B2)</f>
        <v>-5.7142857142025605E-2</v>
      </c>
      <c r="K42" s="79"/>
      <c r="L42" s="66"/>
      <c r="N42" s="87"/>
      <c r="O42" s="71"/>
    </row>
    <row r="43" spans="1:15" ht="29.25" x14ac:dyDescent="0.4">
      <c r="A43" s="194" t="s">
        <v>169</v>
      </c>
      <c r="B43" s="195"/>
      <c r="C43" s="195"/>
      <c r="D43" s="151" t="s">
        <v>130</v>
      </c>
      <c r="E43" s="95">
        <f>'6'!F43</f>
        <v>61966</v>
      </c>
      <c r="F43" s="145">
        <v>64212</v>
      </c>
      <c r="G43" s="112">
        <f t="shared" si="3"/>
        <v>2246</v>
      </c>
      <c r="H43" s="99">
        <f>G43+'6'!H43</f>
        <v>16951</v>
      </c>
      <c r="I43" s="95"/>
      <c r="J43" s="175">
        <f>H43/DAY(B2)</f>
        <v>2421.5714285714284</v>
      </c>
      <c r="K43" s="79"/>
      <c r="L43" s="66"/>
      <c r="N43" s="87"/>
      <c r="O43" s="71"/>
    </row>
    <row r="44" spans="1:15" ht="29.25" x14ac:dyDescent="0.4">
      <c r="A44" s="194" t="s">
        <v>170</v>
      </c>
      <c r="B44" s="195"/>
      <c r="C44" s="195"/>
      <c r="D44" s="151" t="s">
        <v>130</v>
      </c>
      <c r="E44" s="95">
        <f>'6'!F44</f>
        <v>0</v>
      </c>
      <c r="F44" s="145">
        <v>0</v>
      </c>
      <c r="G44" s="112">
        <f t="shared" si="3"/>
        <v>0</v>
      </c>
      <c r="H44" s="99">
        <f>G44+'6'!H44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29.25" x14ac:dyDescent="0.4">
      <c r="A45" s="194" t="s">
        <v>171</v>
      </c>
      <c r="B45" s="195"/>
      <c r="C45" s="195"/>
      <c r="D45" s="151" t="s">
        <v>130</v>
      </c>
      <c r="E45" s="95">
        <f>'6'!F45</f>
        <v>0</v>
      </c>
      <c r="F45" s="145">
        <v>0</v>
      </c>
      <c r="G45" s="112">
        <f t="shared" si="3"/>
        <v>0</v>
      </c>
      <c r="H45" s="99">
        <f>G45+'6'!H45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29.25" x14ac:dyDescent="0.4">
      <c r="A46" s="194" t="s">
        <v>172</v>
      </c>
      <c r="B46" s="195"/>
      <c r="C46" s="195"/>
      <c r="D46" s="151" t="s">
        <v>130</v>
      </c>
      <c r="E46" s="95">
        <f>'6'!F46</f>
        <v>0</v>
      </c>
      <c r="F46" s="145">
        <v>0</v>
      </c>
      <c r="G46" s="112">
        <f t="shared" si="3"/>
        <v>0</v>
      </c>
      <c r="H46" s="99">
        <f>G46+'6'!H46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29.25" x14ac:dyDescent="0.5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11307</v>
      </c>
      <c r="H47" s="99">
        <f>G47+'6'!H47</f>
        <v>78907.600000000006</v>
      </c>
      <c r="I47" s="95"/>
      <c r="J47" s="175">
        <f>H47/DAY(B2)</f>
        <v>11272.514285714287</v>
      </c>
      <c r="K47" s="79"/>
      <c r="L47" s="66"/>
      <c r="N47" s="87"/>
      <c r="O47" s="71"/>
    </row>
    <row r="48" spans="1:15" ht="29.25" x14ac:dyDescent="0.5">
      <c r="A48" s="214" t="s">
        <v>174</v>
      </c>
      <c r="B48" s="349"/>
      <c r="C48" s="349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29.25" x14ac:dyDescent="0.4">
      <c r="A49" s="194" t="s">
        <v>161</v>
      </c>
      <c r="B49" s="217"/>
      <c r="C49" s="217"/>
      <c r="D49" s="151" t="s">
        <v>130</v>
      </c>
      <c r="E49" s="95">
        <f>'6'!F49</f>
        <v>282102</v>
      </c>
      <c r="F49" s="145">
        <v>283741</v>
      </c>
      <c r="G49" s="112">
        <f t="shared" ref="G49:G58" si="4">F49-E49</f>
        <v>1639</v>
      </c>
      <c r="H49" s="99">
        <f>G49+'6'!H49</f>
        <v>11501</v>
      </c>
      <c r="I49" s="95"/>
      <c r="J49" s="175">
        <f>H49/DAY(B2)</f>
        <v>1643</v>
      </c>
      <c r="K49" s="79"/>
      <c r="L49" s="66"/>
      <c r="N49" s="87"/>
      <c r="O49" s="71"/>
    </row>
    <row r="50" spans="1:15" ht="29.25" x14ac:dyDescent="0.4">
      <c r="A50" s="194" t="s">
        <v>175</v>
      </c>
      <c r="B50" s="217"/>
      <c r="C50" s="217"/>
      <c r="D50" s="151" t="s">
        <v>130</v>
      </c>
      <c r="E50" s="95">
        <f>'6'!F50</f>
        <v>31059</v>
      </c>
      <c r="F50" s="145">
        <v>32102</v>
      </c>
      <c r="G50" s="112">
        <f t="shared" si="4"/>
        <v>1043</v>
      </c>
      <c r="H50" s="99">
        <f>G50+'6'!H50</f>
        <v>7452</v>
      </c>
      <c r="I50" s="95"/>
      <c r="J50" s="175">
        <f>H50/DAY(B2)</f>
        <v>1064.5714285714287</v>
      </c>
      <c r="K50" s="79"/>
      <c r="L50" s="66"/>
      <c r="N50" s="87"/>
      <c r="O50" s="71"/>
    </row>
    <row r="51" spans="1:15" ht="29.25" x14ac:dyDescent="0.4">
      <c r="A51" s="194" t="s">
        <v>163</v>
      </c>
      <c r="B51" s="217"/>
      <c r="C51" s="217"/>
      <c r="D51" s="151" t="s">
        <v>130</v>
      </c>
      <c r="E51" s="95">
        <f>'6'!F51</f>
        <v>0</v>
      </c>
      <c r="F51" s="145">
        <v>0</v>
      </c>
      <c r="G51" s="112">
        <f t="shared" si="4"/>
        <v>0</v>
      </c>
      <c r="H51" s="99">
        <f>G51+'6'!H51</f>
        <v>0</v>
      </c>
      <c r="I51" s="95"/>
      <c r="J51" s="175">
        <f>H51/DAY(B2)</f>
        <v>0</v>
      </c>
      <c r="K51" s="79"/>
      <c r="L51" s="66"/>
      <c r="N51" s="87"/>
      <c r="O51" s="71"/>
    </row>
    <row r="52" spans="1:15" ht="29.25" x14ac:dyDescent="0.4">
      <c r="A52" s="194" t="s">
        <v>176</v>
      </c>
      <c r="B52" s="217"/>
      <c r="C52" s="217"/>
      <c r="D52" s="151" t="s">
        <v>130</v>
      </c>
      <c r="E52" s="95">
        <f>'6'!F52</f>
        <v>0</v>
      </c>
      <c r="F52" s="145">
        <v>0</v>
      </c>
      <c r="G52" s="112">
        <f t="shared" si="4"/>
        <v>0</v>
      </c>
      <c r="H52" s="99">
        <f>G52+'6'!H52</f>
        <v>0</v>
      </c>
      <c r="I52" s="95"/>
      <c r="J52" s="175">
        <f>H52/DAY(B2)</f>
        <v>0</v>
      </c>
      <c r="K52" s="79"/>
      <c r="L52" s="66"/>
      <c r="N52" s="87"/>
      <c r="O52" s="71"/>
    </row>
    <row r="53" spans="1:15" ht="29.25" x14ac:dyDescent="0.4">
      <c r="A53" s="194" t="s">
        <v>165</v>
      </c>
      <c r="B53" s="217"/>
      <c r="C53" s="217"/>
      <c r="D53" s="151" t="s">
        <v>130</v>
      </c>
      <c r="E53" s="95">
        <f>'6'!F53</f>
        <v>0</v>
      </c>
      <c r="F53" s="145">
        <v>0</v>
      </c>
      <c r="G53" s="112">
        <f t="shared" si="4"/>
        <v>0</v>
      </c>
      <c r="H53" s="99">
        <f>G53+'6'!H53</f>
        <v>0</v>
      </c>
      <c r="I53" s="95"/>
      <c r="J53" s="175">
        <f>H53/DAY(B2)</f>
        <v>0</v>
      </c>
      <c r="K53" s="79"/>
      <c r="L53" s="66"/>
      <c r="N53" s="87"/>
      <c r="O53" s="71"/>
    </row>
    <row r="54" spans="1:15" ht="29.25" x14ac:dyDescent="0.4">
      <c r="A54" s="194" t="s">
        <v>177</v>
      </c>
      <c r="B54" s="217"/>
      <c r="C54" s="217"/>
      <c r="D54" s="151" t="s">
        <v>130</v>
      </c>
      <c r="E54" s="95">
        <f>'6'!F54</f>
        <v>1131</v>
      </c>
      <c r="F54" s="145">
        <v>1599</v>
      </c>
      <c r="G54" s="112">
        <f t="shared" si="4"/>
        <v>468</v>
      </c>
      <c r="H54" s="99">
        <f>G54+'6'!H54</f>
        <v>1613.08</v>
      </c>
      <c r="I54" s="95"/>
      <c r="J54" s="175">
        <f>H54/DAY(B2)</f>
        <v>230.44</v>
      </c>
      <c r="K54" s="79"/>
      <c r="L54" s="66"/>
      <c r="N54" s="87"/>
      <c r="O54" s="71"/>
    </row>
    <row r="55" spans="1:15" ht="29.25" x14ac:dyDescent="0.4">
      <c r="A55" s="194" t="s">
        <v>178</v>
      </c>
      <c r="B55" s="217"/>
      <c r="C55" s="217"/>
      <c r="D55" s="151" t="s">
        <v>130</v>
      </c>
      <c r="E55" s="95">
        <f>'6'!F55</f>
        <v>21910</v>
      </c>
      <c r="F55" s="145">
        <v>25279</v>
      </c>
      <c r="G55" s="112">
        <f t="shared" si="4"/>
        <v>3369</v>
      </c>
      <c r="H55" s="99">
        <f>G55+'6'!H55</f>
        <v>21768</v>
      </c>
      <c r="I55" s="95"/>
      <c r="J55" s="175">
        <f>H55/DAY(B2)</f>
        <v>3109.7142857142858</v>
      </c>
      <c r="K55" s="79"/>
      <c r="L55" s="66"/>
      <c r="N55" s="87"/>
      <c r="O55" s="71"/>
    </row>
    <row r="56" spans="1:15" ht="29.25" x14ac:dyDescent="0.4">
      <c r="A56" s="194" t="s">
        <v>179</v>
      </c>
      <c r="B56" s="217"/>
      <c r="C56" s="217"/>
      <c r="D56" s="151" t="s">
        <v>180</v>
      </c>
      <c r="E56" s="95">
        <f>'6'!F56</f>
        <v>8610.5400000000009</v>
      </c>
      <c r="F56" s="145">
        <v>8610.5400000000009</v>
      </c>
      <c r="G56" s="112">
        <f t="shared" si="4"/>
        <v>0</v>
      </c>
      <c r="H56" s="99">
        <f>G56+'6'!H56</f>
        <v>0</v>
      </c>
      <c r="I56" s="95"/>
      <c r="J56" s="175">
        <f>H56/DAY(B2)</f>
        <v>0</v>
      </c>
      <c r="K56" s="78"/>
      <c r="L56" s="66"/>
      <c r="N56" s="87"/>
      <c r="O56" s="71"/>
    </row>
    <row r="57" spans="1:15" ht="29.25" x14ac:dyDescent="0.4">
      <c r="A57" s="194" t="s">
        <v>169</v>
      </c>
      <c r="B57" s="217"/>
      <c r="C57" s="217"/>
      <c r="D57" s="151" t="s">
        <v>130</v>
      </c>
      <c r="E57" s="95">
        <f>'6'!F57</f>
        <v>0</v>
      </c>
      <c r="F57" s="145">
        <v>0</v>
      </c>
      <c r="G57" s="112">
        <f t="shared" si="4"/>
        <v>0</v>
      </c>
      <c r="H57" s="99">
        <f>G57+'6'!H57</f>
        <v>0</v>
      </c>
      <c r="I57" s="95"/>
      <c r="J57" s="175">
        <f>H57/DAY(B2)</f>
        <v>0</v>
      </c>
      <c r="K57" s="79"/>
      <c r="L57" s="66"/>
      <c r="N57" s="87"/>
      <c r="O57" s="71"/>
    </row>
    <row r="58" spans="1:15" ht="29.25" x14ac:dyDescent="0.4">
      <c r="A58" s="194" t="s">
        <v>181</v>
      </c>
      <c r="B58" s="217"/>
      <c r="C58" s="217"/>
      <c r="D58" s="151" t="s">
        <v>130</v>
      </c>
      <c r="E58" s="95">
        <f>'6'!F58</f>
        <v>454</v>
      </c>
      <c r="F58" s="145">
        <v>653</v>
      </c>
      <c r="G58" s="112">
        <f t="shared" si="4"/>
        <v>199</v>
      </c>
      <c r="H58" s="99">
        <f>G58+'6'!H58</f>
        <v>993.63000000000466</v>
      </c>
      <c r="I58" s="95"/>
      <c r="J58" s="175">
        <f>H58/DAY(B2)</f>
        <v>141.94714285714352</v>
      </c>
      <c r="K58" s="79"/>
      <c r="L58" s="66"/>
      <c r="N58" s="87"/>
      <c r="O58" s="71"/>
    </row>
    <row r="59" spans="1:15" ht="29.25" x14ac:dyDescent="0.5">
      <c r="A59" s="201" t="s">
        <v>173</v>
      </c>
      <c r="B59" s="202"/>
      <c r="C59" s="202"/>
      <c r="D59" s="146"/>
      <c r="E59" s="146"/>
      <c r="F59" s="146"/>
      <c r="G59" s="119">
        <f>G49+G50+G51+G52+G53+G54+G55+G56+G57+G58</f>
        <v>6718</v>
      </c>
      <c r="H59" s="99">
        <f>G59+'6'!H59</f>
        <v>43327.710000000006</v>
      </c>
      <c r="I59" s="95">
        <f>G7-G60</f>
        <v>1806</v>
      </c>
      <c r="J59" s="175">
        <f>H59/DAY(B2)</f>
        <v>6189.6728571428584</v>
      </c>
      <c r="K59" s="79"/>
      <c r="L59" s="66"/>
      <c r="N59" s="87"/>
      <c r="O59" s="71"/>
    </row>
    <row r="60" spans="1:15" ht="29.25" x14ac:dyDescent="0.4">
      <c r="A60" s="194"/>
      <c r="B60" s="195"/>
      <c r="C60" s="195"/>
      <c r="D60" s="146" t="s">
        <v>182</v>
      </c>
      <c r="E60" s="146"/>
      <c r="F60" s="146"/>
      <c r="G60" s="119">
        <f>G47+G59</f>
        <v>18025</v>
      </c>
      <c r="H60" s="99">
        <f>G60+'6'!H60</f>
        <v>122235.31000000001</v>
      </c>
      <c r="I60" s="95">
        <f>G13-G60</f>
        <v>1264</v>
      </c>
      <c r="J60" s="175">
        <f>H60/DAY(B2)</f>
        <v>17462.187142857143</v>
      </c>
      <c r="K60" s="79"/>
      <c r="L60" s="66"/>
      <c r="N60" s="87"/>
      <c r="O60" s="71"/>
    </row>
    <row r="61" spans="1:15" s="68" customFormat="1" ht="27.75" x14ac:dyDescent="0.5">
      <c r="A61" s="837" t="s">
        <v>332</v>
      </c>
      <c r="B61" s="838"/>
      <c r="C61" s="839"/>
      <c r="D61" s="339"/>
      <c r="E61" s="339"/>
      <c r="F61" s="339"/>
      <c r="G61" s="340"/>
      <c r="H61" s="339"/>
      <c r="I61" s="339"/>
      <c r="J61" s="341"/>
      <c r="K61" s="69"/>
      <c r="L61" s="67"/>
      <c r="N61" s="87"/>
      <c r="O61" s="71"/>
    </row>
    <row r="62" spans="1:15" ht="27.75" x14ac:dyDescent="0.5">
      <c r="A62" s="818" t="s">
        <v>198</v>
      </c>
      <c r="B62" s="819"/>
      <c r="C62" s="820"/>
      <c r="D62" s="151" t="s">
        <v>142</v>
      </c>
      <c r="E62" s="95">
        <f>'6'!F62</f>
        <v>267510</v>
      </c>
      <c r="F62" s="122">
        <v>267567</v>
      </c>
      <c r="G62" s="112">
        <f t="shared" ref="G62:G63" si="5">F62-E62</f>
        <v>57</v>
      </c>
      <c r="H62" s="99">
        <f>G62+'6'!H62</f>
        <v>354</v>
      </c>
      <c r="I62" s="118"/>
      <c r="J62" s="175">
        <f>H62/DAY(B2)</f>
        <v>50.571428571428569</v>
      </c>
      <c r="K62" s="80"/>
      <c r="L62" s="66"/>
      <c r="N62" s="87"/>
      <c r="O62" s="71"/>
    </row>
    <row r="63" spans="1:15" ht="27.75" x14ac:dyDescent="0.5">
      <c r="A63" s="818" t="s">
        <v>199</v>
      </c>
      <c r="B63" s="819"/>
      <c r="C63" s="820"/>
      <c r="D63" s="151" t="s">
        <v>142</v>
      </c>
      <c r="E63" s="95">
        <f>'6'!F63</f>
        <v>213123</v>
      </c>
      <c r="F63" s="122">
        <v>213218</v>
      </c>
      <c r="G63" s="112">
        <f t="shared" si="5"/>
        <v>95</v>
      </c>
      <c r="H63" s="99">
        <f>G63+'6'!H63</f>
        <v>793</v>
      </c>
      <c r="I63" s="118"/>
      <c r="J63" s="175">
        <f>H63/DAY(B2)</f>
        <v>113.28571428571429</v>
      </c>
      <c r="K63" s="69"/>
      <c r="L63" s="66"/>
      <c r="N63" s="87"/>
      <c r="O63" s="71"/>
    </row>
    <row r="64" spans="1:15" ht="29.25" x14ac:dyDescent="0.5">
      <c r="A64" s="815" t="s">
        <v>200</v>
      </c>
      <c r="B64" s="816"/>
      <c r="C64" s="817"/>
      <c r="D64" s="151"/>
      <c r="E64" s="95">
        <f>'6'!F64</f>
        <v>0</v>
      </c>
      <c r="F64" s="122"/>
      <c r="G64" s="112">
        <f>G62+G63</f>
        <v>152</v>
      </c>
      <c r="H64" s="99">
        <f>G64+'6'!H64</f>
        <v>1147</v>
      </c>
      <c r="I64" s="118"/>
      <c r="J64" s="175">
        <f>H64/DAY(B2)</f>
        <v>163.85714285714286</v>
      </c>
      <c r="K64" s="69"/>
      <c r="L64" s="66"/>
      <c r="N64" s="87"/>
      <c r="O64" s="71"/>
    </row>
    <row r="65" spans="1:15" ht="27.75" x14ac:dyDescent="0.5">
      <c r="A65" s="818" t="s">
        <v>201</v>
      </c>
      <c r="B65" s="819"/>
      <c r="C65" s="820"/>
      <c r="D65" s="151" t="s">
        <v>142</v>
      </c>
      <c r="E65" s="95">
        <f>'6'!F65</f>
        <v>433036</v>
      </c>
      <c r="F65" s="122">
        <v>433115</v>
      </c>
      <c r="G65" s="112">
        <f t="shared" ref="G65:G70" si="6">F65-E65</f>
        <v>79</v>
      </c>
      <c r="H65" s="99">
        <f>G65+'6'!H65</f>
        <v>501</v>
      </c>
      <c r="I65" s="118"/>
      <c r="J65" s="175">
        <f>H65/DAY(B2)</f>
        <v>71.571428571428569</v>
      </c>
      <c r="K65" s="69"/>
      <c r="L65" s="66"/>
      <c r="N65" s="87"/>
      <c r="O65" s="71"/>
    </row>
    <row r="66" spans="1:15" ht="27.75" x14ac:dyDescent="0.5">
      <c r="A66" s="345" t="s">
        <v>202</v>
      </c>
      <c r="B66" s="346"/>
      <c r="C66" s="346"/>
      <c r="D66" s="151" t="s">
        <v>142</v>
      </c>
      <c r="E66" s="95">
        <f>'6'!F66</f>
        <v>107342</v>
      </c>
      <c r="F66" s="122">
        <v>107359</v>
      </c>
      <c r="G66" s="112">
        <f t="shared" si="6"/>
        <v>17</v>
      </c>
      <c r="H66" s="99">
        <f>G66+'6'!H66</f>
        <v>145</v>
      </c>
      <c r="I66" s="118"/>
      <c r="J66" s="175">
        <f>H66/DAY(B2)</f>
        <v>20.714285714285715</v>
      </c>
      <c r="K66" s="78"/>
      <c r="L66" s="66"/>
      <c r="N66" s="87"/>
      <c r="O66" s="71"/>
    </row>
    <row r="67" spans="1:15" ht="27.75" x14ac:dyDescent="0.5">
      <c r="A67" s="345" t="s">
        <v>203</v>
      </c>
      <c r="B67" s="346"/>
      <c r="C67" s="346"/>
      <c r="D67" s="151" t="s">
        <v>142</v>
      </c>
      <c r="E67" s="95">
        <f>'6'!F67</f>
        <v>104097</v>
      </c>
      <c r="F67" s="150">
        <v>104120</v>
      </c>
      <c r="G67" s="112">
        <f t="shared" si="6"/>
        <v>23</v>
      </c>
      <c r="H67" s="99">
        <f>G67+'6'!H67</f>
        <v>192</v>
      </c>
      <c r="I67" s="118"/>
      <c r="J67" s="175">
        <f>H67/DAY(B2)</f>
        <v>27.428571428571427</v>
      </c>
      <c r="K67" s="81"/>
      <c r="L67" s="66"/>
      <c r="N67" s="87"/>
      <c r="O67" s="71"/>
    </row>
    <row r="68" spans="1:15" ht="27.75" x14ac:dyDescent="0.5">
      <c r="A68" s="345" t="s">
        <v>204</v>
      </c>
      <c r="B68" s="346"/>
      <c r="C68" s="346"/>
      <c r="D68" s="151" t="s">
        <v>142</v>
      </c>
      <c r="E68" s="95">
        <f>'6'!F68</f>
        <v>156754</v>
      </c>
      <c r="F68" s="122">
        <v>156796</v>
      </c>
      <c r="G68" s="112">
        <f t="shared" si="6"/>
        <v>42</v>
      </c>
      <c r="H68" s="99">
        <f>G68+'6'!H68</f>
        <v>176</v>
      </c>
      <c r="I68" s="118"/>
      <c r="J68" s="175">
        <f>H68/DAY(B2)</f>
        <v>25.142857142857142</v>
      </c>
      <c r="K68" s="69"/>
      <c r="L68" s="66"/>
      <c r="N68" s="87"/>
      <c r="O68" s="71"/>
    </row>
    <row r="69" spans="1:15" ht="27.75" x14ac:dyDescent="0.5">
      <c r="A69" s="345" t="s">
        <v>205</v>
      </c>
      <c r="B69" s="346"/>
      <c r="C69" s="346"/>
      <c r="D69" s="151" t="s">
        <v>142</v>
      </c>
      <c r="E69" s="95">
        <f>'6'!F69</f>
        <v>10298</v>
      </c>
      <c r="F69" s="122">
        <v>10305</v>
      </c>
      <c r="G69" s="112">
        <f t="shared" si="6"/>
        <v>7</v>
      </c>
      <c r="H69" s="99">
        <f>G69+'6'!H69</f>
        <v>91</v>
      </c>
      <c r="I69" s="118"/>
      <c r="J69" s="175">
        <f>H69/DAY(B2)</f>
        <v>13</v>
      </c>
      <c r="K69" s="69"/>
      <c r="L69" s="66"/>
      <c r="N69" s="87"/>
      <c r="O69" s="71"/>
    </row>
    <row r="70" spans="1:15" ht="27.75" x14ac:dyDescent="0.5">
      <c r="A70" s="345" t="s">
        <v>206</v>
      </c>
      <c r="B70" s="346"/>
      <c r="C70" s="346"/>
      <c r="D70" s="151" t="s">
        <v>142</v>
      </c>
      <c r="E70" s="95">
        <f>'6'!F70</f>
        <v>7912</v>
      </c>
      <c r="F70" s="150">
        <v>7921</v>
      </c>
      <c r="G70" s="112">
        <f t="shared" si="6"/>
        <v>9</v>
      </c>
      <c r="H70" s="99">
        <f>G70+'6'!H70</f>
        <v>59</v>
      </c>
      <c r="I70" s="118"/>
      <c r="J70" s="175">
        <f>H70/DAY(B2)</f>
        <v>8.4285714285714288</v>
      </c>
      <c r="K70" s="69"/>
      <c r="L70" s="66"/>
      <c r="N70" s="87"/>
      <c r="O70" s="71"/>
    </row>
    <row r="71" spans="1:15" ht="29.25" x14ac:dyDescent="0.5">
      <c r="A71" s="815" t="s">
        <v>208</v>
      </c>
      <c r="B71" s="816"/>
      <c r="C71" s="817"/>
      <c r="D71" s="152"/>
      <c r="E71" s="152"/>
      <c r="F71" s="152"/>
      <c r="G71" s="153">
        <f>SUM(G65:G70)</f>
        <v>177</v>
      </c>
      <c r="H71" s="99">
        <f>G71+'6'!H71</f>
        <v>1164</v>
      </c>
      <c r="I71" s="154"/>
      <c r="J71" s="175">
        <f>H71/DAY(B2)</f>
        <v>166.28571428571428</v>
      </c>
      <c r="K71" s="69"/>
      <c r="L71" s="66"/>
      <c r="N71" s="87"/>
      <c r="O71" s="71"/>
    </row>
    <row r="72" spans="1:15" s="88" customFormat="1" ht="27.75" x14ac:dyDescent="0.5">
      <c r="A72" s="861"/>
      <c r="B72" s="853"/>
      <c r="C72" s="347"/>
      <c r="D72" s="180"/>
      <c r="E72" s="180" t="s">
        <v>207</v>
      </c>
      <c r="F72" s="180"/>
      <c r="G72" s="180"/>
      <c r="H72" s="181"/>
      <c r="I72" s="180"/>
      <c r="J72" s="182"/>
      <c r="N72" s="87"/>
      <c r="O72" s="71"/>
    </row>
    <row r="73" spans="1:15" ht="29.25" x14ac:dyDescent="0.5">
      <c r="A73" s="866" t="s">
        <v>333</v>
      </c>
      <c r="B73" s="867"/>
      <c r="C73" s="868"/>
      <c r="D73" s="339"/>
      <c r="E73" s="339"/>
      <c r="F73" s="339"/>
      <c r="G73" s="342"/>
      <c r="H73" s="342"/>
      <c r="I73" s="342"/>
      <c r="J73" s="343"/>
      <c r="K73" s="69"/>
      <c r="L73" s="66"/>
      <c r="N73" s="87"/>
      <c r="O73" s="71"/>
    </row>
    <row r="74" spans="1:15" ht="27.75" x14ac:dyDescent="0.5">
      <c r="A74" s="818" t="s">
        <v>220</v>
      </c>
      <c r="B74" s="819"/>
      <c r="C74" s="820"/>
      <c r="D74" s="151" t="s">
        <v>139</v>
      </c>
      <c r="E74" s="95">
        <f>'6'!F74</f>
        <v>893703</v>
      </c>
      <c r="F74" s="123">
        <v>894004</v>
      </c>
      <c r="G74" s="112">
        <f t="shared" ref="G74:G78" si="7">F74-E74</f>
        <v>301</v>
      </c>
      <c r="H74" s="99">
        <f>G74+'6'!H74</f>
        <v>1972</v>
      </c>
      <c r="I74" s="154"/>
      <c r="J74" s="175">
        <f>H74/DAY(B2)</f>
        <v>281.71428571428572</v>
      </c>
      <c r="K74" s="69"/>
      <c r="L74" s="66"/>
      <c r="N74" s="87"/>
      <c r="O74" s="71"/>
    </row>
    <row r="75" spans="1:15" ht="27.75" x14ac:dyDescent="0.5">
      <c r="A75" s="818" t="s">
        <v>221</v>
      </c>
      <c r="B75" s="819"/>
      <c r="C75" s="820"/>
      <c r="D75" s="151" t="s">
        <v>139</v>
      </c>
      <c r="E75" s="95">
        <f>'6'!F75</f>
        <v>73586.8</v>
      </c>
      <c r="F75" s="123">
        <v>73586.8</v>
      </c>
      <c r="G75" s="112">
        <f t="shared" si="7"/>
        <v>0</v>
      </c>
      <c r="H75" s="99">
        <f>G75+'6'!H75</f>
        <v>0</v>
      </c>
      <c r="I75" s="154"/>
      <c r="J75" s="175">
        <f>H75/DAY(B2)</f>
        <v>0</v>
      </c>
      <c r="K75" s="69"/>
      <c r="L75" s="66"/>
      <c r="N75" s="87"/>
      <c r="O75" s="71"/>
    </row>
    <row r="76" spans="1:15" ht="27.75" x14ac:dyDescent="0.5">
      <c r="A76" s="862" t="s">
        <v>222</v>
      </c>
      <c r="B76" s="848"/>
      <c r="C76" s="849"/>
      <c r="D76" s="151" t="s">
        <v>139</v>
      </c>
      <c r="E76" s="95">
        <f>'6'!F76</f>
        <v>167769</v>
      </c>
      <c r="F76" s="123">
        <v>167841</v>
      </c>
      <c r="G76" s="112">
        <f t="shared" si="7"/>
        <v>72</v>
      </c>
      <c r="H76" s="99">
        <f>G76+'6'!H76</f>
        <v>634</v>
      </c>
      <c r="I76" s="154"/>
      <c r="J76" s="175">
        <f>H76/DAY(B2)</f>
        <v>90.571428571428569</v>
      </c>
      <c r="K76" s="69"/>
      <c r="L76" s="66"/>
      <c r="N76" s="87"/>
      <c r="O76" s="71"/>
    </row>
    <row r="77" spans="1:15" ht="27.75" x14ac:dyDescent="0.5">
      <c r="A77" s="862" t="s">
        <v>223</v>
      </c>
      <c r="B77" s="848"/>
      <c r="C77" s="849"/>
      <c r="D77" s="151" t="s">
        <v>139</v>
      </c>
      <c r="E77" s="95">
        <f>'6'!F77</f>
        <v>40531</v>
      </c>
      <c r="F77" s="123">
        <v>40570</v>
      </c>
      <c r="G77" s="112">
        <f t="shared" si="7"/>
        <v>39</v>
      </c>
      <c r="H77" s="99">
        <f>G77+'6'!H77</f>
        <v>254</v>
      </c>
      <c r="I77" s="154"/>
      <c r="J77" s="175">
        <f>H77/DAY(B2)</f>
        <v>36.285714285714285</v>
      </c>
      <c r="K77" s="69"/>
      <c r="L77" s="66"/>
      <c r="N77" s="87"/>
      <c r="O77" s="71"/>
    </row>
    <row r="78" spans="1:15" ht="27.75" x14ac:dyDescent="0.5">
      <c r="A78" s="862" t="s">
        <v>224</v>
      </c>
      <c r="B78" s="848"/>
      <c r="C78" s="849"/>
      <c r="D78" s="151" t="s">
        <v>139</v>
      </c>
      <c r="E78" s="95">
        <f>'6'!F78</f>
        <v>9492</v>
      </c>
      <c r="F78" s="123">
        <v>9493</v>
      </c>
      <c r="G78" s="112">
        <f t="shared" si="7"/>
        <v>1</v>
      </c>
      <c r="H78" s="99">
        <f>G78+'6'!H78</f>
        <v>7</v>
      </c>
      <c r="I78" s="118"/>
      <c r="J78" s="175">
        <f>H78/DAY(B2)</f>
        <v>1</v>
      </c>
      <c r="K78" s="69"/>
      <c r="L78" s="66"/>
      <c r="N78" s="87"/>
      <c r="O78" s="71"/>
    </row>
    <row r="79" spans="1:15" s="57" customFormat="1" ht="27.75" x14ac:dyDescent="0.5">
      <c r="A79" s="862" t="s">
        <v>225</v>
      </c>
      <c r="B79" s="848"/>
      <c r="C79" s="849"/>
      <c r="D79" s="151"/>
      <c r="E79" s="95">
        <f>'6'!F79</f>
        <v>0</v>
      </c>
      <c r="F79" s="123"/>
      <c r="G79" s="112">
        <f>G15-SUM(G74:G78)</f>
        <v>550</v>
      </c>
      <c r="H79" s="99">
        <f>G79+'6'!H79</f>
        <v>3470</v>
      </c>
      <c r="I79" s="118"/>
      <c r="J79" s="175"/>
      <c r="K79" s="59"/>
      <c r="L79" s="58"/>
      <c r="N79" s="87"/>
      <c r="O79" s="71"/>
    </row>
    <row r="80" spans="1:15" s="57" customFormat="1" ht="29.25" x14ac:dyDescent="0.5">
      <c r="A80" s="815" t="s">
        <v>329</v>
      </c>
      <c r="B80" s="816"/>
      <c r="C80" s="817"/>
      <c r="D80" s="151"/>
      <c r="E80" s="117"/>
      <c r="F80" s="117"/>
      <c r="G80" s="112">
        <f>SUM(G74:G79)</f>
        <v>963</v>
      </c>
      <c r="H80" s="99">
        <f>G80+'6'!H80</f>
        <v>963</v>
      </c>
      <c r="I80" s="118"/>
      <c r="J80" s="175"/>
      <c r="K80" s="59"/>
      <c r="L80" s="58"/>
      <c r="N80" s="87"/>
      <c r="O80" s="71"/>
    </row>
    <row r="81" spans="1:15" ht="27" x14ac:dyDescent="0.4">
      <c r="A81" s="854" t="s">
        <v>226</v>
      </c>
      <c r="B81" s="855"/>
      <c r="C81" s="856"/>
      <c r="D81" s="110"/>
      <c r="E81" s="110"/>
      <c r="F81" s="110"/>
      <c r="G81" s="163"/>
      <c r="H81" s="163"/>
      <c r="I81" s="163"/>
      <c r="J81" s="184"/>
      <c r="O81" s="71"/>
    </row>
    <row r="82" spans="1:15" ht="27.75" x14ac:dyDescent="0.5">
      <c r="A82" s="345" t="s">
        <v>227</v>
      </c>
      <c r="B82" s="346"/>
      <c r="C82" s="346"/>
      <c r="D82" s="151" t="s">
        <v>228</v>
      </c>
      <c r="E82" s="95">
        <f>'6'!F82</f>
        <v>0</v>
      </c>
      <c r="F82" s="122">
        <v>0</v>
      </c>
      <c r="G82" s="112">
        <f t="shared" ref="G82:G92" si="8">F82-E82</f>
        <v>0</v>
      </c>
      <c r="H82" s="99">
        <f>G82+'6'!H82</f>
        <v>0</v>
      </c>
      <c r="I82" s="118"/>
      <c r="J82" s="175">
        <f>H82/DAY(B2)</f>
        <v>0</v>
      </c>
      <c r="O82" s="71"/>
    </row>
    <row r="83" spans="1:15" ht="27.75" x14ac:dyDescent="0.5">
      <c r="A83" s="345" t="s">
        <v>229</v>
      </c>
      <c r="B83" s="346"/>
      <c r="C83" s="346"/>
      <c r="D83" s="151" t="s">
        <v>228</v>
      </c>
      <c r="E83" s="95">
        <f>'6'!F83</f>
        <v>0</v>
      </c>
      <c r="F83" s="122">
        <v>0</v>
      </c>
      <c r="G83" s="112">
        <f t="shared" si="8"/>
        <v>0</v>
      </c>
      <c r="H83" s="99">
        <f>G83+'6'!H83</f>
        <v>0</v>
      </c>
      <c r="I83" s="118"/>
      <c r="J83" s="175">
        <f>H83/DAY(B2)</f>
        <v>0</v>
      </c>
      <c r="O83" s="71"/>
    </row>
    <row r="84" spans="1:15" ht="27.75" x14ac:dyDescent="0.5">
      <c r="A84" s="345" t="s">
        <v>230</v>
      </c>
      <c r="B84" s="346"/>
      <c r="C84" s="346"/>
      <c r="D84" s="151" t="s">
        <v>228</v>
      </c>
      <c r="E84" s="95">
        <f>'6'!F84</f>
        <v>41675</v>
      </c>
      <c r="F84" s="164">
        <v>41675</v>
      </c>
      <c r="G84" s="112">
        <f t="shared" si="8"/>
        <v>0</v>
      </c>
      <c r="H84" s="99">
        <f>G84+'6'!H84</f>
        <v>0</v>
      </c>
      <c r="I84" s="118"/>
      <c r="J84" s="175">
        <f>H84/DAY(B2)</f>
        <v>0</v>
      </c>
      <c r="O84" s="71"/>
    </row>
    <row r="85" spans="1:15" ht="27.75" x14ac:dyDescent="0.5">
      <c r="A85" s="345" t="s">
        <v>231</v>
      </c>
      <c r="B85" s="346"/>
      <c r="C85" s="346"/>
      <c r="D85" s="151" t="s">
        <v>228</v>
      </c>
      <c r="E85" s="95">
        <f>'6'!F85</f>
        <v>2096.56</v>
      </c>
      <c r="F85" s="164">
        <v>2096.56</v>
      </c>
      <c r="G85" s="112">
        <f t="shared" si="8"/>
        <v>0</v>
      </c>
      <c r="H85" s="99">
        <f>G85+'6'!H85</f>
        <v>0</v>
      </c>
      <c r="I85" s="118">
        <f>G82+G83+G84+G85</f>
        <v>0</v>
      </c>
      <c r="J85" s="175">
        <f>H85/DAY(B2)</f>
        <v>0</v>
      </c>
      <c r="O85" s="71"/>
    </row>
    <row r="86" spans="1:15" ht="27.75" x14ac:dyDescent="0.5">
      <c r="A86" s="345" t="s">
        <v>232</v>
      </c>
      <c r="B86" s="346"/>
      <c r="C86" s="346"/>
      <c r="D86" s="151" t="s">
        <v>228</v>
      </c>
      <c r="E86" s="95">
        <f>'6'!F86</f>
        <v>43007.48</v>
      </c>
      <c r="F86" s="164">
        <v>43031.92</v>
      </c>
      <c r="G86" s="112">
        <f t="shared" si="8"/>
        <v>24.439999999995052</v>
      </c>
      <c r="H86" s="99">
        <f>G86+'6'!H86</f>
        <v>168.91999999999825</v>
      </c>
      <c r="I86" s="118"/>
      <c r="J86" s="175">
        <f>H86/DAY(B2)</f>
        <v>24.131428571428323</v>
      </c>
      <c r="O86" s="71"/>
    </row>
    <row r="87" spans="1:15" ht="27.75" x14ac:dyDescent="0.5">
      <c r="A87" s="345" t="s">
        <v>233</v>
      </c>
      <c r="B87" s="346"/>
      <c r="C87" s="346"/>
      <c r="D87" s="151" t="s">
        <v>228</v>
      </c>
      <c r="E87" s="95">
        <f>'6'!F87</f>
        <v>34598.550000000003</v>
      </c>
      <c r="F87" s="164">
        <v>34598.550000000003</v>
      </c>
      <c r="G87" s="112">
        <f t="shared" si="8"/>
        <v>0</v>
      </c>
      <c r="H87" s="99">
        <f>G87+'6'!H87</f>
        <v>0</v>
      </c>
      <c r="I87" s="118"/>
      <c r="J87" s="175">
        <f>H87/DAY(B2)</f>
        <v>0</v>
      </c>
      <c r="O87" s="71"/>
    </row>
    <row r="88" spans="1:15" ht="27.75" x14ac:dyDescent="0.5">
      <c r="A88" s="345" t="s">
        <v>234</v>
      </c>
      <c r="B88" s="346"/>
      <c r="C88" s="346"/>
      <c r="D88" s="151" t="s">
        <v>228</v>
      </c>
      <c r="E88" s="95">
        <f>'6'!F88</f>
        <v>24058</v>
      </c>
      <c r="F88" s="164">
        <v>24058</v>
      </c>
      <c r="G88" s="112">
        <f t="shared" si="8"/>
        <v>0</v>
      </c>
      <c r="H88" s="99">
        <f>G88+'6'!H88</f>
        <v>11</v>
      </c>
      <c r="I88" s="118">
        <f>G86+G87+G88</f>
        <v>24.439999999995052</v>
      </c>
      <c r="J88" s="175">
        <f>H88/DAY(B2)</f>
        <v>1.5714285714285714</v>
      </c>
      <c r="O88" s="71"/>
    </row>
    <row r="89" spans="1:15" ht="27.75" x14ac:dyDescent="0.5">
      <c r="A89" s="345" t="s">
        <v>235</v>
      </c>
      <c r="B89" s="346"/>
      <c r="C89" s="346"/>
      <c r="D89" s="151" t="s">
        <v>228</v>
      </c>
      <c r="E89" s="95">
        <f>'6'!F89</f>
        <v>25695</v>
      </c>
      <c r="F89" s="164">
        <v>25705</v>
      </c>
      <c r="G89" s="112">
        <f t="shared" si="8"/>
        <v>10</v>
      </c>
      <c r="H89" s="99">
        <f>G89+'6'!H89</f>
        <v>42</v>
      </c>
      <c r="I89" s="118"/>
      <c r="J89" s="175">
        <f>H89/DAY(B2)</f>
        <v>6</v>
      </c>
      <c r="O89" s="71"/>
    </row>
    <row r="90" spans="1:15" ht="27.75" x14ac:dyDescent="0.5">
      <c r="A90" s="345" t="s">
        <v>236</v>
      </c>
      <c r="B90" s="346"/>
      <c r="C90" s="346"/>
      <c r="D90" s="151" t="s">
        <v>228</v>
      </c>
      <c r="E90" s="95">
        <f>'6'!F90</f>
        <v>71063</v>
      </c>
      <c r="F90" s="164">
        <v>71068</v>
      </c>
      <c r="G90" s="112">
        <f t="shared" si="8"/>
        <v>5</v>
      </c>
      <c r="H90" s="99">
        <f>G90+'6'!H90</f>
        <v>34</v>
      </c>
      <c r="I90" s="118">
        <f>G89+G90</f>
        <v>15</v>
      </c>
      <c r="J90" s="175">
        <f>H90/DAY(B2)</f>
        <v>4.8571428571428568</v>
      </c>
      <c r="O90" s="71"/>
    </row>
    <row r="91" spans="1:15" ht="27.75" x14ac:dyDescent="0.5">
      <c r="A91" s="345" t="s">
        <v>237</v>
      </c>
      <c r="B91" s="346"/>
      <c r="C91" s="346"/>
      <c r="D91" s="151" t="s">
        <v>228</v>
      </c>
      <c r="E91" s="95">
        <f>'6'!F91</f>
        <v>3226.32</v>
      </c>
      <c r="F91" s="122">
        <v>3226.32</v>
      </c>
      <c r="G91" s="112">
        <f t="shared" si="8"/>
        <v>0</v>
      </c>
      <c r="H91" s="99">
        <f>G91+'6'!H91</f>
        <v>0</v>
      </c>
      <c r="I91" s="165"/>
      <c r="J91" s="175">
        <f>H91/DAY(B2)</f>
        <v>0</v>
      </c>
      <c r="O91" s="71"/>
    </row>
    <row r="92" spans="1:15" ht="27.75" x14ac:dyDescent="0.5">
      <c r="A92" s="345" t="s">
        <v>238</v>
      </c>
      <c r="B92" s="346"/>
      <c r="C92" s="346"/>
      <c r="D92" s="151" t="s">
        <v>228</v>
      </c>
      <c r="E92" s="95">
        <f>'6'!F92</f>
        <v>5496.81</v>
      </c>
      <c r="F92" s="122">
        <v>5507.34</v>
      </c>
      <c r="G92" s="112">
        <f t="shared" si="8"/>
        <v>10.529999999999745</v>
      </c>
      <c r="H92" s="99">
        <f>G92+'6'!H92</f>
        <v>69.340000000000146</v>
      </c>
      <c r="I92" s="165"/>
      <c r="J92" s="175">
        <f>H92/DAY(B2)</f>
        <v>9.905714285714307</v>
      </c>
      <c r="O92" s="71"/>
    </row>
    <row r="93" spans="1:15" ht="29.25" x14ac:dyDescent="0.5">
      <c r="A93" s="863" t="s">
        <v>239</v>
      </c>
      <c r="B93" s="864"/>
      <c r="C93" s="865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27.75" x14ac:dyDescent="0.5">
      <c r="A94" s="818" t="s">
        <v>240</v>
      </c>
      <c r="B94" s="819"/>
      <c r="C94" s="820"/>
      <c r="D94" s="151" t="s">
        <v>130</v>
      </c>
      <c r="E94" s="151"/>
      <c r="F94" s="151"/>
      <c r="G94" s="99">
        <f>G35+G43+G49+G57</f>
        <v>5773</v>
      </c>
      <c r="H94" s="99">
        <f>G94+'6'!H94</f>
        <v>41856</v>
      </c>
      <c r="I94" s="118"/>
      <c r="J94" s="175">
        <f>H94/DAY(B2)</f>
        <v>5979.4285714285716</v>
      </c>
      <c r="K94" s="69"/>
      <c r="L94" s="66"/>
      <c r="O94" s="71"/>
    </row>
    <row r="95" spans="1:15" ht="27.75" x14ac:dyDescent="0.5">
      <c r="A95" s="818" t="s">
        <v>241</v>
      </c>
      <c r="B95" s="819"/>
      <c r="C95" s="820"/>
      <c r="D95" s="151" t="s">
        <v>23</v>
      </c>
      <c r="E95" s="146"/>
      <c r="F95" s="146"/>
      <c r="G95" s="166">
        <f>G94/G7</f>
        <v>0.29110987847309766</v>
      </c>
      <c r="H95" s="99">
        <f>G95+'6'!H95</f>
        <v>2.1168317350531174</v>
      </c>
      <c r="I95" s="167"/>
      <c r="J95" s="175">
        <f>H95/DAY(B2)</f>
        <v>0.30240453357901675</v>
      </c>
      <c r="K95" s="69"/>
      <c r="L95" s="66"/>
      <c r="O95" s="71"/>
    </row>
    <row r="96" spans="1:15" ht="27.75" x14ac:dyDescent="0.5">
      <c r="A96" s="818" t="s">
        <v>242</v>
      </c>
      <c r="B96" s="819"/>
      <c r="C96" s="820"/>
      <c r="D96" s="151" t="s">
        <v>130</v>
      </c>
      <c r="E96" s="95"/>
      <c r="F96" s="95"/>
      <c r="G96" s="99">
        <f>G41+G42+G55+G56</f>
        <v>3369</v>
      </c>
      <c r="H96" s="99">
        <f>G96+'6'!H96</f>
        <v>21767.600000000006</v>
      </c>
      <c r="I96" s="118"/>
      <c r="J96" s="175">
        <f>H96/DAY(B2)</f>
        <v>3109.6571428571438</v>
      </c>
      <c r="K96" s="69"/>
      <c r="L96" s="66"/>
      <c r="O96" s="71"/>
    </row>
    <row r="97" spans="1:15" ht="27.75" x14ac:dyDescent="0.5">
      <c r="A97" s="818" t="s">
        <v>243</v>
      </c>
      <c r="B97" s="819"/>
      <c r="C97" s="820"/>
      <c r="D97" s="151" t="s">
        <v>23</v>
      </c>
      <c r="E97" s="95"/>
      <c r="F97" s="95"/>
      <c r="G97" s="166">
        <f>G96/G7</f>
        <v>0.16988553275175231</v>
      </c>
      <c r="H97" s="99">
        <f>G97+'6'!H97</f>
        <v>1.1006878289937345</v>
      </c>
      <c r="I97" s="167"/>
      <c r="J97" s="175">
        <f>H97/DAY(B2)</f>
        <v>0.15724111842767635</v>
      </c>
      <c r="K97" s="69"/>
      <c r="L97" s="66"/>
      <c r="O97" s="71"/>
    </row>
    <row r="98" spans="1:15" ht="27.75" x14ac:dyDescent="0.5">
      <c r="A98" s="818" t="s">
        <v>244</v>
      </c>
      <c r="B98" s="819"/>
      <c r="C98" s="820"/>
      <c r="D98" s="151" t="s">
        <v>130</v>
      </c>
      <c r="E98" s="95"/>
      <c r="F98" s="95"/>
      <c r="G98" s="99">
        <f>G39+G53</f>
        <v>2675</v>
      </c>
      <c r="H98" s="99">
        <f>G98+'6'!H98</f>
        <v>18997</v>
      </c>
      <c r="I98" s="168"/>
      <c r="J98" s="175">
        <f>H98/DAY(B2)</f>
        <v>2713.8571428571427</v>
      </c>
      <c r="K98" s="69"/>
      <c r="L98" s="66"/>
      <c r="O98" s="71"/>
    </row>
    <row r="99" spans="1:15" ht="27.75" x14ac:dyDescent="0.5">
      <c r="A99" s="818" t="s">
        <v>245</v>
      </c>
      <c r="B99" s="819"/>
      <c r="C99" s="820"/>
      <c r="D99" s="151" t="s">
        <v>23</v>
      </c>
      <c r="E99" s="95"/>
      <c r="F99" s="95"/>
      <c r="G99" s="166">
        <f>G98/G7</f>
        <v>0.13488981897029903</v>
      </c>
      <c r="H99" s="99">
        <f>G99+'6'!H99</f>
        <v>0.96067492393032272</v>
      </c>
      <c r="I99" s="168"/>
      <c r="J99" s="175">
        <f>H99/DAY(B2)</f>
        <v>0.13723927484718895</v>
      </c>
      <c r="O99" s="71"/>
    </row>
    <row r="100" spans="1:15" ht="27.75" x14ac:dyDescent="0.5">
      <c r="A100" s="818" t="s">
        <v>246</v>
      </c>
      <c r="B100" s="819"/>
      <c r="C100" s="820"/>
      <c r="D100" s="151" t="s">
        <v>180</v>
      </c>
      <c r="E100" s="95"/>
      <c r="F100" s="95"/>
      <c r="G100" s="99">
        <f>G38+G52</f>
        <v>1668</v>
      </c>
      <c r="H100" s="99">
        <f>G100+'6'!H100</f>
        <v>11485</v>
      </c>
      <c r="I100" s="118"/>
      <c r="J100" s="175">
        <f>H100/DAY(B2)</f>
        <v>1640.7142857142858</v>
      </c>
      <c r="K100" s="70"/>
      <c r="O100" s="71"/>
    </row>
    <row r="101" spans="1:15" ht="27.75" x14ac:dyDescent="0.5">
      <c r="A101" s="818" t="s">
        <v>247</v>
      </c>
      <c r="B101" s="819"/>
      <c r="C101" s="820"/>
      <c r="D101" s="151" t="s">
        <v>23</v>
      </c>
      <c r="E101" s="95"/>
      <c r="F101" s="95"/>
      <c r="G101" s="166">
        <f>G100/G7</f>
        <v>8.4110735716807022E-2</v>
      </c>
      <c r="H101" s="99">
        <f>G101+'6'!H101</f>
        <v>0.58033860949982741</v>
      </c>
      <c r="I101" s="168"/>
      <c r="J101" s="175">
        <f>H101/DAY(B2)</f>
        <v>8.2905515642832481E-2</v>
      </c>
      <c r="O101" s="71"/>
    </row>
    <row r="102" spans="1:15" ht="27.75" x14ac:dyDescent="0.5">
      <c r="A102" s="818" t="s">
        <v>248</v>
      </c>
      <c r="B102" s="819"/>
      <c r="C102" s="820"/>
      <c r="D102" s="151" t="s">
        <v>180</v>
      </c>
      <c r="E102" s="95"/>
      <c r="F102" s="95"/>
      <c r="G102" s="99">
        <f>G36+G50</f>
        <v>1741</v>
      </c>
      <c r="H102" s="99">
        <f>G102+'6'!H102</f>
        <v>13154</v>
      </c>
      <c r="I102" s="168"/>
      <c r="J102" s="175">
        <f>H102/DAY(B2)</f>
        <v>1879.1428571428571</v>
      </c>
      <c r="O102" s="71"/>
    </row>
    <row r="103" spans="1:15" ht="27.75" x14ac:dyDescent="0.5">
      <c r="A103" s="818" t="s">
        <v>249</v>
      </c>
      <c r="B103" s="819"/>
      <c r="C103" s="820"/>
      <c r="D103" s="151" t="s">
        <v>23</v>
      </c>
      <c r="E103" s="95"/>
      <c r="F103" s="95"/>
      <c r="G103" s="166">
        <f>G102/G7</f>
        <v>8.7791841056931066E-2</v>
      </c>
      <c r="H103" s="99">
        <f>G103+'6'!H103</f>
        <v>0.66460871082844386</v>
      </c>
      <c r="I103" s="118"/>
      <c r="J103" s="175">
        <f>H103/DAY(B2)</f>
        <v>9.4944101546920553E-2</v>
      </c>
      <c r="O103" s="71"/>
    </row>
    <row r="104" spans="1:15" ht="27.75" x14ac:dyDescent="0.5">
      <c r="A104" s="818" t="s">
        <v>250</v>
      </c>
      <c r="B104" s="819"/>
      <c r="C104" s="820"/>
      <c r="D104" s="151" t="s">
        <v>180</v>
      </c>
      <c r="E104" s="95"/>
      <c r="F104" s="95"/>
      <c r="G104" s="99">
        <f>G37+G51</f>
        <v>1524</v>
      </c>
      <c r="H104" s="99">
        <f>G104+'6'!H104</f>
        <v>10678</v>
      </c>
      <c r="I104" s="118"/>
      <c r="J104" s="175">
        <f>H104/DAY(B2)</f>
        <v>1525.4285714285713</v>
      </c>
      <c r="O104" s="71"/>
    </row>
    <row r="105" spans="1:15" ht="28.5" thickBot="1" x14ac:dyDescent="0.55000000000000004">
      <c r="A105" s="858" t="s">
        <v>251</v>
      </c>
      <c r="B105" s="859"/>
      <c r="C105" s="860"/>
      <c r="D105" s="231" t="s">
        <v>23</v>
      </c>
      <c r="E105" s="185"/>
      <c r="F105" s="185"/>
      <c r="G105" s="186">
        <f>G104/G7</f>
        <v>7.6849377237658209E-2</v>
      </c>
      <c r="H105" s="99">
        <f>G105+'6'!H105</f>
        <v>0.5398876657331142</v>
      </c>
      <c r="I105" s="187"/>
      <c r="J105" s="188">
        <f>H105/DAY(B2)</f>
        <v>7.7126809390444889E-2</v>
      </c>
      <c r="O105" s="71"/>
    </row>
    <row r="106" spans="1:15" ht="29.25" x14ac:dyDescent="0.5">
      <c r="A106" s="105"/>
      <c r="B106" s="96"/>
      <c r="C106" s="96"/>
      <c r="D106" s="169"/>
      <c r="E106" s="169"/>
      <c r="F106" s="169"/>
      <c r="G106" s="169"/>
      <c r="H106" s="170"/>
      <c r="I106" s="169"/>
      <c r="J106" s="171"/>
      <c r="O106" s="71"/>
    </row>
    <row r="107" spans="1:15" ht="29.25" x14ac:dyDescent="0.5"/>
    <row r="108" spans="1:15" ht="31.5" x14ac:dyDescent="0.55000000000000004">
      <c r="A108" s="872" t="s">
        <v>324</v>
      </c>
      <c r="B108" s="872"/>
      <c r="C108" s="872"/>
      <c r="D108" s="872"/>
      <c r="E108" s="872"/>
      <c r="F108" s="872"/>
      <c r="G108" s="872"/>
      <c r="H108" s="872"/>
      <c r="I108" s="872"/>
      <c r="J108" s="872"/>
    </row>
    <row r="109" spans="1:15" ht="29.25" x14ac:dyDescent="0.5">
      <c r="A109" s="857"/>
      <c r="B109" s="857"/>
    </row>
    <row r="110" spans="1:15" ht="29.25" x14ac:dyDescent="0.5">
      <c r="A110" s="873" t="s">
        <v>165</v>
      </c>
      <c r="B110" s="874"/>
      <c r="C110" s="874"/>
      <c r="D110" s="874"/>
      <c r="E110" s="874"/>
      <c r="F110" s="874"/>
      <c r="G110" s="874"/>
      <c r="H110" s="874"/>
      <c r="I110" s="874"/>
      <c r="J110" s="875"/>
    </row>
    <row r="111" spans="1:15" ht="27.75" x14ac:dyDescent="0.5">
      <c r="A111" s="876"/>
      <c r="B111" s="877"/>
      <c r="C111" s="878"/>
      <c r="D111" s="165"/>
      <c r="E111" s="165"/>
      <c r="F111" s="165"/>
      <c r="G111" s="165"/>
      <c r="H111" s="156"/>
      <c r="I111" s="165"/>
      <c r="J111" s="327"/>
    </row>
    <row r="112" spans="1:15" ht="27.75" x14ac:dyDescent="0.5">
      <c r="A112" s="851" t="s">
        <v>252</v>
      </c>
      <c r="B112" s="852"/>
      <c r="C112" s="853"/>
      <c r="D112" s="146" t="s">
        <v>183</v>
      </c>
      <c r="E112" s="95">
        <f>'6'!F112</f>
        <v>56116</v>
      </c>
      <c r="F112" s="237">
        <v>56196</v>
      </c>
      <c r="G112" s="112">
        <f t="shared" ref="G112:G123" si="9">F112-E112</f>
        <v>80</v>
      </c>
      <c r="H112" s="99">
        <f>G112+'6'!H112</f>
        <v>515</v>
      </c>
      <c r="I112" s="165"/>
      <c r="J112" s="328">
        <f>H112/DAY(B2)</f>
        <v>73.571428571428569</v>
      </c>
    </row>
    <row r="113" spans="1:18" ht="29.25" customHeight="1" x14ac:dyDescent="0.5">
      <c r="A113" s="851" t="s">
        <v>253</v>
      </c>
      <c r="B113" s="852"/>
      <c r="C113" s="853"/>
      <c r="D113" s="146" t="s">
        <v>183</v>
      </c>
      <c r="E113" s="95">
        <f>'6'!F113</f>
        <v>34902</v>
      </c>
      <c r="F113" s="237">
        <v>35351</v>
      </c>
      <c r="G113" s="112">
        <f t="shared" si="9"/>
        <v>449</v>
      </c>
      <c r="H113" s="99">
        <f>G113+'6'!H113</f>
        <v>3156</v>
      </c>
      <c r="I113" s="165"/>
      <c r="J113" s="328">
        <f>H113/DAY(B2)</f>
        <v>450.85714285714283</v>
      </c>
    </row>
    <row r="114" spans="1:18" ht="29.25" customHeight="1" x14ac:dyDescent="0.5">
      <c r="A114" s="851" t="s">
        <v>254</v>
      </c>
      <c r="B114" s="852"/>
      <c r="C114" s="853"/>
      <c r="D114" s="146" t="s">
        <v>183</v>
      </c>
      <c r="E114" s="95">
        <f>'6'!F114</f>
        <v>26475</v>
      </c>
      <c r="F114" s="237">
        <v>26732</v>
      </c>
      <c r="G114" s="112">
        <f t="shared" si="9"/>
        <v>257</v>
      </c>
      <c r="H114" s="99">
        <f>G114+'6'!H114</f>
        <v>1861</v>
      </c>
      <c r="I114" s="165"/>
      <c r="J114" s="328">
        <f>H114/DAY(B2)</f>
        <v>265.85714285714283</v>
      </c>
    </row>
    <row r="115" spans="1:18" ht="29.25" customHeight="1" x14ac:dyDescent="0.5">
      <c r="A115" s="851" t="s">
        <v>255</v>
      </c>
      <c r="B115" s="852"/>
      <c r="C115" s="853"/>
      <c r="D115" s="146" t="s">
        <v>183</v>
      </c>
      <c r="E115" s="95">
        <f>'6'!F115</f>
        <v>8850</v>
      </c>
      <c r="F115" s="237">
        <v>8860</v>
      </c>
      <c r="G115" s="112">
        <f t="shared" si="9"/>
        <v>10</v>
      </c>
      <c r="H115" s="99">
        <f>G115+'6'!H115</f>
        <v>75</v>
      </c>
      <c r="I115" s="165"/>
      <c r="J115" s="328">
        <f>H115/DAY(B2)</f>
        <v>10.714285714285714</v>
      </c>
    </row>
    <row r="116" spans="1:18" ht="29.25" customHeight="1" x14ac:dyDescent="0.5">
      <c r="A116" s="869" t="s">
        <v>96</v>
      </c>
      <c r="B116" s="870"/>
      <c r="C116" s="871"/>
      <c r="D116" s="146" t="s">
        <v>183</v>
      </c>
      <c r="E116" s="95">
        <f>'6'!F116</f>
        <v>0</v>
      </c>
      <c r="F116" s="237">
        <v>0</v>
      </c>
      <c r="G116" s="112">
        <f t="shared" si="9"/>
        <v>0</v>
      </c>
      <c r="H116" s="99">
        <f>G116+'6'!H116</f>
        <v>0</v>
      </c>
      <c r="I116" s="165"/>
      <c r="J116" s="328">
        <f>H116/DAY(B2)</f>
        <v>0</v>
      </c>
      <c r="Q116" s="851" t="s">
        <v>311</v>
      </c>
      <c r="R116" s="853"/>
    </row>
    <row r="117" spans="1:18" ht="29.25" customHeight="1" x14ac:dyDescent="0.5">
      <c r="A117" s="869" t="s">
        <v>184</v>
      </c>
      <c r="B117" s="870"/>
      <c r="C117" s="871"/>
      <c r="D117" s="146" t="s">
        <v>183</v>
      </c>
      <c r="E117" s="95">
        <f>'6'!F117</f>
        <v>2749</v>
      </c>
      <c r="F117" s="237">
        <v>2778</v>
      </c>
      <c r="G117" s="112">
        <f t="shared" si="9"/>
        <v>29</v>
      </c>
      <c r="H117" s="99">
        <f>G117+'6'!H117</f>
        <v>188</v>
      </c>
      <c r="I117" s="165"/>
      <c r="J117" s="328">
        <f>H117/DAY(B2)</f>
        <v>26.857142857142858</v>
      </c>
      <c r="Q117" s="851" t="s">
        <v>312</v>
      </c>
      <c r="R117" s="853"/>
    </row>
    <row r="118" spans="1:18" ht="27.75" x14ac:dyDescent="0.5">
      <c r="A118" s="846" t="s">
        <v>97</v>
      </c>
      <c r="B118" s="846"/>
      <c r="C118" s="846"/>
      <c r="D118" s="151" t="s">
        <v>183</v>
      </c>
      <c r="E118" s="95">
        <f>'6'!F118</f>
        <v>243886</v>
      </c>
      <c r="F118" s="237">
        <v>244525</v>
      </c>
      <c r="G118" s="112">
        <f t="shared" si="9"/>
        <v>639</v>
      </c>
      <c r="H118" s="99">
        <f>G118+'6'!H118</f>
        <v>2878</v>
      </c>
      <c r="I118" s="165"/>
      <c r="J118" s="328">
        <f>H118/DAY(B2)</f>
        <v>411.14285714285717</v>
      </c>
      <c r="Q118" s="851" t="s">
        <v>311</v>
      </c>
      <c r="R118" s="853"/>
    </row>
    <row r="119" spans="1:18" ht="27.75" x14ac:dyDescent="0.5">
      <c r="A119" s="846" t="s">
        <v>98</v>
      </c>
      <c r="B119" s="846"/>
      <c r="C119" s="846"/>
      <c r="D119" s="151" t="s">
        <v>183</v>
      </c>
      <c r="E119" s="95">
        <f>'6'!F119</f>
        <v>247716</v>
      </c>
      <c r="F119" s="237">
        <v>248153</v>
      </c>
      <c r="G119" s="112">
        <f t="shared" si="9"/>
        <v>437</v>
      </c>
      <c r="H119" s="99">
        <f>G119+'6'!H119</f>
        <v>3027</v>
      </c>
      <c r="I119" s="165"/>
      <c r="J119" s="328">
        <f>H119/DAY(B2)</f>
        <v>432.42857142857144</v>
      </c>
    </row>
    <row r="120" spans="1:18" ht="27.75" x14ac:dyDescent="0.5">
      <c r="A120" s="846" t="s">
        <v>99</v>
      </c>
      <c r="B120" s="846"/>
      <c r="C120" s="846"/>
      <c r="D120" s="151" t="s">
        <v>183</v>
      </c>
      <c r="E120" s="95">
        <f>'6'!F120</f>
        <v>32603</v>
      </c>
      <c r="F120" s="237">
        <v>33031</v>
      </c>
      <c r="G120" s="112">
        <f t="shared" si="9"/>
        <v>428</v>
      </c>
      <c r="H120" s="99">
        <f>G120+'6'!H120</f>
        <v>2953</v>
      </c>
      <c r="I120" s="165"/>
      <c r="J120" s="328">
        <f>H120/DAY(B2)</f>
        <v>421.85714285714283</v>
      </c>
    </row>
    <row r="121" spans="1:18" ht="27.75" x14ac:dyDescent="0.5">
      <c r="A121" s="846" t="s">
        <v>100</v>
      </c>
      <c r="B121" s="846"/>
      <c r="C121" s="846"/>
      <c r="D121" s="151" t="s">
        <v>183</v>
      </c>
      <c r="E121" s="95">
        <f>'6'!F121</f>
        <v>381098</v>
      </c>
      <c r="F121" s="237">
        <v>381818</v>
      </c>
      <c r="G121" s="112">
        <f t="shared" si="9"/>
        <v>720</v>
      </c>
      <c r="H121" s="99">
        <f>G121+'6'!H121</f>
        <v>5289</v>
      </c>
      <c r="I121" s="165"/>
      <c r="J121" s="328">
        <f>H121/DAY(B2)</f>
        <v>755.57142857142856</v>
      </c>
    </row>
    <row r="122" spans="1:18" ht="27.75" x14ac:dyDescent="0.5">
      <c r="A122" s="846" t="s">
        <v>101</v>
      </c>
      <c r="B122" s="846"/>
      <c r="C122" s="846"/>
      <c r="D122" s="151" t="s">
        <v>183</v>
      </c>
      <c r="E122" s="95">
        <f>'6'!F122</f>
        <v>121442</v>
      </c>
      <c r="F122" s="237">
        <v>121682</v>
      </c>
      <c r="G122" s="112">
        <f t="shared" si="9"/>
        <v>240</v>
      </c>
      <c r="H122" s="99">
        <f>G122+'6'!H122</f>
        <v>1632</v>
      </c>
      <c r="I122" s="165"/>
      <c r="J122" s="328">
        <f>H122/DAY(B2)</f>
        <v>233.14285714285714</v>
      </c>
    </row>
    <row r="123" spans="1:18" ht="27.75" x14ac:dyDescent="0.5">
      <c r="A123" s="846" t="s">
        <v>102</v>
      </c>
      <c r="B123" s="846"/>
      <c r="C123" s="846"/>
      <c r="D123" s="151" t="s">
        <v>183</v>
      </c>
      <c r="E123" s="95">
        <f>'6'!F123</f>
        <v>147100</v>
      </c>
      <c r="F123" s="237">
        <v>147418</v>
      </c>
      <c r="G123" s="112">
        <f t="shared" si="9"/>
        <v>318</v>
      </c>
      <c r="H123" s="99">
        <f>G123+'6'!H123</f>
        <v>2293</v>
      </c>
      <c r="I123" s="165"/>
      <c r="J123" s="328">
        <f>H123/DAY(B2)</f>
        <v>327.57142857142856</v>
      </c>
    </row>
    <row r="124" spans="1:18" ht="29.25" customHeight="1" x14ac:dyDescent="0.5">
      <c r="A124" s="876"/>
      <c r="B124" s="877"/>
      <c r="C124" s="878"/>
      <c r="D124" s="165"/>
      <c r="E124" s="165"/>
      <c r="F124" s="165"/>
      <c r="G124" s="327"/>
      <c r="H124" s="156"/>
      <c r="I124" s="165"/>
      <c r="J124" s="328"/>
    </row>
    <row r="125" spans="1:18" ht="27.75" x14ac:dyDescent="0.5">
      <c r="A125" s="879" t="s">
        <v>196</v>
      </c>
      <c r="B125" s="880"/>
      <c r="C125" s="245"/>
      <c r="D125" s="307"/>
      <c r="E125" s="308"/>
      <c r="F125" s="308"/>
      <c r="G125" s="309">
        <f>SUM(G112:G124)</f>
        <v>3607</v>
      </c>
      <c r="H125" s="156"/>
      <c r="I125" s="327">
        <f>G125-(G39+G53)</f>
        <v>932</v>
      </c>
      <c r="J125" s="327"/>
    </row>
    <row r="126" spans="1:18" ht="27.75" x14ac:dyDescent="0.5">
      <c r="A126" s="881" t="s">
        <v>317</v>
      </c>
      <c r="B126" s="881"/>
      <c r="C126" s="881"/>
      <c r="D126" s="881"/>
      <c r="E126" s="881"/>
      <c r="F126" s="881"/>
      <c r="G126" s="881"/>
      <c r="H126" s="881"/>
      <c r="I126" s="881"/>
      <c r="J126" s="881"/>
    </row>
    <row r="127" spans="1:18" ht="27.75" x14ac:dyDescent="0.5">
      <c r="A127" s="882"/>
      <c r="B127" s="882"/>
      <c r="C127" s="245"/>
      <c r="D127" s="307"/>
      <c r="E127" s="308"/>
      <c r="F127" s="308"/>
      <c r="G127" s="309"/>
      <c r="H127" s="99">
        <f>G127+'6'!H127</f>
        <v>0</v>
      </c>
      <c r="I127" s="165"/>
      <c r="J127" s="328">
        <f>H127/DAY(B2)</f>
        <v>0</v>
      </c>
    </row>
    <row r="128" spans="1:18" ht="29.25" customHeight="1" x14ac:dyDescent="0.5">
      <c r="A128" s="851" t="s">
        <v>318</v>
      </c>
      <c r="B128" s="852"/>
      <c r="C128" s="853"/>
      <c r="D128" s="151" t="s">
        <v>183</v>
      </c>
      <c r="E128" s="95">
        <f>'6'!F128</f>
        <v>40028</v>
      </c>
      <c r="F128" s="165">
        <v>40344</v>
      </c>
      <c r="G128" s="112">
        <f t="shared" ref="G128:G134" si="10">F128-E128</f>
        <v>316</v>
      </c>
      <c r="H128" s="99">
        <f>G128+'6'!H128</f>
        <v>2340</v>
      </c>
      <c r="I128" s="165"/>
      <c r="J128" s="328">
        <f>H128/DAY(B2)</f>
        <v>334.28571428571428</v>
      </c>
    </row>
    <row r="129" spans="1:15" ht="27.75" x14ac:dyDescent="0.5">
      <c r="A129" s="329" t="s">
        <v>319</v>
      </c>
      <c r="B129" s="330"/>
      <c r="C129" s="331"/>
      <c r="D129" s="151" t="s">
        <v>183</v>
      </c>
      <c r="E129" s="95">
        <f>'6'!F129</f>
        <v>21610</v>
      </c>
      <c r="F129" s="165">
        <v>21860</v>
      </c>
      <c r="G129" s="112">
        <f t="shared" si="10"/>
        <v>250</v>
      </c>
      <c r="H129" s="99">
        <f>G129+'6'!H129</f>
        <v>1539</v>
      </c>
      <c r="I129" s="165"/>
      <c r="J129" s="328">
        <f>H129/DAY(B2)</f>
        <v>219.85714285714286</v>
      </c>
      <c r="N129" s="240"/>
      <c r="O129" s="241"/>
    </row>
    <row r="130" spans="1:15" ht="27.75" x14ac:dyDescent="0.5">
      <c r="A130" s="329" t="s">
        <v>320</v>
      </c>
      <c r="B130" s="330"/>
      <c r="C130" s="331"/>
      <c r="D130" s="151" t="s">
        <v>183</v>
      </c>
      <c r="E130" s="95">
        <f>'6'!F130</f>
        <v>22476</v>
      </c>
      <c r="F130" s="165">
        <v>23167</v>
      </c>
      <c r="G130" s="112">
        <f t="shared" si="10"/>
        <v>691</v>
      </c>
      <c r="H130" s="99">
        <f>G130+'6'!H130</f>
        <v>4785</v>
      </c>
      <c r="I130" s="165"/>
      <c r="J130" s="328">
        <f>H130/DAY(B2)</f>
        <v>683.57142857142856</v>
      </c>
      <c r="N130" s="240"/>
      <c r="O130" s="241"/>
    </row>
    <row r="131" spans="1:15" ht="27.75" x14ac:dyDescent="0.5">
      <c r="A131" s="851" t="s">
        <v>321</v>
      </c>
      <c r="B131" s="852"/>
      <c r="C131" s="853"/>
      <c r="D131" s="151" t="s">
        <v>183</v>
      </c>
      <c r="E131" s="95">
        <f>'6'!F131</f>
        <v>13628</v>
      </c>
      <c r="F131" s="165">
        <v>13703</v>
      </c>
      <c r="G131" s="112">
        <f t="shared" si="10"/>
        <v>75</v>
      </c>
      <c r="H131" s="99">
        <f>G131+'6'!H131</f>
        <v>550</v>
      </c>
      <c r="I131" s="165"/>
      <c r="J131" s="328">
        <f>H131/DAY(B2)</f>
        <v>78.571428571428569</v>
      </c>
      <c r="N131" s="240"/>
      <c r="O131" s="241"/>
    </row>
    <row r="132" spans="1:15" ht="27.75" x14ac:dyDescent="0.5">
      <c r="A132" s="851" t="s">
        <v>322</v>
      </c>
      <c r="B132" s="852"/>
      <c r="C132" s="853"/>
      <c r="D132" s="151" t="s">
        <v>183</v>
      </c>
      <c r="E132" s="95">
        <f>'6'!F132</f>
        <v>43714</v>
      </c>
      <c r="F132" s="165">
        <v>44223</v>
      </c>
      <c r="G132" s="112">
        <f t="shared" si="10"/>
        <v>509</v>
      </c>
      <c r="H132" s="99">
        <f>G132+'6'!H132</f>
        <v>3200</v>
      </c>
      <c r="I132" s="165"/>
      <c r="J132" s="328">
        <f>H132/DAY(B2)</f>
        <v>457.14285714285717</v>
      </c>
    </row>
    <row r="133" spans="1:15" ht="27.75" x14ac:dyDescent="0.5">
      <c r="A133" s="851" t="s">
        <v>323</v>
      </c>
      <c r="B133" s="852"/>
      <c r="C133" s="853"/>
      <c r="D133" s="151" t="s">
        <v>183</v>
      </c>
      <c r="E133" s="95">
        <f>'6'!F133</f>
        <v>92706</v>
      </c>
      <c r="F133" s="165">
        <v>93462</v>
      </c>
      <c r="G133" s="112">
        <f t="shared" si="10"/>
        <v>756</v>
      </c>
      <c r="H133" s="99">
        <f>G133+'6'!H133</f>
        <v>5759</v>
      </c>
      <c r="I133" s="165"/>
      <c r="J133" s="328">
        <f>H133/DAY(B2)</f>
        <v>822.71428571428567</v>
      </c>
    </row>
    <row r="134" spans="1:15" ht="27.75" x14ac:dyDescent="0.5">
      <c r="A134" s="851" t="s">
        <v>340</v>
      </c>
      <c r="B134" s="852"/>
      <c r="C134" s="853"/>
      <c r="D134" s="151" t="s">
        <v>183</v>
      </c>
      <c r="E134" s="95">
        <f>'6'!F134</f>
        <v>672722</v>
      </c>
      <c r="F134" s="165">
        <v>673370</v>
      </c>
      <c r="G134" s="112">
        <f t="shared" si="10"/>
        <v>648</v>
      </c>
      <c r="H134" s="99">
        <f>G134+'6'!H134</f>
        <v>4490</v>
      </c>
      <c r="I134" s="165"/>
      <c r="J134" s="328">
        <f>H134/DAY(B2)</f>
        <v>641.42857142857144</v>
      </c>
    </row>
    <row r="135" spans="1:15" ht="27.75" x14ac:dyDescent="0.5">
      <c r="A135" s="879" t="s">
        <v>196</v>
      </c>
      <c r="B135" s="880"/>
      <c r="C135" s="331"/>
      <c r="D135" s="151"/>
      <c r="E135" s="95"/>
      <c r="F135" s="165"/>
      <c r="G135" s="112">
        <f>SUM(G128:G134)</f>
        <v>3245</v>
      </c>
      <c r="H135" s="99">
        <f>G135+'6'!H135</f>
        <v>22663</v>
      </c>
      <c r="I135" s="327">
        <f>G135-(G35+G49)</f>
        <v>-282</v>
      </c>
      <c r="J135" s="328" t="e">
        <f t="shared" ref="J135" si="11">H135/DAY(B54)</f>
        <v>#DIV/0!</v>
      </c>
    </row>
    <row r="136" spans="1:15" ht="31.5" x14ac:dyDescent="0.55000000000000004">
      <c r="A136" s="883" t="s">
        <v>325</v>
      </c>
      <c r="B136" s="883"/>
      <c r="C136" s="883"/>
      <c r="D136" s="883"/>
      <c r="E136" s="883"/>
      <c r="F136" s="883"/>
      <c r="G136" s="883"/>
      <c r="H136" s="883"/>
      <c r="I136" s="883"/>
      <c r="J136" s="883"/>
    </row>
    <row r="137" spans="1:15" ht="29.25" x14ac:dyDescent="0.5">
      <c r="A137" s="245"/>
      <c r="B137" s="246"/>
      <c r="C137" s="246"/>
      <c r="D137" s="165"/>
      <c r="E137" s="165"/>
      <c r="F137" s="165"/>
      <c r="G137" s="165"/>
      <c r="H137" s="156"/>
      <c r="I137" s="165"/>
      <c r="J137" s="327"/>
    </row>
    <row r="138" spans="1:15" ht="27.75" x14ac:dyDescent="0.5">
      <c r="A138" s="846" t="s">
        <v>185</v>
      </c>
      <c r="B138" s="846"/>
      <c r="C138" s="846"/>
      <c r="D138" s="151" t="s">
        <v>183</v>
      </c>
      <c r="E138" s="95">
        <f>'6'!F138</f>
        <v>864599</v>
      </c>
      <c r="F138" s="147">
        <v>864673</v>
      </c>
      <c r="G138" s="112">
        <f t="shared" ref="G138:G152" si="12">F138-E138</f>
        <v>74</v>
      </c>
      <c r="H138" s="99">
        <f>G138+'6'!H138</f>
        <v>502</v>
      </c>
      <c r="I138" s="118"/>
      <c r="J138" s="328">
        <f>H138/DAY(B2)</f>
        <v>71.714285714285708</v>
      </c>
    </row>
    <row r="139" spans="1:15" ht="27.75" x14ac:dyDescent="0.5">
      <c r="A139" s="846" t="s">
        <v>186</v>
      </c>
      <c r="B139" s="846"/>
      <c r="C139" s="846"/>
      <c r="D139" s="151" t="s">
        <v>183</v>
      </c>
      <c r="E139" s="95">
        <f>'6'!F139</f>
        <v>886549</v>
      </c>
      <c r="F139" s="148">
        <v>886549</v>
      </c>
      <c r="G139" s="112">
        <f t="shared" si="12"/>
        <v>0</v>
      </c>
      <c r="H139" s="99">
        <f>G139+'6'!H139</f>
        <v>3</v>
      </c>
      <c r="I139" s="118"/>
      <c r="J139" s="328">
        <f>H139/DAY(B2)</f>
        <v>0.42857142857142855</v>
      </c>
    </row>
    <row r="140" spans="1:15" ht="27.75" x14ac:dyDescent="0.5">
      <c r="A140" s="846" t="s">
        <v>187</v>
      </c>
      <c r="B140" s="846"/>
      <c r="C140" s="846"/>
      <c r="D140" s="151" t="s">
        <v>183</v>
      </c>
      <c r="E140" s="95">
        <f>'6'!F140</f>
        <v>88898.3</v>
      </c>
      <c r="F140" s="149">
        <v>88898</v>
      </c>
      <c r="G140" s="112">
        <f t="shared" si="12"/>
        <v>-0.30000000000291038</v>
      </c>
      <c r="H140" s="99">
        <f>G140+'6'!H140</f>
        <v>16</v>
      </c>
      <c r="I140" s="118"/>
      <c r="J140" s="328">
        <f>H140/DAY(B2)</f>
        <v>2.2857142857142856</v>
      </c>
    </row>
    <row r="141" spans="1:15" ht="27.75" x14ac:dyDescent="0.5">
      <c r="A141" s="850" t="s">
        <v>188</v>
      </c>
      <c r="B141" s="850"/>
      <c r="C141" s="850"/>
      <c r="D141" s="151" t="s">
        <v>183</v>
      </c>
      <c r="E141" s="95">
        <f>'6'!F141</f>
        <v>50370</v>
      </c>
      <c r="F141" s="149">
        <v>50542</v>
      </c>
      <c r="G141" s="112">
        <f t="shared" si="12"/>
        <v>172</v>
      </c>
      <c r="H141" s="99">
        <f>G141+'6'!H141</f>
        <v>1236</v>
      </c>
      <c r="I141" s="118"/>
      <c r="J141" s="328">
        <f>H141/DAY(B2)</f>
        <v>176.57142857142858</v>
      </c>
    </row>
    <row r="142" spans="1:15" ht="27.75" x14ac:dyDescent="0.5">
      <c r="A142" s="850" t="s">
        <v>189</v>
      </c>
      <c r="B142" s="850"/>
      <c r="C142" s="850"/>
      <c r="D142" s="151" t="s">
        <v>183</v>
      </c>
      <c r="E142" s="95">
        <f>'6'!F142</f>
        <v>19437</v>
      </c>
      <c r="F142" s="148">
        <v>19503</v>
      </c>
      <c r="G142" s="112">
        <f t="shared" si="12"/>
        <v>66</v>
      </c>
      <c r="H142" s="99">
        <f>G142+'6'!H142</f>
        <v>494</v>
      </c>
      <c r="I142" s="140"/>
      <c r="J142" s="328">
        <f>H142/DAY(B2)</f>
        <v>70.571428571428569</v>
      </c>
    </row>
    <row r="143" spans="1:15" ht="27.75" x14ac:dyDescent="0.5">
      <c r="A143" s="846" t="s">
        <v>91</v>
      </c>
      <c r="B143" s="846"/>
      <c r="C143" s="846"/>
      <c r="D143" s="151" t="s">
        <v>183</v>
      </c>
      <c r="E143" s="95">
        <f>'6'!F143</f>
        <v>3195</v>
      </c>
      <c r="F143" s="149">
        <v>3220</v>
      </c>
      <c r="G143" s="112">
        <f t="shared" si="12"/>
        <v>25</v>
      </c>
      <c r="H143" s="99">
        <f>G143+'6'!H143</f>
        <v>159</v>
      </c>
      <c r="I143" s="140"/>
      <c r="J143" s="328">
        <f>H143/DAY(B2)</f>
        <v>22.714285714285715</v>
      </c>
    </row>
    <row r="144" spans="1:15" ht="27.75" x14ac:dyDescent="0.5">
      <c r="A144" s="850" t="s">
        <v>90</v>
      </c>
      <c r="B144" s="850"/>
      <c r="C144" s="850"/>
      <c r="D144" s="151" t="s">
        <v>183</v>
      </c>
      <c r="E144" s="95">
        <f>'6'!F144</f>
        <v>871014</v>
      </c>
      <c r="F144" s="149">
        <v>871244</v>
      </c>
      <c r="G144" s="112">
        <f t="shared" si="12"/>
        <v>230</v>
      </c>
      <c r="H144" s="99">
        <f>G144+'6'!H144</f>
        <v>1574</v>
      </c>
      <c r="I144" s="140"/>
      <c r="J144" s="328">
        <f>H144/DAY(B2)</f>
        <v>224.85714285714286</v>
      </c>
    </row>
    <row r="145" spans="1:10" ht="27.75" x14ac:dyDescent="0.5">
      <c r="A145" s="846" t="s">
        <v>190</v>
      </c>
      <c r="B145" s="846"/>
      <c r="C145" s="846"/>
      <c r="D145" s="152" t="s">
        <v>183</v>
      </c>
      <c r="E145" s="95">
        <f>'6'!F145</f>
        <v>4659</v>
      </c>
      <c r="F145" s="149">
        <v>4676</v>
      </c>
      <c r="G145" s="112">
        <f t="shared" si="12"/>
        <v>17</v>
      </c>
      <c r="H145" s="99">
        <f>G145+'6'!H145</f>
        <v>118</v>
      </c>
      <c r="I145" s="140"/>
      <c r="J145" s="328">
        <f>H145/DAY(B2)</f>
        <v>16.857142857142858</v>
      </c>
    </row>
    <row r="146" spans="1:10" ht="27.75" x14ac:dyDescent="0.5">
      <c r="A146" s="847" t="s">
        <v>191</v>
      </c>
      <c r="B146" s="848"/>
      <c r="C146" s="849"/>
      <c r="D146" s="152" t="s">
        <v>183</v>
      </c>
      <c r="E146" s="95">
        <f>'6'!F146</f>
        <v>727616</v>
      </c>
      <c r="F146" s="148">
        <v>728026</v>
      </c>
      <c r="G146" s="112">
        <f t="shared" si="12"/>
        <v>410</v>
      </c>
      <c r="H146" s="99">
        <f>G146+'6'!H146</f>
        <v>3168</v>
      </c>
      <c r="I146" s="140"/>
      <c r="J146" s="328">
        <f>H146/DAY(B2)</f>
        <v>452.57142857142856</v>
      </c>
    </row>
    <row r="147" spans="1:10" ht="27.75" x14ac:dyDescent="0.5">
      <c r="A147" s="850" t="s">
        <v>192</v>
      </c>
      <c r="B147" s="850"/>
      <c r="C147" s="850"/>
      <c r="D147" s="152" t="s">
        <v>183</v>
      </c>
      <c r="E147" s="95">
        <f>'6'!F147</f>
        <v>617718</v>
      </c>
      <c r="F147" s="148">
        <v>618086</v>
      </c>
      <c r="G147" s="112">
        <f t="shared" si="12"/>
        <v>368</v>
      </c>
      <c r="H147" s="99">
        <f>G147+'6'!H147</f>
        <v>2804</v>
      </c>
      <c r="I147" s="140"/>
      <c r="J147" s="328">
        <f>H147/DAY(B2)</f>
        <v>400.57142857142856</v>
      </c>
    </row>
    <row r="148" spans="1:10" ht="27.75" x14ac:dyDescent="0.5">
      <c r="A148" s="842" t="s">
        <v>193</v>
      </c>
      <c r="B148" s="843"/>
      <c r="C148" s="844"/>
      <c r="D148" s="123" t="s">
        <v>130</v>
      </c>
      <c r="E148" s="95">
        <f>'6'!F148</f>
        <v>684690</v>
      </c>
      <c r="F148" s="150">
        <v>684937</v>
      </c>
      <c r="G148" s="112">
        <f t="shared" si="12"/>
        <v>247</v>
      </c>
      <c r="H148" s="99">
        <f>G148+'6'!H148</f>
        <v>1903.8800000000047</v>
      </c>
      <c r="I148" s="124"/>
      <c r="J148" s="328">
        <f>H148/DAY(B2)</f>
        <v>271.98285714285782</v>
      </c>
    </row>
    <row r="149" spans="1:10" ht="27.75" x14ac:dyDescent="0.5">
      <c r="A149" s="842" t="s">
        <v>336</v>
      </c>
      <c r="B149" s="843"/>
      <c r="C149" s="844"/>
      <c r="D149" s="227" t="s">
        <v>130</v>
      </c>
      <c r="E149" s="95">
        <f>'6'!F149</f>
        <v>13147</v>
      </c>
      <c r="F149" s="146">
        <v>13601</v>
      </c>
      <c r="G149" s="112">
        <f t="shared" si="12"/>
        <v>454</v>
      </c>
      <c r="H149" s="99">
        <f>G149+'6'!H149</f>
        <v>2852</v>
      </c>
      <c r="I149" s="119"/>
      <c r="J149" s="328">
        <f>H149/DAY(B2)</f>
        <v>407.42857142857144</v>
      </c>
    </row>
    <row r="150" spans="1:10" ht="27.75" x14ac:dyDescent="0.5">
      <c r="A150" s="842" t="s">
        <v>337</v>
      </c>
      <c r="B150" s="843"/>
      <c r="C150" s="844"/>
      <c r="D150" s="117" t="s">
        <v>130</v>
      </c>
      <c r="E150" s="95">
        <f>'6'!F150</f>
        <v>5359</v>
      </c>
      <c r="F150" s="233">
        <v>5593</v>
      </c>
      <c r="G150" s="112">
        <f t="shared" si="12"/>
        <v>234</v>
      </c>
      <c r="H150" s="99">
        <f>G150+'6'!H150</f>
        <v>1541</v>
      </c>
      <c r="I150" s="119"/>
      <c r="J150" s="328">
        <f>H150/DAY(B2)</f>
        <v>220.14285714285714</v>
      </c>
    </row>
    <row r="151" spans="1:10" ht="27.75" x14ac:dyDescent="0.5">
      <c r="A151" s="842" t="s">
        <v>338</v>
      </c>
      <c r="B151" s="843"/>
      <c r="C151" s="844"/>
      <c r="D151" s="117" t="s">
        <v>130</v>
      </c>
      <c r="E151" s="95">
        <f>'6'!F151</f>
        <v>79746</v>
      </c>
      <c r="F151" s="233">
        <v>79961</v>
      </c>
      <c r="G151" s="112">
        <f t="shared" si="12"/>
        <v>215</v>
      </c>
      <c r="H151" s="99">
        <f>G151+'6'!H151</f>
        <v>1744</v>
      </c>
      <c r="I151" s="119"/>
      <c r="J151" s="328">
        <f>H151/DAY(B2)</f>
        <v>249.14285714285714</v>
      </c>
    </row>
    <row r="152" spans="1:10" ht="27.75" x14ac:dyDescent="0.5">
      <c r="A152" s="842" t="s">
        <v>339</v>
      </c>
      <c r="B152" s="843"/>
      <c r="C152" s="844"/>
      <c r="D152" s="117" t="s">
        <v>130</v>
      </c>
      <c r="E152" s="95">
        <f>'6'!F152</f>
        <v>1253</v>
      </c>
      <c r="F152" s="233">
        <v>1269</v>
      </c>
      <c r="G152" s="112">
        <f t="shared" si="12"/>
        <v>16</v>
      </c>
      <c r="H152" s="99">
        <f>G152+'6'!H152</f>
        <v>142</v>
      </c>
      <c r="I152" s="119"/>
      <c r="J152" s="328">
        <f>H152/DAY(B2)</f>
        <v>20.285714285714285</v>
      </c>
    </row>
    <row r="153" spans="1:10" ht="27.75" x14ac:dyDescent="0.5">
      <c r="A153" s="879" t="s">
        <v>196</v>
      </c>
      <c r="B153" s="880"/>
      <c r="C153" s="365"/>
      <c r="D153" s="358"/>
      <c r="E153" s="360"/>
      <c r="F153" s="361"/>
      <c r="G153" s="362">
        <f>SUM(G138:G152)</f>
        <v>2527.6999999999971</v>
      </c>
      <c r="H153" s="363"/>
      <c r="I153" s="119" t="s">
        <v>207</v>
      </c>
      <c r="J153" s="366"/>
    </row>
    <row r="154" spans="1:10" ht="31.5" x14ac:dyDescent="0.55000000000000004">
      <c r="A154" s="883" t="s">
        <v>344</v>
      </c>
      <c r="B154" s="883"/>
      <c r="C154" s="883"/>
      <c r="D154" s="883"/>
      <c r="E154" s="883"/>
      <c r="F154" s="883"/>
      <c r="G154" s="883"/>
      <c r="H154" s="883"/>
      <c r="I154" s="883"/>
      <c r="J154" s="883"/>
    </row>
    <row r="155" spans="1:10" ht="31.5" x14ac:dyDescent="0.55000000000000004">
      <c r="A155" s="850" t="s">
        <v>345</v>
      </c>
      <c r="B155" s="850"/>
      <c r="C155" s="850"/>
      <c r="D155" s="117" t="s">
        <v>130</v>
      </c>
      <c r="E155" s="95">
        <f>'6'!F155</f>
        <v>16648</v>
      </c>
      <c r="F155" s="374">
        <v>17300</v>
      </c>
      <c r="G155" s="112">
        <f t="shared" ref="G155:G156" si="13">F155-E155</f>
        <v>652</v>
      </c>
      <c r="H155" s="99">
        <f>G155+'6'!H155</f>
        <v>3828</v>
      </c>
      <c r="I155" s="364"/>
      <c r="J155" s="328">
        <f>H155/DAY(B2)</f>
        <v>546.85714285714289</v>
      </c>
    </row>
    <row r="156" spans="1:10" ht="27.75" x14ac:dyDescent="0.5">
      <c r="A156" s="850" t="s">
        <v>346</v>
      </c>
      <c r="B156" s="850"/>
      <c r="C156" s="850"/>
      <c r="D156" s="117" t="s">
        <v>130</v>
      </c>
      <c r="E156" s="95">
        <f>'6'!F156</f>
        <v>1363</v>
      </c>
      <c r="F156" s="165">
        <v>1410</v>
      </c>
      <c r="G156" s="112">
        <f t="shared" si="13"/>
        <v>47</v>
      </c>
      <c r="H156" s="99">
        <f>G156+'6'!H156</f>
        <v>322</v>
      </c>
      <c r="I156" s="165"/>
      <c r="J156" s="328">
        <f>H156/DAY(B2)</f>
        <v>46</v>
      </c>
    </row>
    <row r="157" spans="1:10" ht="27.75" x14ac:dyDescent="0.5">
      <c r="A157" s="842" t="s">
        <v>364</v>
      </c>
      <c r="B157" s="843"/>
      <c r="C157" s="844"/>
      <c r="D157" s="117" t="s">
        <v>130</v>
      </c>
      <c r="E157" s="95"/>
      <c r="F157" s="165"/>
      <c r="G157" s="112"/>
      <c r="H157" s="99"/>
      <c r="I157" s="165"/>
      <c r="J157" s="328"/>
    </row>
    <row r="158" spans="1:10" ht="27.75" x14ac:dyDescent="0.5">
      <c r="A158" s="842" t="s">
        <v>365</v>
      </c>
      <c r="B158" s="843"/>
      <c r="C158" s="844"/>
      <c r="D158" s="117" t="s">
        <v>130</v>
      </c>
      <c r="E158" s="95"/>
      <c r="F158" s="165"/>
      <c r="G158" s="112"/>
      <c r="H158" s="99"/>
      <c r="I158" s="165"/>
      <c r="J158" s="328"/>
    </row>
    <row r="159" spans="1:10" ht="27.75" x14ac:dyDescent="0.5">
      <c r="A159" s="899"/>
      <c r="B159" s="900"/>
      <c r="C159" s="901"/>
      <c r="D159" s="117"/>
      <c r="E159" s="95"/>
      <c r="F159" s="165"/>
      <c r="G159" s="112"/>
      <c r="H159" s="99"/>
      <c r="I159" s="165"/>
      <c r="J159" s="328"/>
    </row>
    <row r="160" spans="1:10" ht="31.5" x14ac:dyDescent="0.55000000000000004">
      <c r="A160" s="883" t="s">
        <v>326</v>
      </c>
      <c r="B160" s="883"/>
      <c r="C160" s="883"/>
      <c r="D160" s="883"/>
      <c r="E160" s="883"/>
      <c r="F160" s="883"/>
      <c r="G160" s="883"/>
      <c r="H160" s="883"/>
      <c r="I160" s="883"/>
      <c r="J160" s="883"/>
    </row>
    <row r="161" spans="1:10" ht="29.25" x14ac:dyDescent="0.5">
      <c r="A161" s="242" t="s">
        <v>92</v>
      </c>
      <c r="B161" s="243"/>
      <c r="C161" s="243"/>
      <c r="D161" s="244" t="s">
        <v>180</v>
      </c>
      <c r="E161" s="95">
        <f>'6'!F161</f>
        <v>471153.56</v>
      </c>
      <c r="F161" s="235">
        <v>471219</v>
      </c>
      <c r="G161" s="238">
        <f t="shared" ref="G161:G165" si="14">F161-E161</f>
        <v>65.440000000002328</v>
      </c>
      <c r="H161" s="99">
        <f>G161+'6'!H161</f>
        <v>65.840000000025611</v>
      </c>
      <c r="I161" s="236"/>
      <c r="J161" s="239">
        <f>H161/DAY(B2)</f>
        <v>9.405714285717945</v>
      </c>
    </row>
    <row r="162" spans="1:10" ht="29.25" x14ac:dyDescent="0.5">
      <c r="A162" s="242" t="s">
        <v>93</v>
      </c>
      <c r="B162" s="243"/>
      <c r="C162" s="243"/>
      <c r="D162" s="244" t="s">
        <v>180</v>
      </c>
      <c r="E162" s="95">
        <f>'6'!F162</f>
        <v>87718</v>
      </c>
      <c r="F162" s="235">
        <v>87752</v>
      </c>
      <c r="G162" s="238">
        <f t="shared" si="14"/>
        <v>34</v>
      </c>
      <c r="H162" s="99">
        <f>G162+'6'!H162</f>
        <v>182</v>
      </c>
      <c r="I162" s="236"/>
      <c r="J162" s="239">
        <f>H162/DAY(B2)</f>
        <v>26</v>
      </c>
    </row>
    <row r="163" spans="1:10" ht="29.25" x14ac:dyDescent="0.5">
      <c r="A163" s="242" t="s">
        <v>197</v>
      </c>
      <c r="B163" s="243"/>
      <c r="C163" s="243"/>
      <c r="D163" s="244" t="s">
        <v>180</v>
      </c>
      <c r="E163" s="95">
        <f>'6'!F163</f>
        <v>78084</v>
      </c>
      <c r="F163" s="235">
        <v>78129</v>
      </c>
      <c r="G163" s="238">
        <f t="shared" si="14"/>
        <v>45</v>
      </c>
      <c r="H163" s="99">
        <f>G163+'6'!H163</f>
        <v>304</v>
      </c>
      <c r="I163" s="236"/>
      <c r="J163" s="239">
        <f>H163/DAY(B2)</f>
        <v>43.428571428571431</v>
      </c>
    </row>
    <row r="164" spans="1:10" ht="30" customHeight="1" x14ac:dyDescent="0.5">
      <c r="A164" s="242" t="s">
        <v>197</v>
      </c>
      <c r="B164" s="243"/>
      <c r="C164" s="243"/>
      <c r="D164" s="244" t="s">
        <v>180</v>
      </c>
      <c r="E164" s="95">
        <f>'6'!F164</f>
        <v>4250</v>
      </c>
      <c r="F164" s="235">
        <v>4253</v>
      </c>
      <c r="G164" s="238">
        <f t="shared" si="14"/>
        <v>3</v>
      </c>
      <c r="H164" s="99">
        <f>G164+'6'!H164</f>
        <v>11</v>
      </c>
      <c r="I164" s="236"/>
      <c r="J164" s="239">
        <f>H164/DAY(B2)</f>
        <v>1.5714285714285714</v>
      </c>
    </row>
    <row r="165" spans="1:10" ht="28.5" customHeight="1" x14ac:dyDescent="0.5">
      <c r="A165" s="242" t="s">
        <v>309</v>
      </c>
      <c r="B165" s="243"/>
      <c r="C165" s="243"/>
      <c r="D165" s="244" t="s">
        <v>180</v>
      </c>
      <c r="E165" s="95">
        <f>'6'!F165</f>
        <v>29685</v>
      </c>
      <c r="F165" s="235">
        <v>29691</v>
      </c>
      <c r="G165" s="238">
        <f t="shared" si="14"/>
        <v>6</v>
      </c>
      <c r="H165" s="99">
        <f>G165+'6'!H165</f>
        <v>45</v>
      </c>
      <c r="I165" s="236"/>
      <c r="J165" s="239">
        <f>H165/DAY(B2)</f>
        <v>6.4285714285714288</v>
      </c>
    </row>
    <row r="166" spans="1:10" ht="25.5" customHeight="1" x14ac:dyDescent="0.5">
      <c r="A166" s="882"/>
      <c r="B166" s="882"/>
      <c r="C166" s="246"/>
      <c r="D166" s="244" t="s">
        <v>180</v>
      </c>
      <c r="E166" s="95">
        <f>'6'!F166</f>
        <v>0</v>
      </c>
      <c r="F166" s="165"/>
      <c r="G166" s="165"/>
      <c r="H166" s="99">
        <f>G166+'6'!H166</f>
        <v>0</v>
      </c>
      <c r="I166" s="165"/>
      <c r="J166" s="239">
        <f>H166/DAY(B2)</f>
        <v>0</v>
      </c>
    </row>
    <row r="167" spans="1:10" ht="29.25" x14ac:dyDescent="0.5">
      <c r="A167" s="882"/>
      <c r="B167" s="882"/>
      <c r="C167" s="246"/>
      <c r="D167" s="244" t="s">
        <v>180</v>
      </c>
      <c r="E167" s="95">
        <f>'6'!F167</f>
        <v>0</v>
      </c>
      <c r="F167" s="165"/>
      <c r="G167" s="165"/>
      <c r="H167" s="99">
        <f>G167+'6'!H167</f>
        <v>0</v>
      </c>
      <c r="I167" s="165"/>
      <c r="J167" s="239">
        <f>H167/DAY(B2)</f>
        <v>0</v>
      </c>
    </row>
    <row r="168" spans="1:10" ht="29.25" x14ac:dyDescent="0.5">
      <c r="A168" s="882"/>
      <c r="B168" s="882"/>
      <c r="C168" s="246"/>
      <c r="D168" s="244" t="s">
        <v>180</v>
      </c>
      <c r="E168" s="95">
        <f>'6'!F168</f>
        <v>0</v>
      </c>
      <c r="F168" s="165"/>
      <c r="G168" s="165"/>
      <c r="H168" s="99">
        <f>G168+'6'!H168</f>
        <v>0</v>
      </c>
      <c r="I168" s="165"/>
      <c r="J168" s="239">
        <f>H168/DAY(B2)</f>
        <v>0</v>
      </c>
    </row>
    <row r="169" spans="1:10" ht="29.25" x14ac:dyDescent="0.5"/>
    <row r="170" spans="1:10" ht="29.25" x14ac:dyDescent="0.5"/>
    <row r="171" spans="1:10" ht="31.5" x14ac:dyDescent="0.35">
      <c r="A171" s="890" t="s">
        <v>330</v>
      </c>
      <c r="B171" s="891"/>
      <c r="C171" s="891"/>
      <c r="D171" s="891"/>
      <c r="E171" s="891"/>
      <c r="F171" s="891"/>
      <c r="G171" s="891"/>
      <c r="H171" s="891"/>
      <c r="I171" s="891"/>
      <c r="J171" s="892"/>
    </row>
    <row r="172" spans="1:10" ht="27.75" x14ac:dyDescent="0.5">
      <c r="A172" s="886"/>
      <c r="B172" s="887"/>
      <c r="C172" s="332"/>
      <c r="D172" s="228"/>
      <c r="E172" s="155"/>
      <c r="F172" s="155"/>
      <c r="G172" s="155"/>
      <c r="H172" s="156"/>
      <c r="I172" s="155"/>
      <c r="J172" s="178"/>
    </row>
    <row r="173" spans="1:10" ht="27.75" x14ac:dyDescent="0.5">
      <c r="A173" s="840" t="s">
        <v>209</v>
      </c>
      <c r="B173" s="841"/>
      <c r="C173" s="333"/>
      <c r="D173" s="228" t="s">
        <v>142</v>
      </c>
      <c r="E173" s="95">
        <f>'6'!F173</f>
        <v>8126</v>
      </c>
      <c r="F173" s="155">
        <v>8126</v>
      </c>
      <c r="G173" s="155">
        <f>F173-E173</f>
        <v>0</v>
      </c>
      <c r="H173" s="99">
        <f>G173+'6'!H173</f>
        <v>0</v>
      </c>
      <c r="I173" s="155"/>
      <c r="J173" s="178">
        <f>H173/DAY(B2)</f>
        <v>0</v>
      </c>
    </row>
    <row r="174" spans="1:10" ht="27.75" x14ac:dyDescent="0.5">
      <c r="A174" s="840" t="s">
        <v>75</v>
      </c>
      <c r="B174" s="841"/>
      <c r="C174" s="333"/>
      <c r="D174" s="228" t="s">
        <v>142</v>
      </c>
      <c r="E174" s="95">
        <f>'6'!F174</f>
        <v>38347</v>
      </c>
      <c r="F174" s="157">
        <v>38358</v>
      </c>
      <c r="G174" s="155">
        <f t="shared" ref="G174:G175" si="15">F174-E174</f>
        <v>11</v>
      </c>
      <c r="H174" s="99">
        <f>G174+'6'!H174</f>
        <v>65</v>
      </c>
      <c r="I174" s="155"/>
      <c r="J174" s="178">
        <f>H174/DAY(B2)</f>
        <v>9.2857142857142865</v>
      </c>
    </row>
    <row r="175" spans="1:10" ht="27.75" x14ac:dyDescent="0.5">
      <c r="A175" s="840" t="s">
        <v>76</v>
      </c>
      <c r="B175" s="845"/>
      <c r="C175" s="841"/>
      <c r="D175" s="228" t="s">
        <v>142</v>
      </c>
      <c r="E175" s="95">
        <f>'6'!F175</f>
        <v>21576</v>
      </c>
      <c r="F175" s="155">
        <v>21587</v>
      </c>
      <c r="G175" s="155">
        <f t="shared" si="15"/>
        <v>11</v>
      </c>
      <c r="H175" s="99">
        <f>G175+'6'!H175</f>
        <v>69</v>
      </c>
      <c r="I175" s="155"/>
      <c r="J175" s="178">
        <f>H175/DAY(B2)</f>
        <v>9.8571428571428577</v>
      </c>
    </row>
    <row r="176" spans="1:10" ht="27.75" x14ac:dyDescent="0.5">
      <c r="A176" s="592" t="s">
        <v>196</v>
      </c>
      <c r="B176" s="593"/>
      <c r="C176" s="333"/>
      <c r="D176" s="228" t="s">
        <v>142</v>
      </c>
      <c r="E176" s="95"/>
      <c r="F176" s="155"/>
      <c r="G176" s="155">
        <f>SUM(G173:G175)</f>
        <v>22</v>
      </c>
      <c r="H176" s="99">
        <f>G176+'6'!H176</f>
        <v>134</v>
      </c>
      <c r="I176" s="155"/>
      <c r="J176" s="178">
        <f>H176/DAY(B2)</f>
        <v>19.142857142857142</v>
      </c>
    </row>
    <row r="177" spans="1:10" ht="27.75" x14ac:dyDescent="0.5">
      <c r="A177" s="840" t="s">
        <v>77</v>
      </c>
      <c r="B177" s="841"/>
      <c r="C177" s="333"/>
      <c r="D177" s="228" t="s">
        <v>142</v>
      </c>
      <c r="E177" s="95"/>
      <c r="F177" s="155"/>
      <c r="G177" s="155"/>
      <c r="H177" s="99">
        <f>G177+'6'!H177</f>
        <v>0</v>
      </c>
      <c r="I177" s="155"/>
      <c r="J177" s="178">
        <f>H177/DAY(B2)</f>
        <v>0</v>
      </c>
    </row>
    <row r="178" spans="1:10" ht="27.75" x14ac:dyDescent="0.5">
      <c r="A178" s="840" t="s">
        <v>210</v>
      </c>
      <c r="B178" s="841"/>
      <c r="C178" s="333"/>
      <c r="D178" s="228" t="s">
        <v>142</v>
      </c>
      <c r="E178" s="95">
        <f>'6'!F178</f>
        <v>80046</v>
      </c>
      <c r="F178" s="155">
        <v>80108</v>
      </c>
      <c r="G178" s="155">
        <f>F178-E178</f>
        <v>62</v>
      </c>
      <c r="H178" s="99">
        <f>G178+'6'!H178</f>
        <v>494</v>
      </c>
      <c r="I178" s="155"/>
      <c r="J178" s="178">
        <f>H178/DAY(B2)</f>
        <v>70.571428571428569</v>
      </c>
    </row>
    <row r="179" spans="1:10" ht="27.75" x14ac:dyDescent="0.5">
      <c r="A179" s="840" t="s">
        <v>211</v>
      </c>
      <c r="B179" s="841"/>
      <c r="C179" s="333"/>
      <c r="D179" s="228" t="s">
        <v>142</v>
      </c>
      <c r="E179" s="95">
        <f>'6'!F179</f>
        <v>34029</v>
      </c>
      <c r="F179" s="155">
        <v>34038</v>
      </c>
      <c r="G179" s="155">
        <f t="shared" ref="G179:G180" si="16">F179-E179</f>
        <v>9</v>
      </c>
      <c r="H179" s="99">
        <f>G179+'6'!H179</f>
        <v>123</v>
      </c>
      <c r="I179" s="155"/>
      <c r="J179" s="178">
        <f>H179/DAY(B2)</f>
        <v>17.571428571428573</v>
      </c>
    </row>
    <row r="180" spans="1:10" ht="27.75" x14ac:dyDescent="0.5">
      <c r="A180" s="840" t="s">
        <v>212</v>
      </c>
      <c r="B180" s="841"/>
      <c r="C180" s="333"/>
      <c r="D180" s="228" t="s">
        <v>142</v>
      </c>
      <c r="E180" s="95">
        <f>'6'!F180</f>
        <v>5525</v>
      </c>
      <c r="F180" s="155">
        <v>5528</v>
      </c>
      <c r="G180" s="155">
        <f t="shared" si="16"/>
        <v>3</v>
      </c>
      <c r="H180" s="99">
        <f>G180+'6'!H180</f>
        <v>51</v>
      </c>
      <c r="I180" s="155"/>
      <c r="J180" s="178">
        <f>H180/DAY(B2)</f>
        <v>7.2857142857142856</v>
      </c>
    </row>
    <row r="181" spans="1:10" ht="27.75" x14ac:dyDescent="0.5">
      <c r="A181" s="884" t="s">
        <v>108</v>
      </c>
      <c r="B181" s="885"/>
      <c r="C181" s="333"/>
      <c r="D181" s="228" t="s">
        <v>142</v>
      </c>
      <c r="E181" s="95"/>
      <c r="F181" s="155"/>
      <c r="G181" s="155">
        <f>SUM(G178:G180)</f>
        <v>74</v>
      </c>
      <c r="H181" s="99">
        <f>G181+'6'!H181</f>
        <v>668</v>
      </c>
      <c r="I181" s="155"/>
      <c r="J181" s="178">
        <f>H181/DAY(B2)</f>
        <v>95.428571428571431</v>
      </c>
    </row>
    <row r="182" spans="1:10" ht="27.75" x14ac:dyDescent="0.5">
      <c r="A182" s="840" t="s">
        <v>213</v>
      </c>
      <c r="B182" s="841"/>
      <c r="C182" s="333"/>
      <c r="D182" s="228" t="s">
        <v>142</v>
      </c>
      <c r="E182" s="95"/>
      <c r="F182" s="155"/>
      <c r="G182" s="155"/>
      <c r="H182" s="99">
        <f>G182+'6'!H182</f>
        <v>0</v>
      </c>
      <c r="I182" s="155"/>
      <c r="J182" s="178">
        <f>H182/DAY(B2)</f>
        <v>0</v>
      </c>
    </row>
    <row r="183" spans="1:10" ht="27.75" x14ac:dyDescent="0.5">
      <c r="A183" s="840" t="s">
        <v>214</v>
      </c>
      <c r="B183" s="841"/>
      <c r="C183" s="334"/>
      <c r="D183" s="228" t="s">
        <v>142</v>
      </c>
      <c r="E183" s="95">
        <f>'6'!F183</f>
        <v>15047</v>
      </c>
      <c r="F183" s="157">
        <v>15055</v>
      </c>
      <c r="G183" s="157">
        <f>F183-E183</f>
        <v>8</v>
      </c>
      <c r="H183" s="99">
        <f>G183+'6'!H183</f>
        <v>108</v>
      </c>
      <c r="I183" s="155"/>
      <c r="J183" s="178">
        <f>H183/DAY(B2)</f>
        <v>15.428571428571429</v>
      </c>
    </row>
    <row r="184" spans="1:10" ht="27.75" x14ac:dyDescent="0.5">
      <c r="A184" s="840" t="s">
        <v>215</v>
      </c>
      <c r="B184" s="841"/>
      <c r="C184" s="334"/>
      <c r="D184" s="228" t="s">
        <v>142</v>
      </c>
      <c r="E184" s="95">
        <f>'6'!F184</f>
        <v>10345</v>
      </c>
      <c r="F184" s="157">
        <v>10349</v>
      </c>
      <c r="G184" s="157">
        <f t="shared" ref="G184:G185" si="17">F184-E184</f>
        <v>4</v>
      </c>
      <c r="H184" s="99">
        <f>G184+'6'!H184</f>
        <v>48</v>
      </c>
      <c r="I184" s="155"/>
      <c r="J184" s="178">
        <f>H184/DAY(B2)</f>
        <v>6.8571428571428568</v>
      </c>
    </row>
    <row r="185" spans="1:10" ht="27.75" x14ac:dyDescent="0.5">
      <c r="A185" s="840" t="s">
        <v>216</v>
      </c>
      <c r="B185" s="841"/>
      <c r="C185" s="334"/>
      <c r="D185" s="228" t="s">
        <v>142</v>
      </c>
      <c r="E185" s="95">
        <f>'6'!F185</f>
        <v>0</v>
      </c>
      <c r="F185" s="157"/>
      <c r="G185" s="157">
        <f t="shared" si="17"/>
        <v>0</v>
      </c>
      <c r="H185" s="99">
        <f>G185+'6'!H185</f>
        <v>0</v>
      </c>
      <c r="I185" s="155"/>
      <c r="J185" s="178">
        <f>H185/DAY(B2)</f>
        <v>0</v>
      </c>
    </row>
    <row r="186" spans="1:10" ht="27.75" x14ac:dyDescent="0.5">
      <c r="A186" s="879" t="s">
        <v>196</v>
      </c>
      <c r="B186" s="880"/>
      <c r="C186" s="334"/>
      <c r="D186" s="228" t="s">
        <v>142</v>
      </c>
      <c r="E186" s="95"/>
      <c r="F186" s="157"/>
      <c r="G186" s="157">
        <f>SUM(G183:G185)</f>
        <v>12</v>
      </c>
      <c r="H186" s="99">
        <f>G186+'6'!H186</f>
        <v>156</v>
      </c>
      <c r="I186" s="157"/>
      <c r="J186" s="178">
        <f>H186/DAY(B2)</f>
        <v>22.285714285714285</v>
      </c>
    </row>
    <row r="187" spans="1:10" ht="27.75" x14ac:dyDescent="0.5">
      <c r="A187" s="888" t="s">
        <v>217</v>
      </c>
      <c r="B187" s="889"/>
      <c r="C187" s="333"/>
      <c r="D187" s="228" t="s">
        <v>142</v>
      </c>
      <c r="E187" s="95"/>
      <c r="F187" s="159"/>
      <c r="G187" s="462">
        <f>G62+G19</f>
        <v>111</v>
      </c>
      <c r="H187" s="99">
        <f>G187+'6'!H187</f>
        <v>718</v>
      </c>
      <c r="I187" s="158"/>
      <c r="J187" s="179">
        <f>H187/DAY(B2)</f>
        <v>102.57142857142857</v>
      </c>
    </row>
    <row r="188" spans="1:10" ht="27.75" x14ac:dyDescent="0.5">
      <c r="A188" s="888" t="s">
        <v>218</v>
      </c>
      <c r="B188" s="889"/>
      <c r="C188" s="333"/>
      <c r="D188" s="230" t="s">
        <v>142</v>
      </c>
      <c r="E188" s="95"/>
      <c r="F188" s="159"/>
      <c r="G188" s="462">
        <f>G65+G66+G67+G69+G70</f>
        <v>135</v>
      </c>
      <c r="H188" s="99">
        <f>G188+'6'!H188</f>
        <v>988</v>
      </c>
      <c r="I188" s="158"/>
      <c r="J188" s="179">
        <f>H188/DAY(B2)</f>
        <v>141.14285714285714</v>
      </c>
    </row>
    <row r="189" spans="1:10" ht="27.75" x14ac:dyDescent="0.5">
      <c r="A189" s="888" t="s">
        <v>219</v>
      </c>
      <c r="B189" s="889"/>
      <c r="C189" s="333"/>
      <c r="D189" s="230" t="s">
        <v>142</v>
      </c>
      <c r="E189" s="95"/>
      <c r="F189" s="157"/>
      <c r="G189" s="459">
        <f>G181</f>
        <v>74</v>
      </c>
      <c r="H189" s="99">
        <f>G189+'6'!H189</f>
        <v>668</v>
      </c>
      <c r="I189" s="158"/>
      <c r="J189" s="179">
        <f>H189/DAY(B2)</f>
        <v>95.428571428571431</v>
      </c>
    </row>
    <row r="190" spans="1:10" ht="27.75" x14ac:dyDescent="0.5">
      <c r="A190" s="811"/>
      <c r="B190" s="812"/>
      <c r="C190" s="475"/>
      <c r="D190" s="480"/>
      <c r="E190" s="480" t="s">
        <v>207</v>
      </c>
      <c r="F190" s="480"/>
      <c r="G190" s="480"/>
      <c r="H190" s="481"/>
      <c r="I190" s="480"/>
      <c r="J190" s="482"/>
    </row>
    <row r="191" spans="1:10" ht="29.25" x14ac:dyDescent="0.5"/>
    <row r="192" spans="1:10" ht="29.25" x14ac:dyDescent="0.5"/>
    <row r="193" ht="29.25" x14ac:dyDescent="0.5"/>
    <row r="194" ht="29.25" x14ac:dyDescent="0.5"/>
    <row r="195" ht="29.25" x14ac:dyDescent="0.5"/>
    <row r="196" ht="29.25" x14ac:dyDescent="0.5"/>
    <row r="197" ht="29.25" x14ac:dyDescent="0.5"/>
    <row r="198" ht="29.25" x14ac:dyDescent="0.5"/>
    <row r="199" ht="29.25" x14ac:dyDescent="0.5"/>
    <row r="200" ht="29.25" x14ac:dyDescent="0.5"/>
    <row r="201" ht="29.25" x14ac:dyDescent="0.5"/>
    <row r="202" ht="29.25" x14ac:dyDescent="0.5"/>
    <row r="203" ht="29.25" x14ac:dyDescent="0.5"/>
    <row r="204" ht="29.25" x14ac:dyDescent="0.5"/>
    <row r="205" ht="29.25" x14ac:dyDescent="0.5"/>
    <row r="206" ht="29.25" x14ac:dyDescent="0.5"/>
    <row r="207" ht="29.25" x14ac:dyDescent="0.5"/>
    <row r="208" ht="29.25" x14ac:dyDescent="0.5"/>
    <row r="209" ht="29.25" x14ac:dyDescent="0.5"/>
    <row r="210" ht="29.25" x14ac:dyDescent="0.5"/>
    <row r="211" ht="29.25" x14ac:dyDescent="0.5"/>
    <row r="212" ht="29.25" x14ac:dyDescent="0.5"/>
    <row r="213" ht="29.25" x14ac:dyDescent="0.5"/>
    <row r="214" ht="29.25" x14ac:dyDescent="0.5"/>
    <row r="215" ht="29.25" x14ac:dyDescent="0.5"/>
    <row r="216" ht="29.25" x14ac:dyDescent="0.5"/>
    <row r="217" ht="29.25" x14ac:dyDescent="0.5"/>
    <row r="218" ht="29.25" x14ac:dyDescent="0.5"/>
    <row r="219" ht="29.25" x14ac:dyDescent="0.5"/>
    <row r="220" ht="29.25" x14ac:dyDescent="0.5"/>
    <row r="221" ht="29.25" x14ac:dyDescent="0.5"/>
    <row r="222" ht="29.25" x14ac:dyDescent="0.5"/>
    <row r="223" ht="29.25" x14ac:dyDescent="0.5"/>
    <row r="224" ht="29.25" x14ac:dyDescent="0.5"/>
    <row r="225" ht="29.25" x14ac:dyDescent="0.5"/>
    <row r="226" ht="29.25" x14ac:dyDescent="0.5"/>
    <row r="227" ht="29.25" x14ac:dyDescent="0.5"/>
    <row r="228" ht="29.25" x14ac:dyDescent="0.5"/>
    <row r="229" ht="29.25" x14ac:dyDescent="0.5"/>
    <row r="230" ht="29.25" x14ac:dyDescent="0.5"/>
    <row r="231" ht="29.25" x14ac:dyDescent="0.5"/>
    <row r="232" ht="29.25" x14ac:dyDescent="0.5"/>
    <row r="233" ht="29.25" x14ac:dyDescent="0.5"/>
    <row r="234" ht="29.25" x14ac:dyDescent="0.5"/>
    <row r="235" ht="29.25" x14ac:dyDescent="0.5"/>
    <row r="236" ht="29.25" x14ac:dyDescent="0.5"/>
    <row r="237" ht="29.25" x14ac:dyDescent="0.5"/>
    <row r="238" ht="29.25" x14ac:dyDescent="0.5"/>
    <row r="239" ht="29.25" x14ac:dyDescent="0.5"/>
    <row r="240" ht="29.25" x14ac:dyDescent="0.5"/>
    <row r="241" ht="29.25" x14ac:dyDescent="0.5"/>
    <row r="242" ht="29.25" x14ac:dyDescent="0.5"/>
    <row r="243" ht="29.25" x14ac:dyDescent="0.5"/>
    <row r="244" ht="29.25" x14ac:dyDescent="0.5"/>
    <row r="245" ht="29.25" x14ac:dyDescent="0.5"/>
    <row r="246" ht="29.25" x14ac:dyDescent="0.5"/>
    <row r="247" ht="29.25" x14ac:dyDescent="0.5"/>
    <row r="248" ht="29.25" x14ac:dyDescent="0.5"/>
    <row r="249" ht="29.25" x14ac:dyDescent="0.5"/>
    <row r="250" ht="29.25" x14ac:dyDescent="0.5"/>
    <row r="251" ht="29.25" x14ac:dyDescent="0.5"/>
    <row r="252" ht="29.25" x14ac:dyDescent="0.5"/>
    <row r="253" ht="29.25" x14ac:dyDescent="0.5"/>
    <row r="254" ht="29.25" x14ac:dyDescent="0.5"/>
    <row r="255" ht="29.25" x14ac:dyDescent="0.5"/>
    <row r="256" ht="29.25" x14ac:dyDescent="0.5"/>
    <row r="257" ht="29.25" x14ac:dyDescent="0.5"/>
    <row r="258" ht="29.25" x14ac:dyDescent="0.5"/>
    <row r="259" ht="29.25" x14ac:dyDescent="0.5"/>
    <row r="260" ht="29.25" x14ac:dyDescent="0.5"/>
    <row r="261" ht="29.25" x14ac:dyDescent="0.5"/>
    <row r="262" ht="29.25" x14ac:dyDescent="0.5"/>
    <row r="263" ht="29.25" x14ac:dyDescent="0.5"/>
    <row r="264" ht="29.25" x14ac:dyDescent="0.5"/>
    <row r="265" ht="29.25" x14ac:dyDescent="0.5"/>
    <row r="266" ht="29.25" x14ac:dyDescent="0.5"/>
    <row r="267" ht="29.25" x14ac:dyDescent="0.5"/>
    <row r="268" ht="29.25" x14ac:dyDescent="0.5"/>
    <row r="269" ht="29.25" x14ac:dyDescent="0.5"/>
    <row r="270" ht="29.25" x14ac:dyDescent="0.5"/>
  </sheetData>
  <mergeCells count="114">
    <mergeCell ref="A150:C150"/>
    <mergeCell ref="A151:C151"/>
    <mergeCell ref="A152:C152"/>
    <mergeCell ref="A160:J160"/>
    <mergeCell ref="A166:B166"/>
    <mergeCell ref="A134:C134"/>
    <mergeCell ref="A136:J136"/>
    <mergeCell ref="A138:C138"/>
    <mergeCell ref="A139:C139"/>
    <mergeCell ref="A154:J154"/>
    <mergeCell ref="A155:C155"/>
    <mergeCell ref="A156:C156"/>
    <mergeCell ref="A153:B153"/>
    <mergeCell ref="A135:B135"/>
    <mergeCell ref="A157:C157"/>
    <mergeCell ref="A158:C158"/>
    <mergeCell ref="A159:C159"/>
    <mergeCell ref="A190:B190"/>
    <mergeCell ref="A185:B185"/>
    <mergeCell ref="A186:B186"/>
    <mergeCell ref="A187:B187"/>
    <mergeCell ref="A188:B188"/>
    <mergeCell ref="A189:B189"/>
    <mergeCell ref="A177:B177"/>
    <mergeCell ref="A178:B178"/>
    <mergeCell ref="A179:B179"/>
    <mergeCell ref="A180:B180"/>
    <mergeCell ref="A184:B184"/>
    <mergeCell ref="A183:B183"/>
    <mergeCell ref="A182:B182"/>
    <mergeCell ref="A175:C175"/>
    <mergeCell ref="A181:B181"/>
    <mergeCell ref="A167:B167"/>
    <mergeCell ref="A168:B168"/>
    <mergeCell ref="A64:C64"/>
    <mergeCell ref="A65:C65"/>
    <mergeCell ref="Q116:R116"/>
    <mergeCell ref="A117:C117"/>
    <mergeCell ref="Q117:R117"/>
    <mergeCell ref="A118:C118"/>
    <mergeCell ref="Q118:R118"/>
    <mergeCell ref="A101:C101"/>
    <mergeCell ref="A103:C103"/>
    <mergeCell ref="A104:C104"/>
    <mergeCell ref="A105:C105"/>
    <mergeCell ref="A108:J108"/>
    <mergeCell ref="A109:B109"/>
    <mergeCell ref="A102:C102"/>
    <mergeCell ref="A110:J110"/>
    <mergeCell ref="A111:C111"/>
    <mergeCell ref="A112:C112"/>
    <mergeCell ref="A113:C113"/>
    <mergeCell ref="A114:C114"/>
    <mergeCell ref="A115:C115"/>
    <mergeCell ref="A95:C95"/>
    <mergeCell ref="A96:C96"/>
    <mergeCell ref="A93:C93"/>
    <mergeCell ref="A94:C94"/>
    <mergeCell ref="A73:C73"/>
    <mergeCell ref="A74:C74"/>
    <mergeCell ref="A75:C75"/>
    <mergeCell ref="A76:C76"/>
    <mergeCell ref="A77:C77"/>
    <mergeCell ref="A79:C79"/>
    <mergeCell ref="A80:C80"/>
    <mergeCell ref="A81:C81"/>
    <mergeCell ref="A1:J1"/>
    <mergeCell ref="A6:C6"/>
    <mergeCell ref="A14:C14"/>
    <mergeCell ref="A17:C17"/>
    <mergeCell ref="E3:F3"/>
    <mergeCell ref="A119:C119"/>
    <mergeCell ref="A123:C123"/>
    <mergeCell ref="A143:C143"/>
    <mergeCell ref="A144:C144"/>
    <mergeCell ref="A126:J126"/>
    <mergeCell ref="A127:B127"/>
    <mergeCell ref="A128:C128"/>
    <mergeCell ref="A131:C131"/>
    <mergeCell ref="A132:C132"/>
    <mergeCell ref="A133:C133"/>
    <mergeCell ref="A120:C120"/>
    <mergeCell ref="A121:C121"/>
    <mergeCell ref="A122:C122"/>
    <mergeCell ref="A124:C124"/>
    <mergeCell ref="A125:B125"/>
    <mergeCell ref="A140:C140"/>
    <mergeCell ref="A141:C141"/>
    <mergeCell ref="A142:C142"/>
    <mergeCell ref="A78:C78"/>
    <mergeCell ref="A171:J171"/>
    <mergeCell ref="A172:B172"/>
    <mergeCell ref="A173:B173"/>
    <mergeCell ref="A174:B174"/>
    <mergeCell ref="A18:C18"/>
    <mergeCell ref="A19:C19"/>
    <mergeCell ref="A21:C21"/>
    <mergeCell ref="A25:C25"/>
    <mergeCell ref="A33:C33"/>
    <mergeCell ref="A145:C145"/>
    <mergeCell ref="A146:C146"/>
    <mergeCell ref="A147:C147"/>
    <mergeCell ref="A148:C148"/>
    <mergeCell ref="A149:C149"/>
    <mergeCell ref="A97:C97"/>
    <mergeCell ref="A98:C98"/>
    <mergeCell ref="A99:C99"/>
    <mergeCell ref="A100:C100"/>
    <mergeCell ref="A61:C61"/>
    <mergeCell ref="A62:C62"/>
    <mergeCell ref="A63:C63"/>
    <mergeCell ref="A71:C71"/>
    <mergeCell ref="A72:B72"/>
    <mergeCell ref="A116:C116"/>
  </mergeCells>
  <pageMargins left="0.23622047244094491" right="0.15748031496062992" top="0.15748031496062992" bottom="0.19685039370078741" header="0.19685039370078741" footer="0.19685039370078741"/>
  <pageSetup paperSize="5" scale="18" fitToHeight="3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1:R270"/>
  <sheetViews>
    <sheetView view="pageBreakPreview" zoomScale="55" zoomScaleSheetLayoutView="55" workbookViewId="0">
      <selection activeCell="F24" sqref="F24"/>
    </sheetView>
  </sheetViews>
  <sheetFormatPr defaultColWidth="22.33203125" defaultRowHeight="21.95" customHeight="1" x14ac:dyDescent="0.5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6" width="30" style="160" customWidth="1"/>
    <col min="7" max="7" width="28.88671875" style="160" customWidth="1"/>
    <col min="8" max="8" width="39.21875" style="161" customWidth="1"/>
    <col min="9" max="9" width="23.5546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33.75" x14ac:dyDescent="0.65">
      <c r="A1" s="821" t="s">
        <v>115</v>
      </c>
      <c r="B1" s="822"/>
      <c r="C1" s="822"/>
      <c r="D1" s="822"/>
      <c r="E1" s="822"/>
      <c r="F1" s="822"/>
      <c r="G1" s="822"/>
      <c r="H1" s="822"/>
      <c r="I1" s="822"/>
      <c r="J1" s="823"/>
    </row>
    <row r="2" spans="1:15" s="57" customFormat="1" ht="27" x14ac:dyDescent="0.5">
      <c r="A2" s="191" t="s">
        <v>357</v>
      </c>
      <c r="B2" s="262">
        <v>44569</v>
      </c>
      <c r="C2" s="348" t="s">
        <v>67</v>
      </c>
      <c r="D2" s="218">
        <v>0.71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27" x14ac:dyDescent="0.5">
      <c r="A3" s="189"/>
      <c r="B3" s="221"/>
      <c r="C3" s="348" t="s">
        <v>118</v>
      </c>
      <c r="D3" s="219">
        <v>25</v>
      </c>
      <c r="E3" s="830" t="s">
        <v>119</v>
      </c>
      <c r="F3" s="831"/>
      <c r="G3" s="101"/>
      <c r="H3" s="102"/>
      <c r="I3" s="102"/>
      <c r="J3" s="222"/>
      <c r="K3" s="61"/>
      <c r="L3" s="58"/>
    </row>
    <row r="4" spans="1:15" s="57" customFormat="1" ht="27" x14ac:dyDescent="0.5">
      <c r="A4" s="192"/>
      <c r="B4" s="223"/>
      <c r="C4" s="348" t="s">
        <v>120</v>
      </c>
      <c r="D4" s="218">
        <v>0.8</v>
      </c>
      <c r="E4" s="103"/>
      <c r="F4" s="103"/>
      <c r="G4" s="103"/>
      <c r="H4" s="103"/>
      <c r="I4" s="104"/>
      <c r="J4" s="222"/>
      <c r="K4" s="62"/>
      <c r="L4" s="58"/>
    </row>
    <row r="5" spans="1:15" ht="29.25" x14ac:dyDescent="0.4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5" ht="29.25" x14ac:dyDescent="0.4">
      <c r="A6" s="824" t="s">
        <v>128</v>
      </c>
      <c r="B6" s="825"/>
      <c r="C6" s="826"/>
      <c r="D6" s="110"/>
      <c r="E6" s="110"/>
      <c r="F6" s="110"/>
      <c r="G6" s="110"/>
      <c r="H6" s="111"/>
      <c r="I6" s="111"/>
      <c r="J6" s="174"/>
      <c r="K6" s="78"/>
      <c r="L6" s="66"/>
    </row>
    <row r="7" spans="1:15" ht="30" thickBot="1" x14ac:dyDescent="0.45">
      <c r="A7" s="194" t="s">
        <v>129</v>
      </c>
      <c r="B7" s="195"/>
      <c r="C7" s="195"/>
      <c r="D7" s="151" t="s">
        <v>130</v>
      </c>
      <c r="E7" s="95">
        <f>'7'!F7</f>
        <v>233035</v>
      </c>
      <c r="F7" s="95">
        <v>252267</v>
      </c>
      <c r="G7" s="112">
        <f>F7-E7</f>
        <v>19232</v>
      </c>
      <c r="H7" s="99">
        <f>G7+'7'!H7</f>
        <v>157706</v>
      </c>
      <c r="I7" s="113">
        <f>'1'!I7</f>
        <v>12000</v>
      </c>
      <c r="J7" s="175">
        <f>H7/DAY(B2)</f>
        <v>19713.25</v>
      </c>
      <c r="K7" s="172">
        <v>1375467</v>
      </c>
      <c r="L7" s="66"/>
      <c r="N7" s="87"/>
      <c r="O7" s="71"/>
    </row>
    <row r="8" spans="1:15" ht="27.75" thickBot="1" x14ac:dyDescent="0.45">
      <c r="A8" s="196" t="s">
        <v>131</v>
      </c>
      <c r="B8" s="197"/>
      <c r="C8" s="198"/>
      <c r="D8" s="224" t="s">
        <v>24</v>
      </c>
      <c r="E8" s="95">
        <f>'7'!F8</f>
        <v>282279</v>
      </c>
      <c r="F8" s="114">
        <v>301926</v>
      </c>
      <c r="G8" s="115">
        <f>F8-E8</f>
        <v>19647</v>
      </c>
      <c r="H8" s="99">
        <f>G8+'7'!H8</f>
        <v>161041</v>
      </c>
      <c r="I8" s="116"/>
      <c r="J8" s="175">
        <f>H8/DAY(B2)</f>
        <v>20130.125</v>
      </c>
      <c r="K8" s="172">
        <v>1715917</v>
      </c>
      <c r="L8" s="76">
        <v>1728480</v>
      </c>
      <c r="M8" s="87">
        <f>L8-K8</f>
        <v>12563</v>
      </c>
      <c r="N8" s="87"/>
      <c r="O8" s="71"/>
    </row>
    <row r="9" spans="1:15" ht="29.25" x14ac:dyDescent="0.4">
      <c r="A9" s="199" t="s">
        <v>132</v>
      </c>
      <c r="B9" s="200"/>
      <c r="C9" s="200"/>
      <c r="D9" s="151" t="s">
        <v>130</v>
      </c>
      <c r="E9" s="95">
        <f>'7'!F9</f>
        <v>2345355</v>
      </c>
      <c r="F9" s="117">
        <v>2357281</v>
      </c>
      <c r="G9" s="112">
        <f>F9-E9</f>
        <v>11926</v>
      </c>
      <c r="H9" s="99">
        <f>G9+'7'!H9</f>
        <v>98505</v>
      </c>
      <c r="I9" s="124">
        <f>I7-J7</f>
        <v>-7713.25</v>
      </c>
      <c r="J9" s="175">
        <f>H9/DAY(B2)</f>
        <v>12313.125</v>
      </c>
      <c r="K9" s="79">
        <f>K8-100</f>
        <v>1715817</v>
      </c>
      <c r="L9" s="66"/>
      <c r="N9" s="87"/>
      <c r="O9" s="71"/>
    </row>
    <row r="10" spans="1:15" ht="29.25" x14ac:dyDescent="0.4">
      <c r="A10" s="194" t="s">
        <v>133</v>
      </c>
      <c r="B10" s="195"/>
      <c r="C10" s="195"/>
      <c r="D10" s="151" t="s">
        <v>130</v>
      </c>
      <c r="E10" s="95">
        <f>'7'!F10</f>
        <v>588953</v>
      </c>
      <c r="F10" s="117">
        <v>595732</v>
      </c>
      <c r="G10" s="112">
        <f t="shared" ref="G10:G12" si="0">F10-E10</f>
        <v>6779</v>
      </c>
      <c r="H10" s="99">
        <f>G10+'7'!H10</f>
        <v>54906</v>
      </c>
      <c r="I10" s="282"/>
      <c r="J10" s="175">
        <f>H10/DAY(B2)</f>
        <v>6863.25</v>
      </c>
      <c r="K10" s="79"/>
      <c r="L10" s="66"/>
      <c r="N10" s="87"/>
      <c r="O10" s="71"/>
    </row>
    <row r="11" spans="1:15" ht="29.25" x14ac:dyDescent="0.4">
      <c r="A11" s="194" t="s">
        <v>134</v>
      </c>
      <c r="B11" s="195"/>
      <c r="C11" s="195"/>
      <c r="D11" s="151" t="s">
        <v>130</v>
      </c>
      <c r="E11" s="95">
        <f>'7'!F11</f>
        <v>37000</v>
      </c>
      <c r="F11" s="95">
        <v>37000</v>
      </c>
      <c r="G11" s="112">
        <f t="shared" si="0"/>
        <v>0</v>
      </c>
      <c r="H11" s="99">
        <f>G11+'7'!H11</f>
        <v>0</v>
      </c>
      <c r="I11" s="282"/>
      <c r="J11" s="175">
        <f>H11/DAY(B2)</f>
        <v>0</v>
      </c>
      <c r="K11" s="79"/>
      <c r="L11" s="66"/>
      <c r="N11" s="87"/>
      <c r="O11" s="71"/>
    </row>
    <row r="12" spans="1:15" ht="29.25" x14ac:dyDescent="0.4">
      <c r="A12" s="194" t="s">
        <v>135</v>
      </c>
      <c r="B12" s="195"/>
      <c r="C12" s="195"/>
      <c r="D12" s="151" t="s">
        <v>130</v>
      </c>
      <c r="E12" s="95">
        <f>'7'!F12</f>
        <v>40010</v>
      </c>
      <c r="F12" s="117">
        <v>40010</v>
      </c>
      <c r="G12" s="112">
        <f t="shared" si="0"/>
        <v>0</v>
      </c>
      <c r="H12" s="99">
        <f>G12+'7'!H12</f>
        <v>0</v>
      </c>
      <c r="I12" s="282"/>
      <c r="J12" s="175">
        <f>H12/DAY(B2)</f>
        <v>0</v>
      </c>
      <c r="K12" s="79"/>
      <c r="L12" s="66"/>
      <c r="N12" s="87"/>
      <c r="O12" s="71"/>
    </row>
    <row r="13" spans="1:15" ht="29.25" x14ac:dyDescent="0.5">
      <c r="A13" s="201" t="s">
        <v>136</v>
      </c>
      <c r="B13" s="202"/>
      <c r="C13" s="202"/>
      <c r="D13" s="151"/>
      <c r="E13" s="95"/>
      <c r="F13" s="95"/>
      <c r="G13" s="119">
        <f>G9+G10+G11+G12</f>
        <v>18705</v>
      </c>
      <c r="H13" s="99">
        <f>G13+'7'!H13</f>
        <v>133945.74999999988</v>
      </c>
      <c r="I13" s="120">
        <f>G7-G13</f>
        <v>527</v>
      </c>
      <c r="J13" s="175">
        <f>H13/DAY(B2)</f>
        <v>16743.218749999985</v>
      </c>
      <c r="K13" s="79"/>
      <c r="L13" s="66"/>
      <c r="N13" s="87"/>
      <c r="O13" s="71"/>
    </row>
    <row r="14" spans="1:15" ht="29.25" x14ac:dyDescent="0.5">
      <c r="A14" s="827" t="s">
        <v>137</v>
      </c>
      <c r="B14" s="828"/>
      <c r="C14" s="829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5" ht="29.25" x14ac:dyDescent="0.5">
      <c r="A15" s="345" t="s">
        <v>138</v>
      </c>
      <c r="B15" s="205"/>
      <c r="C15" s="205"/>
      <c r="D15" s="151" t="s">
        <v>139</v>
      </c>
      <c r="E15" s="95">
        <f>'7'!F15</f>
        <v>1884767</v>
      </c>
      <c r="F15" s="123">
        <v>1885692</v>
      </c>
      <c r="G15" s="112">
        <f>(F15-E15)</f>
        <v>925</v>
      </c>
      <c r="H15" s="99">
        <f>G15+'7'!H15</f>
        <v>7262</v>
      </c>
      <c r="I15" s="113">
        <f>'1'!I15</f>
        <v>800</v>
      </c>
      <c r="J15" s="175">
        <f>H15/DAY(B2)</f>
        <v>907.75</v>
      </c>
      <c r="K15" s="79"/>
      <c r="L15" s="66"/>
      <c r="N15" s="87"/>
      <c r="O15" s="71"/>
    </row>
    <row r="16" spans="1:15" ht="29.25" x14ac:dyDescent="0.4">
      <c r="A16" s="203"/>
      <c r="B16" s="204"/>
      <c r="C16" s="204"/>
      <c r="D16" s="152"/>
      <c r="E16" s="123"/>
      <c r="F16" s="123"/>
      <c r="G16" s="112"/>
      <c r="H16" s="124"/>
      <c r="I16" s="120">
        <f>I15-J15</f>
        <v>-107.75</v>
      </c>
      <c r="J16" s="176"/>
      <c r="K16" s="79"/>
      <c r="L16" s="66"/>
      <c r="N16" s="87"/>
      <c r="O16" s="71"/>
    </row>
    <row r="17" spans="1:15" ht="29.25" x14ac:dyDescent="0.5">
      <c r="A17" s="827" t="s">
        <v>140</v>
      </c>
      <c r="B17" s="828"/>
      <c r="C17" s="829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5" ht="27.75" x14ac:dyDescent="0.5">
      <c r="A18" s="818" t="s">
        <v>141</v>
      </c>
      <c r="B18" s="819"/>
      <c r="C18" s="820"/>
      <c r="D18" s="151" t="s">
        <v>142</v>
      </c>
      <c r="E18" s="95">
        <f>'7'!F18</f>
        <v>16</v>
      </c>
      <c r="F18" s="122">
        <v>16</v>
      </c>
      <c r="G18" s="119">
        <f>F18*10</f>
        <v>160</v>
      </c>
      <c r="H18" s="99">
        <f>G18+'7'!H18</f>
        <v>1070</v>
      </c>
      <c r="I18" s="113">
        <f>'1'!I18</f>
        <v>65</v>
      </c>
      <c r="J18" s="175">
        <f>H18/DAY(B2)</f>
        <v>133.75</v>
      </c>
      <c r="K18" s="79"/>
      <c r="L18" s="66"/>
      <c r="N18" s="87"/>
      <c r="O18" s="71"/>
    </row>
    <row r="19" spans="1:15" ht="27.75" x14ac:dyDescent="0.5">
      <c r="A19" s="818" t="s">
        <v>69</v>
      </c>
      <c r="B19" s="819"/>
      <c r="C19" s="820"/>
      <c r="D19" s="151" t="s">
        <v>142</v>
      </c>
      <c r="E19" s="95">
        <f>'7'!F19</f>
        <v>152589</v>
      </c>
      <c r="F19" s="122">
        <v>152640</v>
      </c>
      <c r="G19" s="112">
        <f t="shared" ref="G19" si="1">F19-E19</f>
        <v>51</v>
      </c>
      <c r="H19" s="99">
        <f>G19+'7'!H19</f>
        <v>415</v>
      </c>
      <c r="I19" s="335"/>
      <c r="J19" s="175">
        <f>H19/DAY(B2)</f>
        <v>51.875</v>
      </c>
      <c r="K19" s="79"/>
      <c r="L19" s="66"/>
      <c r="N19" s="87"/>
      <c r="O19" s="71"/>
    </row>
    <row r="20" spans="1:15" ht="29.25" x14ac:dyDescent="0.5">
      <c r="A20" s="201" t="s">
        <v>143</v>
      </c>
      <c r="B20" s="202"/>
      <c r="C20" s="202"/>
      <c r="D20" s="126"/>
      <c r="E20" s="126"/>
      <c r="F20" s="126"/>
      <c r="G20" s="127">
        <f>G18+G19</f>
        <v>211</v>
      </c>
      <c r="H20" s="99">
        <f>G20+'7'!H20</f>
        <v>1485</v>
      </c>
      <c r="I20" s="336">
        <f>I18-J20</f>
        <v>-120.625</v>
      </c>
      <c r="J20" s="175">
        <f>H20/DAY(B2)</f>
        <v>185.625</v>
      </c>
      <c r="K20" s="79"/>
      <c r="L20" s="66"/>
      <c r="N20" s="87"/>
      <c r="O20" s="71"/>
    </row>
    <row r="21" spans="1:15" ht="29.25" x14ac:dyDescent="0.5">
      <c r="A21" s="827" t="s">
        <v>144</v>
      </c>
      <c r="B21" s="828"/>
      <c r="C21" s="829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5" ht="29.25" x14ac:dyDescent="0.5">
      <c r="A22" s="345" t="s">
        <v>145</v>
      </c>
      <c r="B22" s="205"/>
      <c r="C22" s="205"/>
      <c r="D22" s="151" t="s">
        <v>146</v>
      </c>
      <c r="E22" s="95">
        <f>'7'!F22</f>
        <v>2970</v>
      </c>
      <c r="F22" s="122">
        <v>2970</v>
      </c>
      <c r="G22" s="119">
        <f t="shared" ref="G22" si="2">(F22-E22)</f>
        <v>0</v>
      </c>
      <c r="H22" s="99">
        <f>G22+'7'!H22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29.25" x14ac:dyDescent="0.5">
      <c r="A23" s="345" t="s">
        <v>147</v>
      </c>
      <c r="B23" s="205"/>
      <c r="C23" s="205"/>
      <c r="D23" s="151" t="s">
        <v>146</v>
      </c>
      <c r="E23" s="95">
        <f>'7'!F23</f>
        <v>1500</v>
      </c>
      <c r="F23" s="122">
        <v>1500</v>
      </c>
      <c r="G23" s="119">
        <v>0</v>
      </c>
      <c r="H23" s="99">
        <f>G23+'7'!H23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5" ht="29.25" x14ac:dyDescent="0.4">
      <c r="A24" s="206" t="s">
        <v>148</v>
      </c>
      <c r="B24" s="207"/>
      <c r="C24" s="207"/>
      <c r="D24" s="146" t="s">
        <v>146</v>
      </c>
      <c r="E24" s="95">
        <f>'7'!F24</f>
        <v>4970</v>
      </c>
      <c r="F24" s="128">
        <v>4970</v>
      </c>
      <c r="G24" s="119">
        <v>0</v>
      </c>
      <c r="H24" s="99">
        <f>G24+'7'!H24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5" s="88" customFormat="1" ht="27" x14ac:dyDescent="0.35">
      <c r="A25" s="832" t="s">
        <v>149</v>
      </c>
      <c r="B25" s="833"/>
      <c r="C25" s="834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5" s="88" customFormat="1" ht="27.75" x14ac:dyDescent="0.5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/>
      <c r="I26" s="134"/>
      <c r="J26" s="175"/>
      <c r="K26" s="64"/>
      <c r="L26" s="89"/>
      <c r="N26" s="87"/>
      <c r="O26" s="71"/>
    </row>
    <row r="27" spans="1:15" s="88" customFormat="1" ht="27.75" x14ac:dyDescent="0.5">
      <c r="A27" s="208" t="s">
        <v>5</v>
      </c>
      <c r="B27" s="209"/>
      <c r="C27" s="210"/>
      <c r="D27" s="226" t="s">
        <v>24</v>
      </c>
      <c r="E27" s="135">
        <f>G8</f>
        <v>19647</v>
      </c>
      <c r="F27" s="136">
        <v>9</v>
      </c>
      <c r="G27" s="137">
        <f>E27*F27</f>
        <v>176823</v>
      </c>
      <c r="H27" s="99">
        <f>G27+'7'!H27</f>
        <v>1449369</v>
      </c>
      <c r="I27" s="138"/>
      <c r="J27" s="175">
        <f>H27/DAY(B2)</f>
        <v>181171.125</v>
      </c>
      <c r="K27" s="63"/>
      <c r="L27" s="89"/>
      <c r="N27" s="87"/>
      <c r="O27" s="71"/>
    </row>
    <row r="28" spans="1:15" s="88" customFormat="1" ht="27.75" x14ac:dyDescent="0.5">
      <c r="A28" s="208" t="s">
        <v>152</v>
      </c>
      <c r="B28" s="209"/>
      <c r="C28" s="210"/>
      <c r="D28" s="226" t="s">
        <v>153</v>
      </c>
      <c r="E28" s="139">
        <f>G15</f>
        <v>925</v>
      </c>
      <c r="F28" s="136">
        <v>52</v>
      </c>
      <c r="G28" s="137">
        <f>E28*F28</f>
        <v>48100</v>
      </c>
      <c r="H28" s="99">
        <f>G28+'7'!H28</f>
        <v>377624</v>
      </c>
      <c r="I28" s="140"/>
      <c r="J28" s="175">
        <f>H28/DAY(B2)</f>
        <v>47203</v>
      </c>
      <c r="K28" s="63"/>
      <c r="L28" s="89"/>
      <c r="N28" s="87"/>
      <c r="O28" s="71"/>
    </row>
    <row r="29" spans="1:15" s="88" customFormat="1" ht="27.75" x14ac:dyDescent="0.5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>E29*F29</f>
        <v>0</v>
      </c>
      <c r="H29" s="99">
        <f>G29+'7'!H29</f>
        <v>0</v>
      </c>
      <c r="I29" s="140"/>
      <c r="J29" s="175">
        <f>H29/DAY(B2)</f>
        <v>0</v>
      </c>
      <c r="K29" s="63"/>
      <c r="L29" s="89"/>
      <c r="N29" s="87"/>
      <c r="O29" s="71"/>
    </row>
    <row r="30" spans="1:15" s="88" customFormat="1" ht="27.75" x14ac:dyDescent="0.5">
      <c r="A30" s="208" t="s">
        <v>156</v>
      </c>
      <c r="B30" s="209"/>
      <c r="C30" s="210"/>
      <c r="D30" s="226" t="s">
        <v>157</v>
      </c>
      <c r="E30" s="141">
        <f>G19</f>
        <v>51</v>
      </c>
      <c r="F30" s="136">
        <v>146</v>
      </c>
      <c r="G30" s="137">
        <f>E30*F30</f>
        <v>7446</v>
      </c>
      <c r="H30" s="99">
        <f>G30+'7'!H30</f>
        <v>60590</v>
      </c>
      <c r="I30" s="140"/>
      <c r="J30" s="175">
        <f>H30/DAY(B2)</f>
        <v>7573.75</v>
      </c>
      <c r="K30" s="63"/>
      <c r="L30" s="89"/>
      <c r="N30" s="87"/>
      <c r="O30" s="71"/>
    </row>
    <row r="31" spans="1:15" s="88" customFormat="1" ht="27.75" x14ac:dyDescent="0.5">
      <c r="A31" s="208" t="s">
        <v>158</v>
      </c>
      <c r="B31" s="209"/>
      <c r="C31" s="210"/>
      <c r="D31" s="226" t="s">
        <v>142</v>
      </c>
      <c r="E31" s="141">
        <f>G18</f>
        <v>160</v>
      </c>
      <c r="F31" s="136">
        <v>80</v>
      </c>
      <c r="G31" s="137">
        <f>E31*F31</f>
        <v>12800</v>
      </c>
      <c r="H31" s="99">
        <f>G31+'7'!H31</f>
        <v>85600</v>
      </c>
      <c r="I31" s="140"/>
      <c r="J31" s="175">
        <f>H31/DAY(B2)</f>
        <v>10700</v>
      </c>
      <c r="K31" s="63"/>
      <c r="L31" s="89"/>
      <c r="N31" s="87"/>
      <c r="O31" s="71"/>
    </row>
    <row r="32" spans="1:15" s="88" customFormat="1" ht="27.75" x14ac:dyDescent="0.5">
      <c r="A32" s="211" t="s">
        <v>159</v>
      </c>
      <c r="B32" s="212"/>
      <c r="C32" s="213"/>
      <c r="D32" s="142"/>
      <c r="E32" s="142"/>
      <c r="F32" s="142"/>
      <c r="G32" s="143">
        <f>G27+G28+G29+G30+G31</f>
        <v>245169</v>
      </c>
      <c r="H32" s="99">
        <f>G32+'7'!H32</f>
        <v>1973183</v>
      </c>
      <c r="I32" s="144"/>
      <c r="J32" s="175">
        <f>H32/DAY(B2)</f>
        <v>246647.875</v>
      </c>
      <c r="K32" s="63"/>
      <c r="L32" s="89"/>
      <c r="N32" s="87"/>
      <c r="O32" s="71"/>
    </row>
    <row r="33" spans="1:15" ht="25.5" customHeight="1" x14ac:dyDescent="0.35">
      <c r="A33" s="835" t="s">
        <v>331</v>
      </c>
      <c r="B33" s="836"/>
      <c r="C33" s="836"/>
      <c r="D33" s="337"/>
      <c r="E33" s="337"/>
      <c r="F33" s="337"/>
      <c r="G33" s="337"/>
      <c r="H33" s="337"/>
      <c r="I33" s="337"/>
      <c r="J33" s="338"/>
      <c r="K33" s="79"/>
      <c r="L33" s="66"/>
      <c r="N33" s="87"/>
      <c r="O33" s="71"/>
    </row>
    <row r="34" spans="1:15" ht="29.25" x14ac:dyDescent="0.5">
      <c r="A34" s="214" t="s">
        <v>160</v>
      </c>
      <c r="B34" s="349"/>
      <c r="C34" s="349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29.25" x14ac:dyDescent="0.4">
      <c r="A35" s="194" t="s">
        <v>161</v>
      </c>
      <c r="B35" s="195"/>
      <c r="C35" s="195"/>
      <c r="D35" s="151" t="s">
        <v>130</v>
      </c>
      <c r="E35" s="95">
        <f>'7'!F35</f>
        <v>166246</v>
      </c>
      <c r="F35" s="145">
        <v>168042</v>
      </c>
      <c r="G35" s="112">
        <f t="shared" ref="G35:G46" si="3">F35-E35</f>
        <v>1796</v>
      </c>
      <c r="H35" s="99">
        <f>G35+'7'!H35</f>
        <v>15200</v>
      </c>
      <c r="I35" s="95"/>
      <c r="J35" s="175">
        <f>H35/DAY(B2)</f>
        <v>1900</v>
      </c>
      <c r="K35" s="79"/>
      <c r="L35" s="66"/>
      <c r="N35" s="87"/>
      <c r="O35" s="71"/>
    </row>
    <row r="36" spans="1:15" ht="29.25" x14ac:dyDescent="0.4">
      <c r="A36" s="194" t="s">
        <v>162</v>
      </c>
      <c r="B36" s="195"/>
      <c r="C36" s="195"/>
      <c r="D36" s="151" t="s">
        <v>130</v>
      </c>
      <c r="E36" s="95">
        <f>'7'!F36</f>
        <v>27229</v>
      </c>
      <c r="F36" s="145">
        <v>27971</v>
      </c>
      <c r="G36" s="112">
        <f t="shared" si="3"/>
        <v>742</v>
      </c>
      <c r="H36" s="99">
        <f>G36+'7'!H36</f>
        <v>6444</v>
      </c>
      <c r="I36" s="95"/>
      <c r="J36" s="175">
        <f>H36/DAY(B2)</f>
        <v>805.5</v>
      </c>
      <c r="K36" s="79"/>
      <c r="L36" s="66"/>
      <c r="N36" s="87"/>
      <c r="O36" s="344"/>
    </row>
    <row r="37" spans="1:15" ht="29.25" x14ac:dyDescent="0.4">
      <c r="A37" s="194" t="s">
        <v>163</v>
      </c>
      <c r="B37" s="195"/>
      <c r="C37" s="195"/>
      <c r="D37" s="151" t="s">
        <v>130</v>
      </c>
      <c r="E37" s="95">
        <f>'7'!F37</f>
        <v>206071</v>
      </c>
      <c r="F37" s="145">
        <v>207605</v>
      </c>
      <c r="G37" s="112">
        <f t="shared" si="3"/>
        <v>1534</v>
      </c>
      <c r="H37" s="99">
        <f>G37+'7'!H37</f>
        <v>12212</v>
      </c>
      <c r="I37" s="95"/>
      <c r="J37" s="175">
        <f>H37/DAY(B2)</f>
        <v>1526.5</v>
      </c>
      <c r="K37" s="79"/>
      <c r="L37" s="66"/>
      <c r="N37" s="87"/>
      <c r="O37" s="234"/>
    </row>
    <row r="38" spans="1:15" ht="29.25" x14ac:dyDescent="0.4">
      <c r="A38" s="194" t="s">
        <v>164</v>
      </c>
      <c r="B38" s="195"/>
      <c r="C38" s="195"/>
      <c r="D38" s="151" t="s">
        <v>130</v>
      </c>
      <c r="E38" s="95">
        <f>'7'!F38</f>
        <v>243967</v>
      </c>
      <c r="F38" s="108">
        <v>245682</v>
      </c>
      <c r="G38" s="112">
        <f t="shared" si="3"/>
        <v>1715</v>
      </c>
      <c r="H38" s="99">
        <f>G38+'7'!H38</f>
        <v>13200</v>
      </c>
      <c r="I38" s="95"/>
      <c r="J38" s="175">
        <f>H38/DAY(B2)</f>
        <v>1650</v>
      </c>
      <c r="K38" s="79"/>
      <c r="L38" s="66"/>
      <c r="N38" s="87"/>
      <c r="O38" s="71"/>
    </row>
    <row r="39" spans="1:15" ht="29.25" x14ac:dyDescent="0.4">
      <c r="A39" s="194" t="s">
        <v>165</v>
      </c>
      <c r="B39" s="195"/>
      <c r="C39" s="195"/>
      <c r="D39" s="151" t="s">
        <v>130</v>
      </c>
      <c r="E39" s="95">
        <f>'7'!F39</f>
        <v>430076</v>
      </c>
      <c r="F39" s="145">
        <v>432761</v>
      </c>
      <c r="G39" s="112">
        <f t="shared" si="3"/>
        <v>2685</v>
      </c>
      <c r="H39" s="99">
        <f>G39+'7'!H39</f>
        <v>21682</v>
      </c>
      <c r="I39" s="95"/>
      <c r="J39" s="175">
        <f>H39/DAY(B2)</f>
        <v>2710.25</v>
      </c>
      <c r="K39" s="79"/>
      <c r="L39" s="66"/>
      <c r="N39" s="87"/>
      <c r="O39" s="71"/>
    </row>
    <row r="40" spans="1:15" ht="29.25" x14ac:dyDescent="0.4">
      <c r="A40" s="215" t="s">
        <v>166</v>
      </c>
      <c r="B40" s="216"/>
      <c r="C40" s="216"/>
      <c r="D40" s="151" t="s">
        <v>130</v>
      </c>
      <c r="E40" s="95">
        <f>'7'!F40</f>
        <v>7301</v>
      </c>
      <c r="F40" s="145">
        <v>7863</v>
      </c>
      <c r="G40" s="112">
        <f t="shared" si="3"/>
        <v>562</v>
      </c>
      <c r="H40" s="99">
        <f>G40+'7'!H40</f>
        <v>2253</v>
      </c>
      <c r="I40" s="95"/>
      <c r="J40" s="175">
        <f>H40/DAY(B2)</f>
        <v>281.625</v>
      </c>
      <c r="K40" s="80"/>
      <c r="L40" s="66"/>
      <c r="N40" s="87"/>
      <c r="O40" s="71"/>
    </row>
    <row r="41" spans="1:15" ht="29.25" x14ac:dyDescent="0.4">
      <c r="A41" s="194" t="s">
        <v>167</v>
      </c>
      <c r="B41" s="195"/>
      <c r="C41" s="195"/>
      <c r="D41" s="151" t="s">
        <v>130</v>
      </c>
      <c r="E41" s="95">
        <f>'7'!F41</f>
        <v>0</v>
      </c>
      <c r="F41" s="145">
        <v>0</v>
      </c>
      <c r="G41" s="112">
        <f t="shared" si="3"/>
        <v>0</v>
      </c>
      <c r="H41" s="99">
        <f>G41+'7'!H41</f>
        <v>0</v>
      </c>
      <c r="I41" s="95"/>
      <c r="J41" s="175">
        <f>H41/DAY(B2)</f>
        <v>0</v>
      </c>
      <c r="K41" s="79"/>
      <c r="L41" s="66"/>
      <c r="N41" s="87"/>
      <c r="O41" s="71"/>
    </row>
    <row r="42" spans="1:15" ht="29.25" x14ac:dyDescent="0.4">
      <c r="A42" s="194" t="s">
        <v>168</v>
      </c>
      <c r="B42" s="195"/>
      <c r="C42" s="195"/>
      <c r="D42" s="151" t="s">
        <v>130</v>
      </c>
      <c r="E42" s="95">
        <f>'7'!F42</f>
        <v>73808.600000000006</v>
      </c>
      <c r="F42" s="145">
        <v>73808.600000000006</v>
      </c>
      <c r="G42" s="112">
        <f t="shared" si="3"/>
        <v>0</v>
      </c>
      <c r="H42" s="99">
        <f>G42+'7'!H42</f>
        <v>-0.39999999999417923</v>
      </c>
      <c r="I42" s="95"/>
      <c r="J42" s="175">
        <f>H42/DAY(B2)</f>
        <v>-4.9999999999272404E-2</v>
      </c>
      <c r="K42" s="79"/>
      <c r="L42" s="66"/>
      <c r="N42" s="87"/>
      <c r="O42" s="71"/>
    </row>
    <row r="43" spans="1:15" ht="29.25" x14ac:dyDescent="0.4">
      <c r="A43" s="194" t="s">
        <v>169</v>
      </c>
      <c r="B43" s="195"/>
      <c r="C43" s="195"/>
      <c r="D43" s="151" t="s">
        <v>130</v>
      </c>
      <c r="E43" s="95">
        <f>'7'!F43</f>
        <v>64212</v>
      </c>
      <c r="F43" s="145">
        <v>66382</v>
      </c>
      <c r="G43" s="112">
        <f t="shared" si="3"/>
        <v>2170</v>
      </c>
      <c r="H43" s="99">
        <f>G43+'7'!H43</f>
        <v>19121</v>
      </c>
      <c r="I43" s="95"/>
      <c r="J43" s="175">
        <f>H43/DAY(B2)</f>
        <v>2390.125</v>
      </c>
      <c r="K43" s="79"/>
      <c r="L43" s="66"/>
      <c r="N43" s="87"/>
      <c r="O43" s="71"/>
    </row>
    <row r="44" spans="1:15" ht="29.25" x14ac:dyDescent="0.4">
      <c r="A44" s="194" t="s">
        <v>170</v>
      </c>
      <c r="B44" s="195"/>
      <c r="C44" s="195"/>
      <c r="D44" s="151" t="s">
        <v>130</v>
      </c>
      <c r="E44" s="95">
        <f>'7'!F44</f>
        <v>0</v>
      </c>
      <c r="F44" s="145">
        <v>0</v>
      </c>
      <c r="G44" s="112">
        <f t="shared" si="3"/>
        <v>0</v>
      </c>
      <c r="H44" s="99">
        <f>G44+'7'!H44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29.25" x14ac:dyDescent="0.4">
      <c r="A45" s="194" t="s">
        <v>171</v>
      </c>
      <c r="B45" s="195"/>
      <c r="C45" s="195"/>
      <c r="D45" s="151" t="s">
        <v>130</v>
      </c>
      <c r="E45" s="95">
        <f>'7'!F45</f>
        <v>0</v>
      </c>
      <c r="F45" s="145">
        <v>0</v>
      </c>
      <c r="G45" s="112">
        <f t="shared" si="3"/>
        <v>0</v>
      </c>
      <c r="H45" s="99">
        <f>G45+'7'!H45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29.25" x14ac:dyDescent="0.4">
      <c r="A46" s="194" t="s">
        <v>172</v>
      </c>
      <c r="B46" s="195"/>
      <c r="C46" s="195"/>
      <c r="D46" s="151" t="s">
        <v>130</v>
      </c>
      <c r="E46" s="95">
        <f>'7'!F46</f>
        <v>0</v>
      </c>
      <c r="F46" s="145">
        <v>0</v>
      </c>
      <c r="G46" s="112">
        <f t="shared" si="3"/>
        <v>0</v>
      </c>
      <c r="H46" s="99">
        <f>G46+'7'!H46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29.25" x14ac:dyDescent="0.5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11204</v>
      </c>
      <c r="H47" s="99">
        <f>G47+'7'!H47</f>
        <v>90111.6</v>
      </c>
      <c r="I47" s="95"/>
      <c r="J47" s="175">
        <f>H47/DAY(B2)</f>
        <v>11263.95</v>
      </c>
      <c r="K47" s="79"/>
      <c r="L47" s="66"/>
      <c r="N47" s="87"/>
      <c r="O47" s="71"/>
    </row>
    <row r="48" spans="1:15" ht="29.25" x14ac:dyDescent="0.5">
      <c r="A48" s="214" t="s">
        <v>174</v>
      </c>
      <c r="B48" s="349"/>
      <c r="C48" s="349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29.25" x14ac:dyDescent="0.4">
      <c r="A49" s="194" t="s">
        <v>161</v>
      </c>
      <c r="B49" s="217"/>
      <c r="C49" s="217"/>
      <c r="D49" s="151" t="s">
        <v>130</v>
      </c>
      <c r="E49" s="95">
        <f>'7'!F49</f>
        <v>283741</v>
      </c>
      <c r="F49" s="145">
        <v>285361</v>
      </c>
      <c r="G49" s="112">
        <f t="shared" ref="G49:G58" si="4">F49-E49</f>
        <v>1620</v>
      </c>
      <c r="H49" s="99">
        <f>G49+'7'!H49</f>
        <v>13121</v>
      </c>
      <c r="I49" s="95"/>
      <c r="J49" s="175">
        <f>H49/DAY(B2)</f>
        <v>1640.125</v>
      </c>
      <c r="K49" s="79"/>
      <c r="L49" s="66"/>
      <c r="N49" s="87"/>
      <c r="O49" s="71"/>
    </row>
    <row r="50" spans="1:15" ht="29.25" x14ac:dyDescent="0.4">
      <c r="A50" s="194" t="s">
        <v>175</v>
      </c>
      <c r="B50" s="217"/>
      <c r="C50" s="217"/>
      <c r="D50" s="151" t="s">
        <v>130</v>
      </c>
      <c r="E50" s="95">
        <f>'7'!F50</f>
        <v>32102</v>
      </c>
      <c r="F50" s="145">
        <v>33076</v>
      </c>
      <c r="G50" s="112">
        <f t="shared" si="4"/>
        <v>974</v>
      </c>
      <c r="H50" s="99">
        <f>G50+'7'!H50</f>
        <v>8426</v>
      </c>
      <c r="I50" s="95"/>
      <c r="J50" s="175">
        <f>H50/DAY(B2)</f>
        <v>1053.25</v>
      </c>
      <c r="K50" s="79"/>
      <c r="L50" s="66"/>
      <c r="N50" s="87"/>
      <c r="O50" s="71"/>
    </row>
    <row r="51" spans="1:15" ht="29.25" x14ac:dyDescent="0.4">
      <c r="A51" s="194" t="s">
        <v>163</v>
      </c>
      <c r="B51" s="217"/>
      <c r="C51" s="217"/>
      <c r="D51" s="151" t="s">
        <v>130</v>
      </c>
      <c r="E51" s="95">
        <f>'7'!F51</f>
        <v>0</v>
      </c>
      <c r="F51" s="145">
        <v>0</v>
      </c>
      <c r="G51" s="112">
        <f t="shared" si="4"/>
        <v>0</v>
      </c>
      <c r="H51" s="99">
        <f>G51+'7'!H51</f>
        <v>0</v>
      </c>
      <c r="I51" s="95"/>
      <c r="J51" s="175">
        <f>H51/DAY(B2)</f>
        <v>0</v>
      </c>
      <c r="K51" s="79"/>
      <c r="L51" s="66"/>
      <c r="N51" s="87"/>
      <c r="O51" s="71"/>
    </row>
    <row r="52" spans="1:15" ht="29.25" x14ac:dyDescent="0.4">
      <c r="A52" s="194" t="s">
        <v>176</v>
      </c>
      <c r="B52" s="217"/>
      <c r="C52" s="217"/>
      <c r="D52" s="151" t="s">
        <v>130</v>
      </c>
      <c r="E52" s="95">
        <f>'7'!F52</f>
        <v>0</v>
      </c>
      <c r="F52" s="145">
        <v>0</v>
      </c>
      <c r="G52" s="112">
        <f t="shared" si="4"/>
        <v>0</v>
      </c>
      <c r="H52" s="99">
        <f>G52+'7'!H52</f>
        <v>0</v>
      </c>
      <c r="I52" s="95"/>
      <c r="J52" s="175">
        <f>H52/DAY(B2)</f>
        <v>0</v>
      </c>
      <c r="K52" s="79"/>
      <c r="L52" s="66"/>
      <c r="N52" s="87"/>
      <c r="O52" s="71"/>
    </row>
    <row r="53" spans="1:15" ht="29.25" x14ac:dyDescent="0.4">
      <c r="A53" s="194" t="s">
        <v>165</v>
      </c>
      <c r="B53" s="217"/>
      <c r="C53" s="217"/>
      <c r="D53" s="151" t="s">
        <v>130</v>
      </c>
      <c r="E53" s="95">
        <f>'7'!F53</f>
        <v>0</v>
      </c>
      <c r="F53" s="145">
        <v>0</v>
      </c>
      <c r="G53" s="112">
        <f t="shared" si="4"/>
        <v>0</v>
      </c>
      <c r="H53" s="99">
        <f>G53+'7'!H53</f>
        <v>0</v>
      </c>
      <c r="I53" s="95"/>
      <c r="J53" s="175">
        <f>H53/DAY(B2)</f>
        <v>0</v>
      </c>
      <c r="K53" s="79"/>
      <c r="L53" s="66"/>
      <c r="N53" s="87"/>
      <c r="O53" s="71"/>
    </row>
    <row r="54" spans="1:15" ht="29.25" x14ac:dyDescent="0.4">
      <c r="A54" s="194" t="s">
        <v>177</v>
      </c>
      <c r="B54" s="217"/>
      <c r="C54" s="217"/>
      <c r="D54" s="151" t="s">
        <v>130</v>
      </c>
      <c r="E54" s="95">
        <f>'7'!F54</f>
        <v>1599</v>
      </c>
      <c r="F54" s="145">
        <v>2065</v>
      </c>
      <c r="G54" s="112">
        <f t="shared" si="4"/>
        <v>466</v>
      </c>
      <c r="H54" s="99">
        <f>G54+'7'!H54</f>
        <v>2079.08</v>
      </c>
      <c r="I54" s="95"/>
      <c r="J54" s="175">
        <f>H54/DAY(B2)</f>
        <v>259.88499999999999</v>
      </c>
      <c r="K54" s="79"/>
      <c r="L54" s="66"/>
      <c r="N54" s="87"/>
      <c r="O54" s="71"/>
    </row>
    <row r="55" spans="1:15" ht="29.25" x14ac:dyDescent="0.4">
      <c r="A55" s="194" t="s">
        <v>178</v>
      </c>
      <c r="B55" s="217"/>
      <c r="C55" s="217"/>
      <c r="D55" s="151" t="s">
        <v>130</v>
      </c>
      <c r="E55" s="95">
        <f>'7'!F55</f>
        <v>25279</v>
      </c>
      <c r="F55" s="145">
        <v>28469</v>
      </c>
      <c r="G55" s="112">
        <f t="shared" si="4"/>
        <v>3190</v>
      </c>
      <c r="H55" s="99">
        <f>G55+'7'!H55</f>
        <v>24958</v>
      </c>
      <c r="I55" s="95"/>
      <c r="J55" s="175">
        <f>H55/DAY(B2)</f>
        <v>3119.75</v>
      </c>
      <c r="K55" s="79"/>
      <c r="L55" s="66"/>
      <c r="N55" s="87"/>
      <c r="O55" s="71"/>
    </row>
    <row r="56" spans="1:15" ht="29.25" x14ac:dyDescent="0.4">
      <c r="A56" s="194" t="s">
        <v>179</v>
      </c>
      <c r="B56" s="217"/>
      <c r="C56" s="217"/>
      <c r="D56" s="151" t="s">
        <v>180</v>
      </c>
      <c r="E56" s="95">
        <f>'7'!F56</f>
        <v>8610.5400000000009</v>
      </c>
      <c r="F56" s="145">
        <v>8610.5400000000009</v>
      </c>
      <c r="G56" s="112">
        <f t="shared" si="4"/>
        <v>0</v>
      </c>
      <c r="H56" s="99">
        <f>G56+'7'!H56</f>
        <v>0</v>
      </c>
      <c r="I56" s="95"/>
      <c r="J56" s="175">
        <f>H56/DAY(B2)</f>
        <v>0</v>
      </c>
      <c r="K56" s="78"/>
      <c r="L56" s="66"/>
      <c r="N56" s="87"/>
      <c r="O56" s="71"/>
    </row>
    <row r="57" spans="1:15" ht="29.25" x14ac:dyDescent="0.4">
      <c r="A57" s="194" t="s">
        <v>169</v>
      </c>
      <c r="B57" s="217"/>
      <c r="C57" s="217"/>
      <c r="D57" s="151" t="s">
        <v>130</v>
      </c>
      <c r="E57" s="95">
        <f>'7'!F57</f>
        <v>0</v>
      </c>
      <c r="F57" s="145">
        <v>0</v>
      </c>
      <c r="G57" s="112">
        <f t="shared" si="4"/>
        <v>0</v>
      </c>
      <c r="H57" s="99">
        <f>G57+'7'!H57</f>
        <v>0</v>
      </c>
      <c r="I57" s="95"/>
      <c r="J57" s="175">
        <f>H57/DAY(B2)</f>
        <v>0</v>
      </c>
      <c r="K57" s="79"/>
      <c r="L57" s="66"/>
      <c r="N57" s="87"/>
      <c r="O57" s="71"/>
    </row>
    <row r="58" spans="1:15" ht="29.25" x14ac:dyDescent="0.4">
      <c r="A58" s="194" t="s">
        <v>181</v>
      </c>
      <c r="B58" s="217"/>
      <c r="C58" s="217"/>
      <c r="D58" s="151" t="s">
        <v>130</v>
      </c>
      <c r="E58" s="95">
        <f>'7'!F58</f>
        <v>653</v>
      </c>
      <c r="F58" s="145">
        <v>834</v>
      </c>
      <c r="G58" s="112">
        <f t="shared" si="4"/>
        <v>181</v>
      </c>
      <c r="H58" s="99">
        <f>G58+'7'!H58</f>
        <v>1174.6300000000047</v>
      </c>
      <c r="I58" s="95"/>
      <c r="J58" s="175">
        <f>H58/DAY(B2)</f>
        <v>146.82875000000058</v>
      </c>
      <c r="K58" s="79"/>
      <c r="L58" s="66"/>
      <c r="N58" s="87"/>
      <c r="O58" s="71"/>
    </row>
    <row r="59" spans="1:15" ht="29.25" x14ac:dyDescent="0.5">
      <c r="A59" s="201" t="s">
        <v>173</v>
      </c>
      <c r="B59" s="202"/>
      <c r="C59" s="202"/>
      <c r="D59" s="146"/>
      <c r="E59" s="146"/>
      <c r="F59" s="146"/>
      <c r="G59" s="119">
        <f>G49+G50+G51+G52+G53+G54+G55+G56+G57+G58</f>
        <v>6431</v>
      </c>
      <c r="H59" s="99">
        <f>G59+'7'!H59</f>
        <v>49758.710000000006</v>
      </c>
      <c r="I59" s="95">
        <f>G7-G60</f>
        <v>1597</v>
      </c>
      <c r="J59" s="175">
        <f>H59/DAY(B2)</f>
        <v>6219.8387500000008</v>
      </c>
      <c r="K59" s="79"/>
      <c r="L59" s="66"/>
      <c r="N59" s="87"/>
      <c r="O59" s="71"/>
    </row>
    <row r="60" spans="1:15" ht="29.25" x14ac:dyDescent="0.4">
      <c r="A60" s="194"/>
      <c r="B60" s="195"/>
      <c r="C60" s="195"/>
      <c r="D60" s="146" t="s">
        <v>182</v>
      </c>
      <c r="E60" s="146"/>
      <c r="F60" s="146"/>
      <c r="G60" s="119">
        <f>G47+G59</f>
        <v>17635</v>
      </c>
      <c r="H60" s="99">
        <f>G60+'7'!H60</f>
        <v>139870.31</v>
      </c>
      <c r="I60" s="95">
        <f>G13-G60</f>
        <v>1070</v>
      </c>
      <c r="J60" s="175">
        <f>H60/DAY(B2)</f>
        <v>17483.78875</v>
      </c>
      <c r="K60" s="79"/>
      <c r="L60" s="66"/>
      <c r="N60" s="87"/>
      <c r="O60" s="71"/>
    </row>
    <row r="61" spans="1:15" s="68" customFormat="1" ht="27.75" x14ac:dyDescent="0.5">
      <c r="A61" s="837" t="s">
        <v>332</v>
      </c>
      <c r="B61" s="838"/>
      <c r="C61" s="839"/>
      <c r="D61" s="339"/>
      <c r="E61" s="339"/>
      <c r="F61" s="339"/>
      <c r="G61" s="340"/>
      <c r="H61" s="339"/>
      <c r="I61" s="339"/>
      <c r="J61" s="341"/>
      <c r="K61" s="69"/>
      <c r="L61" s="67"/>
      <c r="N61" s="87"/>
      <c r="O61" s="71"/>
    </row>
    <row r="62" spans="1:15" ht="27.75" x14ac:dyDescent="0.5">
      <c r="A62" s="818" t="s">
        <v>198</v>
      </c>
      <c r="B62" s="819"/>
      <c r="C62" s="820"/>
      <c r="D62" s="151" t="s">
        <v>142</v>
      </c>
      <c r="E62" s="95">
        <f>'7'!F62</f>
        <v>267567</v>
      </c>
      <c r="F62" s="122">
        <v>267670</v>
      </c>
      <c r="G62" s="112">
        <f t="shared" ref="G62:G63" si="5">F62-E62</f>
        <v>103</v>
      </c>
      <c r="H62" s="99">
        <f>G62+'7'!H62</f>
        <v>457</v>
      </c>
      <c r="I62" s="118"/>
      <c r="J62" s="175">
        <f>H62/DAY(B2)</f>
        <v>57.125</v>
      </c>
      <c r="K62" s="80"/>
      <c r="L62" s="66"/>
      <c r="N62" s="87"/>
      <c r="O62" s="71"/>
    </row>
    <row r="63" spans="1:15" ht="27.75" x14ac:dyDescent="0.5">
      <c r="A63" s="818" t="s">
        <v>199</v>
      </c>
      <c r="B63" s="819"/>
      <c r="C63" s="820"/>
      <c r="D63" s="151" t="s">
        <v>142</v>
      </c>
      <c r="E63" s="95">
        <f>'7'!F63</f>
        <v>213218</v>
      </c>
      <c r="F63" s="122">
        <v>213330</v>
      </c>
      <c r="G63" s="112">
        <f t="shared" si="5"/>
        <v>112</v>
      </c>
      <c r="H63" s="99">
        <f>G63+'7'!H63</f>
        <v>905</v>
      </c>
      <c r="I63" s="118"/>
      <c r="J63" s="175">
        <f>H63/DAY(B2)</f>
        <v>113.125</v>
      </c>
      <c r="K63" s="69"/>
      <c r="L63" s="66"/>
      <c r="N63" s="87"/>
      <c r="O63" s="71"/>
    </row>
    <row r="64" spans="1:15" ht="29.25" x14ac:dyDescent="0.5">
      <c r="A64" s="815" t="s">
        <v>200</v>
      </c>
      <c r="B64" s="816"/>
      <c r="C64" s="817"/>
      <c r="D64" s="151"/>
      <c r="E64" s="95">
        <f>'7'!F64</f>
        <v>0</v>
      </c>
      <c r="F64" s="122"/>
      <c r="G64" s="112">
        <f>G62+G63</f>
        <v>215</v>
      </c>
      <c r="H64" s="99">
        <f>G64+'7'!H64</f>
        <v>1362</v>
      </c>
      <c r="I64" s="118"/>
      <c r="J64" s="175">
        <f>H64/DAY(B2)</f>
        <v>170.25</v>
      </c>
      <c r="K64" s="69"/>
      <c r="L64" s="66"/>
      <c r="N64" s="87"/>
      <c r="O64" s="71"/>
    </row>
    <row r="65" spans="1:15" ht="27.75" x14ac:dyDescent="0.5">
      <c r="A65" s="818" t="s">
        <v>201</v>
      </c>
      <c r="B65" s="819"/>
      <c r="C65" s="820"/>
      <c r="D65" s="151" t="s">
        <v>142</v>
      </c>
      <c r="E65" s="95">
        <f>'7'!F65</f>
        <v>433115</v>
      </c>
      <c r="F65" s="122">
        <v>433207</v>
      </c>
      <c r="G65" s="112">
        <f t="shared" ref="G65:G70" si="6">F65-E65</f>
        <v>92</v>
      </c>
      <c r="H65" s="99">
        <f>G65+'7'!H65</f>
        <v>593</v>
      </c>
      <c r="I65" s="118"/>
      <c r="J65" s="175">
        <f>H65/DAY(B2)</f>
        <v>74.125</v>
      </c>
      <c r="K65" s="69"/>
      <c r="L65" s="66"/>
      <c r="N65" s="87"/>
      <c r="O65" s="71"/>
    </row>
    <row r="66" spans="1:15" ht="27.75" x14ac:dyDescent="0.5">
      <c r="A66" s="345" t="s">
        <v>202</v>
      </c>
      <c r="B66" s="346"/>
      <c r="C66" s="346"/>
      <c r="D66" s="151" t="s">
        <v>142</v>
      </c>
      <c r="E66" s="95">
        <f>'7'!F66</f>
        <v>107359</v>
      </c>
      <c r="F66" s="122">
        <v>107379</v>
      </c>
      <c r="G66" s="112">
        <f t="shared" si="6"/>
        <v>20</v>
      </c>
      <c r="H66" s="99">
        <f>G66+'7'!H66</f>
        <v>165</v>
      </c>
      <c r="I66" s="118"/>
      <c r="J66" s="175">
        <f>H66/DAY(B2)</f>
        <v>20.625</v>
      </c>
      <c r="K66" s="78"/>
      <c r="L66" s="66"/>
      <c r="N66" s="87"/>
      <c r="O66" s="71"/>
    </row>
    <row r="67" spans="1:15" ht="27.75" x14ac:dyDescent="0.5">
      <c r="A67" s="345" t="s">
        <v>203</v>
      </c>
      <c r="B67" s="346"/>
      <c r="C67" s="346"/>
      <c r="D67" s="151" t="s">
        <v>142</v>
      </c>
      <c r="E67" s="95">
        <f>'7'!F67</f>
        <v>104120</v>
      </c>
      <c r="F67" s="122">
        <v>104141</v>
      </c>
      <c r="G67" s="112">
        <f t="shared" si="6"/>
        <v>21</v>
      </c>
      <c r="H67" s="99">
        <f>G67+'7'!H67</f>
        <v>213</v>
      </c>
      <c r="I67" s="118"/>
      <c r="J67" s="175">
        <f>H67/DAY(B2)</f>
        <v>26.625</v>
      </c>
      <c r="K67" s="81"/>
      <c r="L67" s="66"/>
      <c r="N67" s="87"/>
      <c r="O67" s="71"/>
    </row>
    <row r="68" spans="1:15" ht="27.75" x14ac:dyDescent="0.5">
      <c r="A68" s="345" t="s">
        <v>204</v>
      </c>
      <c r="B68" s="346"/>
      <c r="C68" s="346"/>
      <c r="D68" s="151" t="s">
        <v>142</v>
      </c>
      <c r="E68" s="95">
        <f>'7'!F68</f>
        <v>156796</v>
      </c>
      <c r="F68" s="122">
        <v>156826</v>
      </c>
      <c r="G68" s="112">
        <f t="shared" si="6"/>
        <v>30</v>
      </c>
      <c r="H68" s="99">
        <f>G68+'7'!H68</f>
        <v>206</v>
      </c>
      <c r="I68" s="118"/>
      <c r="J68" s="175">
        <f>H68/DAY(B2)</f>
        <v>25.75</v>
      </c>
      <c r="K68" s="69"/>
      <c r="L68" s="66"/>
      <c r="N68" s="87"/>
      <c r="O68" s="71"/>
    </row>
    <row r="69" spans="1:15" ht="27.75" x14ac:dyDescent="0.5">
      <c r="A69" s="345" t="s">
        <v>205</v>
      </c>
      <c r="B69" s="346"/>
      <c r="C69" s="346"/>
      <c r="D69" s="151" t="s">
        <v>142</v>
      </c>
      <c r="E69" s="95">
        <f>'7'!F69</f>
        <v>10305</v>
      </c>
      <c r="F69" s="122">
        <v>10311</v>
      </c>
      <c r="G69" s="112">
        <f t="shared" si="6"/>
        <v>6</v>
      </c>
      <c r="H69" s="99">
        <f>G69+'7'!H69</f>
        <v>97</v>
      </c>
      <c r="I69" s="118"/>
      <c r="J69" s="175">
        <f>H69/DAY(B2)</f>
        <v>12.125</v>
      </c>
      <c r="K69" s="69"/>
      <c r="L69" s="66"/>
      <c r="N69" s="87"/>
      <c r="O69" s="71"/>
    </row>
    <row r="70" spans="1:15" ht="27.75" x14ac:dyDescent="0.5">
      <c r="A70" s="345" t="s">
        <v>206</v>
      </c>
      <c r="B70" s="346"/>
      <c r="C70" s="346"/>
      <c r="D70" s="151" t="s">
        <v>142</v>
      </c>
      <c r="E70" s="95">
        <f>'7'!F70</f>
        <v>7921</v>
      </c>
      <c r="F70" s="122">
        <v>7929</v>
      </c>
      <c r="G70" s="112">
        <f t="shared" si="6"/>
        <v>8</v>
      </c>
      <c r="H70" s="99">
        <f>G70+'7'!H70</f>
        <v>67</v>
      </c>
      <c r="I70" s="118"/>
      <c r="J70" s="175">
        <f>H70/DAY(B2)</f>
        <v>8.375</v>
      </c>
      <c r="K70" s="69"/>
      <c r="L70" s="66"/>
      <c r="N70" s="87"/>
      <c r="O70" s="71"/>
    </row>
    <row r="71" spans="1:15" ht="29.25" x14ac:dyDescent="0.5">
      <c r="A71" s="815" t="s">
        <v>208</v>
      </c>
      <c r="B71" s="816"/>
      <c r="C71" s="817"/>
      <c r="D71" s="152"/>
      <c r="E71" s="152"/>
      <c r="F71" s="152"/>
      <c r="G71" s="153">
        <f>SUM(G65:G70)</f>
        <v>177</v>
      </c>
      <c r="H71" s="99">
        <f>G71+'7'!H71</f>
        <v>1341</v>
      </c>
      <c r="I71" s="154"/>
      <c r="J71" s="175">
        <f>H71/DAY(B2)</f>
        <v>167.625</v>
      </c>
      <c r="K71" s="69"/>
      <c r="L71" s="66"/>
      <c r="N71" s="87"/>
      <c r="O71" s="71"/>
    </row>
    <row r="72" spans="1:15" s="88" customFormat="1" ht="27.75" x14ac:dyDescent="0.5">
      <c r="A72" s="861"/>
      <c r="B72" s="853"/>
      <c r="C72" s="347"/>
      <c r="D72" s="180"/>
      <c r="E72" s="180" t="s">
        <v>207</v>
      </c>
      <c r="F72" s="180"/>
      <c r="G72" s="180"/>
      <c r="H72" s="181"/>
      <c r="I72" s="180"/>
      <c r="J72" s="182"/>
      <c r="N72" s="87"/>
      <c r="O72" s="71"/>
    </row>
    <row r="73" spans="1:15" ht="29.25" x14ac:dyDescent="0.5">
      <c r="A73" s="866" t="s">
        <v>333</v>
      </c>
      <c r="B73" s="867"/>
      <c r="C73" s="868"/>
      <c r="D73" s="339"/>
      <c r="E73" s="339"/>
      <c r="F73" s="339"/>
      <c r="G73" s="342"/>
      <c r="H73" s="342"/>
      <c r="I73" s="342"/>
      <c r="J73" s="343"/>
      <c r="K73" s="69"/>
      <c r="L73" s="66"/>
      <c r="N73" s="87"/>
      <c r="O73" s="71"/>
    </row>
    <row r="74" spans="1:15" ht="27.75" x14ac:dyDescent="0.5">
      <c r="A74" s="818" t="s">
        <v>220</v>
      </c>
      <c r="B74" s="819"/>
      <c r="C74" s="820"/>
      <c r="D74" s="151" t="s">
        <v>139</v>
      </c>
      <c r="E74" s="95">
        <f>'7'!F74</f>
        <v>894004</v>
      </c>
      <c r="F74" s="123">
        <v>894310</v>
      </c>
      <c r="G74" s="112">
        <f t="shared" ref="G74:G78" si="7">F74-E74</f>
        <v>306</v>
      </c>
      <c r="H74" s="99">
        <f>G74+'7'!H74</f>
        <v>2278</v>
      </c>
      <c r="I74" s="154"/>
      <c r="J74" s="175">
        <f>H74/DAY(B2)</f>
        <v>284.75</v>
      </c>
      <c r="K74" s="69"/>
      <c r="L74" s="66"/>
      <c r="N74" s="87"/>
      <c r="O74" s="71"/>
    </row>
    <row r="75" spans="1:15" ht="27.75" x14ac:dyDescent="0.5">
      <c r="A75" s="818" t="s">
        <v>221</v>
      </c>
      <c r="B75" s="819"/>
      <c r="C75" s="820"/>
      <c r="D75" s="151" t="s">
        <v>139</v>
      </c>
      <c r="E75" s="95">
        <f>'7'!F75</f>
        <v>73586.8</v>
      </c>
      <c r="F75" s="123">
        <v>73586.8</v>
      </c>
      <c r="G75" s="112">
        <f t="shared" si="7"/>
        <v>0</v>
      </c>
      <c r="H75" s="99">
        <f>G75+'7'!H75</f>
        <v>0</v>
      </c>
      <c r="I75" s="154"/>
      <c r="J75" s="175">
        <f>H75/DAY(B2)</f>
        <v>0</v>
      </c>
      <c r="K75" s="69"/>
      <c r="L75" s="66"/>
      <c r="N75" s="87"/>
      <c r="O75" s="71"/>
    </row>
    <row r="76" spans="1:15" ht="27.75" x14ac:dyDescent="0.5">
      <c r="A76" s="862" t="s">
        <v>222</v>
      </c>
      <c r="B76" s="848"/>
      <c r="C76" s="849"/>
      <c r="D76" s="151" t="s">
        <v>139</v>
      </c>
      <c r="E76" s="95">
        <f>'7'!F76</f>
        <v>167841</v>
      </c>
      <c r="F76" s="123">
        <v>167928</v>
      </c>
      <c r="G76" s="112">
        <f t="shared" si="7"/>
        <v>87</v>
      </c>
      <c r="H76" s="99">
        <f>G76+'7'!H76</f>
        <v>721</v>
      </c>
      <c r="I76" s="154"/>
      <c r="J76" s="175">
        <f>H76/DAY(B2)</f>
        <v>90.125</v>
      </c>
      <c r="K76" s="69"/>
      <c r="L76" s="66"/>
      <c r="N76" s="87"/>
      <c r="O76" s="71"/>
    </row>
    <row r="77" spans="1:15" ht="27.75" x14ac:dyDescent="0.5">
      <c r="A77" s="862" t="s">
        <v>223</v>
      </c>
      <c r="B77" s="848"/>
      <c r="C77" s="849"/>
      <c r="D77" s="151" t="s">
        <v>139</v>
      </c>
      <c r="E77" s="95">
        <f>'7'!F77</f>
        <v>40570</v>
      </c>
      <c r="F77" s="123">
        <v>40594</v>
      </c>
      <c r="G77" s="112">
        <f t="shared" si="7"/>
        <v>24</v>
      </c>
      <c r="H77" s="99">
        <f>G77+'7'!H77</f>
        <v>278</v>
      </c>
      <c r="I77" s="154"/>
      <c r="J77" s="175">
        <f>H77/DAY(B2)</f>
        <v>34.75</v>
      </c>
      <c r="K77" s="69"/>
      <c r="L77" s="66"/>
      <c r="N77" s="87"/>
      <c r="O77" s="71"/>
    </row>
    <row r="78" spans="1:15" ht="27.75" x14ac:dyDescent="0.5">
      <c r="A78" s="862" t="s">
        <v>224</v>
      </c>
      <c r="B78" s="848"/>
      <c r="C78" s="849"/>
      <c r="D78" s="151" t="s">
        <v>139</v>
      </c>
      <c r="E78" s="95">
        <f>'7'!F78</f>
        <v>9493</v>
      </c>
      <c r="F78" s="123">
        <v>9493</v>
      </c>
      <c r="G78" s="112">
        <f t="shared" si="7"/>
        <v>0</v>
      </c>
      <c r="H78" s="99">
        <f>G78+'7'!H78</f>
        <v>7</v>
      </c>
      <c r="I78" s="118"/>
      <c r="J78" s="175">
        <f>H78/DAY(B2)</f>
        <v>0.875</v>
      </c>
      <c r="K78" s="69"/>
      <c r="L78" s="66"/>
      <c r="N78" s="87"/>
      <c r="O78" s="71"/>
    </row>
    <row r="79" spans="1:15" s="57" customFormat="1" ht="27.75" x14ac:dyDescent="0.5">
      <c r="A79" s="862" t="s">
        <v>225</v>
      </c>
      <c r="B79" s="848"/>
      <c r="C79" s="849"/>
      <c r="D79" s="151"/>
      <c r="E79" s="95">
        <f>'7'!F79</f>
        <v>0</v>
      </c>
      <c r="F79" s="117"/>
      <c r="G79" s="112">
        <f>G15-SUM(G74:G78)</f>
        <v>508</v>
      </c>
      <c r="H79" s="99">
        <f>G79+'7'!H79</f>
        <v>3978</v>
      </c>
      <c r="I79" s="118"/>
      <c r="J79" s="175"/>
      <c r="K79" s="59"/>
      <c r="L79" s="58"/>
      <c r="N79" s="87"/>
      <c r="O79" s="71"/>
    </row>
    <row r="80" spans="1:15" s="57" customFormat="1" ht="29.25" x14ac:dyDescent="0.5">
      <c r="A80" s="815" t="s">
        <v>329</v>
      </c>
      <c r="B80" s="816"/>
      <c r="C80" s="817"/>
      <c r="D80" s="151"/>
      <c r="E80" s="117"/>
      <c r="F80" s="117"/>
      <c r="G80" s="112">
        <f>SUM(G74:G79)</f>
        <v>925</v>
      </c>
      <c r="H80" s="99"/>
      <c r="I80" s="118"/>
      <c r="J80" s="175"/>
      <c r="K80" s="59"/>
      <c r="L80" s="58"/>
      <c r="N80" s="87"/>
      <c r="O80" s="71"/>
    </row>
    <row r="81" spans="1:15" ht="27" x14ac:dyDescent="0.4">
      <c r="A81" s="854" t="s">
        <v>226</v>
      </c>
      <c r="B81" s="855"/>
      <c r="C81" s="856"/>
      <c r="D81" s="110"/>
      <c r="E81" s="110"/>
      <c r="F81" s="110"/>
      <c r="G81" s="163"/>
      <c r="H81" s="163"/>
      <c r="I81" s="163"/>
      <c r="J81" s="184"/>
      <c r="O81" s="71"/>
    </row>
    <row r="82" spans="1:15" ht="27.75" x14ac:dyDescent="0.5">
      <c r="A82" s="345" t="s">
        <v>227</v>
      </c>
      <c r="B82" s="346"/>
      <c r="C82" s="346"/>
      <c r="D82" s="151" t="s">
        <v>228</v>
      </c>
      <c r="E82" s="95">
        <f>'7'!F82</f>
        <v>0</v>
      </c>
      <c r="F82" s="122">
        <v>0</v>
      </c>
      <c r="G82" s="112">
        <f t="shared" ref="G82:G92" si="8">F82-E82</f>
        <v>0</v>
      </c>
      <c r="H82" s="99">
        <f>G82+'7'!H82</f>
        <v>0</v>
      </c>
      <c r="I82" s="118"/>
      <c r="J82" s="175">
        <f>H82/DAY(B2)</f>
        <v>0</v>
      </c>
      <c r="O82" s="71"/>
    </row>
    <row r="83" spans="1:15" ht="27.75" x14ac:dyDescent="0.5">
      <c r="A83" s="345" t="s">
        <v>229</v>
      </c>
      <c r="B83" s="346"/>
      <c r="C83" s="346"/>
      <c r="D83" s="151" t="s">
        <v>228</v>
      </c>
      <c r="E83" s="95">
        <f>'7'!F83</f>
        <v>0</v>
      </c>
      <c r="F83" s="122">
        <v>0</v>
      </c>
      <c r="G83" s="112">
        <f t="shared" si="8"/>
        <v>0</v>
      </c>
      <c r="H83" s="99">
        <f>G83+'7'!H83</f>
        <v>0</v>
      </c>
      <c r="I83" s="118"/>
      <c r="J83" s="175">
        <f>H83/DAY(B2)</f>
        <v>0</v>
      </c>
      <c r="O83" s="71"/>
    </row>
    <row r="84" spans="1:15" ht="27.75" x14ac:dyDescent="0.5">
      <c r="A84" s="345" t="s">
        <v>230</v>
      </c>
      <c r="B84" s="346"/>
      <c r="C84" s="346"/>
      <c r="D84" s="151" t="s">
        <v>228</v>
      </c>
      <c r="E84" s="95">
        <f>'7'!F84</f>
        <v>41675</v>
      </c>
      <c r="F84" s="164">
        <v>41675</v>
      </c>
      <c r="G84" s="112">
        <f t="shared" si="8"/>
        <v>0</v>
      </c>
      <c r="H84" s="99">
        <f>G84+'7'!H84</f>
        <v>0</v>
      </c>
      <c r="I84" s="118"/>
      <c r="J84" s="175">
        <f>H84/DAY(B2)</f>
        <v>0</v>
      </c>
      <c r="O84" s="71"/>
    </row>
    <row r="85" spans="1:15" ht="27.75" x14ac:dyDescent="0.5">
      <c r="A85" s="345" t="s">
        <v>231</v>
      </c>
      <c r="B85" s="346"/>
      <c r="C85" s="346"/>
      <c r="D85" s="151" t="s">
        <v>228</v>
      </c>
      <c r="E85" s="95">
        <f>'7'!F85</f>
        <v>2096.56</v>
      </c>
      <c r="F85" s="164">
        <v>2096.56</v>
      </c>
      <c r="G85" s="112">
        <f t="shared" si="8"/>
        <v>0</v>
      </c>
      <c r="H85" s="99">
        <f>G85+'7'!H85</f>
        <v>0</v>
      </c>
      <c r="I85" s="118">
        <f>G82+G83+G84+G85</f>
        <v>0</v>
      </c>
      <c r="J85" s="175">
        <f>H85/DAY(B2)</f>
        <v>0</v>
      </c>
      <c r="O85" s="71"/>
    </row>
    <row r="86" spans="1:15" ht="27.75" x14ac:dyDescent="0.5">
      <c r="A86" s="345" t="s">
        <v>232</v>
      </c>
      <c r="B86" s="346"/>
      <c r="C86" s="346"/>
      <c r="D86" s="151" t="s">
        <v>228</v>
      </c>
      <c r="E86" s="95">
        <f>'7'!F86</f>
        <v>43031.92</v>
      </c>
      <c r="F86" s="164">
        <v>43056</v>
      </c>
      <c r="G86" s="112">
        <f t="shared" si="8"/>
        <v>24.080000000001746</v>
      </c>
      <c r="H86" s="99">
        <f>G86+'7'!H86</f>
        <v>193</v>
      </c>
      <c r="I86" s="118"/>
      <c r="J86" s="175">
        <f>H86/DAY(B2)</f>
        <v>24.125</v>
      </c>
      <c r="O86" s="71"/>
    </row>
    <row r="87" spans="1:15" ht="27.75" x14ac:dyDescent="0.5">
      <c r="A87" s="345" t="s">
        <v>233</v>
      </c>
      <c r="B87" s="346"/>
      <c r="C87" s="346"/>
      <c r="D87" s="151" t="s">
        <v>228</v>
      </c>
      <c r="E87" s="95">
        <f>'7'!F87</f>
        <v>34598.550000000003</v>
      </c>
      <c r="F87" s="164">
        <v>34598.550000000003</v>
      </c>
      <c r="G87" s="112">
        <f t="shared" si="8"/>
        <v>0</v>
      </c>
      <c r="H87" s="99">
        <f>G87+'7'!H87</f>
        <v>0</v>
      </c>
      <c r="I87" s="118"/>
      <c r="J87" s="175">
        <f>H87/DAY(B2)</f>
        <v>0</v>
      </c>
      <c r="O87" s="71"/>
    </row>
    <row r="88" spans="1:15" ht="27.75" x14ac:dyDescent="0.5">
      <c r="A88" s="345" t="s">
        <v>234</v>
      </c>
      <c r="B88" s="346"/>
      <c r="C88" s="346"/>
      <c r="D88" s="151" t="s">
        <v>228</v>
      </c>
      <c r="E88" s="95">
        <f>'7'!F88</f>
        <v>24058</v>
      </c>
      <c r="F88" s="164">
        <v>24058</v>
      </c>
      <c r="G88" s="112">
        <f t="shared" si="8"/>
        <v>0</v>
      </c>
      <c r="H88" s="99">
        <f>G88+'7'!H88</f>
        <v>11</v>
      </c>
      <c r="I88" s="118">
        <f>G86+G87+G88</f>
        <v>24.080000000001746</v>
      </c>
      <c r="J88" s="175">
        <f>H88/DAY(B2)</f>
        <v>1.375</v>
      </c>
      <c r="O88" s="71"/>
    </row>
    <row r="89" spans="1:15" ht="27.75" x14ac:dyDescent="0.5">
      <c r="A89" s="345" t="s">
        <v>235</v>
      </c>
      <c r="B89" s="346"/>
      <c r="C89" s="346"/>
      <c r="D89" s="151" t="s">
        <v>228</v>
      </c>
      <c r="E89" s="95">
        <f>'7'!F89</f>
        <v>25705</v>
      </c>
      <c r="F89" s="164">
        <v>25714</v>
      </c>
      <c r="G89" s="112">
        <f t="shared" si="8"/>
        <v>9</v>
      </c>
      <c r="H89" s="99">
        <f>G89+'7'!H89</f>
        <v>51</v>
      </c>
      <c r="I89" s="118"/>
      <c r="J89" s="175">
        <f>H89/DAY(B2)</f>
        <v>6.375</v>
      </c>
      <c r="O89" s="71"/>
    </row>
    <row r="90" spans="1:15" ht="27.75" x14ac:dyDescent="0.5">
      <c r="A90" s="345" t="s">
        <v>236</v>
      </c>
      <c r="B90" s="346"/>
      <c r="C90" s="346"/>
      <c r="D90" s="151" t="s">
        <v>228</v>
      </c>
      <c r="E90" s="95">
        <f>'7'!F90</f>
        <v>71068</v>
      </c>
      <c r="F90" s="164">
        <v>71072</v>
      </c>
      <c r="G90" s="112">
        <f t="shared" si="8"/>
        <v>4</v>
      </c>
      <c r="H90" s="99">
        <f>G90+'7'!H90</f>
        <v>38</v>
      </c>
      <c r="I90" s="118">
        <f>G89+G90</f>
        <v>13</v>
      </c>
      <c r="J90" s="175">
        <f>H90/DAY(B2)</f>
        <v>4.75</v>
      </c>
      <c r="O90" s="71"/>
    </row>
    <row r="91" spans="1:15" ht="27.75" x14ac:dyDescent="0.5">
      <c r="A91" s="345" t="s">
        <v>237</v>
      </c>
      <c r="B91" s="346"/>
      <c r="C91" s="346"/>
      <c r="D91" s="151" t="s">
        <v>228</v>
      </c>
      <c r="E91" s="95">
        <f>'7'!F91</f>
        <v>3226.32</v>
      </c>
      <c r="F91" s="122">
        <v>3226.32</v>
      </c>
      <c r="G91" s="112">
        <f t="shared" si="8"/>
        <v>0</v>
      </c>
      <c r="H91" s="99">
        <f>G91+'7'!H91</f>
        <v>0</v>
      </c>
      <c r="I91" s="165"/>
      <c r="J91" s="175">
        <f>H91/DAY(B2)</f>
        <v>0</v>
      </c>
      <c r="O91" s="71"/>
    </row>
    <row r="92" spans="1:15" ht="27.75" x14ac:dyDescent="0.5">
      <c r="A92" s="345" t="s">
        <v>238</v>
      </c>
      <c r="B92" s="346"/>
      <c r="C92" s="346"/>
      <c r="D92" s="151" t="s">
        <v>228</v>
      </c>
      <c r="E92" s="95">
        <f>'7'!F92</f>
        <v>5507.34</v>
      </c>
      <c r="F92" s="122">
        <v>5518</v>
      </c>
      <c r="G92" s="112">
        <f t="shared" si="8"/>
        <v>10.659999999999854</v>
      </c>
      <c r="H92" s="99">
        <f>G92+'7'!H92</f>
        <v>80</v>
      </c>
      <c r="I92" s="165"/>
      <c r="J92" s="175">
        <f>H92/DAY(B2)</f>
        <v>10</v>
      </c>
      <c r="O92" s="71"/>
    </row>
    <row r="93" spans="1:15" ht="29.25" x14ac:dyDescent="0.5">
      <c r="A93" s="863" t="s">
        <v>239</v>
      </c>
      <c r="B93" s="864"/>
      <c r="C93" s="865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27.75" x14ac:dyDescent="0.5">
      <c r="A94" s="818" t="s">
        <v>240</v>
      </c>
      <c r="B94" s="819"/>
      <c r="C94" s="820"/>
      <c r="D94" s="151" t="s">
        <v>130</v>
      </c>
      <c r="E94" s="151"/>
      <c r="F94" s="151"/>
      <c r="G94" s="99">
        <f>G35+G43+G49+G57</f>
        <v>5586</v>
      </c>
      <c r="H94" s="99">
        <f>G94+'7'!H94</f>
        <v>47442</v>
      </c>
      <c r="I94" s="118"/>
      <c r="J94" s="175">
        <f>H94/DAY(B2)</f>
        <v>5930.25</v>
      </c>
      <c r="K94" s="69"/>
      <c r="L94" s="66"/>
      <c r="O94" s="71"/>
    </row>
    <row r="95" spans="1:15" ht="27.75" x14ac:dyDescent="0.5">
      <c r="A95" s="818" t="s">
        <v>241</v>
      </c>
      <c r="B95" s="819"/>
      <c r="C95" s="820"/>
      <c r="D95" s="151" t="s">
        <v>23</v>
      </c>
      <c r="E95" s="146"/>
      <c r="F95" s="146"/>
      <c r="G95" s="166">
        <f>G94/G7</f>
        <v>0.29045341098169719</v>
      </c>
      <c r="H95" s="99">
        <f>G95+'7'!H95</f>
        <v>2.4072851460348144</v>
      </c>
      <c r="I95" s="167"/>
      <c r="J95" s="175">
        <f>H95/DAY(B2)</f>
        <v>0.3009106432543518</v>
      </c>
      <c r="K95" s="69"/>
      <c r="L95" s="66"/>
      <c r="O95" s="71"/>
    </row>
    <row r="96" spans="1:15" ht="27.75" x14ac:dyDescent="0.5">
      <c r="A96" s="818" t="s">
        <v>242</v>
      </c>
      <c r="B96" s="819"/>
      <c r="C96" s="820"/>
      <c r="D96" s="151" t="s">
        <v>130</v>
      </c>
      <c r="E96" s="95"/>
      <c r="F96" s="95"/>
      <c r="G96" s="99">
        <f>G41+G42+G55+G56</f>
        <v>3190</v>
      </c>
      <c r="H96" s="99">
        <f>G96+'7'!H96</f>
        <v>24957.600000000006</v>
      </c>
      <c r="I96" s="118"/>
      <c r="J96" s="175">
        <f>H96/DAY(B2)</f>
        <v>3119.7000000000007</v>
      </c>
      <c r="K96" s="69"/>
      <c r="L96" s="66"/>
      <c r="O96" s="71"/>
    </row>
    <row r="97" spans="1:15" ht="27.75" x14ac:dyDescent="0.5">
      <c r="A97" s="818" t="s">
        <v>243</v>
      </c>
      <c r="B97" s="819"/>
      <c r="C97" s="820"/>
      <c r="D97" s="151" t="s">
        <v>23</v>
      </c>
      <c r="E97" s="95"/>
      <c r="F97" s="95"/>
      <c r="G97" s="166">
        <f>G96/G7</f>
        <v>0.16586938435940099</v>
      </c>
      <c r="H97" s="99">
        <f>G97+'7'!H97</f>
        <v>1.2665572133531355</v>
      </c>
      <c r="I97" s="167"/>
      <c r="J97" s="175">
        <f>H97/DAY(B2)</f>
        <v>0.15831965166914194</v>
      </c>
      <c r="K97" s="69"/>
      <c r="L97" s="66"/>
      <c r="O97" s="71"/>
    </row>
    <row r="98" spans="1:15" ht="27.75" x14ac:dyDescent="0.5">
      <c r="A98" s="818" t="s">
        <v>244</v>
      </c>
      <c r="B98" s="819"/>
      <c r="C98" s="820"/>
      <c r="D98" s="151" t="s">
        <v>130</v>
      </c>
      <c r="E98" s="95"/>
      <c r="F98" s="95"/>
      <c r="G98" s="99">
        <f>G39+G53</f>
        <v>2685</v>
      </c>
      <c r="H98" s="99">
        <f>G98+'7'!H98</f>
        <v>21682</v>
      </c>
      <c r="I98" s="168"/>
      <c r="J98" s="175">
        <f>H98/DAY(B2)</f>
        <v>2710.25</v>
      </c>
      <c r="K98" s="69"/>
      <c r="L98" s="66"/>
      <c r="O98" s="71"/>
    </row>
    <row r="99" spans="1:15" ht="27.75" x14ac:dyDescent="0.5">
      <c r="A99" s="818" t="s">
        <v>245</v>
      </c>
      <c r="B99" s="819"/>
      <c r="C99" s="820"/>
      <c r="D99" s="151" t="s">
        <v>23</v>
      </c>
      <c r="E99" s="95"/>
      <c r="F99" s="95"/>
      <c r="G99" s="166">
        <f>G98/G7</f>
        <v>0.13961106489184691</v>
      </c>
      <c r="H99" s="99">
        <f>G99+'7'!H99</f>
        <v>1.1002859888221697</v>
      </c>
      <c r="I99" s="168"/>
      <c r="J99" s="175">
        <f>H99/DAY(B2)</f>
        <v>0.13753574860277121</v>
      </c>
      <c r="O99" s="71"/>
    </row>
    <row r="100" spans="1:15" ht="27.75" x14ac:dyDescent="0.5">
      <c r="A100" s="818" t="s">
        <v>246</v>
      </c>
      <c r="B100" s="819"/>
      <c r="C100" s="820"/>
      <c r="D100" s="151" t="s">
        <v>180</v>
      </c>
      <c r="E100" s="95"/>
      <c r="F100" s="95"/>
      <c r="G100" s="99">
        <f>G38+G52</f>
        <v>1715</v>
      </c>
      <c r="H100" s="99">
        <f>G100+'7'!H100</f>
        <v>13200</v>
      </c>
      <c r="I100" s="118"/>
      <c r="J100" s="175">
        <f>H100/DAY(B2)</f>
        <v>1650</v>
      </c>
      <c r="K100" s="70"/>
      <c r="O100" s="71"/>
    </row>
    <row r="101" spans="1:15" ht="27.75" x14ac:dyDescent="0.5">
      <c r="A101" s="818" t="s">
        <v>247</v>
      </c>
      <c r="B101" s="819"/>
      <c r="C101" s="820"/>
      <c r="D101" s="151" t="s">
        <v>23</v>
      </c>
      <c r="E101" s="95"/>
      <c r="F101" s="95"/>
      <c r="G101" s="166">
        <f>G100/G7</f>
        <v>8.9174292845257908E-2</v>
      </c>
      <c r="H101" s="99">
        <f>G101+'7'!H101</f>
        <v>0.66951290234508531</v>
      </c>
      <c r="I101" s="168"/>
      <c r="J101" s="175">
        <f>H101/DAY(B2)</f>
        <v>8.3689112793135664E-2</v>
      </c>
      <c r="O101" s="71"/>
    </row>
    <row r="102" spans="1:15" ht="27.75" x14ac:dyDescent="0.5">
      <c r="A102" s="818" t="s">
        <v>248</v>
      </c>
      <c r="B102" s="819"/>
      <c r="C102" s="820"/>
      <c r="D102" s="151" t="s">
        <v>180</v>
      </c>
      <c r="E102" s="95"/>
      <c r="F102" s="95"/>
      <c r="G102" s="99">
        <f>G36+G50</f>
        <v>1716</v>
      </c>
      <c r="H102" s="99">
        <f>G102+'7'!H102</f>
        <v>14870</v>
      </c>
      <c r="I102" s="168"/>
      <c r="J102" s="175">
        <f>H102/DAY(B2)</f>
        <v>1858.75</v>
      </c>
      <c r="O102" s="71"/>
    </row>
    <row r="103" spans="1:15" ht="27.75" x14ac:dyDescent="0.5">
      <c r="A103" s="818" t="s">
        <v>249</v>
      </c>
      <c r="B103" s="819"/>
      <c r="C103" s="820"/>
      <c r="D103" s="151" t="s">
        <v>23</v>
      </c>
      <c r="E103" s="95"/>
      <c r="F103" s="95"/>
      <c r="G103" s="166">
        <f>G102/G7</f>
        <v>8.9226289517470886E-2</v>
      </c>
      <c r="H103" s="99">
        <f>G103+'7'!H103</f>
        <v>0.75383500034591477</v>
      </c>
      <c r="I103" s="118"/>
      <c r="J103" s="175">
        <f>H103/DAY(B2)</f>
        <v>9.4229375043239347E-2</v>
      </c>
      <c r="O103" s="71"/>
    </row>
    <row r="104" spans="1:15" ht="27.75" x14ac:dyDescent="0.5">
      <c r="A104" s="818" t="s">
        <v>250</v>
      </c>
      <c r="B104" s="819"/>
      <c r="C104" s="820"/>
      <c r="D104" s="151" t="s">
        <v>180</v>
      </c>
      <c r="E104" s="95"/>
      <c r="F104" s="95"/>
      <c r="G104" s="99">
        <f>G37+G51</f>
        <v>1534</v>
      </c>
      <c r="H104" s="99">
        <f>G104+'7'!H104</f>
        <v>12212</v>
      </c>
      <c r="I104" s="118"/>
      <c r="J104" s="175">
        <f>H104/DAY(B2)</f>
        <v>1526.5</v>
      </c>
      <c r="O104" s="71"/>
    </row>
    <row r="105" spans="1:15" ht="28.5" thickBot="1" x14ac:dyDescent="0.55000000000000004">
      <c r="A105" s="858" t="s">
        <v>251</v>
      </c>
      <c r="B105" s="859"/>
      <c r="C105" s="860"/>
      <c r="D105" s="231" t="s">
        <v>23</v>
      </c>
      <c r="E105" s="185"/>
      <c r="F105" s="185"/>
      <c r="G105" s="186">
        <f>G104/G7</f>
        <v>7.9762895174708817E-2</v>
      </c>
      <c r="H105" s="99">
        <f>G105+'7'!H105</f>
        <v>0.619650560907823</v>
      </c>
      <c r="I105" s="187"/>
      <c r="J105" s="188">
        <f>H105/DAY(B2)</f>
        <v>7.7456320113477875E-2</v>
      </c>
      <c r="O105" s="71"/>
    </row>
    <row r="106" spans="1:15" ht="29.25" x14ac:dyDescent="0.5">
      <c r="A106" s="105"/>
      <c r="B106" s="96"/>
      <c r="C106" s="96"/>
      <c r="D106" s="169"/>
      <c r="E106" s="169"/>
      <c r="F106" s="169"/>
      <c r="G106" s="169"/>
      <c r="H106" s="170"/>
      <c r="I106" s="169"/>
      <c r="J106" s="171"/>
      <c r="O106" s="71"/>
    </row>
    <row r="107" spans="1:15" ht="29.25" x14ac:dyDescent="0.5"/>
    <row r="108" spans="1:15" ht="31.5" x14ac:dyDescent="0.55000000000000004">
      <c r="A108" s="872" t="s">
        <v>324</v>
      </c>
      <c r="B108" s="872"/>
      <c r="C108" s="872"/>
      <c r="D108" s="872"/>
      <c r="E108" s="872"/>
      <c r="F108" s="872"/>
      <c r="G108" s="872"/>
      <c r="H108" s="872"/>
      <c r="I108" s="872"/>
      <c r="J108" s="872"/>
    </row>
    <row r="109" spans="1:15" ht="29.25" x14ac:dyDescent="0.5">
      <c r="A109" s="857"/>
      <c r="B109" s="857"/>
    </row>
    <row r="110" spans="1:15" ht="29.25" x14ac:dyDescent="0.5">
      <c r="A110" s="873" t="s">
        <v>165</v>
      </c>
      <c r="B110" s="874"/>
      <c r="C110" s="874"/>
      <c r="D110" s="874"/>
      <c r="E110" s="874"/>
      <c r="F110" s="874"/>
      <c r="G110" s="874"/>
      <c r="H110" s="874"/>
      <c r="I110" s="874"/>
      <c r="J110" s="875"/>
    </row>
    <row r="111" spans="1:15" ht="27.75" x14ac:dyDescent="0.5">
      <c r="A111" s="876"/>
      <c r="B111" s="877"/>
      <c r="C111" s="878"/>
      <c r="D111" s="165"/>
      <c r="E111" s="165"/>
      <c r="F111" s="165"/>
      <c r="G111" s="165"/>
      <c r="H111" s="156"/>
      <c r="I111" s="165"/>
      <c r="J111" s="327"/>
    </row>
    <row r="112" spans="1:15" ht="27.75" x14ac:dyDescent="0.5">
      <c r="A112" s="851" t="s">
        <v>252</v>
      </c>
      <c r="B112" s="852"/>
      <c r="C112" s="853"/>
      <c r="D112" s="146" t="s">
        <v>183</v>
      </c>
      <c r="E112" s="95">
        <f>'7'!F112</f>
        <v>56196</v>
      </c>
      <c r="F112" s="237">
        <v>56274</v>
      </c>
      <c r="G112" s="112">
        <f t="shared" ref="G112:G123" si="9">F112-E112</f>
        <v>78</v>
      </c>
      <c r="H112" s="99">
        <f>G112+'7'!H112</f>
        <v>593</v>
      </c>
      <c r="I112" s="165"/>
      <c r="J112" s="328">
        <f>H112/DAY(B2)</f>
        <v>74.125</v>
      </c>
    </row>
    <row r="113" spans="1:18" ht="29.25" customHeight="1" x14ac:dyDescent="0.5">
      <c r="A113" s="851" t="s">
        <v>253</v>
      </c>
      <c r="B113" s="852"/>
      <c r="C113" s="853"/>
      <c r="D113" s="146" t="s">
        <v>183</v>
      </c>
      <c r="E113" s="95">
        <f>'7'!F113</f>
        <v>35351</v>
      </c>
      <c r="F113" s="237">
        <v>35802</v>
      </c>
      <c r="G113" s="112">
        <f t="shared" si="9"/>
        <v>451</v>
      </c>
      <c r="H113" s="99">
        <f>G113+'7'!H113</f>
        <v>3607</v>
      </c>
      <c r="I113" s="165"/>
      <c r="J113" s="328">
        <f>H113/DAY(B2)</f>
        <v>450.875</v>
      </c>
    </row>
    <row r="114" spans="1:18" ht="29.25" customHeight="1" x14ac:dyDescent="0.5">
      <c r="A114" s="851" t="s">
        <v>254</v>
      </c>
      <c r="B114" s="852"/>
      <c r="C114" s="853"/>
      <c r="D114" s="146" t="s">
        <v>183</v>
      </c>
      <c r="E114" s="95">
        <f>'7'!F114</f>
        <v>26732</v>
      </c>
      <c r="F114" s="237">
        <v>26995</v>
      </c>
      <c r="G114" s="112">
        <f t="shared" si="9"/>
        <v>263</v>
      </c>
      <c r="H114" s="99">
        <f>G114+'7'!H114</f>
        <v>2124</v>
      </c>
      <c r="I114" s="165"/>
      <c r="J114" s="328">
        <f>H114/DAY(B2)</f>
        <v>265.5</v>
      </c>
    </row>
    <row r="115" spans="1:18" ht="29.25" customHeight="1" x14ac:dyDescent="0.5">
      <c r="A115" s="851" t="s">
        <v>255</v>
      </c>
      <c r="B115" s="852"/>
      <c r="C115" s="853"/>
      <c r="D115" s="146" t="s">
        <v>183</v>
      </c>
      <c r="E115" s="95">
        <f>'7'!F115</f>
        <v>8860</v>
      </c>
      <c r="F115" s="237">
        <v>8871</v>
      </c>
      <c r="G115" s="112">
        <f t="shared" si="9"/>
        <v>11</v>
      </c>
      <c r="H115" s="99">
        <f>G115+'7'!H115</f>
        <v>86</v>
      </c>
      <c r="I115" s="165"/>
      <c r="J115" s="328">
        <f>H115/DAY(B2)</f>
        <v>10.75</v>
      </c>
    </row>
    <row r="116" spans="1:18" ht="29.25" customHeight="1" x14ac:dyDescent="0.5">
      <c r="A116" s="869" t="s">
        <v>96</v>
      </c>
      <c r="B116" s="870"/>
      <c r="C116" s="871"/>
      <c r="D116" s="146" t="s">
        <v>183</v>
      </c>
      <c r="E116" s="95">
        <f>'7'!F116</f>
        <v>0</v>
      </c>
      <c r="F116" s="237">
        <v>0</v>
      </c>
      <c r="G116" s="112">
        <f t="shared" si="9"/>
        <v>0</v>
      </c>
      <c r="H116" s="99">
        <f>G116+'7'!H116</f>
        <v>0</v>
      </c>
      <c r="I116" s="165"/>
      <c r="J116" s="328">
        <f>H116/DAY(B2)</f>
        <v>0</v>
      </c>
      <c r="Q116" s="851" t="s">
        <v>311</v>
      </c>
      <c r="R116" s="853"/>
    </row>
    <row r="117" spans="1:18" ht="29.25" customHeight="1" x14ac:dyDescent="0.5">
      <c r="A117" s="869" t="s">
        <v>184</v>
      </c>
      <c r="B117" s="870"/>
      <c r="C117" s="871"/>
      <c r="D117" s="146" t="s">
        <v>183</v>
      </c>
      <c r="E117" s="95">
        <f>'7'!F117</f>
        <v>2778</v>
      </c>
      <c r="F117" s="237">
        <v>2800</v>
      </c>
      <c r="G117" s="112">
        <f t="shared" si="9"/>
        <v>22</v>
      </c>
      <c r="H117" s="99">
        <f>G117+'7'!H117</f>
        <v>210</v>
      </c>
      <c r="I117" s="165"/>
      <c r="J117" s="328">
        <f>H117/DAY(B2)</f>
        <v>26.25</v>
      </c>
      <c r="Q117" s="851" t="s">
        <v>312</v>
      </c>
      <c r="R117" s="853"/>
    </row>
    <row r="118" spans="1:18" ht="27.75" x14ac:dyDescent="0.5">
      <c r="A118" s="846" t="s">
        <v>97</v>
      </c>
      <c r="B118" s="846"/>
      <c r="C118" s="846"/>
      <c r="D118" s="151" t="s">
        <v>183</v>
      </c>
      <c r="E118" s="95">
        <f>'7'!F118</f>
        <v>244525</v>
      </c>
      <c r="F118" s="237">
        <v>244610</v>
      </c>
      <c r="G118" s="112">
        <f t="shared" si="9"/>
        <v>85</v>
      </c>
      <c r="H118" s="99">
        <f>G118+'7'!H118</f>
        <v>2963</v>
      </c>
      <c r="I118" s="165"/>
      <c r="J118" s="328">
        <f>H118/DAY(B2)</f>
        <v>370.375</v>
      </c>
      <c r="Q118" s="851" t="s">
        <v>311</v>
      </c>
      <c r="R118" s="853"/>
    </row>
    <row r="119" spans="1:18" ht="27.75" x14ac:dyDescent="0.5">
      <c r="A119" s="846" t="s">
        <v>98</v>
      </c>
      <c r="B119" s="846"/>
      <c r="C119" s="846"/>
      <c r="D119" s="151" t="s">
        <v>183</v>
      </c>
      <c r="E119" s="95">
        <f>'7'!F119</f>
        <v>248153</v>
      </c>
      <c r="F119" s="237">
        <v>248606</v>
      </c>
      <c r="G119" s="112">
        <f t="shared" si="9"/>
        <v>453</v>
      </c>
      <c r="H119" s="99">
        <f>G119+'7'!H119</f>
        <v>3480</v>
      </c>
      <c r="I119" s="165"/>
      <c r="J119" s="328">
        <f>H119/DAY(B2)</f>
        <v>435</v>
      </c>
    </row>
    <row r="120" spans="1:18" ht="27.75" x14ac:dyDescent="0.5">
      <c r="A120" s="846" t="s">
        <v>99</v>
      </c>
      <c r="B120" s="846"/>
      <c r="C120" s="846"/>
      <c r="D120" s="151" t="s">
        <v>183</v>
      </c>
      <c r="E120" s="95">
        <f>'7'!F120</f>
        <v>33031</v>
      </c>
      <c r="F120" s="237">
        <v>33445</v>
      </c>
      <c r="G120" s="112">
        <f t="shared" si="9"/>
        <v>414</v>
      </c>
      <c r="H120" s="99">
        <f>G120+'7'!H120</f>
        <v>3367</v>
      </c>
      <c r="I120" s="165"/>
      <c r="J120" s="328">
        <f>H120/DAY(B2)</f>
        <v>420.875</v>
      </c>
    </row>
    <row r="121" spans="1:18" ht="27.75" x14ac:dyDescent="0.5">
      <c r="A121" s="846" t="s">
        <v>100</v>
      </c>
      <c r="B121" s="846"/>
      <c r="C121" s="846"/>
      <c r="D121" s="151" t="s">
        <v>183</v>
      </c>
      <c r="E121" s="95">
        <f>'7'!F121</f>
        <v>381818</v>
      </c>
      <c r="F121" s="237">
        <v>382527</v>
      </c>
      <c r="G121" s="112">
        <f t="shared" si="9"/>
        <v>709</v>
      </c>
      <c r="H121" s="99">
        <f>G121+'7'!H121</f>
        <v>5998</v>
      </c>
      <c r="I121" s="165"/>
      <c r="J121" s="328">
        <f>H121/DAY(B2)</f>
        <v>749.75</v>
      </c>
    </row>
    <row r="122" spans="1:18" ht="27.75" x14ac:dyDescent="0.5">
      <c r="A122" s="846" t="s">
        <v>101</v>
      </c>
      <c r="B122" s="846"/>
      <c r="C122" s="846"/>
      <c r="D122" s="151" t="s">
        <v>183</v>
      </c>
      <c r="E122" s="95">
        <f>'7'!F122</f>
        <v>121682</v>
      </c>
      <c r="F122" s="237">
        <v>121898</v>
      </c>
      <c r="G122" s="112">
        <f t="shared" si="9"/>
        <v>216</v>
      </c>
      <c r="H122" s="99">
        <f>G122+'7'!H122</f>
        <v>1848</v>
      </c>
      <c r="I122" s="165"/>
      <c r="J122" s="328">
        <f>H122/DAY(B2)</f>
        <v>231</v>
      </c>
    </row>
    <row r="123" spans="1:18" ht="27.75" x14ac:dyDescent="0.5">
      <c r="A123" s="846" t="s">
        <v>102</v>
      </c>
      <c r="B123" s="846"/>
      <c r="C123" s="846"/>
      <c r="D123" s="151" t="s">
        <v>183</v>
      </c>
      <c r="E123" s="95">
        <f>'7'!F123</f>
        <v>147418</v>
      </c>
      <c r="F123" s="237">
        <v>147737</v>
      </c>
      <c r="G123" s="112">
        <f t="shared" si="9"/>
        <v>319</v>
      </c>
      <c r="H123" s="99">
        <f>G123+'7'!H123</f>
        <v>2612</v>
      </c>
      <c r="I123" s="165"/>
      <c r="J123" s="328">
        <f>H123/DAY(B2)</f>
        <v>326.5</v>
      </c>
    </row>
    <row r="124" spans="1:18" ht="29.25" customHeight="1" x14ac:dyDescent="0.5">
      <c r="A124" s="876"/>
      <c r="B124" s="877"/>
      <c r="C124" s="878"/>
      <c r="D124" s="165"/>
      <c r="E124" s="165"/>
      <c r="F124" s="165"/>
      <c r="G124" s="327"/>
      <c r="H124" s="156"/>
      <c r="I124" s="165"/>
      <c r="J124" s="327"/>
    </row>
    <row r="125" spans="1:18" ht="27.75" x14ac:dyDescent="0.5">
      <c r="A125" s="879" t="s">
        <v>196</v>
      </c>
      <c r="B125" s="880"/>
      <c r="C125" s="245"/>
      <c r="D125" s="307"/>
      <c r="E125" s="308"/>
      <c r="F125" s="308"/>
      <c r="G125" s="309">
        <f>SUM(G112:G124)</f>
        <v>3021</v>
      </c>
      <c r="H125" s="156"/>
      <c r="I125" s="327">
        <f>G125-(G39+G53)</f>
        <v>336</v>
      </c>
      <c r="J125" s="327"/>
    </row>
    <row r="126" spans="1:18" ht="27.75" x14ac:dyDescent="0.5">
      <c r="A126" s="881" t="s">
        <v>317</v>
      </c>
      <c r="B126" s="881"/>
      <c r="C126" s="881"/>
      <c r="D126" s="881"/>
      <c r="E126" s="881"/>
      <c r="F126" s="881"/>
      <c r="G126" s="881"/>
      <c r="H126" s="881"/>
      <c r="I126" s="881"/>
      <c r="J126" s="881"/>
    </row>
    <row r="127" spans="1:18" ht="27.75" x14ac:dyDescent="0.5">
      <c r="A127" s="882"/>
      <c r="B127" s="882"/>
      <c r="C127" s="245"/>
      <c r="D127" s="307"/>
      <c r="E127" s="308"/>
      <c r="F127" s="308"/>
      <c r="G127" s="309"/>
      <c r="H127" s="99">
        <f>G127+'7'!H127</f>
        <v>0</v>
      </c>
      <c r="I127" s="165"/>
      <c r="J127" s="328">
        <f>H127/DAY(B2)</f>
        <v>0</v>
      </c>
    </row>
    <row r="128" spans="1:18" ht="29.25" customHeight="1" x14ac:dyDescent="0.5">
      <c r="A128" s="851" t="s">
        <v>318</v>
      </c>
      <c r="B128" s="852"/>
      <c r="C128" s="853"/>
      <c r="D128" s="151" t="s">
        <v>183</v>
      </c>
      <c r="E128" s="95">
        <f>'7'!F128</f>
        <v>40344</v>
      </c>
      <c r="F128" s="165">
        <v>40658</v>
      </c>
      <c r="G128" s="112">
        <f t="shared" ref="G128:G134" si="10">F128-E128</f>
        <v>314</v>
      </c>
      <c r="H128" s="99">
        <f>G128+'7'!H128</f>
        <v>2654</v>
      </c>
      <c r="I128" s="165"/>
      <c r="J128" s="328">
        <f>H128/DAY(B2)</f>
        <v>331.75</v>
      </c>
    </row>
    <row r="129" spans="1:15" ht="27.75" x14ac:dyDescent="0.5">
      <c r="A129" s="329" t="s">
        <v>319</v>
      </c>
      <c r="B129" s="330"/>
      <c r="C129" s="331"/>
      <c r="D129" s="151" t="s">
        <v>183</v>
      </c>
      <c r="E129" s="95">
        <f>'7'!F129</f>
        <v>21860</v>
      </c>
      <c r="F129" s="165">
        <v>22071</v>
      </c>
      <c r="G129" s="112">
        <f t="shared" si="10"/>
        <v>211</v>
      </c>
      <c r="H129" s="99">
        <f>G129+'7'!H129</f>
        <v>1750</v>
      </c>
      <c r="I129" s="165"/>
      <c r="J129" s="328">
        <f>H129/DAY(B2)</f>
        <v>218.75</v>
      </c>
      <c r="N129" s="240"/>
      <c r="O129" s="241"/>
    </row>
    <row r="130" spans="1:15" ht="27.75" x14ac:dyDescent="0.5">
      <c r="A130" s="329" t="s">
        <v>320</v>
      </c>
      <c r="B130" s="330"/>
      <c r="C130" s="331"/>
      <c r="D130" s="151" t="s">
        <v>183</v>
      </c>
      <c r="E130" s="95">
        <f>'7'!F130</f>
        <v>23167</v>
      </c>
      <c r="F130" s="165">
        <v>23805</v>
      </c>
      <c r="G130" s="112">
        <f t="shared" si="10"/>
        <v>638</v>
      </c>
      <c r="H130" s="99">
        <f>G130+'7'!H130</f>
        <v>5423</v>
      </c>
      <c r="I130" s="165"/>
      <c r="J130" s="328">
        <f>H130/DAY(B2)</f>
        <v>677.875</v>
      </c>
      <c r="N130" s="240"/>
      <c r="O130" s="241"/>
    </row>
    <row r="131" spans="1:15" ht="27.75" x14ac:dyDescent="0.5">
      <c r="A131" s="851" t="s">
        <v>321</v>
      </c>
      <c r="B131" s="852"/>
      <c r="C131" s="853"/>
      <c r="D131" s="151" t="s">
        <v>183</v>
      </c>
      <c r="E131" s="95">
        <f>'7'!F131</f>
        <v>13703</v>
      </c>
      <c r="F131" s="165">
        <v>13770</v>
      </c>
      <c r="G131" s="112">
        <f t="shared" si="10"/>
        <v>67</v>
      </c>
      <c r="H131" s="99">
        <f>G131+'7'!H131</f>
        <v>617</v>
      </c>
      <c r="I131" s="165"/>
      <c r="J131" s="328">
        <f>H131/DAY(B2)</f>
        <v>77.125</v>
      </c>
      <c r="N131" s="240"/>
      <c r="O131" s="241"/>
    </row>
    <row r="132" spans="1:15" ht="27.75" x14ac:dyDescent="0.5">
      <c r="A132" s="851" t="s">
        <v>322</v>
      </c>
      <c r="B132" s="852"/>
      <c r="C132" s="853"/>
      <c r="D132" s="151" t="s">
        <v>183</v>
      </c>
      <c r="E132" s="95">
        <f>'7'!F132</f>
        <v>44223</v>
      </c>
      <c r="F132" s="165">
        <v>44731</v>
      </c>
      <c r="G132" s="112">
        <f t="shared" si="10"/>
        <v>508</v>
      </c>
      <c r="H132" s="99">
        <f>G132+'7'!H132</f>
        <v>3708</v>
      </c>
      <c r="I132" s="165"/>
      <c r="J132" s="328">
        <f>H132/DAY(B2)</f>
        <v>463.5</v>
      </c>
    </row>
    <row r="133" spans="1:15" ht="27.75" x14ac:dyDescent="0.5">
      <c r="A133" s="851" t="s">
        <v>323</v>
      </c>
      <c r="B133" s="852"/>
      <c r="C133" s="853"/>
      <c r="D133" s="151" t="s">
        <v>183</v>
      </c>
      <c r="E133" s="95">
        <f>'7'!F133</f>
        <v>93462</v>
      </c>
      <c r="F133" s="165">
        <v>94229</v>
      </c>
      <c r="G133" s="112">
        <f t="shared" si="10"/>
        <v>767</v>
      </c>
      <c r="H133" s="99">
        <f>G133+'7'!H133</f>
        <v>6526</v>
      </c>
      <c r="I133" s="165"/>
      <c r="J133" s="328">
        <f>H133/DAY(B2)</f>
        <v>815.75</v>
      </c>
    </row>
    <row r="134" spans="1:15" ht="27.75" x14ac:dyDescent="0.5">
      <c r="A134" s="851" t="s">
        <v>340</v>
      </c>
      <c r="B134" s="852"/>
      <c r="C134" s="853"/>
      <c r="D134" s="151" t="s">
        <v>183</v>
      </c>
      <c r="E134" s="95">
        <f>'7'!F134</f>
        <v>673370</v>
      </c>
      <c r="F134" s="165">
        <v>673983</v>
      </c>
      <c r="G134" s="112">
        <f t="shared" si="10"/>
        <v>613</v>
      </c>
      <c r="H134" s="99">
        <f>G134+'7'!H134</f>
        <v>5103</v>
      </c>
      <c r="I134" s="165"/>
      <c r="J134" s="328">
        <f>H134/DAY(B2)</f>
        <v>637.875</v>
      </c>
    </row>
    <row r="135" spans="1:15" ht="27.75" x14ac:dyDescent="0.5">
      <c r="A135" s="879" t="s">
        <v>196</v>
      </c>
      <c r="B135" s="880"/>
      <c r="C135" s="331"/>
      <c r="D135" s="151"/>
      <c r="E135" s="95"/>
      <c r="F135" s="165"/>
      <c r="G135" s="112">
        <f>SUM(G128:G134)</f>
        <v>3118</v>
      </c>
      <c r="H135" s="99">
        <f>G135+'7'!H135</f>
        <v>25781</v>
      </c>
      <c r="I135" s="327">
        <f>G135-(G35+G49)</f>
        <v>-298</v>
      </c>
      <c r="J135" s="328" t="e">
        <f t="shared" ref="J135" si="11">H135/DAY(B54)</f>
        <v>#DIV/0!</v>
      </c>
    </row>
    <row r="136" spans="1:15" ht="31.5" x14ac:dyDescent="0.55000000000000004">
      <c r="A136" s="883" t="s">
        <v>325</v>
      </c>
      <c r="B136" s="883"/>
      <c r="C136" s="883"/>
      <c r="D136" s="883"/>
      <c r="E136" s="883"/>
      <c r="F136" s="883"/>
      <c r="G136" s="883"/>
      <c r="H136" s="883"/>
      <c r="I136" s="883"/>
      <c r="J136" s="883"/>
    </row>
    <row r="137" spans="1:15" ht="29.25" x14ac:dyDescent="0.5">
      <c r="A137" s="245"/>
      <c r="B137" s="246"/>
      <c r="C137" s="246"/>
      <c r="D137" s="165"/>
      <c r="E137" s="165"/>
      <c r="F137" s="165"/>
      <c r="G137" s="165"/>
      <c r="H137" s="156"/>
      <c r="I137" s="165"/>
      <c r="J137" s="327"/>
    </row>
    <row r="138" spans="1:15" ht="27.75" x14ac:dyDescent="0.5">
      <c r="A138" s="846" t="s">
        <v>185</v>
      </c>
      <c r="B138" s="846"/>
      <c r="C138" s="846"/>
      <c r="D138" s="151" t="s">
        <v>183</v>
      </c>
      <c r="E138" s="95">
        <f>'7'!F138</f>
        <v>864673</v>
      </c>
      <c r="F138" s="147">
        <v>864737</v>
      </c>
      <c r="G138" s="112">
        <f t="shared" ref="G138:G152" si="12">F138-E138</f>
        <v>64</v>
      </c>
      <c r="H138" s="99">
        <f>G138+'7'!H138</f>
        <v>566</v>
      </c>
      <c r="I138" s="118"/>
      <c r="J138" s="328">
        <f>H138/DAY(B2)</f>
        <v>70.75</v>
      </c>
    </row>
    <row r="139" spans="1:15" ht="27.75" x14ac:dyDescent="0.5">
      <c r="A139" s="846" t="s">
        <v>186</v>
      </c>
      <c r="B139" s="846"/>
      <c r="C139" s="846"/>
      <c r="D139" s="151" t="s">
        <v>183</v>
      </c>
      <c r="E139" s="95">
        <f>'7'!F139</f>
        <v>886549</v>
      </c>
      <c r="F139" s="148">
        <v>886549</v>
      </c>
      <c r="G139" s="112">
        <f t="shared" si="12"/>
        <v>0</v>
      </c>
      <c r="H139" s="99">
        <f>G139+'7'!H139</f>
        <v>3</v>
      </c>
      <c r="I139" s="118"/>
      <c r="J139" s="328">
        <f>H139/DAY(B2)</f>
        <v>0.375</v>
      </c>
    </row>
    <row r="140" spans="1:15" ht="27.75" x14ac:dyDescent="0.5">
      <c r="A140" s="846" t="s">
        <v>187</v>
      </c>
      <c r="B140" s="846"/>
      <c r="C140" s="846"/>
      <c r="D140" s="151" t="s">
        <v>183</v>
      </c>
      <c r="E140" s="95">
        <f>'7'!F140</f>
        <v>88898</v>
      </c>
      <c r="F140" s="149">
        <v>88898</v>
      </c>
      <c r="G140" s="112">
        <f t="shared" si="12"/>
        <v>0</v>
      </c>
      <c r="H140" s="99">
        <f>G140+'7'!H140</f>
        <v>16</v>
      </c>
      <c r="I140" s="118"/>
      <c r="J140" s="328">
        <f>H140/DAY(B2)</f>
        <v>2</v>
      </c>
    </row>
    <row r="141" spans="1:15" ht="27.75" x14ac:dyDescent="0.5">
      <c r="A141" s="850" t="s">
        <v>188</v>
      </c>
      <c r="B141" s="850"/>
      <c r="C141" s="850"/>
      <c r="D141" s="151" t="s">
        <v>183</v>
      </c>
      <c r="E141" s="95">
        <f>'7'!F141</f>
        <v>50542</v>
      </c>
      <c r="F141" s="149">
        <v>50714</v>
      </c>
      <c r="G141" s="112">
        <f t="shared" si="12"/>
        <v>172</v>
      </c>
      <c r="H141" s="99">
        <f>G141+'7'!H141</f>
        <v>1408</v>
      </c>
      <c r="I141" s="118"/>
      <c r="J141" s="328">
        <f>H141/DAY(B2)</f>
        <v>176</v>
      </c>
    </row>
    <row r="142" spans="1:15" ht="27.75" x14ac:dyDescent="0.5">
      <c r="A142" s="850" t="s">
        <v>189</v>
      </c>
      <c r="B142" s="850"/>
      <c r="C142" s="850"/>
      <c r="D142" s="151" t="s">
        <v>183</v>
      </c>
      <c r="E142" s="95">
        <f>'7'!F142</f>
        <v>19503</v>
      </c>
      <c r="F142" s="702">
        <v>19567</v>
      </c>
      <c r="G142" s="112">
        <f t="shared" si="12"/>
        <v>64</v>
      </c>
      <c r="H142" s="99">
        <f>G142+'7'!H142</f>
        <v>558</v>
      </c>
      <c r="I142" s="140"/>
      <c r="J142" s="328">
        <f>H142/DAY(B2)</f>
        <v>69.75</v>
      </c>
    </row>
    <row r="143" spans="1:15" ht="27.75" x14ac:dyDescent="0.5">
      <c r="A143" s="846" t="s">
        <v>91</v>
      </c>
      <c r="B143" s="846"/>
      <c r="C143" s="846"/>
      <c r="D143" s="151" t="s">
        <v>183</v>
      </c>
      <c r="E143" s="95">
        <f>'7'!F143</f>
        <v>3220</v>
      </c>
      <c r="F143" s="149">
        <v>3248</v>
      </c>
      <c r="G143" s="112">
        <f t="shared" si="12"/>
        <v>28</v>
      </c>
      <c r="H143" s="99">
        <f>G143+'7'!H143</f>
        <v>187</v>
      </c>
      <c r="I143" s="140"/>
      <c r="J143" s="328">
        <f>H143/DAY(B2)</f>
        <v>23.375</v>
      </c>
    </row>
    <row r="144" spans="1:15" ht="27.75" x14ac:dyDescent="0.5">
      <c r="A144" s="850" t="s">
        <v>90</v>
      </c>
      <c r="B144" s="850"/>
      <c r="C144" s="850"/>
      <c r="D144" s="151" t="s">
        <v>183</v>
      </c>
      <c r="E144" s="95">
        <f>'7'!F144</f>
        <v>871244</v>
      </c>
      <c r="F144" s="149">
        <v>871484</v>
      </c>
      <c r="G144" s="112">
        <f t="shared" si="12"/>
        <v>240</v>
      </c>
      <c r="H144" s="99">
        <f>G144+'7'!H144</f>
        <v>1814</v>
      </c>
      <c r="I144" s="140"/>
      <c r="J144" s="328">
        <f>H144/DAY(B2)</f>
        <v>226.75</v>
      </c>
    </row>
    <row r="145" spans="1:10" ht="27.75" x14ac:dyDescent="0.5">
      <c r="A145" s="846" t="s">
        <v>190</v>
      </c>
      <c r="B145" s="846"/>
      <c r="C145" s="846"/>
      <c r="D145" s="152" t="s">
        <v>183</v>
      </c>
      <c r="E145" s="95">
        <f>'7'!F145</f>
        <v>4676</v>
      </c>
      <c r="F145" s="149">
        <v>4694</v>
      </c>
      <c r="G145" s="112">
        <f t="shared" si="12"/>
        <v>18</v>
      </c>
      <c r="H145" s="99">
        <f>G145+'7'!H145</f>
        <v>136</v>
      </c>
      <c r="I145" s="140"/>
      <c r="J145" s="328">
        <f>H145/DAY(B2)</f>
        <v>17</v>
      </c>
    </row>
    <row r="146" spans="1:10" ht="27.75" x14ac:dyDescent="0.5">
      <c r="A146" s="847" t="s">
        <v>191</v>
      </c>
      <c r="B146" s="848"/>
      <c r="C146" s="849"/>
      <c r="D146" s="152" t="s">
        <v>183</v>
      </c>
      <c r="E146" s="95">
        <f>'7'!F146</f>
        <v>728026</v>
      </c>
      <c r="F146" s="148">
        <v>728434</v>
      </c>
      <c r="G146" s="112">
        <f t="shared" si="12"/>
        <v>408</v>
      </c>
      <c r="H146" s="99">
        <f>G146+'7'!H146</f>
        <v>3576</v>
      </c>
      <c r="I146" s="140"/>
      <c r="J146" s="328">
        <f>H146/DAY(B2)</f>
        <v>447</v>
      </c>
    </row>
    <row r="147" spans="1:10" ht="27.75" x14ac:dyDescent="0.5">
      <c r="A147" s="850" t="s">
        <v>192</v>
      </c>
      <c r="B147" s="850"/>
      <c r="C147" s="850"/>
      <c r="D147" s="152" t="s">
        <v>183</v>
      </c>
      <c r="E147" s="95">
        <f>'7'!F147</f>
        <v>618086</v>
      </c>
      <c r="F147" s="148">
        <v>618444</v>
      </c>
      <c r="G147" s="112">
        <f t="shared" si="12"/>
        <v>358</v>
      </c>
      <c r="H147" s="99">
        <f>G147+'7'!H147</f>
        <v>3162</v>
      </c>
      <c r="I147" s="140"/>
      <c r="J147" s="328">
        <f>H147/DAY(B2)</f>
        <v>395.25</v>
      </c>
    </row>
    <row r="148" spans="1:10" ht="27.75" x14ac:dyDescent="0.5">
      <c r="A148" s="842" t="s">
        <v>193</v>
      </c>
      <c r="B148" s="843"/>
      <c r="C148" s="844"/>
      <c r="D148" s="123" t="s">
        <v>130</v>
      </c>
      <c r="E148" s="95">
        <f>'7'!F148</f>
        <v>684937</v>
      </c>
      <c r="F148" s="150">
        <v>685202</v>
      </c>
      <c r="G148" s="112">
        <f t="shared" si="12"/>
        <v>265</v>
      </c>
      <c r="H148" s="99">
        <f>G148+'7'!H148</f>
        <v>2168.8800000000047</v>
      </c>
      <c r="I148" s="124"/>
      <c r="J148" s="328">
        <f>H148/DAY(B2)</f>
        <v>271.11000000000058</v>
      </c>
    </row>
    <row r="149" spans="1:10" ht="27.75" x14ac:dyDescent="0.5">
      <c r="A149" s="842" t="s">
        <v>336</v>
      </c>
      <c r="B149" s="843"/>
      <c r="C149" s="844"/>
      <c r="D149" s="227" t="s">
        <v>130</v>
      </c>
      <c r="E149" s="95">
        <f>'7'!F149</f>
        <v>13601</v>
      </c>
      <c r="F149" s="146">
        <v>14107</v>
      </c>
      <c r="G149" s="112">
        <f t="shared" si="12"/>
        <v>506</v>
      </c>
      <c r="H149" s="99">
        <f>G149+'7'!H149</f>
        <v>3358</v>
      </c>
      <c r="I149" s="119"/>
      <c r="J149" s="328">
        <f>H149/DAY(B2)</f>
        <v>419.75</v>
      </c>
    </row>
    <row r="150" spans="1:10" ht="27.75" x14ac:dyDescent="0.5">
      <c r="A150" s="842" t="s">
        <v>337</v>
      </c>
      <c r="B150" s="843"/>
      <c r="C150" s="844"/>
      <c r="D150" s="117" t="s">
        <v>130</v>
      </c>
      <c r="E150" s="95">
        <f>'7'!F150</f>
        <v>5593</v>
      </c>
      <c r="F150" s="233">
        <v>5811</v>
      </c>
      <c r="G150" s="112">
        <f t="shared" si="12"/>
        <v>218</v>
      </c>
      <c r="H150" s="99">
        <f>G150+'7'!H150</f>
        <v>1759</v>
      </c>
      <c r="I150" s="119"/>
      <c r="J150" s="328">
        <f>H150/DAY(B2)</f>
        <v>219.875</v>
      </c>
    </row>
    <row r="151" spans="1:10" ht="27.75" x14ac:dyDescent="0.5">
      <c r="A151" s="842" t="s">
        <v>338</v>
      </c>
      <c r="B151" s="843"/>
      <c r="C151" s="844"/>
      <c r="D151" s="117" t="s">
        <v>130</v>
      </c>
      <c r="E151" s="95">
        <f>'7'!F151</f>
        <v>79961</v>
      </c>
      <c r="F151" s="233">
        <v>80192</v>
      </c>
      <c r="G151" s="112">
        <f t="shared" si="12"/>
        <v>231</v>
      </c>
      <c r="H151" s="99">
        <f>G151+'7'!H151</f>
        <v>1975</v>
      </c>
      <c r="I151" s="119"/>
      <c r="J151" s="328">
        <f>H151/DAY(B2)</f>
        <v>246.875</v>
      </c>
    </row>
    <row r="152" spans="1:10" ht="27.75" x14ac:dyDescent="0.5">
      <c r="A152" s="842" t="s">
        <v>339</v>
      </c>
      <c r="B152" s="843"/>
      <c r="C152" s="844"/>
      <c r="D152" s="117" t="s">
        <v>130</v>
      </c>
      <c r="E152" s="95">
        <f>'7'!F152</f>
        <v>1269</v>
      </c>
      <c r="F152" s="233">
        <v>1289</v>
      </c>
      <c r="G152" s="112">
        <f t="shared" si="12"/>
        <v>20</v>
      </c>
      <c r="H152" s="99">
        <f>G152+'7'!H152</f>
        <v>162</v>
      </c>
      <c r="I152" s="119"/>
      <c r="J152" s="328">
        <f>H152/DAY(B2)</f>
        <v>20.25</v>
      </c>
    </row>
    <row r="153" spans="1:10" ht="27.75" x14ac:dyDescent="0.5">
      <c r="A153" s="879" t="s">
        <v>196</v>
      </c>
      <c r="B153" s="880"/>
      <c r="C153" s="365"/>
      <c r="D153" s="358"/>
      <c r="E153" s="360"/>
      <c r="F153" s="361"/>
      <c r="G153" s="362">
        <f>SUM(G138:G152)</f>
        <v>2592</v>
      </c>
      <c r="H153" s="363"/>
      <c r="I153" s="119">
        <f>G153-(G38+G52)</f>
        <v>877</v>
      </c>
      <c r="J153" s="366"/>
    </row>
    <row r="154" spans="1:10" ht="31.5" x14ac:dyDescent="0.55000000000000004">
      <c r="A154" s="883" t="s">
        <v>344</v>
      </c>
      <c r="B154" s="883"/>
      <c r="C154" s="883"/>
      <c r="D154" s="883"/>
      <c r="E154" s="883"/>
      <c r="F154" s="883"/>
      <c r="G154" s="883"/>
      <c r="H154" s="883"/>
      <c r="I154" s="883"/>
      <c r="J154" s="883"/>
    </row>
    <row r="155" spans="1:10" ht="31.5" x14ac:dyDescent="0.55000000000000004">
      <c r="A155" s="850" t="s">
        <v>345</v>
      </c>
      <c r="B155" s="850"/>
      <c r="C155" s="850"/>
      <c r="D155" s="117" t="s">
        <v>130</v>
      </c>
      <c r="E155" s="95">
        <f>'7'!F155</f>
        <v>17300</v>
      </c>
      <c r="F155" s="374">
        <v>17939</v>
      </c>
      <c r="G155" s="112">
        <f t="shared" ref="G155:G156" si="13">F155-E155</f>
        <v>639</v>
      </c>
      <c r="H155" s="99">
        <f>G155+'7'!H155</f>
        <v>4467</v>
      </c>
      <c r="I155" s="364"/>
      <c r="J155" s="328">
        <f>H155/DAY(B2)</f>
        <v>558.375</v>
      </c>
    </row>
    <row r="156" spans="1:10" ht="27.75" x14ac:dyDescent="0.5">
      <c r="A156" s="850" t="s">
        <v>346</v>
      </c>
      <c r="B156" s="850"/>
      <c r="C156" s="850"/>
      <c r="D156" s="117" t="s">
        <v>130</v>
      </c>
      <c r="E156" s="95">
        <f>'7'!F156</f>
        <v>1410</v>
      </c>
      <c r="F156" s="155">
        <v>1459</v>
      </c>
      <c r="G156" s="112">
        <f t="shared" si="13"/>
        <v>49</v>
      </c>
      <c r="H156" s="99">
        <f>G156+'7'!H156</f>
        <v>371</v>
      </c>
      <c r="I156" s="165"/>
      <c r="J156" s="328">
        <f>H156/DAY(B2)</f>
        <v>46.375</v>
      </c>
    </row>
    <row r="157" spans="1:10" ht="27.75" x14ac:dyDescent="0.5">
      <c r="A157" s="842" t="s">
        <v>364</v>
      </c>
      <c r="B157" s="843"/>
      <c r="C157" s="844"/>
      <c r="D157" s="117" t="s">
        <v>130</v>
      </c>
      <c r="E157" s="95"/>
      <c r="F157" s="155"/>
      <c r="G157" s="112"/>
      <c r="H157" s="99"/>
      <c r="I157" s="165"/>
      <c r="J157" s="328"/>
    </row>
    <row r="158" spans="1:10" ht="27.75" x14ac:dyDescent="0.5">
      <c r="A158" s="842" t="s">
        <v>365</v>
      </c>
      <c r="B158" s="843"/>
      <c r="C158" s="844"/>
      <c r="D158" s="117" t="s">
        <v>130</v>
      </c>
      <c r="E158" s="95"/>
      <c r="F158" s="155"/>
      <c r="G158" s="112"/>
      <c r="H158" s="99"/>
      <c r="I158" s="165"/>
      <c r="J158" s="328"/>
    </row>
    <row r="159" spans="1:10" ht="27.75" x14ac:dyDescent="0.5">
      <c r="A159" s="899"/>
      <c r="B159" s="900"/>
      <c r="C159" s="901"/>
      <c r="D159" s="117"/>
      <c r="E159" s="95"/>
      <c r="F159" s="155"/>
      <c r="G159" s="112"/>
      <c r="H159" s="99"/>
      <c r="I159" s="165"/>
      <c r="J159" s="328"/>
    </row>
    <row r="160" spans="1:10" ht="31.5" x14ac:dyDescent="0.55000000000000004">
      <c r="A160" s="883" t="s">
        <v>326</v>
      </c>
      <c r="B160" s="883"/>
      <c r="C160" s="883"/>
      <c r="D160" s="883"/>
      <c r="E160" s="883"/>
      <c r="F160" s="883"/>
      <c r="G160" s="883"/>
      <c r="H160" s="883"/>
      <c r="I160" s="883"/>
      <c r="J160" s="883"/>
    </row>
    <row r="161" spans="1:10" ht="29.25" x14ac:dyDescent="0.5">
      <c r="A161" s="242" t="s">
        <v>92</v>
      </c>
      <c r="B161" s="243"/>
      <c r="C161" s="243"/>
      <c r="D161" s="244" t="s">
        <v>180</v>
      </c>
      <c r="E161" s="95">
        <f>'7'!F161</f>
        <v>471219</v>
      </c>
      <c r="F161" s="235">
        <v>471225</v>
      </c>
      <c r="G161" s="238">
        <f t="shared" ref="G161:G165" si="14">F161-E161</f>
        <v>6</v>
      </c>
      <c r="H161" s="99">
        <f>G161+'7'!H161</f>
        <v>71.840000000025611</v>
      </c>
      <c r="I161" s="236"/>
      <c r="J161" s="239">
        <f>H161/DAY(B2)</f>
        <v>8.9800000000032014</v>
      </c>
    </row>
    <row r="162" spans="1:10" ht="29.25" x14ac:dyDescent="0.5">
      <c r="A162" s="242" t="s">
        <v>93</v>
      </c>
      <c r="B162" s="243"/>
      <c r="C162" s="243"/>
      <c r="D162" s="244" t="s">
        <v>180</v>
      </c>
      <c r="E162" s="95">
        <f>'7'!F162</f>
        <v>87752</v>
      </c>
      <c r="F162" s="235">
        <v>87773</v>
      </c>
      <c r="G162" s="238">
        <f t="shared" si="14"/>
        <v>21</v>
      </c>
      <c r="H162" s="99">
        <f>G162+'7'!H162</f>
        <v>203</v>
      </c>
      <c r="I162" s="236"/>
      <c r="J162" s="239">
        <f>H162/DAY(B2)</f>
        <v>25.375</v>
      </c>
    </row>
    <row r="163" spans="1:10" ht="29.25" x14ac:dyDescent="0.5">
      <c r="A163" s="242" t="s">
        <v>197</v>
      </c>
      <c r="B163" s="243"/>
      <c r="C163" s="243"/>
      <c r="D163" s="244" t="s">
        <v>180</v>
      </c>
      <c r="E163" s="95">
        <f>'7'!F163</f>
        <v>78129</v>
      </c>
      <c r="F163" s="235">
        <v>78155</v>
      </c>
      <c r="G163" s="238">
        <f t="shared" si="14"/>
        <v>26</v>
      </c>
      <c r="H163" s="99">
        <f>G163+'7'!H163</f>
        <v>330</v>
      </c>
      <c r="I163" s="236"/>
      <c r="J163" s="239">
        <f>H163/DAY(B2)</f>
        <v>41.25</v>
      </c>
    </row>
    <row r="164" spans="1:10" ht="29.25" x14ac:dyDescent="0.5">
      <c r="A164" s="242" t="s">
        <v>197</v>
      </c>
      <c r="B164" s="243"/>
      <c r="C164" s="243"/>
      <c r="D164" s="244" t="s">
        <v>180</v>
      </c>
      <c r="E164" s="95">
        <f>'7'!F164</f>
        <v>4253</v>
      </c>
      <c r="F164" s="235">
        <v>4255</v>
      </c>
      <c r="G164" s="238">
        <f t="shared" si="14"/>
        <v>2</v>
      </c>
      <c r="H164" s="99">
        <f>G164+'7'!H164</f>
        <v>13</v>
      </c>
      <c r="I164" s="236"/>
      <c r="J164" s="239">
        <f>H164/DAY(B2)</f>
        <v>1.625</v>
      </c>
    </row>
    <row r="165" spans="1:10" ht="29.25" x14ac:dyDescent="0.5">
      <c r="A165" s="242" t="s">
        <v>309</v>
      </c>
      <c r="B165" s="243"/>
      <c r="C165" s="243"/>
      <c r="D165" s="244" t="s">
        <v>180</v>
      </c>
      <c r="E165" s="95">
        <f>'7'!F165</f>
        <v>29691</v>
      </c>
      <c r="F165" s="503">
        <v>29697</v>
      </c>
      <c r="G165" s="238">
        <f t="shared" si="14"/>
        <v>6</v>
      </c>
      <c r="H165" s="99">
        <f>G165+'7'!H165</f>
        <v>51</v>
      </c>
      <c r="I165" s="236"/>
      <c r="J165" s="239">
        <f>H165/DAY(B2)</f>
        <v>6.375</v>
      </c>
    </row>
    <row r="166" spans="1:10" ht="29.25" x14ac:dyDescent="0.5">
      <c r="A166" s="882"/>
      <c r="B166" s="882"/>
      <c r="C166" s="246"/>
      <c r="D166" s="244" t="s">
        <v>180</v>
      </c>
      <c r="E166" s="95">
        <f>'7'!F166</f>
        <v>0</v>
      </c>
      <c r="F166" s="165"/>
      <c r="G166" s="165"/>
      <c r="H166" s="99">
        <f>G166+'7'!H166</f>
        <v>0</v>
      </c>
      <c r="I166" s="165"/>
      <c r="J166" s="239">
        <f>H166/DAY(B2)</f>
        <v>0</v>
      </c>
    </row>
    <row r="167" spans="1:10" ht="29.25" x14ac:dyDescent="0.5">
      <c r="A167" s="882"/>
      <c r="B167" s="882"/>
      <c r="C167" s="246"/>
      <c r="D167" s="244" t="s">
        <v>180</v>
      </c>
      <c r="E167" s="95">
        <f>'7'!F167</f>
        <v>0</v>
      </c>
      <c r="F167" s="165"/>
      <c r="G167" s="165"/>
      <c r="H167" s="99">
        <f>G167+'7'!H167</f>
        <v>0</v>
      </c>
      <c r="I167" s="165"/>
      <c r="J167" s="239">
        <f>H167/DAY(B2)</f>
        <v>0</v>
      </c>
    </row>
    <row r="168" spans="1:10" ht="29.25" x14ac:dyDescent="0.5">
      <c r="A168" s="882"/>
      <c r="B168" s="882"/>
      <c r="C168" s="246"/>
      <c r="D168" s="244" t="s">
        <v>180</v>
      </c>
      <c r="E168" s="95">
        <f>'7'!F168</f>
        <v>0</v>
      </c>
      <c r="F168" s="165"/>
      <c r="G168" s="165"/>
      <c r="H168" s="99">
        <f>G168+'7'!H168</f>
        <v>0</v>
      </c>
      <c r="I168" s="165"/>
      <c r="J168" s="239">
        <f>H168/DAY(B2)</f>
        <v>0</v>
      </c>
    </row>
    <row r="169" spans="1:10" ht="29.25" x14ac:dyDescent="0.5"/>
    <row r="170" spans="1:10" ht="29.25" x14ac:dyDescent="0.5"/>
    <row r="171" spans="1:10" ht="31.5" x14ac:dyDescent="0.35">
      <c r="A171" s="890" t="s">
        <v>330</v>
      </c>
      <c r="B171" s="891"/>
      <c r="C171" s="891"/>
      <c r="D171" s="891"/>
      <c r="E171" s="891"/>
      <c r="F171" s="891"/>
      <c r="G171" s="891"/>
      <c r="H171" s="891"/>
      <c r="I171" s="891"/>
      <c r="J171" s="892"/>
    </row>
    <row r="172" spans="1:10" ht="27.75" x14ac:dyDescent="0.5">
      <c r="A172" s="886"/>
      <c r="B172" s="887"/>
      <c r="C172" s="332"/>
      <c r="D172" s="228"/>
      <c r="E172" s="155"/>
      <c r="F172" s="155"/>
      <c r="G172" s="155"/>
      <c r="H172" s="156"/>
      <c r="I172" s="155"/>
      <c r="J172" s="178"/>
    </row>
    <row r="173" spans="1:10" ht="27.75" x14ac:dyDescent="0.5">
      <c r="A173" s="840" t="s">
        <v>209</v>
      </c>
      <c r="B173" s="841"/>
      <c r="C173" s="333"/>
      <c r="D173" s="228" t="s">
        <v>142</v>
      </c>
      <c r="E173" s="95">
        <f>'7'!F173</f>
        <v>8126</v>
      </c>
      <c r="F173" s="155">
        <v>8126</v>
      </c>
      <c r="G173" s="155">
        <f>F173-E173</f>
        <v>0</v>
      </c>
      <c r="H173" s="99">
        <f>G173+'7'!H173</f>
        <v>0</v>
      </c>
      <c r="I173" s="155"/>
      <c r="J173" s="178">
        <f>H173/DAY(B2)</f>
        <v>0</v>
      </c>
    </row>
    <row r="174" spans="1:10" ht="27.75" x14ac:dyDescent="0.5">
      <c r="A174" s="840" t="s">
        <v>75</v>
      </c>
      <c r="B174" s="841"/>
      <c r="C174" s="333"/>
      <c r="D174" s="228" t="s">
        <v>142</v>
      </c>
      <c r="E174" s="95">
        <f>'7'!F174</f>
        <v>38358</v>
      </c>
      <c r="F174" s="157">
        <v>38370</v>
      </c>
      <c r="G174" s="155">
        <f t="shared" ref="G174:G175" si="15">F174-E174</f>
        <v>12</v>
      </c>
      <c r="H174" s="99">
        <f>G174+'7'!H174</f>
        <v>77</v>
      </c>
      <c r="I174" s="155"/>
      <c r="J174" s="178">
        <f>H174/DAY(B2)</f>
        <v>9.625</v>
      </c>
    </row>
    <row r="175" spans="1:10" ht="27.75" x14ac:dyDescent="0.5">
      <c r="A175" s="840" t="s">
        <v>76</v>
      </c>
      <c r="B175" s="845"/>
      <c r="C175" s="841"/>
      <c r="D175" s="228" t="s">
        <v>142</v>
      </c>
      <c r="E175" s="95">
        <f>'7'!F175</f>
        <v>21587</v>
      </c>
      <c r="F175" s="155">
        <v>21596</v>
      </c>
      <c r="G175" s="155">
        <f t="shared" si="15"/>
        <v>9</v>
      </c>
      <c r="H175" s="99">
        <f>G175+'7'!H175</f>
        <v>78</v>
      </c>
      <c r="I175" s="155"/>
      <c r="J175" s="178">
        <f>H175/DAY(B2)</f>
        <v>9.75</v>
      </c>
    </row>
    <row r="176" spans="1:10" ht="27.75" x14ac:dyDescent="0.5">
      <c r="A176" s="879" t="s">
        <v>196</v>
      </c>
      <c r="B176" s="880"/>
      <c r="C176" s="333"/>
      <c r="D176" s="228" t="s">
        <v>142</v>
      </c>
      <c r="E176" s="95"/>
      <c r="F176" s="155"/>
      <c r="G176" s="155">
        <f>SUM(G173:G175)</f>
        <v>21</v>
      </c>
      <c r="H176" s="99">
        <f>G176+'7'!H176</f>
        <v>155</v>
      </c>
      <c r="I176" s="155"/>
      <c r="J176" s="178">
        <f>H176/DAY(B2)</f>
        <v>19.375</v>
      </c>
    </row>
    <row r="177" spans="1:10" ht="27.75" x14ac:dyDescent="0.5">
      <c r="A177" s="840" t="s">
        <v>77</v>
      </c>
      <c r="B177" s="841"/>
      <c r="C177" s="333"/>
      <c r="D177" s="228" t="s">
        <v>142</v>
      </c>
      <c r="E177" s="95"/>
      <c r="F177" s="155"/>
      <c r="G177" s="155"/>
      <c r="H177" s="99">
        <f>G177+'7'!H177</f>
        <v>0</v>
      </c>
      <c r="I177" s="155"/>
      <c r="J177" s="178">
        <f>H177/DAY(B2)</f>
        <v>0</v>
      </c>
    </row>
    <row r="178" spans="1:10" ht="27.75" x14ac:dyDescent="0.5">
      <c r="A178" s="840" t="s">
        <v>210</v>
      </c>
      <c r="B178" s="841"/>
      <c r="C178" s="333"/>
      <c r="D178" s="228" t="s">
        <v>142</v>
      </c>
      <c r="E178" s="95">
        <f>'7'!F178</f>
        <v>80108</v>
      </c>
      <c r="F178" s="155">
        <v>80168</v>
      </c>
      <c r="G178" s="155">
        <f>F178-E178</f>
        <v>60</v>
      </c>
      <c r="H178" s="99">
        <f>G178+'7'!H178</f>
        <v>554</v>
      </c>
      <c r="I178" s="155"/>
      <c r="J178" s="178">
        <f>H178/DAY(B2)</f>
        <v>69.25</v>
      </c>
    </row>
    <row r="179" spans="1:10" ht="27.75" x14ac:dyDescent="0.5">
      <c r="A179" s="840" t="s">
        <v>211</v>
      </c>
      <c r="B179" s="841"/>
      <c r="C179" s="333"/>
      <c r="D179" s="228" t="s">
        <v>142</v>
      </c>
      <c r="E179" s="95">
        <f>'7'!F179</f>
        <v>34038</v>
      </c>
      <c r="F179" s="155">
        <v>34052</v>
      </c>
      <c r="G179" s="155">
        <f t="shared" ref="G179:G180" si="16">F179-E179</f>
        <v>14</v>
      </c>
      <c r="H179" s="99">
        <f>G179+'7'!H179</f>
        <v>137</v>
      </c>
      <c r="I179" s="155"/>
      <c r="J179" s="178">
        <f>H179/DAY(B2)</f>
        <v>17.125</v>
      </c>
    </row>
    <row r="180" spans="1:10" ht="27.75" x14ac:dyDescent="0.5">
      <c r="A180" s="840" t="s">
        <v>212</v>
      </c>
      <c r="B180" s="841"/>
      <c r="C180" s="333"/>
      <c r="D180" s="228" t="s">
        <v>142</v>
      </c>
      <c r="E180" s="95">
        <f>'7'!F180</f>
        <v>5528</v>
      </c>
      <c r="F180" s="155">
        <v>5543</v>
      </c>
      <c r="G180" s="155">
        <f t="shared" si="16"/>
        <v>15</v>
      </c>
      <c r="H180" s="99">
        <f>G180+'7'!H180</f>
        <v>66</v>
      </c>
      <c r="I180" s="155"/>
      <c r="J180" s="178">
        <f>H180/DAY(B2)</f>
        <v>8.25</v>
      </c>
    </row>
    <row r="181" spans="1:10" ht="27.75" x14ac:dyDescent="0.5">
      <c r="A181" s="884" t="s">
        <v>108</v>
      </c>
      <c r="B181" s="885"/>
      <c r="C181" s="333"/>
      <c r="D181" s="228" t="s">
        <v>142</v>
      </c>
      <c r="E181" s="95"/>
      <c r="F181" s="155"/>
      <c r="G181" s="155">
        <f>SUM(G178:G180)</f>
        <v>89</v>
      </c>
      <c r="H181" s="99">
        <f>G181+'7'!H181</f>
        <v>757</v>
      </c>
      <c r="I181" s="155"/>
      <c r="J181" s="178">
        <f>H181/DAY(B2)</f>
        <v>94.625</v>
      </c>
    </row>
    <row r="182" spans="1:10" ht="27.75" x14ac:dyDescent="0.5">
      <c r="A182" s="840" t="s">
        <v>213</v>
      </c>
      <c r="B182" s="841"/>
      <c r="C182" s="333"/>
      <c r="D182" s="228" t="s">
        <v>142</v>
      </c>
      <c r="E182" s="95"/>
      <c r="F182" s="155"/>
      <c r="G182" s="155"/>
      <c r="H182" s="99">
        <f>G182+'7'!H182</f>
        <v>0</v>
      </c>
      <c r="I182" s="155"/>
      <c r="J182" s="178">
        <f>H182/DAY(B2)</f>
        <v>0</v>
      </c>
    </row>
    <row r="183" spans="1:10" ht="27.75" x14ac:dyDescent="0.5">
      <c r="A183" s="840" t="s">
        <v>214</v>
      </c>
      <c r="B183" s="841"/>
      <c r="C183" s="334"/>
      <c r="D183" s="228" t="s">
        <v>142</v>
      </c>
      <c r="E183" s="95">
        <f>'7'!F183</f>
        <v>15055</v>
      </c>
      <c r="F183" s="157">
        <v>15064</v>
      </c>
      <c r="G183" s="157">
        <f>F183-E183</f>
        <v>9</v>
      </c>
      <c r="H183" s="99">
        <f>G183+'7'!H183</f>
        <v>117</v>
      </c>
      <c r="I183" s="155"/>
      <c r="J183" s="178">
        <f>H183/DAY(B2)</f>
        <v>14.625</v>
      </c>
    </row>
    <row r="184" spans="1:10" ht="27.75" x14ac:dyDescent="0.5">
      <c r="A184" s="840" t="s">
        <v>215</v>
      </c>
      <c r="B184" s="841"/>
      <c r="C184" s="334"/>
      <c r="D184" s="228" t="s">
        <v>142</v>
      </c>
      <c r="E184" s="95">
        <f>'7'!F184</f>
        <v>10349</v>
      </c>
      <c r="F184" s="157">
        <v>10356</v>
      </c>
      <c r="G184" s="157">
        <f t="shared" ref="G184:G185" si="17">F184-E184</f>
        <v>7</v>
      </c>
      <c r="H184" s="99">
        <f>G184+'7'!H184</f>
        <v>55</v>
      </c>
      <c r="I184" s="155"/>
      <c r="J184" s="178">
        <f>H184/DAY(B2)</f>
        <v>6.875</v>
      </c>
    </row>
    <row r="185" spans="1:10" ht="27.75" x14ac:dyDescent="0.5">
      <c r="A185" s="840" t="s">
        <v>216</v>
      </c>
      <c r="B185" s="841"/>
      <c r="C185" s="334"/>
      <c r="D185" s="228" t="s">
        <v>142</v>
      </c>
      <c r="E185" s="95">
        <f>'7'!F185</f>
        <v>0</v>
      </c>
      <c r="F185" s="157"/>
      <c r="G185" s="157">
        <f t="shared" si="17"/>
        <v>0</v>
      </c>
      <c r="H185" s="99">
        <f>G185+'7'!H185</f>
        <v>0</v>
      </c>
      <c r="I185" s="155"/>
      <c r="J185" s="178">
        <f>H185/DAY(B2)</f>
        <v>0</v>
      </c>
    </row>
    <row r="186" spans="1:10" ht="27" customHeight="1" x14ac:dyDescent="0.5">
      <c r="A186" s="879" t="s">
        <v>196</v>
      </c>
      <c r="B186" s="880"/>
      <c r="C186" s="334"/>
      <c r="D186" s="228" t="s">
        <v>142</v>
      </c>
      <c r="E186" s="95"/>
      <c r="F186" s="157"/>
      <c r="G186" s="157">
        <f>SUM(G183:G185)</f>
        <v>16</v>
      </c>
      <c r="H186" s="99">
        <f>G186+'7'!H186</f>
        <v>172</v>
      </c>
      <c r="I186" s="157"/>
      <c r="J186" s="178">
        <f>H186/DAY(B2)</f>
        <v>21.5</v>
      </c>
    </row>
    <row r="187" spans="1:10" ht="27.75" x14ac:dyDescent="0.5">
      <c r="A187" s="888" t="s">
        <v>217</v>
      </c>
      <c r="B187" s="889"/>
      <c r="C187" s="333"/>
      <c r="D187" s="230" t="s">
        <v>142</v>
      </c>
      <c r="E187" s="95"/>
      <c r="F187" s="159"/>
      <c r="G187" s="462">
        <f>G62+G19</f>
        <v>154</v>
      </c>
      <c r="H187" s="99">
        <f>G187+'7'!H187</f>
        <v>872</v>
      </c>
      <c r="I187" s="158"/>
      <c r="J187" s="179">
        <f>H187/DAY(B2)</f>
        <v>109</v>
      </c>
    </row>
    <row r="188" spans="1:10" ht="27.75" x14ac:dyDescent="0.5">
      <c r="A188" s="888" t="s">
        <v>218</v>
      </c>
      <c r="B188" s="889"/>
      <c r="C188" s="333"/>
      <c r="D188" s="230" t="s">
        <v>142</v>
      </c>
      <c r="E188" s="95"/>
      <c r="F188" s="159"/>
      <c r="G188" s="462">
        <f>G65+G66+G67+G69+G70</f>
        <v>147</v>
      </c>
      <c r="H188" s="99">
        <f>G188+'7'!H188</f>
        <v>1135</v>
      </c>
      <c r="I188" s="158"/>
      <c r="J188" s="179">
        <f>H188/DAY(B2)</f>
        <v>141.875</v>
      </c>
    </row>
    <row r="189" spans="1:10" ht="27.75" x14ac:dyDescent="0.5">
      <c r="A189" s="888" t="s">
        <v>219</v>
      </c>
      <c r="B189" s="889"/>
      <c r="C189" s="333"/>
      <c r="D189" s="230" t="s">
        <v>142</v>
      </c>
      <c r="E189" s="95"/>
      <c r="F189" s="157"/>
      <c r="G189" s="459">
        <f>G181</f>
        <v>89</v>
      </c>
      <c r="H189" s="99">
        <f>G189+'7'!H189</f>
        <v>757</v>
      </c>
      <c r="I189" s="158"/>
      <c r="J189" s="179">
        <f>H189/DAY(B2)</f>
        <v>94.625</v>
      </c>
    </row>
    <row r="190" spans="1:10" ht="27.75" x14ac:dyDescent="0.5">
      <c r="A190" s="811"/>
      <c r="B190" s="812"/>
      <c r="C190" s="475"/>
      <c r="D190" s="480"/>
      <c r="E190" s="480" t="s">
        <v>207</v>
      </c>
      <c r="F190" s="480"/>
      <c r="G190" s="480"/>
      <c r="H190" s="481"/>
      <c r="I190" s="480"/>
      <c r="J190" s="482"/>
    </row>
    <row r="191" spans="1:10" ht="29.25" x14ac:dyDescent="0.5"/>
    <row r="192" spans="1:10" ht="29.25" x14ac:dyDescent="0.5"/>
    <row r="193" ht="29.25" x14ac:dyDescent="0.5"/>
    <row r="194" ht="20.25" customHeight="1" x14ac:dyDescent="0.5"/>
    <row r="195" ht="20.25" customHeight="1" x14ac:dyDescent="0.5"/>
    <row r="196" ht="29.25" x14ac:dyDescent="0.5"/>
    <row r="197" ht="29.25" x14ac:dyDescent="0.5"/>
    <row r="198" ht="29.25" x14ac:dyDescent="0.5"/>
    <row r="199" ht="29.25" x14ac:dyDescent="0.5"/>
    <row r="200" ht="29.25" x14ac:dyDescent="0.5"/>
    <row r="201" ht="29.25" x14ac:dyDescent="0.5"/>
    <row r="202" ht="29.25" x14ac:dyDescent="0.5"/>
    <row r="203" ht="29.25" x14ac:dyDescent="0.5"/>
    <row r="204" ht="29.25" x14ac:dyDescent="0.5"/>
    <row r="205" ht="29.25" x14ac:dyDescent="0.5"/>
    <row r="206" ht="29.25" x14ac:dyDescent="0.5"/>
    <row r="207" ht="29.25" x14ac:dyDescent="0.5"/>
    <row r="208" ht="29.25" x14ac:dyDescent="0.5"/>
    <row r="209" ht="29.25" x14ac:dyDescent="0.5"/>
    <row r="210" ht="29.25" x14ac:dyDescent="0.5"/>
    <row r="211" ht="29.25" x14ac:dyDescent="0.5"/>
    <row r="212" ht="29.25" x14ac:dyDescent="0.5"/>
    <row r="213" ht="29.25" x14ac:dyDescent="0.5"/>
    <row r="214" ht="29.25" x14ac:dyDescent="0.5"/>
    <row r="215" ht="29.25" x14ac:dyDescent="0.5"/>
    <row r="216" ht="29.25" x14ac:dyDescent="0.5"/>
    <row r="217" ht="29.25" x14ac:dyDescent="0.5"/>
    <row r="218" ht="29.25" x14ac:dyDescent="0.5"/>
    <row r="219" ht="29.25" x14ac:dyDescent="0.5"/>
    <row r="220" ht="29.25" x14ac:dyDescent="0.5"/>
    <row r="221" ht="29.25" x14ac:dyDescent="0.5"/>
    <row r="222" ht="29.25" x14ac:dyDescent="0.5"/>
    <row r="223" ht="29.25" x14ac:dyDescent="0.5"/>
    <row r="224" ht="29.25" x14ac:dyDescent="0.5"/>
    <row r="225" ht="29.25" x14ac:dyDescent="0.5"/>
    <row r="226" ht="29.25" x14ac:dyDescent="0.5"/>
    <row r="227" ht="29.25" x14ac:dyDescent="0.5"/>
    <row r="228" ht="29.25" x14ac:dyDescent="0.5"/>
    <row r="229" ht="29.25" x14ac:dyDescent="0.5"/>
    <row r="230" ht="29.25" x14ac:dyDescent="0.5"/>
    <row r="231" ht="29.25" x14ac:dyDescent="0.5"/>
    <row r="232" ht="29.25" x14ac:dyDescent="0.5"/>
    <row r="233" ht="29.25" x14ac:dyDescent="0.5"/>
    <row r="234" ht="29.25" x14ac:dyDescent="0.5"/>
    <row r="235" ht="29.25" x14ac:dyDescent="0.5"/>
    <row r="236" ht="29.25" x14ac:dyDescent="0.5"/>
    <row r="237" ht="29.25" x14ac:dyDescent="0.5"/>
    <row r="238" ht="29.25" x14ac:dyDescent="0.5"/>
    <row r="239" ht="29.25" x14ac:dyDescent="0.5"/>
    <row r="240" ht="29.25" x14ac:dyDescent="0.5"/>
    <row r="241" ht="29.25" x14ac:dyDescent="0.5"/>
    <row r="242" ht="29.25" x14ac:dyDescent="0.5"/>
    <row r="243" ht="29.25" x14ac:dyDescent="0.5"/>
    <row r="244" ht="29.25" x14ac:dyDescent="0.5"/>
    <row r="245" ht="29.25" x14ac:dyDescent="0.5"/>
    <row r="246" ht="29.25" x14ac:dyDescent="0.5"/>
    <row r="247" ht="29.25" x14ac:dyDescent="0.5"/>
    <row r="248" ht="29.25" x14ac:dyDescent="0.5"/>
    <row r="249" ht="29.25" x14ac:dyDescent="0.5"/>
    <row r="250" ht="29.25" x14ac:dyDescent="0.5"/>
    <row r="251" ht="29.25" x14ac:dyDescent="0.5"/>
    <row r="252" ht="29.25" x14ac:dyDescent="0.5"/>
    <row r="253" ht="29.25" x14ac:dyDescent="0.5"/>
    <row r="254" ht="29.25" x14ac:dyDescent="0.5"/>
    <row r="255" ht="29.25" x14ac:dyDescent="0.5"/>
    <row r="256" ht="29.25" x14ac:dyDescent="0.5"/>
    <row r="257" ht="29.25" x14ac:dyDescent="0.5"/>
    <row r="258" ht="29.25" x14ac:dyDescent="0.5"/>
    <row r="259" ht="29.25" x14ac:dyDescent="0.5"/>
    <row r="260" ht="29.25" x14ac:dyDescent="0.5"/>
    <row r="261" ht="29.25" x14ac:dyDescent="0.5"/>
    <row r="262" ht="29.25" x14ac:dyDescent="0.5"/>
    <row r="263" ht="29.25" x14ac:dyDescent="0.5"/>
    <row r="264" ht="29.25" x14ac:dyDescent="0.5"/>
    <row r="265" ht="29.25" x14ac:dyDescent="0.5"/>
    <row r="266" ht="29.25" x14ac:dyDescent="0.5"/>
    <row r="267" ht="29.25" x14ac:dyDescent="0.5"/>
    <row r="268" ht="29.25" x14ac:dyDescent="0.5"/>
    <row r="269" ht="29.25" x14ac:dyDescent="0.5"/>
    <row r="270" ht="29.25" x14ac:dyDescent="0.5"/>
  </sheetData>
  <mergeCells count="115">
    <mergeCell ref="A157:C157"/>
    <mergeCell ref="A158:C158"/>
    <mergeCell ref="A159:C159"/>
    <mergeCell ref="A175:C175"/>
    <mergeCell ref="A182:B182"/>
    <mergeCell ref="A168:B168"/>
    <mergeCell ref="A171:J171"/>
    <mergeCell ref="A172:B172"/>
    <mergeCell ref="A189:B189"/>
    <mergeCell ref="A173:B173"/>
    <mergeCell ref="A174:B174"/>
    <mergeCell ref="A167:B167"/>
    <mergeCell ref="A190:B190"/>
    <mergeCell ref="A184:B184"/>
    <mergeCell ref="A185:B185"/>
    <mergeCell ref="A186:B186"/>
    <mergeCell ref="A187:B187"/>
    <mergeCell ref="A188:B188"/>
    <mergeCell ref="A176:B176"/>
    <mergeCell ref="A177:B177"/>
    <mergeCell ref="A178:B178"/>
    <mergeCell ref="A179:B179"/>
    <mergeCell ref="A180:B180"/>
    <mergeCell ref="A181:B181"/>
    <mergeCell ref="A183:B183"/>
    <mergeCell ref="Q116:R116"/>
    <mergeCell ref="A117:C117"/>
    <mergeCell ref="Q117:R117"/>
    <mergeCell ref="A118:C118"/>
    <mergeCell ref="Q118:R118"/>
    <mergeCell ref="A141:C141"/>
    <mergeCell ref="A142:C142"/>
    <mergeCell ref="A160:J160"/>
    <mergeCell ref="A166:B166"/>
    <mergeCell ref="A127:B127"/>
    <mergeCell ref="A128:C128"/>
    <mergeCell ref="A150:C150"/>
    <mergeCell ref="A151:C151"/>
    <mergeCell ref="A152:C152"/>
    <mergeCell ref="A154:J154"/>
    <mergeCell ref="A155:C155"/>
    <mergeCell ref="A156:C156"/>
    <mergeCell ref="A153:B153"/>
    <mergeCell ref="A135:B135"/>
    <mergeCell ref="A136:J136"/>
    <mergeCell ref="A138:C138"/>
    <mergeCell ref="A139:C139"/>
    <mergeCell ref="A140:C140"/>
    <mergeCell ref="A147:C147"/>
    <mergeCell ref="A145:C145"/>
    <mergeCell ref="A146:C146"/>
    <mergeCell ref="A72:B72"/>
    <mergeCell ref="A78:C78"/>
    <mergeCell ref="A97:C97"/>
    <mergeCell ref="A98:C98"/>
    <mergeCell ref="A99:C99"/>
    <mergeCell ref="A33:C33"/>
    <mergeCell ref="A61:C61"/>
    <mergeCell ref="A62:C62"/>
    <mergeCell ref="A63:C63"/>
    <mergeCell ref="A71:C71"/>
    <mergeCell ref="A73:C73"/>
    <mergeCell ref="A74:C74"/>
    <mergeCell ref="A75:C75"/>
    <mergeCell ref="A76:C76"/>
    <mergeCell ref="A77:C77"/>
    <mergeCell ref="A79:C79"/>
    <mergeCell ref="A80:C80"/>
    <mergeCell ref="A64:C64"/>
    <mergeCell ref="A65:C65"/>
    <mergeCell ref="A81:C81"/>
    <mergeCell ref="A133:C133"/>
    <mergeCell ref="A134:C134"/>
    <mergeCell ref="A125:B125"/>
    <mergeCell ref="A126:J126"/>
    <mergeCell ref="A114:C114"/>
    <mergeCell ref="A115:C115"/>
    <mergeCell ref="A116:C116"/>
    <mergeCell ref="A119:C119"/>
    <mergeCell ref="A120:C120"/>
    <mergeCell ref="A121:C121"/>
    <mergeCell ref="A122:C122"/>
    <mergeCell ref="A111:C111"/>
    <mergeCell ref="A112:C112"/>
    <mergeCell ref="A113:C113"/>
    <mergeCell ref="A100:C100"/>
    <mergeCell ref="A101:C101"/>
    <mergeCell ref="A103:C103"/>
    <mergeCell ref="A104:C104"/>
    <mergeCell ref="A105:C105"/>
    <mergeCell ref="A124:C124"/>
    <mergeCell ref="A148:C148"/>
    <mergeCell ref="A149:C149"/>
    <mergeCell ref="A143:C143"/>
    <mergeCell ref="A144:C144"/>
    <mergeCell ref="A131:C131"/>
    <mergeCell ref="A132:C132"/>
    <mergeCell ref="A1:J1"/>
    <mergeCell ref="A6:C6"/>
    <mergeCell ref="A14:C14"/>
    <mergeCell ref="A17:C17"/>
    <mergeCell ref="E3:F3"/>
    <mergeCell ref="A18:C18"/>
    <mergeCell ref="A19:C19"/>
    <mergeCell ref="A21:C21"/>
    <mergeCell ref="A25:C25"/>
    <mergeCell ref="A102:C102"/>
    <mergeCell ref="A123:C123"/>
    <mergeCell ref="A109:B109"/>
    <mergeCell ref="A95:C95"/>
    <mergeCell ref="A96:C96"/>
    <mergeCell ref="A93:C93"/>
    <mergeCell ref="A94:C94"/>
    <mergeCell ref="A108:J108"/>
    <mergeCell ref="A110:J110"/>
  </mergeCells>
  <pageMargins left="0.22" right="0.17" top="0.14000000000000001" bottom="0.2" header="0.2" footer="0.2"/>
  <pageSetup paperSize="5" scale="1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1:R270"/>
  <sheetViews>
    <sheetView view="pageBreakPreview" topLeftCell="A10" zoomScale="55" zoomScaleNormal="80" zoomScaleSheetLayoutView="55" workbookViewId="0">
      <selection activeCell="F23" sqref="F23"/>
    </sheetView>
  </sheetViews>
  <sheetFormatPr defaultColWidth="22.33203125" defaultRowHeight="21.95" customHeight="1" x14ac:dyDescent="0.5"/>
  <cols>
    <col min="1" max="1" width="51.21875" style="94" customWidth="1"/>
    <col min="2" max="2" width="24.88671875" style="97" customWidth="1"/>
    <col min="3" max="3" width="17.88671875" style="97" customWidth="1"/>
    <col min="4" max="4" width="13.6640625" style="160" customWidth="1"/>
    <col min="5" max="6" width="30" style="160" customWidth="1"/>
    <col min="7" max="7" width="28.88671875" style="160" customWidth="1"/>
    <col min="8" max="8" width="39.21875" style="161" customWidth="1"/>
    <col min="9" max="9" width="23.5546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33.75" x14ac:dyDescent="0.65">
      <c r="A1" s="821" t="s">
        <v>115</v>
      </c>
      <c r="B1" s="822"/>
      <c r="C1" s="822"/>
      <c r="D1" s="822"/>
      <c r="E1" s="822"/>
      <c r="F1" s="822"/>
      <c r="G1" s="822"/>
      <c r="H1" s="822"/>
      <c r="I1" s="822"/>
      <c r="J1" s="823"/>
    </row>
    <row r="2" spans="1:15" s="57" customFormat="1" ht="27" x14ac:dyDescent="0.5">
      <c r="A2" s="191" t="s">
        <v>361</v>
      </c>
      <c r="B2" s="262">
        <v>44570</v>
      </c>
      <c r="C2" s="348" t="s">
        <v>67</v>
      </c>
      <c r="D2" s="218">
        <v>0.7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27" x14ac:dyDescent="0.5">
      <c r="A3" s="189"/>
      <c r="B3" s="221"/>
      <c r="C3" s="348" t="s">
        <v>118</v>
      </c>
      <c r="D3" s="219">
        <v>23</v>
      </c>
      <c r="E3" s="830" t="s">
        <v>119</v>
      </c>
      <c r="F3" s="831"/>
      <c r="G3" s="101"/>
      <c r="H3" s="102"/>
      <c r="I3" s="102"/>
      <c r="J3" s="222"/>
      <c r="K3" s="61"/>
      <c r="L3" s="58"/>
    </row>
    <row r="4" spans="1:15" s="57" customFormat="1" ht="27" x14ac:dyDescent="0.5">
      <c r="A4" s="192"/>
      <c r="B4" s="223"/>
      <c r="C4" s="348" t="s">
        <v>120</v>
      </c>
      <c r="D4" s="218">
        <v>0.77</v>
      </c>
      <c r="E4" s="103"/>
      <c r="F4" s="103"/>
      <c r="G4" s="103"/>
      <c r="H4" s="103"/>
      <c r="I4" s="104"/>
      <c r="J4" s="222"/>
      <c r="K4" s="62"/>
      <c r="L4" s="58"/>
    </row>
    <row r="5" spans="1:15" ht="29.25" x14ac:dyDescent="0.4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5" ht="29.25" x14ac:dyDescent="0.4">
      <c r="A6" s="824" t="s">
        <v>128</v>
      </c>
      <c r="B6" s="825"/>
      <c r="C6" s="826"/>
      <c r="D6" s="110"/>
      <c r="E6" s="110"/>
      <c r="F6" s="110"/>
      <c r="G6" s="110"/>
      <c r="H6" s="111"/>
      <c r="I6" s="111"/>
      <c r="J6" s="174"/>
      <c r="K6" s="78"/>
      <c r="L6" s="66"/>
    </row>
    <row r="7" spans="1:15" ht="30" thickBot="1" x14ac:dyDescent="0.45">
      <c r="A7" s="194" t="s">
        <v>129</v>
      </c>
      <c r="B7" s="195"/>
      <c r="C7" s="195"/>
      <c r="D7" s="151" t="s">
        <v>130</v>
      </c>
      <c r="E7" s="95">
        <f>'8'!F7</f>
        <v>252267</v>
      </c>
      <c r="F7" s="95">
        <v>269978</v>
      </c>
      <c r="G7" s="112">
        <f>F7-E7</f>
        <v>17711</v>
      </c>
      <c r="H7" s="99">
        <f>G7+'8'!H7</f>
        <v>175417</v>
      </c>
      <c r="I7" s="113">
        <f>'1'!I7</f>
        <v>12000</v>
      </c>
      <c r="J7" s="175">
        <f>H7/DAY(B2)</f>
        <v>19490.777777777777</v>
      </c>
      <c r="K7" s="172">
        <v>1375467</v>
      </c>
      <c r="L7" s="66"/>
      <c r="N7" s="87"/>
      <c r="O7" s="71"/>
    </row>
    <row r="8" spans="1:15" ht="27.75" thickBot="1" x14ac:dyDescent="0.45">
      <c r="A8" s="196" t="s">
        <v>131</v>
      </c>
      <c r="B8" s="197"/>
      <c r="C8" s="198"/>
      <c r="D8" s="224" t="s">
        <v>24</v>
      </c>
      <c r="E8" s="95">
        <f>'8'!F8</f>
        <v>301926</v>
      </c>
      <c r="F8" s="95">
        <v>319937</v>
      </c>
      <c r="G8" s="115">
        <f>F8-E8</f>
        <v>18011</v>
      </c>
      <c r="H8" s="99">
        <f>G8+'8'!H8</f>
        <v>179052</v>
      </c>
      <c r="I8" s="116"/>
      <c r="J8" s="175">
        <f>H8/DAY(B2)</f>
        <v>19894.666666666668</v>
      </c>
      <c r="K8" s="172">
        <v>1715917</v>
      </c>
      <c r="L8" s="76">
        <v>1728480</v>
      </c>
      <c r="M8" s="87">
        <f>L8-K8</f>
        <v>12563</v>
      </c>
      <c r="N8" s="87"/>
      <c r="O8" s="71"/>
    </row>
    <row r="9" spans="1:15" ht="29.25" x14ac:dyDescent="0.4">
      <c r="A9" s="199" t="s">
        <v>132</v>
      </c>
      <c r="B9" s="200"/>
      <c r="C9" s="200"/>
      <c r="D9" s="151" t="s">
        <v>130</v>
      </c>
      <c r="E9" s="95">
        <v>0</v>
      </c>
      <c r="F9" s="353">
        <v>11657</v>
      </c>
      <c r="G9" s="112">
        <f>F9-E9</f>
        <v>11657</v>
      </c>
      <c r="H9" s="99">
        <f>G9+'8'!H9</f>
        <v>110162</v>
      </c>
      <c r="I9" s="124">
        <f>I7-J7</f>
        <v>-7490.7777777777774</v>
      </c>
      <c r="J9" s="175">
        <f>H9/DAY(B2)</f>
        <v>12240.222222222223</v>
      </c>
      <c r="K9" s="79">
        <f>K8-100</f>
        <v>1715817</v>
      </c>
      <c r="L9" s="66"/>
      <c r="N9" s="87"/>
      <c r="O9" s="71"/>
    </row>
    <row r="10" spans="1:15" ht="29.25" x14ac:dyDescent="0.4">
      <c r="A10" s="194" t="s">
        <v>133</v>
      </c>
      <c r="B10" s="195"/>
      <c r="C10" s="195"/>
      <c r="D10" s="151" t="s">
        <v>130</v>
      </c>
      <c r="E10" s="95">
        <v>0</v>
      </c>
      <c r="F10" s="117">
        <v>5534</v>
      </c>
      <c r="G10" s="112">
        <f t="shared" ref="G10:G12" si="0">F10-E10</f>
        <v>5534</v>
      </c>
      <c r="H10" s="99">
        <f>G10+'8'!H10</f>
        <v>60440</v>
      </c>
      <c r="I10" s="282"/>
      <c r="J10" s="175">
        <f>H10/DAY(B2)</f>
        <v>6715.5555555555557</v>
      </c>
      <c r="K10" s="79"/>
      <c r="L10" s="66"/>
      <c r="N10" s="87"/>
      <c r="O10" s="71"/>
    </row>
    <row r="11" spans="1:15" ht="29.25" x14ac:dyDescent="0.4">
      <c r="A11" s="194" t="s">
        <v>134</v>
      </c>
      <c r="B11" s="195"/>
      <c r="C11" s="195"/>
      <c r="D11" s="151" t="s">
        <v>130</v>
      </c>
      <c r="E11" s="95">
        <f>'8'!F11</f>
        <v>37000</v>
      </c>
      <c r="F11" s="95">
        <v>37000</v>
      </c>
      <c r="G11" s="112">
        <f t="shared" si="0"/>
        <v>0</v>
      </c>
      <c r="H11" s="99">
        <f>G11+'8'!H11</f>
        <v>0</v>
      </c>
      <c r="I11" s="282"/>
      <c r="J11" s="175">
        <f>H11/DAY(B2)</f>
        <v>0</v>
      </c>
      <c r="K11" s="79"/>
      <c r="L11" s="66"/>
      <c r="N11" s="87"/>
      <c r="O11" s="71"/>
    </row>
    <row r="12" spans="1:15" ht="29.25" x14ac:dyDescent="0.4">
      <c r="A12" s="194" t="s">
        <v>135</v>
      </c>
      <c r="B12" s="195"/>
      <c r="C12" s="195"/>
      <c r="D12" s="151" t="s">
        <v>130</v>
      </c>
      <c r="E12" s="95">
        <f>'8'!F12</f>
        <v>40010</v>
      </c>
      <c r="F12" s="117">
        <v>40010</v>
      </c>
      <c r="G12" s="112">
        <f t="shared" si="0"/>
        <v>0</v>
      </c>
      <c r="H12" s="99">
        <f>G12+'8'!H12</f>
        <v>0</v>
      </c>
      <c r="I12" s="282"/>
      <c r="J12" s="175">
        <f>H12/DAY(B2)</f>
        <v>0</v>
      </c>
      <c r="K12" s="79"/>
      <c r="L12" s="66"/>
      <c r="N12" s="87"/>
      <c r="O12" s="71"/>
    </row>
    <row r="13" spans="1:15" ht="29.25" x14ac:dyDescent="0.5">
      <c r="A13" s="201" t="s">
        <v>136</v>
      </c>
      <c r="B13" s="202"/>
      <c r="C13" s="202"/>
      <c r="D13" s="151"/>
      <c r="E13" s="95"/>
      <c r="F13" s="95"/>
      <c r="G13" s="119">
        <f>G9+G10+G11+G12</f>
        <v>17191</v>
      </c>
      <c r="H13" s="99">
        <f>G13+'8'!H13</f>
        <v>151136.74999999988</v>
      </c>
      <c r="I13" s="120">
        <f>G7-G13</f>
        <v>520</v>
      </c>
      <c r="J13" s="175">
        <f>H13/DAY(B2)</f>
        <v>16792.972222222208</v>
      </c>
      <c r="K13" s="79"/>
      <c r="L13" s="66"/>
      <c r="N13" s="87"/>
      <c r="O13" s="71"/>
    </row>
    <row r="14" spans="1:15" ht="29.25" x14ac:dyDescent="0.5">
      <c r="A14" s="827" t="s">
        <v>137</v>
      </c>
      <c r="B14" s="828"/>
      <c r="C14" s="829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5" ht="29.25" x14ac:dyDescent="0.5">
      <c r="A15" s="345" t="s">
        <v>138</v>
      </c>
      <c r="B15" s="205"/>
      <c r="C15" s="205"/>
      <c r="D15" s="151" t="s">
        <v>139</v>
      </c>
      <c r="E15" s="95">
        <f>'8'!F15</f>
        <v>1885692</v>
      </c>
      <c r="F15" s="601">
        <v>1886599</v>
      </c>
      <c r="G15" s="112">
        <f>(F15-E15)</f>
        <v>907</v>
      </c>
      <c r="H15" s="99">
        <f>G15+'8'!H15</f>
        <v>8169</v>
      </c>
      <c r="I15" s="113">
        <f>'1'!I15</f>
        <v>800</v>
      </c>
      <c r="J15" s="175">
        <f>H15/DAY(B2)</f>
        <v>907.66666666666663</v>
      </c>
      <c r="K15" s="79"/>
      <c r="L15" s="66"/>
      <c r="N15" s="87"/>
      <c r="O15" s="71"/>
    </row>
    <row r="16" spans="1:15" ht="29.25" x14ac:dyDescent="0.4">
      <c r="A16" s="203"/>
      <c r="B16" s="204"/>
      <c r="C16" s="204"/>
      <c r="D16" s="152"/>
      <c r="E16" s="123"/>
      <c r="F16" s="123"/>
      <c r="G16" s="112"/>
      <c r="H16" s="124"/>
      <c r="I16" s="120">
        <f>I15-J15</f>
        <v>-107.66666666666663</v>
      </c>
      <c r="J16" s="176"/>
      <c r="K16" s="79"/>
      <c r="L16" s="66"/>
      <c r="N16" s="87"/>
      <c r="O16" s="71"/>
    </row>
    <row r="17" spans="1:15" ht="29.25" x14ac:dyDescent="0.5">
      <c r="A17" s="827" t="s">
        <v>140</v>
      </c>
      <c r="B17" s="828"/>
      <c r="C17" s="829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5" ht="27.75" x14ac:dyDescent="0.5">
      <c r="A18" s="818" t="s">
        <v>141</v>
      </c>
      <c r="B18" s="819"/>
      <c r="C18" s="820"/>
      <c r="D18" s="151" t="s">
        <v>142</v>
      </c>
      <c r="E18" s="95">
        <f>'8'!F18</f>
        <v>16</v>
      </c>
      <c r="F18" s="122">
        <v>15</v>
      </c>
      <c r="G18" s="119">
        <f>F18*10</f>
        <v>150</v>
      </c>
      <c r="H18" s="99">
        <f>G18+'8'!H18</f>
        <v>1220</v>
      </c>
      <c r="I18" s="113">
        <f>'1'!I18</f>
        <v>65</v>
      </c>
      <c r="J18" s="175">
        <f>H18/DAY(B2)</f>
        <v>135.55555555555554</v>
      </c>
      <c r="K18" s="79"/>
      <c r="L18" s="66"/>
      <c r="N18" s="87"/>
      <c r="O18" s="71"/>
    </row>
    <row r="19" spans="1:15" ht="27.75" x14ac:dyDescent="0.5">
      <c r="A19" s="818" t="s">
        <v>69</v>
      </c>
      <c r="B19" s="819"/>
      <c r="C19" s="820"/>
      <c r="D19" s="151" t="s">
        <v>142</v>
      </c>
      <c r="E19" s="95">
        <f>'8'!F19</f>
        <v>152640</v>
      </c>
      <c r="F19" s="122">
        <v>152695</v>
      </c>
      <c r="G19" s="112">
        <f t="shared" ref="G19" si="1">F19-E19</f>
        <v>55</v>
      </c>
      <c r="H19" s="99">
        <f>G19+'8'!H19</f>
        <v>470</v>
      </c>
      <c r="I19" s="335"/>
      <c r="J19" s="175">
        <f>H19/DAY(B2)</f>
        <v>52.222222222222221</v>
      </c>
      <c r="K19" s="79"/>
      <c r="L19" s="66"/>
      <c r="N19" s="87"/>
      <c r="O19" s="71"/>
    </row>
    <row r="20" spans="1:15" ht="29.25" x14ac:dyDescent="0.5">
      <c r="A20" s="201" t="s">
        <v>143</v>
      </c>
      <c r="B20" s="202"/>
      <c r="C20" s="202"/>
      <c r="D20" s="126"/>
      <c r="E20" s="126"/>
      <c r="F20" s="126"/>
      <c r="G20" s="127">
        <f>G18+G19</f>
        <v>205</v>
      </c>
      <c r="H20" s="99">
        <f>G20+'8'!H20</f>
        <v>1690</v>
      </c>
      <c r="I20" s="336">
        <f>I18-J20</f>
        <v>-122.77777777777777</v>
      </c>
      <c r="J20" s="175">
        <f>H20/DAY(B2)</f>
        <v>187.77777777777777</v>
      </c>
      <c r="K20" s="79"/>
      <c r="L20" s="66"/>
      <c r="N20" s="87"/>
      <c r="O20" s="71"/>
    </row>
    <row r="21" spans="1:15" ht="29.25" x14ac:dyDescent="0.5">
      <c r="A21" s="827" t="s">
        <v>144</v>
      </c>
      <c r="B21" s="828"/>
      <c r="C21" s="829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5" ht="29.25" x14ac:dyDescent="0.5">
      <c r="A22" s="345" t="s">
        <v>145</v>
      </c>
      <c r="B22" s="205"/>
      <c r="C22" s="205"/>
      <c r="D22" s="151" t="s">
        <v>146</v>
      </c>
      <c r="E22" s="95">
        <f>'8'!F22</f>
        <v>2970</v>
      </c>
      <c r="F22" s="122">
        <v>2970</v>
      </c>
      <c r="G22" s="119">
        <f t="shared" ref="G22" si="2">(F22-E22)</f>
        <v>0</v>
      </c>
      <c r="H22" s="99">
        <f>G22+'8'!H22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29.25" x14ac:dyDescent="0.5">
      <c r="A23" s="345" t="s">
        <v>147</v>
      </c>
      <c r="B23" s="205"/>
      <c r="C23" s="205"/>
      <c r="D23" s="151" t="s">
        <v>146</v>
      </c>
      <c r="E23" s="95">
        <f>'8'!F23</f>
        <v>1500</v>
      </c>
      <c r="F23" s="122">
        <v>1500</v>
      </c>
      <c r="G23" s="119">
        <v>0</v>
      </c>
      <c r="H23" s="99">
        <f>G23+'8'!H23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5" ht="29.25" x14ac:dyDescent="0.4">
      <c r="A24" s="206" t="s">
        <v>148</v>
      </c>
      <c r="B24" s="207"/>
      <c r="C24" s="207"/>
      <c r="D24" s="146" t="s">
        <v>146</v>
      </c>
      <c r="E24" s="95">
        <f>'8'!F24</f>
        <v>4970</v>
      </c>
      <c r="F24" s="128">
        <v>4970</v>
      </c>
      <c r="G24" s="119">
        <v>0</v>
      </c>
      <c r="H24" s="99">
        <f>G24+'8'!H24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5" s="88" customFormat="1" ht="27" x14ac:dyDescent="0.35">
      <c r="A25" s="832" t="s">
        <v>149</v>
      </c>
      <c r="B25" s="833"/>
      <c r="C25" s="834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5" s="88" customFormat="1" ht="27.75" x14ac:dyDescent="0.5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/>
      <c r="I26" s="134"/>
      <c r="J26" s="175"/>
      <c r="K26" s="64"/>
      <c r="L26" s="89"/>
      <c r="N26" s="87"/>
      <c r="O26" s="71"/>
    </row>
    <row r="27" spans="1:15" s="88" customFormat="1" ht="27.75" x14ac:dyDescent="0.5">
      <c r="A27" s="208" t="s">
        <v>5</v>
      </c>
      <c r="B27" s="209"/>
      <c r="C27" s="210"/>
      <c r="D27" s="226" t="s">
        <v>24</v>
      </c>
      <c r="E27" s="135">
        <f>G8</f>
        <v>18011</v>
      </c>
      <c r="F27" s="136">
        <v>9</v>
      </c>
      <c r="G27" s="137">
        <f>E27*F27</f>
        <v>162099</v>
      </c>
      <c r="H27" s="99">
        <f>G27+'8'!H27</f>
        <v>1611468</v>
      </c>
      <c r="I27" s="138"/>
      <c r="J27" s="175">
        <f>H27/DAY(B2)</f>
        <v>179052</v>
      </c>
      <c r="K27" s="63"/>
      <c r="L27" s="89"/>
      <c r="N27" s="87"/>
      <c r="O27" s="71"/>
    </row>
    <row r="28" spans="1:15" s="88" customFormat="1" ht="27.75" x14ac:dyDescent="0.5">
      <c r="A28" s="208" t="s">
        <v>152</v>
      </c>
      <c r="B28" s="209"/>
      <c r="C28" s="210"/>
      <c r="D28" s="226" t="s">
        <v>153</v>
      </c>
      <c r="E28" s="139">
        <f>G15</f>
        <v>907</v>
      </c>
      <c r="F28" s="136">
        <v>52</v>
      </c>
      <c r="G28" s="137">
        <f>E28*F28</f>
        <v>47164</v>
      </c>
      <c r="H28" s="99">
        <f>G28+'8'!H28</f>
        <v>424788</v>
      </c>
      <c r="I28" s="140"/>
      <c r="J28" s="175">
        <f>H28/DAY(B2)</f>
        <v>47198.666666666664</v>
      </c>
      <c r="K28" s="63"/>
      <c r="L28" s="89"/>
      <c r="N28" s="87"/>
      <c r="O28" s="71"/>
    </row>
    <row r="29" spans="1:15" s="88" customFormat="1" ht="27.75" x14ac:dyDescent="0.5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>E29*F29</f>
        <v>0</v>
      </c>
      <c r="H29" s="99">
        <f>G29+'8'!H29</f>
        <v>0</v>
      </c>
      <c r="I29" s="140"/>
      <c r="J29" s="175">
        <f>H29/DAY(B2)</f>
        <v>0</v>
      </c>
      <c r="K29" s="63"/>
      <c r="L29" s="89"/>
      <c r="N29" s="87"/>
      <c r="O29" s="71"/>
    </row>
    <row r="30" spans="1:15" s="88" customFormat="1" ht="27.75" x14ac:dyDescent="0.5">
      <c r="A30" s="208" t="s">
        <v>156</v>
      </c>
      <c r="B30" s="209"/>
      <c r="C30" s="210"/>
      <c r="D30" s="226" t="s">
        <v>157</v>
      </c>
      <c r="E30" s="141">
        <f>G19</f>
        <v>55</v>
      </c>
      <c r="F30" s="136">
        <v>146</v>
      </c>
      <c r="G30" s="137">
        <f>E30*F30</f>
        <v>8030</v>
      </c>
      <c r="H30" s="99">
        <f>G30+'8'!H30</f>
        <v>68620</v>
      </c>
      <c r="I30" s="140"/>
      <c r="J30" s="175">
        <f>H30/DAY(B2)</f>
        <v>7624.4444444444443</v>
      </c>
      <c r="K30" s="63"/>
      <c r="L30" s="89"/>
      <c r="N30" s="87"/>
      <c r="O30" s="71"/>
    </row>
    <row r="31" spans="1:15" s="88" customFormat="1" ht="27.75" x14ac:dyDescent="0.5">
      <c r="A31" s="208" t="s">
        <v>158</v>
      </c>
      <c r="B31" s="209"/>
      <c r="C31" s="210"/>
      <c r="D31" s="226" t="s">
        <v>142</v>
      </c>
      <c r="E31" s="141">
        <f>G18</f>
        <v>150</v>
      </c>
      <c r="F31" s="136">
        <v>80</v>
      </c>
      <c r="G31" s="137">
        <f>E31*F31</f>
        <v>12000</v>
      </c>
      <c r="H31" s="99">
        <f>G31+'8'!H31</f>
        <v>97600</v>
      </c>
      <c r="I31" s="140"/>
      <c r="J31" s="175">
        <f>H31/DAY(B2)</f>
        <v>10844.444444444445</v>
      </c>
      <c r="K31" s="63"/>
      <c r="L31" s="89"/>
      <c r="N31" s="87"/>
      <c r="O31" s="71"/>
    </row>
    <row r="32" spans="1:15" s="88" customFormat="1" ht="27.75" x14ac:dyDescent="0.5">
      <c r="A32" s="211" t="s">
        <v>159</v>
      </c>
      <c r="B32" s="212"/>
      <c r="C32" s="213"/>
      <c r="D32" s="142"/>
      <c r="E32" s="142"/>
      <c r="F32" s="142"/>
      <c r="G32" s="143">
        <f>G27+G28+G29+G30+G31</f>
        <v>229293</v>
      </c>
      <c r="H32" s="99">
        <f>G32+'8'!H32</f>
        <v>2202476</v>
      </c>
      <c r="I32" s="144"/>
      <c r="J32" s="175">
        <f>H32/DAY(B2)</f>
        <v>244719.55555555556</v>
      </c>
      <c r="K32" s="63"/>
      <c r="L32" s="89"/>
      <c r="N32" s="87"/>
      <c r="O32" s="71"/>
    </row>
    <row r="33" spans="1:15" ht="25.5" customHeight="1" x14ac:dyDescent="0.35">
      <c r="A33" s="835" t="s">
        <v>331</v>
      </c>
      <c r="B33" s="836"/>
      <c r="C33" s="836"/>
      <c r="D33" s="337"/>
      <c r="E33" s="337"/>
      <c r="F33" s="337"/>
      <c r="G33" s="337"/>
      <c r="H33" s="337"/>
      <c r="I33" s="337"/>
      <c r="J33" s="338"/>
      <c r="K33" s="79"/>
      <c r="L33" s="66"/>
      <c r="N33" s="87"/>
      <c r="O33" s="71"/>
    </row>
    <row r="34" spans="1:15" ht="29.25" x14ac:dyDescent="0.5">
      <c r="A34" s="214" t="s">
        <v>160</v>
      </c>
      <c r="B34" s="349"/>
      <c r="C34" s="349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29.25" x14ac:dyDescent="0.4">
      <c r="A35" s="194" t="s">
        <v>161</v>
      </c>
      <c r="B35" s="195"/>
      <c r="C35" s="195"/>
      <c r="D35" s="151" t="s">
        <v>130</v>
      </c>
      <c r="E35" s="95">
        <v>0</v>
      </c>
      <c r="F35" s="145">
        <v>1783</v>
      </c>
      <c r="G35" s="112">
        <f t="shared" ref="G35:G46" si="3">F35-E35</f>
        <v>1783</v>
      </c>
      <c r="H35" s="99">
        <f>G35+'8'!H35</f>
        <v>16983</v>
      </c>
      <c r="I35" s="95"/>
      <c r="J35" s="175">
        <f>H35/DAY(B2)</f>
        <v>1887</v>
      </c>
      <c r="K35" s="79"/>
      <c r="L35" s="66"/>
      <c r="N35" s="87"/>
      <c r="O35" s="71"/>
    </row>
    <row r="36" spans="1:15" ht="29.25" x14ac:dyDescent="0.4">
      <c r="A36" s="194" t="s">
        <v>162</v>
      </c>
      <c r="B36" s="195"/>
      <c r="C36" s="195"/>
      <c r="D36" s="151" t="s">
        <v>130</v>
      </c>
      <c r="E36" s="95">
        <f>'8'!F36</f>
        <v>27971</v>
      </c>
      <c r="F36" s="145">
        <v>28675</v>
      </c>
      <c r="G36" s="112">
        <f t="shared" si="3"/>
        <v>704</v>
      </c>
      <c r="H36" s="99">
        <f>G36+'8'!H36</f>
        <v>7148</v>
      </c>
      <c r="I36" s="95"/>
      <c r="J36" s="175">
        <f>H36/DAY(B2)</f>
        <v>794.22222222222217</v>
      </c>
      <c r="K36" s="79"/>
      <c r="L36" s="66"/>
      <c r="N36" s="87"/>
      <c r="O36" s="344"/>
    </row>
    <row r="37" spans="1:15" ht="29.25" x14ac:dyDescent="0.4">
      <c r="A37" s="194" t="s">
        <v>163</v>
      </c>
      <c r="B37" s="195"/>
      <c r="C37" s="195"/>
      <c r="D37" s="151" t="s">
        <v>130</v>
      </c>
      <c r="E37" s="95">
        <v>0</v>
      </c>
      <c r="F37" s="145">
        <v>1472</v>
      </c>
      <c r="G37" s="112">
        <f t="shared" si="3"/>
        <v>1472</v>
      </c>
      <c r="H37" s="99">
        <f>G37+'8'!H37</f>
        <v>13684</v>
      </c>
      <c r="I37" s="95"/>
      <c r="J37" s="175">
        <f>H37/DAY(B2)</f>
        <v>1520.4444444444443</v>
      </c>
      <c r="K37" s="79"/>
      <c r="L37" s="66"/>
      <c r="N37" s="87"/>
      <c r="O37" s="234"/>
    </row>
    <row r="38" spans="1:15" ht="29.25" x14ac:dyDescent="0.4">
      <c r="A38" s="194" t="s">
        <v>164</v>
      </c>
      <c r="B38" s="195"/>
      <c r="C38" s="195"/>
      <c r="D38" s="151" t="s">
        <v>130</v>
      </c>
      <c r="E38" s="95">
        <v>0</v>
      </c>
      <c r="F38" s="108">
        <v>1658</v>
      </c>
      <c r="G38" s="112">
        <f t="shared" si="3"/>
        <v>1658</v>
      </c>
      <c r="H38" s="99">
        <f>G38+'8'!H38</f>
        <v>14858</v>
      </c>
      <c r="I38" s="95"/>
      <c r="J38" s="175">
        <f>H38/DAY(B2)</f>
        <v>1650.8888888888889</v>
      </c>
      <c r="K38" s="79"/>
      <c r="L38" s="66"/>
      <c r="N38" s="87"/>
      <c r="O38" s="71"/>
    </row>
    <row r="39" spans="1:15" ht="29.25" x14ac:dyDescent="0.4">
      <c r="A39" s="194" t="s">
        <v>165</v>
      </c>
      <c r="B39" s="195"/>
      <c r="C39" s="195"/>
      <c r="D39" s="151" t="s">
        <v>130</v>
      </c>
      <c r="E39" s="95">
        <v>0</v>
      </c>
      <c r="F39" s="145">
        <v>2610</v>
      </c>
      <c r="G39" s="112">
        <f t="shared" si="3"/>
        <v>2610</v>
      </c>
      <c r="H39" s="99">
        <f>G39+'8'!H39</f>
        <v>24292</v>
      </c>
      <c r="I39" s="95"/>
      <c r="J39" s="175">
        <f>H39/DAY(B2)</f>
        <v>2699.1111111111113</v>
      </c>
      <c r="K39" s="79"/>
      <c r="L39" s="66"/>
      <c r="N39" s="87"/>
      <c r="O39" s="71"/>
    </row>
    <row r="40" spans="1:15" ht="29.25" x14ac:dyDescent="0.4">
      <c r="A40" s="215" t="s">
        <v>166</v>
      </c>
      <c r="B40" s="216"/>
      <c r="C40" s="216"/>
      <c r="D40" s="151" t="s">
        <v>130</v>
      </c>
      <c r="E40" s="95">
        <f>'8'!F40</f>
        <v>7863</v>
      </c>
      <c r="F40" s="145">
        <v>8483</v>
      </c>
      <c r="G40" s="112">
        <f t="shared" si="3"/>
        <v>620</v>
      </c>
      <c r="H40" s="99">
        <f>G40+'8'!H40</f>
        <v>2873</v>
      </c>
      <c r="I40" s="95"/>
      <c r="J40" s="175">
        <f>H40/DAY(B2)</f>
        <v>319.22222222222223</v>
      </c>
      <c r="K40" s="80"/>
      <c r="L40" s="66"/>
      <c r="N40" s="87"/>
      <c r="O40" s="71"/>
    </row>
    <row r="41" spans="1:15" ht="29.25" x14ac:dyDescent="0.4">
      <c r="A41" s="194" t="s">
        <v>167</v>
      </c>
      <c r="B41" s="195"/>
      <c r="C41" s="195"/>
      <c r="D41" s="151" t="s">
        <v>130</v>
      </c>
      <c r="E41" s="95">
        <f>'8'!F41</f>
        <v>0</v>
      </c>
      <c r="F41" s="145">
        <v>0</v>
      </c>
      <c r="G41" s="112">
        <f t="shared" si="3"/>
        <v>0</v>
      </c>
      <c r="H41" s="99">
        <f>G41+'8'!H41</f>
        <v>0</v>
      </c>
      <c r="I41" s="95"/>
      <c r="J41" s="175">
        <f>H41/DAY(B2)</f>
        <v>0</v>
      </c>
      <c r="K41" s="79"/>
      <c r="L41" s="66"/>
      <c r="N41" s="87"/>
      <c r="O41" s="71"/>
    </row>
    <row r="42" spans="1:15" ht="29.25" x14ac:dyDescent="0.4">
      <c r="A42" s="194" t="s">
        <v>168</v>
      </c>
      <c r="B42" s="195"/>
      <c r="C42" s="195"/>
      <c r="D42" s="151" t="s">
        <v>130</v>
      </c>
      <c r="E42" s="95">
        <f>'8'!F42</f>
        <v>73808.600000000006</v>
      </c>
      <c r="F42" s="145">
        <v>73808.600000000006</v>
      </c>
      <c r="G42" s="112">
        <f t="shared" si="3"/>
        <v>0</v>
      </c>
      <c r="H42" s="99">
        <f>G42+'8'!H42</f>
        <v>-0.39999999999417923</v>
      </c>
      <c r="I42" s="95"/>
      <c r="J42" s="175">
        <f>H42/DAY(B2)</f>
        <v>-4.4444444443797693E-2</v>
      </c>
      <c r="K42" s="79"/>
      <c r="L42" s="66"/>
      <c r="N42" s="87"/>
      <c r="O42" s="71"/>
    </row>
    <row r="43" spans="1:15" ht="29.25" x14ac:dyDescent="0.4">
      <c r="A43" s="194" t="s">
        <v>169</v>
      </c>
      <c r="B43" s="195"/>
      <c r="C43" s="195"/>
      <c r="D43" s="151" t="s">
        <v>130</v>
      </c>
      <c r="E43" s="95">
        <f>'8'!F43</f>
        <v>66382</v>
      </c>
      <c r="F43" s="145">
        <v>68533</v>
      </c>
      <c r="G43" s="112">
        <f t="shared" si="3"/>
        <v>2151</v>
      </c>
      <c r="H43" s="99">
        <f>G43+'8'!H43</f>
        <v>21272</v>
      </c>
      <c r="I43" s="95"/>
      <c r="J43" s="175">
        <f>H43/DAY(B2)</f>
        <v>2363.5555555555557</v>
      </c>
      <c r="K43" s="79"/>
      <c r="L43" s="66"/>
      <c r="N43" s="87"/>
      <c r="O43" s="71"/>
    </row>
    <row r="44" spans="1:15" ht="29.25" x14ac:dyDescent="0.4">
      <c r="A44" s="194" t="s">
        <v>170</v>
      </c>
      <c r="B44" s="195"/>
      <c r="C44" s="195"/>
      <c r="D44" s="151" t="s">
        <v>130</v>
      </c>
      <c r="E44" s="95">
        <f>'8'!F44</f>
        <v>0</v>
      </c>
      <c r="F44" s="145">
        <v>0</v>
      </c>
      <c r="G44" s="112">
        <f t="shared" si="3"/>
        <v>0</v>
      </c>
      <c r="H44" s="99">
        <f>G44+'8'!H44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29.25" x14ac:dyDescent="0.4">
      <c r="A45" s="194" t="s">
        <v>171</v>
      </c>
      <c r="B45" s="195"/>
      <c r="C45" s="195"/>
      <c r="D45" s="151" t="s">
        <v>130</v>
      </c>
      <c r="E45" s="95">
        <f>'8'!F45</f>
        <v>0</v>
      </c>
      <c r="F45" s="145">
        <v>0</v>
      </c>
      <c r="G45" s="112">
        <f t="shared" si="3"/>
        <v>0</v>
      </c>
      <c r="H45" s="99">
        <f>G45+'8'!H45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29.25" x14ac:dyDescent="0.4">
      <c r="A46" s="194" t="s">
        <v>172</v>
      </c>
      <c r="B46" s="195"/>
      <c r="C46" s="195"/>
      <c r="D46" s="151" t="s">
        <v>130</v>
      </c>
      <c r="E46" s="95">
        <f>'8'!F46</f>
        <v>0</v>
      </c>
      <c r="F46" s="145">
        <v>0</v>
      </c>
      <c r="G46" s="112">
        <f t="shared" si="3"/>
        <v>0</v>
      </c>
      <c r="H46" s="99">
        <f>G46+'8'!H46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29.25" x14ac:dyDescent="0.5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10998</v>
      </c>
      <c r="H47" s="99">
        <f>G47+'8'!H47</f>
        <v>101109.6</v>
      </c>
      <c r="I47" s="95"/>
      <c r="J47" s="175">
        <f>H47/DAY(B2)</f>
        <v>11234.400000000001</v>
      </c>
      <c r="K47" s="79"/>
      <c r="L47" s="66"/>
      <c r="N47" s="87"/>
      <c r="O47" s="71"/>
    </row>
    <row r="48" spans="1:15" ht="29.25" x14ac:dyDescent="0.5">
      <c r="A48" s="214" t="s">
        <v>174</v>
      </c>
      <c r="B48" s="349"/>
      <c r="C48" s="349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29.25" x14ac:dyDescent="0.4">
      <c r="A49" s="194" t="s">
        <v>161</v>
      </c>
      <c r="B49" s="217"/>
      <c r="C49" s="217"/>
      <c r="D49" s="151" t="s">
        <v>130</v>
      </c>
      <c r="E49" s="95">
        <v>0</v>
      </c>
      <c r="F49" s="145">
        <v>1306</v>
      </c>
      <c r="G49" s="112">
        <f t="shared" ref="G49:G58" si="4">F49-E49</f>
        <v>1306</v>
      </c>
      <c r="H49" s="99">
        <f>G49+'8'!H49</f>
        <v>14427</v>
      </c>
      <c r="I49" s="95"/>
      <c r="J49" s="175">
        <f>H49/DAY(B2)</f>
        <v>1603</v>
      </c>
      <c r="K49" s="79"/>
      <c r="L49" s="66"/>
      <c r="N49" s="87"/>
      <c r="O49" s="71"/>
    </row>
    <row r="50" spans="1:15" ht="29.25" x14ac:dyDescent="0.4">
      <c r="A50" s="194" t="s">
        <v>175</v>
      </c>
      <c r="B50" s="217"/>
      <c r="C50" s="217"/>
      <c r="D50" s="151" t="s">
        <v>130</v>
      </c>
      <c r="E50" s="95">
        <f>'8'!F50</f>
        <v>33076</v>
      </c>
      <c r="F50" s="145">
        <v>34045</v>
      </c>
      <c r="G50" s="112">
        <f t="shared" si="4"/>
        <v>969</v>
      </c>
      <c r="H50" s="99">
        <f>G50+'8'!H50</f>
        <v>9395</v>
      </c>
      <c r="I50" s="95"/>
      <c r="J50" s="175">
        <f>H50/DAY(B2)</f>
        <v>1043.8888888888889</v>
      </c>
      <c r="K50" s="79"/>
      <c r="L50" s="66"/>
      <c r="N50" s="87"/>
      <c r="O50" s="71"/>
    </row>
    <row r="51" spans="1:15" ht="29.25" x14ac:dyDescent="0.4">
      <c r="A51" s="194" t="s">
        <v>163</v>
      </c>
      <c r="B51" s="217"/>
      <c r="C51" s="217"/>
      <c r="D51" s="151" t="s">
        <v>130</v>
      </c>
      <c r="E51" s="95">
        <f>'8'!F51</f>
        <v>0</v>
      </c>
      <c r="F51" s="145">
        <v>0</v>
      </c>
      <c r="G51" s="112">
        <f t="shared" si="4"/>
        <v>0</v>
      </c>
      <c r="H51" s="99">
        <f>G51+'8'!H51</f>
        <v>0</v>
      </c>
      <c r="I51" s="95"/>
      <c r="J51" s="175">
        <f>H51/DAY(B2)</f>
        <v>0</v>
      </c>
      <c r="K51" s="79"/>
      <c r="L51" s="66"/>
      <c r="N51" s="87"/>
      <c r="O51" s="71"/>
    </row>
    <row r="52" spans="1:15" ht="29.25" x14ac:dyDescent="0.4">
      <c r="A52" s="194" t="s">
        <v>176</v>
      </c>
      <c r="B52" s="217"/>
      <c r="C52" s="217"/>
      <c r="D52" s="151" t="s">
        <v>130</v>
      </c>
      <c r="E52" s="95">
        <f>'8'!F52</f>
        <v>0</v>
      </c>
      <c r="F52" s="145">
        <v>0</v>
      </c>
      <c r="G52" s="112">
        <f t="shared" si="4"/>
        <v>0</v>
      </c>
      <c r="H52" s="99">
        <f>G52+'8'!H52</f>
        <v>0</v>
      </c>
      <c r="I52" s="95"/>
      <c r="J52" s="175">
        <f>H52/DAY(B2)</f>
        <v>0</v>
      </c>
      <c r="K52" s="79"/>
      <c r="L52" s="66"/>
      <c r="N52" s="87"/>
      <c r="O52" s="71"/>
    </row>
    <row r="53" spans="1:15" ht="29.25" x14ac:dyDescent="0.4">
      <c r="A53" s="194" t="s">
        <v>165</v>
      </c>
      <c r="B53" s="217"/>
      <c r="C53" s="217"/>
      <c r="D53" s="151" t="s">
        <v>130</v>
      </c>
      <c r="E53" s="95">
        <f>'8'!F53</f>
        <v>0</v>
      </c>
      <c r="F53" s="145">
        <v>0</v>
      </c>
      <c r="G53" s="112">
        <f t="shared" si="4"/>
        <v>0</v>
      </c>
      <c r="H53" s="99">
        <f>G53+'8'!H53</f>
        <v>0</v>
      </c>
      <c r="I53" s="95"/>
      <c r="J53" s="175">
        <f>H53/DAY(B2)</f>
        <v>0</v>
      </c>
      <c r="K53" s="79"/>
      <c r="L53" s="66"/>
      <c r="N53" s="87"/>
      <c r="O53" s="71"/>
    </row>
    <row r="54" spans="1:15" ht="29.25" x14ac:dyDescent="0.4">
      <c r="A54" s="194" t="s">
        <v>177</v>
      </c>
      <c r="B54" s="217"/>
      <c r="C54" s="217"/>
      <c r="D54" s="151" t="s">
        <v>130</v>
      </c>
      <c r="E54" s="95">
        <v>312</v>
      </c>
      <c r="F54" s="145">
        <v>783</v>
      </c>
      <c r="G54" s="112">
        <f t="shared" si="4"/>
        <v>471</v>
      </c>
      <c r="H54" s="99">
        <f>G54+'8'!H54</f>
        <v>2550.08</v>
      </c>
      <c r="I54" s="95"/>
      <c r="J54" s="175">
        <f>H54/DAY(B2)</f>
        <v>283.34222222222223</v>
      </c>
      <c r="K54" s="79"/>
      <c r="L54" s="66"/>
      <c r="N54" s="87"/>
      <c r="O54" s="71"/>
    </row>
    <row r="55" spans="1:15" ht="29.25" x14ac:dyDescent="0.4">
      <c r="A55" s="194" t="s">
        <v>178</v>
      </c>
      <c r="B55" s="217"/>
      <c r="C55" s="217"/>
      <c r="D55" s="151" t="s">
        <v>130</v>
      </c>
      <c r="E55" s="95">
        <f>'8'!F55</f>
        <v>28469</v>
      </c>
      <c r="F55" s="145">
        <v>31231</v>
      </c>
      <c r="G55" s="112">
        <f t="shared" si="4"/>
        <v>2762</v>
      </c>
      <c r="H55" s="99">
        <f>G55+'8'!H55</f>
        <v>27720</v>
      </c>
      <c r="I55" s="95"/>
      <c r="J55" s="175">
        <f>H55/DAY(B2)</f>
        <v>3080</v>
      </c>
      <c r="K55" s="79"/>
      <c r="L55" s="66"/>
      <c r="N55" s="87"/>
      <c r="O55" s="71"/>
    </row>
    <row r="56" spans="1:15" ht="29.25" x14ac:dyDescent="0.4">
      <c r="A56" s="194" t="s">
        <v>179</v>
      </c>
      <c r="B56" s="217"/>
      <c r="C56" s="217"/>
      <c r="D56" s="151" t="s">
        <v>180</v>
      </c>
      <c r="E56" s="95">
        <f>'8'!F56</f>
        <v>8610.5400000000009</v>
      </c>
      <c r="F56" s="145">
        <v>8611</v>
      </c>
      <c r="G56" s="112">
        <f t="shared" si="4"/>
        <v>0.45999999999912689</v>
      </c>
      <c r="H56" s="99">
        <f>G56+'8'!H56</f>
        <v>0.45999999999912689</v>
      </c>
      <c r="I56" s="95"/>
      <c r="J56" s="175">
        <f>H56/DAY(B2)</f>
        <v>5.1111111111014101E-2</v>
      </c>
      <c r="K56" s="78"/>
      <c r="L56" s="66"/>
      <c r="N56" s="87"/>
      <c r="O56" s="71"/>
    </row>
    <row r="57" spans="1:15" ht="29.25" x14ac:dyDescent="0.4">
      <c r="A57" s="194" t="s">
        <v>169</v>
      </c>
      <c r="B57" s="217"/>
      <c r="C57" s="217"/>
      <c r="D57" s="151" t="s">
        <v>130</v>
      </c>
      <c r="E57" s="95">
        <f>'8'!F57</f>
        <v>0</v>
      </c>
      <c r="F57" s="145">
        <v>0</v>
      </c>
      <c r="G57" s="112">
        <f t="shared" si="4"/>
        <v>0</v>
      </c>
      <c r="H57" s="99">
        <f>G57+'8'!H57</f>
        <v>0</v>
      </c>
      <c r="I57" s="95"/>
      <c r="J57" s="175">
        <f>H57/DAY(B2)</f>
        <v>0</v>
      </c>
      <c r="K57" s="79"/>
      <c r="L57" s="66"/>
      <c r="N57" s="87"/>
      <c r="O57" s="71"/>
    </row>
    <row r="58" spans="1:15" ht="29.25" x14ac:dyDescent="0.4">
      <c r="A58" s="194" t="s">
        <v>181</v>
      </c>
      <c r="B58" s="217"/>
      <c r="C58" s="217"/>
      <c r="D58" s="151" t="s">
        <v>130</v>
      </c>
      <c r="E58" s="95">
        <f>'8'!F58</f>
        <v>834</v>
      </c>
      <c r="F58" s="145">
        <v>1018</v>
      </c>
      <c r="G58" s="112">
        <f t="shared" si="4"/>
        <v>184</v>
      </c>
      <c r="H58" s="99">
        <f>G58+'8'!H58</f>
        <v>1358.6300000000047</v>
      </c>
      <c r="I58" s="95"/>
      <c r="J58" s="175">
        <f>H58/DAY(B2)</f>
        <v>150.95888888888942</v>
      </c>
      <c r="K58" s="79"/>
      <c r="L58" s="66"/>
      <c r="N58" s="87"/>
      <c r="O58" s="71"/>
    </row>
    <row r="59" spans="1:15" ht="29.25" x14ac:dyDescent="0.5">
      <c r="A59" s="201" t="s">
        <v>173</v>
      </c>
      <c r="B59" s="202"/>
      <c r="C59" s="202"/>
      <c r="D59" s="146"/>
      <c r="E59" s="146"/>
      <c r="F59" s="146"/>
      <c r="G59" s="119">
        <f>G49+G50+G51+G52+G53+G54+G55+G56+G57+G58</f>
        <v>5692.4599999999991</v>
      </c>
      <c r="H59" s="99">
        <f>G59+'8'!H59</f>
        <v>55451.170000000006</v>
      </c>
      <c r="I59" s="95">
        <f>G7-G60</f>
        <v>1020.5400000000009</v>
      </c>
      <c r="J59" s="175">
        <f>H59/DAY(B2)</f>
        <v>6161.2411111111114</v>
      </c>
      <c r="K59" s="79"/>
      <c r="L59" s="66"/>
      <c r="N59" s="87"/>
      <c r="O59" s="71"/>
    </row>
    <row r="60" spans="1:15" ht="29.25" x14ac:dyDescent="0.4">
      <c r="A60" s="194"/>
      <c r="B60" s="195"/>
      <c r="C60" s="195"/>
      <c r="D60" s="146" t="s">
        <v>182</v>
      </c>
      <c r="E60" s="146"/>
      <c r="F60" s="146"/>
      <c r="G60" s="119">
        <f>G47+G59</f>
        <v>16690.46</v>
      </c>
      <c r="H60" s="99">
        <f>G60+'8'!H60</f>
        <v>156560.76999999999</v>
      </c>
      <c r="I60" s="95">
        <f>G13-G60</f>
        <v>500.54000000000087</v>
      </c>
      <c r="J60" s="175">
        <f>H60/DAY(B2)</f>
        <v>17395.641111111108</v>
      </c>
      <c r="K60" s="79"/>
      <c r="L60" s="66"/>
      <c r="N60" s="87"/>
      <c r="O60" s="71"/>
    </row>
    <row r="61" spans="1:15" s="68" customFormat="1" ht="27.75" x14ac:dyDescent="0.5">
      <c r="A61" s="837" t="s">
        <v>332</v>
      </c>
      <c r="B61" s="838"/>
      <c r="C61" s="839"/>
      <c r="D61" s="339"/>
      <c r="E61" s="339"/>
      <c r="F61" s="339"/>
      <c r="G61" s="340"/>
      <c r="H61" s="339"/>
      <c r="I61" s="339"/>
      <c r="J61" s="341"/>
      <c r="K61" s="69"/>
      <c r="L61" s="67"/>
      <c r="N61" s="87"/>
      <c r="O61" s="71"/>
    </row>
    <row r="62" spans="1:15" ht="27.75" x14ac:dyDescent="0.5">
      <c r="A62" s="818" t="s">
        <v>198</v>
      </c>
      <c r="B62" s="819"/>
      <c r="C62" s="820"/>
      <c r="D62" s="151" t="s">
        <v>142</v>
      </c>
      <c r="E62" s="95">
        <f>'8'!F62</f>
        <v>267670</v>
      </c>
      <c r="F62" s="122">
        <v>267750</v>
      </c>
      <c r="G62" s="112">
        <f t="shared" ref="G62:G63" si="5">F62-E62</f>
        <v>80</v>
      </c>
      <c r="H62" s="99">
        <f>G62+'8'!H62</f>
        <v>537</v>
      </c>
      <c r="I62" s="118"/>
      <c r="J62" s="175">
        <f>H62/DAY(B2)</f>
        <v>59.666666666666664</v>
      </c>
      <c r="K62" s="80"/>
      <c r="L62" s="66"/>
      <c r="N62" s="87"/>
      <c r="O62" s="71"/>
    </row>
    <row r="63" spans="1:15" ht="27.75" x14ac:dyDescent="0.5">
      <c r="A63" s="818" t="s">
        <v>199</v>
      </c>
      <c r="B63" s="819"/>
      <c r="C63" s="820"/>
      <c r="D63" s="151" t="s">
        <v>142</v>
      </c>
      <c r="E63" s="95">
        <f>'8'!F63</f>
        <v>213330</v>
      </c>
      <c r="F63" s="122">
        <v>213397</v>
      </c>
      <c r="G63" s="112">
        <f t="shared" si="5"/>
        <v>67</v>
      </c>
      <c r="H63" s="99">
        <f>G63+'8'!H63</f>
        <v>972</v>
      </c>
      <c r="I63" s="118"/>
      <c r="J63" s="175">
        <f>H63/DAY(B2)</f>
        <v>108</v>
      </c>
      <c r="K63" s="69"/>
      <c r="L63" s="66"/>
      <c r="N63" s="87"/>
      <c r="O63" s="71"/>
    </row>
    <row r="64" spans="1:15" ht="29.25" x14ac:dyDescent="0.5">
      <c r="A64" s="815" t="s">
        <v>200</v>
      </c>
      <c r="B64" s="816"/>
      <c r="C64" s="817"/>
      <c r="D64" s="151"/>
      <c r="E64" s="95">
        <f>'8'!F64</f>
        <v>0</v>
      </c>
      <c r="F64" s="122"/>
      <c r="G64" s="112">
        <f>G62+G63</f>
        <v>147</v>
      </c>
      <c r="H64" s="99">
        <f>G64+'8'!H64</f>
        <v>1509</v>
      </c>
      <c r="I64" s="118"/>
      <c r="J64" s="175">
        <f>H64/DAY(B2)</f>
        <v>167.66666666666666</v>
      </c>
      <c r="K64" s="69"/>
      <c r="L64" s="66"/>
      <c r="N64" s="87"/>
      <c r="O64" s="71"/>
    </row>
    <row r="65" spans="1:15" ht="27.75" x14ac:dyDescent="0.5">
      <c r="A65" s="818" t="s">
        <v>201</v>
      </c>
      <c r="B65" s="819"/>
      <c r="C65" s="820"/>
      <c r="D65" s="151" t="s">
        <v>142</v>
      </c>
      <c r="E65" s="95">
        <f>'8'!F65</f>
        <v>433207</v>
      </c>
      <c r="F65" s="122">
        <v>433285</v>
      </c>
      <c r="G65" s="112">
        <f t="shared" ref="G65:G70" si="6">F65-E65</f>
        <v>78</v>
      </c>
      <c r="H65" s="99">
        <f>G65+'8'!H65</f>
        <v>671</v>
      </c>
      <c r="I65" s="118"/>
      <c r="J65" s="175">
        <f>H65/DAY(B2)</f>
        <v>74.555555555555557</v>
      </c>
      <c r="K65" s="69"/>
      <c r="L65" s="66"/>
      <c r="N65" s="87"/>
      <c r="O65" s="71"/>
    </row>
    <row r="66" spans="1:15" ht="27.75" x14ac:dyDescent="0.5">
      <c r="A66" s="345" t="s">
        <v>202</v>
      </c>
      <c r="B66" s="346"/>
      <c r="C66" s="346"/>
      <c r="D66" s="151" t="s">
        <v>142</v>
      </c>
      <c r="E66" s="95">
        <f>'8'!F66</f>
        <v>107379</v>
      </c>
      <c r="F66" s="122">
        <v>107396</v>
      </c>
      <c r="G66" s="112">
        <f t="shared" si="6"/>
        <v>17</v>
      </c>
      <c r="H66" s="99">
        <f>G66+'8'!H66</f>
        <v>182</v>
      </c>
      <c r="I66" s="118"/>
      <c r="J66" s="175">
        <f>H66/DAY(B2)</f>
        <v>20.222222222222221</v>
      </c>
      <c r="K66" s="78"/>
      <c r="L66" s="66"/>
      <c r="N66" s="87"/>
      <c r="O66" s="71"/>
    </row>
    <row r="67" spans="1:15" ht="27.75" x14ac:dyDescent="0.5">
      <c r="A67" s="345" t="s">
        <v>203</v>
      </c>
      <c r="B67" s="346"/>
      <c r="C67" s="346"/>
      <c r="D67" s="151" t="s">
        <v>142</v>
      </c>
      <c r="E67" s="95">
        <f>'8'!F67</f>
        <v>104141</v>
      </c>
      <c r="F67" s="122">
        <v>104165</v>
      </c>
      <c r="G67" s="112">
        <f t="shared" si="6"/>
        <v>24</v>
      </c>
      <c r="H67" s="99">
        <f>G67+'8'!H67</f>
        <v>237</v>
      </c>
      <c r="I67" s="118"/>
      <c r="J67" s="175">
        <f>H67/DAY(B2)</f>
        <v>26.333333333333332</v>
      </c>
      <c r="K67" s="81"/>
      <c r="L67" s="66"/>
      <c r="N67" s="87"/>
      <c r="O67" s="71"/>
    </row>
    <row r="68" spans="1:15" ht="27.75" x14ac:dyDescent="0.5">
      <c r="A68" s="345" t="s">
        <v>204</v>
      </c>
      <c r="B68" s="346"/>
      <c r="C68" s="346"/>
      <c r="D68" s="151" t="s">
        <v>142</v>
      </c>
      <c r="E68" s="95">
        <f>'8'!F68</f>
        <v>156826</v>
      </c>
      <c r="F68" s="122">
        <v>156853</v>
      </c>
      <c r="G68" s="112">
        <f t="shared" si="6"/>
        <v>27</v>
      </c>
      <c r="H68" s="99">
        <f>G68+'8'!H68</f>
        <v>233</v>
      </c>
      <c r="I68" s="118"/>
      <c r="J68" s="175">
        <f>H68/DAY(B2)</f>
        <v>25.888888888888889</v>
      </c>
      <c r="K68" s="69"/>
      <c r="L68" s="66"/>
      <c r="N68" s="87"/>
      <c r="O68" s="71"/>
    </row>
    <row r="69" spans="1:15" ht="27.75" x14ac:dyDescent="0.5">
      <c r="A69" s="345" t="s">
        <v>205</v>
      </c>
      <c r="B69" s="346"/>
      <c r="C69" s="346"/>
      <c r="D69" s="151" t="s">
        <v>142</v>
      </c>
      <c r="E69" s="95">
        <f>'8'!F69</f>
        <v>10311</v>
      </c>
      <c r="F69" s="122">
        <v>10318</v>
      </c>
      <c r="G69" s="112">
        <f t="shared" si="6"/>
        <v>7</v>
      </c>
      <c r="H69" s="99">
        <f>G69+'8'!H69</f>
        <v>104</v>
      </c>
      <c r="I69" s="118"/>
      <c r="J69" s="175">
        <f>H69/DAY(B2)</f>
        <v>11.555555555555555</v>
      </c>
      <c r="K69" s="69"/>
      <c r="L69" s="66"/>
      <c r="N69" s="87"/>
      <c r="O69" s="71"/>
    </row>
    <row r="70" spans="1:15" ht="27.75" x14ac:dyDescent="0.5">
      <c r="A70" s="345" t="s">
        <v>206</v>
      </c>
      <c r="B70" s="346"/>
      <c r="C70" s="346"/>
      <c r="D70" s="151" t="s">
        <v>142</v>
      </c>
      <c r="E70" s="95">
        <f>'8'!F70</f>
        <v>7929</v>
      </c>
      <c r="F70" s="122">
        <v>7943</v>
      </c>
      <c r="G70" s="112">
        <f t="shared" si="6"/>
        <v>14</v>
      </c>
      <c r="H70" s="99">
        <f>G70+'8'!H70</f>
        <v>81</v>
      </c>
      <c r="I70" s="118"/>
      <c r="J70" s="175">
        <f>H70/DAY(B2)</f>
        <v>9</v>
      </c>
      <c r="K70" s="69"/>
      <c r="L70" s="66"/>
      <c r="N70" s="87"/>
      <c r="O70" s="71"/>
    </row>
    <row r="71" spans="1:15" ht="29.25" x14ac:dyDescent="0.5">
      <c r="A71" s="815" t="s">
        <v>208</v>
      </c>
      <c r="B71" s="816"/>
      <c r="C71" s="817"/>
      <c r="D71" s="152"/>
      <c r="E71" s="152"/>
      <c r="F71" s="152"/>
      <c r="G71" s="153">
        <f>SUM(G65:G70)</f>
        <v>167</v>
      </c>
      <c r="H71" s="99">
        <f>G71+'8'!H71</f>
        <v>1508</v>
      </c>
      <c r="I71" s="154"/>
      <c r="J71" s="175">
        <f>H71/DAY(B2)</f>
        <v>167.55555555555554</v>
      </c>
      <c r="K71" s="69"/>
      <c r="L71" s="66"/>
      <c r="N71" s="87"/>
      <c r="O71" s="71"/>
    </row>
    <row r="72" spans="1:15" s="88" customFormat="1" ht="27.75" x14ac:dyDescent="0.5">
      <c r="A72" s="861"/>
      <c r="B72" s="853"/>
      <c r="C72" s="347"/>
      <c r="D72" s="180"/>
      <c r="E72" s="180" t="s">
        <v>207</v>
      </c>
      <c r="F72" s="180"/>
      <c r="G72" s="180"/>
      <c r="H72" s="181"/>
      <c r="I72" s="180"/>
      <c r="J72" s="182"/>
      <c r="N72" s="87"/>
      <c r="O72" s="71"/>
    </row>
    <row r="73" spans="1:15" ht="29.25" x14ac:dyDescent="0.5">
      <c r="A73" s="866" t="s">
        <v>333</v>
      </c>
      <c r="B73" s="867"/>
      <c r="C73" s="868"/>
      <c r="D73" s="339"/>
      <c r="E73" s="339"/>
      <c r="F73" s="339"/>
      <c r="G73" s="342"/>
      <c r="H73" s="342"/>
      <c r="I73" s="342"/>
      <c r="J73" s="343"/>
      <c r="K73" s="69"/>
      <c r="L73" s="66"/>
      <c r="N73" s="87"/>
      <c r="O73" s="71"/>
    </row>
    <row r="74" spans="1:15" ht="27.75" x14ac:dyDescent="0.5">
      <c r="A74" s="818" t="s">
        <v>220</v>
      </c>
      <c r="B74" s="819"/>
      <c r="C74" s="820"/>
      <c r="D74" s="151" t="s">
        <v>139</v>
      </c>
      <c r="E74" s="95">
        <f>'8'!F74</f>
        <v>894310</v>
      </c>
      <c r="F74" s="117">
        <v>894615</v>
      </c>
      <c r="G74" s="112">
        <f t="shared" ref="G74:G78" si="7">F74-E74</f>
        <v>305</v>
      </c>
      <c r="H74" s="99">
        <f>G74+'8'!H74</f>
        <v>2583</v>
      </c>
      <c r="I74" s="154"/>
      <c r="J74" s="175">
        <f>H74/DAY(B2)</f>
        <v>287</v>
      </c>
      <c r="K74" s="69"/>
      <c r="L74" s="66"/>
      <c r="N74" s="87"/>
      <c r="O74" s="71"/>
    </row>
    <row r="75" spans="1:15" ht="27.75" x14ac:dyDescent="0.5">
      <c r="A75" s="818" t="s">
        <v>221</v>
      </c>
      <c r="B75" s="819"/>
      <c r="C75" s="820"/>
      <c r="D75" s="151" t="s">
        <v>139</v>
      </c>
      <c r="E75" s="95">
        <f>'8'!F75</f>
        <v>73586.8</v>
      </c>
      <c r="F75" s="123">
        <v>73587</v>
      </c>
      <c r="G75" s="112">
        <f t="shared" si="7"/>
        <v>0.19999999999708962</v>
      </c>
      <c r="H75" s="99">
        <f>G75+'8'!H75</f>
        <v>0.19999999999708962</v>
      </c>
      <c r="I75" s="154"/>
      <c r="J75" s="175">
        <f>H75/DAY(B2)</f>
        <v>2.2222222221898846E-2</v>
      </c>
      <c r="K75" s="69"/>
      <c r="L75" s="66"/>
      <c r="N75" s="87"/>
      <c r="O75" s="71"/>
    </row>
    <row r="76" spans="1:15" ht="27.75" x14ac:dyDescent="0.5">
      <c r="A76" s="862" t="s">
        <v>222</v>
      </c>
      <c r="B76" s="848"/>
      <c r="C76" s="849"/>
      <c r="D76" s="151" t="s">
        <v>139</v>
      </c>
      <c r="E76" s="95">
        <f>'8'!F76</f>
        <v>167928</v>
      </c>
      <c r="F76" s="123">
        <v>168004</v>
      </c>
      <c r="G76" s="112">
        <f t="shared" si="7"/>
        <v>76</v>
      </c>
      <c r="H76" s="99">
        <f>G76+'8'!H76</f>
        <v>797</v>
      </c>
      <c r="I76" s="154"/>
      <c r="J76" s="175">
        <f>H76/DAY(B2)</f>
        <v>88.555555555555557</v>
      </c>
      <c r="K76" s="69"/>
      <c r="L76" s="66"/>
      <c r="N76" s="87"/>
      <c r="O76" s="71"/>
    </row>
    <row r="77" spans="1:15" ht="27.75" x14ac:dyDescent="0.5">
      <c r="A77" s="862" t="s">
        <v>223</v>
      </c>
      <c r="B77" s="848"/>
      <c r="C77" s="849"/>
      <c r="D77" s="151" t="s">
        <v>139</v>
      </c>
      <c r="E77" s="95">
        <f>'8'!F77</f>
        <v>40594</v>
      </c>
      <c r="F77" s="123">
        <v>40618</v>
      </c>
      <c r="G77" s="112">
        <f t="shared" si="7"/>
        <v>24</v>
      </c>
      <c r="H77" s="99">
        <f>G77+'8'!H77</f>
        <v>302</v>
      </c>
      <c r="I77" s="154"/>
      <c r="J77" s="175">
        <f>H77/DAY(B2)</f>
        <v>33.555555555555557</v>
      </c>
      <c r="K77" s="69"/>
      <c r="L77" s="66"/>
      <c r="N77" s="87"/>
      <c r="O77" s="71"/>
    </row>
    <row r="78" spans="1:15" ht="27.75" x14ac:dyDescent="0.5">
      <c r="A78" s="862" t="s">
        <v>224</v>
      </c>
      <c r="B78" s="848"/>
      <c r="C78" s="849"/>
      <c r="D78" s="151" t="s">
        <v>139</v>
      </c>
      <c r="E78" s="95">
        <f>'8'!F78</f>
        <v>9493</v>
      </c>
      <c r="F78" s="123">
        <v>9493</v>
      </c>
      <c r="G78" s="112">
        <f t="shared" si="7"/>
        <v>0</v>
      </c>
      <c r="H78" s="99">
        <f>G78+'8'!H78</f>
        <v>7</v>
      </c>
      <c r="I78" s="118"/>
      <c r="J78" s="175">
        <f>H78/DAY(B2)</f>
        <v>0.77777777777777779</v>
      </c>
      <c r="K78" s="69"/>
      <c r="L78" s="66"/>
      <c r="N78" s="87"/>
      <c r="O78" s="71"/>
    </row>
    <row r="79" spans="1:15" s="57" customFormat="1" ht="27.75" x14ac:dyDescent="0.5">
      <c r="A79" s="862" t="s">
        <v>225</v>
      </c>
      <c r="B79" s="848"/>
      <c r="C79" s="849"/>
      <c r="D79" s="151"/>
      <c r="E79" s="95">
        <f>'8'!F79</f>
        <v>0</v>
      </c>
      <c r="F79" s="117"/>
      <c r="G79" s="112">
        <f>G15-SUM(G74:G78)</f>
        <v>501.80000000000291</v>
      </c>
      <c r="H79" s="99">
        <f>G79+'8'!H79</f>
        <v>4479.8000000000029</v>
      </c>
      <c r="I79" s="118"/>
      <c r="J79" s="175"/>
      <c r="K79" s="59"/>
      <c r="L79" s="58"/>
      <c r="N79" s="87"/>
      <c r="O79" s="71"/>
    </row>
    <row r="80" spans="1:15" s="57" customFormat="1" ht="29.25" x14ac:dyDescent="0.5">
      <c r="A80" s="815" t="s">
        <v>329</v>
      </c>
      <c r="B80" s="816"/>
      <c r="C80" s="817"/>
      <c r="D80" s="151"/>
      <c r="E80" s="117"/>
      <c r="F80" s="117"/>
      <c r="G80" s="112">
        <f>SUM(G74:G79)</f>
        <v>907</v>
      </c>
      <c r="H80" s="99"/>
      <c r="I80" s="118"/>
      <c r="J80" s="175"/>
      <c r="K80" s="59"/>
      <c r="L80" s="58"/>
      <c r="N80" s="87"/>
      <c r="O80" s="71"/>
    </row>
    <row r="81" spans="1:15" ht="27" x14ac:dyDescent="0.4">
      <c r="A81" s="854" t="s">
        <v>226</v>
      </c>
      <c r="B81" s="855"/>
      <c r="C81" s="856"/>
      <c r="D81" s="110"/>
      <c r="E81" s="110"/>
      <c r="F81" s="110"/>
      <c r="G81" s="163"/>
      <c r="H81" s="163"/>
      <c r="I81" s="163"/>
      <c r="J81" s="184"/>
      <c r="O81" s="71"/>
    </row>
    <row r="82" spans="1:15" ht="27.75" x14ac:dyDescent="0.5">
      <c r="A82" s="345" t="s">
        <v>227</v>
      </c>
      <c r="B82" s="346"/>
      <c r="C82" s="346"/>
      <c r="D82" s="151" t="s">
        <v>228</v>
      </c>
      <c r="E82" s="95">
        <f>'8'!F82</f>
        <v>0</v>
      </c>
      <c r="F82" s="122">
        <v>0</v>
      </c>
      <c r="G82" s="112">
        <f t="shared" ref="G82:G92" si="8">F82-E82</f>
        <v>0</v>
      </c>
      <c r="H82" s="99">
        <f>G82+'8'!H82</f>
        <v>0</v>
      </c>
      <c r="I82" s="118"/>
      <c r="J82" s="175">
        <f>H82/DAY(B2)</f>
        <v>0</v>
      </c>
      <c r="O82" s="71"/>
    </row>
    <row r="83" spans="1:15" ht="27.75" x14ac:dyDescent="0.5">
      <c r="A83" s="345" t="s">
        <v>229</v>
      </c>
      <c r="B83" s="346"/>
      <c r="C83" s="346"/>
      <c r="D83" s="151" t="s">
        <v>228</v>
      </c>
      <c r="E83" s="95">
        <f>'8'!F83</f>
        <v>0</v>
      </c>
      <c r="F83" s="122">
        <v>0</v>
      </c>
      <c r="G83" s="112">
        <f t="shared" si="8"/>
        <v>0</v>
      </c>
      <c r="H83" s="99">
        <f>G83+'8'!H83</f>
        <v>0</v>
      </c>
      <c r="I83" s="118"/>
      <c r="J83" s="175">
        <f>H83/DAY(B2)</f>
        <v>0</v>
      </c>
      <c r="O83" s="71"/>
    </row>
    <row r="84" spans="1:15" ht="27.75" x14ac:dyDescent="0.5">
      <c r="A84" s="345" t="s">
        <v>230</v>
      </c>
      <c r="B84" s="346"/>
      <c r="C84" s="346"/>
      <c r="D84" s="151" t="s">
        <v>228</v>
      </c>
      <c r="E84" s="95">
        <f>'8'!F84</f>
        <v>41675</v>
      </c>
      <c r="F84" s="164">
        <v>41675</v>
      </c>
      <c r="G84" s="112">
        <f t="shared" si="8"/>
        <v>0</v>
      </c>
      <c r="H84" s="99">
        <f>G84+'8'!H84</f>
        <v>0</v>
      </c>
      <c r="I84" s="118"/>
      <c r="J84" s="175">
        <f>H84/DAY(B2)</f>
        <v>0</v>
      </c>
      <c r="O84" s="71"/>
    </row>
    <row r="85" spans="1:15" ht="27.75" x14ac:dyDescent="0.5">
      <c r="A85" s="345" t="s">
        <v>231</v>
      </c>
      <c r="B85" s="346"/>
      <c r="C85" s="346"/>
      <c r="D85" s="151" t="s">
        <v>228</v>
      </c>
      <c r="E85" s="95">
        <f>'8'!F85</f>
        <v>2096.56</v>
      </c>
      <c r="F85" s="164">
        <v>2096.56</v>
      </c>
      <c r="G85" s="112">
        <f t="shared" si="8"/>
        <v>0</v>
      </c>
      <c r="H85" s="99">
        <f>G85+'8'!H85</f>
        <v>0</v>
      </c>
      <c r="I85" s="118">
        <f>G82+G83+G84+G85</f>
        <v>0</v>
      </c>
      <c r="J85" s="175">
        <f>H85/DAY(B2)</f>
        <v>0</v>
      </c>
      <c r="O85" s="71"/>
    </row>
    <row r="86" spans="1:15" ht="27.75" x14ac:dyDescent="0.5">
      <c r="A86" s="345" t="s">
        <v>232</v>
      </c>
      <c r="B86" s="346"/>
      <c r="C86" s="346"/>
      <c r="D86" s="151" t="s">
        <v>228</v>
      </c>
      <c r="E86" s="95">
        <f>'8'!F86</f>
        <v>43056</v>
      </c>
      <c r="F86" s="164">
        <v>43080</v>
      </c>
      <c r="G86" s="112">
        <f t="shared" si="8"/>
        <v>24</v>
      </c>
      <c r="H86" s="99">
        <f>G86+'8'!H86</f>
        <v>217</v>
      </c>
      <c r="I86" s="118"/>
      <c r="J86" s="175">
        <f>H86/DAY(B2)</f>
        <v>24.111111111111111</v>
      </c>
      <c r="O86" s="71"/>
    </row>
    <row r="87" spans="1:15" ht="27.75" x14ac:dyDescent="0.5">
      <c r="A87" s="345" t="s">
        <v>233</v>
      </c>
      <c r="B87" s="346"/>
      <c r="C87" s="346"/>
      <c r="D87" s="151" t="s">
        <v>228</v>
      </c>
      <c r="E87" s="95">
        <f>'8'!F87</f>
        <v>34598.550000000003</v>
      </c>
      <c r="F87" s="164">
        <v>34598.550000000003</v>
      </c>
      <c r="G87" s="112">
        <f t="shared" si="8"/>
        <v>0</v>
      </c>
      <c r="H87" s="99">
        <f>G87+'8'!H87</f>
        <v>0</v>
      </c>
      <c r="I87" s="118"/>
      <c r="J87" s="175">
        <f>H87/DAY(B2)</f>
        <v>0</v>
      </c>
      <c r="O87" s="71"/>
    </row>
    <row r="88" spans="1:15" ht="27.75" x14ac:dyDescent="0.5">
      <c r="A88" s="345" t="s">
        <v>234</v>
      </c>
      <c r="B88" s="346"/>
      <c r="C88" s="346"/>
      <c r="D88" s="151" t="s">
        <v>228</v>
      </c>
      <c r="E88" s="95">
        <f>'8'!F88</f>
        <v>24058</v>
      </c>
      <c r="F88" s="164">
        <v>24058</v>
      </c>
      <c r="G88" s="112">
        <f t="shared" si="8"/>
        <v>0</v>
      </c>
      <c r="H88" s="99">
        <f>G88+'8'!H88</f>
        <v>11</v>
      </c>
      <c r="I88" s="118">
        <f>G86+G87+G88</f>
        <v>24</v>
      </c>
      <c r="J88" s="175">
        <f>H88/DAY(B2)</f>
        <v>1.2222222222222223</v>
      </c>
      <c r="O88" s="71"/>
    </row>
    <row r="89" spans="1:15" ht="27.75" x14ac:dyDescent="0.5">
      <c r="A89" s="345" t="s">
        <v>235</v>
      </c>
      <c r="B89" s="346"/>
      <c r="C89" s="346"/>
      <c r="D89" s="151" t="s">
        <v>228</v>
      </c>
      <c r="E89" s="95">
        <f>'8'!F89</f>
        <v>25714</v>
      </c>
      <c r="F89" s="164">
        <v>25723</v>
      </c>
      <c r="G89" s="112">
        <f t="shared" si="8"/>
        <v>9</v>
      </c>
      <c r="H89" s="99">
        <f>G89+'8'!H89</f>
        <v>60</v>
      </c>
      <c r="I89" s="118"/>
      <c r="J89" s="175">
        <f>H89/DAY(B2)</f>
        <v>6.666666666666667</v>
      </c>
      <c r="O89" s="71"/>
    </row>
    <row r="90" spans="1:15" ht="27.75" x14ac:dyDescent="0.5">
      <c r="A90" s="345" t="s">
        <v>236</v>
      </c>
      <c r="B90" s="346"/>
      <c r="C90" s="346"/>
      <c r="D90" s="151" t="s">
        <v>228</v>
      </c>
      <c r="E90" s="95">
        <f>'8'!F90</f>
        <v>71072</v>
      </c>
      <c r="F90" s="164">
        <v>71074</v>
      </c>
      <c r="G90" s="112">
        <f t="shared" si="8"/>
        <v>2</v>
      </c>
      <c r="H90" s="99">
        <f>G90+'8'!H90</f>
        <v>40</v>
      </c>
      <c r="I90" s="118">
        <f>G89+G90</f>
        <v>11</v>
      </c>
      <c r="J90" s="175">
        <f>H90/DAY(B2)</f>
        <v>4.4444444444444446</v>
      </c>
      <c r="O90" s="71"/>
    </row>
    <row r="91" spans="1:15" ht="27.75" x14ac:dyDescent="0.5">
      <c r="A91" s="345" t="s">
        <v>237</v>
      </c>
      <c r="B91" s="346"/>
      <c r="C91" s="346"/>
      <c r="D91" s="151" t="s">
        <v>228</v>
      </c>
      <c r="E91" s="95">
        <f>'8'!F91</f>
        <v>3226.32</v>
      </c>
      <c r="F91" s="122">
        <v>3226.32</v>
      </c>
      <c r="G91" s="112">
        <f t="shared" si="8"/>
        <v>0</v>
      </c>
      <c r="H91" s="99">
        <f>G91+'8'!H91</f>
        <v>0</v>
      </c>
      <c r="I91" s="165"/>
      <c r="J91" s="175">
        <f>H91/DAY(B2)</f>
        <v>0</v>
      </c>
      <c r="O91" s="71"/>
    </row>
    <row r="92" spans="1:15" ht="27.75" x14ac:dyDescent="0.5">
      <c r="A92" s="345" t="s">
        <v>238</v>
      </c>
      <c r="B92" s="346"/>
      <c r="C92" s="346"/>
      <c r="D92" s="151" t="s">
        <v>228</v>
      </c>
      <c r="E92" s="95">
        <f>'8'!F92</f>
        <v>5518</v>
      </c>
      <c r="F92" s="122">
        <v>5529</v>
      </c>
      <c r="G92" s="112">
        <f t="shared" si="8"/>
        <v>11</v>
      </c>
      <c r="H92" s="99">
        <f>G92+'8'!H92</f>
        <v>91</v>
      </c>
      <c r="I92" s="165"/>
      <c r="J92" s="175">
        <f>H92/DAY(B2)</f>
        <v>10.111111111111111</v>
      </c>
      <c r="O92" s="71"/>
    </row>
    <row r="93" spans="1:15" ht="29.25" x14ac:dyDescent="0.5">
      <c r="A93" s="863" t="s">
        <v>239</v>
      </c>
      <c r="B93" s="864"/>
      <c r="C93" s="865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27.75" x14ac:dyDescent="0.5">
      <c r="A94" s="818" t="s">
        <v>240</v>
      </c>
      <c r="B94" s="819"/>
      <c r="C94" s="820"/>
      <c r="D94" s="151" t="s">
        <v>130</v>
      </c>
      <c r="E94" s="151"/>
      <c r="F94" s="151"/>
      <c r="G94" s="99">
        <f>G35+G43+G49+G57</f>
        <v>5240</v>
      </c>
      <c r="H94" s="99">
        <f>G94+'8'!H94</f>
        <v>52682</v>
      </c>
      <c r="I94" s="118"/>
      <c r="J94" s="175">
        <f>H94/DAY(B2)</f>
        <v>5853.5555555555557</v>
      </c>
      <c r="K94" s="69"/>
      <c r="L94" s="66"/>
      <c r="O94" s="71"/>
    </row>
    <row r="95" spans="1:15" ht="27.75" x14ac:dyDescent="0.5">
      <c r="A95" s="818" t="s">
        <v>241</v>
      </c>
      <c r="B95" s="819"/>
      <c r="C95" s="820"/>
      <c r="D95" s="151" t="s">
        <v>23</v>
      </c>
      <c r="E95" s="146"/>
      <c r="F95" s="146"/>
      <c r="G95" s="166">
        <f>G94/G7</f>
        <v>0.29586132911749757</v>
      </c>
      <c r="H95" s="99">
        <f>G95+'8'!H95</f>
        <v>2.703146475152312</v>
      </c>
      <c r="I95" s="167"/>
      <c r="J95" s="175">
        <f>H95/DAY(B2)</f>
        <v>0.30034960835025687</v>
      </c>
      <c r="K95" s="69"/>
      <c r="L95" s="66"/>
      <c r="O95" s="71"/>
    </row>
    <row r="96" spans="1:15" ht="27.75" x14ac:dyDescent="0.5">
      <c r="A96" s="818" t="s">
        <v>242</v>
      </c>
      <c r="B96" s="819"/>
      <c r="C96" s="820"/>
      <c r="D96" s="151" t="s">
        <v>130</v>
      </c>
      <c r="E96" s="95"/>
      <c r="F96" s="95"/>
      <c r="G96" s="99">
        <f>G41+G42+G55+G56</f>
        <v>2762.4599999999991</v>
      </c>
      <c r="H96" s="99">
        <f>G96+'8'!H96</f>
        <v>27720.060000000005</v>
      </c>
      <c r="I96" s="118"/>
      <c r="J96" s="175">
        <f>H96/DAY(B2)</f>
        <v>3080.0066666666671</v>
      </c>
      <c r="K96" s="69"/>
      <c r="L96" s="66"/>
      <c r="O96" s="71"/>
    </row>
    <row r="97" spans="1:15" ht="27.75" x14ac:dyDescent="0.5">
      <c r="A97" s="818" t="s">
        <v>243</v>
      </c>
      <c r="B97" s="819"/>
      <c r="C97" s="820"/>
      <c r="D97" s="151" t="s">
        <v>23</v>
      </c>
      <c r="E97" s="95"/>
      <c r="F97" s="95"/>
      <c r="G97" s="166">
        <f>G96/G7</f>
        <v>0.15597425328891645</v>
      </c>
      <c r="H97" s="99">
        <f>G97+'8'!H97</f>
        <v>1.4225314666420519</v>
      </c>
      <c r="I97" s="167"/>
      <c r="J97" s="175">
        <f>H97/DAY(B2)</f>
        <v>0.15805905184911687</v>
      </c>
      <c r="K97" s="69"/>
      <c r="L97" s="66"/>
      <c r="O97" s="71"/>
    </row>
    <row r="98" spans="1:15" ht="27.75" x14ac:dyDescent="0.5">
      <c r="A98" s="818" t="s">
        <v>244</v>
      </c>
      <c r="B98" s="819"/>
      <c r="C98" s="820"/>
      <c r="D98" s="151" t="s">
        <v>130</v>
      </c>
      <c r="E98" s="95"/>
      <c r="F98" s="95"/>
      <c r="G98" s="99">
        <f>G39+G53</f>
        <v>2610</v>
      </c>
      <c r="H98" s="99">
        <f>G98+'8'!H98</f>
        <v>24292</v>
      </c>
      <c r="I98" s="168"/>
      <c r="J98" s="175">
        <f>H98/DAY(B2)</f>
        <v>2699.1111111111113</v>
      </c>
      <c r="K98" s="69"/>
      <c r="L98" s="66"/>
      <c r="O98" s="71"/>
    </row>
    <row r="99" spans="1:15" ht="27.75" x14ac:dyDescent="0.5">
      <c r="A99" s="818" t="s">
        <v>245</v>
      </c>
      <c r="B99" s="819"/>
      <c r="C99" s="820"/>
      <c r="D99" s="151" t="s">
        <v>23</v>
      </c>
      <c r="E99" s="95"/>
      <c r="F99" s="95"/>
      <c r="G99" s="166">
        <f>G98/G7</f>
        <v>0.14736604370165435</v>
      </c>
      <c r="H99" s="99">
        <f>G99+'8'!H99</f>
        <v>1.2476520325238241</v>
      </c>
      <c r="I99" s="168"/>
      <c r="J99" s="175">
        <f>H99/DAY(B2)</f>
        <v>0.13862800361375824</v>
      </c>
      <c r="O99" s="71"/>
    </row>
    <row r="100" spans="1:15" ht="27.75" x14ac:dyDescent="0.5">
      <c r="A100" s="818" t="s">
        <v>246</v>
      </c>
      <c r="B100" s="819"/>
      <c r="C100" s="820"/>
      <c r="D100" s="151" t="s">
        <v>180</v>
      </c>
      <c r="E100" s="95"/>
      <c r="F100" s="95"/>
      <c r="G100" s="99">
        <f>G38+G52</f>
        <v>1658</v>
      </c>
      <c r="H100" s="99">
        <f>G100+'8'!H100</f>
        <v>14858</v>
      </c>
      <c r="I100" s="118"/>
      <c r="J100" s="175">
        <f>H100/DAY(B2)</f>
        <v>1650.8888888888889</v>
      </c>
      <c r="K100" s="70"/>
      <c r="O100" s="71"/>
    </row>
    <row r="101" spans="1:15" ht="27.75" x14ac:dyDescent="0.5">
      <c r="A101" s="818" t="s">
        <v>247</v>
      </c>
      <c r="B101" s="819"/>
      <c r="C101" s="820"/>
      <c r="D101" s="151" t="s">
        <v>23</v>
      </c>
      <c r="E101" s="95"/>
      <c r="F101" s="95"/>
      <c r="G101" s="166">
        <f>G100/G7</f>
        <v>9.3614138106261652E-2</v>
      </c>
      <c r="H101" s="99">
        <f>G101+'8'!H101</f>
        <v>0.76312704045134694</v>
      </c>
      <c r="I101" s="168"/>
      <c r="J101" s="175">
        <f>H101/DAY(B2)</f>
        <v>8.4791893383482989E-2</v>
      </c>
      <c r="O101" s="71"/>
    </row>
    <row r="102" spans="1:15" ht="27.75" x14ac:dyDescent="0.5">
      <c r="A102" s="818" t="s">
        <v>248</v>
      </c>
      <c r="B102" s="819"/>
      <c r="C102" s="820"/>
      <c r="D102" s="151" t="s">
        <v>180</v>
      </c>
      <c r="E102" s="95"/>
      <c r="F102" s="95"/>
      <c r="G102" s="99">
        <f>G36+G50</f>
        <v>1673</v>
      </c>
      <c r="H102" s="99">
        <f>G102+'8'!H102</f>
        <v>16543</v>
      </c>
      <c r="I102" s="168"/>
      <c r="J102" s="175">
        <f>H102/DAY(B2)</f>
        <v>1838.1111111111111</v>
      </c>
      <c r="O102" s="71"/>
    </row>
    <row r="103" spans="1:15" ht="27.75" x14ac:dyDescent="0.5">
      <c r="A103" s="818" t="s">
        <v>249</v>
      </c>
      <c r="B103" s="819"/>
      <c r="C103" s="820"/>
      <c r="D103" s="151" t="s">
        <v>23</v>
      </c>
      <c r="E103" s="95"/>
      <c r="F103" s="95"/>
      <c r="G103" s="166">
        <f>G102/G7</f>
        <v>9.4461069391903338E-2</v>
      </c>
      <c r="H103" s="99">
        <f>G103+'8'!H103</f>
        <v>0.84829606973781813</v>
      </c>
      <c r="I103" s="118"/>
      <c r="J103" s="175">
        <f>H103/DAY(B2)</f>
        <v>9.425511885975757E-2</v>
      </c>
      <c r="O103" s="71"/>
    </row>
    <row r="104" spans="1:15" ht="27.75" x14ac:dyDescent="0.5">
      <c r="A104" s="818" t="s">
        <v>250</v>
      </c>
      <c r="B104" s="819"/>
      <c r="C104" s="820"/>
      <c r="D104" s="151" t="s">
        <v>180</v>
      </c>
      <c r="E104" s="95"/>
      <c r="F104" s="95"/>
      <c r="G104" s="99">
        <f>G37+G51</f>
        <v>1472</v>
      </c>
      <c r="H104" s="99">
        <f>G104+'8'!H104</f>
        <v>13684</v>
      </c>
      <c r="I104" s="118"/>
      <c r="J104" s="175">
        <f>H104/DAY(B2)</f>
        <v>1520.4444444444443</v>
      </c>
      <c r="O104" s="71"/>
    </row>
    <row r="105" spans="1:15" ht="28.5" thickBot="1" x14ac:dyDescent="0.55000000000000004">
      <c r="A105" s="858" t="s">
        <v>251</v>
      </c>
      <c r="B105" s="859"/>
      <c r="C105" s="860"/>
      <c r="D105" s="231" t="s">
        <v>23</v>
      </c>
      <c r="E105" s="185"/>
      <c r="F105" s="185"/>
      <c r="G105" s="186">
        <f>G104/G7</f>
        <v>8.311219016430467E-2</v>
      </c>
      <c r="H105" s="99">
        <f>G105+'8'!H105</f>
        <v>0.70276275107212771</v>
      </c>
      <c r="I105" s="187"/>
      <c r="J105" s="188">
        <f>H105/DAY(B2)</f>
        <v>7.8084750119125301E-2</v>
      </c>
      <c r="O105" s="71"/>
    </row>
    <row r="106" spans="1:15" ht="29.25" x14ac:dyDescent="0.5">
      <c r="A106" s="105"/>
      <c r="B106" s="96"/>
      <c r="C106" s="96"/>
      <c r="D106" s="169"/>
      <c r="E106" s="169"/>
      <c r="F106" s="169"/>
      <c r="G106" s="169"/>
      <c r="H106" s="170"/>
      <c r="I106" s="169"/>
      <c r="J106" s="171"/>
      <c r="O106" s="71"/>
    </row>
    <row r="107" spans="1:15" ht="29.25" x14ac:dyDescent="0.5"/>
    <row r="108" spans="1:15" ht="31.5" x14ac:dyDescent="0.55000000000000004">
      <c r="A108" s="872" t="s">
        <v>324</v>
      </c>
      <c r="B108" s="872"/>
      <c r="C108" s="872"/>
      <c r="D108" s="872"/>
      <c r="E108" s="872"/>
      <c r="F108" s="872"/>
      <c r="G108" s="872"/>
      <c r="H108" s="872"/>
      <c r="I108" s="872"/>
      <c r="J108" s="872"/>
    </row>
    <row r="109" spans="1:15" ht="29.25" x14ac:dyDescent="0.5">
      <c r="A109" s="857"/>
      <c r="B109" s="857"/>
    </row>
    <row r="110" spans="1:15" ht="29.25" x14ac:dyDescent="0.5">
      <c r="A110" s="873" t="s">
        <v>165</v>
      </c>
      <c r="B110" s="874"/>
      <c r="C110" s="874"/>
      <c r="D110" s="874"/>
      <c r="E110" s="874"/>
      <c r="F110" s="874"/>
      <c r="G110" s="874"/>
      <c r="H110" s="874"/>
      <c r="I110" s="874"/>
      <c r="J110" s="875"/>
    </row>
    <row r="111" spans="1:15" ht="27.75" x14ac:dyDescent="0.5">
      <c r="A111" s="876"/>
      <c r="B111" s="877"/>
      <c r="C111" s="878"/>
      <c r="D111" s="165"/>
      <c r="E111" s="165"/>
      <c r="F111" s="165"/>
      <c r="G111" s="165"/>
      <c r="H111" s="156"/>
      <c r="I111" s="165"/>
      <c r="J111" s="327"/>
    </row>
    <row r="112" spans="1:15" ht="27.75" x14ac:dyDescent="0.5">
      <c r="A112" s="851" t="s">
        <v>252</v>
      </c>
      <c r="B112" s="852"/>
      <c r="C112" s="853"/>
      <c r="D112" s="146" t="s">
        <v>183</v>
      </c>
      <c r="E112" s="95">
        <f>'8'!F112</f>
        <v>56274</v>
      </c>
      <c r="F112" s="237">
        <v>56351</v>
      </c>
      <c r="G112" s="112">
        <f t="shared" ref="G112:G123" si="9">F112-E112</f>
        <v>77</v>
      </c>
      <c r="H112" s="99">
        <f>G112+'8'!H112</f>
        <v>670</v>
      </c>
      <c r="I112" s="165"/>
      <c r="J112" s="328">
        <f>H112/DAY(B2)</f>
        <v>74.444444444444443</v>
      </c>
    </row>
    <row r="113" spans="1:18" ht="29.25" customHeight="1" x14ac:dyDescent="0.5">
      <c r="A113" s="851" t="s">
        <v>253</v>
      </c>
      <c r="B113" s="852"/>
      <c r="C113" s="853"/>
      <c r="D113" s="146" t="s">
        <v>183</v>
      </c>
      <c r="E113" s="95">
        <f>'8'!F113</f>
        <v>35802</v>
      </c>
      <c r="F113" s="237">
        <v>36226</v>
      </c>
      <c r="G113" s="112">
        <f t="shared" si="9"/>
        <v>424</v>
      </c>
      <c r="H113" s="99">
        <f>G113+'8'!H113</f>
        <v>4031</v>
      </c>
      <c r="I113" s="165"/>
      <c r="J113" s="328">
        <f>H113/DAY(B2)</f>
        <v>447.88888888888891</v>
      </c>
    </row>
    <row r="114" spans="1:18" ht="29.25" customHeight="1" x14ac:dyDescent="0.5">
      <c r="A114" s="851" t="s">
        <v>254</v>
      </c>
      <c r="B114" s="852"/>
      <c r="C114" s="853"/>
      <c r="D114" s="146" t="s">
        <v>183</v>
      </c>
      <c r="E114" s="95">
        <f>'8'!F114</f>
        <v>26995</v>
      </c>
      <c r="F114" s="237">
        <v>27257</v>
      </c>
      <c r="G114" s="112">
        <f t="shared" si="9"/>
        <v>262</v>
      </c>
      <c r="H114" s="99">
        <f>G114+'8'!H114</f>
        <v>2386</v>
      </c>
      <c r="I114" s="165"/>
      <c r="J114" s="328">
        <f>H114/DAY(B2)</f>
        <v>265.11111111111109</v>
      </c>
    </row>
    <row r="115" spans="1:18" ht="29.25" customHeight="1" x14ac:dyDescent="0.5">
      <c r="A115" s="851" t="s">
        <v>255</v>
      </c>
      <c r="B115" s="852"/>
      <c r="C115" s="853"/>
      <c r="D115" s="146" t="s">
        <v>183</v>
      </c>
      <c r="E115" s="95">
        <f>'8'!F115</f>
        <v>8871</v>
      </c>
      <c r="F115" s="237">
        <v>8878</v>
      </c>
      <c r="G115" s="112">
        <f t="shared" si="9"/>
        <v>7</v>
      </c>
      <c r="H115" s="99">
        <f>G115+'8'!H115</f>
        <v>93</v>
      </c>
      <c r="I115" s="165"/>
      <c r="J115" s="328">
        <f>H115/DAY(B2)</f>
        <v>10.333333333333334</v>
      </c>
    </row>
    <row r="116" spans="1:18" ht="29.25" customHeight="1" x14ac:dyDescent="0.5">
      <c r="A116" s="869" t="s">
        <v>96</v>
      </c>
      <c r="B116" s="870"/>
      <c r="C116" s="871"/>
      <c r="D116" s="146" t="s">
        <v>183</v>
      </c>
      <c r="E116" s="95">
        <f>'8'!F116</f>
        <v>0</v>
      </c>
      <c r="F116" s="237">
        <v>0</v>
      </c>
      <c r="G116" s="112">
        <f t="shared" si="9"/>
        <v>0</v>
      </c>
      <c r="H116" s="99">
        <f>G116+'8'!H116</f>
        <v>0</v>
      </c>
      <c r="I116" s="165"/>
      <c r="J116" s="328">
        <f>H116/DAY(B2)</f>
        <v>0</v>
      </c>
      <c r="Q116" s="851"/>
      <c r="R116" s="853"/>
    </row>
    <row r="117" spans="1:18" ht="29.25" customHeight="1" x14ac:dyDescent="0.5">
      <c r="A117" s="869" t="s">
        <v>184</v>
      </c>
      <c r="B117" s="870"/>
      <c r="C117" s="871"/>
      <c r="D117" s="146" t="s">
        <v>183</v>
      </c>
      <c r="E117" s="95">
        <f>'8'!F117</f>
        <v>2800</v>
      </c>
      <c r="F117" s="237">
        <v>2823</v>
      </c>
      <c r="G117" s="112">
        <f t="shared" si="9"/>
        <v>23</v>
      </c>
      <c r="H117" s="99">
        <f>G117+'8'!H117</f>
        <v>233</v>
      </c>
      <c r="I117" s="165"/>
      <c r="J117" s="328">
        <f>H117/DAY(B2)</f>
        <v>25.888888888888889</v>
      </c>
      <c r="Q117" s="851"/>
      <c r="R117" s="853"/>
    </row>
    <row r="118" spans="1:18" ht="27.75" x14ac:dyDescent="0.5">
      <c r="A118" s="846" t="s">
        <v>97</v>
      </c>
      <c r="B118" s="846"/>
      <c r="C118" s="846"/>
      <c r="D118" s="151" t="s">
        <v>183</v>
      </c>
      <c r="E118" s="95">
        <f>'8'!F118</f>
        <v>244610</v>
      </c>
      <c r="F118" s="237">
        <v>244956</v>
      </c>
      <c r="G118" s="112">
        <f t="shared" si="9"/>
        <v>346</v>
      </c>
      <c r="H118" s="99">
        <f>G118+'8'!H118</f>
        <v>3309</v>
      </c>
      <c r="I118" s="165"/>
      <c r="J118" s="328">
        <f>H118/DAY(B2)</f>
        <v>367.66666666666669</v>
      </c>
      <c r="Q118" s="851"/>
      <c r="R118" s="853"/>
    </row>
    <row r="119" spans="1:18" ht="27.75" x14ac:dyDescent="0.5">
      <c r="A119" s="846" t="s">
        <v>98</v>
      </c>
      <c r="B119" s="846"/>
      <c r="C119" s="846"/>
      <c r="D119" s="151" t="s">
        <v>183</v>
      </c>
      <c r="E119" s="95">
        <f>'8'!F119</f>
        <v>248606</v>
      </c>
      <c r="F119" s="237">
        <v>249048</v>
      </c>
      <c r="G119" s="112">
        <f t="shared" si="9"/>
        <v>442</v>
      </c>
      <c r="H119" s="99">
        <f>G119+'8'!H119</f>
        <v>3922</v>
      </c>
      <c r="I119" s="165"/>
      <c r="J119" s="328">
        <f>H119/DAY(B2)</f>
        <v>435.77777777777777</v>
      </c>
    </row>
    <row r="120" spans="1:18" ht="27.75" x14ac:dyDescent="0.5">
      <c r="A120" s="846" t="s">
        <v>99</v>
      </c>
      <c r="B120" s="846"/>
      <c r="C120" s="846"/>
      <c r="D120" s="151" t="s">
        <v>183</v>
      </c>
      <c r="E120" s="95">
        <f>'8'!F120</f>
        <v>33445</v>
      </c>
      <c r="F120" s="237">
        <v>33867</v>
      </c>
      <c r="G120" s="112">
        <f t="shared" si="9"/>
        <v>422</v>
      </c>
      <c r="H120" s="99">
        <f>G120+'8'!H120</f>
        <v>3789</v>
      </c>
      <c r="I120" s="165"/>
      <c r="J120" s="328">
        <f>H120/DAY(B2)</f>
        <v>421</v>
      </c>
    </row>
    <row r="121" spans="1:18" ht="27.75" x14ac:dyDescent="0.5">
      <c r="A121" s="846" t="s">
        <v>100</v>
      </c>
      <c r="B121" s="846"/>
      <c r="C121" s="846"/>
      <c r="D121" s="151" t="s">
        <v>183</v>
      </c>
      <c r="E121" s="95">
        <f>'8'!F121</f>
        <v>382527</v>
      </c>
      <c r="F121" s="237">
        <v>383229</v>
      </c>
      <c r="G121" s="112">
        <f t="shared" si="9"/>
        <v>702</v>
      </c>
      <c r="H121" s="99">
        <f>G121+'8'!H121</f>
        <v>6700</v>
      </c>
      <c r="I121" s="165"/>
      <c r="J121" s="328">
        <f>H121/DAY(B2)</f>
        <v>744.44444444444446</v>
      </c>
    </row>
    <row r="122" spans="1:18" ht="27.75" x14ac:dyDescent="0.5">
      <c r="A122" s="846" t="s">
        <v>101</v>
      </c>
      <c r="B122" s="846"/>
      <c r="C122" s="846"/>
      <c r="D122" s="151" t="s">
        <v>183</v>
      </c>
      <c r="E122" s="95">
        <f>'8'!F122</f>
        <v>121898</v>
      </c>
      <c r="F122" s="237">
        <v>122083</v>
      </c>
      <c r="G122" s="112">
        <f t="shared" si="9"/>
        <v>185</v>
      </c>
      <c r="H122" s="99">
        <f>G122+'8'!H122</f>
        <v>2033</v>
      </c>
      <c r="I122" s="165"/>
      <c r="J122" s="328">
        <f>H122/DAY(B2)</f>
        <v>225.88888888888889</v>
      </c>
    </row>
    <row r="123" spans="1:18" ht="27.75" x14ac:dyDescent="0.5">
      <c r="A123" s="846" t="s">
        <v>102</v>
      </c>
      <c r="B123" s="846"/>
      <c r="C123" s="846"/>
      <c r="D123" s="151" t="s">
        <v>183</v>
      </c>
      <c r="E123" s="95">
        <f>'8'!F123</f>
        <v>147737</v>
      </c>
      <c r="F123" s="237">
        <v>148043</v>
      </c>
      <c r="G123" s="112">
        <f t="shared" si="9"/>
        <v>306</v>
      </c>
      <c r="H123" s="99">
        <f>G123+'8'!H123</f>
        <v>2918</v>
      </c>
      <c r="I123" s="165"/>
      <c r="J123" s="328">
        <f>H123/DAY(B2)</f>
        <v>324.22222222222223</v>
      </c>
    </row>
    <row r="124" spans="1:18" ht="29.25" customHeight="1" x14ac:dyDescent="0.5">
      <c r="A124" s="876"/>
      <c r="B124" s="877"/>
      <c r="C124" s="878"/>
      <c r="D124" s="165"/>
      <c r="E124" s="165"/>
      <c r="F124" s="165"/>
      <c r="G124" s="327"/>
      <c r="H124" s="156"/>
      <c r="I124" s="165"/>
      <c r="J124" s="327"/>
    </row>
    <row r="125" spans="1:18" ht="27.75" x14ac:dyDescent="0.5">
      <c r="A125" s="879" t="s">
        <v>196</v>
      </c>
      <c r="B125" s="880"/>
      <c r="C125" s="245"/>
      <c r="D125" s="307"/>
      <c r="E125" s="308"/>
      <c r="F125" s="308"/>
      <c r="G125" s="309">
        <f>SUM(G112:G124)</f>
        <v>3196</v>
      </c>
      <c r="H125" s="156"/>
      <c r="I125" s="327">
        <f>G125-(G39+G53)</f>
        <v>586</v>
      </c>
      <c r="J125" s="327"/>
    </row>
    <row r="126" spans="1:18" ht="27.75" x14ac:dyDescent="0.5">
      <c r="A126" s="881" t="s">
        <v>317</v>
      </c>
      <c r="B126" s="881"/>
      <c r="C126" s="881"/>
      <c r="D126" s="881"/>
      <c r="E126" s="881"/>
      <c r="F126" s="881"/>
      <c r="G126" s="881"/>
      <c r="H126" s="881"/>
      <c r="I126" s="881"/>
      <c r="J126" s="881"/>
    </row>
    <row r="127" spans="1:18" ht="27.75" x14ac:dyDescent="0.5">
      <c r="A127" s="882"/>
      <c r="B127" s="882"/>
      <c r="C127" s="245"/>
      <c r="D127" s="307"/>
      <c r="E127" s="308"/>
      <c r="F127" s="308"/>
      <c r="G127" s="309"/>
      <c r="H127" s="99">
        <f>G127+'8'!H127</f>
        <v>0</v>
      </c>
      <c r="I127" s="165"/>
      <c r="J127" s="328">
        <f>H127/DAY(B2)</f>
        <v>0</v>
      </c>
    </row>
    <row r="128" spans="1:18" ht="29.25" customHeight="1" x14ac:dyDescent="0.5">
      <c r="A128" s="851" t="s">
        <v>318</v>
      </c>
      <c r="B128" s="852"/>
      <c r="C128" s="853"/>
      <c r="D128" s="151" t="s">
        <v>183</v>
      </c>
      <c r="E128" s="95">
        <f>'8'!F128</f>
        <v>40658</v>
      </c>
      <c r="F128" s="155">
        <v>40976</v>
      </c>
      <c r="G128" s="112">
        <f t="shared" ref="G128:G134" si="10">F128-E128</f>
        <v>318</v>
      </c>
      <c r="H128" s="99">
        <f>G128+'8'!H128</f>
        <v>2972</v>
      </c>
      <c r="I128" s="165"/>
      <c r="J128" s="328">
        <f>H128/DAY(B2)</f>
        <v>330.22222222222223</v>
      </c>
    </row>
    <row r="129" spans="1:15" ht="27.75" x14ac:dyDescent="0.5">
      <c r="A129" s="329" t="s">
        <v>319</v>
      </c>
      <c r="B129" s="330"/>
      <c r="C129" s="331"/>
      <c r="D129" s="151" t="s">
        <v>183</v>
      </c>
      <c r="E129" s="95">
        <f>'8'!F129</f>
        <v>22071</v>
      </c>
      <c r="F129" s="155">
        <v>22281</v>
      </c>
      <c r="G129" s="112">
        <f t="shared" si="10"/>
        <v>210</v>
      </c>
      <c r="H129" s="99">
        <f>G129+'8'!H129</f>
        <v>1960</v>
      </c>
      <c r="I129" s="165"/>
      <c r="J129" s="328">
        <f>H129/DAY(B2)</f>
        <v>217.77777777777777</v>
      </c>
      <c r="N129" s="240"/>
      <c r="O129" s="241"/>
    </row>
    <row r="130" spans="1:15" ht="27.75" x14ac:dyDescent="0.5">
      <c r="A130" s="329" t="s">
        <v>320</v>
      </c>
      <c r="B130" s="330"/>
      <c r="C130" s="331"/>
      <c r="D130" s="151" t="s">
        <v>183</v>
      </c>
      <c r="E130" s="95">
        <f>'8'!F130</f>
        <v>23805</v>
      </c>
      <c r="F130" s="155">
        <v>24387</v>
      </c>
      <c r="G130" s="112">
        <f t="shared" si="10"/>
        <v>582</v>
      </c>
      <c r="H130" s="99">
        <f>G130+'8'!H130</f>
        <v>6005</v>
      </c>
      <c r="I130" s="165"/>
      <c r="J130" s="328">
        <f>H130/DAY(B2)</f>
        <v>667.22222222222217</v>
      </c>
      <c r="N130" s="240"/>
      <c r="O130" s="241"/>
    </row>
    <row r="131" spans="1:15" ht="27.75" x14ac:dyDescent="0.5">
      <c r="A131" s="851" t="s">
        <v>321</v>
      </c>
      <c r="B131" s="852"/>
      <c r="C131" s="853"/>
      <c r="D131" s="151" t="s">
        <v>183</v>
      </c>
      <c r="E131" s="95">
        <f>'8'!F131</f>
        <v>13770</v>
      </c>
      <c r="F131" s="155">
        <v>13825</v>
      </c>
      <c r="G131" s="112">
        <f t="shared" si="10"/>
        <v>55</v>
      </c>
      <c r="H131" s="99">
        <f>G131+'8'!H131</f>
        <v>672</v>
      </c>
      <c r="I131" s="165"/>
      <c r="J131" s="328">
        <f>H131/DAY(B2)</f>
        <v>74.666666666666671</v>
      </c>
      <c r="N131" s="240"/>
      <c r="O131" s="241"/>
    </row>
    <row r="132" spans="1:15" ht="27.75" x14ac:dyDescent="0.5">
      <c r="A132" s="851" t="s">
        <v>322</v>
      </c>
      <c r="B132" s="852"/>
      <c r="C132" s="853"/>
      <c r="D132" s="151" t="s">
        <v>183</v>
      </c>
      <c r="E132" s="95">
        <f>'8'!F132</f>
        <v>44731</v>
      </c>
      <c r="F132" s="155">
        <v>45241</v>
      </c>
      <c r="G132" s="112">
        <f t="shared" si="10"/>
        <v>510</v>
      </c>
      <c r="H132" s="99">
        <f>G132+'8'!H132</f>
        <v>4218</v>
      </c>
      <c r="I132" s="165"/>
      <c r="J132" s="328">
        <f>H132/DAY(B2)</f>
        <v>468.66666666666669</v>
      </c>
    </row>
    <row r="133" spans="1:15" ht="27.75" x14ac:dyDescent="0.5">
      <c r="A133" s="851" t="s">
        <v>323</v>
      </c>
      <c r="B133" s="852"/>
      <c r="C133" s="853"/>
      <c r="D133" s="151" t="s">
        <v>183</v>
      </c>
      <c r="E133" s="95">
        <f>'8'!F133</f>
        <v>94229</v>
      </c>
      <c r="F133" s="155">
        <v>94753</v>
      </c>
      <c r="G133" s="112">
        <f t="shared" si="10"/>
        <v>524</v>
      </c>
      <c r="H133" s="99">
        <f>G133+'8'!H133</f>
        <v>7050</v>
      </c>
      <c r="I133" s="165"/>
      <c r="J133" s="328">
        <f>H133/DAY(B2)</f>
        <v>783.33333333333337</v>
      </c>
    </row>
    <row r="134" spans="1:15" ht="27.75" x14ac:dyDescent="0.5">
      <c r="A134" s="851" t="s">
        <v>340</v>
      </c>
      <c r="B134" s="852"/>
      <c r="C134" s="853"/>
      <c r="D134" s="151" t="s">
        <v>183</v>
      </c>
      <c r="E134" s="95">
        <f>'8'!F134</f>
        <v>673983</v>
      </c>
      <c r="F134" s="155">
        <v>674585</v>
      </c>
      <c r="G134" s="112">
        <f t="shared" si="10"/>
        <v>602</v>
      </c>
      <c r="H134" s="99">
        <f>G134+'8'!H134</f>
        <v>5705</v>
      </c>
      <c r="I134" s="165"/>
      <c r="J134" s="328">
        <f>H134/DAY(B2)</f>
        <v>633.88888888888891</v>
      </c>
    </row>
    <row r="135" spans="1:15" ht="27.75" x14ac:dyDescent="0.5">
      <c r="A135" s="879" t="s">
        <v>196</v>
      </c>
      <c r="B135" s="880"/>
      <c r="C135" s="331"/>
      <c r="D135" s="151"/>
      <c r="E135" s="95"/>
      <c r="F135" s="165"/>
      <c r="G135" s="112">
        <f>SUM(G128:G134)</f>
        <v>2801</v>
      </c>
      <c r="H135" s="99">
        <f>G135+'8'!H135</f>
        <v>28582</v>
      </c>
      <c r="I135" s="327">
        <f>G135-(G35+G49)</f>
        <v>-288</v>
      </c>
      <c r="J135" s="328">
        <f>H135/DAY(B2)</f>
        <v>3175.7777777777778</v>
      </c>
    </row>
    <row r="136" spans="1:15" ht="31.5" x14ac:dyDescent="0.55000000000000004">
      <c r="A136" s="883" t="s">
        <v>325</v>
      </c>
      <c r="B136" s="883"/>
      <c r="C136" s="883"/>
      <c r="D136" s="883"/>
      <c r="E136" s="883"/>
      <c r="F136" s="883"/>
      <c r="G136" s="883"/>
      <c r="H136" s="883"/>
      <c r="I136" s="883"/>
      <c r="J136" s="883"/>
    </row>
    <row r="137" spans="1:15" ht="29.25" x14ac:dyDescent="0.5">
      <c r="A137" s="245"/>
      <c r="B137" s="246"/>
      <c r="C137" s="246"/>
      <c r="D137" s="165"/>
      <c r="E137" s="165"/>
      <c r="F137" s="165"/>
      <c r="G137" s="165"/>
      <c r="H137" s="156"/>
      <c r="I137" s="165"/>
      <c r="J137" s="327"/>
    </row>
    <row r="138" spans="1:15" ht="27.75" x14ac:dyDescent="0.5">
      <c r="A138" s="846" t="s">
        <v>185</v>
      </c>
      <c r="B138" s="846"/>
      <c r="C138" s="846"/>
      <c r="D138" s="151" t="s">
        <v>183</v>
      </c>
      <c r="E138" s="95">
        <f>'8'!F138</f>
        <v>864737</v>
      </c>
      <c r="F138" s="147">
        <v>864791</v>
      </c>
      <c r="G138" s="112">
        <f t="shared" ref="G138:G152" si="11">F138-E138</f>
        <v>54</v>
      </c>
      <c r="H138" s="99">
        <f>G138+'8'!H138</f>
        <v>620</v>
      </c>
      <c r="I138" s="118"/>
      <c r="J138" s="328">
        <f>H138/DAY(B2)</f>
        <v>68.888888888888886</v>
      </c>
    </row>
    <row r="139" spans="1:15" ht="27.75" x14ac:dyDescent="0.5">
      <c r="A139" s="846" t="s">
        <v>186</v>
      </c>
      <c r="B139" s="846"/>
      <c r="C139" s="846"/>
      <c r="D139" s="151" t="s">
        <v>183</v>
      </c>
      <c r="E139" s="95">
        <f>'8'!F139</f>
        <v>886549</v>
      </c>
      <c r="F139" s="148">
        <v>886549</v>
      </c>
      <c r="G139" s="112">
        <f t="shared" si="11"/>
        <v>0</v>
      </c>
      <c r="H139" s="99">
        <f>G139+'8'!H139</f>
        <v>3</v>
      </c>
      <c r="I139" s="118"/>
      <c r="J139" s="328">
        <f>H139/DAY(B2)</f>
        <v>0.33333333333333331</v>
      </c>
    </row>
    <row r="140" spans="1:15" ht="27.75" x14ac:dyDescent="0.5">
      <c r="A140" s="846" t="s">
        <v>187</v>
      </c>
      <c r="B140" s="846"/>
      <c r="C140" s="846"/>
      <c r="D140" s="151" t="s">
        <v>183</v>
      </c>
      <c r="E140" s="95">
        <f>'8'!F140</f>
        <v>88898</v>
      </c>
      <c r="F140" s="149">
        <v>88898</v>
      </c>
      <c r="G140" s="112">
        <f t="shared" si="11"/>
        <v>0</v>
      </c>
      <c r="H140" s="99">
        <f>G140+'8'!H140</f>
        <v>16</v>
      </c>
      <c r="I140" s="118"/>
      <c r="J140" s="328">
        <f>H140/DAY(B2)</f>
        <v>1.7777777777777777</v>
      </c>
    </row>
    <row r="141" spans="1:15" ht="27.75" x14ac:dyDescent="0.5">
      <c r="A141" s="850" t="s">
        <v>188</v>
      </c>
      <c r="B141" s="850"/>
      <c r="C141" s="850"/>
      <c r="D141" s="151" t="s">
        <v>183</v>
      </c>
      <c r="E141" s="95">
        <f>'8'!F141</f>
        <v>50714</v>
      </c>
      <c r="F141" s="149">
        <v>50890</v>
      </c>
      <c r="G141" s="112">
        <f t="shared" si="11"/>
        <v>176</v>
      </c>
      <c r="H141" s="99">
        <f>G141+'8'!H141</f>
        <v>1584</v>
      </c>
      <c r="I141" s="118"/>
      <c r="J141" s="328">
        <f>H141/DAY(B2)</f>
        <v>176</v>
      </c>
    </row>
    <row r="142" spans="1:15" ht="27.75" x14ac:dyDescent="0.5">
      <c r="A142" s="850" t="s">
        <v>189</v>
      </c>
      <c r="B142" s="850"/>
      <c r="C142" s="850"/>
      <c r="D142" s="151" t="s">
        <v>183</v>
      </c>
      <c r="E142" s="95">
        <f>'8'!F142</f>
        <v>19567</v>
      </c>
      <c r="F142" s="148">
        <v>19639</v>
      </c>
      <c r="G142" s="112">
        <f t="shared" si="11"/>
        <v>72</v>
      </c>
      <c r="H142" s="99">
        <f>G142+'8'!H142</f>
        <v>630</v>
      </c>
      <c r="I142" s="140"/>
      <c r="J142" s="328">
        <f>H142/DAY(B2)</f>
        <v>70</v>
      </c>
    </row>
    <row r="143" spans="1:15" ht="27.75" x14ac:dyDescent="0.5">
      <c r="A143" s="846" t="s">
        <v>91</v>
      </c>
      <c r="B143" s="846"/>
      <c r="C143" s="846"/>
      <c r="D143" s="151" t="s">
        <v>183</v>
      </c>
      <c r="E143" s="95">
        <f>'8'!F143</f>
        <v>3248</v>
      </c>
      <c r="F143" s="149">
        <v>3273</v>
      </c>
      <c r="G143" s="112">
        <f t="shared" si="11"/>
        <v>25</v>
      </c>
      <c r="H143" s="99">
        <f>G143+'8'!H143</f>
        <v>212</v>
      </c>
      <c r="I143" s="140"/>
      <c r="J143" s="328">
        <f>H143/DAY(B2)</f>
        <v>23.555555555555557</v>
      </c>
    </row>
    <row r="144" spans="1:15" ht="27.75" x14ac:dyDescent="0.5">
      <c r="A144" s="850" t="s">
        <v>90</v>
      </c>
      <c r="B144" s="850"/>
      <c r="C144" s="850"/>
      <c r="D144" s="151" t="s">
        <v>183</v>
      </c>
      <c r="E144" s="95">
        <f>'8'!F144</f>
        <v>871484</v>
      </c>
      <c r="F144" s="149">
        <v>871704</v>
      </c>
      <c r="G144" s="112">
        <f t="shared" si="11"/>
        <v>220</v>
      </c>
      <c r="H144" s="99">
        <f>G144+'8'!H144</f>
        <v>2034</v>
      </c>
      <c r="I144" s="140"/>
      <c r="J144" s="328">
        <f>H144/DAY(B2)</f>
        <v>226</v>
      </c>
    </row>
    <row r="145" spans="1:10" ht="27.75" x14ac:dyDescent="0.5">
      <c r="A145" s="846" t="s">
        <v>190</v>
      </c>
      <c r="B145" s="846"/>
      <c r="C145" s="846"/>
      <c r="D145" s="152" t="s">
        <v>183</v>
      </c>
      <c r="E145" s="95">
        <f>'8'!F145</f>
        <v>4694</v>
      </c>
      <c r="F145" s="149">
        <v>4712</v>
      </c>
      <c r="G145" s="112">
        <f t="shared" si="11"/>
        <v>18</v>
      </c>
      <c r="H145" s="99">
        <f>G145+'8'!H145</f>
        <v>154</v>
      </c>
      <c r="I145" s="140"/>
      <c r="J145" s="328">
        <f>H145/DAY(B2)</f>
        <v>17.111111111111111</v>
      </c>
    </row>
    <row r="146" spans="1:10" ht="27.75" x14ac:dyDescent="0.5">
      <c r="A146" s="847" t="s">
        <v>191</v>
      </c>
      <c r="B146" s="848"/>
      <c r="C146" s="849"/>
      <c r="D146" s="152" t="s">
        <v>183</v>
      </c>
      <c r="E146" s="95">
        <f>'8'!F146</f>
        <v>728434</v>
      </c>
      <c r="F146" s="148">
        <v>728816</v>
      </c>
      <c r="G146" s="112">
        <f t="shared" si="11"/>
        <v>382</v>
      </c>
      <c r="H146" s="99">
        <f>G146+'8'!H146</f>
        <v>3958</v>
      </c>
      <c r="I146" s="140"/>
      <c r="J146" s="328">
        <f>H146/DAY(B2)</f>
        <v>439.77777777777777</v>
      </c>
    </row>
    <row r="147" spans="1:10" ht="27.75" x14ac:dyDescent="0.5">
      <c r="A147" s="850" t="s">
        <v>192</v>
      </c>
      <c r="B147" s="850"/>
      <c r="C147" s="850"/>
      <c r="D147" s="152" t="s">
        <v>183</v>
      </c>
      <c r="E147" s="95">
        <f>'8'!F147</f>
        <v>618444</v>
      </c>
      <c r="F147" s="148">
        <v>618802</v>
      </c>
      <c r="G147" s="112">
        <f t="shared" si="11"/>
        <v>358</v>
      </c>
      <c r="H147" s="99">
        <f>G147+'8'!H147</f>
        <v>3520</v>
      </c>
      <c r="I147" s="140"/>
      <c r="J147" s="328">
        <f>H147/DAY(B2)</f>
        <v>391.11111111111109</v>
      </c>
    </row>
    <row r="148" spans="1:10" ht="27.75" x14ac:dyDescent="0.5">
      <c r="A148" s="842" t="s">
        <v>193</v>
      </c>
      <c r="B148" s="843"/>
      <c r="C148" s="844"/>
      <c r="D148" s="123" t="s">
        <v>130</v>
      </c>
      <c r="E148" s="95">
        <f>'8'!F148</f>
        <v>685202</v>
      </c>
      <c r="F148" s="488">
        <v>685430</v>
      </c>
      <c r="G148" s="112">
        <f t="shared" si="11"/>
        <v>228</v>
      </c>
      <c r="H148" s="99">
        <f>G148+'8'!H148</f>
        <v>2396.8800000000047</v>
      </c>
      <c r="I148" s="124"/>
      <c r="J148" s="328">
        <f>H148/DAY(B2)</f>
        <v>266.3200000000005</v>
      </c>
    </row>
    <row r="149" spans="1:10" ht="27.75" x14ac:dyDescent="0.5">
      <c r="A149" s="842" t="s">
        <v>336</v>
      </c>
      <c r="B149" s="843"/>
      <c r="C149" s="844"/>
      <c r="D149" s="227" t="s">
        <v>130</v>
      </c>
      <c r="E149" s="95">
        <f>'8'!F149</f>
        <v>14107</v>
      </c>
      <c r="F149" s="146">
        <v>14582</v>
      </c>
      <c r="G149" s="112">
        <f t="shared" si="11"/>
        <v>475</v>
      </c>
      <c r="H149" s="99">
        <f>G149+'8'!H149</f>
        <v>3833</v>
      </c>
      <c r="I149" s="119"/>
      <c r="J149" s="328">
        <f>H149/DAY(B2)</f>
        <v>425.88888888888891</v>
      </c>
    </row>
    <row r="150" spans="1:10" ht="27.75" x14ac:dyDescent="0.5">
      <c r="A150" s="842" t="s">
        <v>337</v>
      </c>
      <c r="B150" s="843"/>
      <c r="C150" s="844"/>
      <c r="D150" s="117" t="s">
        <v>130</v>
      </c>
      <c r="E150" s="95">
        <f>'8'!F150</f>
        <v>5811</v>
      </c>
      <c r="F150" s="233">
        <v>6042</v>
      </c>
      <c r="G150" s="112">
        <f t="shared" si="11"/>
        <v>231</v>
      </c>
      <c r="H150" s="99">
        <f>G150+'8'!H150</f>
        <v>1990</v>
      </c>
      <c r="I150" s="119"/>
      <c r="J150" s="328">
        <f>H150/DAY(B2)</f>
        <v>221.11111111111111</v>
      </c>
    </row>
    <row r="151" spans="1:10" ht="27.75" x14ac:dyDescent="0.5">
      <c r="A151" s="842" t="s">
        <v>338</v>
      </c>
      <c r="B151" s="843"/>
      <c r="C151" s="844"/>
      <c r="D151" s="117" t="s">
        <v>130</v>
      </c>
      <c r="E151" s="95">
        <f>'8'!F151</f>
        <v>80192</v>
      </c>
      <c r="F151" s="233">
        <v>80408</v>
      </c>
      <c r="G151" s="112">
        <f t="shared" si="11"/>
        <v>216</v>
      </c>
      <c r="H151" s="99">
        <f>G151+'8'!H151</f>
        <v>2191</v>
      </c>
      <c r="I151" s="119"/>
      <c r="J151" s="328">
        <f>H151/DAY(B2)</f>
        <v>243.44444444444446</v>
      </c>
    </row>
    <row r="152" spans="1:10" ht="27.75" x14ac:dyDescent="0.5">
      <c r="A152" s="842" t="s">
        <v>339</v>
      </c>
      <c r="B152" s="843"/>
      <c r="C152" s="844"/>
      <c r="D152" s="117" t="s">
        <v>130</v>
      </c>
      <c r="E152" s="95">
        <f>'8'!F152</f>
        <v>1289</v>
      </c>
      <c r="F152" s="233">
        <v>1305</v>
      </c>
      <c r="G152" s="112">
        <f t="shared" si="11"/>
        <v>16</v>
      </c>
      <c r="H152" s="99">
        <f>G152+'8'!H152</f>
        <v>178</v>
      </c>
      <c r="I152" s="119"/>
      <c r="J152" s="328">
        <f>H152/DAY(B2)</f>
        <v>19.777777777777779</v>
      </c>
    </row>
    <row r="153" spans="1:10" ht="27.75" x14ac:dyDescent="0.5">
      <c r="A153" s="879" t="s">
        <v>196</v>
      </c>
      <c r="B153" s="880"/>
      <c r="C153" s="365"/>
      <c r="D153" s="358"/>
      <c r="E153" s="360"/>
      <c r="F153" s="361"/>
      <c r="G153" s="362">
        <f>SUM(G138:G152)</f>
        <v>2471</v>
      </c>
      <c r="H153" s="363"/>
      <c r="I153" s="119">
        <f>G153-(G38+G52)</f>
        <v>813</v>
      </c>
      <c r="J153" s="366"/>
    </row>
    <row r="154" spans="1:10" ht="31.5" x14ac:dyDescent="0.55000000000000004">
      <c r="A154" s="883" t="s">
        <v>344</v>
      </c>
      <c r="B154" s="883"/>
      <c r="C154" s="883"/>
      <c r="D154" s="883"/>
      <c r="E154" s="883"/>
      <c r="F154" s="883"/>
      <c r="G154" s="883"/>
      <c r="H154" s="883"/>
      <c r="I154" s="883"/>
      <c r="J154" s="883"/>
    </row>
    <row r="155" spans="1:10" ht="31.5" x14ac:dyDescent="0.55000000000000004">
      <c r="A155" s="850" t="s">
        <v>345</v>
      </c>
      <c r="B155" s="850"/>
      <c r="C155" s="850"/>
      <c r="D155" s="117" t="s">
        <v>130</v>
      </c>
      <c r="E155" s="95">
        <f>'8'!F155</f>
        <v>17939</v>
      </c>
      <c r="F155" s="374">
        <v>18559</v>
      </c>
      <c r="G155" s="112">
        <f t="shared" ref="G155:G156" si="12">F155-E155</f>
        <v>620</v>
      </c>
      <c r="H155" s="99">
        <f>G155+'8'!H155</f>
        <v>5087</v>
      </c>
      <c r="I155" s="364"/>
      <c r="J155" s="328">
        <f>H155/DAY(B2)</f>
        <v>565.22222222222217</v>
      </c>
    </row>
    <row r="156" spans="1:10" ht="27.75" x14ac:dyDescent="0.5">
      <c r="A156" s="850" t="s">
        <v>346</v>
      </c>
      <c r="B156" s="850"/>
      <c r="C156" s="850"/>
      <c r="D156" s="117" t="s">
        <v>130</v>
      </c>
      <c r="E156" s="95">
        <f>'8'!F156</f>
        <v>1459</v>
      </c>
      <c r="F156" s="155">
        <v>1508</v>
      </c>
      <c r="G156" s="112">
        <f t="shared" si="12"/>
        <v>49</v>
      </c>
      <c r="H156" s="99">
        <f>G156+'8'!H156</f>
        <v>420</v>
      </c>
      <c r="I156" s="165"/>
      <c r="J156" s="328">
        <f>H156/DAY(B2)</f>
        <v>46.666666666666664</v>
      </c>
    </row>
    <row r="157" spans="1:10" ht="27.75" x14ac:dyDescent="0.5">
      <c r="A157" s="842" t="s">
        <v>364</v>
      </c>
      <c r="B157" s="843"/>
      <c r="C157" s="844"/>
      <c r="D157" s="117" t="s">
        <v>130</v>
      </c>
      <c r="E157" s="95"/>
      <c r="F157" s="155"/>
      <c r="G157" s="112"/>
      <c r="H157" s="99"/>
      <c r="I157" s="165"/>
      <c r="J157" s="328"/>
    </row>
    <row r="158" spans="1:10" ht="27.75" x14ac:dyDescent="0.5">
      <c r="A158" s="842" t="s">
        <v>365</v>
      </c>
      <c r="B158" s="843"/>
      <c r="C158" s="844"/>
      <c r="D158" s="117" t="s">
        <v>130</v>
      </c>
      <c r="E158" s="95"/>
      <c r="F158" s="155"/>
      <c r="G158" s="112"/>
      <c r="H158" s="99"/>
      <c r="I158" s="165"/>
      <c r="J158" s="328"/>
    </row>
    <row r="159" spans="1:10" ht="27.75" x14ac:dyDescent="0.5">
      <c r="A159" s="899"/>
      <c r="B159" s="900"/>
      <c r="C159" s="901"/>
      <c r="D159" s="117"/>
      <c r="E159" s="95"/>
      <c r="F159" s="155"/>
      <c r="G159" s="112"/>
      <c r="H159" s="99"/>
      <c r="I159" s="165"/>
      <c r="J159" s="328"/>
    </row>
    <row r="160" spans="1:10" ht="31.5" x14ac:dyDescent="0.55000000000000004">
      <c r="A160" s="883" t="s">
        <v>326</v>
      </c>
      <c r="B160" s="883"/>
      <c r="C160" s="883"/>
      <c r="D160" s="883"/>
      <c r="E160" s="883"/>
      <c r="F160" s="883"/>
      <c r="G160" s="883"/>
      <c r="H160" s="883"/>
      <c r="I160" s="883"/>
      <c r="J160" s="883"/>
    </row>
    <row r="161" spans="1:10" ht="29.25" x14ac:dyDescent="0.5">
      <c r="A161" s="242" t="s">
        <v>92</v>
      </c>
      <c r="B161" s="243"/>
      <c r="C161" s="243"/>
      <c r="D161" s="244" t="s">
        <v>180</v>
      </c>
      <c r="E161" s="95">
        <f>'8'!F161</f>
        <v>471225</v>
      </c>
      <c r="F161" s="503">
        <v>471231</v>
      </c>
      <c r="G161" s="238">
        <f t="shared" ref="G161:G166" si="13">F161-E161</f>
        <v>6</v>
      </c>
      <c r="H161" s="99">
        <f>G161+'8'!H161</f>
        <v>77.840000000025611</v>
      </c>
      <c r="I161" s="236"/>
      <c r="J161" s="239">
        <f>H161/DAY(B2)</f>
        <v>8.6488888888917348</v>
      </c>
    </row>
    <row r="162" spans="1:10" ht="27" customHeight="1" x14ac:dyDescent="0.5">
      <c r="A162" s="242" t="s">
        <v>93</v>
      </c>
      <c r="B162" s="243"/>
      <c r="C162" s="243"/>
      <c r="D162" s="244" t="s">
        <v>180</v>
      </c>
      <c r="E162" s="95">
        <f>'8'!F162</f>
        <v>87773</v>
      </c>
      <c r="F162" s="235">
        <v>87796</v>
      </c>
      <c r="G162" s="238">
        <f t="shared" si="13"/>
        <v>23</v>
      </c>
      <c r="H162" s="99">
        <f>G162+'8'!H162</f>
        <v>226</v>
      </c>
      <c r="I162" s="236"/>
      <c r="J162" s="239">
        <f>H162/DAY(B2)</f>
        <v>25.111111111111111</v>
      </c>
    </row>
    <row r="163" spans="1:10" ht="29.25" x14ac:dyDescent="0.5">
      <c r="A163" s="242" t="s">
        <v>197</v>
      </c>
      <c r="B163" s="243"/>
      <c r="C163" s="243"/>
      <c r="D163" s="244" t="s">
        <v>180</v>
      </c>
      <c r="E163" s="95">
        <f>'8'!F163</f>
        <v>78155</v>
      </c>
      <c r="F163" s="235">
        <v>78188</v>
      </c>
      <c r="G163" s="238">
        <f t="shared" si="13"/>
        <v>33</v>
      </c>
      <c r="H163" s="99">
        <f>G163+'8'!H163</f>
        <v>363</v>
      </c>
      <c r="I163" s="236"/>
      <c r="J163" s="239">
        <f>H163/DAY(B2)</f>
        <v>40.333333333333336</v>
      </c>
    </row>
    <row r="164" spans="1:10" ht="29.25" x14ac:dyDescent="0.5">
      <c r="A164" s="242" t="s">
        <v>197</v>
      </c>
      <c r="B164" s="243"/>
      <c r="C164" s="243"/>
      <c r="D164" s="244" t="s">
        <v>180</v>
      </c>
      <c r="E164" s="95">
        <f>'8'!F164</f>
        <v>4255</v>
      </c>
      <c r="F164" s="235">
        <v>4255</v>
      </c>
      <c r="G164" s="238">
        <f t="shared" si="13"/>
        <v>0</v>
      </c>
      <c r="H164" s="99">
        <f>G164+'8'!H164</f>
        <v>13</v>
      </c>
      <c r="I164" s="236"/>
      <c r="J164" s="239">
        <f>H164/DAY(B2)</f>
        <v>1.4444444444444444</v>
      </c>
    </row>
    <row r="165" spans="1:10" ht="29.25" x14ac:dyDescent="0.5">
      <c r="A165" s="242" t="s">
        <v>309</v>
      </c>
      <c r="B165" s="243"/>
      <c r="C165" s="243"/>
      <c r="D165" s="244" t="s">
        <v>180</v>
      </c>
      <c r="E165" s="95">
        <f>'8'!F165</f>
        <v>29697</v>
      </c>
      <c r="F165" s="235">
        <v>29697</v>
      </c>
      <c r="G165" s="238">
        <f t="shared" si="13"/>
        <v>0</v>
      </c>
      <c r="H165" s="99">
        <f>G165+'8'!H165</f>
        <v>51</v>
      </c>
      <c r="I165" s="236"/>
      <c r="J165" s="239">
        <f>H165/DAY(B2)</f>
        <v>5.666666666666667</v>
      </c>
    </row>
    <row r="166" spans="1:10" ht="29.25" x14ac:dyDescent="0.5">
      <c r="A166" s="882"/>
      <c r="B166" s="882"/>
      <c r="C166" s="246"/>
      <c r="D166" s="244" t="s">
        <v>180</v>
      </c>
      <c r="E166" s="95">
        <f>'8'!F166</f>
        <v>0</v>
      </c>
      <c r="F166" s="165">
        <v>0</v>
      </c>
      <c r="G166" s="165">
        <f t="shared" si="13"/>
        <v>0</v>
      </c>
      <c r="H166" s="99">
        <f>G166+'8'!H166</f>
        <v>0</v>
      </c>
      <c r="I166" s="165"/>
      <c r="J166" s="239">
        <f>H166/DAY(B2)</f>
        <v>0</v>
      </c>
    </row>
    <row r="167" spans="1:10" ht="29.25" x14ac:dyDescent="0.5">
      <c r="A167" s="882"/>
      <c r="B167" s="882"/>
      <c r="C167" s="246"/>
      <c r="D167" s="244" t="s">
        <v>180</v>
      </c>
      <c r="E167" s="95">
        <f>'8'!F167</f>
        <v>0</v>
      </c>
      <c r="F167" s="165"/>
      <c r="G167" s="165"/>
      <c r="H167" s="99">
        <f>G167+'8'!H167</f>
        <v>0</v>
      </c>
      <c r="I167" s="165"/>
      <c r="J167" s="239">
        <f>H167/DAY(B2)</f>
        <v>0</v>
      </c>
    </row>
    <row r="168" spans="1:10" ht="29.25" x14ac:dyDescent="0.5">
      <c r="A168" s="882"/>
      <c r="B168" s="882"/>
      <c r="C168" s="246"/>
      <c r="D168" s="244" t="s">
        <v>180</v>
      </c>
      <c r="E168" s="95">
        <f>'8'!F168</f>
        <v>0</v>
      </c>
      <c r="F168" s="165"/>
      <c r="G168" s="165"/>
      <c r="H168" s="99">
        <f>G168+'8'!H168</f>
        <v>0</v>
      </c>
      <c r="I168" s="165"/>
      <c r="J168" s="239">
        <f>H168/DAY(B2)</f>
        <v>0</v>
      </c>
    </row>
    <row r="169" spans="1:10" ht="29.25" x14ac:dyDescent="0.5"/>
    <row r="170" spans="1:10" ht="29.25" x14ac:dyDescent="0.5"/>
    <row r="171" spans="1:10" ht="31.5" x14ac:dyDescent="0.35">
      <c r="A171" s="890" t="s">
        <v>330</v>
      </c>
      <c r="B171" s="891"/>
      <c r="C171" s="891"/>
      <c r="D171" s="891"/>
      <c r="E171" s="891"/>
      <c r="F171" s="891"/>
      <c r="G171" s="891"/>
      <c r="H171" s="891"/>
      <c r="I171" s="891"/>
      <c r="J171" s="892"/>
    </row>
    <row r="172" spans="1:10" ht="27.75" x14ac:dyDescent="0.5">
      <c r="A172" s="886"/>
      <c r="B172" s="887"/>
      <c r="C172" s="332"/>
      <c r="D172" s="228"/>
      <c r="E172" s="155"/>
      <c r="F172" s="155"/>
      <c r="G172" s="155"/>
      <c r="H172" s="156"/>
      <c r="I172" s="155"/>
      <c r="J172" s="178"/>
    </row>
    <row r="173" spans="1:10" ht="27.75" x14ac:dyDescent="0.5">
      <c r="A173" s="840" t="s">
        <v>209</v>
      </c>
      <c r="B173" s="841"/>
      <c r="C173" s="333"/>
      <c r="D173" s="228" t="s">
        <v>142</v>
      </c>
      <c r="E173" s="95">
        <f>'8'!F173</f>
        <v>8126</v>
      </c>
      <c r="F173" s="155">
        <v>8126</v>
      </c>
      <c r="G173" s="155">
        <f>F173-E173</f>
        <v>0</v>
      </c>
      <c r="H173" s="99">
        <f>G173+'8'!H173</f>
        <v>0</v>
      </c>
      <c r="I173" s="155"/>
      <c r="J173" s="178">
        <f>H173/DAY(B2)</f>
        <v>0</v>
      </c>
    </row>
    <row r="174" spans="1:10" ht="27.75" x14ac:dyDescent="0.5">
      <c r="A174" s="840" t="s">
        <v>75</v>
      </c>
      <c r="B174" s="841"/>
      <c r="C174" s="333"/>
      <c r="D174" s="228" t="s">
        <v>142</v>
      </c>
      <c r="E174" s="95">
        <f>'8'!F174</f>
        <v>38370</v>
      </c>
      <c r="F174" s="157">
        <v>38388</v>
      </c>
      <c r="G174" s="155">
        <f t="shared" ref="G174:G175" si="14">F174-E174</f>
        <v>18</v>
      </c>
      <c r="H174" s="99">
        <f>G174+'8'!H174</f>
        <v>95</v>
      </c>
      <c r="I174" s="155"/>
      <c r="J174" s="178">
        <f>H174/DAY(B2)</f>
        <v>10.555555555555555</v>
      </c>
    </row>
    <row r="175" spans="1:10" ht="27.75" x14ac:dyDescent="0.5">
      <c r="A175" s="840" t="s">
        <v>76</v>
      </c>
      <c r="B175" s="845"/>
      <c r="C175" s="841"/>
      <c r="D175" s="228" t="s">
        <v>142</v>
      </c>
      <c r="E175" s="95">
        <f>'8'!F175</f>
        <v>21596</v>
      </c>
      <c r="F175" s="155">
        <v>21606</v>
      </c>
      <c r="G175" s="155">
        <f t="shared" si="14"/>
        <v>10</v>
      </c>
      <c r="H175" s="99">
        <f>G175+'8'!H175</f>
        <v>88</v>
      </c>
      <c r="I175" s="155"/>
      <c r="J175" s="178">
        <f>H175/DAY(B2)</f>
        <v>9.7777777777777786</v>
      </c>
    </row>
    <row r="176" spans="1:10" ht="27.75" x14ac:dyDescent="0.5">
      <c r="A176" s="879" t="s">
        <v>196</v>
      </c>
      <c r="B176" s="880"/>
      <c r="C176" s="333"/>
      <c r="D176" s="228" t="s">
        <v>142</v>
      </c>
      <c r="E176" s="95"/>
      <c r="F176" s="155"/>
      <c r="G176" s="155">
        <f>SUM(G173:G175)</f>
        <v>28</v>
      </c>
      <c r="H176" s="99">
        <f>G176+'8'!H176</f>
        <v>183</v>
      </c>
      <c r="I176" s="155"/>
      <c r="J176" s="178">
        <f>H176/DAY(B2)</f>
        <v>20.333333333333332</v>
      </c>
    </row>
    <row r="177" spans="1:10" ht="27.75" x14ac:dyDescent="0.5">
      <c r="A177" s="840" t="s">
        <v>77</v>
      </c>
      <c r="B177" s="841"/>
      <c r="C177" s="333"/>
      <c r="D177" s="228" t="s">
        <v>142</v>
      </c>
      <c r="E177" s="95"/>
      <c r="F177" s="155"/>
      <c r="G177" s="155"/>
      <c r="H177" s="99">
        <f>G177+'8'!H177</f>
        <v>0</v>
      </c>
      <c r="I177" s="155"/>
      <c r="J177" s="178">
        <f>H177/DAY(B2)</f>
        <v>0</v>
      </c>
    </row>
    <row r="178" spans="1:10" ht="27.75" x14ac:dyDescent="0.5">
      <c r="A178" s="840" t="s">
        <v>210</v>
      </c>
      <c r="B178" s="841"/>
      <c r="C178" s="333"/>
      <c r="D178" s="228" t="s">
        <v>142</v>
      </c>
      <c r="E178" s="95">
        <f>'8'!F178</f>
        <v>80168</v>
      </c>
      <c r="F178" s="155">
        <v>80229</v>
      </c>
      <c r="G178" s="155">
        <f>F178-E178</f>
        <v>61</v>
      </c>
      <c r="H178" s="99">
        <f>G178+'8'!H178</f>
        <v>615</v>
      </c>
      <c r="I178" s="155"/>
      <c r="J178" s="178">
        <f>H178/DAY(B2)</f>
        <v>68.333333333333329</v>
      </c>
    </row>
    <row r="179" spans="1:10" ht="27.75" x14ac:dyDescent="0.5">
      <c r="A179" s="840" t="s">
        <v>211</v>
      </c>
      <c r="B179" s="841"/>
      <c r="C179" s="333"/>
      <c r="D179" s="228" t="s">
        <v>142</v>
      </c>
      <c r="E179" s="95">
        <f>'8'!F179</f>
        <v>34052</v>
      </c>
      <c r="F179" s="155">
        <v>34070</v>
      </c>
      <c r="G179" s="155">
        <f t="shared" ref="G179:G180" si="15">F179-E179</f>
        <v>18</v>
      </c>
      <c r="H179" s="99">
        <f>G179+'8'!H179</f>
        <v>155</v>
      </c>
      <c r="I179" s="155"/>
      <c r="J179" s="178">
        <f>H179/DAY(B2)</f>
        <v>17.222222222222221</v>
      </c>
    </row>
    <row r="180" spans="1:10" ht="31.5" customHeight="1" x14ac:dyDescent="0.5">
      <c r="A180" s="840" t="s">
        <v>212</v>
      </c>
      <c r="B180" s="841"/>
      <c r="C180" s="333"/>
      <c r="D180" s="228" t="s">
        <v>142</v>
      </c>
      <c r="E180" s="95">
        <f>'8'!F180</f>
        <v>5543</v>
      </c>
      <c r="F180" s="155">
        <v>5544</v>
      </c>
      <c r="G180" s="155">
        <f t="shared" si="15"/>
        <v>1</v>
      </c>
      <c r="H180" s="99">
        <f>G180+'8'!H180</f>
        <v>67</v>
      </c>
      <c r="I180" s="155"/>
      <c r="J180" s="178">
        <f>H180/DAY(B2)</f>
        <v>7.4444444444444446</v>
      </c>
    </row>
    <row r="181" spans="1:10" ht="27.75" x14ac:dyDescent="0.5">
      <c r="A181" s="884" t="s">
        <v>108</v>
      </c>
      <c r="B181" s="885"/>
      <c r="C181" s="333"/>
      <c r="D181" s="228" t="s">
        <v>142</v>
      </c>
      <c r="E181" s="95"/>
      <c r="F181" s="155"/>
      <c r="G181" s="155">
        <f>SUM(G178:G180)</f>
        <v>80</v>
      </c>
      <c r="H181" s="99">
        <f>G181+'8'!H181</f>
        <v>837</v>
      </c>
      <c r="I181" s="155"/>
      <c r="J181" s="178">
        <f>H181/DAY(B2)</f>
        <v>93</v>
      </c>
    </row>
    <row r="182" spans="1:10" ht="27.75" x14ac:dyDescent="0.5">
      <c r="A182" s="840" t="s">
        <v>213</v>
      </c>
      <c r="B182" s="841"/>
      <c r="C182" s="333"/>
      <c r="D182" s="228" t="s">
        <v>142</v>
      </c>
      <c r="E182" s="95"/>
      <c r="F182" s="155"/>
      <c r="G182" s="155"/>
      <c r="H182" s="99">
        <f>G182+'8'!H182</f>
        <v>0</v>
      </c>
      <c r="I182" s="155"/>
      <c r="J182" s="178">
        <f>H182/DAY(B2)</f>
        <v>0</v>
      </c>
    </row>
    <row r="183" spans="1:10" ht="27.75" x14ac:dyDescent="0.5">
      <c r="A183" s="840" t="s">
        <v>214</v>
      </c>
      <c r="B183" s="841"/>
      <c r="C183" s="334"/>
      <c r="D183" s="228" t="s">
        <v>142</v>
      </c>
      <c r="E183" s="95">
        <f>'8'!F183</f>
        <v>15064</v>
      </c>
      <c r="F183" s="157">
        <v>15073</v>
      </c>
      <c r="G183" s="157">
        <f>F183-E183</f>
        <v>9</v>
      </c>
      <c r="H183" s="99">
        <f>G183+'8'!H183</f>
        <v>126</v>
      </c>
      <c r="I183" s="155"/>
      <c r="J183" s="178">
        <f>H183/DAY(B2)</f>
        <v>14</v>
      </c>
    </row>
    <row r="184" spans="1:10" ht="27.75" x14ac:dyDescent="0.5">
      <c r="A184" s="840" t="s">
        <v>215</v>
      </c>
      <c r="B184" s="841"/>
      <c r="C184" s="334"/>
      <c r="D184" s="228" t="s">
        <v>142</v>
      </c>
      <c r="E184" s="95">
        <f>'8'!F184</f>
        <v>10356</v>
      </c>
      <c r="F184" s="157">
        <v>10369</v>
      </c>
      <c r="G184" s="157">
        <f t="shared" ref="G184:G185" si="16">F184-E184</f>
        <v>13</v>
      </c>
      <c r="H184" s="99">
        <f>G184+'8'!H184</f>
        <v>68</v>
      </c>
      <c r="I184" s="155"/>
      <c r="J184" s="178">
        <f>H184/DAY(B2)</f>
        <v>7.5555555555555554</v>
      </c>
    </row>
    <row r="185" spans="1:10" ht="35.25" customHeight="1" x14ac:dyDescent="0.5">
      <c r="A185" s="840" t="s">
        <v>216</v>
      </c>
      <c r="B185" s="841"/>
      <c r="C185" s="334"/>
      <c r="D185" s="228" t="s">
        <v>142</v>
      </c>
      <c r="E185" s="95">
        <f>'8'!F185</f>
        <v>0</v>
      </c>
      <c r="F185" s="157">
        <v>0</v>
      </c>
      <c r="G185" s="157">
        <f t="shared" si="16"/>
        <v>0</v>
      </c>
      <c r="H185" s="99">
        <f>G185+'8'!H185</f>
        <v>0</v>
      </c>
      <c r="I185" s="155"/>
      <c r="J185" s="178">
        <f>H185/DAY(B2)</f>
        <v>0</v>
      </c>
    </row>
    <row r="186" spans="1:10" ht="27" customHeight="1" x14ac:dyDescent="0.5">
      <c r="A186" s="879" t="s">
        <v>196</v>
      </c>
      <c r="B186" s="880"/>
      <c r="C186" s="334"/>
      <c r="D186" s="228" t="s">
        <v>142</v>
      </c>
      <c r="E186" s="95"/>
      <c r="F186" s="157"/>
      <c r="G186" s="157">
        <f>SUM(G183:G185)</f>
        <v>22</v>
      </c>
      <c r="H186" s="99">
        <f>G186+'8'!H186</f>
        <v>194</v>
      </c>
      <c r="I186" s="157"/>
      <c r="J186" s="178">
        <f>H186/DAY(B2)</f>
        <v>21.555555555555557</v>
      </c>
    </row>
    <row r="187" spans="1:10" ht="27.75" x14ac:dyDescent="0.5">
      <c r="A187" s="888" t="s">
        <v>217</v>
      </c>
      <c r="B187" s="889"/>
      <c r="C187" s="333"/>
      <c r="D187" s="230" t="s">
        <v>142</v>
      </c>
      <c r="E187" s="95"/>
      <c r="F187" s="159"/>
      <c r="G187" s="462">
        <f>G62+G19</f>
        <v>135</v>
      </c>
      <c r="H187" s="99">
        <f>G187+'8'!H187</f>
        <v>1007</v>
      </c>
      <c r="I187" s="158"/>
      <c r="J187" s="179">
        <f>H187/DAY(B2)</f>
        <v>111.88888888888889</v>
      </c>
    </row>
    <row r="188" spans="1:10" ht="27.75" x14ac:dyDescent="0.5">
      <c r="A188" s="888" t="s">
        <v>218</v>
      </c>
      <c r="B188" s="889"/>
      <c r="C188" s="333"/>
      <c r="D188" s="230" t="s">
        <v>142</v>
      </c>
      <c r="E188" s="95"/>
      <c r="F188" s="159"/>
      <c r="G188" s="462">
        <f>G65+G66+G67+G69+G70</f>
        <v>140</v>
      </c>
      <c r="H188" s="99">
        <f>G188+'8'!H188</f>
        <v>1275</v>
      </c>
      <c r="I188" s="158"/>
      <c r="J188" s="179">
        <f>H188/DAY(B2)</f>
        <v>141.66666666666666</v>
      </c>
    </row>
    <row r="189" spans="1:10" ht="27.75" x14ac:dyDescent="0.5">
      <c r="A189" s="888" t="s">
        <v>219</v>
      </c>
      <c r="B189" s="889"/>
      <c r="C189" s="333"/>
      <c r="D189" s="230" t="s">
        <v>142</v>
      </c>
      <c r="E189" s="95"/>
      <c r="F189" s="157"/>
      <c r="G189" s="459">
        <f>G181</f>
        <v>80</v>
      </c>
      <c r="H189" s="99">
        <f>G189+'8'!H189</f>
        <v>837</v>
      </c>
      <c r="I189" s="158"/>
      <c r="J189" s="179">
        <f>H189/DAY(B2)</f>
        <v>93</v>
      </c>
    </row>
    <row r="190" spans="1:10" ht="29.25" customHeight="1" x14ac:dyDescent="0.5">
      <c r="A190" s="811"/>
      <c r="B190" s="812"/>
      <c r="C190" s="475"/>
      <c r="D190" s="480"/>
      <c r="E190" s="480" t="s">
        <v>207</v>
      </c>
      <c r="F190" s="480"/>
      <c r="G190" s="480"/>
      <c r="H190" s="481"/>
      <c r="I190" s="480"/>
      <c r="J190" s="482"/>
    </row>
    <row r="191" spans="1:10" ht="29.25" x14ac:dyDescent="0.5"/>
    <row r="192" spans="1:10" ht="29.25" x14ac:dyDescent="0.5"/>
    <row r="193" ht="19.5" customHeight="1" x14ac:dyDescent="0.5"/>
    <row r="194" ht="19.5" customHeight="1" x14ac:dyDescent="0.5"/>
    <row r="195" ht="19.5" customHeight="1" x14ac:dyDescent="0.5"/>
    <row r="196" ht="19.5" customHeight="1" x14ac:dyDescent="0.5"/>
    <row r="197" ht="19.5" customHeight="1" x14ac:dyDescent="0.5"/>
    <row r="198" ht="19.5" customHeight="1" x14ac:dyDescent="0.5"/>
    <row r="199" ht="19.5" customHeight="1" x14ac:dyDescent="0.5"/>
    <row r="200" ht="29.25" x14ac:dyDescent="0.5"/>
    <row r="201" ht="29.25" x14ac:dyDescent="0.5"/>
    <row r="202" ht="29.25" x14ac:dyDescent="0.5"/>
    <row r="203" ht="29.25" x14ac:dyDescent="0.5"/>
    <row r="204" ht="29.25" x14ac:dyDescent="0.5"/>
    <row r="205" ht="29.25" x14ac:dyDescent="0.5"/>
    <row r="206" ht="29.25" x14ac:dyDescent="0.5"/>
    <row r="207" ht="29.25" x14ac:dyDescent="0.5"/>
    <row r="208" ht="29.25" x14ac:dyDescent="0.5"/>
    <row r="209" ht="29.25" x14ac:dyDescent="0.5"/>
    <row r="210" ht="29.25" x14ac:dyDescent="0.5"/>
    <row r="211" ht="29.25" x14ac:dyDescent="0.5"/>
    <row r="212" ht="29.25" x14ac:dyDescent="0.5"/>
    <row r="213" ht="29.25" x14ac:dyDescent="0.5"/>
    <row r="214" ht="29.25" x14ac:dyDescent="0.5"/>
    <row r="215" ht="29.25" x14ac:dyDescent="0.5"/>
    <row r="216" ht="29.25" x14ac:dyDescent="0.5"/>
    <row r="217" ht="29.25" x14ac:dyDescent="0.5"/>
    <row r="218" ht="29.25" x14ac:dyDescent="0.5"/>
    <row r="219" ht="29.25" x14ac:dyDescent="0.5"/>
    <row r="220" ht="29.25" x14ac:dyDescent="0.5"/>
    <row r="221" ht="29.25" x14ac:dyDescent="0.5"/>
    <row r="222" ht="29.25" x14ac:dyDescent="0.5"/>
    <row r="223" ht="29.25" x14ac:dyDescent="0.5"/>
    <row r="224" ht="29.25" x14ac:dyDescent="0.5"/>
    <row r="225" ht="29.25" x14ac:dyDescent="0.5"/>
    <row r="226" ht="29.25" x14ac:dyDescent="0.5"/>
    <row r="227" ht="29.25" x14ac:dyDescent="0.5"/>
    <row r="228" ht="29.25" x14ac:dyDescent="0.5"/>
    <row r="229" ht="29.25" x14ac:dyDescent="0.5"/>
    <row r="230" ht="29.25" x14ac:dyDescent="0.5"/>
    <row r="231" ht="29.25" x14ac:dyDescent="0.5"/>
    <row r="232" ht="29.25" x14ac:dyDescent="0.5"/>
    <row r="233" ht="29.25" x14ac:dyDescent="0.5"/>
    <row r="234" ht="29.25" x14ac:dyDescent="0.5"/>
    <row r="235" ht="29.25" x14ac:dyDescent="0.5"/>
    <row r="236" ht="29.25" x14ac:dyDescent="0.5"/>
    <row r="237" ht="29.25" x14ac:dyDescent="0.5"/>
    <row r="238" ht="29.25" x14ac:dyDescent="0.5"/>
    <row r="239" ht="29.25" x14ac:dyDescent="0.5"/>
    <row r="240" ht="29.25" x14ac:dyDescent="0.5"/>
    <row r="241" ht="29.25" x14ac:dyDescent="0.5"/>
    <row r="242" ht="29.25" x14ac:dyDescent="0.5"/>
    <row r="243" ht="29.25" x14ac:dyDescent="0.5"/>
    <row r="244" ht="29.25" x14ac:dyDescent="0.5"/>
    <row r="245" ht="29.25" x14ac:dyDescent="0.5"/>
    <row r="246" ht="29.25" x14ac:dyDescent="0.5"/>
    <row r="247" ht="29.25" x14ac:dyDescent="0.5"/>
    <row r="248" ht="29.25" x14ac:dyDescent="0.5"/>
    <row r="249" ht="29.25" x14ac:dyDescent="0.5"/>
    <row r="250" ht="29.25" x14ac:dyDescent="0.5"/>
    <row r="251" ht="29.25" x14ac:dyDescent="0.5"/>
    <row r="252" ht="29.25" x14ac:dyDescent="0.5"/>
    <row r="253" ht="29.25" x14ac:dyDescent="0.5"/>
    <row r="254" ht="29.25" x14ac:dyDescent="0.5"/>
    <row r="255" ht="29.25" x14ac:dyDescent="0.5"/>
    <row r="256" ht="29.25" x14ac:dyDescent="0.5"/>
    <row r="257" ht="29.25" x14ac:dyDescent="0.5"/>
    <row r="258" ht="29.25" x14ac:dyDescent="0.5"/>
    <row r="259" ht="29.25" x14ac:dyDescent="0.5"/>
    <row r="260" ht="29.25" x14ac:dyDescent="0.5"/>
    <row r="261" ht="29.25" x14ac:dyDescent="0.5"/>
    <row r="262" ht="29.25" x14ac:dyDescent="0.5"/>
    <row r="263" ht="29.25" x14ac:dyDescent="0.5"/>
    <row r="264" ht="29.25" x14ac:dyDescent="0.5"/>
    <row r="265" ht="29.25" x14ac:dyDescent="0.5"/>
    <row r="266" ht="29.25" x14ac:dyDescent="0.5"/>
    <row r="267" ht="29.25" x14ac:dyDescent="0.5"/>
    <row r="268" ht="29.25" x14ac:dyDescent="0.5"/>
    <row r="269" ht="29.25" x14ac:dyDescent="0.5"/>
    <row r="270" ht="29.25" x14ac:dyDescent="0.5"/>
  </sheetData>
  <mergeCells count="115">
    <mergeCell ref="A187:B187"/>
    <mergeCell ref="A188:B188"/>
    <mergeCell ref="A189:B189"/>
    <mergeCell ref="A190:B190"/>
    <mergeCell ref="A141:C141"/>
    <mergeCell ref="A142:C142"/>
    <mergeCell ref="A160:J160"/>
    <mergeCell ref="A166:B166"/>
    <mergeCell ref="A167:B167"/>
    <mergeCell ref="A184:B184"/>
    <mergeCell ref="A185:B185"/>
    <mergeCell ref="A150:C150"/>
    <mergeCell ref="A151:C151"/>
    <mergeCell ref="A152:C152"/>
    <mergeCell ref="A154:J154"/>
    <mergeCell ref="A155:C155"/>
    <mergeCell ref="A156:C156"/>
    <mergeCell ref="A153:B153"/>
    <mergeCell ref="A145:C145"/>
    <mergeCell ref="A146:C146"/>
    <mergeCell ref="A147:C147"/>
    <mergeCell ref="A148:C148"/>
    <mergeCell ref="A149:C149"/>
    <mergeCell ref="A186:B186"/>
    <mergeCell ref="A183:B183"/>
    <mergeCell ref="A181:B181"/>
    <mergeCell ref="A182:B182"/>
    <mergeCell ref="A179:B179"/>
    <mergeCell ref="A180:B180"/>
    <mergeCell ref="A175:C175"/>
    <mergeCell ref="A168:B168"/>
    <mergeCell ref="A171:J171"/>
    <mergeCell ref="A172:B172"/>
    <mergeCell ref="A173:B173"/>
    <mergeCell ref="A174:B174"/>
    <mergeCell ref="A176:B176"/>
    <mergeCell ref="A177:B177"/>
    <mergeCell ref="A178:B178"/>
    <mergeCell ref="A157:C157"/>
    <mergeCell ref="A158:C158"/>
    <mergeCell ref="A159:C159"/>
    <mergeCell ref="A75:C75"/>
    <mergeCell ref="A76:C76"/>
    <mergeCell ref="A77:C77"/>
    <mergeCell ref="A79:C79"/>
    <mergeCell ref="A80:C80"/>
    <mergeCell ref="Q116:R116"/>
    <mergeCell ref="A117:C117"/>
    <mergeCell ref="Q117:R117"/>
    <mergeCell ref="A118:C118"/>
    <mergeCell ref="Q118:R118"/>
    <mergeCell ref="A108:J108"/>
    <mergeCell ref="A110:J110"/>
    <mergeCell ref="A111:C111"/>
    <mergeCell ref="A112:C112"/>
    <mergeCell ref="A113:C113"/>
    <mergeCell ref="A109:B109"/>
    <mergeCell ref="A122:C122"/>
    <mergeCell ref="A123:C123"/>
    <mergeCell ref="A124:C124"/>
    <mergeCell ref="A125:B125"/>
    <mergeCell ref="A126:J126"/>
    <mergeCell ref="A33:C33"/>
    <mergeCell ref="A61:C61"/>
    <mergeCell ref="A62:C62"/>
    <mergeCell ref="A63:C63"/>
    <mergeCell ref="A143:C143"/>
    <mergeCell ref="A144:C144"/>
    <mergeCell ref="A131:C131"/>
    <mergeCell ref="A132:C132"/>
    <mergeCell ref="A133:C133"/>
    <mergeCell ref="A134:C134"/>
    <mergeCell ref="A136:J136"/>
    <mergeCell ref="A138:C138"/>
    <mergeCell ref="A139:C139"/>
    <mergeCell ref="A140:C140"/>
    <mergeCell ref="A135:B135"/>
    <mergeCell ref="A71:C71"/>
    <mergeCell ref="A114:C114"/>
    <mergeCell ref="A115:C115"/>
    <mergeCell ref="A116:C116"/>
    <mergeCell ref="A119:C119"/>
    <mergeCell ref="A120:C120"/>
    <mergeCell ref="A100:C100"/>
    <mergeCell ref="A101:C101"/>
    <mergeCell ref="A103:C103"/>
    <mergeCell ref="A1:J1"/>
    <mergeCell ref="A6:C6"/>
    <mergeCell ref="A14:C14"/>
    <mergeCell ref="A17:C17"/>
    <mergeCell ref="E3:F3"/>
    <mergeCell ref="A18:C18"/>
    <mergeCell ref="A19:C19"/>
    <mergeCell ref="A21:C21"/>
    <mergeCell ref="A25:C25"/>
    <mergeCell ref="A127:B127"/>
    <mergeCell ref="A128:C128"/>
    <mergeCell ref="A64:C64"/>
    <mergeCell ref="A65:C65"/>
    <mergeCell ref="A104:C104"/>
    <mergeCell ref="A105:C105"/>
    <mergeCell ref="A72:B72"/>
    <mergeCell ref="A78:C78"/>
    <mergeCell ref="A97:C97"/>
    <mergeCell ref="A98:C98"/>
    <mergeCell ref="A99:C99"/>
    <mergeCell ref="A81:C81"/>
    <mergeCell ref="A102:C102"/>
    <mergeCell ref="A95:C95"/>
    <mergeCell ref="A96:C96"/>
    <mergeCell ref="A93:C93"/>
    <mergeCell ref="A94:C94"/>
    <mergeCell ref="A73:C73"/>
    <mergeCell ref="A74:C74"/>
    <mergeCell ref="A121:C121"/>
  </mergeCells>
  <pageMargins left="0.22" right="0.17" top="0.14000000000000001" bottom="0.2" header="0.2" footer="0.2"/>
  <pageSetup paperSize="5" scale="18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1:R270"/>
  <sheetViews>
    <sheetView view="pageBreakPreview" topLeftCell="A10" zoomScale="50" zoomScaleNormal="55" zoomScaleSheetLayoutView="50" workbookViewId="0">
      <selection activeCell="F24" sqref="F24"/>
    </sheetView>
  </sheetViews>
  <sheetFormatPr defaultColWidth="22.33203125" defaultRowHeight="21.95" customHeight="1" x14ac:dyDescent="0.5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6" width="30" style="160" customWidth="1"/>
    <col min="7" max="7" width="28.88671875" style="160" customWidth="1"/>
    <col min="8" max="8" width="39.21875" style="161" customWidth="1"/>
    <col min="9" max="9" width="23.5546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33.75" x14ac:dyDescent="0.65">
      <c r="A1" s="821" t="s">
        <v>115</v>
      </c>
      <c r="B1" s="822"/>
      <c r="C1" s="822"/>
      <c r="D1" s="822"/>
      <c r="E1" s="822"/>
      <c r="F1" s="822"/>
      <c r="G1" s="822"/>
      <c r="H1" s="822"/>
      <c r="I1" s="822"/>
      <c r="J1" s="823"/>
    </row>
    <row r="2" spans="1:15" s="57" customFormat="1" ht="27" x14ac:dyDescent="0.5">
      <c r="A2" s="191" t="s">
        <v>357</v>
      </c>
      <c r="B2" s="262">
        <v>44571</v>
      </c>
      <c r="C2" s="348" t="s">
        <v>67</v>
      </c>
      <c r="D2" s="218">
        <v>0.91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27" x14ac:dyDescent="0.5">
      <c r="A3" s="189"/>
      <c r="B3" s="221"/>
      <c r="C3" s="348" t="s">
        <v>118</v>
      </c>
      <c r="D3" s="219">
        <v>22</v>
      </c>
      <c r="E3" s="830" t="s">
        <v>119</v>
      </c>
      <c r="F3" s="831"/>
      <c r="G3" s="101"/>
      <c r="H3" s="102"/>
      <c r="I3" s="102"/>
      <c r="J3" s="222"/>
      <c r="K3" s="61"/>
      <c r="L3" s="58"/>
    </row>
    <row r="4" spans="1:15" s="57" customFormat="1" ht="27" x14ac:dyDescent="0.5">
      <c r="A4" s="192"/>
      <c r="B4" s="223"/>
      <c r="C4" s="348" t="s">
        <v>120</v>
      </c>
      <c r="D4" s="218">
        <v>0.76</v>
      </c>
      <c r="E4" s="103"/>
      <c r="F4" s="103"/>
      <c r="G4" s="103"/>
      <c r="H4" s="103"/>
      <c r="I4" s="104"/>
      <c r="J4" s="222"/>
      <c r="K4" s="62"/>
      <c r="L4" s="58"/>
    </row>
    <row r="5" spans="1:15" ht="29.25" x14ac:dyDescent="0.4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5" ht="29.25" x14ac:dyDescent="0.4">
      <c r="A6" s="824" t="s">
        <v>128</v>
      </c>
      <c r="B6" s="825"/>
      <c r="C6" s="826"/>
      <c r="D6" s="110"/>
      <c r="E6" s="110"/>
      <c r="F6" s="110"/>
      <c r="G6" s="110"/>
      <c r="H6" s="111"/>
      <c r="I6" s="111"/>
      <c r="J6" s="174"/>
      <c r="K6" s="78"/>
      <c r="L6" s="66"/>
    </row>
    <row r="7" spans="1:15" ht="30" thickBot="1" x14ac:dyDescent="0.45">
      <c r="A7" s="194" t="s">
        <v>129</v>
      </c>
      <c r="B7" s="195"/>
      <c r="C7" s="195"/>
      <c r="D7" s="151" t="s">
        <v>130</v>
      </c>
      <c r="E7" s="95">
        <f>'9'!F7</f>
        <v>269978</v>
      </c>
      <c r="F7" s="95">
        <v>286839</v>
      </c>
      <c r="G7" s="112">
        <f>F7-E7</f>
        <v>16861</v>
      </c>
      <c r="H7" s="99">
        <f>G7+'9'!H7</f>
        <v>192278</v>
      </c>
      <c r="I7" s="113">
        <f>'1'!I7</f>
        <v>12000</v>
      </c>
      <c r="J7" s="175">
        <f>H7/DAY(B2)</f>
        <v>19227.8</v>
      </c>
      <c r="K7" s="172">
        <v>1375467</v>
      </c>
      <c r="L7" s="66"/>
      <c r="N7" s="87"/>
      <c r="O7" s="71"/>
    </row>
    <row r="8" spans="1:15" ht="27.75" thickBot="1" x14ac:dyDescent="0.45">
      <c r="A8" s="196" t="s">
        <v>131</v>
      </c>
      <c r="B8" s="197"/>
      <c r="C8" s="198"/>
      <c r="D8" s="224" t="s">
        <v>24</v>
      </c>
      <c r="E8" s="95">
        <f>'9'!F8</f>
        <v>319937</v>
      </c>
      <c r="F8" s="95">
        <v>337000</v>
      </c>
      <c r="G8" s="115">
        <f>F8-E8</f>
        <v>17063</v>
      </c>
      <c r="H8" s="99">
        <f>G8+'9'!H8</f>
        <v>196115</v>
      </c>
      <c r="I8" s="116"/>
      <c r="J8" s="175">
        <f>H8/DAY(B2)</f>
        <v>19611.5</v>
      </c>
      <c r="K8" s="172">
        <v>1715917</v>
      </c>
      <c r="L8" s="76">
        <v>1728480</v>
      </c>
      <c r="M8" s="87">
        <f>L8-K8</f>
        <v>12563</v>
      </c>
      <c r="N8" s="87"/>
      <c r="O8" s="71"/>
    </row>
    <row r="9" spans="1:15" ht="29.25" x14ac:dyDescent="0.4">
      <c r="A9" s="199" t="s">
        <v>132</v>
      </c>
      <c r="B9" s="200"/>
      <c r="C9" s="200"/>
      <c r="D9" s="151" t="s">
        <v>130</v>
      </c>
      <c r="E9" s="95">
        <f>'9'!F9</f>
        <v>11657</v>
      </c>
      <c r="F9" s="601">
        <v>22761</v>
      </c>
      <c r="G9" s="112">
        <f>F9-E9</f>
        <v>11104</v>
      </c>
      <c r="H9" s="99">
        <f>G9+'9'!H9</f>
        <v>121266</v>
      </c>
      <c r="I9" s="124">
        <f>I7-J7</f>
        <v>-7227.7999999999993</v>
      </c>
      <c r="J9" s="175">
        <f>H9/DAY(B2)</f>
        <v>12126.6</v>
      </c>
      <c r="K9" s="79">
        <f>K8-100</f>
        <v>1715817</v>
      </c>
      <c r="L9" s="66"/>
      <c r="N9" s="87"/>
      <c r="O9" s="71"/>
    </row>
    <row r="10" spans="1:15" ht="29.25" x14ac:dyDescent="0.4">
      <c r="A10" s="194" t="s">
        <v>133</v>
      </c>
      <c r="B10" s="195"/>
      <c r="C10" s="195"/>
      <c r="D10" s="151" t="s">
        <v>130</v>
      </c>
      <c r="E10" s="95">
        <f>'9'!F10</f>
        <v>5534</v>
      </c>
      <c r="F10" s="117">
        <v>10806</v>
      </c>
      <c r="G10" s="112">
        <f t="shared" ref="G10:G12" si="0">F10-E10</f>
        <v>5272</v>
      </c>
      <c r="H10" s="99">
        <f>G10+'9'!H10</f>
        <v>65712</v>
      </c>
      <c r="I10" s="282"/>
      <c r="J10" s="175">
        <f>H10/DAY(B2)</f>
        <v>6571.2</v>
      </c>
      <c r="K10" s="79"/>
      <c r="L10" s="66"/>
      <c r="N10" s="87"/>
      <c r="O10" s="71"/>
    </row>
    <row r="11" spans="1:15" ht="29.25" x14ac:dyDescent="0.4">
      <c r="A11" s="194" t="s">
        <v>134</v>
      </c>
      <c r="B11" s="195"/>
      <c r="C11" s="195"/>
      <c r="D11" s="151" t="s">
        <v>130</v>
      </c>
      <c r="E11" s="95">
        <f>'9'!F11</f>
        <v>37000</v>
      </c>
      <c r="F11" s="95">
        <v>37000</v>
      </c>
      <c r="G11" s="112">
        <f t="shared" si="0"/>
        <v>0</v>
      </c>
      <c r="H11" s="99">
        <f>G11+'9'!H11</f>
        <v>0</v>
      </c>
      <c r="I11" s="282"/>
      <c r="J11" s="175">
        <f>H11/DAY(B2)</f>
        <v>0</v>
      </c>
      <c r="K11" s="79"/>
      <c r="L11" s="66"/>
      <c r="N11" s="87"/>
      <c r="O11" s="71"/>
    </row>
    <row r="12" spans="1:15" ht="29.25" x14ac:dyDescent="0.4">
      <c r="A12" s="194" t="s">
        <v>135</v>
      </c>
      <c r="B12" s="195"/>
      <c r="C12" s="195"/>
      <c r="D12" s="151" t="s">
        <v>130</v>
      </c>
      <c r="E12" s="95">
        <f>'9'!F12</f>
        <v>40010</v>
      </c>
      <c r="F12" s="117">
        <v>40010</v>
      </c>
      <c r="G12" s="112">
        <f t="shared" si="0"/>
        <v>0</v>
      </c>
      <c r="H12" s="99">
        <f>G12+'9'!H12</f>
        <v>0</v>
      </c>
      <c r="I12" s="282"/>
      <c r="J12" s="175">
        <f>H12/DAY(B2)</f>
        <v>0</v>
      </c>
      <c r="K12" s="79"/>
      <c r="L12" s="66"/>
      <c r="N12" s="87"/>
      <c r="O12" s="71"/>
    </row>
    <row r="13" spans="1:15" ht="29.25" x14ac:dyDescent="0.5">
      <c r="A13" s="201" t="s">
        <v>136</v>
      </c>
      <c r="B13" s="202"/>
      <c r="C13" s="202"/>
      <c r="D13" s="151"/>
      <c r="E13" s="95"/>
      <c r="F13" s="95"/>
      <c r="G13" s="119">
        <f>G9+G10+G11+G12</f>
        <v>16376</v>
      </c>
      <c r="H13" s="99">
        <f>G13+'9'!H13</f>
        <v>167512.74999999988</v>
      </c>
      <c r="I13" s="120">
        <f>G7-G13</f>
        <v>485</v>
      </c>
      <c r="J13" s="175">
        <f>H13/DAY(B2)</f>
        <v>16751.274999999987</v>
      </c>
      <c r="K13" s="79"/>
      <c r="L13" s="66"/>
      <c r="N13" s="87"/>
      <c r="O13" s="71"/>
    </row>
    <row r="14" spans="1:15" ht="29.25" x14ac:dyDescent="0.5">
      <c r="A14" s="827" t="s">
        <v>137</v>
      </c>
      <c r="B14" s="828"/>
      <c r="C14" s="829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5" ht="29.25" x14ac:dyDescent="0.5">
      <c r="A15" s="345" t="s">
        <v>138</v>
      </c>
      <c r="B15" s="205"/>
      <c r="C15" s="205"/>
      <c r="D15" s="151" t="s">
        <v>139</v>
      </c>
      <c r="E15" s="95">
        <f>'9'!F15</f>
        <v>1886599</v>
      </c>
      <c r="F15" s="232">
        <v>1887358</v>
      </c>
      <c r="G15" s="112">
        <f>(F15-E15)</f>
        <v>759</v>
      </c>
      <c r="H15" s="99">
        <f>G15+'9'!H15</f>
        <v>8928</v>
      </c>
      <c r="I15" s="113">
        <f>'1'!I15</f>
        <v>800</v>
      </c>
      <c r="J15" s="175">
        <f>H15/DAY(B2)</f>
        <v>892.8</v>
      </c>
      <c r="K15" s="79"/>
      <c r="L15" s="66"/>
      <c r="N15" s="87"/>
      <c r="O15" s="71"/>
    </row>
    <row r="16" spans="1:15" ht="29.25" x14ac:dyDescent="0.4">
      <c r="A16" s="203"/>
      <c r="B16" s="204"/>
      <c r="C16" s="204"/>
      <c r="D16" s="152"/>
      <c r="E16" s="123"/>
      <c r="F16" s="123"/>
      <c r="G16" s="112"/>
      <c r="H16" s="124"/>
      <c r="I16" s="120">
        <f>I15-J15</f>
        <v>-92.799999999999955</v>
      </c>
      <c r="J16" s="176"/>
      <c r="K16" s="79"/>
      <c r="L16" s="66"/>
      <c r="N16" s="87"/>
      <c r="O16" s="71"/>
    </row>
    <row r="17" spans="1:15" ht="29.25" x14ac:dyDescent="0.5">
      <c r="A17" s="827" t="s">
        <v>140</v>
      </c>
      <c r="B17" s="828"/>
      <c r="C17" s="829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5" ht="27.75" x14ac:dyDescent="0.5">
      <c r="A18" s="818" t="s">
        <v>141</v>
      </c>
      <c r="B18" s="819"/>
      <c r="C18" s="820"/>
      <c r="D18" s="151" t="s">
        <v>142</v>
      </c>
      <c r="E18" s="95">
        <f>'9'!F18</f>
        <v>15</v>
      </c>
      <c r="F18" s="122">
        <v>7</v>
      </c>
      <c r="G18" s="119">
        <f>F18*10</f>
        <v>70</v>
      </c>
      <c r="H18" s="99">
        <f>G18+'9'!H18</f>
        <v>1290</v>
      </c>
      <c r="I18" s="113">
        <f>'1'!I18</f>
        <v>65</v>
      </c>
      <c r="J18" s="175">
        <f>H18/DAY(B2)</f>
        <v>129</v>
      </c>
      <c r="K18" s="79"/>
      <c r="L18" s="66"/>
      <c r="N18" s="87"/>
      <c r="O18" s="71"/>
    </row>
    <row r="19" spans="1:15" ht="27.75" x14ac:dyDescent="0.5">
      <c r="A19" s="818" t="s">
        <v>69</v>
      </c>
      <c r="B19" s="819"/>
      <c r="C19" s="820"/>
      <c r="D19" s="151" t="s">
        <v>142</v>
      </c>
      <c r="E19" s="95">
        <f>'9'!F19</f>
        <v>152695</v>
      </c>
      <c r="F19" s="122">
        <v>152749</v>
      </c>
      <c r="G19" s="112">
        <f t="shared" ref="G19" si="1">F19-E19</f>
        <v>54</v>
      </c>
      <c r="H19" s="99">
        <f>G19+'9'!H19</f>
        <v>524</v>
      </c>
      <c r="I19" s="335"/>
      <c r="J19" s="175">
        <f>H19/DAY(B2)</f>
        <v>52.4</v>
      </c>
      <c r="K19" s="79"/>
      <c r="L19" s="66"/>
      <c r="N19" s="87"/>
      <c r="O19" s="71"/>
    </row>
    <row r="20" spans="1:15" ht="29.25" x14ac:dyDescent="0.5">
      <c r="A20" s="201" t="s">
        <v>143</v>
      </c>
      <c r="B20" s="202"/>
      <c r="C20" s="202"/>
      <c r="D20" s="126"/>
      <c r="E20" s="126"/>
      <c r="F20" s="126"/>
      <c r="G20" s="127">
        <f>G18+G19</f>
        <v>124</v>
      </c>
      <c r="H20" s="99">
        <f>G20+'9'!H20</f>
        <v>1814</v>
      </c>
      <c r="I20" s="336">
        <f>I18-J20</f>
        <v>-116.4</v>
      </c>
      <c r="J20" s="175">
        <f>H20/DAY(B2)</f>
        <v>181.4</v>
      </c>
      <c r="K20" s="79"/>
      <c r="L20" s="66"/>
      <c r="N20" s="87"/>
      <c r="O20" s="71"/>
    </row>
    <row r="21" spans="1:15" ht="29.25" x14ac:dyDescent="0.5">
      <c r="A21" s="827" t="s">
        <v>144</v>
      </c>
      <c r="B21" s="828"/>
      <c r="C21" s="829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5" ht="29.25" x14ac:dyDescent="0.5">
      <c r="A22" s="345" t="s">
        <v>145</v>
      </c>
      <c r="B22" s="205"/>
      <c r="C22" s="205"/>
      <c r="D22" s="151" t="s">
        <v>146</v>
      </c>
      <c r="E22" s="95">
        <f>'9'!F22</f>
        <v>2970</v>
      </c>
      <c r="F22" s="122">
        <v>2970</v>
      </c>
      <c r="G22" s="119">
        <f t="shared" ref="G22" si="2">(F22-E22)</f>
        <v>0</v>
      </c>
      <c r="H22" s="99">
        <f>G22+'9'!H22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29.25" x14ac:dyDescent="0.5">
      <c r="A23" s="345" t="s">
        <v>147</v>
      </c>
      <c r="B23" s="205"/>
      <c r="C23" s="205"/>
      <c r="D23" s="151" t="s">
        <v>146</v>
      </c>
      <c r="E23" s="95">
        <f>'9'!F23</f>
        <v>1500</v>
      </c>
      <c r="F23" s="122">
        <v>1500</v>
      </c>
      <c r="G23" s="119">
        <v>0</v>
      </c>
      <c r="H23" s="99">
        <f>G23+'9'!H23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5" ht="29.25" x14ac:dyDescent="0.4">
      <c r="A24" s="206" t="s">
        <v>148</v>
      </c>
      <c r="B24" s="207"/>
      <c r="C24" s="207"/>
      <c r="D24" s="146" t="s">
        <v>146</v>
      </c>
      <c r="E24" s="95">
        <f>'9'!F24</f>
        <v>4970</v>
      </c>
      <c r="F24" s="128">
        <v>4970</v>
      </c>
      <c r="G24" s="119">
        <v>0</v>
      </c>
      <c r="H24" s="99">
        <f>G24+'9'!H24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5" s="88" customFormat="1" ht="27" x14ac:dyDescent="0.35">
      <c r="A25" s="832" t="s">
        <v>149</v>
      </c>
      <c r="B25" s="833"/>
      <c r="C25" s="834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5" s="88" customFormat="1" ht="27.75" x14ac:dyDescent="0.5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>
        <f>G26+'9'!H26</f>
        <v>0</v>
      </c>
      <c r="I26" s="134"/>
      <c r="J26" s="175"/>
      <c r="K26" s="64"/>
      <c r="L26" s="89"/>
      <c r="N26" s="87"/>
      <c r="O26" s="71"/>
    </row>
    <row r="27" spans="1:15" s="88" customFormat="1" ht="27.75" x14ac:dyDescent="0.5">
      <c r="A27" s="208" t="s">
        <v>5</v>
      </c>
      <c r="B27" s="209"/>
      <c r="C27" s="210"/>
      <c r="D27" s="226" t="s">
        <v>24</v>
      </c>
      <c r="E27" s="135">
        <f>G8</f>
        <v>17063</v>
      </c>
      <c r="F27" s="136">
        <v>9</v>
      </c>
      <c r="G27" s="137">
        <f>E27*F27</f>
        <v>153567</v>
      </c>
      <c r="H27" s="99">
        <f>G27+'9'!H27</f>
        <v>1765035</v>
      </c>
      <c r="I27" s="138"/>
      <c r="J27" s="175">
        <f>H27/DAY(B2)</f>
        <v>176503.5</v>
      </c>
      <c r="K27" s="63"/>
      <c r="L27" s="89"/>
      <c r="N27" s="87"/>
      <c r="O27" s="71"/>
    </row>
    <row r="28" spans="1:15" s="88" customFormat="1" ht="27.75" x14ac:dyDescent="0.5">
      <c r="A28" s="208" t="s">
        <v>152</v>
      </c>
      <c r="B28" s="209"/>
      <c r="C28" s="210"/>
      <c r="D28" s="226" t="s">
        <v>153</v>
      </c>
      <c r="E28" s="139">
        <f>G15</f>
        <v>759</v>
      </c>
      <c r="F28" s="136">
        <v>52</v>
      </c>
      <c r="G28" s="137">
        <f>E28*F28</f>
        <v>39468</v>
      </c>
      <c r="H28" s="99">
        <f>G28+'9'!H28</f>
        <v>464256</v>
      </c>
      <c r="I28" s="140"/>
      <c r="J28" s="175">
        <f>H28/DAY(B2)</f>
        <v>46425.599999999999</v>
      </c>
      <c r="K28" s="63"/>
      <c r="L28" s="89"/>
      <c r="N28" s="87"/>
      <c r="O28" s="71"/>
    </row>
    <row r="29" spans="1:15" s="88" customFormat="1" ht="27.75" x14ac:dyDescent="0.5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>E29*F29</f>
        <v>0</v>
      </c>
      <c r="H29" s="99">
        <f>G29+'9'!H29</f>
        <v>0</v>
      </c>
      <c r="I29" s="140"/>
      <c r="J29" s="175">
        <f>H29/DAY(B2)</f>
        <v>0</v>
      </c>
      <c r="K29" s="63"/>
      <c r="L29" s="89"/>
      <c r="N29" s="87"/>
      <c r="O29" s="71"/>
    </row>
    <row r="30" spans="1:15" s="88" customFormat="1" ht="27.75" x14ac:dyDescent="0.5">
      <c r="A30" s="208" t="s">
        <v>156</v>
      </c>
      <c r="B30" s="209"/>
      <c r="C30" s="210"/>
      <c r="D30" s="226" t="s">
        <v>157</v>
      </c>
      <c r="E30" s="141">
        <f>G19</f>
        <v>54</v>
      </c>
      <c r="F30" s="136">
        <v>146</v>
      </c>
      <c r="G30" s="137">
        <f>E30*F30</f>
        <v>7884</v>
      </c>
      <c r="H30" s="99">
        <f>G30+'9'!H30</f>
        <v>76504</v>
      </c>
      <c r="I30" s="140"/>
      <c r="J30" s="175">
        <f>H30/DAY(B2)</f>
        <v>7650.4</v>
      </c>
      <c r="K30" s="63"/>
      <c r="L30" s="89"/>
      <c r="N30" s="87"/>
      <c r="O30" s="71"/>
    </row>
    <row r="31" spans="1:15" s="88" customFormat="1" ht="27.75" x14ac:dyDescent="0.5">
      <c r="A31" s="208" t="s">
        <v>158</v>
      </c>
      <c r="B31" s="209"/>
      <c r="C31" s="210"/>
      <c r="D31" s="226" t="s">
        <v>142</v>
      </c>
      <c r="E31" s="141">
        <f>G18</f>
        <v>70</v>
      </c>
      <c r="F31" s="136">
        <v>80</v>
      </c>
      <c r="G31" s="137">
        <f>E31*F31</f>
        <v>5600</v>
      </c>
      <c r="H31" s="99">
        <f>G31+'9'!H31</f>
        <v>103200</v>
      </c>
      <c r="I31" s="140"/>
      <c r="J31" s="175">
        <f>H31/DAY(B2)</f>
        <v>10320</v>
      </c>
      <c r="K31" s="63"/>
      <c r="L31" s="89"/>
      <c r="N31" s="87"/>
      <c r="O31" s="71"/>
    </row>
    <row r="32" spans="1:15" s="88" customFormat="1" ht="27.75" x14ac:dyDescent="0.5">
      <c r="A32" s="211" t="s">
        <v>159</v>
      </c>
      <c r="B32" s="212"/>
      <c r="C32" s="213"/>
      <c r="D32" s="142"/>
      <c r="E32" s="142"/>
      <c r="F32" s="142"/>
      <c r="G32" s="143">
        <f>G27+G28+G29+G30+G31</f>
        <v>206519</v>
      </c>
      <c r="H32" s="99">
        <f>G32+'9'!H32</f>
        <v>2408995</v>
      </c>
      <c r="I32" s="144"/>
      <c r="J32" s="175">
        <f>H32/DAY(B2)</f>
        <v>240899.5</v>
      </c>
      <c r="K32" s="63"/>
      <c r="L32" s="89"/>
      <c r="N32" s="87"/>
      <c r="O32" s="71"/>
    </row>
    <row r="33" spans="1:15" ht="25.5" customHeight="1" x14ac:dyDescent="0.35">
      <c r="A33" s="835" t="s">
        <v>331</v>
      </c>
      <c r="B33" s="836"/>
      <c r="C33" s="836"/>
      <c r="D33" s="337"/>
      <c r="E33" s="337"/>
      <c r="F33" s="337"/>
      <c r="G33" s="337"/>
      <c r="H33" s="337"/>
      <c r="I33" s="337"/>
      <c r="J33" s="338"/>
      <c r="K33" s="79"/>
      <c r="L33" s="66"/>
      <c r="N33" s="87"/>
      <c r="O33" s="71"/>
    </row>
    <row r="34" spans="1:15" ht="29.25" x14ac:dyDescent="0.5">
      <c r="A34" s="214" t="s">
        <v>160</v>
      </c>
      <c r="B34" s="349"/>
      <c r="C34" s="349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29.25" x14ac:dyDescent="0.4">
      <c r="A35" s="194" t="s">
        <v>161</v>
      </c>
      <c r="B35" s="195"/>
      <c r="C35" s="195"/>
      <c r="D35" s="151" t="s">
        <v>130</v>
      </c>
      <c r="E35" s="95">
        <f>'9'!F35</f>
        <v>1783</v>
      </c>
      <c r="F35" s="145">
        <v>3397</v>
      </c>
      <c r="G35" s="112">
        <f t="shared" ref="G35:G46" si="3">F35-E35</f>
        <v>1614</v>
      </c>
      <c r="H35" s="99">
        <f>G35+'9'!H35</f>
        <v>18597</v>
      </c>
      <c r="I35" s="95"/>
      <c r="J35" s="175">
        <f>H35/DAY(B2)</f>
        <v>1859.7</v>
      </c>
      <c r="K35" s="79"/>
      <c r="L35" s="66"/>
      <c r="N35" s="87"/>
      <c r="O35" s="71"/>
    </row>
    <row r="36" spans="1:15" ht="29.25" x14ac:dyDescent="0.4">
      <c r="A36" s="194" t="s">
        <v>162</v>
      </c>
      <c r="B36" s="195"/>
      <c r="C36" s="195"/>
      <c r="D36" s="151" t="s">
        <v>130</v>
      </c>
      <c r="E36" s="95">
        <f>'9'!F36</f>
        <v>28675</v>
      </c>
      <c r="F36" s="145">
        <v>29309</v>
      </c>
      <c r="G36" s="112">
        <f t="shared" si="3"/>
        <v>634</v>
      </c>
      <c r="H36" s="99">
        <f>G36+'9'!H36</f>
        <v>7782</v>
      </c>
      <c r="I36" s="95"/>
      <c r="J36" s="175">
        <f>H36/DAY(B2)</f>
        <v>778.2</v>
      </c>
      <c r="K36" s="79"/>
      <c r="L36" s="66"/>
      <c r="N36" s="87"/>
      <c r="O36" s="344"/>
    </row>
    <row r="37" spans="1:15" ht="29.25" x14ac:dyDescent="0.4">
      <c r="A37" s="194" t="s">
        <v>163</v>
      </c>
      <c r="B37" s="195"/>
      <c r="C37" s="195"/>
      <c r="D37" s="151" t="s">
        <v>130</v>
      </c>
      <c r="E37" s="95">
        <f>'9'!F37</f>
        <v>1472</v>
      </c>
      <c r="F37" s="145">
        <v>2924</v>
      </c>
      <c r="G37" s="112">
        <f t="shared" si="3"/>
        <v>1452</v>
      </c>
      <c r="H37" s="99">
        <f>G37+'9'!H37</f>
        <v>15136</v>
      </c>
      <c r="I37" s="95"/>
      <c r="J37" s="175">
        <f>H37/DAY(B2)</f>
        <v>1513.6</v>
      </c>
      <c r="K37" s="79"/>
      <c r="L37" s="66"/>
      <c r="N37" s="87"/>
      <c r="O37" s="234"/>
    </row>
    <row r="38" spans="1:15" ht="29.25" x14ac:dyDescent="0.4">
      <c r="A38" s="194" t="s">
        <v>164</v>
      </c>
      <c r="B38" s="195"/>
      <c r="C38" s="195"/>
      <c r="D38" s="151" t="s">
        <v>130</v>
      </c>
      <c r="E38" s="95">
        <f>'9'!F38</f>
        <v>1658</v>
      </c>
      <c r="F38" s="108">
        <v>3199</v>
      </c>
      <c r="G38" s="112">
        <f t="shared" si="3"/>
        <v>1541</v>
      </c>
      <c r="H38" s="99">
        <f>G38+'9'!H38</f>
        <v>16399</v>
      </c>
      <c r="I38" s="95"/>
      <c r="J38" s="175">
        <f>H38/DAY(B2)</f>
        <v>1639.9</v>
      </c>
      <c r="K38" s="79"/>
      <c r="L38" s="66"/>
      <c r="N38" s="87"/>
      <c r="O38" s="71"/>
    </row>
    <row r="39" spans="1:15" ht="29.25" x14ac:dyDescent="0.4">
      <c r="A39" s="194" t="s">
        <v>165</v>
      </c>
      <c r="B39" s="195"/>
      <c r="C39" s="195"/>
      <c r="D39" s="151" t="s">
        <v>130</v>
      </c>
      <c r="E39" s="95">
        <f>'9'!F39</f>
        <v>2610</v>
      </c>
      <c r="F39" s="145">
        <v>5184</v>
      </c>
      <c r="G39" s="112">
        <f t="shared" si="3"/>
        <v>2574</v>
      </c>
      <c r="H39" s="99">
        <f>G39+'9'!H39</f>
        <v>26866</v>
      </c>
      <c r="I39" s="95"/>
      <c r="J39" s="175">
        <f>H39/DAY(B2)</f>
        <v>2686.6</v>
      </c>
      <c r="K39" s="79"/>
      <c r="L39" s="66"/>
      <c r="N39" s="87"/>
      <c r="O39" s="71"/>
    </row>
    <row r="40" spans="1:15" ht="29.25" x14ac:dyDescent="0.4">
      <c r="A40" s="215" t="s">
        <v>166</v>
      </c>
      <c r="B40" s="216"/>
      <c r="C40" s="216"/>
      <c r="D40" s="151" t="s">
        <v>130</v>
      </c>
      <c r="E40" s="95">
        <f>'9'!F40</f>
        <v>8483</v>
      </c>
      <c r="F40" s="145">
        <v>9242</v>
      </c>
      <c r="G40" s="112">
        <f t="shared" si="3"/>
        <v>759</v>
      </c>
      <c r="H40" s="99">
        <f>G40+'9'!H40</f>
        <v>3632</v>
      </c>
      <c r="I40" s="95"/>
      <c r="J40" s="175">
        <f>H40/DAY(B2)</f>
        <v>363.2</v>
      </c>
      <c r="K40" s="80"/>
      <c r="L40" s="66"/>
      <c r="N40" s="87"/>
      <c r="O40" s="71"/>
    </row>
    <row r="41" spans="1:15" ht="29.25" x14ac:dyDescent="0.4">
      <c r="A41" s="194" t="s">
        <v>167</v>
      </c>
      <c r="B41" s="195"/>
      <c r="C41" s="195"/>
      <c r="D41" s="151" t="s">
        <v>130</v>
      </c>
      <c r="E41" s="95">
        <f>'9'!F41</f>
        <v>0</v>
      </c>
      <c r="F41" s="145">
        <v>0</v>
      </c>
      <c r="G41" s="112">
        <f t="shared" si="3"/>
        <v>0</v>
      </c>
      <c r="H41" s="99">
        <f>G41+'9'!H41</f>
        <v>0</v>
      </c>
      <c r="I41" s="95"/>
      <c r="J41" s="175">
        <f>H41/DAY(B2)</f>
        <v>0</v>
      </c>
      <c r="K41" s="79"/>
      <c r="L41" s="66"/>
      <c r="N41" s="87"/>
      <c r="O41" s="71"/>
    </row>
    <row r="42" spans="1:15" ht="29.25" x14ac:dyDescent="0.4">
      <c r="A42" s="194" t="s">
        <v>168</v>
      </c>
      <c r="B42" s="195"/>
      <c r="C42" s="195"/>
      <c r="D42" s="151" t="s">
        <v>130</v>
      </c>
      <c r="E42" s="95">
        <f>'9'!F42</f>
        <v>73808.600000000006</v>
      </c>
      <c r="F42" s="145">
        <v>73808.600000000006</v>
      </c>
      <c r="G42" s="112">
        <f t="shared" si="3"/>
        <v>0</v>
      </c>
      <c r="H42" s="99">
        <f>G42+'9'!H42</f>
        <v>-0.39999999999417923</v>
      </c>
      <c r="I42" s="95"/>
      <c r="J42" s="175">
        <f>H42/DAY(B2)</f>
        <v>-3.9999999999417925E-2</v>
      </c>
      <c r="K42" s="79"/>
      <c r="L42" s="66"/>
      <c r="N42" s="87"/>
      <c r="O42" s="71"/>
    </row>
    <row r="43" spans="1:15" ht="29.25" x14ac:dyDescent="0.4">
      <c r="A43" s="194" t="s">
        <v>169</v>
      </c>
      <c r="B43" s="195"/>
      <c r="C43" s="195"/>
      <c r="D43" s="151" t="s">
        <v>130</v>
      </c>
      <c r="E43" s="95">
        <f>'9'!F43</f>
        <v>68533</v>
      </c>
      <c r="F43" s="145">
        <v>70656</v>
      </c>
      <c r="G43" s="112">
        <f t="shared" si="3"/>
        <v>2123</v>
      </c>
      <c r="H43" s="99">
        <f>G43+'9'!H43</f>
        <v>23395</v>
      </c>
      <c r="I43" s="95"/>
      <c r="J43" s="175">
        <f>H43/DAY(B2)</f>
        <v>2339.5</v>
      </c>
      <c r="K43" s="79"/>
      <c r="L43" s="66"/>
      <c r="N43" s="87"/>
      <c r="O43" s="71"/>
    </row>
    <row r="44" spans="1:15" ht="29.25" x14ac:dyDescent="0.4">
      <c r="A44" s="194" t="s">
        <v>170</v>
      </c>
      <c r="B44" s="195"/>
      <c r="C44" s="195"/>
      <c r="D44" s="151" t="s">
        <v>130</v>
      </c>
      <c r="E44" s="95">
        <f>'9'!F44</f>
        <v>0</v>
      </c>
      <c r="F44" s="145">
        <v>0</v>
      </c>
      <c r="G44" s="112">
        <f t="shared" si="3"/>
        <v>0</v>
      </c>
      <c r="H44" s="99">
        <f>G44+'9'!H44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29.25" x14ac:dyDescent="0.4">
      <c r="A45" s="194" t="s">
        <v>171</v>
      </c>
      <c r="B45" s="195"/>
      <c r="C45" s="195"/>
      <c r="D45" s="151" t="s">
        <v>130</v>
      </c>
      <c r="E45" s="95">
        <f>'9'!F45</f>
        <v>0</v>
      </c>
      <c r="F45" s="145">
        <v>0</v>
      </c>
      <c r="G45" s="112">
        <f t="shared" si="3"/>
        <v>0</v>
      </c>
      <c r="H45" s="99">
        <f>G45+'9'!H45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29.25" x14ac:dyDescent="0.4">
      <c r="A46" s="194" t="s">
        <v>172</v>
      </c>
      <c r="B46" s="195"/>
      <c r="C46" s="195"/>
      <c r="D46" s="151" t="s">
        <v>130</v>
      </c>
      <c r="E46" s="95">
        <f>'9'!F46</f>
        <v>0</v>
      </c>
      <c r="F46" s="145">
        <v>0</v>
      </c>
      <c r="G46" s="112">
        <f t="shared" si="3"/>
        <v>0</v>
      </c>
      <c r="H46" s="99">
        <f>G46+'9'!H46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29.25" x14ac:dyDescent="0.5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10697</v>
      </c>
      <c r="H47" s="99">
        <f>G47+'9'!H47</f>
        <v>111806.6</v>
      </c>
      <c r="I47" s="95"/>
      <c r="J47" s="175">
        <f>H47/DAY(B2)</f>
        <v>11180.66</v>
      </c>
      <c r="K47" s="79"/>
      <c r="L47" s="66"/>
      <c r="N47" s="87"/>
      <c r="O47" s="71"/>
    </row>
    <row r="48" spans="1:15" ht="29.25" x14ac:dyDescent="0.5">
      <c r="A48" s="214" t="s">
        <v>174</v>
      </c>
      <c r="B48" s="349"/>
      <c r="C48" s="349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29.25" x14ac:dyDescent="0.4">
      <c r="A49" s="194" t="s">
        <v>161</v>
      </c>
      <c r="B49" s="217"/>
      <c r="C49" s="217"/>
      <c r="D49" s="151" t="s">
        <v>130</v>
      </c>
      <c r="E49" s="95">
        <f>'9'!F49</f>
        <v>1306</v>
      </c>
      <c r="F49" s="145">
        <v>2444</v>
      </c>
      <c r="G49" s="112">
        <f t="shared" ref="G49:G58" si="4">F49-E49</f>
        <v>1138</v>
      </c>
      <c r="H49" s="99">
        <f>G49+'9'!H49</f>
        <v>15565</v>
      </c>
      <c r="I49" s="95"/>
      <c r="J49" s="175">
        <f>H49/DAY(B2)</f>
        <v>1556.5</v>
      </c>
      <c r="K49" s="79"/>
      <c r="L49" s="66"/>
      <c r="N49" s="87"/>
      <c r="O49" s="71"/>
    </row>
    <row r="50" spans="1:15" ht="29.25" x14ac:dyDescent="0.4">
      <c r="A50" s="194" t="s">
        <v>175</v>
      </c>
      <c r="B50" s="217"/>
      <c r="C50" s="217"/>
      <c r="D50" s="151" t="s">
        <v>130</v>
      </c>
      <c r="E50" s="95">
        <f>'9'!F50</f>
        <v>34045</v>
      </c>
      <c r="F50" s="145">
        <v>34985</v>
      </c>
      <c r="G50" s="112">
        <f t="shared" si="4"/>
        <v>940</v>
      </c>
      <c r="H50" s="99">
        <f>G50+'9'!H50</f>
        <v>10335</v>
      </c>
      <c r="I50" s="95"/>
      <c r="J50" s="175">
        <f>H50/DAY(B2)</f>
        <v>1033.5</v>
      </c>
      <c r="K50" s="79"/>
      <c r="L50" s="66"/>
      <c r="N50" s="87"/>
      <c r="O50" s="71"/>
    </row>
    <row r="51" spans="1:15" ht="29.25" x14ac:dyDescent="0.4">
      <c r="A51" s="194" t="s">
        <v>163</v>
      </c>
      <c r="B51" s="217"/>
      <c r="C51" s="217"/>
      <c r="D51" s="151" t="s">
        <v>130</v>
      </c>
      <c r="E51" s="95">
        <f>'9'!F51</f>
        <v>0</v>
      </c>
      <c r="F51" s="145">
        <v>0</v>
      </c>
      <c r="G51" s="112">
        <f t="shared" si="4"/>
        <v>0</v>
      </c>
      <c r="H51" s="99">
        <f>G51+'9'!H51</f>
        <v>0</v>
      </c>
      <c r="I51" s="95"/>
      <c r="J51" s="175">
        <f>H51/DAY(B2)</f>
        <v>0</v>
      </c>
      <c r="K51" s="79"/>
      <c r="L51" s="66"/>
      <c r="N51" s="87"/>
      <c r="O51" s="71"/>
    </row>
    <row r="52" spans="1:15" ht="29.25" x14ac:dyDescent="0.4">
      <c r="A52" s="194" t="s">
        <v>176</v>
      </c>
      <c r="B52" s="217"/>
      <c r="C52" s="217"/>
      <c r="D52" s="151" t="s">
        <v>130</v>
      </c>
      <c r="E52" s="95">
        <f>'9'!F52</f>
        <v>0</v>
      </c>
      <c r="F52" s="145">
        <v>0</v>
      </c>
      <c r="G52" s="112">
        <f t="shared" si="4"/>
        <v>0</v>
      </c>
      <c r="H52" s="99">
        <f>G52+'9'!H52</f>
        <v>0</v>
      </c>
      <c r="I52" s="95"/>
      <c r="J52" s="175">
        <f>H52/DAY(B2)</f>
        <v>0</v>
      </c>
      <c r="K52" s="79"/>
      <c r="L52" s="66"/>
      <c r="N52" s="87"/>
      <c r="O52" s="71"/>
    </row>
    <row r="53" spans="1:15" ht="29.25" x14ac:dyDescent="0.4">
      <c r="A53" s="194" t="s">
        <v>165</v>
      </c>
      <c r="B53" s="217"/>
      <c r="C53" s="217"/>
      <c r="D53" s="151" t="s">
        <v>130</v>
      </c>
      <c r="E53" s="95">
        <f>'9'!F53</f>
        <v>0</v>
      </c>
      <c r="F53" s="145">
        <v>0</v>
      </c>
      <c r="G53" s="112">
        <f t="shared" si="4"/>
        <v>0</v>
      </c>
      <c r="H53" s="99">
        <f>G53+'9'!H53</f>
        <v>0</v>
      </c>
      <c r="I53" s="95"/>
      <c r="J53" s="175">
        <f>H53/DAY(B2)</f>
        <v>0</v>
      </c>
      <c r="K53" s="79"/>
      <c r="L53" s="66"/>
      <c r="N53" s="87"/>
      <c r="O53" s="71"/>
    </row>
    <row r="54" spans="1:15" ht="29.25" x14ac:dyDescent="0.4">
      <c r="A54" s="194" t="s">
        <v>177</v>
      </c>
      <c r="B54" s="217"/>
      <c r="C54" s="217"/>
      <c r="D54" s="151" t="s">
        <v>130</v>
      </c>
      <c r="E54" s="95">
        <f>'9'!F54</f>
        <v>783</v>
      </c>
      <c r="F54" s="145">
        <v>1255</v>
      </c>
      <c r="G54" s="112">
        <f t="shared" si="4"/>
        <v>472</v>
      </c>
      <c r="H54" s="99">
        <f>G54+'9'!H54</f>
        <v>3022.08</v>
      </c>
      <c r="I54" s="95"/>
      <c r="J54" s="175">
        <f>H54/DAY(B2)</f>
        <v>302.20799999999997</v>
      </c>
      <c r="K54" s="79"/>
      <c r="L54" s="66"/>
      <c r="N54" s="87"/>
      <c r="O54" s="71"/>
    </row>
    <row r="55" spans="1:15" ht="29.25" x14ac:dyDescent="0.4">
      <c r="A55" s="194" t="s">
        <v>178</v>
      </c>
      <c r="B55" s="217"/>
      <c r="C55" s="217"/>
      <c r="D55" s="151" t="s">
        <v>130</v>
      </c>
      <c r="E55" s="95">
        <f>'9'!F55</f>
        <v>31231</v>
      </c>
      <c r="F55" s="145">
        <v>33991</v>
      </c>
      <c r="G55" s="112">
        <f t="shared" si="4"/>
        <v>2760</v>
      </c>
      <c r="H55" s="99">
        <f>G55+'9'!H55</f>
        <v>30480</v>
      </c>
      <c r="I55" s="95"/>
      <c r="J55" s="175">
        <f>H55/DAY(B2)</f>
        <v>3048</v>
      </c>
      <c r="K55" s="79"/>
      <c r="L55" s="66"/>
      <c r="N55" s="87"/>
      <c r="O55" s="71"/>
    </row>
    <row r="56" spans="1:15" ht="29.25" x14ac:dyDescent="0.4">
      <c r="A56" s="194" t="s">
        <v>179</v>
      </c>
      <c r="B56" s="217"/>
      <c r="C56" s="217"/>
      <c r="D56" s="151" t="s">
        <v>180</v>
      </c>
      <c r="E56" s="95">
        <f>'9'!F56</f>
        <v>8611</v>
      </c>
      <c r="F56" s="376">
        <v>8611</v>
      </c>
      <c r="G56" s="112">
        <f t="shared" si="4"/>
        <v>0</v>
      </c>
      <c r="H56" s="99">
        <f>G56+'9'!H56</f>
        <v>0.45999999999912689</v>
      </c>
      <c r="I56" s="95"/>
      <c r="J56" s="175">
        <f>H56/DAY(B2)</f>
        <v>4.5999999999912687E-2</v>
      </c>
      <c r="K56" s="78"/>
      <c r="L56" s="66"/>
      <c r="N56" s="87"/>
      <c r="O56" s="71"/>
    </row>
    <row r="57" spans="1:15" ht="29.25" x14ac:dyDescent="0.4">
      <c r="A57" s="194" t="s">
        <v>169</v>
      </c>
      <c r="B57" s="217"/>
      <c r="C57" s="217"/>
      <c r="D57" s="151" t="s">
        <v>130</v>
      </c>
      <c r="E57" s="95">
        <f>'9'!F57</f>
        <v>0</v>
      </c>
      <c r="F57" s="145">
        <v>0</v>
      </c>
      <c r="G57" s="112">
        <f t="shared" si="4"/>
        <v>0</v>
      </c>
      <c r="H57" s="99">
        <f>G57+'9'!H57</f>
        <v>0</v>
      </c>
      <c r="I57" s="95"/>
      <c r="J57" s="175">
        <f>H57/DAY(B2)</f>
        <v>0</v>
      </c>
      <c r="K57" s="79"/>
      <c r="L57" s="66"/>
      <c r="N57" s="87"/>
      <c r="O57" s="71"/>
    </row>
    <row r="58" spans="1:15" ht="29.25" x14ac:dyDescent="0.4">
      <c r="A58" s="194" t="s">
        <v>181</v>
      </c>
      <c r="B58" s="217"/>
      <c r="C58" s="217"/>
      <c r="D58" s="151" t="s">
        <v>130</v>
      </c>
      <c r="E58" s="95">
        <f>'9'!F58</f>
        <v>1018</v>
      </c>
      <c r="F58" s="376">
        <v>1098</v>
      </c>
      <c r="G58" s="112">
        <f t="shared" si="4"/>
        <v>80</v>
      </c>
      <c r="H58" s="99">
        <f>G58+'9'!H58</f>
        <v>1438.6300000000047</v>
      </c>
      <c r="I58" s="95"/>
      <c r="J58" s="175">
        <f>H58/DAY(B2)</f>
        <v>143.86300000000045</v>
      </c>
      <c r="K58" s="79"/>
      <c r="L58" s="66"/>
      <c r="N58" s="87"/>
      <c r="O58" s="71"/>
    </row>
    <row r="59" spans="1:15" ht="29.25" x14ac:dyDescent="0.5">
      <c r="A59" s="201" t="s">
        <v>173</v>
      </c>
      <c r="B59" s="202"/>
      <c r="C59" s="202"/>
      <c r="D59" s="146"/>
      <c r="E59" s="146"/>
      <c r="F59" s="146"/>
      <c r="G59" s="119">
        <f>G49+G50+G51+G52+G53+G54+G55+G56+G57+G58</f>
        <v>5390</v>
      </c>
      <c r="H59" s="99">
        <f>G59+'9'!H59</f>
        <v>60841.170000000006</v>
      </c>
      <c r="I59" s="95">
        <f>G7-G60</f>
        <v>774</v>
      </c>
      <c r="J59" s="175">
        <f>H59/DAY(B2)</f>
        <v>6084.1170000000002</v>
      </c>
      <c r="K59" s="79"/>
      <c r="L59" s="66"/>
      <c r="N59" s="87"/>
      <c r="O59" s="71"/>
    </row>
    <row r="60" spans="1:15" ht="29.25" x14ac:dyDescent="0.4">
      <c r="A60" s="194"/>
      <c r="B60" s="195"/>
      <c r="C60" s="195"/>
      <c r="D60" s="146" t="s">
        <v>182</v>
      </c>
      <c r="E60" s="146"/>
      <c r="F60" s="146"/>
      <c r="G60" s="119">
        <f>G47+G59</f>
        <v>16087</v>
      </c>
      <c r="H60" s="99">
        <f>G60+'9'!H60</f>
        <v>172647.77</v>
      </c>
      <c r="I60" s="95">
        <f>G13-G60</f>
        <v>289</v>
      </c>
      <c r="J60" s="175">
        <f>H60/DAY(B2)</f>
        <v>17264.776999999998</v>
      </c>
      <c r="K60" s="79"/>
      <c r="L60" s="66"/>
      <c r="N60" s="87"/>
      <c r="O60" s="71"/>
    </row>
    <row r="61" spans="1:15" s="68" customFormat="1" ht="27.75" x14ac:dyDescent="0.5">
      <c r="A61" s="837" t="s">
        <v>332</v>
      </c>
      <c r="B61" s="838"/>
      <c r="C61" s="839"/>
      <c r="D61" s="339"/>
      <c r="E61" s="339"/>
      <c r="F61" s="339"/>
      <c r="G61" s="340"/>
      <c r="H61" s="339"/>
      <c r="I61" s="339"/>
      <c r="J61" s="341"/>
      <c r="K61" s="69"/>
      <c r="L61" s="67"/>
      <c r="N61" s="87"/>
      <c r="O61" s="71"/>
    </row>
    <row r="62" spans="1:15" ht="27.75" x14ac:dyDescent="0.5">
      <c r="A62" s="818" t="s">
        <v>198</v>
      </c>
      <c r="B62" s="819"/>
      <c r="C62" s="820"/>
      <c r="D62" s="151" t="s">
        <v>142</v>
      </c>
      <c r="E62" s="95">
        <f>'9'!F62</f>
        <v>267750</v>
      </c>
      <c r="F62" s="122">
        <v>267811</v>
      </c>
      <c r="G62" s="112">
        <f t="shared" ref="G62:G63" si="5">F62-E62</f>
        <v>61</v>
      </c>
      <c r="H62" s="99">
        <f>G62+'9'!H62</f>
        <v>598</v>
      </c>
      <c r="I62" s="118"/>
      <c r="J62" s="175">
        <f>H62/DAY(B2)</f>
        <v>59.8</v>
      </c>
      <c r="K62" s="80"/>
      <c r="L62" s="66"/>
      <c r="N62" s="87"/>
      <c r="O62" s="71"/>
    </row>
    <row r="63" spans="1:15" ht="27.75" x14ac:dyDescent="0.5">
      <c r="A63" s="818" t="s">
        <v>199</v>
      </c>
      <c r="B63" s="819"/>
      <c r="C63" s="820"/>
      <c r="D63" s="151" t="s">
        <v>142</v>
      </c>
      <c r="E63" s="95">
        <f>'9'!F63</f>
        <v>213397</v>
      </c>
      <c r="F63" s="122">
        <v>213501</v>
      </c>
      <c r="G63" s="112">
        <f t="shared" si="5"/>
        <v>104</v>
      </c>
      <c r="H63" s="99">
        <f>G63+'9'!H63</f>
        <v>1076</v>
      </c>
      <c r="I63" s="118"/>
      <c r="J63" s="175">
        <f>H63/DAY(B2)</f>
        <v>107.6</v>
      </c>
      <c r="K63" s="69"/>
      <c r="L63" s="66"/>
      <c r="N63" s="87"/>
      <c r="O63" s="71"/>
    </row>
    <row r="64" spans="1:15" ht="29.25" x14ac:dyDescent="0.5">
      <c r="A64" s="815" t="s">
        <v>200</v>
      </c>
      <c r="B64" s="816"/>
      <c r="C64" s="817"/>
      <c r="D64" s="151"/>
      <c r="E64" s="95">
        <f>'9'!F64</f>
        <v>0</v>
      </c>
      <c r="F64" s="122"/>
      <c r="G64" s="112">
        <f>G62+G63</f>
        <v>165</v>
      </c>
      <c r="H64" s="99">
        <f>G64+'9'!H64</f>
        <v>1674</v>
      </c>
      <c r="I64" s="118"/>
      <c r="J64" s="175">
        <f>H64/DAY(B2)</f>
        <v>167.4</v>
      </c>
      <c r="K64" s="69"/>
      <c r="L64" s="66"/>
      <c r="N64" s="87"/>
      <c r="O64" s="71"/>
    </row>
    <row r="65" spans="1:15" ht="27.75" x14ac:dyDescent="0.5">
      <c r="A65" s="818" t="s">
        <v>201</v>
      </c>
      <c r="B65" s="819"/>
      <c r="C65" s="820"/>
      <c r="D65" s="151" t="s">
        <v>142</v>
      </c>
      <c r="E65" s="95">
        <f>'9'!F65</f>
        <v>433285</v>
      </c>
      <c r="F65" s="122">
        <v>433343</v>
      </c>
      <c r="G65" s="112">
        <f t="shared" ref="G65:G70" si="6">F65-E65</f>
        <v>58</v>
      </c>
      <c r="H65" s="99">
        <f>G65+'9'!H65</f>
        <v>729</v>
      </c>
      <c r="I65" s="118"/>
      <c r="J65" s="175">
        <f>H65/DAY(B2)</f>
        <v>72.900000000000006</v>
      </c>
      <c r="K65" s="69"/>
      <c r="L65" s="66"/>
      <c r="N65" s="87"/>
      <c r="O65" s="71"/>
    </row>
    <row r="66" spans="1:15" ht="27.75" x14ac:dyDescent="0.5">
      <c r="A66" s="345" t="s">
        <v>202</v>
      </c>
      <c r="B66" s="346"/>
      <c r="C66" s="346"/>
      <c r="D66" s="151" t="s">
        <v>142</v>
      </c>
      <c r="E66" s="95">
        <f>'9'!F66</f>
        <v>107396</v>
      </c>
      <c r="F66" s="122">
        <v>107410</v>
      </c>
      <c r="G66" s="112">
        <f t="shared" si="6"/>
        <v>14</v>
      </c>
      <c r="H66" s="99">
        <f>G66+'9'!H66</f>
        <v>196</v>
      </c>
      <c r="I66" s="118"/>
      <c r="J66" s="175">
        <f>H66/DAY(B2)</f>
        <v>19.600000000000001</v>
      </c>
      <c r="K66" s="78"/>
      <c r="L66" s="66"/>
      <c r="N66" s="87"/>
      <c r="O66" s="71"/>
    </row>
    <row r="67" spans="1:15" ht="27.75" x14ac:dyDescent="0.5">
      <c r="A67" s="345" t="s">
        <v>203</v>
      </c>
      <c r="B67" s="346"/>
      <c r="C67" s="346"/>
      <c r="D67" s="151" t="s">
        <v>142</v>
      </c>
      <c r="E67" s="95">
        <f>'9'!F67</f>
        <v>104165</v>
      </c>
      <c r="F67" s="122">
        <v>104186</v>
      </c>
      <c r="G67" s="112">
        <f t="shared" si="6"/>
        <v>21</v>
      </c>
      <c r="H67" s="99">
        <f>G67+'9'!H67</f>
        <v>258</v>
      </c>
      <c r="I67" s="118"/>
      <c r="J67" s="175">
        <f>H67/DAY(B2)</f>
        <v>25.8</v>
      </c>
      <c r="K67" s="81"/>
      <c r="L67" s="66"/>
      <c r="N67" s="87"/>
      <c r="O67" s="71"/>
    </row>
    <row r="68" spans="1:15" ht="27.75" x14ac:dyDescent="0.5">
      <c r="A68" s="345" t="s">
        <v>204</v>
      </c>
      <c r="B68" s="346"/>
      <c r="C68" s="346"/>
      <c r="D68" s="151" t="s">
        <v>142</v>
      </c>
      <c r="E68" s="95">
        <f>'9'!F68</f>
        <v>156853</v>
      </c>
      <c r="F68" s="122">
        <v>156879</v>
      </c>
      <c r="G68" s="112">
        <f t="shared" si="6"/>
        <v>26</v>
      </c>
      <c r="H68" s="99">
        <f>G68+'9'!H68</f>
        <v>259</v>
      </c>
      <c r="I68" s="118"/>
      <c r="J68" s="175">
        <f>H68/DAY(B2)</f>
        <v>25.9</v>
      </c>
      <c r="K68" s="69"/>
      <c r="L68" s="66"/>
      <c r="N68" s="87"/>
      <c r="O68" s="71"/>
    </row>
    <row r="69" spans="1:15" ht="27.75" x14ac:dyDescent="0.5">
      <c r="A69" s="345" t="s">
        <v>205</v>
      </c>
      <c r="B69" s="346"/>
      <c r="C69" s="346"/>
      <c r="D69" s="151" t="s">
        <v>142</v>
      </c>
      <c r="E69" s="95">
        <f>'9'!F69</f>
        <v>10318</v>
      </c>
      <c r="F69" s="122">
        <v>10327</v>
      </c>
      <c r="G69" s="112">
        <f t="shared" si="6"/>
        <v>9</v>
      </c>
      <c r="H69" s="99">
        <f>G69+'9'!H69</f>
        <v>113</v>
      </c>
      <c r="I69" s="118"/>
      <c r="J69" s="175">
        <f>H69/DAY(B2)</f>
        <v>11.3</v>
      </c>
      <c r="K69" s="69"/>
      <c r="L69" s="66"/>
      <c r="N69" s="87"/>
      <c r="O69" s="71"/>
    </row>
    <row r="70" spans="1:15" ht="27.75" x14ac:dyDescent="0.5">
      <c r="A70" s="345" t="s">
        <v>206</v>
      </c>
      <c r="B70" s="346"/>
      <c r="C70" s="346"/>
      <c r="D70" s="151" t="s">
        <v>142</v>
      </c>
      <c r="E70" s="95">
        <f>'9'!F70</f>
        <v>7943</v>
      </c>
      <c r="F70" s="122">
        <v>7947</v>
      </c>
      <c r="G70" s="112">
        <f t="shared" si="6"/>
        <v>4</v>
      </c>
      <c r="H70" s="99">
        <f>G70+'9'!H70</f>
        <v>85</v>
      </c>
      <c r="I70" s="118"/>
      <c r="J70" s="175">
        <f>H70/DAY(B2)</f>
        <v>8.5</v>
      </c>
      <c r="K70" s="69"/>
      <c r="L70" s="66"/>
      <c r="N70" s="87"/>
      <c r="O70" s="71"/>
    </row>
    <row r="71" spans="1:15" ht="29.25" x14ac:dyDescent="0.5">
      <c r="A71" s="815" t="s">
        <v>208</v>
      </c>
      <c r="B71" s="816"/>
      <c r="C71" s="817"/>
      <c r="D71" s="152"/>
      <c r="E71" s="152"/>
      <c r="F71" s="152"/>
      <c r="G71" s="153">
        <f>SUM(G65:G70)</f>
        <v>132</v>
      </c>
      <c r="H71" s="99">
        <f>G71+'9'!H71</f>
        <v>1640</v>
      </c>
      <c r="I71" s="154"/>
      <c r="J71" s="175">
        <f>H71/DAY(B2)</f>
        <v>164</v>
      </c>
      <c r="K71" s="69"/>
      <c r="L71" s="66"/>
      <c r="N71" s="87"/>
      <c r="O71" s="71"/>
    </row>
    <row r="72" spans="1:15" s="88" customFormat="1" ht="27.75" x14ac:dyDescent="0.5">
      <c r="A72" s="861"/>
      <c r="B72" s="853"/>
      <c r="C72" s="347"/>
      <c r="D72" s="180"/>
      <c r="E72" s="180" t="s">
        <v>207</v>
      </c>
      <c r="F72" s="180"/>
      <c r="G72" s="180"/>
      <c r="H72" s="181"/>
      <c r="I72" s="180"/>
      <c r="J72" s="182"/>
      <c r="N72" s="87"/>
      <c r="O72" s="71"/>
    </row>
    <row r="73" spans="1:15" ht="29.25" x14ac:dyDescent="0.5">
      <c r="A73" s="866" t="s">
        <v>333</v>
      </c>
      <c r="B73" s="867"/>
      <c r="C73" s="868"/>
      <c r="D73" s="339"/>
      <c r="E73" s="339"/>
      <c r="F73" s="339"/>
      <c r="G73" s="342"/>
      <c r="H73" s="342"/>
      <c r="I73" s="342"/>
      <c r="J73" s="343"/>
      <c r="K73" s="69"/>
      <c r="L73" s="66"/>
      <c r="N73" s="87"/>
      <c r="O73" s="71"/>
    </row>
    <row r="74" spans="1:15" ht="27.75" x14ac:dyDescent="0.5">
      <c r="A74" s="818" t="s">
        <v>220</v>
      </c>
      <c r="B74" s="819"/>
      <c r="C74" s="820"/>
      <c r="D74" s="151" t="s">
        <v>139</v>
      </c>
      <c r="E74" s="95">
        <f>'9'!F74</f>
        <v>894615</v>
      </c>
      <c r="F74" s="117">
        <v>894928</v>
      </c>
      <c r="G74" s="112">
        <f t="shared" ref="G74:G78" si="7">F74-E74</f>
        <v>313</v>
      </c>
      <c r="H74" s="99">
        <f>G74+'9'!H74</f>
        <v>2896</v>
      </c>
      <c r="I74" s="154"/>
      <c r="J74" s="175">
        <f>H74/DAY(B2)</f>
        <v>289.60000000000002</v>
      </c>
      <c r="K74" s="69"/>
      <c r="L74" s="66"/>
      <c r="N74" s="87"/>
      <c r="O74" s="71"/>
    </row>
    <row r="75" spans="1:15" ht="27.75" x14ac:dyDescent="0.5">
      <c r="A75" s="818" t="s">
        <v>221</v>
      </c>
      <c r="B75" s="819"/>
      <c r="C75" s="820"/>
      <c r="D75" s="151" t="s">
        <v>139</v>
      </c>
      <c r="E75" s="95">
        <f>'9'!F75</f>
        <v>73587</v>
      </c>
      <c r="F75" s="123">
        <v>73587</v>
      </c>
      <c r="G75" s="112">
        <f t="shared" si="7"/>
        <v>0</v>
      </c>
      <c r="H75" s="99">
        <f>G75+'9'!H75</f>
        <v>0.19999999999708962</v>
      </c>
      <c r="I75" s="154"/>
      <c r="J75" s="175">
        <f>H75/DAY(B2)</f>
        <v>1.9999999999708962E-2</v>
      </c>
      <c r="K75" s="69"/>
      <c r="L75" s="66"/>
      <c r="N75" s="87"/>
      <c r="O75" s="71"/>
    </row>
    <row r="76" spans="1:15" ht="27.75" x14ac:dyDescent="0.5">
      <c r="A76" s="862" t="s">
        <v>222</v>
      </c>
      <c r="B76" s="848"/>
      <c r="C76" s="849"/>
      <c r="D76" s="151" t="s">
        <v>139</v>
      </c>
      <c r="E76" s="95">
        <f>'9'!F76</f>
        <v>168004</v>
      </c>
      <c r="F76" s="123">
        <v>168095</v>
      </c>
      <c r="G76" s="112">
        <f t="shared" si="7"/>
        <v>91</v>
      </c>
      <c r="H76" s="99">
        <f>G76+'9'!H76</f>
        <v>888</v>
      </c>
      <c r="I76" s="154"/>
      <c r="J76" s="175">
        <f>H76/DAY(B2)</f>
        <v>88.8</v>
      </c>
      <c r="K76" s="69"/>
      <c r="L76" s="66"/>
      <c r="N76" s="87"/>
      <c r="O76" s="71"/>
    </row>
    <row r="77" spans="1:15" ht="27.75" x14ac:dyDescent="0.5">
      <c r="A77" s="862" t="s">
        <v>223</v>
      </c>
      <c r="B77" s="848"/>
      <c r="C77" s="849"/>
      <c r="D77" s="151" t="s">
        <v>139</v>
      </c>
      <c r="E77" s="95">
        <f>'9'!F77</f>
        <v>40618</v>
      </c>
      <c r="F77" s="123">
        <v>40652</v>
      </c>
      <c r="G77" s="112">
        <f t="shared" si="7"/>
        <v>34</v>
      </c>
      <c r="H77" s="99">
        <f>G77+'9'!H77</f>
        <v>336</v>
      </c>
      <c r="I77" s="154"/>
      <c r="J77" s="175">
        <f>H77/DAY(B2)</f>
        <v>33.6</v>
      </c>
      <c r="K77" s="69"/>
      <c r="L77" s="66"/>
      <c r="N77" s="87"/>
      <c r="O77" s="71"/>
    </row>
    <row r="78" spans="1:15" ht="27.75" x14ac:dyDescent="0.5">
      <c r="A78" s="862" t="s">
        <v>224</v>
      </c>
      <c r="B78" s="848"/>
      <c r="C78" s="849"/>
      <c r="D78" s="151" t="s">
        <v>139</v>
      </c>
      <c r="E78" s="95">
        <f>'9'!F78</f>
        <v>9493</v>
      </c>
      <c r="F78" s="123">
        <v>9494.2999999999993</v>
      </c>
      <c r="G78" s="112">
        <f t="shared" si="7"/>
        <v>1.2999999999992724</v>
      </c>
      <c r="H78" s="99">
        <f>G78+'9'!H78</f>
        <v>8.2999999999992724</v>
      </c>
      <c r="I78" s="118"/>
      <c r="J78" s="175">
        <f>H78/DAY(B2)</f>
        <v>0.82999999999992724</v>
      </c>
      <c r="K78" s="69"/>
      <c r="L78" s="66"/>
      <c r="N78" s="87"/>
      <c r="O78" s="71"/>
    </row>
    <row r="79" spans="1:15" s="57" customFormat="1" ht="27.75" x14ac:dyDescent="0.5">
      <c r="A79" s="862" t="s">
        <v>225</v>
      </c>
      <c r="B79" s="848"/>
      <c r="C79" s="849"/>
      <c r="D79" s="151"/>
      <c r="E79" s="95">
        <f>'9'!F79</f>
        <v>0</v>
      </c>
      <c r="F79" s="117"/>
      <c r="G79" s="112">
        <f>G15-SUM(G74:G78)</f>
        <v>319.70000000000073</v>
      </c>
      <c r="H79" s="99">
        <f>G79+'9'!H79</f>
        <v>4799.5000000000036</v>
      </c>
      <c r="I79" s="118"/>
      <c r="J79" s="175"/>
      <c r="K79" s="59"/>
      <c r="L79" s="58"/>
      <c r="N79" s="87"/>
      <c r="O79" s="71"/>
    </row>
    <row r="80" spans="1:15" s="57" customFormat="1" ht="29.25" x14ac:dyDescent="0.5">
      <c r="A80" s="815" t="s">
        <v>329</v>
      </c>
      <c r="B80" s="816"/>
      <c r="C80" s="817"/>
      <c r="D80" s="151"/>
      <c r="E80" s="117"/>
      <c r="F80" s="117"/>
      <c r="G80" s="112">
        <f>SUM(G74:G79)</f>
        <v>759</v>
      </c>
      <c r="H80" s="99"/>
      <c r="I80" s="118"/>
      <c r="J80" s="175"/>
      <c r="K80" s="59"/>
      <c r="L80" s="58"/>
      <c r="N80" s="87"/>
      <c r="O80" s="71"/>
    </row>
    <row r="81" spans="1:15" ht="27" x14ac:dyDescent="0.4">
      <c r="A81" s="854" t="s">
        <v>226</v>
      </c>
      <c r="B81" s="855"/>
      <c r="C81" s="856"/>
      <c r="D81" s="110"/>
      <c r="E81" s="110"/>
      <c r="F81" s="110"/>
      <c r="G81" s="163"/>
      <c r="H81" s="163"/>
      <c r="I81" s="163"/>
      <c r="J81" s="184"/>
      <c r="O81" s="71"/>
    </row>
    <row r="82" spans="1:15" ht="27.75" x14ac:dyDescent="0.5">
      <c r="A82" s="345" t="s">
        <v>227</v>
      </c>
      <c r="B82" s="346"/>
      <c r="C82" s="346"/>
      <c r="D82" s="151" t="s">
        <v>228</v>
      </c>
      <c r="E82" s="95">
        <f>'9'!F82</f>
        <v>0</v>
      </c>
      <c r="F82" s="122">
        <v>0</v>
      </c>
      <c r="G82" s="112">
        <f t="shared" ref="G82:G92" si="8">F82-E82</f>
        <v>0</v>
      </c>
      <c r="H82" s="99">
        <f>G82+'9'!H82</f>
        <v>0</v>
      </c>
      <c r="I82" s="118"/>
      <c r="J82" s="175">
        <f>H82/DAY(B2)</f>
        <v>0</v>
      </c>
      <c r="O82" s="71"/>
    </row>
    <row r="83" spans="1:15" ht="27.75" x14ac:dyDescent="0.5">
      <c r="A83" s="345" t="s">
        <v>229</v>
      </c>
      <c r="B83" s="346"/>
      <c r="C83" s="346"/>
      <c r="D83" s="151" t="s">
        <v>228</v>
      </c>
      <c r="E83" s="95">
        <f>'9'!F83</f>
        <v>0</v>
      </c>
      <c r="F83" s="122">
        <v>0</v>
      </c>
      <c r="G83" s="112">
        <f t="shared" si="8"/>
        <v>0</v>
      </c>
      <c r="H83" s="99">
        <f>G83+'9'!H83</f>
        <v>0</v>
      </c>
      <c r="I83" s="118"/>
      <c r="J83" s="175">
        <f>H83/DAY(B2)</f>
        <v>0</v>
      </c>
      <c r="O83" s="71"/>
    </row>
    <row r="84" spans="1:15" ht="27.75" x14ac:dyDescent="0.5">
      <c r="A84" s="345" t="s">
        <v>230</v>
      </c>
      <c r="B84" s="346"/>
      <c r="C84" s="346"/>
      <c r="D84" s="151" t="s">
        <v>228</v>
      </c>
      <c r="E84" s="95">
        <f>'9'!F84</f>
        <v>41675</v>
      </c>
      <c r="F84" s="164">
        <v>41675</v>
      </c>
      <c r="G84" s="112">
        <f t="shared" si="8"/>
        <v>0</v>
      </c>
      <c r="H84" s="99">
        <f>G84+'9'!H84</f>
        <v>0</v>
      </c>
      <c r="I84" s="118"/>
      <c r="J84" s="175">
        <f>H84/DAY(B2)</f>
        <v>0</v>
      </c>
      <c r="O84" s="71"/>
    </row>
    <row r="85" spans="1:15" ht="27.75" x14ac:dyDescent="0.5">
      <c r="A85" s="345" t="s">
        <v>231</v>
      </c>
      <c r="B85" s="346"/>
      <c r="C85" s="346"/>
      <c r="D85" s="151" t="s">
        <v>228</v>
      </c>
      <c r="E85" s="95">
        <f>'9'!F85</f>
        <v>2096.56</v>
      </c>
      <c r="F85" s="164">
        <v>2096.5500000000002</v>
      </c>
      <c r="G85" s="112">
        <f t="shared" si="8"/>
        <v>-9.9999999997635314E-3</v>
      </c>
      <c r="H85" s="99">
        <f>G85+'9'!H85</f>
        <v>-9.9999999997635314E-3</v>
      </c>
      <c r="I85" s="118">
        <f>G82+G83+G84+G85</f>
        <v>-9.9999999997635314E-3</v>
      </c>
      <c r="J85" s="175">
        <f>H85/DAY(B2)</f>
        <v>-9.9999999997635314E-4</v>
      </c>
      <c r="O85" s="71"/>
    </row>
    <row r="86" spans="1:15" ht="27.75" x14ac:dyDescent="0.5">
      <c r="A86" s="345" t="s">
        <v>232</v>
      </c>
      <c r="B86" s="346"/>
      <c r="C86" s="346"/>
      <c r="D86" s="151" t="s">
        <v>228</v>
      </c>
      <c r="E86" s="95">
        <f>'9'!F86</f>
        <v>43080</v>
      </c>
      <c r="F86" s="164">
        <v>43104</v>
      </c>
      <c r="G86" s="112">
        <f t="shared" si="8"/>
        <v>24</v>
      </c>
      <c r="H86" s="99">
        <f>G86+'9'!H86</f>
        <v>241</v>
      </c>
      <c r="I86" s="118"/>
      <c r="J86" s="175">
        <f>H86/DAY(B2)</f>
        <v>24.1</v>
      </c>
      <c r="O86" s="71"/>
    </row>
    <row r="87" spans="1:15" ht="27.75" x14ac:dyDescent="0.5">
      <c r="A87" s="345" t="s">
        <v>233</v>
      </c>
      <c r="B87" s="346"/>
      <c r="C87" s="346"/>
      <c r="D87" s="151" t="s">
        <v>228</v>
      </c>
      <c r="E87" s="95">
        <f>'9'!F87</f>
        <v>34598.550000000003</v>
      </c>
      <c r="F87" s="164">
        <v>34598.550000000003</v>
      </c>
      <c r="G87" s="112">
        <f t="shared" si="8"/>
        <v>0</v>
      </c>
      <c r="H87" s="99">
        <f>G87+'9'!H87</f>
        <v>0</v>
      </c>
      <c r="I87" s="118"/>
      <c r="J87" s="175">
        <f>H87/DAY(B2)</f>
        <v>0</v>
      </c>
      <c r="O87" s="71"/>
    </row>
    <row r="88" spans="1:15" ht="27.75" x14ac:dyDescent="0.5">
      <c r="A88" s="345" t="s">
        <v>234</v>
      </c>
      <c r="B88" s="346"/>
      <c r="C88" s="346"/>
      <c r="D88" s="151" t="s">
        <v>228</v>
      </c>
      <c r="E88" s="95">
        <f>'9'!F88</f>
        <v>24058</v>
      </c>
      <c r="F88" s="164">
        <v>24058</v>
      </c>
      <c r="G88" s="112">
        <f t="shared" si="8"/>
        <v>0</v>
      </c>
      <c r="H88" s="99">
        <f>G88+'9'!H88</f>
        <v>11</v>
      </c>
      <c r="I88" s="118">
        <f>G86+G87+G88</f>
        <v>24</v>
      </c>
      <c r="J88" s="175">
        <f>H88/DAY(B2)</f>
        <v>1.1000000000000001</v>
      </c>
      <c r="O88" s="71"/>
    </row>
    <row r="89" spans="1:15" ht="27.75" x14ac:dyDescent="0.5">
      <c r="A89" s="345" t="s">
        <v>235</v>
      </c>
      <c r="B89" s="346"/>
      <c r="C89" s="346"/>
      <c r="D89" s="151" t="s">
        <v>228</v>
      </c>
      <c r="E89" s="95">
        <f>'9'!F89</f>
        <v>25723</v>
      </c>
      <c r="F89" s="164">
        <v>25723</v>
      </c>
      <c r="G89" s="112">
        <f t="shared" si="8"/>
        <v>0</v>
      </c>
      <c r="H89" s="99">
        <f>G89+'9'!H89</f>
        <v>60</v>
      </c>
      <c r="I89" s="118"/>
      <c r="J89" s="175">
        <f>H89/DAY(B2)</f>
        <v>6</v>
      </c>
      <c r="O89" s="71"/>
    </row>
    <row r="90" spans="1:15" ht="27.75" x14ac:dyDescent="0.5">
      <c r="A90" s="345" t="s">
        <v>236</v>
      </c>
      <c r="B90" s="346"/>
      <c r="C90" s="346"/>
      <c r="D90" s="151" t="s">
        <v>228</v>
      </c>
      <c r="E90" s="95">
        <f>'9'!F90</f>
        <v>71074</v>
      </c>
      <c r="F90" s="164">
        <v>71087</v>
      </c>
      <c r="G90" s="112">
        <f t="shared" si="8"/>
        <v>13</v>
      </c>
      <c r="H90" s="99">
        <f>G90+'9'!H90</f>
        <v>53</v>
      </c>
      <c r="I90" s="118">
        <f>G89+G90</f>
        <v>13</v>
      </c>
      <c r="J90" s="175">
        <f>H90/DAY(B2)</f>
        <v>5.3</v>
      </c>
      <c r="O90" s="71"/>
    </row>
    <row r="91" spans="1:15" ht="27.75" x14ac:dyDescent="0.5">
      <c r="A91" s="345" t="s">
        <v>237</v>
      </c>
      <c r="B91" s="346"/>
      <c r="C91" s="346"/>
      <c r="D91" s="151" t="s">
        <v>228</v>
      </c>
      <c r="E91" s="95">
        <f>'9'!F91</f>
        <v>3226.32</v>
      </c>
      <c r="F91" s="122">
        <v>3226.32</v>
      </c>
      <c r="G91" s="112">
        <f t="shared" si="8"/>
        <v>0</v>
      </c>
      <c r="H91" s="99">
        <f>G91+'9'!H91</f>
        <v>0</v>
      </c>
      <c r="I91" s="165"/>
      <c r="J91" s="175">
        <f>H91/DAY(B2)</f>
        <v>0</v>
      </c>
      <c r="O91" s="71"/>
    </row>
    <row r="92" spans="1:15" ht="27.75" x14ac:dyDescent="0.5">
      <c r="A92" s="345" t="s">
        <v>238</v>
      </c>
      <c r="B92" s="346"/>
      <c r="C92" s="346"/>
      <c r="D92" s="151" t="s">
        <v>228</v>
      </c>
      <c r="E92" s="95">
        <f>'9'!F92</f>
        <v>5529</v>
      </c>
      <c r="F92" s="122">
        <v>5540</v>
      </c>
      <c r="G92" s="112">
        <f t="shared" si="8"/>
        <v>11</v>
      </c>
      <c r="H92" s="99">
        <f>G92+'9'!H92</f>
        <v>102</v>
      </c>
      <c r="I92" s="165"/>
      <c r="J92" s="175">
        <f>H92/DAY(B2)</f>
        <v>10.199999999999999</v>
      </c>
      <c r="O92" s="71"/>
    </row>
    <row r="93" spans="1:15" ht="29.25" x14ac:dyDescent="0.5">
      <c r="A93" s="863" t="s">
        <v>239</v>
      </c>
      <c r="B93" s="864"/>
      <c r="C93" s="865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27.75" x14ac:dyDescent="0.5">
      <c r="A94" s="818" t="s">
        <v>240</v>
      </c>
      <c r="B94" s="819"/>
      <c r="C94" s="820"/>
      <c r="D94" s="151" t="s">
        <v>130</v>
      </c>
      <c r="E94" s="151"/>
      <c r="F94" s="151"/>
      <c r="G94" s="99">
        <f>G35+G43+G49+G57</f>
        <v>4875</v>
      </c>
      <c r="H94" s="99">
        <f>G94+'9'!H94</f>
        <v>57557</v>
      </c>
      <c r="I94" s="118"/>
      <c r="J94" s="175">
        <f>H94/DAY(B2)</f>
        <v>5755.7</v>
      </c>
      <c r="K94" s="69"/>
      <c r="L94" s="66"/>
      <c r="O94" s="71"/>
    </row>
    <row r="95" spans="1:15" ht="27.75" x14ac:dyDescent="0.5">
      <c r="A95" s="818" t="s">
        <v>241</v>
      </c>
      <c r="B95" s="819"/>
      <c r="C95" s="820"/>
      <c r="D95" s="151" t="s">
        <v>23</v>
      </c>
      <c r="E95" s="146"/>
      <c r="F95" s="146"/>
      <c r="G95" s="166">
        <f>G94/G7</f>
        <v>0.28912875867386278</v>
      </c>
      <c r="H95" s="99">
        <f>G95+'9'!H95</f>
        <v>2.9922752338261747</v>
      </c>
      <c r="I95" s="167"/>
      <c r="J95" s="175">
        <f>H95/DAY(B2)</f>
        <v>0.29922752338261749</v>
      </c>
      <c r="K95" s="69"/>
      <c r="L95" s="66"/>
      <c r="O95" s="71"/>
    </row>
    <row r="96" spans="1:15" ht="27.75" x14ac:dyDescent="0.5">
      <c r="A96" s="818" t="s">
        <v>242</v>
      </c>
      <c r="B96" s="819"/>
      <c r="C96" s="820"/>
      <c r="D96" s="151" t="s">
        <v>130</v>
      </c>
      <c r="E96" s="95"/>
      <c r="F96" s="95"/>
      <c r="G96" s="99">
        <f>G41+G42+G55+G56</f>
        <v>2760</v>
      </c>
      <c r="H96" s="99">
        <f>G96+'9'!H96</f>
        <v>30480.060000000005</v>
      </c>
      <c r="I96" s="118"/>
      <c r="J96" s="175">
        <f>H96/DAY(B2)</f>
        <v>3048.0060000000003</v>
      </c>
      <c r="K96" s="69"/>
      <c r="L96" s="66"/>
      <c r="O96" s="71"/>
    </row>
    <row r="97" spans="1:15" ht="27.75" x14ac:dyDescent="0.5">
      <c r="A97" s="818" t="s">
        <v>243</v>
      </c>
      <c r="B97" s="819"/>
      <c r="C97" s="820"/>
      <c r="D97" s="151" t="s">
        <v>23</v>
      </c>
      <c r="E97" s="95"/>
      <c r="F97" s="95"/>
      <c r="G97" s="166">
        <f>G96/G7</f>
        <v>0.16369135875689461</v>
      </c>
      <c r="H97" s="99">
        <f>G97+'9'!H97</f>
        <v>1.5862228253989465</v>
      </c>
      <c r="I97" s="167"/>
      <c r="J97" s="175">
        <f>H97/DAY(B2)</f>
        <v>0.15862228253989466</v>
      </c>
      <c r="K97" s="69"/>
      <c r="L97" s="66"/>
      <c r="O97" s="71"/>
    </row>
    <row r="98" spans="1:15" ht="27.75" x14ac:dyDescent="0.5">
      <c r="A98" s="818" t="s">
        <v>244</v>
      </c>
      <c r="B98" s="819"/>
      <c r="C98" s="820"/>
      <c r="D98" s="151" t="s">
        <v>130</v>
      </c>
      <c r="E98" s="95"/>
      <c r="F98" s="95"/>
      <c r="G98" s="99">
        <f>G39+G53</f>
        <v>2574</v>
      </c>
      <c r="H98" s="99">
        <f>G98+'9'!H98</f>
        <v>26866</v>
      </c>
      <c r="I98" s="168"/>
      <c r="J98" s="175">
        <f>H98/DAY(B2)</f>
        <v>2686.6</v>
      </c>
      <c r="K98" s="69"/>
      <c r="L98" s="66"/>
      <c r="O98" s="71"/>
    </row>
    <row r="99" spans="1:15" ht="27.75" x14ac:dyDescent="0.5">
      <c r="A99" s="818" t="s">
        <v>245</v>
      </c>
      <c r="B99" s="819"/>
      <c r="C99" s="820"/>
      <c r="D99" s="151" t="s">
        <v>23</v>
      </c>
      <c r="E99" s="95"/>
      <c r="F99" s="95"/>
      <c r="G99" s="166">
        <f>G98/G7</f>
        <v>0.15265998457979954</v>
      </c>
      <c r="H99" s="99">
        <f>G99+'9'!H99</f>
        <v>1.4003120171036236</v>
      </c>
      <c r="I99" s="168"/>
      <c r="J99" s="175">
        <f>H99/DAY(B2)</f>
        <v>0.14003120171036237</v>
      </c>
      <c r="O99" s="71"/>
    </row>
    <row r="100" spans="1:15" ht="27.75" x14ac:dyDescent="0.5">
      <c r="A100" s="818" t="s">
        <v>246</v>
      </c>
      <c r="B100" s="819"/>
      <c r="C100" s="820"/>
      <c r="D100" s="151" t="s">
        <v>180</v>
      </c>
      <c r="E100" s="95"/>
      <c r="F100" s="95"/>
      <c r="G100" s="99">
        <f>G38+G52</f>
        <v>1541</v>
      </c>
      <c r="H100" s="99">
        <f>G100+'9'!H100</f>
        <v>16399</v>
      </c>
      <c r="I100" s="118"/>
      <c r="J100" s="175">
        <f>H100/DAY(B2)</f>
        <v>1639.9</v>
      </c>
      <c r="K100" s="70"/>
      <c r="O100" s="71"/>
    </row>
    <row r="101" spans="1:15" ht="27.75" x14ac:dyDescent="0.5">
      <c r="A101" s="818" t="s">
        <v>247</v>
      </c>
      <c r="B101" s="819"/>
      <c r="C101" s="820"/>
      <c r="D101" s="151" t="s">
        <v>23</v>
      </c>
      <c r="E101" s="95"/>
      <c r="F101" s="95"/>
      <c r="G101" s="166">
        <f>G100/G7</f>
        <v>9.1394341972599491E-2</v>
      </c>
      <c r="H101" s="99">
        <f>G101+'9'!H101</f>
        <v>0.85452138242394637</v>
      </c>
      <c r="I101" s="168"/>
      <c r="J101" s="175">
        <f>H101/DAY(B2)</f>
        <v>8.5452138242394643E-2</v>
      </c>
      <c r="O101" s="71"/>
    </row>
    <row r="102" spans="1:15" ht="27.75" x14ac:dyDescent="0.5">
      <c r="A102" s="818" t="s">
        <v>248</v>
      </c>
      <c r="B102" s="819"/>
      <c r="C102" s="820"/>
      <c r="D102" s="151" t="s">
        <v>180</v>
      </c>
      <c r="E102" s="95"/>
      <c r="F102" s="95"/>
      <c r="G102" s="99">
        <f>G36+G50</f>
        <v>1574</v>
      </c>
      <c r="H102" s="99">
        <f>G102+'9'!H102</f>
        <v>18117</v>
      </c>
      <c r="I102" s="168"/>
      <c r="J102" s="175">
        <f>H102/DAY(B2)</f>
        <v>1811.7</v>
      </c>
      <c r="O102" s="71"/>
    </row>
    <row r="103" spans="1:15" ht="27.75" x14ac:dyDescent="0.5">
      <c r="A103" s="818" t="s">
        <v>249</v>
      </c>
      <c r="B103" s="819"/>
      <c r="C103" s="820"/>
      <c r="D103" s="151" t="s">
        <v>23</v>
      </c>
      <c r="E103" s="95"/>
      <c r="F103" s="95"/>
      <c r="G103" s="166">
        <f>G102/G7</f>
        <v>9.3351521262084097E-2</v>
      </c>
      <c r="H103" s="99">
        <f>G103+'9'!H103</f>
        <v>0.94164759099990225</v>
      </c>
      <c r="I103" s="118"/>
      <c r="J103" s="175">
        <f>H103/DAY(B2)</f>
        <v>9.4164759099990225E-2</v>
      </c>
      <c r="O103" s="71"/>
    </row>
    <row r="104" spans="1:15" ht="27.75" x14ac:dyDescent="0.5">
      <c r="A104" s="818" t="s">
        <v>250</v>
      </c>
      <c r="B104" s="819"/>
      <c r="C104" s="820"/>
      <c r="D104" s="151" t="s">
        <v>180</v>
      </c>
      <c r="E104" s="95"/>
      <c r="F104" s="95"/>
      <c r="G104" s="99">
        <f>G37+G51</f>
        <v>1452</v>
      </c>
      <c r="H104" s="99">
        <f>G104+'9'!H104</f>
        <v>15136</v>
      </c>
      <c r="I104" s="118"/>
      <c r="J104" s="175">
        <f>H104/DAY(B2)</f>
        <v>1513.6</v>
      </c>
      <c r="O104" s="71"/>
    </row>
    <row r="105" spans="1:15" ht="28.5" thickBot="1" x14ac:dyDescent="0.55000000000000004">
      <c r="A105" s="858" t="s">
        <v>251</v>
      </c>
      <c r="B105" s="859"/>
      <c r="C105" s="860"/>
      <c r="D105" s="231" t="s">
        <v>23</v>
      </c>
      <c r="E105" s="185"/>
      <c r="F105" s="185"/>
      <c r="G105" s="186">
        <f>G104/G7</f>
        <v>8.6115888737322815E-2</v>
      </c>
      <c r="H105" s="99">
        <f>G105+'9'!H105</f>
        <v>0.7888786398094505</v>
      </c>
      <c r="I105" s="187"/>
      <c r="J105" s="188">
        <f>H105/DAY(B2)</f>
        <v>7.888786398094505E-2</v>
      </c>
      <c r="O105" s="71"/>
    </row>
    <row r="106" spans="1:15" ht="29.25" x14ac:dyDescent="0.5">
      <c r="A106" s="105"/>
      <c r="B106" s="96"/>
      <c r="C106" s="96"/>
      <c r="D106" s="169"/>
      <c r="E106" s="169"/>
      <c r="F106" s="169"/>
      <c r="G106" s="169"/>
      <c r="H106" s="170"/>
      <c r="I106" s="169"/>
      <c r="J106" s="171"/>
      <c r="O106" s="71"/>
    </row>
    <row r="107" spans="1:15" ht="29.25" x14ac:dyDescent="0.5"/>
    <row r="108" spans="1:15" ht="31.5" x14ac:dyDescent="0.55000000000000004">
      <c r="A108" s="872" t="s">
        <v>324</v>
      </c>
      <c r="B108" s="872"/>
      <c r="C108" s="872"/>
      <c r="D108" s="872"/>
      <c r="E108" s="872"/>
      <c r="F108" s="872"/>
      <c r="G108" s="872"/>
      <c r="H108" s="872"/>
      <c r="I108" s="872"/>
      <c r="J108" s="872"/>
    </row>
    <row r="109" spans="1:15" ht="29.25" x14ac:dyDescent="0.5">
      <c r="A109" s="857"/>
      <c r="B109" s="857"/>
    </row>
    <row r="110" spans="1:15" ht="29.25" x14ac:dyDescent="0.5">
      <c r="A110" s="873" t="s">
        <v>165</v>
      </c>
      <c r="B110" s="874"/>
      <c r="C110" s="874"/>
      <c r="D110" s="874"/>
      <c r="E110" s="874"/>
      <c r="F110" s="874"/>
      <c r="G110" s="874"/>
      <c r="H110" s="874"/>
      <c r="I110" s="874"/>
      <c r="J110" s="875"/>
    </row>
    <row r="111" spans="1:15" ht="27.75" x14ac:dyDescent="0.5">
      <c r="A111" s="876"/>
      <c r="B111" s="877"/>
      <c r="C111" s="878"/>
      <c r="D111" s="165"/>
      <c r="E111" s="165"/>
      <c r="F111" s="165"/>
      <c r="G111" s="165"/>
      <c r="H111" s="156"/>
      <c r="I111" s="165"/>
      <c r="J111" s="327"/>
    </row>
    <row r="112" spans="1:15" ht="27.75" x14ac:dyDescent="0.5">
      <c r="A112" s="851" t="s">
        <v>252</v>
      </c>
      <c r="B112" s="852"/>
      <c r="C112" s="853"/>
      <c r="D112" s="146" t="s">
        <v>183</v>
      </c>
      <c r="E112" s="95">
        <f>'9'!F112</f>
        <v>56351</v>
      </c>
      <c r="F112" s="237">
        <v>56428</v>
      </c>
      <c r="G112" s="112">
        <f t="shared" ref="G112:G123" si="9">F112-E112</f>
        <v>77</v>
      </c>
      <c r="H112" s="99">
        <f>G112+'9'!H112</f>
        <v>747</v>
      </c>
      <c r="I112" s="165"/>
      <c r="J112" s="328">
        <f>H112/DAY(B2)</f>
        <v>74.7</v>
      </c>
    </row>
    <row r="113" spans="1:18" ht="29.25" customHeight="1" x14ac:dyDescent="0.5">
      <c r="A113" s="851" t="s">
        <v>253</v>
      </c>
      <c r="B113" s="852"/>
      <c r="C113" s="853"/>
      <c r="D113" s="146" t="s">
        <v>183</v>
      </c>
      <c r="E113" s="95">
        <f>'9'!F113</f>
        <v>36226</v>
      </c>
      <c r="F113" s="237">
        <v>36678</v>
      </c>
      <c r="G113" s="112">
        <f t="shared" si="9"/>
        <v>452</v>
      </c>
      <c r="H113" s="99">
        <f>G113+'9'!H113</f>
        <v>4483</v>
      </c>
      <c r="I113" s="165"/>
      <c r="J113" s="328">
        <f>H113/DAY(B2)</f>
        <v>448.3</v>
      </c>
    </row>
    <row r="114" spans="1:18" ht="29.25" customHeight="1" x14ac:dyDescent="0.5">
      <c r="A114" s="851" t="s">
        <v>254</v>
      </c>
      <c r="B114" s="852"/>
      <c r="C114" s="853"/>
      <c r="D114" s="146" t="s">
        <v>183</v>
      </c>
      <c r="E114" s="95">
        <f>'9'!F114</f>
        <v>27257</v>
      </c>
      <c r="F114" s="237">
        <v>27526</v>
      </c>
      <c r="G114" s="112">
        <f t="shared" si="9"/>
        <v>269</v>
      </c>
      <c r="H114" s="99">
        <f>G114+'9'!H114</f>
        <v>2655</v>
      </c>
      <c r="I114" s="165"/>
      <c r="J114" s="328">
        <f>H114/DAY(B2)</f>
        <v>265.5</v>
      </c>
    </row>
    <row r="115" spans="1:18" ht="29.25" customHeight="1" x14ac:dyDescent="0.5">
      <c r="A115" s="851" t="s">
        <v>255</v>
      </c>
      <c r="B115" s="852"/>
      <c r="C115" s="853"/>
      <c r="D115" s="146" t="s">
        <v>183</v>
      </c>
      <c r="E115" s="95">
        <f>'9'!F115</f>
        <v>8878</v>
      </c>
      <c r="F115" s="237">
        <v>8888</v>
      </c>
      <c r="G115" s="112">
        <f t="shared" si="9"/>
        <v>10</v>
      </c>
      <c r="H115" s="99">
        <f>G115+'9'!H115</f>
        <v>103</v>
      </c>
      <c r="I115" s="165"/>
      <c r="J115" s="328">
        <f>H115/DAY(B2)</f>
        <v>10.3</v>
      </c>
    </row>
    <row r="116" spans="1:18" ht="29.25" customHeight="1" x14ac:dyDescent="0.5">
      <c r="A116" s="869" t="s">
        <v>96</v>
      </c>
      <c r="B116" s="870"/>
      <c r="C116" s="871"/>
      <c r="D116" s="146" t="s">
        <v>183</v>
      </c>
      <c r="E116" s="95">
        <f>'9'!F116</f>
        <v>0</v>
      </c>
      <c r="F116" s="237">
        <v>0</v>
      </c>
      <c r="G116" s="112">
        <f t="shared" si="9"/>
        <v>0</v>
      </c>
      <c r="H116" s="99">
        <f>G116+'9'!H116</f>
        <v>0</v>
      </c>
      <c r="I116" s="165"/>
      <c r="J116" s="328">
        <f>H116/DAY(B2)</f>
        <v>0</v>
      </c>
      <c r="Q116" s="851" t="s">
        <v>311</v>
      </c>
      <c r="R116" s="853"/>
    </row>
    <row r="117" spans="1:18" ht="29.25" customHeight="1" x14ac:dyDescent="0.5">
      <c r="A117" s="869" t="s">
        <v>184</v>
      </c>
      <c r="B117" s="870"/>
      <c r="C117" s="871"/>
      <c r="D117" s="146" t="s">
        <v>183</v>
      </c>
      <c r="E117" s="95">
        <f>'9'!F117</f>
        <v>2823</v>
      </c>
      <c r="F117" s="237">
        <v>2846</v>
      </c>
      <c r="G117" s="112">
        <f t="shared" si="9"/>
        <v>23</v>
      </c>
      <c r="H117" s="99">
        <f>G117+'9'!H117</f>
        <v>256</v>
      </c>
      <c r="I117" s="165"/>
      <c r="J117" s="328">
        <f>H117/DAY(B2)</f>
        <v>25.6</v>
      </c>
      <c r="Q117" s="851" t="s">
        <v>312</v>
      </c>
      <c r="R117" s="853"/>
    </row>
    <row r="118" spans="1:18" ht="27.75" x14ac:dyDescent="0.5">
      <c r="A118" s="846" t="s">
        <v>97</v>
      </c>
      <c r="B118" s="846"/>
      <c r="C118" s="846"/>
      <c r="D118" s="151" t="s">
        <v>183</v>
      </c>
      <c r="E118" s="95">
        <f>'9'!F118</f>
        <v>244956</v>
      </c>
      <c r="F118" s="237">
        <v>245318</v>
      </c>
      <c r="G118" s="112">
        <f t="shared" si="9"/>
        <v>362</v>
      </c>
      <c r="H118" s="99">
        <f>G118+'9'!H118</f>
        <v>3671</v>
      </c>
      <c r="I118" s="165"/>
      <c r="J118" s="328">
        <f>H118/DAY(B2)</f>
        <v>367.1</v>
      </c>
      <c r="Q118" s="851" t="s">
        <v>311</v>
      </c>
      <c r="R118" s="853"/>
    </row>
    <row r="119" spans="1:18" ht="27.75" x14ac:dyDescent="0.5">
      <c r="A119" s="846" t="s">
        <v>98</v>
      </c>
      <c r="B119" s="846"/>
      <c r="C119" s="846"/>
      <c r="D119" s="151" t="s">
        <v>183</v>
      </c>
      <c r="E119" s="95">
        <f>'9'!F119</f>
        <v>249048</v>
      </c>
      <c r="F119" s="237">
        <v>249459</v>
      </c>
      <c r="G119" s="112">
        <f t="shared" si="9"/>
        <v>411</v>
      </c>
      <c r="H119" s="99">
        <f>G119+'9'!H119</f>
        <v>4333</v>
      </c>
      <c r="I119" s="165"/>
      <c r="J119" s="328">
        <f>H119/DAY(B2)</f>
        <v>433.3</v>
      </c>
    </row>
    <row r="120" spans="1:18" ht="27.75" x14ac:dyDescent="0.5">
      <c r="A120" s="846" t="s">
        <v>99</v>
      </c>
      <c r="B120" s="846"/>
      <c r="C120" s="846"/>
      <c r="D120" s="151" t="s">
        <v>183</v>
      </c>
      <c r="E120" s="95">
        <f>'9'!F120</f>
        <v>33867</v>
      </c>
      <c r="F120" s="237">
        <v>34277</v>
      </c>
      <c r="G120" s="112">
        <f t="shared" si="9"/>
        <v>410</v>
      </c>
      <c r="H120" s="99">
        <f>G120+'9'!H120</f>
        <v>4199</v>
      </c>
      <c r="I120" s="165"/>
      <c r="J120" s="328">
        <f>H120/DAY(B2)</f>
        <v>419.9</v>
      </c>
    </row>
    <row r="121" spans="1:18" ht="27.75" x14ac:dyDescent="0.5">
      <c r="A121" s="846" t="s">
        <v>100</v>
      </c>
      <c r="B121" s="846"/>
      <c r="C121" s="846"/>
      <c r="D121" s="151" t="s">
        <v>183</v>
      </c>
      <c r="E121" s="95">
        <f>'9'!F121</f>
        <v>383229</v>
      </c>
      <c r="F121" s="237">
        <v>383891</v>
      </c>
      <c r="G121" s="112">
        <f t="shared" si="9"/>
        <v>662</v>
      </c>
      <c r="H121" s="99">
        <f>G121+'9'!H121</f>
        <v>7362</v>
      </c>
      <c r="I121" s="165"/>
      <c r="J121" s="328">
        <f>H121/DAY(B2)</f>
        <v>736.2</v>
      </c>
    </row>
    <row r="122" spans="1:18" ht="27.75" x14ac:dyDescent="0.5">
      <c r="A122" s="846" t="s">
        <v>101</v>
      </c>
      <c r="B122" s="846"/>
      <c r="C122" s="846"/>
      <c r="D122" s="151" t="s">
        <v>183</v>
      </c>
      <c r="E122" s="95">
        <f>'9'!F122</f>
        <v>122083</v>
      </c>
      <c r="F122" s="237">
        <v>122258</v>
      </c>
      <c r="G122" s="112">
        <f t="shared" si="9"/>
        <v>175</v>
      </c>
      <c r="H122" s="99">
        <f>G122+'9'!H122</f>
        <v>2208</v>
      </c>
      <c r="I122" s="165"/>
      <c r="J122" s="328">
        <f>H122/DAY(B2)</f>
        <v>220.8</v>
      </c>
    </row>
    <row r="123" spans="1:18" ht="27.75" x14ac:dyDescent="0.5">
      <c r="A123" s="846" t="s">
        <v>102</v>
      </c>
      <c r="B123" s="846"/>
      <c r="C123" s="846"/>
      <c r="D123" s="151" t="s">
        <v>183</v>
      </c>
      <c r="E123" s="95">
        <f>'9'!F123</f>
        <v>148043</v>
      </c>
      <c r="F123" s="237">
        <v>148345</v>
      </c>
      <c r="G123" s="112">
        <f t="shared" si="9"/>
        <v>302</v>
      </c>
      <c r="H123" s="99">
        <f>G123+'9'!H123</f>
        <v>3220</v>
      </c>
      <c r="I123" s="165"/>
      <c r="J123" s="328">
        <f>H123/DAY(B2)</f>
        <v>322</v>
      </c>
    </row>
    <row r="124" spans="1:18" ht="29.25" customHeight="1" x14ac:dyDescent="0.5">
      <c r="A124" s="876"/>
      <c r="B124" s="877"/>
      <c r="C124" s="878"/>
      <c r="D124" s="165"/>
      <c r="E124" s="95">
        <f>'9'!F124</f>
        <v>0</v>
      </c>
      <c r="F124" s="165"/>
      <c r="G124" s="327"/>
      <c r="H124" s="99">
        <f>G124+'9'!H124</f>
        <v>0</v>
      </c>
      <c r="I124" s="165"/>
      <c r="J124" s="327"/>
    </row>
    <row r="125" spans="1:18" ht="27.75" x14ac:dyDescent="0.5">
      <c r="A125" s="879" t="s">
        <v>196</v>
      </c>
      <c r="B125" s="880"/>
      <c r="C125" s="245"/>
      <c r="D125" s="307"/>
      <c r="E125" s="308"/>
      <c r="F125" s="308"/>
      <c r="G125" s="309">
        <f>SUM(G112:G124)</f>
        <v>3153</v>
      </c>
      <c r="H125" s="156"/>
      <c r="I125" s="327">
        <f>G125-(G39+G53)</f>
        <v>579</v>
      </c>
      <c r="J125" s="327"/>
    </row>
    <row r="126" spans="1:18" ht="27.75" x14ac:dyDescent="0.5">
      <c r="A126" s="881" t="s">
        <v>317</v>
      </c>
      <c r="B126" s="881"/>
      <c r="C126" s="881"/>
      <c r="D126" s="881"/>
      <c r="E126" s="881"/>
      <c r="F126" s="881"/>
      <c r="G126" s="881"/>
      <c r="H126" s="881"/>
      <c r="I126" s="881"/>
      <c r="J126" s="881"/>
    </row>
    <row r="127" spans="1:18" ht="27.75" x14ac:dyDescent="0.5">
      <c r="A127" s="882"/>
      <c r="B127" s="882"/>
      <c r="C127" s="245"/>
      <c r="D127" s="307"/>
      <c r="E127" s="308"/>
      <c r="F127" s="308"/>
      <c r="G127" s="309"/>
      <c r="H127" s="99">
        <f>G127+'9'!H127</f>
        <v>0</v>
      </c>
      <c r="I127" s="165"/>
      <c r="J127" s="328">
        <f>H127/DAY(B2)</f>
        <v>0</v>
      </c>
    </row>
    <row r="128" spans="1:18" ht="29.25" customHeight="1" x14ac:dyDescent="0.5">
      <c r="A128" s="851" t="s">
        <v>318</v>
      </c>
      <c r="B128" s="852"/>
      <c r="C128" s="853"/>
      <c r="D128" s="151" t="s">
        <v>183</v>
      </c>
      <c r="E128" s="95">
        <f>'9'!F128</f>
        <v>40976</v>
      </c>
      <c r="F128" s="155">
        <v>41286</v>
      </c>
      <c r="G128" s="112">
        <f t="shared" ref="G128:G134" si="10">F128-E128</f>
        <v>310</v>
      </c>
      <c r="H128" s="99">
        <f>G128+'9'!H128</f>
        <v>3282</v>
      </c>
      <c r="I128" s="165"/>
      <c r="J128" s="328">
        <f>H128/DAY(B2)</f>
        <v>328.2</v>
      </c>
    </row>
    <row r="129" spans="1:15" ht="27.75" x14ac:dyDescent="0.5">
      <c r="A129" s="329" t="s">
        <v>319</v>
      </c>
      <c r="B129" s="330"/>
      <c r="C129" s="331"/>
      <c r="D129" s="151" t="s">
        <v>183</v>
      </c>
      <c r="E129" s="95">
        <f>'9'!F129</f>
        <v>22281</v>
      </c>
      <c r="F129" s="155">
        <v>22490</v>
      </c>
      <c r="G129" s="112">
        <f t="shared" si="10"/>
        <v>209</v>
      </c>
      <c r="H129" s="99">
        <f>G129+'9'!H129</f>
        <v>2169</v>
      </c>
      <c r="I129" s="165"/>
      <c r="J129" s="328">
        <f>H129/DAY(B2)</f>
        <v>216.9</v>
      </c>
      <c r="N129" s="240"/>
      <c r="O129" s="241"/>
    </row>
    <row r="130" spans="1:15" ht="27.75" x14ac:dyDescent="0.5">
      <c r="A130" s="329" t="s">
        <v>320</v>
      </c>
      <c r="B130" s="330"/>
      <c r="C130" s="331"/>
      <c r="D130" s="151" t="s">
        <v>183</v>
      </c>
      <c r="E130" s="95">
        <f>'9'!F130</f>
        <v>24387</v>
      </c>
      <c r="F130" s="155">
        <v>24896</v>
      </c>
      <c r="G130" s="112">
        <f t="shared" si="10"/>
        <v>509</v>
      </c>
      <c r="H130" s="99">
        <f>G130+'9'!H130</f>
        <v>6514</v>
      </c>
      <c r="I130" s="165"/>
      <c r="J130" s="328">
        <f>H130/DAY(B2)</f>
        <v>651.4</v>
      </c>
      <c r="N130" s="240"/>
      <c r="O130" s="241"/>
    </row>
    <row r="131" spans="1:15" ht="27.75" x14ac:dyDescent="0.5">
      <c r="A131" s="851" t="s">
        <v>321</v>
      </c>
      <c r="B131" s="852"/>
      <c r="C131" s="853"/>
      <c r="D131" s="151" t="s">
        <v>183</v>
      </c>
      <c r="E131" s="95">
        <f>'9'!F131</f>
        <v>13825</v>
      </c>
      <c r="F131" s="155">
        <v>13906</v>
      </c>
      <c r="G131" s="112">
        <f t="shared" si="10"/>
        <v>81</v>
      </c>
      <c r="H131" s="99">
        <f>G131+'9'!H131</f>
        <v>753</v>
      </c>
      <c r="I131" s="165"/>
      <c r="J131" s="328">
        <f>H131/DAY(B2)</f>
        <v>75.3</v>
      </c>
      <c r="N131" s="240"/>
      <c r="O131" s="241"/>
    </row>
    <row r="132" spans="1:15" ht="27.75" x14ac:dyDescent="0.5">
      <c r="A132" s="851" t="s">
        <v>322</v>
      </c>
      <c r="B132" s="852"/>
      <c r="C132" s="853"/>
      <c r="D132" s="151" t="s">
        <v>183</v>
      </c>
      <c r="E132" s="95">
        <f>'9'!F132</f>
        <v>45241</v>
      </c>
      <c r="F132" s="155">
        <v>45753</v>
      </c>
      <c r="G132" s="112">
        <f t="shared" si="10"/>
        <v>512</v>
      </c>
      <c r="H132" s="99">
        <f>G132+'9'!H132</f>
        <v>4730</v>
      </c>
      <c r="I132" s="165"/>
      <c r="J132" s="328">
        <f>H132/DAY(B2)</f>
        <v>473</v>
      </c>
    </row>
    <row r="133" spans="1:15" ht="27.75" x14ac:dyDescent="0.5">
      <c r="A133" s="851" t="s">
        <v>323</v>
      </c>
      <c r="B133" s="852"/>
      <c r="C133" s="853"/>
      <c r="D133" s="151" t="s">
        <v>183</v>
      </c>
      <c r="E133" s="95">
        <f>'9'!F133</f>
        <v>94753</v>
      </c>
      <c r="F133" s="155">
        <v>95119</v>
      </c>
      <c r="G133" s="112">
        <f t="shared" si="10"/>
        <v>366</v>
      </c>
      <c r="H133" s="99">
        <f>G133+'9'!H133</f>
        <v>7416</v>
      </c>
      <c r="I133" s="165"/>
      <c r="J133" s="328">
        <f>H133/DAY(B2)</f>
        <v>741.6</v>
      </c>
    </row>
    <row r="134" spans="1:15" ht="27.75" x14ac:dyDescent="0.5">
      <c r="A134" s="851" t="s">
        <v>340</v>
      </c>
      <c r="B134" s="852"/>
      <c r="C134" s="853"/>
      <c r="D134" s="151" t="s">
        <v>183</v>
      </c>
      <c r="E134" s="95">
        <v>674585</v>
      </c>
      <c r="F134" s="554">
        <v>675240</v>
      </c>
      <c r="G134" s="112">
        <f t="shared" si="10"/>
        <v>655</v>
      </c>
      <c r="H134" s="99">
        <f>G134+'9'!H134</f>
        <v>6360</v>
      </c>
      <c r="I134" s="165"/>
      <c r="J134" s="328">
        <f>H134/DAY(B2)</f>
        <v>636</v>
      </c>
    </row>
    <row r="135" spans="1:15" ht="27.75" x14ac:dyDescent="0.5">
      <c r="A135" s="879" t="s">
        <v>196</v>
      </c>
      <c r="B135" s="880"/>
      <c r="C135" s="331"/>
      <c r="D135" s="151"/>
      <c r="E135" s="95"/>
      <c r="F135" s="165"/>
      <c r="G135" s="112">
        <f>SUM(G128:G134)</f>
        <v>2642</v>
      </c>
      <c r="H135" s="99">
        <f>G135+'9'!H135</f>
        <v>31224</v>
      </c>
      <c r="I135" s="327">
        <f>G135-(G35+G49)</f>
        <v>-110</v>
      </c>
      <c r="J135" s="328">
        <f>H135/DAY(B2)</f>
        <v>3122.4</v>
      </c>
    </row>
    <row r="136" spans="1:15" ht="31.5" x14ac:dyDescent="0.55000000000000004">
      <c r="A136" s="883" t="s">
        <v>325</v>
      </c>
      <c r="B136" s="883"/>
      <c r="C136" s="883"/>
      <c r="D136" s="883"/>
      <c r="E136" s="883"/>
      <c r="F136" s="883"/>
      <c r="G136" s="883"/>
      <c r="H136" s="883"/>
      <c r="I136" s="883"/>
      <c r="J136" s="883"/>
    </row>
    <row r="137" spans="1:15" ht="29.25" x14ac:dyDescent="0.5">
      <c r="A137" s="245"/>
      <c r="B137" s="246"/>
      <c r="C137" s="246"/>
      <c r="D137" s="165"/>
      <c r="E137" s="165"/>
      <c r="F137" s="165"/>
      <c r="G137" s="165"/>
      <c r="H137" s="156"/>
      <c r="I137" s="165"/>
      <c r="J137" s="327"/>
    </row>
    <row r="138" spans="1:15" ht="27.75" x14ac:dyDescent="0.5">
      <c r="A138" s="846" t="s">
        <v>185</v>
      </c>
      <c r="B138" s="846"/>
      <c r="C138" s="846"/>
      <c r="D138" s="151" t="s">
        <v>183</v>
      </c>
      <c r="E138" s="95">
        <f>'9'!F138</f>
        <v>864791</v>
      </c>
      <c r="F138" s="147">
        <v>864833</v>
      </c>
      <c r="G138" s="112">
        <f t="shared" ref="G138:G152" si="11">F138-E138</f>
        <v>42</v>
      </c>
      <c r="H138" s="99">
        <f>G138+'9'!H138</f>
        <v>662</v>
      </c>
      <c r="I138" s="118"/>
      <c r="J138" s="328">
        <f>H138/DAY(B2)</f>
        <v>66.2</v>
      </c>
    </row>
    <row r="139" spans="1:15" ht="27.75" x14ac:dyDescent="0.5">
      <c r="A139" s="846" t="s">
        <v>186</v>
      </c>
      <c r="B139" s="846"/>
      <c r="C139" s="846"/>
      <c r="D139" s="151" t="s">
        <v>183</v>
      </c>
      <c r="E139" s="95">
        <f>'9'!F139</f>
        <v>886549</v>
      </c>
      <c r="F139" s="148">
        <v>886549</v>
      </c>
      <c r="G139" s="112">
        <f t="shared" si="11"/>
        <v>0</v>
      </c>
      <c r="H139" s="99">
        <f>G139+'9'!H139</f>
        <v>3</v>
      </c>
      <c r="I139" s="118"/>
      <c r="J139" s="328">
        <f>H139/DAY(B2)</f>
        <v>0.3</v>
      </c>
    </row>
    <row r="140" spans="1:15" ht="27.75" x14ac:dyDescent="0.5">
      <c r="A140" s="846" t="s">
        <v>187</v>
      </c>
      <c r="B140" s="846"/>
      <c r="C140" s="846"/>
      <c r="D140" s="151" t="s">
        <v>183</v>
      </c>
      <c r="E140" s="95">
        <f>'9'!F140</f>
        <v>88898</v>
      </c>
      <c r="F140" s="149">
        <v>88898</v>
      </c>
      <c r="G140" s="112">
        <f t="shared" si="11"/>
        <v>0</v>
      </c>
      <c r="H140" s="99">
        <f>G140+'9'!H140</f>
        <v>16</v>
      </c>
      <c r="I140" s="118"/>
      <c r="J140" s="328">
        <f>H140/DAY(B2)</f>
        <v>1.6</v>
      </c>
    </row>
    <row r="141" spans="1:15" ht="27.75" x14ac:dyDescent="0.5">
      <c r="A141" s="850" t="s">
        <v>188</v>
      </c>
      <c r="B141" s="850"/>
      <c r="C141" s="850"/>
      <c r="D141" s="151" t="s">
        <v>183</v>
      </c>
      <c r="E141" s="95">
        <f>'9'!F141</f>
        <v>50890</v>
      </c>
      <c r="F141" s="149">
        <v>51065</v>
      </c>
      <c r="G141" s="112">
        <f t="shared" si="11"/>
        <v>175</v>
      </c>
      <c r="H141" s="99">
        <f>G141+'9'!H141</f>
        <v>1759</v>
      </c>
      <c r="I141" s="118"/>
      <c r="J141" s="328">
        <f>H141/DAY(B2)</f>
        <v>175.9</v>
      </c>
    </row>
    <row r="142" spans="1:15" ht="27.75" x14ac:dyDescent="0.5">
      <c r="A142" s="850" t="s">
        <v>189</v>
      </c>
      <c r="B142" s="850"/>
      <c r="C142" s="850"/>
      <c r="D142" s="151" t="s">
        <v>183</v>
      </c>
      <c r="E142" s="95">
        <f>'9'!F142</f>
        <v>19639</v>
      </c>
      <c r="F142" s="148">
        <v>19705</v>
      </c>
      <c r="G142" s="112">
        <f t="shared" si="11"/>
        <v>66</v>
      </c>
      <c r="H142" s="99">
        <f>G142+'9'!H142</f>
        <v>696</v>
      </c>
      <c r="I142" s="140"/>
      <c r="J142" s="328">
        <f>H142/DAY(B2)</f>
        <v>69.599999999999994</v>
      </c>
    </row>
    <row r="143" spans="1:15" ht="27.75" x14ac:dyDescent="0.5">
      <c r="A143" s="846" t="s">
        <v>91</v>
      </c>
      <c r="B143" s="846"/>
      <c r="C143" s="846"/>
      <c r="D143" s="151" t="s">
        <v>183</v>
      </c>
      <c r="E143" s="95">
        <f>'9'!F143</f>
        <v>3273</v>
      </c>
      <c r="F143" s="149">
        <v>3295</v>
      </c>
      <c r="G143" s="112">
        <f t="shared" si="11"/>
        <v>22</v>
      </c>
      <c r="H143" s="99">
        <f>G143+'9'!H143</f>
        <v>234</v>
      </c>
      <c r="I143" s="140"/>
      <c r="J143" s="328">
        <f>H143/DAY(B2)</f>
        <v>23.4</v>
      </c>
      <c r="O143" s="148">
        <v>582206</v>
      </c>
    </row>
    <row r="144" spans="1:15" ht="27.75" x14ac:dyDescent="0.5">
      <c r="A144" s="850" t="s">
        <v>90</v>
      </c>
      <c r="B144" s="850"/>
      <c r="C144" s="850"/>
      <c r="D144" s="151" t="s">
        <v>183</v>
      </c>
      <c r="E144" s="95">
        <f>'9'!F144</f>
        <v>871704</v>
      </c>
      <c r="F144" s="149">
        <v>871932</v>
      </c>
      <c r="G144" s="112">
        <f t="shared" si="11"/>
        <v>228</v>
      </c>
      <c r="H144" s="99">
        <f>G144+'9'!H144</f>
        <v>2262</v>
      </c>
      <c r="I144" s="140"/>
      <c r="J144" s="328">
        <f>H144/DAY(B2)</f>
        <v>226.2</v>
      </c>
    </row>
    <row r="145" spans="1:10" ht="27.75" x14ac:dyDescent="0.5">
      <c r="A145" s="846" t="s">
        <v>190</v>
      </c>
      <c r="B145" s="846"/>
      <c r="C145" s="846"/>
      <c r="D145" s="152" t="s">
        <v>183</v>
      </c>
      <c r="E145" s="95">
        <f>'9'!F145</f>
        <v>4712</v>
      </c>
      <c r="F145" s="149">
        <v>4723</v>
      </c>
      <c r="G145" s="112">
        <f t="shared" si="11"/>
        <v>11</v>
      </c>
      <c r="H145" s="99">
        <f>G145+'9'!H145</f>
        <v>165</v>
      </c>
      <c r="I145" s="140"/>
      <c r="J145" s="328">
        <f>H145/DAY(B2)</f>
        <v>16.5</v>
      </c>
    </row>
    <row r="146" spans="1:10" ht="27.75" x14ac:dyDescent="0.5">
      <c r="A146" s="847" t="s">
        <v>191</v>
      </c>
      <c r="B146" s="848"/>
      <c r="C146" s="849"/>
      <c r="D146" s="152" t="s">
        <v>183</v>
      </c>
      <c r="E146" s="95">
        <f>'9'!F146</f>
        <v>728816</v>
      </c>
      <c r="F146" s="148">
        <v>729178</v>
      </c>
      <c r="G146" s="112">
        <f t="shared" si="11"/>
        <v>362</v>
      </c>
      <c r="H146" s="99">
        <f>G146+'9'!H146</f>
        <v>4320</v>
      </c>
      <c r="I146" s="140"/>
      <c r="J146" s="328">
        <f>H146/DAY(B2)</f>
        <v>432</v>
      </c>
    </row>
    <row r="147" spans="1:10" ht="27.75" x14ac:dyDescent="0.5">
      <c r="A147" s="850" t="s">
        <v>192</v>
      </c>
      <c r="B147" s="850"/>
      <c r="C147" s="850"/>
      <c r="D147" s="152" t="s">
        <v>183</v>
      </c>
      <c r="E147" s="95">
        <f>'9'!F147</f>
        <v>618802</v>
      </c>
      <c r="F147" s="148">
        <v>619176</v>
      </c>
      <c r="G147" s="112">
        <f t="shared" si="11"/>
        <v>374</v>
      </c>
      <c r="H147" s="99">
        <f>G147+'9'!H147</f>
        <v>3894</v>
      </c>
      <c r="I147" s="140"/>
      <c r="J147" s="328">
        <f>H147/DAY(B2)</f>
        <v>389.4</v>
      </c>
    </row>
    <row r="148" spans="1:10" ht="27.75" x14ac:dyDescent="0.5">
      <c r="A148" s="842" t="s">
        <v>193</v>
      </c>
      <c r="B148" s="843"/>
      <c r="C148" s="844"/>
      <c r="D148" s="123" t="s">
        <v>130</v>
      </c>
      <c r="E148" s="95">
        <f>'9'!F148</f>
        <v>685430</v>
      </c>
      <c r="F148" s="150">
        <v>685651</v>
      </c>
      <c r="G148" s="112">
        <f t="shared" si="11"/>
        <v>221</v>
      </c>
      <c r="H148" s="99">
        <f>G148+'9'!H148</f>
        <v>2617.8800000000047</v>
      </c>
      <c r="I148" s="124"/>
      <c r="J148" s="328">
        <f>H148/DAY(B2)</f>
        <v>261.78800000000047</v>
      </c>
    </row>
    <row r="149" spans="1:10" ht="27.75" x14ac:dyDescent="0.5">
      <c r="A149" s="842" t="s">
        <v>336</v>
      </c>
      <c r="B149" s="843"/>
      <c r="C149" s="844"/>
      <c r="D149" s="227" t="s">
        <v>130</v>
      </c>
      <c r="E149" s="95">
        <f>'9'!F149</f>
        <v>14582</v>
      </c>
      <c r="F149" s="146">
        <v>15006</v>
      </c>
      <c r="G149" s="112">
        <f t="shared" si="11"/>
        <v>424</v>
      </c>
      <c r="H149" s="99">
        <f>G149+'9'!H149</f>
        <v>4257</v>
      </c>
      <c r="I149" s="119"/>
      <c r="J149" s="328">
        <f>H149/DAY(B2)</f>
        <v>425.7</v>
      </c>
    </row>
    <row r="150" spans="1:10" ht="27.75" x14ac:dyDescent="0.5">
      <c r="A150" s="842" t="s">
        <v>337</v>
      </c>
      <c r="B150" s="843"/>
      <c r="C150" s="844"/>
      <c r="D150" s="117" t="s">
        <v>130</v>
      </c>
      <c r="E150" s="95">
        <f>'9'!F150</f>
        <v>6042</v>
      </c>
      <c r="F150" s="233">
        <v>6256</v>
      </c>
      <c r="G150" s="112">
        <f t="shared" si="11"/>
        <v>214</v>
      </c>
      <c r="H150" s="99">
        <f>G150+'9'!H150</f>
        <v>2204</v>
      </c>
      <c r="I150" s="119"/>
      <c r="J150" s="328">
        <f>H150/DAY(B2)</f>
        <v>220.4</v>
      </c>
    </row>
    <row r="151" spans="1:10" ht="27.75" x14ac:dyDescent="0.5">
      <c r="A151" s="842" t="s">
        <v>338</v>
      </c>
      <c r="B151" s="843"/>
      <c r="C151" s="844"/>
      <c r="D151" s="117" t="s">
        <v>130</v>
      </c>
      <c r="E151" s="95">
        <f>'9'!F151</f>
        <v>80408</v>
      </c>
      <c r="F151" s="233">
        <v>80626</v>
      </c>
      <c r="G151" s="112">
        <f t="shared" si="11"/>
        <v>218</v>
      </c>
      <c r="H151" s="99">
        <f>G151+'9'!H151</f>
        <v>2409</v>
      </c>
      <c r="I151" s="119"/>
      <c r="J151" s="328">
        <f>H151/DAY(B2)</f>
        <v>240.9</v>
      </c>
    </row>
    <row r="152" spans="1:10" ht="27.75" x14ac:dyDescent="0.5">
      <c r="A152" s="842" t="s">
        <v>339</v>
      </c>
      <c r="B152" s="843"/>
      <c r="C152" s="844"/>
      <c r="D152" s="117" t="s">
        <v>130</v>
      </c>
      <c r="E152" s="95">
        <f>'9'!F152</f>
        <v>1305</v>
      </c>
      <c r="F152" s="233">
        <v>1320</v>
      </c>
      <c r="G152" s="112">
        <f t="shared" si="11"/>
        <v>15</v>
      </c>
      <c r="H152" s="99">
        <f>G152+'9'!H152</f>
        <v>193</v>
      </c>
      <c r="I152" s="119"/>
      <c r="J152" s="328">
        <f>H152/DAY(B2)</f>
        <v>19.3</v>
      </c>
    </row>
    <row r="153" spans="1:10" ht="27.75" x14ac:dyDescent="0.5">
      <c r="A153" s="879" t="s">
        <v>196</v>
      </c>
      <c r="B153" s="880"/>
      <c r="C153" s="365"/>
      <c r="D153" s="358"/>
      <c r="E153" s="360"/>
      <c r="F153" s="361"/>
      <c r="G153" s="362">
        <f>SUM(G138:G152)</f>
        <v>2372</v>
      </c>
      <c r="H153" s="363"/>
      <c r="I153" s="119">
        <f>G153-(G38+G52)</f>
        <v>831</v>
      </c>
      <c r="J153" s="366"/>
    </row>
    <row r="154" spans="1:10" ht="31.5" x14ac:dyDescent="0.55000000000000004">
      <c r="A154" s="883" t="s">
        <v>344</v>
      </c>
      <c r="B154" s="883"/>
      <c r="C154" s="883"/>
      <c r="D154" s="883"/>
      <c r="E154" s="883"/>
      <c r="F154" s="883"/>
      <c r="G154" s="883"/>
      <c r="H154" s="883"/>
      <c r="I154" s="883"/>
      <c r="J154" s="883"/>
    </row>
    <row r="155" spans="1:10" ht="31.5" x14ac:dyDescent="0.55000000000000004">
      <c r="A155" s="850" t="s">
        <v>345</v>
      </c>
      <c r="B155" s="850"/>
      <c r="C155" s="850"/>
      <c r="D155" s="117" t="s">
        <v>130</v>
      </c>
      <c r="E155" s="95">
        <f>'9'!F155</f>
        <v>18559</v>
      </c>
      <c r="F155" s="374">
        <v>19161</v>
      </c>
      <c r="G155" s="112">
        <f t="shared" ref="G155:G156" si="12">F155-E155</f>
        <v>602</v>
      </c>
      <c r="H155" s="99">
        <f>G155+'9'!H155</f>
        <v>5689</v>
      </c>
      <c r="I155" s="364"/>
      <c r="J155" s="328">
        <f>H155/DAY(B2)</f>
        <v>568.9</v>
      </c>
    </row>
    <row r="156" spans="1:10" ht="27.75" x14ac:dyDescent="0.5">
      <c r="A156" s="850" t="s">
        <v>346</v>
      </c>
      <c r="B156" s="850"/>
      <c r="C156" s="850"/>
      <c r="D156" s="117" t="s">
        <v>130</v>
      </c>
      <c r="E156" s="95">
        <f>'9'!F156</f>
        <v>1508</v>
      </c>
      <c r="F156" s="155">
        <v>1560</v>
      </c>
      <c r="G156" s="112">
        <f t="shared" si="12"/>
        <v>52</v>
      </c>
      <c r="H156" s="99">
        <f>G156+'9'!H156</f>
        <v>472</v>
      </c>
      <c r="I156" s="165"/>
      <c r="J156" s="328">
        <f>H156/DAY(B2)</f>
        <v>47.2</v>
      </c>
    </row>
    <row r="157" spans="1:10" ht="27.75" x14ac:dyDescent="0.5">
      <c r="A157" s="842" t="s">
        <v>364</v>
      </c>
      <c r="B157" s="843"/>
      <c r="C157" s="844"/>
      <c r="D157" s="117" t="s">
        <v>130</v>
      </c>
      <c r="E157" s="95"/>
      <c r="F157" s="155"/>
      <c r="G157" s="112"/>
      <c r="H157" s="99"/>
      <c r="I157" s="165"/>
      <c r="J157" s="328"/>
    </row>
    <row r="158" spans="1:10" ht="27.75" x14ac:dyDescent="0.5">
      <c r="A158" s="842" t="s">
        <v>365</v>
      </c>
      <c r="B158" s="843"/>
      <c r="C158" s="844"/>
      <c r="D158" s="117" t="s">
        <v>130</v>
      </c>
      <c r="E158" s="95"/>
      <c r="F158" s="155"/>
      <c r="G158" s="112"/>
      <c r="H158" s="99"/>
      <c r="I158" s="165"/>
      <c r="J158" s="328"/>
    </row>
    <row r="159" spans="1:10" ht="27.75" x14ac:dyDescent="0.5">
      <c r="A159" s="899"/>
      <c r="B159" s="900"/>
      <c r="C159" s="901"/>
      <c r="D159" s="117"/>
      <c r="E159" s="95"/>
      <c r="F159" s="155"/>
      <c r="G159" s="112"/>
      <c r="H159" s="99"/>
      <c r="I159" s="165"/>
      <c r="J159" s="328"/>
    </row>
    <row r="160" spans="1:10" ht="31.5" x14ac:dyDescent="0.55000000000000004">
      <c r="A160" s="883" t="s">
        <v>326</v>
      </c>
      <c r="B160" s="883"/>
      <c r="C160" s="883"/>
      <c r="D160" s="883"/>
      <c r="E160" s="883"/>
      <c r="F160" s="883"/>
      <c r="G160" s="883"/>
      <c r="H160" s="883"/>
      <c r="I160" s="883"/>
      <c r="J160" s="883"/>
    </row>
    <row r="161" spans="1:10" ht="29.25" x14ac:dyDescent="0.5">
      <c r="A161" s="242" t="s">
        <v>92</v>
      </c>
      <c r="B161" s="243"/>
      <c r="C161" s="243"/>
      <c r="D161" s="244" t="s">
        <v>180</v>
      </c>
      <c r="E161" s="95">
        <f>'9'!F161</f>
        <v>471231</v>
      </c>
      <c r="F161" s="235">
        <v>471296</v>
      </c>
      <c r="G161" s="238">
        <f t="shared" ref="G161:G165" si="13">F161-E161</f>
        <v>65</v>
      </c>
      <c r="H161" s="99">
        <f>G161+'9'!H161</f>
        <v>142.84000000002561</v>
      </c>
      <c r="I161" s="236"/>
      <c r="J161" s="239">
        <f>H161/DAY(B2)</f>
        <v>14.28400000000256</v>
      </c>
    </row>
    <row r="162" spans="1:10" ht="29.25" x14ac:dyDescent="0.5">
      <c r="A162" s="242" t="s">
        <v>93</v>
      </c>
      <c r="B162" s="243"/>
      <c r="C162" s="243"/>
      <c r="D162" s="244" t="s">
        <v>180</v>
      </c>
      <c r="E162" s="95">
        <f>'9'!F162</f>
        <v>87796</v>
      </c>
      <c r="F162" s="235">
        <v>87824</v>
      </c>
      <c r="G162" s="238">
        <f t="shared" si="13"/>
        <v>28</v>
      </c>
      <c r="H162" s="99">
        <f>G162+'9'!H162</f>
        <v>254</v>
      </c>
      <c r="I162" s="236"/>
      <c r="J162" s="239">
        <f>H162/DAY(B2)</f>
        <v>25.4</v>
      </c>
    </row>
    <row r="163" spans="1:10" ht="29.25" x14ac:dyDescent="0.5">
      <c r="A163" s="242" t="s">
        <v>197</v>
      </c>
      <c r="B163" s="243"/>
      <c r="C163" s="243"/>
      <c r="D163" s="244" t="s">
        <v>180</v>
      </c>
      <c r="E163" s="95">
        <f>'9'!F163</f>
        <v>78188</v>
      </c>
      <c r="F163" s="235">
        <v>78249</v>
      </c>
      <c r="G163" s="238">
        <f t="shared" si="13"/>
        <v>61</v>
      </c>
      <c r="H163" s="99">
        <f>G163+'9'!H163</f>
        <v>424</v>
      </c>
      <c r="I163" s="236"/>
      <c r="J163" s="239">
        <f>H163/DAY(B2)</f>
        <v>42.4</v>
      </c>
    </row>
    <row r="164" spans="1:10" ht="29.25" x14ac:dyDescent="0.5">
      <c r="A164" s="242" t="s">
        <v>197</v>
      </c>
      <c r="B164" s="243"/>
      <c r="C164" s="243"/>
      <c r="D164" s="244" t="s">
        <v>180</v>
      </c>
      <c r="E164" s="95">
        <f>'9'!F164</f>
        <v>4255</v>
      </c>
      <c r="F164" s="235">
        <v>4257</v>
      </c>
      <c r="G164" s="238">
        <f t="shared" si="13"/>
        <v>2</v>
      </c>
      <c r="H164" s="99">
        <f>G164+'9'!H164</f>
        <v>15</v>
      </c>
      <c r="I164" s="236"/>
      <c r="J164" s="239">
        <f>H164/DAY(B2)</f>
        <v>1.5</v>
      </c>
    </row>
    <row r="165" spans="1:10" ht="29.25" x14ac:dyDescent="0.5">
      <c r="A165" s="242" t="s">
        <v>309</v>
      </c>
      <c r="B165" s="243"/>
      <c r="C165" s="243"/>
      <c r="D165" s="244" t="s">
        <v>180</v>
      </c>
      <c r="E165" s="95">
        <f>'9'!F165</f>
        <v>29697</v>
      </c>
      <c r="F165" s="235">
        <v>29708</v>
      </c>
      <c r="G165" s="238">
        <f t="shared" si="13"/>
        <v>11</v>
      </c>
      <c r="H165" s="99">
        <f>G165+'9'!H165</f>
        <v>62</v>
      </c>
      <c r="I165" s="236"/>
      <c r="J165" s="239">
        <f>H165/DAY(B2)</f>
        <v>6.2</v>
      </c>
    </row>
    <row r="166" spans="1:10" ht="29.25" x14ac:dyDescent="0.5">
      <c r="A166" s="882"/>
      <c r="B166" s="882"/>
      <c r="C166" s="246"/>
      <c r="D166" s="244" t="s">
        <v>180</v>
      </c>
      <c r="E166" s="95">
        <f>'9'!F166</f>
        <v>0</v>
      </c>
      <c r="F166" s="165"/>
      <c r="G166" s="165"/>
      <c r="H166" s="99">
        <f>G166+'9'!H166</f>
        <v>0</v>
      </c>
      <c r="I166" s="165"/>
      <c r="J166" s="239">
        <f>H166/DAY(B2)</f>
        <v>0</v>
      </c>
    </row>
    <row r="167" spans="1:10" ht="29.25" x14ac:dyDescent="0.5">
      <c r="A167" s="882"/>
      <c r="B167" s="882"/>
      <c r="C167" s="246"/>
      <c r="D167" s="244" t="s">
        <v>180</v>
      </c>
      <c r="E167" s="95">
        <f>'9'!F167</f>
        <v>0</v>
      </c>
      <c r="F167" s="165"/>
      <c r="G167" s="165"/>
      <c r="H167" s="99">
        <f>G167+'9'!H167</f>
        <v>0</v>
      </c>
      <c r="I167" s="165"/>
      <c r="J167" s="239">
        <f>H167/DAY(B2)</f>
        <v>0</v>
      </c>
    </row>
    <row r="168" spans="1:10" ht="29.25" x14ac:dyDescent="0.5">
      <c r="A168" s="882"/>
      <c r="B168" s="882"/>
      <c r="C168" s="246"/>
      <c r="D168" s="244" t="s">
        <v>180</v>
      </c>
      <c r="E168" s="95">
        <f>'9'!F168</f>
        <v>0</v>
      </c>
      <c r="F168" s="165"/>
      <c r="G168" s="165"/>
      <c r="H168" s="99">
        <f>G168+'9'!H168</f>
        <v>0</v>
      </c>
      <c r="I168" s="165"/>
      <c r="J168" s="239">
        <f>H168/DAY(B2)</f>
        <v>0</v>
      </c>
    </row>
    <row r="169" spans="1:10" ht="29.25" x14ac:dyDescent="0.5"/>
    <row r="170" spans="1:10" ht="29.25" x14ac:dyDescent="0.5"/>
    <row r="171" spans="1:10" ht="31.5" x14ac:dyDescent="0.35">
      <c r="A171" s="890" t="s">
        <v>330</v>
      </c>
      <c r="B171" s="891"/>
      <c r="C171" s="891"/>
      <c r="D171" s="891"/>
      <c r="E171" s="891"/>
      <c r="F171" s="891"/>
      <c r="G171" s="891"/>
      <c r="H171" s="891"/>
      <c r="I171" s="891"/>
      <c r="J171" s="892"/>
    </row>
    <row r="172" spans="1:10" ht="27.75" x14ac:dyDescent="0.5">
      <c r="A172" s="886"/>
      <c r="B172" s="887"/>
      <c r="C172" s="332"/>
      <c r="D172" s="228"/>
      <c r="E172" s="155"/>
      <c r="F172" s="155"/>
      <c r="G172" s="155"/>
      <c r="H172" s="156"/>
      <c r="I172" s="155"/>
      <c r="J172" s="178"/>
    </row>
    <row r="173" spans="1:10" ht="27.75" x14ac:dyDescent="0.5">
      <c r="A173" s="840" t="s">
        <v>209</v>
      </c>
      <c r="B173" s="841"/>
      <c r="C173" s="333"/>
      <c r="D173" s="228" t="s">
        <v>142</v>
      </c>
      <c r="E173" s="95">
        <f>'9'!F173</f>
        <v>8126</v>
      </c>
      <c r="F173" s="155">
        <v>8126</v>
      </c>
      <c r="G173" s="155">
        <f>F173-E173</f>
        <v>0</v>
      </c>
      <c r="H173" s="99">
        <f>G173+'9'!H173</f>
        <v>0</v>
      </c>
      <c r="I173" s="155"/>
      <c r="J173" s="178">
        <f>H173/DAY(B2)</f>
        <v>0</v>
      </c>
    </row>
    <row r="174" spans="1:10" ht="34.5" customHeight="1" x14ac:dyDescent="0.5">
      <c r="A174" s="840" t="s">
        <v>75</v>
      </c>
      <c r="B174" s="841"/>
      <c r="C174" s="333"/>
      <c r="D174" s="228" t="s">
        <v>142</v>
      </c>
      <c r="E174" s="95">
        <f>'9'!F174</f>
        <v>38388</v>
      </c>
      <c r="F174" s="157">
        <v>38389</v>
      </c>
      <c r="G174" s="155">
        <f t="shared" ref="G174:G175" si="14">F174-E174</f>
        <v>1</v>
      </c>
      <c r="H174" s="99">
        <f>G174+'9'!H174</f>
        <v>96</v>
      </c>
      <c r="I174" s="155"/>
      <c r="J174" s="178">
        <f>H174/DAY(B2)</f>
        <v>9.6</v>
      </c>
    </row>
    <row r="175" spans="1:10" ht="31.5" customHeight="1" x14ac:dyDescent="0.5">
      <c r="A175" s="840" t="s">
        <v>76</v>
      </c>
      <c r="B175" s="845"/>
      <c r="C175" s="841"/>
      <c r="D175" s="228" t="s">
        <v>142</v>
      </c>
      <c r="E175" s="95">
        <f>'9'!F175</f>
        <v>21606</v>
      </c>
      <c r="F175" s="155">
        <v>21610</v>
      </c>
      <c r="G175" s="155">
        <f t="shared" si="14"/>
        <v>4</v>
      </c>
      <c r="H175" s="99">
        <f>G175+'9'!H175</f>
        <v>92</v>
      </c>
      <c r="I175" s="155"/>
      <c r="J175" s="178">
        <f>H175/DAY(B2)</f>
        <v>9.1999999999999993</v>
      </c>
    </row>
    <row r="176" spans="1:10" ht="21.75" customHeight="1" x14ac:dyDescent="0.5">
      <c r="A176" s="879" t="s">
        <v>196</v>
      </c>
      <c r="B176" s="880"/>
      <c r="C176" s="333"/>
      <c r="D176" s="228"/>
      <c r="E176" s="95"/>
      <c r="F176" s="155"/>
      <c r="G176" s="155">
        <f>SUM(G173:G175)</f>
        <v>5</v>
      </c>
      <c r="H176" s="99">
        <f>G176+'9'!H176</f>
        <v>188</v>
      </c>
      <c r="I176" s="155"/>
      <c r="J176" s="178">
        <f>H176/DAY(B2)</f>
        <v>18.8</v>
      </c>
    </row>
    <row r="177" spans="1:10" ht="27.75" customHeight="1" x14ac:dyDescent="0.5">
      <c r="A177" s="840" t="s">
        <v>77</v>
      </c>
      <c r="B177" s="841"/>
      <c r="C177" s="333"/>
      <c r="D177" s="228" t="s">
        <v>142</v>
      </c>
      <c r="E177" s="95"/>
      <c r="F177" s="155"/>
      <c r="G177" s="155"/>
      <c r="H177" s="99">
        <f>G177+'9'!H177</f>
        <v>0</v>
      </c>
      <c r="I177" s="155"/>
      <c r="J177" s="178">
        <f>H177/DAY(B2)</f>
        <v>0</v>
      </c>
    </row>
    <row r="178" spans="1:10" ht="21.75" customHeight="1" x14ac:dyDescent="0.5">
      <c r="A178" s="840" t="s">
        <v>210</v>
      </c>
      <c r="B178" s="841"/>
      <c r="C178" s="333"/>
      <c r="D178" s="228" t="s">
        <v>142</v>
      </c>
      <c r="E178" s="95">
        <f>'9'!F178</f>
        <v>80229</v>
      </c>
      <c r="F178" s="155">
        <v>80270</v>
      </c>
      <c r="G178" s="155">
        <f>F178-E178</f>
        <v>41</v>
      </c>
      <c r="H178" s="99">
        <f>G178+'9'!H178</f>
        <v>656</v>
      </c>
      <c r="I178" s="155"/>
      <c r="J178" s="178">
        <f>H178/DAY(B2)</f>
        <v>65.599999999999994</v>
      </c>
    </row>
    <row r="179" spans="1:10" ht="27.75" customHeight="1" x14ac:dyDescent="0.5">
      <c r="A179" s="840" t="s">
        <v>211</v>
      </c>
      <c r="B179" s="841"/>
      <c r="C179" s="333"/>
      <c r="D179" s="228" t="s">
        <v>142</v>
      </c>
      <c r="E179" s="95">
        <f>'9'!F179</f>
        <v>34070</v>
      </c>
      <c r="F179" s="155">
        <v>34093</v>
      </c>
      <c r="G179" s="155">
        <f t="shared" ref="G179:G180" si="15">F179-E179</f>
        <v>23</v>
      </c>
      <c r="H179" s="99">
        <f>G179+'9'!H179</f>
        <v>178</v>
      </c>
      <c r="I179" s="155"/>
      <c r="J179" s="178">
        <f>H179/DAY(B2)</f>
        <v>17.8</v>
      </c>
    </row>
    <row r="180" spans="1:10" ht="27.75" x14ac:dyDescent="0.5">
      <c r="A180" s="840" t="s">
        <v>212</v>
      </c>
      <c r="B180" s="841"/>
      <c r="C180" s="333"/>
      <c r="D180" s="228" t="s">
        <v>142</v>
      </c>
      <c r="E180" s="95">
        <f>'9'!F180</f>
        <v>5544</v>
      </c>
      <c r="F180" s="155">
        <v>5544</v>
      </c>
      <c r="G180" s="155">
        <f t="shared" si="15"/>
        <v>0</v>
      </c>
      <c r="H180" s="99">
        <f>G180+'9'!H180</f>
        <v>67</v>
      </c>
      <c r="I180" s="155"/>
      <c r="J180" s="178">
        <f>H180/DAY(B2)</f>
        <v>6.7</v>
      </c>
    </row>
    <row r="181" spans="1:10" ht="27.75" x14ac:dyDescent="0.5">
      <c r="A181" s="884" t="s">
        <v>108</v>
      </c>
      <c r="B181" s="885"/>
      <c r="C181" s="333"/>
      <c r="D181" s="228"/>
      <c r="E181" s="95"/>
      <c r="F181" s="155"/>
      <c r="G181" s="155">
        <f>SUM(G178:G180)</f>
        <v>64</v>
      </c>
      <c r="H181" s="99">
        <f>G181+'9'!H181</f>
        <v>901</v>
      </c>
      <c r="I181" s="155"/>
      <c r="J181" s="178">
        <f>H181/DAY(B2)</f>
        <v>90.1</v>
      </c>
    </row>
    <row r="182" spans="1:10" ht="27.75" x14ac:dyDescent="0.5">
      <c r="A182" s="840" t="s">
        <v>213</v>
      </c>
      <c r="B182" s="841"/>
      <c r="C182" s="333"/>
      <c r="D182" s="228"/>
      <c r="E182" s="95"/>
      <c r="F182" s="155"/>
      <c r="G182" s="155"/>
      <c r="H182" s="99">
        <f>G182+'9'!H182</f>
        <v>0</v>
      </c>
      <c r="I182" s="155"/>
      <c r="J182" s="178">
        <f>H182/DAY(B2)</f>
        <v>0</v>
      </c>
    </row>
    <row r="183" spans="1:10" ht="27.75" x14ac:dyDescent="0.5">
      <c r="A183" s="840" t="s">
        <v>214</v>
      </c>
      <c r="B183" s="841"/>
      <c r="C183" s="334"/>
      <c r="D183" s="228" t="s">
        <v>142</v>
      </c>
      <c r="E183" s="95">
        <f>'9'!F183</f>
        <v>15073</v>
      </c>
      <c r="F183" s="157">
        <v>15084</v>
      </c>
      <c r="G183" s="157">
        <f>F183-E183</f>
        <v>11</v>
      </c>
      <c r="H183" s="99">
        <f>G183+'9'!H183</f>
        <v>137</v>
      </c>
      <c r="I183" s="155"/>
      <c r="J183" s="178">
        <f>H183/DAY(B2)</f>
        <v>13.7</v>
      </c>
    </row>
    <row r="184" spans="1:10" ht="27.75" x14ac:dyDescent="0.5">
      <c r="A184" s="840" t="s">
        <v>215</v>
      </c>
      <c r="B184" s="841"/>
      <c r="C184" s="334"/>
      <c r="D184" s="228" t="s">
        <v>142</v>
      </c>
      <c r="E184" s="95">
        <f>'9'!F184</f>
        <v>10369</v>
      </c>
      <c r="F184" s="157">
        <v>10373</v>
      </c>
      <c r="G184" s="157">
        <f t="shared" ref="G184:G185" si="16">F184-E184</f>
        <v>4</v>
      </c>
      <c r="H184" s="99">
        <f>G184+'9'!H184</f>
        <v>72</v>
      </c>
      <c r="I184" s="155"/>
      <c r="J184" s="178">
        <f>H184/DAY(B2)</f>
        <v>7.2</v>
      </c>
    </row>
    <row r="185" spans="1:10" ht="37.5" customHeight="1" x14ac:dyDescent="0.5">
      <c r="A185" s="840" t="s">
        <v>216</v>
      </c>
      <c r="B185" s="841"/>
      <c r="C185" s="334"/>
      <c r="D185" s="228" t="s">
        <v>142</v>
      </c>
      <c r="E185" s="95">
        <f>'9'!F185</f>
        <v>0</v>
      </c>
      <c r="F185" s="157">
        <v>0</v>
      </c>
      <c r="G185" s="157">
        <f t="shared" si="16"/>
        <v>0</v>
      </c>
      <c r="H185" s="99">
        <f>G185+'9'!H185</f>
        <v>0</v>
      </c>
      <c r="I185" s="155"/>
      <c r="J185" s="178">
        <f>H185/DAY(B2)</f>
        <v>0</v>
      </c>
    </row>
    <row r="186" spans="1:10" ht="26.25" customHeight="1" x14ac:dyDescent="0.5">
      <c r="A186" s="879" t="s">
        <v>196</v>
      </c>
      <c r="B186" s="880"/>
      <c r="C186" s="334"/>
      <c r="D186" s="229"/>
      <c r="E186" s="95"/>
      <c r="F186" s="157"/>
      <c r="G186" s="157">
        <f>SUM(G183:G185)</f>
        <v>15</v>
      </c>
      <c r="H186" s="99">
        <f>G186+'9'!H186</f>
        <v>209</v>
      </c>
      <c r="I186" s="157"/>
      <c r="J186" s="178">
        <f>H186/DAY(B2)</f>
        <v>20.9</v>
      </c>
    </row>
    <row r="187" spans="1:10" ht="21.75" customHeight="1" x14ac:dyDescent="0.5">
      <c r="A187" s="888" t="s">
        <v>217</v>
      </c>
      <c r="B187" s="889"/>
      <c r="C187" s="333"/>
      <c r="D187" s="230" t="s">
        <v>142</v>
      </c>
      <c r="E187" s="95"/>
      <c r="F187" s="159"/>
      <c r="G187" s="553">
        <f>G62+G19</f>
        <v>115</v>
      </c>
      <c r="H187" s="99">
        <f>G187+'9'!H187</f>
        <v>1122</v>
      </c>
      <c r="I187" s="158"/>
      <c r="J187" s="179">
        <f>H187/DAY(B2)</f>
        <v>112.2</v>
      </c>
    </row>
    <row r="188" spans="1:10" ht="21.75" customHeight="1" x14ac:dyDescent="0.5">
      <c r="A188" s="888" t="s">
        <v>218</v>
      </c>
      <c r="B188" s="889"/>
      <c r="C188" s="333"/>
      <c r="D188" s="230" t="s">
        <v>142</v>
      </c>
      <c r="E188" s="95"/>
      <c r="F188" s="159"/>
      <c r="G188" s="553">
        <f>G65+G66+G67+G69+G70</f>
        <v>106</v>
      </c>
      <c r="H188" s="99">
        <f>G188+'9'!H188</f>
        <v>1381</v>
      </c>
      <c r="I188" s="158"/>
      <c r="J188" s="179">
        <f>H188/DAY(B2)</f>
        <v>138.1</v>
      </c>
    </row>
    <row r="189" spans="1:10" ht="21.75" customHeight="1" x14ac:dyDescent="0.5">
      <c r="A189" s="888" t="s">
        <v>219</v>
      </c>
      <c r="B189" s="889"/>
      <c r="C189" s="333"/>
      <c r="D189" s="230" t="s">
        <v>142</v>
      </c>
      <c r="E189" s="95"/>
      <c r="F189" s="157"/>
      <c r="G189" s="532">
        <f>G181</f>
        <v>64</v>
      </c>
      <c r="H189" s="99">
        <f>G189+'9'!H189</f>
        <v>901</v>
      </c>
      <c r="I189" s="158"/>
      <c r="J189" s="179">
        <f>H189/DAY(B2)</f>
        <v>90.1</v>
      </c>
    </row>
    <row r="190" spans="1:10" ht="27" customHeight="1" x14ac:dyDescent="0.5">
      <c r="A190" s="811"/>
      <c r="B190" s="812"/>
      <c r="C190" s="475"/>
      <c r="D190" s="480"/>
      <c r="E190" s="480" t="s">
        <v>207</v>
      </c>
      <c r="F190" s="480"/>
      <c r="G190" s="480"/>
      <c r="H190" s="481"/>
      <c r="I190" s="480"/>
      <c r="J190" s="482"/>
    </row>
    <row r="191" spans="1:10" ht="21.75" customHeight="1" x14ac:dyDescent="0.5"/>
    <row r="192" spans="1:10" ht="21.75" customHeight="1" x14ac:dyDescent="0.5"/>
    <row r="193" ht="21.75" customHeight="1" x14ac:dyDescent="0.5"/>
    <row r="194" ht="21.75" customHeight="1" x14ac:dyDescent="0.5"/>
    <row r="195" ht="21.75" customHeight="1" x14ac:dyDescent="0.5"/>
    <row r="196" ht="21.75" customHeight="1" x14ac:dyDescent="0.5"/>
    <row r="197" ht="21.75" customHeight="1" x14ac:dyDescent="0.5"/>
    <row r="198" ht="21.75" customHeight="1" x14ac:dyDescent="0.5"/>
    <row r="199" ht="21.75" customHeight="1" x14ac:dyDescent="0.5"/>
    <row r="200" ht="21.75" customHeight="1" x14ac:dyDescent="0.5"/>
    <row r="201" ht="21.75" customHeight="1" x14ac:dyDescent="0.5"/>
    <row r="202" ht="36.75" customHeight="1" x14ac:dyDescent="0.5"/>
    <row r="203" ht="29.25" x14ac:dyDescent="0.5"/>
    <row r="204" ht="29.25" x14ac:dyDescent="0.5"/>
    <row r="205" ht="29.25" x14ac:dyDescent="0.5"/>
    <row r="206" ht="29.25" x14ac:dyDescent="0.5"/>
    <row r="207" ht="29.25" x14ac:dyDescent="0.5"/>
    <row r="208" ht="21.75" customHeight="1" x14ac:dyDescent="0.5"/>
    <row r="209" ht="21.75" customHeight="1" x14ac:dyDescent="0.5"/>
    <row r="210" ht="21.75" customHeight="1" x14ac:dyDescent="0.5"/>
    <row r="211" ht="21.75" customHeight="1" x14ac:dyDescent="0.5"/>
    <row r="212" ht="21.75" customHeight="1" x14ac:dyDescent="0.5"/>
    <row r="213" ht="21.75" customHeight="1" x14ac:dyDescent="0.5"/>
    <row r="214" ht="21.75" customHeight="1" x14ac:dyDescent="0.5"/>
    <row r="215" ht="21.75" customHeight="1" x14ac:dyDescent="0.5"/>
    <row r="216" ht="21.75" customHeight="1" x14ac:dyDescent="0.5"/>
    <row r="217" ht="21.75" customHeight="1" x14ac:dyDescent="0.5"/>
    <row r="218" ht="21.75" customHeight="1" x14ac:dyDescent="0.5"/>
    <row r="219" ht="21.75" customHeight="1" x14ac:dyDescent="0.5"/>
    <row r="220" ht="21.75" customHeight="1" x14ac:dyDescent="0.5"/>
    <row r="221" ht="21.75" customHeight="1" x14ac:dyDescent="0.5"/>
    <row r="222" ht="21.75" customHeight="1" x14ac:dyDescent="0.5"/>
    <row r="223" ht="21.75" customHeight="1" x14ac:dyDescent="0.5"/>
    <row r="224" ht="21.75" customHeight="1" x14ac:dyDescent="0.5"/>
    <row r="225" ht="21.75" customHeight="1" x14ac:dyDescent="0.5"/>
    <row r="226" ht="21.75" customHeight="1" x14ac:dyDescent="0.5"/>
    <row r="227" ht="21.75" customHeight="1" x14ac:dyDescent="0.5"/>
    <row r="228" ht="21.75" customHeight="1" x14ac:dyDescent="0.5"/>
    <row r="229" ht="21.75" customHeight="1" x14ac:dyDescent="0.5"/>
    <row r="230" ht="21.75" customHeight="1" x14ac:dyDescent="0.5"/>
    <row r="231" ht="21.75" customHeight="1" x14ac:dyDescent="0.5"/>
    <row r="232" ht="21.75" customHeight="1" x14ac:dyDescent="0.5"/>
    <row r="233" ht="21.75" customHeight="1" x14ac:dyDescent="0.5"/>
    <row r="234" ht="21.75" customHeight="1" x14ac:dyDescent="0.5"/>
    <row r="235" ht="21.75" customHeight="1" x14ac:dyDescent="0.5"/>
    <row r="236" ht="21.75" customHeight="1" x14ac:dyDescent="0.5"/>
    <row r="237" ht="21.75" customHeight="1" x14ac:dyDescent="0.5"/>
    <row r="238" ht="21.75" customHeight="1" x14ac:dyDescent="0.5"/>
    <row r="239" ht="21.75" customHeight="1" x14ac:dyDescent="0.5"/>
    <row r="240" ht="21.75" customHeight="1" x14ac:dyDescent="0.5"/>
    <row r="241" ht="21.75" customHeight="1" x14ac:dyDescent="0.5"/>
    <row r="242" ht="21.75" customHeight="1" x14ac:dyDescent="0.5"/>
    <row r="243" ht="21.75" customHeight="1" x14ac:dyDescent="0.5"/>
    <row r="244" ht="21.75" customHeight="1" x14ac:dyDescent="0.5"/>
    <row r="245" ht="21.75" customHeight="1" x14ac:dyDescent="0.5"/>
    <row r="246" ht="21.75" customHeight="1" x14ac:dyDescent="0.5"/>
    <row r="247" ht="29.25" x14ac:dyDescent="0.5"/>
    <row r="248" ht="29.25" x14ac:dyDescent="0.5"/>
    <row r="249" ht="29.25" x14ac:dyDescent="0.5"/>
    <row r="250" ht="29.25" x14ac:dyDescent="0.5"/>
    <row r="251" ht="29.25" x14ac:dyDescent="0.5"/>
    <row r="252" ht="29.25" x14ac:dyDescent="0.5"/>
    <row r="253" ht="29.25" x14ac:dyDescent="0.5"/>
    <row r="254" ht="29.25" x14ac:dyDescent="0.5"/>
    <row r="255" ht="29.25" x14ac:dyDescent="0.5"/>
    <row r="256" ht="29.25" x14ac:dyDescent="0.5"/>
    <row r="257" ht="29.25" x14ac:dyDescent="0.5"/>
    <row r="258" ht="29.25" x14ac:dyDescent="0.5"/>
    <row r="259" ht="29.25" x14ac:dyDescent="0.5"/>
    <row r="260" ht="29.25" x14ac:dyDescent="0.5"/>
    <row r="261" ht="29.25" x14ac:dyDescent="0.5"/>
    <row r="262" ht="29.25" x14ac:dyDescent="0.5"/>
    <row r="263" ht="29.25" x14ac:dyDescent="0.5"/>
    <row r="264" ht="29.25" x14ac:dyDescent="0.5"/>
    <row r="265" ht="29.25" x14ac:dyDescent="0.5"/>
    <row r="266" ht="29.25" x14ac:dyDescent="0.5"/>
    <row r="267" ht="29.25" x14ac:dyDescent="0.5"/>
    <row r="268" ht="29.25" x14ac:dyDescent="0.5"/>
    <row r="269" ht="29.25" x14ac:dyDescent="0.5"/>
    <row r="270" ht="29.25" x14ac:dyDescent="0.5"/>
  </sheetData>
  <mergeCells count="115">
    <mergeCell ref="A158:C158"/>
    <mergeCell ref="A159:C159"/>
    <mergeCell ref="A189:B189"/>
    <mergeCell ref="A190:B190"/>
    <mergeCell ref="A184:B184"/>
    <mergeCell ref="A185:B185"/>
    <mergeCell ref="A186:B186"/>
    <mergeCell ref="A187:B187"/>
    <mergeCell ref="A188:B188"/>
    <mergeCell ref="A176:B176"/>
    <mergeCell ref="A177:B177"/>
    <mergeCell ref="A178:B178"/>
    <mergeCell ref="A179:B179"/>
    <mergeCell ref="A180:B180"/>
    <mergeCell ref="A183:B183"/>
    <mergeCell ref="A181:B181"/>
    <mergeCell ref="A182:B182"/>
    <mergeCell ref="A175:C175"/>
    <mergeCell ref="A168:B168"/>
    <mergeCell ref="A171:J171"/>
    <mergeCell ref="A172:B172"/>
    <mergeCell ref="A173:B173"/>
    <mergeCell ref="A174:B174"/>
    <mergeCell ref="A141:C141"/>
    <mergeCell ref="A142:C142"/>
    <mergeCell ref="A160:J160"/>
    <mergeCell ref="A166:B166"/>
    <mergeCell ref="A167:B167"/>
    <mergeCell ref="A136:J136"/>
    <mergeCell ref="A138:C138"/>
    <mergeCell ref="A139:C139"/>
    <mergeCell ref="A140:C140"/>
    <mergeCell ref="A143:C143"/>
    <mergeCell ref="A144:C144"/>
    <mergeCell ref="A145:C145"/>
    <mergeCell ref="A146:C146"/>
    <mergeCell ref="A147:C147"/>
    <mergeCell ref="A148:C148"/>
    <mergeCell ref="A149:C149"/>
    <mergeCell ref="A150:C150"/>
    <mergeCell ref="A151:C151"/>
    <mergeCell ref="A152:C152"/>
    <mergeCell ref="A154:J154"/>
    <mergeCell ref="A155:C155"/>
    <mergeCell ref="A156:C156"/>
    <mergeCell ref="A153:B153"/>
    <mergeCell ref="A157:C157"/>
    <mergeCell ref="Q118:R118"/>
    <mergeCell ref="A119:C119"/>
    <mergeCell ref="A120:C120"/>
    <mergeCell ref="A121:C121"/>
    <mergeCell ref="A115:C115"/>
    <mergeCell ref="A116:C116"/>
    <mergeCell ref="Q116:R116"/>
    <mergeCell ref="A117:C117"/>
    <mergeCell ref="Q117:R117"/>
    <mergeCell ref="A94:C94"/>
    <mergeCell ref="A95:C95"/>
    <mergeCell ref="A96:C96"/>
    <mergeCell ref="A97:C97"/>
    <mergeCell ref="A98:C98"/>
    <mergeCell ref="A99:C99"/>
    <mergeCell ref="A100:C100"/>
    <mergeCell ref="A101:C101"/>
    <mergeCell ref="A118:C118"/>
    <mergeCell ref="A110:J110"/>
    <mergeCell ref="A111:C111"/>
    <mergeCell ref="A112:C112"/>
    <mergeCell ref="A113:C113"/>
    <mergeCell ref="A128:C128"/>
    <mergeCell ref="A131:C131"/>
    <mergeCell ref="A132:C132"/>
    <mergeCell ref="A133:C133"/>
    <mergeCell ref="A134:C134"/>
    <mergeCell ref="A122:C122"/>
    <mergeCell ref="A124:C124"/>
    <mergeCell ref="A125:B125"/>
    <mergeCell ref="A126:J126"/>
    <mergeCell ref="A127:B127"/>
    <mergeCell ref="A93:C93"/>
    <mergeCell ref="A33:C33"/>
    <mergeCell ref="A61:C61"/>
    <mergeCell ref="A62:C62"/>
    <mergeCell ref="A63:C63"/>
    <mergeCell ref="A71:C71"/>
    <mergeCell ref="A76:C76"/>
    <mergeCell ref="A77:C77"/>
    <mergeCell ref="A79:C79"/>
    <mergeCell ref="A80:C80"/>
    <mergeCell ref="A64:C64"/>
    <mergeCell ref="A65:C65"/>
    <mergeCell ref="A135:B135"/>
    <mergeCell ref="A25:C25"/>
    <mergeCell ref="A1:J1"/>
    <mergeCell ref="A6:C6"/>
    <mergeCell ref="A14:C14"/>
    <mergeCell ref="A17:C17"/>
    <mergeCell ref="E3:F3"/>
    <mergeCell ref="A18:C18"/>
    <mergeCell ref="A19:C19"/>
    <mergeCell ref="A21:C21"/>
    <mergeCell ref="A81:C81"/>
    <mergeCell ref="A78:C78"/>
    <mergeCell ref="A73:C73"/>
    <mergeCell ref="A74:C74"/>
    <mergeCell ref="A75:C75"/>
    <mergeCell ref="A72:B72"/>
    <mergeCell ref="A114:C114"/>
    <mergeCell ref="A102:C102"/>
    <mergeCell ref="A123:C123"/>
    <mergeCell ref="A103:C103"/>
    <mergeCell ref="A104:C104"/>
    <mergeCell ref="A109:B109"/>
    <mergeCell ref="A105:C105"/>
    <mergeCell ref="A108:J108"/>
  </mergeCells>
  <pageMargins left="0.22" right="0.17" top="0.14000000000000001" bottom="0.2" header="0.2" footer="0.2"/>
  <pageSetup paperSize="5" scale="18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1:R190"/>
  <sheetViews>
    <sheetView topLeftCell="A115" zoomScale="55" zoomScaleNormal="55" workbookViewId="0">
      <selection activeCell="F24" sqref="F24"/>
    </sheetView>
  </sheetViews>
  <sheetFormatPr defaultColWidth="22.33203125" defaultRowHeight="30.75" customHeight="1" x14ac:dyDescent="0.5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6" width="30" style="160" customWidth="1"/>
    <col min="7" max="7" width="28.88671875" style="160" customWidth="1"/>
    <col min="8" max="8" width="39.21875" style="161" customWidth="1"/>
    <col min="9" max="9" width="23.5546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30.75" customHeight="1" x14ac:dyDescent="0.65">
      <c r="A1" s="821" t="s">
        <v>115</v>
      </c>
      <c r="B1" s="822"/>
      <c r="C1" s="822"/>
      <c r="D1" s="822"/>
      <c r="E1" s="822"/>
      <c r="F1" s="822"/>
      <c r="G1" s="822"/>
      <c r="H1" s="822"/>
      <c r="I1" s="822"/>
      <c r="J1" s="823"/>
    </row>
    <row r="2" spans="1:15" s="57" customFormat="1" ht="30.75" customHeight="1" x14ac:dyDescent="0.5">
      <c r="A2" s="191" t="s">
        <v>357</v>
      </c>
      <c r="B2" s="262">
        <v>44572</v>
      </c>
      <c r="C2" s="348" t="s">
        <v>67</v>
      </c>
      <c r="D2" s="218">
        <v>0.63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30.75" customHeight="1" x14ac:dyDescent="0.5">
      <c r="A3" s="189"/>
      <c r="B3" s="221"/>
      <c r="C3" s="348" t="s">
        <v>118</v>
      </c>
      <c r="D3" s="219">
        <v>23</v>
      </c>
      <c r="E3" s="830" t="s">
        <v>119</v>
      </c>
      <c r="F3" s="831"/>
      <c r="G3" s="101"/>
      <c r="H3" s="102"/>
      <c r="I3" s="102"/>
      <c r="J3" s="222"/>
      <c r="K3" s="61"/>
      <c r="L3" s="58"/>
    </row>
    <row r="4" spans="1:15" s="57" customFormat="1" ht="30.75" customHeight="1" x14ac:dyDescent="0.5">
      <c r="A4" s="192"/>
      <c r="B4" s="223"/>
      <c r="C4" s="348" t="s">
        <v>120</v>
      </c>
      <c r="D4" s="218">
        <v>0.77</v>
      </c>
      <c r="E4" s="103"/>
      <c r="F4" s="103"/>
      <c r="G4" s="103"/>
      <c r="H4" s="103"/>
      <c r="I4" s="104"/>
      <c r="J4" s="222"/>
      <c r="K4" s="62"/>
      <c r="L4" s="58"/>
    </row>
    <row r="5" spans="1:15" ht="30.75" customHeight="1" x14ac:dyDescent="0.4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5" ht="30.75" customHeight="1" x14ac:dyDescent="0.4">
      <c r="A6" s="824" t="s">
        <v>128</v>
      </c>
      <c r="B6" s="825"/>
      <c r="C6" s="826"/>
      <c r="D6" s="110"/>
      <c r="E6" s="110"/>
      <c r="F6" s="110"/>
      <c r="G6" s="110"/>
      <c r="H6" s="111"/>
      <c r="I6" s="111"/>
      <c r="J6" s="174"/>
      <c r="K6" s="78"/>
      <c r="L6" s="66"/>
    </row>
    <row r="7" spans="1:15" ht="30.75" customHeight="1" thickBot="1" x14ac:dyDescent="0.45">
      <c r="A7" s="194" t="s">
        <v>129</v>
      </c>
      <c r="B7" s="195"/>
      <c r="C7" s="195"/>
      <c r="D7" s="151" t="s">
        <v>130</v>
      </c>
      <c r="E7" s="95">
        <f>'10'!F7</f>
        <v>286839</v>
      </c>
      <c r="F7" s="95">
        <v>303864</v>
      </c>
      <c r="G7" s="112">
        <f>F7-E7</f>
        <v>17025</v>
      </c>
      <c r="H7" s="99">
        <f>G7+'10'!H7</f>
        <v>209303</v>
      </c>
      <c r="I7" s="113">
        <f>'1'!I7</f>
        <v>12000</v>
      </c>
      <c r="J7" s="175">
        <f>H7/DAY(B2)</f>
        <v>19027.545454545456</v>
      </c>
      <c r="K7" s="172">
        <v>1375467</v>
      </c>
      <c r="L7" s="66"/>
      <c r="N7" s="87"/>
      <c r="O7" s="71"/>
    </row>
    <row r="8" spans="1:15" ht="30.75" customHeight="1" thickBot="1" x14ac:dyDescent="0.45">
      <c r="A8" s="196" t="s">
        <v>131</v>
      </c>
      <c r="B8" s="197"/>
      <c r="C8" s="198"/>
      <c r="D8" s="224" t="s">
        <v>24</v>
      </c>
      <c r="E8" s="95">
        <f>'10'!F8</f>
        <v>337000</v>
      </c>
      <c r="F8" s="95">
        <v>354262</v>
      </c>
      <c r="G8" s="115">
        <f>F8-E8</f>
        <v>17262</v>
      </c>
      <c r="H8" s="99">
        <f>G8+'10'!H8</f>
        <v>213377</v>
      </c>
      <c r="I8" s="116"/>
      <c r="J8" s="175">
        <f>H8/DAY(B2)</f>
        <v>19397.909090909092</v>
      </c>
      <c r="K8" s="172">
        <v>1715917</v>
      </c>
      <c r="L8" s="76">
        <v>1728480</v>
      </c>
      <c r="M8" s="87">
        <f>L8-K8</f>
        <v>12563</v>
      </c>
      <c r="N8" s="87"/>
      <c r="O8" s="71"/>
    </row>
    <row r="9" spans="1:15" ht="30.75" customHeight="1" x14ac:dyDescent="0.4">
      <c r="A9" s="199" t="s">
        <v>132</v>
      </c>
      <c r="B9" s="200"/>
      <c r="C9" s="200"/>
      <c r="D9" s="151" t="s">
        <v>130</v>
      </c>
      <c r="E9" s="95">
        <f>'10'!F9</f>
        <v>22761</v>
      </c>
      <c r="F9" s="601">
        <v>33440</v>
      </c>
      <c r="G9" s="112">
        <f>F9-E9</f>
        <v>10679</v>
      </c>
      <c r="H9" s="99">
        <f>G9+'10'!H9</f>
        <v>131945</v>
      </c>
      <c r="I9" s="124">
        <f>I7-J7</f>
        <v>-7027.5454545454559</v>
      </c>
      <c r="J9" s="175">
        <f>H9/DAY(B2)</f>
        <v>11995</v>
      </c>
      <c r="K9" s="79">
        <f>K8-100</f>
        <v>1715817</v>
      </c>
      <c r="L9" s="66"/>
      <c r="N9" s="87"/>
      <c r="O9" s="71"/>
    </row>
    <row r="10" spans="1:15" ht="30.75" customHeight="1" x14ac:dyDescent="0.4">
      <c r="A10" s="194" t="s">
        <v>133</v>
      </c>
      <c r="B10" s="195"/>
      <c r="C10" s="195"/>
      <c r="D10" s="151" t="s">
        <v>130</v>
      </c>
      <c r="E10" s="95">
        <f>'10'!F10</f>
        <v>10806</v>
      </c>
      <c r="F10" s="353">
        <v>16672</v>
      </c>
      <c r="G10" s="112">
        <f t="shared" ref="G10:G12" si="0">F10-E10</f>
        <v>5866</v>
      </c>
      <c r="H10" s="99">
        <f>G10+'10'!H10</f>
        <v>71578</v>
      </c>
      <c r="I10" s="282"/>
      <c r="J10" s="175">
        <f>H10/DAY(B2)</f>
        <v>6507.090909090909</v>
      </c>
      <c r="K10" s="79"/>
      <c r="L10" s="66"/>
      <c r="N10" s="87"/>
      <c r="O10" s="71"/>
    </row>
    <row r="11" spans="1:15" ht="30.75" customHeight="1" x14ac:dyDescent="0.4">
      <c r="A11" s="194" t="s">
        <v>134</v>
      </c>
      <c r="B11" s="195"/>
      <c r="C11" s="195"/>
      <c r="D11" s="151" t="s">
        <v>130</v>
      </c>
      <c r="E11" s="95">
        <f>'10'!F11</f>
        <v>37000</v>
      </c>
      <c r="F11" s="95">
        <v>37000</v>
      </c>
      <c r="G11" s="112">
        <f t="shared" si="0"/>
        <v>0</v>
      </c>
      <c r="H11" s="99">
        <f>G11+'10'!H11</f>
        <v>0</v>
      </c>
      <c r="I11" s="282"/>
      <c r="J11" s="175">
        <f>H11/DAY(B2)</f>
        <v>0</v>
      </c>
      <c r="K11" s="79"/>
      <c r="L11" s="66"/>
      <c r="N11" s="87"/>
      <c r="O11" s="71"/>
    </row>
    <row r="12" spans="1:15" ht="30.75" customHeight="1" x14ac:dyDescent="0.4">
      <c r="A12" s="194" t="s">
        <v>135</v>
      </c>
      <c r="B12" s="195"/>
      <c r="C12" s="195"/>
      <c r="D12" s="151" t="s">
        <v>130</v>
      </c>
      <c r="E12" s="95">
        <f>'10'!F12</f>
        <v>40010</v>
      </c>
      <c r="F12" s="117">
        <v>40010</v>
      </c>
      <c r="G12" s="112">
        <f t="shared" si="0"/>
        <v>0</v>
      </c>
      <c r="H12" s="99">
        <f>G12+'10'!H12</f>
        <v>0</v>
      </c>
      <c r="I12" s="282"/>
      <c r="J12" s="175">
        <f>H12/DAY(B2)</f>
        <v>0</v>
      </c>
      <c r="K12" s="79"/>
      <c r="L12" s="66"/>
      <c r="N12" s="87"/>
      <c r="O12" s="71"/>
    </row>
    <row r="13" spans="1:15" ht="30.75" customHeight="1" x14ac:dyDescent="0.5">
      <c r="A13" s="201" t="s">
        <v>136</v>
      </c>
      <c r="B13" s="202"/>
      <c r="C13" s="202"/>
      <c r="D13" s="151"/>
      <c r="E13" s="95"/>
      <c r="F13" s="95"/>
      <c r="G13" s="119">
        <f>G9+G10+G11+G12</f>
        <v>16545</v>
      </c>
      <c r="H13" s="99">
        <f>G13+'10'!H13</f>
        <v>184057.74999999988</v>
      </c>
      <c r="I13" s="120">
        <f>G7-G13</f>
        <v>480</v>
      </c>
      <c r="J13" s="175">
        <f>H13/DAY(B2)</f>
        <v>16732.522727272717</v>
      </c>
      <c r="K13" s="79"/>
      <c r="L13" s="66"/>
      <c r="N13" s="87"/>
      <c r="O13" s="71"/>
    </row>
    <row r="14" spans="1:15" ht="30.75" customHeight="1" x14ac:dyDescent="0.5">
      <c r="A14" s="827" t="s">
        <v>137</v>
      </c>
      <c r="B14" s="828"/>
      <c r="C14" s="829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5" ht="30.75" customHeight="1" x14ac:dyDescent="0.5">
      <c r="A15" s="345" t="s">
        <v>138</v>
      </c>
      <c r="B15" s="205"/>
      <c r="C15" s="205"/>
      <c r="D15" s="151" t="s">
        <v>139</v>
      </c>
      <c r="E15" s="95">
        <f>'10'!F15</f>
        <v>1887358</v>
      </c>
      <c r="F15" s="601">
        <v>1888289</v>
      </c>
      <c r="G15" s="112">
        <f>(F15-E15)</f>
        <v>931</v>
      </c>
      <c r="H15" s="99">
        <f>G15+'10'!H15</f>
        <v>9859</v>
      </c>
      <c r="I15" s="113">
        <f>'1'!I15</f>
        <v>800</v>
      </c>
      <c r="J15" s="175">
        <f>H15/DAY(B2)</f>
        <v>896.27272727272725</v>
      </c>
      <c r="K15" s="79"/>
      <c r="L15" s="66"/>
      <c r="N15" s="87"/>
      <c r="O15" s="71"/>
    </row>
    <row r="16" spans="1:15" ht="30.75" customHeight="1" x14ac:dyDescent="0.4">
      <c r="A16" s="203"/>
      <c r="B16" s="204"/>
      <c r="C16" s="204"/>
      <c r="D16" s="152"/>
      <c r="E16" s="123"/>
      <c r="F16" s="123"/>
      <c r="G16" s="112"/>
      <c r="H16" s="124"/>
      <c r="I16" s="120">
        <f>I15-J15</f>
        <v>-96.272727272727252</v>
      </c>
      <c r="J16" s="176"/>
      <c r="K16" s="79"/>
      <c r="L16" s="66"/>
      <c r="N16" s="87"/>
      <c r="O16" s="71"/>
    </row>
    <row r="17" spans="1:15" ht="30.75" customHeight="1" x14ac:dyDescent="0.5">
      <c r="A17" s="827" t="s">
        <v>140</v>
      </c>
      <c r="B17" s="828"/>
      <c r="C17" s="829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5" ht="30.75" customHeight="1" x14ac:dyDescent="0.5">
      <c r="A18" s="818" t="s">
        <v>141</v>
      </c>
      <c r="B18" s="819"/>
      <c r="C18" s="820"/>
      <c r="D18" s="151" t="s">
        <v>142</v>
      </c>
      <c r="E18" s="95">
        <f>'10'!F18</f>
        <v>7</v>
      </c>
      <c r="F18" s="122">
        <v>8</v>
      </c>
      <c r="G18" s="119">
        <f>F18*10</f>
        <v>80</v>
      </c>
      <c r="H18" s="99">
        <f>G18+'10'!H18</f>
        <v>1370</v>
      </c>
      <c r="I18" s="113">
        <f>'1'!I18</f>
        <v>65</v>
      </c>
      <c r="J18" s="175">
        <f>H18/DAY(B2)</f>
        <v>124.54545454545455</v>
      </c>
      <c r="K18" s="79"/>
      <c r="L18" s="66"/>
      <c r="N18" s="87"/>
      <c r="O18" s="71"/>
    </row>
    <row r="19" spans="1:15" ht="30.75" customHeight="1" x14ac:dyDescent="0.5">
      <c r="A19" s="818" t="s">
        <v>69</v>
      </c>
      <c r="B19" s="819"/>
      <c r="C19" s="820"/>
      <c r="D19" s="151" t="s">
        <v>142</v>
      </c>
      <c r="E19" s="95">
        <f>'10'!F19</f>
        <v>152749</v>
      </c>
      <c r="F19" s="122">
        <v>152799</v>
      </c>
      <c r="G19" s="112">
        <f t="shared" ref="G19" si="1">F19-E19</f>
        <v>50</v>
      </c>
      <c r="H19" s="99">
        <f>G19+'10'!H19</f>
        <v>574</v>
      </c>
      <c r="I19" s="335"/>
      <c r="J19" s="175">
        <f>H19/DAY(B2)</f>
        <v>52.18181818181818</v>
      </c>
      <c r="K19" s="79"/>
      <c r="L19" s="66"/>
      <c r="N19" s="87"/>
      <c r="O19" s="71"/>
    </row>
    <row r="20" spans="1:15" ht="30.75" customHeight="1" x14ac:dyDescent="0.5">
      <c r="A20" s="201" t="s">
        <v>143</v>
      </c>
      <c r="B20" s="202"/>
      <c r="C20" s="202"/>
      <c r="D20" s="126"/>
      <c r="E20" s="126"/>
      <c r="F20" s="126"/>
      <c r="G20" s="127">
        <f>G18+G19</f>
        <v>130</v>
      </c>
      <c r="H20" s="99">
        <f>G20+'10'!H20</f>
        <v>1944</v>
      </c>
      <c r="I20" s="336">
        <f>I18-J20</f>
        <v>-111.72727272727272</v>
      </c>
      <c r="J20" s="175">
        <f>H20/DAY(B2)</f>
        <v>176.72727272727272</v>
      </c>
      <c r="K20" s="79"/>
      <c r="L20" s="66"/>
      <c r="N20" s="87"/>
      <c r="O20" s="71"/>
    </row>
    <row r="21" spans="1:15" ht="30.75" customHeight="1" x14ac:dyDescent="0.5">
      <c r="A21" s="827" t="s">
        <v>144</v>
      </c>
      <c r="B21" s="828"/>
      <c r="C21" s="829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5" ht="30.75" customHeight="1" x14ac:dyDescent="0.5">
      <c r="A22" s="345" t="s">
        <v>145</v>
      </c>
      <c r="B22" s="205"/>
      <c r="C22" s="205"/>
      <c r="D22" s="151" t="s">
        <v>146</v>
      </c>
      <c r="E22" s="95">
        <f>'10'!F22</f>
        <v>2970</v>
      </c>
      <c r="F22" s="122">
        <v>2970</v>
      </c>
      <c r="G22" s="119">
        <f t="shared" ref="G22" si="2">(F22-E22)</f>
        <v>0</v>
      </c>
      <c r="H22" s="99">
        <f>G22+'10'!H22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30.75" customHeight="1" x14ac:dyDescent="0.5">
      <c r="A23" s="345" t="s">
        <v>147</v>
      </c>
      <c r="B23" s="205"/>
      <c r="C23" s="205"/>
      <c r="D23" s="151" t="s">
        <v>146</v>
      </c>
      <c r="E23" s="95">
        <f>'10'!F23</f>
        <v>1500</v>
      </c>
      <c r="F23" s="122">
        <v>1500</v>
      </c>
      <c r="G23" s="119">
        <v>0</v>
      </c>
      <c r="H23" s="99">
        <f>G23+'10'!H23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5" ht="30.75" customHeight="1" x14ac:dyDescent="0.4">
      <c r="A24" s="206" t="s">
        <v>148</v>
      </c>
      <c r="B24" s="207"/>
      <c r="C24" s="207"/>
      <c r="D24" s="146" t="s">
        <v>146</v>
      </c>
      <c r="E24" s="95">
        <f>'10'!F24</f>
        <v>4970</v>
      </c>
      <c r="F24" s="128">
        <v>4970</v>
      </c>
      <c r="G24" s="119">
        <v>0</v>
      </c>
      <c r="H24" s="99">
        <f>G24+'10'!H24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5" s="88" customFormat="1" ht="30.75" customHeight="1" x14ac:dyDescent="0.35">
      <c r="A25" s="832" t="s">
        <v>149</v>
      </c>
      <c r="B25" s="833"/>
      <c r="C25" s="834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5" s="88" customFormat="1" ht="30.75" customHeight="1" x14ac:dyDescent="0.5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/>
      <c r="I26" s="134"/>
      <c r="J26" s="175"/>
      <c r="K26" s="64"/>
      <c r="L26" s="89"/>
      <c r="N26" s="87"/>
      <c r="O26" s="71"/>
    </row>
    <row r="27" spans="1:15" s="88" customFormat="1" ht="30.75" customHeight="1" x14ac:dyDescent="0.5">
      <c r="A27" s="208" t="s">
        <v>5</v>
      </c>
      <c r="B27" s="209"/>
      <c r="C27" s="210"/>
      <c r="D27" s="226" t="s">
        <v>24</v>
      </c>
      <c r="E27" s="135">
        <f>G8</f>
        <v>17262</v>
      </c>
      <c r="F27" s="136">
        <v>9</v>
      </c>
      <c r="G27" s="137">
        <f>E27*F27</f>
        <v>155358</v>
      </c>
      <c r="H27" s="99">
        <f>G27+'10'!H27</f>
        <v>1920393</v>
      </c>
      <c r="I27" s="138"/>
      <c r="J27" s="175">
        <f>H27/DAY(B2)</f>
        <v>174581.18181818182</v>
      </c>
      <c r="K27" s="63"/>
      <c r="L27" s="89"/>
      <c r="N27" s="87"/>
      <c r="O27" s="71"/>
    </row>
    <row r="28" spans="1:15" s="88" customFormat="1" ht="30.75" customHeight="1" x14ac:dyDescent="0.5">
      <c r="A28" s="208" t="s">
        <v>152</v>
      </c>
      <c r="B28" s="209"/>
      <c r="C28" s="210"/>
      <c r="D28" s="226" t="s">
        <v>153</v>
      </c>
      <c r="E28" s="139">
        <f>G15</f>
        <v>931</v>
      </c>
      <c r="F28" s="136">
        <v>52</v>
      </c>
      <c r="G28" s="137">
        <f>E28*F28</f>
        <v>48412</v>
      </c>
      <c r="H28" s="99">
        <f>G28+'10'!H28</f>
        <v>512668</v>
      </c>
      <c r="I28" s="140"/>
      <c r="J28" s="175">
        <f>H28/DAY(B2)</f>
        <v>46606.181818181816</v>
      </c>
      <c r="K28" s="63"/>
      <c r="L28" s="89"/>
      <c r="N28" s="87"/>
      <c r="O28" s="71"/>
    </row>
    <row r="29" spans="1:15" s="88" customFormat="1" ht="30.75" customHeight="1" x14ac:dyDescent="0.5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>E29*F29</f>
        <v>0</v>
      </c>
      <c r="H29" s="99">
        <f>G29+'10'!H29</f>
        <v>0</v>
      </c>
      <c r="I29" s="140"/>
      <c r="J29" s="175">
        <f>H29/DAY(B2)</f>
        <v>0</v>
      </c>
      <c r="K29" s="63"/>
      <c r="L29" s="89"/>
      <c r="N29" s="87"/>
      <c r="O29" s="71"/>
    </row>
    <row r="30" spans="1:15" s="88" customFormat="1" ht="30.75" customHeight="1" x14ac:dyDescent="0.5">
      <c r="A30" s="208" t="s">
        <v>156</v>
      </c>
      <c r="B30" s="209"/>
      <c r="C30" s="210"/>
      <c r="D30" s="226" t="s">
        <v>157</v>
      </c>
      <c r="E30" s="141">
        <f>G19</f>
        <v>50</v>
      </c>
      <c r="F30" s="136">
        <v>146</v>
      </c>
      <c r="G30" s="137">
        <f>E30*F30</f>
        <v>7300</v>
      </c>
      <c r="H30" s="99">
        <f>G30+'10'!H30</f>
        <v>83804</v>
      </c>
      <c r="I30" s="140"/>
      <c r="J30" s="175">
        <f>H30/DAY(B2)</f>
        <v>7618.545454545455</v>
      </c>
      <c r="K30" s="63"/>
      <c r="L30" s="89"/>
      <c r="N30" s="87"/>
      <c r="O30" s="71"/>
    </row>
    <row r="31" spans="1:15" s="88" customFormat="1" ht="30.75" customHeight="1" x14ac:dyDescent="0.5">
      <c r="A31" s="208" t="s">
        <v>158</v>
      </c>
      <c r="B31" s="209"/>
      <c r="C31" s="210"/>
      <c r="D31" s="226" t="s">
        <v>142</v>
      </c>
      <c r="E31" s="141">
        <f>G18</f>
        <v>80</v>
      </c>
      <c r="F31" s="136">
        <v>80</v>
      </c>
      <c r="G31" s="137">
        <f>E31*F31</f>
        <v>6400</v>
      </c>
      <c r="H31" s="99">
        <f>G31+'10'!H31</f>
        <v>109600</v>
      </c>
      <c r="I31" s="140"/>
      <c r="J31" s="175">
        <f>H31/DAY(B2)</f>
        <v>9963.636363636364</v>
      </c>
      <c r="K31" s="63"/>
      <c r="L31" s="89"/>
      <c r="N31" s="87"/>
      <c r="O31" s="71"/>
    </row>
    <row r="32" spans="1:15" s="88" customFormat="1" ht="30.75" customHeight="1" x14ac:dyDescent="0.5">
      <c r="A32" s="211" t="s">
        <v>159</v>
      </c>
      <c r="B32" s="212"/>
      <c r="C32" s="213"/>
      <c r="D32" s="142"/>
      <c r="E32" s="142"/>
      <c r="F32" s="142"/>
      <c r="G32" s="143">
        <f>G27+G28+G29+G30+G31</f>
        <v>217470</v>
      </c>
      <c r="H32" s="99">
        <f>G32+'10'!H32</f>
        <v>2626465</v>
      </c>
      <c r="I32" s="144"/>
      <c r="J32" s="175">
        <f>H32/DAY(B2)</f>
        <v>238769.54545454544</v>
      </c>
      <c r="K32" s="63"/>
      <c r="L32" s="89"/>
      <c r="N32" s="87"/>
      <c r="O32" s="71"/>
    </row>
    <row r="33" spans="1:15" ht="30.75" customHeight="1" x14ac:dyDescent="0.35">
      <c r="A33" s="835" t="s">
        <v>331</v>
      </c>
      <c r="B33" s="836"/>
      <c r="C33" s="836"/>
      <c r="D33" s="337"/>
      <c r="E33" s="337"/>
      <c r="F33" s="337"/>
      <c r="G33" s="337"/>
      <c r="H33" s="337"/>
      <c r="I33" s="337"/>
      <c r="J33" s="338"/>
      <c r="K33" s="79"/>
      <c r="L33" s="66"/>
      <c r="N33" s="87"/>
      <c r="O33" s="71"/>
    </row>
    <row r="34" spans="1:15" ht="30.75" customHeight="1" x14ac:dyDescent="0.5">
      <c r="A34" s="214" t="s">
        <v>160</v>
      </c>
      <c r="B34" s="349"/>
      <c r="C34" s="349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30.75" customHeight="1" x14ac:dyDescent="0.4">
      <c r="A35" s="194" t="s">
        <v>161</v>
      </c>
      <c r="B35" s="195"/>
      <c r="C35" s="195"/>
      <c r="D35" s="151" t="s">
        <v>130</v>
      </c>
      <c r="E35" s="95">
        <f>'10'!F35</f>
        <v>3397</v>
      </c>
      <c r="F35" s="145">
        <v>4860</v>
      </c>
      <c r="G35" s="112">
        <f t="shared" ref="G35:G46" si="3">F35-E35</f>
        <v>1463</v>
      </c>
      <c r="H35" s="99">
        <f>G35+'10'!H35</f>
        <v>20060</v>
      </c>
      <c r="I35" s="95"/>
      <c r="J35" s="175">
        <f>H35/DAY(B2)</f>
        <v>1823.6363636363637</v>
      </c>
      <c r="K35" s="79"/>
      <c r="L35" s="66"/>
      <c r="N35" s="87"/>
      <c r="O35" s="71"/>
    </row>
    <row r="36" spans="1:15" ht="30.75" customHeight="1" x14ac:dyDescent="0.4">
      <c r="A36" s="194" t="s">
        <v>162</v>
      </c>
      <c r="B36" s="195"/>
      <c r="C36" s="195"/>
      <c r="D36" s="151" t="s">
        <v>130</v>
      </c>
      <c r="E36" s="95">
        <f>'10'!F36</f>
        <v>29309</v>
      </c>
      <c r="F36" s="145">
        <v>29899</v>
      </c>
      <c r="G36" s="112">
        <f t="shared" si="3"/>
        <v>590</v>
      </c>
      <c r="H36" s="99">
        <f>G36+'10'!H36</f>
        <v>8372</v>
      </c>
      <c r="I36" s="95"/>
      <c r="J36" s="175">
        <f>H36/DAY(B2)</f>
        <v>761.09090909090912</v>
      </c>
      <c r="K36" s="79"/>
      <c r="L36" s="66"/>
      <c r="N36" s="87"/>
      <c r="O36" s="344"/>
    </row>
    <row r="37" spans="1:15" ht="30.75" customHeight="1" x14ac:dyDescent="0.4">
      <c r="A37" s="194" t="s">
        <v>163</v>
      </c>
      <c r="B37" s="195"/>
      <c r="C37" s="195"/>
      <c r="D37" s="151" t="s">
        <v>130</v>
      </c>
      <c r="E37" s="95">
        <f>'10'!F37</f>
        <v>2924</v>
      </c>
      <c r="F37" s="145">
        <v>4369</v>
      </c>
      <c r="G37" s="112">
        <f t="shared" si="3"/>
        <v>1445</v>
      </c>
      <c r="H37" s="99">
        <f>G37+'10'!H37</f>
        <v>16581</v>
      </c>
      <c r="I37" s="95"/>
      <c r="J37" s="175">
        <f>H37/DAY(B2)</f>
        <v>1507.3636363636363</v>
      </c>
      <c r="K37" s="79"/>
      <c r="L37" s="66"/>
      <c r="N37" s="87"/>
      <c r="O37" s="234"/>
    </row>
    <row r="38" spans="1:15" ht="30.75" customHeight="1" x14ac:dyDescent="0.4">
      <c r="A38" s="194" t="s">
        <v>164</v>
      </c>
      <c r="B38" s="195"/>
      <c r="C38" s="195"/>
      <c r="D38" s="151" t="s">
        <v>130</v>
      </c>
      <c r="E38" s="95">
        <f>'10'!F38</f>
        <v>3199</v>
      </c>
      <c r="F38" s="108">
        <v>4693</v>
      </c>
      <c r="G38" s="112">
        <f t="shared" si="3"/>
        <v>1494</v>
      </c>
      <c r="H38" s="99">
        <f>G38+'10'!H38</f>
        <v>17893</v>
      </c>
      <c r="I38" s="95"/>
      <c r="J38" s="175">
        <f>H38/DAY(B2)</f>
        <v>1626.6363636363637</v>
      </c>
      <c r="K38" s="79"/>
      <c r="L38" s="66"/>
      <c r="N38" s="87"/>
      <c r="O38" s="71"/>
    </row>
    <row r="39" spans="1:15" ht="30.75" customHeight="1" x14ac:dyDescent="0.4">
      <c r="A39" s="194" t="s">
        <v>165</v>
      </c>
      <c r="B39" s="195"/>
      <c r="C39" s="195"/>
      <c r="D39" s="151" t="s">
        <v>130</v>
      </c>
      <c r="E39" s="95">
        <f>'10'!F39</f>
        <v>5184</v>
      </c>
      <c r="F39" s="145">
        <v>7655</v>
      </c>
      <c r="G39" s="112">
        <f t="shared" si="3"/>
        <v>2471</v>
      </c>
      <c r="H39" s="99">
        <f>G39+'10'!H39</f>
        <v>29337</v>
      </c>
      <c r="I39" s="95"/>
      <c r="J39" s="175">
        <f>H39/DAY(B2)</f>
        <v>2667</v>
      </c>
      <c r="K39" s="79"/>
      <c r="L39" s="66"/>
      <c r="N39" s="87"/>
      <c r="O39" s="71"/>
    </row>
    <row r="40" spans="1:15" ht="30.75" customHeight="1" x14ac:dyDescent="0.4">
      <c r="A40" s="215" t="s">
        <v>166</v>
      </c>
      <c r="B40" s="216"/>
      <c r="C40" s="216"/>
      <c r="D40" s="151" t="s">
        <v>130</v>
      </c>
      <c r="E40" s="95">
        <f>'10'!F40</f>
        <v>9242</v>
      </c>
      <c r="F40" s="145">
        <v>9994</v>
      </c>
      <c r="G40" s="112">
        <f t="shared" si="3"/>
        <v>752</v>
      </c>
      <c r="H40" s="99">
        <f>G40+'10'!H40</f>
        <v>4384</v>
      </c>
      <c r="I40" s="95"/>
      <c r="J40" s="175">
        <f>H40/DAY(B2)</f>
        <v>398.54545454545456</v>
      </c>
      <c r="K40" s="80"/>
      <c r="L40" s="66"/>
      <c r="N40" s="87"/>
      <c r="O40" s="71"/>
    </row>
    <row r="41" spans="1:15" ht="30.75" customHeight="1" x14ac:dyDescent="0.4">
      <c r="A41" s="194" t="s">
        <v>167</v>
      </c>
      <c r="B41" s="195"/>
      <c r="C41" s="195"/>
      <c r="D41" s="151" t="s">
        <v>130</v>
      </c>
      <c r="E41" s="95">
        <f>'10'!F41</f>
        <v>0</v>
      </c>
      <c r="F41" s="145">
        <v>0</v>
      </c>
      <c r="G41" s="112">
        <f t="shared" si="3"/>
        <v>0</v>
      </c>
      <c r="H41" s="99">
        <f>G41+'10'!H41</f>
        <v>0</v>
      </c>
      <c r="I41" s="95"/>
      <c r="J41" s="175">
        <f>H41/DAY(B2)</f>
        <v>0</v>
      </c>
      <c r="K41" s="79"/>
      <c r="L41" s="66"/>
      <c r="N41" s="87"/>
      <c r="O41" s="71"/>
    </row>
    <row r="42" spans="1:15" ht="30.75" customHeight="1" x14ac:dyDescent="0.4">
      <c r="A42" s="194" t="s">
        <v>168</v>
      </c>
      <c r="B42" s="195"/>
      <c r="C42" s="195"/>
      <c r="D42" s="151" t="s">
        <v>130</v>
      </c>
      <c r="E42" s="95">
        <f>'10'!F42</f>
        <v>73808.600000000006</v>
      </c>
      <c r="F42" s="145">
        <v>73809</v>
      </c>
      <c r="G42" s="112">
        <f t="shared" si="3"/>
        <v>0.39999999999417923</v>
      </c>
      <c r="H42" s="99">
        <f>G42+'10'!H42</f>
        <v>0</v>
      </c>
      <c r="I42" s="95"/>
      <c r="J42" s="175">
        <f>H42/DAY(B2)</f>
        <v>0</v>
      </c>
      <c r="K42" s="79"/>
      <c r="L42" s="66"/>
      <c r="N42" s="87"/>
      <c r="O42" s="71"/>
    </row>
    <row r="43" spans="1:15" ht="30.75" customHeight="1" x14ac:dyDescent="0.4">
      <c r="A43" s="194" t="s">
        <v>169</v>
      </c>
      <c r="B43" s="195"/>
      <c r="C43" s="195"/>
      <c r="D43" s="151" t="s">
        <v>130</v>
      </c>
      <c r="E43" s="95">
        <f>'10'!F43</f>
        <v>70656</v>
      </c>
      <c r="F43" s="376">
        <v>72696</v>
      </c>
      <c r="G43" s="112">
        <f t="shared" si="3"/>
        <v>2040</v>
      </c>
      <c r="H43" s="99">
        <f>G43+'10'!H43</f>
        <v>25435</v>
      </c>
      <c r="I43" s="95"/>
      <c r="J43" s="175">
        <f>H43/DAY(B2)</f>
        <v>2312.2727272727275</v>
      </c>
      <c r="K43" s="79"/>
      <c r="L43" s="66"/>
      <c r="N43" s="87"/>
      <c r="O43" s="71"/>
    </row>
    <row r="44" spans="1:15" ht="30.75" customHeight="1" x14ac:dyDescent="0.4">
      <c r="A44" s="194" t="s">
        <v>170</v>
      </c>
      <c r="B44" s="195"/>
      <c r="C44" s="195"/>
      <c r="D44" s="151" t="s">
        <v>130</v>
      </c>
      <c r="E44" s="95">
        <f>'10'!F44</f>
        <v>0</v>
      </c>
      <c r="F44" s="145">
        <v>0</v>
      </c>
      <c r="G44" s="112">
        <f t="shared" si="3"/>
        <v>0</v>
      </c>
      <c r="H44" s="99">
        <f>G44+'10'!H44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30.75" customHeight="1" x14ac:dyDescent="0.4">
      <c r="A45" s="194" t="s">
        <v>171</v>
      </c>
      <c r="B45" s="195"/>
      <c r="C45" s="195"/>
      <c r="D45" s="151" t="s">
        <v>130</v>
      </c>
      <c r="E45" s="95">
        <f>'10'!F45</f>
        <v>0</v>
      </c>
      <c r="F45" s="145">
        <v>0</v>
      </c>
      <c r="G45" s="112">
        <f t="shared" si="3"/>
        <v>0</v>
      </c>
      <c r="H45" s="99">
        <f>G45+'10'!H45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30.75" customHeight="1" x14ac:dyDescent="0.4">
      <c r="A46" s="194" t="s">
        <v>172</v>
      </c>
      <c r="B46" s="195"/>
      <c r="C46" s="195"/>
      <c r="D46" s="151" t="s">
        <v>130</v>
      </c>
      <c r="E46" s="95">
        <f>'10'!F46</f>
        <v>0</v>
      </c>
      <c r="F46" s="145">
        <v>0</v>
      </c>
      <c r="G46" s="112">
        <f t="shared" si="3"/>
        <v>0</v>
      </c>
      <c r="H46" s="99">
        <f>G46+'10'!H46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30.75" customHeight="1" x14ac:dyDescent="0.5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10255.399999999994</v>
      </c>
      <c r="H47" s="99">
        <f>G47+'10'!H47</f>
        <v>122062</v>
      </c>
      <c r="I47" s="95"/>
      <c r="J47" s="175">
        <f>H47/DAY(B2)</f>
        <v>11096.545454545454</v>
      </c>
      <c r="K47" s="79"/>
      <c r="L47" s="66"/>
      <c r="N47" s="87"/>
      <c r="O47" s="71"/>
    </row>
    <row r="48" spans="1:15" ht="30.75" customHeight="1" x14ac:dyDescent="0.5">
      <c r="A48" s="214" t="s">
        <v>174</v>
      </c>
      <c r="B48" s="349"/>
      <c r="C48" s="349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30.75" customHeight="1" x14ac:dyDescent="0.4">
      <c r="A49" s="194" t="s">
        <v>161</v>
      </c>
      <c r="B49" s="217"/>
      <c r="C49" s="217"/>
      <c r="D49" s="151" t="s">
        <v>130</v>
      </c>
      <c r="E49" s="95">
        <f>'10'!F49</f>
        <v>2444</v>
      </c>
      <c r="F49" s="145">
        <v>3680</v>
      </c>
      <c r="G49" s="112">
        <f t="shared" ref="G49:G58" si="4">F49-E49</f>
        <v>1236</v>
      </c>
      <c r="H49" s="99">
        <f>G49+'10'!H49</f>
        <v>16801</v>
      </c>
      <c r="I49" s="95"/>
      <c r="J49" s="175">
        <f>H49/DAY(B2)</f>
        <v>1527.3636363636363</v>
      </c>
      <c r="K49" s="79"/>
      <c r="L49" s="66"/>
      <c r="N49" s="87"/>
      <c r="O49" s="71"/>
    </row>
    <row r="50" spans="1:15" ht="30.75" customHeight="1" x14ac:dyDescent="0.4">
      <c r="A50" s="194" t="s">
        <v>175</v>
      </c>
      <c r="B50" s="217"/>
      <c r="C50" s="217"/>
      <c r="D50" s="151" t="s">
        <v>130</v>
      </c>
      <c r="E50" s="95">
        <f>'10'!F50</f>
        <v>34985</v>
      </c>
      <c r="F50" s="145">
        <v>35964</v>
      </c>
      <c r="G50" s="112">
        <f t="shared" si="4"/>
        <v>979</v>
      </c>
      <c r="H50" s="99">
        <f>G50+'10'!H50</f>
        <v>11314</v>
      </c>
      <c r="I50" s="95"/>
      <c r="J50" s="175">
        <f>H50/DAY(B2)</f>
        <v>1028.5454545454545</v>
      </c>
      <c r="K50" s="79"/>
      <c r="L50" s="66"/>
      <c r="N50" s="87"/>
      <c r="O50" s="71"/>
    </row>
    <row r="51" spans="1:15" ht="30.75" customHeight="1" x14ac:dyDescent="0.4">
      <c r="A51" s="194" t="s">
        <v>163</v>
      </c>
      <c r="B51" s="217"/>
      <c r="C51" s="217"/>
      <c r="D51" s="151" t="s">
        <v>130</v>
      </c>
      <c r="E51" s="95">
        <f>'10'!F51</f>
        <v>0</v>
      </c>
      <c r="F51" s="145">
        <v>0</v>
      </c>
      <c r="G51" s="112">
        <f t="shared" si="4"/>
        <v>0</v>
      </c>
      <c r="H51" s="99">
        <f>G51+'10'!H51</f>
        <v>0</v>
      </c>
      <c r="I51" s="95"/>
      <c r="J51" s="175">
        <f>H51/DAY(B2)</f>
        <v>0</v>
      </c>
      <c r="K51" s="79"/>
      <c r="L51" s="66"/>
      <c r="N51" s="87"/>
      <c r="O51" s="71"/>
    </row>
    <row r="52" spans="1:15" ht="30.75" customHeight="1" x14ac:dyDescent="0.4">
      <c r="A52" s="194" t="s">
        <v>176</v>
      </c>
      <c r="B52" s="217"/>
      <c r="C52" s="217"/>
      <c r="D52" s="151" t="s">
        <v>130</v>
      </c>
      <c r="E52" s="95">
        <f>'10'!F52</f>
        <v>0</v>
      </c>
      <c r="F52" s="145">
        <v>0</v>
      </c>
      <c r="G52" s="112">
        <f t="shared" si="4"/>
        <v>0</v>
      </c>
      <c r="H52" s="99">
        <f>G52+'10'!H52</f>
        <v>0</v>
      </c>
      <c r="I52" s="95"/>
      <c r="J52" s="175">
        <f>H52/DAY(B2)</f>
        <v>0</v>
      </c>
      <c r="K52" s="79"/>
      <c r="L52" s="66"/>
      <c r="N52" s="87"/>
      <c r="O52" s="71"/>
    </row>
    <row r="53" spans="1:15" ht="30.75" customHeight="1" x14ac:dyDescent="0.4">
      <c r="A53" s="194" t="s">
        <v>165</v>
      </c>
      <c r="B53" s="217"/>
      <c r="C53" s="217"/>
      <c r="D53" s="151" t="s">
        <v>130</v>
      </c>
      <c r="E53" s="95">
        <f>'10'!F53</f>
        <v>0</v>
      </c>
      <c r="F53" s="145">
        <v>0</v>
      </c>
      <c r="G53" s="112">
        <f t="shared" si="4"/>
        <v>0</v>
      </c>
      <c r="H53" s="99">
        <f>G53+'10'!H53</f>
        <v>0</v>
      </c>
      <c r="I53" s="95"/>
      <c r="J53" s="175">
        <f>H53/DAY(B2)</f>
        <v>0</v>
      </c>
      <c r="K53" s="79"/>
      <c r="L53" s="66"/>
      <c r="N53" s="87"/>
      <c r="O53" s="71"/>
    </row>
    <row r="54" spans="1:15" ht="30.75" customHeight="1" x14ac:dyDescent="0.4">
      <c r="A54" s="194" t="s">
        <v>177</v>
      </c>
      <c r="B54" s="217"/>
      <c r="C54" s="217"/>
      <c r="D54" s="151" t="s">
        <v>130</v>
      </c>
      <c r="E54" s="95">
        <f>'10'!F54</f>
        <v>1255</v>
      </c>
      <c r="F54" s="145">
        <v>1724</v>
      </c>
      <c r="G54" s="112">
        <f t="shared" si="4"/>
        <v>469</v>
      </c>
      <c r="H54" s="99">
        <f>G54+'10'!H54</f>
        <v>3491.08</v>
      </c>
      <c r="I54" s="95"/>
      <c r="J54" s="175">
        <f>H54/DAY(B2)</f>
        <v>317.37090909090909</v>
      </c>
      <c r="K54" s="79"/>
      <c r="L54" s="66"/>
      <c r="N54" s="87"/>
      <c r="O54" s="71"/>
    </row>
    <row r="55" spans="1:15" ht="30.75" customHeight="1" x14ac:dyDescent="0.4">
      <c r="A55" s="194" t="s">
        <v>178</v>
      </c>
      <c r="B55" s="217"/>
      <c r="C55" s="217"/>
      <c r="D55" s="151" t="s">
        <v>130</v>
      </c>
      <c r="E55" s="95">
        <f>'10'!F55</f>
        <v>33991</v>
      </c>
      <c r="F55" s="145">
        <v>36897</v>
      </c>
      <c r="G55" s="112">
        <f t="shared" si="4"/>
        <v>2906</v>
      </c>
      <c r="H55" s="99">
        <f>G55+'10'!H55</f>
        <v>33386</v>
      </c>
      <c r="I55" s="95"/>
      <c r="J55" s="175">
        <f>H55/DAY(B2)</f>
        <v>3035.090909090909</v>
      </c>
      <c r="K55" s="79"/>
      <c r="L55" s="66"/>
      <c r="N55" s="87"/>
      <c r="O55" s="71"/>
    </row>
    <row r="56" spans="1:15" ht="30.75" customHeight="1" x14ac:dyDescent="0.4">
      <c r="A56" s="194" t="s">
        <v>179</v>
      </c>
      <c r="B56" s="217"/>
      <c r="C56" s="217"/>
      <c r="D56" s="151" t="s">
        <v>180</v>
      </c>
      <c r="E56" s="95">
        <f>'10'!F56</f>
        <v>8611</v>
      </c>
      <c r="F56" s="376">
        <v>8611</v>
      </c>
      <c r="G56" s="112">
        <f t="shared" si="4"/>
        <v>0</v>
      </c>
      <c r="H56" s="99">
        <f>G56+'10'!H56</f>
        <v>0.45999999999912689</v>
      </c>
      <c r="I56" s="95"/>
      <c r="J56" s="175">
        <f>H56/DAY(B2)</f>
        <v>4.1818181818102443E-2</v>
      </c>
      <c r="K56" s="78"/>
      <c r="L56" s="66"/>
      <c r="N56" s="87"/>
      <c r="O56" s="71"/>
    </row>
    <row r="57" spans="1:15" ht="30.75" customHeight="1" x14ac:dyDescent="0.4">
      <c r="A57" s="194" t="s">
        <v>169</v>
      </c>
      <c r="B57" s="217"/>
      <c r="C57" s="217"/>
      <c r="D57" s="151" t="s">
        <v>130</v>
      </c>
      <c r="E57" s="95">
        <f>'10'!F57</f>
        <v>0</v>
      </c>
      <c r="F57" s="145">
        <v>0</v>
      </c>
      <c r="G57" s="112">
        <f t="shared" si="4"/>
        <v>0</v>
      </c>
      <c r="H57" s="99">
        <f>G57+'10'!H57</f>
        <v>0</v>
      </c>
      <c r="I57" s="95"/>
      <c r="J57" s="175">
        <f>H57/DAY(B2)</f>
        <v>0</v>
      </c>
      <c r="K57" s="79"/>
      <c r="L57" s="66"/>
      <c r="N57" s="87"/>
      <c r="O57" s="71"/>
    </row>
    <row r="58" spans="1:15" ht="30.75" customHeight="1" x14ac:dyDescent="0.4">
      <c r="A58" s="194" t="s">
        <v>181</v>
      </c>
      <c r="B58" s="217"/>
      <c r="C58" s="217"/>
      <c r="D58" s="151" t="s">
        <v>130</v>
      </c>
      <c r="E58" s="95">
        <f>'10'!F58</f>
        <v>1098</v>
      </c>
      <c r="F58" s="145">
        <v>1329</v>
      </c>
      <c r="G58" s="112">
        <f t="shared" si="4"/>
        <v>231</v>
      </c>
      <c r="H58" s="99">
        <f>G58+'10'!H58</f>
        <v>1669.6300000000047</v>
      </c>
      <c r="I58" s="95"/>
      <c r="J58" s="175">
        <f>H58/DAY(B2)</f>
        <v>151.78454545454588</v>
      </c>
      <c r="K58" s="79"/>
      <c r="L58" s="66"/>
      <c r="N58" s="87"/>
      <c r="O58" s="71"/>
    </row>
    <row r="59" spans="1:15" ht="30.75" customHeight="1" x14ac:dyDescent="0.5">
      <c r="A59" s="201" t="s">
        <v>173</v>
      </c>
      <c r="B59" s="202"/>
      <c r="C59" s="202"/>
      <c r="D59" s="146"/>
      <c r="E59" s="146"/>
      <c r="F59" s="146"/>
      <c r="G59" s="119">
        <f>G49+G50+G51+G52+G53+G54+G55+G56+G57+G58</f>
        <v>5821</v>
      </c>
      <c r="H59" s="99">
        <f>G59+'10'!H59</f>
        <v>66662.170000000013</v>
      </c>
      <c r="I59" s="95">
        <f>G7-G60</f>
        <v>948.60000000000582</v>
      </c>
      <c r="J59" s="175">
        <f>H59/DAY(B2)</f>
        <v>6060.1972727272741</v>
      </c>
      <c r="K59" s="79"/>
      <c r="L59" s="66"/>
      <c r="N59" s="87"/>
      <c r="O59" s="71"/>
    </row>
    <row r="60" spans="1:15" ht="30.75" customHeight="1" x14ac:dyDescent="0.4">
      <c r="A60" s="194"/>
      <c r="B60" s="195"/>
      <c r="C60" s="195"/>
      <c r="D60" s="146" t="s">
        <v>182</v>
      </c>
      <c r="E60" s="146"/>
      <c r="F60" s="146"/>
      <c r="G60" s="119">
        <f>G47+G59</f>
        <v>16076.399999999994</v>
      </c>
      <c r="H60" s="99">
        <f>G60+'10'!H60</f>
        <v>188724.16999999998</v>
      </c>
      <c r="I60" s="95">
        <f>G13-G60</f>
        <v>468.60000000000582</v>
      </c>
      <c r="J60" s="175">
        <f>H60/DAY(B2)</f>
        <v>17156.742727272725</v>
      </c>
      <c r="K60" s="79"/>
      <c r="L60" s="66"/>
      <c r="N60" s="87"/>
      <c r="O60" s="71"/>
    </row>
    <row r="61" spans="1:15" s="68" customFormat="1" ht="30.75" customHeight="1" x14ac:dyDescent="0.5">
      <c r="A61" s="837" t="s">
        <v>332</v>
      </c>
      <c r="B61" s="838"/>
      <c r="C61" s="839"/>
      <c r="D61" s="339"/>
      <c r="E61" s="339"/>
      <c r="F61" s="339"/>
      <c r="G61" s="340"/>
      <c r="H61" s="339"/>
      <c r="I61" s="339"/>
      <c r="J61" s="341"/>
      <c r="K61" s="69"/>
      <c r="L61" s="67"/>
      <c r="N61" s="87"/>
      <c r="O61" s="71"/>
    </row>
    <row r="62" spans="1:15" ht="30.75" customHeight="1" x14ac:dyDescent="0.5">
      <c r="A62" s="818" t="s">
        <v>198</v>
      </c>
      <c r="B62" s="819"/>
      <c r="C62" s="820"/>
      <c r="D62" s="151" t="s">
        <v>142</v>
      </c>
      <c r="E62" s="95">
        <f>'10'!F62</f>
        <v>267811</v>
      </c>
      <c r="F62" s="122">
        <v>267884</v>
      </c>
      <c r="G62" s="112">
        <f t="shared" ref="G62:G63" si="5">F62-E62</f>
        <v>73</v>
      </c>
      <c r="H62" s="99">
        <f>G62+'10'!H62</f>
        <v>671</v>
      </c>
      <c r="I62" s="118"/>
      <c r="J62" s="175">
        <f>H62/DAY(B2)</f>
        <v>61</v>
      </c>
      <c r="K62" s="80"/>
      <c r="L62" s="66"/>
      <c r="N62" s="87"/>
      <c r="O62" s="71"/>
    </row>
    <row r="63" spans="1:15" ht="30.75" customHeight="1" x14ac:dyDescent="0.5">
      <c r="A63" s="818" t="s">
        <v>199</v>
      </c>
      <c r="B63" s="819"/>
      <c r="C63" s="820"/>
      <c r="D63" s="151" t="s">
        <v>142</v>
      </c>
      <c r="E63" s="95">
        <f>'10'!F63</f>
        <v>213501</v>
      </c>
      <c r="F63" s="150">
        <v>213609</v>
      </c>
      <c r="G63" s="112">
        <f t="shared" si="5"/>
        <v>108</v>
      </c>
      <c r="H63" s="99">
        <f>G63+'10'!H63</f>
        <v>1184</v>
      </c>
      <c r="I63" s="118"/>
      <c r="J63" s="175">
        <f>H63/DAY(B2)</f>
        <v>107.63636363636364</v>
      </c>
      <c r="K63" s="69"/>
      <c r="L63" s="66"/>
      <c r="N63" s="87"/>
      <c r="O63" s="71"/>
    </row>
    <row r="64" spans="1:15" ht="30.75" customHeight="1" x14ac:dyDescent="0.5">
      <c r="A64" s="815" t="s">
        <v>200</v>
      </c>
      <c r="B64" s="816"/>
      <c r="C64" s="817"/>
      <c r="D64" s="151"/>
      <c r="E64" s="95">
        <f>'10'!F64</f>
        <v>0</v>
      </c>
      <c r="F64" s="122"/>
      <c r="G64" s="112">
        <f>G62+G63</f>
        <v>181</v>
      </c>
      <c r="H64" s="99">
        <f>G64+'10'!H64</f>
        <v>1855</v>
      </c>
      <c r="I64" s="118"/>
      <c r="J64" s="175">
        <f>H64/DAY(B2)</f>
        <v>168.63636363636363</v>
      </c>
      <c r="K64" s="69"/>
      <c r="L64" s="66"/>
      <c r="N64" s="87"/>
      <c r="O64" s="71"/>
    </row>
    <row r="65" spans="1:15" ht="30.75" customHeight="1" x14ac:dyDescent="0.5">
      <c r="A65" s="818" t="s">
        <v>201</v>
      </c>
      <c r="B65" s="819"/>
      <c r="C65" s="820"/>
      <c r="D65" s="151" t="s">
        <v>142</v>
      </c>
      <c r="E65" s="95">
        <f>'10'!F65</f>
        <v>433343</v>
      </c>
      <c r="F65" s="122">
        <v>433422</v>
      </c>
      <c r="G65" s="112">
        <f t="shared" ref="G65:G70" si="6">F65-E65</f>
        <v>79</v>
      </c>
      <c r="H65" s="99">
        <f>G65+'10'!H65</f>
        <v>808</v>
      </c>
      <c r="I65" s="118"/>
      <c r="J65" s="175">
        <f>H65/DAY(B2)</f>
        <v>73.454545454545453</v>
      </c>
      <c r="K65" s="69"/>
      <c r="L65" s="66"/>
      <c r="N65" s="87"/>
      <c r="O65" s="71"/>
    </row>
    <row r="66" spans="1:15" ht="30.75" customHeight="1" x14ac:dyDescent="0.5">
      <c r="A66" s="345" t="s">
        <v>202</v>
      </c>
      <c r="B66" s="346"/>
      <c r="C66" s="346"/>
      <c r="D66" s="151" t="s">
        <v>142</v>
      </c>
      <c r="E66" s="95">
        <f>'10'!F66</f>
        <v>107410</v>
      </c>
      <c r="F66" s="122">
        <v>107424</v>
      </c>
      <c r="G66" s="112">
        <f t="shared" si="6"/>
        <v>14</v>
      </c>
      <c r="H66" s="99">
        <f>G66+'10'!H66</f>
        <v>210</v>
      </c>
      <c r="I66" s="118"/>
      <c r="J66" s="175">
        <f>H66/DAY(B2)</f>
        <v>19.09090909090909</v>
      </c>
      <c r="K66" s="78"/>
      <c r="L66" s="66"/>
      <c r="N66" s="87"/>
      <c r="O66" s="71"/>
    </row>
    <row r="67" spans="1:15" ht="30.75" customHeight="1" x14ac:dyDescent="0.5">
      <c r="A67" s="345" t="s">
        <v>203</v>
      </c>
      <c r="B67" s="346"/>
      <c r="C67" s="346"/>
      <c r="D67" s="151" t="s">
        <v>142</v>
      </c>
      <c r="E67" s="95">
        <f>'10'!F67</f>
        <v>104186</v>
      </c>
      <c r="F67" s="122">
        <v>104203</v>
      </c>
      <c r="G67" s="112">
        <f t="shared" si="6"/>
        <v>17</v>
      </c>
      <c r="H67" s="99">
        <f>G67+'10'!H67</f>
        <v>275</v>
      </c>
      <c r="I67" s="118"/>
      <c r="J67" s="175">
        <f>H67/DAY(B2)</f>
        <v>25</v>
      </c>
      <c r="K67" s="81"/>
      <c r="L67" s="66"/>
      <c r="N67" s="87"/>
      <c r="O67" s="71"/>
    </row>
    <row r="68" spans="1:15" ht="30.75" customHeight="1" x14ac:dyDescent="0.5">
      <c r="A68" s="345" t="s">
        <v>204</v>
      </c>
      <c r="B68" s="346"/>
      <c r="C68" s="346"/>
      <c r="D68" s="151" t="s">
        <v>142</v>
      </c>
      <c r="E68" s="95">
        <f>'10'!F68</f>
        <v>156879</v>
      </c>
      <c r="F68" s="122">
        <v>156905</v>
      </c>
      <c r="G68" s="112">
        <f t="shared" si="6"/>
        <v>26</v>
      </c>
      <c r="H68" s="99">
        <f>G68+'10'!H68</f>
        <v>285</v>
      </c>
      <c r="I68" s="118"/>
      <c r="J68" s="175">
        <f>H68/DAY(B2)</f>
        <v>25.90909090909091</v>
      </c>
      <c r="K68" s="69"/>
      <c r="L68" s="66"/>
      <c r="N68" s="87"/>
      <c r="O68" s="71"/>
    </row>
    <row r="69" spans="1:15" ht="30.75" customHeight="1" x14ac:dyDescent="0.5">
      <c r="A69" s="345" t="s">
        <v>205</v>
      </c>
      <c r="B69" s="346"/>
      <c r="C69" s="346"/>
      <c r="D69" s="151" t="s">
        <v>142</v>
      </c>
      <c r="E69" s="95">
        <f>'10'!F69</f>
        <v>10327</v>
      </c>
      <c r="F69" s="122">
        <v>10335</v>
      </c>
      <c r="G69" s="112">
        <f t="shared" si="6"/>
        <v>8</v>
      </c>
      <c r="H69" s="99">
        <f>G69+'10'!H69</f>
        <v>121</v>
      </c>
      <c r="I69" s="118"/>
      <c r="J69" s="175">
        <f>H69/DAY(B2)</f>
        <v>11</v>
      </c>
      <c r="K69" s="69"/>
      <c r="L69" s="66"/>
      <c r="N69" s="87"/>
      <c r="O69" s="71"/>
    </row>
    <row r="70" spans="1:15" ht="30.75" customHeight="1" x14ac:dyDescent="0.5">
      <c r="A70" s="345" t="s">
        <v>206</v>
      </c>
      <c r="B70" s="346"/>
      <c r="C70" s="346"/>
      <c r="D70" s="151" t="s">
        <v>142</v>
      </c>
      <c r="E70" s="95">
        <f>'10'!F70</f>
        <v>7947</v>
      </c>
      <c r="F70" s="122">
        <v>7953</v>
      </c>
      <c r="G70" s="112">
        <f t="shared" si="6"/>
        <v>6</v>
      </c>
      <c r="H70" s="99">
        <f>G70+'10'!H70</f>
        <v>91</v>
      </c>
      <c r="I70" s="118"/>
      <c r="J70" s="175">
        <f>H70/DAY(B2)</f>
        <v>8.2727272727272734</v>
      </c>
      <c r="K70" s="69"/>
      <c r="L70" s="66"/>
      <c r="N70" s="87"/>
      <c r="O70" s="71"/>
    </row>
    <row r="71" spans="1:15" ht="30.75" customHeight="1" x14ac:dyDescent="0.5">
      <c r="A71" s="815" t="s">
        <v>208</v>
      </c>
      <c r="B71" s="816"/>
      <c r="C71" s="817"/>
      <c r="D71" s="152"/>
      <c r="E71" s="152"/>
      <c r="F71" s="152"/>
      <c r="G71" s="153">
        <f>SUM(G65:G70)</f>
        <v>150</v>
      </c>
      <c r="H71" s="99">
        <f>G71+'10'!H71</f>
        <v>1790</v>
      </c>
      <c r="I71" s="154"/>
      <c r="J71" s="175">
        <f>H71/DAY(B2)</f>
        <v>162.72727272727272</v>
      </c>
      <c r="K71" s="69"/>
      <c r="L71" s="66"/>
      <c r="N71" s="87"/>
      <c r="O71" s="71"/>
    </row>
    <row r="72" spans="1:15" s="88" customFormat="1" ht="30.75" customHeight="1" x14ac:dyDescent="0.5">
      <c r="A72" s="861"/>
      <c r="B72" s="853"/>
      <c r="C72" s="347"/>
      <c r="D72" s="180"/>
      <c r="E72" s="180" t="s">
        <v>207</v>
      </c>
      <c r="F72" s="180"/>
      <c r="G72" s="180"/>
      <c r="H72" s="181"/>
      <c r="I72" s="180"/>
      <c r="J72" s="182"/>
      <c r="N72" s="87"/>
      <c r="O72" s="71"/>
    </row>
    <row r="73" spans="1:15" ht="30.75" customHeight="1" x14ac:dyDescent="0.5">
      <c r="A73" s="866" t="s">
        <v>333</v>
      </c>
      <c r="B73" s="867"/>
      <c r="C73" s="868"/>
      <c r="D73" s="339"/>
      <c r="E73" s="339"/>
      <c r="F73" s="339"/>
      <c r="G73" s="342"/>
      <c r="H73" s="342"/>
      <c r="I73" s="342"/>
      <c r="J73" s="343"/>
      <c r="K73" s="69"/>
      <c r="L73" s="66"/>
      <c r="N73" s="87"/>
      <c r="O73" s="71"/>
    </row>
    <row r="74" spans="1:15" ht="30.75" customHeight="1" x14ac:dyDescent="0.5">
      <c r="A74" s="818" t="s">
        <v>220</v>
      </c>
      <c r="B74" s="819"/>
      <c r="C74" s="820"/>
      <c r="D74" s="151" t="s">
        <v>139</v>
      </c>
      <c r="E74" s="95">
        <f>'10'!F74</f>
        <v>894928</v>
      </c>
      <c r="F74" s="117">
        <v>895242</v>
      </c>
      <c r="G74" s="112">
        <f t="shared" ref="G74:G78" si="7">F74-E74</f>
        <v>314</v>
      </c>
      <c r="H74" s="99">
        <f>G74+'10'!H74</f>
        <v>3210</v>
      </c>
      <c r="I74" s="154"/>
      <c r="J74" s="175">
        <f>H74/DAY(B2)</f>
        <v>291.81818181818181</v>
      </c>
      <c r="K74" s="69"/>
      <c r="L74" s="66"/>
      <c r="N74" s="87"/>
      <c r="O74" s="71"/>
    </row>
    <row r="75" spans="1:15" ht="30.75" customHeight="1" x14ac:dyDescent="0.5">
      <c r="A75" s="818" t="s">
        <v>221</v>
      </c>
      <c r="B75" s="819"/>
      <c r="C75" s="820"/>
      <c r="D75" s="151" t="s">
        <v>139</v>
      </c>
      <c r="E75" s="95">
        <f>'10'!F75</f>
        <v>73587</v>
      </c>
      <c r="F75" s="123">
        <v>73587</v>
      </c>
      <c r="G75" s="112">
        <f t="shared" si="7"/>
        <v>0</v>
      </c>
      <c r="H75" s="99">
        <f>G75+'10'!H75</f>
        <v>0.19999999999708962</v>
      </c>
      <c r="I75" s="154"/>
      <c r="J75" s="175">
        <f>H75/DAY(B2)</f>
        <v>1.8181818181553601E-2</v>
      </c>
      <c r="K75" s="69"/>
      <c r="L75" s="66"/>
      <c r="N75" s="87"/>
      <c r="O75" s="71"/>
    </row>
    <row r="76" spans="1:15" ht="30.75" customHeight="1" x14ac:dyDescent="0.5">
      <c r="A76" s="862" t="s">
        <v>222</v>
      </c>
      <c r="B76" s="848"/>
      <c r="C76" s="849"/>
      <c r="D76" s="151" t="s">
        <v>139</v>
      </c>
      <c r="E76" s="95">
        <f>'10'!F76</f>
        <v>168095</v>
      </c>
      <c r="F76" s="123">
        <v>168158</v>
      </c>
      <c r="G76" s="112">
        <f t="shared" si="7"/>
        <v>63</v>
      </c>
      <c r="H76" s="99">
        <f>G76+'10'!H76</f>
        <v>951</v>
      </c>
      <c r="I76" s="154"/>
      <c r="J76" s="175">
        <f>H76/DAY(B2)</f>
        <v>86.454545454545453</v>
      </c>
      <c r="K76" s="69"/>
      <c r="L76" s="66"/>
      <c r="N76" s="87"/>
      <c r="O76" s="71"/>
    </row>
    <row r="77" spans="1:15" ht="30.75" customHeight="1" x14ac:dyDescent="0.5">
      <c r="A77" s="862" t="s">
        <v>223</v>
      </c>
      <c r="B77" s="848"/>
      <c r="C77" s="849"/>
      <c r="D77" s="151" t="s">
        <v>139</v>
      </c>
      <c r="E77" s="95">
        <f>'10'!F77</f>
        <v>40652</v>
      </c>
      <c r="F77" s="123">
        <v>40671</v>
      </c>
      <c r="G77" s="112">
        <f t="shared" si="7"/>
        <v>19</v>
      </c>
      <c r="H77" s="99">
        <f>G77+'10'!H77</f>
        <v>355</v>
      </c>
      <c r="I77" s="154"/>
      <c r="J77" s="175">
        <f>H77/DAY(B2)</f>
        <v>32.272727272727273</v>
      </c>
      <c r="K77" s="69"/>
      <c r="L77" s="66"/>
      <c r="N77" s="87"/>
      <c r="O77" s="71"/>
    </row>
    <row r="78" spans="1:15" ht="30.75" customHeight="1" x14ac:dyDescent="0.5">
      <c r="A78" s="862" t="s">
        <v>224</v>
      </c>
      <c r="B78" s="848"/>
      <c r="C78" s="849"/>
      <c r="D78" s="151" t="s">
        <v>139</v>
      </c>
      <c r="E78" s="95">
        <f>'10'!F78</f>
        <v>9494.2999999999993</v>
      </c>
      <c r="F78" s="123">
        <v>9496</v>
      </c>
      <c r="G78" s="112">
        <f t="shared" si="7"/>
        <v>1.7000000000007276</v>
      </c>
      <c r="H78" s="99">
        <f>G78+'10'!H78</f>
        <v>10</v>
      </c>
      <c r="I78" s="118"/>
      <c r="J78" s="175">
        <f>H78/DAY(B2)</f>
        <v>0.90909090909090906</v>
      </c>
      <c r="K78" s="69"/>
      <c r="L78" s="66"/>
      <c r="N78" s="87"/>
      <c r="O78" s="71"/>
    </row>
    <row r="79" spans="1:15" s="57" customFormat="1" ht="30.75" customHeight="1" x14ac:dyDescent="0.5">
      <c r="A79" s="862" t="s">
        <v>225</v>
      </c>
      <c r="B79" s="848"/>
      <c r="C79" s="849"/>
      <c r="D79" s="151"/>
      <c r="E79" s="95">
        <f>'10'!F79</f>
        <v>0</v>
      </c>
      <c r="F79" s="117"/>
      <c r="G79" s="112">
        <f>G15-SUM(G74:G78)</f>
        <v>533.29999999999927</v>
      </c>
      <c r="H79" s="99">
        <f>G79+'10'!H79</f>
        <v>5332.8000000000029</v>
      </c>
      <c r="I79" s="118"/>
      <c r="J79" s="175"/>
      <c r="K79" s="59"/>
      <c r="L79" s="58"/>
      <c r="N79" s="87"/>
      <c r="O79" s="71"/>
    </row>
    <row r="80" spans="1:15" s="57" customFormat="1" ht="30.75" customHeight="1" x14ac:dyDescent="0.5">
      <c r="A80" s="815" t="s">
        <v>329</v>
      </c>
      <c r="B80" s="816"/>
      <c r="C80" s="817"/>
      <c r="D80" s="151"/>
      <c r="E80" s="117"/>
      <c r="F80" s="117"/>
      <c r="G80" s="112">
        <f>SUM(G74:G79)</f>
        <v>931</v>
      </c>
      <c r="H80" s="99"/>
      <c r="I80" s="118"/>
      <c r="J80" s="175"/>
      <c r="K80" s="59"/>
      <c r="L80" s="58"/>
      <c r="N80" s="87"/>
      <c r="O80" s="71"/>
    </row>
    <row r="81" spans="1:15" ht="30.75" customHeight="1" x14ac:dyDescent="0.4">
      <c r="A81" s="854" t="s">
        <v>226</v>
      </c>
      <c r="B81" s="855"/>
      <c r="C81" s="856"/>
      <c r="D81" s="110"/>
      <c r="E81" s="110"/>
      <c r="F81" s="110"/>
      <c r="G81" s="163"/>
      <c r="H81" s="163"/>
      <c r="I81" s="163"/>
      <c r="J81" s="184"/>
      <c r="O81" s="71"/>
    </row>
    <row r="82" spans="1:15" ht="30.75" customHeight="1" x14ac:dyDescent="0.5">
      <c r="A82" s="345" t="s">
        <v>227</v>
      </c>
      <c r="B82" s="346"/>
      <c r="C82" s="346"/>
      <c r="D82" s="151" t="s">
        <v>228</v>
      </c>
      <c r="E82" s="95">
        <f>'10'!F82</f>
        <v>0</v>
      </c>
      <c r="F82" s="122">
        <v>0</v>
      </c>
      <c r="G82" s="112">
        <f t="shared" ref="G82:G92" si="8">F82-E82</f>
        <v>0</v>
      </c>
      <c r="H82" s="99">
        <f>G82+'10'!H82</f>
        <v>0</v>
      </c>
      <c r="I82" s="118"/>
      <c r="J82" s="175">
        <f>H82/DAY(B2)</f>
        <v>0</v>
      </c>
      <c r="O82" s="71"/>
    </row>
    <row r="83" spans="1:15" ht="30.75" customHeight="1" x14ac:dyDescent="0.5">
      <c r="A83" s="345" t="s">
        <v>229</v>
      </c>
      <c r="B83" s="346"/>
      <c r="C83" s="346"/>
      <c r="D83" s="151" t="s">
        <v>228</v>
      </c>
      <c r="E83" s="95">
        <f>'10'!F83</f>
        <v>0</v>
      </c>
      <c r="F83" s="122">
        <v>0</v>
      </c>
      <c r="G83" s="112">
        <f t="shared" si="8"/>
        <v>0</v>
      </c>
      <c r="H83" s="99">
        <f>G83+'10'!H83</f>
        <v>0</v>
      </c>
      <c r="I83" s="118"/>
      <c r="J83" s="175">
        <f>H83/DAY(B2)</f>
        <v>0</v>
      </c>
      <c r="O83" s="71"/>
    </row>
    <row r="84" spans="1:15" ht="30.75" customHeight="1" x14ac:dyDescent="0.5">
      <c r="A84" s="345" t="s">
        <v>230</v>
      </c>
      <c r="B84" s="346"/>
      <c r="C84" s="346"/>
      <c r="D84" s="151" t="s">
        <v>228</v>
      </c>
      <c r="E84" s="95">
        <f>'10'!F84</f>
        <v>41675</v>
      </c>
      <c r="F84" s="164">
        <v>41675</v>
      </c>
      <c r="G84" s="112">
        <f t="shared" si="8"/>
        <v>0</v>
      </c>
      <c r="H84" s="99">
        <f>G84+'10'!H84</f>
        <v>0</v>
      </c>
      <c r="I84" s="118"/>
      <c r="J84" s="175">
        <f>H84/DAY(B2)</f>
        <v>0</v>
      </c>
      <c r="O84" s="71"/>
    </row>
    <row r="85" spans="1:15" ht="30.75" customHeight="1" x14ac:dyDescent="0.5">
      <c r="A85" s="345" t="s">
        <v>231</v>
      </c>
      <c r="B85" s="346"/>
      <c r="C85" s="346"/>
      <c r="D85" s="151" t="s">
        <v>228</v>
      </c>
      <c r="E85" s="95">
        <f>'10'!F85</f>
        <v>2096.5500000000002</v>
      </c>
      <c r="F85" s="164">
        <v>2096.5500000000002</v>
      </c>
      <c r="G85" s="112">
        <f t="shared" si="8"/>
        <v>0</v>
      </c>
      <c r="H85" s="99">
        <f>G85+'10'!H85</f>
        <v>-9.9999999997635314E-3</v>
      </c>
      <c r="I85" s="118">
        <f>G82+G83+G84+G85</f>
        <v>0</v>
      </c>
      <c r="J85" s="175">
        <f>H85/DAY(B2)</f>
        <v>-9.0909090906941196E-4</v>
      </c>
      <c r="O85" s="71"/>
    </row>
    <row r="86" spans="1:15" ht="30.75" customHeight="1" x14ac:dyDescent="0.5">
      <c r="A86" s="345" t="s">
        <v>232</v>
      </c>
      <c r="B86" s="346"/>
      <c r="C86" s="346"/>
      <c r="D86" s="151" t="s">
        <v>228</v>
      </c>
      <c r="E86" s="95">
        <f>'10'!F86</f>
        <v>43104</v>
      </c>
      <c r="F86" s="164">
        <v>43128</v>
      </c>
      <c r="G86" s="112">
        <f t="shared" si="8"/>
        <v>24</v>
      </c>
      <c r="H86" s="99">
        <f>G86+'10'!H86</f>
        <v>265</v>
      </c>
      <c r="I86" s="118"/>
      <c r="J86" s="175">
        <f>H86/DAY(B2)</f>
        <v>24.09090909090909</v>
      </c>
      <c r="O86" s="71"/>
    </row>
    <row r="87" spans="1:15" ht="30.75" customHeight="1" x14ac:dyDescent="0.5">
      <c r="A87" s="345" t="s">
        <v>233</v>
      </c>
      <c r="B87" s="346"/>
      <c r="C87" s="346"/>
      <c r="D87" s="151" t="s">
        <v>228</v>
      </c>
      <c r="E87" s="95">
        <f>'10'!F87</f>
        <v>34598.550000000003</v>
      </c>
      <c r="F87" s="164">
        <v>34598.550000000003</v>
      </c>
      <c r="G87" s="112">
        <f t="shared" si="8"/>
        <v>0</v>
      </c>
      <c r="H87" s="99">
        <f>G87+'10'!H87</f>
        <v>0</v>
      </c>
      <c r="I87" s="118"/>
      <c r="J87" s="175">
        <f>H87/DAY(B2)</f>
        <v>0</v>
      </c>
      <c r="O87" s="71"/>
    </row>
    <row r="88" spans="1:15" ht="30.75" customHeight="1" x14ac:dyDescent="0.5">
      <c r="A88" s="345" t="s">
        <v>234</v>
      </c>
      <c r="B88" s="346"/>
      <c r="C88" s="346"/>
      <c r="D88" s="151" t="s">
        <v>228</v>
      </c>
      <c r="E88" s="95">
        <f>'10'!F88</f>
        <v>24058</v>
      </c>
      <c r="F88" s="164">
        <v>24058</v>
      </c>
      <c r="G88" s="112">
        <f t="shared" si="8"/>
        <v>0</v>
      </c>
      <c r="H88" s="99">
        <f>G88+'10'!H88</f>
        <v>11</v>
      </c>
      <c r="I88" s="118">
        <f>G86+G87+G88</f>
        <v>24</v>
      </c>
      <c r="J88" s="175">
        <f>H88/DAY(B2)</f>
        <v>1</v>
      </c>
      <c r="O88" s="71"/>
    </row>
    <row r="89" spans="1:15" ht="30.75" customHeight="1" x14ac:dyDescent="0.5">
      <c r="A89" s="345" t="s">
        <v>235</v>
      </c>
      <c r="B89" s="346"/>
      <c r="C89" s="346"/>
      <c r="D89" s="151" t="s">
        <v>228</v>
      </c>
      <c r="E89" s="95">
        <f>'10'!F89</f>
        <v>25723</v>
      </c>
      <c r="F89" s="164">
        <v>25734</v>
      </c>
      <c r="G89" s="112">
        <f t="shared" si="8"/>
        <v>11</v>
      </c>
      <c r="H89" s="99">
        <f>G89+'10'!H89</f>
        <v>71</v>
      </c>
      <c r="I89" s="118"/>
      <c r="J89" s="175">
        <f>H89/DAY(B2)</f>
        <v>6.4545454545454541</v>
      </c>
      <c r="O89" s="71"/>
    </row>
    <row r="90" spans="1:15" ht="30.75" customHeight="1" x14ac:dyDescent="0.5">
      <c r="A90" s="345" t="s">
        <v>236</v>
      </c>
      <c r="B90" s="346"/>
      <c r="C90" s="346"/>
      <c r="D90" s="151" t="s">
        <v>228</v>
      </c>
      <c r="E90" s="95">
        <f>'10'!F90</f>
        <v>71087</v>
      </c>
      <c r="F90" s="164">
        <v>71088</v>
      </c>
      <c r="G90" s="112">
        <f t="shared" si="8"/>
        <v>1</v>
      </c>
      <c r="H90" s="99">
        <f>G90+'10'!H90</f>
        <v>54</v>
      </c>
      <c r="I90" s="118">
        <f>G89+G90</f>
        <v>12</v>
      </c>
      <c r="J90" s="175">
        <f>H90/DAY(B2)</f>
        <v>4.9090909090909092</v>
      </c>
      <c r="O90" s="71"/>
    </row>
    <row r="91" spans="1:15" ht="30.75" customHeight="1" x14ac:dyDescent="0.5">
      <c r="A91" s="345" t="s">
        <v>237</v>
      </c>
      <c r="B91" s="346"/>
      <c r="C91" s="346"/>
      <c r="D91" s="151" t="s">
        <v>228</v>
      </c>
      <c r="E91" s="95">
        <f>'10'!F91</f>
        <v>3226.32</v>
      </c>
      <c r="F91" s="122">
        <v>3226.32</v>
      </c>
      <c r="G91" s="112">
        <f t="shared" si="8"/>
        <v>0</v>
      </c>
      <c r="H91" s="99">
        <f>G91+'10'!H91</f>
        <v>0</v>
      </c>
      <c r="I91" s="165"/>
      <c r="J91" s="175">
        <f>H91/DAY(B2)</f>
        <v>0</v>
      </c>
      <c r="O91" s="71"/>
    </row>
    <row r="92" spans="1:15" ht="30.75" customHeight="1" x14ac:dyDescent="0.5">
      <c r="A92" s="345" t="s">
        <v>238</v>
      </c>
      <c r="B92" s="346"/>
      <c r="C92" s="346"/>
      <c r="D92" s="151" t="s">
        <v>228</v>
      </c>
      <c r="E92" s="95">
        <f>'10'!F92</f>
        <v>5540</v>
      </c>
      <c r="F92" s="122">
        <v>5551</v>
      </c>
      <c r="G92" s="112">
        <f t="shared" si="8"/>
        <v>11</v>
      </c>
      <c r="H92" s="99">
        <f>G92+'10'!H92</f>
        <v>113</v>
      </c>
      <c r="I92" s="165"/>
      <c r="J92" s="175">
        <f>H92/DAY(B2)</f>
        <v>10.272727272727273</v>
      </c>
      <c r="O92" s="71"/>
    </row>
    <row r="93" spans="1:15" ht="30.75" customHeight="1" x14ac:dyDescent="0.5">
      <c r="A93" s="863" t="s">
        <v>239</v>
      </c>
      <c r="B93" s="864"/>
      <c r="C93" s="865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30.75" customHeight="1" x14ac:dyDescent="0.5">
      <c r="A94" s="818" t="s">
        <v>240</v>
      </c>
      <c r="B94" s="819"/>
      <c r="C94" s="820"/>
      <c r="D94" s="151" t="s">
        <v>130</v>
      </c>
      <c r="E94" s="151"/>
      <c r="F94" s="151"/>
      <c r="G94" s="99">
        <f>G35+G43+G49+G57</f>
        <v>4739</v>
      </c>
      <c r="H94" s="99">
        <f>G94+'10'!H94</f>
        <v>62296</v>
      </c>
      <c r="I94" s="118"/>
      <c r="J94" s="175">
        <f>H94/DAY(B2)</f>
        <v>5663.272727272727</v>
      </c>
      <c r="K94" s="69"/>
      <c r="L94" s="66"/>
      <c r="O94" s="71"/>
    </row>
    <row r="95" spans="1:15" ht="30.75" customHeight="1" x14ac:dyDescent="0.5">
      <c r="A95" s="818" t="s">
        <v>241</v>
      </c>
      <c r="B95" s="819"/>
      <c r="C95" s="820"/>
      <c r="D95" s="151" t="s">
        <v>23</v>
      </c>
      <c r="E95" s="146"/>
      <c r="F95" s="146"/>
      <c r="G95" s="166">
        <f>G94/G7</f>
        <v>0.27835535976505138</v>
      </c>
      <c r="H95" s="99">
        <f>G95+'10'!H95</f>
        <v>3.2706305935912261</v>
      </c>
      <c r="I95" s="167"/>
      <c r="J95" s="175">
        <f>H95/DAY(B2)</f>
        <v>0.29733005396283874</v>
      </c>
      <c r="K95" s="69"/>
      <c r="L95" s="66"/>
      <c r="O95" s="71"/>
    </row>
    <row r="96" spans="1:15" ht="30.75" customHeight="1" x14ac:dyDescent="0.5">
      <c r="A96" s="818" t="s">
        <v>242</v>
      </c>
      <c r="B96" s="819"/>
      <c r="C96" s="820"/>
      <c r="D96" s="151" t="s">
        <v>130</v>
      </c>
      <c r="E96" s="95"/>
      <c r="F96" s="95"/>
      <c r="G96" s="99">
        <f>G41+G42+G55+G56</f>
        <v>2906.3999999999942</v>
      </c>
      <c r="H96" s="99">
        <f>G96+'10'!H96</f>
        <v>33386.46</v>
      </c>
      <c r="I96" s="118"/>
      <c r="J96" s="175">
        <f>H96/DAY(B2)</f>
        <v>3035.1327272727272</v>
      </c>
      <c r="K96" s="69"/>
      <c r="L96" s="66"/>
      <c r="O96" s="71"/>
    </row>
    <row r="97" spans="1:15" ht="30.75" customHeight="1" x14ac:dyDescent="0.5">
      <c r="A97" s="818" t="s">
        <v>243</v>
      </c>
      <c r="B97" s="819"/>
      <c r="C97" s="820"/>
      <c r="D97" s="151" t="s">
        <v>23</v>
      </c>
      <c r="E97" s="95"/>
      <c r="F97" s="95"/>
      <c r="G97" s="166">
        <f>G96/G7</f>
        <v>0.17071365638766486</v>
      </c>
      <c r="H97" s="99">
        <f>G97+'10'!H97</f>
        <v>1.7569364817866113</v>
      </c>
      <c r="I97" s="167"/>
      <c r="J97" s="175">
        <f>H97/DAY(B2)</f>
        <v>0.15972149834423741</v>
      </c>
      <c r="K97" s="69"/>
      <c r="L97" s="66"/>
      <c r="O97" s="71"/>
    </row>
    <row r="98" spans="1:15" ht="30.75" customHeight="1" x14ac:dyDescent="0.5">
      <c r="A98" s="818" t="s">
        <v>244</v>
      </c>
      <c r="B98" s="819"/>
      <c r="C98" s="820"/>
      <c r="D98" s="151" t="s">
        <v>130</v>
      </c>
      <c r="E98" s="95"/>
      <c r="F98" s="95"/>
      <c r="G98" s="99">
        <f>G39+G53</f>
        <v>2471</v>
      </c>
      <c r="H98" s="99">
        <f>G98+'10'!H98</f>
        <v>29337</v>
      </c>
      <c r="I98" s="168"/>
      <c r="J98" s="175">
        <f>H98/DAY(B2)</f>
        <v>2667</v>
      </c>
      <c r="K98" s="69"/>
      <c r="L98" s="66"/>
      <c r="O98" s="71"/>
    </row>
    <row r="99" spans="1:15" ht="30.75" customHeight="1" x14ac:dyDescent="0.5">
      <c r="A99" s="818" t="s">
        <v>245</v>
      </c>
      <c r="B99" s="819"/>
      <c r="C99" s="820"/>
      <c r="D99" s="151" t="s">
        <v>23</v>
      </c>
      <c r="E99" s="95"/>
      <c r="F99" s="95"/>
      <c r="G99" s="166">
        <f>G98/G7</f>
        <v>0.14513950073421439</v>
      </c>
      <c r="H99" s="99">
        <f>G99+'10'!H99</f>
        <v>1.5454515178378381</v>
      </c>
      <c r="I99" s="168"/>
      <c r="J99" s="175">
        <f>H99/DAY(B2)</f>
        <v>0.14049559253071256</v>
      </c>
      <c r="O99" s="71"/>
    </row>
    <row r="100" spans="1:15" ht="30.75" customHeight="1" x14ac:dyDescent="0.5">
      <c r="A100" s="818" t="s">
        <v>246</v>
      </c>
      <c r="B100" s="819"/>
      <c r="C100" s="820"/>
      <c r="D100" s="151" t="s">
        <v>180</v>
      </c>
      <c r="E100" s="95"/>
      <c r="F100" s="95"/>
      <c r="G100" s="99">
        <f>G38+G52</f>
        <v>1494</v>
      </c>
      <c r="H100" s="99">
        <f>G100+'10'!H100</f>
        <v>17893</v>
      </c>
      <c r="I100" s="118"/>
      <c r="J100" s="175">
        <f>H100/DAY(B2)</f>
        <v>1626.6363636363637</v>
      </c>
      <c r="K100" s="70"/>
      <c r="O100" s="71"/>
    </row>
    <row r="101" spans="1:15" ht="30.75" customHeight="1" x14ac:dyDescent="0.5">
      <c r="A101" s="818" t="s">
        <v>247</v>
      </c>
      <c r="B101" s="819"/>
      <c r="C101" s="820"/>
      <c r="D101" s="151" t="s">
        <v>23</v>
      </c>
      <c r="E101" s="95"/>
      <c r="F101" s="95"/>
      <c r="G101" s="166">
        <f>G100/G7</f>
        <v>8.7753303964757709E-2</v>
      </c>
      <c r="H101" s="99">
        <f>G101+'10'!H101</f>
        <v>0.94227468638870404</v>
      </c>
      <c r="I101" s="168"/>
      <c r="J101" s="175">
        <f>H101/DAY(B2)</f>
        <v>8.5661335126245824E-2</v>
      </c>
      <c r="O101" s="71"/>
    </row>
    <row r="102" spans="1:15" ht="30.75" customHeight="1" x14ac:dyDescent="0.5">
      <c r="A102" s="818" t="s">
        <v>248</v>
      </c>
      <c r="B102" s="819"/>
      <c r="C102" s="820"/>
      <c r="D102" s="151" t="s">
        <v>180</v>
      </c>
      <c r="E102" s="95"/>
      <c r="F102" s="95"/>
      <c r="G102" s="99">
        <f>G36+G50</f>
        <v>1569</v>
      </c>
      <c r="H102" s="99">
        <f>G102+'10'!H102</f>
        <v>19686</v>
      </c>
      <c r="I102" s="168"/>
      <c r="J102" s="175">
        <f>H102/DAY(B2)</f>
        <v>1789.6363636363637</v>
      </c>
      <c r="O102" s="71"/>
    </row>
    <row r="103" spans="1:15" ht="30.75" customHeight="1" x14ac:dyDescent="0.5">
      <c r="A103" s="818" t="s">
        <v>249</v>
      </c>
      <c r="B103" s="819"/>
      <c r="C103" s="820"/>
      <c r="D103" s="151" t="s">
        <v>23</v>
      </c>
      <c r="E103" s="95"/>
      <c r="F103" s="95"/>
      <c r="G103" s="166">
        <f>G102/G7</f>
        <v>9.215859030837005E-2</v>
      </c>
      <c r="H103" s="99">
        <f>G103+'10'!H103</f>
        <v>1.0338061813082724</v>
      </c>
      <c r="I103" s="118"/>
      <c r="J103" s="175">
        <f>H103/DAY(B2)</f>
        <v>9.3982380118933853E-2</v>
      </c>
      <c r="O103" s="71"/>
    </row>
    <row r="104" spans="1:15" ht="30.75" customHeight="1" x14ac:dyDescent="0.5">
      <c r="A104" s="818" t="s">
        <v>250</v>
      </c>
      <c r="B104" s="819"/>
      <c r="C104" s="820"/>
      <c r="D104" s="151" t="s">
        <v>180</v>
      </c>
      <c r="E104" s="95"/>
      <c r="F104" s="95"/>
      <c r="G104" s="99">
        <f>G37+G51</f>
        <v>1445</v>
      </c>
      <c r="H104" s="99">
        <f>G104+'10'!H104</f>
        <v>16581</v>
      </c>
      <c r="I104" s="118"/>
      <c r="J104" s="175">
        <f>H104/DAY(B2)</f>
        <v>1507.3636363636363</v>
      </c>
      <c r="O104" s="71"/>
    </row>
    <row r="105" spans="1:15" ht="30.75" customHeight="1" thickBot="1" x14ac:dyDescent="0.55000000000000004">
      <c r="A105" s="858" t="s">
        <v>251</v>
      </c>
      <c r="B105" s="859"/>
      <c r="C105" s="860"/>
      <c r="D105" s="231" t="s">
        <v>23</v>
      </c>
      <c r="E105" s="185"/>
      <c r="F105" s="185"/>
      <c r="G105" s="186">
        <f>G104/G7</f>
        <v>8.4875183553597647E-2</v>
      </c>
      <c r="H105" s="99">
        <f>G105+'10'!H105</f>
        <v>0.87375382336304819</v>
      </c>
      <c r="I105" s="187"/>
      <c r="J105" s="188">
        <f>H105/DAY(B2)</f>
        <v>7.9432165760277104E-2</v>
      </c>
      <c r="O105" s="71"/>
    </row>
    <row r="106" spans="1:15" ht="30.75" customHeight="1" x14ac:dyDescent="0.5">
      <c r="A106" s="105"/>
      <c r="B106" s="96"/>
      <c r="C106" s="96"/>
      <c r="D106" s="169"/>
      <c r="E106" s="169"/>
      <c r="F106" s="169"/>
      <c r="G106" s="169"/>
      <c r="H106" s="170"/>
      <c r="I106" s="169"/>
      <c r="J106" s="171"/>
      <c r="O106" s="71"/>
    </row>
    <row r="108" spans="1:15" ht="30.75" customHeight="1" x14ac:dyDescent="0.55000000000000004">
      <c r="A108" s="872" t="s">
        <v>324</v>
      </c>
      <c r="B108" s="872"/>
      <c r="C108" s="872"/>
      <c r="D108" s="872"/>
      <c r="E108" s="872"/>
      <c r="F108" s="872"/>
      <c r="G108" s="872"/>
      <c r="H108" s="872"/>
      <c r="I108" s="872"/>
      <c r="J108" s="872"/>
    </row>
    <row r="109" spans="1:15" ht="30.75" customHeight="1" x14ac:dyDescent="0.5">
      <c r="A109" s="857"/>
      <c r="B109" s="857"/>
    </row>
    <row r="110" spans="1:15" ht="30.75" customHeight="1" x14ac:dyDescent="0.5">
      <c r="A110" s="873" t="s">
        <v>165</v>
      </c>
      <c r="B110" s="874"/>
      <c r="C110" s="874"/>
      <c r="D110" s="874"/>
      <c r="E110" s="874"/>
      <c r="F110" s="874"/>
      <c r="G110" s="874"/>
      <c r="H110" s="874"/>
      <c r="I110" s="874"/>
      <c r="J110" s="875"/>
    </row>
    <row r="111" spans="1:15" ht="30.75" customHeight="1" x14ac:dyDescent="0.5">
      <c r="A111" s="876"/>
      <c r="B111" s="877"/>
      <c r="C111" s="878"/>
      <c r="D111" s="165"/>
      <c r="E111" s="165"/>
      <c r="F111" s="165"/>
      <c r="G111" s="165"/>
      <c r="H111" s="156"/>
      <c r="I111" s="165"/>
      <c r="J111" s="327"/>
    </row>
    <row r="112" spans="1:15" ht="30.75" customHeight="1" x14ac:dyDescent="0.5">
      <c r="A112" s="851" t="s">
        <v>252</v>
      </c>
      <c r="B112" s="852"/>
      <c r="C112" s="853"/>
      <c r="D112" s="146" t="s">
        <v>183</v>
      </c>
      <c r="E112" s="95">
        <f>'10'!F112</f>
        <v>56428</v>
      </c>
      <c r="F112" s="237">
        <v>56505</v>
      </c>
      <c r="G112" s="112">
        <f t="shared" ref="G112:G123" si="9">F112-E112</f>
        <v>77</v>
      </c>
      <c r="H112" s="99">
        <f>G112+'10'!H112</f>
        <v>824</v>
      </c>
      <c r="I112" s="165"/>
      <c r="J112" s="328">
        <f>H112/DAY(B2)</f>
        <v>74.909090909090907</v>
      </c>
    </row>
    <row r="113" spans="1:18" ht="30.75" customHeight="1" x14ac:dyDescent="0.5">
      <c r="A113" s="851" t="s">
        <v>253</v>
      </c>
      <c r="B113" s="852"/>
      <c r="C113" s="853"/>
      <c r="D113" s="146" t="s">
        <v>183</v>
      </c>
      <c r="E113" s="95">
        <f>'10'!F113</f>
        <v>36678</v>
      </c>
      <c r="F113" s="237">
        <v>37140</v>
      </c>
      <c r="G113" s="112">
        <f t="shared" si="9"/>
        <v>462</v>
      </c>
      <c r="H113" s="99">
        <f>G113+'10'!H113</f>
        <v>4945</v>
      </c>
      <c r="I113" s="165"/>
      <c r="J113" s="328">
        <f>H113/DAY(B2)</f>
        <v>449.54545454545456</v>
      </c>
    </row>
    <row r="114" spans="1:18" ht="30.75" customHeight="1" x14ac:dyDescent="0.5">
      <c r="A114" s="851" t="s">
        <v>254</v>
      </c>
      <c r="B114" s="852"/>
      <c r="C114" s="853"/>
      <c r="D114" s="146" t="s">
        <v>183</v>
      </c>
      <c r="E114" s="95">
        <f>'10'!F114</f>
        <v>27526</v>
      </c>
      <c r="F114" s="237">
        <v>27789</v>
      </c>
      <c r="G114" s="112">
        <f t="shared" si="9"/>
        <v>263</v>
      </c>
      <c r="H114" s="99">
        <f>G114+'10'!H114</f>
        <v>2918</v>
      </c>
      <c r="I114" s="165"/>
      <c r="J114" s="328">
        <f>H114/DAY(B2)</f>
        <v>265.27272727272725</v>
      </c>
    </row>
    <row r="115" spans="1:18" ht="30.75" customHeight="1" x14ac:dyDescent="0.5">
      <c r="A115" s="851" t="s">
        <v>255</v>
      </c>
      <c r="B115" s="852"/>
      <c r="C115" s="853"/>
      <c r="D115" s="146" t="s">
        <v>183</v>
      </c>
      <c r="E115" s="95">
        <f>'10'!F115</f>
        <v>8888</v>
      </c>
      <c r="F115" s="237">
        <v>8900</v>
      </c>
      <c r="G115" s="112">
        <f t="shared" si="9"/>
        <v>12</v>
      </c>
      <c r="H115" s="99">
        <f>G115+'10'!H115</f>
        <v>115</v>
      </c>
      <c r="I115" s="165"/>
      <c r="J115" s="328">
        <f>H115/DAY(B2)</f>
        <v>10.454545454545455</v>
      </c>
    </row>
    <row r="116" spans="1:18" ht="30.75" customHeight="1" x14ac:dyDescent="0.5">
      <c r="A116" s="869" t="s">
        <v>96</v>
      </c>
      <c r="B116" s="870"/>
      <c r="C116" s="871"/>
      <c r="D116" s="146" t="s">
        <v>183</v>
      </c>
      <c r="E116" s="95">
        <f>'10'!F116</f>
        <v>0</v>
      </c>
      <c r="F116" s="237">
        <v>0</v>
      </c>
      <c r="G116" s="112">
        <f t="shared" si="9"/>
        <v>0</v>
      </c>
      <c r="H116" s="99">
        <f>G116+'10'!H116</f>
        <v>0</v>
      </c>
      <c r="I116" s="165"/>
      <c r="J116" s="328">
        <f>H116/DAY(B2)</f>
        <v>0</v>
      </c>
      <c r="Q116" s="851" t="s">
        <v>311</v>
      </c>
      <c r="R116" s="853"/>
    </row>
    <row r="117" spans="1:18" ht="30.75" customHeight="1" x14ac:dyDescent="0.5">
      <c r="A117" s="869" t="s">
        <v>184</v>
      </c>
      <c r="B117" s="870"/>
      <c r="C117" s="871"/>
      <c r="D117" s="146" t="s">
        <v>183</v>
      </c>
      <c r="E117" s="95">
        <f>'10'!F117</f>
        <v>2846</v>
      </c>
      <c r="F117" s="237">
        <v>2871</v>
      </c>
      <c r="G117" s="112">
        <f t="shared" si="9"/>
        <v>25</v>
      </c>
      <c r="H117" s="99">
        <f>G117+'10'!H117</f>
        <v>281</v>
      </c>
      <c r="I117" s="165"/>
      <c r="J117" s="328">
        <f>H117/DAY(B2)</f>
        <v>25.545454545454547</v>
      </c>
      <c r="Q117" s="851" t="s">
        <v>312</v>
      </c>
      <c r="R117" s="853"/>
    </row>
    <row r="118" spans="1:18" ht="30.75" customHeight="1" x14ac:dyDescent="0.5">
      <c r="A118" s="846" t="s">
        <v>97</v>
      </c>
      <c r="B118" s="846"/>
      <c r="C118" s="846"/>
      <c r="D118" s="151" t="s">
        <v>183</v>
      </c>
      <c r="E118" s="95">
        <f>'10'!F118</f>
        <v>245318</v>
      </c>
      <c r="F118" s="237">
        <v>245656</v>
      </c>
      <c r="G118" s="112">
        <f t="shared" si="9"/>
        <v>338</v>
      </c>
      <c r="H118" s="99">
        <f>G118+'10'!H118</f>
        <v>4009</v>
      </c>
      <c r="I118" s="165"/>
      <c r="J118" s="328">
        <f>H118/DAY(B2)</f>
        <v>364.45454545454544</v>
      </c>
      <c r="Q118" s="851" t="s">
        <v>311</v>
      </c>
      <c r="R118" s="853"/>
    </row>
    <row r="119" spans="1:18" ht="30.75" customHeight="1" x14ac:dyDescent="0.5">
      <c r="A119" s="846" t="s">
        <v>98</v>
      </c>
      <c r="B119" s="846"/>
      <c r="C119" s="846"/>
      <c r="D119" s="151" t="s">
        <v>183</v>
      </c>
      <c r="E119" s="95">
        <f>'10'!F119</f>
        <v>249459</v>
      </c>
      <c r="F119" s="237">
        <v>249859</v>
      </c>
      <c r="G119" s="112">
        <f t="shared" si="9"/>
        <v>400</v>
      </c>
      <c r="H119" s="99">
        <f>G119+'10'!H119</f>
        <v>4733</v>
      </c>
      <c r="I119" s="165"/>
      <c r="J119" s="328">
        <f>H119/DAY(B2)</f>
        <v>430.27272727272725</v>
      </c>
    </row>
    <row r="120" spans="1:18" ht="30.75" customHeight="1" x14ac:dyDescent="0.5">
      <c r="A120" s="846" t="s">
        <v>99</v>
      </c>
      <c r="B120" s="846"/>
      <c r="C120" s="846"/>
      <c r="D120" s="151" t="s">
        <v>183</v>
      </c>
      <c r="E120" s="95">
        <f>'10'!F120</f>
        <v>34277</v>
      </c>
      <c r="F120" s="237">
        <v>34656</v>
      </c>
      <c r="G120" s="112">
        <f t="shared" si="9"/>
        <v>379</v>
      </c>
      <c r="H120" s="99">
        <f>G120+'10'!H120</f>
        <v>4578</v>
      </c>
      <c r="I120" s="165"/>
      <c r="J120" s="328">
        <f>H120/DAY(B2)</f>
        <v>416.18181818181819</v>
      </c>
    </row>
    <row r="121" spans="1:18" ht="30.75" customHeight="1" x14ac:dyDescent="0.5">
      <c r="A121" s="846" t="s">
        <v>100</v>
      </c>
      <c r="B121" s="846"/>
      <c r="C121" s="846"/>
      <c r="D121" s="151" t="s">
        <v>183</v>
      </c>
      <c r="E121" s="95">
        <f>'10'!F121</f>
        <v>383891</v>
      </c>
      <c r="F121" s="237">
        <v>384510</v>
      </c>
      <c r="G121" s="112">
        <f t="shared" si="9"/>
        <v>619</v>
      </c>
      <c r="H121" s="99">
        <f>G121+'10'!H121</f>
        <v>7981</v>
      </c>
      <c r="I121" s="165"/>
      <c r="J121" s="328">
        <f>H121/DAY(B2)</f>
        <v>725.5454545454545</v>
      </c>
    </row>
    <row r="122" spans="1:18" ht="30.75" customHeight="1" x14ac:dyDescent="0.5">
      <c r="A122" s="846" t="s">
        <v>101</v>
      </c>
      <c r="B122" s="846"/>
      <c r="C122" s="846"/>
      <c r="D122" s="151" t="s">
        <v>183</v>
      </c>
      <c r="E122" s="95">
        <f>'10'!F122</f>
        <v>122258</v>
      </c>
      <c r="F122" s="237">
        <v>122431</v>
      </c>
      <c r="G122" s="112">
        <f t="shared" si="9"/>
        <v>173</v>
      </c>
      <c r="H122" s="99">
        <f>G122+'10'!H122</f>
        <v>2381</v>
      </c>
      <c r="I122" s="165"/>
      <c r="J122" s="328">
        <f>H122/DAY(B2)</f>
        <v>216.45454545454547</v>
      </c>
    </row>
    <row r="123" spans="1:18" ht="30.75" customHeight="1" x14ac:dyDescent="0.5">
      <c r="A123" s="846" t="s">
        <v>102</v>
      </c>
      <c r="B123" s="846"/>
      <c r="C123" s="846"/>
      <c r="D123" s="151" t="s">
        <v>183</v>
      </c>
      <c r="E123" s="95">
        <f>'10'!F123</f>
        <v>148345</v>
      </c>
      <c r="F123" s="237">
        <v>148628</v>
      </c>
      <c r="G123" s="112">
        <f t="shared" si="9"/>
        <v>283</v>
      </c>
      <c r="H123" s="99">
        <f>G123+'10'!H123</f>
        <v>3503</v>
      </c>
      <c r="I123" s="165"/>
      <c r="J123" s="328">
        <f>H123/DAY(B2)</f>
        <v>318.45454545454544</v>
      </c>
    </row>
    <row r="124" spans="1:18" ht="30.75" customHeight="1" x14ac:dyDescent="0.5">
      <c r="A124" s="876"/>
      <c r="B124" s="877"/>
      <c r="C124" s="878"/>
      <c r="D124" s="165"/>
      <c r="E124" s="165"/>
      <c r="F124" s="165"/>
      <c r="G124" s="327"/>
      <c r="H124" s="156"/>
      <c r="I124" s="165"/>
      <c r="J124" s="327"/>
    </row>
    <row r="125" spans="1:18" ht="30.75" customHeight="1" x14ac:dyDescent="0.5">
      <c r="A125" s="879" t="s">
        <v>196</v>
      </c>
      <c r="B125" s="880"/>
      <c r="C125" s="245"/>
      <c r="D125" s="307"/>
      <c r="E125" s="308"/>
      <c r="F125" s="308"/>
      <c r="G125" s="309">
        <f>SUM(G112:G124)</f>
        <v>3031</v>
      </c>
      <c r="H125" s="156"/>
      <c r="I125" s="327">
        <f>G125-(G39+G53)</f>
        <v>560</v>
      </c>
      <c r="J125" s="327"/>
    </row>
    <row r="126" spans="1:18" ht="30.75" customHeight="1" x14ac:dyDescent="0.5">
      <c r="A126" s="881" t="s">
        <v>317</v>
      </c>
      <c r="B126" s="881"/>
      <c r="C126" s="881"/>
      <c r="D126" s="881"/>
      <c r="E126" s="881"/>
      <c r="F126" s="881"/>
      <c r="G126" s="881"/>
      <c r="H126" s="881"/>
      <c r="I126" s="881"/>
      <c r="J126" s="881"/>
    </row>
    <row r="127" spans="1:18" ht="30.75" customHeight="1" x14ac:dyDescent="0.5">
      <c r="A127" s="882"/>
      <c r="B127" s="882"/>
      <c r="C127" s="245"/>
      <c r="D127" s="307"/>
      <c r="E127" s="308"/>
      <c r="F127" s="308"/>
      <c r="G127" s="309"/>
      <c r="H127" s="99">
        <f>G127+'10'!H127</f>
        <v>0</v>
      </c>
      <c r="I127" s="165"/>
      <c r="J127" s="328">
        <f>H127/DAY(B2)</f>
        <v>0</v>
      </c>
    </row>
    <row r="128" spans="1:18" ht="30.75" customHeight="1" x14ac:dyDescent="0.5">
      <c r="A128" s="851" t="s">
        <v>318</v>
      </c>
      <c r="B128" s="852"/>
      <c r="C128" s="853"/>
      <c r="D128" s="151" t="s">
        <v>183</v>
      </c>
      <c r="E128" s="95">
        <f>'10'!F128</f>
        <v>41286</v>
      </c>
      <c r="F128" s="155">
        <v>41583</v>
      </c>
      <c r="G128" s="112">
        <f t="shared" ref="G128:G134" si="10">F128-E128</f>
        <v>297</v>
      </c>
      <c r="H128" s="99">
        <f>G128+'10'!H128</f>
        <v>3579</v>
      </c>
      <c r="I128" s="165"/>
      <c r="J128" s="328">
        <f>H128/DAY(B2)</f>
        <v>325.36363636363637</v>
      </c>
    </row>
    <row r="129" spans="1:15" ht="30.75" customHeight="1" x14ac:dyDescent="0.5">
      <c r="A129" s="329" t="s">
        <v>319</v>
      </c>
      <c r="B129" s="330"/>
      <c r="C129" s="331"/>
      <c r="D129" s="151" t="s">
        <v>183</v>
      </c>
      <c r="E129" s="95">
        <f>'10'!F129</f>
        <v>22490</v>
      </c>
      <c r="F129" s="155">
        <v>22697</v>
      </c>
      <c r="G129" s="112">
        <f t="shared" si="10"/>
        <v>207</v>
      </c>
      <c r="H129" s="99">
        <f>G129+'10'!H129</f>
        <v>2376</v>
      </c>
      <c r="I129" s="165"/>
      <c r="J129" s="328">
        <f>H129/DAY(B2)</f>
        <v>216</v>
      </c>
      <c r="N129" s="240"/>
      <c r="O129" s="241"/>
    </row>
    <row r="130" spans="1:15" ht="30.75" customHeight="1" x14ac:dyDescent="0.5">
      <c r="A130" s="329" t="s">
        <v>320</v>
      </c>
      <c r="B130" s="330"/>
      <c r="C130" s="331"/>
      <c r="D130" s="151" t="s">
        <v>183</v>
      </c>
      <c r="E130" s="95">
        <f>'10'!F130</f>
        <v>24896</v>
      </c>
      <c r="F130" s="155">
        <v>25353</v>
      </c>
      <c r="G130" s="112">
        <f t="shared" si="10"/>
        <v>457</v>
      </c>
      <c r="H130" s="99">
        <f>G130+'10'!H130</f>
        <v>6971</v>
      </c>
      <c r="I130" s="165"/>
      <c r="J130" s="328">
        <f>H130/DAY(B2)</f>
        <v>633.72727272727275</v>
      </c>
      <c r="N130" s="240"/>
      <c r="O130" s="241"/>
    </row>
    <row r="131" spans="1:15" ht="30.75" customHeight="1" x14ac:dyDescent="0.5">
      <c r="A131" s="851" t="s">
        <v>321</v>
      </c>
      <c r="B131" s="852"/>
      <c r="C131" s="853"/>
      <c r="D131" s="151" t="s">
        <v>183</v>
      </c>
      <c r="E131" s="95">
        <f>'10'!F131</f>
        <v>13906</v>
      </c>
      <c r="F131" s="155">
        <v>13966</v>
      </c>
      <c r="G131" s="112">
        <f t="shared" si="10"/>
        <v>60</v>
      </c>
      <c r="H131" s="99">
        <f>G131+'10'!H131</f>
        <v>813</v>
      </c>
      <c r="I131" s="165"/>
      <c r="J131" s="328">
        <f>H131/DAY(B2)</f>
        <v>73.909090909090907</v>
      </c>
      <c r="N131" s="240"/>
      <c r="O131" s="241"/>
    </row>
    <row r="132" spans="1:15" ht="30.75" customHeight="1" x14ac:dyDescent="0.5">
      <c r="A132" s="851" t="s">
        <v>322</v>
      </c>
      <c r="B132" s="852"/>
      <c r="C132" s="853"/>
      <c r="D132" s="151" t="s">
        <v>183</v>
      </c>
      <c r="E132" s="95">
        <f>'10'!F132</f>
        <v>45753</v>
      </c>
      <c r="F132" s="155">
        <v>46263</v>
      </c>
      <c r="G132" s="112">
        <f t="shared" si="10"/>
        <v>510</v>
      </c>
      <c r="H132" s="99">
        <f>G132+'10'!H132</f>
        <v>5240</v>
      </c>
      <c r="I132" s="165"/>
      <c r="J132" s="328">
        <f>H132/DAY(B2)</f>
        <v>476.36363636363637</v>
      </c>
    </row>
    <row r="133" spans="1:15" ht="30.75" customHeight="1" x14ac:dyDescent="0.5">
      <c r="A133" s="851" t="s">
        <v>362</v>
      </c>
      <c r="B133" s="852"/>
      <c r="C133" s="853"/>
      <c r="D133" s="151" t="s">
        <v>183</v>
      </c>
      <c r="E133" s="95">
        <f>'10'!F133</f>
        <v>95119</v>
      </c>
      <c r="F133" s="155">
        <v>95505</v>
      </c>
      <c r="G133" s="112">
        <f t="shared" si="10"/>
        <v>386</v>
      </c>
      <c r="H133" s="99">
        <f>G133+'10'!H133</f>
        <v>7802</v>
      </c>
      <c r="I133" s="165"/>
      <c r="J133" s="328">
        <f>H133/DAY(B2)</f>
        <v>709.27272727272725</v>
      </c>
    </row>
    <row r="134" spans="1:15" ht="30.75" customHeight="1" x14ac:dyDescent="0.5">
      <c r="A134" s="851" t="s">
        <v>340</v>
      </c>
      <c r="B134" s="852"/>
      <c r="C134" s="853"/>
      <c r="D134" s="151" t="s">
        <v>183</v>
      </c>
      <c r="E134" s="95">
        <f>'10'!F134</f>
        <v>675240</v>
      </c>
      <c r="F134" s="554">
        <v>675870</v>
      </c>
      <c r="G134" s="112">
        <f t="shared" si="10"/>
        <v>630</v>
      </c>
      <c r="H134" s="99">
        <f>G134+'10'!H134</f>
        <v>6990</v>
      </c>
      <c r="I134" s="165"/>
      <c r="J134" s="328">
        <f>H134/DAY(B2)</f>
        <v>635.4545454545455</v>
      </c>
    </row>
    <row r="135" spans="1:15" ht="30.75" customHeight="1" x14ac:dyDescent="0.5">
      <c r="A135" s="879" t="s">
        <v>196</v>
      </c>
      <c r="B135" s="880"/>
      <c r="C135" s="331"/>
      <c r="D135" s="151"/>
      <c r="E135" s="95"/>
      <c r="F135" s="165"/>
      <c r="G135" s="112">
        <f>SUM(G128:G134)</f>
        <v>2547</v>
      </c>
      <c r="H135" s="99">
        <f>G135+'10'!H135</f>
        <v>33771</v>
      </c>
      <c r="I135" s="327">
        <f>G135-(G35+G49)</f>
        <v>-152</v>
      </c>
      <c r="J135" s="328">
        <f>H135/DAY(B2)</f>
        <v>3070.090909090909</v>
      </c>
    </row>
    <row r="136" spans="1:15" ht="30.75" customHeight="1" x14ac:dyDescent="0.55000000000000004">
      <c r="A136" s="883" t="s">
        <v>325</v>
      </c>
      <c r="B136" s="883"/>
      <c r="C136" s="883"/>
      <c r="D136" s="883"/>
      <c r="E136" s="883"/>
      <c r="F136" s="883"/>
      <c r="G136" s="883"/>
      <c r="H136" s="883"/>
      <c r="I136" s="883"/>
      <c r="J136" s="883"/>
    </row>
    <row r="137" spans="1:15" ht="30.75" customHeight="1" x14ac:dyDescent="0.5">
      <c r="A137" s="245"/>
      <c r="B137" s="246"/>
      <c r="C137" s="246"/>
      <c r="D137" s="165"/>
      <c r="E137" s="165"/>
      <c r="F137" s="165" t="s">
        <v>358</v>
      </c>
      <c r="G137" s="165"/>
      <c r="H137" s="156"/>
      <c r="I137" s="165"/>
      <c r="J137" s="327"/>
    </row>
    <row r="138" spans="1:15" ht="30.75" customHeight="1" x14ac:dyDescent="0.5">
      <c r="A138" s="846" t="s">
        <v>185</v>
      </c>
      <c r="B138" s="846"/>
      <c r="C138" s="846"/>
      <c r="D138" s="151" t="s">
        <v>183</v>
      </c>
      <c r="E138" s="95">
        <f>'10'!F138</f>
        <v>864833</v>
      </c>
      <c r="F138" s="147">
        <v>864881</v>
      </c>
      <c r="G138" s="112">
        <f t="shared" ref="G138:G152" si="11">F138-E138</f>
        <v>48</v>
      </c>
      <c r="H138" s="99">
        <f>G138+'10'!H138</f>
        <v>710</v>
      </c>
      <c r="I138" s="118"/>
      <c r="J138" s="328">
        <f>H138/DAY(B2)</f>
        <v>64.545454545454547</v>
      </c>
    </row>
    <row r="139" spans="1:15" ht="30.75" customHeight="1" x14ac:dyDescent="0.5">
      <c r="A139" s="846" t="s">
        <v>186</v>
      </c>
      <c r="B139" s="846"/>
      <c r="C139" s="846"/>
      <c r="D139" s="151" t="s">
        <v>183</v>
      </c>
      <c r="E139" s="95">
        <f>'10'!F139</f>
        <v>886549</v>
      </c>
      <c r="F139" s="148">
        <v>886549</v>
      </c>
      <c r="G139" s="112">
        <f t="shared" si="11"/>
        <v>0</v>
      </c>
      <c r="H139" s="99">
        <f>G139+'10'!H139</f>
        <v>3</v>
      </c>
      <c r="I139" s="118"/>
      <c r="J139" s="328">
        <f>H139/DAY(B2)</f>
        <v>0.27272727272727271</v>
      </c>
    </row>
    <row r="140" spans="1:15" ht="30.75" customHeight="1" x14ac:dyDescent="0.5">
      <c r="A140" s="846" t="s">
        <v>187</v>
      </c>
      <c r="B140" s="846"/>
      <c r="C140" s="846"/>
      <c r="D140" s="151" t="s">
        <v>183</v>
      </c>
      <c r="E140" s="95">
        <f>'10'!F140</f>
        <v>88898</v>
      </c>
      <c r="F140" s="149">
        <v>88898</v>
      </c>
      <c r="G140" s="112">
        <f t="shared" si="11"/>
        <v>0</v>
      </c>
      <c r="H140" s="99">
        <f>G140+'10'!H140</f>
        <v>16</v>
      </c>
      <c r="I140" s="118"/>
      <c r="J140" s="328">
        <f>H140/DAY(B2)</f>
        <v>1.4545454545454546</v>
      </c>
    </row>
    <row r="141" spans="1:15" ht="30.75" customHeight="1" x14ac:dyDescent="0.5">
      <c r="A141" s="850" t="s">
        <v>188</v>
      </c>
      <c r="B141" s="850"/>
      <c r="C141" s="850"/>
      <c r="D141" s="151" t="s">
        <v>183</v>
      </c>
      <c r="E141" s="95">
        <f>'10'!F141</f>
        <v>51065</v>
      </c>
      <c r="F141" s="149">
        <v>51232</v>
      </c>
      <c r="G141" s="112">
        <f t="shared" si="11"/>
        <v>167</v>
      </c>
      <c r="H141" s="99">
        <f>G141+'10'!H141</f>
        <v>1926</v>
      </c>
      <c r="I141" s="118"/>
      <c r="J141" s="328">
        <f>H141/DAY(B2)</f>
        <v>175.09090909090909</v>
      </c>
    </row>
    <row r="142" spans="1:15" ht="30.75" customHeight="1" x14ac:dyDescent="0.5">
      <c r="A142" s="850" t="s">
        <v>189</v>
      </c>
      <c r="B142" s="850"/>
      <c r="C142" s="850"/>
      <c r="D142" s="151" t="s">
        <v>183</v>
      </c>
      <c r="E142" s="95">
        <f>'10'!F142</f>
        <v>19705</v>
      </c>
      <c r="F142" s="148">
        <v>19770</v>
      </c>
      <c r="G142" s="112">
        <f t="shared" si="11"/>
        <v>65</v>
      </c>
      <c r="H142" s="99">
        <f>G142+'10'!H142</f>
        <v>761</v>
      </c>
      <c r="I142" s="140"/>
      <c r="J142" s="328">
        <f>H142/DAY(B2)</f>
        <v>69.181818181818187</v>
      </c>
    </row>
    <row r="143" spans="1:15" ht="30.75" customHeight="1" x14ac:dyDescent="0.5">
      <c r="A143" s="846" t="s">
        <v>91</v>
      </c>
      <c r="B143" s="846"/>
      <c r="C143" s="846"/>
      <c r="D143" s="151" t="s">
        <v>183</v>
      </c>
      <c r="E143" s="95">
        <f>'10'!F143</f>
        <v>3295</v>
      </c>
      <c r="F143" s="149">
        <v>3319</v>
      </c>
      <c r="G143" s="112">
        <f t="shared" si="11"/>
        <v>24</v>
      </c>
      <c r="H143" s="99">
        <f>G143+'10'!H143</f>
        <v>258</v>
      </c>
      <c r="I143" s="140"/>
      <c r="J143" s="328">
        <f>H143/DAY(B2)</f>
        <v>23.454545454545453</v>
      </c>
    </row>
    <row r="144" spans="1:15" ht="30.75" customHeight="1" x14ac:dyDescent="0.5">
      <c r="A144" s="850" t="s">
        <v>90</v>
      </c>
      <c r="B144" s="850"/>
      <c r="C144" s="850"/>
      <c r="D144" s="151" t="s">
        <v>183</v>
      </c>
      <c r="E144" s="95">
        <f>'10'!F144</f>
        <v>871932</v>
      </c>
      <c r="F144" s="149">
        <v>872146</v>
      </c>
      <c r="G144" s="112">
        <f t="shared" si="11"/>
        <v>214</v>
      </c>
      <c r="H144" s="99">
        <f>G144+'10'!H144</f>
        <v>2476</v>
      </c>
      <c r="I144" s="140"/>
      <c r="J144" s="328">
        <f>H144/DAY(B2)</f>
        <v>225.09090909090909</v>
      </c>
    </row>
    <row r="145" spans="1:10" ht="30.75" customHeight="1" x14ac:dyDescent="0.5">
      <c r="A145" s="846" t="s">
        <v>190</v>
      </c>
      <c r="B145" s="846"/>
      <c r="C145" s="846"/>
      <c r="D145" s="152" t="s">
        <v>183</v>
      </c>
      <c r="E145" s="95">
        <f>'10'!F145</f>
        <v>4723</v>
      </c>
      <c r="F145" s="149">
        <v>4733</v>
      </c>
      <c r="G145" s="112">
        <f t="shared" si="11"/>
        <v>10</v>
      </c>
      <c r="H145" s="99">
        <f>G145+'10'!H145</f>
        <v>175</v>
      </c>
      <c r="I145" s="140"/>
      <c r="J145" s="328">
        <f>H145/DAY(B2)</f>
        <v>15.909090909090908</v>
      </c>
    </row>
    <row r="146" spans="1:10" ht="30.75" customHeight="1" x14ac:dyDescent="0.5">
      <c r="A146" s="847" t="s">
        <v>191</v>
      </c>
      <c r="B146" s="848"/>
      <c r="C146" s="849"/>
      <c r="D146" s="152" t="s">
        <v>183</v>
      </c>
      <c r="E146" s="95">
        <f>'10'!F146</f>
        <v>729178</v>
      </c>
      <c r="F146" s="148">
        <v>729465</v>
      </c>
      <c r="G146" s="112">
        <f t="shared" si="11"/>
        <v>287</v>
      </c>
      <c r="H146" s="99">
        <f>G146+'10'!H146</f>
        <v>4607</v>
      </c>
      <c r="I146" s="140"/>
      <c r="J146" s="328">
        <f>H146/DAY(B2)</f>
        <v>418.81818181818181</v>
      </c>
    </row>
    <row r="147" spans="1:10" ht="30.75" customHeight="1" x14ac:dyDescent="0.5">
      <c r="A147" s="850" t="s">
        <v>192</v>
      </c>
      <c r="B147" s="850"/>
      <c r="C147" s="850"/>
      <c r="D147" s="152" t="s">
        <v>183</v>
      </c>
      <c r="E147" s="95">
        <f>'10'!F147</f>
        <v>619176</v>
      </c>
      <c r="F147" s="148">
        <v>619529</v>
      </c>
      <c r="G147" s="112">
        <f t="shared" si="11"/>
        <v>353</v>
      </c>
      <c r="H147" s="99">
        <f>G147+'10'!H147</f>
        <v>4247</v>
      </c>
      <c r="I147" s="140"/>
      <c r="J147" s="328">
        <f>H147/DAY(B2)</f>
        <v>386.09090909090907</v>
      </c>
    </row>
    <row r="148" spans="1:10" ht="30.75" customHeight="1" x14ac:dyDescent="0.5">
      <c r="A148" s="842" t="s">
        <v>193</v>
      </c>
      <c r="B148" s="843"/>
      <c r="C148" s="844"/>
      <c r="D148" s="123" t="s">
        <v>130</v>
      </c>
      <c r="E148" s="95">
        <f>'10'!F148</f>
        <v>685651</v>
      </c>
      <c r="F148" s="150">
        <v>685839</v>
      </c>
      <c r="G148" s="112">
        <f t="shared" si="11"/>
        <v>188</v>
      </c>
      <c r="H148" s="99">
        <f>G148+'10'!H148</f>
        <v>2805.8800000000047</v>
      </c>
      <c r="I148" s="124"/>
      <c r="J148" s="328">
        <f>H148/DAY(B2)</f>
        <v>255.08000000000041</v>
      </c>
    </row>
    <row r="149" spans="1:10" ht="30.75" customHeight="1" x14ac:dyDescent="0.5">
      <c r="A149" s="842" t="s">
        <v>336</v>
      </c>
      <c r="B149" s="843"/>
      <c r="C149" s="844"/>
      <c r="D149" s="227" t="s">
        <v>130</v>
      </c>
      <c r="E149" s="95">
        <f>'10'!F149</f>
        <v>15006</v>
      </c>
      <c r="F149" s="146">
        <v>15359</v>
      </c>
      <c r="G149" s="112">
        <f t="shared" si="11"/>
        <v>353</v>
      </c>
      <c r="H149" s="99">
        <f>G149+'10'!H149</f>
        <v>4610</v>
      </c>
      <c r="I149" s="119"/>
      <c r="J149" s="328">
        <f>H149/DAY(B2)</f>
        <v>419.09090909090907</v>
      </c>
    </row>
    <row r="150" spans="1:10" ht="30.75" customHeight="1" x14ac:dyDescent="0.5">
      <c r="A150" s="842" t="s">
        <v>337</v>
      </c>
      <c r="B150" s="843"/>
      <c r="C150" s="844"/>
      <c r="D150" s="117" t="s">
        <v>130</v>
      </c>
      <c r="E150" s="95">
        <f>'10'!F150</f>
        <v>6256</v>
      </c>
      <c r="F150" s="233">
        <v>6471</v>
      </c>
      <c r="G150" s="112">
        <f t="shared" si="11"/>
        <v>215</v>
      </c>
      <c r="H150" s="99">
        <f>G150+'10'!H150</f>
        <v>2419</v>
      </c>
      <c r="I150" s="119"/>
      <c r="J150" s="328">
        <f>H150/DAY(B2)</f>
        <v>219.90909090909091</v>
      </c>
    </row>
    <row r="151" spans="1:10" ht="30.75" customHeight="1" x14ac:dyDescent="0.5">
      <c r="A151" s="842" t="s">
        <v>338</v>
      </c>
      <c r="B151" s="843"/>
      <c r="C151" s="844"/>
      <c r="D151" s="117" t="s">
        <v>130</v>
      </c>
      <c r="E151" s="95">
        <f>'10'!F151</f>
        <v>80626</v>
      </c>
      <c r="F151" s="233">
        <v>80839</v>
      </c>
      <c r="G151" s="112">
        <f t="shared" si="11"/>
        <v>213</v>
      </c>
      <c r="H151" s="99">
        <f>G151+'10'!H151</f>
        <v>2622</v>
      </c>
      <c r="I151" s="119"/>
      <c r="J151" s="328">
        <f>H151/DAY(B2)</f>
        <v>238.36363636363637</v>
      </c>
    </row>
    <row r="152" spans="1:10" ht="30.75" customHeight="1" x14ac:dyDescent="0.5">
      <c r="A152" s="842" t="s">
        <v>339</v>
      </c>
      <c r="B152" s="843"/>
      <c r="C152" s="844"/>
      <c r="D152" s="117" t="s">
        <v>130</v>
      </c>
      <c r="E152" s="95">
        <f>'10'!F152</f>
        <v>1320</v>
      </c>
      <c r="F152" s="233">
        <v>1334</v>
      </c>
      <c r="G152" s="112">
        <f t="shared" si="11"/>
        <v>14</v>
      </c>
      <c r="H152" s="99">
        <f>G152+'10'!H152</f>
        <v>207</v>
      </c>
      <c r="I152" s="119"/>
      <c r="J152" s="328">
        <f>H152/DAY(B2)</f>
        <v>18.818181818181817</v>
      </c>
    </row>
    <row r="153" spans="1:10" ht="30.75" customHeight="1" x14ac:dyDescent="0.5">
      <c r="A153" s="879" t="s">
        <v>196</v>
      </c>
      <c r="B153" s="880"/>
      <c r="C153" s="365"/>
      <c r="D153" s="358"/>
      <c r="E153" s="360"/>
      <c r="F153" s="361"/>
      <c r="G153" s="362">
        <f>SUM(G138:G152)</f>
        <v>2151</v>
      </c>
      <c r="H153" s="363"/>
      <c r="I153" s="119">
        <f>G153-(G38+G52)</f>
        <v>657</v>
      </c>
      <c r="J153" s="366"/>
    </row>
    <row r="154" spans="1:10" ht="30.75" customHeight="1" x14ac:dyDescent="0.55000000000000004">
      <c r="A154" s="883" t="s">
        <v>344</v>
      </c>
      <c r="B154" s="883"/>
      <c r="C154" s="883"/>
      <c r="D154" s="883"/>
      <c r="E154" s="883"/>
      <c r="F154" s="883"/>
      <c r="G154" s="883"/>
      <c r="H154" s="883"/>
      <c r="I154" s="883"/>
      <c r="J154" s="883"/>
    </row>
    <row r="155" spans="1:10" ht="30.75" customHeight="1" x14ac:dyDescent="0.55000000000000004">
      <c r="A155" s="850" t="s">
        <v>345</v>
      </c>
      <c r="B155" s="850"/>
      <c r="C155" s="850"/>
      <c r="D155" s="117" t="s">
        <v>130</v>
      </c>
      <c r="E155" s="95">
        <f>'10'!F155</f>
        <v>19161</v>
      </c>
      <c r="F155" s="554">
        <v>19716</v>
      </c>
      <c r="G155" s="112">
        <f t="shared" ref="G155:G156" si="12">F155-E155</f>
        <v>555</v>
      </c>
      <c r="H155" s="99">
        <f>G155+'10'!H155</f>
        <v>6244</v>
      </c>
      <c r="I155" s="364"/>
      <c r="J155" s="328">
        <f>H155/DAY(B2)</f>
        <v>567.63636363636363</v>
      </c>
    </row>
    <row r="156" spans="1:10" ht="30.75" customHeight="1" x14ac:dyDescent="0.5">
      <c r="A156" s="850" t="s">
        <v>347</v>
      </c>
      <c r="B156" s="850"/>
      <c r="C156" s="850"/>
      <c r="D156" s="117" t="s">
        <v>130</v>
      </c>
      <c r="E156" s="95">
        <f>'10'!F156</f>
        <v>1560</v>
      </c>
      <c r="F156" s="155">
        <v>1611</v>
      </c>
      <c r="G156" s="112">
        <f t="shared" si="12"/>
        <v>51</v>
      </c>
      <c r="H156" s="99">
        <f>G156+'10'!H156</f>
        <v>523</v>
      </c>
      <c r="I156" s="165"/>
      <c r="J156" s="328">
        <f>H156/DAY(B2)</f>
        <v>47.545454545454547</v>
      </c>
    </row>
    <row r="157" spans="1:10" ht="30.75" customHeight="1" x14ac:dyDescent="0.5">
      <c r="A157" s="842" t="s">
        <v>364</v>
      </c>
      <c r="B157" s="843"/>
      <c r="C157" s="844"/>
      <c r="D157" s="117" t="s">
        <v>130</v>
      </c>
      <c r="E157" s="95"/>
      <c r="F157" s="155"/>
      <c r="G157" s="112"/>
      <c r="H157" s="99"/>
      <c r="I157" s="165"/>
      <c r="J157" s="328"/>
    </row>
    <row r="158" spans="1:10" ht="30.75" customHeight="1" x14ac:dyDescent="0.5">
      <c r="A158" s="842" t="s">
        <v>365</v>
      </c>
      <c r="B158" s="843"/>
      <c r="C158" s="844"/>
      <c r="D158" s="117" t="s">
        <v>130</v>
      </c>
      <c r="E158" s="95"/>
      <c r="F158" s="155"/>
      <c r="G158" s="112"/>
      <c r="H158" s="99"/>
      <c r="I158" s="165"/>
      <c r="J158" s="328"/>
    </row>
    <row r="159" spans="1:10" ht="30.75" customHeight="1" x14ac:dyDescent="0.5">
      <c r="A159" s="899"/>
      <c r="B159" s="900"/>
      <c r="C159" s="901"/>
      <c r="D159" s="117"/>
      <c r="E159" s="95"/>
      <c r="F159" s="155"/>
      <c r="G159" s="112"/>
      <c r="H159" s="99"/>
      <c r="I159" s="165"/>
      <c r="J159" s="328"/>
    </row>
    <row r="160" spans="1:10" ht="30.75" customHeight="1" x14ac:dyDescent="0.55000000000000004">
      <c r="A160" s="883" t="s">
        <v>326</v>
      </c>
      <c r="B160" s="883"/>
      <c r="C160" s="883"/>
      <c r="D160" s="883"/>
      <c r="E160" s="883"/>
      <c r="F160" s="883"/>
      <c r="G160" s="883"/>
      <c r="H160" s="883"/>
      <c r="I160" s="883"/>
      <c r="J160" s="883"/>
    </row>
    <row r="161" spans="1:10" ht="30.75" customHeight="1" x14ac:dyDescent="0.5">
      <c r="A161" s="242" t="s">
        <v>92</v>
      </c>
      <c r="B161" s="243"/>
      <c r="C161" s="243"/>
      <c r="D161" s="244" t="s">
        <v>180</v>
      </c>
      <c r="E161" s="95">
        <f>'10'!F161</f>
        <v>471296</v>
      </c>
      <c r="F161" s="235">
        <v>471403</v>
      </c>
      <c r="G161" s="238">
        <f t="shared" ref="G161:G165" si="13">F161-E161</f>
        <v>107</v>
      </c>
      <c r="H161" s="99">
        <f>G161+'10'!H161</f>
        <v>249.84000000002561</v>
      </c>
      <c r="I161" s="236"/>
      <c r="J161" s="239">
        <f>H161/DAY(B2)</f>
        <v>22.712727272729602</v>
      </c>
    </row>
    <row r="162" spans="1:10" ht="30.75" customHeight="1" x14ac:dyDescent="0.5">
      <c r="A162" s="242" t="s">
        <v>93</v>
      </c>
      <c r="B162" s="243"/>
      <c r="C162" s="243"/>
      <c r="D162" s="244" t="s">
        <v>180</v>
      </c>
      <c r="E162" s="95">
        <f>'10'!F162</f>
        <v>87824</v>
      </c>
      <c r="F162" s="235">
        <v>87860</v>
      </c>
      <c r="G162" s="238">
        <f t="shared" si="13"/>
        <v>36</v>
      </c>
      <c r="H162" s="99">
        <f>G162+'10'!H162</f>
        <v>290</v>
      </c>
      <c r="I162" s="236"/>
      <c r="J162" s="239">
        <f>H162/DAY(B2)</f>
        <v>26.363636363636363</v>
      </c>
    </row>
    <row r="163" spans="1:10" ht="30.75" customHeight="1" x14ac:dyDescent="0.5">
      <c r="A163" s="242" t="s">
        <v>197</v>
      </c>
      <c r="B163" s="243"/>
      <c r="C163" s="243"/>
      <c r="D163" s="244" t="s">
        <v>180</v>
      </c>
      <c r="E163" s="95">
        <f>'10'!F163</f>
        <v>78249</v>
      </c>
      <c r="F163" s="235">
        <v>78283</v>
      </c>
      <c r="G163" s="238">
        <f t="shared" si="13"/>
        <v>34</v>
      </c>
      <c r="H163" s="99">
        <f>G163+'10'!H163</f>
        <v>458</v>
      </c>
      <c r="I163" s="236"/>
      <c r="J163" s="239">
        <f>H163/DAY(B2)</f>
        <v>41.636363636363633</v>
      </c>
    </row>
    <row r="164" spans="1:10" ht="30.75" customHeight="1" x14ac:dyDescent="0.5">
      <c r="A164" s="242" t="s">
        <v>197</v>
      </c>
      <c r="B164" s="243"/>
      <c r="C164" s="243"/>
      <c r="D164" s="244" t="s">
        <v>180</v>
      </c>
      <c r="E164" s="95">
        <f>'10'!F164</f>
        <v>4257</v>
      </c>
      <c r="F164" s="235">
        <v>4258</v>
      </c>
      <c r="G164" s="238">
        <f t="shared" si="13"/>
        <v>1</v>
      </c>
      <c r="H164" s="99">
        <f>G164+'10'!H164</f>
        <v>16</v>
      </c>
      <c r="I164" s="236"/>
      <c r="J164" s="239">
        <f>H164/DAY(B2)</f>
        <v>1.4545454545454546</v>
      </c>
    </row>
    <row r="165" spans="1:10" ht="30.75" customHeight="1" x14ac:dyDescent="0.5">
      <c r="A165" s="242" t="s">
        <v>309</v>
      </c>
      <c r="B165" s="243"/>
      <c r="C165" s="243"/>
      <c r="D165" s="244" t="s">
        <v>180</v>
      </c>
      <c r="E165" s="95">
        <f>'10'!F165</f>
        <v>29708</v>
      </c>
      <c r="F165" s="235">
        <v>29715</v>
      </c>
      <c r="G165" s="238">
        <f t="shared" si="13"/>
        <v>7</v>
      </c>
      <c r="H165" s="99">
        <f>G165+'10'!H165</f>
        <v>69</v>
      </c>
      <c r="I165" s="236"/>
      <c r="J165" s="239">
        <f>H165/DAY(B2)</f>
        <v>6.2727272727272725</v>
      </c>
    </row>
    <row r="166" spans="1:10" ht="30.75" customHeight="1" x14ac:dyDescent="0.5">
      <c r="A166" s="882"/>
      <c r="B166" s="882"/>
      <c r="C166" s="246"/>
      <c r="D166" s="244" t="s">
        <v>180</v>
      </c>
      <c r="E166" s="95">
        <f>'10'!F166</f>
        <v>0</v>
      </c>
      <c r="F166" s="165" t="s">
        <v>207</v>
      </c>
      <c r="G166" s="165"/>
      <c r="H166" s="99">
        <f>G166+'10'!H166</f>
        <v>0</v>
      </c>
      <c r="I166" s="165"/>
      <c r="J166" s="239">
        <f>H166/DAY(B2)</f>
        <v>0</v>
      </c>
    </row>
    <row r="167" spans="1:10" ht="30.75" customHeight="1" x14ac:dyDescent="0.5">
      <c r="A167" s="882"/>
      <c r="B167" s="882"/>
      <c r="C167" s="246"/>
      <c r="D167" s="244" t="s">
        <v>180</v>
      </c>
      <c r="E167" s="95">
        <f>'10'!F167</f>
        <v>0</v>
      </c>
      <c r="F167" s="165"/>
      <c r="G167" s="165"/>
      <c r="H167" s="99">
        <f>G167+'10'!H167</f>
        <v>0</v>
      </c>
      <c r="I167" s="165"/>
      <c r="J167" s="239">
        <f>H167/DAY(B2)</f>
        <v>0</v>
      </c>
    </row>
    <row r="168" spans="1:10" ht="30.75" customHeight="1" x14ac:dyDescent="0.5">
      <c r="A168" s="882"/>
      <c r="B168" s="882"/>
      <c r="C168" s="246"/>
      <c r="D168" s="244" t="s">
        <v>180</v>
      </c>
      <c r="E168" s="95">
        <f>'10'!F168</f>
        <v>0</v>
      </c>
      <c r="F168" s="165"/>
      <c r="G168" s="165"/>
      <c r="H168" s="99">
        <f>G168+'10'!H168</f>
        <v>0</v>
      </c>
      <c r="I168" s="165"/>
      <c r="J168" s="239">
        <f>H168/DAY(B2)</f>
        <v>0</v>
      </c>
    </row>
    <row r="171" spans="1:10" ht="30.75" customHeight="1" x14ac:dyDescent="0.35">
      <c r="A171" s="890" t="s">
        <v>330</v>
      </c>
      <c r="B171" s="891"/>
      <c r="C171" s="891"/>
      <c r="D171" s="891"/>
      <c r="E171" s="891"/>
      <c r="F171" s="891"/>
      <c r="G171" s="891"/>
      <c r="H171" s="891"/>
      <c r="I171" s="891"/>
      <c r="J171" s="892"/>
    </row>
    <row r="172" spans="1:10" ht="30.75" customHeight="1" x14ac:dyDescent="0.5">
      <c r="A172" s="886"/>
      <c r="B172" s="887"/>
      <c r="C172" s="332"/>
      <c r="D172" s="228"/>
      <c r="E172" s="155"/>
      <c r="F172" s="155"/>
      <c r="G172" s="155"/>
      <c r="H172" s="156"/>
      <c r="I172" s="155"/>
      <c r="J172" s="178"/>
    </row>
    <row r="173" spans="1:10" ht="30.75" customHeight="1" x14ac:dyDescent="0.5">
      <c r="A173" s="840" t="s">
        <v>209</v>
      </c>
      <c r="B173" s="841"/>
      <c r="C173" s="333"/>
      <c r="D173" s="228" t="s">
        <v>142</v>
      </c>
      <c r="E173" s="95">
        <f>'10'!F173</f>
        <v>8126</v>
      </c>
      <c r="F173" s="554">
        <v>8126</v>
      </c>
      <c r="G173" s="155">
        <f>F173-E173</f>
        <v>0</v>
      </c>
      <c r="H173" s="99">
        <f>G173+'10'!H173</f>
        <v>0</v>
      </c>
      <c r="I173" s="155"/>
      <c r="J173" s="178">
        <f>H173/DAY(B2)</f>
        <v>0</v>
      </c>
    </row>
    <row r="174" spans="1:10" ht="30.75" customHeight="1" x14ac:dyDescent="0.5">
      <c r="A174" s="840" t="s">
        <v>75</v>
      </c>
      <c r="B174" s="841"/>
      <c r="C174" s="333"/>
      <c r="D174" s="228" t="s">
        <v>142</v>
      </c>
      <c r="E174" s="95">
        <f>'10'!F174</f>
        <v>38389</v>
      </c>
      <c r="F174" s="157">
        <v>38403</v>
      </c>
      <c r="G174" s="155">
        <f t="shared" ref="G174:G175" si="14">F174-E174</f>
        <v>14</v>
      </c>
      <c r="H174" s="99">
        <f>G174+'10'!H174</f>
        <v>110</v>
      </c>
      <c r="I174" s="155"/>
      <c r="J174" s="178">
        <f>H174/DAY(B2)</f>
        <v>10</v>
      </c>
    </row>
    <row r="175" spans="1:10" ht="30.75" customHeight="1" x14ac:dyDescent="0.5">
      <c r="A175" s="840" t="s">
        <v>76</v>
      </c>
      <c r="B175" s="845"/>
      <c r="C175" s="841"/>
      <c r="D175" s="228" t="s">
        <v>142</v>
      </c>
      <c r="E175" s="95">
        <f>'10'!F175</f>
        <v>21610</v>
      </c>
      <c r="F175" s="155">
        <v>21621</v>
      </c>
      <c r="G175" s="155">
        <f t="shared" si="14"/>
        <v>11</v>
      </c>
      <c r="H175" s="99">
        <f>G175+'10'!H175</f>
        <v>103</v>
      </c>
      <c r="I175" s="155"/>
      <c r="J175" s="178">
        <f>H175/DAY(B2)</f>
        <v>9.3636363636363633</v>
      </c>
    </row>
    <row r="176" spans="1:10" ht="30.75" customHeight="1" x14ac:dyDescent="0.5">
      <c r="A176" s="879" t="s">
        <v>196</v>
      </c>
      <c r="B176" s="880"/>
      <c r="C176" s="485"/>
      <c r="D176" s="228" t="s">
        <v>142</v>
      </c>
      <c r="E176" s="95"/>
      <c r="F176" s="155"/>
      <c r="G176" s="155">
        <f>SUM(G173:G175)</f>
        <v>25</v>
      </c>
      <c r="H176" s="99">
        <f>G176+'10'!H176</f>
        <v>213</v>
      </c>
      <c r="I176" s="155"/>
      <c r="J176" s="178">
        <f>H176/DAY(B2)</f>
        <v>19.363636363636363</v>
      </c>
    </row>
    <row r="177" spans="1:10" ht="30.75" customHeight="1" x14ac:dyDescent="0.5">
      <c r="A177" s="840" t="s">
        <v>77</v>
      </c>
      <c r="B177" s="841"/>
      <c r="C177" s="333"/>
      <c r="D177" s="228" t="s">
        <v>142</v>
      </c>
      <c r="E177" s="95"/>
      <c r="F177" s="155"/>
      <c r="G177" s="155"/>
      <c r="H177" s="99">
        <f>G177+'10'!H177</f>
        <v>0</v>
      </c>
      <c r="I177" s="155"/>
      <c r="J177" s="178">
        <f>H177/DAY(B2)</f>
        <v>0</v>
      </c>
    </row>
    <row r="178" spans="1:10" ht="30.75" customHeight="1" x14ac:dyDescent="0.5">
      <c r="A178" s="840" t="s">
        <v>210</v>
      </c>
      <c r="B178" s="841"/>
      <c r="C178" s="333"/>
      <c r="D178" s="228" t="s">
        <v>142</v>
      </c>
      <c r="E178" s="95">
        <f>'10'!F178</f>
        <v>80270</v>
      </c>
      <c r="F178" s="155">
        <v>80312</v>
      </c>
      <c r="G178" s="155">
        <f>F178-E178</f>
        <v>42</v>
      </c>
      <c r="H178" s="99">
        <f>G178+'10'!H178</f>
        <v>698</v>
      </c>
      <c r="I178" s="155"/>
      <c r="J178" s="178">
        <f>H178/DAY(B2)</f>
        <v>63.454545454545453</v>
      </c>
    </row>
    <row r="179" spans="1:10" ht="30.75" customHeight="1" x14ac:dyDescent="0.5">
      <c r="A179" s="840" t="s">
        <v>211</v>
      </c>
      <c r="B179" s="841"/>
      <c r="C179" s="333"/>
      <c r="D179" s="228" t="s">
        <v>142</v>
      </c>
      <c r="E179" s="95">
        <f>'10'!F179</f>
        <v>34093</v>
      </c>
      <c r="F179" s="155">
        <v>34127</v>
      </c>
      <c r="G179" s="155">
        <f t="shared" ref="G179:G180" si="15">F179-E179</f>
        <v>34</v>
      </c>
      <c r="H179" s="99">
        <f>G179+'10'!H179</f>
        <v>212</v>
      </c>
      <c r="I179" s="155"/>
      <c r="J179" s="178">
        <f>H179/DAY(B2)</f>
        <v>19.272727272727273</v>
      </c>
    </row>
    <row r="180" spans="1:10" ht="30.75" customHeight="1" x14ac:dyDescent="0.5">
      <c r="A180" s="840" t="s">
        <v>212</v>
      </c>
      <c r="B180" s="841"/>
      <c r="C180" s="333"/>
      <c r="D180" s="228" t="s">
        <v>142</v>
      </c>
      <c r="E180" s="95">
        <f>'10'!F180</f>
        <v>5544</v>
      </c>
      <c r="F180" s="155">
        <v>5546</v>
      </c>
      <c r="G180" s="155">
        <f t="shared" si="15"/>
        <v>2</v>
      </c>
      <c r="H180" s="99">
        <f>G180+'10'!H180</f>
        <v>69</v>
      </c>
      <c r="I180" s="155"/>
      <c r="J180" s="178">
        <f>H180/DAY(B2)</f>
        <v>6.2727272727272725</v>
      </c>
    </row>
    <row r="181" spans="1:10" ht="30.75" customHeight="1" x14ac:dyDescent="0.5">
      <c r="A181" s="884" t="s">
        <v>108</v>
      </c>
      <c r="B181" s="885"/>
      <c r="C181" s="485"/>
      <c r="D181" s="228" t="s">
        <v>142</v>
      </c>
      <c r="E181" s="95"/>
      <c r="F181" s="155"/>
      <c r="G181" s="155">
        <f>SUM(G178:G180)</f>
        <v>78</v>
      </c>
      <c r="H181" s="99">
        <f>G181+'10'!H181</f>
        <v>979</v>
      </c>
      <c r="I181" s="155"/>
      <c r="J181" s="178">
        <f>H181/DAY(B2)</f>
        <v>89</v>
      </c>
    </row>
    <row r="182" spans="1:10" ht="30.75" customHeight="1" x14ac:dyDescent="0.5">
      <c r="A182" s="840" t="s">
        <v>213</v>
      </c>
      <c r="B182" s="841"/>
      <c r="C182" s="333"/>
      <c r="D182" s="228" t="s">
        <v>142</v>
      </c>
      <c r="E182" s="95"/>
      <c r="F182" s="155"/>
      <c r="G182" s="155"/>
      <c r="H182" s="99">
        <f>G182+'10'!H182</f>
        <v>0</v>
      </c>
      <c r="I182" s="155"/>
      <c r="J182" s="178">
        <f>H182/DAY(B2)</f>
        <v>0</v>
      </c>
    </row>
    <row r="183" spans="1:10" ht="30.75" customHeight="1" x14ac:dyDescent="0.5">
      <c r="A183" s="840" t="s">
        <v>214</v>
      </c>
      <c r="B183" s="841"/>
      <c r="C183" s="334"/>
      <c r="D183" s="228" t="s">
        <v>142</v>
      </c>
      <c r="E183" s="95">
        <f>'10'!F183</f>
        <v>15084</v>
      </c>
      <c r="F183" s="157">
        <v>15094</v>
      </c>
      <c r="G183" s="157">
        <f>F183-E183</f>
        <v>10</v>
      </c>
      <c r="H183" s="99">
        <f>G183+'10'!H183</f>
        <v>147</v>
      </c>
      <c r="I183" s="155"/>
      <c r="J183" s="178">
        <f>H183/DAY(B2)</f>
        <v>13.363636363636363</v>
      </c>
    </row>
    <row r="184" spans="1:10" ht="30.75" customHeight="1" x14ac:dyDescent="0.5">
      <c r="A184" s="840" t="s">
        <v>215</v>
      </c>
      <c r="B184" s="841"/>
      <c r="C184" s="334"/>
      <c r="D184" s="228" t="s">
        <v>142</v>
      </c>
      <c r="E184" s="95">
        <f>'10'!F184</f>
        <v>10373</v>
      </c>
      <c r="F184" s="157">
        <v>10380</v>
      </c>
      <c r="G184" s="157">
        <f t="shared" ref="G184:G185" si="16">F184-E184</f>
        <v>7</v>
      </c>
      <c r="H184" s="99">
        <f>G184+'10'!H184</f>
        <v>79</v>
      </c>
      <c r="I184" s="155"/>
      <c r="J184" s="178">
        <f>H184/DAY(B2)</f>
        <v>7.1818181818181817</v>
      </c>
    </row>
    <row r="185" spans="1:10" ht="30.75" customHeight="1" x14ac:dyDescent="0.5">
      <c r="A185" s="840" t="s">
        <v>216</v>
      </c>
      <c r="B185" s="841"/>
      <c r="C185" s="334"/>
      <c r="D185" s="228" t="s">
        <v>142</v>
      </c>
      <c r="E185" s="95">
        <f>'10'!F185</f>
        <v>0</v>
      </c>
      <c r="F185" s="157">
        <v>0</v>
      </c>
      <c r="G185" s="157">
        <f t="shared" si="16"/>
        <v>0</v>
      </c>
      <c r="H185" s="99">
        <f>G185+'10'!H185</f>
        <v>0</v>
      </c>
      <c r="I185" s="155"/>
      <c r="J185" s="178">
        <f>H185/DAY(B2)</f>
        <v>0</v>
      </c>
    </row>
    <row r="186" spans="1:10" ht="30.75" customHeight="1" x14ac:dyDescent="0.5">
      <c r="A186" s="879" t="s">
        <v>196</v>
      </c>
      <c r="B186" s="880"/>
      <c r="C186" s="484"/>
      <c r="D186" s="228" t="s">
        <v>142</v>
      </c>
      <c r="E186" s="95"/>
      <c r="F186" s="157"/>
      <c r="G186" s="157">
        <f>SUM(G183:G185)</f>
        <v>17</v>
      </c>
      <c r="H186" s="99">
        <f>G186+'10'!H186</f>
        <v>226</v>
      </c>
      <c r="I186" s="157"/>
      <c r="J186" s="178">
        <f>H186/DAY(B2)</f>
        <v>20.545454545454547</v>
      </c>
    </row>
    <row r="187" spans="1:10" ht="30.75" customHeight="1" x14ac:dyDescent="0.5">
      <c r="A187" s="888" t="s">
        <v>217</v>
      </c>
      <c r="B187" s="889"/>
      <c r="C187" s="333"/>
      <c r="D187" s="230" t="s">
        <v>142</v>
      </c>
      <c r="E187" s="95"/>
      <c r="F187" s="159"/>
      <c r="G187" s="462">
        <f>G62+G19</f>
        <v>123</v>
      </c>
      <c r="H187" s="99">
        <f>G187+'10'!H187</f>
        <v>1245</v>
      </c>
      <c r="I187" s="158"/>
      <c r="J187" s="179">
        <f>H187/DAY(B2)</f>
        <v>113.18181818181819</v>
      </c>
    </row>
    <row r="188" spans="1:10" ht="30.75" customHeight="1" x14ac:dyDescent="0.5">
      <c r="A188" s="888" t="s">
        <v>218</v>
      </c>
      <c r="B188" s="889"/>
      <c r="C188" s="333"/>
      <c r="D188" s="230" t="s">
        <v>142</v>
      </c>
      <c r="E188" s="95"/>
      <c r="F188" s="159"/>
      <c r="G188" s="462">
        <f>G65+G66+G67+G69+G70</f>
        <v>124</v>
      </c>
      <c r="H188" s="99">
        <f>G188+'10'!H188</f>
        <v>1505</v>
      </c>
      <c r="I188" s="158"/>
      <c r="J188" s="179">
        <f>H188/DAY(B2)</f>
        <v>136.81818181818181</v>
      </c>
    </row>
    <row r="189" spans="1:10" ht="30.75" customHeight="1" x14ac:dyDescent="0.5">
      <c r="A189" s="888" t="s">
        <v>219</v>
      </c>
      <c r="B189" s="889"/>
      <c r="C189" s="333"/>
      <c r="D189" s="230" t="s">
        <v>142</v>
      </c>
      <c r="E189" s="95"/>
      <c r="F189" s="157"/>
      <c r="G189" s="459">
        <f>G181</f>
        <v>78</v>
      </c>
      <c r="H189" s="99">
        <f>G189+'10'!H189</f>
        <v>979</v>
      </c>
      <c r="I189" s="158"/>
      <c r="J189" s="179">
        <f>H189/DAY(B2)</f>
        <v>89</v>
      </c>
    </row>
    <row r="190" spans="1:10" ht="30.75" customHeight="1" x14ac:dyDescent="0.5">
      <c r="A190" s="811"/>
      <c r="B190" s="812"/>
      <c r="C190" s="483"/>
      <c r="D190" s="480"/>
      <c r="E190" s="480" t="s">
        <v>207</v>
      </c>
      <c r="F190" s="480"/>
      <c r="G190" s="480"/>
      <c r="H190" s="481"/>
      <c r="I190" s="480"/>
      <c r="J190" s="482"/>
    </row>
  </sheetData>
  <mergeCells count="115">
    <mergeCell ref="A186:B186"/>
    <mergeCell ref="A187:B187"/>
    <mergeCell ref="A188:B188"/>
    <mergeCell ref="A189:B189"/>
    <mergeCell ref="A190:B190"/>
    <mergeCell ref="A172:B172"/>
    <mergeCell ref="A173:B173"/>
    <mergeCell ref="A174:B174"/>
    <mergeCell ref="A176:B176"/>
    <mergeCell ref="A177:B177"/>
    <mergeCell ref="A184:B184"/>
    <mergeCell ref="A185:B185"/>
    <mergeCell ref="A160:J160"/>
    <mergeCell ref="A166:B166"/>
    <mergeCell ref="A167:B167"/>
    <mergeCell ref="A168:B168"/>
    <mergeCell ref="A171:J171"/>
    <mergeCell ref="A138:C138"/>
    <mergeCell ref="A139:C139"/>
    <mergeCell ref="A140:C140"/>
    <mergeCell ref="A141:C141"/>
    <mergeCell ref="A142:C142"/>
    <mergeCell ref="A143:C143"/>
    <mergeCell ref="A144:C144"/>
    <mergeCell ref="A145:C145"/>
    <mergeCell ref="A146:C146"/>
    <mergeCell ref="A150:C150"/>
    <mergeCell ref="A151:C151"/>
    <mergeCell ref="A152:C152"/>
    <mergeCell ref="A154:J154"/>
    <mergeCell ref="A155:C155"/>
    <mergeCell ref="A156:C156"/>
    <mergeCell ref="A153:B153"/>
    <mergeCell ref="A157:C157"/>
    <mergeCell ref="A158:C158"/>
    <mergeCell ref="A159:C159"/>
    <mergeCell ref="A132:C132"/>
    <mergeCell ref="A133:C133"/>
    <mergeCell ref="A134:C134"/>
    <mergeCell ref="A136:J136"/>
    <mergeCell ref="A125:B125"/>
    <mergeCell ref="A126:J126"/>
    <mergeCell ref="A127:B127"/>
    <mergeCell ref="A128:C128"/>
    <mergeCell ref="A131:C131"/>
    <mergeCell ref="A135:B135"/>
    <mergeCell ref="Q116:R116"/>
    <mergeCell ref="A117:C117"/>
    <mergeCell ref="Q117:R117"/>
    <mergeCell ref="A118:C118"/>
    <mergeCell ref="Q118:R118"/>
    <mergeCell ref="A110:J110"/>
    <mergeCell ref="A111:C111"/>
    <mergeCell ref="A112:C112"/>
    <mergeCell ref="A113:C113"/>
    <mergeCell ref="A114:C114"/>
    <mergeCell ref="A71:C71"/>
    <mergeCell ref="A72:B72"/>
    <mergeCell ref="A181:B181"/>
    <mergeCell ref="A183:B183"/>
    <mergeCell ref="A175:C175"/>
    <mergeCell ref="A182:B182"/>
    <mergeCell ref="A178:B178"/>
    <mergeCell ref="A179:B179"/>
    <mergeCell ref="A180:B180"/>
    <mergeCell ref="A109:B109"/>
    <mergeCell ref="A102:C102"/>
    <mergeCell ref="A115:C115"/>
    <mergeCell ref="A116:C116"/>
    <mergeCell ref="A119:C119"/>
    <mergeCell ref="A120:C120"/>
    <mergeCell ref="A121:C121"/>
    <mergeCell ref="A122:C122"/>
    <mergeCell ref="A123:C123"/>
    <mergeCell ref="A148:C148"/>
    <mergeCell ref="A149:C149"/>
    <mergeCell ref="A147:C147"/>
    <mergeCell ref="A101:C101"/>
    <mergeCell ref="A103:C103"/>
    <mergeCell ref="A104:C104"/>
    <mergeCell ref="A124:C124"/>
    <mergeCell ref="A95:C95"/>
    <mergeCell ref="A96:C96"/>
    <mergeCell ref="A93:C93"/>
    <mergeCell ref="A94:C94"/>
    <mergeCell ref="A73:C73"/>
    <mergeCell ref="A74:C74"/>
    <mergeCell ref="A75:C75"/>
    <mergeCell ref="A76:C76"/>
    <mergeCell ref="A77:C77"/>
    <mergeCell ref="A79:C79"/>
    <mergeCell ref="A80:C80"/>
    <mergeCell ref="A81:C81"/>
    <mergeCell ref="A105:C105"/>
    <mergeCell ref="A108:J108"/>
    <mergeCell ref="A78:C78"/>
    <mergeCell ref="A97:C97"/>
    <mergeCell ref="A98:C98"/>
    <mergeCell ref="A99:C99"/>
    <mergeCell ref="A100:C100"/>
    <mergeCell ref="A64:C64"/>
    <mergeCell ref="A65:C65"/>
    <mergeCell ref="A18:C18"/>
    <mergeCell ref="A19:C19"/>
    <mergeCell ref="A21:C21"/>
    <mergeCell ref="A25:C25"/>
    <mergeCell ref="A33:C33"/>
    <mergeCell ref="A1:J1"/>
    <mergeCell ref="A6:C6"/>
    <mergeCell ref="A14:C14"/>
    <mergeCell ref="A17:C17"/>
    <mergeCell ref="E3:F3"/>
    <mergeCell ref="A61:C61"/>
    <mergeCell ref="A62:C62"/>
    <mergeCell ref="A63:C63"/>
  </mergeCells>
  <pageMargins left="0.22" right="0.17" top="0.14000000000000001" bottom="0.2" header="0.2" footer="0.2"/>
  <pageSetup paperSize="5" scale="29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1:R190"/>
  <sheetViews>
    <sheetView view="pageBreakPreview" topLeftCell="A4" zoomScale="50" zoomScaleNormal="75" zoomScaleSheetLayoutView="50" workbookViewId="0">
      <selection activeCell="F24" sqref="F24"/>
    </sheetView>
  </sheetViews>
  <sheetFormatPr defaultColWidth="22.33203125" defaultRowHeight="32.25" customHeight="1" x14ac:dyDescent="0.5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6" width="30" style="160" customWidth="1"/>
    <col min="7" max="7" width="28.88671875" style="160" customWidth="1"/>
    <col min="8" max="8" width="39.21875" style="161" customWidth="1"/>
    <col min="9" max="9" width="23.5546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32.25" customHeight="1" x14ac:dyDescent="0.65">
      <c r="A1" s="821" t="s">
        <v>115</v>
      </c>
      <c r="B1" s="822"/>
      <c r="C1" s="822"/>
      <c r="D1" s="822"/>
      <c r="E1" s="822"/>
      <c r="F1" s="822"/>
      <c r="G1" s="822"/>
      <c r="H1" s="822"/>
      <c r="I1" s="822"/>
      <c r="J1" s="823"/>
    </row>
    <row r="2" spans="1:15" s="57" customFormat="1" ht="32.25" customHeight="1" x14ac:dyDescent="0.5">
      <c r="A2" s="191" t="s">
        <v>303</v>
      </c>
      <c r="B2" s="262">
        <v>44573</v>
      </c>
      <c r="C2" s="348" t="s">
        <v>67</v>
      </c>
      <c r="D2" s="218">
        <v>0.3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32.25" customHeight="1" x14ac:dyDescent="0.5">
      <c r="A3" s="189"/>
      <c r="B3" s="221"/>
      <c r="C3" s="348" t="s">
        <v>118</v>
      </c>
      <c r="D3" s="219">
        <v>22</v>
      </c>
      <c r="E3" s="830" t="s">
        <v>119</v>
      </c>
      <c r="F3" s="831"/>
      <c r="G3" s="101"/>
      <c r="H3" s="102"/>
      <c r="I3" s="102"/>
      <c r="J3" s="222"/>
      <c r="K3" s="61"/>
      <c r="L3" s="58"/>
    </row>
    <row r="4" spans="1:15" s="57" customFormat="1" ht="32.25" customHeight="1" x14ac:dyDescent="0.5">
      <c r="A4" s="192"/>
      <c r="B4" s="223"/>
      <c r="C4" s="348" t="s">
        <v>120</v>
      </c>
      <c r="D4" s="218">
        <v>0.59</v>
      </c>
      <c r="E4" s="103"/>
      <c r="F4" s="103"/>
      <c r="G4" s="103"/>
      <c r="H4" s="103"/>
      <c r="I4" s="104"/>
      <c r="J4" s="222"/>
      <c r="K4" s="62"/>
      <c r="L4" s="58"/>
    </row>
    <row r="5" spans="1:15" ht="32.25" customHeight="1" x14ac:dyDescent="0.4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5" ht="32.25" customHeight="1" x14ac:dyDescent="0.4">
      <c r="A6" s="824" t="s">
        <v>128</v>
      </c>
      <c r="B6" s="825"/>
      <c r="C6" s="826"/>
      <c r="D6" s="110"/>
      <c r="E6" s="110"/>
      <c r="F6" s="110"/>
      <c r="G6" s="110"/>
      <c r="H6" s="111"/>
      <c r="I6" s="111"/>
      <c r="J6" s="174"/>
      <c r="K6" s="78"/>
      <c r="L6" s="66"/>
    </row>
    <row r="7" spans="1:15" ht="32.25" customHeight="1" thickBot="1" x14ac:dyDescent="0.45">
      <c r="A7" s="194" t="s">
        <v>129</v>
      </c>
      <c r="B7" s="195"/>
      <c r="C7" s="195"/>
      <c r="D7" s="151" t="s">
        <v>130</v>
      </c>
      <c r="E7" s="95">
        <f>'11'!F7</f>
        <v>303864</v>
      </c>
      <c r="F7" s="95">
        <v>320395</v>
      </c>
      <c r="G7" s="112">
        <f>F7-E7</f>
        <v>16531</v>
      </c>
      <c r="H7" s="99">
        <f>G7+'11'!H7</f>
        <v>225834</v>
      </c>
      <c r="I7" s="113">
        <f>'1'!I7</f>
        <v>12000</v>
      </c>
      <c r="J7" s="175">
        <f>H7/DAY(B2)</f>
        <v>18819.5</v>
      </c>
      <c r="K7" s="172">
        <v>1375467</v>
      </c>
      <c r="L7" s="66"/>
      <c r="N7" s="87"/>
      <c r="O7" s="71"/>
    </row>
    <row r="8" spans="1:15" ht="32.25" customHeight="1" thickBot="1" x14ac:dyDescent="0.45">
      <c r="A8" s="196" t="s">
        <v>131</v>
      </c>
      <c r="B8" s="197"/>
      <c r="C8" s="198"/>
      <c r="D8" s="224" t="s">
        <v>24</v>
      </c>
      <c r="E8" s="95">
        <f>'11'!F8</f>
        <v>354262</v>
      </c>
      <c r="F8" s="95">
        <v>370975</v>
      </c>
      <c r="G8" s="115">
        <f>F8-E8</f>
        <v>16713</v>
      </c>
      <c r="H8" s="99">
        <f>G8+'11'!H8</f>
        <v>230090</v>
      </c>
      <c r="I8" s="116"/>
      <c r="J8" s="175">
        <f>H8/DAY(B2)</f>
        <v>19174.166666666668</v>
      </c>
      <c r="K8" s="172">
        <v>1715917</v>
      </c>
      <c r="L8" s="76">
        <v>1728480</v>
      </c>
      <c r="M8" s="87">
        <f>L8-K8</f>
        <v>12563</v>
      </c>
      <c r="N8" s="87"/>
      <c r="O8" s="71"/>
    </row>
    <row r="9" spans="1:15" ht="32.25" customHeight="1" x14ac:dyDescent="0.4">
      <c r="A9" s="199" t="s">
        <v>132</v>
      </c>
      <c r="B9" s="200"/>
      <c r="C9" s="200"/>
      <c r="D9" s="151" t="s">
        <v>130</v>
      </c>
      <c r="E9" s="95">
        <f>'11'!F9</f>
        <v>33440</v>
      </c>
      <c r="F9" s="601">
        <v>44230</v>
      </c>
      <c r="G9" s="112">
        <f>F9-E9</f>
        <v>10790</v>
      </c>
      <c r="H9" s="99">
        <f>G9+'11'!H9</f>
        <v>142735</v>
      </c>
      <c r="I9" s="124">
        <f>I7-J7</f>
        <v>-6819.5</v>
      </c>
      <c r="J9" s="175">
        <f>H9/DAY(B2)</f>
        <v>11894.583333333334</v>
      </c>
      <c r="K9" s="79">
        <f>K8-100</f>
        <v>1715817</v>
      </c>
      <c r="L9" s="66"/>
      <c r="N9" s="87"/>
      <c r="O9" s="71"/>
    </row>
    <row r="10" spans="1:15" ht="32.25" customHeight="1" x14ac:dyDescent="0.4">
      <c r="A10" s="194" t="s">
        <v>133</v>
      </c>
      <c r="B10" s="195"/>
      <c r="C10" s="195"/>
      <c r="D10" s="151" t="s">
        <v>130</v>
      </c>
      <c r="E10" s="95">
        <f>'11'!F10</f>
        <v>16672</v>
      </c>
      <c r="F10" s="353">
        <v>21941</v>
      </c>
      <c r="G10" s="112">
        <f t="shared" ref="G10:G12" si="0">F10-E10</f>
        <v>5269</v>
      </c>
      <c r="H10" s="99">
        <f>G10+'11'!H10</f>
        <v>76847</v>
      </c>
      <c r="I10" s="282"/>
      <c r="J10" s="175">
        <f>H10/DAY(B2)</f>
        <v>6403.916666666667</v>
      </c>
      <c r="K10" s="79"/>
      <c r="L10" s="66"/>
      <c r="N10" s="87"/>
      <c r="O10" s="71"/>
    </row>
    <row r="11" spans="1:15" ht="32.25" customHeight="1" x14ac:dyDescent="0.4">
      <c r="A11" s="194" t="s">
        <v>134</v>
      </c>
      <c r="B11" s="195"/>
      <c r="C11" s="195"/>
      <c r="D11" s="151" t="s">
        <v>130</v>
      </c>
      <c r="E11" s="95">
        <f>'11'!F11</f>
        <v>37000</v>
      </c>
      <c r="F11" s="95">
        <v>37000</v>
      </c>
      <c r="G11" s="112">
        <f t="shared" si="0"/>
        <v>0</v>
      </c>
      <c r="H11" s="99">
        <f>G11+'11'!H11</f>
        <v>0</v>
      </c>
      <c r="I11" s="282"/>
      <c r="J11" s="175">
        <f>H11/DAY(B2)</f>
        <v>0</v>
      </c>
      <c r="K11" s="79"/>
      <c r="L11" s="66"/>
      <c r="N11" s="87"/>
      <c r="O11" s="71"/>
    </row>
    <row r="12" spans="1:15" ht="32.25" customHeight="1" x14ac:dyDescent="0.4">
      <c r="A12" s="194" t="s">
        <v>135</v>
      </c>
      <c r="B12" s="195"/>
      <c r="C12" s="195"/>
      <c r="D12" s="151" t="s">
        <v>130</v>
      </c>
      <c r="E12" s="95">
        <f>'11'!F12</f>
        <v>40010</v>
      </c>
      <c r="F12" s="117">
        <v>40010</v>
      </c>
      <c r="G12" s="112">
        <f t="shared" si="0"/>
        <v>0</v>
      </c>
      <c r="H12" s="99">
        <f>G12+'11'!H12</f>
        <v>0</v>
      </c>
      <c r="I12" s="282"/>
      <c r="J12" s="175">
        <f>H12/DAY(B2)</f>
        <v>0</v>
      </c>
      <c r="K12" s="79"/>
      <c r="L12" s="66"/>
      <c r="N12" s="87"/>
      <c r="O12" s="71"/>
    </row>
    <row r="13" spans="1:15" ht="32.25" customHeight="1" x14ac:dyDescent="0.5">
      <c r="A13" s="201" t="s">
        <v>136</v>
      </c>
      <c r="B13" s="202"/>
      <c r="C13" s="202"/>
      <c r="D13" s="151"/>
      <c r="E13" s="95"/>
      <c r="F13" s="95"/>
      <c r="G13" s="119">
        <f>G9+G10+G11+G12</f>
        <v>16059</v>
      </c>
      <c r="H13" s="99">
        <f>G13+'11'!H13</f>
        <v>200116.74999999988</v>
      </c>
      <c r="I13" s="120">
        <f>G7-G13</f>
        <v>472</v>
      </c>
      <c r="J13" s="175">
        <f>H13/DAY(B2)</f>
        <v>16676.395833333325</v>
      </c>
      <c r="K13" s="79"/>
      <c r="L13" s="66"/>
      <c r="N13" s="87"/>
      <c r="O13" s="71"/>
    </row>
    <row r="14" spans="1:15" ht="32.25" customHeight="1" x14ac:dyDescent="0.5">
      <c r="A14" s="827" t="s">
        <v>137</v>
      </c>
      <c r="B14" s="828"/>
      <c r="C14" s="829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5" ht="32.25" customHeight="1" x14ac:dyDescent="0.5">
      <c r="A15" s="345" t="s">
        <v>138</v>
      </c>
      <c r="B15" s="205"/>
      <c r="C15" s="205"/>
      <c r="D15" s="151" t="s">
        <v>139</v>
      </c>
      <c r="E15" s="95">
        <f>'11'!F15</f>
        <v>1888289</v>
      </c>
      <c r="F15" s="123">
        <v>1888933</v>
      </c>
      <c r="G15" s="112">
        <f>(F15-E15)</f>
        <v>644</v>
      </c>
      <c r="H15" s="99">
        <f>G15+'11'!H15</f>
        <v>10503</v>
      </c>
      <c r="I15" s="113">
        <f>'1'!I15</f>
        <v>800</v>
      </c>
      <c r="J15" s="175">
        <f>H15/DAY(B2)</f>
        <v>875.25</v>
      </c>
      <c r="K15" s="79"/>
      <c r="L15" s="66"/>
      <c r="N15" s="87"/>
      <c r="O15" s="71"/>
    </row>
    <row r="16" spans="1:15" ht="32.25" customHeight="1" x14ac:dyDescent="0.4">
      <c r="A16" s="203"/>
      <c r="B16" s="204"/>
      <c r="C16" s="204"/>
      <c r="D16" s="152"/>
      <c r="E16" s="123"/>
      <c r="F16" s="123"/>
      <c r="G16" s="112"/>
      <c r="H16" s="124"/>
      <c r="I16" s="120">
        <f>I15-J15</f>
        <v>-75.25</v>
      </c>
      <c r="J16" s="176"/>
      <c r="K16" s="79"/>
      <c r="L16" s="66"/>
      <c r="N16" s="87"/>
      <c r="O16" s="71"/>
    </row>
    <row r="17" spans="1:15" ht="32.25" customHeight="1" x14ac:dyDescent="0.5">
      <c r="A17" s="827" t="s">
        <v>140</v>
      </c>
      <c r="B17" s="828"/>
      <c r="C17" s="829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5" ht="32.25" customHeight="1" x14ac:dyDescent="0.5">
      <c r="A18" s="818" t="s">
        <v>141</v>
      </c>
      <c r="B18" s="819"/>
      <c r="C18" s="820"/>
      <c r="D18" s="151" t="s">
        <v>142</v>
      </c>
      <c r="E18" s="95">
        <f>'11'!F18</f>
        <v>8</v>
      </c>
      <c r="F18" s="122">
        <v>8</v>
      </c>
      <c r="G18" s="119">
        <f>F18*10</f>
        <v>80</v>
      </c>
      <c r="H18" s="99">
        <f>G18+'11'!H18</f>
        <v>1450</v>
      </c>
      <c r="I18" s="113">
        <f>'1'!I18</f>
        <v>65</v>
      </c>
      <c r="J18" s="175">
        <f>H18/DAY(B2)</f>
        <v>120.83333333333333</v>
      </c>
      <c r="K18" s="79"/>
      <c r="L18" s="66"/>
      <c r="N18" s="87"/>
      <c r="O18" s="71"/>
    </row>
    <row r="19" spans="1:15" ht="32.25" customHeight="1" x14ac:dyDescent="0.5">
      <c r="A19" s="818" t="s">
        <v>69</v>
      </c>
      <c r="B19" s="819"/>
      <c r="C19" s="820"/>
      <c r="D19" s="151" t="s">
        <v>142</v>
      </c>
      <c r="E19" s="95">
        <f>'11'!F19</f>
        <v>152799</v>
      </c>
      <c r="F19" s="122">
        <v>152855</v>
      </c>
      <c r="G19" s="112">
        <f t="shared" ref="G19" si="1">F19-E19</f>
        <v>56</v>
      </c>
      <c r="H19" s="99">
        <f>G19+'11'!H19</f>
        <v>630</v>
      </c>
      <c r="I19" s="335"/>
      <c r="J19" s="175">
        <f>H19/DAY(B2)</f>
        <v>52.5</v>
      </c>
      <c r="K19" s="79"/>
      <c r="L19" s="66"/>
      <c r="N19" s="87"/>
      <c r="O19" s="71"/>
    </row>
    <row r="20" spans="1:15" ht="32.25" customHeight="1" x14ac:dyDescent="0.5">
      <c r="A20" s="201" t="s">
        <v>143</v>
      </c>
      <c r="B20" s="202"/>
      <c r="C20" s="202"/>
      <c r="D20" s="126"/>
      <c r="E20" s="126"/>
      <c r="F20" s="126"/>
      <c r="G20" s="127">
        <f>G18+G19</f>
        <v>136</v>
      </c>
      <c r="H20" s="99">
        <f>G20+'11'!H20</f>
        <v>2080</v>
      </c>
      <c r="I20" s="336">
        <f>I18-J20</f>
        <v>-108.33333333333334</v>
      </c>
      <c r="J20" s="175">
        <f>H20/DAY(B2)</f>
        <v>173.33333333333334</v>
      </c>
      <c r="K20" s="79"/>
      <c r="L20" s="66"/>
      <c r="N20" s="87"/>
      <c r="O20" s="71"/>
    </row>
    <row r="21" spans="1:15" ht="32.25" customHeight="1" x14ac:dyDescent="0.5">
      <c r="A21" s="827" t="s">
        <v>144</v>
      </c>
      <c r="B21" s="828"/>
      <c r="C21" s="829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5" ht="32.25" customHeight="1" x14ac:dyDescent="0.5">
      <c r="A22" s="345" t="s">
        <v>145</v>
      </c>
      <c r="B22" s="205"/>
      <c r="C22" s="205"/>
      <c r="D22" s="151" t="s">
        <v>146</v>
      </c>
      <c r="E22" s="95">
        <f>'11'!F22</f>
        <v>2970</v>
      </c>
      <c r="F22" s="122">
        <v>2970</v>
      </c>
      <c r="G22" s="119">
        <f t="shared" ref="G22" si="2">(F22-E22)</f>
        <v>0</v>
      </c>
      <c r="H22" s="99">
        <f>G22+'11'!H22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32.25" customHeight="1" x14ac:dyDescent="0.5">
      <c r="A23" s="345" t="s">
        <v>147</v>
      </c>
      <c r="B23" s="205"/>
      <c r="C23" s="205"/>
      <c r="D23" s="151" t="s">
        <v>146</v>
      </c>
      <c r="E23" s="95">
        <f>'11'!F23</f>
        <v>1500</v>
      </c>
      <c r="F23" s="122">
        <v>1500</v>
      </c>
      <c r="G23" s="119">
        <v>0</v>
      </c>
      <c r="H23" s="99">
        <f>G23+'11'!H23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5" ht="32.25" customHeight="1" x14ac:dyDescent="0.4">
      <c r="A24" s="206" t="s">
        <v>148</v>
      </c>
      <c r="B24" s="207"/>
      <c r="C24" s="207"/>
      <c r="D24" s="146" t="s">
        <v>146</v>
      </c>
      <c r="E24" s="95">
        <f>'11'!F24</f>
        <v>4970</v>
      </c>
      <c r="F24" s="128">
        <v>4970</v>
      </c>
      <c r="G24" s="119">
        <v>0</v>
      </c>
      <c r="H24" s="99">
        <f>G24+'11'!H24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5" s="88" customFormat="1" ht="32.25" customHeight="1" x14ac:dyDescent="0.35">
      <c r="A25" s="832" t="s">
        <v>149</v>
      </c>
      <c r="B25" s="833"/>
      <c r="C25" s="834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5" s="88" customFormat="1" ht="32.25" customHeight="1" x14ac:dyDescent="0.5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/>
      <c r="I26" s="134"/>
      <c r="J26" s="175"/>
      <c r="K26" s="64"/>
      <c r="L26" s="89"/>
      <c r="N26" s="87"/>
      <c r="O26" s="71"/>
    </row>
    <row r="27" spans="1:15" s="88" customFormat="1" ht="32.25" customHeight="1" x14ac:dyDescent="0.5">
      <c r="A27" s="208" t="s">
        <v>5</v>
      </c>
      <c r="B27" s="209"/>
      <c r="C27" s="210"/>
      <c r="D27" s="226" t="s">
        <v>24</v>
      </c>
      <c r="E27" s="135">
        <f>G8</f>
        <v>16713</v>
      </c>
      <c r="F27" s="136">
        <v>9</v>
      </c>
      <c r="G27" s="137">
        <f>E27*F27</f>
        <v>150417</v>
      </c>
      <c r="H27" s="99">
        <f>G27+'11'!H27</f>
        <v>2070810</v>
      </c>
      <c r="I27" s="138"/>
      <c r="J27" s="175">
        <f>H27/DAY(B2)</f>
        <v>172567.5</v>
      </c>
      <c r="K27" s="63"/>
      <c r="L27" s="89"/>
      <c r="N27" s="87"/>
      <c r="O27" s="71"/>
    </row>
    <row r="28" spans="1:15" s="88" customFormat="1" ht="32.25" customHeight="1" x14ac:dyDescent="0.5">
      <c r="A28" s="208" t="s">
        <v>152</v>
      </c>
      <c r="B28" s="209"/>
      <c r="C28" s="210"/>
      <c r="D28" s="226" t="s">
        <v>153</v>
      </c>
      <c r="E28" s="139">
        <f>G15</f>
        <v>644</v>
      </c>
      <c r="F28" s="136">
        <v>52</v>
      </c>
      <c r="G28" s="137">
        <f>E28*F28</f>
        <v>33488</v>
      </c>
      <c r="H28" s="99">
        <f>G28+'11'!H28</f>
        <v>546156</v>
      </c>
      <c r="I28" s="140"/>
      <c r="J28" s="175">
        <f>H28/DAY(B2)</f>
        <v>45513</v>
      </c>
      <c r="K28" s="63"/>
      <c r="L28" s="89"/>
      <c r="N28" s="87"/>
      <c r="O28" s="71"/>
    </row>
    <row r="29" spans="1:15" s="88" customFormat="1" ht="32.25" customHeight="1" x14ac:dyDescent="0.5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>E29*F29</f>
        <v>0</v>
      </c>
      <c r="H29" s="99">
        <f>G29+'11'!H29</f>
        <v>0</v>
      </c>
      <c r="I29" s="140"/>
      <c r="J29" s="175">
        <f>H29/DAY(B2)</f>
        <v>0</v>
      </c>
      <c r="K29" s="63"/>
      <c r="L29" s="89"/>
      <c r="N29" s="87"/>
      <c r="O29" s="71"/>
    </row>
    <row r="30" spans="1:15" s="88" customFormat="1" ht="32.25" customHeight="1" x14ac:dyDescent="0.5">
      <c r="A30" s="208" t="s">
        <v>156</v>
      </c>
      <c r="B30" s="209"/>
      <c r="C30" s="210"/>
      <c r="D30" s="226" t="s">
        <v>157</v>
      </c>
      <c r="E30" s="141">
        <f>G19</f>
        <v>56</v>
      </c>
      <c r="F30" s="136">
        <v>146</v>
      </c>
      <c r="G30" s="137">
        <f>E30*F30</f>
        <v>8176</v>
      </c>
      <c r="H30" s="99">
        <f>G30+'11'!H30</f>
        <v>91980</v>
      </c>
      <c r="I30" s="140"/>
      <c r="J30" s="175">
        <f>H30/DAY(B2)</f>
        <v>7665</v>
      </c>
      <c r="K30" s="63"/>
      <c r="L30" s="89"/>
      <c r="N30" s="87"/>
      <c r="O30" s="71"/>
    </row>
    <row r="31" spans="1:15" s="88" customFormat="1" ht="32.25" customHeight="1" x14ac:dyDescent="0.5">
      <c r="A31" s="208" t="s">
        <v>158</v>
      </c>
      <c r="B31" s="209"/>
      <c r="C31" s="210"/>
      <c r="D31" s="226" t="s">
        <v>142</v>
      </c>
      <c r="E31" s="141">
        <f>G18</f>
        <v>80</v>
      </c>
      <c r="F31" s="136">
        <v>80</v>
      </c>
      <c r="G31" s="137">
        <f>E31*F31</f>
        <v>6400</v>
      </c>
      <c r="H31" s="99">
        <f>G31+'11'!H31</f>
        <v>116000</v>
      </c>
      <c r="I31" s="140"/>
      <c r="J31" s="175">
        <f>H31/DAY(B2)</f>
        <v>9666.6666666666661</v>
      </c>
      <c r="K31" s="63"/>
      <c r="L31" s="89"/>
      <c r="N31" s="87"/>
      <c r="O31" s="71"/>
    </row>
    <row r="32" spans="1:15" s="88" customFormat="1" ht="32.25" customHeight="1" x14ac:dyDescent="0.5">
      <c r="A32" s="211" t="s">
        <v>159</v>
      </c>
      <c r="B32" s="212"/>
      <c r="C32" s="213"/>
      <c r="D32" s="142"/>
      <c r="E32" s="142"/>
      <c r="F32" s="142"/>
      <c r="G32" s="143">
        <f>G27+G28+G29+G30+G31</f>
        <v>198481</v>
      </c>
      <c r="H32" s="99">
        <f>G32+'11'!H32</f>
        <v>2824946</v>
      </c>
      <c r="I32" s="144"/>
      <c r="J32" s="175">
        <f>H32/DAY(B2)</f>
        <v>235412.16666666666</v>
      </c>
      <c r="K32" s="63"/>
      <c r="L32" s="89"/>
      <c r="N32" s="87"/>
      <c r="O32" s="71"/>
    </row>
    <row r="33" spans="1:15" ht="32.25" customHeight="1" x14ac:dyDescent="0.35">
      <c r="A33" s="835" t="s">
        <v>331</v>
      </c>
      <c r="B33" s="836"/>
      <c r="C33" s="836"/>
      <c r="D33" s="337"/>
      <c r="E33" s="337"/>
      <c r="F33" s="337"/>
      <c r="G33" s="337"/>
      <c r="H33" s="337"/>
      <c r="I33" s="337"/>
      <c r="J33" s="338"/>
      <c r="K33" s="79"/>
      <c r="L33" s="66"/>
      <c r="N33" s="87"/>
      <c r="O33" s="71"/>
    </row>
    <row r="34" spans="1:15" ht="32.25" customHeight="1" x14ac:dyDescent="0.5">
      <c r="A34" s="214" t="s">
        <v>160</v>
      </c>
      <c r="B34" s="349"/>
      <c r="C34" s="349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32.25" customHeight="1" x14ac:dyDescent="0.4">
      <c r="A35" s="194" t="s">
        <v>161</v>
      </c>
      <c r="B35" s="195"/>
      <c r="C35" s="195"/>
      <c r="D35" s="151" t="s">
        <v>130</v>
      </c>
      <c r="E35" s="95">
        <f>'11'!F35</f>
        <v>4860</v>
      </c>
      <c r="F35" s="145">
        <v>6382</v>
      </c>
      <c r="G35" s="112">
        <f t="shared" ref="G35:G46" si="3">F35-E35</f>
        <v>1522</v>
      </c>
      <c r="H35" s="99">
        <f>G35+'11'!H35</f>
        <v>21582</v>
      </c>
      <c r="I35" s="95"/>
      <c r="J35" s="175">
        <f>H35/DAY(B2)</f>
        <v>1798.5</v>
      </c>
      <c r="K35" s="79"/>
      <c r="L35" s="66"/>
      <c r="N35" s="87"/>
      <c r="O35" s="71"/>
    </row>
    <row r="36" spans="1:15" ht="32.25" customHeight="1" x14ac:dyDescent="0.4">
      <c r="A36" s="194" t="s">
        <v>162</v>
      </c>
      <c r="B36" s="195"/>
      <c r="C36" s="195"/>
      <c r="D36" s="151" t="s">
        <v>130</v>
      </c>
      <c r="E36" s="95">
        <f>'11'!F36</f>
        <v>29899</v>
      </c>
      <c r="F36" s="145">
        <v>30512</v>
      </c>
      <c r="G36" s="112">
        <f t="shared" si="3"/>
        <v>613</v>
      </c>
      <c r="H36" s="99">
        <f>G36+'11'!H36</f>
        <v>8985</v>
      </c>
      <c r="I36" s="95"/>
      <c r="J36" s="175">
        <f>H36/DAY(B2)</f>
        <v>748.75</v>
      </c>
      <c r="K36" s="79"/>
      <c r="L36" s="66"/>
      <c r="N36" s="87"/>
      <c r="O36" s="344"/>
    </row>
    <row r="37" spans="1:15" ht="32.25" customHeight="1" x14ac:dyDescent="0.4">
      <c r="A37" s="194" t="s">
        <v>163</v>
      </c>
      <c r="B37" s="195"/>
      <c r="C37" s="195"/>
      <c r="D37" s="151" t="s">
        <v>130</v>
      </c>
      <c r="E37" s="95">
        <f>'11'!F37</f>
        <v>4369</v>
      </c>
      <c r="F37" s="376">
        <v>5850</v>
      </c>
      <c r="G37" s="112">
        <f t="shared" si="3"/>
        <v>1481</v>
      </c>
      <c r="H37" s="99">
        <f>G37+'11'!H37</f>
        <v>18062</v>
      </c>
      <c r="I37" s="95"/>
      <c r="J37" s="175">
        <f>H37/DAY(B2)</f>
        <v>1505.1666666666667</v>
      </c>
      <c r="K37" s="79"/>
      <c r="L37" s="66"/>
      <c r="N37" s="87"/>
      <c r="O37" s="234"/>
    </row>
    <row r="38" spans="1:15" ht="32.25" customHeight="1" x14ac:dyDescent="0.4">
      <c r="A38" s="194" t="s">
        <v>164</v>
      </c>
      <c r="B38" s="195"/>
      <c r="C38" s="195"/>
      <c r="D38" s="151" t="s">
        <v>130</v>
      </c>
      <c r="E38" s="95">
        <f>'11'!F38</f>
        <v>4693</v>
      </c>
      <c r="F38" s="108">
        <v>6177</v>
      </c>
      <c r="G38" s="112">
        <f t="shared" si="3"/>
        <v>1484</v>
      </c>
      <c r="H38" s="99">
        <f>G38+'11'!H38</f>
        <v>19377</v>
      </c>
      <c r="I38" s="95"/>
      <c r="J38" s="175">
        <f>H38/DAY(B2)</f>
        <v>1614.75</v>
      </c>
      <c r="K38" s="79"/>
      <c r="L38" s="66"/>
      <c r="N38" s="87"/>
      <c r="O38" s="71"/>
    </row>
    <row r="39" spans="1:15" ht="32.25" customHeight="1" x14ac:dyDescent="0.4">
      <c r="A39" s="194" t="s">
        <v>165</v>
      </c>
      <c r="B39" s="195"/>
      <c r="C39" s="195"/>
      <c r="D39" s="151" t="s">
        <v>130</v>
      </c>
      <c r="E39" s="95">
        <f>'11'!F39</f>
        <v>7655</v>
      </c>
      <c r="F39" s="145">
        <v>10116</v>
      </c>
      <c r="G39" s="112">
        <f t="shared" si="3"/>
        <v>2461</v>
      </c>
      <c r="H39" s="99">
        <f>G39+'11'!H39</f>
        <v>31798</v>
      </c>
      <c r="I39" s="95"/>
      <c r="J39" s="175">
        <f>H39/DAY(B2)</f>
        <v>2649.8333333333335</v>
      </c>
      <c r="K39" s="79"/>
      <c r="L39" s="66"/>
      <c r="N39" s="87"/>
      <c r="O39" s="71"/>
    </row>
    <row r="40" spans="1:15" ht="32.25" customHeight="1" x14ac:dyDescent="0.4">
      <c r="A40" s="215" t="s">
        <v>166</v>
      </c>
      <c r="B40" s="216"/>
      <c r="C40" s="216"/>
      <c r="D40" s="151" t="s">
        <v>130</v>
      </c>
      <c r="E40" s="95">
        <f>'11'!F40</f>
        <v>9994</v>
      </c>
      <c r="F40" s="145">
        <v>10732</v>
      </c>
      <c r="G40" s="112">
        <f t="shared" si="3"/>
        <v>738</v>
      </c>
      <c r="H40" s="99">
        <f>G40+'11'!H40</f>
        <v>5122</v>
      </c>
      <c r="I40" s="95"/>
      <c r="J40" s="175">
        <f>H40/DAY(B2)</f>
        <v>426.83333333333331</v>
      </c>
      <c r="K40" s="80"/>
      <c r="L40" s="66"/>
      <c r="N40" s="87"/>
      <c r="O40" s="71"/>
    </row>
    <row r="41" spans="1:15" ht="32.25" customHeight="1" x14ac:dyDescent="0.4">
      <c r="A41" s="194" t="s">
        <v>167</v>
      </c>
      <c r="B41" s="195"/>
      <c r="C41" s="195"/>
      <c r="D41" s="151" t="s">
        <v>130</v>
      </c>
      <c r="E41" s="95">
        <f>'11'!F41</f>
        <v>0</v>
      </c>
      <c r="F41" s="145">
        <v>0</v>
      </c>
      <c r="G41" s="112">
        <f t="shared" si="3"/>
        <v>0</v>
      </c>
      <c r="H41" s="99">
        <f>G41+'11'!H41</f>
        <v>0</v>
      </c>
      <c r="I41" s="95"/>
      <c r="J41" s="175">
        <f>H41/DAY(B2)</f>
        <v>0</v>
      </c>
      <c r="K41" s="79"/>
      <c r="L41" s="66"/>
      <c r="N41" s="87"/>
      <c r="O41" s="71"/>
    </row>
    <row r="42" spans="1:15" ht="32.25" customHeight="1" x14ac:dyDescent="0.4">
      <c r="A42" s="194" t="s">
        <v>168</v>
      </c>
      <c r="B42" s="195"/>
      <c r="C42" s="195"/>
      <c r="D42" s="151" t="s">
        <v>130</v>
      </c>
      <c r="E42" s="95">
        <f>'11'!F42</f>
        <v>73809</v>
      </c>
      <c r="F42" s="145">
        <v>73809</v>
      </c>
      <c r="G42" s="112">
        <f t="shared" si="3"/>
        <v>0</v>
      </c>
      <c r="H42" s="99">
        <f>G42+'11'!H42</f>
        <v>0</v>
      </c>
      <c r="I42" s="95"/>
      <c r="J42" s="175">
        <f>H42/DAY(B2)</f>
        <v>0</v>
      </c>
      <c r="K42" s="79"/>
      <c r="L42" s="66"/>
      <c r="N42" s="87"/>
      <c r="O42" s="71"/>
    </row>
    <row r="43" spans="1:15" ht="32.25" customHeight="1" x14ac:dyDescent="0.4">
      <c r="A43" s="194" t="s">
        <v>169</v>
      </c>
      <c r="B43" s="195"/>
      <c r="C43" s="195"/>
      <c r="D43" s="151" t="s">
        <v>130</v>
      </c>
      <c r="E43" s="376">
        <v>72696</v>
      </c>
      <c r="F43" s="376">
        <v>74718</v>
      </c>
      <c r="G43" s="112">
        <f t="shared" si="3"/>
        <v>2022</v>
      </c>
      <c r="H43" s="99">
        <f>G43+'11'!H43</f>
        <v>27457</v>
      </c>
      <c r="I43" s="95"/>
      <c r="J43" s="175">
        <f>H43/DAY(B2)</f>
        <v>2288.0833333333335</v>
      </c>
      <c r="K43" s="79"/>
      <c r="L43" s="66"/>
      <c r="N43" s="87"/>
      <c r="O43" s="71"/>
    </row>
    <row r="44" spans="1:15" ht="32.25" customHeight="1" x14ac:dyDescent="0.4">
      <c r="A44" s="194" t="s">
        <v>170</v>
      </c>
      <c r="B44" s="195"/>
      <c r="C44" s="195"/>
      <c r="D44" s="151" t="s">
        <v>130</v>
      </c>
      <c r="E44" s="95">
        <f>'11'!F44</f>
        <v>0</v>
      </c>
      <c r="F44" s="145">
        <v>0</v>
      </c>
      <c r="G44" s="112">
        <f t="shared" si="3"/>
        <v>0</v>
      </c>
      <c r="H44" s="99">
        <f>G44+'11'!H44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32.25" customHeight="1" x14ac:dyDescent="0.4">
      <c r="A45" s="194" t="s">
        <v>171</v>
      </c>
      <c r="B45" s="195"/>
      <c r="C45" s="195"/>
      <c r="D45" s="151" t="s">
        <v>130</v>
      </c>
      <c r="E45" s="95">
        <f>'11'!F45</f>
        <v>0</v>
      </c>
      <c r="F45" s="145">
        <v>0</v>
      </c>
      <c r="G45" s="112">
        <f t="shared" si="3"/>
        <v>0</v>
      </c>
      <c r="H45" s="99">
        <f>G45+'11'!H45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32.25" customHeight="1" x14ac:dyDescent="0.4">
      <c r="A46" s="194" t="s">
        <v>172</v>
      </c>
      <c r="B46" s="195"/>
      <c r="C46" s="195"/>
      <c r="D46" s="151" t="s">
        <v>130</v>
      </c>
      <c r="E46" s="95">
        <f>'11'!F46</f>
        <v>0</v>
      </c>
      <c r="F46" s="145">
        <v>0</v>
      </c>
      <c r="G46" s="112">
        <f t="shared" si="3"/>
        <v>0</v>
      </c>
      <c r="H46" s="99">
        <f>G46+'11'!H46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32.25" customHeight="1" x14ac:dyDescent="0.5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10321</v>
      </c>
      <c r="H47" s="99">
        <f>G47+'11'!H47</f>
        <v>132383</v>
      </c>
      <c r="I47" s="95"/>
      <c r="J47" s="175">
        <f>H47/DAY(B2)</f>
        <v>11031.916666666666</v>
      </c>
      <c r="K47" s="79"/>
      <c r="L47" s="66"/>
      <c r="N47" s="87"/>
      <c r="O47" s="71"/>
    </row>
    <row r="48" spans="1:15" ht="32.25" customHeight="1" x14ac:dyDescent="0.5">
      <c r="A48" s="214" t="s">
        <v>174</v>
      </c>
      <c r="B48" s="349"/>
      <c r="C48" s="349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32.25" customHeight="1" x14ac:dyDescent="0.4">
      <c r="A49" s="194" t="s">
        <v>161</v>
      </c>
      <c r="B49" s="217"/>
      <c r="C49" s="217"/>
      <c r="D49" s="151" t="s">
        <v>130</v>
      </c>
      <c r="E49" s="95">
        <f>'11'!F49</f>
        <v>3680</v>
      </c>
      <c r="F49" s="145">
        <v>4914</v>
      </c>
      <c r="G49" s="112">
        <f t="shared" ref="G49:G58" si="4">F49-E49</f>
        <v>1234</v>
      </c>
      <c r="H49" s="99">
        <f>G49+'11'!H49</f>
        <v>18035</v>
      </c>
      <c r="I49" s="95"/>
      <c r="J49" s="175">
        <f>H49/DAY(B2)</f>
        <v>1502.9166666666667</v>
      </c>
      <c r="K49" s="79"/>
      <c r="L49" s="66"/>
      <c r="N49" s="87"/>
      <c r="O49" s="71"/>
    </row>
    <row r="50" spans="1:15" ht="32.25" customHeight="1" x14ac:dyDescent="0.4">
      <c r="A50" s="194" t="s">
        <v>175</v>
      </c>
      <c r="B50" s="217"/>
      <c r="C50" s="217"/>
      <c r="D50" s="151" t="s">
        <v>130</v>
      </c>
      <c r="E50" s="145">
        <v>35964</v>
      </c>
      <c r="F50" s="145">
        <v>36812</v>
      </c>
      <c r="G50" s="112">
        <f t="shared" si="4"/>
        <v>848</v>
      </c>
      <c r="H50" s="99">
        <f>G50+'11'!H50</f>
        <v>12162</v>
      </c>
      <c r="I50" s="95"/>
      <c r="J50" s="175">
        <f>H50/DAY(B2)</f>
        <v>1013.5</v>
      </c>
      <c r="K50" s="79"/>
      <c r="L50" s="66"/>
      <c r="N50" s="87"/>
      <c r="O50" s="71"/>
    </row>
    <row r="51" spans="1:15" ht="32.25" customHeight="1" x14ac:dyDescent="0.4">
      <c r="A51" s="194" t="s">
        <v>163</v>
      </c>
      <c r="B51" s="217"/>
      <c r="C51" s="217"/>
      <c r="D51" s="151" t="s">
        <v>130</v>
      </c>
      <c r="E51" s="95">
        <f>'11'!F51</f>
        <v>0</v>
      </c>
      <c r="F51" s="145">
        <v>0</v>
      </c>
      <c r="G51" s="112">
        <f t="shared" si="4"/>
        <v>0</v>
      </c>
      <c r="H51" s="99">
        <f>G51+'11'!H51</f>
        <v>0</v>
      </c>
      <c r="I51" s="95"/>
      <c r="J51" s="175">
        <f>H51/DAY(B2)</f>
        <v>0</v>
      </c>
      <c r="K51" s="79"/>
      <c r="L51" s="66"/>
      <c r="N51" s="87"/>
      <c r="O51" s="71"/>
    </row>
    <row r="52" spans="1:15" ht="32.25" customHeight="1" x14ac:dyDescent="0.4">
      <c r="A52" s="194" t="s">
        <v>176</v>
      </c>
      <c r="B52" s="217"/>
      <c r="C52" s="217"/>
      <c r="D52" s="151" t="s">
        <v>130</v>
      </c>
      <c r="E52" s="95">
        <f>'11'!F52</f>
        <v>0</v>
      </c>
      <c r="F52" s="145">
        <v>0</v>
      </c>
      <c r="G52" s="112">
        <f t="shared" si="4"/>
        <v>0</v>
      </c>
      <c r="H52" s="99">
        <f>G52+'11'!H52</f>
        <v>0</v>
      </c>
      <c r="I52" s="95"/>
      <c r="J52" s="175">
        <f>H52/DAY(B2)</f>
        <v>0</v>
      </c>
      <c r="K52" s="79"/>
      <c r="L52" s="66"/>
      <c r="N52" s="87"/>
      <c r="O52" s="71"/>
    </row>
    <row r="53" spans="1:15" ht="32.25" customHeight="1" x14ac:dyDescent="0.4">
      <c r="A53" s="194" t="s">
        <v>165</v>
      </c>
      <c r="B53" s="217"/>
      <c r="C53" s="217"/>
      <c r="D53" s="151" t="s">
        <v>130</v>
      </c>
      <c r="E53" s="95">
        <f>'11'!F53</f>
        <v>0</v>
      </c>
      <c r="F53" s="145">
        <v>0</v>
      </c>
      <c r="G53" s="112">
        <f t="shared" si="4"/>
        <v>0</v>
      </c>
      <c r="H53" s="99">
        <f>G53+'11'!H53</f>
        <v>0</v>
      </c>
      <c r="I53" s="95"/>
      <c r="J53" s="175">
        <f>H53/DAY(B2)</f>
        <v>0</v>
      </c>
      <c r="K53" s="79"/>
      <c r="L53" s="66"/>
      <c r="N53" s="87"/>
      <c r="O53" s="71"/>
    </row>
    <row r="54" spans="1:15" ht="32.25" customHeight="1" x14ac:dyDescent="0.4">
      <c r="A54" s="194" t="s">
        <v>177</v>
      </c>
      <c r="B54" s="217"/>
      <c r="C54" s="217"/>
      <c r="D54" s="151" t="s">
        <v>130</v>
      </c>
      <c r="E54" s="95">
        <f>'11'!F54</f>
        <v>1724</v>
      </c>
      <c r="F54" s="145">
        <v>2198</v>
      </c>
      <c r="G54" s="112">
        <f t="shared" si="4"/>
        <v>474</v>
      </c>
      <c r="H54" s="99">
        <f>G54+'11'!H54</f>
        <v>3965.08</v>
      </c>
      <c r="I54" s="95"/>
      <c r="J54" s="175">
        <f>H54/DAY(B2)</f>
        <v>330.42333333333335</v>
      </c>
      <c r="K54" s="79"/>
      <c r="L54" s="66"/>
      <c r="N54" s="87"/>
      <c r="O54" s="71"/>
    </row>
    <row r="55" spans="1:15" ht="32.25" customHeight="1" x14ac:dyDescent="0.4">
      <c r="A55" s="194" t="s">
        <v>178</v>
      </c>
      <c r="B55" s="217"/>
      <c r="C55" s="217"/>
      <c r="D55" s="151" t="s">
        <v>130</v>
      </c>
      <c r="E55" s="95">
        <f>'11'!F55</f>
        <v>36897</v>
      </c>
      <c r="F55" s="145">
        <v>39709</v>
      </c>
      <c r="G55" s="112">
        <f t="shared" si="4"/>
        <v>2812</v>
      </c>
      <c r="H55" s="99">
        <f>G55+'11'!H55</f>
        <v>36198</v>
      </c>
      <c r="I55" s="95"/>
      <c r="J55" s="175">
        <f>H55/DAY(B2)</f>
        <v>3016.5</v>
      </c>
      <c r="K55" s="79"/>
      <c r="L55" s="66"/>
      <c r="N55" s="87"/>
      <c r="O55" s="71"/>
    </row>
    <row r="56" spans="1:15" ht="32.25" customHeight="1" x14ac:dyDescent="0.4">
      <c r="A56" s="194" t="s">
        <v>179</v>
      </c>
      <c r="B56" s="217"/>
      <c r="C56" s="217"/>
      <c r="D56" s="151" t="s">
        <v>180</v>
      </c>
      <c r="E56" s="95">
        <f>'11'!F56</f>
        <v>8611</v>
      </c>
      <c r="F56" s="145">
        <v>8611</v>
      </c>
      <c r="G56" s="112">
        <f t="shared" si="4"/>
        <v>0</v>
      </c>
      <c r="H56" s="99">
        <f>G56+'11'!H56</f>
        <v>0.45999999999912689</v>
      </c>
      <c r="I56" s="95"/>
      <c r="J56" s="175">
        <f>H56/DAY(B2)</f>
        <v>3.8333333333260576E-2</v>
      </c>
      <c r="K56" s="78"/>
      <c r="L56" s="66"/>
      <c r="N56" s="87"/>
      <c r="O56" s="71"/>
    </row>
    <row r="57" spans="1:15" ht="32.25" customHeight="1" x14ac:dyDescent="0.4">
      <c r="A57" s="194" t="s">
        <v>169</v>
      </c>
      <c r="B57" s="217"/>
      <c r="C57" s="217"/>
      <c r="D57" s="151" t="s">
        <v>130</v>
      </c>
      <c r="E57" s="95">
        <f>'11'!F57</f>
        <v>0</v>
      </c>
      <c r="F57" s="145">
        <v>0</v>
      </c>
      <c r="G57" s="112">
        <f t="shared" si="4"/>
        <v>0</v>
      </c>
      <c r="H57" s="99">
        <f>G57+'11'!H57</f>
        <v>0</v>
      </c>
      <c r="I57" s="95"/>
      <c r="J57" s="175">
        <f>H57/DAY(B2)</f>
        <v>0</v>
      </c>
      <c r="K57" s="79"/>
      <c r="L57" s="66"/>
      <c r="N57" s="87"/>
      <c r="O57" s="71"/>
    </row>
    <row r="58" spans="1:15" ht="32.25" customHeight="1" x14ac:dyDescent="0.4">
      <c r="A58" s="194" t="s">
        <v>181</v>
      </c>
      <c r="B58" s="217"/>
      <c r="C58" s="217"/>
      <c r="D58" s="151" t="s">
        <v>130</v>
      </c>
      <c r="E58" s="95">
        <f>'11'!F58</f>
        <v>1329</v>
      </c>
      <c r="F58" s="145">
        <v>1342</v>
      </c>
      <c r="G58" s="112">
        <f t="shared" si="4"/>
        <v>13</v>
      </c>
      <c r="H58" s="99">
        <f>G58+'11'!H58</f>
        <v>1682.6300000000047</v>
      </c>
      <c r="I58" s="95"/>
      <c r="J58" s="175">
        <f>H58/DAY(B2)</f>
        <v>140.21916666666706</v>
      </c>
      <c r="K58" s="79"/>
      <c r="L58" s="66"/>
      <c r="N58" s="87"/>
      <c r="O58" s="71"/>
    </row>
    <row r="59" spans="1:15" ht="32.25" customHeight="1" x14ac:dyDescent="0.5">
      <c r="A59" s="201" t="s">
        <v>173</v>
      </c>
      <c r="B59" s="202"/>
      <c r="C59" s="202"/>
      <c r="D59" s="146"/>
      <c r="E59" s="146"/>
      <c r="F59" s="146"/>
      <c r="G59" s="119">
        <f>G49+G50+G51+G52+G53+G54+G55+G56+G57+G58</f>
        <v>5381</v>
      </c>
      <c r="H59" s="99">
        <f>G59+'11'!H59</f>
        <v>72043.170000000013</v>
      </c>
      <c r="I59" s="95">
        <f>G7-G60</f>
        <v>829</v>
      </c>
      <c r="J59" s="175">
        <f>H59/DAY(B2)</f>
        <v>6003.5975000000008</v>
      </c>
      <c r="K59" s="79"/>
      <c r="L59" s="66"/>
      <c r="N59" s="87"/>
      <c r="O59" s="71"/>
    </row>
    <row r="60" spans="1:15" ht="32.25" customHeight="1" x14ac:dyDescent="0.4">
      <c r="A60" s="194"/>
      <c r="B60" s="195"/>
      <c r="C60" s="195"/>
      <c r="D60" s="146" t="s">
        <v>182</v>
      </c>
      <c r="E60" s="146"/>
      <c r="F60" s="146"/>
      <c r="G60" s="119">
        <f>G47+G59</f>
        <v>15702</v>
      </c>
      <c r="H60" s="99">
        <f>G60+'11'!H60</f>
        <v>204426.16999999998</v>
      </c>
      <c r="I60" s="95">
        <f>G13-G60</f>
        <v>357</v>
      </c>
      <c r="J60" s="175">
        <f>H60/DAY(B2)</f>
        <v>17035.514166666664</v>
      </c>
      <c r="K60" s="79"/>
      <c r="L60" s="66"/>
      <c r="N60" s="87"/>
      <c r="O60" s="71"/>
    </row>
    <row r="61" spans="1:15" s="68" customFormat="1" ht="32.25" customHeight="1" x14ac:dyDescent="0.5">
      <c r="A61" s="837" t="s">
        <v>332</v>
      </c>
      <c r="B61" s="838"/>
      <c r="C61" s="839"/>
      <c r="D61" s="339"/>
      <c r="E61" s="339"/>
      <c r="F61" s="339"/>
      <c r="G61" s="340"/>
      <c r="H61" s="339"/>
      <c r="I61" s="339"/>
      <c r="J61" s="341"/>
      <c r="K61" s="69"/>
      <c r="L61" s="67"/>
      <c r="N61" s="87"/>
      <c r="O61" s="71"/>
    </row>
    <row r="62" spans="1:15" ht="32.25" customHeight="1" x14ac:dyDescent="0.5">
      <c r="A62" s="818" t="s">
        <v>198</v>
      </c>
      <c r="B62" s="819"/>
      <c r="C62" s="820"/>
      <c r="D62" s="151" t="s">
        <v>142</v>
      </c>
      <c r="E62" s="95">
        <f>'11'!F62</f>
        <v>267884</v>
      </c>
      <c r="F62" s="122">
        <v>267928</v>
      </c>
      <c r="G62" s="112">
        <f t="shared" ref="G62:G63" si="5">F62-E62</f>
        <v>44</v>
      </c>
      <c r="H62" s="99">
        <f>G62+'11'!H62</f>
        <v>715</v>
      </c>
      <c r="I62" s="118"/>
      <c r="J62" s="175">
        <f>H62/DAY(B2)</f>
        <v>59.583333333333336</v>
      </c>
      <c r="K62" s="80"/>
      <c r="L62" s="66"/>
      <c r="N62" s="87"/>
      <c r="O62" s="71"/>
    </row>
    <row r="63" spans="1:15" ht="32.25" customHeight="1" x14ac:dyDescent="0.5">
      <c r="A63" s="818" t="s">
        <v>199</v>
      </c>
      <c r="B63" s="819"/>
      <c r="C63" s="820"/>
      <c r="D63" s="151" t="s">
        <v>142</v>
      </c>
      <c r="E63" s="95">
        <f>'11'!F63</f>
        <v>213609</v>
      </c>
      <c r="F63" s="122">
        <v>213706</v>
      </c>
      <c r="G63" s="112">
        <f t="shared" si="5"/>
        <v>97</v>
      </c>
      <c r="H63" s="99">
        <f>G63+'11'!H63</f>
        <v>1281</v>
      </c>
      <c r="I63" s="118"/>
      <c r="J63" s="175">
        <f>H63/DAY(B2)</f>
        <v>106.75</v>
      </c>
      <c r="K63" s="69"/>
      <c r="L63" s="66"/>
      <c r="N63" s="87"/>
      <c r="O63" s="71"/>
    </row>
    <row r="64" spans="1:15" ht="32.25" customHeight="1" x14ac:dyDescent="0.5">
      <c r="A64" s="815" t="s">
        <v>200</v>
      </c>
      <c r="B64" s="816"/>
      <c r="C64" s="817"/>
      <c r="D64" s="151"/>
      <c r="E64" s="95">
        <f>'11'!F64</f>
        <v>0</v>
      </c>
      <c r="F64" s="122"/>
      <c r="G64" s="112">
        <f>G62+G63</f>
        <v>141</v>
      </c>
      <c r="H64" s="99">
        <f>G64+'11'!H64</f>
        <v>1996</v>
      </c>
      <c r="I64" s="118"/>
      <c r="J64" s="175">
        <f>H64/DAY(B2)</f>
        <v>166.33333333333334</v>
      </c>
      <c r="K64" s="69"/>
      <c r="L64" s="66"/>
      <c r="N64" s="87"/>
      <c r="O64" s="71"/>
    </row>
    <row r="65" spans="1:15" ht="32.25" customHeight="1" x14ac:dyDescent="0.5">
      <c r="A65" s="818" t="s">
        <v>201</v>
      </c>
      <c r="B65" s="819"/>
      <c r="C65" s="820"/>
      <c r="D65" s="151" t="s">
        <v>142</v>
      </c>
      <c r="E65" s="95">
        <f>'11'!F65</f>
        <v>433422</v>
      </c>
      <c r="F65" s="122">
        <v>433470</v>
      </c>
      <c r="G65" s="112">
        <f t="shared" ref="G65:G70" si="6">F65-E65</f>
        <v>48</v>
      </c>
      <c r="H65" s="99">
        <f>G65+'11'!H65</f>
        <v>856</v>
      </c>
      <c r="I65" s="118"/>
      <c r="J65" s="175">
        <f>H65/DAY(B2)</f>
        <v>71.333333333333329</v>
      </c>
      <c r="K65" s="69"/>
      <c r="L65" s="66"/>
      <c r="N65" s="87"/>
      <c r="O65" s="71"/>
    </row>
    <row r="66" spans="1:15" ht="32.25" customHeight="1" x14ac:dyDescent="0.5">
      <c r="A66" s="345" t="s">
        <v>202</v>
      </c>
      <c r="B66" s="346"/>
      <c r="C66" s="346"/>
      <c r="D66" s="151" t="s">
        <v>142</v>
      </c>
      <c r="E66" s="95">
        <f>'11'!F66</f>
        <v>107424</v>
      </c>
      <c r="F66" s="122">
        <v>107430</v>
      </c>
      <c r="G66" s="112">
        <f t="shared" si="6"/>
        <v>6</v>
      </c>
      <c r="H66" s="99">
        <f>G66+'11'!H66</f>
        <v>216</v>
      </c>
      <c r="I66" s="118"/>
      <c r="J66" s="175">
        <f>H66/DAY(B2)</f>
        <v>18</v>
      </c>
      <c r="K66" s="78"/>
      <c r="L66" s="66"/>
      <c r="N66" s="87"/>
      <c r="O66" s="71"/>
    </row>
    <row r="67" spans="1:15" ht="32.25" customHeight="1" x14ac:dyDescent="0.5">
      <c r="A67" s="345" t="s">
        <v>203</v>
      </c>
      <c r="B67" s="346"/>
      <c r="C67" s="346"/>
      <c r="D67" s="151" t="s">
        <v>142</v>
      </c>
      <c r="E67" s="95">
        <f>'11'!F67</f>
        <v>104203</v>
      </c>
      <c r="F67" s="122">
        <v>104218</v>
      </c>
      <c r="G67" s="112">
        <f t="shared" si="6"/>
        <v>15</v>
      </c>
      <c r="H67" s="99">
        <f>G67+'11'!H67</f>
        <v>290</v>
      </c>
      <c r="I67" s="118"/>
      <c r="J67" s="175">
        <f>H67/DAY(B2)</f>
        <v>24.166666666666668</v>
      </c>
      <c r="K67" s="81"/>
      <c r="L67" s="66"/>
      <c r="N67" s="87"/>
      <c r="O67" s="71"/>
    </row>
    <row r="68" spans="1:15" ht="32.25" customHeight="1" x14ac:dyDescent="0.5">
      <c r="A68" s="345" t="s">
        <v>204</v>
      </c>
      <c r="B68" s="346"/>
      <c r="C68" s="346"/>
      <c r="D68" s="151" t="s">
        <v>142</v>
      </c>
      <c r="E68" s="95">
        <f>'11'!F68</f>
        <v>156905</v>
      </c>
      <c r="F68" s="122">
        <v>156928</v>
      </c>
      <c r="G68" s="112">
        <f t="shared" si="6"/>
        <v>23</v>
      </c>
      <c r="H68" s="99">
        <f>G68+'11'!H68</f>
        <v>308</v>
      </c>
      <c r="I68" s="118"/>
      <c r="J68" s="175">
        <f>H68/DAY(B2)</f>
        <v>25.666666666666668</v>
      </c>
      <c r="K68" s="69"/>
      <c r="L68" s="66"/>
      <c r="N68" s="87"/>
      <c r="O68" s="71"/>
    </row>
    <row r="69" spans="1:15" ht="32.25" customHeight="1" x14ac:dyDescent="0.5">
      <c r="A69" s="345" t="s">
        <v>205</v>
      </c>
      <c r="B69" s="346"/>
      <c r="C69" s="346"/>
      <c r="D69" s="151" t="s">
        <v>142</v>
      </c>
      <c r="E69" s="95">
        <f>'11'!F69</f>
        <v>10335</v>
      </c>
      <c r="F69" s="122">
        <v>10341</v>
      </c>
      <c r="G69" s="112">
        <f t="shared" si="6"/>
        <v>6</v>
      </c>
      <c r="H69" s="99">
        <f>G69+'11'!H69</f>
        <v>127</v>
      </c>
      <c r="I69" s="118"/>
      <c r="J69" s="175">
        <f>H69/DAY(B2)</f>
        <v>10.583333333333334</v>
      </c>
      <c r="K69" s="69"/>
      <c r="L69" s="66"/>
      <c r="N69" s="87"/>
      <c r="O69" s="71"/>
    </row>
    <row r="70" spans="1:15" ht="32.25" customHeight="1" x14ac:dyDescent="0.5">
      <c r="A70" s="345" t="s">
        <v>206</v>
      </c>
      <c r="B70" s="346"/>
      <c r="C70" s="346"/>
      <c r="D70" s="151" t="s">
        <v>142</v>
      </c>
      <c r="E70" s="95">
        <f>'11'!F70</f>
        <v>7953</v>
      </c>
      <c r="F70" s="122">
        <v>7957</v>
      </c>
      <c r="G70" s="112">
        <f t="shared" si="6"/>
        <v>4</v>
      </c>
      <c r="H70" s="99">
        <f>G70+'11'!H70</f>
        <v>95</v>
      </c>
      <c r="I70" s="118"/>
      <c r="J70" s="175">
        <f>H70/DAY(B2)</f>
        <v>7.916666666666667</v>
      </c>
      <c r="K70" s="69"/>
      <c r="L70" s="66"/>
      <c r="N70" s="87"/>
      <c r="O70" s="71"/>
    </row>
    <row r="71" spans="1:15" ht="32.25" customHeight="1" x14ac:dyDescent="0.5">
      <c r="A71" s="815" t="s">
        <v>208</v>
      </c>
      <c r="B71" s="816"/>
      <c r="C71" s="817"/>
      <c r="D71" s="152"/>
      <c r="E71" s="152"/>
      <c r="F71" s="152"/>
      <c r="G71" s="153">
        <f>SUM(G65:G70)</f>
        <v>102</v>
      </c>
      <c r="H71" s="99">
        <f>G71+'11'!H71</f>
        <v>1892</v>
      </c>
      <c r="I71" s="154"/>
      <c r="J71" s="175">
        <f>H71/DAY(B2)</f>
        <v>157.66666666666666</v>
      </c>
      <c r="K71" s="69"/>
      <c r="L71" s="66"/>
      <c r="N71" s="87"/>
      <c r="O71" s="71"/>
    </row>
    <row r="72" spans="1:15" s="88" customFormat="1" ht="32.25" customHeight="1" x14ac:dyDescent="0.5">
      <c r="A72" s="861"/>
      <c r="B72" s="853"/>
      <c r="C72" s="347"/>
      <c r="D72" s="180"/>
      <c r="E72" s="180" t="s">
        <v>207</v>
      </c>
      <c r="F72" s="180"/>
      <c r="G72" s="180"/>
      <c r="H72" s="181"/>
      <c r="I72" s="180"/>
      <c r="J72" s="182"/>
      <c r="N72" s="87"/>
      <c r="O72" s="71"/>
    </row>
    <row r="73" spans="1:15" ht="32.25" customHeight="1" x14ac:dyDescent="0.5">
      <c r="A73" s="866" t="s">
        <v>333</v>
      </c>
      <c r="B73" s="867"/>
      <c r="C73" s="868"/>
      <c r="D73" s="339"/>
      <c r="E73" s="339"/>
      <c r="F73" s="339"/>
      <c r="G73" s="342"/>
      <c r="H73" s="342"/>
      <c r="I73" s="342"/>
      <c r="J73" s="343"/>
      <c r="K73" s="69"/>
      <c r="L73" s="66"/>
      <c r="N73" s="87"/>
      <c r="O73" s="71"/>
    </row>
    <row r="74" spans="1:15" ht="32.25" customHeight="1" x14ac:dyDescent="0.5">
      <c r="A74" s="818" t="s">
        <v>220</v>
      </c>
      <c r="B74" s="819"/>
      <c r="C74" s="820"/>
      <c r="D74" s="151" t="s">
        <v>139</v>
      </c>
      <c r="E74" s="95">
        <f>'11'!F74</f>
        <v>895242</v>
      </c>
      <c r="F74" s="117">
        <v>895621</v>
      </c>
      <c r="G74" s="112">
        <f t="shared" ref="G74:G78" si="7">F74-E74</f>
        <v>379</v>
      </c>
      <c r="H74" s="99">
        <f>G74+'11'!H74</f>
        <v>3589</v>
      </c>
      <c r="I74" s="154"/>
      <c r="J74" s="175">
        <f>H74/DAY(B2)</f>
        <v>299.08333333333331</v>
      </c>
      <c r="K74" s="69"/>
      <c r="L74" s="66"/>
      <c r="N74" s="87"/>
      <c r="O74" s="71"/>
    </row>
    <row r="75" spans="1:15" ht="32.25" customHeight="1" x14ac:dyDescent="0.5">
      <c r="A75" s="818" t="s">
        <v>221</v>
      </c>
      <c r="B75" s="819"/>
      <c r="C75" s="820"/>
      <c r="D75" s="151" t="s">
        <v>139</v>
      </c>
      <c r="E75" s="95">
        <f>'11'!F75</f>
        <v>73587</v>
      </c>
      <c r="F75" s="123">
        <v>73587</v>
      </c>
      <c r="G75" s="112">
        <f t="shared" si="7"/>
        <v>0</v>
      </c>
      <c r="H75" s="99">
        <f>G75+'11'!H75</f>
        <v>0.19999999999708962</v>
      </c>
      <c r="I75" s="154"/>
      <c r="J75" s="175">
        <f>H75/DAY(B2)</f>
        <v>1.6666666666424135E-2</v>
      </c>
      <c r="K75" s="69"/>
      <c r="L75" s="66"/>
      <c r="N75" s="87"/>
      <c r="O75" s="71"/>
    </row>
    <row r="76" spans="1:15" ht="32.25" customHeight="1" x14ac:dyDescent="0.5">
      <c r="A76" s="862" t="s">
        <v>222</v>
      </c>
      <c r="B76" s="848"/>
      <c r="C76" s="849"/>
      <c r="D76" s="151" t="s">
        <v>139</v>
      </c>
      <c r="E76" s="95">
        <f>'11'!F76</f>
        <v>168158</v>
      </c>
      <c r="F76" s="123">
        <v>168236</v>
      </c>
      <c r="G76" s="112">
        <f t="shared" si="7"/>
        <v>78</v>
      </c>
      <c r="H76" s="99">
        <f>G76+'11'!H76</f>
        <v>1029</v>
      </c>
      <c r="I76" s="154"/>
      <c r="J76" s="175">
        <f>H76/DAY(B2)</f>
        <v>85.75</v>
      </c>
      <c r="K76" s="69"/>
      <c r="L76" s="66"/>
      <c r="N76" s="87"/>
      <c r="O76" s="71"/>
    </row>
    <row r="77" spans="1:15" ht="32.25" customHeight="1" x14ac:dyDescent="0.5">
      <c r="A77" s="862" t="s">
        <v>223</v>
      </c>
      <c r="B77" s="848"/>
      <c r="C77" s="849"/>
      <c r="D77" s="151" t="s">
        <v>139</v>
      </c>
      <c r="E77" s="95">
        <f>'11'!F77</f>
        <v>40671</v>
      </c>
      <c r="F77" s="123">
        <v>40694</v>
      </c>
      <c r="G77" s="112">
        <f t="shared" si="7"/>
        <v>23</v>
      </c>
      <c r="H77" s="99">
        <f>G77+'11'!H77</f>
        <v>378</v>
      </c>
      <c r="I77" s="154"/>
      <c r="J77" s="175">
        <f>H77/DAY(B2)</f>
        <v>31.5</v>
      </c>
      <c r="K77" s="69"/>
      <c r="L77" s="66"/>
      <c r="N77" s="87"/>
      <c r="O77" s="71"/>
    </row>
    <row r="78" spans="1:15" ht="32.25" customHeight="1" x14ac:dyDescent="0.5">
      <c r="A78" s="862" t="s">
        <v>224</v>
      </c>
      <c r="B78" s="848"/>
      <c r="C78" s="849"/>
      <c r="D78" s="151" t="s">
        <v>139</v>
      </c>
      <c r="E78" s="95">
        <f>'11'!F78</f>
        <v>9496</v>
      </c>
      <c r="F78" s="123">
        <v>9496</v>
      </c>
      <c r="G78" s="112">
        <f t="shared" si="7"/>
        <v>0</v>
      </c>
      <c r="H78" s="99">
        <f>G78+'11'!H78</f>
        <v>10</v>
      </c>
      <c r="I78" s="118"/>
      <c r="J78" s="175">
        <f>H78/DAY(B2)</f>
        <v>0.83333333333333337</v>
      </c>
      <c r="K78" s="69"/>
      <c r="L78" s="66"/>
      <c r="N78" s="87"/>
      <c r="O78" s="71"/>
    </row>
    <row r="79" spans="1:15" s="57" customFormat="1" ht="32.25" customHeight="1" x14ac:dyDescent="0.5">
      <c r="A79" s="862" t="s">
        <v>225</v>
      </c>
      <c r="B79" s="848"/>
      <c r="C79" s="849"/>
      <c r="D79" s="151"/>
      <c r="E79" s="95">
        <f>'11'!F79</f>
        <v>0</v>
      </c>
      <c r="F79" s="117"/>
      <c r="G79" s="112">
        <f>G15-SUM(G74:G78)</f>
        <v>164</v>
      </c>
      <c r="H79" s="99">
        <f>G79+'11'!H79</f>
        <v>5496.8000000000029</v>
      </c>
      <c r="I79" s="118"/>
      <c r="J79" s="175">
        <f>H79/DAY(B2)</f>
        <v>458.06666666666689</v>
      </c>
      <c r="K79" s="59"/>
      <c r="L79" s="58"/>
      <c r="N79" s="87"/>
      <c r="O79" s="71"/>
    </row>
    <row r="80" spans="1:15" s="57" customFormat="1" ht="32.25" customHeight="1" x14ac:dyDescent="0.5">
      <c r="A80" s="815" t="s">
        <v>329</v>
      </c>
      <c r="B80" s="816"/>
      <c r="C80" s="817"/>
      <c r="D80" s="151"/>
      <c r="E80" s="117"/>
      <c r="F80" s="117"/>
      <c r="G80" s="112">
        <f>SUM(G74:G79)</f>
        <v>644</v>
      </c>
      <c r="H80" s="99">
        <f>G80+'11'!H80</f>
        <v>644</v>
      </c>
      <c r="I80" s="118"/>
      <c r="J80" s="175">
        <f>H80/DAY(B2)</f>
        <v>53.666666666666664</v>
      </c>
      <c r="K80" s="59"/>
      <c r="L80" s="58"/>
      <c r="N80" s="87"/>
      <c r="O80" s="71"/>
    </row>
    <row r="81" spans="1:15" ht="32.25" customHeight="1" x14ac:dyDescent="0.4">
      <c r="A81" s="854" t="s">
        <v>226</v>
      </c>
      <c r="B81" s="855"/>
      <c r="C81" s="856"/>
      <c r="D81" s="110"/>
      <c r="E81" s="110"/>
      <c r="F81" s="110"/>
      <c r="G81" s="163"/>
      <c r="H81" s="163"/>
      <c r="I81" s="163"/>
      <c r="J81" s="184"/>
      <c r="O81" s="71"/>
    </row>
    <row r="82" spans="1:15" ht="32.25" customHeight="1" x14ac:dyDescent="0.5">
      <c r="A82" s="345" t="s">
        <v>227</v>
      </c>
      <c r="B82" s="346"/>
      <c r="C82" s="346"/>
      <c r="D82" s="151" t="s">
        <v>228</v>
      </c>
      <c r="E82" s="95">
        <f>'11'!F82</f>
        <v>0</v>
      </c>
      <c r="F82" s="122">
        <v>0</v>
      </c>
      <c r="G82" s="112">
        <f t="shared" ref="G82:G92" si="8">F82-E82</f>
        <v>0</v>
      </c>
      <c r="H82" s="99">
        <f>G82+'11'!H82</f>
        <v>0</v>
      </c>
      <c r="I82" s="118"/>
      <c r="J82" s="175">
        <f>H82/DAY(B2)</f>
        <v>0</v>
      </c>
      <c r="O82" s="71"/>
    </row>
    <row r="83" spans="1:15" ht="32.25" customHeight="1" x14ac:dyDescent="0.5">
      <c r="A83" s="345" t="s">
        <v>229</v>
      </c>
      <c r="B83" s="346"/>
      <c r="C83" s="346"/>
      <c r="D83" s="151" t="s">
        <v>228</v>
      </c>
      <c r="E83" s="95">
        <f>'11'!F83</f>
        <v>0</v>
      </c>
      <c r="F83" s="122">
        <v>0</v>
      </c>
      <c r="G83" s="112">
        <f t="shared" si="8"/>
        <v>0</v>
      </c>
      <c r="H83" s="99">
        <f>G83+'11'!H83</f>
        <v>0</v>
      </c>
      <c r="I83" s="118"/>
      <c r="J83" s="175">
        <f>H83/DAY(B2)</f>
        <v>0</v>
      </c>
      <c r="O83" s="71"/>
    </row>
    <row r="84" spans="1:15" ht="32.25" customHeight="1" x14ac:dyDescent="0.5">
      <c r="A84" s="345" t="s">
        <v>230</v>
      </c>
      <c r="B84" s="346"/>
      <c r="C84" s="346"/>
      <c r="D84" s="151" t="s">
        <v>228</v>
      </c>
      <c r="E84" s="95">
        <f>'11'!F84</f>
        <v>41675</v>
      </c>
      <c r="F84" s="164">
        <v>41675</v>
      </c>
      <c r="G84" s="112">
        <f t="shared" si="8"/>
        <v>0</v>
      </c>
      <c r="H84" s="99">
        <f>G84+'11'!H84</f>
        <v>0</v>
      </c>
      <c r="I84" s="118"/>
      <c r="J84" s="175">
        <f>H84/DAY(B2)</f>
        <v>0</v>
      </c>
      <c r="O84" s="71"/>
    </row>
    <row r="85" spans="1:15" ht="32.25" customHeight="1" x14ac:dyDescent="0.5">
      <c r="A85" s="345" t="s">
        <v>231</v>
      </c>
      <c r="B85" s="346"/>
      <c r="C85" s="346"/>
      <c r="D85" s="151" t="s">
        <v>228</v>
      </c>
      <c r="E85" s="95">
        <f>'11'!F85</f>
        <v>2096.5500000000002</v>
      </c>
      <c r="F85" s="164">
        <v>2096.5500000000002</v>
      </c>
      <c r="G85" s="112">
        <f t="shared" si="8"/>
        <v>0</v>
      </c>
      <c r="H85" s="99">
        <f>G85+'11'!H85</f>
        <v>-9.9999999997635314E-3</v>
      </c>
      <c r="I85" s="118">
        <f>G82+G83+G84+G85</f>
        <v>0</v>
      </c>
      <c r="J85" s="175">
        <f>H85/DAY(B2)</f>
        <v>-8.3333333331362758E-4</v>
      </c>
      <c r="O85" s="71"/>
    </row>
    <row r="86" spans="1:15" ht="32.25" customHeight="1" x14ac:dyDescent="0.5">
      <c r="A86" s="345" t="s">
        <v>232</v>
      </c>
      <c r="B86" s="346"/>
      <c r="C86" s="346"/>
      <c r="D86" s="151" t="s">
        <v>228</v>
      </c>
      <c r="E86" s="95">
        <f>'11'!F86</f>
        <v>43128</v>
      </c>
      <c r="F86" s="164">
        <v>43152</v>
      </c>
      <c r="G86" s="112">
        <f t="shared" si="8"/>
        <v>24</v>
      </c>
      <c r="H86" s="99">
        <f>G86+'11'!H86</f>
        <v>289</v>
      </c>
      <c r="I86" s="118"/>
      <c r="J86" s="175">
        <f>H86/DAY(B2)</f>
        <v>24.083333333333332</v>
      </c>
      <c r="O86" s="71"/>
    </row>
    <row r="87" spans="1:15" ht="32.25" customHeight="1" x14ac:dyDescent="0.5">
      <c r="A87" s="345" t="s">
        <v>233</v>
      </c>
      <c r="B87" s="346"/>
      <c r="C87" s="346"/>
      <c r="D87" s="151" t="s">
        <v>228</v>
      </c>
      <c r="E87" s="95">
        <f>'11'!F87</f>
        <v>34598.550000000003</v>
      </c>
      <c r="F87" s="164">
        <v>34598.550000000003</v>
      </c>
      <c r="G87" s="112">
        <f t="shared" si="8"/>
        <v>0</v>
      </c>
      <c r="H87" s="99">
        <f>G87+'11'!H87</f>
        <v>0</v>
      </c>
      <c r="I87" s="118"/>
      <c r="J87" s="175">
        <f>H87/DAY(B2)</f>
        <v>0</v>
      </c>
      <c r="O87" s="71"/>
    </row>
    <row r="88" spans="1:15" ht="32.25" customHeight="1" x14ac:dyDescent="0.5">
      <c r="A88" s="345" t="s">
        <v>234</v>
      </c>
      <c r="B88" s="346"/>
      <c r="C88" s="346"/>
      <c r="D88" s="151" t="s">
        <v>228</v>
      </c>
      <c r="E88" s="95">
        <f>'11'!F88</f>
        <v>24058</v>
      </c>
      <c r="F88" s="164">
        <v>24058</v>
      </c>
      <c r="G88" s="112">
        <f t="shared" si="8"/>
        <v>0</v>
      </c>
      <c r="H88" s="99">
        <f>G88+'11'!H88</f>
        <v>11</v>
      </c>
      <c r="I88" s="118">
        <f>G86+G87+G88</f>
        <v>24</v>
      </c>
      <c r="J88" s="175">
        <f>H88/DAY(B2)</f>
        <v>0.91666666666666663</v>
      </c>
      <c r="O88" s="71"/>
    </row>
    <row r="89" spans="1:15" ht="32.25" customHeight="1" x14ac:dyDescent="0.5">
      <c r="A89" s="345" t="s">
        <v>235</v>
      </c>
      <c r="B89" s="346"/>
      <c r="C89" s="346"/>
      <c r="D89" s="151" t="s">
        <v>228</v>
      </c>
      <c r="E89" s="95">
        <f>'11'!F89</f>
        <v>25734</v>
      </c>
      <c r="F89" s="164">
        <v>25733.8</v>
      </c>
      <c r="G89" s="112">
        <f t="shared" si="8"/>
        <v>-0.2000000000007276</v>
      </c>
      <c r="H89" s="99">
        <f>G89+'11'!H89</f>
        <v>70.799999999999272</v>
      </c>
      <c r="I89" s="118"/>
      <c r="J89" s="175">
        <f>H89/DAY(B2)</f>
        <v>5.8999999999999391</v>
      </c>
      <c r="O89" s="71"/>
    </row>
    <row r="90" spans="1:15" ht="32.25" customHeight="1" x14ac:dyDescent="0.5">
      <c r="A90" s="345" t="s">
        <v>236</v>
      </c>
      <c r="B90" s="346"/>
      <c r="C90" s="346"/>
      <c r="D90" s="151" t="s">
        <v>228</v>
      </c>
      <c r="E90" s="95">
        <f>'11'!F90</f>
        <v>71088</v>
      </c>
      <c r="F90" s="164">
        <v>71097.37</v>
      </c>
      <c r="G90" s="112">
        <f t="shared" si="8"/>
        <v>9.3699999999953434</v>
      </c>
      <c r="H90" s="99">
        <f>G90+'11'!H90</f>
        <v>63.369999999995343</v>
      </c>
      <c r="I90" s="118">
        <f>G89+G90</f>
        <v>9.1699999999946158</v>
      </c>
      <c r="J90" s="175">
        <f>H90/DAY(B2)</f>
        <v>5.2808333333329456</v>
      </c>
      <c r="O90" s="71"/>
    </row>
    <row r="91" spans="1:15" ht="32.25" customHeight="1" x14ac:dyDescent="0.5">
      <c r="A91" s="345" t="s">
        <v>237</v>
      </c>
      <c r="B91" s="346"/>
      <c r="C91" s="346"/>
      <c r="D91" s="151" t="s">
        <v>228</v>
      </c>
      <c r="E91" s="95">
        <f>'11'!F91</f>
        <v>3226.32</v>
      </c>
      <c r="F91" s="122">
        <v>3226.32</v>
      </c>
      <c r="G91" s="112">
        <f t="shared" si="8"/>
        <v>0</v>
      </c>
      <c r="H91" s="99">
        <f>G91+'11'!H91</f>
        <v>0</v>
      </c>
      <c r="I91" s="165"/>
      <c r="J91" s="175">
        <f>H91/DAY(B2)</f>
        <v>0</v>
      </c>
      <c r="O91" s="71"/>
    </row>
    <row r="92" spans="1:15" ht="32.25" customHeight="1" x14ac:dyDescent="0.5">
      <c r="A92" s="345" t="s">
        <v>238</v>
      </c>
      <c r="B92" s="346"/>
      <c r="C92" s="346"/>
      <c r="D92" s="151" t="s">
        <v>228</v>
      </c>
      <c r="E92" s="95">
        <f>'11'!F92</f>
        <v>5551</v>
      </c>
      <c r="F92" s="122">
        <v>5560.42</v>
      </c>
      <c r="G92" s="112">
        <f t="shared" si="8"/>
        <v>9.4200000000000728</v>
      </c>
      <c r="H92" s="99">
        <f>G92+'11'!H92</f>
        <v>122.42000000000007</v>
      </c>
      <c r="I92" s="165"/>
      <c r="J92" s="175">
        <f>H92/DAY(B2)</f>
        <v>10.201666666666673</v>
      </c>
      <c r="O92" s="71"/>
    </row>
    <row r="93" spans="1:15" ht="32.25" customHeight="1" x14ac:dyDescent="0.5">
      <c r="A93" s="863" t="s">
        <v>239</v>
      </c>
      <c r="B93" s="864"/>
      <c r="C93" s="865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32.25" customHeight="1" x14ac:dyDescent="0.5">
      <c r="A94" s="818" t="s">
        <v>240</v>
      </c>
      <c r="B94" s="819"/>
      <c r="C94" s="820"/>
      <c r="D94" s="151" t="s">
        <v>130</v>
      </c>
      <c r="E94" s="151"/>
      <c r="F94" s="151"/>
      <c r="G94" s="99">
        <f>G35+G43+G49+G57</f>
        <v>4778</v>
      </c>
      <c r="H94" s="99">
        <f>G94+'11'!H94</f>
        <v>67074</v>
      </c>
      <c r="I94" s="118"/>
      <c r="J94" s="175">
        <f>H94/DAY(B2)</f>
        <v>5589.5</v>
      </c>
      <c r="K94" s="69"/>
      <c r="L94" s="66"/>
      <c r="O94" s="71"/>
    </row>
    <row r="95" spans="1:15" ht="32.25" customHeight="1" x14ac:dyDescent="0.5">
      <c r="A95" s="818" t="s">
        <v>241</v>
      </c>
      <c r="B95" s="819"/>
      <c r="C95" s="820"/>
      <c r="D95" s="151" t="s">
        <v>23</v>
      </c>
      <c r="E95" s="146"/>
      <c r="F95" s="146"/>
      <c r="G95" s="166">
        <f>G94/G7</f>
        <v>0.28903272639283772</v>
      </c>
      <c r="H95" s="99">
        <f>G95+'11'!H95</f>
        <v>3.5596633199840637</v>
      </c>
      <c r="I95" s="167"/>
      <c r="J95" s="175">
        <f>H95/DAY(B2)</f>
        <v>0.29663860999867198</v>
      </c>
      <c r="K95" s="69"/>
      <c r="L95" s="66"/>
      <c r="O95" s="71"/>
    </row>
    <row r="96" spans="1:15" ht="32.25" customHeight="1" x14ac:dyDescent="0.5">
      <c r="A96" s="818" t="s">
        <v>242</v>
      </c>
      <c r="B96" s="819"/>
      <c r="C96" s="820"/>
      <c r="D96" s="151" t="s">
        <v>130</v>
      </c>
      <c r="E96" s="95"/>
      <c r="F96" s="95"/>
      <c r="G96" s="99">
        <f>G41+G42+G55+G56</f>
        <v>2812</v>
      </c>
      <c r="H96" s="99">
        <f>G96+'11'!H96</f>
        <v>36198.46</v>
      </c>
      <c r="I96" s="118"/>
      <c r="J96" s="175">
        <f>H96/DAY(B2)</f>
        <v>3016.5383333333334</v>
      </c>
      <c r="K96" s="69"/>
      <c r="L96" s="66"/>
      <c r="O96" s="71"/>
    </row>
    <row r="97" spans="1:15" ht="32.25" customHeight="1" x14ac:dyDescent="0.5">
      <c r="A97" s="818" t="s">
        <v>243</v>
      </c>
      <c r="B97" s="819"/>
      <c r="C97" s="820"/>
      <c r="D97" s="151" t="s">
        <v>23</v>
      </c>
      <c r="E97" s="95"/>
      <c r="F97" s="95"/>
      <c r="G97" s="166">
        <f>G96/G7</f>
        <v>0.17010465186619078</v>
      </c>
      <c r="H97" s="99">
        <f>G97+'11'!H97</f>
        <v>1.9270411336528022</v>
      </c>
      <c r="I97" s="167"/>
      <c r="J97" s="175">
        <f>H97/DAY(B2)</f>
        <v>0.16058676113773351</v>
      </c>
      <c r="K97" s="69"/>
      <c r="L97" s="66"/>
      <c r="O97" s="71"/>
    </row>
    <row r="98" spans="1:15" ht="32.25" customHeight="1" x14ac:dyDescent="0.5">
      <c r="A98" s="818" t="s">
        <v>244</v>
      </c>
      <c r="B98" s="819"/>
      <c r="C98" s="820"/>
      <c r="D98" s="151" t="s">
        <v>130</v>
      </c>
      <c r="E98" s="95"/>
      <c r="F98" s="95"/>
      <c r="G98" s="99">
        <f>G39+G53</f>
        <v>2461</v>
      </c>
      <c r="H98" s="99">
        <f>G98+'11'!H98</f>
        <v>31798</v>
      </c>
      <c r="I98" s="168"/>
      <c r="J98" s="175">
        <f>H98/DAY(B2)</f>
        <v>2649.8333333333335</v>
      </c>
      <c r="K98" s="69"/>
      <c r="L98" s="66"/>
      <c r="O98" s="71"/>
    </row>
    <row r="99" spans="1:15" ht="32.25" customHeight="1" x14ac:dyDescent="0.5">
      <c r="A99" s="818" t="s">
        <v>245</v>
      </c>
      <c r="B99" s="819"/>
      <c r="C99" s="820"/>
      <c r="D99" s="151" t="s">
        <v>23</v>
      </c>
      <c r="E99" s="95"/>
      <c r="F99" s="95"/>
      <c r="G99" s="166">
        <f>G98/G7</f>
        <v>0.14887181658701834</v>
      </c>
      <c r="H99" s="99">
        <f>G99+'11'!H99</f>
        <v>1.6943233344248565</v>
      </c>
      <c r="I99" s="168"/>
      <c r="J99" s="175">
        <f>H99/DAY(B2)</f>
        <v>0.14119361120207138</v>
      </c>
      <c r="O99" s="71"/>
    </row>
    <row r="100" spans="1:15" ht="32.25" customHeight="1" x14ac:dyDescent="0.5">
      <c r="A100" s="818" t="s">
        <v>246</v>
      </c>
      <c r="B100" s="819"/>
      <c r="C100" s="820"/>
      <c r="D100" s="151" t="s">
        <v>180</v>
      </c>
      <c r="E100" s="95"/>
      <c r="F100" s="95"/>
      <c r="G100" s="99">
        <f>G38+G52</f>
        <v>1484</v>
      </c>
      <c r="H100" s="99">
        <f>G100+'11'!H100</f>
        <v>19377</v>
      </c>
      <c r="I100" s="118"/>
      <c r="J100" s="175">
        <f>H100/DAY(B2)</f>
        <v>1614.75</v>
      </c>
      <c r="K100" s="70"/>
      <c r="O100" s="71"/>
    </row>
    <row r="101" spans="1:15" ht="32.25" customHeight="1" x14ac:dyDescent="0.5">
      <c r="A101" s="818" t="s">
        <v>247</v>
      </c>
      <c r="B101" s="819"/>
      <c r="C101" s="820"/>
      <c r="D101" s="151" t="s">
        <v>23</v>
      </c>
      <c r="E101" s="95"/>
      <c r="F101" s="95"/>
      <c r="G101" s="166">
        <f>G100/G7</f>
        <v>8.9770733772911504E-2</v>
      </c>
      <c r="H101" s="99">
        <f>G101+'11'!H101</f>
        <v>1.0320454201616156</v>
      </c>
      <c r="I101" s="168"/>
      <c r="J101" s="175">
        <f>H101/DAY(B2)</f>
        <v>8.6003785013467962E-2</v>
      </c>
      <c r="O101" s="71"/>
    </row>
    <row r="102" spans="1:15" ht="32.25" customHeight="1" x14ac:dyDescent="0.5">
      <c r="A102" s="818" t="s">
        <v>248</v>
      </c>
      <c r="B102" s="819"/>
      <c r="C102" s="820"/>
      <c r="D102" s="151" t="s">
        <v>180</v>
      </c>
      <c r="E102" s="95"/>
      <c r="F102" s="95"/>
      <c r="G102" s="99">
        <f>G36+G50</f>
        <v>1461</v>
      </c>
      <c r="H102" s="99">
        <f>G102+'11'!H102</f>
        <v>21147</v>
      </c>
      <c r="I102" s="168"/>
      <c r="J102" s="175">
        <f>H102/DAY(B2)</f>
        <v>1762.25</v>
      </c>
      <c r="O102" s="71"/>
    </row>
    <row r="103" spans="1:15" ht="32.25" customHeight="1" x14ac:dyDescent="0.5">
      <c r="A103" s="818" t="s">
        <v>249</v>
      </c>
      <c r="B103" s="819"/>
      <c r="C103" s="820"/>
      <c r="D103" s="151" t="s">
        <v>23</v>
      </c>
      <c r="E103" s="95"/>
      <c r="F103" s="95"/>
      <c r="G103" s="166">
        <f>G102/G7</f>
        <v>8.8379408384247779E-2</v>
      </c>
      <c r="H103" s="99">
        <f>G103+'11'!H103</f>
        <v>1.1221855896925201</v>
      </c>
      <c r="I103" s="118"/>
      <c r="J103" s="175">
        <f>H103/DAY(B2)</f>
        <v>9.3515465807710016E-2</v>
      </c>
      <c r="O103" s="71"/>
    </row>
    <row r="104" spans="1:15" ht="32.25" customHeight="1" x14ac:dyDescent="0.5">
      <c r="A104" s="818" t="s">
        <v>250</v>
      </c>
      <c r="B104" s="819"/>
      <c r="C104" s="820"/>
      <c r="D104" s="151" t="s">
        <v>180</v>
      </c>
      <c r="E104" s="95"/>
      <c r="F104" s="95"/>
      <c r="G104" s="99">
        <f>G37+G51</f>
        <v>1481</v>
      </c>
      <c r="H104" s="99">
        <f>G104+'11'!H104</f>
        <v>18062</v>
      </c>
      <c r="I104" s="118"/>
      <c r="J104" s="175">
        <f>H104/DAY(B2)</f>
        <v>1505.1666666666667</v>
      </c>
      <c r="O104" s="71"/>
    </row>
    <row r="105" spans="1:15" ht="32.25" customHeight="1" thickBot="1" x14ac:dyDescent="0.55000000000000004">
      <c r="A105" s="858" t="s">
        <v>251</v>
      </c>
      <c r="B105" s="859"/>
      <c r="C105" s="860"/>
      <c r="D105" s="231" t="s">
        <v>23</v>
      </c>
      <c r="E105" s="185"/>
      <c r="F105" s="185"/>
      <c r="G105" s="186">
        <f>G104/G7</f>
        <v>8.9589256548303187E-2</v>
      </c>
      <c r="H105" s="99">
        <f>G105+'11'!H105</f>
        <v>0.96334307991135137</v>
      </c>
      <c r="I105" s="187"/>
      <c r="J105" s="188">
        <f>H105/DAY(B2)</f>
        <v>8.0278589992612615E-2</v>
      </c>
      <c r="O105" s="71"/>
    </row>
    <row r="106" spans="1:15" ht="32.25" customHeight="1" x14ac:dyDescent="0.5">
      <c r="A106" s="105"/>
      <c r="B106" s="96"/>
      <c r="C106" s="96"/>
      <c r="D106" s="169"/>
      <c r="E106" s="169"/>
      <c r="F106" s="169"/>
      <c r="G106" s="169"/>
      <c r="H106" s="170"/>
      <c r="I106" s="169"/>
      <c r="J106" s="171"/>
      <c r="O106" s="71"/>
    </row>
    <row r="108" spans="1:15" ht="32.25" customHeight="1" x14ac:dyDescent="0.55000000000000004">
      <c r="A108" s="872" t="s">
        <v>324</v>
      </c>
      <c r="B108" s="872"/>
      <c r="C108" s="872"/>
      <c r="D108" s="872"/>
      <c r="E108" s="872"/>
      <c r="F108" s="872"/>
      <c r="G108" s="872"/>
      <c r="H108" s="872"/>
      <c r="I108" s="872"/>
      <c r="J108" s="872"/>
    </row>
    <row r="109" spans="1:15" ht="32.25" customHeight="1" x14ac:dyDescent="0.5">
      <c r="A109" s="857"/>
      <c r="B109" s="857"/>
    </row>
    <row r="110" spans="1:15" ht="32.25" customHeight="1" x14ac:dyDescent="0.5">
      <c r="A110" s="873" t="s">
        <v>165</v>
      </c>
      <c r="B110" s="874"/>
      <c r="C110" s="874"/>
      <c r="D110" s="874"/>
      <c r="E110" s="874"/>
      <c r="F110" s="874"/>
      <c r="G110" s="874"/>
      <c r="H110" s="874"/>
      <c r="I110" s="874"/>
      <c r="J110" s="875"/>
    </row>
    <row r="111" spans="1:15" ht="32.25" customHeight="1" x14ac:dyDescent="0.5">
      <c r="A111" s="876"/>
      <c r="B111" s="877"/>
      <c r="C111" s="878"/>
      <c r="D111" s="165"/>
      <c r="E111" s="165"/>
      <c r="F111" s="165"/>
      <c r="G111" s="165"/>
      <c r="H111" s="156"/>
      <c r="I111" s="165"/>
      <c r="J111" s="327"/>
    </row>
    <row r="112" spans="1:15" ht="32.25" customHeight="1" x14ac:dyDescent="0.5">
      <c r="A112" s="851" t="s">
        <v>252</v>
      </c>
      <c r="B112" s="852"/>
      <c r="C112" s="853"/>
      <c r="D112" s="146" t="s">
        <v>183</v>
      </c>
      <c r="E112" s="95">
        <f>'11'!F112</f>
        <v>56505</v>
      </c>
      <c r="F112" s="237">
        <v>56581</v>
      </c>
      <c r="G112" s="112">
        <f t="shared" ref="G112:G123" si="9">F112-E112</f>
        <v>76</v>
      </c>
      <c r="H112" s="99">
        <f>G112+'11'!H112</f>
        <v>900</v>
      </c>
      <c r="I112" s="165"/>
      <c r="J112" s="328">
        <f>H112/DAY(B2)</f>
        <v>75</v>
      </c>
    </row>
    <row r="113" spans="1:18" ht="32.25" customHeight="1" x14ac:dyDescent="0.5">
      <c r="A113" s="851" t="s">
        <v>253</v>
      </c>
      <c r="B113" s="852"/>
      <c r="C113" s="853"/>
      <c r="D113" s="146" t="s">
        <v>183</v>
      </c>
      <c r="E113" s="95">
        <f>'11'!F113</f>
        <v>37140</v>
      </c>
      <c r="F113" s="237">
        <v>37600</v>
      </c>
      <c r="G113" s="112">
        <f t="shared" si="9"/>
        <v>460</v>
      </c>
      <c r="H113" s="99">
        <f>G113+'11'!H113</f>
        <v>5405</v>
      </c>
      <c r="I113" s="165"/>
      <c r="J113" s="328">
        <f>H113/DAY(B2)</f>
        <v>450.41666666666669</v>
      </c>
    </row>
    <row r="114" spans="1:18" ht="32.25" customHeight="1" x14ac:dyDescent="0.5">
      <c r="A114" s="851" t="s">
        <v>254</v>
      </c>
      <c r="B114" s="852"/>
      <c r="C114" s="853"/>
      <c r="D114" s="146" t="s">
        <v>183</v>
      </c>
      <c r="E114" s="95">
        <f>'11'!F114</f>
        <v>27789</v>
      </c>
      <c r="F114" s="237">
        <v>28057</v>
      </c>
      <c r="G114" s="112">
        <f t="shared" si="9"/>
        <v>268</v>
      </c>
      <c r="H114" s="99">
        <f>G114+'11'!H114</f>
        <v>3186</v>
      </c>
      <c r="I114" s="165"/>
      <c r="J114" s="328">
        <f>H114/DAY(B2)</f>
        <v>265.5</v>
      </c>
    </row>
    <row r="115" spans="1:18" ht="32.25" customHeight="1" x14ac:dyDescent="0.5">
      <c r="A115" s="851" t="s">
        <v>255</v>
      </c>
      <c r="B115" s="852"/>
      <c r="C115" s="853"/>
      <c r="D115" s="146" t="s">
        <v>183</v>
      </c>
      <c r="E115" s="95">
        <f>'11'!F115</f>
        <v>8900</v>
      </c>
      <c r="F115" s="237">
        <v>8909</v>
      </c>
      <c r="G115" s="112">
        <f t="shared" si="9"/>
        <v>9</v>
      </c>
      <c r="H115" s="99">
        <f>G115+'11'!H115</f>
        <v>124</v>
      </c>
      <c r="I115" s="165"/>
      <c r="J115" s="328">
        <f>H115/DAY(B2)</f>
        <v>10.333333333333334</v>
      </c>
    </row>
    <row r="116" spans="1:18" ht="32.25" customHeight="1" x14ac:dyDescent="0.5">
      <c r="A116" s="869" t="s">
        <v>96</v>
      </c>
      <c r="B116" s="870"/>
      <c r="C116" s="871"/>
      <c r="D116" s="146" t="s">
        <v>183</v>
      </c>
      <c r="E116" s="95">
        <f>'11'!F116</f>
        <v>0</v>
      </c>
      <c r="F116" s="237">
        <v>0</v>
      </c>
      <c r="G116" s="112">
        <f t="shared" si="9"/>
        <v>0</v>
      </c>
      <c r="H116" s="99">
        <f>G116+'11'!H116</f>
        <v>0</v>
      </c>
      <c r="I116" s="165"/>
      <c r="J116" s="328">
        <f>H116/DAY(B2)</f>
        <v>0</v>
      </c>
      <c r="Q116" s="851" t="s">
        <v>311</v>
      </c>
      <c r="R116" s="853"/>
    </row>
    <row r="117" spans="1:18" ht="32.25" customHeight="1" x14ac:dyDescent="0.5">
      <c r="A117" s="869" t="s">
        <v>184</v>
      </c>
      <c r="B117" s="870"/>
      <c r="C117" s="871"/>
      <c r="D117" s="146" t="s">
        <v>183</v>
      </c>
      <c r="E117" s="95">
        <f>'11'!F117</f>
        <v>2871</v>
      </c>
      <c r="F117" s="237">
        <v>2888</v>
      </c>
      <c r="G117" s="112">
        <f t="shared" si="9"/>
        <v>17</v>
      </c>
      <c r="H117" s="99">
        <f>G117+'11'!H117</f>
        <v>298</v>
      </c>
      <c r="I117" s="165"/>
      <c r="J117" s="328">
        <f>H117/DAY(B2)</f>
        <v>24.833333333333332</v>
      </c>
      <c r="Q117" s="851" t="s">
        <v>312</v>
      </c>
      <c r="R117" s="853"/>
    </row>
    <row r="118" spans="1:18" ht="32.25" customHeight="1" x14ac:dyDescent="0.5">
      <c r="A118" s="846" t="s">
        <v>97</v>
      </c>
      <c r="B118" s="846"/>
      <c r="C118" s="846"/>
      <c r="D118" s="151" t="s">
        <v>183</v>
      </c>
      <c r="E118" s="95">
        <f>'11'!F118</f>
        <v>245656</v>
      </c>
      <c r="F118" s="237">
        <v>245995</v>
      </c>
      <c r="G118" s="112">
        <f t="shared" si="9"/>
        <v>339</v>
      </c>
      <c r="H118" s="99">
        <f>G118+'11'!H118</f>
        <v>4348</v>
      </c>
      <c r="I118" s="165"/>
      <c r="J118" s="328">
        <f>H118/DAY(B2)</f>
        <v>362.33333333333331</v>
      </c>
      <c r="Q118" s="851" t="s">
        <v>311</v>
      </c>
      <c r="R118" s="853"/>
    </row>
    <row r="119" spans="1:18" ht="32.25" customHeight="1" x14ac:dyDescent="0.5">
      <c r="A119" s="846" t="s">
        <v>98</v>
      </c>
      <c r="B119" s="846"/>
      <c r="C119" s="846"/>
      <c r="D119" s="151" t="s">
        <v>183</v>
      </c>
      <c r="E119" s="95">
        <f>'11'!F119</f>
        <v>249859</v>
      </c>
      <c r="F119" s="237">
        <v>250260</v>
      </c>
      <c r="G119" s="112">
        <f t="shared" si="9"/>
        <v>401</v>
      </c>
      <c r="H119" s="99">
        <f>G119+'11'!H119</f>
        <v>5134</v>
      </c>
      <c r="I119" s="165"/>
      <c r="J119" s="328">
        <f>H119/DAY(B2)</f>
        <v>427.83333333333331</v>
      </c>
    </row>
    <row r="120" spans="1:18" ht="32.25" customHeight="1" x14ac:dyDescent="0.5">
      <c r="A120" s="846" t="s">
        <v>99</v>
      </c>
      <c r="B120" s="846"/>
      <c r="C120" s="846"/>
      <c r="D120" s="151" t="s">
        <v>183</v>
      </c>
      <c r="E120" s="95">
        <f>'11'!F120</f>
        <v>34656</v>
      </c>
      <c r="F120" s="237">
        <v>35053</v>
      </c>
      <c r="G120" s="112">
        <f t="shared" si="9"/>
        <v>397</v>
      </c>
      <c r="H120" s="99">
        <f>G120+'11'!H120</f>
        <v>4975</v>
      </c>
      <c r="I120" s="165"/>
      <c r="J120" s="328">
        <f>H120/DAY(B2)</f>
        <v>414.58333333333331</v>
      </c>
    </row>
    <row r="121" spans="1:18" ht="32.25" customHeight="1" x14ac:dyDescent="0.5">
      <c r="A121" s="846" t="s">
        <v>100</v>
      </c>
      <c r="B121" s="846"/>
      <c r="C121" s="846"/>
      <c r="D121" s="151" t="s">
        <v>183</v>
      </c>
      <c r="E121" s="95">
        <f>'11'!F121</f>
        <v>384510</v>
      </c>
      <c r="F121" s="237">
        <v>385151</v>
      </c>
      <c r="G121" s="112">
        <f t="shared" si="9"/>
        <v>641</v>
      </c>
      <c r="H121" s="99">
        <f>G121+'11'!H121</f>
        <v>8622</v>
      </c>
      <c r="I121" s="165"/>
      <c r="J121" s="328">
        <f>H121/DAY(B2)</f>
        <v>718.5</v>
      </c>
    </row>
    <row r="122" spans="1:18" ht="32.25" customHeight="1" x14ac:dyDescent="0.5">
      <c r="A122" s="846" t="s">
        <v>101</v>
      </c>
      <c r="B122" s="846"/>
      <c r="C122" s="846"/>
      <c r="D122" s="151" t="s">
        <v>183</v>
      </c>
      <c r="E122" s="95">
        <f>'11'!F122</f>
        <v>122431</v>
      </c>
      <c r="F122" s="237">
        <v>122620</v>
      </c>
      <c r="G122" s="112">
        <f t="shared" si="9"/>
        <v>189</v>
      </c>
      <c r="H122" s="99">
        <f>G122+'11'!H122</f>
        <v>2570</v>
      </c>
      <c r="I122" s="165"/>
      <c r="J122" s="328">
        <f>H122/DAY(B2)</f>
        <v>214.16666666666666</v>
      </c>
    </row>
    <row r="123" spans="1:18" ht="32.25" customHeight="1" x14ac:dyDescent="0.5">
      <c r="A123" s="846" t="s">
        <v>102</v>
      </c>
      <c r="B123" s="846"/>
      <c r="C123" s="846"/>
      <c r="D123" s="151" t="s">
        <v>183</v>
      </c>
      <c r="E123" s="95">
        <f>'11'!F123</f>
        <v>148628</v>
      </c>
      <c r="F123" s="237">
        <v>148909</v>
      </c>
      <c r="G123" s="112">
        <f t="shared" si="9"/>
        <v>281</v>
      </c>
      <c r="H123" s="99">
        <f>G123+'11'!H123</f>
        <v>3784</v>
      </c>
      <c r="I123" s="165"/>
      <c r="J123" s="328">
        <f>H123/DAY(B2)</f>
        <v>315.33333333333331</v>
      </c>
    </row>
    <row r="124" spans="1:18" ht="32.25" customHeight="1" x14ac:dyDescent="0.5">
      <c r="A124" s="876"/>
      <c r="B124" s="877"/>
      <c r="C124" s="878"/>
      <c r="D124" s="165"/>
      <c r="E124" s="165"/>
      <c r="F124" s="165"/>
      <c r="G124" s="327"/>
      <c r="H124" s="156"/>
      <c r="I124" s="165"/>
      <c r="J124" s="327"/>
    </row>
    <row r="125" spans="1:18" ht="32.25" customHeight="1" x14ac:dyDescent="0.5">
      <c r="A125" s="879" t="s">
        <v>196</v>
      </c>
      <c r="B125" s="880"/>
      <c r="C125" s="245"/>
      <c r="D125" s="307"/>
      <c r="E125" s="308"/>
      <c r="F125" s="308"/>
      <c r="G125" s="309">
        <f>SUM(G112:G124)</f>
        <v>3078</v>
      </c>
      <c r="H125" s="156"/>
      <c r="I125" s="327" t="s">
        <v>370</v>
      </c>
      <c r="J125" s="327"/>
    </row>
    <row r="126" spans="1:18" ht="32.25" customHeight="1" x14ac:dyDescent="0.5">
      <c r="A126" s="881" t="s">
        <v>317</v>
      </c>
      <c r="B126" s="881"/>
      <c r="C126" s="881"/>
      <c r="D126" s="881"/>
      <c r="E126" s="881"/>
      <c r="F126" s="881"/>
      <c r="G126" s="881"/>
      <c r="H126" s="881"/>
      <c r="I126" s="881"/>
      <c r="J126" s="881"/>
    </row>
    <row r="127" spans="1:18" ht="32.25" customHeight="1" x14ac:dyDescent="0.5">
      <c r="A127" s="882"/>
      <c r="B127" s="882"/>
      <c r="C127" s="245"/>
      <c r="D127" s="307"/>
      <c r="E127" s="308"/>
      <c r="F127" s="308"/>
      <c r="G127" s="309"/>
      <c r="H127" s="99">
        <f>G127+'11'!H127</f>
        <v>0</v>
      </c>
      <c r="I127" s="165"/>
      <c r="J127" s="328">
        <f>H127/DAY(B2)</f>
        <v>0</v>
      </c>
    </row>
    <row r="128" spans="1:18" ht="32.25" customHeight="1" x14ac:dyDescent="0.5">
      <c r="A128" s="851" t="s">
        <v>318</v>
      </c>
      <c r="B128" s="852"/>
      <c r="C128" s="853"/>
      <c r="D128" s="151" t="s">
        <v>183</v>
      </c>
      <c r="E128" s="95">
        <f>'11'!F128</f>
        <v>41583</v>
      </c>
      <c r="F128" s="165">
        <v>41882</v>
      </c>
      <c r="G128" s="112">
        <f t="shared" ref="G128:G134" si="10">F128-E128</f>
        <v>299</v>
      </c>
      <c r="H128" s="99">
        <f>G128+'11'!H128</f>
        <v>3878</v>
      </c>
      <c r="I128" s="165"/>
      <c r="J128" s="328">
        <f>H128/DAY(B2)</f>
        <v>323.16666666666669</v>
      </c>
    </row>
    <row r="129" spans="1:15" ht="32.25" customHeight="1" x14ac:dyDescent="0.5">
      <c r="A129" s="329" t="s">
        <v>319</v>
      </c>
      <c r="B129" s="330"/>
      <c r="C129" s="331"/>
      <c r="D129" s="151" t="s">
        <v>183</v>
      </c>
      <c r="E129" s="95">
        <f>'11'!F129</f>
        <v>22697</v>
      </c>
      <c r="F129" s="165">
        <v>22906</v>
      </c>
      <c r="G129" s="112">
        <f t="shared" si="10"/>
        <v>209</v>
      </c>
      <c r="H129" s="99">
        <f>G129+'11'!H129</f>
        <v>2585</v>
      </c>
      <c r="I129" s="165"/>
      <c r="J129" s="328">
        <f>H129/DAY(B2)</f>
        <v>215.41666666666666</v>
      </c>
      <c r="N129" s="240"/>
      <c r="O129" s="241"/>
    </row>
    <row r="130" spans="1:15" ht="32.25" customHeight="1" x14ac:dyDescent="0.5">
      <c r="A130" s="329" t="s">
        <v>320</v>
      </c>
      <c r="B130" s="330"/>
      <c r="C130" s="331"/>
      <c r="D130" s="151" t="s">
        <v>183</v>
      </c>
      <c r="E130" s="95">
        <f>'11'!F130</f>
        <v>25353</v>
      </c>
      <c r="F130" s="165">
        <v>25877</v>
      </c>
      <c r="G130" s="112">
        <f t="shared" si="10"/>
        <v>524</v>
      </c>
      <c r="H130" s="99">
        <f>G130+'11'!H130</f>
        <v>7495</v>
      </c>
      <c r="I130" s="165"/>
      <c r="J130" s="328">
        <f>H130/DAY(B2)</f>
        <v>624.58333333333337</v>
      </c>
      <c r="N130" s="240"/>
      <c r="O130" s="241"/>
    </row>
    <row r="131" spans="1:15" ht="32.25" customHeight="1" x14ac:dyDescent="0.5">
      <c r="A131" s="851" t="s">
        <v>321</v>
      </c>
      <c r="B131" s="852"/>
      <c r="C131" s="853"/>
      <c r="D131" s="151" t="s">
        <v>183</v>
      </c>
      <c r="E131" s="95">
        <f>'11'!F131</f>
        <v>13966</v>
      </c>
      <c r="F131" s="165">
        <v>14020</v>
      </c>
      <c r="G131" s="112">
        <f t="shared" si="10"/>
        <v>54</v>
      </c>
      <c r="H131" s="99">
        <f>G131+'11'!H131</f>
        <v>867</v>
      </c>
      <c r="I131" s="165"/>
      <c r="J131" s="328">
        <f>H131/DAY(B2)</f>
        <v>72.25</v>
      </c>
      <c r="N131" s="240"/>
      <c r="O131" s="241"/>
    </row>
    <row r="132" spans="1:15" ht="32.25" customHeight="1" x14ac:dyDescent="0.5">
      <c r="A132" s="851" t="s">
        <v>322</v>
      </c>
      <c r="B132" s="852"/>
      <c r="C132" s="853"/>
      <c r="D132" s="151" t="s">
        <v>183</v>
      </c>
      <c r="E132" s="95">
        <f>'11'!F132</f>
        <v>46263</v>
      </c>
      <c r="F132" s="165">
        <v>46778</v>
      </c>
      <c r="G132" s="112">
        <f t="shared" si="10"/>
        <v>515</v>
      </c>
      <c r="H132" s="99">
        <f>G132+'11'!H132</f>
        <v>5755</v>
      </c>
      <c r="I132" s="165"/>
      <c r="J132" s="328">
        <f>H132/DAY(B2)</f>
        <v>479.58333333333331</v>
      </c>
    </row>
    <row r="133" spans="1:15" ht="32.25" customHeight="1" x14ac:dyDescent="0.5">
      <c r="A133" s="851" t="s">
        <v>362</v>
      </c>
      <c r="B133" s="852"/>
      <c r="C133" s="853"/>
      <c r="D133" s="151" t="s">
        <v>183</v>
      </c>
      <c r="E133" s="95">
        <f>'11'!F133</f>
        <v>95505</v>
      </c>
      <c r="F133" s="165">
        <v>95918</v>
      </c>
      <c r="G133" s="112">
        <f t="shared" si="10"/>
        <v>413</v>
      </c>
      <c r="H133" s="99">
        <f>G133+'11'!H133</f>
        <v>8215</v>
      </c>
      <c r="I133" s="165"/>
      <c r="J133" s="328">
        <f>H133/DAY(B2)</f>
        <v>684.58333333333337</v>
      </c>
    </row>
    <row r="134" spans="1:15" ht="32.25" customHeight="1" x14ac:dyDescent="0.5">
      <c r="A134" s="851" t="s">
        <v>340</v>
      </c>
      <c r="B134" s="852"/>
      <c r="C134" s="853"/>
      <c r="D134" s="151" t="s">
        <v>183</v>
      </c>
      <c r="E134" s="554">
        <v>675870</v>
      </c>
      <c r="F134" s="165">
        <v>676505</v>
      </c>
      <c r="G134" s="112">
        <f t="shared" si="10"/>
        <v>635</v>
      </c>
      <c r="H134" s="99">
        <f>G134+'11'!H134</f>
        <v>7625</v>
      </c>
      <c r="I134" s="165"/>
      <c r="J134" s="328">
        <f>H134/DAY(B2)</f>
        <v>635.41666666666663</v>
      </c>
    </row>
    <row r="135" spans="1:15" ht="32.25" customHeight="1" x14ac:dyDescent="0.5">
      <c r="A135" s="879" t="s">
        <v>196</v>
      </c>
      <c r="B135" s="880"/>
      <c r="C135" s="331"/>
      <c r="D135" s="151"/>
      <c r="E135" s="95"/>
      <c r="F135" s="165"/>
      <c r="G135" s="112">
        <f>SUM(G128:G134)</f>
        <v>2649</v>
      </c>
      <c r="H135" s="99">
        <f>G135+'10'!H135</f>
        <v>33873</v>
      </c>
      <c r="I135" s="327">
        <f>G135-(G35+G49)</f>
        <v>-107</v>
      </c>
      <c r="J135" s="328"/>
    </row>
    <row r="136" spans="1:15" ht="32.25" customHeight="1" x14ac:dyDescent="0.55000000000000004">
      <c r="A136" s="883" t="s">
        <v>325</v>
      </c>
      <c r="B136" s="883"/>
      <c r="C136" s="883"/>
      <c r="D136" s="883"/>
      <c r="E136" s="883"/>
      <c r="F136" s="883"/>
      <c r="G136" s="883"/>
      <c r="H136" s="883"/>
      <c r="I136" s="883"/>
      <c r="J136" s="883"/>
    </row>
    <row r="137" spans="1:15" ht="32.25" customHeight="1" x14ac:dyDescent="0.5">
      <c r="A137" s="245"/>
      <c r="B137" s="246"/>
      <c r="C137" s="246"/>
      <c r="D137" s="165"/>
      <c r="E137" s="165"/>
      <c r="F137" s="165"/>
      <c r="G137" s="165"/>
      <c r="H137" s="156"/>
      <c r="I137" s="165"/>
      <c r="J137" s="327"/>
    </row>
    <row r="138" spans="1:15" ht="32.25" customHeight="1" x14ac:dyDescent="0.5">
      <c r="A138" s="846" t="s">
        <v>185</v>
      </c>
      <c r="B138" s="846"/>
      <c r="C138" s="846"/>
      <c r="D138" s="151" t="s">
        <v>183</v>
      </c>
      <c r="E138" s="95">
        <f>'11'!F138</f>
        <v>864881</v>
      </c>
      <c r="F138" s="147">
        <v>864936</v>
      </c>
      <c r="G138" s="112">
        <f t="shared" ref="G138:G152" si="11">F138-E138</f>
        <v>55</v>
      </c>
      <c r="H138" s="99">
        <f>G138+'11'!H138</f>
        <v>765</v>
      </c>
      <c r="I138" s="118"/>
      <c r="J138" s="328">
        <f>H138/DAY(B2)</f>
        <v>63.75</v>
      </c>
    </row>
    <row r="139" spans="1:15" ht="32.25" customHeight="1" x14ac:dyDescent="0.5">
      <c r="A139" s="846" t="s">
        <v>186</v>
      </c>
      <c r="B139" s="846"/>
      <c r="C139" s="846"/>
      <c r="D139" s="151" t="s">
        <v>183</v>
      </c>
      <c r="E139" s="95">
        <f>'11'!F139</f>
        <v>886549</v>
      </c>
      <c r="F139" s="148">
        <v>886549</v>
      </c>
      <c r="G139" s="112">
        <f t="shared" si="11"/>
        <v>0</v>
      </c>
      <c r="H139" s="99">
        <f>G139+'11'!H139</f>
        <v>3</v>
      </c>
      <c r="I139" s="118"/>
      <c r="J139" s="328">
        <f>H139/DAY(B2)</f>
        <v>0.25</v>
      </c>
    </row>
    <row r="140" spans="1:15" ht="32.25" customHeight="1" x14ac:dyDescent="0.5">
      <c r="A140" s="846" t="s">
        <v>187</v>
      </c>
      <c r="B140" s="846"/>
      <c r="C140" s="846"/>
      <c r="D140" s="151" t="s">
        <v>183</v>
      </c>
      <c r="E140" s="95">
        <f>'11'!F140</f>
        <v>88898</v>
      </c>
      <c r="F140" s="149">
        <v>88898</v>
      </c>
      <c r="G140" s="112">
        <f t="shared" si="11"/>
        <v>0</v>
      </c>
      <c r="H140" s="99">
        <f>G140+'11'!H140</f>
        <v>16</v>
      </c>
      <c r="I140" s="118"/>
      <c r="J140" s="328">
        <f>H140/DAY(B2)</f>
        <v>1.3333333333333333</v>
      </c>
    </row>
    <row r="141" spans="1:15" ht="32.25" customHeight="1" x14ac:dyDescent="0.5">
      <c r="A141" s="850" t="s">
        <v>188</v>
      </c>
      <c r="B141" s="850"/>
      <c r="C141" s="850"/>
      <c r="D141" s="151" t="s">
        <v>183</v>
      </c>
      <c r="E141" s="95">
        <f>'11'!F141</f>
        <v>51232</v>
      </c>
      <c r="F141" s="149">
        <v>51406</v>
      </c>
      <c r="G141" s="112">
        <f t="shared" si="11"/>
        <v>174</v>
      </c>
      <c r="H141" s="99">
        <f>G141+'11'!H141</f>
        <v>2100</v>
      </c>
      <c r="I141" s="118"/>
      <c r="J141" s="328">
        <f>H141/DAY(B2)</f>
        <v>175</v>
      </c>
    </row>
    <row r="142" spans="1:15" ht="32.25" customHeight="1" x14ac:dyDescent="0.5">
      <c r="A142" s="850" t="s">
        <v>189</v>
      </c>
      <c r="B142" s="850"/>
      <c r="C142" s="850"/>
      <c r="D142" s="151" t="s">
        <v>183</v>
      </c>
      <c r="E142" s="95">
        <f>'11'!F142</f>
        <v>19770</v>
      </c>
      <c r="F142" s="148">
        <v>19839</v>
      </c>
      <c r="G142" s="112">
        <f t="shared" si="11"/>
        <v>69</v>
      </c>
      <c r="H142" s="99">
        <f>G142+'11'!H142</f>
        <v>830</v>
      </c>
      <c r="I142" s="140"/>
      <c r="J142" s="328">
        <f>H142/DAY(B2)</f>
        <v>69.166666666666671</v>
      </c>
    </row>
    <row r="143" spans="1:15" ht="32.25" customHeight="1" x14ac:dyDescent="0.5">
      <c r="A143" s="846" t="s">
        <v>91</v>
      </c>
      <c r="B143" s="846"/>
      <c r="C143" s="846"/>
      <c r="D143" s="151" t="s">
        <v>183</v>
      </c>
      <c r="E143" s="95">
        <f>'11'!F143</f>
        <v>3319</v>
      </c>
      <c r="F143" s="149">
        <v>3344</v>
      </c>
      <c r="G143" s="112">
        <f t="shared" si="11"/>
        <v>25</v>
      </c>
      <c r="H143" s="99">
        <f>G143+'11'!H143</f>
        <v>283</v>
      </c>
      <c r="I143" s="140"/>
      <c r="J143" s="328">
        <f>H143/DAY(B2)</f>
        <v>23.583333333333332</v>
      </c>
    </row>
    <row r="144" spans="1:15" ht="32.25" customHeight="1" x14ac:dyDescent="0.5">
      <c r="A144" s="850" t="s">
        <v>90</v>
      </c>
      <c r="B144" s="850"/>
      <c r="C144" s="850"/>
      <c r="D144" s="151" t="s">
        <v>183</v>
      </c>
      <c r="E144" s="95">
        <f>'11'!F144</f>
        <v>872146</v>
      </c>
      <c r="F144" s="149">
        <v>872377</v>
      </c>
      <c r="G144" s="112">
        <f t="shared" si="11"/>
        <v>231</v>
      </c>
      <c r="H144" s="99">
        <f>G144+'11'!H144</f>
        <v>2707</v>
      </c>
      <c r="I144" s="140"/>
      <c r="J144" s="328">
        <f>H144/DAY(B2)</f>
        <v>225.58333333333334</v>
      </c>
    </row>
    <row r="145" spans="1:10" ht="32.25" customHeight="1" x14ac:dyDescent="0.5">
      <c r="A145" s="846" t="s">
        <v>190</v>
      </c>
      <c r="B145" s="846"/>
      <c r="C145" s="846"/>
      <c r="D145" s="152" t="s">
        <v>183</v>
      </c>
      <c r="E145" s="95">
        <f>'11'!F145</f>
        <v>4733</v>
      </c>
      <c r="F145" s="149">
        <v>4743</v>
      </c>
      <c r="G145" s="112">
        <f t="shared" si="11"/>
        <v>10</v>
      </c>
      <c r="H145" s="99">
        <f>G145+'11'!H145</f>
        <v>185</v>
      </c>
      <c r="I145" s="140"/>
      <c r="J145" s="328">
        <f>H145/DAY(B2)</f>
        <v>15.416666666666666</v>
      </c>
    </row>
    <row r="146" spans="1:10" ht="32.25" customHeight="1" x14ac:dyDescent="0.5">
      <c r="A146" s="847" t="s">
        <v>191</v>
      </c>
      <c r="B146" s="848"/>
      <c r="C146" s="849"/>
      <c r="D146" s="152" t="s">
        <v>183</v>
      </c>
      <c r="E146" s="95">
        <f>'11'!F146</f>
        <v>729465</v>
      </c>
      <c r="F146" s="148">
        <v>729786</v>
      </c>
      <c r="G146" s="112">
        <f t="shared" si="11"/>
        <v>321</v>
      </c>
      <c r="H146" s="99">
        <f>G146+'11'!H146</f>
        <v>4928</v>
      </c>
      <c r="I146" s="140"/>
      <c r="J146" s="328">
        <f>H146/DAY(B2)</f>
        <v>410.66666666666669</v>
      </c>
    </row>
    <row r="147" spans="1:10" ht="32.25" customHeight="1" x14ac:dyDescent="0.5">
      <c r="A147" s="850" t="s">
        <v>192</v>
      </c>
      <c r="B147" s="850"/>
      <c r="C147" s="850"/>
      <c r="D147" s="152" t="s">
        <v>183</v>
      </c>
      <c r="E147" s="95">
        <f>'11'!F147</f>
        <v>619529</v>
      </c>
      <c r="F147" s="148">
        <v>619835</v>
      </c>
      <c r="G147" s="112">
        <f t="shared" si="11"/>
        <v>306</v>
      </c>
      <c r="H147" s="99">
        <f>G147+'11'!H147</f>
        <v>4553</v>
      </c>
      <c r="I147" s="140"/>
      <c r="J147" s="328">
        <f>H147/DAY(B2)</f>
        <v>379.41666666666669</v>
      </c>
    </row>
    <row r="148" spans="1:10" ht="32.25" customHeight="1" x14ac:dyDescent="0.5">
      <c r="A148" s="842" t="s">
        <v>193</v>
      </c>
      <c r="B148" s="843"/>
      <c r="C148" s="844"/>
      <c r="D148" s="123" t="s">
        <v>130</v>
      </c>
      <c r="E148" s="95">
        <f>'11'!F148</f>
        <v>685839</v>
      </c>
      <c r="F148" s="150">
        <v>686035</v>
      </c>
      <c r="G148" s="112">
        <f t="shared" si="11"/>
        <v>196</v>
      </c>
      <c r="H148" s="99">
        <f>G148+'11'!H148</f>
        <v>3001.8800000000047</v>
      </c>
      <c r="I148" s="124"/>
      <c r="J148" s="328">
        <f>H148/DAY(B2)</f>
        <v>250.15666666666706</v>
      </c>
    </row>
    <row r="149" spans="1:10" ht="32.25" customHeight="1" x14ac:dyDescent="0.5">
      <c r="A149" s="842" t="s">
        <v>336</v>
      </c>
      <c r="B149" s="843"/>
      <c r="C149" s="844"/>
      <c r="D149" s="227" t="s">
        <v>130</v>
      </c>
      <c r="E149" s="95">
        <f>'11'!F149</f>
        <v>15359</v>
      </c>
      <c r="F149" s="146">
        <v>15693</v>
      </c>
      <c r="G149" s="112">
        <f t="shared" si="11"/>
        <v>334</v>
      </c>
      <c r="H149" s="99">
        <f>G149+'11'!H149</f>
        <v>4944</v>
      </c>
      <c r="I149" s="119"/>
      <c r="J149" s="328">
        <f>H149/DAY(B2)</f>
        <v>412</v>
      </c>
    </row>
    <row r="150" spans="1:10" ht="32.25" customHeight="1" x14ac:dyDescent="0.5">
      <c r="A150" s="842" t="s">
        <v>337</v>
      </c>
      <c r="B150" s="843"/>
      <c r="C150" s="844"/>
      <c r="D150" s="117" t="s">
        <v>130</v>
      </c>
      <c r="E150" s="95">
        <f>'11'!F150</f>
        <v>6471</v>
      </c>
      <c r="F150" s="233">
        <v>6681</v>
      </c>
      <c r="G150" s="112">
        <f t="shared" si="11"/>
        <v>210</v>
      </c>
      <c r="H150" s="99">
        <f>G150+'11'!H150</f>
        <v>2629</v>
      </c>
      <c r="I150" s="119"/>
      <c r="J150" s="328">
        <f>H150/DAY(B2)</f>
        <v>219.08333333333334</v>
      </c>
    </row>
    <row r="151" spans="1:10" ht="32.25" customHeight="1" x14ac:dyDescent="0.5">
      <c r="A151" s="842" t="s">
        <v>338</v>
      </c>
      <c r="B151" s="843"/>
      <c r="C151" s="844"/>
      <c r="D151" s="117" t="s">
        <v>130</v>
      </c>
      <c r="E151" s="95">
        <f>'11'!F151</f>
        <v>80839</v>
      </c>
      <c r="F151" s="233">
        <v>81071</v>
      </c>
      <c r="G151" s="112">
        <f t="shared" si="11"/>
        <v>232</v>
      </c>
      <c r="H151" s="99">
        <f>G151+'11'!H151</f>
        <v>2854</v>
      </c>
      <c r="I151" s="119"/>
      <c r="J151" s="328">
        <f>H151/DAY(B2)</f>
        <v>237.83333333333334</v>
      </c>
    </row>
    <row r="152" spans="1:10" ht="32.25" customHeight="1" x14ac:dyDescent="0.5">
      <c r="A152" s="842" t="s">
        <v>339</v>
      </c>
      <c r="B152" s="843"/>
      <c r="C152" s="844"/>
      <c r="D152" s="117" t="s">
        <v>130</v>
      </c>
      <c r="E152" s="95">
        <f>'11'!F152</f>
        <v>1334</v>
      </c>
      <c r="F152" s="233">
        <v>1348</v>
      </c>
      <c r="G152" s="112">
        <f t="shared" si="11"/>
        <v>14</v>
      </c>
      <c r="H152" s="99">
        <f>G152+'11'!H152</f>
        <v>221</v>
      </c>
      <c r="I152" s="119"/>
      <c r="J152" s="328">
        <f>H152/DAY(B2)</f>
        <v>18.416666666666668</v>
      </c>
    </row>
    <row r="153" spans="1:10" ht="32.25" customHeight="1" x14ac:dyDescent="0.5">
      <c r="A153" s="879" t="s">
        <v>196</v>
      </c>
      <c r="B153" s="880"/>
      <c r="C153" s="365"/>
      <c r="D153" s="358"/>
      <c r="E153" s="360"/>
      <c r="F153" s="361"/>
      <c r="G153" s="362">
        <f>SUM(G138:G152)</f>
        <v>2177</v>
      </c>
      <c r="H153" s="363"/>
      <c r="I153" s="119">
        <f>G153-(G38+G52)</f>
        <v>693</v>
      </c>
      <c r="J153" s="366"/>
    </row>
    <row r="154" spans="1:10" ht="32.25" customHeight="1" x14ac:dyDescent="0.55000000000000004">
      <c r="A154" s="883" t="s">
        <v>344</v>
      </c>
      <c r="B154" s="883"/>
      <c r="C154" s="883"/>
      <c r="D154" s="883"/>
      <c r="E154" s="883"/>
      <c r="F154" s="883"/>
      <c r="G154" s="883"/>
      <c r="H154" s="883"/>
      <c r="I154" s="883"/>
      <c r="J154" s="883"/>
    </row>
    <row r="155" spans="1:10" ht="32.25" customHeight="1" x14ac:dyDescent="0.55000000000000004">
      <c r="A155" s="850" t="s">
        <v>345</v>
      </c>
      <c r="B155" s="850"/>
      <c r="C155" s="850"/>
      <c r="D155" s="117" t="s">
        <v>130</v>
      </c>
      <c r="E155" s="95">
        <f>'11'!F155</f>
        <v>19716</v>
      </c>
      <c r="F155" s="374">
        <v>20303</v>
      </c>
      <c r="G155" s="112">
        <f t="shared" ref="G155:G158" si="12">F155-E155</f>
        <v>587</v>
      </c>
      <c r="H155" s="99">
        <f>G155+'11'!H155</f>
        <v>6831</v>
      </c>
      <c r="I155" s="364"/>
      <c r="J155" s="328">
        <f>H155/DAY(B2)</f>
        <v>569.25</v>
      </c>
    </row>
    <row r="156" spans="1:10" ht="32.25" customHeight="1" x14ac:dyDescent="0.5">
      <c r="A156" s="850" t="s">
        <v>347</v>
      </c>
      <c r="B156" s="850"/>
      <c r="C156" s="850"/>
      <c r="D156" s="117" t="s">
        <v>130</v>
      </c>
      <c r="E156" s="95">
        <f>'11'!F156</f>
        <v>1611</v>
      </c>
      <c r="F156" s="155">
        <v>1667</v>
      </c>
      <c r="G156" s="112">
        <f t="shared" si="12"/>
        <v>56</v>
      </c>
      <c r="H156" s="99">
        <f>G156+'11'!H156</f>
        <v>579</v>
      </c>
      <c r="I156" s="165"/>
      <c r="J156" s="328">
        <f>H156/DAY(B2)</f>
        <v>48.25</v>
      </c>
    </row>
    <row r="157" spans="1:10" ht="32.25" customHeight="1" x14ac:dyDescent="0.5">
      <c r="A157" s="842" t="s">
        <v>364</v>
      </c>
      <c r="B157" s="843"/>
      <c r="C157" s="844"/>
      <c r="D157" s="117" t="s">
        <v>130</v>
      </c>
      <c r="E157" s="95">
        <v>1931</v>
      </c>
      <c r="F157" s="155">
        <v>2096</v>
      </c>
      <c r="G157" s="112">
        <f t="shared" si="12"/>
        <v>165</v>
      </c>
      <c r="H157" s="99">
        <f>G157+'11'!H157</f>
        <v>165</v>
      </c>
      <c r="I157" s="165"/>
      <c r="J157" s="328">
        <f>H157/DAY(B2)</f>
        <v>13.75</v>
      </c>
    </row>
    <row r="158" spans="1:10" ht="32.25" customHeight="1" x14ac:dyDescent="0.5">
      <c r="A158" s="842" t="s">
        <v>365</v>
      </c>
      <c r="B158" s="843"/>
      <c r="C158" s="844"/>
      <c r="D158" s="117" t="s">
        <v>130</v>
      </c>
      <c r="E158" s="95">
        <v>0</v>
      </c>
      <c r="F158" s="155">
        <v>19</v>
      </c>
      <c r="G158" s="112">
        <f t="shared" si="12"/>
        <v>19</v>
      </c>
      <c r="H158" s="99">
        <f>G158+'11'!H158</f>
        <v>19</v>
      </c>
      <c r="I158" s="165"/>
      <c r="J158" s="328">
        <f>H158/DAY(B2)</f>
        <v>1.5833333333333333</v>
      </c>
    </row>
    <row r="159" spans="1:10" ht="32.25" customHeight="1" x14ac:dyDescent="0.5">
      <c r="A159" s="899"/>
      <c r="B159" s="900"/>
      <c r="C159" s="901"/>
      <c r="D159" s="117"/>
      <c r="E159" s="95"/>
      <c r="F159" s="165"/>
      <c r="G159" s="362">
        <f>SUM(G155:G158)</f>
        <v>827</v>
      </c>
      <c r="H159" s="99"/>
      <c r="I159" s="165"/>
      <c r="J159" s="328"/>
    </row>
    <row r="160" spans="1:10" ht="32.25" customHeight="1" x14ac:dyDescent="0.55000000000000004">
      <c r="A160" s="883" t="s">
        <v>326</v>
      </c>
      <c r="B160" s="883"/>
      <c r="C160" s="883"/>
      <c r="D160" s="883"/>
      <c r="E160" s="883"/>
      <c r="F160" s="883"/>
      <c r="G160" s="883"/>
      <c r="H160" s="883"/>
      <c r="I160" s="883"/>
      <c r="J160" s="883"/>
    </row>
    <row r="161" spans="1:10" ht="32.25" customHeight="1" x14ac:dyDescent="0.5">
      <c r="A161" s="242" t="s">
        <v>92</v>
      </c>
      <c r="B161" s="243"/>
      <c r="C161" s="243"/>
      <c r="D161" s="244" t="s">
        <v>180</v>
      </c>
      <c r="E161" s="95">
        <f>'11'!F161</f>
        <v>471403</v>
      </c>
      <c r="F161" s="235">
        <v>471411</v>
      </c>
      <c r="G161" s="238">
        <f t="shared" ref="G161:G165" si="13">F161-E161</f>
        <v>8</v>
      </c>
      <c r="H161" s="99">
        <f>G161+'11'!H161</f>
        <v>257.84000000002561</v>
      </c>
      <c r="I161" s="236"/>
      <c r="J161" s="239">
        <f>H161/DAY(B2)</f>
        <v>21.4866666666688</v>
      </c>
    </row>
    <row r="162" spans="1:10" ht="32.25" customHeight="1" x14ac:dyDescent="0.5">
      <c r="A162" s="242" t="s">
        <v>93</v>
      </c>
      <c r="B162" s="243"/>
      <c r="C162" s="243"/>
      <c r="D162" s="244" t="s">
        <v>180</v>
      </c>
      <c r="E162" s="95">
        <f>'11'!F162</f>
        <v>87860</v>
      </c>
      <c r="F162" s="235">
        <v>87890</v>
      </c>
      <c r="G162" s="238">
        <f t="shared" si="13"/>
        <v>30</v>
      </c>
      <c r="H162" s="99">
        <f>G162+'11'!H162</f>
        <v>320</v>
      </c>
      <c r="I162" s="236"/>
      <c r="J162" s="239">
        <f>H162/DAY(B2)</f>
        <v>26.666666666666668</v>
      </c>
    </row>
    <row r="163" spans="1:10" ht="32.25" customHeight="1" x14ac:dyDescent="0.5">
      <c r="A163" s="242" t="s">
        <v>197</v>
      </c>
      <c r="B163" s="243"/>
      <c r="C163" s="243"/>
      <c r="D163" s="244" t="s">
        <v>180</v>
      </c>
      <c r="E163" s="95">
        <f>'11'!F163</f>
        <v>78283</v>
      </c>
      <c r="F163" s="235">
        <v>78317</v>
      </c>
      <c r="G163" s="238">
        <f t="shared" si="13"/>
        <v>34</v>
      </c>
      <c r="H163" s="99">
        <f>G163+'11'!H163</f>
        <v>492</v>
      </c>
      <c r="I163" s="236"/>
      <c r="J163" s="239">
        <f>H163/DAY(B2)</f>
        <v>41</v>
      </c>
    </row>
    <row r="164" spans="1:10" ht="32.25" customHeight="1" x14ac:dyDescent="0.5">
      <c r="A164" s="242" t="s">
        <v>197</v>
      </c>
      <c r="B164" s="243"/>
      <c r="C164" s="243"/>
      <c r="D164" s="244" t="s">
        <v>180</v>
      </c>
      <c r="E164" s="95">
        <f>'11'!F164</f>
        <v>4258</v>
      </c>
      <c r="F164" s="235">
        <v>4259</v>
      </c>
      <c r="G164" s="238">
        <f t="shared" si="13"/>
        <v>1</v>
      </c>
      <c r="H164" s="99">
        <f>G164+'11'!H164</f>
        <v>17</v>
      </c>
      <c r="I164" s="236"/>
      <c r="J164" s="239">
        <f>H164/DAY(B2)</f>
        <v>1.4166666666666667</v>
      </c>
    </row>
    <row r="165" spans="1:10" ht="32.25" customHeight="1" x14ac:dyDescent="0.5">
      <c r="A165" s="242" t="s">
        <v>309</v>
      </c>
      <c r="B165" s="243"/>
      <c r="C165" s="243"/>
      <c r="D165" s="244" t="s">
        <v>180</v>
      </c>
      <c r="E165" s="95">
        <f>'11'!F165</f>
        <v>29715</v>
      </c>
      <c r="F165" s="235">
        <v>29722</v>
      </c>
      <c r="G165" s="238">
        <f t="shared" si="13"/>
        <v>7</v>
      </c>
      <c r="H165" s="99">
        <f>G165+'11'!H165</f>
        <v>76</v>
      </c>
      <c r="I165" s="236"/>
      <c r="J165" s="239">
        <f>H165/DAY(B2)</f>
        <v>6.333333333333333</v>
      </c>
    </row>
    <row r="166" spans="1:10" ht="32.25" customHeight="1" x14ac:dyDescent="0.5">
      <c r="A166" s="882"/>
      <c r="B166" s="882"/>
      <c r="C166" s="246"/>
      <c r="D166" s="244" t="s">
        <v>180</v>
      </c>
      <c r="E166" s="95" t="str">
        <f>'11'!F166</f>
        <v xml:space="preserve"> </v>
      </c>
      <c r="F166" s="165"/>
      <c r="G166" s="165"/>
      <c r="H166" s="99">
        <f>G166+'11'!H166</f>
        <v>0</v>
      </c>
      <c r="I166" s="165"/>
      <c r="J166" s="239">
        <f>H166/DAY(B2)</f>
        <v>0</v>
      </c>
    </row>
    <row r="167" spans="1:10" ht="32.25" customHeight="1" x14ac:dyDescent="0.5">
      <c r="A167" s="882"/>
      <c r="B167" s="882"/>
      <c r="C167" s="246"/>
      <c r="D167" s="244" t="s">
        <v>180</v>
      </c>
      <c r="E167" s="95">
        <f>'11'!F167</f>
        <v>0</v>
      </c>
      <c r="F167" s="165"/>
      <c r="G167" s="165"/>
      <c r="H167" s="99">
        <f>G167+'11'!H167</f>
        <v>0</v>
      </c>
      <c r="I167" s="165"/>
      <c r="J167" s="239">
        <f>H167/DAY(B2)</f>
        <v>0</v>
      </c>
    </row>
    <row r="168" spans="1:10" ht="32.25" customHeight="1" x14ac:dyDescent="0.5">
      <c r="A168" s="882"/>
      <c r="B168" s="882"/>
      <c r="C168" s="246"/>
      <c r="D168" s="244" t="s">
        <v>180</v>
      </c>
      <c r="E168" s="95">
        <f>'11'!F168</f>
        <v>0</v>
      </c>
      <c r="F168" s="165"/>
      <c r="G168" s="165"/>
      <c r="H168" s="99">
        <f>G168+'11'!H168</f>
        <v>0</v>
      </c>
      <c r="I168" s="165"/>
      <c r="J168" s="239">
        <f>H168/DAY(B2)</f>
        <v>0</v>
      </c>
    </row>
    <row r="171" spans="1:10" ht="32.25" customHeight="1" x14ac:dyDescent="0.35">
      <c r="A171" s="890" t="s">
        <v>330</v>
      </c>
      <c r="B171" s="891"/>
      <c r="C171" s="891"/>
      <c r="D171" s="891"/>
      <c r="E171" s="891"/>
      <c r="F171" s="891"/>
      <c r="G171" s="891"/>
      <c r="H171" s="891"/>
      <c r="I171" s="891"/>
      <c r="J171" s="892"/>
    </row>
    <row r="172" spans="1:10" ht="32.25" customHeight="1" x14ac:dyDescent="0.5">
      <c r="A172" s="886"/>
      <c r="B172" s="887"/>
      <c r="C172" s="332"/>
      <c r="D172" s="228"/>
      <c r="E172" s="155"/>
      <c r="F172" s="155"/>
      <c r="G172" s="155"/>
      <c r="H172" s="156"/>
      <c r="I172" s="155"/>
      <c r="J172" s="178"/>
    </row>
    <row r="173" spans="1:10" ht="32.25" customHeight="1" x14ac:dyDescent="0.5">
      <c r="A173" s="840" t="s">
        <v>209</v>
      </c>
      <c r="B173" s="841"/>
      <c r="C173" s="333"/>
      <c r="D173" s="228" t="s">
        <v>142</v>
      </c>
      <c r="E173" s="95">
        <f>'11'!F173</f>
        <v>8126</v>
      </c>
      <c r="F173" s="155">
        <v>8126</v>
      </c>
      <c r="G173" s="155">
        <f>F173-E173</f>
        <v>0</v>
      </c>
      <c r="H173" s="99">
        <f>G173+'11'!H173</f>
        <v>0</v>
      </c>
      <c r="I173" s="155"/>
      <c r="J173" s="178">
        <f>H173/DAY(B2)</f>
        <v>0</v>
      </c>
    </row>
    <row r="174" spans="1:10" ht="32.25" customHeight="1" x14ac:dyDescent="0.5">
      <c r="A174" s="840" t="s">
        <v>75</v>
      </c>
      <c r="B174" s="841"/>
      <c r="C174" s="333"/>
      <c r="D174" s="228" t="s">
        <v>142</v>
      </c>
      <c r="E174" s="157">
        <v>38403</v>
      </c>
      <c r="F174" s="157">
        <v>38403</v>
      </c>
      <c r="G174" s="155">
        <f t="shared" ref="G174:G175" si="14">F174-E174</f>
        <v>0</v>
      </c>
      <c r="H174" s="99">
        <f>G174+'11'!H174</f>
        <v>110</v>
      </c>
      <c r="I174" s="155"/>
      <c r="J174" s="178">
        <f>H174/DAY(B2)</f>
        <v>9.1666666666666661</v>
      </c>
    </row>
    <row r="175" spans="1:10" ht="32.25" customHeight="1" x14ac:dyDescent="0.5">
      <c r="A175" s="840" t="s">
        <v>76</v>
      </c>
      <c r="B175" s="845"/>
      <c r="C175" s="841"/>
      <c r="D175" s="228" t="s">
        <v>142</v>
      </c>
      <c r="E175" s="95">
        <f>'11'!F175</f>
        <v>21621</v>
      </c>
      <c r="F175" s="155">
        <v>21626</v>
      </c>
      <c r="G175" s="155">
        <f t="shared" si="14"/>
        <v>5</v>
      </c>
      <c r="H175" s="99">
        <f>G175+'11'!H175</f>
        <v>108</v>
      </c>
      <c r="I175" s="155"/>
      <c r="J175" s="178">
        <f>H175/DAY(B2)</f>
        <v>9</v>
      </c>
    </row>
    <row r="176" spans="1:10" ht="32.25" customHeight="1" x14ac:dyDescent="0.5">
      <c r="A176" s="592" t="s">
        <v>196</v>
      </c>
      <c r="B176" s="593"/>
      <c r="C176" s="485"/>
      <c r="D176" s="228" t="s">
        <v>142</v>
      </c>
      <c r="E176" s="95"/>
      <c r="F176" s="155"/>
      <c r="G176" s="155">
        <f>SUM(G173:G175)</f>
        <v>5</v>
      </c>
      <c r="H176" s="99">
        <f>G176+'11'!H176</f>
        <v>218</v>
      </c>
      <c r="I176" s="155"/>
      <c r="J176" s="178">
        <f>H176/DAY(B2)</f>
        <v>18.166666666666668</v>
      </c>
    </row>
    <row r="177" spans="1:10" ht="32.25" customHeight="1" x14ac:dyDescent="0.5">
      <c r="A177" s="840" t="s">
        <v>77</v>
      </c>
      <c r="B177" s="841"/>
      <c r="C177" s="333"/>
      <c r="D177" s="228" t="s">
        <v>142</v>
      </c>
      <c r="E177" s="95"/>
      <c r="F177" s="155"/>
      <c r="G177" s="155"/>
      <c r="H177" s="99">
        <f>G177+'11'!H177</f>
        <v>0</v>
      </c>
      <c r="I177" s="155"/>
      <c r="J177" s="178">
        <f>H177/DAY(B2)</f>
        <v>0</v>
      </c>
    </row>
    <row r="178" spans="1:10" ht="32.25" customHeight="1" x14ac:dyDescent="0.5">
      <c r="A178" s="840" t="s">
        <v>210</v>
      </c>
      <c r="B178" s="841"/>
      <c r="C178" s="333"/>
      <c r="D178" s="228" t="s">
        <v>142</v>
      </c>
      <c r="E178" s="95">
        <f>'11'!F178</f>
        <v>80312</v>
      </c>
      <c r="F178" s="155">
        <v>80355</v>
      </c>
      <c r="G178" s="155">
        <f>F178-E178</f>
        <v>43</v>
      </c>
      <c r="H178" s="99">
        <f>G178+'11'!H178</f>
        <v>741</v>
      </c>
      <c r="I178" s="155"/>
      <c r="J178" s="178">
        <f>H178/DAY(B2)</f>
        <v>61.75</v>
      </c>
    </row>
    <row r="179" spans="1:10" ht="32.25" customHeight="1" x14ac:dyDescent="0.5">
      <c r="A179" s="840" t="s">
        <v>211</v>
      </c>
      <c r="B179" s="841"/>
      <c r="C179" s="333"/>
      <c r="D179" s="228" t="s">
        <v>142</v>
      </c>
      <c r="E179" s="95">
        <f>'11'!F179</f>
        <v>34127</v>
      </c>
      <c r="F179" s="155">
        <v>34146</v>
      </c>
      <c r="G179" s="155">
        <f t="shared" ref="G179:G180" si="15">F179-E179</f>
        <v>19</v>
      </c>
      <c r="H179" s="99">
        <f>G179+'11'!H179</f>
        <v>231</v>
      </c>
      <c r="I179" s="155"/>
      <c r="J179" s="178">
        <f>H179/DAY(B2)</f>
        <v>19.25</v>
      </c>
    </row>
    <row r="180" spans="1:10" ht="32.25" customHeight="1" x14ac:dyDescent="0.5">
      <c r="A180" s="840" t="s">
        <v>212</v>
      </c>
      <c r="B180" s="841"/>
      <c r="C180" s="333"/>
      <c r="D180" s="228" t="s">
        <v>142</v>
      </c>
      <c r="E180" s="95">
        <f>'11'!F180</f>
        <v>5546</v>
      </c>
      <c r="F180" s="155">
        <v>5563</v>
      </c>
      <c r="G180" s="155">
        <f t="shared" si="15"/>
        <v>17</v>
      </c>
      <c r="H180" s="99">
        <f>G180+'11'!H180</f>
        <v>86</v>
      </c>
      <c r="I180" s="155"/>
      <c r="J180" s="178">
        <f>H180/DAY(B2)</f>
        <v>7.166666666666667</v>
      </c>
    </row>
    <row r="181" spans="1:10" ht="32.25" customHeight="1" x14ac:dyDescent="0.5">
      <c r="A181" s="884" t="s">
        <v>108</v>
      </c>
      <c r="B181" s="885"/>
      <c r="C181" s="485"/>
      <c r="D181" s="228" t="s">
        <v>142</v>
      </c>
      <c r="E181" s="95"/>
      <c r="F181" s="155"/>
      <c r="G181" s="155">
        <f>SUM(G178:G180)</f>
        <v>79</v>
      </c>
      <c r="H181" s="99">
        <f>G181+'11'!H181</f>
        <v>1058</v>
      </c>
      <c r="I181" s="155"/>
      <c r="J181" s="178">
        <f>H181/DAY(B2)</f>
        <v>88.166666666666671</v>
      </c>
    </row>
    <row r="182" spans="1:10" ht="32.25" customHeight="1" x14ac:dyDescent="0.5">
      <c r="A182" s="840" t="s">
        <v>213</v>
      </c>
      <c r="B182" s="841"/>
      <c r="C182" s="333"/>
      <c r="D182" s="228" t="s">
        <v>142</v>
      </c>
      <c r="E182" s="95"/>
      <c r="F182" s="155"/>
      <c r="G182" s="155"/>
      <c r="H182" s="99">
        <f>G182+'11'!H182</f>
        <v>0</v>
      </c>
      <c r="I182" s="155"/>
      <c r="J182" s="178">
        <f>H182/DAY(B2)</f>
        <v>0</v>
      </c>
    </row>
    <row r="183" spans="1:10" ht="32.25" customHeight="1" x14ac:dyDescent="0.5">
      <c r="A183" s="840" t="s">
        <v>214</v>
      </c>
      <c r="B183" s="841"/>
      <c r="C183" s="334"/>
      <c r="D183" s="228" t="s">
        <v>142</v>
      </c>
      <c r="E183" s="95">
        <f>'11'!F183</f>
        <v>15094</v>
      </c>
      <c r="F183" s="157">
        <v>15101</v>
      </c>
      <c r="G183" s="157">
        <f>F183-E183</f>
        <v>7</v>
      </c>
      <c r="H183" s="99">
        <f>G183+'11'!H183</f>
        <v>154</v>
      </c>
      <c r="I183" s="155"/>
      <c r="J183" s="178">
        <f>H183/DAY(B2)</f>
        <v>12.833333333333334</v>
      </c>
    </row>
    <row r="184" spans="1:10" ht="32.25" customHeight="1" x14ac:dyDescent="0.5">
      <c r="A184" s="840" t="s">
        <v>215</v>
      </c>
      <c r="B184" s="841"/>
      <c r="C184" s="334"/>
      <c r="D184" s="228" t="s">
        <v>142</v>
      </c>
      <c r="E184" s="95">
        <f>'11'!F184</f>
        <v>10380</v>
      </c>
      <c r="F184" s="157">
        <v>10383</v>
      </c>
      <c r="G184" s="157">
        <f t="shared" ref="G184:G185" si="16">F184-E184</f>
        <v>3</v>
      </c>
      <c r="H184" s="99">
        <f>G184+'11'!H184</f>
        <v>82</v>
      </c>
      <c r="I184" s="155"/>
      <c r="J184" s="178">
        <f>H184/DAY(B2)</f>
        <v>6.833333333333333</v>
      </c>
    </row>
    <row r="185" spans="1:10" ht="32.25" customHeight="1" x14ac:dyDescent="0.5">
      <c r="A185" s="840" t="s">
        <v>216</v>
      </c>
      <c r="B185" s="841"/>
      <c r="C185" s="334"/>
      <c r="D185" s="228" t="s">
        <v>142</v>
      </c>
      <c r="E185" s="95">
        <f>'11'!F185</f>
        <v>0</v>
      </c>
      <c r="F185" s="157"/>
      <c r="G185" s="157">
        <f t="shared" si="16"/>
        <v>0</v>
      </c>
      <c r="H185" s="99">
        <f>G185+'11'!H185</f>
        <v>0</v>
      </c>
      <c r="I185" s="155"/>
      <c r="J185" s="178">
        <f>H185/DAY(B2)</f>
        <v>0</v>
      </c>
    </row>
    <row r="186" spans="1:10" ht="32.25" customHeight="1" x14ac:dyDescent="0.5">
      <c r="A186" s="879" t="s">
        <v>196</v>
      </c>
      <c r="B186" s="880"/>
      <c r="C186" s="484"/>
      <c r="D186" s="228" t="s">
        <v>142</v>
      </c>
      <c r="E186" s="95"/>
      <c r="F186" s="157"/>
      <c r="G186" s="157">
        <f>SUM(G183:G185)</f>
        <v>10</v>
      </c>
      <c r="H186" s="99">
        <f>G186+'11'!H186</f>
        <v>236</v>
      </c>
      <c r="I186" s="157"/>
      <c r="J186" s="178">
        <f>H186/DAY(B2)</f>
        <v>19.666666666666668</v>
      </c>
    </row>
    <row r="187" spans="1:10" ht="32.25" customHeight="1" x14ac:dyDescent="0.5">
      <c r="A187" s="888" t="s">
        <v>217</v>
      </c>
      <c r="B187" s="889"/>
      <c r="C187" s="333"/>
      <c r="D187" s="230" t="s">
        <v>142</v>
      </c>
      <c r="E187" s="95"/>
      <c r="F187" s="159"/>
      <c r="G187" s="462">
        <f>G62+G19</f>
        <v>100</v>
      </c>
      <c r="H187" s="99">
        <f>G187+'11'!H187</f>
        <v>1345</v>
      </c>
      <c r="I187" s="158"/>
      <c r="J187" s="179">
        <f>H187/DAY(B2)</f>
        <v>112.08333333333333</v>
      </c>
    </row>
    <row r="188" spans="1:10" ht="32.25" customHeight="1" x14ac:dyDescent="0.5">
      <c r="A188" s="888" t="s">
        <v>218</v>
      </c>
      <c r="B188" s="889"/>
      <c r="C188" s="333"/>
      <c r="D188" s="230" t="s">
        <v>142</v>
      </c>
      <c r="E188" s="95"/>
      <c r="F188" s="159"/>
      <c r="G188" s="462">
        <f>G65+G66+G67+G69+G70</f>
        <v>79</v>
      </c>
      <c r="H188" s="99">
        <f>G188+'11'!H188</f>
        <v>1584</v>
      </c>
      <c r="I188" s="158"/>
      <c r="J188" s="179">
        <f>H188/DAY(B2)</f>
        <v>132</v>
      </c>
    </row>
    <row r="189" spans="1:10" ht="32.25" customHeight="1" x14ac:dyDescent="0.5">
      <c r="A189" s="888" t="s">
        <v>219</v>
      </c>
      <c r="B189" s="889"/>
      <c r="C189" s="333"/>
      <c r="D189" s="230" t="s">
        <v>142</v>
      </c>
      <c r="E189" s="95"/>
      <c r="F189" s="157"/>
      <c r="G189" s="703">
        <f>G181</f>
        <v>79</v>
      </c>
      <c r="H189" s="99">
        <f>G189+'11'!H189</f>
        <v>1058</v>
      </c>
      <c r="I189" s="158"/>
      <c r="J189" s="179">
        <f>H189/DAY(B2)</f>
        <v>88.166666666666671</v>
      </c>
    </row>
    <row r="190" spans="1:10" ht="32.25" customHeight="1" x14ac:dyDescent="0.5">
      <c r="A190" s="811"/>
      <c r="B190" s="812"/>
      <c r="C190" s="483"/>
      <c r="D190" s="480"/>
      <c r="E190" s="477"/>
      <c r="F190" s="480"/>
      <c r="G190" s="480"/>
      <c r="H190" s="486"/>
      <c r="I190" s="480"/>
      <c r="J190" s="482"/>
    </row>
  </sheetData>
  <mergeCells count="114">
    <mergeCell ref="A158:C158"/>
    <mergeCell ref="A159:C159"/>
    <mergeCell ref="A186:B186"/>
    <mergeCell ref="A187:B187"/>
    <mergeCell ref="A188:B188"/>
    <mergeCell ref="A189:B189"/>
    <mergeCell ref="A190:B190"/>
    <mergeCell ref="A171:J171"/>
    <mergeCell ref="A172:B172"/>
    <mergeCell ref="A173:B173"/>
    <mergeCell ref="A174:B174"/>
    <mergeCell ref="A184:B184"/>
    <mergeCell ref="A185:B185"/>
    <mergeCell ref="A135:B135"/>
    <mergeCell ref="A142:C142"/>
    <mergeCell ref="A160:J160"/>
    <mergeCell ref="A166:B166"/>
    <mergeCell ref="A167:B167"/>
    <mergeCell ref="A168:B168"/>
    <mergeCell ref="A136:J136"/>
    <mergeCell ref="A138:C138"/>
    <mergeCell ref="A139:C139"/>
    <mergeCell ref="A140:C140"/>
    <mergeCell ref="A141:C141"/>
    <mergeCell ref="A147:C147"/>
    <mergeCell ref="A143:C143"/>
    <mergeCell ref="A144:C144"/>
    <mergeCell ref="A145:C145"/>
    <mergeCell ref="A146:C146"/>
    <mergeCell ref="A150:C150"/>
    <mergeCell ref="A151:C151"/>
    <mergeCell ref="A152:C152"/>
    <mergeCell ref="A154:J154"/>
    <mergeCell ref="A155:C155"/>
    <mergeCell ref="A156:C156"/>
    <mergeCell ref="A153:B153"/>
    <mergeCell ref="A157:C157"/>
    <mergeCell ref="A131:C131"/>
    <mergeCell ref="A132:C132"/>
    <mergeCell ref="A133:C133"/>
    <mergeCell ref="A134:C134"/>
    <mergeCell ref="A124:C124"/>
    <mergeCell ref="A125:B125"/>
    <mergeCell ref="A126:J126"/>
    <mergeCell ref="A127:B127"/>
    <mergeCell ref="A128:C128"/>
    <mergeCell ref="Q116:R116"/>
    <mergeCell ref="A117:C117"/>
    <mergeCell ref="Q117:R117"/>
    <mergeCell ref="A118:C118"/>
    <mergeCell ref="Q118:R118"/>
    <mergeCell ref="A110:J110"/>
    <mergeCell ref="A111:C111"/>
    <mergeCell ref="A112:C112"/>
    <mergeCell ref="A113:C113"/>
    <mergeCell ref="A114:C114"/>
    <mergeCell ref="A61:C61"/>
    <mergeCell ref="A62:C62"/>
    <mergeCell ref="A63:C63"/>
    <mergeCell ref="A71:C71"/>
    <mergeCell ref="A72:B72"/>
    <mergeCell ref="A181:B181"/>
    <mergeCell ref="A183:B183"/>
    <mergeCell ref="A175:C175"/>
    <mergeCell ref="A182:B182"/>
    <mergeCell ref="A177:B177"/>
    <mergeCell ref="A178:B178"/>
    <mergeCell ref="A179:B179"/>
    <mergeCell ref="A180:B180"/>
    <mergeCell ref="A79:C79"/>
    <mergeCell ref="A80:C80"/>
    <mergeCell ref="A81:C81"/>
    <mergeCell ref="A115:C115"/>
    <mergeCell ref="A116:C116"/>
    <mergeCell ref="A119:C119"/>
    <mergeCell ref="A120:C120"/>
    <mergeCell ref="A121:C121"/>
    <mergeCell ref="A122:C122"/>
    <mergeCell ref="A148:C148"/>
    <mergeCell ref="A149:C149"/>
    <mergeCell ref="A123:C123"/>
    <mergeCell ref="A109:B109"/>
    <mergeCell ref="A93:C93"/>
    <mergeCell ref="A94:C94"/>
    <mergeCell ref="A64:C64"/>
    <mergeCell ref="A65:C65"/>
    <mergeCell ref="A73:C73"/>
    <mergeCell ref="A74:C74"/>
    <mergeCell ref="A75:C75"/>
    <mergeCell ref="A76:C76"/>
    <mergeCell ref="A77:C77"/>
    <mergeCell ref="A101:C101"/>
    <mergeCell ref="A103:C103"/>
    <mergeCell ref="A104:C104"/>
    <mergeCell ref="A105:C105"/>
    <mergeCell ref="A108:J108"/>
    <mergeCell ref="A78:C78"/>
    <mergeCell ref="A97:C97"/>
    <mergeCell ref="A98:C98"/>
    <mergeCell ref="A99:C99"/>
    <mergeCell ref="A100:C100"/>
    <mergeCell ref="A95:C95"/>
    <mergeCell ref="A96:C96"/>
    <mergeCell ref="A102:C102"/>
    <mergeCell ref="A18:C18"/>
    <mergeCell ref="A19:C19"/>
    <mergeCell ref="A21:C21"/>
    <mergeCell ref="A25:C25"/>
    <mergeCell ref="A33:C33"/>
    <mergeCell ref="A1:J1"/>
    <mergeCell ref="A6:C6"/>
    <mergeCell ref="A14:C14"/>
    <mergeCell ref="A17:C17"/>
    <mergeCell ref="E3:F3"/>
  </mergeCells>
  <pageMargins left="0.22" right="0.17" top="0.14000000000000001" bottom="0.2" header="0.2" footer="0.2"/>
  <pageSetup paperSize="5" scale="16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1:R190"/>
  <sheetViews>
    <sheetView view="pageBreakPreview" topLeftCell="A103" zoomScale="50" zoomScaleSheetLayoutView="50" workbookViewId="0">
      <selection activeCell="F24" sqref="F24"/>
    </sheetView>
  </sheetViews>
  <sheetFormatPr defaultColWidth="22.33203125" defaultRowHeight="27.75" customHeight="1" x14ac:dyDescent="0.5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6" width="30" style="160" customWidth="1"/>
    <col min="7" max="7" width="28.88671875" style="160" customWidth="1"/>
    <col min="8" max="8" width="39.21875" style="161" customWidth="1"/>
    <col min="9" max="9" width="23.5546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27.75" customHeight="1" x14ac:dyDescent="0.65">
      <c r="A1" s="821" t="s">
        <v>115</v>
      </c>
      <c r="B1" s="822"/>
      <c r="C1" s="822"/>
      <c r="D1" s="822"/>
      <c r="E1" s="822"/>
      <c r="F1" s="822"/>
      <c r="G1" s="822"/>
      <c r="H1" s="822"/>
      <c r="I1" s="822"/>
      <c r="J1" s="823"/>
    </row>
    <row r="2" spans="1:15" s="57" customFormat="1" ht="27.75" customHeight="1" x14ac:dyDescent="0.5">
      <c r="A2" s="191" t="s">
        <v>303</v>
      </c>
      <c r="B2" s="262">
        <v>44574</v>
      </c>
      <c r="C2" s="348" t="s">
        <v>67</v>
      </c>
      <c r="D2" s="218">
        <v>0.25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27.75" customHeight="1" x14ac:dyDescent="0.5">
      <c r="A3" s="189"/>
      <c r="B3" s="221"/>
      <c r="C3" s="348" t="s">
        <v>118</v>
      </c>
      <c r="D3" s="219">
        <v>21</v>
      </c>
      <c r="E3" s="830" t="s">
        <v>119</v>
      </c>
      <c r="F3" s="831"/>
      <c r="G3" s="101"/>
      <c r="H3" s="102"/>
      <c r="I3" s="102"/>
      <c r="J3" s="222"/>
      <c r="K3" s="61"/>
      <c r="L3" s="58"/>
    </row>
    <row r="4" spans="1:15" s="57" customFormat="1" ht="27.75" customHeight="1" x14ac:dyDescent="0.5">
      <c r="A4" s="192"/>
      <c r="B4" s="223"/>
      <c r="C4" s="348" t="s">
        <v>120</v>
      </c>
      <c r="D4" s="218">
        <v>0.68</v>
      </c>
      <c r="E4" s="103"/>
      <c r="F4" s="103"/>
      <c r="G4" s="103"/>
      <c r="H4" s="103"/>
      <c r="I4" s="104"/>
      <c r="J4" s="222"/>
      <c r="K4" s="62"/>
      <c r="L4" s="58"/>
    </row>
    <row r="5" spans="1:15" ht="27.75" customHeight="1" x14ac:dyDescent="0.4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5" ht="27.75" customHeight="1" x14ac:dyDescent="0.4">
      <c r="A6" s="824" t="s">
        <v>128</v>
      </c>
      <c r="B6" s="825"/>
      <c r="C6" s="826"/>
      <c r="D6" s="110"/>
      <c r="E6" s="110"/>
      <c r="F6" s="110"/>
      <c r="G6" s="110"/>
      <c r="H6" s="111"/>
      <c r="I6" s="111"/>
      <c r="J6" s="174"/>
      <c r="K6" s="78"/>
      <c r="L6" s="66"/>
    </row>
    <row r="7" spans="1:15" ht="27.75" customHeight="1" thickBot="1" x14ac:dyDescent="0.45">
      <c r="A7" s="194" t="s">
        <v>129</v>
      </c>
      <c r="B7" s="195"/>
      <c r="C7" s="195"/>
      <c r="D7" s="151" t="s">
        <v>130</v>
      </c>
      <c r="E7" s="95">
        <f>'12'!F7</f>
        <v>320395</v>
      </c>
      <c r="F7" s="95">
        <v>337195</v>
      </c>
      <c r="G7" s="112">
        <f>F7-E7</f>
        <v>16800</v>
      </c>
      <c r="H7" s="99">
        <f>G7+'12'!H7</f>
        <v>242634</v>
      </c>
      <c r="I7" s="113">
        <f>'1'!I7</f>
        <v>12000</v>
      </c>
      <c r="J7" s="175">
        <f>H7/DAY(B2)</f>
        <v>18664.153846153848</v>
      </c>
      <c r="K7" s="172">
        <v>1375467</v>
      </c>
      <c r="L7" s="66"/>
      <c r="N7" s="87"/>
      <c r="O7" s="71"/>
    </row>
    <row r="8" spans="1:15" ht="27.75" customHeight="1" thickBot="1" x14ac:dyDescent="0.45">
      <c r="A8" s="196" t="s">
        <v>131</v>
      </c>
      <c r="B8" s="197"/>
      <c r="C8" s="198"/>
      <c r="D8" s="224" t="s">
        <v>24</v>
      </c>
      <c r="E8" s="95">
        <f>'12'!F8</f>
        <v>370975</v>
      </c>
      <c r="F8" s="95">
        <v>388025</v>
      </c>
      <c r="G8" s="115">
        <f>F8-E8</f>
        <v>17050</v>
      </c>
      <c r="H8" s="99">
        <f>G8+'12'!H8</f>
        <v>247140</v>
      </c>
      <c r="I8" s="116"/>
      <c r="J8" s="175">
        <f>H8/DAY(B2)</f>
        <v>19010.76923076923</v>
      </c>
      <c r="K8" s="172">
        <v>1715917</v>
      </c>
      <c r="L8" s="76">
        <v>1728480</v>
      </c>
      <c r="M8" s="87">
        <f>L8-K8</f>
        <v>12563</v>
      </c>
      <c r="N8" s="87"/>
      <c r="O8" s="71"/>
    </row>
    <row r="9" spans="1:15" ht="27.75" customHeight="1" x14ac:dyDescent="0.4">
      <c r="A9" s="199" t="s">
        <v>132</v>
      </c>
      <c r="B9" s="200"/>
      <c r="C9" s="200"/>
      <c r="D9" s="151" t="s">
        <v>130</v>
      </c>
      <c r="E9" s="95">
        <f>'12'!F9</f>
        <v>44230</v>
      </c>
      <c r="F9" s="601">
        <v>54881</v>
      </c>
      <c r="G9" s="112">
        <f>F9-E9</f>
        <v>10651</v>
      </c>
      <c r="H9" s="99">
        <f>G9+'12'!H9</f>
        <v>153386</v>
      </c>
      <c r="I9" s="124">
        <f>I7-J7</f>
        <v>-6664.1538461538476</v>
      </c>
      <c r="J9" s="175">
        <f>H9/DAY(B2)</f>
        <v>11798.923076923076</v>
      </c>
      <c r="K9" s="79">
        <f>K8-100</f>
        <v>1715817</v>
      </c>
      <c r="L9" s="66"/>
      <c r="N9" s="87"/>
      <c r="O9" s="71"/>
    </row>
    <row r="10" spans="1:15" ht="27.75" customHeight="1" x14ac:dyDescent="0.4">
      <c r="A10" s="194" t="s">
        <v>133</v>
      </c>
      <c r="B10" s="195"/>
      <c r="C10" s="195"/>
      <c r="D10" s="151" t="s">
        <v>130</v>
      </c>
      <c r="E10" s="353">
        <v>21941</v>
      </c>
      <c r="F10" s="353">
        <v>27618</v>
      </c>
      <c r="G10" s="112">
        <f t="shared" ref="G10:G12" si="0">F10-E10</f>
        <v>5677</v>
      </c>
      <c r="H10" s="99">
        <f>G10+'12'!H10</f>
        <v>82524</v>
      </c>
      <c r="I10" s="282"/>
      <c r="J10" s="175">
        <f>H10/DAY(B2)</f>
        <v>6348</v>
      </c>
      <c r="K10" s="79"/>
      <c r="L10" s="66"/>
      <c r="N10" s="87"/>
      <c r="O10" s="71"/>
    </row>
    <row r="11" spans="1:15" ht="27.75" customHeight="1" x14ac:dyDescent="0.4">
      <c r="A11" s="194" t="s">
        <v>134</v>
      </c>
      <c r="B11" s="195"/>
      <c r="C11" s="195"/>
      <c r="D11" s="151" t="s">
        <v>130</v>
      </c>
      <c r="E11" s="95">
        <f>'12'!F11</f>
        <v>37000</v>
      </c>
      <c r="F11" s="95">
        <v>37000</v>
      </c>
      <c r="G11" s="112">
        <f t="shared" si="0"/>
        <v>0</v>
      </c>
      <c r="H11" s="99">
        <f>G11+'12'!H11</f>
        <v>0</v>
      </c>
      <c r="I11" s="282"/>
      <c r="J11" s="175">
        <f>H11/DAY(B2)</f>
        <v>0</v>
      </c>
      <c r="K11" s="79"/>
      <c r="L11" s="66"/>
      <c r="N11" s="87"/>
      <c r="O11" s="71"/>
    </row>
    <row r="12" spans="1:15" ht="27.75" customHeight="1" x14ac:dyDescent="0.4">
      <c r="A12" s="194" t="s">
        <v>135</v>
      </c>
      <c r="B12" s="195"/>
      <c r="C12" s="195"/>
      <c r="D12" s="151" t="s">
        <v>130</v>
      </c>
      <c r="E12" s="95">
        <f>'12'!F12</f>
        <v>40010</v>
      </c>
      <c r="F12" s="117">
        <v>40010</v>
      </c>
      <c r="G12" s="112">
        <f t="shared" si="0"/>
        <v>0</v>
      </c>
      <c r="H12" s="99">
        <f>G12+'12'!H12</f>
        <v>0</v>
      </c>
      <c r="I12" s="282"/>
      <c r="J12" s="175">
        <f>H12/DAY(B2)</f>
        <v>0</v>
      </c>
      <c r="K12" s="79"/>
      <c r="L12" s="66"/>
      <c r="N12" s="87"/>
      <c r="O12" s="71"/>
    </row>
    <row r="13" spans="1:15" ht="27.75" customHeight="1" x14ac:dyDescent="0.5">
      <c r="A13" s="201" t="s">
        <v>136</v>
      </c>
      <c r="B13" s="202"/>
      <c r="C13" s="202"/>
      <c r="D13" s="151"/>
      <c r="E13" s="95"/>
      <c r="F13" s="95"/>
      <c r="G13" s="119">
        <f>G9+G10+G11+G12</f>
        <v>16328</v>
      </c>
      <c r="H13" s="99">
        <f>G13+'12'!H13</f>
        <v>216444.74999999988</v>
      </c>
      <c r="I13" s="120">
        <f>G7-G13</f>
        <v>472</v>
      </c>
      <c r="J13" s="175">
        <f>H13/DAY(B2)</f>
        <v>16649.596153846145</v>
      </c>
      <c r="K13" s="79"/>
      <c r="L13" s="66"/>
      <c r="N13" s="87"/>
      <c r="O13" s="71"/>
    </row>
    <row r="14" spans="1:15" ht="27.75" customHeight="1" x14ac:dyDescent="0.5">
      <c r="A14" s="827" t="s">
        <v>137</v>
      </c>
      <c r="B14" s="828"/>
      <c r="C14" s="829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5" ht="27.75" customHeight="1" x14ac:dyDescent="0.5">
      <c r="A15" s="345" t="s">
        <v>138</v>
      </c>
      <c r="B15" s="205"/>
      <c r="C15" s="205"/>
      <c r="D15" s="151" t="s">
        <v>139</v>
      </c>
      <c r="E15" s="95">
        <f>'12'!F15</f>
        <v>1888933</v>
      </c>
      <c r="F15" s="123">
        <v>1889890</v>
      </c>
      <c r="G15" s="112">
        <f>(F15-E15)</f>
        <v>957</v>
      </c>
      <c r="H15" s="99">
        <f>G15+'12'!H15</f>
        <v>11460</v>
      </c>
      <c r="I15" s="113">
        <f>'1'!I15</f>
        <v>800</v>
      </c>
      <c r="J15" s="175">
        <f>H15/DAY(B2)</f>
        <v>881.53846153846155</v>
      </c>
      <c r="K15" s="79"/>
      <c r="L15" s="66"/>
      <c r="N15" s="87"/>
      <c r="O15" s="71"/>
    </row>
    <row r="16" spans="1:15" ht="27.75" customHeight="1" x14ac:dyDescent="0.4">
      <c r="A16" s="203"/>
      <c r="B16" s="204"/>
      <c r="C16" s="204"/>
      <c r="D16" s="152"/>
      <c r="E16" s="123"/>
      <c r="F16" s="123"/>
      <c r="G16" s="112"/>
      <c r="H16" s="124"/>
      <c r="I16" s="120">
        <f>I15-J15</f>
        <v>-81.538461538461547</v>
      </c>
      <c r="J16" s="176"/>
      <c r="K16" s="79"/>
      <c r="L16" s="66"/>
      <c r="N16" s="87"/>
      <c r="O16" s="71"/>
    </row>
    <row r="17" spans="1:15" ht="27.75" customHeight="1" x14ac:dyDescent="0.5">
      <c r="A17" s="827" t="s">
        <v>140</v>
      </c>
      <c r="B17" s="828"/>
      <c r="C17" s="829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5" ht="27.75" customHeight="1" x14ac:dyDescent="0.5">
      <c r="A18" s="818" t="s">
        <v>141</v>
      </c>
      <c r="B18" s="819"/>
      <c r="C18" s="820"/>
      <c r="D18" s="151" t="s">
        <v>142</v>
      </c>
      <c r="E18" s="95">
        <f>'12'!F18</f>
        <v>8</v>
      </c>
      <c r="F18" s="122">
        <v>5</v>
      </c>
      <c r="G18" s="119">
        <f>F18*10</f>
        <v>50</v>
      </c>
      <c r="H18" s="99">
        <f>G18+'12'!H18</f>
        <v>1500</v>
      </c>
      <c r="I18" s="113">
        <f>'1'!I18</f>
        <v>65</v>
      </c>
      <c r="J18" s="175">
        <f>H18/DAY(B2)</f>
        <v>115.38461538461539</v>
      </c>
      <c r="K18" s="79"/>
      <c r="L18" s="66"/>
      <c r="N18" s="87"/>
      <c r="O18" s="71"/>
    </row>
    <row r="19" spans="1:15" ht="27.75" customHeight="1" x14ac:dyDescent="0.5">
      <c r="A19" s="818" t="s">
        <v>69</v>
      </c>
      <c r="B19" s="819"/>
      <c r="C19" s="820"/>
      <c r="D19" s="151" t="s">
        <v>142</v>
      </c>
      <c r="E19" s="95">
        <f>'12'!F19</f>
        <v>152855</v>
      </c>
      <c r="F19" s="122">
        <v>152908</v>
      </c>
      <c r="G19" s="112">
        <f t="shared" ref="G19" si="1">F19-E19</f>
        <v>53</v>
      </c>
      <c r="H19" s="99">
        <f>G19+'12'!H19</f>
        <v>683</v>
      </c>
      <c r="I19" s="335"/>
      <c r="J19" s="175">
        <f>H19/DAY(B2)</f>
        <v>52.53846153846154</v>
      </c>
      <c r="K19" s="79"/>
      <c r="L19" s="66"/>
      <c r="N19" s="87"/>
      <c r="O19" s="71"/>
    </row>
    <row r="20" spans="1:15" ht="27.75" customHeight="1" x14ac:dyDescent="0.5">
      <c r="A20" s="201" t="s">
        <v>143</v>
      </c>
      <c r="B20" s="202"/>
      <c r="C20" s="202"/>
      <c r="D20" s="126"/>
      <c r="E20" s="126"/>
      <c r="F20" s="126"/>
      <c r="G20" s="127">
        <f>G18+G19</f>
        <v>103</v>
      </c>
      <c r="H20" s="99">
        <f>G20+'12'!H20</f>
        <v>2183</v>
      </c>
      <c r="I20" s="336">
        <f>I18-J20</f>
        <v>-102.92307692307693</v>
      </c>
      <c r="J20" s="175">
        <f>H20/DAY(B2)</f>
        <v>167.92307692307693</v>
      </c>
      <c r="K20" s="79"/>
      <c r="L20" s="66"/>
      <c r="N20" s="87"/>
      <c r="O20" s="71"/>
    </row>
    <row r="21" spans="1:15" ht="27.75" customHeight="1" x14ac:dyDescent="0.5">
      <c r="A21" s="827" t="s">
        <v>144</v>
      </c>
      <c r="B21" s="828"/>
      <c r="C21" s="829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5" ht="27.75" customHeight="1" x14ac:dyDescent="0.5">
      <c r="A22" s="345" t="s">
        <v>145</v>
      </c>
      <c r="B22" s="205"/>
      <c r="C22" s="205"/>
      <c r="D22" s="151" t="s">
        <v>146</v>
      </c>
      <c r="E22" s="95">
        <f>'12'!F22</f>
        <v>2970</v>
      </c>
      <c r="F22" s="122">
        <v>2970</v>
      </c>
      <c r="G22" s="119">
        <f t="shared" ref="G22" si="2">(F22-E22)</f>
        <v>0</v>
      </c>
      <c r="H22" s="99">
        <f>G22+'12'!H22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27.75" customHeight="1" x14ac:dyDescent="0.5">
      <c r="A23" s="345" t="s">
        <v>147</v>
      </c>
      <c r="B23" s="205"/>
      <c r="C23" s="205"/>
      <c r="D23" s="151" t="s">
        <v>146</v>
      </c>
      <c r="E23" s="95">
        <f>'12'!F23</f>
        <v>1500</v>
      </c>
      <c r="F23" s="122">
        <v>1500</v>
      </c>
      <c r="G23" s="119">
        <v>0</v>
      </c>
      <c r="H23" s="99">
        <f>G23+'12'!H23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5" ht="27.75" customHeight="1" x14ac:dyDescent="0.4">
      <c r="A24" s="206" t="s">
        <v>148</v>
      </c>
      <c r="B24" s="207"/>
      <c r="C24" s="207"/>
      <c r="D24" s="146" t="s">
        <v>146</v>
      </c>
      <c r="E24" s="95">
        <f>'12'!F24</f>
        <v>4970</v>
      </c>
      <c r="F24" s="128">
        <v>4970</v>
      </c>
      <c r="G24" s="119">
        <v>0</v>
      </c>
      <c r="H24" s="99">
        <f>G24+'12'!H24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5" s="88" customFormat="1" ht="27.75" customHeight="1" x14ac:dyDescent="0.35">
      <c r="A25" s="832" t="s">
        <v>149</v>
      </c>
      <c r="B25" s="833"/>
      <c r="C25" s="834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5" s="88" customFormat="1" ht="27.75" customHeight="1" x14ac:dyDescent="0.5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/>
      <c r="I26" s="134"/>
      <c r="J26" s="175"/>
      <c r="K26" s="64"/>
      <c r="L26" s="89"/>
      <c r="N26" s="87"/>
      <c r="O26" s="71"/>
    </row>
    <row r="27" spans="1:15" s="88" customFormat="1" ht="27.75" customHeight="1" x14ac:dyDescent="0.5">
      <c r="A27" s="208" t="s">
        <v>5</v>
      </c>
      <c r="B27" s="209"/>
      <c r="C27" s="210"/>
      <c r="D27" s="226" t="s">
        <v>24</v>
      </c>
      <c r="E27" s="135">
        <f>G8</f>
        <v>17050</v>
      </c>
      <c r="F27" s="136">
        <v>9</v>
      </c>
      <c r="G27" s="137">
        <f>E27*F27</f>
        <v>153450</v>
      </c>
      <c r="H27" s="99">
        <f>G27+'12'!H27</f>
        <v>2224260</v>
      </c>
      <c r="I27" s="138"/>
      <c r="J27" s="175">
        <f>H27/DAY(B2)</f>
        <v>171096.92307692306</v>
      </c>
      <c r="K27" s="63"/>
      <c r="L27" s="89"/>
      <c r="N27" s="87"/>
      <c r="O27" s="71"/>
    </row>
    <row r="28" spans="1:15" s="88" customFormat="1" ht="27.75" customHeight="1" x14ac:dyDescent="0.5">
      <c r="A28" s="208" t="s">
        <v>152</v>
      </c>
      <c r="B28" s="209"/>
      <c r="C28" s="210"/>
      <c r="D28" s="226" t="s">
        <v>153</v>
      </c>
      <c r="E28" s="139">
        <f>G15</f>
        <v>957</v>
      </c>
      <c r="F28" s="136">
        <v>52</v>
      </c>
      <c r="G28" s="137">
        <f>E28*F28</f>
        <v>49764</v>
      </c>
      <c r="H28" s="99">
        <f>G28+'12'!H28</f>
        <v>595920</v>
      </c>
      <c r="I28" s="140"/>
      <c r="J28" s="175">
        <f>H28/DAY(B2)</f>
        <v>45840</v>
      </c>
      <c r="K28" s="63"/>
      <c r="L28" s="89"/>
      <c r="N28" s="87"/>
      <c r="O28" s="71"/>
    </row>
    <row r="29" spans="1:15" s="88" customFormat="1" ht="27.75" customHeight="1" x14ac:dyDescent="0.5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>E29*F29</f>
        <v>0</v>
      </c>
      <c r="H29" s="99">
        <f>G29+'12'!H29</f>
        <v>0</v>
      </c>
      <c r="I29" s="140"/>
      <c r="J29" s="175">
        <f>H29/DAY(B2)</f>
        <v>0</v>
      </c>
      <c r="K29" s="63"/>
      <c r="L29" s="89"/>
      <c r="N29" s="87"/>
      <c r="O29" s="71"/>
    </row>
    <row r="30" spans="1:15" s="88" customFormat="1" ht="27.75" customHeight="1" x14ac:dyDescent="0.5">
      <c r="A30" s="208" t="s">
        <v>156</v>
      </c>
      <c r="B30" s="209"/>
      <c r="C30" s="210"/>
      <c r="D30" s="226" t="s">
        <v>157</v>
      </c>
      <c r="E30" s="141">
        <f>G19</f>
        <v>53</v>
      </c>
      <c r="F30" s="136">
        <v>146</v>
      </c>
      <c r="G30" s="137">
        <f>E30*F30</f>
        <v>7738</v>
      </c>
      <c r="H30" s="99">
        <f>G30+'12'!H30</f>
        <v>99718</v>
      </c>
      <c r="I30" s="140"/>
      <c r="J30" s="175">
        <f>H30/DAY(B2)</f>
        <v>7670.6153846153848</v>
      </c>
      <c r="K30" s="63"/>
      <c r="L30" s="89"/>
      <c r="N30" s="87"/>
      <c r="O30" s="71"/>
    </row>
    <row r="31" spans="1:15" s="88" customFormat="1" ht="27.75" customHeight="1" x14ac:dyDescent="0.5">
      <c r="A31" s="208" t="s">
        <v>158</v>
      </c>
      <c r="B31" s="209"/>
      <c r="C31" s="210"/>
      <c r="D31" s="226" t="s">
        <v>142</v>
      </c>
      <c r="E31" s="141">
        <f>G18</f>
        <v>50</v>
      </c>
      <c r="F31" s="136">
        <v>80</v>
      </c>
      <c r="G31" s="137">
        <f>E31*F31</f>
        <v>4000</v>
      </c>
      <c r="H31" s="99">
        <f>G31+'12'!H31</f>
        <v>120000</v>
      </c>
      <c r="I31" s="140"/>
      <c r="J31" s="175">
        <f>H31/DAY(B2)</f>
        <v>9230.7692307692305</v>
      </c>
      <c r="K31" s="63"/>
      <c r="L31" s="89"/>
      <c r="N31" s="87"/>
      <c r="O31" s="71"/>
    </row>
    <row r="32" spans="1:15" s="88" customFormat="1" ht="27.75" customHeight="1" x14ac:dyDescent="0.5">
      <c r="A32" s="211" t="s">
        <v>159</v>
      </c>
      <c r="B32" s="212"/>
      <c r="C32" s="213"/>
      <c r="D32" s="142"/>
      <c r="E32" s="142"/>
      <c r="F32" s="142"/>
      <c r="G32" s="143">
        <f>G27+G28+G29+G30+G31</f>
        <v>214952</v>
      </c>
      <c r="H32" s="99">
        <f>G32+'12'!H32</f>
        <v>3039898</v>
      </c>
      <c r="I32" s="144"/>
      <c r="J32" s="175">
        <f>H32/DAY(B2)</f>
        <v>233838.30769230769</v>
      </c>
      <c r="K32" s="63"/>
      <c r="L32" s="89"/>
      <c r="N32" s="87"/>
      <c r="O32" s="71"/>
    </row>
    <row r="33" spans="1:15" ht="27.75" customHeight="1" x14ac:dyDescent="0.35">
      <c r="A33" s="835" t="s">
        <v>331</v>
      </c>
      <c r="B33" s="836"/>
      <c r="C33" s="836"/>
      <c r="D33" s="337"/>
      <c r="E33" s="337"/>
      <c r="F33" s="337"/>
      <c r="G33" s="337"/>
      <c r="H33" s="337"/>
      <c r="I33" s="337"/>
      <c r="J33" s="338"/>
      <c r="K33" s="79"/>
      <c r="L33" s="66"/>
      <c r="N33" s="87"/>
      <c r="O33" s="71"/>
    </row>
    <row r="34" spans="1:15" ht="27.75" customHeight="1" x14ac:dyDescent="0.5">
      <c r="A34" s="214" t="s">
        <v>160</v>
      </c>
      <c r="B34" s="349"/>
      <c r="C34" s="349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27.75" customHeight="1" x14ac:dyDescent="0.4">
      <c r="A35" s="194" t="s">
        <v>161</v>
      </c>
      <c r="B35" s="195"/>
      <c r="C35" s="195"/>
      <c r="D35" s="151" t="s">
        <v>130</v>
      </c>
      <c r="E35" s="95">
        <f>'12'!F35</f>
        <v>6382</v>
      </c>
      <c r="F35" s="145">
        <v>7841</v>
      </c>
      <c r="G35" s="112">
        <f t="shared" ref="G35:G46" si="3">F35-E35</f>
        <v>1459</v>
      </c>
      <c r="H35" s="99">
        <f>G35+'12'!H35</f>
        <v>23041</v>
      </c>
      <c r="I35" s="95"/>
      <c r="J35" s="175">
        <f>H35/DAY(B2)</f>
        <v>1772.3846153846155</v>
      </c>
      <c r="K35" s="79"/>
      <c r="L35" s="66"/>
      <c r="N35" s="87"/>
      <c r="O35" s="71"/>
    </row>
    <row r="36" spans="1:15" ht="27.75" customHeight="1" x14ac:dyDescent="0.4">
      <c r="A36" s="194" t="s">
        <v>162</v>
      </c>
      <c r="B36" s="195"/>
      <c r="C36" s="195"/>
      <c r="D36" s="151" t="s">
        <v>130</v>
      </c>
      <c r="E36" s="95">
        <f>'12'!F36</f>
        <v>30512</v>
      </c>
      <c r="F36" s="145">
        <v>31094</v>
      </c>
      <c r="G36" s="112">
        <f t="shared" si="3"/>
        <v>582</v>
      </c>
      <c r="H36" s="99">
        <f>G36+'12'!H36</f>
        <v>9567</v>
      </c>
      <c r="I36" s="95"/>
      <c r="J36" s="175">
        <f>H36/DAY(B2)</f>
        <v>735.92307692307691</v>
      </c>
      <c r="K36" s="79"/>
      <c r="L36" s="66"/>
      <c r="N36" s="87"/>
      <c r="O36" s="344"/>
    </row>
    <row r="37" spans="1:15" ht="27.75" customHeight="1" x14ac:dyDescent="0.4">
      <c r="A37" s="194" t="s">
        <v>163</v>
      </c>
      <c r="B37" s="195"/>
      <c r="C37" s="195"/>
      <c r="D37" s="151" t="s">
        <v>130</v>
      </c>
      <c r="E37" s="95">
        <f>'12'!F37</f>
        <v>5850</v>
      </c>
      <c r="F37" s="145">
        <v>7321</v>
      </c>
      <c r="G37" s="112">
        <f t="shared" si="3"/>
        <v>1471</v>
      </c>
      <c r="H37" s="99">
        <f>G37+'12'!H37</f>
        <v>19533</v>
      </c>
      <c r="I37" s="95"/>
      <c r="J37" s="175">
        <f>H37/DAY(B2)</f>
        <v>1502.5384615384614</v>
      </c>
      <c r="K37" s="79"/>
      <c r="L37" s="66"/>
      <c r="N37" s="87"/>
      <c r="O37" s="234"/>
    </row>
    <row r="38" spans="1:15" ht="27.75" customHeight="1" x14ac:dyDescent="0.4">
      <c r="A38" s="194" t="s">
        <v>164</v>
      </c>
      <c r="B38" s="195"/>
      <c r="C38" s="195"/>
      <c r="D38" s="151" t="s">
        <v>130</v>
      </c>
      <c r="E38" s="95">
        <f>'12'!F38</f>
        <v>6177</v>
      </c>
      <c r="F38" s="108">
        <v>7720</v>
      </c>
      <c r="G38" s="112">
        <f t="shared" si="3"/>
        <v>1543</v>
      </c>
      <c r="H38" s="99">
        <f>G38+'12'!H38</f>
        <v>20920</v>
      </c>
      <c r="I38" s="95"/>
      <c r="J38" s="175">
        <f>H38/DAY(B2)</f>
        <v>1609.2307692307693</v>
      </c>
      <c r="K38" s="79"/>
      <c r="L38" s="66"/>
      <c r="N38" s="87"/>
      <c r="O38" s="71"/>
    </row>
    <row r="39" spans="1:15" ht="27.75" customHeight="1" x14ac:dyDescent="0.4">
      <c r="A39" s="194" t="s">
        <v>165</v>
      </c>
      <c r="B39" s="195"/>
      <c r="C39" s="195"/>
      <c r="D39" s="151" t="s">
        <v>130</v>
      </c>
      <c r="E39" s="95">
        <f>'12'!F39</f>
        <v>10116</v>
      </c>
      <c r="F39" s="145">
        <v>12520</v>
      </c>
      <c r="G39" s="112">
        <f t="shared" si="3"/>
        <v>2404</v>
      </c>
      <c r="H39" s="99">
        <f>G39+'12'!H39</f>
        <v>34202</v>
      </c>
      <c r="I39" s="95"/>
      <c r="J39" s="175">
        <f>H39/DAY(B2)</f>
        <v>2630.9230769230771</v>
      </c>
      <c r="K39" s="79"/>
      <c r="L39" s="66"/>
      <c r="N39" s="87"/>
      <c r="O39" s="71"/>
    </row>
    <row r="40" spans="1:15" ht="27.75" customHeight="1" x14ac:dyDescent="0.4">
      <c r="A40" s="215" t="s">
        <v>166</v>
      </c>
      <c r="B40" s="216"/>
      <c r="C40" s="216"/>
      <c r="D40" s="151" t="s">
        <v>130</v>
      </c>
      <c r="E40" s="95">
        <f>'12'!F40</f>
        <v>10732</v>
      </c>
      <c r="F40" s="145">
        <v>11405</v>
      </c>
      <c r="G40" s="112">
        <f t="shared" si="3"/>
        <v>673</v>
      </c>
      <c r="H40" s="99">
        <f>G40+'12'!H40</f>
        <v>5795</v>
      </c>
      <c r="I40" s="95"/>
      <c r="J40" s="175">
        <f>H40/DAY(B2)</f>
        <v>445.76923076923077</v>
      </c>
      <c r="K40" s="80"/>
      <c r="L40" s="66"/>
      <c r="N40" s="87"/>
      <c r="O40" s="71"/>
    </row>
    <row r="41" spans="1:15" ht="27.75" customHeight="1" x14ac:dyDescent="0.4">
      <c r="A41" s="194" t="s">
        <v>167</v>
      </c>
      <c r="B41" s="195"/>
      <c r="C41" s="195"/>
      <c r="D41" s="151" t="s">
        <v>130</v>
      </c>
      <c r="E41" s="95">
        <f>'12'!F41</f>
        <v>0</v>
      </c>
      <c r="F41" s="145">
        <v>0</v>
      </c>
      <c r="G41" s="112">
        <f t="shared" si="3"/>
        <v>0</v>
      </c>
      <c r="H41" s="99">
        <f>G41+'12'!H41</f>
        <v>0</v>
      </c>
      <c r="I41" s="95"/>
      <c r="J41" s="175">
        <f>H41/DAY(B2)</f>
        <v>0</v>
      </c>
      <c r="K41" s="79"/>
      <c r="L41" s="66"/>
      <c r="N41" s="87"/>
      <c r="O41" s="71"/>
    </row>
    <row r="42" spans="1:15" ht="27.75" customHeight="1" x14ac:dyDescent="0.4">
      <c r="A42" s="194" t="s">
        <v>168</v>
      </c>
      <c r="B42" s="195"/>
      <c r="C42" s="195"/>
      <c r="D42" s="151" t="s">
        <v>130</v>
      </c>
      <c r="E42" s="95">
        <f>'12'!F42</f>
        <v>73809</v>
      </c>
      <c r="F42" s="145">
        <v>73809</v>
      </c>
      <c r="G42" s="112">
        <f t="shared" si="3"/>
        <v>0</v>
      </c>
      <c r="H42" s="99">
        <f>G42+'12'!H42</f>
        <v>0</v>
      </c>
      <c r="I42" s="95"/>
      <c r="J42" s="175">
        <f>H42/DAY(B2)</f>
        <v>0</v>
      </c>
      <c r="K42" s="79"/>
      <c r="L42" s="66"/>
      <c r="N42" s="87"/>
      <c r="O42" s="71"/>
    </row>
    <row r="43" spans="1:15" ht="27.75" customHeight="1" x14ac:dyDescent="0.4">
      <c r="A43" s="194" t="s">
        <v>169</v>
      </c>
      <c r="B43" s="195"/>
      <c r="C43" s="195"/>
      <c r="D43" s="151" t="s">
        <v>130</v>
      </c>
      <c r="E43" s="95">
        <f>'12'!F43</f>
        <v>74718</v>
      </c>
      <c r="F43" s="145">
        <v>76729</v>
      </c>
      <c r="G43" s="112">
        <f t="shared" si="3"/>
        <v>2011</v>
      </c>
      <c r="H43" s="99">
        <f>G43+'12'!H43</f>
        <v>29468</v>
      </c>
      <c r="I43" s="95"/>
      <c r="J43" s="175">
        <f>H43/DAY(B2)</f>
        <v>2266.7692307692309</v>
      </c>
      <c r="K43" s="79"/>
      <c r="L43" s="66"/>
      <c r="N43" s="87"/>
      <c r="O43" s="71"/>
    </row>
    <row r="44" spans="1:15" ht="27.75" customHeight="1" x14ac:dyDescent="0.4">
      <c r="A44" s="194" t="s">
        <v>170</v>
      </c>
      <c r="B44" s="195"/>
      <c r="C44" s="195"/>
      <c r="D44" s="151" t="s">
        <v>130</v>
      </c>
      <c r="E44" s="95">
        <f>'12'!F44</f>
        <v>0</v>
      </c>
      <c r="F44" s="145">
        <v>0</v>
      </c>
      <c r="G44" s="112">
        <f t="shared" si="3"/>
        <v>0</v>
      </c>
      <c r="H44" s="99">
        <f>G44+'12'!H44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27.75" customHeight="1" x14ac:dyDescent="0.4">
      <c r="A45" s="194" t="s">
        <v>171</v>
      </c>
      <c r="B45" s="195"/>
      <c r="C45" s="195"/>
      <c r="D45" s="151" t="s">
        <v>130</v>
      </c>
      <c r="E45" s="95">
        <f>'12'!F45</f>
        <v>0</v>
      </c>
      <c r="F45" s="145">
        <v>0</v>
      </c>
      <c r="G45" s="112">
        <f t="shared" si="3"/>
        <v>0</v>
      </c>
      <c r="H45" s="99">
        <f>G45+'12'!H45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27.75" customHeight="1" x14ac:dyDescent="0.4">
      <c r="A46" s="194" t="s">
        <v>172</v>
      </c>
      <c r="B46" s="195"/>
      <c r="C46" s="195"/>
      <c r="D46" s="151" t="s">
        <v>130</v>
      </c>
      <c r="E46" s="95">
        <f>'12'!F46</f>
        <v>0</v>
      </c>
      <c r="F46" s="145">
        <v>0</v>
      </c>
      <c r="G46" s="112">
        <f t="shared" si="3"/>
        <v>0</v>
      </c>
      <c r="H46" s="99">
        <f>G46+'12'!H46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27.75" customHeight="1" x14ac:dyDescent="0.5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10143</v>
      </c>
      <c r="H47" s="99">
        <f>G47+'12'!H47</f>
        <v>142526</v>
      </c>
      <c r="I47" s="95"/>
      <c r="J47" s="175">
        <f>H47/DAY(B2)</f>
        <v>10963.538461538461</v>
      </c>
      <c r="K47" s="79"/>
      <c r="L47" s="66"/>
      <c r="N47" s="87"/>
      <c r="O47" s="71"/>
    </row>
    <row r="48" spans="1:15" ht="27.75" customHeight="1" x14ac:dyDescent="0.5">
      <c r="A48" s="214" t="s">
        <v>174</v>
      </c>
      <c r="B48" s="349"/>
      <c r="C48" s="349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27.75" customHeight="1" x14ac:dyDescent="0.4">
      <c r="A49" s="194" t="s">
        <v>161</v>
      </c>
      <c r="B49" s="217"/>
      <c r="C49" s="217"/>
      <c r="D49" s="151" t="s">
        <v>130</v>
      </c>
      <c r="E49" s="95">
        <f>'12'!F49</f>
        <v>4914</v>
      </c>
      <c r="F49" s="145">
        <v>6205</v>
      </c>
      <c r="G49" s="112">
        <f t="shared" ref="G49:G58" si="4">F49-E49</f>
        <v>1291</v>
      </c>
      <c r="H49" s="99">
        <f>G49+'12'!H49</f>
        <v>19326</v>
      </c>
      <c r="I49" s="95"/>
      <c r="J49" s="175">
        <f>H49/DAY(B2)</f>
        <v>1486.6153846153845</v>
      </c>
      <c r="K49" s="79"/>
      <c r="L49" s="66"/>
      <c r="N49" s="87"/>
      <c r="O49" s="71"/>
    </row>
    <row r="50" spans="1:15" ht="27.75" customHeight="1" x14ac:dyDescent="0.4">
      <c r="A50" s="194" t="s">
        <v>175</v>
      </c>
      <c r="B50" s="217"/>
      <c r="C50" s="217"/>
      <c r="D50" s="151" t="s">
        <v>130</v>
      </c>
      <c r="E50" s="95">
        <f>'12'!F50</f>
        <v>36812</v>
      </c>
      <c r="F50" s="145">
        <v>37654</v>
      </c>
      <c r="G50" s="112">
        <f t="shared" si="4"/>
        <v>842</v>
      </c>
      <c r="H50" s="99">
        <f>G50+'12'!H50</f>
        <v>13004</v>
      </c>
      <c r="I50" s="95"/>
      <c r="J50" s="175">
        <f>H50/DAY(B2)</f>
        <v>1000.3076923076923</v>
      </c>
      <c r="K50" s="79"/>
      <c r="L50" s="66"/>
      <c r="N50" s="87"/>
      <c r="O50" s="71"/>
    </row>
    <row r="51" spans="1:15" ht="27.75" customHeight="1" x14ac:dyDescent="0.4">
      <c r="A51" s="194" t="s">
        <v>163</v>
      </c>
      <c r="B51" s="217"/>
      <c r="C51" s="217"/>
      <c r="D51" s="151" t="s">
        <v>130</v>
      </c>
      <c r="E51" s="95">
        <f>'12'!F51</f>
        <v>0</v>
      </c>
      <c r="F51" s="145">
        <v>0</v>
      </c>
      <c r="G51" s="112">
        <f t="shared" si="4"/>
        <v>0</v>
      </c>
      <c r="H51" s="99">
        <f>G51+'12'!H51</f>
        <v>0</v>
      </c>
      <c r="I51" s="95"/>
      <c r="J51" s="175">
        <f>H51/DAY(B2)</f>
        <v>0</v>
      </c>
      <c r="K51" s="79"/>
      <c r="L51" s="66"/>
      <c r="N51" s="87"/>
      <c r="O51" s="71"/>
    </row>
    <row r="52" spans="1:15" ht="27.75" customHeight="1" x14ac:dyDescent="0.4">
      <c r="A52" s="194" t="s">
        <v>176</v>
      </c>
      <c r="B52" s="217"/>
      <c r="C52" s="217"/>
      <c r="D52" s="151" t="s">
        <v>130</v>
      </c>
      <c r="E52" s="95">
        <f>'12'!F52</f>
        <v>0</v>
      </c>
      <c r="F52" s="145">
        <v>0</v>
      </c>
      <c r="G52" s="112">
        <f t="shared" si="4"/>
        <v>0</v>
      </c>
      <c r="H52" s="99">
        <f>G52+'12'!H52</f>
        <v>0</v>
      </c>
      <c r="I52" s="95"/>
      <c r="J52" s="175">
        <f>H52/DAY(B2)</f>
        <v>0</v>
      </c>
      <c r="K52" s="79"/>
      <c r="L52" s="66"/>
      <c r="N52" s="87"/>
      <c r="O52" s="71"/>
    </row>
    <row r="53" spans="1:15" ht="27.75" customHeight="1" x14ac:dyDescent="0.4">
      <c r="A53" s="194" t="s">
        <v>165</v>
      </c>
      <c r="B53" s="217"/>
      <c r="C53" s="217"/>
      <c r="D53" s="151" t="s">
        <v>130</v>
      </c>
      <c r="E53" s="95">
        <f>'12'!F53</f>
        <v>0</v>
      </c>
      <c r="F53" s="145">
        <v>0</v>
      </c>
      <c r="G53" s="112">
        <f t="shared" si="4"/>
        <v>0</v>
      </c>
      <c r="H53" s="99">
        <f>G53+'12'!H53</f>
        <v>0</v>
      </c>
      <c r="I53" s="95"/>
      <c r="J53" s="175">
        <f>H53/DAY(B2)</f>
        <v>0</v>
      </c>
      <c r="K53" s="79"/>
      <c r="L53" s="66"/>
      <c r="N53" s="87"/>
      <c r="O53" s="71"/>
    </row>
    <row r="54" spans="1:15" ht="27.75" customHeight="1" x14ac:dyDescent="0.4">
      <c r="A54" s="194" t="s">
        <v>177</v>
      </c>
      <c r="B54" s="217"/>
      <c r="C54" s="217"/>
      <c r="D54" s="151" t="s">
        <v>130</v>
      </c>
      <c r="E54" s="95">
        <f>'12'!F54</f>
        <v>2198</v>
      </c>
      <c r="F54" s="145">
        <v>2668</v>
      </c>
      <c r="G54" s="112">
        <f t="shared" si="4"/>
        <v>470</v>
      </c>
      <c r="H54" s="99">
        <f>G54+'12'!H54</f>
        <v>4435.08</v>
      </c>
      <c r="I54" s="95"/>
      <c r="J54" s="175">
        <f>H54/DAY(B2)</f>
        <v>341.15999999999997</v>
      </c>
      <c r="K54" s="79"/>
      <c r="L54" s="66"/>
      <c r="N54" s="87"/>
      <c r="O54" s="71"/>
    </row>
    <row r="55" spans="1:15" ht="27.75" customHeight="1" x14ac:dyDescent="0.4">
      <c r="A55" s="194" t="s">
        <v>178</v>
      </c>
      <c r="B55" s="217"/>
      <c r="C55" s="217"/>
      <c r="D55" s="151" t="s">
        <v>130</v>
      </c>
      <c r="E55" s="95">
        <f>'12'!F55</f>
        <v>39709</v>
      </c>
      <c r="F55" s="145">
        <v>42570</v>
      </c>
      <c r="G55" s="112">
        <f t="shared" si="4"/>
        <v>2861</v>
      </c>
      <c r="H55" s="99">
        <f>G55+'12'!H55</f>
        <v>39059</v>
      </c>
      <c r="I55" s="95"/>
      <c r="J55" s="175">
        <f>H55/DAY(B2)</f>
        <v>3004.5384615384614</v>
      </c>
      <c r="K55" s="79"/>
      <c r="L55" s="66"/>
      <c r="N55" s="87"/>
      <c r="O55" s="71"/>
    </row>
    <row r="56" spans="1:15" ht="27.75" customHeight="1" x14ac:dyDescent="0.4">
      <c r="A56" s="194" t="s">
        <v>179</v>
      </c>
      <c r="B56" s="217"/>
      <c r="C56" s="217"/>
      <c r="D56" s="151" t="s">
        <v>180</v>
      </c>
      <c r="E56" s="95">
        <f>'12'!F56</f>
        <v>8611</v>
      </c>
      <c r="F56" s="145">
        <v>8611</v>
      </c>
      <c r="G56" s="112">
        <f t="shared" si="4"/>
        <v>0</v>
      </c>
      <c r="H56" s="99">
        <f>G56+'12'!H56</f>
        <v>0.45999999999912689</v>
      </c>
      <c r="I56" s="95"/>
      <c r="J56" s="175">
        <f>H56/DAY(B2)</f>
        <v>3.5384615384548221E-2</v>
      </c>
      <c r="K56" s="78"/>
      <c r="L56" s="66"/>
      <c r="N56" s="87"/>
      <c r="O56" s="71"/>
    </row>
    <row r="57" spans="1:15" ht="27.75" customHeight="1" x14ac:dyDescent="0.4">
      <c r="A57" s="194" t="s">
        <v>169</v>
      </c>
      <c r="B57" s="217"/>
      <c r="C57" s="217"/>
      <c r="D57" s="151" t="s">
        <v>130</v>
      </c>
      <c r="E57" s="95">
        <f>'12'!F57</f>
        <v>0</v>
      </c>
      <c r="F57" s="145">
        <v>0</v>
      </c>
      <c r="G57" s="112">
        <f t="shared" si="4"/>
        <v>0</v>
      </c>
      <c r="H57" s="99">
        <f>G57+'12'!H57</f>
        <v>0</v>
      </c>
      <c r="I57" s="95"/>
      <c r="J57" s="175">
        <f>H57/DAY(B2)</f>
        <v>0</v>
      </c>
      <c r="K57" s="79"/>
      <c r="L57" s="66"/>
      <c r="N57" s="87"/>
      <c r="O57" s="71"/>
    </row>
    <row r="58" spans="1:15" ht="27.75" customHeight="1" x14ac:dyDescent="0.4">
      <c r="A58" s="194" t="s">
        <v>181</v>
      </c>
      <c r="B58" s="217"/>
      <c r="C58" s="217"/>
      <c r="D58" s="151" t="s">
        <v>130</v>
      </c>
      <c r="E58" s="95">
        <f>'12'!F58</f>
        <v>1342</v>
      </c>
      <c r="F58" s="145">
        <v>1556</v>
      </c>
      <c r="G58" s="112">
        <f t="shared" si="4"/>
        <v>214</v>
      </c>
      <c r="H58" s="99">
        <f>G58+'12'!H58</f>
        <v>1896.6300000000047</v>
      </c>
      <c r="I58" s="95"/>
      <c r="J58" s="175">
        <f>H58/DAY(B2)</f>
        <v>145.89461538461575</v>
      </c>
      <c r="K58" s="79"/>
      <c r="L58" s="66"/>
      <c r="N58" s="87"/>
      <c r="O58" s="71"/>
    </row>
    <row r="59" spans="1:15" ht="27.75" customHeight="1" x14ac:dyDescent="0.5">
      <c r="A59" s="201" t="s">
        <v>173</v>
      </c>
      <c r="B59" s="202"/>
      <c r="C59" s="202"/>
      <c r="D59" s="146"/>
      <c r="E59" s="146"/>
      <c r="F59" s="146"/>
      <c r="G59" s="119">
        <f>G49+G50+G51+G52+G53+G54+G55+G56+G57+G58</f>
        <v>5678</v>
      </c>
      <c r="H59" s="99">
        <f>G59+'12'!H59</f>
        <v>77721.170000000013</v>
      </c>
      <c r="I59" s="95">
        <f>G7-G60</f>
        <v>979</v>
      </c>
      <c r="J59" s="175">
        <f>H59/DAY(B2)</f>
        <v>5978.5515384615392</v>
      </c>
      <c r="K59" s="79"/>
      <c r="L59" s="66"/>
      <c r="N59" s="87"/>
      <c r="O59" s="71"/>
    </row>
    <row r="60" spans="1:15" ht="27.75" customHeight="1" x14ac:dyDescent="0.4">
      <c r="A60" s="194"/>
      <c r="B60" s="195"/>
      <c r="C60" s="195"/>
      <c r="D60" s="146" t="s">
        <v>182</v>
      </c>
      <c r="E60" s="146"/>
      <c r="F60" s="146"/>
      <c r="G60" s="119">
        <f>G47+G59</f>
        <v>15821</v>
      </c>
      <c r="H60" s="99">
        <f>G60+'12'!H60</f>
        <v>220247.16999999998</v>
      </c>
      <c r="I60" s="95">
        <f>G13-G60</f>
        <v>507</v>
      </c>
      <c r="J60" s="175">
        <f>H60/DAY(B2)</f>
        <v>16942.09</v>
      </c>
      <c r="K60" s="79"/>
      <c r="L60" s="66"/>
      <c r="N60" s="87"/>
      <c r="O60" s="71"/>
    </row>
    <row r="61" spans="1:15" s="68" customFormat="1" ht="27.75" customHeight="1" x14ac:dyDescent="0.5">
      <c r="A61" s="837" t="s">
        <v>332</v>
      </c>
      <c r="B61" s="838"/>
      <c r="C61" s="839"/>
      <c r="D61" s="339"/>
      <c r="E61" s="339"/>
      <c r="F61" s="339"/>
      <c r="G61" s="340"/>
      <c r="H61" s="339"/>
      <c r="I61" s="339"/>
      <c r="J61" s="341"/>
      <c r="K61" s="69"/>
      <c r="L61" s="67"/>
      <c r="N61" s="87"/>
      <c r="O61" s="71"/>
    </row>
    <row r="62" spans="1:15" ht="27.75" customHeight="1" x14ac:dyDescent="0.5">
      <c r="A62" s="818" t="s">
        <v>198</v>
      </c>
      <c r="B62" s="819"/>
      <c r="C62" s="820"/>
      <c r="D62" s="151" t="s">
        <v>142</v>
      </c>
      <c r="E62" s="95">
        <f>'12'!F62</f>
        <v>267928</v>
      </c>
      <c r="F62" s="122">
        <v>267982</v>
      </c>
      <c r="G62" s="112">
        <f t="shared" ref="G62:G63" si="5">F62-E62</f>
        <v>54</v>
      </c>
      <c r="H62" s="99">
        <f>G62+'12'!H62</f>
        <v>769</v>
      </c>
      <c r="I62" s="118"/>
      <c r="J62" s="175">
        <f>H62/DAY(B2)</f>
        <v>59.153846153846153</v>
      </c>
      <c r="K62" s="80"/>
      <c r="L62" s="66"/>
      <c r="N62" s="87"/>
      <c r="O62" s="71"/>
    </row>
    <row r="63" spans="1:15" ht="27.75" customHeight="1" x14ac:dyDescent="0.5">
      <c r="A63" s="818" t="s">
        <v>199</v>
      </c>
      <c r="B63" s="819"/>
      <c r="C63" s="820"/>
      <c r="D63" s="151" t="s">
        <v>142</v>
      </c>
      <c r="E63" s="95">
        <f>'12'!F63</f>
        <v>213706</v>
      </c>
      <c r="F63" s="122">
        <v>213799</v>
      </c>
      <c r="G63" s="112">
        <f t="shared" si="5"/>
        <v>93</v>
      </c>
      <c r="H63" s="99">
        <f>G63+'12'!H63</f>
        <v>1374</v>
      </c>
      <c r="I63" s="118"/>
      <c r="J63" s="175">
        <f>H63/DAY(B2)</f>
        <v>105.69230769230769</v>
      </c>
      <c r="K63" s="69"/>
      <c r="L63" s="66"/>
      <c r="N63" s="87"/>
      <c r="O63" s="71"/>
    </row>
    <row r="64" spans="1:15" ht="27.75" customHeight="1" x14ac:dyDescent="0.5">
      <c r="A64" s="815" t="s">
        <v>200</v>
      </c>
      <c r="B64" s="816"/>
      <c r="C64" s="817"/>
      <c r="D64" s="151"/>
      <c r="E64" s="95">
        <f>'12'!F64</f>
        <v>0</v>
      </c>
      <c r="F64" s="122"/>
      <c r="G64" s="112">
        <f>G62+G63</f>
        <v>147</v>
      </c>
      <c r="H64" s="99">
        <f>G64+'12'!H64</f>
        <v>2143</v>
      </c>
      <c r="I64" s="118"/>
      <c r="J64" s="175">
        <f>H64/DAY(B2)</f>
        <v>164.84615384615384</v>
      </c>
      <c r="K64" s="69"/>
      <c r="L64" s="66"/>
      <c r="N64" s="87"/>
      <c r="O64" s="71"/>
    </row>
    <row r="65" spans="1:15" ht="27.75" customHeight="1" x14ac:dyDescent="0.5">
      <c r="A65" s="818" t="s">
        <v>201</v>
      </c>
      <c r="B65" s="819"/>
      <c r="C65" s="820"/>
      <c r="D65" s="151" t="s">
        <v>142</v>
      </c>
      <c r="E65" s="95">
        <f>'12'!F65</f>
        <v>433470</v>
      </c>
      <c r="F65" s="122">
        <v>433539</v>
      </c>
      <c r="G65" s="112">
        <f t="shared" ref="G65:G70" si="6">F65-E65</f>
        <v>69</v>
      </c>
      <c r="H65" s="99">
        <f>G65+'12'!H65</f>
        <v>925</v>
      </c>
      <c r="I65" s="118"/>
      <c r="J65" s="175">
        <f>H65/DAY(B2)</f>
        <v>71.15384615384616</v>
      </c>
      <c r="K65" s="69"/>
      <c r="L65" s="66"/>
      <c r="N65" s="87"/>
      <c r="O65" s="71"/>
    </row>
    <row r="66" spans="1:15" ht="27.75" customHeight="1" x14ac:dyDescent="0.5">
      <c r="A66" s="345" t="s">
        <v>202</v>
      </c>
      <c r="B66" s="346"/>
      <c r="C66" s="346"/>
      <c r="D66" s="151" t="s">
        <v>142</v>
      </c>
      <c r="E66" s="95">
        <f>'12'!F66</f>
        <v>107430</v>
      </c>
      <c r="F66" s="122">
        <v>107442</v>
      </c>
      <c r="G66" s="112">
        <f t="shared" si="6"/>
        <v>12</v>
      </c>
      <c r="H66" s="99">
        <f>G66+'12'!H66</f>
        <v>228</v>
      </c>
      <c r="I66" s="118"/>
      <c r="J66" s="175">
        <f>H66/DAY(B2)</f>
        <v>17.53846153846154</v>
      </c>
      <c r="K66" s="78"/>
      <c r="L66" s="66"/>
      <c r="N66" s="87"/>
      <c r="O66" s="71"/>
    </row>
    <row r="67" spans="1:15" ht="27.75" customHeight="1" x14ac:dyDescent="0.5">
      <c r="A67" s="345" t="s">
        <v>203</v>
      </c>
      <c r="B67" s="346"/>
      <c r="C67" s="346"/>
      <c r="D67" s="151" t="s">
        <v>142</v>
      </c>
      <c r="E67" s="95">
        <f>'12'!F67</f>
        <v>104218</v>
      </c>
      <c r="F67" s="122">
        <v>104236</v>
      </c>
      <c r="G67" s="112">
        <f t="shared" si="6"/>
        <v>18</v>
      </c>
      <c r="H67" s="99">
        <f>G67+'12'!H67</f>
        <v>308</v>
      </c>
      <c r="I67" s="118"/>
      <c r="J67" s="175">
        <f>H67/DAY(B2)</f>
        <v>23.692307692307693</v>
      </c>
      <c r="K67" s="81"/>
      <c r="L67" s="66"/>
      <c r="N67" s="87"/>
      <c r="O67" s="71"/>
    </row>
    <row r="68" spans="1:15" ht="27.75" customHeight="1" x14ac:dyDescent="0.5">
      <c r="A68" s="345" t="s">
        <v>204</v>
      </c>
      <c r="B68" s="346"/>
      <c r="C68" s="346"/>
      <c r="D68" s="151" t="s">
        <v>142</v>
      </c>
      <c r="E68" s="95">
        <f>'12'!F68</f>
        <v>156928</v>
      </c>
      <c r="F68" s="122">
        <v>156948</v>
      </c>
      <c r="G68" s="112">
        <f t="shared" si="6"/>
        <v>20</v>
      </c>
      <c r="H68" s="99">
        <f>G68+'12'!H68</f>
        <v>328</v>
      </c>
      <c r="I68" s="118"/>
      <c r="J68" s="175">
        <f>H68/DAY(B2)</f>
        <v>25.23076923076923</v>
      </c>
      <c r="K68" s="69"/>
      <c r="L68" s="66"/>
      <c r="N68" s="87"/>
      <c r="O68" s="71"/>
    </row>
    <row r="69" spans="1:15" ht="27.75" customHeight="1" x14ac:dyDescent="0.5">
      <c r="A69" s="345" t="s">
        <v>205</v>
      </c>
      <c r="B69" s="346"/>
      <c r="C69" s="346"/>
      <c r="D69" s="151" t="s">
        <v>142</v>
      </c>
      <c r="E69" s="95">
        <f>'12'!F69</f>
        <v>10341</v>
      </c>
      <c r="F69" s="122">
        <v>10346</v>
      </c>
      <c r="G69" s="112">
        <f t="shared" si="6"/>
        <v>5</v>
      </c>
      <c r="H69" s="99">
        <f>G69+'12'!H69</f>
        <v>132</v>
      </c>
      <c r="I69" s="118"/>
      <c r="J69" s="175">
        <f>H69/DAY(B2)</f>
        <v>10.153846153846153</v>
      </c>
      <c r="K69" s="69"/>
      <c r="L69" s="66"/>
      <c r="N69" s="87"/>
      <c r="O69" s="71"/>
    </row>
    <row r="70" spans="1:15" ht="27.75" customHeight="1" x14ac:dyDescent="0.5">
      <c r="A70" s="345" t="s">
        <v>206</v>
      </c>
      <c r="B70" s="346"/>
      <c r="C70" s="346"/>
      <c r="D70" s="151" t="s">
        <v>142</v>
      </c>
      <c r="E70" s="95">
        <f>'12'!F70</f>
        <v>7957</v>
      </c>
      <c r="F70" s="122">
        <v>7964</v>
      </c>
      <c r="G70" s="112">
        <f t="shared" si="6"/>
        <v>7</v>
      </c>
      <c r="H70" s="99">
        <f>G70+'12'!H70</f>
        <v>102</v>
      </c>
      <c r="I70" s="118"/>
      <c r="J70" s="175">
        <f>H70/DAY(B2)</f>
        <v>7.8461538461538458</v>
      </c>
      <c r="K70" s="69"/>
      <c r="L70" s="66"/>
      <c r="N70" s="87"/>
      <c r="O70" s="71"/>
    </row>
    <row r="71" spans="1:15" ht="27.75" customHeight="1" x14ac:dyDescent="0.5">
      <c r="A71" s="815" t="s">
        <v>208</v>
      </c>
      <c r="B71" s="816"/>
      <c r="C71" s="817"/>
      <c r="D71" s="152"/>
      <c r="E71" s="152"/>
      <c r="F71" s="152"/>
      <c r="G71" s="153">
        <f>SUM(G65:G70)</f>
        <v>131</v>
      </c>
      <c r="H71" s="99">
        <f>G71+'12'!H71</f>
        <v>2023</v>
      </c>
      <c r="I71" s="154"/>
      <c r="J71" s="175">
        <f>H71/DAY(B2)</f>
        <v>155.61538461538461</v>
      </c>
      <c r="K71" s="69"/>
      <c r="L71" s="66"/>
      <c r="N71" s="87"/>
      <c r="O71" s="71"/>
    </row>
    <row r="72" spans="1:15" s="88" customFormat="1" ht="27.75" customHeight="1" x14ac:dyDescent="0.5">
      <c r="A72" s="861"/>
      <c r="B72" s="853"/>
      <c r="C72" s="347"/>
      <c r="D72" s="180"/>
      <c r="E72" s="180" t="s">
        <v>207</v>
      </c>
      <c r="F72" s="180"/>
      <c r="G72" s="180"/>
      <c r="H72" s="181"/>
      <c r="I72" s="180"/>
      <c r="J72" s="182"/>
      <c r="N72" s="87"/>
      <c r="O72" s="71"/>
    </row>
    <row r="73" spans="1:15" ht="27.75" customHeight="1" x14ac:dyDescent="0.5">
      <c r="A73" s="866" t="s">
        <v>333</v>
      </c>
      <c r="B73" s="867"/>
      <c r="C73" s="868"/>
      <c r="D73" s="339"/>
      <c r="E73" s="339"/>
      <c r="F73" s="339"/>
      <c r="G73" s="342"/>
      <c r="H73" s="342"/>
      <c r="I73" s="342"/>
      <c r="J73" s="343"/>
      <c r="K73" s="69"/>
      <c r="L73" s="66"/>
      <c r="N73" s="87"/>
      <c r="O73" s="71"/>
    </row>
    <row r="74" spans="1:15" ht="27.75" customHeight="1" x14ac:dyDescent="0.5">
      <c r="A74" s="818" t="s">
        <v>220</v>
      </c>
      <c r="B74" s="819"/>
      <c r="C74" s="820"/>
      <c r="D74" s="151" t="s">
        <v>139</v>
      </c>
      <c r="E74" s="95">
        <f>'12'!F74</f>
        <v>895621</v>
      </c>
      <c r="F74" s="117">
        <v>895830</v>
      </c>
      <c r="G74" s="112">
        <f t="shared" ref="G74:G78" si="7">F74-E74</f>
        <v>209</v>
      </c>
      <c r="H74" s="99">
        <f>G74+'12'!H74</f>
        <v>3798</v>
      </c>
      <c r="I74" s="154"/>
      <c r="J74" s="175">
        <f>H74/DAY(B2)</f>
        <v>292.15384615384613</v>
      </c>
      <c r="K74" s="69"/>
      <c r="L74" s="66"/>
      <c r="N74" s="87"/>
      <c r="O74" s="71"/>
    </row>
    <row r="75" spans="1:15" ht="27.75" customHeight="1" x14ac:dyDescent="0.5">
      <c r="A75" s="818" t="s">
        <v>221</v>
      </c>
      <c r="B75" s="819"/>
      <c r="C75" s="820"/>
      <c r="D75" s="151" t="s">
        <v>139</v>
      </c>
      <c r="E75" s="95">
        <f>'12'!F75</f>
        <v>73587</v>
      </c>
      <c r="F75" s="123">
        <v>73587</v>
      </c>
      <c r="G75" s="112">
        <f t="shared" si="7"/>
        <v>0</v>
      </c>
      <c r="H75" s="99">
        <f>G75+'12'!H75</f>
        <v>0.19999999999708962</v>
      </c>
      <c r="I75" s="154"/>
      <c r="J75" s="175">
        <f>H75/DAY(B2)</f>
        <v>1.5384615384391509E-2</v>
      </c>
      <c r="K75" s="69"/>
      <c r="L75" s="66"/>
      <c r="N75" s="87"/>
      <c r="O75" s="71"/>
    </row>
    <row r="76" spans="1:15" ht="27.75" customHeight="1" x14ac:dyDescent="0.5">
      <c r="A76" s="862" t="s">
        <v>222</v>
      </c>
      <c r="B76" s="848"/>
      <c r="C76" s="849"/>
      <c r="D76" s="151" t="s">
        <v>139</v>
      </c>
      <c r="E76" s="95">
        <f>'12'!F76</f>
        <v>168236</v>
      </c>
      <c r="F76" s="123">
        <v>168317</v>
      </c>
      <c r="G76" s="112">
        <f t="shared" si="7"/>
        <v>81</v>
      </c>
      <c r="H76" s="99">
        <f>G76+'12'!H76</f>
        <v>1110</v>
      </c>
      <c r="I76" s="154"/>
      <c r="J76" s="175">
        <f>H76/DAY(B2)</f>
        <v>85.384615384615387</v>
      </c>
      <c r="K76" s="69"/>
      <c r="L76" s="66"/>
      <c r="N76" s="87"/>
      <c r="O76" s="71"/>
    </row>
    <row r="77" spans="1:15" ht="27.75" customHeight="1" x14ac:dyDescent="0.5">
      <c r="A77" s="862" t="s">
        <v>223</v>
      </c>
      <c r="B77" s="848"/>
      <c r="C77" s="849"/>
      <c r="D77" s="151" t="s">
        <v>139</v>
      </c>
      <c r="E77" s="95">
        <f>'12'!F77</f>
        <v>40694</v>
      </c>
      <c r="F77" s="123">
        <v>40718</v>
      </c>
      <c r="G77" s="112">
        <f t="shared" si="7"/>
        <v>24</v>
      </c>
      <c r="H77" s="99">
        <f>G77+'12'!H77</f>
        <v>402</v>
      </c>
      <c r="I77" s="154"/>
      <c r="J77" s="175">
        <f>H77/DAY(B2)</f>
        <v>30.923076923076923</v>
      </c>
      <c r="K77" s="69"/>
      <c r="L77" s="66"/>
      <c r="N77" s="87"/>
      <c r="O77" s="71"/>
    </row>
    <row r="78" spans="1:15" ht="27.75" customHeight="1" x14ac:dyDescent="0.5">
      <c r="A78" s="862" t="s">
        <v>224</v>
      </c>
      <c r="B78" s="848"/>
      <c r="C78" s="849"/>
      <c r="D78" s="151" t="s">
        <v>139</v>
      </c>
      <c r="E78" s="95">
        <f>'12'!F78</f>
        <v>9496</v>
      </c>
      <c r="F78" s="123">
        <v>9496</v>
      </c>
      <c r="G78" s="112">
        <f t="shared" si="7"/>
        <v>0</v>
      </c>
      <c r="H78" s="99">
        <f>G78+'12'!H78</f>
        <v>10</v>
      </c>
      <c r="I78" s="118"/>
      <c r="J78" s="175">
        <f>H78/DAY(B2)</f>
        <v>0.76923076923076927</v>
      </c>
      <c r="K78" s="69"/>
      <c r="L78" s="66"/>
      <c r="N78" s="87"/>
      <c r="O78" s="71"/>
    </row>
    <row r="79" spans="1:15" s="57" customFormat="1" ht="27.75" customHeight="1" x14ac:dyDescent="0.5">
      <c r="A79" s="862" t="s">
        <v>225</v>
      </c>
      <c r="B79" s="848"/>
      <c r="C79" s="849"/>
      <c r="D79" s="151"/>
      <c r="E79" s="95">
        <f>'12'!F79</f>
        <v>0</v>
      </c>
      <c r="F79" s="117"/>
      <c r="G79" s="112">
        <f>G15-SUM(G74:G78)</f>
        <v>643</v>
      </c>
      <c r="H79" s="99">
        <f>G79+'12'!H79</f>
        <v>6139.8000000000029</v>
      </c>
      <c r="I79" s="118"/>
      <c r="J79" s="175"/>
      <c r="K79" s="59"/>
      <c r="L79" s="58"/>
      <c r="N79" s="87"/>
      <c r="O79" s="71"/>
    </row>
    <row r="80" spans="1:15" s="57" customFormat="1" ht="27.75" customHeight="1" x14ac:dyDescent="0.5">
      <c r="A80" s="815" t="s">
        <v>329</v>
      </c>
      <c r="B80" s="816"/>
      <c r="C80" s="817"/>
      <c r="D80" s="151"/>
      <c r="E80" s="117"/>
      <c r="F80" s="117"/>
      <c r="G80" s="112">
        <f>SUM(G74:G79)</f>
        <v>957</v>
      </c>
      <c r="H80" s="99"/>
      <c r="I80" s="118"/>
      <c r="J80" s="175"/>
      <c r="K80" s="59"/>
      <c r="L80" s="58"/>
      <c r="N80" s="87"/>
      <c r="O80" s="71"/>
    </row>
    <row r="81" spans="1:15" ht="27.75" customHeight="1" x14ac:dyDescent="0.4">
      <c r="A81" s="854" t="s">
        <v>226</v>
      </c>
      <c r="B81" s="855"/>
      <c r="C81" s="856"/>
      <c r="D81" s="110"/>
      <c r="E81" s="110"/>
      <c r="F81" s="110"/>
      <c r="G81" s="163"/>
      <c r="H81" s="163"/>
      <c r="I81" s="163"/>
      <c r="J81" s="184"/>
      <c r="O81" s="71"/>
    </row>
    <row r="82" spans="1:15" ht="27.75" customHeight="1" x14ac:dyDescent="0.5">
      <c r="A82" s="345" t="s">
        <v>227</v>
      </c>
      <c r="B82" s="346"/>
      <c r="C82" s="346"/>
      <c r="D82" s="151" t="s">
        <v>228</v>
      </c>
      <c r="E82" s="95">
        <f>'12'!F82</f>
        <v>0</v>
      </c>
      <c r="F82" s="122"/>
      <c r="G82" s="112">
        <f t="shared" ref="G82:G92" si="8">F82-E82</f>
        <v>0</v>
      </c>
      <c r="H82" s="99">
        <f>G82+'12'!H82</f>
        <v>0</v>
      </c>
      <c r="I82" s="118"/>
      <c r="J82" s="175">
        <f>H82/DAY(B2)</f>
        <v>0</v>
      </c>
      <c r="O82" s="71"/>
    </row>
    <row r="83" spans="1:15" ht="27.75" customHeight="1" x14ac:dyDescent="0.5">
      <c r="A83" s="345" t="s">
        <v>229</v>
      </c>
      <c r="B83" s="346"/>
      <c r="C83" s="346"/>
      <c r="D83" s="151" t="s">
        <v>228</v>
      </c>
      <c r="E83" s="95">
        <f>'12'!F83</f>
        <v>0</v>
      </c>
      <c r="F83" s="122"/>
      <c r="G83" s="112">
        <f t="shared" si="8"/>
        <v>0</v>
      </c>
      <c r="H83" s="99">
        <f>G83+'12'!H83</f>
        <v>0</v>
      </c>
      <c r="I83" s="118"/>
      <c r="J83" s="175">
        <f>H83/DAY(B2)</f>
        <v>0</v>
      </c>
      <c r="O83" s="71"/>
    </row>
    <row r="84" spans="1:15" ht="27.75" customHeight="1" x14ac:dyDescent="0.5">
      <c r="A84" s="345" t="s">
        <v>230</v>
      </c>
      <c r="B84" s="346"/>
      <c r="C84" s="346"/>
      <c r="D84" s="151" t="s">
        <v>228</v>
      </c>
      <c r="E84" s="95">
        <f>'12'!F84</f>
        <v>41675</v>
      </c>
      <c r="F84" s="164">
        <v>41675</v>
      </c>
      <c r="G84" s="112">
        <f t="shared" si="8"/>
        <v>0</v>
      </c>
      <c r="H84" s="99">
        <f>G84+'12'!H84</f>
        <v>0</v>
      </c>
      <c r="I84" s="118"/>
      <c r="J84" s="175">
        <f>H84/DAY(B2)</f>
        <v>0</v>
      </c>
      <c r="O84" s="71"/>
    </row>
    <row r="85" spans="1:15" ht="27.75" customHeight="1" x14ac:dyDescent="0.5">
      <c r="A85" s="345" t="s">
        <v>231</v>
      </c>
      <c r="B85" s="346"/>
      <c r="C85" s="346"/>
      <c r="D85" s="151" t="s">
        <v>228</v>
      </c>
      <c r="E85" s="95">
        <f>'12'!F85</f>
        <v>2096.5500000000002</v>
      </c>
      <c r="F85" s="164">
        <v>2096.5500000000002</v>
      </c>
      <c r="G85" s="112">
        <f t="shared" si="8"/>
        <v>0</v>
      </c>
      <c r="H85" s="99">
        <f>G85+'12'!H85</f>
        <v>-9.9999999997635314E-3</v>
      </c>
      <c r="I85" s="118">
        <f>G82+G83+G84+G85</f>
        <v>0</v>
      </c>
      <c r="J85" s="175">
        <f>H85/DAY(B2)</f>
        <v>-7.6923076921257935E-4</v>
      </c>
      <c r="O85" s="71"/>
    </row>
    <row r="86" spans="1:15" ht="27.75" customHeight="1" x14ac:dyDescent="0.5">
      <c r="A86" s="345" t="s">
        <v>232</v>
      </c>
      <c r="B86" s="346"/>
      <c r="C86" s="346"/>
      <c r="D86" s="151" t="s">
        <v>228</v>
      </c>
      <c r="E86" s="95">
        <f>'12'!F86</f>
        <v>43152</v>
      </c>
      <c r="F86" s="164">
        <v>43176</v>
      </c>
      <c r="G86" s="112">
        <f t="shared" si="8"/>
        <v>24</v>
      </c>
      <c r="H86" s="99">
        <f>G86+'12'!H86</f>
        <v>313</v>
      </c>
      <c r="I86" s="118"/>
      <c r="J86" s="175">
        <f>H86/DAY(B2)</f>
        <v>24.076923076923077</v>
      </c>
      <c r="O86" s="71"/>
    </row>
    <row r="87" spans="1:15" ht="27.75" customHeight="1" x14ac:dyDescent="0.5">
      <c r="A87" s="345" t="s">
        <v>233</v>
      </c>
      <c r="B87" s="346"/>
      <c r="C87" s="346"/>
      <c r="D87" s="151" t="s">
        <v>228</v>
      </c>
      <c r="E87" s="95">
        <f>'12'!F87</f>
        <v>34598.550000000003</v>
      </c>
      <c r="F87" s="164">
        <v>34598.550000000003</v>
      </c>
      <c r="G87" s="112">
        <f t="shared" si="8"/>
        <v>0</v>
      </c>
      <c r="H87" s="99">
        <f>G87+'12'!H87</f>
        <v>0</v>
      </c>
      <c r="I87" s="118"/>
      <c r="J87" s="175">
        <f>H87/DAY(B2)</f>
        <v>0</v>
      </c>
      <c r="O87" s="71"/>
    </row>
    <row r="88" spans="1:15" ht="27.75" customHeight="1" x14ac:dyDescent="0.5">
      <c r="A88" s="345" t="s">
        <v>234</v>
      </c>
      <c r="B88" s="346"/>
      <c r="C88" s="346"/>
      <c r="D88" s="151" t="s">
        <v>228</v>
      </c>
      <c r="E88" s="95">
        <f>'12'!F88</f>
        <v>24058</v>
      </c>
      <c r="F88" s="164">
        <v>24059.27</v>
      </c>
      <c r="G88" s="112">
        <f t="shared" si="8"/>
        <v>1.2700000000004366</v>
      </c>
      <c r="H88" s="99">
        <f>G88+'12'!H88</f>
        <v>12.270000000000437</v>
      </c>
      <c r="I88" s="118">
        <f>G86+G87+G88</f>
        <v>25.270000000000437</v>
      </c>
      <c r="J88" s="175">
        <f>H88/DAY(B2)</f>
        <v>0.94384615384618742</v>
      </c>
      <c r="O88" s="71"/>
    </row>
    <row r="89" spans="1:15" ht="27.75" customHeight="1" x14ac:dyDescent="0.5">
      <c r="A89" s="345" t="s">
        <v>235</v>
      </c>
      <c r="B89" s="346"/>
      <c r="C89" s="346"/>
      <c r="D89" s="151" t="s">
        <v>228</v>
      </c>
      <c r="E89" s="95">
        <f>'12'!F89</f>
        <v>25733.8</v>
      </c>
      <c r="F89" s="164">
        <v>25741.18</v>
      </c>
      <c r="G89" s="112">
        <f t="shared" si="8"/>
        <v>7.3800000000010186</v>
      </c>
      <c r="H89" s="99">
        <f>G89+'12'!H89</f>
        <v>78.180000000000291</v>
      </c>
      <c r="I89" s="118"/>
      <c r="J89" s="175">
        <f>H89/DAY(B2)</f>
        <v>6.0138461538461758</v>
      </c>
      <c r="O89" s="71"/>
    </row>
    <row r="90" spans="1:15" ht="27.75" customHeight="1" x14ac:dyDescent="0.5">
      <c r="A90" s="345" t="s">
        <v>236</v>
      </c>
      <c r="B90" s="346"/>
      <c r="C90" s="346"/>
      <c r="D90" s="151" t="s">
        <v>228</v>
      </c>
      <c r="E90" s="95">
        <f>'12'!F90</f>
        <v>71097.37</v>
      </c>
      <c r="F90" s="164">
        <v>71104.3</v>
      </c>
      <c r="G90" s="112">
        <f t="shared" si="8"/>
        <v>6.930000000007567</v>
      </c>
      <c r="H90" s="99">
        <f>G90+'12'!H90</f>
        <v>70.30000000000291</v>
      </c>
      <c r="I90" s="118">
        <f>G89+G90</f>
        <v>14.310000000008586</v>
      </c>
      <c r="J90" s="175">
        <f>H90/DAY(B2)</f>
        <v>5.4076923076925318</v>
      </c>
      <c r="O90" s="71"/>
    </row>
    <row r="91" spans="1:15" ht="27.75" customHeight="1" x14ac:dyDescent="0.5">
      <c r="A91" s="345" t="s">
        <v>237</v>
      </c>
      <c r="B91" s="346"/>
      <c r="C91" s="346"/>
      <c r="D91" s="151" t="s">
        <v>228</v>
      </c>
      <c r="E91" s="95">
        <f>'12'!F91</f>
        <v>3226.32</v>
      </c>
      <c r="F91" s="122">
        <v>3226.32</v>
      </c>
      <c r="G91" s="112">
        <f t="shared" si="8"/>
        <v>0</v>
      </c>
      <c r="H91" s="99">
        <f>G91+'12'!H91</f>
        <v>0</v>
      </c>
      <c r="I91" s="165"/>
      <c r="J91" s="175">
        <f>H91/DAY(B2)</f>
        <v>0</v>
      </c>
      <c r="O91" s="71"/>
    </row>
    <row r="92" spans="1:15" ht="27.75" customHeight="1" x14ac:dyDescent="0.5">
      <c r="A92" s="345" t="s">
        <v>238</v>
      </c>
      <c r="B92" s="346"/>
      <c r="C92" s="346"/>
      <c r="D92" s="151" t="s">
        <v>228</v>
      </c>
      <c r="E92" s="95">
        <f>'12'!F92</f>
        <v>5560.42</v>
      </c>
      <c r="F92" s="122">
        <v>5571.32</v>
      </c>
      <c r="G92" s="112">
        <f t="shared" si="8"/>
        <v>10.899999999999636</v>
      </c>
      <c r="H92" s="99">
        <f>G92+'12'!H92</f>
        <v>133.31999999999971</v>
      </c>
      <c r="I92" s="165"/>
      <c r="J92" s="175">
        <f>H92/DAY(B2)</f>
        <v>10.255384615384592</v>
      </c>
      <c r="O92" s="71"/>
    </row>
    <row r="93" spans="1:15" ht="27.75" customHeight="1" x14ac:dyDescent="0.5">
      <c r="A93" s="863" t="s">
        <v>239</v>
      </c>
      <c r="B93" s="864"/>
      <c r="C93" s="865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27.75" customHeight="1" x14ac:dyDescent="0.5">
      <c r="A94" s="818" t="s">
        <v>240</v>
      </c>
      <c r="B94" s="819"/>
      <c r="C94" s="820"/>
      <c r="D94" s="151" t="s">
        <v>130</v>
      </c>
      <c r="E94" s="151"/>
      <c r="F94" s="151"/>
      <c r="G94" s="99">
        <f>G35+G43+G49+G57</f>
        <v>4761</v>
      </c>
      <c r="H94" s="99">
        <f>G94+'12'!H94</f>
        <v>71835</v>
      </c>
      <c r="I94" s="118"/>
      <c r="J94" s="175">
        <f>H94/DAY(B2)</f>
        <v>5525.7692307692305</v>
      </c>
      <c r="K94" s="69"/>
      <c r="L94" s="66"/>
      <c r="O94" s="71"/>
    </row>
    <row r="95" spans="1:15" ht="27.75" customHeight="1" x14ac:dyDescent="0.5">
      <c r="A95" s="818" t="s">
        <v>241</v>
      </c>
      <c r="B95" s="819"/>
      <c r="C95" s="820"/>
      <c r="D95" s="151" t="s">
        <v>23</v>
      </c>
      <c r="E95" s="146"/>
      <c r="F95" s="146"/>
      <c r="G95" s="166">
        <f>G94/G7</f>
        <v>0.28339285714285717</v>
      </c>
      <c r="H95" s="99">
        <f>G95+'12'!H95</f>
        <v>3.8430561771269209</v>
      </c>
      <c r="I95" s="167"/>
      <c r="J95" s="175">
        <f>H95/DAY(B2)</f>
        <v>0.29561970593284009</v>
      </c>
      <c r="K95" s="69"/>
      <c r="L95" s="66"/>
      <c r="O95" s="71"/>
    </row>
    <row r="96" spans="1:15" ht="27.75" customHeight="1" x14ac:dyDescent="0.5">
      <c r="A96" s="818" t="s">
        <v>242</v>
      </c>
      <c r="B96" s="819"/>
      <c r="C96" s="820"/>
      <c r="D96" s="151" t="s">
        <v>130</v>
      </c>
      <c r="E96" s="95"/>
      <c r="F96" s="95"/>
      <c r="G96" s="99">
        <f>G41+G42+G55+G56</f>
        <v>2861</v>
      </c>
      <c r="H96" s="99">
        <f>G96+'12'!H96</f>
        <v>39059.46</v>
      </c>
      <c r="I96" s="118"/>
      <c r="J96" s="175">
        <f>H96/DAY(B2)</f>
        <v>3004.5738461538463</v>
      </c>
      <c r="K96" s="69"/>
      <c r="L96" s="66"/>
      <c r="O96" s="71"/>
    </row>
    <row r="97" spans="1:15" ht="27.75" customHeight="1" x14ac:dyDescent="0.5">
      <c r="A97" s="818" t="s">
        <v>243</v>
      </c>
      <c r="B97" s="819"/>
      <c r="C97" s="820"/>
      <c r="D97" s="151" t="s">
        <v>23</v>
      </c>
      <c r="E97" s="95"/>
      <c r="F97" s="95"/>
      <c r="G97" s="166">
        <f>G96/G7</f>
        <v>0.17029761904761906</v>
      </c>
      <c r="H97" s="99">
        <f>G97+'12'!H97</f>
        <v>2.0973387527004212</v>
      </c>
      <c r="I97" s="167"/>
      <c r="J97" s="175">
        <f>H97/DAY(B2)</f>
        <v>0.16133375020772472</v>
      </c>
      <c r="K97" s="69"/>
      <c r="L97" s="66"/>
      <c r="O97" s="71"/>
    </row>
    <row r="98" spans="1:15" ht="27.75" customHeight="1" x14ac:dyDescent="0.5">
      <c r="A98" s="818" t="s">
        <v>244</v>
      </c>
      <c r="B98" s="819"/>
      <c r="C98" s="820"/>
      <c r="D98" s="151" t="s">
        <v>130</v>
      </c>
      <c r="E98" s="95"/>
      <c r="F98" s="95"/>
      <c r="G98" s="99">
        <f>G39+G53</f>
        <v>2404</v>
      </c>
      <c r="H98" s="99">
        <f>G98+'12'!H98</f>
        <v>34202</v>
      </c>
      <c r="I98" s="168"/>
      <c r="J98" s="175">
        <f>H98/DAY(B2)</f>
        <v>2630.9230769230771</v>
      </c>
      <c r="K98" s="69"/>
      <c r="L98" s="66"/>
      <c r="O98" s="71"/>
    </row>
    <row r="99" spans="1:15" ht="27.75" customHeight="1" x14ac:dyDescent="0.5">
      <c r="A99" s="818" t="s">
        <v>245</v>
      </c>
      <c r="B99" s="819"/>
      <c r="C99" s="820"/>
      <c r="D99" s="151" t="s">
        <v>23</v>
      </c>
      <c r="E99" s="95"/>
      <c r="F99" s="95"/>
      <c r="G99" s="166">
        <f>G98/G7</f>
        <v>0.14309523809523811</v>
      </c>
      <c r="H99" s="99">
        <f>G99+'12'!H99</f>
        <v>1.8374185725200947</v>
      </c>
      <c r="I99" s="168"/>
      <c r="J99" s="175">
        <f>H99/DAY(B2)</f>
        <v>0.14133989019385343</v>
      </c>
      <c r="O99" s="71"/>
    </row>
    <row r="100" spans="1:15" ht="27.75" customHeight="1" x14ac:dyDescent="0.5">
      <c r="A100" s="818" t="s">
        <v>246</v>
      </c>
      <c r="B100" s="819"/>
      <c r="C100" s="820"/>
      <c r="D100" s="151" t="s">
        <v>180</v>
      </c>
      <c r="E100" s="95"/>
      <c r="F100" s="95"/>
      <c r="G100" s="99">
        <f>G38+G52</f>
        <v>1543</v>
      </c>
      <c r="H100" s="99">
        <f>G100+'12'!H100</f>
        <v>20920</v>
      </c>
      <c r="I100" s="118"/>
      <c r="J100" s="175">
        <f>H100/DAY(B2)</f>
        <v>1609.2307692307693</v>
      </c>
      <c r="K100" s="70"/>
      <c r="O100" s="71"/>
    </row>
    <row r="101" spans="1:15" ht="27.75" customHeight="1" x14ac:dyDescent="0.5">
      <c r="A101" s="818" t="s">
        <v>247</v>
      </c>
      <c r="B101" s="819"/>
      <c r="C101" s="820"/>
      <c r="D101" s="151" t="s">
        <v>23</v>
      </c>
      <c r="E101" s="95"/>
      <c r="F101" s="95"/>
      <c r="G101" s="166">
        <f>G100/G7</f>
        <v>9.1845238095238091E-2</v>
      </c>
      <c r="H101" s="99">
        <f>G101+'12'!H101</f>
        <v>1.1238906582568537</v>
      </c>
      <c r="I101" s="168"/>
      <c r="J101" s="175">
        <f>H101/DAY(B2)</f>
        <v>8.6453127558219517E-2</v>
      </c>
      <c r="O101" s="71"/>
    </row>
    <row r="102" spans="1:15" ht="27.75" customHeight="1" x14ac:dyDescent="0.5">
      <c r="A102" s="818" t="s">
        <v>248</v>
      </c>
      <c r="B102" s="819"/>
      <c r="C102" s="820"/>
      <c r="D102" s="151" t="s">
        <v>180</v>
      </c>
      <c r="E102" s="95"/>
      <c r="F102" s="95"/>
      <c r="G102" s="99">
        <f>G36+G50</f>
        <v>1424</v>
      </c>
      <c r="H102" s="99">
        <f>G102+'12'!H102</f>
        <v>22571</v>
      </c>
      <c r="I102" s="168"/>
      <c r="J102" s="175">
        <f>H102/DAY(B2)</f>
        <v>1736.2307692307693</v>
      </c>
      <c r="O102" s="71"/>
    </row>
    <row r="103" spans="1:15" ht="27.75" customHeight="1" x14ac:dyDescent="0.5">
      <c r="A103" s="818" t="s">
        <v>249</v>
      </c>
      <c r="B103" s="819"/>
      <c r="C103" s="820"/>
      <c r="D103" s="151" t="s">
        <v>23</v>
      </c>
      <c r="E103" s="95"/>
      <c r="F103" s="95"/>
      <c r="G103" s="166">
        <f>G102/G7</f>
        <v>8.4761904761904761E-2</v>
      </c>
      <c r="H103" s="99">
        <f>G103+'12'!H103</f>
        <v>1.206947494454425</v>
      </c>
      <c r="I103" s="118"/>
      <c r="J103" s="175">
        <f>H103/DAY(B2)</f>
        <v>9.2842114958032684E-2</v>
      </c>
      <c r="O103" s="71"/>
    </row>
    <row r="104" spans="1:15" ht="27.75" customHeight="1" x14ac:dyDescent="0.5">
      <c r="A104" s="818" t="s">
        <v>250</v>
      </c>
      <c r="B104" s="819"/>
      <c r="C104" s="820"/>
      <c r="D104" s="151" t="s">
        <v>180</v>
      </c>
      <c r="E104" s="95"/>
      <c r="F104" s="95"/>
      <c r="G104" s="99">
        <f>G37+G51</f>
        <v>1471</v>
      </c>
      <c r="H104" s="99">
        <f>G104+'12'!H104</f>
        <v>19533</v>
      </c>
      <c r="I104" s="118"/>
      <c r="J104" s="175">
        <f>H104/DAY(B2)</f>
        <v>1502.5384615384614</v>
      </c>
      <c r="O104" s="71"/>
    </row>
    <row r="105" spans="1:15" ht="27.75" customHeight="1" thickBot="1" x14ac:dyDescent="0.55000000000000004">
      <c r="A105" s="858" t="s">
        <v>251</v>
      </c>
      <c r="B105" s="859"/>
      <c r="C105" s="860"/>
      <c r="D105" s="231" t="s">
        <v>23</v>
      </c>
      <c r="E105" s="185"/>
      <c r="F105" s="185"/>
      <c r="G105" s="186">
        <f>G104/G7</f>
        <v>8.7559523809523809E-2</v>
      </c>
      <c r="H105" s="99">
        <f>G105+'12'!H105</f>
        <v>1.0509026037208753</v>
      </c>
      <c r="I105" s="187"/>
      <c r="J105" s="188">
        <f>H105/DAY(B2)</f>
        <v>8.0838661824682717E-2</v>
      </c>
      <c r="O105" s="71"/>
    </row>
    <row r="106" spans="1:15" ht="27.75" customHeight="1" x14ac:dyDescent="0.5">
      <c r="A106" s="105"/>
      <c r="B106" s="96"/>
      <c r="C106" s="96"/>
      <c r="D106" s="169"/>
      <c r="E106" s="169"/>
      <c r="F106" s="169"/>
      <c r="G106" s="169"/>
      <c r="H106" s="170"/>
      <c r="I106" s="169"/>
      <c r="J106" s="171"/>
      <c r="O106" s="71"/>
    </row>
    <row r="108" spans="1:15" ht="27.75" customHeight="1" x14ac:dyDescent="0.55000000000000004">
      <c r="A108" s="872" t="s">
        <v>324</v>
      </c>
      <c r="B108" s="872"/>
      <c r="C108" s="872"/>
      <c r="D108" s="872"/>
      <c r="E108" s="872"/>
      <c r="F108" s="872"/>
      <c r="G108" s="872"/>
      <c r="H108" s="872"/>
      <c r="I108" s="872"/>
      <c r="J108" s="872"/>
    </row>
    <row r="109" spans="1:15" ht="27.75" customHeight="1" x14ac:dyDescent="0.5">
      <c r="A109" s="857"/>
      <c r="B109" s="857"/>
    </row>
    <row r="110" spans="1:15" ht="27.75" customHeight="1" x14ac:dyDescent="0.5">
      <c r="A110" s="873" t="s">
        <v>165</v>
      </c>
      <c r="B110" s="874"/>
      <c r="C110" s="874"/>
      <c r="D110" s="874"/>
      <c r="E110" s="874"/>
      <c r="F110" s="874"/>
      <c r="G110" s="874"/>
      <c r="H110" s="874"/>
      <c r="I110" s="874"/>
      <c r="J110" s="875"/>
    </row>
    <row r="111" spans="1:15" ht="27.75" customHeight="1" x14ac:dyDescent="0.5">
      <c r="A111" s="876"/>
      <c r="B111" s="877"/>
      <c r="C111" s="878"/>
      <c r="D111" s="165"/>
      <c r="E111" s="165"/>
      <c r="F111" s="165"/>
      <c r="G111" s="165"/>
      <c r="H111" s="156"/>
      <c r="I111" s="165"/>
      <c r="J111" s="327"/>
    </row>
    <row r="112" spans="1:15" ht="27.75" customHeight="1" x14ac:dyDescent="0.5">
      <c r="A112" s="851" t="s">
        <v>252</v>
      </c>
      <c r="B112" s="852"/>
      <c r="C112" s="853"/>
      <c r="D112" s="146" t="s">
        <v>183</v>
      </c>
      <c r="E112" s="95">
        <f>'12'!F112</f>
        <v>56581</v>
      </c>
      <c r="F112" s="237">
        <v>56651</v>
      </c>
      <c r="G112" s="112">
        <f t="shared" ref="G112:G123" si="9">F112-E112</f>
        <v>70</v>
      </c>
      <c r="H112" s="99">
        <f>G112+'12'!H112</f>
        <v>970</v>
      </c>
      <c r="I112" s="165"/>
      <c r="J112" s="328">
        <f>H112/DAY(B2)</f>
        <v>74.615384615384613</v>
      </c>
    </row>
    <row r="113" spans="1:18" ht="27.75" customHeight="1" x14ac:dyDescent="0.5">
      <c r="A113" s="851" t="s">
        <v>253</v>
      </c>
      <c r="B113" s="852"/>
      <c r="C113" s="853"/>
      <c r="D113" s="146" t="s">
        <v>183</v>
      </c>
      <c r="E113" s="95">
        <f>'12'!F113</f>
        <v>37600</v>
      </c>
      <c r="F113" s="237">
        <v>38050</v>
      </c>
      <c r="G113" s="112">
        <f t="shared" si="9"/>
        <v>450</v>
      </c>
      <c r="H113" s="99">
        <f>G113+'12'!H113</f>
        <v>5855</v>
      </c>
      <c r="I113" s="165"/>
      <c r="J113" s="328">
        <f>H113/DAY(B2)</f>
        <v>450.38461538461536</v>
      </c>
    </row>
    <row r="114" spans="1:18" ht="27.75" customHeight="1" x14ac:dyDescent="0.5">
      <c r="A114" s="851" t="s">
        <v>254</v>
      </c>
      <c r="B114" s="852"/>
      <c r="C114" s="853"/>
      <c r="D114" s="146" t="s">
        <v>183</v>
      </c>
      <c r="E114" s="95">
        <f>'12'!F114</f>
        <v>28057</v>
      </c>
      <c r="F114" s="237">
        <v>28321</v>
      </c>
      <c r="G114" s="112">
        <f t="shared" si="9"/>
        <v>264</v>
      </c>
      <c r="H114" s="99">
        <f>G114+'12'!H114</f>
        <v>3450</v>
      </c>
      <c r="I114" s="165"/>
      <c r="J114" s="328">
        <f>H114/DAY(B2)</f>
        <v>265.38461538461536</v>
      </c>
    </row>
    <row r="115" spans="1:18" ht="27.75" customHeight="1" x14ac:dyDescent="0.5">
      <c r="A115" s="851" t="s">
        <v>255</v>
      </c>
      <c r="B115" s="852"/>
      <c r="C115" s="853"/>
      <c r="D115" s="146" t="s">
        <v>183</v>
      </c>
      <c r="E115" s="95">
        <f>'12'!F115</f>
        <v>8909</v>
      </c>
      <c r="F115" s="237">
        <v>8917</v>
      </c>
      <c r="G115" s="112">
        <f t="shared" si="9"/>
        <v>8</v>
      </c>
      <c r="H115" s="99">
        <f>G115+'12'!H115</f>
        <v>132</v>
      </c>
      <c r="I115" s="165"/>
      <c r="J115" s="328">
        <f>H115/DAY(B2)</f>
        <v>10.153846153846153</v>
      </c>
    </row>
    <row r="116" spans="1:18" ht="27.75" customHeight="1" x14ac:dyDescent="0.5">
      <c r="A116" s="869" t="s">
        <v>96</v>
      </c>
      <c r="B116" s="870"/>
      <c r="C116" s="871"/>
      <c r="D116" s="146" t="s">
        <v>183</v>
      </c>
      <c r="E116" s="95">
        <f>'12'!F116</f>
        <v>0</v>
      </c>
      <c r="F116" s="237">
        <v>0</v>
      </c>
      <c r="G116" s="112">
        <f t="shared" si="9"/>
        <v>0</v>
      </c>
      <c r="H116" s="99">
        <f>G116+'12'!H116</f>
        <v>0</v>
      </c>
      <c r="I116" s="165"/>
      <c r="J116" s="328">
        <f>H116/DAY(B2)</f>
        <v>0</v>
      </c>
      <c r="Q116" s="851"/>
      <c r="R116" s="853"/>
    </row>
    <row r="117" spans="1:18" ht="27.75" customHeight="1" x14ac:dyDescent="0.5">
      <c r="A117" s="869" t="s">
        <v>184</v>
      </c>
      <c r="B117" s="870"/>
      <c r="C117" s="871"/>
      <c r="D117" s="146" t="s">
        <v>183</v>
      </c>
      <c r="E117" s="95">
        <f>'12'!F117</f>
        <v>2888</v>
      </c>
      <c r="F117" s="237">
        <v>2909</v>
      </c>
      <c r="G117" s="112">
        <f t="shared" si="9"/>
        <v>21</v>
      </c>
      <c r="H117" s="99">
        <f>G117+'12'!H117</f>
        <v>319</v>
      </c>
      <c r="I117" s="165"/>
      <c r="J117" s="328">
        <f>H117/DAY(B2)</f>
        <v>24.53846153846154</v>
      </c>
      <c r="Q117" s="851"/>
      <c r="R117" s="853"/>
    </row>
    <row r="118" spans="1:18" ht="27.75" customHeight="1" x14ac:dyDescent="0.5">
      <c r="A118" s="846" t="s">
        <v>97</v>
      </c>
      <c r="B118" s="846"/>
      <c r="C118" s="846"/>
      <c r="D118" s="151" t="s">
        <v>183</v>
      </c>
      <c r="E118" s="95">
        <f>'12'!F118</f>
        <v>245995</v>
      </c>
      <c r="F118" s="237">
        <v>246339</v>
      </c>
      <c r="G118" s="112">
        <f t="shared" si="9"/>
        <v>344</v>
      </c>
      <c r="H118" s="99">
        <f>G118+'12'!H118</f>
        <v>4692</v>
      </c>
      <c r="I118" s="165"/>
      <c r="J118" s="328">
        <f>H118/DAY(B2)</f>
        <v>360.92307692307691</v>
      </c>
      <c r="Q118" s="851"/>
      <c r="R118" s="853"/>
    </row>
    <row r="119" spans="1:18" ht="27.75" customHeight="1" x14ac:dyDescent="0.5">
      <c r="A119" s="846" t="s">
        <v>98</v>
      </c>
      <c r="B119" s="846"/>
      <c r="C119" s="846"/>
      <c r="D119" s="151" t="s">
        <v>183</v>
      </c>
      <c r="E119" s="95">
        <f>'12'!F119</f>
        <v>250260</v>
      </c>
      <c r="F119" s="237">
        <v>250604</v>
      </c>
      <c r="G119" s="112">
        <f t="shared" si="9"/>
        <v>344</v>
      </c>
      <c r="H119" s="99">
        <f>G119+'12'!H119</f>
        <v>5478</v>
      </c>
      <c r="I119" s="165"/>
      <c r="J119" s="328">
        <f>H119/DAY(B2)</f>
        <v>421.38461538461536</v>
      </c>
    </row>
    <row r="120" spans="1:18" ht="27.75" customHeight="1" x14ac:dyDescent="0.5">
      <c r="A120" s="846" t="s">
        <v>99</v>
      </c>
      <c r="B120" s="846"/>
      <c r="C120" s="846"/>
      <c r="D120" s="151" t="s">
        <v>183</v>
      </c>
      <c r="E120" s="95">
        <f>'12'!F120</f>
        <v>35053</v>
      </c>
      <c r="F120" s="237">
        <v>35447</v>
      </c>
      <c r="G120" s="112">
        <f t="shared" si="9"/>
        <v>394</v>
      </c>
      <c r="H120" s="99">
        <f>G120+'12'!H120</f>
        <v>5369</v>
      </c>
      <c r="I120" s="165"/>
      <c r="J120" s="328">
        <f>H120/DAY(B2)</f>
        <v>413</v>
      </c>
    </row>
    <row r="121" spans="1:18" ht="27.75" customHeight="1" x14ac:dyDescent="0.5">
      <c r="A121" s="846" t="s">
        <v>100</v>
      </c>
      <c r="B121" s="846"/>
      <c r="C121" s="846"/>
      <c r="D121" s="151" t="s">
        <v>183</v>
      </c>
      <c r="E121" s="95">
        <f>'12'!F121</f>
        <v>385151</v>
      </c>
      <c r="F121" s="237">
        <v>385767</v>
      </c>
      <c r="G121" s="112">
        <f t="shared" si="9"/>
        <v>616</v>
      </c>
      <c r="H121" s="99">
        <f>G121+'12'!H121</f>
        <v>9238</v>
      </c>
      <c r="I121" s="165"/>
      <c r="J121" s="328">
        <f>H121/DAY(B2)</f>
        <v>710.61538461538464</v>
      </c>
    </row>
    <row r="122" spans="1:18" ht="27.75" customHeight="1" x14ac:dyDescent="0.5">
      <c r="A122" s="846" t="s">
        <v>101</v>
      </c>
      <c r="B122" s="846"/>
      <c r="C122" s="846"/>
      <c r="D122" s="151" t="s">
        <v>183</v>
      </c>
      <c r="E122" s="95">
        <f>'12'!F122</f>
        <v>122620</v>
      </c>
      <c r="F122" s="237">
        <v>122808</v>
      </c>
      <c r="G122" s="112">
        <f t="shared" si="9"/>
        <v>188</v>
      </c>
      <c r="H122" s="99">
        <f>G122+'12'!H122</f>
        <v>2758</v>
      </c>
      <c r="I122" s="165"/>
      <c r="J122" s="328">
        <f>H122/DAY(B2)</f>
        <v>212.15384615384616</v>
      </c>
    </row>
    <row r="123" spans="1:18" ht="27.75" customHeight="1" x14ac:dyDescent="0.5">
      <c r="A123" s="846" t="s">
        <v>102</v>
      </c>
      <c r="B123" s="846"/>
      <c r="C123" s="846"/>
      <c r="D123" s="151" t="s">
        <v>183</v>
      </c>
      <c r="E123" s="95">
        <f>'12'!F123</f>
        <v>148909</v>
      </c>
      <c r="F123" s="237">
        <v>149183</v>
      </c>
      <c r="G123" s="112">
        <f t="shared" si="9"/>
        <v>274</v>
      </c>
      <c r="H123" s="99">
        <f>G123+'12'!H123</f>
        <v>4058</v>
      </c>
      <c r="I123" s="165"/>
      <c r="J123" s="328">
        <f>H123/DAY(B2)</f>
        <v>312.15384615384613</v>
      </c>
    </row>
    <row r="124" spans="1:18" ht="27.75" customHeight="1" x14ac:dyDescent="0.5">
      <c r="A124" s="876"/>
      <c r="B124" s="877"/>
      <c r="C124" s="878"/>
      <c r="D124" s="165"/>
      <c r="E124" s="165"/>
      <c r="F124" s="165"/>
      <c r="G124" s="327"/>
      <c r="H124" s="156"/>
      <c r="I124" s="165"/>
      <c r="J124" s="327"/>
    </row>
    <row r="125" spans="1:18" ht="27.75" customHeight="1" x14ac:dyDescent="0.5">
      <c r="A125" s="879" t="s">
        <v>196</v>
      </c>
      <c r="B125" s="880"/>
      <c r="C125" s="245"/>
      <c r="D125" s="307"/>
      <c r="E125" s="308"/>
      <c r="F125" s="308"/>
      <c r="G125" s="309">
        <f>SUM(G112:G124)</f>
        <v>2973</v>
      </c>
      <c r="H125" s="156"/>
      <c r="I125" s="327">
        <f>G125-(G39+G53)</f>
        <v>569</v>
      </c>
      <c r="J125" s="327"/>
    </row>
    <row r="126" spans="1:18" ht="27.75" customHeight="1" x14ac:dyDescent="0.5">
      <c r="A126" s="881" t="s">
        <v>317</v>
      </c>
      <c r="B126" s="881"/>
      <c r="C126" s="881"/>
      <c r="D126" s="881"/>
      <c r="E126" s="881"/>
      <c r="F126" s="881"/>
      <c r="G126" s="881"/>
      <c r="H126" s="881"/>
      <c r="I126" s="881"/>
      <c r="J126" s="881"/>
    </row>
    <row r="127" spans="1:18" ht="27.75" customHeight="1" x14ac:dyDescent="0.5">
      <c r="A127" s="882"/>
      <c r="B127" s="882"/>
      <c r="C127" s="245"/>
      <c r="D127" s="307"/>
      <c r="E127" s="308"/>
      <c r="F127" s="308"/>
      <c r="G127" s="309"/>
      <c r="H127" s="99">
        <f>G127+'12'!H127</f>
        <v>0</v>
      </c>
      <c r="I127" s="165"/>
      <c r="J127" s="328">
        <f>H127/DAY(B2)</f>
        <v>0</v>
      </c>
    </row>
    <row r="128" spans="1:18" ht="27.75" customHeight="1" x14ac:dyDescent="0.5">
      <c r="A128" s="851" t="s">
        <v>318</v>
      </c>
      <c r="B128" s="852"/>
      <c r="C128" s="853"/>
      <c r="D128" s="151" t="s">
        <v>183</v>
      </c>
      <c r="E128" s="95">
        <f>'12'!F128</f>
        <v>41882</v>
      </c>
      <c r="F128" s="165">
        <v>42186</v>
      </c>
      <c r="G128" s="112">
        <f t="shared" ref="G128:G134" si="10">F128-E128</f>
        <v>304</v>
      </c>
      <c r="H128" s="99">
        <f>G128+'12'!H128</f>
        <v>4182</v>
      </c>
      <c r="I128" s="165"/>
      <c r="J128" s="328">
        <f>H128/DAY(B2)</f>
        <v>321.69230769230768</v>
      </c>
    </row>
    <row r="129" spans="1:15" ht="27.75" customHeight="1" x14ac:dyDescent="0.5">
      <c r="A129" s="329" t="s">
        <v>319</v>
      </c>
      <c r="B129" s="330"/>
      <c r="C129" s="331"/>
      <c r="D129" s="151" t="s">
        <v>183</v>
      </c>
      <c r="E129" s="95">
        <f>'12'!F129</f>
        <v>22906</v>
      </c>
      <c r="F129" s="165">
        <v>23174</v>
      </c>
      <c r="G129" s="112">
        <f t="shared" si="10"/>
        <v>268</v>
      </c>
      <c r="H129" s="99">
        <f>G129+'12'!H129</f>
        <v>2853</v>
      </c>
      <c r="I129" s="165"/>
      <c r="J129" s="328">
        <f>H129/DAY(B2)</f>
        <v>219.46153846153845</v>
      </c>
      <c r="N129" s="240"/>
      <c r="O129" s="241"/>
    </row>
    <row r="130" spans="1:15" ht="27.75" customHeight="1" x14ac:dyDescent="0.5">
      <c r="A130" s="329" t="s">
        <v>320</v>
      </c>
      <c r="B130" s="330"/>
      <c r="C130" s="331"/>
      <c r="D130" s="151" t="s">
        <v>183</v>
      </c>
      <c r="E130" s="95">
        <f>'12'!F130</f>
        <v>25877</v>
      </c>
      <c r="F130" s="165">
        <v>26322</v>
      </c>
      <c r="G130" s="112">
        <f t="shared" si="10"/>
        <v>445</v>
      </c>
      <c r="H130" s="99">
        <f>G130+'12'!H130</f>
        <v>7940</v>
      </c>
      <c r="I130" s="165"/>
      <c r="J130" s="328">
        <f>H130/DAY(B2)</f>
        <v>610.76923076923072</v>
      </c>
      <c r="N130" s="240"/>
      <c r="O130" s="241"/>
    </row>
    <row r="131" spans="1:15" ht="27.75" customHeight="1" x14ac:dyDescent="0.5">
      <c r="A131" s="851" t="s">
        <v>321</v>
      </c>
      <c r="B131" s="852"/>
      <c r="C131" s="853"/>
      <c r="D131" s="151" t="s">
        <v>183</v>
      </c>
      <c r="E131" s="95">
        <f>'12'!F131</f>
        <v>14020</v>
      </c>
      <c r="F131" s="165">
        <v>14077</v>
      </c>
      <c r="G131" s="112">
        <f t="shared" si="10"/>
        <v>57</v>
      </c>
      <c r="H131" s="99">
        <f>G131+'12'!H131</f>
        <v>924</v>
      </c>
      <c r="I131" s="165"/>
      <c r="J131" s="328">
        <f>H131/DAY(B2)</f>
        <v>71.07692307692308</v>
      </c>
      <c r="N131" s="240"/>
      <c r="O131" s="241"/>
    </row>
    <row r="132" spans="1:15" ht="27.75" customHeight="1" x14ac:dyDescent="0.5">
      <c r="A132" s="851" t="s">
        <v>322</v>
      </c>
      <c r="B132" s="852"/>
      <c r="C132" s="853"/>
      <c r="D132" s="151" t="s">
        <v>183</v>
      </c>
      <c r="E132" s="95">
        <f>'12'!F132</f>
        <v>46778</v>
      </c>
      <c r="F132" s="165">
        <v>47285</v>
      </c>
      <c r="G132" s="112">
        <f t="shared" si="10"/>
        <v>507</v>
      </c>
      <c r="H132" s="99">
        <f>G132+'12'!H132</f>
        <v>6262</v>
      </c>
      <c r="I132" s="165"/>
      <c r="J132" s="328">
        <f>H132/DAY(B2)</f>
        <v>481.69230769230768</v>
      </c>
    </row>
    <row r="133" spans="1:15" ht="27.75" customHeight="1" x14ac:dyDescent="0.5">
      <c r="A133" s="851" t="s">
        <v>362</v>
      </c>
      <c r="B133" s="852"/>
      <c r="C133" s="853"/>
      <c r="D133" s="151" t="s">
        <v>183</v>
      </c>
      <c r="E133" s="95">
        <f>'12'!F133</f>
        <v>95918</v>
      </c>
      <c r="F133" s="165">
        <v>96324</v>
      </c>
      <c r="G133" s="112">
        <f t="shared" si="10"/>
        <v>406</v>
      </c>
      <c r="H133" s="99">
        <f>G133+'12'!H133</f>
        <v>8621</v>
      </c>
      <c r="I133" s="165"/>
      <c r="J133" s="328">
        <f>H133/DAY(B2)</f>
        <v>663.15384615384619</v>
      </c>
    </row>
    <row r="134" spans="1:15" ht="27.75" customHeight="1" x14ac:dyDescent="0.5">
      <c r="A134" s="851" t="s">
        <v>340</v>
      </c>
      <c r="B134" s="852"/>
      <c r="C134" s="853"/>
      <c r="D134" s="151" t="s">
        <v>183</v>
      </c>
      <c r="E134" s="95">
        <v>5331</v>
      </c>
      <c r="F134" s="165">
        <v>5565</v>
      </c>
      <c r="G134" s="112">
        <f t="shared" si="10"/>
        <v>234</v>
      </c>
      <c r="H134" s="99">
        <f>G134+'12'!H134</f>
        <v>7859</v>
      </c>
      <c r="I134" s="165"/>
      <c r="J134" s="328">
        <f>H134/DAY(B2)</f>
        <v>604.53846153846155</v>
      </c>
    </row>
    <row r="135" spans="1:15" ht="27.75" customHeight="1" x14ac:dyDescent="0.5">
      <c r="A135" s="879" t="s">
        <v>196</v>
      </c>
      <c r="B135" s="880"/>
      <c r="C135" s="331"/>
      <c r="D135" s="151"/>
      <c r="E135" s="95"/>
      <c r="F135" s="165"/>
      <c r="G135" s="112">
        <f>SUM(G128:G134)</f>
        <v>2221</v>
      </c>
      <c r="H135" s="99">
        <f>G135+'12'!H135</f>
        <v>36094</v>
      </c>
      <c r="I135" s="327">
        <f>G135-(G35+G49)</f>
        <v>-529</v>
      </c>
      <c r="J135" s="328">
        <f>H135/DAY(B2)</f>
        <v>2776.4615384615386</v>
      </c>
    </row>
    <row r="136" spans="1:15" ht="27.75" customHeight="1" x14ac:dyDescent="0.55000000000000004">
      <c r="A136" s="883" t="s">
        <v>325</v>
      </c>
      <c r="B136" s="883"/>
      <c r="C136" s="883"/>
      <c r="D136" s="883"/>
      <c r="E136" s="883"/>
      <c r="F136" s="883"/>
      <c r="G136" s="883"/>
      <c r="H136" s="883"/>
      <c r="I136" s="883"/>
      <c r="J136" s="883"/>
    </row>
    <row r="137" spans="1:15" ht="27.75" customHeight="1" x14ac:dyDescent="0.5">
      <c r="A137" s="245"/>
      <c r="B137" s="246"/>
      <c r="C137" s="246"/>
      <c r="D137" s="165"/>
      <c r="E137" s="165"/>
      <c r="F137" s="165"/>
      <c r="G137" s="165"/>
      <c r="H137" s="156"/>
      <c r="I137" s="165"/>
      <c r="J137" s="327"/>
    </row>
    <row r="138" spans="1:15" ht="27.75" customHeight="1" x14ac:dyDescent="0.5">
      <c r="A138" s="846" t="s">
        <v>185</v>
      </c>
      <c r="B138" s="846"/>
      <c r="C138" s="846"/>
      <c r="D138" s="151" t="s">
        <v>183</v>
      </c>
      <c r="E138" s="95">
        <f>'12'!F138</f>
        <v>864936</v>
      </c>
      <c r="F138" s="147">
        <v>864989</v>
      </c>
      <c r="G138" s="112">
        <f t="shared" ref="G138:G152" si="11">F138-E138</f>
        <v>53</v>
      </c>
      <c r="H138" s="99">
        <f>G138+'12'!H138</f>
        <v>818</v>
      </c>
      <c r="I138" s="118"/>
      <c r="J138" s="328">
        <f>H138/DAY(B2)</f>
        <v>62.92307692307692</v>
      </c>
    </row>
    <row r="139" spans="1:15" ht="27.75" customHeight="1" x14ac:dyDescent="0.5">
      <c r="A139" s="846" t="s">
        <v>186</v>
      </c>
      <c r="B139" s="846"/>
      <c r="C139" s="846"/>
      <c r="D139" s="151" t="s">
        <v>183</v>
      </c>
      <c r="E139" s="95">
        <f>'12'!F139</f>
        <v>886549</v>
      </c>
      <c r="F139" s="148">
        <v>886549</v>
      </c>
      <c r="G139" s="112">
        <f t="shared" si="11"/>
        <v>0</v>
      </c>
      <c r="H139" s="99">
        <f>G139+'12'!H139</f>
        <v>3</v>
      </c>
      <c r="I139" s="118"/>
      <c r="J139" s="328">
        <f>H139/DAY(B2)</f>
        <v>0.23076923076923078</v>
      </c>
    </row>
    <row r="140" spans="1:15" ht="27.75" customHeight="1" x14ac:dyDescent="0.5">
      <c r="A140" s="846" t="s">
        <v>187</v>
      </c>
      <c r="B140" s="846"/>
      <c r="C140" s="846"/>
      <c r="D140" s="151" t="s">
        <v>183</v>
      </c>
      <c r="E140" s="95">
        <f>'12'!F140</f>
        <v>88898</v>
      </c>
      <c r="F140" s="149">
        <v>88898</v>
      </c>
      <c r="G140" s="112">
        <f t="shared" si="11"/>
        <v>0</v>
      </c>
      <c r="H140" s="99">
        <f>G140+'12'!H140</f>
        <v>16</v>
      </c>
      <c r="I140" s="118"/>
      <c r="J140" s="328">
        <f>H140/DAY(B2)</f>
        <v>1.2307692307692308</v>
      </c>
    </row>
    <row r="141" spans="1:15" ht="27.75" customHeight="1" x14ac:dyDescent="0.5">
      <c r="A141" s="850" t="s">
        <v>188</v>
      </c>
      <c r="B141" s="850"/>
      <c r="C141" s="850"/>
      <c r="D141" s="151" t="s">
        <v>183</v>
      </c>
      <c r="E141" s="95">
        <f>'12'!F141</f>
        <v>51406</v>
      </c>
      <c r="F141" s="149">
        <v>51571</v>
      </c>
      <c r="G141" s="112">
        <f t="shared" si="11"/>
        <v>165</v>
      </c>
      <c r="H141" s="99">
        <f>G141+'12'!H141</f>
        <v>2265</v>
      </c>
      <c r="I141" s="118"/>
      <c r="J141" s="328">
        <f>H141/DAY(B2)</f>
        <v>174.23076923076923</v>
      </c>
    </row>
    <row r="142" spans="1:15" ht="27.75" customHeight="1" x14ac:dyDescent="0.5">
      <c r="A142" s="850" t="s">
        <v>189</v>
      </c>
      <c r="B142" s="850"/>
      <c r="C142" s="850"/>
      <c r="D142" s="151" t="s">
        <v>183</v>
      </c>
      <c r="E142" s="95">
        <f>'12'!F142</f>
        <v>19839</v>
      </c>
      <c r="F142" s="148">
        <v>19908</v>
      </c>
      <c r="G142" s="112">
        <f t="shared" si="11"/>
        <v>69</v>
      </c>
      <c r="H142" s="99">
        <f>G142+'12'!H142</f>
        <v>899</v>
      </c>
      <c r="I142" s="140"/>
      <c r="J142" s="328">
        <f>H142/DAY(B2)</f>
        <v>69.15384615384616</v>
      </c>
    </row>
    <row r="143" spans="1:15" ht="27.75" customHeight="1" x14ac:dyDescent="0.5">
      <c r="A143" s="846" t="s">
        <v>91</v>
      </c>
      <c r="B143" s="846"/>
      <c r="C143" s="846"/>
      <c r="D143" s="151" t="s">
        <v>183</v>
      </c>
      <c r="E143" s="95">
        <f>'12'!F143</f>
        <v>3344</v>
      </c>
      <c r="F143" s="149">
        <v>3370</v>
      </c>
      <c r="G143" s="112">
        <f t="shared" si="11"/>
        <v>26</v>
      </c>
      <c r="H143" s="99">
        <f>G143+'12'!H143</f>
        <v>309</v>
      </c>
      <c r="I143" s="140"/>
      <c r="J143" s="328">
        <f>H143/DAY(B2)</f>
        <v>23.76923076923077</v>
      </c>
    </row>
    <row r="144" spans="1:15" ht="27.75" customHeight="1" x14ac:dyDescent="0.5">
      <c r="A144" s="850" t="s">
        <v>90</v>
      </c>
      <c r="B144" s="850"/>
      <c r="C144" s="850"/>
      <c r="D144" s="151" t="s">
        <v>183</v>
      </c>
      <c r="E144" s="95">
        <f>'12'!F144</f>
        <v>872377</v>
      </c>
      <c r="F144" s="149">
        <v>872597</v>
      </c>
      <c r="G144" s="112">
        <f t="shared" si="11"/>
        <v>220</v>
      </c>
      <c r="H144" s="99">
        <f>G144+'12'!H144</f>
        <v>2927</v>
      </c>
      <c r="I144" s="140"/>
      <c r="J144" s="328">
        <f>H144/DAY(B2)</f>
        <v>225.15384615384616</v>
      </c>
    </row>
    <row r="145" spans="1:10" ht="27.75" customHeight="1" x14ac:dyDescent="0.5">
      <c r="A145" s="846" t="s">
        <v>190</v>
      </c>
      <c r="B145" s="846"/>
      <c r="C145" s="846"/>
      <c r="D145" s="152" t="s">
        <v>183</v>
      </c>
      <c r="E145" s="95">
        <f>'12'!F145</f>
        <v>4743</v>
      </c>
      <c r="F145" s="149">
        <v>4755</v>
      </c>
      <c r="G145" s="112">
        <f t="shared" si="11"/>
        <v>12</v>
      </c>
      <c r="H145" s="99">
        <f>G145+'12'!H145</f>
        <v>197</v>
      </c>
      <c r="I145" s="140"/>
      <c r="J145" s="328">
        <f>H145/DAY(B2)</f>
        <v>15.153846153846153</v>
      </c>
    </row>
    <row r="146" spans="1:10" ht="27.75" customHeight="1" x14ac:dyDescent="0.5">
      <c r="A146" s="847" t="s">
        <v>191</v>
      </c>
      <c r="B146" s="848"/>
      <c r="C146" s="849"/>
      <c r="D146" s="152" t="s">
        <v>183</v>
      </c>
      <c r="E146" s="95">
        <f>'12'!F146</f>
        <v>729786</v>
      </c>
      <c r="F146" s="148">
        <v>730138</v>
      </c>
      <c r="G146" s="112">
        <f t="shared" si="11"/>
        <v>352</v>
      </c>
      <c r="H146" s="99">
        <f>G146+'12'!H146</f>
        <v>5280</v>
      </c>
      <c r="I146" s="140"/>
      <c r="J146" s="328">
        <f>H146/DAY(B2)</f>
        <v>406.15384615384613</v>
      </c>
    </row>
    <row r="147" spans="1:10" ht="27.75" customHeight="1" x14ac:dyDescent="0.5">
      <c r="A147" s="850" t="s">
        <v>192</v>
      </c>
      <c r="B147" s="850"/>
      <c r="C147" s="850"/>
      <c r="D147" s="152" t="s">
        <v>183</v>
      </c>
      <c r="E147" s="95">
        <f>'12'!F147</f>
        <v>619835</v>
      </c>
      <c r="F147" s="148">
        <v>620127</v>
      </c>
      <c r="G147" s="112">
        <f t="shared" si="11"/>
        <v>292</v>
      </c>
      <c r="H147" s="99">
        <f>G147+'12'!H147</f>
        <v>4845</v>
      </c>
      <c r="I147" s="140"/>
      <c r="J147" s="328">
        <f>H147/DAY(B2)</f>
        <v>372.69230769230768</v>
      </c>
    </row>
    <row r="148" spans="1:10" ht="27.75" customHeight="1" x14ac:dyDescent="0.5">
      <c r="A148" s="842" t="s">
        <v>193</v>
      </c>
      <c r="B148" s="843"/>
      <c r="C148" s="844"/>
      <c r="D148" s="123" t="s">
        <v>130</v>
      </c>
      <c r="E148" s="95">
        <f>'12'!F148</f>
        <v>686035</v>
      </c>
      <c r="F148" s="150">
        <v>686170</v>
      </c>
      <c r="G148" s="112">
        <f t="shared" si="11"/>
        <v>135</v>
      </c>
      <c r="H148" s="99">
        <f>G148+'12'!H148</f>
        <v>3136.8800000000047</v>
      </c>
      <c r="I148" s="124"/>
      <c r="J148" s="328">
        <f>H148/DAY(B2)</f>
        <v>241.29846153846191</v>
      </c>
    </row>
    <row r="149" spans="1:10" ht="27.75" customHeight="1" x14ac:dyDescent="0.5">
      <c r="A149" s="842" t="s">
        <v>336</v>
      </c>
      <c r="B149" s="843"/>
      <c r="C149" s="844"/>
      <c r="D149" s="227" t="s">
        <v>130</v>
      </c>
      <c r="E149" s="146">
        <v>15693</v>
      </c>
      <c r="F149" s="146">
        <v>16081</v>
      </c>
      <c r="G149" s="112">
        <f t="shared" si="11"/>
        <v>388</v>
      </c>
      <c r="H149" s="99">
        <f>G149+'12'!H149</f>
        <v>5332</v>
      </c>
      <c r="I149" s="119"/>
      <c r="J149" s="328">
        <f>H149/DAY(B2)</f>
        <v>410.15384615384613</v>
      </c>
    </row>
    <row r="150" spans="1:10" ht="27.75" customHeight="1" x14ac:dyDescent="0.5">
      <c r="A150" s="842" t="s">
        <v>337</v>
      </c>
      <c r="B150" s="843"/>
      <c r="C150" s="844"/>
      <c r="D150" s="117" t="s">
        <v>130</v>
      </c>
      <c r="E150" s="95">
        <f>'12'!F150</f>
        <v>6681</v>
      </c>
      <c r="F150" s="233">
        <v>6899</v>
      </c>
      <c r="G150" s="112">
        <f t="shared" si="11"/>
        <v>218</v>
      </c>
      <c r="H150" s="99">
        <f>G150+'12'!H150</f>
        <v>2847</v>
      </c>
      <c r="I150" s="119"/>
      <c r="J150" s="328">
        <f>H150/DAY(B2)</f>
        <v>219</v>
      </c>
    </row>
    <row r="151" spans="1:10" ht="27.75" customHeight="1" x14ac:dyDescent="0.5">
      <c r="A151" s="842" t="s">
        <v>338</v>
      </c>
      <c r="B151" s="843"/>
      <c r="C151" s="844"/>
      <c r="D151" s="117" t="s">
        <v>130</v>
      </c>
      <c r="E151" s="95">
        <f>'12'!F151</f>
        <v>81071</v>
      </c>
      <c r="F151" s="233">
        <v>81285</v>
      </c>
      <c r="G151" s="112">
        <f t="shared" si="11"/>
        <v>214</v>
      </c>
      <c r="H151" s="99">
        <f>G151+'12'!H151</f>
        <v>3068</v>
      </c>
      <c r="I151" s="119"/>
      <c r="J151" s="328">
        <f>H151/DAY(B2)</f>
        <v>236</v>
      </c>
    </row>
    <row r="152" spans="1:10" ht="27.75" customHeight="1" x14ac:dyDescent="0.5">
      <c r="A152" s="842" t="s">
        <v>339</v>
      </c>
      <c r="B152" s="843"/>
      <c r="C152" s="844"/>
      <c r="D152" s="117" t="s">
        <v>130</v>
      </c>
      <c r="E152" s="95">
        <f>'12'!F152</f>
        <v>1348</v>
      </c>
      <c r="F152" s="233">
        <v>1363</v>
      </c>
      <c r="G152" s="112">
        <f t="shared" si="11"/>
        <v>15</v>
      </c>
      <c r="H152" s="99">
        <f>G152+'12'!H152</f>
        <v>236</v>
      </c>
      <c r="I152" s="119"/>
      <c r="J152" s="328">
        <f>H152/DAY(B2)</f>
        <v>18.153846153846153</v>
      </c>
    </row>
    <row r="153" spans="1:10" ht="27.75" customHeight="1" x14ac:dyDescent="0.5">
      <c r="A153" s="879" t="s">
        <v>196</v>
      </c>
      <c r="B153" s="880"/>
      <c r="C153" s="365"/>
      <c r="D153" s="358"/>
      <c r="E153" s="360"/>
      <c r="F153" s="361"/>
      <c r="G153" s="362">
        <f>SUM(G138:G152)</f>
        <v>2159</v>
      </c>
      <c r="H153" s="363"/>
      <c r="I153" s="119">
        <f>G153-(G38+G52)</f>
        <v>616</v>
      </c>
      <c r="J153" s="366"/>
    </row>
    <row r="154" spans="1:10" ht="27.75" customHeight="1" x14ac:dyDescent="0.55000000000000004">
      <c r="A154" s="883" t="s">
        <v>344</v>
      </c>
      <c r="B154" s="883"/>
      <c r="C154" s="883"/>
      <c r="D154" s="883"/>
      <c r="E154" s="883"/>
      <c r="F154" s="883"/>
      <c r="G154" s="883"/>
      <c r="H154" s="883"/>
      <c r="I154" s="883"/>
      <c r="J154" s="883"/>
    </row>
    <row r="155" spans="1:10" ht="27.75" customHeight="1" x14ac:dyDescent="0.55000000000000004">
      <c r="A155" s="850" t="s">
        <v>345</v>
      </c>
      <c r="B155" s="850"/>
      <c r="C155" s="850"/>
      <c r="D155" s="117" t="s">
        <v>130</v>
      </c>
      <c r="E155" s="374">
        <v>20303</v>
      </c>
      <c r="F155" s="374">
        <v>20669</v>
      </c>
      <c r="G155" s="112">
        <f t="shared" ref="G155:G158" si="12">F155-E155</f>
        <v>366</v>
      </c>
      <c r="H155" s="99">
        <f>G155+'12'!H155</f>
        <v>7197</v>
      </c>
      <c r="I155" s="364"/>
      <c r="J155" s="328">
        <f>H155/DAY(B2)</f>
        <v>553.61538461538464</v>
      </c>
    </row>
    <row r="156" spans="1:10" ht="27.75" customHeight="1" x14ac:dyDescent="0.5">
      <c r="A156" s="850" t="s">
        <v>347</v>
      </c>
      <c r="B156" s="850"/>
      <c r="C156" s="850"/>
      <c r="D156" s="117" t="s">
        <v>130</v>
      </c>
      <c r="E156" s="155">
        <v>1667</v>
      </c>
      <c r="F156" s="155">
        <v>1723</v>
      </c>
      <c r="G156" s="112">
        <f t="shared" si="12"/>
        <v>56</v>
      </c>
      <c r="H156" s="99">
        <f>G156+'12'!H156</f>
        <v>635</v>
      </c>
      <c r="I156" s="165"/>
      <c r="J156" s="328">
        <f>H156/DAY(B2)</f>
        <v>48.846153846153847</v>
      </c>
    </row>
    <row r="157" spans="1:10" ht="27.75" customHeight="1" x14ac:dyDescent="0.5">
      <c r="A157" s="842" t="s">
        <v>364</v>
      </c>
      <c r="B157" s="843"/>
      <c r="C157" s="844"/>
      <c r="D157" s="117" t="s">
        <v>130</v>
      </c>
      <c r="E157" s="155">
        <v>2096</v>
      </c>
      <c r="F157" s="155">
        <v>2176</v>
      </c>
      <c r="G157" s="112">
        <f t="shared" si="12"/>
        <v>80</v>
      </c>
      <c r="H157" s="99">
        <f>G157+'12'!H157</f>
        <v>245</v>
      </c>
      <c r="I157" s="165"/>
      <c r="J157" s="328">
        <f>H157/DAY(B2)</f>
        <v>18.846153846153847</v>
      </c>
    </row>
    <row r="158" spans="1:10" ht="27.75" customHeight="1" x14ac:dyDescent="0.5">
      <c r="A158" s="842" t="s">
        <v>365</v>
      </c>
      <c r="B158" s="843"/>
      <c r="C158" s="844"/>
      <c r="D158" s="117" t="s">
        <v>130</v>
      </c>
      <c r="E158" s="155">
        <v>19</v>
      </c>
      <c r="F158" s="155">
        <v>23</v>
      </c>
      <c r="G158" s="112">
        <f t="shared" si="12"/>
        <v>4</v>
      </c>
      <c r="H158" s="99">
        <f>G158+'12'!H158</f>
        <v>23</v>
      </c>
      <c r="I158" s="165"/>
      <c r="J158" s="328">
        <f>H158/DAY(B2)</f>
        <v>1.7692307692307692</v>
      </c>
    </row>
    <row r="159" spans="1:10" ht="27.75" customHeight="1" x14ac:dyDescent="0.5">
      <c r="A159" s="899"/>
      <c r="B159" s="900"/>
      <c r="C159" s="901"/>
      <c r="D159" s="117"/>
      <c r="E159" s="95"/>
      <c r="F159" s="165"/>
      <c r="G159" s="362">
        <f>SUM(G155:G158)</f>
        <v>506</v>
      </c>
      <c r="H159" s="99"/>
      <c r="I159" s="165"/>
      <c r="J159" s="328"/>
    </row>
    <row r="160" spans="1:10" ht="27.75" customHeight="1" x14ac:dyDescent="0.55000000000000004">
      <c r="A160" s="883" t="s">
        <v>326</v>
      </c>
      <c r="B160" s="883"/>
      <c r="C160" s="883"/>
      <c r="D160" s="883"/>
      <c r="E160" s="883"/>
      <c r="F160" s="883"/>
      <c r="G160" s="883"/>
      <c r="H160" s="883"/>
      <c r="I160" s="883"/>
      <c r="J160" s="883"/>
    </row>
    <row r="161" spans="1:10" ht="27.75" customHeight="1" x14ac:dyDescent="0.5">
      <c r="A161" s="242" t="s">
        <v>92</v>
      </c>
      <c r="B161" s="243"/>
      <c r="C161" s="243"/>
      <c r="D161" s="244" t="s">
        <v>180</v>
      </c>
      <c r="E161" s="95">
        <f>'12'!F161</f>
        <v>471411</v>
      </c>
      <c r="F161" s="235">
        <v>471418</v>
      </c>
      <c r="G161" s="238">
        <f t="shared" ref="G161:G165" si="13">F161-E161</f>
        <v>7</v>
      </c>
      <c r="H161" s="99">
        <f>G161+'12'!H161</f>
        <v>264.84000000002561</v>
      </c>
      <c r="I161" s="236"/>
      <c r="J161" s="239">
        <f>H161/DAY(B2)</f>
        <v>20.372307692309661</v>
      </c>
    </row>
    <row r="162" spans="1:10" ht="27.75" customHeight="1" x14ac:dyDescent="0.5">
      <c r="A162" s="242" t="s">
        <v>93</v>
      </c>
      <c r="B162" s="243"/>
      <c r="C162" s="243"/>
      <c r="D162" s="244" t="s">
        <v>180</v>
      </c>
      <c r="E162" s="95">
        <f>'12'!F162</f>
        <v>87890</v>
      </c>
      <c r="F162" s="235">
        <v>87924</v>
      </c>
      <c r="G162" s="238">
        <f t="shared" si="13"/>
        <v>34</v>
      </c>
      <c r="H162" s="99">
        <f>G162+'12'!H162</f>
        <v>354</v>
      </c>
      <c r="I162" s="236"/>
      <c r="J162" s="239">
        <f>H162/DAY(B2)</f>
        <v>27.23076923076923</v>
      </c>
    </row>
    <row r="163" spans="1:10" ht="27.75" customHeight="1" x14ac:dyDescent="0.5">
      <c r="A163" s="242" t="s">
        <v>197</v>
      </c>
      <c r="B163" s="243"/>
      <c r="C163" s="243"/>
      <c r="D163" s="244" t="s">
        <v>180</v>
      </c>
      <c r="E163" s="95">
        <f>'12'!F163</f>
        <v>78317</v>
      </c>
      <c r="F163" s="235">
        <v>78352</v>
      </c>
      <c r="G163" s="238">
        <f t="shared" si="13"/>
        <v>35</v>
      </c>
      <c r="H163" s="99">
        <f>G163+'12'!H163</f>
        <v>527</v>
      </c>
      <c r="I163" s="236"/>
      <c r="J163" s="239">
        <f>H163/DAY(B2)</f>
        <v>40.53846153846154</v>
      </c>
    </row>
    <row r="164" spans="1:10" ht="27.75" customHeight="1" x14ac:dyDescent="0.5">
      <c r="A164" s="242" t="s">
        <v>197</v>
      </c>
      <c r="B164" s="243"/>
      <c r="C164" s="243"/>
      <c r="D164" s="244" t="s">
        <v>180</v>
      </c>
      <c r="E164" s="95">
        <f>'12'!F164</f>
        <v>4259</v>
      </c>
      <c r="F164" s="235">
        <v>4260</v>
      </c>
      <c r="G164" s="238">
        <f t="shared" si="13"/>
        <v>1</v>
      </c>
      <c r="H164" s="99">
        <f>G164+'12'!H164</f>
        <v>18</v>
      </c>
      <c r="I164" s="236"/>
      <c r="J164" s="239">
        <f>H164/DAY(B2)</f>
        <v>1.3846153846153846</v>
      </c>
    </row>
    <row r="165" spans="1:10" ht="27.75" customHeight="1" x14ac:dyDescent="0.5">
      <c r="A165" s="242" t="s">
        <v>309</v>
      </c>
      <c r="B165" s="243"/>
      <c r="C165" s="243"/>
      <c r="D165" s="244" t="s">
        <v>180</v>
      </c>
      <c r="E165" s="95">
        <f>'12'!F165</f>
        <v>29722</v>
      </c>
      <c r="F165" s="235">
        <v>29730</v>
      </c>
      <c r="G165" s="238">
        <f t="shared" si="13"/>
        <v>8</v>
      </c>
      <c r="H165" s="99">
        <f>G165+'12'!H165</f>
        <v>84</v>
      </c>
      <c r="I165" s="236"/>
      <c r="J165" s="239">
        <f>H165/DAY(B2)</f>
        <v>6.4615384615384617</v>
      </c>
    </row>
    <row r="166" spans="1:10" ht="27.75" customHeight="1" x14ac:dyDescent="0.5">
      <c r="A166" s="882"/>
      <c r="B166" s="882"/>
      <c r="C166" s="246"/>
      <c r="D166" s="244" t="s">
        <v>180</v>
      </c>
      <c r="E166" s="95">
        <f>'12'!F166</f>
        <v>0</v>
      </c>
      <c r="F166" s="165"/>
      <c r="G166" s="165"/>
      <c r="H166" s="99">
        <f>G166+'12'!H166</f>
        <v>0</v>
      </c>
      <c r="I166" s="165"/>
      <c r="J166" s="239">
        <f>H166/DAY(B2)</f>
        <v>0</v>
      </c>
    </row>
    <row r="167" spans="1:10" ht="27.75" customHeight="1" x14ac:dyDescent="0.5">
      <c r="A167" s="882"/>
      <c r="B167" s="882"/>
      <c r="C167" s="246"/>
      <c r="D167" s="244" t="s">
        <v>180</v>
      </c>
      <c r="E167" s="95">
        <f>'12'!F167</f>
        <v>0</v>
      </c>
      <c r="F167" s="165"/>
      <c r="G167" s="165"/>
      <c r="H167" s="99">
        <f>G167+'12'!H167</f>
        <v>0</v>
      </c>
      <c r="I167" s="165"/>
      <c r="J167" s="239">
        <f>H167/DAY(B2)</f>
        <v>0</v>
      </c>
    </row>
    <row r="168" spans="1:10" ht="27.75" customHeight="1" x14ac:dyDescent="0.5">
      <c r="A168" s="882"/>
      <c r="B168" s="882"/>
      <c r="C168" s="246"/>
      <c r="D168" s="244" t="s">
        <v>180</v>
      </c>
      <c r="E168" s="95">
        <f>'12'!F168</f>
        <v>0</v>
      </c>
      <c r="F168" s="165"/>
      <c r="G168" s="165"/>
      <c r="H168" s="99">
        <f>G168+'12'!H168</f>
        <v>0</v>
      </c>
      <c r="I168" s="165"/>
      <c r="J168" s="239">
        <f>H168/DAY(B2)</f>
        <v>0</v>
      </c>
    </row>
    <row r="171" spans="1:10" ht="27.75" customHeight="1" x14ac:dyDescent="0.35">
      <c r="A171" s="890" t="s">
        <v>330</v>
      </c>
      <c r="B171" s="891"/>
      <c r="C171" s="891"/>
      <c r="D171" s="891"/>
      <c r="E171" s="891"/>
      <c r="F171" s="891"/>
      <c r="G171" s="891"/>
      <c r="H171" s="891"/>
      <c r="I171" s="891"/>
      <c r="J171" s="892"/>
    </row>
    <row r="172" spans="1:10" ht="27.75" customHeight="1" x14ac:dyDescent="0.5">
      <c r="A172" s="886"/>
      <c r="B172" s="887"/>
      <c r="C172" s="332"/>
      <c r="D172" s="228"/>
      <c r="E172" s="155"/>
      <c r="F172" s="155"/>
      <c r="G172" s="155"/>
      <c r="H172" s="156"/>
      <c r="I172" s="155"/>
      <c r="J172" s="178"/>
    </row>
    <row r="173" spans="1:10" ht="27.75" customHeight="1" x14ac:dyDescent="0.5">
      <c r="A173" s="840" t="s">
        <v>209</v>
      </c>
      <c r="B173" s="841"/>
      <c r="C173" s="333"/>
      <c r="D173" s="228" t="s">
        <v>142</v>
      </c>
      <c r="E173" s="95">
        <f>'12'!F173</f>
        <v>8126</v>
      </c>
      <c r="F173" s="155">
        <v>8126</v>
      </c>
      <c r="G173" s="155">
        <f>F173-E173</f>
        <v>0</v>
      </c>
      <c r="H173" s="99">
        <f>G173+'12'!H173</f>
        <v>0</v>
      </c>
      <c r="I173" s="155"/>
      <c r="J173" s="178">
        <f>H173/DAY(B2)</f>
        <v>0</v>
      </c>
    </row>
    <row r="174" spans="1:10" ht="27.75" customHeight="1" x14ac:dyDescent="0.5">
      <c r="A174" s="840" t="s">
        <v>75</v>
      </c>
      <c r="B174" s="841"/>
      <c r="C174" s="333"/>
      <c r="D174" s="228" t="s">
        <v>142</v>
      </c>
      <c r="E174" s="95">
        <f>'12'!F174</f>
        <v>38403</v>
      </c>
      <c r="F174" s="157">
        <v>38416</v>
      </c>
      <c r="G174" s="155">
        <f t="shared" ref="G174:G175" si="14">F174-E174</f>
        <v>13</v>
      </c>
      <c r="H174" s="99">
        <f>G174+'12'!H174</f>
        <v>123</v>
      </c>
      <c r="I174" s="155"/>
      <c r="J174" s="178">
        <f>H174/DAY(B2)</f>
        <v>9.4615384615384617</v>
      </c>
    </row>
    <row r="175" spans="1:10" ht="27.75" customHeight="1" x14ac:dyDescent="0.5">
      <c r="A175" s="840" t="s">
        <v>76</v>
      </c>
      <c r="B175" s="845"/>
      <c r="C175" s="841"/>
      <c r="D175" s="228" t="s">
        <v>142</v>
      </c>
      <c r="E175" s="95">
        <f>'12'!F175</f>
        <v>21626</v>
      </c>
      <c r="F175" s="155">
        <v>21637</v>
      </c>
      <c r="G175" s="155">
        <f t="shared" si="14"/>
        <v>11</v>
      </c>
      <c r="H175" s="99">
        <f>G175+'12'!H175</f>
        <v>119</v>
      </c>
      <c r="I175" s="155"/>
      <c r="J175" s="178">
        <f>H175/DAY(B2)</f>
        <v>9.1538461538461533</v>
      </c>
    </row>
    <row r="176" spans="1:10" ht="27.75" customHeight="1" x14ac:dyDescent="0.5">
      <c r="A176" s="879" t="s">
        <v>196</v>
      </c>
      <c r="B176" s="880"/>
      <c r="C176" s="485"/>
      <c r="D176" s="228" t="s">
        <v>142</v>
      </c>
      <c r="E176" s="95"/>
      <c r="F176" s="155"/>
      <c r="G176" s="155">
        <f>SUM(G173:G175)</f>
        <v>24</v>
      </c>
      <c r="H176" s="99">
        <f>G176+'12'!H176</f>
        <v>242</v>
      </c>
      <c r="I176" s="155"/>
      <c r="J176" s="178">
        <f>H176/DAY(B2)</f>
        <v>18.615384615384617</v>
      </c>
    </row>
    <row r="177" spans="1:15" ht="27.75" customHeight="1" x14ac:dyDescent="0.5">
      <c r="A177" s="840" t="s">
        <v>77</v>
      </c>
      <c r="B177" s="841"/>
      <c r="C177" s="333"/>
      <c r="D177" s="228" t="s">
        <v>142</v>
      </c>
      <c r="E177" s="95"/>
      <c r="F177" s="155"/>
      <c r="G177" s="155"/>
      <c r="H177" s="99">
        <f>G177+'12'!H177</f>
        <v>0</v>
      </c>
      <c r="I177" s="155"/>
      <c r="J177" s="178">
        <f>H177/DAY(B2)</f>
        <v>0</v>
      </c>
    </row>
    <row r="178" spans="1:15" ht="27.75" customHeight="1" x14ac:dyDescent="0.5">
      <c r="A178" s="840" t="s">
        <v>210</v>
      </c>
      <c r="B178" s="841"/>
      <c r="C178" s="333"/>
      <c r="D178" s="228" t="s">
        <v>142</v>
      </c>
      <c r="E178" s="95">
        <f>'12'!F178</f>
        <v>80355</v>
      </c>
      <c r="F178" s="155">
        <v>80376</v>
      </c>
      <c r="G178" s="155">
        <f>F178-E178</f>
        <v>21</v>
      </c>
      <c r="H178" s="99">
        <f>G178+'12'!H178</f>
        <v>762</v>
      </c>
      <c r="I178" s="155"/>
      <c r="J178" s="178">
        <f>H178/DAY(B2)</f>
        <v>58.615384615384613</v>
      </c>
    </row>
    <row r="179" spans="1:15" ht="27.75" customHeight="1" x14ac:dyDescent="0.5">
      <c r="A179" s="840" t="s">
        <v>211</v>
      </c>
      <c r="B179" s="841"/>
      <c r="C179" s="333"/>
      <c r="D179" s="228" t="s">
        <v>142</v>
      </c>
      <c r="E179" s="95">
        <f>'12'!F179</f>
        <v>34146</v>
      </c>
      <c r="F179" s="155">
        <v>34200</v>
      </c>
      <c r="G179" s="155">
        <f t="shared" ref="G179:G180" si="15">F179-E179</f>
        <v>54</v>
      </c>
      <c r="H179" s="99">
        <f>G179+'12'!H179</f>
        <v>285</v>
      </c>
      <c r="I179" s="155"/>
      <c r="J179" s="178">
        <f>H179/DAY(B2)</f>
        <v>21.923076923076923</v>
      </c>
    </row>
    <row r="180" spans="1:15" ht="27.75" customHeight="1" x14ac:dyDescent="0.5">
      <c r="A180" s="840" t="s">
        <v>212</v>
      </c>
      <c r="B180" s="841"/>
      <c r="C180" s="333"/>
      <c r="D180" s="228" t="s">
        <v>142</v>
      </c>
      <c r="E180" s="95">
        <f>'12'!F180</f>
        <v>5563</v>
      </c>
      <c r="F180" s="155">
        <v>5566</v>
      </c>
      <c r="G180" s="155">
        <f t="shared" si="15"/>
        <v>3</v>
      </c>
      <c r="H180" s="99">
        <f>G180+'12'!H180</f>
        <v>89</v>
      </c>
      <c r="I180" s="155"/>
      <c r="J180" s="178">
        <f>H180/DAY(B2)</f>
        <v>6.8461538461538458</v>
      </c>
    </row>
    <row r="181" spans="1:15" ht="27.75" customHeight="1" x14ac:dyDescent="0.5">
      <c r="A181" s="884" t="s">
        <v>108</v>
      </c>
      <c r="B181" s="885"/>
      <c r="C181" s="485"/>
      <c r="D181" s="228" t="s">
        <v>142</v>
      </c>
      <c r="E181" s="95"/>
      <c r="F181" s="155"/>
      <c r="G181" s="155">
        <f>SUM(G178:G180)</f>
        <v>78</v>
      </c>
      <c r="H181" s="99">
        <f>G181+'12'!H181</f>
        <v>1136</v>
      </c>
      <c r="I181" s="155"/>
      <c r="J181" s="178">
        <f>H181/DAY(B2)</f>
        <v>87.384615384615387</v>
      </c>
    </row>
    <row r="182" spans="1:15" ht="27.75" customHeight="1" x14ac:dyDescent="0.5">
      <c r="A182" s="840" t="s">
        <v>213</v>
      </c>
      <c r="B182" s="841"/>
      <c r="C182" s="333"/>
      <c r="D182" s="228" t="s">
        <v>142</v>
      </c>
      <c r="E182" s="95"/>
      <c r="F182" s="155"/>
      <c r="G182" s="155"/>
      <c r="H182" s="99">
        <f>G182+'12'!H182</f>
        <v>0</v>
      </c>
      <c r="I182" s="155"/>
      <c r="J182" s="178">
        <f>H182/DAY(B2)</f>
        <v>0</v>
      </c>
    </row>
    <row r="183" spans="1:15" ht="27.75" customHeight="1" x14ac:dyDescent="0.5">
      <c r="A183" s="840" t="s">
        <v>214</v>
      </c>
      <c r="B183" s="841"/>
      <c r="C183" s="334"/>
      <c r="D183" s="228" t="s">
        <v>142</v>
      </c>
      <c r="E183" s="95">
        <f>'12'!F183</f>
        <v>15101</v>
      </c>
      <c r="F183" s="157">
        <v>15108</v>
      </c>
      <c r="G183" s="157">
        <f>F183-E183</f>
        <v>7</v>
      </c>
      <c r="H183" s="99">
        <f>G183+'12'!H183</f>
        <v>161</v>
      </c>
      <c r="I183" s="155"/>
      <c r="J183" s="178">
        <f>H183/DAY(B2)</f>
        <v>12.384615384615385</v>
      </c>
    </row>
    <row r="184" spans="1:15" ht="27.75" customHeight="1" x14ac:dyDescent="0.5">
      <c r="A184" s="840" t="s">
        <v>215</v>
      </c>
      <c r="B184" s="841"/>
      <c r="C184" s="334"/>
      <c r="D184" s="228" t="s">
        <v>142</v>
      </c>
      <c r="E184" s="95">
        <f>'12'!F184</f>
        <v>10383</v>
      </c>
      <c r="F184" s="157">
        <v>10389</v>
      </c>
      <c r="G184" s="157">
        <f t="shared" ref="G184:G185" si="16">F184-E184</f>
        <v>6</v>
      </c>
      <c r="H184" s="99">
        <f>G184+'12'!H184</f>
        <v>88</v>
      </c>
      <c r="I184" s="155"/>
      <c r="J184" s="178">
        <f>H184/DAY(B2)</f>
        <v>6.7692307692307692</v>
      </c>
      <c r="O184" s="65" t="s">
        <v>366</v>
      </c>
    </row>
    <row r="185" spans="1:15" ht="27.75" customHeight="1" x14ac:dyDescent="0.5">
      <c r="A185" s="840" t="s">
        <v>216</v>
      </c>
      <c r="B185" s="841"/>
      <c r="C185" s="334"/>
      <c r="D185" s="228" t="s">
        <v>142</v>
      </c>
      <c r="E185" s="95">
        <f>'12'!F185</f>
        <v>0</v>
      </c>
      <c r="F185" s="157">
        <v>0</v>
      </c>
      <c r="G185" s="157">
        <f t="shared" si="16"/>
        <v>0</v>
      </c>
      <c r="H185" s="99">
        <f>G185+'12'!H185</f>
        <v>0</v>
      </c>
      <c r="I185" s="155"/>
      <c r="J185" s="178">
        <f>H185/DAY(B2)</f>
        <v>0</v>
      </c>
    </row>
    <row r="186" spans="1:15" ht="27.75" customHeight="1" x14ac:dyDescent="0.5">
      <c r="A186" s="879" t="s">
        <v>196</v>
      </c>
      <c r="B186" s="880"/>
      <c r="C186" s="484"/>
      <c r="D186" s="228" t="s">
        <v>142</v>
      </c>
      <c r="E186" s="95"/>
      <c r="F186" s="157"/>
      <c r="G186" s="157">
        <f>SUM(G183:G185)</f>
        <v>13</v>
      </c>
      <c r="H186" s="99">
        <f>G186+'12'!H186</f>
        <v>249</v>
      </c>
      <c r="I186" s="157"/>
      <c r="J186" s="178">
        <f>H186/DAY(B2)</f>
        <v>19.153846153846153</v>
      </c>
    </row>
    <row r="187" spans="1:15" ht="27.75" customHeight="1" x14ac:dyDescent="0.5">
      <c r="A187" s="888" t="s">
        <v>217</v>
      </c>
      <c r="B187" s="889"/>
      <c r="C187" s="333"/>
      <c r="D187" s="230" t="s">
        <v>142</v>
      </c>
      <c r="E187" s="95"/>
      <c r="F187" s="159"/>
      <c r="G187" s="462">
        <f>G62+G19</f>
        <v>107</v>
      </c>
      <c r="H187" s="99">
        <f>G187+'12'!H187</f>
        <v>1452</v>
      </c>
      <c r="I187" s="158"/>
      <c r="J187" s="179">
        <f>H187/DAY(B2)</f>
        <v>111.69230769230769</v>
      </c>
    </row>
    <row r="188" spans="1:15" ht="27.75" customHeight="1" x14ac:dyDescent="0.5">
      <c r="A188" s="888" t="s">
        <v>218</v>
      </c>
      <c r="B188" s="889"/>
      <c r="C188" s="333"/>
      <c r="D188" s="230" t="s">
        <v>142</v>
      </c>
      <c r="E188" s="95"/>
      <c r="F188" s="159"/>
      <c r="G188" s="462">
        <f>G65+G66+G67+G69+G70</f>
        <v>111</v>
      </c>
      <c r="H188" s="99">
        <f>G188+'12'!H188</f>
        <v>1695</v>
      </c>
      <c r="I188" s="158"/>
      <c r="J188" s="179">
        <f>H188/DAY(B2)</f>
        <v>130.38461538461539</v>
      </c>
    </row>
    <row r="189" spans="1:15" ht="27.75" customHeight="1" x14ac:dyDescent="0.5">
      <c r="A189" s="888" t="s">
        <v>219</v>
      </c>
      <c r="B189" s="889"/>
      <c r="C189" s="333"/>
      <c r="D189" s="230" t="s">
        <v>142</v>
      </c>
      <c r="E189" s="95"/>
      <c r="F189" s="157"/>
      <c r="G189" s="459">
        <f>G181</f>
        <v>78</v>
      </c>
      <c r="H189" s="99">
        <f>G189+'12'!H189</f>
        <v>1136</v>
      </c>
      <c r="I189" s="158"/>
      <c r="J189" s="179">
        <f>H189/DAY(B2)</f>
        <v>87.384615384615387</v>
      </c>
    </row>
    <row r="190" spans="1:15" ht="27.75" customHeight="1" x14ac:dyDescent="0.5">
      <c r="A190" s="811"/>
      <c r="B190" s="812"/>
      <c r="C190" s="483"/>
      <c r="D190" s="480"/>
      <c r="E190" s="480" t="s">
        <v>207</v>
      </c>
      <c r="F190" s="480"/>
      <c r="G190" s="480"/>
      <c r="H190" s="481"/>
      <c r="I190" s="480"/>
      <c r="J190" s="482"/>
    </row>
  </sheetData>
  <mergeCells count="115">
    <mergeCell ref="A135:B135"/>
    <mergeCell ref="A186:B186"/>
    <mergeCell ref="A187:B187"/>
    <mergeCell ref="A188:B188"/>
    <mergeCell ref="A189:B189"/>
    <mergeCell ref="A190:B190"/>
    <mergeCell ref="A174:B174"/>
    <mergeCell ref="A176:B176"/>
    <mergeCell ref="A177:B177"/>
    <mergeCell ref="A178:B178"/>
    <mergeCell ref="A179:B179"/>
    <mergeCell ref="A181:B181"/>
    <mergeCell ref="A182:B182"/>
    <mergeCell ref="A175:C175"/>
    <mergeCell ref="A183:B183"/>
    <mergeCell ref="A184:B184"/>
    <mergeCell ref="A180:B180"/>
    <mergeCell ref="A185:B185"/>
    <mergeCell ref="A167:B167"/>
    <mergeCell ref="A168:B168"/>
    <mergeCell ref="A171:J171"/>
    <mergeCell ref="A172:B172"/>
    <mergeCell ref="A173:B173"/>
    <mergeCell ref="A140:C140"/>
    <mergeCell ref="A141:C141"/>
    <mergeCell ref="A142:C142"/>
    <mergeCell ref="A160:J160"/>
    <mergeCell ref="A166:B166"/>
    <mergeCell ref="A150:C150"/>
    <mergeCell ref="A151:C151"/>
    <mergeCell ref="A152:C152"/>
    <mergeCell ref="A154:J154"/>
    <mergeCell ref="A155:C155"/>
    <mergeCell ref="A156:C156"/>
    <mergeCell ref="A153:B153"/>
    <mergeCell ref="A157:C157"/>
    <mergeCell ref="A158:C158"/>
    <mergeCell ref="A159:C159"/>
    <mergeCell ref="Q116:R116"/>
    <mergeCell ref="A105:C105"/>
    <mergeCell ref="A108:J108"/>
    <mergeCell ref="A110:J110"/>
    <mergeCell ref="A111:C111"/>
    <mergeCell ref="A112:C112"/>
    <mergeCell ref="A109:B109"/>
    <mergeCell ref="A121:C121"/>
    <mergeCell ref="A122:C122"/>
    <mergeCell ref="Q117:R117"/>
    <mergeCell ref="A118:C118"/>
    <mergeCell ref="Q118:R118"/>
    <mergeCell ref="A119:C119"/>
    <mergeCell ref="A120:C120"/>
    <mergeCell ref="A117:C117"/>
    <mergeCell ref="A63:C63"/>
    <mergeCell ref="A99:C99"/>
    <mergeCell ref="A100:C100"/>
    <mergeCell ref="A101:C101"/>
    <mergeCell ref="A103:C103"/>
    <mergeCell ref="A104:C104"/>
    <mergeCell ref="A71:C71"/>
    <mergeCell ref="A72:B72"/>
    <mergeCell ref="A78:C78"/>
    <mergeCell ref="A97:C97"/>
    <mergeCell ref="A98:C98"/>
    <mergeCell ref="A95:C95"/>
    <mergeCell ref="A81:C81"/>
    <mergeCell ref="A102:C102"/>
    <mergeCell ref="A123:C123"/>
    <mergeCell ref="A149:C149"/>
    <mergeCell ref="A143:C143"/>
    <mergeCell ref="A144:C144"/>
    <mergeCell ref="A145:C145"/>
    <mergeCell ref="A146:C146"/>
    <mergeCell ref="A147:C147"/>
    <mergeCell ref="A148:C148"/>
    <mergeCell ref="A113:C113"/>
    <mergeCell ref="A114:C114"/>
    <mergeCell ref="A115:C115"/>
    <mergeCell ref="A116:C116"/>
    <mergeCell ref="A124:C124"/>
    <mergeCell ref="A125:B125"/>
    <mergeCell ref="A126:J126"/>
    <mergeCell ref="A134:C134"/>
    <mergeCell ref="A136:J136"/>
    <mergeCell ref="A138:C138"/>
    <mergeCell ref="A139:C139"/>
    <mergeCell ref="A127:B127"/>
    <mergeCell ref="A128:C128"/>
    <mergeCell ref="A131:C131"/>
    <mergeCell ref="A132:C132"/>
    <mergeCell ref="A133:C133"/>
    <mergeCell ref="A1:J1"/>
    <mergeCell ref="A6:C6"/>
    <mergeCell ref="A14:C14"/>
    <mergeCell ref="A17:C17"/>
    <mergeCell ref="A18:C18"/>
    <mergeCell ref="A25:C25"/>
    <mergeCell ref="A96:C96"/>
    <mergeCell ref="A93:C93"/>
    <mergeCell ref="A94:C94"/>
    <mergeCell ref="A73:C73"/>
    <mergeCell ref="A74:C74"/>
    <mergeCell ref="E3:F3"/>
    <mergeCell ref="A75:C75"/>
    <mergeCell ref="A76:C76"/>
    <mergeCell ref="A77:C77"/>
    <mergeCell ref="A79:C79"/>
    <mergeCell ref="A80:C80"/>
    <mergeCell ref="A19:C19"/>
    <mergeCell ref="A21:C21"/>
    <mergeCell ref="A64:C64"/>
    <mergeCell ref="A65:C65"/>
    <mergeCell ref="A33:C33"/>
    <mergeCell ref="A61:C61"/>
    <mergeCell ref="A62:C62"/>
  </mergeCells>
  <pageMargins left="0.22" right="0.17" top="0.14000000000000001" bottom="0.2" header="0.2" footer="0.2"/>
  <pageSetup paperSize="5" scale="19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1:R190"/>
  <sheetViews>
    <sheetView view="pageBreakPreview" topLeftCell="A103" zoomScale="55" zoomScaleSheetLayoutView="55" workbookViewId="0">
      <selection activeCell="F24" sqref="F24"/>
    </sheetView>
  </sheetViews>
  <sheetFormatPr defaultColWidth="22.33203125" defaultRowHeight="27.75" customHeight="1" x14ac:dyDescent="0.5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6" width="30" style="160" customWidth="1"/>
    <col min="7" max="7" width="28.88671875" style="160" customWidth="1"/>
    <col min="8" max="8" width="39.21875" style="161" customWidth="1"/>
    <col min="9" max="9" width="23.5546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27.75" customHeight="1" x14ac:dyDescent="0.65">
      <c r="A1" s="821" t="s">
        <v>115</v>
      </c>
      <c r="B1" s="822"/>
      <c r="C1" s="822"/>
      <c r="D1" s="822"/>
      <c r="E1" s="822"/>
      <c r="F1" s="822"/>
      <c r="G1" s="822"/>
      <c r="H1" s="822"/>
      <c r="I1" s="822"/>
      <c r="J1" s="823"/>
    </row>
    <row r="2" spans="1:15" s="57" customFormat="1" ht="27.75" customHeight="1" x14ac:dyDescent="0.5">
      <c r="A2" s="191" t="s">
        <v>303</v>
      </c>
      <c r="B2" s="262">
        <v>44575</v>
      </c>
      <c r="C2" s="348" t="s">
        <v>67</v>
      </c>
      <c r="D2" s="218">
        <v>0.25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27.75" customHeight="1" x14ac:dyDescent="0.5">
      <c r="A3" s="189"/>
      <c r="B3" s="221"/>
      <c r="C3" s="348" t="s">
        <v>118</v>
      </c>
      <c r="D3" s="219">
        <v>21</v>
      </c>
      <c r="E3" s="830" t="s">
        <v>119</v>
      </c>
      <c r="F3" s="831"/>
      <c r="G3" s="101"/>
      <c r="H3" s="102"/>
      <c r="I3" s="102"/>
      <c r="J3" s="222"/>
      <c r="K3" s="61"/>
      <c r="L3" s="58"/>
    </row>
    <row r="4" spans="1:15" s="57" customFormat="1" ht="27.75" customHeight="1" x14ac:dyDescent="0.5">
      <c r="A4" s="192"/>
      <c r="B4" s="223"/>
      <c r="C4" s="348" t="s">
        <v>120</v>
      </c>
      <c r="D4" s="218">
        <v>0.68</v>
      </c>
      <c r="E4" s="103"/>
      <c r="F4" s="103"/>
      <c r="G4" s="103"/>
      <c r="H4" s="103"/>
      <c r="I4" s="104"/>
      <c r="J4" s="222"/>
      <c r="K4" s="62"/>
      <c r="L4" s="58"/>
    </row>
    <row r="5" spans="1:15" ht="27.75" customHeight="1" x14ac:dyDescent="0.4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5" ht="27.75" customHeight="1" x14ac:dyDescent="0.4">
      <c r="A6" s="824" t="s">
        <v>128</v>
      </c>
      <c r="B6" s="825"/>
      <c r="C6" s="826"/>
      <c r="D6" s="110"/>
      <c r="E6" s="110"/>
      <c r="F6" s="110"/>
      <c r="G6" s="110"/>
      <c r="H6" s="111"/>
      <c r="I6" s="111"/>
      <c r="J6" s="174"/>
      <c r="K6" s="78"/>
      <c r="L6" s="66"/>
    </row>
    <row r="7" spans="1:15" ht="27.75" customHeight="1" thickBot="1" x14ac:dyDescent="0.45">
      <c r="A7" s="194" t="s">
        <v>129</v>
      </c>
      <c r="B7" s="195"/>
      <c r="C7" s="195"/>
      <c r="D7" s="151" t="s">
        <v>130</v>
      </c>
      <c r="E7" s="95">
        <f>'13'!F7</f>
        <v>337195</v>
      </c>
      <c r="F7" s="95">
        <v>354423</v>
      </c>
      <c r="G7" s="112">
        <f>F7-E7</f>
        <v>17228</v>
      </c>
      <c r="H7" s="99">
        <f>G7+'13'!H7</f>
        <v>259862</v>
      </c>
      <c r="I7" s="113">
        <f>'1'!I7</f>
        <v>12000</v>
      </c>
      <c r="J7" s="175">
        <f>H7/DAY(B2)</f>
        <v>18561.571428571428</v>
      </c>
      <c r="K7" s="172">
        <v>1375467</v>
      </c>
      <c r="L7" s="66"/>
      <c r="N7" s="87"/>
      <c r="O7" s="71"/>
    </row>
    <row r="8" spans="1:15" ht="27.75" customHeight="1" thickBot="1" x14ac:dyDescent="0.45">
      <c r="A8" s="196" t="s">
        <v>131</v>
      </c>
      <c r="B8" s="197"/>
      <c r="C8" s="198"/>
      <c r="D8" s="224" t="s">
        <v>24</v>
      </c>
      <c r="E8" s="95">
        <f>'13'!F8</f>
        <v>388025</v>
      </c>
      <c r="F8" s="95">
        <v>405455</v>
      </c>
      <c r="G8" s="115">
        <f>F8-E8</f>
        <v>17430</v>
      </c>
      <c r="H8" s="99">
        <f>G8+'13'!H8</f>
        <v>264570</v>
      </c>
      <c r="I8" s="116"/>
      <c r="J8" s="175">
        <f>H8/DAY(B2)</f>
        <v>18897.857142857141</v>
      </c>
      <c r="K8" s="172">
        <v>1715917</v>
      </c>
      <c r="L8" s="76">
        <v>1728480</v>
      </c>
      <c r="M8" s="87">
        <f>L8-K8</f>
        <v>12563</v>
      </c>
      <c r="N8" s="87"/>
      <c r="O8" s="71"/>
    </row>
    <row r="9" spans="1:15" ht="27.75" customHeight="1" x14ac:dyDescent="0.4">
      <c r="A9" s="199" t="s">
        <v>132</v>
      </c>
      <c r="B9" s="200"/>
      <c r="C9" s="200"/>
      <c r="D9" s="151" t="s">
        <v>130</v>
      </c>
      <c r="E9" s="95">
        <f>'13'!F9</f>
        <v>54881</v>
      </c>
      <c r="F9" s="601">
        <v>65618</v>
      </c>
      <c r="G9" s="112">
        <f>F9-E9</f>
        <v>10737</v>
      </c>
      <c r="H9" s="99">
        <f>G9+'13'!H9</f>
        <v>164123</v>
      </c>
      <c r="I9" s="124">
        <f>I7-J7</f>
        <v>-6561.5714285714275</v>
      </c>
      <c r="J9" s="175">
        <f>H9/DAY(B2)</f>
        <v>11723.071428571429</v>
      </c>
      <c r="K9" s="79">
        <f>K8-100</f>
        <v>1715817</v>
      </c>
      <c r="L9" s="66"/>
      <c r="N9" s="87"/>
      <c r="O9" s="71"/>
    </row>
    <row r="10" spans="1:15" ht="27.75" customHeight="1" x14ac:dyDescent="0.4">
      <c r="A10" s="194" t="s">
        <v>133</v>
      </c>
      <c r="B10" s="195"/>
      <c r="C10" s="195"/>
      <c r="D10" s="151" t="s">
        <v>130</v>
      </c>
      <c r="E10" s="95">
        <f>'13'!F10</f>
        <v>27618</v>
      </c>
      <c r="F10" s="353">
        <v>33645</v>
      </c>
      <c r="G10" s="112">
        <f t="shared" ref="G10:G12" si="0">F10-E10</f>
        <v>6027</v>
      </c>
      <c r="H10" s="99">
        <f>G10+'13'!H10</f>
        <v>88551</v>
      </c>
      <c r="I10" s="282"/>
      <c r="J10" s="175">
        <f>H10/DAY(B2)</f>
        <v>6325.0714285714284</v>
      </c>
      <c r="K10" s="79"/>
      <c r="L10" s="66"/>
      <c r="N10" s="87"/>
      <c r="O10" s="71"/>
    </row>
    <row r="11" spans="1:15" ht="27.75" customHeight="1" x14ac:dyDescent="0.4">
      <c r="A11" s="194" t="s">
        <v>134</v>
      </c>
      <c r="B11" s="195"/>
      <c r="C11" s="195"/>
      <c r="D11" s="151" t="s">
        <v>130</v>
      </c>
      <c r="E11" s="95">
        <f>'13'!F11</f>
        <v>37000</v>
      </c>
      <c r="F11" s="95">
        <v>37000</v>
      </c>
      <c r="G11" s="112">
        <f t="shared" si="0"/>
        <v>0</v>
      </c>
      <c r="H11" s="99">
        <f>G11+'13'!H11</f>
        <v>0</v>
      </c>
      <c r="I11" s="282"/>
      <c r="J11" s="175">
        <f>H11/DAY(B2)</f>
        <v>0</v>
      </c>
      <c r="K11" s="79"/>
      <c r="L11" s="66"/>
      <c r="N11" s="87"/>
      <c r="O11" s="71"/>
    </row>
    <row r="12" spans="1:15" ht="27.75" customHeight="1" x14ac:dyDescent="0.4">
      <c r="A12" s="194" t="s">
        <v>135</v>
      </c>
      <c r="B12" s="195"/>
      <c r="C12" s="195"/>
      <c r="D12" s="151" t="s">
        <v>130</v>
      </c>
      <c r="E12" s="95">
        <f>'13'!F12</f>
        <v>40010</v>
      </c>
      <c r="F12" s="117">
        <v>40010</v>
      </c>
      <c r="G12" s="112">
        <f t="shared" si="0"/>
        <v>0</v>
      </c>
      <c r="H12" s="99">
        <f>G12+'13'!H12</f>
        <v>0</v>
      </c>
      <c r="I12" s="282"/>
      <c r="J12" s="175">
        <f>H12/DAY(B2)</f>
        <v>0</v>
      </c>
      <c r="K12" s="79"/>
      <c r="L12" s="66"/>
      <c r="N12" s="87"/>
      <c r="O12" s="71"/>
    </row>
    <row r="13" spans="1:15" ht="27.75" customHeight="1" x14ac:dyDescent="0.5">
      <c r="A13" s="201" t="s">
        <v>136</v>
      </c>
      <c r="B13" s="202"/>
      <c r="C13" s="202"/>
      <c r="D13" s="151"/>
      <c r="E13" s="95"/>
      <c r="F13" s="95"/>
      <c r="G13" s="119">
        <f>G9+G10+G11+G12</f>
        <v>16764</v>
      </c>
      <c r="H13" s="99">
        <f>G13+'13'!H13</f>
        <v>233208.74999999988</v>
      </c>
      <c r="I13" s="120">
        <f>G7-G13</f>
        <v>464</v>
      </c>
      <c r="J13" s="175">
        <f>H13/DAY(B2)</f>
        <v>16657.767857142848</v>
      </c>
      <c r="K13" s="79"/>
      <c r="L13" s="66"/>
      <c r="N13" s="87"/>
      <c r="O13" s="71"/>
    </row>
    <row r="14" spans="1:15" ht="27.75" customHeight="1" x14ac:dyDescent="0.5">
      <c r="A14" s="827" t="s">
        <v>137</v>
      </c>
      <c r="B14" s="828"/>
      <c r="C14" s="829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5" ht="27.75" customHeight="1" x14ac:dyDescent="0.5">
      <c r="A15" s="345" t="s">
        <v>138</v>
      </c>
      <c r="B15" s="205"/>
      <c r="C15" s="205"/>
      <c r="D15" s="151" t="s">
        <v>139</v>
      </c>
      <c r="E15" s="123">
        <v>1889890</v>
      </c>
      <c r="F15" s="123">
        <v>1890635</v>
      </c>
      <c r="G15" s="112">
        <f>(F15-E15)</f>
        <v>745</v>
      </c>
      <c r="H15" s="99">
        <f>G15+'13'!H15</f>
        <v>12205</v>
      </c>
      <c r="I15" s="113">
        <f>'1'!I15</f>
        <v>800</v>
      </c>
      <c r="J15" s="175">
        <f>H15/DAY(B2)</f>
        <v>871.78571428571433</v>
      </c>
      <c r="K15" s="79"/>
      <c r="L15" s="66"/>
      <c r="N15" s="87"/>
      <c r="O15" s="71"/>
    </row>
    <row r="16" spans="1:15" ht="27.75" customHeight="1" x14ac:dyDescent="0.4">
      <c r="A16" s="203"/>
      <c r="B16" s="204"/>
      <c r="C16" s="204"/>
      <c r="D16" s="152"/>
      <c r="E16" s="123"/>
      <c r="F16" s="123"/>
      <c r="G16" s="112"/>
      <c r="H16" s="124"/>
      <c r="I16" s="120">
        <f>I15-J15</f>
        <v>-71.785714285714334</v>
      </c>
      <c r="J16" s="176"/>
      <c r="K16" s="79"/>
      <c r="L16" s="66"/>
      <c r="N16" s="87"/>
      <c r="O16" s="71"/>
    </row>
    <row r="17" spans="1:15" ht="27.75" customHeight="1" x14ac:dyDescent="0.5">
      <c r="A17" s="827" t="s">
        <v>140</v>
      </c>
      <c r="B17" s="828"/>
      <c r="C17" s="829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5" ht="27.75" customHeight="1" x14ac:dyDescent="0.5">
      <c r="A18" s="818" t="s">
        <v>141</v>
      </c>
      <c r="B18" s="819"/>
      <c r="C18" s="820"/>
      <c r="D18" s="151" t="s">
        <v>142</v>
      </c>
      <c r="E18" s="95">
        <f>'13'!F18</f>
        <v>5</v>
      </c>
      <c r="F18" s="122">
        <v>6</v>
      </c>
      <c r="G18" s="119">
        <f>F18*10</f>
        <v>60</v>
      </c>
      <c r="H18" s="99">
        <f>G18+'13'!H18</f>
        <v>1560</v>
      </c>
      <c r="I18" s="113">
        <f>'1'!I18</f>
        <v>65</v>
      </c>
      <c r="J18" s="175">
        <f>H18/DAY(B2)</f>
        <v>111.42857142857143</v>
      </c>
      <c r="K18" s="79"/>
      <c r="L18" s="66"/>
      <c r="N18" s="87"/>
      <c r="O18" s="71"/>
    </row>
    <row r="19" spans="1:15" ht="27.75" customHeight="1" x14ac:dyDescent="0.5">
      <c r="A19" s="818" t="s">
        <v>69</v>
      </c>
      <c r="B19" s="819"/>
      <c r="C19" s="820"/>
      <c r="D19" s="151" t="s">
        <v>142</v>
      </c>
      <c r="E19" s="95">
        <f>'13'!F19</f>
        <v>152908</v>
      </c>
      <c r="F19" s="122">
        <v>152962</v>
      </c>
      <c r="G19" s="112">
        <f t="shared" ref="G19" si="1">F19-E19</f>
        <v>54</v>
      </c>
      <c r="H19" s="99">
        <f>G19+'13'!H19</f>
        <v>737</v>
      </c>
      <c r="I19" s="335"/>
      <c r="J19" s="175">
        <f>H19/DAY(B2)</f>
        <v>52.642857142857146</v>
      </c>
      <c r="K19" s="79"/>
      <c r="L19" s="66"/>
      <c r="N19" s="87"/>
      <c r="O19" s="71"/>
    </row>
    <row r="20" spans="1:15" ht="27.75" customHeight="1" x14ac:dyDescent="0.5">
      <c r="A20" s="201" t="s">
        <v>143</v>
      </c>
      <c r="B20" s="202"/>
      <c r="C20" s="202"/>
      <c r="D20" s="126"/>
      <c r="E20" s="126"/>
      <c r="F20" s="126"/>
      <c r="G20" s="127">
        <f>G18+G19</f>
        <v>114</v>
      </c>
      <c r="H20" s="99">
        <f>G20+'13'!H20</f>
        <v>2297</v>
      </c>
      <c r="I20" s="336">
        <f>I18-J20</f>
        <v>-99.071428571428584</v>
      </c>
      <c r="J20" s="175">
        <f>H20/DAY(B2)</f>
        <v>164.07142857142858</v>
      </c>
      <c r="K20" s="79"/>
      <c r="L20" s="66"/>
      <c r="N20" s="87"/>
      <c r="O20" s="71"/>
    </row>
    <row r="21" spans="1:15" ht="27.75" customHeight="1" x14ac:dyDescent="0.5">
      <c r="A21" s="827" t="s">
        <v>144</v>
      </c>
      <c r="B21" s="828"/>
      <c r="C21" s="829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5" ht="27.75" customHeight="1" x14ac:dyDescent="0.5">
      <c r="A22" s="345" t="s">
        <v>145</v>
      </c>
      <c r="B22" s="205"/>
      <c r="C22" s="205"/>
      <c r="D22" s="151" t="s">
        <v>146</v>
      </c>
      <c r="E22" s="95">
        <f>'13'!F22</f>
        <v>2970</v>
      </c>
      <c r="F22" s="122">
        <v>2970</v>
      </c>
      <c r="G22" s="119">
        <f t="shared" ref="G22" si="2">(F22-E22)</f>
        <v>0</v>
      </c>
      <c r="H22" s="99">
        <f>G22+'13'!H22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27.75" customHeight="1" x14ac:dyDescent="0.5">
      <c r="A23" s="345" t="s">
        <v>147</v>
      </c>
      <c r="B23" s="205"/>
      <c r="C23" s="205"/>
      <c r="D23" s="151" t="s">
        <v>146</v>
      </c>
      <c r="E23" s="95">
        <f>'13'!F23</f>
        <v>1500</v>
      </c>
      <c r="F23" s="122">
        <v>1500</v>
      </c>
      <c r="G23" s="119">
        <v>0</v>
      </c>
      <c r="H23" s="99">
        <f>G23+'13'!H23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5" ht="27.75" customHeight="1" x14ac:dyDescent="0.4">
      <c r="A24" s="206" t="s">
        <v>148</v>
      </c>
      <c r="B24" s="207"/>
      <c r="C24" s="207"/>
      <c r="D24" s="146" t="s">
        <v>146</v>
      </c>
      <c r="E24" s="95">
        <f>'13'!F24</f>
        <v>4970</v>
      </c>
      <c r="F24" s="128">
        <v>4970</v>
      </c>
      <c r="G24" s="119">
        <v>0</v>
      </c>
      <c r="H24" s="99">
        <f>G24+'13'!H24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5" s="88" customFormat="1" ht="27.75" customHeight="1" x14ac:dyDescent="0.35">
      <c r="A25" s="832" t="s">
        <v>149</v>
      </c>
      <c r="B25" s="833"/>
      <c r="C25" s="834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5" s="88" customFormat="1" ht="27.75" customHeight="1" x14ac:dyDescent="0.5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/>
      <c r="I26" s="134"/>
      <c r="J26" s="175"/>
      <c r="K26" s="64"/>
      <c r="L26" s="89"/>
      <c r="N26" s="87"/>
      <c r="O26" s="71"/>
    </row>
    <row r="27" spans="1:15" s="88" customFormat="1" ht="27.75" customHeight="1" x14ac:dyDescent="0.5">
      <c r="A27" s="208" t="s">
        <v>5</v>
      </c>
      <c r="B27" s="209"/>
      <c r="C27" s="210"/>
      <c r="D27" s="226" t="s">
        <v>24</v>
      </c>
      <c r="E27" s="135">
        <f>G8</f>
        <v>17430</v>
      </c>
      <c r="F27" s="136">
        <v>9</v>
      </c>
      <c r="G27" s="137">
        <f>E27*F27</f>
        <v>156870</v>
      </c>
      <c r="H27" s="99">
        <f>G27+'13'!H27</f>
        <v>2381130</v>
      </c>
      <c r="I27" s="138"/>
      <c r="J27" s="175">
        <f>H27/DAY(B2)</f>
        <v>170080.71428571429</v>
      </c>
      <c r="K27" s="63"/>
      <c r="L27" s="89"/>
      <c r="N27" s="87"/>
      <c r="O27" s="71"/>
    </row>
    <row r="28" spans="1:15" s="88" customFormat="1" ht="27.75" customHeight="1" x14ac:dyDescent="0.5">
      <c r="A28" s="208" t="s">
        <v>152</v>
      </c>
      <c r="B28" s="209"/>
      <c r="C28" s="210"/>
      <c r="D28" s="226" t="s">
        <v>153</v>
      </c>
      <c r="E28" s="139">
        <f>G15</f>
        <v>745</v>
      </c>
      <c r="F28" s="136">
        <v>52</v>
      </c>
      <c r="G28" s="137">
        <f>E28*F28</f>
        <v>38740</v>
      </c>
      <c r="H28" s="99">
        <f>G28+'13'!H28</f>
        <v>634660</v>
      </c>
      <c r="I28" s="140"/>
      <c r="J28" s="175">
        <f>H28/DAY(B2)</f>
        <v>45332.857142857145</v>
      </c>
      <c r="K28" s="63"/>
      <c r="L28" s="89"/>
      <c r="N28" s="87"/>
      <c r="O28" s="71"/>
    </row>
    <row r="29" spans="1:15" s="88" customFormat="1" ht="27.75" customHeight="1" x14ac:dyDescent="0.5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>E29*F29</f>
        <v>0</v>
      </c>
      <c r="H29" s="99">
        <f>G29+'13'!H29</f>
        <v>0</v>
      </c>
      <c r="I29" s="140"/>
      <c r="J29" s="175">
        <f>H29/DAY(B2)</f>
        <v>0</v>
      </c>
      <c r="K29" s="63"/>
      <c r="L29" s="89"/>
      <c r="N29" s="87"/>
      <c r="O29" s="71"/>
    </row>
    <row r="30" spans="1:15" s="88" customFormat="1" ht="27.75" customHeight="1" x14ac:dyDescent="0.5">
      <c r="A30" s="208" t="s">
        <v>156</v>
      </c>
      <c r="B30" s="209"/>
      <c r="C30" s="210"/>
      <c r="D30" s="226" t="s">
        <v>157</v>
      </c>
      <c r="E30" s="141">
        <f>G19</f>
        <v>54</v>
      </c>
      <c r="F30" s="136">
        <v>146</v>
      </c>
      <c r="G30" s="137">
        <f>E30*F30</f>
        <v>7884</v>
      </c>
      <c r="H30" s="99">
        <f>G30+'13'!H30</f>
        <v>107602</v>
      </c>
      <c r="I30" s="140"/>
      <c r="J30" s="175">
        <f>H30/DAY(B2)</f>
        <v>7685.8571428571431</v>
      </c>
      <c r="K30" s="63"/>
      <c r="L30" s="89"/>
      <c r="N30" s="87"/>
      <c r="O30" s="71"/>
    </row>
    <row r="31" spans="1:15" s="88" customFormat="1" ht="27.75" customHeight="1" x14ac:dyDescent="0.5">
      <c r="A31" s="208" t="s">
        <v>158</v>
      </c>
      <c r="B31" s="209"/>
      <c r="C31" s="210"/>
      <c r="D31" s="226" t="s">
        <v>142</v>
      </c>
      <c r="E31" s="141">
        <f>G18</f>
        <v>60</v>
      </c>
      <c r="F31" s="136">
        <v>80</v>
      </c>
      <c r="G31" s="137">
        <f>E31*F31</f>
        <v>4800</v>
      </c>
      <c r="H31" s="99">
        <f>G31+'13'!H31</f>
        <v>124800</v>
      </c>
      <c r="I31" s="140"/>
      <c r="J31" s="175">
        <f>H31/DAY(B2)</f>
        <v>8914.2857142857138</v>
      </c>
      <c r="K31" s="63"/>
      <c r="L31" s="89"/>
      <c r="N31" s="87"/>
      <c r="O31" s="71"/>
    </row>
    <row r="32" spans="1:15" s="88" customFormat="1" ht="27.75" customHeight="1" x14ac:dyDescent="0.5">
      <c r="A32" s="211" t="s">
        <v>159</v>
      </c>
      <c r="B32" s="212"/>
      <c r="C32" s="213"/>
      <c r="D32" s="142"/>
      <c r="E32" s="142"/>
      <c r="F32" s="142"/>
      <c r="G32" s="143">
        <f>G27+G28+G29+G30+G31</f>
        <v>208294</v>
      </c>
      <c r="H32" s="99">
        <f>G32+'13'!H32</f>
        <v>3248192</v>
      </c>
      <c r="I32" s="144"/>
      <c r="J32" s="175">
        <f>H32/DAY(B2)</f>
        <v>232013.71428571429</v>
      </c>
      <c r="K32" s="63"/>
      <c r="L32" s="89"/>
      <c r="N32" s="87"/>
      <c r="O32" s="71"/>
    </row>
    <row r="33" spans="1:15" ht="27.75" customHeight="1" x14ac:dyDescent="0.35">
      <c r="A33" s="835" t="s">
        <v>331</v>
      </c>
      <c r="B33" s="836"/>
      <c r="C33" s="836"/>
      <c r="D33" s="337"/>
      <c r="E33" s="337"/>
      <c r="F33" s="337"/>
      <c r="G33" s="337"/>
      <c r="H33" s="337"/>
      <c r="I33" s="337"/>
      <c r="J33" s="338"/>
      <c r="K33" s="79"/>
      <c r="L33" s="66"/>
      <c r="N33" s="87"/>
      <c r="O33" s="71"/>
    </row>
    <row r="34" spans="1:15" ht="27.75" customHeight="1" x14ac:dyDescent="0.5">
      <c r="A34" s="214" t="s">
        <v>160</v>
      </c>
      <c r="B34" s="349"/>
      <c r="C34" s="349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27.75" customHeight="1" x14ac:dyDescent="0.4">
      <c r="A35" s="194" t="s">
        <v>161</v>
      </c>
      <c r="B35" s="195"/>
      <c r="C35" s="195"/>
      <c r="D35" s="151" t="s">
        <v>130</v>
      </c>
      <c r="E35" s="95">
        <f>'13'!F35</f>
        <v>7841</v>
      </c>
      <c r="F35" s="145">
        <v>9204</v>
      </c>
      <c r="G35" s="112">
        <f t="shared" ref="G35:G46" si="3">F35-E35</f>
        <v>1363</v>
      </c>
      <c r="H35" s="99">
        <f>G35+'13'!H35</f>
        <v>24404</v>
      </c>
      <c r="I35" s="95"/>
      <c r="J35" s="175">
        <f>H35/DAY(B2)</f>
        <v>1743.1428571428571</v>
      </c>
      <c r="K35" s="79"/>
      <c r="L35" s="66"/>
      <c r="N35" s="87"/>
      <c r="O35" s="71"/>
    </row>
    <row r="36" spans="1:15" ht="27.75" customHeight="1" x14ac:dyDescent="0.4">
      <c r="A36" s="194" t="s">
        <v>162</v>
      </c>
      <c r="B36" s="195"/>
      <c r="C36" s="195"/>
      <c r="D36" s="151" t="s">
        <v>130</v>
      </c>
      <c r="E36" s="95">
        <f>'13'!F36</f>
        <v>31094</v>
      </c>
      <c r="F36" s="145">
        <v>31721</v>
      </c>
      <c r="G36" s="112">
        <f t="shared" si="3"/>
        <v>627</v>
      </c>
      <c r="H36" s="99">
        <f>G36+'13'!H36</f>
        <v>10194</v>
      </c>
      <c r="I36" s="95"/>
      <c r="J36" s="175">
        <f>H36/DAY(B2)</f>
        <v>728.14285714285711</v>
      </c>
      <c r="K36" s="79"/>
      <c r="L36" s="66"/>
      <c r="N36" s="87"/>
      <c r="O36" s="344"/>
    </row>
    <row r="37" spans="1:15" ht="27.75" customHeight="1" x14ac:dyDescent="0.4">
      <c r="A37" s="194" t="s">
        <v>163</v>
      </c>
      <c r="B37" s="195"/>
      <c r="C37" s="195"/>
      <c r="D37" s="151" t="s">
        <v>130</v>
      </c>
      <c r="E37" s="95">
        <f>'13'!F37</f>
        <v>7321</v>
      </c>
      <c r="F37" s="145">
        <v>8830</v>
      </c>
      <c r="G37" s="112">
        <f t="shared" si="3"/>
        <v>1509</v>
      </c>
      <c r="H37" s="99">
        <f>G37+'13'!H37</f>
        <v>21042</v>
      </c>
      <c r="I37" s="95"/>
      <c r="J37" s="175">
        <f>H37/DAY(B2)</f>
        <v>1503</v>
      </c>
      <c r="K37" s="79"/>
      <c r="L37" s="66"/>
      <c r="N37" s="87"/>
      <c r="O37" s="234"/>
    </row>
    <row r="38" spans="1:15" ht="27.75" customHeight="1" x14ac:dyDescent="0.4">
      <c r="A38" s="194" t="s">
        <v>164</v>
      </c>
      <c r="B38" s="195"/>
      <c r="C38" s="195"/>
      <c r="D38" s="151" t="s">
        <v>130</v>
      </c>
      <c r="E38" s="95">
        <f>'13'!F38</f>
        <v>7720</v>
      </c>
      <c r="F38" s="108">
        <v>9552</v>
      </c>
      <c r="G38" s="112">
        <f t="shared" si="3"/>
        <v>1832</v>
      </c>
      <c r="H38" s="99">
        <f>G38+'13'!H38</f>
        <v>22752</v>
      </c>
      <c r="I38" s="95"/>
      <c r="J38" s="175">
        <f>H38/DAY(B2)</f>
        <v>1625.1428571428571</v>
      </c>
      <c r="K38" s="79"/>
      <c r="L38" s="66"/>
      <c r="N38" s="87"/>
      <c r="O38" s="71"/>
    </row>
    <row r="39" spans="1:15" ht="27.75" customHeight="1" x14ac:dyDescent="0.4">
      <c r="A39" s="194" t="s">
        <v>165</v>
      </c>
      <c r="B39" s="195"/>
      <c r="C39" s="195"/>
      <c r="D39" s="151" t="s">
        <v>130</v>
      </c>
      <c r="E39" s="95">
        <f>'13'!F39</f>
        <v>12520</v>
      </c>
      <c r="F39" s="145">
        <v>15015</v>
      </c>
      <c r="G39" s="112">
        <f t="shared" si="3"/>
        <v>2495</v>
      </c>
      <c r="H39" s="99">
        <f>G39+'13'!H39</f>
        <v>36697</v>
      </c>
      <c r="I39" s="95"/>
      <c r="J39" s="175">
        <f>H39/DAY(B2)</f>
        <v>2621.2142857142858</v>
      </c>
      <c r="K39" s="79"/>
      <c r="L39" s="66"/>
      <c r="N39" s="87"/>
      <c r="O39" s="71"/>
    </row>
    <row r="40" spans="1:15" ht="27.75" customHeight="1" x14ac:dyDescent="0.4">
      <c r="A40" s="215" t="s">
        <v>166</v>
      </c>
      <c r="B40" s="216"/>
      <c r="C40" s="216"/>
      <c r="D40" s="151" t="s">
        <v>130</v>
      </c>
      <c r="E40" s="95">
        <f>'13'!F40</f>
        <v>11405</v>
      </c>
      <c r="F40" s="145">
        <v>12011</v>
      </c>
      <c r="G40" s="112">
        <f t="shared" si="3"/>
        <v>606</v>
      </c>
      <c r="H40" s="99">
        <f>G40+'13'!H40</f>
        <v>6401</v>
      </c>
      <c r="I40" s="95"/>
      <c r="J40" s="175">
        <f>H40/DAY(B2)</f>
        <v>457.21428571428572</v>
      </c>
      <c r="K40" s="80"/>
      <c r="L40" s="66"/>
      <c r="N40" s="87"/>
      <c r="O40" s="71"/>
    </row>
    <row r="41" spans="1:15" ht="27.75" customHeight="1" x14ac:dyDescent="0.4">
      <c r="A41" s="194" t="s">
        <v>167</v>
      </c>
      <c r="B41" s="195"/>
      <c r="C41" s="195"/>
      <c r="D41" s="151" t="s">
        <v>130</v>
      </c>
      <c r="E41" s="95">
        <f>'13'!F41</f>
        <v>0</v>
      </c>
      <c r="F41" s="145">
        <v>0</v>
      </c>
      <c r="G41" s="112">
        <f t="shared" si="3"/>
        <v>0</v>
      </c>
      <c r="H41" s="99">
        <f>G41+'13'!H41</f>
        <v>0</v>
      </c>
      <c r="I41" s="95"/>
      <c r="J41" s="175">
        <f>H41/DAY(B2)</f>
        <v>0</v>
      </c>
      <c r="K41" s="79"/>
      <c r="L41" s="66"/>
      <c r="N41" s="87"/>
      <c r="O41" s="71"/>
    </row>
    <row r="42" spans="1:15" ht="27.75" customHeight="1" x14ac:dyDescent="0.4">
      <c r="A42" s="194" t="s">
        <v>168</v>
      </c>
      <c r="B42" s="195"/>
      <c r="C42" s="195"/>
      <c r="D42" s="151" t="s">
        <v>130</v>
      </c>
      <c r="E42" s="145">
        <v>73809</v>
      </c>
      <c r="F42" s="145">
        <v>73809</v>
      </c>
      <c r="G42" s="112">
        <f t="shared" si="3"/>
        <v>0</v>
      </c>
      <c r="H42" s="99">
        <f>G42+'13'!H42</f>
        <v>0</v>
      </c>
      <c r="I42" s="95"/>
      <c r="J42" s="175">
        <f>H42/DAY(B2)</f>
        <v>0</v>
      </c>
      <c r="K42" s="79"/>
      <c r="L42" s="66"/>
      <c r="N42" s="87"/>
      <c r="O42" s="71"/>
    </row>
    <row r="43" spans="1:15" ht="27.75" customHeight="1" x14ac:dyDescent="0.4">
      <c r="A43" s="194" t="s">
        <v>169</v>
      </c>
      <c r="B43" s="195"/>
      <c r="C43" s="195"/>
      <c r="D43" s="151" t="s">
        <v>130</v>
      </c>
      <c r="E43" s="145">
        <v>76729</v>
      </c>
      <c r="F43" s="145">
        <v>78740</v>
      </c>
      <c r="G43" s="112">
        <f t="shared" si="3"/>
        <v>2011</v>
      </c>
      <c r="H43" s="99">
        <f>G43+'13'!H43</f>
        <v>31479</v>
      </c>
      <c r="I43" s="95"/>
      <c r="J43" s="175">
        <f>H43/DAY(B2)</f>
        <v>2248.5</v>
      </c>
      <c r="K43" s="79"/>
      <c r="L43" s="66"/>
      <c r="N43" s="87"/>
      <c r="O43" s="71"/>
    </row>
    <row r="44" spans="1:15" ht="27.75" customHeight="1" x14ac:dyDescent="0.4">
      <c r="A44" s="194" t="s">
        <v>170</v>
      </c>
      <c r="B44" s="195"/>
      <c r="C44" s="195"/>
      <c r="D44" s="151" t="s">
        <v>130</v>
      </c>
      <c r="E44" s="95">
        <f>'13'!F44</f>
        <v>0</v>
      </c>
      <c r="F44" s="145">
        <v>0</v>
      </c>
      <c r="G44" s="112">
        <f t="shared" si="3"/>
        <v>0</v>
      </c>
      <c r="H44" s="99">
        <f>G44+'13'!H44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27.75" customHeight="1" x14ac:dyDescent="0.4">
      <c r="A45" s="194" t="s">
        <v>171</v>
      </c>
      <c r="B45" s="195"/>
      <c r="C45" s="195"/>
      <c r="D45" s="151" t="s">
        <v>130</v>
      </c>
      <c r="E45" s="95">
        <f>'13'!F45</f>
        <v>0</v>
      </c>
      <c r="F45" s="145">
        <v>0</v>
      </c>
      <c r="G45" s="112">
        <f t="shared" si="3"/>
        <v>0</v>
      </c>
      <c r="H45" s="99">
        <f>G45+'13'!H45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27.75" customHeight="1" x14ac:dyDescent="0.4">
      <c r="A46" s="194" t="s">
        <v>172</v>
      </c>
      <c r="B46" s="195"/>
      <c r="C46" s="195"/>
      <c r="D46" s="151" t="s">
        <v>130</v>
      </c>
      <c r="E46" s="95">
        <f>'13'!F46</f>
        <v>0</v>
      </c>
      <c r="F46" s="145">
        <v>0</v>
      </c>
      <c r="G46" s="112">
        <f t="shared" si="3"/>
        <v>0</v>
      </c>
      <c r="H46" s="99">
        <f>G46+'13'!H46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27.75" customHeight="1" x14ac:dyDescent="0.5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10443</v>
      </c>
      <c r="H47" s="99">
        <f>G47+'13'!H47</f>
        <v>152969</v>
      </c>
      <c r="I47" s="95"/>
      <c r="J47" s="175">
        <f>H47/DAY(B2)</f>
        <v>10926.357142857143</v>
      </c>
      <c r="K47" s="79"/>
      <c r="L47" s="66"/>
      <c r="N47" s="87"/>
      <c r="O47" s="71"/>
    </row>
    <row r="48" spans="1:15" ht="27.75" customHeight="1" x14ac:dyDescent="0.5">
      <c r="A48" s="214" t="s">
        <v>174</v>
      </c>
      <c r="B48" s="349"/>
      <c r="C48" s="349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27.75" customHeight="1" x14ac:dyDescent="0.4">
      <c r="A49" s="194" t="s">
        <v>161</v>
      </c>
      <c r="B49" s="217"/>
      <c r="C49" s="217"/>
      <c r="D49" s="151" t="s">
        <v>130</v>
      </c>
      <c r="E49" s="95">
        <f>'13'!F49</f>
        <v>6205</v>
      </c>
      <c r="F49" s="145">
        <v>7406</v>
      </c>
      <c r="G49" s="112">
        <f t="shared" ref="G49:G58" si="4">F49-E49</f>
        <v>1201</v>
      </c>
      <c r="H49" s="99">
        <f>G49+'13'!H49</f>
        <v>20527</v>
      </c>
      <c r="I49" s="95"/>
      <c r="J49" s="175">
        <f>H49/DAY(B2)</f>
        <v>1466.2142857142858</v>
      </c>
      <c r="K49" s="79"/>
      <c r="L49" s="66"/>
      <c r="N49" s="87"/>
      <c r="O49" s="71"/>
    </row>
    <row r="50" spans="1:15" ht="27.75" customHeight="1" x14ac:dyDescent="0.4">
      <c r="A50" s="194" t="s">
        <v>175</v>
      </c>
      <c r="B50" s="217"/>
      <c r="C50" s="217"/>
      <c r="D50" s="151" t="s">
        <v>130</v>
      </c>
      <c r="E50" s="95">
        <f>'13'!F50</f>
        <v>37654</v>
      </c>
      <c r="F50" s="145">
        <v>38515</v>
      </c>
      <c r="G50" s="112">
        <f t="shared" si="4"/>
        <v>861</v>
      </c>
      <c r="H50" s="99">
        <f>G50+'13'!H50</f>
        <v>13865</v>
      </c>
      <c r="I50" s="95"/>
      <c r="J50" s="175">
        <f>H50/DAY(B2)</f>
        <v>990.35714285714289</v>
      </c>
      <c r="K50" s="79"/>
      <c r="L50" s="66"/>
      <c r="N50" s="87"/>
      <c r="O50" s="71"/>
    </row>
    <row r="51" spans="1:15" ht="27.75" customHeight="1" x14ac:dyDescent="0.4">
      <c r="A51" s="194" t="s">
        <v>163</v>
      </c>
      <c r="B51" s="217"/>
      <c r="C51" s="217"/>
      <c r="D51" s="151" t="s">
        <v>130</v>
      </c>
      <c r="E51" s="95">
        <f>'13'!F51</f>
        <v>0</v>
      </c>
      <c r="F51" s="145">
        <v>0</v>
      </c>
      <c r="G51" s="112">
        <f t="shared" si="4"/>
        <v>0</v>
      </c>
      <c r="H51" s="99">
        <f>G51+'13'!H51</f>
        <v>0</v>
      </c>
      <c r="I51" s="95"/>
      <c r="J51" s="175">
        <f>H51/DAY(B2)</f>
        <v>0</v>
      </c>
      <c r="K51" s="79"/>
      <c r="L51" s="66"/>
      <c r="N51" s="87"/>
      <c r="O51" s="71"/>
    </row>
    <row r="52" spans="1:15" ht="27.75" customHeight="1" x14ac:dyDescent="0.4">
      <c r="A52" s="194" t="s">
        <v>176</v>
      </c>
      <c r="B52" s="217"/>
      <c r="C52" s="217"/>
      <c r="D52" s="151" t="s">
        <v>130</v>
      </c>
      <c r="E52" s="95">
        <f>'13'!F52</f>
        <v>0</v>
      </c>
      <c r="F52" s="145">
        <v>0</v>
      </c>
      <c r="G52" s="112">
        <f t="shared" si="4"/>
        <v>0</v>
      </c>
      <c r="H52" s="99">
        <f>G52+'13'!H52</f>
        <v>0</v>
      </c>
      <c r="I52" s="95"/>
      <c r="J52" s="175">
        <f>H52/DAY(B2)</f>
        <v>0</v>
      </c>
      <c r="K52" s="79"/>
      <c r="L52" s="66"/>
      <c r="N52" s="87"/>
      <c r="O52" s="71"/>
    </row>
    <row r="53" spans="1:15" ht="27.75" customHeight="1" x14ac:dyDescent="0.4">
      <c r="A53" s="194" t="s">
        <v>165</v>
      </c>
      <c r="B53" s="217"/>
      <c r="C53" s="217"/>
      <c r="D53" s="151" t="s">
        <v>130</v>
      </c>
      <c r="E53" s="95">
        <f>'13'!F53</f>
        <v>0</v>
      </c>
      <c r="F53" s="145">
        <v>0</v>
      </c>
      <c r="G53" s="112">
        <f t="shared" si="4"/>
        <v>0</v>
      </c>
      <c r="H53" s="99">
        <f>G53+'13'!H53</f>
        <v>0</v>
      </c>
      <c r="I53" s="95"/>
      <c r="J53" s="175">
        <f>H53/DAY(B2)</f>
        <v>0</v>
      </c>
      <c r="K53" s="79"/>
      <c r="L53" s="66"/>
      <c r="N53" s="87"/>
      <c r="O53" s="71"/>
    </row>
    <row r="54" spans="1:15" ht="27.75" customHeight="1" x14ac:dyDescent="0.4">
      <c r="A54" s="194" t="s">
        <v>177</v>
      </c>
      <c r="B54" s="217"/>
      <c r="C54" s="217"/>
      <c r="D54" s="151" t="s">
        <v>130</v>
      </c>
      <c r="E54" s="95">
        <f>'13'!F54</f>
        <v>2668</v>
      </c>
      <c r="F54" s="145">
        <v>3141</v>
      </c>
      <c r="G54" s="112">
        <f t="shared" si="4"/>
        <v>473</v>
      </c>
      <c r="H54" s="99">
        <f>G54+'13'!H54</f>
        <v>4908.08</v>
      </c>
      <c r="I54" s="95"/>
      <c r="J54" s="175">
        <f>H54/DAY(B2)</f>
        <v>350.57714285714286</v>
      </c>
      <c r="K54" s="79"/>
      <c r="L54" s="66"/>
      <c r="N54" s="87"/>
      <c r="O54" s="71"/>
    </row>
    <row r="55" spans="1:15" ht="27.75" customHeight="1" x14ac:dyDescent="0.4">
      <c r="A55" s="194" t="s">
        <v>178</v>
      </c>
      <c r="B55" s="217"/>
      <c r="C55" s="217"/>
      <c r="D55" s="151" t="s">
        <v>130</v>
      </c>
      <c r="E55" s="95">
        <f>'13'!F55</f>
        <v>42570</v>
      </c>
      <c r="F55" s="145">
        <v>45702</v>
      </c>
      <c r="G55" s="112">
        <f t="shared" si="4"/>
        <v>3132</v>
      </c>
      <c r="H55" s="99">
        <f>G55+'13'!H55</f>
        <v>42191</v>
      </c>
      <c r="I55" s="95"/>
      <c r="J55" s="175">
        <f>H55/DAY(B2)</f>
        <v>3013.6428571428573</v>
      </c>
      <c r="K55" s="79"/>
      <c r="L55" s="66"/>
      <c r="N55" s="87"/>
      <c r="O55" s="71"/>
    </row>
    <row r="56" spans="1:15" ht="27.75" customHeight="1" x14ac:dyDescent="0.4">
      <c r="A56" s="194" t="s">
        <v>179</v>
      </c>
      <c r="B56" s="217"/>
      <c r="C56" s="217"/>
      <c r="D56" s="151" t="s">
        <v>180</v>
      </c>
      <c r="E56" s="95">
        <f>'13'!F56</f>
        <v>8611</v>
      </c>
      <c r="F56" s="145">
        <v>8611</v>
      </c>
      <c r="G56" s="112">
        <f t="shared" si="4"/>
        <v>0</v>
      </c>
      <c r="H56" s="99">
        <f>G56+'13'!H56</f>
        <v>0.45999999999912689</v>
      </c>
      <c r="I56" s="95"/>
      <c r="J56" s="175">
        <f>H56/DAY(B2)</f>
        <v>3.2857142857080489E-2</v>
      </c>
      <c r="K56" s="78"/>
      <c r="L56" s="66"/>
      <c r="N56" s="87"/>
      <c r="O56" s="71"/>
    </row>
    <row r="57" spans="1:15" ht="27.75" customHeight="1" x14ac:dyDescent="0.4">
      <c r="A57" s="194" t="s">
        <v>169</v>
      </c>
      <c r="B57" s="217"/>
      <c r="C57" s="217"/>
      <c r="D57" s="151" t="s">
        <v>130</v>
      </c>
      <c r="E57" s="95">
        <f>'13'!F57</f>
        <v>0</v>
      </c>
      <c r="F57" s="145">
        <v>0</v>
      </c>
      <c r="G57" s="112">
        <f t="shared" si="4"/>
        <v>0</v>
      </c>
      <c r="H57" s="99">
        <f>G57+'13'!H57</f>
        <v>0</v>
      </c>
      <c r="I57" s="95"/>
      <c r="J57" s="175">
        <f>H57/DAY(B2)</f>
        <v>0</v>
      </c>
      <c r="K57" s="79"/>
      <c r="L57" s="66"/>
      <c r="N57" s="87"/>
      <c r="O57" s="71"/>
    </row>
    <row r="58" spans="1:15" ht="27.75" customHeight="1" x14ac:dyDescent="0.4">
      <c r="A58" s="194" t="s">
        <v>181</v>
      </c>
      <c r="B58" s="217"/>
      <c r="C58" s="217"/>
      <c r="D58" s="151" t="s">
        <v>130</v>
      </c>
      <c r="E58" s="95">
        <f>'13'!F58</f>
        <v>1556</v>
      </c>
      <c r="F58" s="145">
        <v>1632</v>
      </c>
      <c r="G58" s="112">
        <f t="shared" si="4"/>
        <v>76</v>
      </c>
      <c r="H58" s="99">
        <f>G58+'13'!H58</f>
        <v>1972.6300000000047</v>
      </c>
      <c r="I58" s="95"/>
      <c r="J58" s="175">
        <f>H58/DAY(B2)</f>
        <v>140.90214285714319</v>
      </c>
      <c r="K58" s="79"/>
      <c r="L58" s="66"/>
      <c r="N58" s="87"/>
      <c r="O58" s="71"/>
    </row>
    <row r="59" spans="1:15" ht="27.75" customHeight="1" x14ac:dyDescent="0.5">
      <c r="A59" s="201" t="s">
        <v>173</v>
      </c>
      <c r="B59" s="202"/>
      <c r="C59" s="202"/>
      <c r="D59" s="146"/>
      <c r="E59" s="146"/>
      <c r="F59" s="146"/>
      <c r="G59" s="119">
        <f>G49+G50+G51+G52+G53+G54+G55+G56+G57+G58</f>
        <v>5743</v>
      </c>
      <c r="H59" s="99">
        <f>G59+'13'!H59</f>
        <v>83464.170000000013</v>
      </c>
      <c r="I59" s="95">
        <f>G7-G60</f>
        <v>1042</v>
      </c>
      <c r="J59" s="175">
        <f>H59/DAY(B2)</f>
        <v>5961.7264285714291</v>
      </c>
      <c r="K59" s="79"/>
      <c r="L59" s="66"/>
      <c r="N59" s="87"/>
      <c r="O59" s="71"/>
    </row>
    <row r="60" spans="1:15" ht="27.75" customHeight="1" x14ac:dyDescent="0.4">
      <c r="A60" s="194"/>
      <c r="B60" s="195"/>
      <c r="C60" s="195"/>
      <c r="D60" s="146" t="s">
        <v>182</v>
      </c>
      <c r="E60" s="146"/>
      <c r="F60" s="146"/>
      <c r="G60" s="119">
        <f>G47+G59</f>
        <v>16186</v>
      </c>
      <c r="H60" s="99">
        <f>G60+'13'!H60</f>
        <v>236433.16999999998</v>
      </c>
      <c r="I60" s="95">
        <f>G13-G60</f>
        <v>578</v>
      </c>
      <c r="J60" s="175">
        <f>H60/DAY(B2)</f>
        <v>16888.083571428571</v>
      </c>
      <c r="K60" s="79"/>
      <c r="L60" s="66"/>
      <c r="N60" s="87"/>
      <c r="O60" s="71"/>
    </row>
    <row r="61" spans="1:15" s="68" customFormat="1" ht="27.75" customHeight="1" x14ac:dyDescent="0.5">
      <c r="A61" s="837" t="s">
        <v>332</v>
      </c>
      <c r="B61" s="838"/>
      <c r="C61" s="839"/>
      <c r="D61" s="339"/>
      <c r="E61" s="339"/>
      <c r="F61" s="339"/>
      <c r="G61" s="340"/>
      <c r="H61" s="339"/>
      <c r="I61" s="339"/>
      <c r="J61" s="341"/>
      <c r="K61" s="69"/>
      <c r="L61" s="67"/>
      <c r="N61" s="87"/>
      <c r="O61" s="71"/>
    </row>
    <row r="62" spans="1:15" ht="27.75" customHeight="1" x14ac:dyDescent="0.5">
      <c r="A62" s="818" t="s">
        <v>198</v>
      </c>
      <c r="B62" s="819"/>
      <c r="C62" s="820"/>
      <c r="D62" s="151" t="s">
        <v>142</v>
      </c>
      <c r="E62" s="95">
        <f>'13'!F62</f>
        <v>267982</v>
      </c>
      <c r="F62" s="122">
        <v>268028</v>
      </c>
      <c r="G62" s="112">
        <f t="shared" ref="G62:G63" si="5">F62-E62</f>
        <v>46</v>
      </c>
      <c r="H62" s="99">
        <f>G62+'13'!H62</f>
        <v>815</v>
      </c>
      <c r="I62" s="118"/>
      <c r="J62" s="175">
        <f>H62/DAY(B2)</f>
        <v>58.214285714285715</v>
      </c>
      <c r="K62" s="80"/>
      <c r="L62" s="66"/>
      <c r="N62" s="87"/>
      <c r="O62" s="71"/>
    </row>
    <row r="63" spans="1:15" ht="27.75" customHeight="1" x14ac:dyDescent="0.5">
      <c r="A63" s="818" t="s">
        <v>199</v>
      </c>
      <c r="B63" s="819"/>
      <c r="C63" s="820"/>
      <c r="D63" s="151" t="s">
        <v>142</v>
      </c>
      <c r="E63" s="122">
        <v>213799</v>
      </c>
      <c r="F63" s="122">
        <v>213848</v>
      </c>
      <c r="G63" s="112">
        <f t="shared" si="5"/>
        <v>49</v>
      </c>
      <c r="H63" s="99">
        <f>G63+'13'!H63</f>
        <v>1423</v>
      </c>
      <c r="I63" s="118"/>
      <c r="J63" s="175">
        <f>H63/DAY(B2)</f>
        <v>101.64285714285714</v>
      </c>
      <c r="K63" s="69"/>
      <c r="L63" s="66"/>
      <c r="N63" s="87"/>
      <c r="O63" s="71"/>
    </row>
    <row r="64" spans="1:15" ht="27.75" customHeight="1" x14ac:dyDescent="0.5">
      <c r="A64" s="815" t="s">
        <v>200</v>
      </c>
      <c r="B64" s="816"/>
      <c r="C64" s="817"/>
      <c r="D64" s="151"/>
      <c r="E64" s="95">
        <f>'13'!F64</f>
        <v>0</v>
      </c>
      <c r="F64" s="122"/>
      <c r="G64" s="112">
        <f>G62+G63</f>
        <v>95</v>
      </c>
      <c r="H64" s="99">
        <f>G64+'13'!H64</f>
        <v>2238</v>
      </c>
      <c r="I64" s="118"/>
      <c r="J64" s="175">
        <f>H64/DAY(B2)</f>
        <v>159.85714285714286</v>
      </c>
      <c r="K64" s="69"/>
      <c r="L64" s="66"/>
      <c r="N64" s="87"/>
      <c r="O64" s="71"/>
    </row>
    <row r="65" spans="1:15" ht="27.75" customHeight="1" x14ac:dyDescent="0.5">
      <c r="A65" s="818" t="s">
        <v>201</v>
      </c>
      <c r="B65" s="819"/>
      <c r="C65" s="820"/>
      <c r="D65" s="151" t="s">
        <v>142</v>
      </c>
      <c r="E65" s="95">
        <f>'13'!F65</f>
        <v>433539</v>
      </c>
      <c r="F65" s="122">
        <v>433595</v>
      </c>
      <c r="G65" s="112">
        <f t="shared" ref="G65:G70" si="6">F65-E65</f>
        <v>56</v>
      </c>
      <c r="H65" s="99">
        <f>G65+'13'!H65</f>
        <v>981</v>
      </c>
      <c r="I65" s="118"/>
      <c r="J65" s="175">
        <f>H65/DAY(B2)</f>
        <v>70.071428571428569</v>
      </c>
      <c r="K65" s="69"/>
      <c r="L65" s="66"/>
      <c r="N65" s="87"/>
      <c r="O65" s="71"/>
    </row>
    <row r="66" spans="1:15" ht="27.75" customHeight="1" x14ac:dyDescent="0.5">
      <c r="A66" s="345" t="s">
        <v>202</v>
      </c>
      <c r="B66" s="346"/>
      <c r="C66" s="346"/>
      <c r="D66" s="151" t="s">
        <v>142</v>
      </c>
      <c r="E66" s="95">
        <f>'13'!F66</f>
        <v>107442</v>
      </c>
      <c r="F66" s="122">
        <v>107455</v>
      </c>
      <c r="G66" s="112">
        <f t="shared" si="6"/>
        <v>13</v>
      </c>
      <c r="H66" s="99">
        <f>G66+'13'!H66</f>
        <v>241</v>
      </c>
      <c r="I66" s="118"/>
      <c r="J66" s="175">
        <f>H66/DAY(B2)</f>
        <v>17.214285714285715</v>
      </c>
      <c r="K66" s="78"/>
      <c r="L66" s="66"/>
      <c r="N66" s="87"/>
      <c r="O66" s="71"/>
    </row>
    <row r="67" spans="1:15" ht="27.75" customHeight="1" x14ac:dyDescent="0.5">
      <c r="A67" s="345" t="s">
        <v>203</v>
      </c>
      <c r="B67" s="346"/>
      <c r="C67" s="346"/>
      <c r="D67" s="151" t="s">
        <v>142</v>
      </c>
      <c r="E67" s="95">
        <f>'13'!F67</f>
        <v>104236</v>
      </c>
      <c r="F67" s="122">
        <v>104254</v>
      </c>
      <c r="G67" s="112">
        <f t="shared" si="6"/>
        <v>18</v>
      </c>
      <c r="H67" s="99">
        <f>G67+'13'!H67</f>
        <v>326</v>
      </c>
      <c r="I67" s="118"/>
      <c r="J67" s="175">
        <f>H67/DAY(B2)</f>
        <v>23.285714285714285</v>
      </c>
      <c r="K67" s="81"/>
      <c r="L67" s="66"/>
      <c r="N67" s="87"/>
      <c r="O67" s="71"/>
    </row>
    <row r="68" spans="1:15" ht="27.75" customHeight="1" x14ac:dyDescent="0.5">
      <c r="A68" s="345" t="s">
        <v>204</v>
      </c>
      <c r="B68" s="346"/>
      <c r="C68" s="346"/>
      <c r="D68" s="151" t="s">
        <v>142</v>
      </c>
      <c r="E68" s="95">
        <f>'13'!F68</f>
        <v>156948</v>
      </c>
      <c r="F68" s="122">
        <v>156983</v>
      </c>
      <c r="G68" s="112">
        <f t="shared" si="6"/>
        <v>35</v>
      </c>
      <c r="H68" s="99">
        <f>G68+'13'!H68</f>
        <v>363</v>
      </c>
      <c r="I68" s="118"/>
      <c r="J68" s="175">
        <f>H68/DAY(B2)</f>
        <v>25.928571428571427</v>
      </c>
      <c r="K68" s="69"/>
      <c r="L68" s="66"/>
      <c r="N68" s="87"/>
      <c r="O68" s="71"/>
    </row>
    <row r="69" spans="1:15" ht="27.75" customHeight="1" x14ac:dyDescent="0.5">
      <c r="A69" s="345" t="s">
        <v>205</v>
      </c>
      <c r="B69" s="346"/>
      <c r="C69" s="346"/>
      <c r="D69" s="151" t="s">
        <v>142</v>
      </c>
      <c r="E69" s="95">
        <f>'13'!F69</f>
        <v>10346</v>
      </c>
      <c r="F69" s="122">
        <v>10352</v>
      </c>
      <c r="G69" s="112">
        <f t="shared" si="6"/>
        <v>6</v>
      </c>
      <c r="H69" s="99">
        <f>G69+'13'!H69</f>
        <v>138</v>
      </c>
      <c r="I69" s="118"/>
      <c r="J69" s="175">
        <f>H69/DAY(B2)</f>
        <v>9.8571428571428577</v>
      </c>
      <c r="K69" s="69"/>
      <c r="L69" s="66"/>
      <c r="N69" s="87"/>
      <c r="O69" s="71"/>
    </row>
    <row r="70" spans="1:15" ht="27.75" customHeight="1" x14ac:dyDescent="0.5">
      <c r="A70" s="345" t="s">
        <v>206</v>
      </c>
      <c r="B70" s="346"/>
      <c r="C70" s="346"/>
      <c r="D70" s="151" t="s">
        <v>142</v>
      </c>
      <c r="E70" s="95">
        <f>'13'!F70</f>
        <v>7964</v>
      </c>
      <c r="F70" s="122">
        <v>7970</v>
      </c>
      <c r="G70" s="112">
        <f t="shared" si="6"/>
        <v>6</v>
      </c>
      <c r="H70" s="99">
        <f>G70+'13'!H70</f>
        <v>108</v>
      </c>
      <c r="I70" s="118"/>
      <c r="J70" s="175">
        <f>H70/DAY(B2)</f>
        <v>7.7142857142857144</v>
      </c>
      <c r="K70" s="69"/>
      <c r="L70" s="66"/>
      <c r="N70" s="87"/>
      <c r="O70" s="71"/>
    </row>
    <row r="71" spans="1:15" ht="27.75" customHeight="1" x14ac:dyDescent="0.5">
      <c r="A71" s="815" t="s">
        <v>208</v>
      </c>
      <c r="B71" s="816"/>
      <c r="C71" s="817"/>
      <c r="D71" s="152"/>
      <c r="E71" s="152"/>
      <c r="F71" s="152"/>
      <c r="G71" s="153">
        <f>SUM(G65:G70)</f>
        <v>134</v>
      </c>
      <c r="H71" s="99">
        <f>G71+'13'!H71</f>
        <v>2157</v>
      </c>
      <c r="I71" s="154"/>
      <c r="J71" s="175">
        <f>H71/DAY(B2)</f>
        <v>154.07142857142858</v>
      </c>
      <c r="K71" s="69"/>
      <c r="L71" s="66"/>
      <c r="N71" s="87"/>
      <c r="O71" s="71"/>
    </row>
    <row r="72" spans="1:15" s="88" customFormat="1" ht="27.75" customHeight="1" x14ac:dyDescent="0.5">
      <c r="A72" s="861"/>
      <c r="B72" s="853"/>
      <c r="C72" s="347"/>
      <c r="D72" s="180"/>
      <c r="E72" s="180" t="s">
        <v>207</v>
      </c>
      <c r="F72" s="180"/>
      <c r="G72" s="180"/>
      <c r="H72" s="181"/>
      <c r="I72" s="180"/>
      <c r="J72" s="182"/>
      <c r="N72" s="87"/>
      <c r="O72" s="71"/>
    </row>
    <row r="73" spans="1:15" ht="27.75" customHeight="1" x14ac:dyDescent="0.5">
      <c r="A73" s="866" t="s">
        <v>333</v>
      </c>
      <c r="B73" s="867"/>
      <c r="C73" s="868"/>
      <c r="D73" s="339"/>
      <c r="E73" s="339"/>
      <c r="F73" s="339"/>
      <c r="G73" s="342"/>
      <c r="H73" s="342"/>
      <c r="I73" s="342"/>
      <c r="J73" s="343"/>
      <c r="K73" s="69"/>
      <c r="L73" s="66"/>
      <c r="N73" s="87"/>
      <c r="O73" s="71"/>
    </row>
    <row r="74" spans="1:15" ht="27.75" customHeight="1" x14ac:dyDescent="0.5">
      <c r="A74" s="818" t="s">
        <v>220</v>
      </c>
      <c r="B74" s="819"/>
      <c r="C74" s="820"/>
      <c r="D74" s="151" t="s">
        <v>139</v>
      </c>
      <c r="E74" s="95">
        <f>'13'!F74</f>
        <v>895830</v>
      </c>
      <c r="F74" s="117">
        <v>896156</v>
      </c>
      <c r="G74" s="112">
        <f t="shared" ref="G74:G78" si="7">F74-E74</f>
        <v>326</v>
      </c>
      <c r="H74" s="99">
        <f>G74+'13'!H74</f>
        <v>4124</v>
      </c>
      <c r="I74" s="154"/>
      <c r="J74" s="175">
        <f>H74/DAY(B2)</f>
        <v>294.57142857142856</v>
      </c>
      <c r="K74" s="69"/>
      <c r="L74" s="66"/>
      <c r="N74" s="87"/>
      <c r="O74" s="71"/>
    </row>
    <row r="75" spans="1:15" ht="27.75" customHeight="1" x14ac:dyDescent="0.5">
      <c r="A75" s="818" t="s">
        <v>221</v>
      </c>
      <c r="B75" s="819"/>
      <c r="C75" s="820"/>
      <c r="D75" s="151" t="s">
        <v>139</v>
      </c>
      <c r="E75" s="95">
        <f>'13'!F75</f>
        <v>73587</v>
      </c>
      <c r="F75" s="123">
        <v>73587</v>
      </c>
      <c r="G75" s="112">
        <f t="shared" si="7"/>
        <v>0</v>
      </c>
      <c r="H75" s="99">
        <f>G75+'13'!H75</f>
        <v>0.19999999999708962</v>
      </c>
      <c r="I75" s="154"/>
      <c r="J75" s="175">
        <f>H75/DAY(B2)</f>
        <v>1.4285714285506401E-2</v>
      </c>
      <c r="K75" s="69"/>
      <c r="L75" s="66"/>
      <c r="N75" s="87"/>
      <c r="O75" s="71"/>
    </row>
    <row r="76" spans="1:15" ht="27.75" customHeight="1" x14ac:dyDescent="0.5">
      <c r="A76" s="862" t="s">
        <v>222</v>
      </c>
      <c r="B76" s="848"/>
      <c r="C76" s="849"/>
      <c r="D76" s="151" t="s">
        <v>139</v>
      </c>
      <c r="E76" s="95">
        <f>'13'!F76</f>
        <v>168317</v>
      </c>
      <c r="F76" s="123">
        <v>168392</v>
      </c>
      <c r="G76" s="112">
        <f t="shared" si="7"/>
        <v>75</v>
      </c>
      <c r="H76" s="99">
        <f>G76+'13'!H76</f>
        <v>1185</v>
      </c>
      <c r="I76" s="154"/>
      <c r="J76" s="175">
        <f>H76/DAY(B2)</f>
        <v>84.642857142857139</v>
      </c>
      <c r="K76" s="69"/>
      <c r="L76" s="66"/>
      <c r="N76" s="87"/>
      <c r="O76" s="71"/>
    </row>
    <row r="77" spans="1:15" ht="27.75" customHeight="1" x14ac:dyDescent="0.5">
      <c r="A77" s="862" t="s">
        <v>223</v>
      </c>
      <c r="B77" s="848"/>
      <c r="C77" s="849"/>
      <c r="D77" s="151" t="s">
        <v>139</v>
      </c>
      <c r="E77" s="95">
        <f>'13'!F77</f>
        <v>40718</v>
      </c>
      <c r="F77" s="123">
        <v>40745</v>
      </c>
      <c r="G77" s="112">
        <f t="shared" si="7"/>
        <v>27</v>
      </c>
      <c r="H77" s="99">
        <f>G77+'13'!H77</f>
        <v>429</v>
      </c>
      <c r="I77" s="154"/>
      <c r="J77" s="175">
        <f>H77/DAY(B2)</f>
        <v>30.642857142857142</v>
      </c>
      <c r="K77" s="69"/>
      <c r="L77" s="66"/>
      <c r="N77" s="87"/>
      <c r="O77" s="71"/>
    </row>
    <row r="78" spans="1:15" ht="27.75" customHeight="1" x14ac:dyDescent="0.5">
      <c r="A78" s="862" t="s">
        <v>224</v>
      </c>
      <c r="B78" s="848"/>
      <c r="C78" s="849"/>
      <c r="D78" s="151" t="s">
        <v>139</v>
      </c>
      <c r="E78" s="95">
        <f>'13'!F78</f>
        <v>9496</v>
      </c>
      <c r="F78" s="123">
        <v>9497</v>
      </c>
      <c r="G78" s="112">
        <f t="shared" si="7"/>
        <v>1</v>
      </c>
      <c r="H78" s="99">
        <f>G78+'13'!H78</f>
        <v>11</v>
      </c>
      <c r="I78" s="118"/>
      <c r="J78" s="175">
        <f>H78/DAY(B2)</f>
        <v>0.7857142857142857</v>
      </c>
      <c r="K78" s="69"/>
      <c r="L78" s="66"/>
      <c r="N78" s="87"/>
      <c r="O78" s="71"/>
    </row>
    <row r="79" spans="1:15" s="57" customFormat="1" ht="27.75" customHeight="1" x14ac:dyDescent="0.5">
      <c r="A79" s="862" t="s">
        <v>225</v>
      </c>
      <c r="B79" s="848"/>
      <c r="C79" s="849"/>
      <c r="D79" s="151"/>
      <c r="E79" s="95">
        <f>'13'!F79</f>
        <v>0</v>
      </c>
      <c r="F79" s="117"/>
      <c r="G79" s="112">
        <f>G15-SUM(G74:G78)</f>
        <v>316</v>
      </c>
      <c r="H79" s="99">
        <f>G79+'13'!H79</f>
        <v>6455.8000000000029</v>
      </c>
      <c r="I79" s="118"/>
      <c r="J79" s="175">
        <f>H79/DAY(B2)</f>
        <v>461.12857142857166</v>
      </c>
      <c r="K79" s="59"/>
      <c r="L79" s="58"/>
      <c r="N79" s="87"/>
      <c r="O79" s="71"/>
    </row>
    <row r="80" spans="1:15" s="57" customFormat="1" ht="27.75" customHeight="1" x14ac:dyDescent="0.5">
      <c r="A80" s="815" t="s">
        <v>329</v>
      </c>
      <c r="B80" s="816"/>
      <c r="C80" s="817"/>
      <c r="D80" s="151"/>
      <c r="E80" s="117"/>
      <c r="F80" s="117"/>
      <c r="G80" s="112">
        <f>SUM(G74:G79)</f>
        <v>745</v>
      </c>
      <c r="H80" s="99"/>
      <c r="I80" s="118"/>
      <c r="J80" s="175"/>
      <c r="K80" s="59"/>
      <c r="L80" s="58"/>
      <c r="N80" s="87"/>
      <c r="O80" s="71"/>
    </row>
    <row r="81" spans="1:15" ht="27.75" customHeight="1" x14ac:dyDescent="0.4">
      <c r="A81" s="854" t="s">
        <v>226</v>
      </c>
      <c r="B81" s="855"/>
      <c r="C81" s="856"/>
      <c r="D81" s="110"/>
      <c r="E81" s="110"/>
      <c r="F81" s="110"/>
      <c r="G81" s="163"/>
      <c r="H81" s="163"/>
      <c r="I81" s="163"/>
      <c r="J81" s="184"/>
      <c r="O81" s="71"/>
    </row>
    <row r="82" spans="1:15" ht="27.75" customHeight="1" x14ac:dyDescent="0.5">
      <c r="A82" s="345" t="s">
        <v>227</v>
      </c>
      <c r="B82" s="346"/>
      <c r="C82" s="346"/>
      <c r="D82" s="151" t="s">
        <v>228</v>
      </c>
      <c r="E82" s="95">
        <f>'13'!F82</f>
        <v>0</v>
      </c>
      <c r="F82" s="122"/>
      <c r="G82" s="112">
        <f t="shared" ref="G82:G92" si="8">F82-E82</f>
        <v>0</v>
      </c>
      <c r="H82" s="99">
        <f>G82+'13'!H82</f>
        <v>0</v>
      </c>
      <c r="I82" s="118"/>
      <c r="J82" s="175">
        <f>H82/DAY(B2)</f>
        <v>0</v>
      </c>
      <c r="O82" s="71"/>
    </row>
    <row r="83" spans="1:15" ht="27.75" customHeight="1" x14ac:dyDescent="0.5">
      <c r="A83" s="345" t="s">
        <v>229</v>
      </c>
      <c r="B83" s="346"/>
      <c r="C83" s="346"/>
      <c r="D83" s="151" t="s">
        <v>228</v>
      </c>
      <c r="E83" s="95">
        <f>'13'!F83</f>
        <v>0</v>
      </c>
      <c r="F83" s="122"/>
      <c r="G83" s="112">
        <f t="shared" si="8"/>
        <v>0</v>
      </c>
      <c r="H83" s="99">
        <f>G83+'13'!H83</f>
        <v>0</v>
      </c>
      <c r="I83" s="118"/>
      <c r="J83" s="175">
        <f>H83/DAY(B2)</f>
        <v>0</v>
      </c>
      <c r="O83" s="71"/>
    </row>
    <row r="84" spans="1:15" ht="27.75" customHeight="1" x14ac:dyDescent="0.5">
      <c r="A84" s="345" t="s">
        <v>230</v>
      </c>
      <c r="B84" s="346"/>
      <c r="C84" s="346"/>
      <c r="D84" s="151" t="s">
        <v>228</v>
      </c>
      <c r="E84" s="95">
        <f>'13'!F84</f>
        <v>41675</v>
      </c>
      <c r="F84" s="164">
        <v>41675</v>
      </c>
      <c r="G84" s="112">
        <f t="shared" si="8"/>
        <v>0</v>
      </c>
      <c r="H84" s="99">
        <f>G84+'13'!H84</f>
        <v>0</v>
      </c>
      <c r="I84" s="118"/>
      <c r="J84" s="175">
        <f>H84/DAY(B2)</f>
        <v>0</v>
      </c>
      <c r="O84" s="71"/>
    </row>
    <row r="85" spans="1:15" ht="27.75" customHeight="1" x14ac:dyDescent="0.5">
      <c r="A85" s="345" t="s">
        <v>231</v>
      </c>
      <c r="B85" s="346"/>
      <c r="C85" s="346"/>
      <c r="D85" s="151" t="s">
        <v>228</v>
      </c>
      <c r="E85" s="95">
        <f>'13'!F85</f>
        <v>2096.5500000000002</v>
      </c>
      <c r="F85" s="164">
        <v>2096.5500000000002</v>
      </c>
      <c r="G85" s="112">
        <f t="shared" si="8"/>
        <v>0</v>
      </c>
      <c r="H85" s="99">
        <f>G85+'13'!H85</f>
        <v>-9.9999999997635314E-3</v>
      </c>
      <c r="I85" s="118">
        <f>G82+G83+G84+G85</f>
        <v>0</v>
      </c>
      <c r="J85" s="175">
        <f>H85/DAY(B2)</f>
        <v>-7.1428571426882372E-4</v>
      </c>
      <c r="O85" s="71"/>
    </row>
    <row r="86" spans="1:15" ht="27.75" customHeight="1" x14ac:dyDescent="0.5">
      <c r="A86" s="345" t="s">
        <v>232</v>
      </c>
      <c r="B86" s="346"/>
      <c r="C86" s="346"/>
      <c r="D86" s="151" t="s">
        <v>228</v>
      </c>
      <c r="E86" s="95">
        <f>'13'!F86</f>
        <v>43176</v>
      </c>
      <c r="F86" s="164">
        <v>43200</v>
      </c>
      <c r="G86" s="112">
        <f t="shared" si="8"/>
        <v>24</v>
      </c>
      <c r="H86" s="99">
        <f>G86+'13'!H86</f>
        <v>337</v>
      </c>
      <c r="I86" s="118"/>
      <c r="J86" s="175">
        <f>H86/DAY(B2)</f>
        <v>24.071428571428573</v>
      </c>
      <c r="O86" s="71"/>
    </row>
    <row r="87" spans="1:15" ht="27.75" customHeight="1" x14ac:dyDescent="0.5">
      <c r="A87" s="345" t="s">
        <v>233</v>
      </c>
      <c r="B87" s="346"/>
      <c r="C87" s="346"/>
      <c r="D87" s="151" t="s">
        <v>228</v>
      </c>
      <c r="E87" s="95">
        <f>'13'!F87</f>
        <v>34598.550000000003</v>
      </c>
      <c r="F87" s="164">
        <v>34598.550000000003</v>
      </c>
      <c r="G87" s="112">
        <f t="shared" si="8"/>
        <v>0</v>
      </c>
      <c r="H87" s="99">
        <f>G87+'13'!H87</f>
        <v>0</v>
      </c>
      <c r="I87" s="118"/>
      <c r="J87" s="175">
        <f>H87/DAY(B2)</f>
        <v>0</v>
      </c>
      <c r="O87" s="71"/>
    </row>
    <row r="88" spans="1:15" ht="27.75" customHeight="1" x14ac:dyDescent="0.5">
      <c r="A88" s="345" t="s">
        <v>234</v>
      </c>
      <c r="B88" s="346"/>
      <c r="C88" s="346"/>
      <c r="D88" s="151" t="s">
        <v>228</v>
      </c>
      <c r="E88" s="95">
        <f>'13'!F88</f>
        <v>24059.27</v>
      </c>
      <c r="F88" s="164">
        <v>24059.27</v>
      </c>
      <c r="G88" s="112">
        <f t="shared" si="8"/>
        <v>0</v>
      </c>
      <c r="H88" s="99">
        <f>G88+'13'!H88</f>
        <v>12.270000000000437</v>
      </c>
      <c r="I88" s="118">
        <f>G86+G87+G88</f>
        <v>24</v>
      </c>
      <c r="J88" s="175">
        <f>H88/DAY(B2)</f>
        <v>0.87642857142860264</v>
      </c>
      <c r="O88" s="71"/>
    </row>
    <row r="89" spans="1:15" ht="27.75" customHeight="1" x14ac:dyDescent="0.5">
      <c r="A89" s="345" t="s">
        <v>235</v>
      </c>
      <c r="B89" s="346"/>
      <c r="C89" s="346"/>
      <c r="D89" s="151" t="s">
        <v>228</v>
      </c>
      <c r="E89" s="95">
        <f>'13'!F89</f>
        <v>25741.18</v>
      </c>
      <c r="F89" s="164">
        <v>25742.99</v>
      </c>
      <c r="G89" s="112">
        <f t="shared" si="8"/>
        <v>1.8100000000013097</v>
      </c>
      <c r="H89" s="99">
        <f>G89+'13'!H89</f>
        <v>79.990000000001601</v>
      </c>
      <c r="I89" s="118"/>
      <c r="J89" s="175">
        <f>H89/DAY(B2)</f>
        <v>5.7135714285715427</v>
      </c>
      <c r="O89" s="71"/>
    </row>
    <row r="90" spans="1:15" ht="27.75" customHeight="1" x14ac:dyDescent="0.5">
      <c r="A90" s="345" t="s">
        <v>236</v>
      </c>
      <c r="B90" s="346"/>
      <c r="C90" s="346"/>
      <c r="D90" s="151" t="s">
        <v>228</v>
      </c>
      <c r="E90" s="95">
        <f>'13'!F90</f>
        <v>71104.3</v>
      </c>
      <c r="F90" s="164">
        <v>71113.53</v>
      </c>
      <c r="G90" s="112">
        <f t="shared" si="8"/>
        <v>9.2299999999959255</v>
      </c>
      <c r="H90" s="99">
        <f>G90+'13'!H90</f>
        <v>79.529999999998836</v>
      </c>
      <c r="I90" s="118">
        <f>G89+G90</f>
        <v>11.039999999997235</v>
      </c>
      <c r="J90" s="175">
        <f>H90/DAY(B2)</f>
        <v>5.6807142857142026</v>
      </c>
      <c r="O90" s="71"/>
    </row>
    <row r="91" spans="1:15" ht="27.75" customHeight="1" x14ac:dyDescent="0.5">
      <c r="A91" s="345" t="s">
        <v>237</v>
      </c>
      <c r="B91" s="346"/>
      <c r="C91" s="346"/>
      <c r="D91" s="151" t="s">
        <v>228</v>
      </c>
      <c r="E91" s="95">
        <f>'13'!F91</f>
        <v>3226.32</v>
      </c>
      <c r="F91" s="122">
        <v>3226.32</v>
      </c>
      <c r="G91" s="112">
        <f t="shared" si="8"/>
        <v>0</v>
      </c>
      <c r="H91" s="99">
        <f>G91+'13'!H91</f>
        <v>0</v>
      </c>
      <c r="I91" s="165"/>
      <c r="J91" s="175">
        <f>H91/DAY(B2)</f>
        <v>0</v>
      </c>
      <c r="O91" s="71"/>
    </row>
    <row r="92" spans="1:15" ht="27.75" customHeight="1" x14ac:dyDescent="0.5">
      <c r="A92" s="345" t="s">
        <v>238</v>
      </c>
      <c r="B92" s="346"/>
      <c r="C92" s="346"/>
      <c r="D92" s="151" t="s">
        <v>228</v>
      </c>
      <c r="E92" s="95">
        <f>'13'!F92</f>
        <v>5571.32</v>
      </c>
      <c r="F92" s="122">
        <v>5582.77</v>
      </c>
      <c r="G92" s="112">
        <f t="shared" si="8"/>
        <v>11.450000000000728</v>
      </c>
      <c r="H92" s="99">
        <f>G92+'13'!H92</f>
        <v>144.77000000000044</v>
      </c>
      <c r="I92" s="165"/>
      <c r="J92" s="175">
        <f>H92/DAY(B2)</f>
        <v>10.340714285714316</v>
      </c>
      <c r="O92" s="71"/>
    </row>
    <row r="93" spans="1:15" ht="27.75" customHeight="1" x14ac:dyDescent="0.5">
      <c r="A93" s="863" t="s">
        <v>239</v>
      </c>
      <c r="B93" s="864"/>
      <c r="C93" s="865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27.75" customHeight="1" x14ac:dyDescent="0.5">
      <c r="A94" s="818" t="s">
        <v>240</v>
      </c>
      <c r="B94" s="819"/>
      <c r="C94" s="820"/>
      <c r="D94" s="151" t="s">
        <v>130</v>
      </c>
      <c r="E94" s="151"/>
      <c r="F94" s="151"/>
      <c r="G94" s="99">
        <f>G35+G43+G49+G57</f>
        <v>4575</v>
      </c>
      <c r="H94" s="99">
        <f>G94+'13'!H94</f>
        <v>76410</v>
      </c>
      <c r="I94" s="118"/>
      <c r="J94" s="175">
        <f>H94/DAY(B2)</f>
        <v>5457.8571428571431</v>
      </c>
      <c r="K94" s="69"/>
      <c r="L94" s="66"/>
      <c r="O94" s="71"/>
    </row>
    <row r="95" spans="1:15" ht="27.75" customHeight="1" x14ac:dyDescent="0.5">
      <c r="A95" s="818" t="s">
        <v>241</v>
      </c>
      <c r="B95" s="819"/>
      <c r="C95" s="820"/>
      <c r="D95" s="151" t="s">
        <v>23</v>
      </c>
      <c r="E95" s="146"/>
      <c r="F95" s="146"/>
      <c r="G95" s="166">
        <f>G94/G7</f>
        <v>0.26555607151149291</v>
      </c>
      <c r="H95" s="99">
        <f>G95+'13'!H95</f>
        <v>4.1086122486384138</v>
      </c>
      <c r="I95" s="167"/>
      <c r="J95" s="175">
        <f>H95/DAY(B2)</f>
        <v>0.29347230347417241</v>
      </c>
      <c r="K95" s="69"/>
      <c r="L95" s="66"/>
      <c r="O95" s="71"/>
    </row>
    <row r="96" spans="1:15" ht="27.75" customHeight="1" x14ac:dyDescent="0.5">
      <c r="A96" s="818" t="s">
        <v>242</v>
      </c>
      <c r="B96" s="819"/>
      <c r="C96" s="820"/>
      <c r="D96" s="151" t="s">
        <v>130</v>
      </c>
      <c r="E96" s="95"/>
      <c r="F96" s="95"/>
      <c r="G96" s="99">
        <f>G41+G42+G55+G56</f>
        <v>3132</v>
      </c>
      <c r="H96" s="99">
        <f>G96+'13'!H96</f>
        <v>42191.46</v>
      </c>
      <c r="I96" s="118"/>
      <c r="J96" s="175">
        <f>H96/DAY(B2)</f>
        <v>3013.6757142857141</v>
      </c>
      <c r="K96" s="69"/>
      <c r="L96" s="66"/>
      <c r="O96" s="71"/>
    </row>
    <row r="97" spans="1:15" ht="27.75" customHeight="1" x14ac:dyDescent="0.5">
      <c r="A97" s="818" t="s">
        <v>243</v>
      </c>
      <c r="B97" s="819"/>
      <c r="C97" s="820"/>
      <c r="D97" s="151" t="s">
        <v>23</v>
      </c>
      <c r="E97" s="95"/>
      <c r="F97" s="95"/>
      <c r="G97" s="166">
        <f>G96/G7</f>
        <v>0.18179707452983515</v>
      </c>
      <c r="H97" s="99">
        <f>G97+'13'!H97</f>
        <v>2.2791358272302564</v>
      </c>
      <c r="I97" s="167"/>
      <c r="J97" s="175">
        <f>H97/DAY(B2)</f>
        <v>0.1627954162307326</v>
      </c>
      <c r="K97" s="69"/>
      <c r="L97" s="66"/>
      <c r="O97" s="71"/>
    </row>
    <row r="98" spans="1:15" ht="27.75" customHeight="1" x14ac:dyDescent="0.5">
      <c r="A98" s="818" t="s">
        <v>244</v>
      </c>
      <c r="B98" s="819"/>
      <c r="C98" s="820"/>
      <c r="D98" s="151" t="s">
        <v>130</v>
      </c>
      <c r="E98" s="95"/>
      <c r="F98" s="95"/>
      <c r="G98" s="99">
        <f>G39+G53</f>
        <v>2495</v>
      </c>
      <c r="H98" s="99">
        <f>G98+'13'!H98</f>
        <v>36697</v>
      </c>
      <c r="I98" s="168"/>
      <c r="J98" s="175">
        <f>H98/DAY(B2)</f>
        <v>2621.2142857142858</v>
      </c>
      <c r="K98" s="69"/>
      <c r="L98" s="66"/>
      <c r="O98" s="71"/>
    </row>
    <row r="99" spans="1:15" ht="27.75" customHeight="1" x14ac:dyDescent="0.5">
      <c r="A99" s="818" t="s">
        <v>245</v>
      </c>
      <c r="B99" s="819"/>
      <c r="C99" s="820"/>
      <c r="D99" s="151" t="s">
        <v>23</v>
      </c>
      <c r="E99" s="95"/>
      <c r="F99" s="95"/>
      <c r="G99" s="166">
        <f>G98/G7</f>
        <v>0.1448223821685628</v>
      </c>
      <c r="H99" s="99">
        <f>G99+'13'!H99</f>
        <v>1.9822409546886575</v>
      </c>
      <c r="I99" s="168"/>
      <c r="J99" s="175">
        <f>H99/DAY(B2)</f>
        <v>0.14158863962061838</v>
      </c>
      <c r="O99" s="71"/>
    </row>
    <row r="100" spans="1:15" ht="27.75" customHeight="1" x14ac:dyDescent="0.5">
      <c r="A100" s="818" t="s">
        <v>246</v>
      </c>
      <c r="B100" s="819"/>
      <c r="C100" s="820"/>
      <c r="D100" s="151" t="s">
        <v>180</v>
      </c>
      <c r="E100" s="95"/>
      <c r="F100" s="95"/>
      <c r="G100" s="99">
        <f>G38+G52</f>
        <v>1832</v>
      </c>
      <c r="H100" s="99">
        <f>G100+'13'!H100</f>
        <v>22752</v>
      </c>
      <c r="I100" s="118"/>
      <c r="J100" s="175">
        <f>H100/DAY(B2)</f>
        <v>1625.1428571428571</v>
      </c>
      <c r="K100" s="70"/>
      <c r="O100" s="71"/>
    </row>
    <row r="101" spans="1:15" ht="27.75" customHeight="1" x14ac:dyDescent="0.5">
      <c r="A101" s="818" t="s">
        <v>247</v>
      </c>
      <c r="B101" s="819"/>
      <c r="C101" s="820"/>
      <c r="D101" s="151" t="s">
        <v>23</v>
      </c>
      <c r="E101" s="95"/>
      <c r="F101" s="95"/>
      <c r="G101" s="166">
        <f>G100/G7</f>
        <v>0.10633851869050383</v>
      </c>
      <c r="H101" s="99">
        <f>G101+'13'!H101</f>
        <v>1.2302291769473577</v>
      </c>
      <c r="I101" s="168"/>
      <c r="J101" s="175">
        <f>H101/DAY(B2)</f>
        <v>8.7873512639096971E-2</v>
      </c>
      <c r="O101" s="71"/>
    </row>
    <row r="102" spans="1:15" ht="27.75" customHeight="1" x14ac:dyDescent="0.5">
      <c r="A102" s="818" t="s">
        <v>248</v>
      </c>
      <c r="B102" s="819"/>
      <c r="C102" s="820"/>
      <c r="D102" s="151" t="s">
        <v>180</v>
      </c>
      <c r="E102" s="95"/>
      <c r="F102" s="95"/>
      <c r="G102" s="99">
        <f>G36+G50</f>
        <v>1488</v>
      </c>
      <c r="H102" s="99">
        <f>G102+'13'!H102</f>
        <v>24059</v>
      </c>
      <c r="I102" s="168"/>
      <c r="J102" s="175">
        <f>H102/DAY(B2)</f>
        <v>1718.5</v>
      </c>
      <c r="O102" s="71"/>
    </row>
    <row r="103" spans="1:15" ht="27.75" customHeight="1" x14ac:dyDescent="0.5">
      <c r="A103" s="818" t="s">
        <v>249</v>
      </c>
      <c r="B103" s="819"/>
      <c r="C103" s="820"/>
      <c r="D103" s="151" t="s">
        <v>23</v>
      </c>
      <c r="E103" s="95"/>
      <c r="F103" s="95"/>
      <c r="G103" s="166">
        <f>G102/G7</f>
        <v>8.6371023914557699E-2</v>
      </c>
      <c r="H103" s="99">
        <f>G103+'13'!H103</f>
        <v>1.2933185183689826</v>
      </c>
      <c r="I103" s="118"/>
      <c r="J103" s="175">
        <f>H103/DAY(B2)</f>
        <v>9.2379894169213037E-2</v>
      </c>
      <c r="O103" s="71"/>
    </row>
    <row r="104" spans="1:15" ht="27.75" customHeight="1" x14ac:dyDescent="0.5">
      <c r="A104" s="818" t="s">
        <v>250</v>
      </c>
      <c r="B104" s="819"/>
      <c r="C104" s="820"/>
      <c r="D104" s="151" t="s">
        <v>180</v>
      </c>
      <c r="E104" s="95"/>
      <c r="F104" s="95"/>
      <c r="G104" s="99">
        <f>G37+G51</f>
        <v>1509</v>
      </c>
      <c r="H104" s="99">
        <f>G104+'13'!H104</f>
        <v>21042</v>
      </c>
      <c r="I104" s="118"/>
      <c r="J104" s="175">
        <f>H104/DAY(B2)</f>
        <v>1503</v>
      </c>
      <c r="O104" s="71"/>
    </row>
    <row r="105" spans="1:15" ht="27.75" customHeight="1" thickBot="1" x14ac:dyDescent="0.55000000000000004">
      <c r="A105" s="858" t="s">
        <v>251</v>
      </c>
      <c r="B105" s="859"/>
      <c r="C105" s="860"/>
      <c r="D105" s="231" t="s">
        <v>23</v>
      </c>
      <c r="E105" s="185"/>
      <c r="F105" s="185"/>
      <c r="G105" s="186">
        <f>G104/G7</f>
        <v>8.758996981657767E-2</v>
      </c>
      <c r="H105" s="99">
        <f>G105+'13'!H105</f>
        <v>1.1384925735374529</v>
      </c>
      <c r="I105" s="187"/>
      <c r="J105" s="188">
        <f>H105/DAY(B2)</f>
        <v>8.132089810981806E-2</v>
      </c>
      <c r="O105" s="71"/>
    </row>
    <row r="106" spans="1:15" ht="27.75" customHeight="1" x14ac:dyDescent="0.5">
      <c r="A106" s="105"/>
      <c r="B106" s="96"/>
      <c r="C106" s="96"/>
      <c r="D106" s="169"/>
      <c r="E106" s="169"/>
      <c r="F106" s="169"/>
      <c r="G106" s="169"/>
      <c r="H106" s="170"/>
      <c r="I106" s="169"/>
      <c r="J106" s="171"/>
      <c r="O106" s="71"/>
    </row>
    <row r="108" spans="1:15" ht="27.75" customHeight="1" x14ac:dyDescent="0.55000000000000004">
      <c r="A108" s="872" t="s">
        <v>324</v>
      </c>
      <c r="B108" s="872"/>
      <c r="C108" s="872"/>
      <c r="D108" s="872"/>
      <c r="E108" s="872"/>
      <c r="F108" s="872"/>
      <c r="G108" s="872"/>
      <c r="H108" s="872"/>
      <c r="I108" s="872"/>
      <c r="J108" s="872"/>
    </row>
    <row r="109" spans="1:15" ht="27.75" customHeight="1" x14ac:dyDescent="0.5">
      <c r="A109" s="857"/>
      <c r="B109" s="857"/>
    </row>
    <row r="110" spans="1:15" ht="27.75" customHeight="1" x14ac:dyDescent="0.5">
      <c r="A110" s="873" t="s">
        <v>165</v>
      </c>
      <c r="B110" s="874"/>
      <c r="C110" s="874"/>
      <c r="D110" s="874"/>
      <c r="E110" s="874"/>
      <c r="F110" s="874"/>
      <c r="G110" s="874"/>
      <c r="H110" s="874"/>
      <c r="I110" s="874"/>
      <c r="J110" s="875"/>
    </row>
    <row r="111" spans="1:15" ht="27.75" customHeight="1" x14ac:dyDescent="0.5">
      <c r="A111" s="876"/>
      <c r="B111" s="877"/>
      <c r="C111" s="878"/>
      <c r="D111" s="165"/>
      <c r="E111" s="165"/>
      <c r="F111" s="165"/>
      <c r="G111" s="165"/>
      <c r="H111" s="156"/>
      <c r="I111" s="165"/>
      <c r="J111" s="327"/>
    </row>
    <row r="112" spans="1:15" ht="27.75" customHeight="1" x14ac:dyDescent="0.5">
      <c r="A112" s="851" t="s">
        <v>252</v>
      </c>
      <c r="B112" s="852"/>
      <c r="C112" s="853"/>
      <c r="D112" s="146" t="s">
        <v>183</v>
      </c>
      <c r="E112" s="95">
        <f>'13'!F112</f>
        <v>56651</v>
      </c>
      <c r="F112" s="237">
        <v>56733</v>
      </c>
      <c r="G112" s="112">
        <f t="shared" ref="G112:G123" si="9">F112-E112</f>
        <v>82</v>
      </c>
      <c r="H112" s="99">
        <f>G112+'13'!H112</f>
        <v>1052</v>
      </c>
      <c r="I112" s="165"/>
      <c r="J112" s="328">
        <f>H112/DAY(B2)</f>
        <v>75.142857142857139</v>
      </c>
    </row>
    <row r="113" spans="1:18" ht="27.75" customHeight="1" x14ac:dyDescent="0.5">
      <c r="A113" s="851" t="s">
        <v>253</v>
      </c>
      <c r="B113" s="852"/>
      <c r="C113" s="853"/>
      <c r="D113" s="146" t="s">
        <v>183</v>
      </c>
      <c r="E113" s="95">
        <f>'13'!F113</f>
        <v>38050</v>
      </c>
      <c r="F113" s="237">
        <v>38500</v>
      </c>
      <c r="G113" s="112">
        <f t="shared" si="9"/>
        <v>450</v>
      </c>
      <c r="H113" s="99">
        <f>G113+'13'!H113</f>
        <v>6305</v>
      </c>
      <c r="I113" s="165"/>
      <c r="J113" s="328">
        <f>H113/DAY(B2)</f>
        <v>450.35714285714283</v>
      </c>
    </row>
    <row r="114" spans="1:18" ht="27.75" customHeight="1" x14ac:dyDescent="0.5">
      <c r="A114" s="851" t="s">
        <v>254</v>
      </c>
      <c r="B114" s="852"/>
      <c r="C114" s="853"/>
      <c r="D114" s="146" t="s">
        <v>183</v>
      </c>
      <c r="E114" s="95">
        <f>'13'!F114</f>
        <v>28321</v>
      </c>
      <c r="F114" s="237">
        <v>28585</v>
      </c>
      <c r="G114" s="112">
        <f t="shared" si="9"/>
        <v>264</v>
      </c>
      <c r="H114" s="99">
        <f>G114+'13'!H114</f>
        <v>3714</v>
      </c>
      <c r="I114" s="165"/>
      <c r="J114" s="328">
        <f>H114/DAY(B2)</f>
        <v>265.28571428571428</v>
      </c>
    </row>
    <row r="115" spans="1:18" ht="27.75" customHeight="1" x14ac:dyDescent="0.5">
      <c r="A115" s="851" t="s">
        <v>255</v>
      </c>
      <c r="B115" s="852"/>
      <c r="C115" s="853"/>
      <c r="D115" s="146" t="s">
        <v>183</v>
      </c>
      <c r="E115" s="95">
        <f>'13'!F115</f>
        <v>8917</v>
      </c>
      <c r="F115" s="237">
        <v>8926</v>
      </c>
      <c r="G115" s="112">
        <f t="shared" si="9"/>
        <v>9</v>
      </c>
      <c r="H115" s="99">
        <f>G115+'13'!H115</f>
        <v>141</v>
      </c>
      <c r="I115" s="165"/>
      <c r="J115" s="328">
        <f>H115/DAY(B2)</f>
        <v>10.071428571428571</v>
      </c>
    </row>
    <row r="116" spans="1:18" ht="27.75" customHeight="1" x14ac:dyDescent="0.5">
      <c r="A116" s="869" t="s">
        <v>96</v>
      </c>
      <c r="B116" s="870"/>
      <c r="C116" s="871"/>
      <c r="D116" s="146" t="s">
        <v>183</v>
      </c>
      <c r="E116" s="95">
        <f>'13'!F116</f>
        <v>0</v>
      </c>
      <c r="F116" s="237">
        <v>0</v>
      </c>
      <c r="G116" s="112">
        <f t="shared" si="9"/>
        <v>0</v>
      </c>
      <c r="H116" s="99">
        <f>G116+'13'!H116</f>
        <v>0</v>
      </c>
      <c r="I116" s="165"/>
      <c r="J116" s="328">
        <f>H116/DAY(B2)</f>
        <v>0</v>
      </c>
      <c r="Q116" s="851" t="s">
        <v>311</v>
      </c>
      <c r="R116" s="853"/>
    </row>
    <row r="117" spans="1:18" ht="27.75" customHeight="1" x14ac:dyDescent="0.5">
      <c r="A117" s="869" t="s">
        <v>184</v>
      </c>
      <c r="B117" s="870"/>
      <c r="C117" s="871"/>
      <c r="D117" s="146" t="s">
        <v>183</v>
      </c>
      <c r="E117" s="95">
        <f>'13'!F117</f>
        <v>2909</v>
      </c>
      <c r="F117" s="237">
        <v>2930</v>
      </c>
      <c r="G117" s="112">
        <f t="shared" si="9"/>
        <v>21</v>
      </c>
      <c r="H117" s="99">
        <f>G117+'13'!H117</f>
        <v>340</v>
      </c>
      <c r="I117" s="165"/>
      <c r="J117" s="328">
        <f>H117/DAY(B2)</f>
        <v>24.285714285714285</v>
      </c>
      <c r="Q117" s="851" t="s">
        <v>312</v>
      </c>
      <c r="R117" s="853"/>
    </row>
    <row r="118" spans="1:18" ht="27.75" customHeight="1" x14ac:dyDescent="0.5">
      <c r="A118" s="846" t="s">
        <v>97</v>
      </c>
      <c r="B118" s="846"/>
      <c r="C118" s="846"/>
      <c r="D118" s="151" t="s">
        <v>183</v>
      </c>
      <c r="E118" s="95">
        <f>'13'!F118</f>
        <v>246339</v>
      </c>
      <c r="F118" s="237">
        <v>246716</v>
      </c>
      <c r="G118" s="112">
        <f t="shared" si="9"/>
        <v>377</v>
      </c>
      <c r="H118" s="99">
        <f>G118+'13'!H118</f>
        <v>5069</v>
      </c>
      <c r="I118" s="165"/>
      <c r="J118" s="328">
        <f>H118/DAY(B2)</f>
        <v>362.07142857142856</v>
      </c>
      <c r="Q118" s="851" t="s">
        <v>311</v>
      </c>
      <c r="R118" s="853"/>
    </row>
    <row r="119" spans="1:18" ht="27.75" customHeight="1" x14ac:dyDescent="0.5">
      <c r="A119" s="846" t="s">
        <v>98</v>
      </c>
      <c r="B119" s="846"/>
      <c r="C119" s="846"/>
      <c r="D119" s="151" t="s">
        <v>183</v>
      </c>
      <c r="E119" s="95">
        <f>'13'!F119</f>
        <v>250604</v>
      </c>
      <c r="F119" s="237">
        <v>250981</v>
      </c>
      <c r="G119" s="112">
        <f t="shared" si="9"/>
        <v>377</v>
      </c>
      <c r="H119" s="99">
        <f>G119+'13'!H119</f>
        <v>5855</v>
      </c>
      <c r="I119" s="165"/>
      <c r="J119" s="328">
        <f>H119/DAY(B2)</f>
        <v>418.21428571428572</v>
      </c>
    </row>
    <row r="120" spans="1:18" ht="27.75" customHeight="1" x14ac:dyDescent="0.5">
      <c r="A120" s="846" t="s">
        <v>99</v>
      </c>
      <c r="B120" s="846"/>
      <c r="C120" s="846"/>
      <c r="D120" s="151" t="s">
        <v>183</v>
      </c>
      <c r="E120" s="95">
        <f>'13'!F120</f>
        <v>35447</v>
      </c>
      <c r="F120" s="237">
        <v>35858</v>
      </c>
      <c r="G120" s="112">
        <f t="shared" si="9"/>
        <v>411</v>
      </c>
      <c r="H120" s="99">
        <f>G120+'13'!H120</f>
        <v>5780</v>
      </c>
      <c r="I120" s="165"/>
      <c r="J120" s="328">
        <f>H120/DAY(B2)</f>
        <v>412.85714285714283</v>
      </c>
    </row>
    <row r="121" spans="1:18" ht="27.75" customHeight="1" x14ac:dyDescent="0.5">
      <c r="A121" s="846" t="s">
        <v>100</v>
      </c>
      <c r="B121" s="846"/>
      <c r="C121" s="846"/>
      <c r="D121" s="151" t="s">
        <v>183</v>
      </c>
      <c r="E121" s="95">
        <f>'13'!F121</f>
        <v>385767</v>
      </c>
      <c r="F121" s="237">
        <v>386422</v>
      </c>
      <c r="G121" s="112">
        <f t="shared" si="9"/>
        <v>655</v>
      </c>
      <c r="H121" s="99">
        <f>G121+'13'!H121</f>
        <v>9893</v>
      </c>
      <c r="I121" s="165"/>
      <c r="J121" s="328">
        <f>H121/DAY(B2)</f>
        <v>706.64285714285711</v>
      </c>
    </row>
    <row r="122" spans="1:18" ht="27.75" customHeight="1" x14ac:dyDescent="0.5">
      <c r="A122" s="846" t="s">
        <v>101</v>
      </c>
      <c r="B122" s="846"/>
      <c r="C122" s="846"/>
      <c r="D122" s="151" t="s">
        <v>183</v>
      </c>
      <c r="E122" s="95">
        <f>'13'!F122</f>
        <v>122808</v>
      </c>
      <c r="F122" s="237">
        <v>122996</v>
      </c>
      <c r="G122" s="112">
        <f t="shared" si="9"/>
        <v>188</v>
      </c>
      <c r="H122" s="99">
        <f>G122+'13'!H122</f>
        <v>2946</v>
      </c>
      <c r="I122" s="165"/>
      <c r="J122" s="328">
        <f>H122/DAY(B2)</f>
        <v>210.42857142857142</v>
      </c>
    </row>
    <row r="123" spans="1:18" ht="27.75" customHeight="1" x14ac:dyDescent="0.5">
      <c r="A123" s="846" t="s">
        <v>102</v>
      </c>
      <c r="B123" s="846"/>
      <c r="C123" s="846"/>
      <c r="D123" s="151" t="s">
        <v>183</v>
      </c>
      <c r="E123" s="95">
        <f>'13'!F123</f>
        <v>149183</v>
      </c>
      <c r="F123" s="237">
        <v>149480</v>
      </c>
      <c r="G123" s="112">
        <f t="shared" si="9"/>
        <v>297</v>
      </c>
      <c r="H123" s="99">
        <f>G123+'13'!H123</f>
        <v>4355</v>
      </c>
      <c r="I123" s="165"/>
      <c r="J123" s="328">
        <f>H123/DAY(B2)</f>
        <v>311.07142857142856</v>
      </c>
    </row>
    <row r="124" spans="1:18" ht="27.75" customHeight="1" x14ac:dyDescent="0.5">
      <c r="A124" s="876"/>
      <c r="B124" s="877"/>
      <c r="C124" s="878"/>
      <c r="D124" s="165"/>
      <c r="E124" s="165"/>
      <c r="F124" s="165"/>
      <c r="G124" s="327"/>
      <c r="H124" s="156"/>
      <c r="I124" s="165"/>
      <c r="J124" s="327"/>
    </row>
    <row r="125" spans="1:18" ht="27.75" customHeight="1" x14ac:dyDescent="0.5">
      <c r="A125" s="879" t="s">
        <v>196</v>
      </c>
      <c r="B125" s="880"/>
      <c r="C125" s="245"/>
      <c r="D125" s="307"/>
      <c r="E125" s="308"/>
      <c r="F125" s="308"/>
      <c r="G125" s="309">
        <f>SUM(G112:G124)</f>
        <v>3131</v>
      </c>
      <c r="H125" s="156"/>
      <c r="I125" s="327">
        <f>G125-(G39+G53)</f>
        <v>636</v>
      </c>
      <c r="J125" s="327"/>
    </row>
    <row r="126" spans="1:18" ht="27.75" customHeight="1" x14ac:dyDescent="0.5">
      <c r="A126" s="881" t="s">
        <v>317</v>
      </c>
      <c r="B126" s="881"/>
      <c r="C126" s="881"/>
      <c r="D126" s="881"/>
      <c r="E126" s="881"/>
      <c r="F126" s="881"/>
      <c r="G126" s="881"/>
      <c r="H126" s="881"/>
      <c r="I126" s="881"/>
      <c r="J126" s="881"/>
    </row>
    <row r="127" spans="1:18" ht="27.75" customHeight="1" x14ac:dyDescent="0.5">
      <c r="A127" s="882"/>
      <c r="B127" s="882"/>
      <c r="C127" s="245"/>
      <c r="D127" s="307"/>
      <c r="E127" s="308"/>
      <c r="F127" s="308"/>
      <c r="G127" s="309"/>
      <c r="H127" s="99">
        <f>G127+'13'!H127</f>
        <v>0</v>
      </c>
      <c r="I127" s="165"/>
      <c r="J127" s="328">
        <f>H127/DAY(B2)</f>
        <v>0</v>
      </c>
    </row>
    <row r="128" spans="1:18" ht="27.75" customHeight="1" x14ac:dyDescent="0.5">
      <c r="A128" s="851" t="s">
        <v>318</v>
      </c>
      <c r="B128" s="852"/>
      <c r="C128" s="853"/>
      <c r="D128" s="151" t="s">
        <v>183</v>
      </c>
      <c r="E128" s="95">
        <f>'13'!F128</f>
        <v>42186</v>
      </c>
      <c r="F128" s="165">
        <v>42485</v>
      </c>
      <c r="G128" s="112">
        <f t="shared" ref="G128:G134" si="10">F128-E128</f>
        <v>299</v>
      </c>
      <c r="H128" s="99">
        <f>G128+'13'!H128</f>
        <v>4481</v>
      </c>
      <c r="I128" s="165"/>
      <c r="J128" s="328">
        <f>H128/DAY(B2)</f>
        <v>320.07142857142856</v>
      </c>
    </row>
    <row r="129" spans="1:15" ht="27.75" customHeight="1" x14ac:dyDescent="0.5">
      <c r="A129" s="329" t="s">
        <v>319</v>
      </c>
      <c r="B129" s="330"/>
      <c r="C129" s="331"/>
      <c r="D129" s="151" t="s">
        <v>183</v>
      </c>
      <c r="E129" s="95">
        <f>'13'!F129</f>
        <v>23174</v>
      </c>
      <c r="F129" s="165">
        <v>23362</v>
      </c>
      <c r="G129" s="112">
        <f t="shared" si="10"/>
        <v>188</v>
      </c>
      <c r="H129" s="99">
        <f>G129+'13'!H129</f>
        <v>3041</v>
      </c>
      <c r="I129" s="165"/>
      <c r="J129" s="328">
        <f>H129/DAY(B2)</f>
        <v>217.21428571428572</v>
      </c>
      <c r="N129" s="240"/>
      <c r="O129" s="241"/>
    </row>
    <row r="130" spans="1:15" ht="27.75" customHeight="1" x14ac:dyDescent="0.5">
      <c r="A130" s="329" t="s">
        <v>320</v>
      </c>
      <c r="B130" s="330"/>
      <c r="C130" s="331"/>
      <c r="D130" s="151" t="s">
        <v>183</v>
      </c>
      <c r="E130" s="95">
        <f>'13'!F130</f>
        <v>26322</v>
      </c>
      <c r="F130" s="165">
        <v>26885</v>
      </c>
      <c r="G130" s="112">
        <f t="shared" si="10"/>
        <v>563</v>
      </c>
      <c r="H130" s="99">
        <f>G130+'13'!H130</f>
        <v>8503</v>
      </c>
      <c r="I130" s="165"/>
      <c r="J130" s="328">
        <f>H130/DAY(B2)</f>
        <v>607.35714285714289</v>
      </c>
      <c r="N130" s="240"/>
      <c r="O130" s="241"/>
    </row>
    <row r="131" spans="1:15" ht="27.75" customHeight="1" x14ac:dyDescent="0.5">
      <c r="A131" s="851" t="s">
        <v>321</v>
      </c>
      <c r="B131" s="852"/>
      <c r="C131" s="853"/>
      <c r="D131" s="151" t="s">
        <v>183</v>
      </c>
      <c r="E131" s="95">
        <f>'13'!F131</f>
        <v>14077</v>
      </c>
      <c r="F131" s="165">
        <v>14167</v>
      </c>
      <c r="G131" s="112">
        <f t="shared" si="10"/>
        <v>90</v>
      </c>
      <c r="H131" s="99">
        <f>G131+'13'!H131</f>
        <v>1014</v>
      </c>
      <c r="I131" s="165"/>
      <c r="J131" s="328">
        <f>H131/DAY(B2)</f>
        <v>72.428571428571431</v>
      </c>
      <c r="N131" s="240"/>
      <c r="O131" s="241"/>
    </row>
    <row r="132" spans="1:15" ht="27.75" customHeight="1" x14ac:dyDescent="0.5">
      <c r="A132" s="851" t="s">
        <v>322</v>
      </c>
      <c r="B132" s="852"/>
      <c r="C132" s="853"/>
      <c r="D132" s="151" t="s">
        <v>183</v>
      </c>
      <c r="E132" s="95">
        <f>'13'!F132</f>
        <v>47285</v>
      </c>
      <c r="F132" s="165">
        <v>47795</v>
      </c>
      <c r="G132" s="112">
        <f t="shared" si="10"/>
        <v>510</v>
      </c>
      <c r="H132" s="99">
        <f>G132+'13'!H132</f>
        <v>6772</v>
      </c>
      <c r="I132" s="165"/>
      <c r="J132" s="328">
        <f>H132/DAY(B2)</f>
        <v>483.71428571428572</v>
      </c>
    </row>
    <row r="133" spans="1:15" ht="27.75" customHeight="1" x14ac:dyDescent="0.5">
      <c r="A133" s="851" t="s">
        <v>341</v>
      </c>
      <c r="B133" s="852"/>
      <c r="C133" s="853"/>
      <c r="D133" s="151" t="s">
        <v>183</v>
      </c>
      <c r="E133" s="95">
        <f>'13'!F133</f>
        <v>96324</v>
      </c>
      <c r="F133" s="165">
        <v>96727</v>
      </c>
      <c r="G133" s="112">
        <f t="shared" si="10"/>
        <v>403</v>
      </c>
      <c r="H133" s="99">
        <f>G133+'13'!H133</f>
        <v>9024</v>
      </c>
      <c r="I133" s="165"/>
      <c r="J133" s="328">
        <f>H133/DAY(B2)</f>
        <v>644.57142857142856</v>
      </c>
    </row>
    <row r="134" spans="1:15" ht="27.75" customHeight="1" x14ac:dyDescent="0.5">
      <c r="A134" s="851" t="s">
        <v>340</v>
      </c>
      <c r="B134" s="852"/>
      <c r="C134" s="853"/>
      <c r="D134" s="151" t="s">
        <v>183</v>
      </c>
      <c r="E134" s="95">
        <f>'13'!F134</f>
        <v>5565</v>
      </c>
      <c r="F134" s="165">
        <v>5719</v>
      </c>
      <c r="G134" s="112">
        <f t="shared" si="10"/>
        <v>154</v>
      </c>
      <c r="H134" s="99">
        <f>G134+'13'!H134</f>
        <v>8013</v>
      </c>
      <c r="I134" s="165"/>
      <c r="J134" s="328">
        <f>H134/DAY(B2)</f>
        <v>572.35714285714289</v>
      </c>
    </row>
    <row r="135" spans="1:15" ht="27.75" customHeight="1" x14ac:dyDescent="0.5">
      <c r="A135" s="879" t="s">
        <v>196</v>
      </c>
      <c r="B135" s="880"/>
      <c r="C135" s="331"/>
      <c r="D135" s="151"/>
      <c r="E135" s="95"/>
      <c r="F135" s="165"/>
      <c r="G135" s="112">
        <f>SUM(G128:G134)</f>
        <v>2207</v>
      </c>
      <c r="H135" s="119">
        <f>H128+H134</f>
        <v>12494</v>
      </c>
      <c r="I135" s="327">
        <f>G135-(G35+G49)</f>
        <v>-357</v>
      </c>
      <c r="J135" s="328">
        <f>H135/DAY(B2)</f>
        <v>892.42857142857144</v>
      </c>
    </row>
    <row r="136" spans="1:15" ht="27.75" customHeight="1" x14ac:dyDescent="0.55000000000000004">
      <c r="A136" s="883" t="s">
        <v>325</v>
      </c>
      <c r="B136" s="883"/>
      <c r="C136" s="883"/>
      <c r="D136" s="883"/>
      <c r="E136" s="883"/>
      <c r="F136" s="883"/>
      <c r="G136" s="883"/>
      <c r="H136" s="883"/>
      <c r="I136" s="883"/>
      <c r="J136" s="883"/>
    </row>
    <row r="137" spans="1:15" ht="27.75" customHeight="1" x14ac:dyDescent="0.5">
      <c r="A137" s="245"/>
      <c r="B137" s="246"/>
      <c r="C137" s="246"/>
      <c r="D137" s="165"/>
      <c r="E137" s="165"/>
      <c r="F137" s="165"/>
      <c r="G137" s="165"/>
      <c r="H137" s="156"/>
      <c r="I137" s="165"/>
      <c r="J137" s="327"/>
    </row>
    <row r="138" spans="1:15" ht="27.75" customHeight="1" x14ac:dyDescent="0.5">
      <c r="A138" s="846" t="s">
        <v>185</v>
      </c>
      <c r="B138" s="846"/>
      <c r="C138" s="846"/>
      <c r="D138" s="151" t="s">
        <v>183</v>
      </c>
      <c r="E138" s="95">
        <f>'13'!F138</f>
        <v>864989</v>
      </c>
      <c r="F138" s="147">
        <v>865054</v>
      </c>
      <c r="G138" s="112">
        <f t="shared" ref="G138:G152" si="11">F138-E138</f>
        <v>65</v>
      </c>
      <c r="H138" s="99">
        <f>G138+'13'!H138</f>
        <v>883</v>
      </c>
      <c r="I138" s="118"/>
      <c r="J138" s="328">
        <f>H138/DAY(B2)</f>
        <v>63.071428571428569</v>
      </c>
    </row>
    <row r="139" spans="1:15" ht="27.75" customHeight="1" x14ac:dyDescent="0.5">
      <c r="A139" s="846" t="s">
        <v>186</v>
      </c>
      <c r="B139" s="846"/>
      <c r="C139" s="846"/>
      <c r="D139" s="151" t="s">
        <v>183</v>
      </c>
      <c r="E139" s="95">
        <f>'13'!F139</f>
        <v>886549</v>
      </c>
      <c r="F139" s="148">
        <v>886549</v>
      </c>
      <c r="G139" s="112">
        <f t="shared" si="11"/>
        <v>0</v>
      </c>
      <c r="H139" s="99">
        <f>G139+'13'!H139</f>
        <v>3</v>
      </c>
      <c r="I139" s="118"/>
      <c r="J139" s="328">
        <f>H139/DAY(B2)</f>
        <v>0.21428571428571427</v>
      </c>
    </row>
    <row r="140" spans="1:15" ht="27.75" customHeight="1" x14ac:dyDescent="0.5">
      <c r="A140" s="846" t="s">
        <v>187</v>
      </c>
      <c r="B140" s="846"/>
      <c r="C140" s="846"/>
      <c r="D140" s="151" t="s">
        <v>183</v>
      </c>
      <c r="E140" s="95">
        <f>'13'!F140</f>
        <v>88898</v>
      </c>
      <c r="F140" s="149">
        <v>88898</v>
      </c>
      <c r="G140" s="112">
        <f t="shared" si="11"/>
        <v>0</v>
      </c>
      <c r="H140" s="99">
        <f>G140+'13'!H140</f>
        <v>16</v>
      </c>
      <c r="I140" s="118"/>
      <c r="J140" s="328">
        <f>H140/DAY(B2)</f>
        <v>1.1428571428571428</v>
      </c>
    </row>
    <row r="141" spans="1:15" ht="27.75" customHeight="1" x14ac:dyDescent="0.5">
      <c r="A141" s="850" t="s">
        <v>188</v>
      </c>
      <c r="B141" s="850"/>
      <c r="C141" s="850"/>
      <c r="D141" s="151" t="s">
        <v>183</v>
      </c>
      <c r="E141" s="95">
        <f>'13'!F141</f>
        <v>51571</v>
      </c>
      <c r="F141" s="149">
        <v>51735</v>
      </c>
      <c r="G141" s="112">
        <f t="shared" si="11"/>
        <v>164</v>
      </c>
      <c r="H141" s="99">
        <f>G141+'13'!H141</f>
        <v>2429</v>
      </c>
      <c r="I141" s="118"/>
      <c r="J141" s="328">
        <f>H141/DAY(B2)</f>
        <v>173.5</v>
      </c>
    </row>
    <row r="142" spans="1:15" ht="27.75" customHeight="1" x14ac:dyDescent="0.5">
      <c r="A142" s="850" t="s">
        <v>189</v>
      </c>
      <c r="B142" s="850"/>
      <c r="C142" s="850"/>
      <c r="D142" s="151" t="s">
        <v>183</v>
      </c>
      <c r="E142" s="95">
        <f>'13'!F142</f>
        <v>19908</v>
      </c>
      <c r="F142" s="148">
        <v>19971</v>
      </c>
      <c r="G142" s="112">
        <f t="shared" si="11"/>
        <v>63</v>
      </c>
      <c r="H142" s="99">
        <f>G142+'13'!H142</f>
        <v>962</v>
      </c>
      <c r="I142" s="140"/>
      <c r="J142" s="328">
        <f>H142/DAY(B2)</f>
        <v>68.714285714285708</v>
      </c>
    </row>
    <row r="143" spans="1:15" ht="27.75" customHeight="1" x14ac:dyDescent="0.5">
      <c r="A143" s="846" t="s">
        <v>91</v>
      </c>
      <c r="B143" s="846"/>
      <c r="C143" s="846"/>
      <c r="D143" s="151" t="s">
        <v>183</v>
      </c>
      <c r="E143" s="95">
        <f>'13'!F143</f>
        <v>3370</v>
      </c>
      <c r="F143" s="149">
        <v>3390</v>
      </c>
      <c r="G143" s="112">
        <f t="shared" si="11"/>
        <v>20</v>
      </c>
      <c r="H143" s="99">
        <f>G143+'13'!H143</f>
        <v>329</v>
      </c>
      <c r="I143" s="140"/>
      <c r="J143" s="328">
        <f>H143/DAY(B2)</f>
        <v>23.5</v>
      </c>
    </row>
    <row r="144" spans="1:15" ht="27.75" customHeight="1" x14ac:dyDescent="0.5">
      <c r="A144" s="850" t="s">
        <v>90</v>
      </c>
      <c r="B144" s="850"/>
      <c r="C144" s="850"/>
      <c r="D144" s="151" t="s">
        <v>183</v>
      </c>
      <c r="E144" s="95">
        <f>'13'!F144</f>
        <v>872597</v>
      </c>
      <c r="F144" s="149">
        <v>872833</v>
      </c>
      <c r="G144" s="112">
        <f t="shared" si="11"/>
        <v>236</v>
      </c>
      <c r="H144" s="99">
        <f>G144+'13'!H144</f>
        <v>3163</v>
      </c>
      <c r="I144" s="140"/>
      <c r="J144" s="328">
        <f>H144/DAY(B2)</f>
        <v>225.92857142857142</v>
      </c>
    </row>
    <row r="145" spans="1:10" ht="27.75" customHeight="1" x14ac:dyDescent="0.5">
      <c r="A145" s="846" t="s">
        <v>190</v>
      </c>
      <c r="B145" s="846"/>
      <c r="C145" s="846"/>
      <c r="D145" s="152" t="s">
        <v>183</v>
      </c>
      <c r="E145" s="95">
        <f>'13'!F145</f>
        <v>4755</v>
      </c>
      <c r="F145" s="149">
        <v>4768</v>
      </c>
      <c r="G145" s="112">
        <f t="shared" si="11"/>
        <v>13</v>
      </c>
      <c r="H145" s="99">
        <f>G145+'13'!H145</f>
        <v>210</v>
      </c>
      <c r="I145" s="140"/>
      <c r="J145" s="328">
        <f>H145/DAY(B2)</f>
        <v>15</v>
      </c>
    </row>
    <row r="146" spans="1:10" ht="27.75" customHeight="1" x14ac:dyDescent="0.5">
      <c r="A146" s="847" t="s">
        <v>191</v>
      </c>
      <c r="B146" s="848"/>
      <c r="C146" s="849"/>
      <c r="D146" s="152" t="s">
        <v>183</v>
      </c>
      <c r="E146" s="95">
        <f>'13'!F146</f>
        <v>730138</v>
      </c>
      <c r="F146" s="148">
        <v>730506</v>
      </c>
      <c r="G146" s="112">
        <f t="shared" si="11"/>
        <v>368</v>
      </c>
      <c r="H146" s="99">
        <f>G146+'13'!H146</f>
        <v>5648</v>
      </c>
      <c r="I146" s="140"/>
      <c r="J146" s="328">
        <f>H146/DAY(B2)</f>
        <v>403.42857142857144</v>
      </c>
    </row>
    <row r="147" spans="1:10" ht="27.75" customHeight="1" x14ac:dyDescent="0.5">
      <c r="A147" s="850" t="s">
        <v>192</v>
      </c>
      <c r="B147" s="850"/>
      <c r="C147" s="850"/>
      <c r="D147" s="152" t="s">
        <v>183</v>
      </c>
      <c r="E147" s="95">
        <f>'13'!F147</f>
        <v>620127</v>
      </c>
      <c r="F147" s="148">
        <v>620452</v>
      </c>
      <c r="G147" s="112">
        <f t="shared" si="11"/>
        <v>325</v>
      </c>
      <c r="H147" s="99">
        <f>G147+'13'!H147</f>
        <v>5170</v>
      </c>
      <c r="I147" s="140"/>
      <c r="J147" s="328">
        <f>H147/DAY(B2)</f>
        <v>369.28571428571428</v>
      </c>
    </row>
    <row r="148" spans="1:10" ht="27.75" customHeight="1" x14ac:dyDescent="0.5">
      <c r="A148" s="842" t="s">
        <v>193</v>
      </c>
      <c r="B148" s="843"/>
      <c r="C148" s="844"/>
      <c r="D148" s="123" t="s">
        <v>130</v>
      </c>
      <c r="E148" s="95">
        <f>'13'!F148</f>
        <v>686170</v>
      </c>
      <c r="F148" s="150">
        <v>686351</v>
      </c>
      <c r="G148" s="112">
        <f t="shared" si="11"/>
        <v>181</v>
      </c>
      <c r="H148" s="99">
        <f>G148+'13'!H148</f>
        <v>3317.8800000000047</v>
      </c>
      <c r="I148" s="124"/>
      <c r="J148" s="328">
        <f>H148/DAY(B2)</f>
        <v>236.99142857142891</v>
      </c>
    </row>
    <row r="149" spans="1:10" ht="27.75" customHeight="1" x14ac:dyDescent="0.5">
      <c r="A149" s="842" t="s">
        <v>336</v>
      </c>
      <c r="B149" s="843"/>
      <c r="C149" s="844"/>
      <c r="D149" s="227" t="s">
        <v>130</v>
      </c>
      <c r="E149" s="95">
        <f>'13'!F149</f>
        <v>16081</v>
      </c>
      <c r="F149" s="146">
        <v>16465</v>
      </c>
      <c r="G149" s="112">
        <f t="shared" si="11"/>
        <v>384</v>
      </c>
      <c r="H149" s="99">
        <f>G149+'13'!H149</f>
        <v>5716</v>
      </c>
      <c r="I149" s="119"/>
      <c r="J149" s="328">
        <f>H149/DAY(B2)</f>
        <v>408.28571428571428</v>
      </c>
    </row>
    <row r="150" spans="1:10" ht="27.75" customHeight="1" x14ac:dyDescent="0.5">
      <c r="A150" s="842" t="s">
        <v>337</v>
      </c>
      <c r="B150" s="843"/>
      <c r="C150" s="844"/>
      <c r="D150" s="117" t="s">
        <v>130</v>
      </c>
      <c r="E150" s="95">
        <f>'13'!F150</f>
        <v>6899</v>
      </c>
      <c r="F150" s="233">
        <v>7104</v>
      </c>
      <c r="G150" s="112">
        <f t="shared" si="11"/>
        <v>205</v>
      </c>
      <c r="H150" s="99">
        <f>G150+'13'!H150</f>
        <v>3052</v>
      </c>
      <c r="I150" s="119"/>
      <c r="J150" s="328">
        <f>H150/DAY(B2)</f>
        <v>218</v>
      </c>
    </row>
    <row r="151" spans="1:10" ht="27.75" customHeight="1" x14ac:dyDescent="0.5">
      <c r="A151" s="842" t="s">
        <v>338</v>
      </c>
      <c r="B151" s="843"/>
      <c r="C151" s="844"/>
      <c r="D151" s="117" t="s">
        <v>130</v>
      </c>
      <c r="E151" s="95">
        <f>'13'!F151</f>
        <v>81285</v>
      </c>
      <c r="F151" s="233">
        <v>81481</v>
      </c>
      <c r="G151" s="112">
        <f t="shared" si="11"/>
        <v>196</v>
      </c>
      <c r="H151" s="99">
        <f>G151+'13'!H151</f>
        <v>3264</v>
      </c>
      <c r="I151" s="119"/>
      <c r="J151" s="328">
        <f>H151/DAY(B2)</f>
        <v>233.14285714285714</v>
      </c>
    </row>
    <row r="152" spans="1:10" ht="27.75" customHeight="1" x14ac:dyDescent="0.5">
      <c r="A152" s="842" t="s">
        <v>339</v>
      </c>
      <c r="B152" s="843"/>
      <c r="C152" s="844"/>
      <c r="D152" s="117" t="s">
        <v>130</v>
      </c>
      <c r="E152" s="95">
        <f>'13'!F152</f>
        <v>1363</v>
      </c>
      <c r="F152" s="233">
        <v>1376</v>
      </c>
      <c r="G152" s="112">
        <f t="shared" si="11"/>
        <v>13</v>
      </c>
      <c r="H152" s="99">
        <f>G152+'13'!H152</f>
        <v>249</v>
      </c>
      <c r="I152" s="119"/>
      <c r="J152" s="328">
        <f>H152/DAY(B2)</f>
        <v>17.785714285714285</v>
      </c>
    </row>
    <row r="153" spans="1:10" ht="27.75" customHeight="1" x14ac:dyDescent="0.5">
      <c r="A153" s="879" t="s">
        <v>196</v>
      </c>
      <c r="B153" s="880"/>
      <c r="C153" s="365"/>
      <c r="D153" s="358"/>
      <c r="E153" s="360"/>
      <c r="F153" s="361"/>
      <c r="G153" s="362">
        <f>SUM(G138:G152)</f>
        <v>2233</v>
      </c>
      <c r="H153" s="363"/>
      <c r="I153" s="119">
        <f>G153-(G38+G52)</f>
        <v>401</v>
      </c>
      <c r="J153" s="366"/>
    </row>
    <row r="154" spans="1:10" ht="27.75" customHeight="1" x14ac:dyDescent="0.55000000000000004">
      <c r="A154" s="883"/>
      <c r="B154" s="883"/>
      <c r="C154" s="883"/>
      <c r="D154" s="883"/>
      <c r="E154" s="883"/>
      <c r="F154" s="883"/>
      <c r="G154" s="883"/>
      <c r="H154" s="883"/>
      <c r="I154" s="883"/>
      <c r="J154" s="883"/>
    </row>
    <row r="155" spans="1:10" ht="27.75" customHeight="1" x14ac:dyDescent="0.55000000000000004">
      <c r="A155" s="850" t="s">
        <v>345</v>
      </c>
      <c r="B155" s="850"/>
      <c r="C155" s="850"/>
      <c r="D155" s="117" t="s">
        <v>130</v>
      </c>
      <c r="E155" s="95">
        <f>'13'!F155</f>
        <v>20669</v>
      </c>
      <c r="F155" s="374">
        <v>21350</v>
      </c>
      <c r="G155" s="112">
        <f t="shared" ref="G155:G158" si="12">F155-E155</f>
        <v>681</v>
      </c>
      <c r="H155" s="99">
        <f>G155+'13'!H155</f>
        <v>7878</v>
      </c>
      <c r="I155" s="364"/>
      <c r="J155" s="328">
        <f>H155/DAY(B2)</f>
        <v>562.71428571428567</v>
      </c>
    </row>
    <row r="156" spans="1:10" ht="27.75" customHeight="1" x14ac:dyDescent="0.5">
      <c r="A156" s="850" t="s">
        <v>347</v>
      </c>
      <c r="B156" s="850"/>
      <c r="C156" s="850"/>
      <c r="D156" s="117" t="s">
        <v>130</v>
      </c>
      <c r="E156" s="95">
        <f>'13'!F156</f>
        <v>1723</v>
      </c>
      <c r="F156" s="155">
        <v>1785</v>
      </c>
      <c r="G156" s="112">
        <f t="shared" si="12"/>
        <v>62</v>
      </c>
      <c r="H156" s="99">
        <f>G156+'13'!H156</f>
        <v>697</v>
      </c>
      <c r="I156" s="165"/>
      <c r="J156" s="328">
        <f>H156/DAY(B2)</f>
        <v>49.785714285714285</v>
      </c>
    </row>
    <row r="157" spans="1:10" ht="27.75" customHeight="1" x14ac:dyDescent="0.5">
      <c r="A157" s="842" t="s">
        <v>364</v>
      </c>
      <c r="B157" s="843"/>
      <c r="C157" s="844"/>
      <c r="D157" s="117" t="s">
        <v>130</v>
      </c>
      <c r="E157" s="155">
        <v>2176</v>
      </c>
      <c r="F157" s="155">
        <v>2280</v>
      </c>
      <c r="G157" s="112">
        <f t="shared" si="12"/>
        <v>104</v>
      </c>
      <c r="H157" s="99">
        <f>G157+'13'!H157</f>
        <v>349</v>
      </c>
      <c r="I157" s="165"/>
      <c r="J157" s="328">
        <f>H157/DAY(B2)</f>
        <v>24.928571428571427</v>
      </c>
    </row>
    <row r="158" spans="1:10" ht="27.75" customHeight="1" x14ac:dyDescent="0.5">
      <c r="A158" s="842" t="s">
        <v>365</v>
      </c>
      <c r="B158" s="843"/>
      <c r="C158" s="844"/>
      <c r="D158" s="117" t="s">
        <v>130</v>
      </c>
      <c r="E158" s="155">
        <v>23</v>
      </c>
      <c r="F158" s="155">
        <v>23</v>
      </c>
      <c r="G158" s="112">
        <f t="shared" si="12"/>
        <v>0</v>
      </c>
      <c r="H158" s="99">
        <f>G158+'13'!H158</f>
        <v>23</v>
      </c>
      <c r="I158" s="165"/>
      <c r="J158" s="328">
        <f>H158/DAY(B2)</f>
        <v>1.6428571428571428</v>
      </c>
    </row>
    <row r="159" spans="1:10" ht="27.75" customHeight="1" x14ac:dyDescent="0.5">
      <c r="A159" s="899"/>
      <c r="B159" s="900"/>
      <c r="C159" s="901"/>
      <c r="D159" s="117"/>
      <c r="E159" s="95"/>
      <c r="F159" s="165"/>
      <c r="G159" s="362">
        <f>SUM(G155:G158)</f>
        <v>847</v>
      </c>
      <c r="H159" s="99"/>
      <c r="I159" s="165"/>
      <c r="J159" s="328"/>
    </row>
    <row r="160" spans="1:10" ht="27.75" customHeight="1" x14ac:dyDescent="0.55000000000000004">
      <c r="A160" s="883" t="s">
        <v>326</v>
      </c>
      <c r="B160" s="883"/>
      <c r="C160" s="883"/>
      <c r="D160" s="883"/>
      <c r="E160" s="883"/>
      <c r="F160" s="883"/>
      <c r="G160" s="883"/>
      <c r="H160" s="883"/>
      <c r="I160" s="883"/>
      <c r="J160" s="883"/>
    </row>
    <row r="161" spans="1:10" ht="27.75" customHeight="1" x14ac:dyDescent="0.5">
      <c r="A161" s="242" t="s">
        <v>92</v>
      </c>
      <c r="B161" s="243"/>
      <c r="C161" s="243"/>
      <c r="D161" s="244" t="s">
        <v>180</v>
      </c>
      <c r="E161" s="95">
        <f>'13'!F161</f>
        <v>471418</v>
      </c>
      <c r="F161" s="235">
        <v>471424</v>
      </c>
      <c r="G161" s="238">
        <f t="shared" ref="G161:G165" si="13">F161-E161</f>
        <v>6</v>
      </c>
      <c r="H161" s="99">
        <f>G161+'13'!H161</f>
        <v>270.84000000002561</v>
      </c>
      <c r="I161" s="236"/>
      <c r="J161" s="239">
        <f>H161/DAY(B2)</f>
        <v>19.345714285716117</v>
      </c>
    </row>
    <row r="162" spans="1:10" ht="27.75" customHeight="1" x14ac:dyDescent="0.5">
      <c r="A162" s="242" t="s">
        <v>93</v>
      </c>
      <c r="B162" s="243"/>
      <c r="C162" s="243"/>
      <c r="D162" s="244" t="s">
        <v>180</v>
      </c>
      <c r="E162" s="95">
        <f>'13'!F162</f>
        <v>87924</v>
      </c>
      <c r="F162" s="235">
        <v>87964</v>
      </c>
      <c r="G162" s="238">
        <f t="shared" si="13"/>
        <v>40</v>
      </c>
      <c r="H162" s="99">
        <f>G162+'13'!H162</f>
        <v>394</v>
      </c>
      <c r="I162" s="236"/>
      <c r="J162" s="239">
        <f>H162/DAY(B2)</f>
        <v>28.142857142857142</v>
      </c>
    </row>
    <row r="163" spans="1:10" ht="27.75" customHeight="1" x14ac:dyDescent="0.5">
      <c r="A163" s="242" t="s">
        <v>197</v>
      </c>
      <c r="B163" s="243"/>
      <c r="C163" s="243"/>
      <c r="D163" s="244" t="s">
        <v>180</v>
      </c>
      <c r="E163" s="95">
        <f>'13'!F163</f>
        <v>78352</v>
      </c>
      <c r="F163" s="235">
        <v>78422</v>
      </c>
      <c r="G163" s="238">
        <f t="shared" si="13"/>
        <v>70</v>
      </c>
      <c r="H163" s="99">
        <f>G163+'13'!H163</f>
        <v>597</v>
      </c>
      <c r="I163" s="236"/>
      <c r="J163" s="239">
        <f>H163/DAY(B2)</f>
        <v>42.642857142857146</v>
      </c>
    </row>
    <row r="164" spans="1:10" ht="27.75" customHeight="1" x14ac:dyDescent="0.5">
      <c r="A164" s="242" t="s">
        <v>197</v>
      </c>
      <c r="B164" s="243"/>
      <c r="C164" s="243"/>
      <c r="D164" s="244" t="s">
        <v>180</v>
      </c>
      <c r="E164" s="95">
        <f>'13'!F164</f>
        <v>4260</v>
      </c>
      <c r="F164" s="235">
        <v>4263</v>
      </c>
      <c r="G164" s="238">
        <f t="shared" si="13"/>
        <v>3</v>
      </c>
      <c r="H164" s="99">
        <f>G164+'13'!H164</f>
        <v>21</v>
      </c>
      <c r="I164" s="236"/>
      <c r="J164" s="239">
        <f>H164/DAY(B2)</f>
        <v>1.5</v>
      </c>
    </row>
    <row r="165" spans="1:10" ht="27.75" customHeight="1" x14ac:dyDescent="0.5">
      <c r="A165" s="242" t="s">
        <v>309</v>
      </c>
      <c r="B165" s="243"/>
      <c r="C165" s="243"/>
      <c r="D165" s="244" t="s">
        <v>180</v>
      </c>
      <c r="E165" s="95">
        <f>'13'!F165</f>
        <v>29730</v>
      </c>
      <c r="F165" s="235">
        <v>29737</v>
      </c>
      <c r="G165" s="238">
        <f t="shared" si="13"/>
        <v>7</v>
      </c>
      <c r="H165" s="99">
        <f>G165+'13'!H165</f>
        <v>91</v>
      </c>
      <c r="I165" s="236"/>
      <c r="J165" s="239">
        <f>H165/DAY(B2)</f>
        <v>6.5</v>
      </c>
    </row>
    <row r="166" spans="1:10" ht="27.75" customHeight="1" x14ac:dyDescent="0.5">
      <c r="A166" s="882"/>
      <c r="B166" s="882"/>
      <c r="C166" s="246"/>
      <c r="D166" s="244" t="s">
        <v>180</v>
      </c>
      <c r="E166" s="95">
        <f>'13'!F166</f>
        <v>0</v>
      </c>
      <c r="F166" s="165"/>
      <c r="G166" s="165"/>
      <c r="H166" s="99">
        <f>G166+'13'!H166</f>
        <v>0</v>
      </c>
      <c r="I166" s="165"/>
      <c r="J166" s="239">
        <f>H166/DAY(B2)</f>
        <v>0</v>
      </c>
    </row>
    <row r="167" spans="1:10" ht="27.75" customHeight="1" x14ac:dyDescent="0.5">
      <c r="A167" s="882"/>
      <c r="B167" s="882"/>
      <c r="C167" s="246"/>
      <c r="D167" s="244" t="s">
        <v>180</v>
      </c>
      <c r="E167" s="95">
        <f>'13'!F167</f>
        <v>0</v>
      </c>
      <c r="F167" s="165"/>
      <c r="G167" s="165"/>
      <c r="H167" s="99">
        <f>G167+'13'!H167</f>
        <v>0</v>
      </c>
      <c r="I167" s="165"/>
      <c r="J167" s="239">
        <f>H167/DAY(B2)</f>
        <v>0</v>
      </c>
    </row>
    <row r="168" spans="1:10" ht="27.75" customHeight="1" x14ac:dyDescent="0.5">
      <c r="A168" s="882"/>
      <c r="B168" s="882"/>
      <c r="C168" s="246"/>
      <c r="D168" s="244" t="s">
        <v>180</v>
      </c>
      <c r="E168" s="95">
        <f>'13'!F168</f>
        <v>0</v>
      </c>
      <c r="F168" s="165"/>
      <c r="G168" s="165"/>
      <c r="H168" s="99">
        <f>G168+'13'!H168</f>
        <v>0</v>
      </c>
      <c r="I168" s="165"/>
      <c r="J168" s="239">
        <f>H168/DAY(B2)</f>
        <v>0</v>
      </c>
    </row>
    <row r="171" spans="1:10" ht="27.75" customHeight="1" x14ac:dyDescent="0.35">
      <c r="A171" s="890" t="s">
        <v>330</v>
      </c>
      <c r="B171" s="891"/>
      <c r="C171" s="891"/>
      <c r="D171" s="891"/>
      <c r="E171" s="891"/>
      <c r="F171" s="891"/>
      <c r="G171" s="891"/>
      <c r="H171" s="891"/>
      <c r="I171" s="891"/>
      <c r="J171" s="892"/>
    </row>
    <row r="172" spans="1:10" ht="27.75" customHeight="1" x14ac:dyDescent="0.5">
      <c r="A172" s="886"/>
      <c r="B172" s="887"/>
      <c r="C172" s="332"/>
      <c r="D172" s="228"/>
      <c r="E172" s="155"/>
      <c r="F172" s="155"/>
      <c r="G172" s="155"/>
      <c r="H172" s="156"/>
      <c r="I172" s="155"/>
      <c r="J172" s="178"/>
    </row>
    <row r="173" spans="1:10" ht="27.75" customHeight="1" x14ac:dyDescent="0.5">
      <c r="A173" s="840" t="s">
        <v>209</v>
      </c>
      <c r="B173" s="841"/>
      <c r="C173" s="333"/>
      <c r="D173" s="228" t="s">
        <v>142</v>
      </c>
      <c r="E173" s="95">
        <f>'13'!F173</f>
        <v>8126</v>
      </c>
      <c r="F173" s="155">
        <v>8126</v>
      </c>
      <c r="G173" s="155">
        <f>F173-E173</f>
        <v>0</v>
      </c>
      <c r="H173" s="99">
        <f>G173+'13'!H173</f>
        <v>0</v>
      </c>
      <c r="I173" s="155"/>
      <c r="J173" s="178">
        <f>H173/DAY(B2)</f>
        <v>0</v>
      </c>
    </row>
    <row r="174" spans="1:10" ht="27.75" customHeight="1" x14ac:dyDescent="0.5">
      <c r="A174" s="840" t="s">
        <v>75</v>
      </c>
      <c r="B174" s="841"/>
      <c r="C174" s="333"/>
      <c r="D174" s="228" t="s">
        <v>142</v>
      </c>
      <c r="E174" s="157">
        <v>38416</v>
      </c>
      <c r="F174" s="157">
        <v>38421</v>
      </c>
      <c r="G174" s="155">
        <f t="shared" ref="G174:G175" si="14">F174-E174</f>
        <v>5</v>
      </c>
      <c r="H174" s="99">
        <f>G174+'13'!H174</f>
        <v>128</v>
      </c>
      <c r="I174" s="155"/>
      <c r="J174" s="178">
        <f>H174/DAY(B2)</f>
        <v>9.1428571428571423</v>
      </c>
    </row>
    <row r="175" spans="1:10" ht="27.75" customHeight="1" x14ac:dyDescent="0.5">
      <c r="A175" s="840" t="s">
        <v>76</v>
      </c>
      <c r="B175" s="845"/>
      <c r="C175" s="841"/>
      <c r="D175" s="228" t="s">
        <v>142</v>
      </c>
      <c r="E175" s="95">
        <f>'13'!F175</f>
        <v>21637</v>
      </c>
      <c r="F175" s="155">
        <v>21643</v>
      </c>
      <c r="G175" s="155">
        <f t="shared" si="14"/>
        <v>6</v>
      </c>
      <c r="H175" s="99">
        <f>G175+'13'!H175</f>
        <v>125</v>
      </c>
      <c r="I175" s="155"/>
      <c r="J175" s="178">
        <f>H175/DAY(B2)</f>
        <v>8.9285714285714288</v>
      </c>
    </row>
    <row r="176" spans="1:10" ht="27.75" customHeight="1" x14ac:dyDescent="0.5">
      <c r="A176" s="879" t="s">
        <v>196</v>
      </c>
      <c r="B176" s="880"/>
      <c r="C176" s="485"/>
      <c r="D176" s="228" t="s">
        <v>142</v>
      </c>
      <c r="E176" s="95"/>
      <c r="F176" s="155"/>
      <c r="G176" s="155">
        <f>SUM(G173:G175)</f>
        <v>11</v>
      </c>
      <c r="H176" s="99">
        <f>G176+'13'!H176</f>
        <v>253</v>
      </c>
      <c r="I176" s="155"/>
      <c r="J176" s="178">
        <f>H176/DAY(B2)</f>
        <v>18.071428571428573</v>
      </c>
    </row>
    <row r="177" spans="1:10" ht="27.75" customHeight="1" x14ac:dyDescent="0.5">
      <c r="A177" s="840" t="s">
        <v>77</v>
      </c>
      <c r="B177" s="841"/>
      <c r="C177" s="333"/>
      <c r="D177" s="228" t="s">
        <v>142</v>
      </c>
      <c r="E177" s="95"/>
      <c r="F177" s="155"/>
      <c r="G177" s="155"/>
      <c r="H177" s="99">
        <f>G177+'13'!H177</f>
        <v>0</v>
      </c>
      <c r="I177" s="155"/>
      <c r="J177" s="178">
        <f>H177/DAY(B2)</f>
        <v>0</v>
      </c>
    </row>
    <row r="178" spans="1:10" ht="27.75" customHeight="1" x14ac:dyDescent="0.5">
      <c r="A178" s="840" t="s">
        <v>210</v>
      </c>
      <c r="B178" s="841"/>
      <c r="C178" s="333"/>
      <c r="D178" s="228" t="s">
        <v>142</v>
      </c>
      <c r="E178" s="95">
        <f>'13'!F178</f>
        <v>80376</v>
      </c>
      <c r="F178" s="155">
        <v>80397</v>
      </c>
      <c r="G178" s="155">
        <f>F178-E178</f>
        <v>21</v>
      </c>
      <c r="H178" s="99">
        <f>G178+'13'!H178</f>
        <v>783</v>
      </c>
      <c r="I178" s="155"/>
      <c r="J178" s="178">
        <f>H178/DAY(B2)</f>
        <v>55.928571428571431</v>
      </c>
    </row>
    <row r="179" spans="1:10" ht="27.75" customHeight="1" x14ac:dyDescent="0.5">
      <c r="A179" s="840" t="s">
        <v>211</v>
      </c>
      <c r="B179" s="841"/>
      <c r="C179" s="333"/>
      <c r="D179" s="228" t="s">
        <v>142</v>
      </c>
      <c r="E179" s="95">
        <f>'13'!F179</f>
        <v>34200</v>
      </c>
      <c r="F179" s="155">
        <v>34203</v>
      </c>
      <c r="G179" s="155">
        <f t="shared" ref="G179:G180" si="15">F179-E179</f>
        <v>3</v>
      </c>
      <c r="H179" s="99">
        <f>G179+'13'!H179</f>
        <v>288</v>
      </c>
      <c r="I179" s="155"/>
      <c r="J179" s="178">
        <f>H179/DAY(B2)</f>
        <v>20.571428571428573</v>
      </c>
    </row>
    <row r="180" spans="1:10" ht="27.75" customHeight="1" x14ac:dyDescent="0.5">
      <c r="A180" s="840" t="s">
        <v>212</v>
      </c>
      <c r="B180" s="841"/>
      <c r="C180" s="333"/>
      <c r="D180" s="228" t="s">
        <v>142</v>
      </c>
      <c r="E180" s="95">
        <f>'13'!F180</f>
        <v>5566</v>
      </c>
      <c r="F180" s="155">
        <v>5581</v>
      </c>
      <c r="G180" s="155">
        <f t="shared" si="15"/>
        <v>15</v>
      </c>
      <c r="H180" s="99">
        <f>G180+'13'!H180</f>
        <v>104</v>
      </c>
      <c r="I180" s="155"/>
      <c r="J180" s="178">
        <f>H180/DAY(B2)</f>
        <v>7.4285714285714288</v>
      </c>
    </row>
    <row r="181" spans="1:10" ht="27.75" customHeight="1" x14ac:dyDescent="0.5">
      <c r="A181" s="884" t="s">
        <v>108</v>
      </c>
      <c r="B181" s="885"/>
      <c r="C181" s="485"/>
      <c r="D181" s="228" t="s">
        <v>142</v>
      </c>
      <c r="E181" s="95"/>
      <c r="F181" s="155" t="s">
        <v>207</v>
      </c>
      <c r="G181" s="155">
        <f>SUM(G178:G180)</f>
        <v>39</v>
      </c>
      <c r="H181" s="99">
        <f>G181+'13'!H181</f>
        <v>1175</v>
      </c>
      <c r="I181" s="155"/>
      <c r="J181" s="178">
        <f>H181/DAY(B2)</f>
        <v>83.928571428571431</v>
      </c>
    </row>
    <row r="182" spans="1:10" ht="27.75" customHeight="1" x14ac:dyDescent="0.5">
      <c r="A182" s="840" t="s">
        <v>213</v>
      </c>
      <c r="B182" s="841"/>
      <c r="C182" s="333"/>
      <c r="D182" s="228" t="s">
        <v>142</v>
      </c>
      <c r="E182" s="95"/>
      <c r="F182" s="155"/>
      <c r="G182" s="155"/>
      <c r="H182" s="99">
        <f>G182+'13'!H182</f>
        <v>0</v>
      </c>
      <c r="I182" s="155"/>
      <c r="J182" s="178">
        <f>H182/DAY(B2)</f>
        <v>0</v>
      </c>
    </row>
    <row r="183" spans="1:10" ht="27.75" customHeight="1" x14ac:dyDescent="0.5">
      <c r="A183" s="840" t="s">
        <v>214</v>
      </c>
      <c r="B183" s="841"/>
      <c r="C183" s="334"/>
      <c r="D183" s="228" t="s">
        <v>142</v>
      </c>
      <c r="E183" s="95">
        <f>'13'!F183</f>
        <v>15108</v>
      </c>
      <c r="F183" s="157">
        <v>15121</v>
      </c>
      <c r="G183" s="157">
        <f>F183-E183</f>
        <v>13</v>
      </c>
      <c r="H183" s="99">
        <f>G183+'13'!H183</f>
        <v>174</v>
      </c>
      <c r="I183" s="155"/>
      <c r="J183" s="178">
        <f>H183/DAY(B2)</f>
        <v>12.428571428571429</v>
      </c>
    </row>
    <row r="184" spans="1:10" ht="27.75" customHeight="1" x14ac:dyDescent="0.5">
      <c r="A184" s="840" t="s">
        <v>215</v>
      </c>
      <c r="B184" s="841"/>
      <c r="C184" s="334"/>
      <c r="D184" s="228" t="s">
        <v>142</v>
      </c>
      <c r="E184" s="95">
        <f>'13'!F184</f>
        <v>10389</v>
      </c>
      <c r="F184" s="157">
        <v>10393</v>
      </c>
      <c r="G184" s="157">
        <f t="shared" ref="G184:G185" si="16">F184-E184</f>
        <v>4</v>
      </c>
      <c r="H184" s="99">
        <f>G184+'13'!H184</f>
        <v>92</v>
      </c>
      <c r="I184" s="155"/>
      <c r="J184" s="178">
        <f>H184/DAY(B2)</f>
        <v>6.5714285714285712</v>
      </c>
    </row>
    <row r="185" spans="1:10" ht="27.75" customHeight="1" x14ac:dyDescent="0.5">
      <c r="A185" s="840" t="s">
        <v>216</v>
      </c>
      <c r="B185" s="841"/>
      <c r="C185" s="334"/>
      <c r="D185" s="228" t="s">
        <v>142</v>
      </c>
      <c r="E185" s="95">
        <f>'13'!F185</f>
        <v>0</v>
      </c>
      <c r="F185" s="157">
        <v>0</v>
      </c>
      <c r="G185" s="157">
        <f t="shared" si="16"/>
        <v>0</v>
      </c>
      <c r="H185" s="99">
        <f>G185+'13'!H185</f>
        <v>0</v>
      </c>
      <c r="I185" s="155"/>
      <c r="J185" s="178">
        <f>H185/DAY(B2)</f>
        <v>0</v>
      </c>
    </row>
    <row r="186" spans="1:10" ht="27.75" customHeight="1" x14ac:dyDescent="0.5">
      <c r="A186" s="879" t="s">
        <v>196</v>
      </c>
      <c r="B186" s="880"/>
      <c r="C186" s="484"/>
      <c r="D186" s="228" t="s">
        <v>142</v>
      </c>
      <c r="E186" s="95"/>
      <c r="F186" s="157"/>
      <c r="G186" s="157">
        <f>SUM(G183:G185)</f>
        <v>17</v>
      </c>
      <c r="H186" s="99">
        <f>G186+'13'!H186</f>
        <v>266</v>
      </c>
      <c r="I186" s="157"/>
      <c r="J186" s="178">
        <f>H186/DAY(B2)</f>
        <v>19</v>
      </c>
    </row>
    <row r="187" spans="1:10" ht="27.75" customHeight="1" x14ac:dyDescent="0.5">
      <c r="A187" s="888" t="s">
        <v>217</v>
      </c>
      <c r="B187" s="889"/>
      <c r="C187" s="333"/>
      <c r="D187" s="230" t="s">
        <v>142</v>
      </c>
      <c r="E187" s="95"/>
      <c r="F187" s="159"/>
      <c r="G187" s="462">
        <f>G62+G19</f>
        <v>100</v>
      </c>
      <c r="H187" s="99">
        <f>G187+'13'!H187</f>
        <v>1552</v>
      </c>
      <c r="I187" s="158"/>
      <c r="J187" s="179">
        <f>H187/DAY(B2)</f>
        <v>110.85714285714286</v>
      </c>
    </row>
    <row r="188" spans="1:10" ht="27.75" customHeight="1" x14ac:dyDescent="0.5">
      <c r="A188" s="888" t="s">
        <v>218</v>
      </c>
      <c r="B188" s="889"/>
      <c r="C188" s="333"/>
      <c r="D188" s="230" t="s">
        <v>142</v>
      </c>
      <c r="E188" s="95"/>
      <c r="F188" s="159"/>
      <c r="G188" s="462">
        <f>G65+G66+G67+G69+G70</f>
        <v>99</v>
      </c>
      <c r="H188" s="99"/>
      <c r="I188" s="158"/>
      <c r="J188" s="489">
        <f>H188/DAY(B2)</f>
        <v>0</v>
      </c>
    </row>
    <row r="189" spans="1:10" ht="27.75" customHeight="1" x14ac:dyDescent="0.5">
      <c r="A189" s="888" t="s">
        <v>219</v>
      </c>
      <c r="B189" s="889"/>
      <c r="C189" s="333"/>
      <c r="D189" s="230" t="s">
        <v>142</v>
      </c>
      <c r="E189" s="95"/>
      <c r="F189" s="157"/>
      <c r="G189" s="459">
        <f>G181</f>
        <v>39</v>
      </c>
      <c r="H189" s="99">
        <f>G189+'13'!H189</f>
        <v>1175</v>
      </c>
      <c r="I189" s="158"/>
      <c r="J189" s="179">
        <f>H189/DAY(B2)</f>
        <v>83.928571428571431</v>
      </c>
    </row>
    <row r="190" spans="1:10" ht="27.75" customHeight="1" x14ac:dyDescent="0.5">
      <c r="A190" s="811"/>
      <c r="B190" s="812"/>
      <c r="C190" s="483"/>
      <c r="D190" s="480"/>
      <c r="E190" s="480" t="s">
        <v>207</v>
      </c>
      <c r="F190" s="480"/>
      <c r="G190" s="480"/>
      <c r="H190" s="481"/>
      <c r="I190" s="480"/>
      <c r="J190" s="482"/>
    </row>
  </sheetData>
  <mergeCells count="115">
    <mergeCell ref="A157:C157"/>
    <mergeCell ref="A189:B189"/>
    <mergeCell ref="A166:B166"/>
    <mergeCell ref="A167:B167"/>
    <mergeCell ref="A175:C175"/>
    <mergeCell ref="A178:B178"/>
    <mergeCell ref="A179:B179"/>
    <mergeCell ref="A160:J160"/>
    <mergeCell ref="A158:C158"/>
    <mergeCell ref="Q116:R116"/>
    <mergeCell ref="A117:C117"/>
    <mergeCell ref="Q117:R117"/>
    <mergeCell ref="A118:C118"/>
    <mergeCell ref="Q118:R118"/>
    <mergeCell ref="A150:C150"/>
    <mergeCell ref="A151:C151"/>
    <mergeCell ref="A152:C152"/>
    <mergeCell ref="A154:J154"/>
    <mergeCell ref="A153:B153"/>
    <mergeCell ref="A132:C132"/>
    <mergeCell ref="A133:C133"/>
    <mergeCell ref="A134:C134"/>
    <mergeCell ref="A136:J136"/>
    <mergeCell ref="A138:C138"/>
    <mergeCell ref="A139:C139"/>
    <mergeCell ref="A121:C121"/>
    <mergeCell ref="A122:C122"/>
    <mergeCell ref="A148:C148"/>
    <mergeCell ref="A149:C149"/>
    <mergeCell ref="A147:C147"/>
    <mergeCell ref="A143:C143"/>
    <mergeCell ref="A140:C140"/>
    <mergeCell ref="A141:C141"/>
    <mergeCell ref="A146:C146"/>
    <mergeCell ref="A103:C103"/>
    <mergeCell ref="A104:C104"/>
    <mergeCell ref="A105:C105"/>
    <mergeCell ref="A108:J108"/>
    <mergeCell ref="A110:J110"/>
    <mergeCell ref="A190:B190"/>
    <mergeCell ref="A172:B172"/>
    <mergeCell ref="A173:B173"/>
    <mergeCell ref="A174:B174"/>
    <mergeCell ref="A176:B176"/>
    <mergeCell ref="A177:B177"/>
    <mergeCell ref="A184:B184"/>
    <mergeCell ref="A185:B185"/>
    <mergeCell ref="A171:J171"/>
    <mergeCell ref="A183:B183"/>
    <mergeCell ref="A181:B181"/>
    <mergeCell ref="A182:B182"/>
    <mergeCell ref="A180:B180"/>
    <mergeCell ref="A186:B186"/>
    <mergeCell ref="A187:B187"/>
    <mergeCell ref="A188:B188"/>
    <mergeCell ref="A168:B168"/>
    <mergeCell ref="A156:C156"/>
    <mergeCell ref="A77:C77"/>
    <mergeCell ref="A102:C102"/>
    <mergeCell ref="A95:C95"/>
    <mergeCell ref="A96:C96"/>
    <mergeCell ref="A93:C93"/>
    <mergeCell ref="A94:C94"/>
    <mergeCell ref="A101:C101"/>
    <mergeCell ref="A111:C111"/>
    <mergeCell ref="A112:C112"/>
    <mergeCell ref="A78:C78"/>
    <mergeCell ref="A124:C124"/>
    <mergeCell ref="A128:C128"/>
    <mergeCell ref="A131:C131"/>
    <mergeCell ref="A135:B135"/>
    <mergeCell ref="A79:C79"/>
    <mergeCell ref="A80:C80"/>
    <mergeCell ref="A159:C159"/>
    <mergeCell ref="A144:C144"/>
    <mergeCell ref="A97:C97"/>
    <mergeCell ref="A98:C98"/>
    <mergeCell ref="A99:C99"/>
    <mergeCell ref="A100:C100"/>
    <mergeCell ref="A109:B109"/>
    <mergeCell ref="A125:B125"/>
    <mergeCell ref="A126:J126"/>
    <mergeCell ref="A127:B127"/>
    <mergeCell ref="A114:C114"/>
    <mergeCell ref="A115:C115"/>
    <mergeCell ref="A116:C116"/>
    <mergeCell ref="A119:C119"/>
    <mergeCell ref="A120:C120"/>
    <mergeCell ref="A81:C81"/>
    <mergeCell ref="A155:C155"/>
    <mergeCell ref="A145:C145"/>
    <mergeCell ref="A142:C142"/>
    <mergeCell ref="A75:C75"/>
    <mergeCell ref="A76:C76"/>
    <mergeCell ref="A1:J1"/>
    <mergeCell ref="A6:C6"/>
    <mergeCell ref="A14:C14"/>
    <mergeCell ref="A17:C17"/>
    <mergeCell ref="E3:F3"/>
    <mergeCell ref="A64:C64"/>
    <mergeCell ref="A65:C65"/>
    <mergeCell ref="A18:C18"/>
    <mergeCell ref="A19:C19"/>
    <mergeCell ref="A21:C21"/>
    <mergeCell ref="A25:C25"/>
    <mergeCell ref="A33:C33"/>
    <mergeCell ref="A61:C61"/>
    <mergeCell ref="A62:C62"/>
    <mergeCell ref="A63:C63"/>
    <mergeCell ref="A71:C71"/>
    <mergeCell ref="A72:B72"/>
    <mergeCell ref="A73:C73"/>
    <mergeCell ref="A74:C74"/>
    <mergeCell ref="A113:C113"/>
    <mergeCell ref="A123:C123"/>
  </mergeCells>
  <pageMargins left="0.22" right="0.17" top="0.14000000000000001" bottom="0.2" header="0.2" footer="0.2"/>
  <pageSetup paperSize="5" scale="19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1:R270"/>
  <sheetViews>
    <sheetView view="pageBreakPreview" topLeftCell="A103" zoomScale="55" zoomScaleNormal="80" zoomScaleSheetLayoutView="55" workbookViewId="0">
      <selection activeCell="F24" sqref="F24"/>
    </sheetView>
  </sheetViews>
  <sheetFormatPr defaultColWidth="22.33203125" defaultRowHeight="21.95" customHeight="1" x14ac:dyDescent="0.5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6" width="30" style="160" customWidth="1"/>
    <col min="7" max="7" width="28.88671875" style="160" customWidth="1"/>
    <col min="8" max="8" width="39.21875" style="161" customWidth="1"/>
    <col min="9" max="9" width="23.5546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33.75" x14ac:dyDescent="0.65">
      <c r="A1" s="821" t="s">
        <v>115</v>
      </c>
      <c r="B1" s="822"/>
      <c r="C1" s="822"/>
      <c r="D1" s="822"/>
      <c r="E1" s="822"/>
      <c r="F1" s="822"/>
      <c r="G1" s="822"/>
      <c r="H1" s="822"/>
      <c r="I1" s="822"/>
      <c r="J1" s="823"/>
    </row>
    <row r="2" spans="1:15" s="57" customFormat="1" ht="27" x14ac:dyDescent="0.5">
      <c r="A2" s="191" t="s">
        <v>350</v>
      </c>
      <c r="B2" s="262">
        <v>44576</v>
      </c>
      <c r="C2" s="348" t="s">
        <v>67</v>
      </c>
      <c r="D2" s="218">
        <v>0.5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27" x14ac:dyDescent="0.5">
      <c r="A3" s="189"/>
      <c r="B3" s="221"/>
      <c r="C3" s="348" t="s">
        <v>118</v>
      </c>
      <c r="D3" s="219">
        <v>26</v>
      </c>
      <c r="E3" s="830" t="s">
        <v>119</v>
      </c>
      <c r="F3" s="831"/>
      <c r="G3" s="101"/>
      <c r="H3" s="102"/>
      <c r="I3" s="102"/>
      <c r="J3" s="222"/>
      <c r="K3" s="61"/>
      <c r="L3" s="58"/>
    </row>
    <row r="4" spans="1:15" s="57" customFormat="1" ht="27" x14ac:dyDescent="0.5">
      <c r="A4" s="192"/>
      <c r="B4" s="223"/>
      <c r="C4" s="348" t="s">
        <v>120</v>
      </c>
      <c r="D4" s="218">
        <v>0.6</v>
      </c>
      <c r="E4" s="103"/>
      <c r="F4" s="103"/>
      <c r="G4" s="103"/>
      <c r="H4" s="103"/>
      <c r="I4" s="104"/>
      <c r="J4" s="222"/>
      <c r="K4" s="62"/>
      <c r="L4" s="58"/>
    </row>
    <row r="5" spans="1:15" ht="29.25" x14ac:dyDescent="0.4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5" ht="29.25" x14ac:dyDescent="0.4">
      <c r="A6" s="824" t="s">
        <v>128</v>
      </c>
      <c r="B6" s="825"/>
      <c r="C6" s="826"/>
      <c r="D6" s="110"/>
      <c r="E6" s="110"/>
      <c r="F6" s="110"/>
      <c r="G6" s="110"/>
      <c r="H6" s="111"/>
      <c r="I6" s="111"/>
      <c r="J6" s="174"/>
      <c r="K6" s="78"/>
      <c r="L6" s="66"/>
    </row>
    <row r="7" spans="1:15" ht="30" thickBot="1" x14ac:dyDescent="0.45">
      <c r="A7" s="194" t="s">
        <v>129</v>
      </c>
      <c r="B7" s="195"/>
      <c r="C7" s="195"/>
      <c r="D7" s="151" t="s">
        <v>130</v>
      </c>
      <c r="E7" s="95">
        <f>'14'!F7</f>
        <v>354423</v>
      </c>
      <c r="F7" s="95">
        <v>371639.75</v>
      </c>
      <c r="G7" s="236">
        <f>F7-E7</f>
        <v>17216.75</v>
      </c>
      <c r="H7" s="99">
        <f>G7+'14'!H7</f>
        <v>277078.75</v>
      </c>
      <c r="I7" s="113">
        <f>'1'!I7</f>
        <v>12000</v>
      </c>
      <c r="J7" s="175">
        <f>H7/DAY(B2)</f>
        <v>18471.916666666668</v>
      </c>
      <c r="K7" s="172">
        <v>1375467</v>
      </c>
      <c r="L7" s="66"/>
      <c r="N7" s="87">
        <f>E7-1000000</f>
        <v>-645577</v>
      </c>
      <c r="O7" s="71">
        <f>6359+17763</f>
        <v>24122</v>
      </c>
    </row>
    <row r="8" spans="1:15" ht="27.75" thickBot="1" x14ac:dyDescent="0.45">
      <c r="A8" s="196" t="s">
        <v>131</v>
      </c>
      <c r="B8" s="197"/>
      <c r="C8" s="198"/>
      <c r="D8" s="224" t="s">
        <v>24</v>
      </c>
      <c r="E8" s="95">
        <f>'14'!F8</f>
        <v>405455</v>
      </c>
      <c r="F8" s="95">
        <v>422783.71</v>
      </c>
      <c r="G8" s="704">
        <f>F8-E8</f>
        <v>17328.710000000021</v>
      </c>
      <c r="H8" s="99">
        <f>G8+'14'!H8</f>
        <v>281898.71000000002</v>
      </c>
      <c r="I8" s="116"/>
      <c r="J8" s="175">
        <f>H8/DAY(B2)</f>
        <v>18793.247333333336</v>
      </c>
      <c r="K8" s="172">
        <v>1715917</v>
      </c>
      <c r="L8" s="76">
        <v>1728480</v>
      </c>
      <c r="M8" s="87">
        <f>L8-K8</f>
        <v>12563</v>
      </c>
      <c r="N8" s="87">
        <f>E8-1100000</f>
        <v>-694545</v>
      </c>
      <c r="O8" s="71"/>
    </row>
    <row r="9" spans="1:15" ht="29.25" x14ac:dyDescent="0.4">
      <c r="A9" s="199" t="s">
        <v>132</v>
      </c>
      <c r="B9" s="200"/>
      <c r="C9" s="200"/>
      <c r="D9" s="151" t="s">
        <v>130</v>
      </c>
      <c r="E9" s="95">
        <f>'14'!F9</f>
        <v>65618</v>
      </c>
      <c r="F9" s="601">
        <v>76355.41</v>
      </c>
      <c r="G9" s="112">
        <f>F9-E9</f>
        <v>10737.410000000003</v>
      </c>
      <c r="H9" s="99">
        <f>G9+'14'!H9</f>
        <v>174860.41</v>
      </c>
      <c r="I9" s="124">
        <f>I7-J7</f>
        <v>-6471.9166666666679</v>
      </c>
      <c r="J9" s="175">
        <f>H9/DAY(B2)</f>
        <v>11657.360666666667</v>
      </c>
      <c r="K9" s="79">
        <f>K8-100</f>
        <v>1715817</v>
      </c>
      <c r="L9" s="66"/>
      <c r="N9" s="87"/>
      <c r="O9" s="71"/>
    </row>
    <row r="10" spans="1:15" ht="29.25" x14ac:dyDescent="0.4">
      <c r="A10" s="194" t="s">
        <v>133</v>
      </c>
      <c r="B10" s="195"/>
      <c r="C10" s="195"/>
      <c r="D10" s="151" t="s">
        <v>130</v>
      </c>
      <c r="E10" s="95">
        <f>'14'!F10</f>
        <v>33645</v>
      </c>
      <c r="F10" s="353">
        <v>39677.22</v>
      </c>
      <c r="G10" s="112">
        <f>F10-E10</f>
        <v>6032.2200000000012</v>
      </c>
      <c r="H10" s="99">
        <f>G10+'14'!H10</f>
        <v>94583.22</v>
      </c>
      <c r="I10" s="282"/>
      <c r="J10" s="175">
        <f>H10/DAY(B2)</f>
        <v>6305.5479999999998</v>
      </c>
      <c r="K10" s="79"/>
      <c r="L10" s="66"/>
      <c r="N10" s="87"/>
      <c r="O10" s="71"/>
    </row>
    <row r="11" spans="1:15" ht="29.25" x14ac:dyDescent="0.4">
      <c r="A11" s="194" t="s">
        <v>134</v>
      </c>
      <c r="B11" s="195"/>
      <c r="C11" s="195"/>
      <c r="D11" s="151" t="s">
        <v>130</v>
      </c>
      <c r="E11" s="95">
        <f>'14'!F11</f>
        <v>37000</v>
      </c>
      <c r="F11" s="95">
        <v>37000</v>
      </c>
      <c r="G11" s="112">
        <f t="shared" ref="G11:G12" si="0">F11-E11</f>
        <v>0</v>
      </c>
      <c r="H11" s="99">
        <f>G11+'14'!H11</f>
        <v>0</v>
      </c>
      <c r="I11" s="282"/>
      <c r="J11" s="175">
        <f>H11/DAY(B2)</f>
        <v>0</v>
      </c>
      <c r="K11" s="79"/>
      <c r="L11" s="66"/>
      <c r="N11" s="87"/>
      <c r="O11" s="71"/>
    </row>
    <row r="12" spans="1:15" ht="29.25" x14ac:dyDescent="0.4">
      <c r="A12" s="194" t="s">
        <v>135</v>
      </c>
      <c r="B12" s="195"/>
      <c r="C12" s="195"/>
      <c r="D12" s="151" t="s">
        <v>130</v>
      </c>
      <c r="E12" s="95">
        <f>'14'!F12</f>
        <v>40010</v>
      </c>
      <c r="F12" s="117">
        <v>40010</v>
      </c>
      <c r="G12" s="112">
        <f t="shared" si="0"/>
        <v>0</v>
      </c>
      <c r="H12" s="99">
        <f>G12+'14'!H12</f>
        <v>0</v>
      </c>
      <c r="I12" s="282"/>
      <c r="J12" s="175">
        <f>H12/DAY(B2)</f>
        <v>0</v>
      </c>
      <c r="K12" s="79"/>
      <c r="L12" s="66"/>
      <c r="N12" s="87"/>
      <c r="O12" s="71"/>
    </row>
    <row r="13" spans="1:15" ht="29.25" x14ac:dyDescent="0.5">
      <c r="A13" s="201" t="s">
        <v>136</v>
      </c>
      <c r="B13" s="202"/>
      <c r="C13" s="202"/>
      <c r="D13" s="151"/>
      <c r="E13" s="95"/>
      <c r="F13" s="95"/>
      <c r="G13" s="119">
        <f>G9+G10+G11+G12</f>
        <v>16769.630000000005</v>
      </c>
      <c r="H13" s="99">
        <f>G13+'14'!H13</f>
        <v>249978.37999999989</v>
      </c>
      <c r="I13" s="120">
        <f>G7-G13</f>
        <v>447.11999999999534</v>
      </c>
      <c r="J13" s="175">
        <f>H13/DAY(B2)</f>
        <v>16665.225333333325</v>
      </c>
      <c r="K13" s="79"/>
      <c r="L13" s="66"/>
      <c r="N13" s="87"/>
      <c r="O13" s="71"/>
    </row>
    <row r="14" spans="1:15" ht="29.25" x14ac:dyDescent="0.5">
      <c r="A14" s="827" t="s">
        <v>137</v>
      </c>
      <c r="B14" s="828"/>
      <c r="C14" s="829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5" ht="29.25" x14ac:dyDescent="0.5">
      <c r="A15" s="345" t="s">
        <v>138</v>
      </c>
      <c r="B15" s="205"/>
      <c r="C15" s="205"/>
      <c r="D15" s="151" t="s">
        <v>139</v>
      </c>
      <c r="E15" s="95">
        <f>'14'!F15</f>
        <v>1890635</v>
      </c>
      <c r="F15" s="123">
        <v>1891600</v>
      </c>
      <c r="G15" s="112">
        <f>(F15-E15)</f>
        <v>965</v>
      </c>
      <c r="H15" s="99">
        <f>G15+'14'!H15</f>
        <v>13170</v>
      </c>
      <c r="I15" s="113">
        <f>'1'!I15</f>
        <v>800</v>
      </c>
      <c r="J15" s="175">
        <f>H15/DAY(B2)</f>
        <v>878</v>
      </c>
      <c r="K15" s="79"/>
      <c r="L15" s="66"/>
      <c r="N15" s="87">
        <v>720584</v>
      </c>
      <c r="O15" s="71">
        <f>N15-F15</f>
        <v>-1171016</v>
      </c>
    </row>
    <row r="16" spans="1:15" ht="29.25" x14ac:dyDescent="0.4">
      <c r="A16" s="203"/>
      <c r="B16" s="204"/>
      <c r="C16" s="204"/>
      <c r="D16" s="152"/>
      <c r="E16" s="123"/>
      <c r="G16" s="112"/>
      <c r="H16" s="124"/>
      <c r="I16" s="120">
        <f>I15-J15</f>
        <v>-78</v>
      </c>
      <c r="J16" s="176"/>
      <c r="K16" s="79"/>
      <c r="L16" s="66"/>
      <c r="N16" s="87"/>
      <c r="O16" s="71"/>
    </row>
    <row r="17" spans="1:15" ht="29.25" x14ac:dyDescent="0.5">
      <c r="A17" s="827" t="s">
        <v>140</v>
      </c>
      <c r="B17" s="828"/>
      <c r="C17" s="829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5" ht="27.75" x14ac:dyDescent="0.5">
      <c r="A18" s="818" t="s">
        <v>141</v>
      </c>
      <c r="B18" s="819"/>
      <c r="C18" s="820"/>
      <c r="D18" s="151" t="s">
        <v>142</v>
      </c>
      <c r="E18" s="95">
        <f>'14'!F18</f>
        <v>6</v>
      </c>
      <c r="F18" s="122">
        <v>10</v>
      </c>
      <c r="G18" s="119">
        <f>F18*10</f>
        <v>100</v>
      </c>
      <c r="H18" s="99">
        <f>G18+'14'!H18</f>
        <v>1660</v>
      </c>
      <c r="I18" s="113">
        <f>'1'!I18</f>
        <v>65</v>
      </c>
      <c r="J18" s="175">
        <f>H18/DAY(B2)</f>
        <v>110.66666666666667</v>
      </c>
      <c r="K18" s="79"/>
      <c r="L18" s="66"/>
      <c r="N18" s="87"/>
      <c r="O18" s="71"/>
    </row>
    <row r="19" spans="1:15" ht="27.75" x14ac:dyDescent="0.5">
      <c r="A19" s="818" t="s">
        <v>69</v>
      </c>
      <c r="B19" s="819"/>
      <c r="C19" s="820"/>
      <c r="D19" s="151" t="s">
        <v>142</v>
      </c>
      <c r="E19" s="95">
        <f>'14'!F19</f>
        <v>152962</v>
      </c>
      <c r="F19" s="122">
        <f>E19+55</f>
        <v>153017</v>
      </c>
      <c r="G19" s="112">
        <f t="shared" ref="G19" si="1">F19-E19</f>
        <v>55</v>
      </c>
      <c r="H19" s="99">
        <f>G19+'14'!H19</f>
        <v>792</v>
      </c>
      <c r="I19" s="335"/>
      <c r="J19" s="175">
        <f>H19/DAY(B2)</f>
        <v>52.8</v>
      </c>
      <c r="K19" s="79"/>
      <c r="L19" s="66"/>
      <c r="N19" s="87"/>
      <c r="O19" s="71"/>
    </row>
    <row r="20" spans="1:15" ht="29.25" x14ac:dyDescent="0.5">
      <c r="A20" s="201" t="s">
        <v>143</v>
      </c>
      <c r="B20" s="202"/>
      <c r="C20" s="202"/>
      <c r="D20" s="126"/>
      <c r="E20" s="126"/>
      <c r="F20" s="126"/>
      <c r="G20" s="127">
        <f>G18+G19</f>
        <v>155</v>
      </c>
      <c r="H20" s="99">
        <f>G20+'14'!H20</f>
        <v>2452</v>
      </c>
      <c r="I20" s="336">
        <f>I18-J20</f>
        <v>-98.466666666666669</v>
      </c>
      <c r="J20" s="175">
        <f>H20/DAY(B2)</f>
        <v>163.46666666666667</v>
      </c>
      <c r="K20" s="79"/>
      <c r="L20" s="66"/>
      <c r="N20" s="87"/>
      <c r="O20" s="71"/>
    </row>
    <row r="21" spans="1:15" ht="29.25" x14ac:dyDescent="0.5">
      <c r="A21" s="827" t="s">
        <v>144</v>
      </c>
      <c r="B21" s="828"/>
      <c r="C21" s="829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5" ht="29.25" x14ac:dyDescent="0.5">
      <c r="A22" s="345" t="s">
        <v>145</v>
      </c>
      <c r="B22" s="205"/>
      <c r="C22" s="205"/>
      <c r="D22" s="151" t="s">
        <v>146</v>
      </c>
      <c r="E22" s="95">
        <f>'14'!F22</f>
        <v>2970</v>
      </c>
      <c r="F22" s="122">
        <v>2970</v>
      </c>
      <c r="G22" s="119">
        <f t="shared" ref="G22" si="2">(F22-E22)</f>
        <v>0</v>
      </c>
      <c r="H22" s="99">
        <f>G22+'14'!H22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29.25" x14ac:dyDescent="0.5">
      <c r="A23" s="345" t="s">
        <v>147</v>
      </c>
      <c r="B23" s="205"/>
      <c r="C23" s="205"/>
      <c r="D23" s="151" t="s">
        <v>146</v>
      </c>
      <c r="E23" s="95">
        <f>'14'!F23</f>
        <v>1500</v>
      </c>
      <c r="F23" s="122">
        <v>1500</v>
      </c>
      <c r="G23" s="119">
        <v>0</v>
      </c>
      <c r="H23" s="99">
        <f>G23+'14'!H23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5" ht="29.25" x14ac:dyDescent="0.4">
      <c r="A24" s="206" t="s">
        <v>148</v>
      </c>
      <c r="B24" s="207"/>
      <c r="C24" s="207"/>
      <c r="D24" s="146" t="s">
        <v>146</v>
      </c>
      <c r="E24" s="95">
        <f>'14'!F24</f>
        <v>4970</v>
      </c>
      <c r="F24" s="128">
        <v>4970</v>
      </c>
      <c r="G24" s="119">
        <v>0</v>
      </c>
      <c r="H24" s="99">
        <f>G24+'14'!H24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5" s="88" customFormat="1" ht="27" x14ac:dyDescent="0.35">
      <c r="A25" s="832" t="s">
        <v>149</v>
      </c>
      <c r="B25" s="833"/>
      <c r="C25" s="834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5" s="88" customFormat="1" ht="27.75" x14ac:dyDescent="0.5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/>
      <c r="I26" s="134"/>
      <c r="J26" s="175"/>
      <c r="K26" s="64"/>
      <c r="L26" s="89"/>
      <c r="N26" s="87"/>
      <c r="O26" s="71"/>
    </row>
    <row r="27" spans="1:15" s="88" customFormat="1" ht="27.75" x14ac:dyDescent="0.5">
      <c r="A27" s="208" t="s">
        <v>5</v>
      </c>
      <c r="B27" s="209"/>
      <c r="C27" s="210"/>
      <c r="D27" s="226" t="s">
        <v>24</v>
      </c>
      <c r="E27" s="135">
        <f>G8</f>
        <v>17328.710000000021</v>
      </c>
      <c r="F27" s="136">
        <v>9</v>
      </c>
      <c r="G27" s="137">
        <f>E27*F27</f>
        <v>155958.39000000019</v>
      </c>
      <c r="H27" s="99">
        <f>G27+'14'!H27</f>
        <v>2537088.39</v>
      </c>
      <c r="I27" s="138"/>
      <c r="J27" s="175">
        <f>H27/DAY(B2)</f>
        <v>169139.226</v>
      </c>
      <c r="K27" s="63"/>
      <c r="L27" s="89"/>
      <c r="N27" s="87"/>
      <c r="O27" s="71"/>
    </row>
    <row r="28" spans="1:15" s="88" customFormat="1" ht="27.75" x14ac:dyDescent="0.5">
      <c r="A28" s="208" t="s">
        <v>152</v>
      </c>
      <c r="B28" s="209"/>
      <c r="C28" s="210"/>
      <c r="D28" s="226" t="s">
        <v>153</v>
      </c>
      <c r="E28" s="139">
        <f>G15</f>
        <v>965</v>
      </c>
      <c r="F28" s="136">
        <v>52</v>
      </c>
      <c r="G28" s="137">
        <f>E28*F28</f>
        <v>50180</v>
      </c>
      <c r="H28" s="99">
        <f>G28+'14'!H28</f>
        <v>684840</v>
      </c>
      <c r="I28" s="140"/>
      <c r="J28" s="175">
        <f>H28/DAY(B2)</f>
        <v>45656</v>
      </c>
      <c r="K28" s="63"/>
      <c r="L28" s="89"/>
      <c r="N28" s="87"/>
      <c r="O28" s="71"/>
    </row>
    <row r="29" spans="1:15" s="88" customFormat="1" ht="27.75" x14ac:dyDescent="0.5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>E29*F29</f>
        <v>0</v>
      </c>
      <c r="H29" s="99">
        <f>G29+'14'!H29</f>
        <v>0</v>
      </c>
      <c r="I29" s="140"/>
      <c r="J29" s="175">
        <f>H29/DAY(B2)</f>
        <v>0</v>
      </c>
      <c r="K29" s="63"/>
      <c r="L29" s="89"/>
      <c r="N29" s="87"/>
      <c r="O29" s="71"/>
    </row>
    <row r="30" spans="1:15" s="88" customFormat="1" ht="27.75" x14ac:dyDescent="0.5">
      <c r="A30" s="208" t="s">
        <v>156</v>
      </c>
      <c r="B30" s="209"/>
      <c r="C30" s="210"/>
      <c r="D30" s="226" t="s">
        <v>157</v>
      </c>
      <c r="E30" s="141">
        <f>G19</f>
        <v>55</v>
      </c>
      <c r="F30" s="136">
        <v>146</v>
      </c>
      <c r="G30" s="137">
        <f>E30*F30</f>
        <v>8030</v>
      </c>
      <c r="H30" s="99">
        <f>G30+'14'!H30</f>
        <v>115632</v>
      </c>
      <c r="I30" s="140"/>
      <c r="J30" s="175">
        <f>H30/DAY(B2)</f>
        <v>7708.8</v>
      </c>
      <c r="K30" s="63"/>
      <c r="L30" s="89"/>
      <c r="N30" s="87"/>
      <c r="O30" s="71"/>
    </row>
    <row r="31" spans="1:15" s="88" customFormat="1" ht="27.75" x14ac:dyDescent="0.5">
      <c r="A31" s="208" t="s">
        <v>158</v>
      </c>
      <c r="B31" s="209"/>
      <c r="C31" s="210"/>
      <c r="D31" s="226" t="s">
        <v>142</v>
      </c>
      <c r="E31" s="141">
        <f>G18</f>
        <v>100</v>
      </c>
      <c r="F31" s="136">
        <v>80</v>
      </c>
      <c r="G31" s="137">
        <f>E31*F31</f>
        <v>8000</v>
      </c>
      <c r="H31" s="99">
        <f>G31+'14'!H31</f>
        <v>132800</v>
      </c>
      <c r="I31" s="140"/>
      <c r="J31" s="175">
        <f>H31/DAY(B2)</f>
        <v>8853.3333333333339</v>
      </c>
      <c r="K31" s="63"/>
      <c r="L31" s="89"/>
      <c r="N31" s="87"/>
      <c r="O31" s="71"/>
    </row>
    <row r="32" spans="1:15" s="88" customFormat="1" ht="27.75" x14ac:dyDescent="0.5">
      <c r="A32" s="211" t="s">
        <v>159</v>
      </c>
      <c r="B32" s="212"/>
      <c r="C32" s="213"/>
      <c r="D32" s="142"/>
      <c r="E32" s="142"/>
      <c r="F32" s="142"/>
      <c r="G32" s="143">
        <f>G27+G28+G29+G30+G31</f>
        <v>222168.39000000019</v>
      </c>
      <c r="H32" s="99">
        <f>G32+'14'!H32</f>
        <v>3470360.39</v>
      </c>
      <c r="I32" s="144"/>
      <c r="J32" s="175">
        <f>H32/DAY(B2)</f>
        <v>231357.35933333336</v>
      </c>
      <c r="K32" s="63"/>
      <c r="L32" s="89"/>
      <c r="N32" s="87"/>
      <c r="O32" s="71"/>
    </row>
    <row r="33" spans="1:15" ht="25.5" customHeight="1" x14ac:dyDescent="0.35">
      <c r="A33" s="835" t="s">
        <v>331</v>
      </c>
      <c r="B33" s="836"/>
      <c r="C33" s="836"/>
      <c r="D33" s="337"/>
      <c r="E33" s="337"/>
      <c r="F33" s="337"/>
      <c r="G33" s="337"/>
      <c r="H33" s="337"/>
      <c r="I33" s="337"/>
      <c r="J33" s="338"/>
      <c r="K33" s="79"/>
      <c r="L33" s="66"/>
      <c r="N33" s="87"/>
      <c r="O33" s="71"/>
    </row>
    <row r="34" spans="1:15" ht="29.25" x14ac:dyDescent="0.5">
      <c r="A34" s="214" t="s">
        <v>160</v>
      </c>
      <c r="B34" s="349"/>
      <c r="C34" s="349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29.25" x14ac:dyDescent="0.4">
      <c r="A35" s="194" t="s">
        <v>161</v>
      </c>
      <c r="B35" s="195"/>
      <c r="C35" s="195"/>
      <c r="D35" s="151" t="s">
        <v>130</v>
      </c>
      <c r="E35" s="95">
        <f>'14'!F35</f>
        <v>9204</v>
      </c>
      <c r="F35" s="145">
        <v>10505.84</v>
      </c>
      <c r="G35" s="112">
        <f t="shared" ref="G35:G46" si="3">F35-E35</f>
        <v>1301.8400000000001</v>
      </c>
      <c r="H35" s="99">
        <f>G35+'14'!H35</f>
        <v>25705.84</v>
      </c>
      <c r="I35" s="95"/>
      <c r="J35" s="175">
        <f>H35/DAY(B2)</f>
        <v>1713.7226666666668</v>
      </c>
      <c r="K35" s="79"/>
      <c r="L35" s="66"/>
      <c r="N35" s="87"/>
      <c r="O35" s="71"/>
    </row>
    <row r="36" spans="1:15" ht="29.25" x14ac:dyDescent="0.4">
      <c r="A36" s="194" t="s">
        <v>162</v>
      </c>
      <c r="B36" s="195"/>
      <c r="C36" s="195"/>
      <c r="D36" s="151" t="s">
        <v>130</v>
      </c>
      <c r="E36" s="95">
        <f>'14'!F36</f>
        <v>31721</v>
      </c>
      <c r="F36" s="145">
        <v>32294.69</v>
      </c>
      <c r="G36" s="112">
        <f t="shared" si="3"/>
        <v>573.68999999999869</v>
      </c>
      <c r="H36" s="99">
        <f>G36+'14'!H36</f>
        <v>10767.689999999999</v>
      </c>
      <c r="I36" s="95"/>
      <c r="J36" s="175">
        <f>H36/DAY(B2)</f>
        <v>717.84599999999989</v>
      </c>
      <c r="K36" s="79"/>
      <c r="L36" s="66"/>
      <c r="N36" s="87"/>
      <c r="O36" s="344"/>
    </row>
    <row r="37" spans="1:15" ht="29.25" x14ac:dyDescent="0.4">
      <c r="A37" s="194" t="s">
        <v>163</v>
      </c>
      <c r="B37" s="195"/>
      <c r="C37" s="195"/>
      <c r="D37" s="151" t="s">
        <v>130</v>
      </c>
      <c r="E37" s="95">
        <f>'14'!F37</f>
        <v>8830</v>
      </c>
      <c r="F37" s="145">
        <v>10327.74</v>
      </c>
      <c r="G37" s="112">
        <f t="shared" si="3"/>
        <v>1497.7399999999998</v>
      </c>
      <c r="H37" s="99">
        <f>G37+'14'!H37</f>
        <v>22539.739999999998</v>
      </c>
      <c r="I37" s="95"/>
      <c r="J37" s="175">
        <f>H37/DAY(B2)</f>
        <v>1502.6493333333333</v>
      </c>
      <c r="K37" s="79"/>
      <c r="L37" s="66"/>
      <c r="N37" s="87"/>
      <c r="O37" s="234"/>
    </row>
    <row r="38" spans="1:15" ht="29.25" x14ac:dyDescent="0.4">
      <c r="A38" s="194" t="s">
        <v>164</v>
      </c>
      <c r="B38" s="195"/>
      <c r="C38" s="195"/>
      <c r="D38" s="151" t="s">
        <v>130</v>
      </c>
      <c r="E38" s="95">
        <f>'14'!F38</f>
        <v>9552</v>
      </c>
      <c r="F38" s="108">
        <v>10938.95</v>
      </c>
      <c r="G38" s="112">
        <f t="shared" si="3"/>
        <v>1386.9500000000007</v>
      </c>
      <c r="H38" s="99">
        <f>G38+'14'!H38</f>
        <v>24138.95</v>
      </c>
      <c r="I38" s="95"/>
      <c r="J38" s="175">
        <f>H38/DAY(B2)</f>
        <v>1609.2633333333333</v>
      </c>
      <c r="K38" s="79"/>
      <c r="L38" s="66"/>
      <c r="N38" s="87"/>
      <c r="O38" s="71"/>
    </row>
    <row r="39" spans="1:15" ht="29.25" x14ac:dyDescent="0.4">
      <c r="A39" s="194" t="s">
        <v>165</v>
      </c>
      <c r="B39" s="195"/>
      <c r="C39" s="195"/>
      <c r="D39" s="151" t="s">
        <v>130</v>
      </c>
      <c r="E39" s="95">
        <f>'14'!F39</f>
        <v>15015</v>
      </c>
      <c r="F39" s="145">
        <v>17509.900000000001</v>
      </c>
      <c r="G39" s="112">
        <f t="shared" si="3"/>
        <v>2494.9000000000015</v>
      </c>
      <c r="H39" s="99">
        <f>G39+'14'!H39</f>
        <v>39191.9</v>
      </c>
      <c r="I39" s="95"/>
      <c r="J39" s="175">
        <f>H39/DAY(B2)</f>
        <v>2612.7933333333335</v>
      </c>
      <c r="K39" s="79"/>
      <c r="L39" s="66"/>
      <c r="N39" s="87"/>
      <c r="O39" s="71"/>
    </row>
    <row r="40" spans="1:15" ht="29.25" x14ac:dyDescent="0.4">
      <c r="A40" s="215" t="s">
        <v>166</v>
      </c>
      <c r="B40" s="216"/>
      <c r="C40" s="216"/>
      <c r="D40" s="151" t="s">
        <v>130</v>
      </c>
      <c r="E40" s="95">
        <f>'14'!F40</f>
        <v>12011</v>
      </c>
      <c r="F40" s="145">
        <v>12504</v>
      </c>
      <c r="G40" s="112">
        <f t="shared" si="3"/>
        <v>493</v>
      </c>
      <c r="H40" s="99">
        <f>G40+'14'!H40</f>
        <v>6894</v>
      </c>
      <c r="I40" s="95"/>
      <c r="J40" s="175">
        <f>H40/DAY(B2)</f>
        <v>459.6</v>
      </c>
      <c r="K40" s="80"/>
      <c r="L40" s="66"/>
      <c r="N40" s="87"/>
      <c r="O40" s="71"/>
    </row>
    <row r="41" spans="1:15" ht="29.25" x14ac:dyDescent="0.4">
      <c r="A41" s="194" t="s">
        <v>167</v>
      </c>
      <c r="B41" s="195"/>
      <c r="C41" s="195"/>
      <c r="D41" s="151" t="s">
        <v>130</v>
      </c>
      <c r="E41" s="95">
        <f>'14'!F41</f>
        <v>0</v>
      </c>
      <c r="F41" s="145">
        <v>0</v>
      </c>
      <c r="G41" s="112">
        <f t="shared" si="3"/>
        <v>0</v>
      </c>
      <c r="H41" s="99">
        <f>G41+'14'!H41</f>
        <v>0</v>
      </c>
      <c r="I41" s="95"/>
      <c r="J41" s="175">
        <f>H41/DAY(B2)</f>
        <v>0</v>
      </c>
      <c r="K41" s="79"/>
      <c r="L41" s="66"/>
      <c r="N41" s="87"/>
      <c r="O41" s="71"/>
    </row>
    <row r="42" spans="1:15" ht="29.25" x14ac:dyDescent="0.4">
      <c r="A42" s="194" t="s">
        <v>168</v>
      </c>
      <c r="B42" s="195"/>
      <c r="C42" s="195"/>
      <c r="D42" s="151" t="s">
        <v>130</v>
      </c>
      <c r="E42" s="95">
        <f>'14'!F42</f>
        <v>73809</v>
      </c>
      <c r="F42" s="145">
        <v>73808.600000000006</v>
      </c>
      <c r="G42" s="112">
        <f t="shared" si="3"/>
        <v>-0.39999999999417923</v>
      </c>
      <c r="H42" s="99">
        <f>G42+'14'!H42</f>
        <v>-0.39999999999417923</v>
      </c>
      <c r="I42" s="95"/>
      <c r="J42" s="175">
        <f>H42/DAY(B2)</f>
        <v>-2.6666666666278614E-2</v>
      </c>
      <c r="K42" s="79"/>
      <c r="L42" s="66"/>
      <c r="N42" s="87"/>
      <c r="O42" s="71"/>
    </row>
    <row r="43" spans="1:15" ht="29.25" x14ac:dyDescent="0.4">
      <c r="A43" s="194" t="s">
        <v>169</v>
      </c>
      <c r="B43" s="195"/>
      <c r="C43" s="195"/>
      <c r="D43" s="151" t="s">
        <v>130</v>
      </c>
      <c r="E43" s="95">
        <f>'14'!F43</f>
        <v>78740</v>
      </c>
      <c r="F43" s="145">
        <v>80752.710000000006</v>
      </c>
      <c r="G43" s="112">
        <f t="shared" si="3"/>
        <v>2012.7100000000064</v>
      </c>
      <c r="H43" s="99">
        <f>G43+'14'!H43</f>
        <v>33491.710000000006</v>
      </c>
      <c r="I43" s="95"/>
      <c r="J43" s="175">
        <f>H43/DAY(B2)</f>
        <v>2232.780666666667</v>
      </c>
      <c r="K43" s="79"/>
      <c r="L43" s="66"/>
      <c r="N43" s="87"/>
      <c r="O43" s="71"/>
    </row>
    <row r="44" spans="1:15" ht="29.25" x14ac:dyDescent="0.4">
      <c r="A44" s="194" t="s">
        <v>170</v>
      </c>
      <c r="B44" s="195"/>
      <c r="C44" s="195"/>
      <c r="D44" s="151" t="s">
        <v>130</v>
      </c>
      <c r="E44" s="95">
        <f>'14'!F44</f>
        <v>0</v>
      </c>
      <c r="F44" s="145">
        <v>0</v>
      </c>
      <c r="G44" s="112">
        <f t="shared" si="3"/>
        <v>0</v>
      </c>
      <c r="H44" s="99">
        <f>G44+'14'!H44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29.25" x14ac:dyDescent="0.4">
      <c r="A45" s="194" t="s">
        <v>171</v>
      </c>
      <c r="B45" s="195"/>
      <c r="C45" s="195"/>
      <c r="D45" s="151" t="s">
        <v>130</v>
      </c>
      <c r="E45" s="95">
        <f>'14'!F45</f>
        <v>0</v>
      </c>
      <c r="F45" s="145">
        <v>0</v>
      </c>
      <c r="G45" s="112">
        <f t="shared" si="3"/>
        <v>0</v>
      </c>
      <c r="H45" s="99">
        <f>G45+'14'!H45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29.25" x14ac:dyDescent="0.4">
      <c r="A46" s="194" t="s">
        <v>172</v>
      </c>
      <c r="B46" s="195"/>
      <c r="C46" s="195"/>
      <c r="D46" s="151" t="s">
        <v>130</v>
      </c>
      <c r="E46" s="95">
        <f>'14'!F46</f>
        <v>0</v>
      </c>
      <c r="F46" s="145">
        <v>0</v>
      </c>
      <c r="G46" s="112">
        <f t="shared" si="3"/>
        <v>0</v>
      </c>
      <c r="H46" s="99">
        <f>G46+'14'!H46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29.25" x14ac:dyDescent="0.5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9760.430000000013</v>
      </c>
      <c r="H47" s="99">
        <f>G47+'14'!H47</f>
        <v>162729.43000000002</v>
      </c>
      <c r="I47" s="95"/>
      <c r="J47" s="175">
        <f>H47/DAY(B2)</f>
        <v>10848.628666666667</v>
      </c>
      <c r="K47" s="79"/>
      <c r="L47" s="66"/>
      <c r="N47" s="87"/>
      <c r="O47" s="71"/>
    </row>
    <row r="48" spans="1:15" ht="29.25" x14ac:dyDescent="0.5">
      <c r="A48" s="214" t="s">
        <v>174</v>
      </c>
      <c r="B48" s="349"/>
      <c r="C48" s="349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29.25" x14ac:dyDescent="0.4">
      <c r="A49" s="194" t="s">
        <v>161</v>
      </c>
      <c r="B49" s="217"/>
      <c r="C49" s="217"/>
      <c r="D49" s="151" t="s">
        <v>130</v>
      </c>
      <c r="E49" s="95">
        <f>'14'!F49</f>
        <v>7406</v>
      </c>
      <c r="F49" s="145">
        <v>8656.59</v>
      </c>
      <c r="G49" s="112">
        <f t="shared" ref="G49:G58" si="4">F49-E49</f>
        <v>1250.5900000000001</v>
      </c>
      <c r="H49" s="99">
        <f>G49+'14'!H49</f>
        <v>21777.59</v>
      </c>
      <c r="I49" s="95"/>
      <c r="J49" s="175">
        <f>H49/DAY(B2)</f>
        <v>1451.8393333333333</v>
      </c>
      <c r="K49" s="79"/>
      <c r="L49" s="66"/>
      <c r="N49" s="87"/>
      <c r="O49" s="71"/>
    </row>
    <row r="50" spans="1:15" ht="29.25" x14ac:dyDescent="0.4">
      <c r="A50" s="194" t="s">
        <v>175</v>
      </c>
      <c r="B50" s="217"/>
      <c r="C50" s="217"/>
      <c r="D50" s="151" t="s">
        <v>130</v>
      </c>
      <c r="E50" s="95">
        <f>'14'!F50</f>
        <v>38515</v>
      </c>
      <c r="F50" s="145">
        <v>39417.730000000003</v>
      </c>
      <c r="G50" s="112">
        <f t="shared" si="4"/>
        <v>902.7300000000032</v>
      </c>
      <c r="H50" s="99">
        <f>G50+'14'!H50</f>
        <v>14767.730000000003</v>
      </c>
      <c r="I50" s="95"/>
      <c r="J50" s="175">
        <f>H50/DAY(B2)</f>
        <v>984.5153333333335</v>
      </c>
      <c r="K50" s="79"/>
      <c r="L50" s="66"/>
      <c r="N50" s="87"/>
      <c r="O50" s="71"/>
    </row>
    <row r="51" spans="1:15" ht="29.25" x14ac:dyDescent="0.4">
      <c r="A51" s="194" t="s">
        <v>163</v>
      </c>
      <c r="B51" s="217"/>
      <c r="C51" s="217"/>
      <c r="D51" s="151" t="s">
        <v>130</v>
      </c>
      <c r="E51" s="95">
        <f>'14'!F51</f>
        <v>0</v>
      </c>
      <c r="F51" s="145">
        <v>0</v>
      </c>
      <c r="G51" s="112">
        <f t="shared" si="4"/>
        <v>0</v>
      </c>
      <c r="H51" s="99">
        <f>G51+'14'!H51</f>
        <v>0</v>
      </c>
      <c r="I51" s="95"/>
      <c r="J51" s="175">
        <f>H51/DAY(B2)</f>
        <v>0</v>
      </c>
      <c r="K51" s="79"/>
      <c r="L51" s="66"/>
      <c r="N51" s="87"/>
      <c r="O51" s="71"/>
    </row>
    <row r="52" spans="1:15" ht="29.25" x14ac:dyDescent="0.4">
      <c r="A52" s="194" t="s">
        <v>176</v>
      </c>
      <c r="B52" s="217"/>
      <c r="C52" s="217"/>
      <c r="D52" s="151" t="s">
        <v>130</v>
      </c>
      <c r="E52" s="95">
        <f>'14'!F52</f>
        <v>0</v>
      </c>
      <c r="F52" s="145">
        <v>0</v>
      </c>
      <c r="G52" s="112">
        <f t="shared" si="4"/>
        <v>0</v>
      </c>
      <c r="H52" s="99">
        <f>G52+'14'!H52</f>
        <v>0</v>
      </c>
      <c r="I52" s="95"/>
      <c r="J52" s="175">
        <f>H52/DAY(B2)</f>
        <v>0</v>
      </c>
      <c r="K52" s="79"/>
      <c r="L52" s="66"/>
      <c r="N52" s="87"/>
      <c r="O52" s="71"/>
    </row>
    <row r="53" spans="1:15" ht="29.25" x14ac:dyDescent="0.4">
      <c r="A53" s="194" t="s">
        <v>165</v>
      </c>
      <c r="B53" s="217"/>
      <c r="C53" s="217"/>
      <c r="D53" s="151" t="s">
        <v>130</v>
      </c>
      <c r="E53" s="95">
        <f>'14'!F53</f>
        <v>0</v>
      </c>
      <c r="F53" s="145">
        <v>0</v>
      </c>
      <c r="G53" s="112">
        <f t="shared" si="4"/>
        <v>0</v>
      </c>
      <c r="H53" s="99">
        <f>G53+'14'!H53</f>
        <v>0</v>
      </c>
      <c r="I53" s="95"/>
      <c r="J53" s="175">
        <f>H53/DAY(B2)</f>
        <v>0</v>
      </c>
      <c r="K53" s="79"/>
      <c r="L53" s="66"/>
      <c r="N53" s="87"/>
      <c r="O53" s="71"/>
    </row>
    <row r="54" spans="1:15" ht="29.25" x14ac:dyDescent="0.4">
      <c r="A54" s="194" t="s">
        <v>177</v>
      </c>
      <c r="B54" s="217"/>
      <c r="C54" s="217"/>
      <c r="D54" s="151" t="s">
        <v>130</v>
      </c>
      <c r="E54" s="95">
        <f>'14'!F54</f>
        <v>3141</v>
      </c>
      <c r="F54" s="145">
        <v>3661.51</v>
      </c>
      <c r="G54" s="112">
        <f t="shared" si="4"/>
        <v>520.51000000000022</v>
      </c>
      <c r="H54" s="99">
        <f>G54+'14'!H54</f>
        <v>5428.59</v>
      </c>
      <c r="I54" s="95"/>
      <c r="J54" s="175">
        <f>H54/DAY(B2)</f>
        <v>361.90600000000001</v>
      </c>
      <c r="K54" s="79"/>
      <c r="L54" s="66"/>
      <c r="N54" s="87"/>
      <c r="O54" s="71"/>
    </row>
    <row r="55" spans="1:15" ht="29.25" x14ac:dyDescent="0.4">
      <c r="A55" s="194" t="s">
        <v>178</v>
      </c>
      <c r="B55" s="217"/>
      <c r="C55" s="217"/>
      <c r="D55" s="151" t="s">
        <v>130</v>
      </c>
      <c r="E55" s="95">
        <f>'14'!F55</f>
        <v>45702</v>
      </c>
      <c r="F55" s="145">
        <v>48711.23</v>
      </c>
      <c r="G55" s="112">
        <f t="shared" si="4"/>
        <v>3009.2300000000032</v>
      </c>
      <c r="H55" s="99">
        <f>G55+'14'!H55</f>
        <v>45200.23</v>
      </c>
      <c r="I55" s="95"/>
      <c r="J55" s="175">
        <f>H55/DAY(B2)</f>
        <v>3013.3486666666668</v>
      </c>
      <c r="K55" s="79"/>
      <c r="L55" s="66"/>
      <c r="N55" s="87"/>
      <c r="O55" s="71"/>
    </row>
    <row r="56" spans="1:15" ht="29.25" x14ac:dyDescent="0.4">
      <c r="A56" s="194" t="s">
        <v>179</v>
      </c>
      <c r="B56" s="217"/>
      <c r="C56" s="217"/>
      <c r="D56" s="151" t="s">
        <v>180</v>
      </c>
      <c r="E56" s="95">
        <f>'14'!F56</f>
        <v>8611</v>
      </c>
      <c r="F56" s="145">
        <v>8610.5400000000009</v>
      </c>
      <c r="G56" s="112">
        <f t="shared" si="4"/>
        <v>-0.45999999999912689</v>
      </c>
      <c r="H56" s="99">
        <f>G56+'14'!H56</f>
        <v>0</v>
      </c>
      <c r="I56" s="95"/>
      <c r="J56" s="175">
        <f>H56/DAY(B2)</f>
        <v>0</v>
      </c>
      <c r="K56" s="78"/>
      <c r="L56" s="66"/>
      <c r="N56" s="87"/>
      <c r="O56" s="71"/>
    </row>
    <row r="57" spans="1:15" ht="29.25" x14ac:dyDescent="0.4">
      <c r="A57" s="194" t="s">
        <v>169</v>
      </c>
      <c r="B57" s="217"/>
      <c r="C57" s="217"/>
      <c r="D57" s="151" t="s">
        <v>130</v>
      </c>
      <c r="E57" s="95">
        <f>'14'!F57</f>
        <v>0</v>
      </c>
      <c r="F57" s="145">
        <v>0</v>
      </c>
      <c r="G57" s="112">
        <f t="shared" si="4"/>
        <v>0</v>
      </c>
      <c r="H57" s="99">
        <f>G57+'14'!H57</f>
        <v>0</v>
      </c>
      <c r="I57" s="95"/>
      <c r="J57" s="175">
        <f>H57/DAY(B2)</f>
        <v>0</v>
      </c>
      <c r="K57" s="79"/>
      <c r="L57" s="66"/>
      <c r="N57" s="87"/>
      <c r="O57" s="71"/>
    </row>
    <row r="58" spans="1:15" ht="29.25" x14ac:dyDescent="0.4">
      <c r="A58" s="194" t="s">
        <v>181</v>
      </c>
      <c r="B58" s="217"/>
      <c r="C58" s="217"/>
      <c r="D58" s="151" t="s">
        <v>130</v>
      </c>
      <c r="E58" s="95">
        <f>'14'!F58</f>
        <v>1632</v>
      </c>
      <c r="F58" s="145">
        <v>1811.04</v>
      </c>
      <c r="G58" s="112">
        <f t="shared" si="4"/>
        <v>179.03999999999996</v>
      </c>
      <c r="H58" s="99">
        <f>G58+'14'!H58</f>
        <v>2151.6700000000046</v>
      </c>
      <c r="I58" s="95"/>
      <c r="J58" s="175">
        <f>H58/DAY(B2)</f>
        <v>143.44466666666696</v>
      </c>
      <c r="K58" s="79"/>
      <c r="L58" s="66"/>
      <c r="N58" s="87"/>
      <c r="O58" s="71"/>
    </row>
    <row r="59" spans="1:15" ht="29.25" x14ac:dyDescent="0.5">
      <c r="A59" s="201" t="s">
        <v>173</v>
      </c>
      <c r="B59" s="202"/>
      <c r="C59" s="202"/>
      <c r="D59" s="146"/>
      <c r="E59" s="146"/>
      <c r="F59" s="146"/>
      <c r="G59" s="119">
        <f>G49+G50+G51+G52+G53+G54+G55+G56+G57+G58</f>
        <v>5861.6400000000076</v>
      </c>
      <c r="H59" s="99">
        <f>G59+'14'!H59</f>
        <v>89325.810000000027</v>
      </c>
      <c r="I59" s="95">
        <f>G7-G60</f>
        <v>1594.6799999999785</v>
      </c>
      <c r="J59" s="175">
        <f>H59/DAY(B2)</f>
        <v>5955.0540000000019</v>
      </c>
      <c r="K59" s="79"/>
      <c r="L59" s="66"/>
      <c r="N59" s="87"/>
      <c r="O59" s="71"/>
    </row>
    <row r="60" spans="1:15" ht="29.25" x14ac:dyDescent="0.4">
      <c r="A60" s="194"/>
      <c r="B60" s="195"/>
      <c r="C60" s="195"/>
      <c r="D60" s="146" t="s">
        <v>182</v>
      </c>
      <c r="E60" s="146"/>
      <c r="F60" s="146"/>
      <c r="G60" s="119">
        <f>G47+G59</f>
        <v>15622.070000000022</v>
      </c>
      <c r="H60" s="99">
        <f>G60+'14'!H60</f>
        <v>252055.24</v>
      </c>
      <c r="I60" s="95">
        <f>G13-G60</f>
        <v>1147.5599999999831</v>
      </c>
      <c r="J60" s="175">
        <f>H60/DAY(B2)</f>
        <v>16803.682666666668</v>
      </c>
      <c r="K60" s="79"/>
      <c r="L60" s="66"/>
      <c r="N60" s="87"/>
      <c r="O60" s="71"/>
    </row>
    <row r="61" spans="1:15" s="68" customFormat="1" ht="27.75" x14ac:dyDescent="0.5">
      <c r="A61" s="837" t="s">
        <v>332</v>
      </c>
      <c r="B61" s="838"/>
      <c r="C61" s="839"/>
      <c r="D61" s="339"/>
      <c r="E61" s="339"/>
      <c r="F61" s="339"/>
      <c r="G61" s="340"/>
      <c r="H61" s="339"/>
      <c r="I61" s="339"/>
      <c r="J61" s="341"/>
      <c r="K61" s="69"/>
      <c r="L61" s="67"/>
      <c r="N61" s="87"/>
      <c r="O61" s="71"/>
    </row>
    <row r="62" spans="1:15" ht="27.75" x14ac:dyDescent="0.5">
      <c r="A62" s="818" t="s">
        <v>198</v>
      </c>
      <c r="B62" s="819"/>
      <c r="C62" s="820"/>
      <c r="D62" s="151" t="s">
        <v>142</v>
      </c>
      <c r="E62" s="95">
        <f>'14'!F62</f>
        <v>268028</v>
      </c>
      <c r="F62" s="122">
        <v>268107</v>
      </c>
      <c r="G62" s="112">
        <f t="shared" ref="G62:G63" si="5">F62-E62</f>
        <v>79</v>
      </c>
      <c r="H62" s="99">
        <f>G62+'14'!H62</f>
        <v>894</v>
      </c>
      <c r="I62" s="118"/>
      <c r="J62" s="175">
        <f>H62/DAY(B2)</f>
        <v>59.6</v>
      </c>
      <c r="K62" s="80"/>
      <c r="L62" s="66"/>
      <c r="N62" s="87"/>
      <c r="O62" s="71"/>
    </row>
    <row r="63" spans="1:15" ht="27.75" x14ac:dyDescent="0.5">
      <c r="A63" s="818" t="s">
        <v>199</v>
      </c>
      <c r="B63" s="819"/>
      <c r="C63" s="820"/>
      <c r="D63" s="151" t="s">
        <v>142</v>
      </c>
      <c r="E63" s="95">
        <f>'14'!F63</f>
        <v>213848</v>
      </c>
      <c r="F63" s="122">
        <v>213943</v>
      </c>
      <c r="G63" s="112">
        <f t="shared" si="5"/>
        <v>95</v>
      </c>
      <c r="H63" s="99">
        <f>G63+'14'!H63</f>
        <v>1518</v>
      </c>
      <c r="I63" s="118"/>
      <c r="J63" s="175">
        <f>H63/DAY(B2)</f>
        <v>101.2</v>
      </c>
      <c r="K63" s="69"/>
      <c r="L63" s="66"/>
      <c r="N63" s="87"/>
      <c r="O63" s="71"/>
    </row>
    <row r="64" spans="1:15" ht="29.25" x14ac:dyDescent="0.5">
      <c r="A64" s="815" t="s">
        <v>200</v>
      </c>
      <c r="B64" s="816"/>
      <c r="C64" s="817"/>
      <c r="D64" s="151"/>
      <c r="E64" s="95">
        <f>'14'!F64</f>
        <v>0</v>
      </c>
      <c r="F64" s="122"/>
      <c r="G64" s="112">
        <f>G62+G63</f>
        <v>174</v>
      </c>
      <c r="H64" s="99">
        <f>G64+'14'!H64</f>
        <v>2412</v>
      </c>
      <c r="I64" s="118"/>
      <c r="J64" s="175">
        <f>H64/DAY(B2)</f>
        <v>160.80000000000001</v>
      </c>
      <c r="K64" s="69"/>
      <c r="L64" s="66"/>
      <c r="N64" s="87"/>
      <c r="O64" s="71"/>
    </row>
    <row r="65" spans="1:15" ht="27.75" x14ac:dyDescent="0.5">
      <c r="A65" s="818" t="s">
        <v>201</v>
      </c>
      <c r="B65" s="819"/>
      <c r="C65" s="820"/>
      <c r="D65" s="151" t="s">
        <v>142</v>
      </c>
      <c r="E65" s="95">
        <f>'14'!F65</f>
        <v>433595</v>
      </c>
      <c r="F65" s="122">
        <v>433665</v>
      </c>
      <c r="G65" s="112">
        <f t="shared" ref="G65:G70" si="6">F65-E65</f>
        <v>70</v>
      </c>
      <c r="H65" s="99">
        <f>G65+'14'!H65</f>
        <v>1051</v>
      </c>
      <c r="I65" s="118"/>
      <c r="J65" s="175">
        <f>H65/DAY(B2)</f>
        <v>70.066666666666663</v>
      </c>
      <c r="K65" s="69"/>
      <c r="L65" s="66"/>
      <c r="N65" s="87"/>
      <c r="O65" s="71"/>
    </row>
    <row r="66" spans="1:15" ht="27.75" x14ac:dyDescent="0.5">
      <c r="A66" s="345" t="s">
        <v>202</v>
      </c>
      <c r="B66" s="346"/>
      <c r="C66" s="346"/>
      <c r="D66" s="151" t="s">
        <v>142</v>
      </c>
      <c r="E66" s="95">
        <f>'14'!F66</f>
        <v>107455</v>
      </c>
      <c r="F66" s="122">
        <v>107472</v>
      </c>
      <c r="G66" s="112">
        <f t="shared" si="6"/>
        <v>17</v>
      </c>
      <c r="H66" s="99">
        <f>G66+'14'!H66</f>
        <v>258</v>
      </c>
      <c r="I66" s="118"/>
      <c r="J66" s="175">
        <f>H66/DAY(B2)</f>
        <v>17.2</v>
      </c>
      <c r="K66" s="78"/>
      <c r="L66" s="66"/>
      <c r="N66" s="87"/>
      <c r="O66" s="71"/>
    </row>
    <row r="67" spans="1:15" ht="27.75" x14ac:dyDescent="0.5">
      <c r="A67" s="345" t="s">
        <v>203</v>
      </c>
      <c r="B67" s="346"/>
      <c r="C67" s="346"/>
      <c r="D67" s="151" t="s">
        <v>142</v>
      </c>
      <c r="E67" s="95">
        <f>'14'!F67</f>
        <v>104254</v>
      </c>
      <c r="F67" s="122">
        <v>104277</v>
      </c>
      <c r="G67" s="112">
        <f t="shared" si="6"/>
        <v>23</v>
      </c>
      <c r="H67" s="99">
        <f>G67+'14'!H67</f>
        <v>349</v>
      </c>
      <c r="I67" s="118"/>
      <c r="J67" s="175">
        <f>H67/DAY(B2)</f>
        <v>23.266666666666666</v>
      </c>
      <c r="K67" s="81"/>
      <c r="L67" s="66"/>
      <c r="N67" s="87"/>
      <c r="O67" s="71"/>
    </row>
    <row r="68" spans="1:15" ht="27.75" x14ac:dyDescent="0.5">
      <c r="A68" s="345" t="s">
        <v>204</v>
      </c>
      <c r="B68" s="346"/>
      <c r="C68" s="346"/>
      <c r="D68" s="151" t="s">
        <v>142</v>
      </c>
      <c r="E68" s="95">
        <f>'14'!F68</f>
        <v>156983</v>
      </c>
      <c r="F68" s="122">
        <v>157006</v>
      </c>
      <c r="G68" s="112">
        <f t="shared" si="6"/>
        <v>23</v>
      </c>
      <c r="H68" s="99">
        <f>G68+'14'!H68</f>
        <v>386</v>
      </c>
      <c r="I68" s="118"/>
      <c r="J68" s="175">
        <f>H68/DAY(B2)</f>
        <v>25.733333333333334</v>
      </c>
      <c r="K68" s="69"/>
      <c r="L68" s="66"/>
      <c r="N68" s="87"/>
      <c r="O68" s="71"/>
    </row>
    <row r="69" spans="1:15" ht="27.75" x14ac:dyDescent="0.5">
      <c r="A69" s="345" t="s">
        <v>205</v>
      </c>
      <c r="B69" s="346"/>
      <c r="C69" s="346"/>
      <c r="D69" s="151" t="s">
        <v>142</v>
      </c>
      <c r="E69" s="95">
        <f>'14'!F69</f>
        <v>10352</v>
      </c>
      <c r="F69" s="122">
        <v>10363</v>
      </c>
      <c r="G69" s="112">
        <f t="shared" si="6"/>
        <v>11</v>
      </c>
      <c r="H69" s="99">
        <f>G69+'14'!H69</f>
        <v>149</v>
      </c>
      <c r="I69" s="118"/>
      <c r="J69" s="175">
        <f>H69/DAY(B2)</f>
        <v>9.9333333333333336</v>
      </c>
      <c r="K69" s="69"/>
      <c r="L69" s="66"/>
      <c r="N69" s="87"/>
      <c r="O69" s="71"/>
    </row>
    <row r="70" spans="1:15" ht="27.75" x14ac:dyDescent="0.5">
      <c r="A70" s="345" t="s">
        <v>206</v>
      </c>
      <c r="B70" s="346"/>
      <c r="C70" s="346"/>
      <c r="D70" s="151" t="s">
        <v>142</v>
      </c>
      <c r="E70" s="95">
        <f>'14'!F70</f>
        <v>7970</v>
      </c>
      <c r="F70" s="122">
        <v>7977</v>
      </c>
      <c r="G70" s="112">
        <f t="shared" si="6"/>
        <v>7</v>
      </c>
      <c r="H70" s="99">
        <f>G70+'14'!H70</f>
        <v>115</v>
      </c>
      <c r="I70" s="118"/>
      <c r="J70" s="175">
        <f>H70/DAY(B2)</f>
        <v>7.666666666666667</v>
      </c>
      <c r="K70" s="69"/>
      <c r="L70" s="66"/>
      <c r="N70" s="87"/>
      <c r="O70" s="71"/>
    </row>
    <row r="71" spans="1:15" ht="29.25" x14ac:dyDescent="0.5">
      <c r="A71" s="815" t="s">
        <v>208</v>
      </c>
      <c r="B71" s="816"/>
      <c r="C71" s="817"/>
      <c r="D71" s="152"/>
      <c r="E71" s="152"/>
      <c r="F71" s="152"/>
      <c r="G71" s="153">
        <f>SUM(G65:G70)</f>
        <v>151</v>
      </c>
      <c r="H71" s="99">
        <f>G71+'14'!H71</f>
        <v>2308</v>
      </c>
      <c r="I71" s="154"/>
      <c r="J71" s="175">
        <f>H71/DAY(B2)</f>
        <v>153.86666666666667</v>
      </c>
      <c r="K71" s="69"/>
      <c r="L71" s="66"/>
      <c r="N71" s="87"/>
      <c r="O71" s="71"/>
    </row>
    <row r="72" spans="1:15" s="88" customFormat="1" ht="27.75" x14ac:dyDescent="0.5">
      <c r="A72" s="861"/>
      <c r="B72" s="853"/>
      <c r="C72" s="347"/>
      <c r="D72" s="180"/>
      <c r="E72" s="180" t="s">
        <v>207</v>
      </c>
      <c r="F72" s="180"/>
      <c r="G72" s="180"/>
      <c r="H72" s="181"/>
      <c r="I72" s="180"/>
      <c r="J72" s="182"/>
      <c r="N72" s="87"/>
      <c r="O72" s="71"/>
    </row>
    <row r="73" spans="1:15" ht="29.25" x14ac:dyDescent="0.5">
      <c r="A73" s="866" t="s">
        <v>333</v>
      </c>
      <c r="B73" s="867"/>
      <c r="C73" s="868"/>
      <c r="D73" s="339"/>
      <c r="E73" s="339"/>
      <c r="F73" s="339"/>
      <c r="G73" s="342"/>
      <c r="H73" s="342"/>
      <c r="I73" s="342"/>
      <c r="J73" s="343"/>
      <c r="K73" s="69"/>
      <c r="L73" s="66"/>
      <c r="N73" s="87"/>
      <c r="O73" s="71"/>
    </row>
    <row r="74" spans="1:15" ht="27.75" x14ac:dyDescent="0.5">
      <c r="A74" s="818" t="s">
        <v>220</v>
      </c>
      <c r="B74" s="819"/>
      <c r="C74" s="820"/>
      <c r="D74" s="151" t="s">
        <v>139</v>
      </c>
      <c r="E74" s="95">
        <f>'14'!F74</f>
        <v>896156</v>
      </c>
      <c r="F74" s="123">
        <v>896469</v>
      </c>
      <c r="G74" s="112">
        <f t="shared" ref="G74:G78" si="7">F74-E74</f>
        <v>313</v>
      </c>
      <c r="H74" s="99">
        <f>G74+'14'!H74</f>
        <v>4437</v>
      </c>
      <c r="I74" s="154"/>
      <c r="J74" s="175">
        <f>H74/DAY(B2)</f>
        <v>295.8</v>
      </c>
      <c r="K74" s="69"/>
      <c r="L74" s="66"/>
      <c r="N74" s="87"/>
      <c r="O74" s="71"/>
    </row>
    <row r="75" spans="1:15" ht="27.75" x14ac:dyDescent="0.5">
      <c r="A75" s="818" t="s">
        <v>221</v>
      </c>
      <c r="B75" s="819"/>
      <c r="C75" s="820"/>
      <c r="D75" s="151" t="s">
        <v>139</v>
      </c>
      <c r="E75" s="95">
        <f>'14'!F75</f>
        <v>73587</v>
      </c>
      <c r="F75" s="123">
        <v>73587</v>
      </c>
      <c r="G75" s="112">
        <f t="shared" si="7"/>
        <v>0</v>
      </c>
      <c r="H75" s="99">
        <f>G75+'14'!H75</f>
        <v>0.19999999999708962</v>
      </c>
      <c r="I75" s="154"/>
      <c r="J75" s="175">
        <f>H75/DAY(B2)</f>
        <v>1.3333333333139307E-2</v>
      </c>
      <c r="K75" s="69"/>
      <c r="L75" s="66"/>
      <c r="N75" s="87"/>
      <c r="O75" s="71"/>
    </row>
    <row r="76" spans="1:15" ht="27.75" x14ac:dyDescent="0.5">
      <c r="A76" s="862" t="s">
        <v>222</v>
      </c>
      <c r="B76" s="848"/>
      <c r="C76" s="849"/>
      <c r="D76" s="151" t="s">
        <v>139</v>
      </c>
      <c r="E76" s="95">
        <f>'14'!F76</f>
        <v>168392</v>
      </c>
      <c r="F76" s="123">
        <v>168467</v>
      </c>
      <c r="G76" s="112">
        <f t="shared" si="7"/>
        <v>75</v>
      </c>
      <c r="H76" s="99">
        <f>G76+'14'!H76</f>
        <v>1260</v>
      </c>
      <c r="I76" s="154"/>
      <c r="J76" s="175">
        <f>H76/DAY(B2)</f>
        <v>84</v>
      </c>
      <c r="K76" s="69"/>
      <c r="L76" s="66"/>
      <c r="N76" s="87"/>
      <c r="O76" s="71"/>
    </row>
    <row r="77" spans="1:15" ht="27.75" x14ac:dyDescent="0.5">
      <c r="A77" s="862" t="s">
        <v>223</v>
      </c>
      <c r="B77" s="848"/>
      <c r="C77" s="849"/>
      <c r="D77" s="151" t="s">
        <v>139</v>
      </c>
      <c r="E77" s="95">
        <f>'14'!F77</f>
        <v>40745</v>
      </c>
      <c r="F77" s="123">
        <v>40771.4</v>
      </c>
      <c r="G77" s="112">
        <f t="shared" si="7"/>
        <v>26.400000000001455</v>
      </c>
      <c r="H77" s="99">
        <f>G77+'14'!H77</f>
        <v>455.40000000000146</v>
      </c>
      <c r="I77" s="154"/>
      <c r="J77" s="175">
        <f>H77/DAY(B2)</f>
        <v>30.360000000000095</v>
      </c>
      <c r="K77" s="69"/>
      <c r="L77" s="66"/>
      <c r="N77" s="87"/>
      <c r="O77" s="71"/>
    </row>
    <row r="78" spans="1:15" ht="27.75" x14ac:dyDescent="0.5">
      <c r="A78" s="862" t="s">
        <v>224</v>
      </c>
      <c r="B78" s="848"/>
      <c r="C78" s="849"/>
      <c r="D78" s="151" t="s">
        <v>139</v>
      </c>
      <c r="E78" s="95">
        <f>'14'!F78</f>
        <v>9497</v>
      </c>
      <c r="F78" s="123">
        <v>9498</v>
      </c>
      <c r="G78" s="112">
        <f t="shared" si="7"/>
        <v>1</v>
      </c>
      <c r="H78" s="99">
        <f>G78+'14'!H78</f>
        <v>12</v>
      </c>
      <c r="I78" s="118"/>
      <c r="J78" s="175">
        <f>H78/DAY(B2)</f>
        <v>0.8</v>
      </c>
      <c r="K78" s="69"/>
      <c r="L78" s="66"/>
      <c r="N78" s="87"/>
      <c r="O78" s="71"/>
    </row>
    <row r="79" spans="1:15" s="57" customFormat="1" ht="27.75" x14ac:dyDescent="0.5">
      <c r="A79" s="862" t="s">
        <v>225</v>
      </c>
      <c r="B79" s="848"/>
      <c r="C79" s="849"/>
      <c r="D79" s="151"/>
      <c r="E79" s="95">
        <f>'14'!F79</f>
        <v>0</v>
      </c>
      <c r="F79" s="123"/>
      <c r="G79" s="112">
        <f>G15-SUM(G74:G78)</f>
        <v>549.59999999999854</v>
      </c>
      <c r="H79" s="99">
        <f>G79+'14'!H79</f>
        <v>7005.4000000000015</v>
      </c>
      <c r="I79" s="118"/>
      <c r="J79" s="175"/>
      <c r="K79" s="59"/>
      <c r="L79" s="58"/>
      <c r="N79" s="87"/>
      <c r="O79" s="71"/>
    </row>
    <row r="80" spans="1:15" s="57" customFormat="1" ht="29.25" x14ac:dyDescent="0.5">
      <c r="A80" s="815" t="s">
        <v>329</v>
      </c>
      <c r="B80" s="816"/>
      <c r="C80" s="817"/>
      <c r="D80" s="151"/>
      <c r="E80" s="117"/>
      <c r="F80" s="117"/>
      <c r="G80" s="112">
        <f>SUM(G74:G79)</f>
        <v>965</v>
      </c>
      <c r="H80" s="99"/>
      <c r="I80" s="118"/>
      <c r="J80" s="175"/>
      <c r="K80" s="59"/>
      <c r="L80" s="58"/>
      <c r="N80" s="87"/>
      <c r="O80" s="71"/>
    </row>
    <row r="81" spans="1:15" ht="27" x14ac:dyDescent="0.4">
      <c r="A81" s="854" t="s">
        <v>226</v>
      </c>
      <c r="B81" s="855"/>
      <c r="C81" s="856"/>
      <c r="D81" s="110"/>
      <c r="E81" s="110"/>
      <c r="F81" s="110"/>
      <c r="G81" s="163"/>
      <c r="H81" s="163"/>
      <c r="I81" s="163"/>
      <c r="J81" s="184"/>
      <c r="O81" s="71"/>
    </row>
    <row r="82" spans="1:15" ht="27.75" x14ac:dyDescent="0.5">
      <c r="A82" s="345" t="s">
        <v>227</v>
      </c>
      <c r="B82" s="346"/>
      <c r="C82" s="346"/>
      <c r="D82" s="151" t="s">
        <v>228</v>
      </c>
      <c r="E82" s="95">
        <f>'14'!F82</f>
        <v>0</v>
      </c>
      <c r="F82" s="122">
        <v>0</v>
      </c>
      <c r="G82" s="112">
        <f t="shared" ref="G82:G92" si="8">F82-E82</f>
        <v>0</v>
      </c>
      <c r="H82" s="99">
        <f>G82+'14'!H82</f>
        <v>0</v>
      </c>
      <c r="I82" s="118"/>
      <c r="J82" s="175">
        <f>H82/DAY(B2)</f>
        <v>0</v>
      </c>
      <c r="O82" s="71"/>
    </row>
    <row r="83" spans="1:15" ht="27.75" x14ac:dyDescent="0.5">
      <c r="A83" s="345" t="s">
        <v>229</v>
      </c>
      <c r="B83" s="346"/>
      <c r="C83" s="346"/>
      <c r="D83" s="151" t="s">
        <v>228</v>
      </c>
      <c r="E83" s="95">
        <f>'14'!F83</f>
        <v>0</v>
      </c>
      <c r="F83" s="122">
        <v>0</v>
      </c>
      <c r="G83" s="112">
        <f t="shared" si="8"/>
        <v>0</v>
      </c>
      <c r="H83" s="99">
        <f>G83+'14'!H83</f>
        <v>0</v>
      </c>
      <c r="I83" s="118"/>
      <c r="J83" s="175">
        <f>H83/DAY(B2)</f>
        <v>0</v>
      </c>
      <c r="O83" s="71"/>
    </row>
    <row r="84" spans="1:15" ht="27.75" x14ac:dyDescent="0.5">
      <c r="A84" s="345" t="s">
        <v>230</v>
      </c>
      <c r="B84" s="346"/>
      <c r="C84" s="346"/>
      <c r="D84" s="151" t="s">
        <v>228</v>
      </c>
      <c r="E84" s="95">
        <f>'14'!F84</f>
        <v>41675</v>
      </c>
      <c r="F84" s="164">
        <v>41675</v>
      </c>
      <c r="G84" s="112">
        <f t="shared" si="8"/>
        <v>0</v>
      </c>
      <c r="H84" s="99">
        <f>G84+'14'!H84</f>
        <v>0</v>
      </c>
      <c r="I84" s="118"/>
      <c r="J84" s="175">
        <f>H84/DAY(B2)</f>
        <v>0</v>
      </c>
      <c r="O84" s="71"/>
    </row>
    <row r="85" spans="1:15" ht="27.75" x14ac:dyDescent="0.5">
      <c r="A85" s="345" t="s">
        <v>231</v>
      </c>
      <c r="B85" s="346"/>
      <c r="C85" s="346"/>
      <c r="D85" s="151" t="s">
        <v>228</v>
      </c>
      <c r="E85" s="95">
        <f>'14'!F85</f>
        <v>2096.5500000000002</v>
      </c>
      <c r="F85" s="164">
        <v>2096.5500000000002</v>
      </c>
      <c r="G85" s="112">
        <f t="shared" si="8"/>
        <v>0</v>
      </c>
      <c r="H85" s="99">
        <f>G85+'14'!H85</f>
        <v>-9.9999999997635314E-3</v>
      </c>
      <c r="I85" s="118">
        <f>G82+G83+G84+G85</f>
        <v>0</v>
      </c>
      <c r="J85" s="175">
        <f>H85/DAY(B2)</f>
        <v>-6.6666666665090213E-4</v>
      </c>
      <c r="O85" s="71"/>
    </row>
    <row r="86" spans="1:15" ht="27.75" x14ac:dyDescent="0.5">
      <c r="A86" s="345" t="s">
        <v>232</v>
      </c>
      <c r="B86" s="346"/>
      <c r="C86" s="346"/>
      <c r="D86" s="151" t="s">
        <v>228</v>
      </c>
      <c r="E86" s="95">
        <f>'14'!F86</f>
        <v>43200</v>
      </c>
      <c r="F86" s="164">
        <v>43224.49</v>
      </c>
      <c r="G86" s="112">
        <f t="shared" si="8"/>
        <v>24.489999999997963</v>
      </c>
      <c r="H86" s="99">
        <f>G86+'14'!H86</f>
        <v>361.48999999999796</v>
      </c>
      <c r="I86" s="118"/>
      <c r="J86" s="175">
        <f>H86/DAY(B2)</f>
        <v>24.099333333333199</v>
      </c>
      <c r="O86" s="71"/>
    </row>
    <row r="87" spans="1:15" ht="27.75" x14ac:dyDescent="0.5">
      <c r="A87" s="345" t="s">
        <v>233</v>
      </c>
      <c r="B87" s="346"/>
      <c r="C87" s="346"/>
      <c r="D87" s="151" t="s">
        <v>228</v>
      </c>
      <c r="E87" s="95">
        <f>'14'!F87</f>
        <v>34598.550000000003</v>
      </c>
      <c r="F87" s="164">
        <v>34598.550000000003</v>
      </c>
      <c r="G87" s="112">
        <f t="shared" si="8"/>
        <v>0</v>
      </c>
      <c r="H87" s="99">
        <f>G87+'14'!H87</f>
        <v>0</v>
      </c>
      <c r="I87" s="118"/>
      <c r="J87" s="175">
        <f>H87/DAY(B2)</f>
        <v>0</v>
      </c>
      <c r="O87" s="71"/>
    </row>
    <row r="88" spans="1:15" ht="27.75" x14ac:dyDescent="0.5">
      <c r="A88" s="345" t="s">
        <v>234</v>
      </c>
      <c r="B88" s="346"/>
      <c r="C88" s="346"/>
      <c r="D88" s="151" t="s">
        <v>228</v>
      </c>
      <c r="E88" s="95">
        <f>'14'!F88</f>
        <v>24059.27</v>
      </c>
      <c r="F88" s="164">
        <v>24059.29</v>
      </c>
      <c r="G88" s="112">
        <f t="shared" si="8"/>
        <v>2.0000000000436557E-2</v>
      </c>
      <c r="H88" s="99">
        <f>G88+'14'!H88</f>
        <v>12.290000000000873</v>
      </c>
      <c r="I88" s="118">
        <f>G86+G87+G88</f>
        <v>24.509999999998399</v>
      </c>
      <c r="J88" s="175">
        <f>H88/DAY(B2)</f>
        <v>0.81933333333339153</v>
      </c>
      <c r="O88" s="71"/>
    </row>
    <row r="89" spans="1:15" ht="27.75" x14ac:dyDescent="0.5">
      <c r="A89" s="345" t="s">
        <v>235</v>
      </c>
      <c r="B89" s="346"/>
      <c r="C89" s="346"/>
      <c r="D89" s="151" t="s">
        <v>228</v>
      </c>
      <c r="E89" s="95">
        <f>'14'!F89</f>
        <v>25742.99</v>
      </c>
      <c r="F89" s="164">
        <v>25752.95</v>
      </c>
      <c r="G89" s="112">
        <f t="shared" si="8"/>
        <v>9.9599999999991269</v>
      </c>
      <c r="H89" s="99">
        <f>G89+'14'!H89</f>
        <v>89.950000000000728</v>
      </c>
      <c r="I89" s="118"/>
      <c r="J89" s="175">
        <f>H89/DAY(B2)</f>
        <v>5.996666666666715</v>
      </c>
      <c r="O89" s="71"/>
    </row>
    <row r="90" spans="1:15" ht="27.75" x14ac:dyDescent="0.5">
      <c r="A90" s="345" t="s">
        <v>236</v>
      </c>
      <c r="B90" s="346"/>
      <c r="C90" s="346"/>
      <c r="D90" s="151" t="s">
        <v>228</v>
      </c>
      <c r="E90" s="95">
        <f>'14'!F90</f>
        <v>71113.53</v>
      </c>
      <c r="F90" s="164">
        <v>71116.47</v>
      </c>
      <c r="G90" s="112">
        <f t="shared" si="8"/>
        <v>2.9400000000023283</v>
      </c>
      <c r="H90" s="99">
        <f>G90+'14'!H90</f>
        <v>82.470000000001164</v>
      </c>
      <c r="I90" s="118">
        <f>G89+G90</f>
        <v>12.900000000001455</v>
      </c>
      <c r="J90" s="175">
        <f>H90/DAY(B2)</f>
        <v>5.4980000000000775</v>
      </c>
      <c r="O90" s="71"/>
    </row>
    <row r="91" spans="1:15" ht="27.75" x14ac:dyDescent="0.5">
      <c r="A91" s="345" t="s">
        <v>237</v>
      </c>
      <c r="B91" s="346"/>
      <c r="C91" s="346"/>
      <c r="D91" s="151" t="s">
        <v>228</v>
      </c>
      <c r="E91" s="95">
        <f>'14'!F91</f>
        <v>3226.32</v>
      </c>
      <c r="F91" s="122">
        <v>3226.32</v>
      </c>
      <c r="G91" s="112">
        <f t="shared" si="8"/>
        <v>0</v>
      </c>
      <c r="H91" s="99">
        <f>G91+'14'!H91</f>
        <v>0</v>
      </c>
      <c r="I91" s="165"/>
      <c r="J91" s="175">
        <f>H91/DAY(B2)</f>
        <v>0</v>
      </c>
      <c r="O91" s="71"/>
    </row>
    <row r="92" spans="1:15" ht="27.75" x14ac:dyDescent="0.5">
      <c r="A92" s="345" t="s">
        <v>238</v>
      </c>
      <c r="B92" s="346"/>
      <c r="C92" s="346"/>
      <c r="D92" s="151" t="s">
        <v>228</v>
      </c>
      <c r="E92" s="95">
        <f>'14'!F92</f>
        <v>5582.77</v>
      </c>
      <c r="F92" s="122">
        <v>5593.79</v>
      </c>
      <c r="G92" s="112">
        <f t="shared" si="8"/>
        <v>11.019999999999527</v>
      </c>
      <c r="H92" s="99">
        <f>G92+'14'!H92</f>
        <v>155.78999999999996</v>
      </c>
      <c r="I92" s="165"/>
      <c r="J92" s="175">
        <f>H92/DAY(B2)</f>
        <v>10.385999999999997</v>
      </c>
      <c r="O92" s="71"/>
    </row>
    <row r="93" spans="1:15" ht="29.25" x14ac:dyDescent="0.5">
      <c r="A93" s="863" t="s">
        <v>239</v>
      </c>
      <c r="B93" s="864"/>
      <c r="C93" s="865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27.75" x14ac:dyDescent="0.5">
      <c r="A94" s="818" t="s">
        <v>240</v>
      </c>
      <c r="B94" s="819"/>
      <c r="C94" s="820"/>
      <c r="D94" s="151" t="s">
        <v>130</v>
      </c>
      <c r="E94" s="151"/>
      <c r="F94" s="151"/>
      <c r="G94" s="99">
        <f>G35+G43+G49+G57</f>
        <v>4565.1400000000067</v>
      </c>
      <c r="H94" s="99">
        <f>G94+'14'!H94</f>
        <v>80975.140000000014</v>
      </c>
      <c r="I94" s="118"/>
      <c r="J94" s="175">
        <f>H94/DAY(B2)</f>
        <v>5398.3426666666674</v>
      </c>
      <c r="K94" s="69"/>
      <c r="L94" s="66"/>
      <c r="O94" s="71"/>
    </row>
    <row r="95" spans="1:15" ht="27.75" x14ac:dyDescent="0.5">
      <c r="A95" s="818" t="s">
        <v>241</v>
      </c>
      <c r="B95" s="819"/>
      <c r="C95" s="820"/>
      <c r="D95" s="151" t="s">
        <v>23</v>
      </c>
      <c r="E95" s="146"/>
      <c r="F95" s="146"/>
      <c r="G95" s="166">
        <f>G94/G7</f>
        <v>0.26515689662683184</v>
      </c>
      <c r="H95" s="99">
        <f>G95+'14'!H95</f>
        <v>4.3737691452652454</v>
      </c>
      <c r="I95" s="167"/>
      <c r="J95" s="175">
        <f>H95/DAY(B2)</f>
        <v>0.29158460968434968</v>
      </c>
      <c r="K95" s="69"/>
      <c r="L95" s="66"/>
      <c r="O95" s="71"/>
    </row>
    <row r="96" spans="1:15" ht="27.75" x14ac:dyDescent="0.5">
      <c r="A96" s="818" t="s">
        <v>242</v>
      </c>
      <c r="B96" s="819"/>
      <c r="C96" s="820"/>
      <c r="D96" s="151" t="s">
        <v>130</v>
      </c>
      <c r="E96" s="95"/>
      <c r="F96" s="95"/>
      <c r="G96" s="99">
        <f>G41+G42+G55+G56</f>
        <v>3008.3700000000099</v>
      </c>
      <c r="H96" s="99">
        <f>G96+'14'!H96</f>
        <v>45199.830000000009</v>
      </c>
      <c r="I96" s="118"/>
      <c r="J96" s="175">
        <f>H96/DAY(B2)</f>
        <v>3013.3220000000006</v>
      </c>
      <c r="K96" s="69"/>
      <c r="L96" s="66"/>
      <c r="O96" s="71"/>
    </row>
    <row r="97" spans="1:15" ht="27.75" x14ac:dyDescent="0.5">
      <c r="A97" s="818" t="s">
        <v>243</v>
      </c>
      <c r="B97" s="819"/>
      <c r="C97" s="820"/>
      <c r="D97" s="151" t="s">
        <v>23</v>
      </c>
      <c r="E97" s="95"/>
      <c r="F97" s="95"/>
      <c r="G97" s="166">
        <f>G96/G7</f>
        <v>0.17473506904613298</v>
      </c>
      <c r="H97" s="99">
        <f>G97+'14'!H97</f>
        <v>2.4538708962763893</v>
      </c>
      <c r="I97" s="167"/>
      <c r="J97" s="175">
        <f>H97/DAY(B2)</f>
        <v>0.16359139308509263</v>
      </c>
      <c r="K97" s="69"/>
      <c r="L97" s="66"/>
      <c r="O97" s="71"/>
    </row>
    <row r="98" spans="1:15" ht="27.75" x14ac:dyDescent="0.5">
      <c r="A98" s="818" t="s">
        <v>244</v>
      </c>
      <c r="B98" s="819"/>
      <c r="C98" s="820"/>
      <c r="D98" s="151" t="s">
        <v>130</v>
      </c>
      <c r="E98" s="95"/>
      <c r="F98" s="95"/>
      <c r="G98" s="99">
        <f>G39+G53</f>
        <v>2494.9000000000015</v>
      </c>
      <c r="H98" s="99">
        <f>G98+'14'!H98</f>
        <v>39191.9</v>
      </c>
      <c r="I98" s="168"/>
      <c r="J98" s="175">
        <f>H98/DAY(B2)</f>
        <v>2612.7933333333335</v>
      </c>
      <c r="K98" s="69"/>
      <c r="L98" s="66"/>
      <c r="O98" s="71"/>
    </row>
    <row r="99" spans="1:15" ht="27.75" x14ac:dyDescent="0.5">
      <c r="A99" s="818" t="s">
        <v>245</v>
      </c>
      <c r="B99" s="819"/>
      <c r="C99" s="820"/>
      <c r="D99" s="151" t="s">
        <v>23</v>
      </c>
      <c r="E99" s="95"/>
      <c r="F99" s="95"/>
      <c r="G99" s="166">
        <f>G98/G7</f>
        <v>0.14491120565728152</v>
      </c>
      <c r="H99" s="99">
        <f>G99+'14'!H99</f>
        <v>2.1271521603459389</v>
      </c>
      <c r="I99" s="168"/>
      <c r="J99" s="175">
        <f>H99/DAY(B2)</f>
        <v>0.14181014402306261</v>
      </c>
      <c r="O99" s="71"/>
    </row>
    <row r="100" spans="1:15" ht="27.75" x14ac:dyDescent="0.5">
      <c r="A100" s="818" t="s">
        <v>246</v>
      </c>
      <c r="B100" s="819"/>
      <c r="C100" s="820"/>
      <c r="D100" s="151" t="s">
        <v>180</v>
      </c>
      <c r="E100" s="95"/>
      <c r="F100" s="95"/>
      <c r="G100" s="99">
        <f>G38+G52</f>
        <v>1386.9500000000007</v>
      </c>
      <c r="H100" s="99">
        <f>G100+'14'!H100</f>
        <v>24138.95</v>
      </c>
      <c r="I100" s="118"/>
      <c r="J100" s="175">
        <f>H100/DAY(B2)</f>
        <v>1609.2633333333333</v>
      </c>
      <c r="K100" s="70"/>
      <c r="O100" s="71"/>
    </row>
    <row r="101" spans="1:15" ht="27.75" x14ac:dyDescent="0.5">
      <c r="A101" s="818" t="s">
        <v>247</v>
      </c>
      <c r="B101" s="819"/>
      <c r="C101" s="820"/>
      <c r="D101" s="151" t="s">
        <v>23</v>
      </c>
      <c r="E101" s="95"/>
      <c r="F101" s="95"/>
      <c r="G101" s="166">
        <f>G100/G7</f>
        <v>8.0558177356353594E-2</v>
      </c>
      <c r="H101" s="99">
        <f>G101+'14'!H101</f>
        <v>1.3107873543037112</v>
      </c>
      <c r="I101" s="168"/>
      <c r="J101" s="175">
        <f>H101/DAY(B2)</f>
        <v>8.738582362024741E-2</v>
      </c>
      <c r="O101" s="71"/>
    </row>
    <row r="102" spans="1:15" ht="27.75" x14ac:dyDescent="0.5">
      <c r="A102" s="818" t="s">
        <v>248</v>
      </c>
      <c r="B102" s="819"/>
      <c r="C102" s="820"/>
      <c r="D102" s="151" t="s">
        <v>180</v>
      </c>
      <c r="E102" s="95"/>
      <c r="F102" s="95"/>
      <c r="G102" s="99">
        <f>G36+G50</f>
        <v>1476.4200000000019</v>
      </c>
      <c r="H102" s="99">
        <f>G102+'14'!H102</f>
        <v>25535.420000000002</v>
      </c>
      <c r="I102" s="168"/>
      <c r="J102" s="175">
        <f>H102/DAY(B2)</f>
        <v>1702.3613333333335</v>
      </c>
      <c r="O102" s="71"/>
    </row>
    <row r="103" spans="1:15" ht="27.75" x14ac:dyDescent="0.5">
      <c r="A103" s="818" t="s">
        <v>249</v>
      </c>
      <c r="B103" s="819"/>
      <c r="C103" s="820"/>
      <c r="D103" s="151" t="s">
        <v>23</v>
      </c>
      <c r="E103" s="95"/>
      <c r="F103" s="95"/>
      <c r="G103" s="166">
        <f>G102/G7</f>
        <v>8.5754860818679599E-2</v>
      </c>
      <c r="H103" s="99">
        <f>G103+'14'!H103</f>
        <v>1.3790733791876622</v>
      </c>
      <c r="I103" s="118"/>
      <c r="J103" s="175">
        <f>H103/DAY(B2)</f>
        <v>9.1938225279177471E-2</v>
      </c>
      <c r="O103" s="71"/>
    </row>
    <row r="104" spans="1:15" ht="27.75" x14ac:dyDescent="0.5">
      <c r="A104" s="818" t="s">
        <v>250</v>
      </c>
      <c r="B104" s="819"/>
      <c r="C104" s="820"/>
      <c r="D104" s="151" t="s">
        <v>180</v>
      </c>
      <c r="E104" s="95"/>
      <c r="F104" s="95"/>
      <c r="G104" s="99">
        <f>G37+G51</f>
        <v>1497.7399999999998</v>
      </c>
      <c r="H104" s="99">
        <f>G104+'14'!H104</f>
        <v>22539.739999999998</v>
      </c>
      <c r="I104" s="118"/>
      <c r="J104" s="175">
        <f>H104/DAY(B2)</f>
        <v>1502.6493333333333</v>
      </c>
      <c r="O104" s="71"/>
    </row>
    <row r="105" spans="1:15" ht="28.5" thickBot="1" x14ac:dyDescent="0.55000000000000004">
      <c r="A105" s="858" t="s">
        <v>251</v>
      </c>
      <c r="B105" s="859"/>
      <c r="C105" s="860"/>
      <c r="D105" s="231" t="s">
        <v>23</v>
      </c>
      <c r="E105" s="185"/>
      <c r="F105" s="185"/>
      <c r="G105" s="186">
        <f>G104/G7</f>
        <v>8.6993189771588708E-2</v>
      </c>
      <c r="H105" s="99">
        <f>G105+'14'!H105</f>
        <v>1.2254857633090417</v>
      </c>
      <c r="I105" s="187"/>
      <c r="J105" s="188">
        <f>H105/DAY(B2)</f>
        <v>8.1699050887269448E-2</v>
      </c>
      <c r="O105" s="71"/>
    </row>
    <row r="106" spans="1:15" ht="29.25" x14ac:dyDescent="0.5">
      <c r="A106" s="105"/>
      <c r="B106" s="96"/>
      <c r="C106" s="96"/>
      <c r="D106" s="169"/>
      <c r="E106" s="169"/>
      <c r="F106" s="169"/>
      <c r="G106" s="169"/>
      <c r="H106" s="170"/>
      <c r="I106" s="169"/>
      <c r="J106" s="171"/>
      <c r="O106" s="71"/>
    </row>
    <row r="107" spans="1:15" ht="29.25" x14ac:dyDescent="0.5"/>
    <row r="108" spans="1:15" ht="31.5" x14ac:dyDescent="0.55000000000000004">
      <c r="A108" s="872" t="s">
        <v>324</v>
      </c>
      <c r="B108" s="872"/>
      <c r="C108" s="872"/>
      <c r="D108" s="872"/>
      <c r="E108" s="872"/>
      <c r="F108" s="872"/>
      <c r="G108" s="872"/>
      <c r="H108" s="872"/>
      <c r="I108" s="872"/>
      <c r="J108" s="872"/>
    </row>
    <row r="109" spans="1:15" ht="29.25" x14ac:dyDescent="0.5">
      <c r="A109" s="857"/>
      <c r="B109" s="857"/>
    </row>
    <row r="110" spans="1:15" ht="29.25" x14ac:dyDescent="0.5">
      <c r="A110" s="873" t="s">
        <v>165</v>
      </c>
      <c r="B110" s="874"/>
      <c r="C110" s="874"/>
      <c r="D110" s="874"/>
      <c r="E110" s="874"/>
      <c r="F110" s="874"/>
      <c r="G110" s="874"/>
      <c r="H110" s="874"/>
      <c r="I110" s="874"/>
      <c r="J110" s="875"/>
    </row>
    <row r="111" spans="1:15" ht="27.75" x14ac:dyDescent="0.5">
      <c r="A111" s="876"/>
      <c r="B111" s="877"/>
      <c r="C111" s="878"/>
      <c r="D111" s="165"/>
      <c r="E111" s="165"/>
      <c r="F111" s="165"/>
      <c r="G111" s="165"/>
      <c r="H111" s="156"/>
      <c r="I111" s="165"/>
      <c r="J111" s="327"/>
    </row>
    <row r="112" spans="1:15" ht="27.75" x14ac:dyDescent="0.5">
      <c r="A112" s="851" t="s">
        <v>252</v>
      </c>
      <c r="B112" s="852"/>
      <c r="C112" s="853"/>
      <c r="D112" s="146" t="s">
        <v>183</v>
      </c>
      <c r="E112" s="95">
        <f>'14'!F112</f>
        <v>56733</v>
      </c>
      <c r="F112" s="237">
        <v>56809.7</v>
      </c>
      <c r="G112" s="112">
        <f t="shared" ref="G112:G123" si="9">F112-E112</f>
        <v>76.69999999999709</v>
      </c>
      <c r="H112" s="99">
        <f>G112+'14'!H112</f>
        <v>1128.6999999999971</v>
      </c>
      <c r="I112" s="165"/>
      <c r="J112" s="328">
        <f>H112/DAY(B2)</f>
        <v>75.246666666666471</v>
      </c>
    </row>
    <row r="113" spans="1:18" ht="29.25" customHeight="1" x14ac:dyDescent="0.5">
      <c r="A113" s="851" t="s">
        <v>253</v>
      </c>
      <c r="B113" s="852"/>
      <c r="C113" s="853"/>
      <c r="D113" s="146" t="s">
        <v>183</v>
      </c>
      <c r="E113" s="95">
        <f>'14'!F113</f>
        <v>38500</v>
      </c>
      <c r="F113" s="237">
        <v>38954.32</v>
      </c>
      <c r="G113" s="112">
        <f t="shared" si="9"/>
        <v>454.31999999999971</v>
      </c>
      <c r="H113" s="99">
        <f>G113+'14'!H113</f>
        <v>6759.32</v>
      </c>
      <c r="I113" s="165"/>
      <c r="J113" s="328">
        <f>H113/DAY(B2)</f>
        <v>450.62133333333333</v>
      </c>
    </row>
    <row r="114" spans="1:18" ht="29.25" customHeight="1" x14ac:dyDescent="0.5">
      <c r="A114" s="851" t="s">
        <v>254</v>
      </c>
      <c r="B114" s="852"/>
      <c r="C114" s="853"/>
      <c r="D114" s="146" t="s">
        <v>183</v>
      </c>
      <c r="E114" s="95">
        <f>'14'!F114</f>
        <v>28585</v>
      </c>
      <c r="F114" s="237">
        <v>28847.5</v>
      </c>
      <c r="G114" s="112">
        <f t="shared" si="9"/>
        <v>262.5</v>
      </c>
      <c r="H114" s="99">
        <f>G114+'14'!H114</f>
        <v>3976.5</v>
      </c>
      <c r="I114" s="165"/>
      <c r="J114" s="328">
        <f>H114/DAY(B2)</f>
        <v>265.10000000000002</v>
      </c>
    </row>
    <row r="115" spans="1:18" ht="29.25" customHeight="1" x14ac:dyDescent="0.5">
      <c r="A115" s="851" t="s">
        <v>255</v>
      </c>
      <c r="B115" s="852"/>
      <c r="C115" s="853"/>
      <c r="D115" s="146" t="s">
        <v>183</v>
      </c>
      <c r="E115" s="95">
        <f>'14'!F115</f>
        <v>8926</v>
      </c>
      <c r="F115" s="237">
        <v>8936.6299999999992</v>
      </c>
      <c r="G115" s="112">
        <f t="shared" si="9"/>
        <v>10.6299999999992</v>
      </c>
      <c r="H115" s="99">
        <f>G115+'14'!H115</f>
        <v>151.6299999999992</v>
      </c>
      <c r="I115" s="165"/>
      <c r="J115" s="328">
        <f>H115/DAY(B2)</f>
        <v>10.108666666666613</v>
      </c>
    </row>
    <row r="116" spans="1:18" ht="29.25" customHeight="1" x14ac:dyDescent="0.5">
      <c r="A116" s="869" t="s">
        <v>96</v>
      </c>
      <c r="B116" s="870"/>
      <c r="C116" s="871"/>
      <c r="D116" s="146" t="s">
        <v>183</v>
      </c>
      <c r="E116" s="95">
        <f>'14'!F116</f>
        <v>0</v>
      </c>
      <c r="F116" s="237">
        <v>0</v>
      </c>
      <c r="G116" s="112">
        <f t="shared" si="9"/>
        <v>0</v>
      </c>
      <c r="H116" s="99">
        <f>G116+'14'!H116</f>
        <v>0</v>
      </c>
      <c r="I116" s="165"/>
      <c r="J116" s="328">
        <f>H116/DAY(B2)</f>
        <v>0</v>
      </c>
      <c r="Q116" s="851"/>
      <c r="R116" s="853"/>
    </row>
    <row r="117" spans="1:18" ht="29.25" customHeight="1" x14ac:dyDescent="0.5">
      <c r="A117" s="869" t="s">
        <v>184</v>
      </c>
      <c r="B117" s="870"/>
      <c r="C117" s="871"/>
      <c r="D117" s="146" t="s">
        <v>183</v>
      </c>
      <c r="E117" s="95">
        <f>'14'!F117</f>
        <v>2930</v>
      </c>
      <c r="F117" s="237">
        <v>2953.8739999999998</v>
      </c>
      <c r="G117" s="112">
        <f t="shared" si="9"/>
        <v>23.873999999999796</v>
      </c>
      <c r="H117" s="99">
        <f>G117+'14'!H117</f>
        <v>363.8739999999998</v>
      </c>
      <c r="I117" s="165"/>
      <c r="J117" s="328">
        <f>H117/DAY(B2)</f>
        <v>24.258266666666653</v>
      </c>
      <c r="Q117" s="851"/>
      <c r="R117" s="853"/>
    </row>
    <row r="118" spans="1:18" ht="27.75" x14ac:dyDescent="0.5">
      <c r="A118" s="846" t="s">
        <v>97</v>
      </c>
      <c r="B118" s="846"/>
      <c r="C118" s="846"/>
      <c r="D118" s="151" t="s">
        <v>183</v>
      </c>
      <c r="E118" s="95">
        <f>'14'!F118</f>
        <v>246716</v>
      </c>
      <c r="F118" s="237">
        <v>247040.19</v>
      </c>
      <c r="G118" s="112">
        <f t="shared" si="9"/>
        <v>324.19000000000233</v>
      </c>
      <c r="H118" s="99">
        <f>G118+'14'!H118</f>
        <v>5393.1900000000023</v>
      </c>
      <c r="I118" s="165"/>
      <c r="J118" s="328">
        <f>H118/DAY(B2)</f>
        <v>359.54600000000016</v>
      </c>
      <c r="Q118" s="851"/>
      <c r="R118" s="853"/>
    </row>
    <row r="119" spans="1:18" ht="27.75" x14ac:dyDescent="0.5">
      <c r="A119" s="846" t="s">
        <v>98</v>
      </c>
      <c r="B119" s="846"/>
      <c r="C119" s="846"/>
      <c r="D119" s="151" t="s">
        <v>183</v>
      </c>
      <c r="E119" s="95">
        <f>'14'!F119</f>
        <v>250981</v>
      </c>
      <c r="F119" s="237">
        <v>251326.27</v>
      </c>
      <c r="G119" s="112">
        <f t="shared" si="9"/>
        <v>345.26999999998952</v>
      </c>
      <c r="H119" s="99">
        <f>G119+'14'!H119</f>
        <v>6200.2699999999895</v>
      </c>
      <c r="I119" s="165"/>
      <c r="J119" s="328">
        <f>H119/DAY(B2)</f>
        <v>413.35133333333266</v>
      </c>
    </row>
    <row r="120" spans="1:18" ht="27.75" x14ac:dyDescent="0.5">
      <c r="A120" s="846" t="s">
        <v>99</v>
      </c>
      <c r="B120" s="846"/>
      <c r="C120" s="846"/>
      <c r="D120" s="151" t="s">
        <v>183</v>
      </c>
      <c r="E120" s="95">
        <f>'14'!F120</f>
        <v>35858</v>
      </c>
      <c r="F120" s="237">
        <v>36276</v>
      </c>
      <c r="G120" s="112">
        <f t="shared" si="9"/>
        <v>418</v>
      </c>
      <c r="H120" s="99">
        <f>G120+'14'!H120</f>
        <v>6198</v>
      </c>
      <c r="I120" s="165"/>
      <c r="J120" s="328">
        <f>H120/DAY(B2)</f>
        <v>413.2</v>
      </c>
    </row>
    <row r="121" spans="1:18" ht="27.75" x14ac:dyDescent="0.5">
      <c r="A121" s="846" t="s">
        <v>100</v>
      </c>
      <c r="B121" s="846"/>
      <c r="C121" s="846"/>
      <c r="D121" s="151" t="s">
        <v>183</v>
      </c>
      <c r="E121" s="95">
        <f>'14'!F121</f>
        <v>386422</v>
      </c>
      <c r="F121" s="237">
        <v>387067.19</v>
      </c>
      <c r="G121" s="112">
        <f t="shared" si="9"/>
        <v>645.19000000000233</v>
      </c>
      <c r="H121" s="99">
        <f>G121+'14'!H121</f>
        <v>10538.190000000002</v>
      </c>
      <c r="I121" s="165"/>
      <c r="J121" s="328">
        <f>H121/DAY(B2)</f>
        <v>702.54600000000016</v>
      </c>
    </row>
    <row r="122" spans="1:18" ht="27.75" x14ac:dyDescent="0.5">
      <c r="A122" s="846" t="s">
        <v>101</v>
      </c>
      <c r="B122" s="846"/>
      <c r="C122" s="846"/>
      <c r="D122" s="151" t="s">
        <v>183</v>
      </c>
      <c r="E122" s="95">
        <f>'14'!F122</f>
        <v>122996</v>
      </c>
      <c r="F122" s="237">
        <v>123179.84</v>
      </c>
      <c r="G122" s="112">
        <f t="shared" si="9"/>
        <v>183.83999999999651</v>
      </c>
      <c r="H122" s="99">
        <f>G122+'14'!H122</f>
        <v>3129.8399999999965</v>
      </c>
      <c r="I122" s="165"/>
      <c r="J122" s="328">
        <f>H122/DAY(B2)</f>
        <v>208.65599999999978</v>
      </c>
    </row>
    <row r="123" spans="1:18" ht="27.75" x14ac:dyDescent="0.5">
      <c r="A123" s="846" t="s">
        <v>102</v>
      </c>
      <c r="B123" s="846"/>
      <c r="C123" s="846"/>
      <c r="D123" s="151" t="s">
        <v>183</v>
      </c>
      <c r="E123" s="95">
        <f>'14'!F123</f>
        <v>149480</v>
      </c>
      <c r="F123" s="237">
        <v>149710.64000000001</v>
      </c>
      <c r="G123" s="112">
        <f t="shared" si="9"/>
        <v>230.64000000001397</v>
      </c>
      <c r="H123" s="99">
        <f>G123+'14'!H123</f>
        <v>4585.640000000014</v>
      </c>
      <c r="I123" s="165"/>
      <c r="J123" s="328">
        <f>H123/DAY(B2)</f>
        <v>305.70933333333426</v>
      </c>
    </row>
    <row r="124" spans="1:18" ht="29.25" customHeight="1" x14ac:dyDescent="0.5">
      <c r="A124" s="876"/>
      <c r="B124" s="877"/>
      <c r="C124" s="878"/>
      <c r="D124" s="165"/>
      <c r="E124" s="165"/>
      <c r="F124" s="165"/>
      <c r="G124" s="327"/>
      <c r="H124" s="156"/>
      <c r="I124" s="165"/>
      <c r="J124" s="327"/>
    </row>
    <row r="125" spans="1:18" ht="27.75" x14ac:dyDescent="0.5">
      <c r="A125" s="879" t="s">
        <v>196</v>
      </c>
      <c r="B125" s="880"/>
      <c r="C125" s="245"/>
      <c r="D125" s="307"/>
      <c r="E125" s="308"/>
      <c r="F125" s="308"/>
      <c r="G125" s="309">
        <f>SUM(G112:G124)</f>
        <v>2975.1540000000005</v>
      </c>
      <c r="H125" s="156"/>
      <c r="I125" s="327">
        <f>G125-(G39+G53)</f>
        <v>480.253999999999</v>
      </c>
      <c r="J125" s="327"/>
    </row>
    <row r="126" spans="1:18" ht="27.75" x14ac:dyDescent="0.5">
      <c r="A126" s="881" t="s">
        <v>317</v>
      </c>
      <c r="B126" s="881"/>
      <c r="C126" s="881"/>
      <c r="D126" s="881"/>
      <c r="E126" s="881"/>
      <c r="F126" s="881"/>
      <c r="G126" s="881"/>
      <c r="H126" s="881"/>
      <c r="I126" s="881"/>
      <c r="J126" s="881"/>
    </row>
    <row r="127" spans="1:18" ht="27.75" x14ac:dyDescent="0.5">
      <c r="A127" s="882"/>
      <c r="B127" s="882"/>
      <c r="C127" s="245"/>
      <c r="D127" s="307"/>
      <c r="E127" s="308"/>
      <c r="F127" s="308"/>
      <c r="G127" s="309"/>
      <c r="H127" s="99">
        <f>G127+'14'!H127</f>
        <v>0</v>
      </c>
      <c r="I127" s="165"/>
      <c r="J127" s="328">
        <f>H127/DAY(B2)</f>
        <v>0</v>
      </c>
    </row>
    <row r="128" spans="1:18" ht="29.25" customHeight="1" x14ac:dyDescent="0.5">
      <c r="A128" s="851" t="s">
        <v>318</v>
      </c>
      <c r="B128" s="852"/>
      <c r="C128" s="853"/>
      <c r="D128" s="151" t="s">
        <v>183</v>
      </c>
      <c r="E128" s="95">
        <f>'14'!F128</f>
        <v>42485</v>
      </c>
      <c r="F128" s="165">
        <v>42785.57</v>
      </c>
      <c r="G128" s="112">
        <f t="shared" ref="G128:G134" si="10">F128-E128</f>
        <v>300.56999999999971</v>
      </c>
      <c r="H128" s="99">
        <f>G128+'14'!H128</f>
        <v>4781.57</v>
      </c>
      <c r="I128" s="165"/>
      <c r="J128" s="328">
        <f>H128/DAY(B2)</f>
        <v>318.7713333333333</v>
      </c>
    </row>
    <row r="129" spans="1:15" ht="27.75" x14ac:dyDescent="0.5">
      <c r="A129" s="329" t="s">
        <v>319</v>
      </c>
      <c r="B129" s="330"/>
      <c r="C129" s="331"/>
      <c r="D129" s="151" t="s">
        <v>183</v>
      </c>
      <c r="E129" s="95">
        <f>'14'!F129</f>
        <v>23362</v>
      </c>
      <c r="F129" s="165">
        <v>23631.14</v>
      </c>
      <c r="G129" s="112">
        <f t="shared" si="10"/>
        <v>269.13999999999942</v>
      </c>
      <c r="H129" s="99">
        <f>G129+'14'!H129</f>
        <v>3310.1399999999994</v>
      </c>
      <c r="I129" s="165"/>
      <c r="J129" s="328">
        <f>H129/DAY(B2)</f>
        <v>220.67599999999996</v>
      </c>
      <c r="N129" s="240"/>
      <c r="O129" s="241"/>
    </row>
    <row r="130" spans="1:15" ht="27.75" x14ac:dyDescent="0.5">
      <c r="A130" s="329" t="s">
        <v>320</v>
      </c>
      <c r="B130" s="330"/>
      <c r="C130" s="331"/>
      <c r="D130" s="151" t="s">
        <v>183</v>
      </c>
      <c r="E130" s="95">
        <f>'14'!F130</f>
        <v>26885</v>
      </c>
      <c r="F130" s="165">
        <v>27414.32</v>
      </c>
      <c r="G130" s="112">
        <f t="shared" si="10"/>
        <v>529.31999999999971</v>
      </c>
      <c r="H130" s="99">
        <f>G130+'14'!H130</f>
        <v>9032.32</v>
      </c>
      <c r="I130" s="165"/>
      <c r="J130" s="328">
        <f>H130/DAY(B2)</f>
        <v>602.15466666666669</v>
      </c>
      <c r="N130" s="240"/>
      <c r="O130" s="241"/>
    </row>
    <row r="131" spans="1:15" ht="27.75" x14ac:dyDescent="0.5">
      <c r="A131" s="851" t="s">
        <v>321</v>
      </c>
      <c r="B131" s="852"/>
      <c r="C131" s="853"/>
      <c r="D131" s="151" t="s">
        <v>183</v>
      </c>
      <c r="E131" s="95">
        <f>'14'!F131</f>
        <v>14167</v>
      </c>
      <c r="F131" s="165">
        <v>14237.01</v>
      </c>
      <c r="G131" s="112">
        <f t="shared" si="10"/>
        <v>70.010000000000218</v>
      </c>
      <c r="H131" s="99">
        <f>G131+'14'!H131</f>
        <v>1084.0100000000002</v>
      </c>
      <c r="I131" s="165"/>
      <c r="J131" s="328">
        <f>H131/DAY(B2)</f>
        <v>72.267333333333355</v>
      </c>
      <c r="N131" s="240"/>
      <c r="O131" s="241"/>
    </row>
    <row r="132" spans="1:15" ht="27.75" x14ac:dyDescent="0.5">
      <c r="A132" s="851" t="s">
        <v>322</v>
      </c>
      <c r="B132" s="852"/>
      <c r="C132" s="853"/>
      <c r="D132" s="151" t="s">
        <v>183</v>
      </c>
      <c r="E132" s="95">
        <f>'14'!F132</f>
        <v>47795</v>
      </c>
      <c r="F132" s="165">
        <v>48296.4</v>
      </c>
      <c r="G132" s="112">
        <f t="shared" si="10"/>
        <v>501.40000000000146</v>
      </c>
      <c r="H132" s="99">
        <f>G132+'14'!H132</f>
        <v>7273.4000000000015</v>
      </c>
      <c r="I132" s="165"/>
      <c r="J132" s="328">
        <f>H132/DAY(B2)</f>
        <v>484.89333333333343</v>
      </c>
    </row>
    <row r="133" spans="1:15" ht="27.75" x14ac:dyDescent="0.5">
      <c r="A133" s="851" t="s">
        <v>362</v>
      </c>
      <c r="B133" s="852"/>
      <c r="C133" s="853"/>
      <c r="D133" s="151" t="s">
        <v>183</v>
      </c>
      <c r="E133" s="95">
        <f>'14'!F133</f>
        <v>96727</v>
      </c>
      <c r="F133" s="165">
        <v>97125.27</v>
      </c>
      <c r="G133" s="112">
        <f t="shared" si="10"/>
        <v>398.27000000000407</v>
      </c>
      <c r="H133" s="99">
        <f>G133+'14'!H133</f>
        <v>9422.2700000000041</v>
      </c>
      <c r="I133" s="165"/>
      <c r="J133" s="328">
        <f>H133/DAY(B2)</f>
        <v>628.15133333333358</v>
      </c>
    </row>
    <row r="134" spans="1:15" s="493" customFormat="1" ht="27.75" x14ac:dyDescent="0.5">
      <c r="A134" s="909" t="s">
        <v>340</v>
      </c>
      <c r="B134" s="910"/>
      <c r="C134" s="911"/>
      <c r="D134" s="233" t="s">
        <v>183</v>
      </c>
      <c r="E134" s="490">
        <f>'14'!F134</f>
        <v>5719</v>
      </c>
      <c r="F134" s="158">
        <v>5870.57</v>
      </c>
      <c r="G134" s="236">
        <f t="shared" si="10"/>
        <v>151.56999999999971</v>
      </c>
      <c r="H134" s="238">
        <f>G134+'14'!H134</f>
        <v>8164.57</v>
      </c>
      <c r="I134" s="158"/>
      <c r="J134" s="492">
        <f>H134/DAY(B2)</f>
        <v>544.30466666666666</v>
      </c>
    </row>
    <row r="135" spans="1:15" ht="27.75" x14ac:dyDescent="0.5">
      <c r="A135" s="879" t="s">
        <v>196</v>
      </c>
      <c r="B135" s="880"/>
      <c r="C135" s="331"/>
      <c r="D135" s="151"/>
      <c r="E135" s="95"/>
      <c r="F135" s="165"/>
      <c r="G135" s="112">
        <f>SUM(G128:G134)</f>
        <v>2220.2800000000043</v>
      </c>
      <c r="H135" s="99">
        <f>G135+'10'!H135</f>
        <v>33444.280000000006</v>
      </c>
      <c r="I135" s="327">
        <f>G135-(G35+G49)</f>
        <v>-332.149999999996</v>
      </c>
      <c r="J135" s="328"/>
    </row>
    <row r="136" spans="1:15" ht="31.5" x14ac:dyDescent="0.55000000000000004">
      <c r="A136" s="883" t="s">
        <v>325</v>
      </c>
      <c r="B136" s="883"/>
      <c r="C136" s="883"/>
      <c r="D136" s="883"/>
      <c r="E136" s="883"/>
      <c r="F136" s="883"/>
      <c r="G136" s="883"/>
      <c r="H136" s="883"/>
      <c r="I136" s="883"/>
      <c r="J136" s="883"/>
    </row>
    <row r="137" spans="1:15" ht="29.25" x14ac:dyDescent="0.5">
      <c r="A137" s="245"/>
      <c r="B137" s="246"/>
      <c r="C137" s="246"/>
      <c r="D137" s="165"/>
      <c r="E137" s="165"/>
      <c r="F137" s="165"/>
      <c r="G137" s="165"/>
      <c r="H137" s="156"/>
      <c r="I137" s="165"/>
      <c r="J137" s="327"/>
    </row>
    <row r="138" spans="1:15" ht="27.75" x14ac:dyDescent="0.5">
      <c r="A138" s="846" t="s">
        <v>185</v>
      </c>
      <c r="B138" s="846"/>
      <c r="C138" s="846"/>
      <c r="D138" s="151" t="s">
        <v>183</v>
      </c>
      <c r="E138" s="95">
        <f>'14'!F138</f>
        <v>865054</v>
      </c>
      <c r="F138" s="147">
        <v>865110</v>
      </c>
      <c r="G138" s="112">
        <f t="shared" ref="G138:G152" si="11">F138-E138</f>
        <v>56</v>
      </c>
      <c r="H138" s="99">
        <f>G138+'14'!H138</f>
        <v>939</v>
      </c>
      <c r="I138" s="118"/>
      <c r="J138" s="328">
        <f>H138/DAY(B2)</f>
        <v>62.6</v>
      </c>
    </row>
    <row r="139" spans="1:15" ht="27.75" x14ac:dyDescent="0.5">
      <c r="A139" s="846" t="s">
        <v>186</v>
      </c>
      <c r="B139" s="846"/>
      <c r="C139" s="846"/>
      <c r="D139" s="151" t="s">
        <v>183</v>
      </c>
      <c r="E139" s="95">
        <f>'14'!F139</f>
        <v>886549</v>
      </c>
      <c r="F139" s="148">
        <v>886550</v>
      </c>
      <c r="G139" s="112">
        <f t="shared" si="11"/>
        <v>1</v>
      </c>
      <c r="H139" s="99">
        <f>G139+'14'!H139</f>
        <v>4</v>
      </c>
      <c r="I139" s="118"/>
      <c r="J139" s="328">
        <f>H139/DAY(B2)</f>
        <v>0.26666666666666666</v>
      </c>
    </row>
    <row r="140" spans="1:15" ht="27.75" x14ac:dyDescent="0.5">
      <c r="A140" s="846" t="s">
        <v>187</v>
      </c>
      <c r="B140" s="846"/>
      <c r="C140" s="846"/>
      <c r="D140" s="151" t="s">
        <v>183</v>
      </c>
      <c r="E140" s="95">
        <f>'14'!F140</f>
        <v>88898</v>
      </c>
      <c r="F140" s="149">
        <v>88898</v>
      </c>
      <c r="G140" s="112">
        <f t="shared" si="11"/>
        <v>0</v>
      </c>
      <c r="H140" s="99">
        <f>G140+'14'!H140</f>
        <v>16</v>
      </c>
      <c r="I140" s="118"/>
      <c r="J140" s="328">
        <f>H140/DAY(B2)</f>
        <v>1.0666666666666667</v>
      </c>
    </row>
    <row r="141" spans="1:15" ht="27.75" x14ac:dyDescent="0.5">
      <c r="A141" s="850" t="s">
        <v>188</v>
      </c>
      <c r="B141" s="850"/>
      <c r="C141" s="850"/>
      <c r="D141" s="151" t="s">
        <v>183</v>
      </c>
      <c r="E141" s="95">
        <f>'14'!F141</f>
        <v>51735</v>
      </c>
      <c r="F141" s="149">
        <v>51910.98</v>
      </c>
      <c r="G141" s="112">
        <f t="shared" si="11"/>
        <v>175.9800000000032</v>
      </c>
      <c r="H141" s="99">
        <f>G141+'14'!H141</f>
        <v>2604.9800000000032</v>
      </c>
      <c r="I141" s="118"/>
      <c r="J141" s="328">
        <f>H141/DAY(B2)</f>
        <v>173.66533333333354</v>
      </c>
    </row>
    <row r="142" spans="1:15" ht="27.75" x14ac:dyDescent="0.5">
      <c r="A142" s="850" t="s">
        <v>189</v>
      </c>
      <c r="B142" s="850"/>
      <c r="C142" s="850"/>
      <c r="D142" s="151" t="s">
        <v>183</v>
      </c>
      <c r="E142" s="95">
        <f>'14'!F142</f>
        <v>19971</v>
      </c>
      <c r="F142" s="148">
        <v>20042.919999999998</v>
      </c>
      <c r="G142" s="112">
        <f t="shared" si="11"/>
        <v>71.919999999998254</v>
      </c>
      <c r="H142" s="99">
        <f>G142+'14'!H142</f>
        <v>1033.9199999999983</v>
      </c>
      <c r="I142" s="140"/>
      <c r="J142" s="328">
        <f>H142/DAY(B2)</f>
        <v>68.927999999999884</v>
      </c>
    </row>
    <row r="143" spans="1:15" ht="27.75" x14ac:dyDescent="0.5">
      <c r="A143" s="846" t="s">
        <v>91</v>
      </c>
      <c r="B143" s="846"/>
      <c r="C143" s="846"/>
      <c r="D143" s="151" t="s">
        <v>183</v>
      </c>
      <c r="E143" s="95">
        <f>'14'!F143</f>
        <v>3390</v>
      </c>
      <c r="F143" s="149">
        <v>3416.07</v>
      </c>
      <c r="G143" s="112">
        <f t="shared" si="11"/>
        <v>26.070000000000164</v>
      </c>
      <c r="H143" s="99">
        <f>G143+'14'!H143</f>
        <v>355.07000000000016</v>
      </c>
      <c r="I143" s="140"/>
      <c r="J143" s="328">
        <f>H143/DAY(B2)</f>
        <v>23.671333333333344</v>
      </c>
    </row>
    <row r="144" spans="1:15" ht="27.75" x14ac:dyDescent="0.5">
      <c r="A144" s="850" t="s">
        <v>90</v>
      </c>
      <c r="B144" s="850"/>
      <c r="C144" s="850"/>
      <c r="D144" s="151" t="s">
        <v>183</v>
      </c>
      <c r="E144" s="95">
        <f>'14'!F144</f>
        <v>872833</v>
      </c>
      <c r="F144" s="149">
        <v>873064</v>
      </c>
      <c r="G144" s="112">
        <f t="shared" si="11"/>
        <v>231</v>
      </c>
      <c r="H144" s="99">
        <f>G144+'14'!H144</f>
        <v>3394</v>
      </c>
      <c r="I144" s="140"/>
      <c r="J144" s="328">
        <f>H144/DAY(B2)</f>
        <v>226.26666666666668</v>
      </c>
    </row>
    <row r="145" spans="1:10" ht="27.75" x14ac:dyDescent="0.5">
      <c r="A145" s="846" t="s">
        <v>190</v>
      </c>
      <c r="B145" s="846"/>
      <c r="C145" s="846"/>
      <c r="D145" s="152" t="s">
        <v>183</v>
      </c>
      <c r="E145" s="95">
        <f>'14'!F145</f>
        <v>4768</v>
      </c>
      <c r="F145" s="149">
        <v>4782.42</v>
      </c>
      <c r="G145" s="112">
        <f t="shared" si="11"/>
        <v>14.420000000000073</v>
      </c>
      <c r="H145" s="99">
        <f>G145+'14'!H145</f>
        <v>224.42000000000007</v>
      </c>
      <c r="I145" s="140"/>
      <c r="J145" s="328">
        <f>H145/DAY(B2)</f>
        <v>14.961333333333338</v>
      </c>
    </row>
    <row r="146" spans="1:10" ht="27.75" x14ac:dyDescent="0.5">
      <c r="A146" s="847" t="s">
        <v>191</v>
      </c>
      <c r="B146" s="848"/>
      <c r="C146" s="849"/>
      <c r="D146" s="152" t="s">
        <v>183</v>
      </c>
      <c r="E146" s="95">
        <f>'14'!F146</f>
        <v>730506</v>
      </c>
      <c r="F146" s="148">
        <v>730887</v>
      </c>
      <c r="G146" s="112">
        <f t="shared" si="11"/>
        <v>381</v>
      </c>
      <c r="H146" s="99">
        <f>G146+'14'!H146</f>
        <v>6029</v>
      </c>
      <c r="I146" s="140"/>
      <c r="J146" s="328">
        <f>H146/DAY(B2)</f>
        <v>401.93333333333334</v>
      </c>
    </row>
    <row r="147" spans="1:10" ht="27.75" x14ac:dyDescent="0.5">
      <c r="A147" s="850" t="s">
        <v>192</v>
      </c>
      <c r="B147" s="850"/>
      <c r="C147" s="850"/>
      <c r="D147" s="152" t="s">
        <v>183</v>
      </c>
      <c r="E147" s="95">
        <f>'14'!F147</f>
        <v>620452</v>
      </c>
      <c r="F147" s="148">
        <v>620842.84</v>
      </c>
      <c r="G147" s="112">
        <f t="shared" si="11"/>
        <v>390.8399999999674</v>
      </c>
      <c r="H147" s="99">
        <f>G147+'14'!H147</f>
        <v>5560.8399999999674</v>
      </c>
      <c r="I147" s="140"/>
      <c r="J147" s="328">
        <f>H147/DAY(B2)</f>
        <v>370.72266666666451</v>
      </c>
    </row>
    <row r="148" spans="1:10" ht="27.75" x14ac:dyDescent="0.5">
      <c r="A148" s="842" t="s">
        <v>193</v>
      </c>
      <c r="B148" s="843"/>
      <c r="C148" s="844"/>
      <c r="D148" s="123" t="s">
        <v>130</v>
      </c>
      <c r="E148" s="95">
        <f>'14'!F148</f>
        <v>686351</v>
      </c>
      <c r="F148" s="150">
        <v>686532.56</v>
      </c>
      <c r="G148" s="112">
        <f t="shared" si="11"/>
        <v>181.56000000005588</v>
      </c>
      <c r="H148" s="99">
        <f>G148+'14'!H148</f>
        <v>3499.4400000000605</v>
      </c>
      <c r="I148" s="124"/>
      <c r="J148" s="328">
        <f>H148/DAY(B2)</f>
        <v>233.29600000000403</v>
      </c>
    </row>
    <row r="149" spans="1:10" ht="27.75" x14ac:dyDescent="0.5">
      <c r="A149" s="842" t="s">
        <v>336</v>
      </c>
      <c r="B149" s="843"/>
      <c r="C149" s="844"/>
      <c r="D149" s="227" t="s">
        <v>130</v>
      </c>
      <c r="E149" s="95">
        <f>'14'!F149</f>
        <v>16465</v>
      </c>
      <c r="F149" s="146">
        <v>16915.34</v>
      </c>
      <c r="G149" s="112">
        <f t="shared" si="11"/>
        <v>450.34000000000015</v>
      </c>
      <c r="H149" s="99">
        <f>G149+'14'!H149</f>
        <v>6166.34</v>
      </c>
      <c r="I149" s="119"/>
      <c r="J149" s="328">
        <f>H149/DAY(B2)</f>
        <v>411.08933333333334</v>
      </c>
    </row>
    <row r="150" spans="1:10" ht="27.75" x14ac:dyDescent="0.5">
      <c r="A150" s="842" t="s">
        <v>337</v>
      </c>
      <c r="B150" s="843"/>
      <c r="C150" s="844"/>
      <c r="D150" s="117" t="s">
        <v>130</v>
      </c>
      <c r="E150" s="95">
        <f>'14'!F150</f>
        <v>7104</v>
      </c>
      <c r="F150" s="233">
        <v>7322.12</v>
      </c>
      <c r="G150" s="112">
        <f t="shared" si="11"/>
        <v>218.11999999999989</v>
      </c>
      <c r="H150" s="99">
        <f>G150+'14'!H150</f>
        <v>3270.12</v>
      </c>
      <c r="I150" s="119"/>
      <c r="J150" s="328">
        <f>H150/DAY(B2)</f>
        <v>218.00799999999998</v>
      </c>
    </row>
    <row r="151" spans="1:10" ht="27.75" x14ac:dyDescent="0.5">
      <c r="A151" s="842" t="s">
        <v>338</v>
      </c>
      <c r="B151" s="843"/>
      <c r="C151" s="844"/>
      <c r="D151" s="117" t="s">
        <v>130</v>
      </c>
      <c r="E151" s="95">
        <f>'14'!F151</f>
        <v>81481</v>
      </c>
      <c r="F151" s="233">
        <v>81719</v>
      </c>
      <c r="G151" s="112">
        <f t="shared" si="11"/>
        <v>238</v>
      </c>
      <c r="H151" s="99">
        <f>G151+'14'!H151</f>
        <v>3502</v>
      </c>
      <c r="I151" s="119"/>
      <c r="J151" s="328">
        <f>H151/DAY(B2)</f>
        <v>233.46666666666667</v>
      </c>
    </row>
    <row r="152" spans="1:10" ht="27.75" x14ac:dyDescent="0.5">
      <c r="A152" s="842" t="s">
        <v>339</v>
      </c>
      <c r="B152" s="843"/>
      <c r="C152" s="844"/>
      <c r="D152" s="117" t="s">
        <v>130</v>
      </c>
      <c r="E152" s="95">
        <f>'14'!F152</f>
        <v>1376</v>
      </c>
      <c r="F152" s="233">
        <v>1390.19</v>
      </c>
      <c r="G152" s="112">
        <f t="shared" si="11"/>
        <v>14.190000000000055</v>
      </c>
      <c r="H152" s="99">
        <f>G152+'14'!H152</f>
        <v>263.19000000000005</v>
      </c>
      <c r="I152" s="119"/>
      <c r="J152" s="328">
        <f>H152/DAY(B2)</f>
        <v>17.546000000000003</v>
      </c>
    </row>
    <row r="153" spans="1:10" ht="27.75" x14ac:dyDescent="0.5">
      <c r="A153" s="879" t="s">
        <v>196</v>
      </c>
      <c r="B153" s="880"/>
      <c r="C153" s="365"/>
      <c r="D153" s="358"/>
      <c r="E153" s="360"/>
      <c r="F153" s="361"/>
      <c r="G153" s="362">
        <f>SUM(G138:G152)</f>
        <v>2450.4400000000251</v>
      </c>
      <c r="H153" s="363"/>
      <c r="I153" s="119">
        <f>G153-(G38+G52)</f>
        <v>1063.4900000000243</v>
      </c>
      <c r="J153" s="366"/>
    </row>
    <row r="154" spans="1:10" ht="31.5" x14ac:dyDescent="0.55000000000000004">
      <c r="A154" s="883" t="s">
        <v>344</v>
      </c>
      <c r="B154" s="883"/>
      <c r="C154" s="883"/>
      <c r="D154" s="883"/>
      <c r="E154" s="883"/>
      <c r="F154" s="883"/>
      <c r="G154" s="883"/>
      <c r="H154" s="883"/>
      <c r="I154" s="883"/>
      <c r="J154" s="883"/>
    </row>
    <row r="155" spans="1:10" ht="31.5" x14ac:dyDescent="0.55000000000000004">
      <c r="A155" s="850" t="s">
        <v>345</v>
      </c>
      <c r="B155" s="850"/>
      <c r="C155" s="850"/>
      <c r="D155" s="117" t="s">
        <v>130</v>
      </c>
      <c r="E155" s="95">
        <f>'14'!F155</f>
        <v>21350</v>
      </c>
      <c r="F155" s="374">
        <v>22084.26</v>
      </c>
      <c r="G155" s="112">
        <f t="shared" ref="G155:G158" si="12">F155-E155</f>
        <v>734.2599999999984</v>
      </c>
      <c r="H155" s="99">
        <f>G155+'14'!H155</f>
        <v>8612.2599999999984</v>
      </c>
      <c r="I155" s="364"/>
      <c r="J155" s="328">
        <f>H155/DAY(B2)</f>
        <v>574.15066666666655</v>
      </c>
    </row>
    <row r="156" spans="1:10" ht="27.75" x14ac:dyDescent="0.5">
      <c r="A156" s="850" t="s">
        <v>347</v>
      </c>
      <c r="B156" s="850"/>
      <c r="C156" s="850"/>
      <c r="D156" s="117" t="s">
        <v>130</v>
      </c>
      <c r="E156" s="95">
        <f>'14'!F156</f>
        <v>1785</v>
      </c>
      <c r="F156" s="155">
        <v>1841.25</v>
      </c>
      <c r="G156" s="112">
        <f t="shared" si="12"/>
        <v>56.25</v>
      </c>
      <c r="H156" s="99">
        <f>G156+'14'!H156</f>
        <v>753.25</v>
      </c>
      <c r="I156" s="165"/>
      <c r="J156" s="328">
        <f>H156/DAY(B2)</f>
        <v>50.216666666666669</v>
      </c>
    </row>
    <row r="157" spans="1:10" ht="27.75" x14ac:dyDescent="0.5">
      <c r="A157" s="842" t="s">
        <v>364</v>
      </c>
      <c r="B157" s="843"/>
      <c r="C157" s="844"/>
      <c r="D157" s="117" t="s">
        <v>130</v>
      </c>
      <c r="E157" s="95">
        <f>'14'!F157</f>
        <v>2280</v>
      </c>
      <c r="F157" s="155">
        <v>2352.2600000000002</v>
      </c>
      <c r="G157" s="112">
        <f t="shared" si="12"/>
        <v>72.260000000000218</v>
      </c>
      <c r="H157" s="99">
        <f>G157+'14'!H157</f>
        <v>421.26000000000022</v>
      </c>
      <c r="I157" s="165"/>
      <c r="J157" s="328">
        <f>H157/DAY(B2)</f>
        <v>28.084000000000014</v>
      </c>
    </row>
    <row r="158" spans="1:10" ht="27.75" x14ac:dyDescent="0.5">
      <c r="A158" s="842" t="s">
        <v>365</v>
      </c>
      <c r="B158" s="843"/>
      <c r="C158" s="844"/>
      <c r="D158" s="117" t="s">
        <v>130</v>
      </c>
      <c r="E158" s="95">
        <f>'14'!F158</f>
        <v>23</v>
      </c>
      <c r="F158" s="155">
        <v>23.32</v>
      </c>
      <c r="G158" s="112">
        <f t="shared" si="12"/>
        <v>0.32000000000000028</v>
      </c>
      <c r="H158" s="99">
        <f>G158+'14'!H158</f>
        <v>23.32</v>
      </c>
      <c r="I158" s="165"/>
      <c r="J158" s="328">
        <f>H158/DAY(B2)</f>
        <v>1.5546666666666666</v>
      </c>
    </row>
    <row r="159" spans="1:10" ht="27.75" x14ac:dyDescent="0.5">
      <c r="A159" s="899"/>
      <c r="B159" s="900"/>
      <c r="C159" s="901"/>
      <c r="D159" s="117"/>
      <c r="E159" s="95"/>
      <c r="F159" s="165"/>
      <c r="G159" s="362">
        <f>SUM(G155:G158)</f>
        <v>863.08999999999867</v>
      </c>
      <c r="H159" s="99"/>
      <c r="I159" s="165"/>
      <c r="J159" s="328"/>
    </row>
    <row r="160" spans="1:10" ht="31.5" x14ac:dyDescent="0.55000000000000004">
      <c r="A160" s="883" t="s">
        <v>326</v>
      </c>
      <c r="B160" s="883"/>
      <c r="C160" s="883"/>
      <c r="D160" s="883"/>
      <c r="E160" s="883"/>
      <c r="F160" s="883"/>
      <c r="G160" s="883"/>
      <c r="H160" s="883"/>
      <c r="I160" s="883"/>
      <c r="J160" s="883"/>
    </row>
    <row r="161" spans="1:10" ht="29.25" x14ac:dyDescent="0.5">
      <c r="A161" s="242" t="s">
        <v>92</v>
      </c>
      <c r="B161" s="243"/>
      <c r="C161" s="243"/>
      <c r="D161" s="244" t="s">
        <v>180</v>
      </c>
      <c r="E161" s="95">
        <f>'14'!F161</f>
        <v>471424</v>
      </c>
      <c r="F161" s="235">
        <v>471432.04</v>
      </c>
      <c r="G161" s="238">
        <f t="shared" ref="G161:G165" si="13">F161-E161</f>
        <v>8.0399999999790452</v>
      </c>
      <c r="H161" s="99">
        <f>G161+'14'!H161</f>
        <v>278.88000000000466</v>
      </c>
      <c r="I161" s="236"/>
      <c r="J161" s="239">
        <f>H161/DAY(B2)</f>
        <v>18.592000000000311</v>
      </c>
    </row>
    <row r="162" spans="1:10" ht="29.25" x14ac:dyDescent="0.5">
      <c r="A162" s="242" t="s">
        <v>93</v>
      </c>
      <c r="B162" s="243"/>
      <c r="C162" s="243"/>
      <c r="D162" s="244" t="s">
        <v>180</v>
      </c>
      <c r="E162" s="95">
        <f>'14'!F162</f>
        <v>87964</v>
      </c>
      <c r="F162" s="235">
        <v>88002.3</v>
      </c>
      <c r="G162" s="238">
        <f t="shared" si="13"/>
        <v>38.30000000000291</v>
      </c>
      <c r="H162" s="99">
        <f>G162+'14'!H162</f>
        <v>432.30000000000291</v>
      </c>
      <c r="I162" s="236"/>
      <c r="J162" s="239">
        <f>H162/DAY(B2)</f>
        <v>28.820000000000196</v>
      </c>
    </row>
    <row r="163" spans="1:10" ht="29.25" x14ac:dyDescent="0.5">
      <c r="A163" s="242" t="s">
        <v>197</v>
      </c>
      <c r="B163" s="243"/>
      <c r="C163" s="243"/>
      <c r="D163" s="244" t="s">
        <v>180</v>
      </c>
      <c r="E163" s="95">
        <f>'14'!F163</f>
        <v>78422</v>
      </c>
      <c r="F163" s="235">
        <v>78479.100000000006</v>
      </c>
      <c r="G163" s="238">
        <f t="shared" si="13"/>
        <v>57.100000000005821</v>
      </c>
      <c r="H163" s="99">
        <f>G163+'14'!H163</f>
        <v>654.10000000000582</v>
      </c>
      <c r="I163" s="236"/>
      <c r="J163" s="239">
        <f>H163/DAY(B2)</f>
        <v>43.606666666667053</v>
      </c>
    </row>
    <row r="164" spans="1:10" ht="29.25" x14ac:dyDescent="0.5">
      <c r="A164" s="242" t="s">
        <v>197</v>
      </c>
      <c r="B164" s="243"/>
      <c r="C164" s="243"/>
      <c r="D164" s="244" t="s">
        <v>180</v>
      </c>
      <c r="E164" s="95">
        <f>'14'!F164</f>
        <v>4263</v>
      </c>
      <c r="F164" s="235">
        <v>4265.5</v>
      </c>
      <c r="G164" s="238">
        <f t="shared" si="13"/>
        <v>2.5</v>
      </c>
      <c r="H164" s="99">
        <f>G164+'14'!H164</f>
        <v>23.5</v>
      </c>
      <c r="I164" s="236"/>
      <c r="J164" s="239">
        <f>H164/DAY(B2)</f>
        <v>1.5666666666666667</v>
      </c>
    </row>
    <row r="165" spans="1:10" ht="29.25" x14ac:dyDescent="0.5">
      <c r="A165" s="242" t="s">
        <v>309</v>
      </c>
      <c r="B165" s="243"/>
      <c r="C165" s="243"/>
      <c r="D165" s="244" t="s">
        <v>180</v>
      </c>
      <c r="E165" s="95">
        <f>'14'!F165</f>
        <v>29737</v>
      </c>
      <c r="F165" s="235">
        <v>29743.53</v>
      </c>
      <c r="G165" s="238">
        <f t="shared" si="13"/>
        <v>6.5299999999988358</v>
      </c>
      <c r="H165" s="99">
        <f>G165+'14'!H165</f>
        <v>97.529999999998836</v>
      </c>
      <c r="I165" s="236"/>
      <c r="J165" s="239">
        <f>H165/DAY(B2)</f>
        <v>6.5019999999999225</v>
      </c>
    </row>
    <row r="166" spans="1:10" ht="29.25" x14ac:dyDescent="0.5">
      <c r="A166" s="882"/>
      <c r="B166" s="882"/>
      <c r="C166" s="246"/>
      <c r="D166" s="244" t="s">
        <v>180</v>
      </c>
      <c r="E166" s="95">
        <f>'14'!F166</f>
        <v>0</v>
      </c>
      <c r="F166" s="165"/>
      <c r="G166" s="165"/>
      <c r="H166" s="99">
        <f>G166+'14'!H166</f>
        <v>0</v>
      </c>
      <c r="I166" s="165"/>
      <c r="J166" s="239">
        <f>H166/DAY(B2)</f>
        <v>0</v>
      </c>
    </row>
    <row r="167" spans="1:10" ht="29.25" x14ac:dyDescent="0.5">
      <c r="A167" s="882"/>
      <c r="B167" s="882"/>
      <c r="C167" s="246"/>
      <c r="D167" s="244" t="s">
        <v>180</v>
      </c>
      <c r="E167" s="95">
        <f>'14'!F167</f>
        <v>0</v>
      </c>
      <c r="F167" s="165"/>
      <c r="G167" s="165"/>
      <c r="H167" s="99">
        <f>G167+'14'!H167</f>
        <v>0</v>
      </c>
      <c r="I167" s="165"/>
      <c r="J167" s="239">
        <f>H167/DAY(B2)</f>
        <v>0</v>
      </c>
    </row>
    <row r="168" spans="1:10" ht="29.25" x14ac:dyDescent="0.5">
      <c r="A168" s="882"/>
      <c r="B168" s="882"/>
      <c r="C168" s="246"/>
      <c r="D168" s="244" t="s">
        <v>180</v>
      </c>
      <c r="E168" s="95">
        <f>'14'!F168</f>
        <v>0</v>
      </c>
      <c r="F168" s="165"/>
      <c r="G168" s="165"/>
      <c r="H168" s="99">
        <f>G168+'14'!H168</f>
        <v>0</v>
      </c>
      <c r="I168" s="165"/>
      <c r="J168" s="239">
        <f>H168/DAY(B2)</f>
        <v>0</v>
      </c>
    </row>
    <row r="169" spans="1:10" ht="29.25" x14ac:dyDescent="0.5"/>
    <row r="170" spans="1:10" ht="21.75" customHeight="1" x14ac:dyDescent="0.5"/>
    <row r="171" spans="1:10" ht="21.75" customHeight="1" x14ac:dyDescent="0.35">
      <c r="A171" s="890" t="s">
        <v>330</v>
      </c>
      <c r="B171" s="891"/>
      <c r="C171" s="891"/>
      <c r="D171" s="891"/>
      <c r="E171" s="891"/>
      <c r="F171" s="891"/>
      <c r="G171" s="891"/>
      <c r="H171" s="891"/>
      <c r="I171" s="891"/>
      <c r="J171" s="892"/>
    </row>
    <row r="172" spans="1:10" ht="21.75" customHeight="1" x14ac:dyDescent="0.5">
      <c r="A172" s="886"/>
      <c r="B172" s="887"/>
      <c r="C172" s="332"/>
      <c r="D172" s="228"/>
      <c r="E172" s="155"/>
      <c r="F172" s="155"/>
      <c r="G172" s="155"/>
      <c r="H172" s="156"/>
      <c r="I172" s="155"/>
      <c r="J172" s="178"/>
    </row>
    <row r="173" spans="1:10" ht="21.75" customHeight="1" x14ac:dyDescent="0.5">
      <c r="A173" s="840" t="s">
        <v>209</v>
      </c>
      <c r="B173" s="841"/>
      <c r="C173" s="333"/>
      <c r="D173" s="228" t="s">
        <v>142</v>
      </c>
      <c r="E173" s="95">
        <f>'14'!F173</f>
        <v>8126</v>
      </c>
      <c r="F173" s="155">
        <v>8126</v>
      </c>
      <c r="G173" s="155">
        <f>F173-E173</f>
        <v>0</v>
      </c>
      <c r="H173" s="99">
        <f>G173+'14'!H173</f>
        <v>0</v>
      </c>
      <c r="I173" s="155"/>
      <c r="J173" s="178">
        <f>H173/DAY(B2)</f>
        <v>0</v>
      </c>
    </row>
    <row r="174" spans="1:10" ht="21.75" customHeight="1" x14ac:dyDescent="0.5">
      <c r="A174" s="840" t="s">
        <v>75</v>
      </c>
      <c r="B174" s="841"/>
      <c r="C174" s="333"/>
      <c r="D174" s="228" t="s">
        <v>142</v>
      </c>
      <c r="E174" s="95">
        <f>'14'!F174</f>
        <v>38421</v>
      </c>
      <c r="F174" s="157">
        <v>38431</v>
      </c>
      <c r="G174" s="155">
        <f t="shared" ref="G174:G175" si="14">F174-E174</f>
        <v>10</v>
      </c>
      <c r="H174" s="99">
        <f>G174+'14'!H174</f>
        <v>138</v>
      </c>
      <c r="I174" s="155"/>
      <c r="J174" s="178">
        <f>H174/DAY(B2)</f>
        <v>9.1999999999999993</v>
      </c>
    </row>
    <row r="175" spans="1:10" ht="21.75" customHeight="1" x14ac:dyDescent="0.5">
      <c r="A175" s="840" t="s">
        <v>76</v>
      </c>
      <c r="B175" s="845"/>
      <c r="C175" s="841"/>
      <c r="D175" s="228" t="s">
        <v>142</v>
      </c>
      <c r="E175" s="95">
        <f>'14'!F175</f>
        <v>21643</v>
      </c>
      <c r="F175" s="155">
        <v>21656</v>
      </c>
      <c r="G175" s="155">
        <f t="shared" si="14"/>
        <v>13</v>
      </c>
      <c r="H175" s="99">
        <f>G175+'14'!H175</f>
        <v>138</v>
      </c>
      <c r="I175" s="155"/>
      <c r="J175" s="178">
        <f>H175/DAY(B2)</f>
        <v>9.1999999999999993</v>
      </c>
    </row>
    <row r="176" spans="1:10" ht="21.75" customHeight="1" x14ac:dyDescent="0.5">
      <c r="A176" s="879" t="s">
        <v>196</v>
      </c>
      <c r="B176" s="880"/>
      <c r="C176" s="333"/>
      <c r="D176" s="228" t="s">
        <v>142</v>
      </c>
      <c r="E176" s="95"/>
      <c r="F176" s="155"/>
      <c r="G176" s="155">
        <f>SUM(G173:G175)</f>
        <v>23</v>
      </c>
      <c r="H176" s="99">
        <f>G176+'14'!H176</f>
        <v>276</v>
      </c>
      <c r="I176" s="155"/>
      <c r="J176" s="178">
        <f>H176/DAY(B2)</f>
        <v>18.399999999999999</v>
      </c>
    </row>
    <row r="177" spans="1:10" ht="21.75" customHeight="1" x14ac:dyDescent="0.5">
      <c r="A177" s="840" t="s">
        <v>77</v>
      </c>
      <c r="B177" s="841"/>
      <c r="C177" s="333"/>
      <c r="D177" s="228" t="s">
        <v>142</v>
      </c>
      <c r="E177" s="95"/>
      <c r="F177" s="155"/>
      <c r="G177" s="155"/>
      <c r="H177" s="99">
        <f>G177+'14'!H177</f>
        <v>0</v>
      </c>
      <c r="I177" s="155"/>
      <c r="J177" s="178">
        <f>H177/DAY(B2)</f>
        <v>0</v>
      </c>
    </row>
    <row r="178" spans="1:10" ht="23.25" customHeight="1" x14ac:dyDescent="0.5">
      <c r="A178" s="840" t="s">
        <v>210</v>
      </c>
      <c r="B178" s="841"/>
      <c r="C178" s="333"/>
      <c r="D178" s="228" t="s">
        <v>142</v>
      </c>
      <c r="E178" s="95">
        <f>'14'!F178</f>
        <v>80397</v>
      </c>
      <c r="F178" s="155">
        <v>80469</v>
      </c>
      <c r="G178" s="155">
        <f>F178-E178</f>
        <v>72</v>
      </c>
      <c r="H178" s="99">
        <f>G178+'14'!H178</f>
        <v>855</v>
      </c>
      <c r="I178" s="155"/>
      <c r="J178" s="178">
        <f>H178/DAY(B2)</f>
        <v>57</v>
      </c>
    </row>
    <row r="179" spans="1:10" ht="24" customHeight="1" x14ac:dyDescent="0.5">
      <c r="A179" s="840" t="s">
        <v>211</v>
      </c>
      <c r="B179" s="841"/>
      <c r="C179" s="333"/>
      <c r="D179" s="228" t="s">
        <v>142</v>
      </c>
      <c r="E179" s="95">
        <f>'14'!F179</f>
        <v>34203</v>
      </c>
      <c r="F179" s="155">
        <v>34223</v>
      </c>
      <c r="G179" s="155">
        <f t="shared" ref="G179:G180" si="15">F179-E179</f>
        <v>20</v>
      </c>
      <c r="H179" s="99">
        <f>G179+'14'!H179</f>
        <v>308</v>
      </c>
      <c r="I179" s="155"/>
      <c r="J179" s="178">
        <f>H179/DAY(B2)</f>
        <v>20.533333333333335</v>
      </c>
    </row>
    <row r="180" spans="1:10" ht="27.75" x14ac:dyDescent="0.5">
      <c r="A180" s="840" t="s">
        <v>212</v>
      </c>
      <c r="B180" s="841"/>
      <c r="C180" s="333"/>
      <c r="D180" s="228" t="s">
        <v>142</v>
      </c>
      <c r="E180" s="95">
        <f>'14'!F180</f>
        <v>5581</v>
      </c>
      <c r="F180" s="155">
        <v>5592</v>
      </c>
      <c r="G180" s="155">
        <f t="shared" si="15"/>
        <v>11</v>
      </c>
      <c r="H180" s="99">
        <f>G180+'14'!H180</f>
        <v>115</v>
      </c>
      <c r="I180" s="155"/>
      <c r="J180" s="178">
        <f>H180/DAY(B2)</f>
        <v>7.666666666666667</v>
      </c>
    </row>
    <row r="181" spans="1:10" ht="27.75" x14ac:dyDescent="0.5">
      <c r="A181" s="884" t="s">
        <v>108</v>
      </c>
      <c r="B181" s="885"/>
      <c r="C181" s="333"/>
      <c r="D181" s="228" t="s">
        <v>142</v>
      </c>
      <c r="E181" s="95"/>
      <c r="F181" s="155"/>
      <c r="G181" s="155">
        <f>SUM(G178:G180)</f>
        <v>103</v>
      </c>
      <c r="H181" s="99">
        <f>G181+'14'!H181</f>
        <v>1278</v>
      </c>
      <c r="I181" s="155"/>
      <c r="J181" s="178">
        <f>H181/DAY(B2)</f>
        <v>85.2</v>
      </c>
    </row>
    <row r="182" spans="1:10" ht="27.75" x14ac:dyDescent="0.5">
      <c r="A182" s="840" t="s">
        <v>213</v>
      </c>
      <c r="B182" s="841"/>
      <c r="C182" s="333"/>
      <c r="D182" s="228" t="s">
        <v>142</v>
      </c>
      <c r="E182" s="95"/>
      <c r="F182" s="155"/>
      <c r="G182" s="155"/>
      <c r="H182" s="99">
        <f>G182+'14'!H182</f>
        <v>0</v>
      </c>
      <c r="I182" s="155"/>
      <c r="J182" s="178">
        <f>H182/DAY(B2)</f>
        <v>0</v>
      </c>
    </row>
    <row r="183" spans="1:10" ht="27.75" x14ac:dyDescent="0.5">
      <c r="A183" s="840" t="s">
        <v>214</v>
      </c>
      <c r="B183" s="841"/>
      <c r="C183" s="334"/>
      <c r="D183" s="228" t="s">
        <v>142</v>
      </c>
      <c r="E183" s="95">
        <f>'14'!F183</f>
        <v>15121</v>
      </c>
      <c r="F183" s="157">
        <v>15129</v>
      </c>
      <c r="G183" s="157">
        <f>F183-E183</f>
        <v>8</v>
      </c>
      <c r="H183" s="99">
        <f>G183+'14'!H183</f>
        <v>182</v>
      </c>
      <c r="I183" s="155"/>
      <c r="J183" s="178">
        <f>H183/DAY(B2)</f>
        <v>12.133333333333333</v>
      </c>
    </row>
    <row r="184" spans="1:10" ht="27.75" x14ac:dyDescent="0.5">
      <c r="A184" s="840" t="s">
        <v>215</v>
      </c>
      <c r="B184" s="841"/>
      <c r="C184" s="334"/>
      <c r="D184" s="228" t="s">
        <v>142</v>
      </c>
      <c r="E184" s="95">
        <f>'14'!F184</f>
        <v>10393</v>
      </c>
      <c r="F184" s="157">
        <v>10398</v>
      </c>
      <c r="G184" s="157">
        <f t="shared" ref="G184:G185" si="16">F184-E184</f>
        <v>5</v>
      </c>
      <c r="H184" s="99">
        <f>G184+'14'!H184</f>
        <v>97</v>
      </c>
      <c r="I184" s="155"/>
      <c r="J184" s="178">
        <f>H184/DAY(B2)</f>
        <v>6.4666666666666668</v>
      </c>
    </row>
    <row r="185" spans="1:10" ht="32.25" customHeight="1" x14ac:dyDescent="0.5">
      <c r="A185" s="840" t="s">
        <v>216</v>
      </c>
      <c r="B185" s="841"/>
      <c r="C185" s="334"/>
      <c r="D185" s="228" t="s">
        <v>142</v>
      </c>
      <c r="E185" s="95">
        <f>'14'!F185</f>
        <v>0</v>
      </c>
      <c r="F185" s="157"/>
      <c r="G185" s="157">
        <f t="shared" si="16"/>
        <v>0</v>
      </c>
      <c r="H185" s="99">
        <f>G185+'14'!H185</f>
        <v>0</v>
      </c>
      <c r="I185" s="155"/>
      <c r="J185" s="178">
        <f>H185/DAY(B2)</f>
        <v>0</v>
      </c>
    </row>
    <row r="186" spans="1:10" ht="27.75" x14ac:dyDescent="0.5">
      <c r="A186" s="879" t="s">
        <v>196</v>
      </c>
      <c r="B186" s="880"/>
      <c r="C186" s="334"/>
      <c r="D186" s="228" t="s">
        <v>142</v>
      </c>
      <c r="E186" s="95"/>
      <c r="F186" s="157"/>
      <c r="G186" s="157">
        <f>SUM(G183:G185)</f>
        <v>13</v>
      </c>
      <c r="H186" s="99">
        <f>G186+'14'!H186</f>
        <v>279</v>
      </c>
      <c r="I186" s="157"/>
      <c r="J186" s="178">
        <f>H186/DAY(B2)</f>
        <v>18.600000000000001</v>
      </c>
    </row>
    <row r="187" spans="1:10" ht="27.75" x14ac:dyDescent="0.5">
      <c r="A187" s="888" t="s">
        <v>217</v>
      </c>
      <c r="B187" s="889"/>
      <c r="C187" s="333"/>
      <c r="D187" s="230" t="s">
        <v>142</v>
      </c>
      <c r="E187" s="95"/>
      <c r="F187" s="159"/>
      <c r="G187" s="462">
        <f>G62+G19</f>
        <v>134</v>
      </c>
      <c r="H187" s="99">
        <f>G187+'14'!H187</f>
        <v>1686</v>
      </c>
      <c r="I187" s="158"/>
      <c r="J187" s="179">
        <f>H187/DAY(B2)</f>
        <v>112.4</v>
      </c>
    </row>
    <row r="188" spans="1:10" ht="27.75" x14ac:dyDescent="0.5">
      <c r="A188" s="888" t="s">
        <v>218</v>
      </c>
      <c r="B188" s="889"/>
      <c r="C188" s="333"/>
      <c r="D188" s="230" t="s">
        <v>142</v>
      </c>
      <c r="E188" s="95"/>
      <c r="F188" s="159"/>
      <c r="G188" s="462">
        <f>G65+G66+G67+G69+G70</f>
        <v>128</v>
      </c>
      <c r="H188" s="99">
        <f>G188+'14'!H188</f>
        <v>128</v>
      </c>
      <c r="I188" s="158"/>
      <c r="J188" s="179">
        <f>H188/DAY(B2)</f>
        <v>8.5333333333333332</v>
      </c>
    </row>
    <row r="189" spans="1:10" ht="27" customHeight="1" x14ac:dyDescent="0.5">
      <c r="A189" s="888" t="s">
        <v>219</v>
      </c>
      <c r="B189" s="889"/>
      <c r="C189" s="333"/>
      <c r="D189" s="230" t="s">
        <v>142</v>
      </c>
      <c r="E189" s="95"/>
      <c r="F189" s="157"/>
      <c r="G189" s="459">
        <f>G181</f>
        <v>103</v>
      </c>
      <c r="H189" s="99">
        <f>G189+'14'!H189</f>
        <v>1278</v>
      </c>
      <c r="I189" s="158"/>
      <c r="J189" s="179">
        <f>H189/DAY(B2)</f>
        <v>85.2</v>
      </c>
    </row>
    <row r="190" spans="1:10" ht="27" customHeight="1" x14ac:dyDescent="0.5">
      <c r="A190" s="811"/>
      <c r="B190" s="812"/>
      <c r="C190" s="483"/>
      <c r="D190" s="480"/>
      <c r="E190" s="480" t="s">
        <v>207</v>
      </c>
      <c r="F190" s="480"/>
      <c r="G190" s="480"/>
      <c r="H190" s="481"/>
      <c r="I190" s="480"/>
      <c r="J190" s="482"/>
    </row>
    <row r="191" spans="1:10" ht="27" customHeight="1" x14ac:dyDescent="0.5"/>
    <row r="192" spans="1:10" ht="27" customHeight="1" x14ac:dyDescent="0.5"/>
    <row r="193" ht="27" customHeight="1" x14ac:dyDescent="0.5"/>
    <row r="194" ht="27" customHeight="1" x14ac:dyDescent="0.5"/>
    <row r="195" ht="27" customHeight="1" x14ac:dyDescent="0.5"/>
    <row r="196" ht="27" customHeight="1" x14ac:dyDescent="0.5"/>
    <row r="197" ht="27" customHeight="1" x14ac:dyDescent="0.5"/>
    <row r="198" ht="27" customHeight="1" x14ac:dyDescent="0.5"/>
    <row r="199" ht="27" customHeight="1" x14ac:dyDescent="0.5"/>
    <row r="200" ht="27" customHeight="1" x14ac:dyDescent="0.5"/>
    <row r="201" ht="27" customHeight="1" x14ac:dyDescent="0.5"/>
    <row r="202" ht="27" customHeight="1" x14ac:dyDescent="0.5"/>
    <row r="203" ht="27" customHeight="1" x14ac:dyDescent="0.5"/>
    <row r="204" ht="27" customHeight="1" x14ac:dyDescent="0.5"/>
    <row r="205" ht="27" customHeight="1" x14ac:dyDescent="0.5"/>
    <row r="206" ht="27" customHeight="1" x14ac:dyDescent="0.5"/>
    <row r="207" ht="27" customHeight="1" x14ac:dyDescent="0.5"/>
    <row r="208" ht="27" customHeight="1" x14ac:dyDescent="0.5"/>
    <row r="209" ht="27" customHeight="1" x14ac:dyDescent="0.5"/>
    <row r="210" ht="27" customHeight="1" x14ac:dyDescent="0.5"/>
    <row r="211" ht="27" customHeight="1" x14ac:dyDescent="0.5"/>
    <row r="212" ht="27" customHeight="1" x14ac:dyDescent="0.5"/>
    <row r="213" ht="27" customHeight="1" x14ac:dyDescent="0.5"/>
    <row r="214" ht="27" customHeight="1" x14ac:dyDescent="0.5"/>
    <row r="215" ht="27" customHeight="1" x14ac:dyDescent="0.5"/>
    <row r="216" ht="27" customHeight="1" x14ac:dyDescent="0.5"/>
    <row r="217" ht="27" customHeight="1" x14ac:dyDescent="0.5"/>
    <row r="218" ht="27" customHeight="1" x14ac:dyDescent="0.5"/>
    <row r="219" ht="27" customHeight="1" x14ac:dyDescent="0.5"/>
    <row r="220" ht="27" customHeight="1" x14ac:dyDescent="0.5"/>
    <row r="221" ht="27" customHeight="1" x14ac:dyDescent="0.5"/>
    <row r="222" ht="27" customHeight="1" x14ac:dyDescent="0.5"/>
    <row r="223" ht="27" customHeight="1" x14ac:dyDescent="0.5"/>
    <row r="224" ht="27" customHeight="1" x14ac:dyDescent="0.5"/>
    <row r="225" ht="27" customHeight="1" x14ac:dyDescent="0.5"/>
    <row r="226" ht="27" customHeight="1" x14ac:dyDescent="0.5"/>
    <row r="227" ht="27" customHeight="1" x14ac:dyDescent="0.5"/>
    <row r="228" ht="27" customHeight="1" x14ac:dyDescent="0.5"/>
    <row r="229" ht="27" customHeight="1" x14ac:dyDescent="0.5"/>
    <row r="230" ht="27" customHeight="1" x14ac:dyDescent="0.5"/>
    <row r="231" ht="27" customHeight="1" x14ac:dyDescent="0.5"/>
    <row r="232" ht="27" customHeight="1" x14ac:dyDescent="0.5"/>
    <row r="233" ht="27" customHeight="1" x14ac:dyDescent="0.5"/>
    <row r="234" ht="27" customHeight="1" x14ac:dyDescent="0.5"/>
    <row r="235" ht="27" customHeight="1" x14ac:dyDescent="0.5"/>
    <row r="236" ht="27" customHeight="1" x14ac:dyDescent="0.5"/>
    <row r="237" ht="27" customHeight="1" x14ac:dyDescent="0.5"/>
    <row r="238" ht="27" customHeight="1" x14ac:dyDescent="0.5"/>
    <row r="239" ht="27" customHeight="1" x14ac:dyDescent="0.5"/>
    <row r="240" ht="27" customHeight="1" x14ac:dyDescent="0.5"/>
    <row r="241" ht="27" customHeight="1" x14ac:dyDescent="0.5"/>
    <row r="242" ht="27" customHeight="1" x14ac:dyDescent="0.5"/>
    <row r="243" ht="27" customHeight="1" x14ac:dyDescent="0.5"/>
    <row r="244" ht="27" customHeight="1" x14ac:dyDescent="0.5"/>
    <row r="245" ht="27" customHeight="1" x14ac:dyDescent="0.5"/>
    <row r="246" ht="27" customHeight="1" x14ac:dyDescent="0.5"/>
    <row r="247" ht="27" customHeight="1" x14ac:dyDescent="0.5"/>
    <row r="248" ht="27" customHeight="1" x14ac:dyDescent="0.5"/>
    <row r="249" ht="27" customHeight="1" x14ac:dyDescent="0.5"/>
    <row r="250" ht="29.25" x14ac:dyDescent="0.5"/>
    <row r="251" ht="29.25" x14ac:dyDescent="0.5"/>
    <row r="252" ht="29.25" x14ac:dyDescent="0.5"/>
    <row r="253" ht="29.25" x14ac:dyDescent="0.5"/>
    <row r="254" ht="29.25" x14ac:dyDescent="0.5"/>
    <row r="255" ht="29.25" x14ac:dyDescent="0.5"/>
    <row r="256" ht="29.25" x14ac:dyDescent="0.5"/>
    <row r="257" ht="29.25" x14ac:dyDescent="0.5"/>
    <row r="258" ht="29.25" x14ac:dyDescent="0.5"/>
    <row r="259" ht="29.25" x14ac:dyDescent="0.5"/>
    <row r="260" ht="29.25" x14ac:dyDescent="0.5"/>
    <row r="261" ht="29.25" x14ac:dyDescent="0.5"/>
    <row r="262" ht="29.25" x14ac:dyDescent="0.5"/>
    <row r="263" ht="29.25" x14ac:dyDescent="0.5"/>
    <row r="264" ht="29.25" x14ac:dyDescent="0.5"/>
    <row r="265" ht="29.25" x14ac:dyDescent="0.5"/>
    <row r="266" ht="29.25" x14ac:dyDescent="0.5"/>
    <row r="267" ht="29.25" x14ac:dyDescent="0.5"/>
    <row r="268" ht="29.25" x14ac:dyDescent="0.5"/>
    <row r="269" ht="29.25" x14ac:dyDescent="0.5"/>
    <row r="270" ht="29.25" x14ac:dyDescent="0.5"/>
  </sheetData>
  <mergeCells count="115">
    <mergeCell ref="A158:C158"/>
    <mergeCell ref="A159:C159"/>
    <mergeCell ref="A186:B186"/>
    <mergeCell ref="A187:B187"/>
    <mergeCell ref="A188:B188"/>
    <mergeCell ref="A189:B189"/>
    <mergeCell ref="A190:B190"/>
    <mergeCell ref="A178:B178"/>
    <mergeCell ref="A179:B179"/>
    <mergeCell ref="A180:B180"/>
    <mergeCell ref="A184:B184"/>
    <mergeCell ref="A185:B185"/>
    <mergeCell ref="A182:B182"/>
    <mergeCell ref="A183:B183"/>
    <mergeCell ref="A181:B181"/>
    <mergeCell ref="A173:B173"/>
    <mergeCell ref="A174:B174"/>
    <mergeCell ref="A175:C175"/>
    <mergeCell ref="A176:B176"/>
    <mergeCell ref="A177:B177"/>
    <mergeCell ref="A166:B166"/>
    <mergeCell ref="A167:B167"/>
    <mergeCell ref="A168:B168"/>
    <mergeCell ref="A171:J171"/>
    <mergeCell ref="A172:B172"/>
    <mergeCell ref="A139:C139"/>
    <mergeCell ref="A140:C140"/>
    <mergeCell ref="A141:C141"/>
    <mergeCell ref="A142:C142"/>
    <mergeCell ref="A160:J160"/>
    <mergeCell ref="A133:C133"/>
    <mergeCell ref="A134:C134"/>
    <mergeCell ref="A136:J136"/>
    <mergeCell ref="A138:C138"/>
    <mergeCell ref="A148:C148"/>
    <mergeCell ref="A149:C149"/>
    <mergeCell ref="A143:C143"/>
    <mergeCell ref="A144:C144"/>
    <mergeCell ref="A145:C145"/>
    <mergeCell ref="A146:C146"/>
    <mergeCell ref="A147:C147"/>
    <mergeCell ref="A150:C150"/>
    <mergeCell ref="A151:C151"/>
    <mergeCell ref="A152:C152"/>
    <mergeCell ref="A154:J154"/>
    <mergeCell ref="A155:C155"/>
    <mergeCell ref="A156:C156"/>
    <mergeCell ref="A153:B153"/>
    <mergeCell ref="A157:C157"/>
    <mergeCell ref="Q116:R116"/>
    <mergeCell ref="A117:C117"/>
    <mergeCell ref="Q117:R117"/>
    <mergeCell ref="A118:C118"/>
    <mergeCell ref="Q118:R118"/>
    <mergeCell ref="A119:C119"/>
    <mergeCell ref="A116:C116"/>
    <mergeCell ref="A120:C120"/>
    <mergeCell ref="A121:C121"/>
    <mergeCell ref="A113:C113"/>
    <mergeCell ref="A126:J126"/>
    <mergeCell ref="A127:B127"/>
    <mergeCell ref="A128:C128"/>
    <mergeCell ref="A131:C131"/>
    <mergeCell ref="A132:C132"/>
    <mergeCell ref="A122:C122"/>
    <mergeCell ref="A124:C124"/>
    <mergeCell ref="A125:B125"/>
    <mergeCell ref="A81:C81"/>
    <mergeCell ref="A115:C115"/>
    <mergeCell ref="A103:C103"/>
    <mergeCell ref="A61:C61"/>
    <mergeCell ref="A62:C62"/>
    <mergeCell ref="A63:C63"/>
    <mergeCell ref="A71:C71"/>
    <mergeCell ref="A72:B72"/>
    <mergeCell ref="A73:C73"/>
    <mergeCell ref="A74:C74"/>
    <mergeCell ref="A75:C75"/>
    <mergeCell ref="A64:C64"/>
    <mergeCell ref="A65:C65"/>
    <mergeCell ref="A104:C104"/>
    <mergeCell ref="A105:C105"/>
    <mergeCell ref="A108:J108"/>
    <mergeCell ref="A110:J110"/>
    <mergeCell ref="A97:C97"/>
    <mergeCell ref="A98:C98"/>
    <mergeCell ref="A99:C99"/>
    <mergeCell ref="A100:C100"/>
    <mergeCell ref="A101:C101"/>
    <mergeCell ref="A111:C111"/>
    <mergeCell ref="A112:C112"/>
    <mergeCell ref="A78:C78"/>
    <mergeCell ref="A114:C114"/>
    <mergeCell ref="A135:B135"/>
    <mergeCell ref="A18:C18"/>
    <mergeCell ref="A19:C19"/>
    <mergeCell ref="A21:C21"/>
    <mergeCell ref="A25:C25"/>
    <mergeCell ref="A33:C33"/>
    <mergeCell ref="A1:J1"/>
    <mergeCell ref="A6:C6"/>
    <mergeCell ref="A14:C14"/>
    <mergeCell ref="A17:C17"/>
    <mergeCell ref="E3:F3"/>
    <mergeCell ref="A102:C102"/>
    <mergeCell ref="A123:C123"/>
    <mergeCell ref="A95:C95"/>
    <mergeCell ref="A96:C96"/>
    <mergeCell ref="A109:B109"/>
    <mergeCell ref="A93:C93"/>
    <mergeCell ref="A94:C94"/>
    <mergeCell ref="A76:C76"/>
    <mergeCell ref="A77:C77"/>
    <mergeCell ref="A79:C79"/>
    <mergeCell ref="A80:C80"/>
  </mergeCells>
  <pageMargins left="0.22" right="0.17" top="0.14000000000000001" bottom="0.2" header="0.2" footer="0.2"/>
  <pageSetup paperSize="5" scale="19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tabColor rgb="FF00B050"/>
    <pageSetUpPr fitToPage="1"/>
  </sheetPr>
  <dimension ref="A1:R270"/>
  <sheetViews>
    <sheetView view="pageBreakPreview" topLeftCell="A130" zoomScale="55" zoomScaleNormal="90" zoomScaleSheetLayoutView="55" workbookViewId="0">
      <selection activeCell="F24" sqref="F24"/>
    </sheetView>
  </sheetViews>
  <sheetFormatPr defaultColWidth="22.33203125" defaultRowHeight="21.95" customHeight="1" x14ac:dyDescent="0.5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5" width="30" style="160" customWidth="1"/>
    <col min="6" max="6" width="30" style="498" customWidth="1"/>
    <col min="7" max="7" width="28.88671875" style="160" customWidth="1"/>
    <col min="8" max="8" width="39.21875" style="161" customWidth="1"/>
    <col min="9" max="9" width="23.5546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6" ht="33.75" x14ac:dyDescent="0.65">
      <c r="A1" s="821" t="s">
        <v>115</v>
      </c>
      <c r="B1" s="822"/>
      <c r="C1" s="822"/>
      <c r="D1" s="822"/>
      <c r="E1" s="822"/>
      <c r="F1" s="822"/>
      <c r="G1" s="822"/>
      <c r="H1" s="822"/>
      <c r="I1" s="822"/>
      <c r="J1" s="823"/>
    </row>
    <row r="2" spans="1:16" s="57" customFormat="1" ht="27" x14ac:dyDescent="0.5">
      <c r="A2" s="191" t="s">
        <v>303</v>
      </c>
      <c r="B2" s="262">
        <v>44577</v>
      </c>
      <c r="C2" s="348" t="s">
        <v>67</v>
      </c>
      <c r="D2" s="218">
        <v>0.25</v>
      </c>
      <c r="E2" s="100"/>
      <c r="F2" s="348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6" s="57" customFormat="1" ht="27" x14ac:dyDescent="0.5">
      <c r="A3" s="189"/>
      <c r="B3" s="221"/>
      <c r="C3" s="348" t="s">
        <v>118</v>
      </c>
      <c r="D3" s="219">
        <v>21</v>
      </c>
      <c r="E3" s="830" t="s">
        <v>119</v>
      </c>
      <c r="F3" s="831"/>
      <c r="G3" s="101"/>
      <c r="H3" s="102"/>
      <c r="I3" s="102"/>
      <c r="J3" s="222"/>
      <c r="K3" s="61"/>
      <c r="L3" s="58"/>
    </row>
    <row r="4" spans="1:16" s="57" customFormat="1" ht="27" x14ac:dyDescent="0.5">
      <c r="A4" s="192"/>
      <c r="B4" s="223"/>
      <c r="C4" s="348" t="s">
        <v>120</v>
      </c>
      <c r="D4" s="218">
        <v>0.68</v>
      </c>
      <c r="E4" s="103"/>
      <c r="F4" s="103"/>
      <c r="G4" s="103"/>
      <c r="H4" s="103"/>
      <c r="I4" s="104"/>
      <c r="J4" s="222"/>
      <c r="K4" s="62"/>
      <c r="L4" s="58"/>
    </row>
    <row r="5" spans="1:16" ht="29.25" x14ac:dyDescent="0.4">
      <c r="A5" s="193" t="s">
        <v>121</v>
      </c>
      <c r="B5" s="98"/>
      <c r="C5" s="98"/>
      <c r="D5" s="146" t="s">
        <v>122</v>
      </c>
      <c r="E5" s="106" t="s">
        <v>123</v>
      </c>
      <c r="F5" s="120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6" ht="29.25" x14ac:dyDescent="0.4">
      <c r="A6" s="824" t="s">
        <v>128</v>
      </c>
      <c r="B6" s="825"/>
      <c r="C6" s="826"/>
      <c r="D6" s="110"/>
      <c r="E6" s="110"/>
      <c r="F6" s="111"/>
      <c r="G6" s="110"/>
      <c r="H6" s="111"/>
      <c r="I6" s="111"/>
      <c r="J6" s="174"/>
      <c r="K6" s="78"/>
      <c r="L6" s="66"/>
    </row>
    <row r="7" spans="1:16" ht="30" thickBot="1" x14ac:dyDescent="0.45">
      <c r="A7" s="194" t="s">
        <v>129</v>
      </c>
      <c r="B7" s="195"/>
      <c r="C7" s="195"/>
      <c r="D7" s="151" t="s">
        <v>130</v>
      </c>
      <c r="E7" s="95">
        <f>'15'!F7</f>
        <v>371639.75</v>
      </c>
      <c r="F7" s="95">
        <v>388954</v>
      </c>
      <c r="G7" s="112">
        <f>F7-E7</f>
        <v>17314.25</v>
      </c>
      <c r="H7" s="99">
        <f>G7+'15'!H7</f>
        <v>294393</v>
      </c>
      <c r="I7" s="113">
        <f>'1'!I7</f>
        <v>12000</v>
      </c>
      <c r="J7" s="175">
        <f>H7/DAY(B2)</f>
        <v>18399.5625</v>
      </c>
      <c r="K7" s="172">
        <v>1375467</v>
      </c>
      <c r="L7" s="66"/>
      <c r="N7" s="87"/>
      <c r="O7" s="71"/>
    </row>
    <row r="8" spans="1:16" ht="27.75" thickBot="1" x14ac:dyDescent="0.45">
      <c r="A8" s="196" t="s">
        <v>131</v>
      </c>
      <c r="B8" s="197"/>
      <c r="C8" s="198"/>
      <c r="D8" s="224" t="s">
        <v>24</v>
      </c>
      <c r="E8" s="95">
        <f>'15'!F8</f>
        <v>422783.71</v>
      </c>
      <c r="F8" s="95">
        <v>440190</v>
      </c>
      <c r="G8" s="115">
        <f>F8-E8</f>
        <v>17406.289999999979</v>
      </c>
      <c r="H8" s="99">
        <f>G8+'15'!H8</f>
        <v>299305</v>
      </c>
      <c r="I8" s="116"/>
      <c r="J8" s="175">
        <f>H8/DAY(B2)</f>
        <v>18706.5625</v>
      </c>
      <c r="K8" s="172">
        <v>1715917</v>
      </c>
      <c r="L8" s="76">
        <v>1728480</v>
      </c>
      <c r="M8" s="87">
        <f>L8-K8</f>
        <v>12563</v>
      </c>
      <c r="N8" s="87"/>
      <c r="O8" s="71"/>
    </row>
    <row r="9" spans="1:16" ht="29.25" x14ac:dyDescent="0.4">
      <c r="A9" s="199" t="s">
        <v>132</v>
      </c>
      <c r="B9" s="200"/>
      <c r="C9" s="200"/>
      <c r="D9" s="151" t="s">
        <v>130</v>
      </c>
      <c r="E9" s="95">
        <f>'15'!F9</f>
        <v>76355.41</v>
      </c>
      <c r="F9" s="601">
        <v>87159</v>
      </c>
      <c r="G9" s="112">
        <f>F9-E9</f>
        <v>10803.589999999997</v>
      </c>
      <c r="H9" s="99">
        <f>G9+'15'!H9</f>
        <v>185664</v>
      </c>
      <c r="I9" s="124">
        <f>I7-J7</f>
        <v>-6399.5625</v>
      </c>
      <c r="J9" s="175">
        <f>H9/DAY(B2)</f>
        <v>11604</v>
      </c>
      <c r="K9" s="79">
        <f>K8-100</f>
        <v>1715817</v>
      </c>
      <c r="L9" s="66"/>
      <c r="N9" s="87"/>
      <c r="O9" s="71"/>
    </row>
    <row r="10" spans="1:16" ht="29.25" x14ac:dyDescent="0.4">
      <c r="A10" s="194" t="s">
        <v>133</v>
      </c>
      <c r="B10" s="195"/>
      <c r="C10" s="195"/>
      <c r="D10" s="151" t="s">
        <v>130</v>
      </c>
      <c r="E10" s="95">
        <f>'15'!F10</f>
        <v>39677.22</v>
      </c>
      <c r="F10" s="353">
        <v>45649</v>
      </c>
      <c r="G10" s="112">
        <f t="shared" ref="G10:G12" si="0">F10-E10</f>
        <v>5971.7799999999988</v>
      </c>
      <c r="H10" s="99">
        <f>G10+'15'!H10</f>
        <v>100555</v>
      </c>
      <c r="I10" s="282"/>
      <c r="J10" s="175">
        <f>H10/DAY(B2)</f>
        <v>6284.6875</v>
      </c>
      <c r="K10" s="79"/>
      <c r="L10" s="66"/>
      <c r="N10" s="87"/>
      <c r="O10" s="71"/>
    </row>
    <row r="11" spans="1:16" ht="29.25" x14ac:dyDescent="0.4">
      <c r="A11" s="194" t="s">
        <v>134</v>
      </c>
      <c r="B11" s="195"/>
      <c r="C11" s="195"/>
      <c r="D11" s="151" t="s">
        <v>130</v>
      </c>
      <c r="E11" s="95">
        <f>'15'!F11</f>
        <v>37000</v>
      </c>
      <c r="F11" s="95">
        <v>37000</v>
      </c>
      <c r="G11" s="112">
        <f t="shared" si="0"/>
        <v>0</v>
      </c>
      <c r="H11" s="99">
        <f>G11+'15'!H11</f>
        <v>0</v>
      </c>
      <c r="I11" s="282"/>
      <c r="J11" s="175">
        <f>H11/DAY(B2)</f>
        <v>0</v>
      </c>
      <c r="K11" s="79"/>
      <c r="L11" s="66"/>
      <c r="N11" s="87"/>
      <c r="O11" s="71"/>
    </row>
    <row r="12" spans="1:16" ht="29.25" x14ac:dyDescent="0.4">
      <c r="A12" s="194" t="s">
        <v>135</v>
      </c>
      <c r="B12" s="195"/>
      <c r="C12" s="195"/>
      <c r="D12" s="151" t="s">
        <v>130</v>
      </c>
      <c r="E12" s="95">
        <f>'15'!F12</f>
        <v>40010</v>
      </c>
      <c r="F12" s="117">
        <v>40010</v>
      </c>
      <c r="G12" s="112">
        <f t="shared" si="0"/>
        <v>0</v>
      </c>
      <c r="H12" s="99">
        <f>G12+'15'!H12</f>
        <v>0</v>
      </c>
      <c r="I12" s="282"/>
      <c r="J12" s="175">
        <f>H12/DAY(B2)</f>
        <v>0</v>
      </c>
      <c r="K12" s="79"/>
      <c r="L12" s="66"/>
      <c r="N12" s="87"/>
      <c r="O12" s="71"/>
    </row>
    <row r="13" spans="1:16" ht="29.25" x14ac:dyDescent="0.5">
      <c r="A13" s="201" t="s">
        <v>136</v>
      </c>
      <c r="B13" s="202"/>
      <c r="C13" s="202"/>
      <c r="D13" s="151"/>
      <c r="E13" s="95"/>
      <c r="F13" s="95"/>
      <c r="G13" s="119">
        <f>G9+G10+G11+G12</f>
        <v>16775.369999999995</v>
      </c>
      <c r="H13" s="99">
        <f>G13+'15'!H13</f>
        <v>266753.74999999988</v>
      </c>
      <c r="I13" s="120">
        <f>G7-G13</f>
        <v>538.88000000000466</v>
      </c>
      <c r="J13" s="175">
        <f>H13/DAY(B2)</f>
        <v>16672.109374999993</v>
      </c>
      <c r="K13" s="79"/>
      <c r="L13" s="66"/>
      <c r="N13" s="87"/>
      <c r="O13" s="71"/>
    </row>
    <row r="14" spans="1:16" ht="29.25" x14ac:dyDescent="0.5">
      <c r="A14" s="827" t="s">
        <v>137</v>
      </c>
      <c r="B14" s="828"/>
      <c r="C14" s="829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6" ht="29.25" x14ac:dyDescent="0.5">
      <c r="A15" s="345" t="s">
        <v>138</v>
      </c>
      <c r="B15" s="205"/>
      <c r="C15" s="205"/>
      <c r="D15" s="151" t="s">
        <v>139</v>
      </c>
      <c r="E15" s="123">
        <f>'15'!F15</f>
        <v>1891600</v>
      </c>
      <c r="F15" s="123">
        <v>1892606</v>
      </c>
      <c r="G15" s="112">
        <f>(F15-E15)</f>
        <v>1006</v>
      </c>
      <c r="H15" s="99">
        <f>G15+'15'!H15</f>
        <v>14176</v>
      </c>
      <c r="I15" s="113">
        <f>'1'!I15</f>
        <v>800</v>
      </c>
      <c r="J15" s="175">
        <f>H15/DAY(B2)</f>
        <v>886</v>
      </c>
      <c r="K15" s="79"/>
      <c r="L15" s="66"/>
      <c r="N15" s="87">
        <v>735868</v>
      </c>
      <c r="O15" s="71">
        <v>719798</v>
      </c>
      <c r="P15" s="555">
        <f>O15-N15</f>
        <v>-16070</v>
      </c>
    </row>
    <row r="16" spans="1:16" ht="29.25" x14ac:dyDescent="0.4">
      <c r="A16" s="203"/>
      <c r="B16" s="204"/>
      <c r="C16" s="204"/>
      <c r="D16" s="152"/>
      <c r="E16" s="123"/>
      <c r="F16" s="123"/>
      <c r="G16" s="112"/>
      <c r="H16" s="124"/>
      <c r="I16" s="120">
        <f>I15-J15</f>
        <v>-86</v>
      </c>
      <c r="J16" s="176"/>
      <c r="K16" s="79"/>
      <c r="L16" s="66"/>
      <c r="N16" s="87"/>
      <c r="O16" s="71"/>
    </row>
    <row r="17" spans="1:15" ht="29.25" x14ac:dyDescent="0.5">
      <c r="A17" s="827" t="s">
        <v>140</v>
      </c>
      <c r="B17" s="828"/>
      <c r="C17" s="829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5" ht="27.75" x14ac:dyDescent="0.5">
      <c r="A18" s="818" t="s">
        <v>141</v>
      </c>
      <c r="B18" s="819"/>
      <c r="C18" s="820"/>
      <c r="D18" s="151" t="s">
        <v>142</v>
      </c>
      <c r="E18" s="95">
        <f>'15'!F18</f>
        <v>10</v>
      </c>
      <c r="F18" s="122">
        <v>8</v>
      </c>
      <c r="G18" s="119">
        <f>F18*10</f>
        <v>80</v>
      </c>
      <c r="H18" s="99">
        <f>G18+'15'!H18</f>
        <v>1740</v>
      </c>
      <c r="I18" s="113">
        <f>'1'!I18</f>
        <v>65</v>
      </c>
      <c r="J18" s="175">
        <f>H18/DAY(B2)</f>
        <v>108.75</v>
      </c>
      <c r="K18" s="79"/>
      <c r="L18" s="66"/>
      <c r="N18" s="87"/>
      <c r="O18" s="71"/>
    </row>
    <row r="19" spans="1:15" ht="27.75" x14ac:dyDescent="0.5">
      <c r="A19" s="818" t="s">
        <v>69</v>
      </c>
      <c r="B19" s="819"/>
      <c r="C19" s="820"/>
      <c r="D19" s="151" t="s">
        <v>142</v>
      </c>
      <c r="E19" s="95">
        <f>'15'!F19</f>
        <v>153017</v>
      </c>
      <c r="F19" s="122">
        <f>E19+55</f>
        <v>153072</v>
      </c>
      <c r="G19" s="112">
        <f t="shared" ref="G19" si="1">F19-E19</f>
        <v>55</v>
      </c>
      <c r="H19" s="99">
        <f>G19+'15'!H19</f>
        <v>847</v>
      </c>
      <c r="I19" s="335"/>
      <c r="J19" s="175">
        <f>H19/DAY(B2)</f>
        <v>52.9375</v>
      </c>
      <c r="K19" s="79"/>
      <c r="L19" s="66"/>
      <c r="N19" s="87"/>
      <c r="O19" s="71"/>
    </row>
    <row r="20" spans="1:15" ht="29.25" x14ac:dyDescent="0.5">
      <c r="A20" s="201" t="s">
        <v>143</v>
      </c>
      <c r="B20" s="202"/>
      <c r="C20" s="202"/>
      <c r="D20" s="126"/>
      <c r="E20" s="126"/>
      <c r="F20" s="126"/>
      <c r="G20" s="127">
        <f>G18+G19</f>
        <v>135</v>
      </c>
      <c r="H20" s="99">
        <f>G20+'15'!H20</f>
        <v>2587</v>
      </c>
      <c r="I20" s="336">
        <f>I18-J20</f>
        <v>-96.6875</v>
      </c>
      <c r="J20" s="175">
        <f>H20/DAY(B2)</f>
        <v>161.6875</v>
      </c>
      <c r="K20" s="79"/>
      <c r="L20" s="66"/>
      <c r="N20" s="87"/>
      <c r="O20" s="71"/>
    </row>
    <row r="21" spans="1:15" ht="29.25" x14ac:dyDescent="0.5">
      <c r="A21" s="827" t="s">
        <v>144</v>
      </c>
      <c r="B21" s="828"/>
      <c r="C21" s="829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5" ht="29.25" x14ac:dyDescent="0.5">
      <c r="A22" s="345" t="s">
        <v>145</v>
      </c>
      <c r="B22" s="205"/>
      <c r="C22" s="205"/>
      <c r="D22" s="151" t="s">
        <v>146</v>
      </c>
      <c r="E22" s="95">
        <f>'15'!F22</f>
        <v>2970</v>
      </c>
      <c r="F22" s="122">
        <v>2970</v>
      </c>
      <c r="G22" s="119">
        <f t="shared" ref="G22" si="2">(F22-E22)</f>
        <v>0</v>
      </c>
      <c r="H22" s="99">
        <f>G22+'15'!H22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29.25" x14ac:dyDescent="0.5">
      <c r="A23" s="345" t="s">
        <v>147</v>
      </c>
      <c r="B23" s="205"/>
      <c r="C23" s="205"/>
      <c r="D23" s="151" t="s">
        <v>146</v>
      </c>
      <c r="E23" s="95">
        <f>'15'!F23</f>
        <v>1500</v>
      </c>
      <c r="F23" s="122">
        <v>1500</v>
      </c>
      <c r="G23" s="119">
        <v>0</v>
      </c>
      <c r="H23" s="99">
        <f>G23+'15'!H23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5" ht="29.25" x14ac:dyDescent="0.4">
      <c r="A24" s="206" t="s">
        <v>148</v>
      </c>
      <c r="B24" s="207"/>
      <c r="C24" s="207"/>
      <c r="D24" s="146" t="s">
        <v>146</v>
      </c>
      <c r="E24" s="95">
        <f>'15'!F24</f>
        <v>4970</v>
      </c>
      <c r="F24" s="128">
        <v>4970</v>
      </c>
      <c r="G24" s="119">
        <v>0</v>
      </c>
      <c r="H24" s="99">
        <f>G24+'15'!H24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5" s="88" customFormat="1" ht="27" x14ac:dyDescent="0.4">
      <c r="A25" s="832" t="s">
        <v>149</v>
      </c>
      <c r="B25" s="833"/>
      <c r="C25" s="834"/>
      <c r="D25" s="110"/>
      <c r="E25" s="110"/>
      <c r="F25" s="111"/>
      <c r="G25" s="129"/>
      <c r="H25" s="130"/>
      <c r="I25" s="131"/>
      <c r="J25" s="177"/>
      <c r="K25" s="63"/>
      <c r="L25" s="89"/>
      <c r="N25" s="87"/>
      <c r="O25" s="71"/>
    </row>
    <row r="26" spans="1:15" s="88" customFormat="1" ht="27.75" x14ac:dyDescent="0.5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/>
      <c r="I26" s="134"/>
      <c r="J26" s="175"/>
      <c r="K26" s="64"/>
      <c r="L26" s="89"/>
      <c r="N26" s="87"/>
      <c r="O26" s="71"/>
    </row>
    <row r="27" spans="1:15" s="88" customFormat="1" ht="27.75" x14ac:dyDescent="0.5">
      <c r="A27" s="208" t="s">
        <v>5</v>
      </c>
      <c r="B27" s="209"/>
      <c r="C27" s="210"/>
      <c r="D27" s="226" t="s">
        <v>24</v>
      </c>
      <c r="E27" s="135">
        <f>G8</f>
        <v>17406.289999999979</v>
      </c>
      <c r="F27" s="136">
        <v>9</v>
      </c>
      <c r="G27" s="137">
        <f>E27*F27</f>
        <v>156656.60999999981</v>
      </c>
      <c r="H27" s="99">
        <f>G27+'15'!H27</f>
        <v>2693745</v>
      </c>
      <c r="I27" s="138"/>
      <c r="J27" s="175">
        <f>H27/DAY(B2)</f>
        <v>168359.0625</v>
      </c>
      <c r="K27" s="63"/>
      <c r="L27" s="89"/>
      <c r="N27" s="87"/>
      <c r="O27" s="71"/>
    </row>
    <row r="28" spans="1:15" s="88" customFormat="1" ht="27.75" x14ac:dyDescent="0.5">
      <c r="A28" s="208" t="s">
        <v>152</v>
      </c>
      <c r="B28" s="209"/>
      <c r="C28" s="210"/>
      <c r="D28" s="226" t="s">
        <v>153</v>
      </c>
      <c r="E28" s="139">
        <f>G15</f>
        <v>1006</v>
      </c>
      <c r="F28" s="136">
        <v>52</v>
      </c>
      <c r="G28" s="137">
        <f>E28*F28</f>
        <v>52312</v>
      </c>
      <c r="H28" s="99">
        <f>G28+'15'!H28</f>
        <v>737152</v>
      </c>
      <c r="I28" s="140"/>
      <c r="J28" s="175">
        <f>H28/DAY(B2)</f>
        <v>46072</v>
      </c>
      <c r="K28" s="63"/>
      <c r="L28" s="89"/>
      <c r="N28" s="87"/>
      <c r="O28" s="71"/>
    </row>
    <row r="29" spans="1:15" s="88" customFormat="1" ht="27.75" x14ac:dyDescent="0.5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>E29*F29</f>
        <v>0</v>
      </c>
      <c r="H29" s="99">
        <f>G29+'15'!H29</f>
        <v>0</v>
      </c>
      <c r="I29" s="140"/>
      <c r="J29" s="175">
        <f>H29/DAY(B2)</f>
        <v>0</v>
      </c>
      <c r="K29" s="63"/>
      <c r="L29" s="89"/>
      <c r="N29" s="87"/>
      <c r="O29" s="71"/>
    </row>
    <row r="30" spans="1:15" s="88" customFormat="1" ht="27.75" x14ac:dyDescent="0.5">
      <c r="A30" s="208" t="s">
        <v>156</v>
      </c>
      <c r="B30" s="209"/>
      <c r="C30" s="210"/>
      <c r="D30" s="226" t="s">
        <v>157</v>
      </c>
      <c r="E30" s="141">
        <f>G19</f>
        <v>55</v>
      </c>
      <c r="F30" s="136">
        <v>146</v>
      </c>
      <c r="G30" s="137">
        <f>E30*F30</f>
        <v>8030</v>
      </c>
      <c r="H30" s="99">
        <f>G30+'15'!H30</f>
        <v>123662</v>
      </c>
      <c r="I30" s="140"/>
      <c r="J30" s="175">
        <f>H30/DAY(B2)</f>
        <v>7728.875</v>
      </c>
      <c r="K30" s="63"/>
      <c r="L30" s="89"/>
      <c r="N30" s="87"/>
      <c r="O30" s="71"/>
    </row>
    <row r="31" spans="1:15" s="88" customFormat="1" ht="27.75" x14ac:dyDescent="0.5">
      <c r="A31" s="208" t="s">
        <v>158</v>
      </c>
      <c r="B31" s="209"/>
      <c r="C31" s="210"/>
      <c r="D31" s="226" t="s">
        <v>142</v>
      </c>
      <c r="E31" s="141">
        <f>G18</f>
        <v>80</v>
      </c>
      <c r="F31" s="136">
        <v>80</v>
      </c>
      <c r="G31" s="137">
        <f>E31*F31</f>
        <v>6400</v>
      </c>
      <c r="H31" s="99">
        <f>G31+'15'!H31</f>
        <v>139200</v>
      </c>
      <c r="I31" s="140"/>
      <c r="J31" s="175">
        <f>H31/DAY(B2)</f>
        <v>8700</v>
      </c>
      <c r="K31" s="63"/>
      <c r="L31" s="89"/>
      <c r="N31" s="87"/>
      <c r="O31" s="71"/>
    </row>
    <row r="32" spans="1:15" s="88" customFormat="1" ht="27.75" x14ac:dyDescent="0.5">
      <c r="A32" s="211" t="s">
        <v>159</v>
      </c>
      <c r="B32" s="212"/>
      <c r="C32" s="213"/>
      <c r="D32" s="142"/>
      <c r="E32" s="142"/>
      <c r="F32" s="142"/>
      <c r="G32" s="143">
        <f>G27+G28+G29+G30+G31</f>
        <v>223398.60999999981</v>
      </c>
      <c r="H32" s="99">
        <f>G32+'15'!H32</f>
        <v>3693759</v>
      </c>
      <c r="I32" s="144"/>
      <c r="J32" s="175">
        <f>H32/DAY(B2)</f>
        <v>230859.9375</v>
      </c>
      <c r="K32" s="63"/>
      <c r="L32" s="89"/>
      <c r="N32" s="87"/>
      <c r="O32" s="71"/>
    </row>
    <row r="33" spans="1:15" ht="25.5" customHeight="1" x14ac:dyDescent="0.35">
      <c r="A33" s="835" t="s">
        <v>331</v>
      </c>
      <c r="B33" s="836"/>
      <c r="C33" s="836"/>
      <c r="D33" s="337"/>
      <c r="E33" s="337"/>
      <c r="F33" s="495"/>
      <c r="G33" s="337"/>
      <c r="H33" s="337"/>
      <c r="I33" s="337"/>
      <c r="J33" s="338"/>
      <c r="K33" s="79"/>
      <c r="L33" s="66"/>
      <c r="N33" s="87"/>
      <c r="O33" s="71"/>
    </row>
    <row r="34" spans="1:15" ht="29.25" x14ac:dyDescent="0.5">
      <c r="A34" s="214" t="s">
        <v>160</v>
      </c>
      <c r="B34" s="349"/>
      <c r="C34" s="349"/>
      <c r="D34" s="111"/>
      <c r="E34" s="110"/>
      <c r="F34" s="111"/>
      <c r="G34" s="111"/>
      <c r="H34" s="111"/>
      <c r="I34" s="111"/>
      <c r="J34" s="174"/>
      <c r="K34" s="79"/>
      <c r="L34" s="66"/>
      <c r="N34" s="87"/>
      <c r="O34" s="71"/>
    </row>
    <row r="35" spans="1:15" ht="29.25" x14ac:dyDescent="0.4">
      <c r="A35" s="194" t="s">
        <v>161</v>
      </c>
      <c r="B35" s="195"/>
      <c r="C35" s="195"/>
      <c r="D35" s="151" t="s">
        <v>130</v>
      </c>
      <c r="E35" s="95">
        <f>'15'!F35</f>
        <v>10505.84</v>
      </c>
      <c r="F35" s="117">
        <v>11775</v>
      </c>
      <c r="G35" s="112">
        <f t="shared" ref="G35:G46" si="3">F35-E35</f>
        <v>1269.1599999999999</v>
      </c>
      <c r="H35" s="99">
        <f>G35+'15'!H35</f>
        <v>26975</v>
      </c>
      <c r="I35" s="95"/>
      <c r="J35" s="175">
        <f>H35/DAY(B2)</f>
        <v>1685.9375</v>
      </c>
      <c r="K35" s="79"/>
      <c r="L35" s="66"/>
      <c r="N35" s="87"/>
      <c r="O35" s="71"/>
    </row>
    <row r="36" spans="1:15" ht="29.25" x14ac:dyDescent="0.4">
      <c r="A36" s="194" t="s">
        <v>162</v>
      </c>
      <c r="B36" s="195"/>
      <c r="C36" s="195"/>
      <c r="D36" s="151" t="s">
        <v>130</v>
      </c>
      <c r="E36" s="95">
        <f>'15'!F36</f>
        <v>32294.69</v>
      </c>
      <c r="F36" s="117">
        <v>32882</v>
      </c>
      <c r="G36" s="112">
        <f t="shared" si="3"/>
        <v>587.31000000000131</v>
      </c>
      <c r="H36" s="99">
        <f>G36+'15'!H36</f>
        <v>11355</v>
      </c>
      <c r="I36" s="95"/>
      <c r="J36" s="175">
        <f>H36/DAY(B2)</f>
        <v>709.6875</v>
      </c>
      <c r="K36" s="79"/>
      <c r="L36" s="66"/>
      <c r="N36" s="87"/>
      <c r="O36" s="344"/>
    </row>
    <row r="37" spans="1:15" ht="29.25" x14ac:dyDescent="0.4">
      <c r="A37" s="194" t="s">
        <v>163</v>
      </c>
      <c r="B37" s="195"/>
      <c r="C37" s="195"/>
      <c r="D37" s="151" t="s">
        <v>130</v>
      </c>
      <c r="E37" s="95">
        <f>'15'!F37</f>
        <v>10327.74</v>
      </c>
      <c r="F37" s="117">
        <v>11811</v>
      </c>
      <c r="G37" s="112">
        <f t="shared" si="3"/>
        <v>1483.2600000000002</v>
      </c>
      <c r="H37" s="99">
        <f>G37+'15'!H37</f>
        <v>24023</v>
      </c>
      <c r="I37" s="95"/>
      <c r="J37" s="175">
        <f>H37/DAY(B2)</f>
        <v>1501.4375</v>
      </c>
      <c r="K37" s="79"/>
      <c r="L37" s="66"/>
      <c r="N37" s="87"/>
      <c r="O37" s="234"/>
    </row>
    <row r="38" spans="1:15" ht="29.25" x14ac:dyDescent="0.4">
      <c r="A38" s="194" t="s">
        <v>164</v>
      </c>
      <c r="B38" s="195"/>
      <c r="C38" s="195"/>
      <c r="D38" s="151" t="s">
        <v>130</v>
      </c>
      <c r="E38" s="95">
        <f>'15'!F38</f>
        <v>10938.95</v>
      </c>
      <c r="F38" s="95">
        <v>12564</v>
      </c>
      <c r="G38" s="112">
        <f t="shared" si="3"/>
        <v>1625.0499999999993</v>
      </c>
      <c r="H38" s="99">
        <f>G38+'15'!H38</f>
        <v>25764</v>
      </c>
      <c r="I38" s="95"/>
      <c r="J38" s="175">
        <f>H38/DAY(B2)</f>
        <v>1610.25</v>
      </c>
      <c r="K38" s="79"/>
      <c r="L38" s="66"/>
      <c r="N38" s="87"/>
      <c r="O38" s="71"/>
    </row>
    <row r="39" spans="1:15" ht="29.25" x14ac:dyDescent="0.4">
      <c r="A39" s="194" t="s">
        <v>165</v>
      </c>
      <c r="B39" s="195"/>
      <c r="C39" s="195"/>
      <c r="D39" s="151" t="s">
        <v>130</v>
      </c>
      <c r="E39" s="95">
        <f>'15'!F39</f>
        <v>17509.900000000001</v>
      </c>
      <c r="F39" s="117">
        <v>20110</v>
      </c>
      <c r="G39" s="112">
        <f t="shared" si="3"/>
        <v>2600.0999999999985</v>
      </c>
      <c r="H39" s="99">
        <f>G39+'15'!H39</f>
        <v>41792</v>
      </c>
      <c r="I39" s="95"/>
      <c r="J39" s="175">
        <f>H39/DAY(B2)</f>
        <v>2612</v>
      </c>
      <c r="K39" s="79"/>
      <c r="L39" s="66"/>
      <c r="N39" s="87"/>
      <c r="O39" s="71"/>
    </row>
    <row r="40" spans="1:15" ht="29.25" x14ac:dyDescent="0.4">
      <c r="A40" s="215" t="s">
        <v>166</v>
      </c>
      <c r="B40" s="216"/>
      <c r="C40" s="216"/>
      <c r="D40" s="151" t="s">
        <v>130</v>
      </c>
      <c r="E40" s="95">
        <f>'15'!F40</f>
        <v>12504</v>
      </c>
      <c r="F40" s="117">
        <v>12911</v>
      </c>
      <c r="G40" s="112">
        <f t="shared" si="3"/>
        <v>407</v>
      </c>
      <c r="H40" s="99">
        <f>G40+'15'!H40</f>
        <v>7301</v>
      </c>
      <c r="I40" s="95"/>
      <c r="J40" s="175">
        <f>H40/DAY(B2)</f>
        <v>456.3125</v>
      </c>
      <c r="K40" s="80"/>
      <c r="L40" s="66"/>
      <c r="N40" s="87"/>
      <c r="O40" s="71"/>
    </row>
    <row r="41" spans="1:15" ht="29.25" x14ac:dyDescent="0.4">
      <c r="A41" s="194" t="s">
        <v>167</v>
      </c>
      <c r="B41" s="195"/>
      <c r="C41" s="195"/>
      <c r="D41" s="151" t="s">
        <v>130</v>
      </c>
      <c r="E41" s="95">
        <f>'15'!F41</f>
        <v>0</v>
      </c>
      <c r="F41" s="117">
        <v>0</v>
      </c>
      <c r="G41" s="112">
        <f t="shared" si="3"/>
        <v>0</v>
      </c>
      <c r="H41" s="99">
        <f>G41+'15'!H41</f>
        <v>0</v>
      </c>
      <c r="I41" s="95"/>
      <c r="J41" s="175">
        <f>H41/DAY(B2)</f>
        <v>0</v>
      </c>
      <c r="K41" s="79"/>
      <c r="L41" s="66"/>
      <c r="N41" s="87"/>
      <c r="O41" s="71"/>
    </row>
    <row r="42" spans="1:15" ht="29.25" x14ac:dyDescent="0.4">
      <c r="A42" s="194" t="s">
        <v>168</v>
      </c>
      <c r="B42" s="195"/>
      <c r="C42" s="195"/>
      <c r="D42" s="151" t="s">
        <v>130</v>
      </c>
      <c r="E42" s="95">
        <f>'15'!F42</f>
        <v>73808.600000000006</v>
      </c>
      <c r="F42" s="117">
        <v>73808.600000000006</v>
      </c>
      <c r="G42" s="112">
        <f t="shared" si="3"/>
        <v>0</v>
      </c>
      <c r="H42" s="99">
        <f>G42+'15'!H42</f>
        <v>-0.39999999999417923</v>
      </c>
      <c r="I42" s="95"/>
      <c r="J42" s="175">
        <f>H42/DAY(B2)</f>
        <v>-2.4999999999636202E-2</v>
      </c>
      <c r="K42" s="79"/>
      <c r="L42" s="66"/>
      <c r="N42" s="87"/>
      <c r="O42" s="71"/>
    </row>
    <row r="43" spans="1:15" ht="29.25" x14ac:dyDescent="0.4">
      <c r="A43" s="194" t="s">
        <v>169</v>
      </c>
      <c r="B43" s="195"/>
      <c r="C43" s="195"/>
      <c r="D43" s="151" t="s">
        <v>130</v>
      </c>
      <c r="E43" s="145">
        <v>80752.710000000006</v>
      </c>
      <c r="F43" s="117">
        <v>82824</v>
      </c>
      <c r="G43" s="112">
        <f t="shared" si="3"/>
        <v>2071.2899999999936</v>
      </c>
      <c r="H43" s="99">
        <f>G43+'15'!H43</f>
        <v>35563</v>
      </c>
      <c r="I43" s="95"/>
      <c r="J43" s="175">
        <f>H43/DAY(B2)</f>
        <v>2222.6875</v>
      </c>
      <c r="K43" s="79"/>
      <c r="L43" s="66"/>
      <c r="N43" s="87"/>
      <c r="O43" s="71"/>
    </row>
    <row r="44" spans="1:15" ht="29.25" x14ac:dyDescent="0.4">
      <c r="A44" s="194" t="s">
        <v>170</v>
      </c>
      <c r="B44" s="195"/>
      <c r="C44" s="195"/>
      <c r="D44" s="151" t="s">
        <v>130</v>
      </c>
      <c r="E44" s="95">
        <f>'15'!F44</f>
        <v>0</v>
      </c>
      <c r="F44" s="117">
        <v>0</v>
      </c>
      <c r="G44" s="112">
        <f t="shared" si="3"/>
        <v>0</v>
      </c>
      <c r="H44" s="99">
        <f>G44+'15'!H44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29.25" x14ac:dyDescent="0.4">
      <c r="A45" s="194" t="s">
        <v>171</v>
      </c>
      <c r="B45" s="195"/>
      <c r="C45" s="195"/>
      <c r="D45" s="151" t="s">
        <v>130</v>
      </c>
      <c r="E45" s="95">
        <f>'15'!F45</f>
        <v>0</v>
      </c>
      <c r="F45" s="117">
        <v>0</v>
      </c>
      <c r="G45" s="112">
        <f t="shared" si="3"/>
        <v>0</v>
      </c>
      <c r="H45" s="99">
        <f>G45+'15'!H45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29.25" x14ac:dyDescent="0.4">
      <c r="A46" s="194" t="s">
        <v>172</v>
      </c>
      <c r="B46" s="195"/>
      <c r="C46" s="195"/>
      <c r="D46" s="151" t="s">
        <v>130</v>
      </c>
      <c r="E46" s="95">
        <f>'15'!F46</f>
        <v>0</v>
      </c>
      <c r="F46" s="117">
        <v>0</v>
      </c>
      <c r="G46" s="112">
        <f t="shared" si="3"/>
        <v>0</v>
      </c>
      <c r="H46" s="99">
        <f>G46+'15'!H46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29.25" x14ac:dyDescent="0.5">
      <c r="A47" s="201" t="s">
        <v>173</v>
      </c>
      <c r="B47" s="202"/>
      <c r="C47" s="202"/>
      <c r="D47" s="109"/>
      <c r="E47" s="146"/>
      <c r="F47" s="151"/>
      <c r="G47" s="119">
        <f>G35+G36+G37+G38+G39+G40+G41+G42+G43+G44+G45+G46</f>
        <v>10043.169999999993</v>
      </c>
      <c r="H47" s="99">
        <f>G47+'15'!H47</f>
        <v>172772.6</v>
      </c>
      <c r="I47" s="95"/>
      <c r="J47" s="175">
        <f>H47/DAY(B2)</f>
        <v>10798.2875</v>
      </c>
      <c r="K47" s="79"/>
      <c r="L47" s="66"/>
      <c r="N47" s="87"/>
      <c r="O47" s="71"/>
    </row>
    <row r="48" spans="1:15" ht="29.25" x14ac:dyDescent="0.5">
      <c r="A48" s="214" t="s">
        <v>174</v>
      </c>
      <c r="B48" s="349"/>
      <c r="C48" s="349"/>
      <c r="D48" s="111"/>
      <c r="E48" s="110"/>
      <c r="F48" s="111"/>
      <c r="G48" s="111"/>
      <c r="H48" s="111"/>
      <c r="I48" s="111"/>
      <c r="J48" s="174"/>
      <c r="K48" s="79"/>
      <c r="L48" s="66"/>
      <c r="N48" s="87"/>
      <c r="O48" s="71"/>
    </row>
    <row r="49" spans="1:15" ht="29.25" x14ac:dyDescent="0.4">
      <c r="A49" s="194" t="s">
        <v>161</v>
      </c>
      <c r="B49" s="217"/>
      <c r="C49" s="217"/>
      <c r="D49" s="151" t="s">
        <v>130</v>
      </c>
      <c r="E49" s="95">
        <f>'15'!F49</f>
        <v>8656.59</v>
      </c>
      <c r="F49" s="117">
        <v>9977</v>
      </c>
      <c r="G49" s="112">
        <f t="shared" ref="G49:G58" si="4">F49-E49</f>
        <v>1320.4099999999999</v>
      </c>
      <c r="H49" s="99">
        <f>G49+'15'!H49</f>
        <v>23098</v>
      </c>
      <c r="I49" s="95"/>
      <c r="J49" s="175">
        <f>H49/DAY(B2)</f>
        <v>1443.625</v>
      </c>
      <c r="K49" s="79"/>
      <c r="L49" s="66"/>
      <c r="N49" s="87"/>
      <c r="O49" s="71"/>
    </row>
    <row r="50" spans="1:15" ht="29.25" x14ac:dyDescent="0.4">
      <c r="A50" s="194" t="s">
        <v>175</v>
      </c>
      <c r="B50" s="217"/>
      <c r="C50" s="217"/>
      <c r="D50" s="151" t="s">
        <v>130</v>
      </c>
      <c r="E50" s="95">
        <f>'15'!F50</f>
        <v>39417.730000000003</v>
      </c>
      <c r="F50" s="117">
        <v>40286</v>
      </c>
      <c r="G50" s="112">
        <f t="shared" si="4"/>
        <v>868.2699999999968</v>
      </c>
      <c r="H50" s="99">
        <f>G50+'15'!H50</f>
        <v>15636</v>
      </c>
      <c r="I50" s="95"/>
      <c r="J50" s="175">
        <f>H50/DAY(B2)</f>
        <v>977.25</v>
      </c>
      <c r="K50" s="79"/>
      <c r="L50" s="66"/>
      <c r="N50" s="87"/>
      <c r="O50" s="71"/>
    </row>
    <row r="51" spans="1:15" ht="29.25" x14ac:dyDescent="0.4">
      <c r="A51" s="194" t="s">
        <v>163</v>
      </c>
      <c r="B51" s="217"/>
      <c r="C51" s="217"/>
      <c r="D51" s="151" t="s">
        <v>130</v>
      </c>
      <c r="E51" s="95">
        <f>'15'!F51</f>
        <v>0</v>
      </c>
      <c r="F51" s="117">
        <v>0</v>
      </c>
      <c r="G51" s="112">
        <f t="shared" si="4"/>
        <v>0</v>
      </c>
      <c r="H51" s="99">
        <f>G51+'15'!H51</f>
        <v>0</v>
      </c>
      <c r="I51" s="95"/>
      <c r="J51" s="175">
        <f>H51/DAY(B2)</f>
        <v>0</v>
      </c>
      <c r="K51" s="79"/>
      <c r="L51" s="66"/>
      <c r="N51" s="87"/>
      <c r="O51" s="71"/>
    </row>
    <row r="52" spans="1:15" ht="29.25" x14ac:dyDescent="0.4">
      <c r="A52" s="194" t="s">
        <v>176</v>
      </c>
      <c r="B52" s="217"/>
      <c r="C52" s="217"/>
      <c r="D52" s="151" t="s">
        <v>130</v>
      </c>
      <c r="E52" s="95">
        <f>'15'!F52</f>
        <v>0</v>
      </c>
      <c r="F52" s="117">
        <v>0</v>
      </c>
      <c r="G52" s="112">
        <f t="shared" si="4"/>
        <v>0</v>
      </c>
      <c r="H52" s="99">
        <f>G52+'15'!H52</f>
        <v>0</v>
      </c>
      <c r="I52" s="95"/>
      <c r="J52" s="175">
        <f>H52/DAY(B2)</f>
        <v>0</v>
      </c>
      <c r="K52" s="79"/>
      <c r="L52" s="66"/>
      <c r="N52" s="87"/>
      <c r="O52" s="71"/>
    </row>
    <row r="53" spans="1:15" ht="29.25" x14ac:dyDescent="0.4">
      <c r="A53" s="194" t="s">
        <v>165</v>
      </c>
      <c r="B53" s="217"/>
      <c r="C53" s="217"/>
      <c r="D53" s="151" t="s">
        <v>130</v>
      </c>
      <c r="E53" s="95">
        <f>'15'!F53</f>
        <v>0</v>
      </c>
      <c r="F53" s="494">
        <v>0</v>
      </c>
      <c r="G53" s="236">
        <f t="shared" si="4"/>
        <v>0</v>
      </c>
      <c r="H53" s="99">
        <f>G53+'15'!H53</f>
        <v>0</v>
      </c>
      <c r="I53" s="95"/>
      <c r="J53" s="175">
        <f>H53/DAY(B2)</f>
        <v>0</v>
      </c>
      <c r="K53" s="79"/>
      <c r="L53" s="66"/>
      <c r="N53" s="87"/>
      <c r="O53" s="71"/>
    </row>
    <row r="54" spans="1:15" ht="29.25" x14ac:dyDescent="0.4">
      <c r="A54" s="194" t="s">
        <v>177</v>
      </c>
      <c r="B54" s="217"/>
      <c r="C54" s="217"/>
      <c r="D54" s="151" t="s">
        <v>130</v>
      </c>
      <c r="E54" s="490">
        <f>'15'!F54</f>
        <v>3661.51</v>
      </c>
      <c r="F54" s="603">
        <v>4227</v>
      </c>
      <c r="G54" s="236">
        <f t="shared" si="4"/>
        <v>565.48999999999978</v>
      </c>
      <c r="H54" s="99">
        <f>G54+'15'!H54</f>
        <v>5994.08</v>
      </c>
      <c r="I54" s="95"/>
      <c r="J54" s="175">
        <f>H54/DAY(B2)</f>
        <v>374.63</v>
      </c>
      <c r="K54" s="79"/>
      <c r="L54" s="66"/>
      <c r="N54" s="87"/>
      <c r="O54" s="71"/>
    </row>
    <row r="55" spans="1:15" ht="29.25" x14ac:dyDescent="0.4">
      <c r="A55" s="194" t="s">
        <v>178</v>
      </c>
      <c r="B55" s="217"/>
      <c r="C55" s="217"/>
      <c r="D55" s="151" t="s">
        <v>130</v>
      </c>
      <c r="E55" s="490">
        <f>'15'!F55</f>
        <v>48711.23</v>
      </c>
      <c r="F55" s="494">
        <v>51744</v>
      </c>
      <c r="G55" s="236">
        <f t="shared" si="4"/>
        <v>3032.7699999999968</v>
      </c>
      <c r="H55" s="99">
        <f>G55+'15'!H55</f>
        <v>48233</v>
      </c>
      <c r="I55" s="95"/>
      <c r="J55" s="175">
        <f>H55/DAY(B2)</f>
        <v>3014.5625</v>
      </c>
      <c r="K55" s="79"/>
      <c r="L55" s="66"/>
      <c r="N55" s="87"/>
      <c r="O55" s="71"/>
    </row>
    <row r="56" spans="1:15" ht="29.25" x14ac:dyDescent="0.4">
      <c r="A56" s="194" t="s">
        <v>179</v>
      </c>
      <c r="B56" s="217"/>
      <c r="C56" s="217"/>
      <c r="D56" s="151" t="s">
        <v>180</v>
      </c>
      <c r="E56" s="95">
        <f>'15'!F56</f>
        <v>8610.5400000000009</v>
      </c>
      <c r="F56" s="117">
        <v>8610.5400000000009</v>
      </c>
      <c r="G56" s="112">
        <f t="shared" si="4"/>
        <v>0</v>
      </c>
      <c r="H56" s="99">
        <f>G56+'15'!H56</f>
        <v>0</v>
      </c>
      <c r="I56" s="95"/>
      <c r="J56" s="175">
        <f>H56/DAY(B2)</f>
        <v>0</v>
      </c>
      <c r="K56" s="78"/>
      <c r="L56" s="66"/>
      <c r="N56" s="87"/>
      <c r="O56" s="71"/>
    </row>
    <row r="57" spans="1:15" ht="29.25" x14ac:dyDescent="0.4">
      <c r="A57" s="194" t="s">
        <v>169</v>
      </c>
      <c r="B57" s="217"/>
      <c r="C57" s="217"/>
      <c r="D57" s="151" t="s">
        <v>130</v>
      </c>
      <c r="E57" s="95">
        <f>'15'!F57</f>
        <v>0</v>
      </c>
      <c r="F57" s="117">
        <v>0</v>
      </c>
      <c r="G57" s="112">
        <f t="shared" si="4"/>
        <v>0</v>
      </c>
      <c r="H57" s="99">
        <f>G57+'15'!H57</f>
        <v>0</v>
      </c>
      <c r="I57" s="95"/>
      <c r="J57" s="175">
        <f>H57/DAY(B2)</f>
        <v>0</v>
      </c>
      <c r="K57" s="79"/>
      <c r="L57" s="66"/>
      <c r="N57" s="87"/>
      <c r="O57" s="71"/>
    </row>
    <row r="58" spans="1:15" ht="29.25" x14ac:dyDescent="0.4">
      <c r="A58" s="194" t="s">
        <v>181</v>
      </c>
      <c r="B58" s="217"/>
      <c r="C58" s="217"/>
      <c r="D58" s="151" t="s">
        <v>130</v>
      </c>
      <c r="E58" s="95">
        <f>'15'!F58</f>
        <v>1811.04</v>
      </c>
      <c r="F58" s="117">
        <v>1999</v>
      </c>
      <c r="G58" s="112">
        <f t="shared" si="4"/>
        <v>187.96000000000004</v>
      </c>
      <c r="H58" s="99">
        <f>G58+'15'!H58</f>
        <v>2339.6300000000047</v>
      </c>
      <c r="I58" s="95"/>
      <c r="J58" s="175">
        <f>H58/DAY(B2)</f>
        <v>146.22687500000029</v>
      </c>
      <c r="K58" s="79"/>
      <c r="L58" s="66"/>
      <c r="N58" s="87"/>
      <c r="O58" s="71"/>
    </row>
    <row r="59" spans="1:15" ht="29.25" x14ac:dyDescent="0.5">
      <c r="A59" s="201" t="s">
        <v>173</v>
      </c>
      <c r="B59" s="202"/>
      <c r="C59" s="202"/>
      <c r="D59" s="146"/>
      <c r="E59" s="146"/>
      <c r="F59" s="151"/>
      <c r="G59" s="119">
        <f>G49+G50+G51+G52+G53+G54+G55+G56+G57+G58</f>
        <v>5974.8999999999933</v>
      </c>
      <c r="H59" s="99">
        <f>G59+'15'!H59</f>
        <v>95300.710000000021</v>
      </c>
      <c r="I59" s="95">
        <f>G7-G60</f>
        <v>1296.1800000000148</v>
      </c>
      <c r="J59" s="175">
        <f>H59/DAY(B2)</f>
        <v>5956.2943750000013</v>
      </c>
      <c r="K59" s="79"/>
      <c r="L59" s="66"/>
      <c r="N59" s="87"/>
      <c r="O59" s="71"/>
    </row>
    <row r="60" spans="1:15" ht="29.25" x14ac:dyDescent="0.4">
      <c r="A60" s="194"/>
      <c r="B60" s="195"/>
      <c r="C60" s="195"/>
      <c r="D60" s="146" t="s">
        <v>182</v>
      </c>
      <c r="E60" s="146"/>
      <c r="F60" s="151"/>
      <c r="G60" s="119">
        <f>G47+G59</f>
        <v>16018.069999999985</v>
      </c>
      <c r="H60" s="99">
        <f>G60+'15'!H60</f>
        <v>268073.31</v>
      </c>
      <c r="I60" s="95">
        <f>G13-G60</f>
        <v>757.30000000001019</v>
      </c>
      <c r="J60" s="175">
        <f>H60/DAY(B2)</f>
        <v>16754.581875</v>
      </c>
      <c r="K60" s="79"/>
      <c r="L60" s="66"/>
      <c r="N60" s="87"/>
      <c r="O60" s="71"/>
    </row>
    <row r="61" spans="1:15" s="68" customFormat="1" ht="27.75" x14ac:dyDescent="0.5">
      <c r="A61" s="837" t="s">
        <v>332</v>
      </c>
      <c r="B61" s="838"/>
      <c r="C61" s="839"/>
      <c r="D61" s="339"/>
      <c r="E61" s="339"/>
      <c r="F61" s="339"/>
      <c r="G61" s="340"/>
      <c r="H61" s="339"/>
      <c r="I61" s="339"/>
      <c r="J61" s="341"/>
      <c r="K61" s="69"/>
      <c r="L61" s="67"/>
      <c r="N61" s="87"/>
      <c r="O61" s="71"/>
    </row>
    <row r="62" spans="1:15" ht="27.75" x14ac:dyDescent="0.5">
      <c r="A62" s="818" t="s">
        <v>198</v>
      </c>
      <c r="B62" s="819"/>
      <c r="C62" s="820"/>
      <c r="D62" s="151" t="s">
        <v>142</v>
      </c>
      <c r="E62" s="95">
        <f>'15'!F62</f>
        <v>268107</v>
      </c>
      <c r="F62" s="122">
        <v>268173</v>
      </c>
      <c r="G62" s="112">
        <f t="shared" ref="G62:G63" si="5">F62-E62</f>
        <v>66</v>
      </c>
      <c r="H62" s="99">
        <f>G62+'15'!H62</f>
        <v>960</v>
      </c>
      <c r="I62" s="118"/>
      <c r="J62" s="175">
        <f>H62/DAY(B2)</f>
        <v>60</v>
      </c>
      <c r="K62" s="80"/>
      <c r="L62" s="66"/>
      <c r="N62" s="87"/>
      <c r="O62" s="71"/>
    </row>
    <row r="63" spans="1:15" ht="27.75" x14ac:dyDescent="0.5">
      <c r="A63" s="818" t="s">
        <v>199</v>
      </c>
      <c r="B63" s="819"/>
      <c r="C63" s="820"/>
      <c r="D63" s="151" t="s">
        <v>142</v>
      </c>
      <c r="E63" s="95">
        <f>'15'!F63</f>
        <v>213943</v>
      </c>
      <c r="F63" s="122">
        <v>214034</v>
      </c>
      <c r="G63" s="112">
        <f t="shared" si="5"/>
        <v>91</v>
      </c>
      <c r="H63" s="99">
        <f>G63+'15'!H63</f>
        <v>1609</v>
      </c>
      <c r="I63" s="118"/>
      <c r="J63" s="175">
        <f>H63/DAY(B2)</f>
        <v>100.5625</v>
      </c>
      <c r="K63" s="69"/>
      <c r="L63" s="66"/>
      <c r="N63" s="87"/>
      <c r="O63" s="71"/>
    </row>
    <row r="64" spans="1:15" ht="29.25" x14ac:dyDescent="0.5">
      <c r="A64" s="815" t="s">
        <v>200</v>
      </c>
      <c r="B64" s="816"/>
      <c r="C64" s="817"/>
      <c r="D64" s="151"/>
      <c r="E64" s="95">
        <v>0</v>
      </c>
      <c r="F64" s="122"/>
      <c r="G64" s="112">
        <f>G62+G63</f>
        <v>157</v>
      </c>
      <c r="H64" s="99">
        <f>G64+'15'!H64</f>
        <v>2569</v>
      </c>
      <c r="I64" s="118"/>
      <c r="J64" s="175">
        <f>H64/DAY(B2)</f>
        <v>160.5625</v>
      </c>
      <c r="K64" s="69"/>
      <c r="L64" s="66"/>
      <c r="N64" s="87"/>
      <c r="O64" s="71"/>
    </row>
    <row r="65" spans="1:15" ht="27.75" x14ac:dyDescent="0.5">
      <c r="A65" s="818" t="s">
        <v>201</v>
      </c>
      <c r="B65" s="819"/>
      <c r="C65" s="820"/>
      <c r="D65" s="151" t="s">
        <v>142</v>
      </c>
      <c r="E65" s="95">
        <f>'15'!F65</f>
        <v>433665</v>
      </c>
      <c r="F65" s="122">
        <v>433727</v>
      </c>
      <c r="G65" s="112">
        <f t="shared" ref="G65:G70" si="6">F65-E65</f>
        <v>62</v>
      </c>
      <c r="H65" s="99">
        <f>G65+'15'!H65</f>
        <v>1113</v>
      </c>
      <c r="I65" s="118"/>
      <c r="J65" s="175">
        <f>H65/DAY(B2)</f>
        <v>69.5625</v>
      </c>
      <c r="K65" s="69"/>
      <c r="L65" s="66"/>
      <c r="N65" s="87"/>
      <c r="O65" s="71"/>
    </row>
    <row r="66" spans="1:15" ht="27.75" x14ac:dyDescent="0.5">
      <c r="A66" s="345" t="s">
        <v>202</v>
      </c>
      <c r="B66" s="346"/>
      <c r="C66" s="346"/>
      <c r="D66" s="151" t="s">
        <v>142</v>
      </c>
      <c r="E66" s="95">
        <f>'15'!F66</f>
        <v>107472</v>
      </c>
      <c r="F66" s="122">
        <v>107493</v>
      </c>
      <c r="G66" s="112">
        <f t="shared" si="6"/>
        <v>21</v>
      </c>
      <c r="H66" s="99">
        <f>G66+'15'!H66</f>
        <v>279</v>
      </c>
      <c r="I66" s="118"/>
      <c r="J66" s="175">
        <f>H66/DAY(B2)</f>
        <v>17.4375</v>
      </c>
      <c r="K66" s="78"/>
      <c r="L66" s="66"/>
      <c r="N66" s="87"/>
      <c r="O66" s="71"/>
    </row>
    <row r="67" spans="1:15" ht="27.75" x14ac:dyDescent="0.5">
      <c r="A67" s="345" t="s">
        <v>203</v>
      </c>
      <c r="B67" s="346"/>
      <c r="C67" s="346"/>
      <c r="D67" s="151" t="s">
        <v>142</v>
      </c>
      <c r="E67" s="95">
        <f>'15'!F67</f>
        <v>104277</v>
      </c>
      <c r="F67" s="122">
        <v>104303</v>
      </c>
      <c r="G67" s="112">
        <f t="shared" si="6"/>
        <v>26</v>
      </c>
      <c r="H67" s="99">
        <f>G67+'15'!H67</f>
        <v>375</v>
      </c>
      <c r="I67" s="118"/>
      <c r="J67" s="175">
        <f>H67/DAY(B2)</f>
        <v>23.4375</v>
      </c>
      <c r="K67" s="81"/>
      <c r="L67" s="66"/>
      <c r="N67" s="87"/>
      <c r="O67" s="71"/>
    </row>
    <row r="68" spans="1:15" ht="27.75" x14ac:dyDescent="0.5">
      <c r="A68" s="345" t="s">
        <v>204</v>
      </c>
      <c r="B68" s="346"/>
      <c r="C68" s="346"/>
      <c r="D68" s="151" t="s">
        <v>142</v>
      </c>
      <c r="E68" s="95">
        <f>'15'!F68</f>
        <v>157006</v>
      </c>
      <c r="F68" s="122">
        <v>157037</v>
      </c>
      <c r="G68" s="112">
        <f t="shared" si="6"/>
        <v>31</v>
      </c>
      <c r="H68" s="99">
        <f>G68+'15'!H68</f>
        <v>417</v>
      </c>
      <c r="I68" s="118"/>
      <c r="J68" s="175">
        <f>H68/DAY(B2)</f>
        <v>26.0625</v>
      </c>
      <c r="K68" s="69"/>
      <c r="L68" s="66"/>
      <c r="N68" s="87"/>
      <c r="O68" s="71"/>
    </row>
    <row r="69" spans="1:15" ht="27.75" x14ac:dyDescent="0.5">
      <c r="A69" s="345" t="s">
        <v>205</v>
      </c>
      <c r="B69" s="346"/>
      <c r="C69" s="346"/>
      <c r="D69" s="151" t="s">
        <v>142</v>
      </c>
      <c r="E69" s="95">
        <f>'15'!F69</f>
        <v>10363</v>
      </c>
      <c r="F69" s="122">
        <v>10369</v>
      </c>
      <c r="G69" s="112">
        <f t="shared" si="6"/>
        <v>6</v>
      </c>
      <c r="H69" s="99">
        <f>G69+'15'!H69</f>
        <v>155</v>
      </c>
      <c r="I69" s="118"/>
      <c r="J69" s="175">
        <f>H69/DAY(B2)</f>
        <v>9.6875</v>
      </c>
      <c r="K69" s="69"/>
      <c r="L69" s="66"/>
      <c r="N69" s="87"/>
      <c r="O69" s="71"/>
    </row>
    <row r="70" spans="1:15" ht="27.75" x14ac:dyDescent="0.5">
      <c r="A70" s="345" t="s">
        <v>206</v>
      </c>
      <c r="B70" s="346"/>
      <c r="C70" s="346"/>
      <c r="D70" s="151" t="s">
        <v>142</v>
      </c>
      <c r="E70" s="95">
        <f>'15'!F70</f>
        <v>7977</v>
      </c>
      <c r="F70" s="122">
        <v>7984</v>
      </c>
      <c r="G70" s="112">
        <f t="shared" si="6"/>
        <v>7</v>
      </c>
      <c r="H70" s="99">
        <f>G70+'15'!H70</f>
        <v>122</v>
      </c>
      <c r="I70" s="118"/>
      <c r="J70" s="175">
        <f>H70/DAY(B2)</f>
        <v>7.625</v>
      </c>
      <c r="K70" s="69"/>
      <c r="L70" s="66"/>
      <c r="N70" s="87"/>
      <c r="O70" s="71"/>
    </row>
    <row r="71" spans="1:15" ht="29.25" x14ac:dyDescent="0.5">
      <c r="A71" s="815" t="s">
        <v>208</v>
      </c>
      <c r="B71" s="816"/>
      <c r="C71" s="817"/>
      <c r="D71" s="152"/>
      <c r="E71" s="152"/>
      <c r="F71" s="152"/>
      <c r="G71" s="153">
        <f>SUM(G65:G70)</f>
        <v>153</v>
      </c>
      <c r="H71" s="99">
        <f>G71+'15'!H71</f>
        <v>2461</v>
      </c>
      <c r="I71" s="154"/>
      <c r="J71" s="175">
        <f>H71/DAY(B2)</f>
        <v>153.8125</v>
      </c>
      <c r="K71" s="69"/>
      <c r="L71" s="66"/>
      <c r="N71" s="87"/>
      <c r="O71" s="71"/>
    </row>
    <row r="72" spans="1:15" s="88" customFormat="1" ht="27.75" x14ac:dyDescent="0.5">
      <c r="A72" s="861"/>
      <c r="B72" s="853"/>
      <c r="C72" s="347"/>
      <c r="D72" s="180"/>
      <c r="E72" s="180" t="s">
        <v>207</v>
      </c>
      <c r="F72" s="496"/>
      <c r="G72" s="180"/>
      <c r="H72" s="181"/>
      <c r="I72" s="180"/>
      <c r="J72" s="182"/>
      <c r="N72" s="87"/>
      <c r="O72" s="71"/>
    </row>
    <row r="73" spans="1:15" ht="29.25" x14ac:dyDescent="0.5">
      <c r="A73" s="866" t="s">
        <v>333</v>
      </c>
      <c r="B73" s="867"/>
      <c r="C73" s="868"/>
      <c r="D73" s="339"/>
      <c r="E73" s="339"/>
      <c r="F73" s="339"/>
      <c r="G73" s="342"/>
      <c r="H73" s="342"/>
      <c r="I73" s="342"/>
      <c r="J73" s="343"/>
      <c r="K73" s="69"/>
      <c r="L73" s="66"/>
      <c r="N73" s="87"/>
      <c r="O73" s="71"/>
    </row>
    <row r="74" spans="1:15" ht="27.75" x14ac:dyDescent="0.5">
      <c r="A74" s="818" t="s">
        <v>220</v>
      </c>
      <c r="B74" s="819"/>
      <c r="C74" s="820"/>
      <c r="D74" s="151" t="s">
        <v>139</v>
      </c>
      <c r="E74" s="95">
        <f>'15'!F74</f>
        <v>896469</v>
      </c>
      <c r="F74" s="117">
        <v>896773</v>
      </c>
      <c r="G74" s="112">
        <f t="shared" ref="G74:G78" si="7">F74-E74</f>
        <v>304</v>
      </c>
      <c r="H74" s="99">
        <f>G74+'15'!H74</f>
        <v>4741</v>
      </c>
      <c r="I74" s="154"/>
      <c r="J74" s="175">
        <f>H74/DAY(B2)</f>
        <v>296.3125</v>
      </c>
      <c r="K74" s="69"/>
      <c r="L74" s="66"/>
      <c r="N74" s="87"/>
      <c r="O74" s="71"/>
    </row>
    <row r="75" spans="1:15" ht="27.75" x14ac:dyDescent="0.5">
      <c r="A75" s="818" t="s">
        <v>221</v>
      </c>
      <c r="B75" s="819"/>
      <c r="C75" s="820"/>
      <c r="D75" s="151" t="s">
        <v>139</v>
      </c>
      <c r="E75" s="95">
        <f>'15'!F75</f>
        <v>73587</v>
      </c>
      <c r="F75" s="123">
        <v>73587</v>
      </c>
      <c r="G75" s="112">
        <f t="shared" si="7"/>
        <v>0</v>
      </c>
      <c r="H75" s="99">
        <f>G75+'15'!H75</f>
        <v>0.19999999999708962</v>
      </c>
      <c r="I75" s="154"/>
      <c r="J75" s="175">
        <f>H75/DAY(B2)</f>
        <v>1.2499999999818101E-2</v>
      </c>
      <c r="K75" s="69"/>
      <c r="L75" s="66"/>
      <c r="N75" s="87"/>
      <c r="O75" s="71"/>
    </row>
    <row r="76" spans="1:15" ht="27.75" x14ac:dyDescent="0.5">
      <c r="A76" s="862" t="s">
        <v>222</v>
      </c>
      <c r="B76" s="848"/>
      <c r="C76" s="849"/>
      <c r="D76" s="151" t="s">
        <v>139</v>
      </c>
      <c r="E76" s="95">
        <f>'15'!F76</f>
        <v>168467</v>
      </c>
      <c r="F76" s="123">
        <v>168557</v>
      </c>
      <c r="G76" s="112">
        <f t="shared" si="7"/>
        <v>90</v>
      </c>
      <c r="H76" s="99">
        <f>G76+'15'!H76</f>
        <v>1350</v>
      </c>
      <c r="I76" s="154"/>
      <c r="J76" s="175">
        <f>H76/DAY(B2)</f>
        <v>84.375</v>
      </c>
      <c r="K76" s="69"/>
      <c r="L76" s="66"/>
      <c r="N76" s="87"/>
      <c r="O76" s="71"/>
    </row>
    <row r="77" spans="1:15" ht="27.75" x14ac:dyDescent="0.5">
      <c r="A77" s="862" t="s">
        <v>223</v>
      </c>
      <c r="B77" s="848"/>
      <c r="C77" s="849"/>
      <c r="D77" s="151" t="s">
        <v>139</v>
      </c>
      <c r="E77" s="95">
        <f>'15'!F77</f>
        <v>40771.4</v>
      </c>
      <c r="F77" s="123">
        <v>40798</v>
      </c>
      <c r="G77" s="112">
        <f t="shared" si="7"/>
        <v>26.599999999998545</v>
      </c>
      <c r="H77" s="99">
        <f>G77+'15'!H77</f>
        <v>482</v>
      </c>
      <c r="I77" s="154"/>
      <c r="J77" s="175">
        <f>H77/DAY(B2)</f>
        <v>30.125</v>
      </c>
      <c r="K77" s="69"/>
      <c r="L77" s="66"/>
      <c r="N77" s="87"/>
      <c r="O77" s="71"/>
    </row>
    <row r="78" spans="1:15" ht="27.75" x14ac:dyDescent="0.5">
      <c r="A78" s="862" t="s">
        <v>224</v>
      </c>
      <c r="B78" s="848"/>
      <c r="C78" s="849"/>
      <c r="D78" s="151" t="s">
        <v>139</v>
      </c>
      <c r="E78" s="95">
        <f>'15'!F78</f>
        <v>9498</v>
      </c>
      <c r="F78" s="123">
        <v>9499</v>
      </c>
      <c r="G78" s="112">
        <f t="shared" si="7"/>
        <v>1</v>
      </c>
      <c r="H78" s="99">
        <f>G78+'15'!H78</f>
        <v>13</v>
      </c>
      <c r="I78" s="118"/>
      <c r="J78" s="175">
        <f>H78/DAY(B2)</f>
        <v>0.8125</v>
      </c>
      <c r="K78" s="69"/>
      <c r="L78" s="66"/>
      <c r="N78" s="87"/>
      <c r="O78" s="71"/>
    </row>
    <row r="79" spans="1:15" s="57" customFormat="1" ht="27.75" x14ac:dyDescent="0.5">
      <c r="A79" s="862" t="s">
        <v>225</v>
      </c>
      <c r="B79" s="848"/>
      <c r="C79" s="849"/>
      <c r="D79" s="151"/>
      <c r="E79" s="95">
        <f>'15'!F79</f>
        <v>0</v>
      </c>
      <c r="F79" s="123"/>
      <c r="G79" s="112">
        <f>G15-SUM(G74:G78)</f>
        <v>584.40000000000146</v>
      </c>
      <c r="H79" s="99">
        <f>G79+'15'!H79</f>
        <v>7589.8000000000029</v>
      </c>
      <c r="I79" s="118"/>
      <c r="J79" s="175"/>
      <c r="K79" s="59"/>
      <c r="L79" s="58"/>
      <c r="N79" s="87"/>
      <c r="O79" s="71"/>
    </row>
    <row r="80" spans="1:15" s="57" customFormat="1" ht="29.25" x14ac:dyDescent="0.5">
      <c r="A80" s="815" t="s">
        <v>329</v>
      </c>
      <c r="B80" s="816"/>
      <c r="C80" s="817"/>
      <c r="D80" s="151"/>
      <c r="E80" s="117"/>
      <c r="F80" s="117"/>
      <c r="G80" s="112">
        <f>SUM(G74:G79)</f>
        <v>1006</v>
      </c>
      <c r="H80" s="99">
        <f>G80+'15'!H80</f>
        <v>1006</v>
      </c>
      <c r="I80" s="118"/>
      <c r="J80" s="175"/>
      <c r="K80" s="59"/>
      <c r="L80" s="58"/>
      <c r="N80" s="87"/>
      <c r="O80" s="71"/>
    </row>
    <row r="81" spans="1:15" ht="27" x14ac:dyDescent="0.4">
      <c r="A81" s="854" t="s">
        <v>226</v>
      </c>
      <c r="B81" s="855"/>
      <c r="C81" s="856"/>
      <c r="D81" s="110"/>
      <c r="E81" s="110"/>
      <c r="F81" s="111"/>
      <c r="G81" s="163"/>
      <c r="H81" s="163"/>
      <c r="I81" s="163"/>
      <c r="J81" s="184"/>
      <c r="O81" s="71"/>
    </row>
    <row r="82" spans="1:15" ht="27.75" x14ac:dyDescent="0.5">
      <c r="A82" s="345" t="s">
        <v>227</v>
      </c>
      <c r="B82" s="346"/>
      <c r="C82" s="346"/>
      <c r="D82" s="151" t="s">
        <v>228</v>
      </c>
      <c r="E82" s="95">
        <f>'15'!F82</f>
        <v>0</v>
      </c>
      <c r="F82" s="122">
        <v>0</v>
      </c>
      <c r="G82" s="112">
        <f t="shared" ref="G82:G92" si="8">F82-E82</f>
        <v>0</v>
      </c>
      <c r="H82" s="99">
        <f>G82+'15'!H82</f>
        <v>0</v>
      </c>
      <c r="I82" s="118"/>
      <c r="J82" s="175">
        <f>H82/DAY(B2)</f>
        <v>0</v>
      </c>
      <c r="O82" s="71"/>
    </row>
    <row r="83" spans="1:15" ht="27.75" x14ac:dyDescent="0.5">
      <c r="A83" s="345" t="s">
        <v>229</v>
      </c>
      <c r="B83" s="346"/>
      <c r="C83" s="346"/>
      <c r="D83" s="151" t="s">
        <v>228</v>
      </c>
      <c r="E83" s="95">
        <f>'15'!F83</f>
        <v>0</v>
      </c>
      <c r="F83" s="122">
        <v>0</v>
      </c>
      <c r="G83" s="112">
        <f t="shared" si="8"/>
        <v>0</v>
      </c>
      <c r="H83" s="99">
        <f>G83+'15'!H83</f>
        <v>0</v>
      </c>
      <c r="I83" s="118"/>
      <c r="J83" s="175">
        <f>H83/DAY(B2)</f>
        <v>0</v>
      </c>
      <c r="O83" s="71"/>
    </row>
    <row r="84" spans="1:15" ht="27.75" x14ac:dyDescent="0.5">
      <c r="A84" s="345" t="s">
        <v>230</v>
      </c>
      <c r="B84" s="346"/>
      <c r="C84" s="346"/>
      <c r="D84" s="151" t="s">
        <v>228</v>
      </c>
      <c r="E84" s="95">
        <f>'15'!F84</f>
        <v>41675</v>
      </c>
      <c r="F84" s="164">
        <v>41675</v>
      </c>
      <c r="G84" s="112">
        <f t="shared" si="8"/>
        <v>0</v>
      </c>
      <c r="H84" s="99">
        <f>G84+'15'!H84</f>
        <v>0</v>
      </c>
      <c r="I84" s="118"/>
      <c r="J84" s="175">
        <f>H84/DAY(B2)</f>
        <v>0</v>
      </c>
      <c r="O84" s="71"/>
    </row>
    <row r="85" spans="1:15" ht="27.75" x14ac:dyDescent="0.5">
      <c r="A85" s="345" t="s">
        <v>231</v>
      </c>
      <c r="B85" s="346"/>
      <c r="C85" s="346"/>
      <c r="D85" s="151" t="s">
        <v>228</v>
      </c>
      <c r="E85" s="95">
        <f>'15'!F85</f>
        <v>2096.5500000000002</v>
      </c>
      <c r="F85" s="164">
        <v>2096.5500000000002</v>
      </c>
      <c r="G85" s="112">
        <f t="shared" si="8"/>
        <v>0</v>
      </c>
      <c r="H85" s="99">
        <f>G85+'15'!H85</f>
        <v>-9.9999999997635314E-3</v>
      </c>
      <c r="I85" s="118">
        <f>G82+G83+G84+G85</f>
        <v>0</v>
      </c>
      <c r="J85" s="175">
        <f>H85/DAY(B2)</f>
        <v>-6.2499999998522071E-4</v>
      </c>
      <c r="O85" s="71"/>
    </row>
    <row r="86" spans="1:15" ht="27.75" x14ac:dyDescent="0.5">
      <c r="A86" s="345" t="s">
        <v>232</v>
      </c>
      <c r="B86" s="346"/>
      <c r="C86" s="346"/>
      <c r="D86" s="151" t="s">
        <v>228</v>
      </c>
      <c r="E86" s="95">
        <f>'15'!F86</f>
        <v>43224.49</v>
      </c>
      <c r="F86" s="164">
        <v>43248</v>
      </c>
      <c r="G86" s="112">
        <f t="shared" si="8"/>
        <v>23.510000000002037</v>
      </c>
      <c r="H86" s="99">
        <f>G86+'15'!H86</f>
        <v>385</v>
      </c>
      <c r="I86" s="118"/>
      <c r="J86" s="175">
        <f>H86/DAY(B2)</f>
        <v>24.0625</v>
      </c>
      <c r="O86" s="71"/>
    </row>
    <row r="87" spans="1:15" ht="27.75" x14ac:dyDescent="0.5">
      <c r="A87" s="345" t="s">
        <v>233</v>
      </c>
      <c r="B87" s="346"/>
      <c r="C87" s="346"/>
      <c r="D87" s="151" t="s">
        <v>228</v>
      </c>
      <c r="E87" s="95">
        <f>'15'!F87</f>
        <v>34598.550000000003</v>
      </c>
      <c r="F87" s="164">
        <v>34598.550000000003</v>
      </c>
      <c r="G87" s="112">
        <f t="shared" si="8"/>
        <v>0</v>
      </c>
      <c r="H87" s="99">
        <f>G87+'15'!H87</f>
        <v>0</v>
      </c>
      <c r="I87" s="118"/>
      <c r="J87" s="175">
        <f>H87/DAY(B2)</f>
        <v>0</v>
      </c>
      <c r="O87" s="71"/>
    </row>
    <row r="88" spans="1:15" ht="27.75" x14ac:dyDescent="0.5">
      <c r="A88" s="345" t="s">
        <v>234</v>
      </c>
      <c r="B88" s="346"/>
      <c r="C88" s="346"/>
      <c r="D88" s="151" t="s">
        <v>228</v>
      </c>
      <c r="E88" s="95">
        <f>'15'!F88</f>
        <v>24059.29</v>
      </c>
      <c r="F88" s="164">
        <v>24059.29</v>
      </c>
      <c r="G88" s="112">
        <f t="shared" si="8"/>
        <v>0</v>
      </c>
      <c r="H88" s="99">
        <f>G88+'15'!H88</f>
        <v>12.290000000000873</v>
      </c>
      <c r="I88" s="118">
        <f>G86+G87+G88</f>
        <v>23.510000000002037</v>
      </c>
      <c r="J88" s="175">
        <f>H88/DAY(B2)</f>
        <v>0.76812500000005457</v>
      </c>
      <c r="O88" s="71"/>
    </row>
    <row r="89" spans="1:15" ht="27.75" x14ac:dyDescent="0.5">
      <c r="A89" s="345" t="s">
        <v>235</v>
      </c>
      <c r="B89" s="346"/>
      <c r="C89" s="346"/>
      <c r="D89" s="151" t="s">
        <v>228</v>
      </c>
      <c r="E89" s="95">
        <f>'15'!F89</f>
        <v>25752.95</v>
      </c>
      <c r="F89" s="164">
        <v>25761.09</v>
      </c>
      <c r="G89" s="112">
        <f t="shared" si="8"/>
        <v>8.1399999999994179</v>
      </c>
      <c r="H89" s="99">
        <f>G89+'15'!H89</f>
        <v>98.090000000000146</v>
      </c>
      <c r="I89" s="118"/>
      <c r="J89" s="175">
        <f>H89/DAY(B2)</f>
        <v>6.1306250000000091</v>
      </c>
      <c r="O89" s="71"/>
    </row>
    <row r="90" spans="1:15" ht="27.75" x14ac:dyDescent="0.5">
      <c r="A90" s="345" t="s">
        <v>236</v>
      </c>
      <c r="B90" s="346"/>
      <c r="C90" s="346"/>
      <c r="D90" s="151" t="s">
        <v>228</v>
      </c>
      <c r="E90" s="95">
        <f>'15'!F90</f>
        <v>71116.47</v>
      </c>
      <c r="F90" s="164">
        <v>71126.16</v>
      </c>
      <c r="G90" s="112">
        <f t="shared" si="8"/>
        <v>9.6900000000023283</v>
      </c>
      <c r="H90" s="99">
        <f>G90+'15'!H90</f>
        <v>92.160000000003492</v>
      </c>
      <c r="I90" s="118">
        <f>G89+G90</f>
        <v>17.830000000001746</v>
      </c>
      <c r="J90" s="175">
        <f>H90/DAY(B2)</f>
        <v>5.7600000000002183</v>
      </c>
      <c r="O90" s="71"/>
    </row>
    <row r="91" spans="1:15" ht="27.75" x14ac:dyDescent="0.5">
      <c r="A91" s="345" t="s">
        <v>237</v>
      </c>
      <c r="B91" s="346"/>
      <c r="C91" s="346"/>
      <c r="D91" s="151" t="s">
        <v>228</v>
      </c>
      <c r="E91" s="95">
        <f>'15'!F91</f>
        <v>3226.32</v>
      </c>
      <c r="F91" s="122">
        <v>3226.32</v>
      </c>
      <c r="G91" s="112">
        <f t="shared" si="8"/>
        <v>0</v>
      </c>
      <c r="H91" s="99">
        <f>G91+'15'!H91</f>
        <v>0</v>
      </c>
      <c r="I91" s="165"/>
      <c r="J91" s="175">
        <f>H91/DAY(B2)</f>
        <v>0</v>
      </c>
      <c r="O91" s="71"/>
    </row>
    <row r="92" spans="1:15" ht="27.75" x14ac:dyDescent="0.5">
      <c r="A92" s="345" t="s">
        <v>238</v>
      </c>
      <c r="B92" s="346"/>
      <c r="C92" s="346"/>
      <c r="D92" s="151" t="s">
        <v>228</v>
      </c>
      <c r="E92" s="95">
        <f>'15'!F92</f>
        <v>5593.79</v>
      </c>
      <c r="F92" s="122">
        <v>5604.41</v>
      </c>
      <c r="G92" s="112">
        <f t="shared" si="8"/>
        <v>10.619999999999891</v>
      </c>
      <c r="H92" s="99">
        <f>G92+'15'!H92</f>
        <v>166.40999999999985</v>
      </c>
      <c r="I92" s="165"/>
      <c r="J92" s="175">
        <f>H92/DAY(B2)</f>
        <v>10.400624999999991</v>
      </c>
      <c r="O92" s="71"/>
    </row>
    <row r="93" spans="1:15" ht="29.25" x14ac:dyDescent="0.5">
      <c r="A93" s="863" t="s">
        <v>239</v>
      </c>
      <c r="B93" s="864"/>
      <c r="C93" s="865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27.75" x14ac:dyDescent="0.5">
      <c r="A94" s="818" t="s">
        <v>240</v>
      </c>
      <c r="B94" s="819"/>
      <c r="C94" s="820"/>
      <c r="D94" s="151" t="s">
        <v>130</v>
      </c>
      <c r="E94" s="151"/>
      <c r="F94" s="151"/>
      <c r="G94" s="99">
        <f>G35+G43+G49+G57</f>
        <v>4660.8599999999933</v>
      </c>
      <c r="H94" s="99">
        <f>G94+'15'!H94</f>
        <v>85636</v>
      </c>
      <c r="I94" s="118"/>
      <c r="J94" s="175">
        <f>H94/DAY(B2)</f>
        <v>5352.25</v>
      </c>
      <c r="K94" s="69"/>
      <c r="L94" s="66"/>
      <c r="O94" s="71"/>
    </row>
    <row r="95" spans="1:15" ht="27.75" x14ac:dyDescent="0.5">
      <c r="A95" s="818" t="s">
        <v>241</v>
      </c>
      <c r="B95" s="819"/>
      <c r="C95" s="820"/>
      <c r="D95" s="151" t="s">
        <v>23</v>
      </c>
      <c r="E95" s="146"/>
      <c r="F95" s="151"/>
      <c r="G95" s="166">
        <f>G94/G7</f>
        <v>0.26919213942272946</v>
      </c>
      <c r="H95" s="99">
        <f>G95+'15'!H95</f>
        <v>4.6429612846879751</v>
      </c>
      <c r="I95" s="167"/>
      <c r="J95" s="175">
        <f>H95/DAY(B2)</f>
        <v>0.29018508029299844</v>
      </c>
      <c r="K95" s="69"/>
      <c r="L95" s="66"/>
      <c r="O95" s="71"/>
    </row>
    <row r="96" spans="1:15" ht="27.75" x14ac:dyDescent="0.5">
      <c r="A96" s="818" t="s">
        <v>242</v>
      </c>
      <c r="B96" s="819"/>
      <c r="C96" s="820"/>
      <c r="D96" s="151" t="s">
        <v>130</v>
      </c>
      <c r="E96" s="95"/>
      <c r="F96" s="95"/>
      <c r="G96" s="99">
        <f>G41+G42+G55+G56</f>
        <v>3032.7699999999968</v>
      </c>
      <c r="H96" s="99">
        <f>G96+'15'!H96</f>
        <v>48232.600000000006</v>
      </c>
      <c r="I96" s="118"/>
      <c r="J96" s="175">
        <f>H96/DAY(B2)</f>
        <v>3014.5375000000004</v>
      </c>
      <c r="K96" s="69"/>
      <c r="L96" s="66"/>
      <c r="O96" s="71"/>
    </row>
    <row r="97" spans="1:15" ht="27.75" x14ac:dyDescent="0.5">
      <c r="A97" s="818" t="s">
        <v>243</v>
      </c>
      <c r="B97" s="819"/>
      <c r="C97" s="820"/>
      <c r="D97" s="151" t="s">
        <v>23</v>
      </c>
      <c r="E97" s="95"/>
      <c r="F97" s="95"/>
      <c r="G97" s="166">
        <f>G96/G7</f>
        <v>0.17516034480269124</v>
      </c>
      <c r="H97" s="99">
        <f>G97+'15'!H97</f>
        <v>2.6290312410790806</v>
      </c>
      <c r="I97" s="167"/>
      <c r="J97" s="175">
        <f>H97/DAY(B2)</f>
        <v>0.16431445256744254</v>
      </c>
      <c r="K97" s="69"/>
      <c r="L97" s="66"/>
      <c r="O97" s="71"/>
    </row>
    <row r="98" spans="1:15" ht="27.75" x14ac:dyDescent="0.5">
      <c r="A98" s="818" t="s">
        <v>244</v>
      </c>
      <c r="B98" s="819"/>
      <c r="C98" s="820"/>
      <c r="D98" s="151" t="s">
        <v>130</v>
      </c>
      <c r="E98" s="95"/>
      <c r="F98" s="95"/>
      <c r="G98" s="99">
        <f>G39+G53</f>
        <v>2600.0999999999985</v>
      </c>
      <c r="H98" s="99">
        <f>G98+'15'!H98</f>
        <v>41792</v>
      </c>
      <c r="I98" s="168"/>
      <c r="J98" s="175">
        <f>H98/DAY(B2)</f>
        <v>2612</v>
      </c>
      <c r="K98" s="69"/>
      <c r="L98" s="66"/>
      <c r="O98" s="71"/>
    </row>
    <row r="99" spans="1:15" ht="27.75" x14ac:dyDescent="0.5">
      <c r="A99" s="818" t="s">
        <v>245</v>
      </c>
      <c r="B99" s="819"/>
      <c r="C99" s="820"/>
      <c r="D99" s="151" t="s">
        <v>23</v>
      </c>
      <c r="E99" s="95"/>
      <c r="F99" s="95"/>
      <c r="G99" s="166">
        <f>G98/G7</f>
        <v>0.15017110183808127</v>
      </c>
      <c r="H99" s="99">
        <f>G99+'15'!H99</f>
        <v>2.2773232621840203</v>
      </c>
      <c r="I99" s="168"/>
      <c r="J99" s="175">
        <f>H99/DAY(B2)</f>
        <v>0.14233270388650127</v>
      </c>
      <c r="O99" s="71"/>
    </row>
    <row r="100" spans="1:15" ht="27.75" x14ac:dyDescent="0.5">
      <c r="A100" s="818" t="s">
        <v>246</v>
      </c>
      <c r="B100" s="819"/>
      <c r="C100" s="820"/>
      <c r="D100" s="151" t="s">
        <v>180</v>
      </c>
      <c r="E100" s="95"/>
      <c r="F100" s="95"/>
      <c r="G100" s="99">
        <f>G38+G52</f>
        <v>1625.0499999999993</v>
      </c>
      <c r="H100" s="99">
        <f>G100+'15'!H100</f>
        <v>25764</v>
      </c>
      <c r="I100" s="118"/>
      <c r="J100" s="175">
        <f>H100/DAY(B2)</f>
        <v>1610.25</v>
      </c>
      <c r="K100" s="70"/>
      <c r="O100" s="71"/>
    </row>
    <row r="101" spans="1:15" ht="27.75" x14ac:dyDescent="0.5">
      <c r="A101" s="818" t="s">
        <v>247</v>
      </c>
      <c r="B101" s="819"/>
      <c r="C101" s="820"/>
      <c r="D101" s="151" t="s">
        <v>23</v>
      </c>
      <c r="E101" s="95"/>
      <c r="F101" s="95"/>
      <c r="G101" s="166">
        <f>G100/G7</f>
        <v>9.3856216700116915E-2</v>
      </c>
      <c r="H101" s="99">
        <f>G101+'15'!H101</f>
        <v>1.4046435710038281</v>
      </c>
      <c r="I101" s="168"/>
      <c r="J101" s="175">
        <f>H101/DAY(B2)</f>
        <v>8.7790223187739255E-2</v>
      </c>
      <c r="O101" s="71"/>
    </row>
    <row r="102" spans="1:15" ht="27.75" x14ac:dyDescent="0.5">
      <c r="A102" s="818" t="s">
        <v>248</v>
      </c>
      <c r="B102" s="819"/>
      <c r="C102" s="820"/>
      <c r="D102" s="151" t="s">
        <v>180</v>
      </c>
      <c r="E102" s="95"/>
      <c r="F102" s="95"/>
      <c r="G102" s="99">
        <f>G36+G50</f>
        <v>1455.5799999999981</v>
      </c>
      <c r="H102" s="99">
        <f>G102+'15'!H102</f>
        <v>26991</v>
      </c>
      <c r="I102" s="168"/>
      <c r="J102" s="175">
        <f>H102/DAY(B2)</f>
        <v>1686.9375</v>
      </c>
      <c r="O102" s="71"/>
    </row>
    <row r="103" spans="1:15" ht="27.75" x14ac:dyDescent="0.5">
      <c r="A103" s="818" t="s">
        <v>249</v>
      </c>
      <c r="B103" s="819"/>
      <c r="C103" s="820"/>
      <c r="D103" s="151" t="s">
        <v>23</v>
      </c>
      <c r="E103" s="95"/>
      <c r="F103" s="95"/>
      <c r="G103" s="166">
        <f>G102/G7</f>
        <v>8.4068325223443013E-2</v>
      </c>
      <c r="H103" s="99">
        <f>G103+'15'!H103</f>
        <v>1.4631417044111052</v>
      </c>
      <c r="I103" s="118"/>
      <c r="J103" s="175">
        <f>H103/DAY(B2)</f>
        <v>9.1446356525694078E-2</v>
      </c>
      <c r="O103" s="71"/>
    </row>
    <row r="104" spans="1:15" ht="27.75" x14ac:dyDescent="0.5">
      <c r="A104" s="818" t="s">
        <v>250</v>
      </c>
      <c r="B104" s="819"/>
      <c r="C104" s="820"/>
      <c r="D104" s="151" t="s">
        <v>180</v>
      </c>
      <c r="E104" s="95"/>
      <c r="F104" s="95"/>
      <c r="G104" s="99">
        <f>G37+G51</f>
        <v>1483.2600000000002</v>
      </c>
      <c r="H104" s="99">
        <f>G104+'15'!H104</f>
        <v>24023</v>
      </c>
      <c r="I104" s="118"/>
      <c r="J104" s="175">
        <f>H104/DAY(B2)</f>
        <v>1501.4375</v>
      </c>
      <c r="O104" s="71"/>
    </row>
    <row r="105" spans="1:15" ht="28.5" thickBot="1" x14ac:dyDescent="0.55000000000000004">
      <c r="A105" s="858" t="s">
        <v>251</v>
      </c>
      <c r="B105" s="859"/>
      <c r="C105" s="860"/>
      <c r="D105" s="231" t="s">
        <v>23</v>
      </c>
      <c r="E105" s="185"/>
      <c r="F105" s="185"/>
      <c r="G105" s="186">
        <f>G104/G7</f>
        <v>8.5667008389043717E-2</v>
      </c>
      <c r="H105" s="99">
        <f>G105+'15'!H105</f>
        <v>1.3111527716980853</v>
      </c>
      <c r="I105" s="187"/>
      <c r="J105" s="188">
        <f>H105/DAY(B2)</f>
        <v>8.1947048231130332E-2</v>
      </c>
      <c r="O105" s="71"/>
    </row>
    <row r="106" spans="1:15" ht="29.25" x14ac:dyDescent="0.5">
      <c r="A106" s="105"/>
      <c r="B106" s="96"/>
      <c r="C106" s="96"/>
      <c r="D106" s="169"/>
      <c r="E106" s="169"/>
      <c r="F106" s="497"/>
      <c r="G106" s="169"/>
      <c r="H106" s="170"/>
      <c r="I106" s="169"/>
      <c r="J106" s="171"/>
      <c r="O106" s="71"/>
    </row>
    <row r="107" spans="1:15" ht="29.25" x14ac:dyDescent="0.5"/>
    <row r="108" spans="1:15" ht="31.5" x14ac:dyDescent="0.55000000000000004">
      <c r="A108" s="872" t="s">
        <v>324</v>
      </c>
      <c r="B108" s="872"/>
      <c r="C108" s="872"/>
      <c r="D108" s="872"/>
      <c r="E108" s="872"/>
      <c r="F108" s="872"/>
      <c r="G108" s="872"/>
      <c r="H108" s="872"/>
      <c r="I108" s="872"/>
      <c r="J108" s="872"/>
    </row>
    <row r="109" spans="1:15" ht="29.25" x14ac:dyDescent="0.5">
      <c r="A109" s="857"/>
      <c r="B109" s="857"/>
    </row>
    <row r="110" spans="1:15" ht="29.25" x14ac:dyDescent="0.5">
      <c r="A110" s="873" t="s">
        <v>165</v>
      </c>
      <c r="B110" s="874"/>
      <c r="C110" s="874"/>
      <c r="D110" s="874"/>
      <c r="E110" s="874"/>
      <c r="F110" s="874"/>
      <c r="G110" s="874"/>
      <c r="H110" s="874"/>
      <c r="I110" s="874"/>
      <c r="J110" s="875"/>
    </row>
    <row r="111" spans="1:15" ht="27.75" x14ac:dyDescent="0.5">
      <c r="A111" s="876"/>
      <c r="B111" s="877"/>
      <c r="C111" s="878"/>
      <c r="D111" s="165"/>
      <c r="E111" s="165"/>
      <c r="F111" s="155"/>
      <c r="G111" s="165"/>
      <c r="H111" s="156"/>
      <c r="I111" s="165"/>
      <c r="J111" s="327"/>
    </row>
    <row r="112" spans="1:15" ht="27.75" x14ac:dyDescent="0.5">
      <c r="A112" s="851" t="s">
        <v>252</v>
      </c>
      <c r="B112" s="852"/>
      <c r="C112" s="853"/>
      <c r="D112" s="146" t="s">
        <v>183</v>
      </c>
      <c r="E112" s="95">
        <f>'15'!F112</f>
        <v>56809.7</v>
      </c>
      <c r="F112" s="237">
        <v>56886</v>
      </c>
      <c r="G112" s="112">
        <f t="shared" ref="G112:G123" si="9">F112-E112</f>
        <v>76.30000000000291</v>
      </c>
      <c r="H112" s="99">
        <f>G112+'15'!H112</f>
        <v>1205</v>
      </c>
      <c r="I112" s="165"/>
      <c r="J112" s="328">
        <f>H112/DAY(B2)</f>
        <v>75.3125</v>
      </c>
    </row>
    <row r="113" spans="1:18" ht="29.25" customHeight="1" x14ac:dyDescent="0.5">
      <c r="A113" s="851" t="s">
        <v>253</v>
      </c>
      <c r="B113" s="852"/>
      <c r="C113" s="853"/>
      <c r="D113" s="146" t="s">
        <v>183</v>
      </c>
      <c r="E113" s="95">
        <f>'15'!F113</f>
        <v>38954.32</v>
      </c>
      <c r="F113" s="237">
        <v>39409</v>
      </c>
      <c r="G113" s="112">
        <f t="shared" si="9"/>
        <v>454.68000000000029</v>
      </c>
      <c r="H113" s="99">
        <f>G113+'15'!H113</f>
        <v>7214</v>
      </c>
      <c r="I113" s="165"/>
      <c r="J113" s="328">
        <f>H113/DAY(B2)</f>
        <v>450.875</v>
      </c>
    </row>
    <row r="114" spans="1:18" ht="29.25" customHeight="1" x14ac:dyDescent="0.5">
      <c r="A114" s="851" t="s">
        <v>254</v>
      </c>
      <c r="B114" s="852"/>
      <c r="C114" s="853"/>
      <c r="D114" s="146" t="s">
        <v>183</v>
      </c>
      <c r="E114" s="490">
        <f>'15'!F114</f>
        <v>28847.5</v>
      </c>
      <c r="F114" s="501">
        <v>29108</v>
      </c>
      <c r="G114" s="236">
        <v>126.9</v>
      </c>
      <c r="H114" s="99">
        <f>G114+'15'!H114</f>
        <v>4103.3999999999996</v>
      </c>
      <c r="I114" s="165"/>
      <c r="J114" s="328">
        <f>H114/DAY(B2)</f>
        <v>256.46249999999998</v>
      </c>
    </row>
    <row r="115" spans="1:18" ht="29.25" customHeight="1" x14ac:dyDescent="0.5">
      <c r="A115" s="851" t="s">
        <v>255</v>
      </c>
      <c r="B115" s="852"/>
      <c r="C115" s="853"/>
      <c r="D115" s="146" t="s">
        <v>183</v>
      </c>
      <c r="E115" s="490">
        <f>'15'!F115</f>
        <v>8936.6299999999992</v>
      </c>
      <c r="F115" s="501">
        <v>8944</v>
      </c>
      <c r="G115" s="236">
        <f t="shared" si="9"/>
        <v>7.3700000000008004</v>
      </c>
      <c r="H115" s="99">
        <f>G115+'15'!H115</f>
        <v>159</v>
      </c>
      <c r="I115" s="165"/>
      <c r="J115" s="328">
        <f>H115/DAY(B2)</f>
        <v>9.9375</v>
      </c>
      <c r="N115" s="602" t="s">
        <v>367</v>
      </c>
    </row>
    <row r="116" spans="1:18" ht="29.25" customHeight="1" x14ac:dyDescent="0.5">
      <c r="A116" s="869" t="s">
        <v>96</v>
      </c>
      <c r="B116" s="870"/>
      <c r="C116" s="871"/>
      <c r="D116" s="146" t="s">
        <v>183</v>
      </c>
      <c r="E116" s="95">
        <f>'15'!F116</f>
        <v>0</v>
      </c>
      <c r="F116" s="237">
        <v>0</v>
      </c>
      <c r="G116" s="112">
        <f t="shared" si="9"/>
        <v>0</v>
      </c>
      <c r="H116" s="99">
        <f>G116+'15'!H116</f>
        <v>0</v>
      </c>
      <c r="I116" s="165"/>
      <c r="J116" s="328">
        <f>H116/DAY(B2)</f>
        <v>0</v>
      </c>
      <c r="Q116" s="851" t="s">
        <v>311</v>
      </c>
      <c r="R116" s="853"/>
    </row>
    <row r="117" spans="1:18" ht="29.25" customHeight="1" x14ac:dyDescent="0.5">
      <c r="A117" s="869" t="s">
        <v>184</v>
      </c>
      <c r="B117" s="870"/>
      <c r="C117" s="871"/>
      <c r="D117" s="146" t="s">
        <v>183</v>
      </c>
      <c r="E117" s="95">
        <f>'15'!F117</f>
        <v>2953.8739999999998</v>
      </c>
      <c r="F117" s="237">
        <v>2977</v>
      </c>
      <c r="G117" s="112">
        <f t="shared" si="9"/>
        <v>23.126000000000204</v>
      </c>
      <c r="H117" s="99">
        <f>G117+'15'!H117</f>
        <v>387</v>
      </c>
      <c r="I117" s="165"/>
      <c r="J117" s="328">
        <f>H117/DAY(B2)</f>
        <v>24.1875</v>
      </c>
      <c r="Q117" s="851" t="s">
        <v>312</v>
      </c>
      <c r="R117" s="853"/>
    </row>
    <row r="118" spans="1:18" ht="27.75" x14ac:dyDescent="0.5">
      <c r="A118" s="846" t="s">
        <v>97</v>
      </c>
      <c r="B118" s="846"/>
      <c r="C118" s="846"/>
      <c r="D118" s="151" t="s">
        <v>183</v>
      </c>
      <c r="E118" s="95">
        <f>'15'!F118</f>
        <v>247040.19</v>
      </c>
      <c r="F118" s="237">
        <v>247347</v>
      </c>
      <c r="G118" s="112">
        <f t="shared" si="9"/>
        <v>306.80999999999767</v>
      </c>
      <c r="H118" s="99">
        <f>G118+'15'!H118</f>
        <v>5700</v>
      </c>
      <c r="I118" s="165"/>
      <c r="J118" s="328">
        <f>H118/DAY(B2)</f>
        <v>356.25</v>
      </c>
      <c r="Q118" s="851" t="s">
        <v>311</v>
      </c>
      <c r="R118" s="853"/>
    </row>
    <row r="119" spans="1:18" ht="27.75" x14ac:dyDescent="0.5">
      <c r="A119" s="846" t="s">
        <v>98</v>
      </c>
      <c r="B119" s="846"/>
      <c r="C119" s="846"/>
      <c r="D119" s="151" t="s">
        <v>183</v>
      </c>
      <c r="E119" s="490">
        <f>'15'!F119</f>
        <v>251326.27</v>
      </c>
      <c r="F119" s="501">
        <v>251784</v>
      </c>
      <c r="G119" s="112">
        <f t="shared" si="9"/>
        <v>457.73000000001048</v>
      </c>
      <c r="H119" s="99">
        <f>G119+'15'!H119</f>
        <v>6658</v>
      </c>
      <c r="I119" s="165"/>
      <c r="J119" s="328">
        <f>H119/DAY(B2)</f>
        <v>416.125</v>
      </c>
    </row>
    <row r="120" spans="1:18" ht="27.75" x14ac:dyDescent="0.5">
      <c r="A120" s="846" t="s">
        <v>99</v>
      </c>
      <c r="B120" s="846"/>
      <c r="C120" s="846"/>
      <c r="D120" s="151" t="s">
        <v>183</v>
      </c>
      <c r="E120" s="95">
        <f>'15'!F120</f>
        <v>36276</v>
      </c>
      <c r="F120" s="237">
        <v>36711</v>
      </c>
      <c r="G120" s="112">
        <f t="shared" si="9"/>
        <v>435</v>
      </c>
      <c r="H120" s="99">
        <f>G120+'15'!H120</f>
        <v>6633</v>
      </c>
      <c r="I120" s="165"/>
      <c r="J120" s="328">
        <f>H120/DAY(B2)</f>
        <v>414.5625</v>
      </c>
    </row>
    <row r="121" spans="1:18" ht="27.75" x14ac:dyDescent="0.5">
      <c r="A121" s="846" t="s">
        <v>100</v>
      </c>
      <c r="B121" s="846"/>
      <c r="C121" s="846"/>
      <c r="D121" s="151" t="s">
        <v>183</v>
      </c>
      <c r="E121" s="95">
        <f>'15'!F121</f>
        <v>387067.19</v>
      </c>
      <c r="F121" s="237">
        <v>387737</v>
      </c>
      <c r="G121" s="112">
        <f t="shared" si="9"/>
        <v>669.80999999999767</v>
      </c>
      <c r="H121" s="99">
        <f>G121+'15'!H121</f>
        <v>11208</v>
      </c>
      <c r="I121" s="165"/>
      <c r="J121" s="328">
        <f>H121/DAY(B2)</f>
        <v>700.5</v>
      </c>
    </row>
    <row r="122" spans="1:18" ht="27.75" x14ac:dyDescent="0.5">
      <c r="A122" s="846" t="s">
        <v>101</v>
      </c>
      <c r="B122" s="846"/>
      <c r="C122" s="846"/>
      <c r="D122" s="151" t="s">
        <v>183</v>
      </c>
      <c r="E122" s="95">
        <f>'15'!F122</f>
        <v>123179.84</v>
      </c>
      <c r="F122" s="237">
        <v>123348</v>
      </c>
      <c r="G122" s="112">
        <f t="shared" si="9"/>
        <v>168.16000000000349</v>
      </c>
      <c r="H122" s="99">
        <f>G122+'15'!H122</f>
        <v>3298</v>
      </c>
      <c r="I122" s="165"/>
      <c r="J122" s="328">
        <f>H122/DAY(B2)</f>
        <v>206.125</v>
      </c>
    </row>
    <row r="123" spans="1:18" ht="27.75" x14ac:dyDescent="0.5">
      <c r="A123" s="846" t="s">
        <v>102</v>
      </c>
      <c r="B123" s="846"/>
      <c r="C123" s="846"/>
      <c r="D123" s="151" t="s">
        <v>183</v>
      </c>
      <c r="E123" s="95">
        <f>'15'!F123</f>
        <v>149710.64000000001</v>
      </c>
      <c r="F123" s="237">
        <v>149981</v>
      </c>
      <c r="G123" s="112">
        <f t="shared" si="9"/>
        <v>270.35999999998603</v>
      </c>
      <c r="H123" s="99">
        <f>G123+'15'!H123</f>
        <v>4856</v>
      </c>
      <c r="I123" s="165"/>
      <c r="J123" s="328">
        <f>H123/DAY(B2)</f>
        <v>303.5</v>
      </c>
    </row>
    <row r="124" spans="1:18" ht="29.25" customHeight="1" x14ac:dyDescent="0.5">
      <c r="A124" s="876"/>
      <c r="B124" s="877"/>
      <c r="C124" s="878"/>
      <c r="D124" s="165"/>
      <c r="E124" s="165"/>
      <c r="F124" s="155"/>
      <c r="G124" s="327"/>
      <c r="H124" s="156"/>
      <c r="I124" s="165"/>
      <c r="J124" s="327"/>
    </row>
    <row r="125" spans="1:18" ht="27.75" x14ac:dyDescent="0.5">
      <c r="A125" s="879" t="s">
        <v>196</v>
      </c>
      <c r="B125" s="880"/>
      <c r="C125" s="245"/>
      <c r="D125" s="307"/>
      <c r="E125" s="308"/>
      <c r="F125" s="308"/>
      <c r="G125" s="309">
        <f>SUM(G112:G124)</f>
        <v>2996.2459999999996</v>
      </c>
      <c r="H125" s="156"/>
      <c r="I125" s="327">
        <f>G125-(G39+G53)</f>
        <v>396.1460000000011</v>
      </c>
      <c r="J125" s="327"/>
    </row>
    <row r="126" spans="1:18" ht="27.75" x14ac:dyDescent="0.5">
      <c r="A126" s="881" t="s">
        <v>317</v>
      </c>
      <c r="B126" s="881"/>
      <c r="C126" s="881"/>
      <c r="D126" s="881"/>
      <c r="E126" s="881"/>
      <c r="F126" s="881"/>
      <c r="G126" s="881"/>
      <c r="H126" s="881"/>
      <c r="I126" s="881"/>
      <c r="J126" s="881"/>
    </row>
    <row r="127" spans="1:18" ht="27.75" x14ac:dyDescent="0.5">
      <c r="A127" s="882"/>
      <c r="B127" s="882"/>
      <c r="C127" s="245"/>
      <c r="D127" s="307"/>
      <c r="E127" s="308"/>
      <c r="F127" s="308"/>
      <c r="G127" s="309"/>
      <c r="H127" s="99">
        <f>G127+'15'!H127</f>
        <v>0</v>
      </c>
      <c r="I127" s="165"/>
      <c r="J127" s="328">
        <f>H127/DAY(B2)</f>
        <v>0</v>
      </c>
    </row>
    <row r="128" spans="1:18" ht="29.25" customHeight="1" x14ac:dyDescent="0.5">
      <c r="A128" s="851" t="s">
        <v>318</v>
      </c>
      <c r="B128" s="852"/>
      <c r="C128" s="853"/>
      <c r="D128" s="151" t="s">
        <v>183</v>
      </c>
      <c r="E128" s="95">
        <f>'15'!F128</f>
        <v>42785.57</v>
      </c>
      <c r="F128" s="155">
        <v>43107</v>
      </c>
      <c r="G128" s="112">
        <f t="shared" ref="G128:G134" si="10">F128-E128</f>
        <v>321.43000000000029</v>
      </c>
      <c r="H128" s="99">
        <f>G128+'15'!H128</f>
        <v>5103</v>
      </c>
      <c r="I128" s="165"/>
      <c r="J128" s="328">
        <f>H128/DAY(B2)</f>
        <v>318.9375</v>
      </c>
    </row>
    <row r="129" spans="1:15" ht="27.75" x14ac:dyDescent="0.5">
      <c r="A129" s="329" t="s">
        <v>319</v>
      </c>
      <c r="B129" s="330"/>
      <c r="C129" s="331"/>
      <c r="D129" s="151" t="s">
        <v>183</v>
      </c>
      <c r="E129" s="95">
        <f>'15'!F129</f>
        <v>23631.14</v>
      </c>
      <c r="F129" s="155">
        <v>23830</v>
      </c>
      <c r="G129" s="112">
        <f t="shared" si="10"/>
        <v>198.86000000000058</v>
      </c>
      <c r="H129" s="99">
        <f>G129+'15'!H129</f>
        <v>3509</v>
      </c>
      <c r="I129" s="165"/>
      <c r="J129" s="328">
        <f>H129/DAY(B2)</f>
        <v>219.3125</v>
      </c>
      <c r="N129" s="240"/>
      <c r="O129" s="241"/>
    </row>
    <row r="130" spans="1:15" ht="27.75" x14ac:dyDescent="0.5">
      <c r="A130" s="329" t="s">
        <v>320</v>
      </c>
      <c r="B130" s="330"/>
      <c r="C130" s="331"/>
      <c r="D130" s="151" t="s">
        <v>183</v>
      </c>
      <c r="E130" s="95">
        <f>'15'!F130</f>
        <v>27414.32</v>
      </c>
      <c r="F130" s="155">
        <v>27905</v>
      </c>
      <c r="G130" s="112">
        <f t="shared" si="10"/>
        <v>490.68000000000029</v>
      </c>
      <c r="H130" s="99">
        <f>G130+'15'!H130</f>
        <v>9523</v>
      </c>
      <c r="I130" s="165"/>
      <c r="J130" s="328">
        <f>H130/DAY(B2)</f>
        <v>595.1875</v>
      </c>
      <c r="N130" s="240"/>
      <c r="O130" s="241"/>
    </row>
    <row r="131" spans="1:15" ht="27.75" x14ac:dyDescent="0.5">
      <c r="A131" s="851" t="s">
        <v>321</v>
      </c>
      <c r="B131" s="852"/>
      <c r="C131" s="853"/>
      <c r="D131" s="151" t="s">
        <v>183</v>
      </c>
      <c r="E131" s="95">
        <f>'15'!F131</f>
        <v>14237.01</v>
      </c>
      <c r="F131" s="155">
        <v>14295</v>
      </c>
      <c r="G131" s="112">
        <f t="shared" si="10"/>
        <v>57.989999999999782</v>
      </c>
      <c r="H131" s="99">
        <f>G131+'15'!H131</f>
        <v>1142</v>
      </c>
      <c r="I131" s="165"/>
      <c r="J131" s="328">
        <f>H131/DAY(B2)</f>
        <v>71.375</v>
      </c>
      <c r="N131" s="240"/>
      <c r="O131" s="241"/>
    </row>
    <row r="132" spans="1:15" ht="27.75" x14ac:dyDescent="0.5">
      <c r="A132" s="851" t="s">
        <v>322</v>
      </c>
      <c r="B132" s="852"/>
      <c r="C132" s="853"/>
      <c r="D132" s="151" t="s">
        <v>183</v>
      </c>
      <c r="E132" s="95">
        <f>'15'!F132</f>
        <v>48296.4</v>
      </c>
      <c r="F132" s="155">
        <v>48804</v>
      </c>
      <c r="G132" s="112">
        <f t="shared" si="10"/>
        <v>507.59999999999854</v>
      </c>
      <c r="H132" s="99">
        <f>G132+'15'!H132</f>
        <v>7781</v>
      </c>
      <c r="I132" s="165"/>
      <c r="J132" s="328">
        <f>H132/DAY(B2)</f>
        <v>486.3125</v>
      </c>
    </row>
    <row r="133" spans="1:15" ht="27.75" x14ac:dyDescent="0.5">
      <c r="A133" s="851" t="s">
        <v>362</v>
      </c>
      <c r="B133" s="852"/>
      <c r="C133" s="853"/>
      <c r="D133" s="151" t="s">
        <v>183</v>
      </c>
      <c r="E133" s="95">
        <f>'15'!F133</f>
        <v>97125.27</v>
      </c>
      <c r="F133" s="155">
        <v>97594</v>
      </c>
      <c r="G133" s="112">
        <f t="shared" si="10"/>
        <v>468.72999999999593</v>
      </c>
      <c r="H133" s="99">
        <f>G133+'15'!H133</f>
        <v>9891</v>
      </c>
      <c r="I133" s="165"/>
      <c r="J133" s="328">
        <f>H133/DAY(B2)</f>
        <v>618.1875</v>
      </c>
    </row>
    <row r="134" spans="1:15" s="493" customFormat="1" ht="27.75" x14ac:dyDescent="0.5">
      <c r="A134" s="909" t="s">
        <v>340</v>
      </c>
      <c r="B134" s="910"/>
      <c r="C134" s="911"/>
      <c r="D134" s="233" t="s">
        <v>183</v>
      </c>
      <c r="E134" s="490">
        <f>'15'!F134</f>
        <v>5870.57</v>
      </c>
      <c r="F134" s="157">
        <v>6027</v>
      </c>
      <c r="G134" s="236">
        <f t="shared" si="10"/>
        <v>156.43000000000029</v>
      </c>
      <c r="H134" s="238">
        <f>G134+'15'!H134</f>
        <v>8321</v>
      </c>
      <c r="I134" s="158"/>
      <c r="J134" s="492">
        <f>H134/DAY(B2)</f>
        <v>520.0625</v>
      </c>
    </row>
    <row r="135" spans="1:15" ht="27.75" x14ac:dyDescent="0.5">
      <c r="A135" s="879" t="s">
        <v>196</v>
      </c>
      <c r="B135" s="880"/>
      <c r="C135" s="331"/>
      <c r="D135" s="151"/>
      <c r="E135" s="95"/>
      <c r="F135" s="155"/>
      <c r="G135" s="112">
        <f>SUM(G128:G134)</f>
        <v>2201.7199999999957</v>
      </c>
      <c r="H135" s="99">
        <f>G135+'10'!H135</f>
        <v>33425.719999999994</v>
      </c>
      <c r="I135" s="327">
        <f>G135-(G35+G49)</f>
        <v>-387.850000000004</v>
      </c>
      <c r="J135" s="328"/>
    </row>
    <row r="136" spans="1:15" ht="31.5" x14ac:dyDescent="0.55000000000000004">
      <c r="A136" s="883" t="s">
        <v>325</v>
      </c>
      <c r="B136" s="883"/>
      <c r="C136" s="883"/>
      <c r="D136" s="883"/>
      <c r="E136" s="883"/>
      <c r="F136" s="883"/>
      <c r="G136" s="883"/>
      <c r="H136" s="883"/>
      <c r="I136" s="883"/>
      <c r="J136" s="883"/>
    </row>
    <row r="137" spans="1:15" ht="29.25" x14ac:dyDescent="0.5">
      <c r="A137" s="245"/>
      <c r="B137" s="246"/>
      <c r="C137" s="246"/>
      <c r="D137" s="165"/>
      <c r="E137" s="165"/>
      <c r="F137" s="155"/>
      <c r="G137" s="165"/>
      <c r="H137" s="156"/>
      <c r="I137" s="165"/>
      <c r="J137" s="327"/>
    </row>
    <row r="138" spans="1:15" s="493" customFormat="1" ht="27.75" x14ac:dyDescent="0.5">
      <c r="A138" s="912" t="s">
        <v>185</v>
      </c>
      <c r="B138" s="912"/>
      <c r="C138" s="912"/>
      <c r="D138" s="233" t="s">
        <v>183</v>
      </c>
      <c r="E138" s="490">
        <f>'15'!F138</f>
        <v>865110</v>
      </c>
      <c r="F138" s="148">
        <v>865169</v>
      </c>
      <c r="G138" s="236">
        <f t="shared" ref="G138:G152" si="11">F138-E138</f>
        <v>59</v>
      </c>
      <c r="H138" s="238">
        <f>G138+'15'!H138</f>
        <v>998</v>
      </c>
      <c r="I138" s="491"/>
      <c r="J138" s="492">
        <f>H138/DAY(B2)</f>
        <v>62.375</v>
      </c>
    </row>
    <row r="139" spans="1:15" ht="27.75" x14ac:dyDescent="0.5">
      <c r="A139" s="846" t="s">
        <v>186</v>
      </c>
      <c r="B139" s="846"/>
      <c r="C139" s="846"/>
      <c r="D139" s="151" t="s">
        <v>183</v>
      </c>
      <c r="E139" s="95">
        <f>'15'!F139</f>
        <v>886550</v>
      </c>
      <c r="F139" s="148">
        <v>886550</v>
      </c>
      <c r="G139" s="112">
        <f t="shared" si="11"/>
        <v>0</v>
      </c>
      <c r="H139" s="99">
        <f>G139+'15'!H139</f>
        <v>4</v>
      </c>
      <c r="I139" s="118"/>
      <c r="J139" s="328">
        <f>H139/DAY(B2)</f>
        <v>0.25</v>
      </c>
    </row>
    <row r="140" spans="1:15" ht="27.75" x14ac:dyDescent="0.5">
      <c r="A140" s="846" t="s">
        <v>187</v>
      </c>
      <c r="B140" s="846"/>
      <c r="C140" s="846"/>
      <c r="D140" s="151" t="s">
        <v>183</v>
      </c>
      <c r="E140" s="95">
        <f>'15'!F140</f>
        <v>88898</v>
      </c>
      <c r="F140" s="149">
        <v>88898</v>
      </c>
      <c r="G140" s="112">
        <f t="shared" si="11"/>
        <v>0</v>
      </c>
      <c r="H140" s="99">
        <f>G140+'15'!H140</f>
        <v>16</v>
      </c>
      <c r="I140" s="118"/>
      <c r="J140" s="328">
        <f>H140/DAY(B2)</f>
        <v>1</v>
      </c>
    </row>
    <row r="141" spans="1:15" ht="27.75" x14ac:dyDescent="0.5">
      <c r="A141" s="850" t="s">
        <v>188</v>
      </c>
      <c r="B141" s="850"/>
      <c r="C141" s="850"/>
      <c r="D141" s="151" t="s">
        <v>183</v>
      </c>
      <c r="E141" s="95">
        <f>'15'!F141</f>
        <v>51910.98</v>
      </c>
      <c r="F141" s="149">
        <v>52076</v>
      </c>
      <c r="G141" s="112">
        <f t="shared" si="11"/>
        <v>165.0199999999968</v>
      </c>
      <c r="H141" s="99">
        <f>G141+'15'!H141</f>
        <v>2770</v>
      </c>
      <c r="I141" s="118"/>
      <c r="J141" s="328">
        <f>H141/DAY(B2)</f>
        <v>173.125</v>
      </c>
    </row>
    <row r="142" spans="1:15" ht="27.75" x14ac:dyDescent="0.5">
      <c r="A142" s="850" t="s">
        <v>189</v>
      </c>
      <c r="B142" s="850"/>
      <c r="C142" s="850"/>
      <c r="D142" s="151" t="s">
        <v>183</v>
      </c>
      <c r="E142" s="95">
        <f>'15'!F142</f>
        <v>20042.919999999998</v>
      </c>
      <c r="F142" s="148">
        <v>20119</v>
      </c>
      <c r="G142" s="112">
        <f t="shared" si="11"/>
        <v>76.080000000001746</v>
      </c>
      <c r="H142" s="99">
        <f>G142+'15'!H142</f>
        <v>1110</v>
      </c>
      <c r="I142" s="140"/>
      <c r="J142" s="328">
        <f>H142/DAY(B2)</f>
        <v>69.375</v>
      </c>
    </row>
    <row r="143" spans="1:15" ht="27.75" x14ac:dyDescent="0.5">
      <c r="A143" s="846" t="s">
        <v>91</v>
      </c>
      <c r="B143" s="846"/>
      <c r="C143" s="846"/>
      <c r="D143" s="151" t="s">
        <v>183</v>
      </c>
      <c r="E143" s="95">
        <f>'15'!F143</f>
        <v>3416.07</v>
      </c>
      <c r="F143" s="149">
        <v>3439</v>
      </c>
      <c r="G143" s="112">
        <f t="shared" si="11"/>
        <v>22.929999999999836</v>
      </c>
      <c r="H143" s="99">
        <f>G143+'15'!H143</f>
        <v>378</v>
      </c>
      <c r="I143" s="140"/>
      <c r="J143" s="328">
        <f>H143/DAY(B2)</f>
        <v>23.625</v>
      </c>
    </row>
    <row r="144" spans="1:15" ht="27.75" x14ac:dyDescent="0.5">
      <c r="A144" s="850" t="s">
        <v>90</v>
      </c>
      <c r="B144" s="850"/>
      <c r="C144" s="850"/>
      <c r="D144" s="151" t="s">
        <v>183</v>
      </c>
      <c r="E144" s="95">
        <f>'15'!F144</f>
        <v>873064</v>
      </c>
      <c r="F144" s="149">
        <v>873290</v>
      </c>
      <c r="G144" s="112">
        <f t="shared" si="11"/>
        <v>226</v>
      </c>
      <c r="H144" s="99">
        <f>G144+'15'!H144</f>
        <v>3620</v>
      </c>
      <c r="I144" s="140"/>
      <c r="J144" s="328">
        <f>H144/DAY(B2)</f>
        <v>226.25</v>
      </c>
    </row>
    <row r="145" spans="1:10" ht="27.75" x14ac:dyDescent="0.5">
      <c r="A145" s="846" t="s">
        <v>190</v>
      </c>
      <c r="B145" s="846"/>
      <c r="C145" s="846"/>
      <c r="D145" s="152" t="s">
        <v>183</v>
      </c>
      <c r="E145" s="95">
        <f>'15'!F145</f>
        <v>4782.42</v>
      </c>
      <c r="F145" s="148">
        <v>4798</v>
      </c>
      <c r="G145" s="112">
        <f t="shared" si="11"/>
        <v>15.579999999999927</v>
      </c>
      <c r="H145" s="99">
        <f>G145+'15'!H145</f>
        <v>240</v>
      </c>
      <c r="I145" s="140"/>
      <c r="J145" s="328">
        <f>H145/DAY(B2)</f>
        <v>15</v>
      </c>
    </row>
    <row r="146" spans="1:10" ht="27.75" x14ac:dyDescent="0.5">
      <c r="A146" s="847" t="s">
        <v>191</v>
      </c>
      <c r="B146" s="848"/>
      <c r="C146" s="849"/>
      <c r="D146" s="152" t="s">
        <v>183</v>
      </c>
      <c r="E146" s="95">
        <f>'15'!F146</f>
        <v>730887</v>
      </c>
      <c r="F146" s="148">
        <v>731328</v>
      </c>
      <c r="G146" s="112">
        <f t="shared" si="11"/>
        <v>441</v>
      </c>
      <c r="H146" s="99">
        <f>G146+'15'!H146</f>
        <v>6470</v>
      </c>
      <c r="I146" s="140"/>
      <c r="J146" s="328">
        <f>H146/DAY(B2)</f>
        <v>404.375</v>
      </c>
    </row>
    <row r="147" spans="1:10" ht="27.75" x14ac:dyDescent="0.5">
      <c r="A147" s="850" t="s">
        <v>192</v>
      </c>
      <c r="B147" s="850"/>
      <c r="C147" s="850"/>
      <c r="D147" s="152" t="s">
        <v>183</v>
      </c>
      <c r="E147" s="95">
        <f>'15'!F147</f>
        <v>620842.84</v>
      </c>
      <c r="F147" s="148">
        <v>621179</v>
      </c>
      <c r="G147" s="112">
        <f t="shared" si="11"/>
        <v>336.1600000000326</v>
      </c>
      <c r="H147" s="99">
        <f>G147+'15'!H147</f>
        <v>5897</v>
      </c>
      <c r="I147" s="140"/>
      <c r="J147" s="328">
        <f>H147/DAY(B2)</f>
        <v>368.5625</v>
      </c>
    </row>
    <row r="148" spans="1:10" ht="27.75" x14ac:dyDescent="0.5">
      <c r="A148" s="842" t="s">
        <v>193</v>
      </c>
      <c r="B148" s="843"/>
      <c r="C148" s="844"/>
      <c r="D148" s="123" t="s">
        <v>130</v>
      </c>
      <c r="E148" s="95">
        <f>'15'!F148</f>
        <v>686532.56</v>
      </c>
      <c r="F148" s="164">
        <v>686696</v>
      </c>
      <c r="G148" s="112">
        <f t="shared" si="11"/>
        <v>163.43999999994412</v>
      </c>
      <c r="H148" s="99">
        <f>G148+'15'!H148</f>
        <v>3662.8800000000047</v>
      </c>
      <c r="I148" s="124"/>
      <c r="J148" s="328">
        <f>H148/DAY(B2)</f>
        <v>228.93000000000029</v>
      </c>
    </row>
    <row r="149" spans="1:10" ht="27.75" x14ac:dyDescent="0.5">
      <c r="A149" s="842" t="s">
        <v>336</v>
      </c>
      <c r="B149" s="843"/>
      <c r="C149" s="844"/>
      <c r="D149" s="227" t="s">
        <v>130</v>
      </c>
      <c r="E149" s="95">
        <f>'15'!F149</f>
        <v>16915.34</v>
      </c>
      <c r="F149" s="233">
        <v>17345</v>
      </c>
      <c r="G149" s="112">
        <f t="shared" si="11"/>
        <v>429.65999999999985</v>
      </c>
      <c r="H149" s="99">
        <f>G149+'15'!H149</f>
        <v>6596</v>
      </c>
      <c r="I149" s="119"/>
      <c r="J149" s="328">
        <f>H149/DAY(B2)</f>
        <v>412.25</v>
      </c>
    </row>
    <row r="150" spans="1:10" ht="27.75" x14ac:dyDescent="0.5">
      <c r="A150" s="842" t="s">
        <v>337</v>
      </c>
      <c r="B150" s="843"/>
      <c r="C150" s="844"/>
      <c r="D150" s="117" t="s">
        <v>130</v>
      </c>
      <c r="E150" s="95">
        <f>'15'!F150</f>
        <v>7322.12</v>
      </c>
      <c r="F150" s="233">
        <v>7545</v>
      </c>
      <c r="G150" s="112">
        <f t="shared" si="11"/>
        <v>222.88000000000011</v>
      </c>
      <c r="H150" s="99">
        <f>G150+'15'!H150</f>
        <v>3493</v>
      </c>
      <c r="I150" s="119"/>
      <c r="J150" s="328">
        <f>H150/DAY(B2)</f>
        <v>218.3125</v>
      </c>
    </row>
    <row r="151" spans="1:10" ht="27.75" x14ac:dyDescent="0.5">
      <c r="A151" s="842" t="s">
        <v>338</v>
      </c>
      <c r="B151" s="843"/>
      <c r="C151" s="844"/>
      <c r="D151" s="117" t="s">
        <v>130</v>
      </c>
      <c r="E151" s="95">
        <f>'15'!F151</f>
        <v>81719</v>
      </c>
      <c r="F151" s="233">
        <v>81943</v>
      </c>
      <c r="G151" s="112">
        <f t="shared" si="11"/>
        <v>224</v>
      </c>
      <c r="H151" s="99">
        <f>G151+'15'!H151</f>
        <v>3726</v>
      </c>
      <c r="I151" s="119"/>
      <c r="J151" s="328">
        <f>H151/DAY(B2)</f>
        <v>232.875</v>
      </c>
    </row>
    <row r="152" spans="1:10" ht="27.75" x14ac:dyDescent="0.5">
      <c r="A152" s="842" t="s">
        <v>339</v>
      </c>
      <c r="B152" s="843"/>
      <c r="C152" s="844"/>
      <c r="D152" s="117" t="s">
        <v>130</v>
      </c>
      <c r="E152" s="95">
        <f>'15'!F152</f>
        <v>1390.19</v>
      </c>
      <c r="F152" s="233">
        <v>1405</v>
      </c>
      <c r="G152" s="112">
        <f t="shared" si="11"/>
        <v>14.809999999999945</v>
      </c>
      <c r="H152" s="99">
        <f>G152+'15'!H152</f>
        <v>278</v>
      </c>
      <c r="I152" s="119"/>
      <c r="J152" s="328">
        <f>H152/DAY(B2)</f>
        <v>17.375</v>
      </c>
    </row>
    <row r="153" spans="1:10" ht="27.75" x14ac:dyDescent="0.5">
      <c r="A153" s="879" t="s">
        <v>196</v>
      </c>
      <c r="B153" s="880"/>
      <c r="C153" s="365"/>
      <c r="D153" s="358"/>
      <c r="E153" s="360"/>
      <c r="F153" s="361"/>
      <c r="G153" s="362">
        <f>SUM(G138:G152)</f>
        <v>2396.5599999999749</v>
      </c>
      <c r="H153" s="363"/>
      <c r="I153" s="119">
        <f>G153-(G38+G52)</f>
        <v>771.50999999997566</v>
      </c>
      <c r="J153" s="366"/>
    </row>
    <row r="154" spans="1:10" ht="31.5" x14ac:dyDescent="0.55000000000000004">
      <c r="A154" s="883" t="s">
        <v>344</v>
      </c>
      <c r="B154" s="883"/>
      <c r="C154" s="883"/>
      <c r="D154" s="883"/>
      <c r="E154" s="883"/>
      <c r="F154" s="883"/>
      <c r="G154" s="883"/>
      <c r="H154" s="883"/>
      <c r="I154" s="883"/>
      <c r="J154" s="883"/>
    </row>
    <row r="155" spans="1:10" ht="31.5" x14ac:dyDescent="0.55000000000000004">
      <c r="A155" s="850" t="s">
        <v>345</v>
      </c>
      <c r="B155" s="850"/>
      <c r="C155" s="850"/>
      <c r="D155" s="117" t="s">
        <v>130</v>
      </c>
      <c r="E155" s="490">
        <f>'15'!F155</f>
        <v>22084.26</v>
      </c>
      <c r="F155" s="532">
        <v>22693</v>
      </c>
      <c r="G155" s="236">
        <f>F155-E155</f>
        <v>608.7400000000016</v>
      </c>
      <c r="H155" s="99">
        <f>G155+'15'!H155</f>
        <v>9221</v>
      </c>
      <c r="I155" s="364"/>
      <c r="J155" s="328">
        <f>H155/DAY(B2)</f>
        <v>576.3125</v>
      </c>
    </row>
    <row r="156" spans="1:10" ht="27.75" x14ac:dyDescent="0.5">
      <c r="A156" s="850" t="s">
        <v>347</v>
      </c>
      <c r="B156" s="850"/>
      <c r="C156" s="850"/>
      <c r="D156" s="117" t="s">
        <v>130</v>
      </c>
      <c r="E156" s="490">
        <f>'15'!F156</f>
        <v>1841.25</v>
      </c>
      <c r="F156" s="157">
        <v>1898</v>
      </c>
      <c r="G156" s="236">
        <f t="shared" ref="G156:G158" si="12">F156-E156</f>
        <v>56.75</v>
      </c>
      <c r="H156" s="99">
        <f>G156+'15'!H156</f>
        <v>810</v>
      </c>
      <c r="I156" s="165"/>
      <c r="J156" s="328">
        <f>H156/DAY(B2)</f>
        <v>50.625</v>
      </c>
    </row>
    <row r="157" spans="1:10" ht="27.75" x14ac:dyDescent="0.5">
      <c r="A157" s="842" t="s">
        <v>364</v>
      </c>
      <c r="B157" s="843"/>
      <c r="C157" s="844"/>
      <c r="D157" s="117" t="s">
        <v>130</v>
      </c>
      <c r="E157" s="490">
        <f>'15'!F157</f>
        <v>2352.2600000000002</v>
      </c>
      <c r="F157" s="157">
        <v>2430</v>
      </c>
      <c r="G157" s="236">
        <f t="shared" si="12"/>
        <v>77.739999999999782</v>
      </c>
      <c r="H157" s="99">
        <f>G157+'15'!H157</f>
        <v>499</v>
      </c>
      <c r="I157" s="165"/>
      <c r="J157" s="328">
        <f>H157/DAY(B2)</f>
        <v>31.1875</v>
      </c>
    </row>
    <row r="158" spans="1:10" ht="27.75" x14ac:dyDescent="0.5">
      <c r="A158" s="842" t="s">
        <v>365</v>
      </c>
      <c r="B158" s="843"/>
      <c r="C158" s="844"/>
      <c r="D158" s="117" t="s">
        <v>130</v>
      </c>
      <c r="E158" s="490">
        <f>'15'!F158</f>
        <v>23.32</v>
      </c>
      <c r="F158" s="157">
        <v>23.34</v>
      </c>
      <c r="G158" s="236">
        <f t="shared" si="12"/>
        <v>1.9999999999999574E-2</v>
      </c>
      <c r="H158" s="99">
        <f>G158+'15'!H158</f>
        <v>23.34</v>
      </c>
      <c r="I158" s="165"/>
      <c r="J158" s="328">
        <f>H158/DAY(B2)</f>
        <v>1.45875</v>
      </c>
    </row>
    <row r="159" spans="1:10" ht="27.75" x14ac:dyDescent="0.5">
      <c r="A159" s="899"/>
      <c r="B159" s="900"/>
      <c r="C159" s="901"/>
      <c r="D159" s="117"/>
      <c r="E159" s="95"/>
      <c r="F159" s="155"/>
      <c r="G159" s="362">
        <f>SUM(G155:G158)</f>
        <v>743.25000000000136</v>
      </c>
      <c r="H159" s="99">
        <f>G159+'15'!H159</f>
        <v>743.25000000000136</v>
      </c>
      <c r="I159" s="165"/>
      <c r="J159" s="328">
        <f>H159/DAY(B2)</f>
        <v>46.453125000000085</v>
      </c>
    </row>
    <row r="160" spans="1:10" ht="31.5" x14ac:dyDescent="0.55000000000000004">
      <c r="A160" s="883" t="s">
        <v>326</v>
      </c>
      <c r="B160" s="883"/>
      <c r="C160" s="883"/>
      <c r="D160" s="883"/>
      <c r="E160" s="883"/>
      <c r="F160" s="883"/>
      <c r="G160" s="883"/>
      <c r="H160" s="883"/>
      <c r="I160" s="883"/>
      <c r="J160" s="883"/>
    </row>
    <row r="161" spans="1:10" ht="29.25" x14ac:dyDescent="0.5">
      <c r="A161" s="242" t="s">
        <v>92</v>
      </c>
      <c r="B161" s="243"/>
      <c r="C161" s="243"/>
      <c r="D161" s="244" t="s">
        <v>180</v>
      </c>
      <c r="E161" s="95">
        <f>'15'!F161</f>
        <v>471432.04</v>
      </c>
      <c r="F161" s="235">
        <v>471439</v>
      </c>
      <c r="G161" s="238">
        <f t="shared" ref="G161:G165" si="13">F161-E161</f>
        <v>6.9600000000209548</v>
      </c>
      <c r="H161" s="99">
        <f>G161+'15'!H161</f>
        <v>285.84000000002561</v>
      </c>
      <c r="I161" s="236"/>
      <c r="J161" s="239">
        <f>H161/DAY(B2)</f>
        <v>17.865000000001601</v>
      </c>
    </row>
    <row r="162" spans="1:10" ht="29.25" x14ac:dyDescent="0.5">
      <c r="A162" s="242" t="s">
        <v>93</v>
      </c>
      <c r="B162" s="243"/>
      <c r="C162" s="243"/>
      <c r="D162" s="244" t="s">
        <v>180</v>
      </c>
      <c r="E162" s="95">
        <f>'15'!F162</f>
        <v>88002.3</v>
      </c>
      <c r="F162" s="235">
        <v>88016</v>
      </c>
      <c r="G162" s="238">
        <f t="shared" si="13"/>
        <v>13.69999999999709</v>
      </c>
      <c r="H162" s="99">
        <f>G162+'15'!H162</f>
        <v>446</v>
      </c>
      <c r="I162" s="236"/>
      <c r="J162" s="239">
        <f>H162/DAY(B2)</f>
        <v>27.875</v>
      </c>
    </row>
    <row r="163" spans="1:10" ht="29.25" x14ac:dyDescent="0.5">
      <c r="A163" s="242" t="s">
        <v>197</v>
      </c>
      <c r="B163" s="243"/>
      <c r="C163" s="243"/>
      <c r="D163" s="244" t="s">
        <v>180</v>
      </c>
      <c r="E163" s="95">
        <f>'15'!F163</f>
        <v>78479.100000000006</v>
      </c>
      <c r="F163" s="235">
        <v>78515</v>
      </c>
      <c r="G163" s="238">
        <f t="shared" si="13"/>
        <v>35.899999999994179</v>
      </c>
      <c r="H163" s="99">
        <f>G163+'15'!H163</f>
        <v>690</v>
      </c>
      <c r="I163" s="236"/>
      <c r="J163" s="239">
        <f>H163/DAY(B2)</f>
        <v>43.125</v>
      </c>
    </row>
    <row r="164" spans="1:10" ht="29.25" x14ac:dyDescent="0.5">
      <c r="A164" s="242" t="s">
        <v>197</v>
      </c>
      <c r="B164" s="243"/>
      <c r="C164" s="243"/>
      <c r="D164" s="244" t="s">
        <v>180</v>
      </c>
      <c r="E164" s="95">
        <f>'15'!F164</f>
        <v>4265.5</v>
      </c>
      <c r="F164" s="235">
        <v>4266</v>
      </c>
      <c r="G164" s="238">
        <f t="shared" si="13"/>
        <v>0.5</v>
      </c>
      <c r="H164" s="99">
        <f>G164+'15'!H164</f>
        <v>24</v>
      </c>
      <c r="I164" s="236"/>
      <c r="J164" s="239">
        <f>H164/DAY(B2)</f>
        <v>1.5</v>
      </c>
    </row>
    <row r="165" spans="1:10" ht="29.25" x14ac:dyDescent="0.5">
      <c r="A165" s="242" t="s">
        <v>309</v>
      </c>
      <c r="B165" s="243"/>
      <c r="C165" s="243"/>
      <c r="D165" s="244" t="s">
        <v>180</v>
      </c>
      <c r="E165" s="95">
        <f>'15'!F165</f>
        <v>29743.53</v>
      </c>
      <c r="F165" s="235">
        <v>29746</v>
      </c>
      <c r="G165" s="238">
        <f t="shared" si="13"/>
        <v>2.4700000000011642</v>
      </c>
      <c r="H165" s="99">
        <f>G165+'15'!H165</f>
        <v>100</v>
      </c>
      <c r="I165" s="236"/>
      <c r="J165" s="239">
        <f>H165/DAY(B2)</f>
        <v>6.25</v>
      </c>
    </row>
    <row r="166" spans="1:10" ht="29.25" x14ac:dyDescent="0.5">
      <c r="A166" s="882"/>
      <c r="B166" s="882"/>
      <c r="C166" s="246"/>
      <c r="D166" s="244" t="s">
        <v>180</v>
      </c>
      <c r="E166" s="95">
        <f>'15'!F166</f>
        <v>0</v>
      </c>
      <c r="F166" s="155"/>
      <c r="G166" s="165"/>
      <c r="H166" s="99">
        <f>G166+'15'!H166</f>
        <v>0</v>
      </c>
      <c r="I166" s="165"/>
      <c r="J166" s="239">
        <f>H166/DAY(B2)</f>
        <v>0</v>
      </c>
    </row>
    <row r="167" spans="1:10" ht="29.25" x14ac:dyDescent="0.5">
      <c r="A167" s="882"/>
      <c r="B167" s="882"/>
      <c r="C167" s="246"/>
      <c r="D167" s="244" t="s">
        <v>180</v>
      </c>
      <c r="E167" s="95">
        <f>'15'!F167</f>
        <v>0</v>
      </c>
      <c r="F167" s="155"/>
      <c r="G167" s="165"/>
      <c r="H167" s="99">
        <f>G167+'15'!H167</f>
        <v>0</v>
      </c>
      <c r="I167" s="165"/>
      <c r="J167" s="239">
        <f>H167/DAY(B2)</f>
        <v>0</v>
      </c>
    </row>
    <row r="168" spans="1:10" ht="29.25" x14ac:dyDescent="0.5">
      <c r="A168" s="882"/>
      <c r="B168" s="882"/>
      <c r="C168" s="246"/>
      <c r="D168" s="244" t="s">
        <v>180</v>
      </c>
      <c r="E168" s="95">
        <f>'15'!F168</f>
        <v>0</v>
      </c>
      <c r="F168" s="155"/>
      <c r="G168" s="165"/>
      <c r="H168" s="99">
        <f>G168+'15'!H168</f>
        <v>0</v>
      </c>
      <c r="I168" s="165"/>
      <c r="J168" s="239">
        <f>H168/DAY(B2)</f>
        <v>0</v>
      </c>
    </row>
    <row r="169" spans="1:10" ht="29.25" x14ac:dyDescent="0.5"/>
    <row r="170" spans="1:10" ht="29.25" x14ac:dyDescent="0.5"/>
    <row r="171" spans="1:10" ht="31.5" x14ac:dyDescent="0.35">
      <c r="A171" s="890" t="s">
        <v>330</v>
      </c>
      <c r="B171" s="891"/>
      <c r="C171" s="891"/>
      <c r="D171" s="891"/>
      <c r="E171" s="891"/>
      <c r="F171" s="891"/>
      <c r="G171" s="891"/>
      <c r="H171" s="891"/>
      <c r="I171" s="891"/>
      <c r="J171" s="892"/>
    </row>
    <row r="172" spans="1:10" ht="27.75" x14ac:dyDescent="0.5">
      <c r="A172" s="886"/>
      <c r="B172" s="887"/>
      <c r="C172" s="332"/>
      <c r="D172" s="228"/>
      <c r="E172" s="155"/>
      <c r="F172" s="155"/>
      <c r="G172" s="155"/>
      <c r="H172" s="156"/>
      <c r="I172" s="155"/>
      <c r="J172" s="178"/>
    </row>
    <row r="173" spans="1:10" ht="27.75" x14ac:dyDescent="0.5">
      <c r="A173" s="840" t="s">
        <v>209</v>
      </c>
      <c r="B173" s="841"/>
      <c r="C173" s="333"/>
      <c r="D173" s="228" t="s">
        <v>142</v>
      </c>
      <c r="E173" s="95">
        <f>'15'!F173</f>
        <v>8126</v>
      </c>
      <c r="F173" s="155">
        <v>8126</v>
      </c>
      <c r="G173" s="155">
        <f>F173-E173</f>
        <v>0</v>
      </c>
      <c r="H173" s="99">
        <f>G173+'15'!H173</f>
        <v>0</v>
      </c>
      <c r="I173" s="155"/>
      <c r="J173" s="178">
        <f>H173/DAY(B2)</f>
        <v>0</v>
      </c>
    </row>
    <row r="174" spans="1:10" ht="27.75" x14ac:dyDescent="0.5">
      <c r="A174" s="840" t="s">
        <v>75</v>
      </c>
      <c r="B174" s="841"/>
      <c r="C174" s="333"/>
      <c r="D174" s="228" t="s">
        <v>142</v>
      </c>
      <c r="E174" s="95">
        <f>'15'!F174</f>
        <v>38431</v>
      </c>
      <c r="F174" s="157">
        <v>38444</v>
      </c>
      <c r="G174" s="155">
        <f t="shared" ref="G174:G175" si="14">F174-E174</f>
        <v>13</v>
      </c>
      <c r="H174" s="99">
        <f>G174+'15'!H174</f>
        <v>151</v>
      </c>
      <c r="I174" s="155"/>
      <c r="J174" s="178">
        <f>H174/DAY(B2)</f>
        <v>9.4375</v>
      </c>
    </row>
    <row r="175" spans="1:10" ht="27.75" x14ac:dyDescent="0.5">
      <c r="A175" s="840" t="s">
        <v>76</v>
      </c>
      <c r="B175" s="845"/>
      <c r="C175" s="841"/>
      <c r="D175" s="228" t="s">
        <v>142</v>
      </c>
      <c r="E175" s="95">
        <f>'15'!F175</f>
        <v>21656</v>
      </c>
      <c r="F175" s="155">
        <v>21666</v>
      </c>
      <c r="G175" s="155">
        <f t="shared" si="14"/>
        <v>10</v>
      </c>
      <c r="H175" s="99">
        <f>G175+'15'!H175</f>
        <v>148</v>
      </c>
      <c r="I175" s="155"/>
      <c r="J175" s="178">
        <f>H175/DAY(B2)</f>
        <v>9.25</v>
      </c>
    </row>
    <row r="176" spans="1:10" ht="27.75" x14ac:dyDescent="0.5">
      <c r="A176" s="879" t="s">
        <v>196</v>
      </c>
      <c r="B176" s="880"/>
      <c r="C176" s="333"/>
      <c r="D176" s="228" t="s">
        <v>142</v>
      </c>
      <c r="E176" s="95">
        <f>'15'!F176</f>
        <v>0</v>
      </c>
      <c r="F176" s="155"/>
      <c r="G176" s="155">
        <f>SUM(G173:G175)</f>
        <v>23</v>
      </c>
      <c r="H176" s="99">
        <f>G176+'15'!H176</f>
        <v>299</v>
      </c>
      <c r="I176" s="155"/>
      <c r="J176" s="178">
        <f>H176/DAY(B2)</f>
        <v>18.6875</v>
      </c>
    </row>
    <row r="177" spans="1:11" ht="27.75" x14ac:dyDescent="0.5">
      <c r="A177" s="840" t="s">
        <v>77</v>
      </c>
      <c r="B177" s="841"/>
      <c r="C177" s="333"/>
      <c r="D177" s="228" t="s">
        <v>142</v>
      </c>
      <c r="E177" s="95">
        <f>'15'!F177</f>
        <v>0</v>
      </c>
      <c r="F177" s="155"/>
      <c r="G177" s="155"/>
      <c r="H177" s="99">
        <f>G177+'15'!H177</f>
        <v>0</v>
      </c>
      <c r="I177" s="155"/>
      <c r="J177" s="178">
        <f>H177/DAY(B2)</f>
        <v>0</v>
      </c>
    </row>
    <row r="178" spans="1:11" ht="27.75" x14ac:dyDescent="0.5">
      <c r="A178" s="840" t="s">
        <v>210</v>
      </c>
      <c r="B178" s="841"/>
      <c r="C178" s="333"/>
      <c r="D178" s="228" t="s">
        <v>142</v>
      </c>
      <c r="E178" s="95">
        <f>'15'!F178</f>
        <v>80469</v>
      </c>
      <c r="F178" s="155">
        <v>80529</v>
      </c>
      <c r="G178" s="155">
        <f>F178-E178</f>
        <v>60</v>
      </c>
      <c r="H178" s="99">
        <f>G178+'15'!H178</f>
        <v>915</v>
      </c>
      <c r="I178" s="155"/>
      <c r="J178" s="178">
        <f>H178/DAY(B2)</f>
        <v>57.1875</v>
      </c>
    </row>
    <row r="179" spans="1:11" ht="27.75" x14ac:dyDescent="0.5">
      <c r="A179" s="840" t="s">
        <v>211</v>
      </c>
      <c r="B179" s="841"/>
      <c r="C179" s="333"/>
      <c r="D179" s="228" t="s">
        <v>142</v>
      </c>
      <c r="E179" s="95">
        <f>'15'!F179</f>
        <v>34223</v>
      </c>
      <c r="F179" s="155">
        <v>34251</v>
      </c>
      <c r="G179" s="155">
        <f t="shared" ref="G179:G180" si="15">F179-E179</f>
        <v>28</v>
      </c>
      <c r="H179" s="99">
        <f>G179+'15'!H179</f>
        <v>336</v>
      </c>
      <c r="I179" s="155"/>
      <c r="J179" s="178">
        <f>H179/DAY(B2)</f>
        <v>21</v>
      </c>
    </row>
    <row r="180" spans="1:11" ht="27.75" x14ac:dyDescent="0.5">
      <c r="A180" s="840" t="s">
        <v>212</v>
      </c>
      <c r="B180" s="841"/>
      <c r="C180" s="333"/>
      <c r="D180" s="228" t="s">
        <v>142</v>
      </c>
      <c r="E180" s="95">
        <f>'15'!F180</f>
        <v>5592</v>
      </c>
      <c r="F180" s="155">
        <v>5595</v>
      </c>
      <c r="G180" s="155">
        <f t="shared" si="15"/>
        <v>3</v>
      </c>
      <c r="H180" s="99">
        <f>G180+'15'!H180</f>
        <v>118</v>
      </c>
      <c r="I180" s="155"/>
      <c r="J180" s="178">
        <f>H180/DAY(B2)</f>
        <v>7.375</v>
      </c>
    </row>
    <row r="181" spans="1:11" ht="27.75" x14ac:dyDescent="0.5">
      <c r="A181" s="884" t="s">
        <v>108</v>
      </c>
      <c r="B181" s="885"/>
      <c r="C181" s="333"/>
      <c r="D181" s="228" t="s">
        <v>142</v>
      </c>
      <c r="E181" s="95">
        <f>'15'!F181</f>
        <v>0</v>
      </c>
      <c r="F181" s="155"/>
      <c r="G181" s="155">
        <f>SUM(G178:G180)</f>
        <v>91</v>
      </c>
      <c r="H181" s="99">
        <f>G181+'15'!H181</f>
        <v>1369</v>
      </c>
      <c r="I181" s="155"/>
      <c r="J181" s="178">
        <f>H181/DAY(B2)</f>
        <v>85.5625</v>
      </c>
    </row>
    <row r="182" spans="1:11" ht="27.75" x14ac:dyDescent="0.5">
      <c r="A182" s="840" t="s">
        <v>213</v>
      </c>
      <c r="B182" s="841"/>
      <c r="C182" s="333"/>
      <c r="D182" s="228" t="s">
        <v>142</v>
      </c>
      <c r="E182" s="95">
        <f>'15'!F182</f>
        <v>0</v>
      </c>
      <c r="F182" s="155"/>
      <c r="G182" s="155"/>
      <c r="H182" s="99">
        <f>G182+'15'!H182</f>
        <v>0</v>
      </c>
      <c r="I182" s="155"/>
      <c r="J182" s="178">
        <f>H182/DAY(B2)</f>
        <v>0</v>
      </c>
    </row>
    <row r="183" spans="1:11" ht="27.75" x14ac:dyDescent="0.5">
      <c r="A183" s="840" t="s">
        <v>214</v>
      </c>
      <c r="B183" s="841"/>
      <c r="C183" s="334"/>
      <c r="D183" s="228" t="s">
        <v>142</v>
      </c>
      <c r="E183" s="95">
        <f>'15'!F183</f>
        <v>15129</v>
      </c>
      <c r="F183" s="157">
        <v>15137</v>
      </c>
      <c r="G183" s="157">
        <f>F183-E183</f>
        <v>8</v>
      </c>
      <c r="H183" s="99">
        <f>G183+'15'!H183</f>
        <v>190</v>
      </c>
      <c r="I183" s="155"/>
      <c r="J183" s="178">
        <f>H183/DAY(B2)</f>
        <v>11.875</v>
      </c>
    </row>
    <row r="184" spans="1:11" ht="27.75" x14ac:dyDescent="0.5">
      <c r="A184" s="840" t="s">
        <v>215</v>
      </c>
      <c r="B184" s="841"/>
      <c r="C184" s="334"/>
      <c r="D184" s="228" t="s">
        <v>142</v>
      </c>
      <c r="E184" s="95">
        <f>'15'!F184</f>
        <v>10398</v>
      </c>
      <c r="F184" s="157">
        <v>10404</v>
      </c>
      <c r="G184" s="157">
        <f t="shared" ref="G184:G185" si="16">F184-E184</f>
        <v>6</v>
      </c>
      <c r="H184" s="99">
        <f>G184+'15'!H184</f>
        <v>103</v>
      </c>
      <c r="I184" s="155"/>
      <c r="J184" s="178">
        <f>H184/DAY(B2)</f>
        <v>6.4375</v>
      </c>
    </row>
    <row r="185" spans="1:11" ht="32.25" customHeight="1" x14ac:dyDescent="0.5">
      <c r="A185" s="840" t="s">
        <v>216</v>
      </c>
      <c r="B185" s="841"/>
      <c r="C185" s="334"/>
      <c r="D185" s="228" t="s">
        <v>142</v>
      </c>
      <c r="E185" s="95">
        <f>'15'!F185</f>
        <v>0</v>
      </c>
      <c r="F185" s="157"/>
      <c r="G185" s="157">
        <f t="shared" si="16"/>
        <v>0</v>
      </c>
      <c r="H185" s="99">
        <f>G185+'15'!H185</f>
        <v>0</v>
      </c>
      <c r="I185" s="155"/>
      <c r="J185" s="178">
        <f>H185/DAY(B2)</f>
        <v>0</v>
      </c>
    </row>
    <row r="186" spans="1:11" ht="27.75" x14ac:dyDescent="0.5">
      <c r="A186" s="879" t="s">
        <v>196</v>
      </c>
      <c r="B186" s="880"/>
      <c r="C186" s="334"/>
      <c r="D186" s="228" t="s">
        <v>142</v>
      </c>
      <c r="E186" s="95">
        <f>'15'!F186</f>
        <v>0</v>
      </c>
      <c r="F186" s="157"/>
      <c r="G186" s="157">
        <f>SUM(G183:G185)</f>
        <v>14</v>
      </c>
      <c r="H186" s="99">
        <f>G186+'15'!H186</f>
        <v>293</v>
      </c>
      <c r="I186" s="157"/>
      <c r="J186" s="178">
        <f>H186/DAY(B2)</f>
        <v>18.3125</v>
      </c>
    </row>
    <row r="187" spans="1:11" ht="27.75" x14ac:dyDescent="0.5">
      <c r="A187" s="888" t="s">
        <v>217</v>
      </c>
      <c r="B187" s="889"/>
      <c r="C187" s="333"/>
      <c r="D187" s="230" t="s">
        <v>142</v>
      </c>
      <c r="E187" s="95">
        <f>'15'!F187</f>
        <v>0</v>
      </c>
      <c r="F187" s="159"/>
      <c r="G187" s="462">
        <f>G62+G19</f>
        <v>121</v>
      </c>
      <c r="H187" s="99">
        <f>G187+'15'!H187</f>
        <v>1807</v>
      </c>
      <c r="I187" s="158"/>
      <c r="J187" s="179">
        <f>H187/DAY(B2)</f>
        <v>112.9375</v>
      </c>
    </row>
    <row r="188" spans="1:11" ht="27.75" x14ac:dyDescent="0.5">
      <c r="A188" s="888" t="s">
        <v>218</v>
      </c>
      <c r="B188" s="889"/>
      <c r="C188" s="333"/>
      <c r="D188" s="230" t="s">
        <v>142</v>
      </c>
      <c r="E188" s="95">
        <f>'15'!F188</f>
        <v>0</v>
      </c>
      <c r="F188" s="159"/>
      <c r="G188" s="462">
        <f>G65+G66+G67+G69+G70</f>
        <v>122</v>
      </c>
      <c r="H188" s="99">
        <f>G188+'15'!H188</f>
        <v>250</v>
      </c>
      <c r="I188" s="158"/>
      <c r="J188" s="179">
        <f>H188/DAY(B2)</f>
        <v>15.625</v>
      </c>
    </row>
    <row r="189" spans="1:11" ht="23.25" customHeight="1" x14ac:dyDescent="0.5">
      <c r="A189" s="888" t="s">
        <v>219</v>
      </c>
      <c r="B189" s="889"/>
      <c r="C189" s="333"/>
      <c r="D189" s="230" t="s">
        <v>142</v>
      </c>
      <c r="E189" s="95">
        <f>'15'!F189</f>
        <v>0</v>
      </c>
      <c r="F189" s="157"/>
      <c r="G189" s="459">
        <f>G181</f>
        <v>91</v>
      </c>
      <c r="H189" s="99">
        <f>G189+'15'!H189</f>
        <v>1369</v>
      </c>
      <c r="I189" s="158"/>
      <c r="J189" s="179">
        <f>H189/DAY(B2)</f>
        <v>85.5625</v>
      </c>
    </row>
    <row r="190" spans="1:11" ht="23.25" customHeight="1" x14ac:dyDescent="0.5">
      <c r="A190" s="913"/>
      <c r="B190" s="914"/>
      <c r="C190" s="556"/>
      <c r="D190" s="480"/>
      <c r="E190" s="480" t="s">
        <v>207</v>
      </c>
      <c r="F190" s="499"/>
      <c r="G190" s="480"/>
      <c r="H190" s="481"/>
      <c r="I190" s="480"/>
      <c r="J190" s="482"/>
    </row>
    <row r="191" spans="1:11" ht="23.25" customHeight="1" x14ac:dyDescent="0.5">
      <c r="A191" s="245" t="s">
        <v>360</v>
      </c>
      <c r="B191" s="246"/>
      <c r="C191" s="246"/>
      <c r="D191" s="165"/>
      <c r="E191" s="165"/>
      <c r="F191" s="155">
        <v>53090</v>
      </c>
      <c r="G191" s="165">
        <v>53289</v>
      </c>
      <c r="H191" s="238">
        <f>G191-F191</f>
        <v>199</v>
      </c>
      <c r="I191" s="99">
        <f>H191+'15'!I191</f>
        <v>199</v>
      </c>
      <c r="J191" s="236"/>
      <c r="K191" s="239" t="e">
        <f>I191/DAY(C28)</f>
        <v>#DIV/0!</v>
      </c>
    </row>
    <row r="192" spans="1:11" ht="23.25" customHeight="1" x14ac:dyDescent="0.5">
      <c r="F192" s="498">
        <v>0</v>
      </c>
      <c r="G192" s="160" t="s">
        <v>371</v>
      </c>
    </row>
    <row r="193" ht="23.25" customHeight="1" x14ac:dyDescent="0.5"/>
    <row r="194" ht="23.25" customHeight="1" x14ac:dyDescent="0.5"/>
    <row r="195" ht="23.25" customHeight="1" x14ac:dyDescent="0.5"/>
    <row r="196" ht="23.25" customHeight="1" x14ac:dyDescent="0.5"/>
    <row r="197" ht="23.25" customHeight="1" x14ac:dyDescent="0.5"/>
    <row r="198" ht="23.25" customHeight="1" x14ac:dyDescent="0.5"/>
    <row r="199" ht="23.25" customHeight="1" x14ac:dyDescent="0.5"/>
    <row r="200" ht="23.25" customHeight="1" x14ac:dyDescent="0.5"/>
    <row r="201" ht="23.25" customHeight="1" x14ac:dyDescent="0.5"/>
    <row r="202" ht="23.25" customHeight="1" x14ac:dyDescent="0.5"/>
    <row r="203" ht="23.25" customHeight="1" x14ac:dyDescent="0.5"/>
    <row r="204" ht="23.25" customHeight="1" x14ac:dyDescent="0.5"/>
    <row r="205" ht="23.25" customHeight="1" x14ac:dyDescent="0.5"/>
    <row r="206" ht="23.25" customHeight="1" x14ac:dyDescent="0.5"/>
    <row r="207" ht="23.25" customHeight="1" x14ac:dyDescent="0.5"/>
    <row r="208" ht="23.25" customHeight="1" x14ac:dyDescent="0.5"/>
    <row r="209" ht="23.25" customHeight="1" x14ac:dyDescent="0.5"/>
    <row r="210" ht="23.25" customHeight="1" x14ac:dyDescent="0.5"/>
    <row r="211" ht="23.25" customHeight="1" x14ac:dyDescent="0.5"/>
    <row r="212" ht="23.25" customHeight="1" x14ac:dyDescent="0.5"/>
    <row r="213" ht="23.25" customHeight="1" x14ac:dyDescent="0.5"/>
    <row r="214" ht="23.25" customHeight="1" x14ac:dyDescent="0.5"/>
    <row r="215" ht="23.25" customHeight="1" x14ac:dyDescent="0.5"/>
    <row r="216" ht="23.25" customHeight="1" x14ac:dyDescent="0.5"/>
    <row r="217" ht="23.25" customHeight="1" x14ac:dyDescent="0.5"/>
    <row r="218" ht="23.25" customHeight="1" x14ac:dyDescent="0.5"/>
    <row r="219" ht="23.25" customHeight="1" x14ac:dyDescent="0.5"/>
    <row r="220" ht="23.25" customHeight="1" x14ac:dyDescent="0.5"/>
    <row r="221" ht="23.25" customHeight="1" x14ac:dyDescent="0.5"/>
    <row r="222" ht="23.25" customHeight="1" x14ac:dyDescent="0.5"/>
    <row r="223" ht="23.25" customHeight="1" x14ac:dyDescent="0.5"/>
    <row r="224" ht="23.25" customHeight="1" x14ac:dyDescent="0.5"/>
    <row r="225" ht="23.25" customHeight="1" x14ac:dyDescent="0.5"/>
    <row r="226" ht="23.25" customHeight="1" x14ac:dyDescent="0.5"/>
    <row r="227" ht="23.25" customHeight="1" x14ac:dyDescent="0.5"/>
    <row r="228" ht="23.25" customHeight="1" x14ac:dyDescent="0.5"/>
    <row r="229" ht="23.25" customHeight="1" x14ac:dyDescent="0.5"/>
    <row r="230" ht="23.25" customHeight="1" x14ac:dyDescent="0.5"/>
    <row r="231" ht="23.25" customHeight="1" x14ac:dyDescent="0.5"/>
    <row r="232" ht="23.25" customHeight="1" x14ac:dyDescent="0.5"/>
    <row r="233" ht="23.25" customHeight="1" x14ac:dyDescent="0.5"/>
    <row r="234" ht="23.25" customHeight="1" x14ac:dyDescent="0.5"/>
    <row r="235" ht="23.25" customHeight="1" x14ac:dyDescent="0.5"/>
    <row r="236" ht="23.25" customHeight="1" x14ac:dyDescent="0.5"/>
    <row r="237" ht="23.25" customHeight="1" x14ac:dyDescent="0.5"/>
    <row r="238" ht="23.25" customHeight="1" x14ac:dyDescent="0.5"/>
    <row r="239" ht="23.25" customHeight="1" x14ac:dyDescent="0.5"/>
    <row r="240" ht="23.25" customHeight="1" x14ac:dyDescent="0.5"/>
    <row r="241" ht="23.25" customHeight="1" x14ac:dyDescent="0.5"/>
    <row r="242" ht="23.25" customHeight="1" x14ac:dyDescent="0.5"/>
    <row r="243" ht="23.25" customHeight="1" x14ac:dyDescent="0.5"/>
    <row r="244" ht="23.25" customHeight="1" x14ac:dyDescent="0.5"/>
    <row r="245" ht="23.25" customHeight="1" x14ac:dyDescent="0.5"/>
    <row r="246" ht="23.25" customHeight="1" x14ac:dyDescent="0.5"/>
    <row r="247" ht="23.25" customHeight="1" x14ac:dyDescent="0.5"/>
    <row r="248" ht="23.25" customHeight="1" x14ac:dyDescent="0.5"/>
    <row r="249" ht="23.25" customHeight="1" x14ac:dyDescent="0.5"/>
    <row r="250" ht="29.25" x14ac:dyDescent="0.5"/>
    <row r="251" ht="29.25" x14ac:dyDescent="0.5"/>
    <row r="252" ht="29.25" x14ac:dyDescent="0.5"/>
    <row r="253" ht="29.25" x14ac:dyDescent="0.5"/>
    <row r="254" ht="29.25" x14ac:dyDescent="0.5"/>
    <row r="255" ht="29.25" x14ac:dyDescent="0.5"/>
    <row r="256" ht="29.25" x14ac:dyDescent="0.5"/>
    <row r="257" ht="29.25" x14ac:dyDescent="0.5"/>
    <row r="258" ht="29.25" x14ac:dyDescent="0.5"/>
    <row r="259" ht="29.25" x14ac:dyDescent="0.5"/>
    <row r="260" ht="29.25" x14ac:dyDescent="0.5"/>
    <row r="261" ht="29.25" x14ac:dyDescent="0.5"/>
    <row r="262" ht="29.25" x14ac:dyDescent="0.5"/>
    <row r="263" ht="29.25" x14ac:dyDescent="0.5"/>
    <row r="264" ht="29.25" x14ac:dyDescent="0.5"/>
    <row r="265" ht="29.25" x14ac:dyDescent="0.5"/>
    <row r="266" ht="29.25" x14ac:dyDescent="0.5"/>
    <row r="267" ht="29.25" x14ac:dyDescent="0.5"/>
    <row r="268" ht="29.25" x14ac:dyDescent="0.5"/>
    <row r="269" ht="29.25" x14ac:dyDescent="0.5"/>
    <row r="270" ht="29.25" x14ac:dyDescent="0.5"/>
  </sheetData>
  <mergeCells count="115">
    <mergeCell ref="A157:C157"/>
    <mergeCell ref="A158:C158"/>
    <mergeCell ref="A159:C159"/>
    <mergeCell ref="A156:C156"/>
    <mergeCell ref="A160:J160"/>
    <mergeCell ref="A189:B189"/>
    <mergeCell ref="A190:B190"/>
    <mergeCell ref="A181:B181"/>
    <mergeCell ref="A185:B185"/>
    <mergeCell ref="A186:B186"/>
    <mergeCell ref="A187:B187"/>
    <mergeCell ref="A188:B188"/>
    <mergeCell ref="A172:B172"/>
    <mergeCell ref="A173:B173"/>
    <mergeCell ref="A174:B174"/>
    <mergeCell ref="A176:B176"/>
    <mergeCell ref="A177:B177"/>
    <mergeCell ref="A183:B183"/>
    <mergeCell ref="A184:B184"/>
    <mergeCell ref="A182:B182"/>
    <mergeCell ref="A179:B179"/>
    <mergeCell ref="A180:B180"/>
    <mergeCell ref="A178:B178"/>
    <mergeCell ref="A175:C175"/>
    <mergeCell ref="A171:J171"/>
    <mergeCell ref="A166:B166"/>
    <mergeCell ref="A167:B167"/>
    <mergeCell ref="Q116:R116"/>
    <mergeCell ref="A117:C117"/>
    <mergeCell ref="Q117:R117"/>
    <mergeCell ref="A118:C118"/>
    <mergeCell ref="Q118:R118"/>
    <mergeCell ref="A132:C132"/>
    <mergeCell ref="A133:C133"/>
    <mergeCell ref="A134:C134"/>
    <mergeCell ref="A125:B125"/>
    <mergeCell ref="A126:J126"/>
    <mergeCell ref="A127:B127"/>
    <mergeCell ref="A128:C128"/>
    <mergeCell ref="A131:C131"/>
    <mergeCell ref="A168:B168"/>
    <mergeCell ref="A154:J154"/>
    <mergeCell ref="A155:C155"/>
    <mergeCell ref="A138:C138"/>
    <mergeCell ref="A145:C145"/>
    <mergeCell ref="A146:C146"/>
    <mergeCell ref="A150:C150"/>
    <mergeCell ref="A151:C151"/>
    <mergeCell ref="A122:C122"/>
    <mergeCell ref="A124:C124"/>
    <mergeCell ref="A136:J136"/>
    <mergeCell ref="A100:C100"/>
    <mergeCell ref="A101:C101"/>
    <mergeCell ref="A123:C123"/>
    <mergeCell ref="A109:B109"/>
    <mergeCell ref="A97:C97"/>
    <mergeCell ref="A98:C98"/>
    <mergeCell ref="A105:C105"/>
    <mergeCell ref="A108:J108"/>
    <mergeCell ref="A110:J110"/>
    <mergeCell ref="A111:C111"/>
    <mergeCell ref="A119:C119"/>
    <mergeCell ref="A120:C120"/>
    <mergeCell ref="A102:C102"/>
    <mergeCell ref="A115:C115"/>
    <mergeCell ref="A116:C116"/>
    <mergeCell ref="A104:C104"/>
    <mergeCell ref="A139:C139"/>
    <mergeCell ref="A140:C140"/>
    <mergeCell ref="A141:C141"/>
    <mergeCell ref="A142:C142"/>
    <mergeCell ref="A149:C149"/>
    <mergeCell ref="A143:C143"/>
    <mergeCell ref="A1:J1"/>
    <mergeCell ref="A6:C6"/>
    <mergeCell ref="A14:C14"/>
    <mergeCell ref="A17:C17"/>
    <mergeCell ref="A18:C18"/>
    <mergeCell ref="E3:F3"/>
    <mergeCell ref="A73:C73"/>
    <mergeCell ref="A74:C74"/>
    <mergeCell ref="A75:C75"/>
    <mergeCell ref="A61:C61"/>
    <mergeCell ref="A62:C62"/>
    <mergeCell ref="A63:C63"/>
    <mergeCell ref="A71:C71"/>
    <mergeCell ref="A72:B72"/>
    <mergeCell ref="A95:C95"/>
    <mergeCell ref="A96:C96"/>
    <mergeCell ref="A99:C99"/>
    <mergeCell ref="A121:C121"/>
    <mergeCell ref="A153:B153"/>
    <mergeCell ref="A135:B135"/>
    <mergeCell ref="A76:C76"/>
    <mergeCell ref="A77:C77"/>
    <mergeCell ref="A79:C79"/>
    <mergeCell ref="A80:C80"/>
    <mergeCell ref="A94:C94"/>
    <mergeCell ref="A19:C19"/>
    <mergeCell ref="A21:C21"/>
    <mergeCell ref="A64:C64"/>
    <mergeCell ref="A65:C65"/>
    <mergeCell ref="A25:C25"/>
    <mergeCell ref="A33:C33"/>
    <mergeCell ref="A78:C78"/>
    <mergeCell ref="A81:C81"/>
    <mergeCell ref="A93:C93"/>
    <mergeCell ref="A147:C147"/>
    <mergeCell ref="A148:C148"/>
    <mergeCell ref="A112:C112"/>
    <mergeCell ref="A113:C113"/>
    <mergeCell ref="A114:C114"/>
    <mergeCell ref="A152:C152"/>
    <mergeCell ref="A103:C103"/>
    <mergeCell ref="A144:C144"/>
  </mergeCells>
  <pageMargins left="0.22" right="0.17" top="0.14000000000000001" bottom="0.2" header="0.2" footer="0.2"/>
  <pageSetup paperSize="5" scale="18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1:R191"/>
  <sheetViews>
    <sheetView view="pageBreakPreview" topLeftCell="A118" zoomScale="55" zoomScaleSheetLayoutView="55" zoomScalePageLayoutView="60" workbookViewId="0">
      <selection activeCell="G166" sqref="G166"/>
    </sheetView>
  </sheetViews>
  <sheetFormatPr defaultColWidth="22.33203125" defaultRowHeight="27.75" customHeight="1" x14ac:dyDescent="0.5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6" width="30" style="160" customWidth="1"/>
    <col min="7" max="7" width="28.88671875" style="160" customWidth="1"/>
    <col min="8" max="8" width="39.21875" style="161" customWidth="1"/>
    <col min="9" max="9" width="23.5546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27.75" customHeight="1" x14ac:dyDescent="0.65">
      <c r="A1" s="821" t="s">
        <v>115</v>
      </c>
      <c r="B1" s="822"/>
      <c r="C1" s="822"/>
      <c r="D1" s="822"/>
      <c r="E1" s="822"/>
      <c r="F1" s="822"/>
      <c r="G1" s="822"/>
      <c r="H1" s="822"/>
      <c r="I1" s="822"/>
      <c r="J1" s="823"/>
    </row>
    <row r="2" spans="1:15" s="57" customFormat="1" ht="27.75" customHeight="1" x14ac:dyDescent="0.5">
      <c r="A2" s="191" t="s">
        <v>350</v>
      </c>
      <c r="B2" s="262">
        <v>44578</v>
      </c>
      <c r="C2" s="348" t="s">
        <v>67</v>
      </c>
      <c r="D2" s="218">
        <v>0.51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27.75" customHeight="1" x14ac:dyDescent="0.5">
      <c r="A3" s="189"/>
      <c r="B3" s="221"/>
      <c r="C3" s="348" t="s">
        <v>118</v>
      </c>
      <c r="D3" s="219">
        <v>28</v>
      </c>
      <c r="E3" s="830" t="s">
        <v>119</v>
      </c>
      <c r="F3" s="831"/>
      <c r="G3" s="101"/>
      <c r="H3" s="102"/>
      <c r="I3" s="102"/>
      <c r="J3" s="222"/>
      <c r="K3" s="61"/>
      <c r="L3" s="58"/>
    </row>
    <row r="4" spans="1:15" s="57" customFormat="1" ht="27.75" customHeight="1" x14ac:dyDescent="0.5">
      <c r="A4" s="192"/>
      <c r="B4" s="223"/>
      <c r="C4" s="348" t="s">
        <v>120</v>
      </c>
      <c r="D4" s="218">
        <v>0.9</v>
      </c>
      <c r="E4" s="103"/>
      <c r="F4" s="103"/>
      <c r="G4" s="103"/>
      <c r="H4" s="103"/>
      <c r="I4" s="104"/>
      <c r="J4" s="222"/>
      <c r="K4" s="62"/>
      <c r="L4" s="58"/>
    </row>
    <row r="5" spans="1:15" ht="27.75" customHeight="1" x14ac:dyDescent="0.4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5" ht="27.75" customHeight="1" x14ac:dyDescent="0.4">
      <c r="A6" s="824" t="s">
        <v>128</v>
      </c>
      <c r="B6" s="825"/>
      <c r="C6" s="826"/>
      <c r="D6" s="110"/>
      <c r="E6" s="110"/>
      <c r="F6" s="110"/>
      <c r="G6" s="110"/>
      <c r="H6" s="111"/>
      <c r="I6" s="111"/>
      <c r="J6" s="174"/>
      <c r="K6" s="78"/>
      <c r="L6" s="66"/>
    </row>
    <row r="7" spans="1:15" ht="27.75" customHeight="1" thickBot="1" x14ac:dyDescent="0.45">
      <c r="A7" s="194" t="s">
        <v>129</v>
      </c>
      <c r="B7" s="195"/>
      <c r="C7" s="195"/>
      <c r="D7" s="151" t="s">
        <v>130</v>
      </c>
      <c r="E7" s="95">
        <f>'16'!F7</f>
        <v>388954</v>
      </c>
      <c r="F7" s="95">
        <v>406408</v>
      </c>
      <c r="G7" s="112">
        <f>F7-E7</f>
        <v>17454</v>
      </c>
      <c r="H7" s="99">
        <f>G7+'16'!H7</f>
        <v>311847</v>
      </c>
      <c r="I7" s="113">
        <f>'1'!I7</f>
        <v>12000</v>
      </c>
      <c r="J7" s="175">
        <f>H7/DAY(B2)</f>
        <v>18343.941176470587</v>
      </c>
      <c r="K7" s="172">
        <v>1375467</v>
      </c>
      <c r="L7" s="66"/>
      <c r="N7" s="87"/>
      <c r="O7" s="71"/>
    </row>
    <row r="8" spans="1:15" ht="27.75" customHeight="1" thickBot="1" x14ac:dyDescent="0.45">
      <c r="A8" s="196" t="s">
        <v>131</v>
      </c>
      <c r="B8" s="197"/>
      <c r="C8" s="198"/>
      <c r="D8" s="224" t="s">
        <v>24</v>
      </c>
      <c r="E8" s="95">
        <f>'16'!F8</f>
        <v>440190</v>
      </c>
      <c r="F8" s="95">
        <v>457733</v>
      </c>
      <c r="G8" s="115">
        <f>F8-E8</f>
        <v>17543</v>
      </c>
      <c r="H8" s="99">
        <f>G8+'16'!H8</f>
        <v>316848</v>
      </c>
      <c r="I8" s="116"/>
      <c r="J8" s="175">
        <f>H8/DAY(B2)</f>
        <v>18638.117647058825</v>
      </c>
      <c r="K8" s="172">
        <v>1715917</v>
      </c>
      <c r="L8" s="76">
        <v>1728480</v>
      </c>
      <c r="M8" s="87">
        <f>L8-K8</f>
        <v>12563</v>
      </c>
      <c r="N8" s="87"/>
      <c r="O8" s="71"/>
    </row>
    <row r="9" spans="1:15" ht="27.75" customHeight="1" x14ac:dyDescent="0.4">
      <c r="A9" s="199" t="s">
        <v>132</v>
      </c>
      <c r="B9" s="200"/>
      <c r="C9" s="200"/>
      <c r="D9" s="151" t="s">
        <v>130</v>
      </c>
      <c r="E9" s="95">
        <f>'16'!F9</f>
        <v>87159</v>
      </c>
      <c r="F9" s="601">
        <v>98294.9</v>
      </c>
      <c r="G9" s="112">
        <f>F9-E9</f>
        <v>11135.899999999994</v>
      </c>
      <c r="H9" s="99">
        <f>G9+'16'!H9</f>
        <v>196799.9</v>
      </c>
      <c r="I9" s="124">
        <f>I7-J7</f>
        <v>-6343.9411764705874</v>
      </c>
      <c r="J9" s="175">
        <f>H9/DAY(B2)</f>
        <v>11576.464705882352</v>
      </c>
      <c r="K9" s="79">
        <f>K8-100</f>
        <v>1715817</v>
      </c>
      <c r="L9" s="66"/>
      <c r="N9" s="87"/>
      <c r="O9" s="71"/>
    </row>
    <row r="10" spans="1:15" ht="27.75" customHeight="1" x14ac:dyDescent="0.4">
      <c r="A10" s="194" t="s">
        <v>133</v>
      </c>
      <c r="B10" s="195"/>
      <c r="C10" s="195"/>
      <c r="D10" s="151" t="s">
        <v>130</v>
      </c>
      <c r="E10" s="95">
        <f>'16'!F10</f>
        <v>45649</v>
      </c>
      <c r="F10" s="353">
        <v>51481.74</v>
      </c>
      <c r="G10" s="112">
        <f t="shared" ref="G10:G12" si="0">F10-E10</f>
        <v>5832.739999999998</v>
      </c>
      <c r="H10" s="99">
        <f>G10+'16'!H10</f>
        <v>106387.73999999999</v>
      </c>
      <c r="I10" s="282"/>
      <c r="J10" s="175">
        <f>H10/DAY(B2)</f>
        <v>6258.1023529411759</v>
      </c>
      <c r="K10" s="79"/>
      <c r="L10" s="66"/>
      <c r="N10" s="87"/>
      <c r="O10" s="71"/>
    </row>
    <row r="11" spans="1:15" ht="27.75" customHeight="1" x14ac:dyDescent="0.4">
      <c r="A11" s="194" t="s">
        <v>134</v>
      </c>
      <c r="B11" s="195"/>
      <c r="C11" s="195"/>
      <c r="D11" s="151" t="s">
        <v>130</v>
      </c>
      <c r="E11" s="95">
        <f>'16'!F11</f>
        <v>37000</v>
      </c>
      <c r="F11" s="95">
        <v>37000</v>
      </c>
      <c r="G11" s="112">
        <f t="shared" si="0"/>
        <v>0</v>
      </c>
      <c r="H11" s="99">
        <f>G11+'16'!H11</f>
        <v>0</v>
      </c>
      <c r="I11" s="282"/>
      <c r="J11" s="175">
        <f>H11/DAY(B2)</f>
        <v>0</v>
      </c>
      <c r="K11" s="79"/>
      <c r="L11" s="66"/>
      <c r="N11" s="87"/>
      <c r="O11" s="71"/>
    </row>
    <row r="12" spans="1:15" ht="27.75" customHeight="1" x14ac:dyDescent="0.4">
      <c r="A12" s="194" t="s">
        <v>135</v>
      </c>
      <c r="B12" s="195"/>
      <c r="C12" s="195"/>
      <c r="D12" s="151" t="s">
        <v>130</v>
      </c>
      <c r="E12" s="95">
        <f>'16'!F12</f>
        <v>40010</v>
      </c>
      <c r="F12" s="117">
        <v>40010</v>
      </c>
      <c r="G12" s="112">
        <f t="shared" si="0"/>
        <v>0</v>
      </c>
      <c r="H12" s="99">
        <f>G12+'16'!H12</f>
        <v>0</v>
      </c>
      <c r="I12" s="282"/>
      <c r="J12" s="175">
        <f>H12/DAY(B2)</f>
        <v>0</v>
      </c>
      <c r="K12" s="79"/>
      <c r="L12" s="66"/>
      <c r="N12" s="87"/>
      <c r="O12" s="71"/>
    </row>
    <row r="13" spans="1:15" ht="27.75" customHeight="1" x14ac:dyDescent="0.5">
      <c r="A13" s="201" t="s">
        <v>136</v>
      </c>
      <c r="B13" s="202"/>
      <c r="C13" s="202"/>
      <c r="D13" s="151"/>
      <c r="E13" s="95"/>
      <c r="F13" s="95"/>
      <c r="G13" s="119">
        <f>G9+G10+G11+G12</f>
        <v>16968.639999999992</v>
      </c>
      <c r="H13" s="99">
        <f>G13+'16'!H13</f>
        <v>283722.3899999999</v>
      </c>
      <c r="I13" s="120">
        <f>G7-G13</f>
        <v>485.36000000000786</v>
      </c>
      <c r="J13" s="175">
        <f>H13/DAY(B2)</f>
        <v>16689.552352941169</v>
      </c>
      <c r="K13" s="79"/>
      <c r="L13" s="66"/>
      <c r="N13" s="87"/>
      <c r="O13" s="71"/>
    </row>
    <row r="14" spans="1:15" ht="27.75" customHeight="1" x14ac:dyDescent="0.5">
      <c r="A14" s="827" t="s">
        <v>137</v>
      </c>
      <c r="B14" s="828"/>
      <c r="C14" s="829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5" ht="27.75" customHeight="1" x14ac:dyDescent="0.5">
      <c r="A15" s="345" t="s">
        <v>138</v>
      </c>
      <c r="B15" s="205"/>
      <c r="C15" s="205"/>
      <c r="D15" s="151" t="s">
        <v>139</v>
      </c>
      <c r="E15" s="95">
        <f>'16'!F15</f>
        <v>1892606</v>
      </c>
      <c r="F15" s="123">
        <v>1893340.273</v>
      </c>
      <c r="G15" s="112">
        <f>(F15-E15)</f>
        <v>734.2730000000447</v>
      </c>
      <c r="H15" s="99">
        <f>G15+'16'!H15</f>
        <v>14910.273000000045</v>
      </c>
      <c r="I15" s="113">
        <f>'1'!I15</f>
        <v>800</v>
      </c>
      <c r="J15" s="175">
        <f>H15/DAY(B2)</f>
        <v>877.07488235294386</v>
      </c>
      <c r="K15" s="79"/>
      <c r="L15" s="66"/>
      <c r="N15" s="87"/>
      <c r="O15" s="71"/>
    </row>
    <row r="16" spans="1:15" ht="27.75" customHeight="1" x14ac:dyDescent="0.4">
      <c r="A16" s="203"/>
      <c r="B16" s="204"/>
      <c r="C16" s="204"/>
      <c r="D16" s="152"/>
      <c r="E16" s="123"/>
      <c r="F16" s="123"/>
      <c r="G16" s="112"/>
      <c r="H16" s="124"/>
      <c r="I16" s="120">
        <f>I15-J15</f>
        <v>-77.07488235294386</v>
      </c>
      <c r="J16" s="176"/>
      <c r="K16" s="79"/>
      <c r="L16" s="66"/>
      <c r="N16" s="87"/>
      <c r="O16" s="71"/>
    </row>
    <row r="17" spans="1:15" ht="27.75" customHeight="1" x14ac:dyDescent="0.5">
      <c r="A17" s="827" t="s">
        <v>140</v>
      </c>
      <c r="B17" s="828"/>
      <c r="C17" s="829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5" ht="27.75" customHeight="1" x14ac:dyDescent="0.5">
      <c r="A18" s="818" t="s">
        <v>141</v>
      </c>
      <c r="B18" s="819"/>
      <c r="C18" s="820"/>
      <c r="D18" s="151" t="s">
        <v>142</v>
      </c>
      <c r="E18" s="95">
        <f>'16'!F18</f>
        <v>8</v>
      </c>
      <c r="F18" s="122">
        <v>8</v>
      </c>
      <c r="G18" s="119">
        <f>F18*10</f>
        <v>80</v>
      </c>
      <c r="H18" s="99">
        <f>G18+'16'!H18</f>
        <v>1820</v>
      </c>
      <c r="I18" s="113">
        <f>'1'!I18</f>
        <v>65</v>
      </c>
      <c r="J18" s="175">
        <f>H18/DAY(B2)</f>
        <v>107.05882352941177</v>
      </c>
      <c r="K18" s="79"/>
      <c r="L18" s="66"/>
      <c r="N18" s="87"/>
      <c r="O18" s="71"/>
    </row>
    <row r="19" spans="1:15" ht="27.75" customHeight="1" x14ac:dyDescent="0.5">
      <c r="A19" s="818" t="s">
        <v>69</v>
      </c>
      <c r="B19" s="819"/>
      <c r="C19" s="820"/>
      <c r="D19" s="151" t="s">
        <v>142</v>
      </c>
      <c r="E19" s="95">
        <f>'16'!F19</f>
        <v>153072</v>
      </c>
      <c r="F19" s="122">
        <v>153125</v>
      </c>
      <c r="G19" s="112">
        <f t="shared" ref="G19" si="1">F19-E19</f>
        <v>53</v>
      </c>
      <c r="H19" s="99">
        <f>G19+'16'!H19</f>
        <v>900</v>
      </c>
      <c r="I19" s="335"/>
      <c r="J19" s="175">
        <f>H19/DAY(B2)</f>
        <v>52.941176470588232</v>
      </c>
      <c r="K19" s="79"/>
      <c r="L19" s="66"/>
      <c r="N19" s="87"/>
      <c r="O19" s="71"/>
    </row>
    <row r="20" spans="1:15" ht="27.75" customHeight="1" x14ac:dyDescent="0.5">
      <c r="A20" s="201" t="s">
        <v>143</v>
      </c>
      <c r="B20" s="202"/>
      <c r="C20" s="202"/>
      <c r="D20" s="126"/>
      <c r="E20" s="126"/>
      <c r="F20" s="126"/>
      <c r="G20" s="127">
        <f>G18+G19</f>
        <v>133</v>
      </c>
      <c r="H20" s="99">
        <f>G20+'16'!H20</f>
        <v>2720</v>
      </c>
      <c r="I20" s="336">
        <f>I18-J20</f>
        <v>-95</v>
      </c>
      <c r="J20" s="175">
        <f>H20/DAY(B2)</f>
        <v>160</v>
      </c>
      <c r="K20" s="79"/>
      <c r="L20" s="66"/>
      <c r="N20" s="87"/>
      <c r="O20" s="71"/>
    </row>
    <row r="21" spans="1:15" ht="27.75" customHeight="1" x14ac:dyDescent="0.5">
      <c r="A21" s="827" t="s">
        <v>144</v>
      </c>
      <c r="B21" s="828"/>
      <c r="C21" s="829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5" ht="27.75" customHeight="1" x14ac:dyDescent="0.5">
      <c r="A22" s="345" t="s">
        <v>145</v>
      </c>
      <c r="B22" s="205"/>
      <c r="C22" s="205"/>
      <c r="D22" s="151" t="s">
        <v>146</v>
      </c>
      <c r="E22" s="95">
        <f>'16'!F22</f>
        <v>2970</v>
      </c>
      <c r="F22" s="122">
        <v>2970</v>
      </c>
      <c r="G22" s="119">
        <f t="shared" ref="G22" si="2">(F22-E22)</f>
        <v>0</v>
      </c>
      <c r="H22" s="99">
        <f>G22+'16'!H22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27.75" customHeight="1" x14ac:dyDescent="0.5">
      <c r="A23" s="345" t="s">
        <v>147</v>
      </c>
      <c r="B23" s="205"/>
      <c r="C23" s="205"/>
      <c r="D23" s="151" t="s">
        <v>146</v>
      </c>
      <c r="E23" s="95">
        <f>'16'!F23</f>
        <v>1500</v>
      </c>
      <c r="F23" s="122">
        <v>1500</v>
      </c>
      <c r="G23" s="119">
        <v>0</v>
      </c>
      <c r="H23" s="99">
        <f>G23+'16'!H23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5" ht="27.75" customHeight="1" x14ac:dyDescent="0.4">
      <c r="A24" s="206" t="s">
        <v>148</v>
      </c>
      <c r="B24" s="207"/>
      <c r="C24" s="207"/>
      <c r="D24" s="146" t="s">
        <v>146</v>
      </c>
      <c r="E24" s="95">
        <f>'16'!F24</f>
        <v>4970</v>
      </c>
      <c r="F24" s="128">
        <v>4970</v>
      </c>
      <c r="G24" s="119">
        <v>0</v>
      </c>
      <c r="H24" s="99">
        <f>G24+'16'!H24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5" s="88" customFormat="1" ht="27.75" customHeight="1" x14ac:dyDescent="0.35">
      <c r="A25" s="832" t="s">
        <v>149</v>
      </c>
      <c r="B25" s="833"/>
      <c r="C25" s="834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5" s="88" customFormat="1" ht="27.75" customHeight="1" x14ac:dyDescent="0.5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/>
      <c r="I26" s="134"/>
      <c r="J26" s="175"/>
      <c r="K26" s="64"/>
      <c r="L26" s="89"/>
      <c r="N26" s="87"/>
      <c r="O26" s="71"/>
    </row>
    <row r="27" spans="1:15" s="88" customFormat="1" ht="27.75" customHeight="1" x14ac:dyDescent="0.5">
      <c r="A27" s="208" t="s">
        <v>5</v>
      </c>
      <c r="B27" s="209"/>
      <c r="C27" s="210"/>
      <c r="D27" s="226" t="s">
        <v>24</v>
      </c>
      <c r="E27" s="135">
        <f>G8</f>
        <v>17543</v>
      </c>
      <c r="F27" s="136">
        <v>9</v>
      </c>
      <c r="G27" s="137">
        <f>E27*F27</f>
        <v>157887</v>
      </c>
      <c r="H27" s="99">
        <f>G27+'16'!H27</f>
        <v>2851632</v>
      </c>
      <c r="I27" s="138"/>
      <c r="J27" s="175">
        <f>H27/DAY(B2)</f>
        <v>167743.0588235294</v>
      </c>
      <c r="K27" s="63"/>
      <c r="L27" s="89"/>
      <c r="N27" s="87"/>
      <c r="O27" s="71"/>
    </row>
    <row r="28" spans="1:15" s="88" customFormat="1" ht="27.75" customHeight="1" x14ac:dyDescent="0.5">
      <c r="A28" s="208" t="s">
        <v>152</v>
      </c>
      <c r="B28" s="209"/>
      <c r="C28" s="210"/>
      <c r="D28" s="226" t="s">
        <v>153</v>
      </c>
      <c r="E28" s="139">
        <f>G15</f>
        <v>734.2730000000447</v>
      </c>
      <c r="F28" s="136">
        <v>52</v>
      </c>
      <c r="G28" s="137">
        <f>E28*F28</f>
        <v>38182.196000002325</v>
      </c>
      <c r="H28" s="99">
        <f>G28+'16'!H28</f>
        <v>775334.19600000232</v>
      </c>
      <c r="I28" s="140"/>
      <c r="J28" s="175">
        <f>H28/DAY(B2)</f>
        <v>45607.893882353077</v>
      </c>
      <c r="K28" s="63"/>
      <c r="L28" s="89"/>
      <c r="N28" s="87"/>
      <c r="O28" s="71"/>
    </row>
    <row r="29" spans="1:15" s="88" customFormat="1" ht="27.75" customHeight="1" x14ac:dyDescent="0.5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>E29*F29</f>
        <v>0</v>
      </c>
      <c r="H29" s="99">
        <f>G29+'16'!H29</f>
        <v>0</v>
      </c>
      <c r="I29" s="140"/>
      <c r="J29" s="175">
        <f>H29/DAY(B2)</f>
        <v>0</v>
      </c>
      <c r="K29" s="63"/>
      <c r="L29" s="89"/>
      <c r="N29" s="87"/>
      <c r="O29" s="71"/>
    </row>
    <row r="30" spans="1:15" s="88" customFormat="1" ht="27.75" customHeight="1" x14ac:dyDescent="0.5">
      <c r="A30" s="208" t="s">
        <v>156</v>
      </c>
      <c r="B30" s="209"/>
      <c r="C30" s="210"/>
      <c r="D30" s="226" t="s">
        <v>157</v>
      </c>
      <c r="E30" s="141">
        <f>G19</f>
        <v>53</v>
      </c>
      <c r="F30" s="136">
        <v>146</v>
      </c>
      <c r="G30" s="137">
        <f>E30*F30</f>
        <v>7738</v>
      </c>
      <c r="H30" s="99">
        <f>G30+'16'!H30</f>
        <v>131400</v>
      </c>
      <c r="I30" s="140"/>
      <c r="J30" s="175">
        <f>H30/DAY(B2)</f>
        <v>7729.411764705882</v>
      </c>
      <c r="K30" s="63"/>
      <c r="L30" s="89"/>
      <c r="N30" s="87"/>
      <c r="O30" s="71"/>
    </row>
    <row r="31" spans="1:15" s="88" customFormat="1" ht="27.75" customHeight="1" x14ac:dyDescent="0.5">
      <c r="A31" s="208" t="s">
        <v>158</v>
      </c>
      <c r="B31" s="209"/>
      <c r="C31" s="210"/>
      <c r="D31" s="226" t="s">
        <v>142</v>
      </c>
      <c r="E31" s="141">
        <f>G18</f>
        <v>80</v>
      </c>
      <c r="F31" s="136">
        <v>80</v>
      </c>
      <c r="G31" s="137">
        <f>E31*F31</f>
        <v>6400</v>
      </c>
      <c r="H31" s="99">
        <f>G31+'16'!H31</f>
        <v>145600</v>
      </c>
      <c r="I31" s="140"/>
      <c r="J31" s="175">
        <f>H31/DAY(B2)</f>
        <v>8564.7058823529405</v>
      </c>
      <c r="K31" s="63"/>
      <c r="L31" s="89"/>
      <c r="N31" s="87"/>
      <c r="O31" s="71"/>
    </row>
    <row r="32" spans="1:15" s="88" customFormat="1" ht="27.75" customHeight="1" x14ac:dyDescent="0.5">
      <c r="A32" s="211" t="s">
        <v>159</v>
      </c>
      <c r="B32" s="212"/>
      <c r="C32" s="213"/>
      <c r="D32" s="142"/>
      <c r="E32" s="142"/>
      <c r="F32" s="142"/>
      <c r="G32" s="143">
        <f>G27+G28+G29+G30+G31</f>
        <v>210207.19600000232</v>
      </c>
      <c r="H32" s="99">
        <f>G32+'16'!H32</f>
        <v>3903966.1960000023</v>
      </c>
      <c r="I32" s="144"/>
      <c r="J32" s="175">
        <f>H32/DAY(B2)</f>
        <v>229645.07035294131</v>
      </c>
      <c r="K32" s="63"/>
      <c r="L32" s="89"/>
      <c r="N32" s="87"/>
      <c r="O32" s="71"/>
    </row>
    <row r="33" spans="1:15" ht="27.75" customHeight="1" x14ac:dyDescent="0.35">
      <c r="A33" s="835" t="s">
        <v>331</v>
      </c>
      <c r="B33" s="836"/>
      <c r="C33" s="836"/>
      <c r="D33" s="337"/>
      <c r="E33" s="337"/>
      <c r="F33" s="337"/>
      <c r="G33" s="337"/>
      <c r="H33" s="337"/>
      <c r="I33" s="337"/>
      <c r="J33" s="338"/>
      <c r="K33" s="79"/>
      <c r="L33" s="66"/>
      <c r="N33" s="87"/>
      <c r="O33" s="71"/>
    </row>
    <row r="34" spans="1:15" ht="27.75" customHeight="1" x14ac:dyDescent="0.5">
      <c r="A34" s="214" t="s">
        <v>160</v>
      </c>
      <c r="B34" s="349"/>
      <c r="C34" s="349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27.75" customHeight="1" x14ac:dyDescent="0.4">
      <c r="A35" s="194" t="s">
        <v>161</v>
      </c>
      <c r="B35" s="195"/>
      <c r="C35" s="195"/>
      <c r="D35" s="151" t="s">
        <v>130</v>
      </c>
      <c r="E35" s="95">
        <f>'16'!F35</f>
        <v>11775</v>
      </c>
      <c r="F35" s="145">
        <v>13093.6</v>
      </c>
      <c r="G35" s="112">
        <f t="shared" ref="G35:G46" si="3">F35-E35</f>
        <v>1318.6000000000004</v>
      </c>
      <c r="H35" s="99">
        <f>G35+'16'!H35</f>
        <v>28293.599999999999</v>
      </c>
      <c r="I35" s="95"/>
      <c r="J35" s="175">
        <f>H35/DAY(B2)</f>
        <v>1664.3294117647058</v>
      </c>
      <c r="K35" s="79"/>
      <c r="L35" s="66"/>
      <c r="N35" s="87"/>
      <c r="O35" s="71"/>
    </row>
    <row r="36" spans="1:15" ht="27.75" customHeight="1" x14ac:dyDescent="0.4">
      <c r="A36" s="194" t="s">
        <v>162</v>
      </c>
      <c r="B36" s="195"/>
      <c r="C36" s="195"/>
      <c r="D36" s="151" t="s">
        <v>130</v>
      </c>
      <c r="E36" s="95">
        <f>'16'!F36</f>
        <v>32882</v>
      </c>
      <c r="F36" s="145">
        <v>33474.46</v>
      </c>
      <c r="G36" s="112">
        <f t="shared" si="3"/>
        <v>592.45999999999913</v>
      </c>
      <c r="H36" s="99">
        <f>G36+'16'!H36</f>
        <v>11947.46</v>
      </c>
      <c r="I36" s="95"/>
      <c r="J36" s="175">
        <f>H36/DAY(B2)</f>
        <v>702.79176470588231</v>
      </c>
      <c r="K36" s="79"/>
      <c r="L36" s="66"/>
      <c r="N36" s="87"/>
      <c r="O36" s="344"/>
    </row>
    <row r="37" spans="1:15" ht="27.75" customHeight="1" x14ac:dyDescent="0.4">
      <c r="A37" s="194" t="s">
        <v>163</v>
      </c>
      <c r="B37" s="195"/>
      <c r="C37" s="195"/>
      <c r="D37" s="151" t="s">
        <v>130</v>
      </c>
      <c r="E37" s="95">
        <f>'16'!F37</f>
        <v>11811</v>
      </c>
      <c r="F37" s="145">
        <v>13321.42</v>
      </c>
      <c r="G37" s="112">
        <f t="shared" si="3"/>
        <v>1510.42</v>
      </c>
      <c r="H37" s="99">
        <f>G37+'16'!H37</f>
        <v>25533.42</v>
      </c>
      <c r="I37" s="95"/>
      <c r="J37" s="175">
        <f>H37/DAY(B2)</f>
        <v>1501.965882352941</v>
      </c>
      <c r="K37" s="79"/>
      <c r="L37" s="66"/>
      <c r="N37" s="87"/>
      <c r="O37" s="234"/>
    </row>
    <row r="38" spans="1:15" ht="27.75" customHeight="1" x14ac:dyDescent="0.4">
      <c r="A38" s="194" t="s">
        <v>164</v>
      </c>
      <c r="B38" s="195"/>
      <c r="C38" s="195"/>
      <c r="D38" s="151" t="s">
        <v>130</v>
      </c>
      <c r="E38" s="95">
        <f>'16'!F38</f>
        <v>12564</v>
      </c>
      <c r="F38" s="108">
        <v>14168.16</v>
      </c>
      <c r="G38" s="112">
        <f t="shared" si="3"/>
        <v>1604.1599999999999</v>
      </c>
      <c r="H38" s="99">
        <f>G38+'16'!H38</f>
        <v>27368.16</v>
      </c>
      <c r="I38" s="95"/>
      <c r="J38" s="175">
        <f>H38/DAY(B2)</f>
        <v>1609.8917647058825</v>
      </c>
      <c r="K38" s="79"/>
      <c r="L38" s="66"/>
      <c r="N38" s="87"/>
      <c r="O38" s="71"/>
    </row>
    <row r="39" spans="1:15" ht="27.75" customHeight="1" x14ac:dyDescent="0.4">
      <c r="A39" s="194" t="s">
        <v>165</v>
      </c>
      <c r="B39" s="195"/>
      <c r="C39" s="195"/>
      <c r="D39" s="151" t="s">
        <v>130</v>
      </c>
      <c r="E39" s="95">
        <f>'16'!F39</f>
        <v>20110</v>
      </c>
      <c r="F39" s="145">
        <v>22808</v>
      </c>
      <c r="G39" s="112">
        <f t="shared" si="3"/>
        <v>2698</v>
      </c>
      <c r="H39" s="99">
        <f>G39+'16'!H39</f>
        <v>44490</v>
      </c>
      <c r="I39" s="95"/>
      <c r="J39" s="175">
        <f>H39/DAY(B2)</f>
        <v>2617.0588235294117</v>
      </c>
      <c r="K39" s="79"/>
      <c r="L39" s="66"/>
      <c r="N39" s="87"/>
      <c r="O39" s="71"/>
    </row>
    <row r="40" spans="1:15" ht="27.75" customHeight="1" x14ac:dyDescent="0.4">
      <c r="A40" s="215" t="s">
        <v>166</v>
      </c>
      <c r="B40" s="216"/>
      <c r="C40" s="216"/>
      <c r="D40" s="151" t="s">
        <v>130</v>
      </c>
      <c r="E40" s="95">
        <f>'16'!F40</f>
        <v>12911</v>
      </c>
      <c r="F40" s="552">
        <v>13361</v>
      </c>
      <c r="G40" s="112">
        <f t="shared" si="3"/>
        <v>450</v>
      </c>
      <c r="H40" s="99">
        <f>G40+'16'!H40</f>
        <v>7751</v>
      </c>
      <c r="I40" s="95"/>
      <c r="J40" s="175">
        <f>H40/DAY(B2)</f>
        <v>455.94117647058823</v>
      </c>
      <c r="K40" s="80"/>
      <c r="L40" s="66"/>
      <c r="N40" s="87"/>
      <c r="O40" s="71"/>
    </row>
    <row r="41" spans="1:15" ht="27.75" customHeight="1" x14ac:dyDescent="0.4">
      <c r="A41" s="194" t="s">
        <v>167</v>
      </c>
      <c r="B41" s="195"/>
      <c r="C41" s="195"/>
      <c r="D41" s="151" t="s">
        <v>130</v>
      </c>
      <c r="E41" s="95">
        <f>'16'!F41</f>
        <v>0</v>
      </c>
      <c r="F41" s="145">
        <v>0</v>
      </c>
      <c r="G41" s="112">
        <f t="shared" si="3"/>
        <v>0</v>
      </c>
      <c r="H41" s="99">
        <f>G41+'16'!H41</f>
        <v>0</v>
      </c>
      <c r="I41" s="95"/>
      <c r="J41" s="175">
        <f>H41/DAY(B2)</f>
        <v>0</v>
      </c>
      <c r="K41" s="79"/>
      <c r="L41" s="66"/>
      <c r="N41" s="87"/>
      <c r="O41" s="71"/>
    </row>
    <row r="42" spans="1:15" ht="27.75" customHeight="1" x14ac:dyDescent="0.4">
      <c r="A42" s="194" t="s">
        <v>168</v>
      </c>
      <c r="B42" s="195"/>
      <c r="C42" s="195"/>
      <c r="D42" s="151" t="s">
        <v>130</v>
      </c>
      <c r="E42" s="95">
        <f>'16'!F42</f>
        <v>73808.600000000006</v>
      </c>
      <c r="F42" s="145">
        <v>73808.600000000006</v>
      </c>
      <c r="G42" s="112">
        <f t="shared" si="3"/>
        <v>0</v>
      </c>
      <c r="H42" s="99">
        <f>G42+'16'!H42</f>
        <v>-0.39999999999417923</v>
      </c>
      <c r="I42" s="95"/>
      <c r="J42" s="175">
        <f>H42/DAY(B2)</f>
        <v>-2.3529411764363486E-2</v>
      </c>
      <c r="K42" s="79"/>
      <c r="L42" s="66"/>
      <c r="N42" s="87"/>
      <c r="O42" s="71"/>
    </row>
    <row r="43" spans="1:15" ht="27.75" customHeight="1" x14ac:dyDescent="0.4">
      <c r="A43" s="194" t="s">
        <v>169</v>
      </c>
      <c r="B43" s="195"/>
      <c r="C43" s="195"/>
      <c r="D43" s="151" t="s">
        <v>130</v>
      </c>
      <c r="E43" s="95">
        <f>'16'!F43</f>
        <v>82824</v>
      </c>
      <c r="F43" s="145">
        <v>85043.15</v>
      </c>
      <c r="G43" s="112">
        <f t="shared" si="3"/>
        <v>2219.1499999999942</v>
      </c>
      <c r="H43" s="99">
        <f>G43+'16'!H43</f>
        <v>37782.149999999994</v>
      </c>
      <c r="I43" s="95"/>
      <c r="J43" s="175">
        <f>H43/DAY(B2)</f>
        <v>2222.4794117647057</v>
      </c>
      <c r="K43" s="79"/>
      <c r="L43" s="66"/>
      <c r="N43" s="87"/>
      <c r="O43" s="71"/>
    </row>
    <row r="44" spans="1:15" ht="27.75" customHeight="1" x14ac:dyDescent="0.4">
      <c r="A44" s="194" t="s">
        <v>170</v>
      </c>
      <c r="B44" s="195"/>
      <c r="C44" s="195"/>
      <c r="D44" s="151" t="s">
        <v>130</v>
      </c>
      <c r="E44" s="95">
        <f>'16'!F44</f>
        <v>0</v>
      </c>
      <c r="F44" s="145">
        <v>0</v>
      </c>
      <c r="G44" s="112">
        <f t="shared" si="3"/>
        <v>0</v>
      </c>
      <c r="H44" s="99">
        <f>G44+'16'!H44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27.75" customHeight="1" x14ac:dyDescent="0.4">
      <c r="A45" s="194" t="s">
        <v>171</v>
      </c>
      <c r="B45" s="195"/>
      <c r="C45" s="195"/>
      <c r="D45" s="151" t="s">
        <v>130</v>
      </c>
      <c r="E45" s="95">
        <f>'16'!F45</f>
        <v>0</v>
      </c>
      <c r="F45" s="145">
        <v>0</v>
      </c>
      <c r="G45" s="112">
        <f t="shared" si="3"/>
        <v>0</v>
      </c>
      <c r="H45" s="99">
        <f>G45+'16'!H45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27.75" customHeight="1" x14ac:dyDescent="0.4">
      <c r="A46" s="194" t="s">
        <v>172</v>
      </c>
      <c r="B46" s="195"/>
      <c r="C46" s="195"/>
      <c r="D46" s="151" t="s">
        <v>130</v>
      </c>
      <c r="E46" s="95">
        <f>'16'!F46</f>
        <v>0</v>
      </c>
      <c r="F46" s="145">
        <v>0</v>
      </c>
      <c r="G46" s="112">
        <f t="shared" si="3"/>
        <v>0</v>
      </c>
      <c r="H46" s="99">
        <f>G46+'16'!H46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27.75" customHeight="1" x14ac:dyDescent="0.5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10392.789999999994</v>
      </c>
      <c r="H47" s="99">
        <f>G47+'16'!H47</f>
        <v>183165.39</v>
      </c>
      <c r="I47" s="95"/>
      <c r="J47" s="175">
        <f>H47/DAY(B2)</f>
        <v>10774.434705882353</v>
      </c>
      <c r="K47" s="79"/>
      <c r="L47" s="66"/>
      <c r="N47" s="87"/>
      <c r="O47" s="71"/>
    </row>
    <row r="48" spans="1:15" ht="27.75" customHeight="1" x14ac:dyDescent="0.5">
      <c r="A48" s="214" t="s">
        <v>174</v>
      </c>
      <c r="B48" s="349"/>
      <c r="C48" s="349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27.75" customHeight="1" x14ac:dyDescent="0.4">
      <c r="A49" s="194" t="s">
        <v>161</v>
      </c>
      <c r="B49" s="217"/>
      <c r="C49" s="217"/>
      <c r="D49" s="151" t="s">
        <v>130</v>
      </c>
      <c r="E49" s="95">
        <f>'16'!F49</f>
        <v>9977</v>
      </c>
      <c r="F49" s="145">
        <v>11344.61</v>
      </c>
      <c r="G49" s="112">
        <f t="shared" ref="G49:G58" si="4">F49-E49</f>
        <v>1367.6100000000006</v>
      </c>
      <c r="H49" s="99">
        <f>G49+'16'!H49</f>
        <v>24465.61</v>
      </c>
      <c r="I49" s="95"/>
      <c r="J49" s="175">
        <f>H49/DAY(B2)</f>
        <v>1439.1535294117648</v>
      </c>
      <c r="K49" s="79"/>
      <c r="L49" s="66"/>
      <c r="N49" s="87"/>
      <c r="O49" s="71"/>
    </row>
    <row r="50" spans="1:15" ht="27.75" customHeight="1" x14ac:dyDescent="0.4">
      <c r="A50" s="194" t="s">
        <v>175</v>
      </c>
      <c r="B50" s="217"/>
      <c r="C50" s="217"/>
      <c r="D50" s="151" t="s">
        <v>130</v>
      </c>
      <c r="E50" s="95">
        <f>'16'!F50</f>
        <v>40286</v>
      </c>
      <c r="F50" s="145">
        <v>41124.53</v>
      </c>
      <c r="G50" s="112">
        <f t="shared" si="4"/>
        <v>838.52999999999884</v>
      </c>
      <c r="H50" s="99">
        <f>G50+'16'!H50</f>
        <v>16474.53</v>
      </c>
      <c r="I50" s="95"/>
      <c r="J50" s="175">
        <f>H50/DAY(B2)</f>
        <v>969.08999999999992</v>
      </c>
      <c r="K50" s="79"/>
      <c r="L50" s="66"/>
      <c r="N50" s="87"/>
      <c r="O50" s="71"/>
    </row>
    <row r="51" spans="1:15" ht="27.75" customHeight="1" x14ac:dyDescent="0.4">
      <c r="A51" s="194" t="s">
        <v>163</v>
      </c>
      <c r="B51" s="217"/>
      <c r="C51" s="217"/>
      <c r="D51" s="151" t="s">
        <v>130</v>
      </c>
      <c r="E51" s="95">
        <f>'16'!F51</f>
        <v>0</v>
      </c>
      <c r="F51" s="145">
        <v>0</v>
      </c>
      <c r="G51" s="112">
        <f t="shared" si="4"/>
        <v>0</v>
      </c>
      <c r="H51" s="99">
        <f>G51+'16'!H51</f>
        <v>0</v>
      </c>
      <c r="I51" s="95"/>
      <c r="J51" s="175">
        <f>H51/DAY(B2)</f>
        <v>0</v>
      </c>
      <c r="K51" s="79"/>
      <c r="L51" s="66"/>
      <c r="N51" s="87"/>
      <c r="O51" s="71"/>
    </row>
    <row r="52" spans="1:15" ht="27.75" customHeight="1" x14ac:dyDescent="0.4">
      <c r="A52" s="194" t="s">
        <v>176</v>
      </c>
      <c r="B52" s="217"/>
      <c r="C52" s="217"/>
      <c r="D52" s="151" t="s">
        <v>130</v>
      </c>
      <c r="E52" s="95">
        <f>'16'!F52</f>
        <v>0</v>
      </c>
      <c r="F52" s="145">
        <v>0</v>
      </c>
      <c r="G52" s="112">
        <f t="shared" si="4"/>
        <v>0</v>
      </c>
      <c r="H52" s="99">
        <f>G52+'16'!H52</f>
        <v>0</v>
      </c>
      <c r="I52" s="95"/>
      <c r="J52" s="175">
        <f>H52/DAY(B2)</f>
        <v>0</v>
      </c>
      <c r="K52" s="79"/>
      <c r="L52" s="66"/>
      <c r="N52" s="87"/>
      <c r="O52" s="71"/>
    </row>
    <row r="53" spans="1:15" ht="27.75" customHeight="1" x14ac:dyDescent="0.4">
      <c r="A53" s="194" t="s">
        <v>165</v>
      </c>
      <c r="B53" s="217"/>
      <c r="C53" s="217"/>
      <c r="D53" s="151" t="s">
        <v>130</v>
      </c>
      <c r="E53" s="95">
        <f>'16'!F53</f>
        <v>0</v>
      </c>
      <c r="F53" s="145">
        <v>0</v>
      </c>
      <c r="G53" s="112">
        <f t="shared" si="4"/>
        <v>0</v>
      </c>
      <c r="H53" s="99">
        <f>G53+'16'!H53</f>
        <v>0</v>
      </c>
      <c r="I53" s="95"/>
      <c r="J53" s="175">
        <f>H53/DAY(B2)</f>
        <v>0</v>
      </c>
      <c r="K53" s="79"/>
      <c r="L53" s="66"/>
      <c r="N53" s="87"/>
      <c r="O53" s="71"/>
    </row>
    <row r="54" spans="1:15" ht="27.75" customHeight="1" x14ac:dyDescent="0.4">
      <c r="A54" s="194" t="s">
        <v>177</v>
      </c>
      <c r="B54" s="217"/>
      <c r="C54" s="217"/>
      <c r="D54" s="151" t="s">
        <v>130</v>
      </c>
      <c r="E54" s="95">
        <f>'16'!F54</f>
        <v>4227</v>
      </c>
      <c r="F54" s="145">
        <v>4789.7</v>
      </c>
      <c r="G54" s="112">
        <f t="shared" si="4"/>
        <v>562.69999999999982</v>
      </c>
      <c r="H54" s="99">
        <f>G54+'16'!H54</f>
        <v>6556.78</v>
      </c>
      <c r="I54" s="95"/>
      <c r="J54" s="175">
        <f>H54/DAY(B2)</f>
        <v>385.69294117647058</v>
      </c>
      <c r="K54" s="79"/>
      <c r="L54" s="66"/>
      <c r="N54" s="87"/>
      <c r="O54" s="71"/>
    </row>
    <row r="55" spans="1:15" ht="27.75" customHeight="1" x14ac:dyDescent="0.4">
      <c r="A55" s="194" t="s">
        <v>178</v>
      </c>
      <c r="B55" s="217"/>
      <c r="C55" s="217"/>
      <c r="D55" s="151" t="s">
        <v>130</v>
      </c>
      <c r="E55" s="95">
        <f>'16'!F55</f>
        <v>51744</v>
      </c>
      <c r="F55" s="145">
        <v>54749.17</v>
      </c>
      <c r="G55" s="112">
        <f t="shared" si="4"/>
        <v>3005.1699999999983</v>
      </c>
      <c r="H55" s="99">
        <f>G55+'16'!H55</f>
        <v>51238.17</v>
      </c>
      <c r="I55" s="95"/>
      <c r="J55" s="175">
        <f>H55/DAY(B2)</f>
        <v>3014.0099999999998</v>
      </c>
      <c r="K55" s="79"/>
      <c r="L55" s="66"/>
      <c r="N55" s="87"/>
      <c r="O55" s="71"/>
    </row>
    <row r="56" spans="1:15" ht="27.75" customHeight="1" x14ac:dyDescent="0.4">
      <c r="A56" s="194" t="s">
        <v>179</v>
      </c>
      <c r="B56" s="217"/>
      <c r="C56" s="217"/>
      <c r="D56" s="151" t="s">
        <v>180</v>
      </c>
      <c r="E56" s="95">
        <f>'16'!F56</f>
        <v>8610.5400000000009</v>
      </c>
      <c r="F56" s="145">
        <v>8610.5400000000009</v>
      </c>
      <c r="G56" s="112">
        <f t="shared" si="4"/>
        <v>0</v>
      </c>
      <c r="H56" s="99">
        <f>G56+'16'!H56</f>
        <v>0</v>
      </c>
      <c r="I56" s="95"/>
      <c r="J56" s="175">
        <f>H56/DAY(B2)</f>
        <v>0</v>
      </c>
      <c r="K56" s="78"/>
      <c r="L56" s="66"/>
      <c r="N56" s="87"/>
      <c r="O56" s="71"/>
    </row>
    <row r="57" spans="1:15" ht="27.75" customHeight="1" x14ac:dyDescent="0.4">
      <c r="A57" s="194" t="s">
        <v>169</v>
      </c>
      <c r="B57" s="217"/>
      <c r="C57" s="217"/>
      <c r="D57" s="151" t="s">
        <v>130</v>
      </c>
      <c r="E57" s="95">
        <f>'16'!F57</f>
        <v>0</v>
      </c>
      <c r="F57" s="145">
        <v>0</v>
      </c>
      <c r="G57" s="112">
        <f t="shared" si="4"/>
        <v>0</v>
      </c>
      <c r="H57" s="99">
        <f>G57+'16'!H57</f>
        <v>0</v>
      </c>
      <c r="I57" s="95"/>
      <c r="J57" s="175">
        <f>H57/DAY(B2)</f>
        <v>0</v>
      </c>
      <c r="K57" s="79"/>
      <c r="L57" s="66"/>
      <c r="N57" s="87"/>
      <c r="O57" s="71"/>
    </row>
    <row r="58" spans="1:15" ht="27.75" customHeight="1" x14ac:dyDescent="0.4">
      <c r="A58" s="194" t="s">
        <v>181</v>
      </c>
      <c r="B58" s="217"/>
      <c r="C58" s="217"/>
      <c r="D58" s="151" t="s">
        <v>130</v>
      </c>
      <c r="E58" s="95">
        <f>'16'!F58</f>
        <v>1999</v>
      </c>
      <c r="F58" s="145">
        <v>2016.6</v>
      </c>
      <c r="G58" s="112">
        <f t="shared" si="4"/>
        <v>17.599999999999909</v>
      </c>
      <c r="H58" s="99">
        <f>G58+'16'!H58</f>
        <v>2357.2300000000046</v>
      </c>
      <c r="I58" s="95"/>
      <c r="J58" s="175">
        <f>H58/DAY(B2)</f>
        <v>138.6605882352944</v>
      </c>
      <c r="K58" s="79"/>
      <c r="L58" s="66"/>
      <c r="N58" s="87"/>
      <c r="O58" s="71"/>
    </row>
    <row r="59" spans="1:15" ht="27.75" customHeight="1" x14ac:dyDescent="0.5">
      <c r="A59" s="201" t="s">
        <v>173</v>
      </c>
      <c r="B59" s="202"/>
      <c r="C59" s="202"/>
      <c r="D59" s="146"/>
      <c r="E59" s="146"/>
      <c r="F59" s="146"/>
      <c r="G59" s="119">
        <f>G49+G50+G51+G52+G53+G54+G55+G56+G57+G58</f>
        <v>5791.6099999999969</v>
      </c>
      <c r="H59" s="99">
        <f>G59+'16'!H59</f>
        <v>101092.32000000002</v>
      </c>
      <c r="I59" s="95">
        <f>G7-G60</f>
        <v>1269.6000000000095</v>
      </c>
      <c r="J59" s="175">
        <f>H59/DAY(B2)</f>
        <v>5946.6070588235307</v>
      </c>
      <c r="K59" s="79"/>
      <c r="L59" s="66"/>
      <c r="N59" s="87"/>
      <c r="O59" s="71"/>
    </row>
    <row r="60" spans="1:15" ht="27.75" customHeight="1" x14ac:dyDescent="0.4">
      <c r="A60" s="194"/>
      <c r="B60" s="195"/>
      <c r="C60" s="195"/>
      <c r="D60" s="146" t="s">
        <v>182</v>
      </c>
      <c r="E60" s="146"/>
      <c r="F60" s="146"/>
      <c r="G60" s="119">
        <f>G47+G59</f>
        <v>16184.399999999991</v>
      </c>
      <c r="H60" s="99">
        <f>G60+'16'!H60</f>
        <v>284257.70999999996</v>
      </c>
      <c r="I60" s="95">
        <f>G13-G60</f>
        <v>784.2400000000016</v>
      </c>
      <c r="J60" s="175">
        <f>H60/DAY(B2)</f>
        <v>16721.041764705878</v>
      </c>
      <c r="K60" s="79"/>
      <c r="L60" s="66"/>
      <c r="N60" s="87"/>
      <c r="O60" s="71"/>
    </row>
    <row r="61" spans="1:15" s="68" customFormat="1" ht="27.75" customHeight="1" x14ac:dyDescent="0.5">
      <c r="A61" s="837" t="s">
        <v>332</v>
      </c>
      <c r="B61" s="838"/>
      <c r="C61" s="839"/>
      <c r="D61" s="339"/>
      <c r="E61" s="339"/>
      <c r="F61" s="339"/>
      <c r="G61" s="340"/>
      <c r="H61" s="339"/>
      <c r="I61" s="339"/>
      <c r="J61" s="341"/>
      <c r="K61" s="69"/>
      <c r="L61" s="67"/>
      <c r="N61" s="87"/>
      <c r="O61" s="71"/>
    </row>
    <row r="62" spans="1:15" ht="27.75" customHeight="1" x14ac:dyDescent="0.5">
      <c r="A62" s="818" t="s">
        <v>198</v>
      </c>
      <c r="B62" s="819"/>
      <c r="C62" s="820"/>
      <c r="D62" s="151" t="s">
        <v>142</v>
      </c>
      <c r="E62" s="95">
        <f>'16'!F62</f>
        <v>268173</v>
      </c>
      <c r="F62" s="122">
        <v>268239</v>
      </c>
      <c r="G62" s="112">
        <f t="shared" ref="G62:G63" si="5">F62-E62</f>
        <v>66</v>
      </c>
      <c r="H62" s="99">
        <f>G62+'16'!H62</f>
        <v>1026</v>
      </c>
      <c r="I62" s="118"/>
      <c r="J62" s="175">
        <f>H62/DAY(B2)</f>
        <v>60.352941176470587</v>
      </c>
      <c r="K62" s="80"/>
      <c r="L62" s="66"/>
      <c r="N62" s="87"/>
      <c r="O62" s="71"/>
    </row>
    <row r="63" spans="1:15" ht="27.75" customHeight="1" x14ac:dyDescent="0.5">
      <c r="A63" s="818" t="s">
        <v>199</v>
      </c>
      <c r="B63" s="819"/>
      <c r="C63" s="820"/>
      <c r="D63" s="151" t="s">
        <v>142</v>
      </c>
      <c r="E63" s="95">
        <f>'16'!F63</f>
        <v>214034</v>
      </c>
      <c r="F63" s="122">
        <v>214118</v>
      </c>
      <c r="G63" s="112">
        <f t="shared" si="5"/>
        <v>84</v>
      </c>
      <c r="H63" s="99">
        <f>G63+'16'!H63</f>
        <v>1693</v>
      </c>
      <c r="I63" s="118"/>
      <c r="J63" s="175">
        <f>H63/DAY(B2)</f>
        <v>99.588235294117652</v>
      </c>
      <c r="K63" s="69"/>
      <c r="L63" s="66"/>
      <c r="N63" s="87"/>
      <c r="O63" s="71"/>
    </row>
    <row r="64" spans="1:15" ht="27.75" customHeight="1" x14ac:dyDescent="0.5">
      <c r="A64" s="815" t="s">
        <v>200</v>
      </c>
      <c r="B64" s="816"/>
      <c r="C64" s="817"/>
      <c r="D64" s="151"/>
      <c r="E64" s="95">
        <f>'16'!F64</f>
        <v>0</v>
      </c>
      <c r="F64" s="122"/>
      <c r="G64" s="112">
        <f>G62+G63</f>
        <v>150</v>
      </c>
      <c r="H64" s="99">
        <f>G64+'16'!H64</f>
        <v>2719</v>
      </c>
      <c r="I64" s="118"/>
      <c r="J64" s="175">
        <f>H64/DAY(B2)</f>
        <v>159.94117647058823</v>
      </c>
      <c r="K64" s="69"/>
      <c r="L64" s="66"/>
      <c r="N64" s="87"/>
      <c r="O64" s="71"/>
    </row>
    <row r="65" spans="1:15" ht="27.75" customHeight="1" x14ac:dyDescent="0.5">
      <c r="A65" s="818" t="s">
        <v>201</v>
      </c>
      <c r="B65" s="819"/>
      <c r="C65" s="820"/>
      <c r="D65" s="151" t="s">
        <v>142</v>
      </c>
      <c r="E65" s="95">
        <f>'16'!F65</f>
        <v>433727</v>
      </c>
      <c r="F65" s="122">
        <v>433792</v>
      </c>
      <c r="G65" s="112">
        <f t="shared" ref="G65:G70" si="6">F65-E65</f>
        <v>65</v>
      </c>
      <c r="H65" s="99">
        <f>G65+'16'!H65</f>
        <v>1178</v>
      </c>
      <c r="I65" s="118"/>
      <c r="J65" s="175">
        <f>H65/DAY(B2)</f>
        <v>69.294117647058826</v>
      </c>
      <c r="K65" s="69"/>
      <c r="L65" s="66"/>
      <c r="N65" s="87"/>
      <c r="O65" s="71"/>
    </row>
    <row r="66" spans="1:15" ht="27.75" customHeight="1" x14ac:dyDescent="0.5">
      <c r="A66" s="345" t="s">
        <v>202</v>
      </c>
      <c r="B66" s="346"/>
      <c r="C66" s="346"/>
      <c r="D66" s="151" t="s">
        <v>142</v>
      </c>
      <c r="E66" s="95">
        <f>'16'!F66</f>
        <v>107493</v>
      </c>
      <c r="F66" s="122">
        <v>107508</v>
      </c>
      <c r="G66" s="112">
        <f t="shared" si="6"/>
        <v>15</v>
      </c>
      <c r="H66" s="99">
        <f>G66+'16'!H66</f>
        <v>294</v>
      </c>
      <c r="I66" s="118"/>
      <c r="J66" s="175">
        <f>H66/DAY(B2)</f>
        <v>17.294117647058822</v>
      </c>
      <c r="K66" s="78"/>
      <c r="L66" s="66"/>
      <c r="N66" s="87"/>
      <c r="O66" s="71"/>
    </row>
    <row r="67" spans="1:15" ht="27.75" customHeight="1" x14ac:dyDescent="0.5">
      <c r="A67" s="345" t="s">
        <v>203</v>
      </c>
      <c r="B67" s="346"/>
      <c r="C67" s="346"/>
      <c r="D67" s="151" t="s">
        <v>142</v>
      </c>
      <c r="E67" s="95">
        <f>'16'!F67</f>
        <v>104303</v>
      </c>
      <c r="F67" s="122">
        <v>104322</v>
      </c>
      <c r="G67" s="112">
        <f t="shared" si="6"/>
        <v>19</v>
      </c>
      <c r="H67" s="99">
        <f>G67+'16'!H67</f>
        <v>394</v>
      </c>
      <c r="I67" s="118"/>
      <c r="J67" s="175">
        <f>H67/DAY(B2)</f>
        <v>23.176470588235293</v>
      </c>
      <c r="K67" s="81"/>
      <c r="L67" s="66"/>
      <c r="N67" s="87"/>
      <c r="O67" s="71"/>
    </row>
    <row r="68" spans="1:15" ht="27.75" customHeight="1" x14ac:dyDescent="0.5">
      <c r="A68" s="345" t="s">
        <v>204</v>
      </c>
      <c r="B68" s="346"/>
      <c r="C68" s="346"/>
      <c r="D68" s="151" t="s">
        <v>142</v>
      </c>
      <c r="E68" s="95">
        <f>'16'!F68</f>
        <v>157037</v>
      </c>
      <c r="F68" s="122">
        <v>157058</v>
      </c>
      <c r="G68" s="112">
        <f t="shared" si="6"/>
        <v>21</v>
      </c>
      <c r="H68" s="99">
        <f>G68+'16'!H68</f>
        <v>438</v>
      </c>
      <c r="I68" s="118"/>
      <c r="J68" s="175">
        <f>H68/DAY(B2)</f>
        <v>25.764705882352942</v>
      </c>
      <c r="K68" s="69"/>
      <c r="L68" s="66"/>
      <c r="N68" s="87"/>
      <c r="O68" s="71"/>
    </row>
    <row r="69" spans="1:15" ht="27.75" customHeight="1" x14ac:dyDescent="0.5">
      <c r="A69" s="345" t="s">
        <v>205</v>
      </c>
      <c r="B69" s="346"/>
      <c r="C69" s="346"/>
      <c r="D69" s="151" t="s">
        <v>142</v>
      </c>
      <c r="E69" s="95">
        <f>'16'!F69</f>
        <v>10369</v>
      </c>
      <c r="F69" s="122">
        <v>10377</v>
      </c>
      <c r="G69" s="112">
        <f t="shared" si="6"/>
        <v>8</v>
      </c>
      <c r="H69" s="99">
        <f>G69+'16'!H69</f>
        <v>163</v>
      </c>
      <c r="I69" s="118"/>
      <c r="J69" s="175">
        <f>H69/DAY(B2)</f>
        <v>9.5882352941176467</v>
      </c>
      <c r="K69" s="69"/>
      <c r="L69" s="66"/>
      <c r="N69" s="87"/>
      <c r="O69" s="71"/>
    </row>
    <row r="70" spans="1:15" ht="27.75" customHeight="1" x14ac:dyDescent="0.5">
      <c r="A70" s="345" t="s">
        <v>206</v>
      </c>
      <c r="B70" s="346"/>
      <c r="C70" s="346"/>
      <c r="D70" s="151" t="s">
        <v>142</v>
      </c>
      <c r="E70" s="95">
        <f>'16'!F70</f>
        <v>7984</v>
      </c>
      <c r="F70" s="122">
        <v>7991</v>
      </c>
      <c r="G70" s="112">
        <f t="shared" si="6"/>
        <v>7</v>
      </c>
      <c r="H70" s="99">
        <f>G70+'16'!H70</f>
        <v>129</v>
      </c>
      <c r="I70" s="118"/>
      <c r="J70" s="175">
        <f>H70/DAY(B2)</f>
        <v>7.5882352941176467</v>
      </c>
      <c r="K70" s="69"/>
      <c r="L70" s="66"/>
      <c r="N70" s="87"/>
      <c r="O70" s="71"/>
    </row>
    <row r="71" spans="1:15" ht="27.75" customHeight="1" x14ac:dyDescent="0.5">
      <c r="A71" s="815" t="s">
        <v>208</v>
      </c>
      <c r="B71" s="816"/>
      <c r="C71" s="817"/>
      <c r="D71" s="152"/>
      <c r="E71" s="152"/>
      <c r="F71" s="152"/>
      <c r="G71" s="153">
        <f>SUM(G65:G70)</f>
        <v>135</v>
      </c>
      <c r="H71" s="99">
        <f>G71+'16'!H71</f>
        <v>2596</v>
      </c>
      <c r="I71" s="154"/>
      <c r="J71" s="175">
        <f>H71/DAY(B2)</f>
        <v>152.70588235294119</v>
      </c>
      <c r="K71" s="69"/>
      <c r="L71" s="66"/>
      <c r="N71" s="87"/>
      <c r="O71" s="71"/>
    </row>
    <row r="72" spans="1:15" s="88" customFormat="1" ht="27.75" customHeight="1" x14ac:dyDescent="0.5">
      <c r="A72" s="861"/>
      <c r="B72" s="853"/>
      <c r="C72" s="347"/>
      <c r="D72" s="180"/>
      <c r="E72" s="180" t="s">
        <v>207</v>
      </c>
      <c r="F72" s="180"/>
      <c r="G72" s="180"/>
      <c r="H72" s="181"/>
      <c r="I72" s="180"/>
      <c r="J72" s="182"/>
      <c r="N72" s="87"/>
      <c r="O72" s="71"/>
    </row>
    <row r="73" spans="1:15" ht="27.75" customHeight="1" x14ac:dyDescent="0.5">
      <c r="A73" s="866" t="s">
        <v>333</v>
      </c>
      <c r="B73" s="867"/>
      <c r="C73" s="868"/>
      <c r="D73" s="339"/>
      <c r="E73" s="339"/>
      <c r="F73" s="339"/>
      <c r="G73" s="342"/>
      <c r="H73" s="342"/>
      <c r="I73" s="342"/>
      <c r="J73" s="343"/>
      <c r="K73" s="69"/>
      <c r="L73" s="66"/>
      <c r="N73" s="87"/>
      <c r="O73" s="71"/>
    </row>
    <row r="74" spans="1:15" ht="27.75" customHeight="1" x14ac:dyDescent="0.5">
      <c r="A74" s="818" t="s">
        <v>220</v>
      </c>
      <c r="B74" s="819"/>
      <c r="C74" s="820"/>
      <c r="D74" s="151" t="s">
        <v>139</v>
      </c>
      <c r="E74" s="95">
        <f>'16'!F74</f>
        <v>896773</v>
      </c>
      <c r="F74" s="117">
        <v>897080.9</v>
      </c>
      <c r="G74" s="112">
        <f t="shared" ref="G74:G78" si="7">F74-E74</f>
        <v>307.90000000002328</v>
      </c>
      <c r="H74" s="99">
        <f>G74+'16'!H74</f>
        <v>5048.9000000000233</v>
      </c>
      <c r="I74" s="154"/>
      <c r="J74" s="175">
        <f>H74/DAY(B2)</f>
        <v>296.99411764706019</v>
      </c>
      <c r="K74" s="69"/>
      <c r="L74" s="66"/>
      <c r="N74" s="87"/>
      <c r="O74" s="71"/>
    </row>
    <row r="75" spans="1:15" ht="27.75" customHeight="1" x14ac:dyDescent="0.5">
      <c r="A75" s="818" t="s">
        <v>221</v>
      </c>
      <c r="B75" s="819"/>
      <c r="C75" s="820"/>
      <c r="D75" s="151" t="s">
        <v>139</v>
      </c>
      <c r="E75" s="95">
        <f>'16'!F75</f>
        <v>73587</v>
      </c>
      <c r="F75" s="123">
        <v>73586.8</v>
      </c>
      <c r="G75" s="112">
        <f t="shared" si="7"/>
        <v>-0.19999999999708962</v>
      </c>
      <c r="H75" s="99">
        <f>G75+'16'!H75</f>
        <v>0</v>
      </c>
      <c r="I75" s="154"/>
      <c r="J75" s="175">
        <f>H75/DAY(B2)</f>
        <v>0</v>
      </c>
      <c r="K75" s="69"/>
      <c r="L75" s="66"/>
      <c r="N75" s="87"/>
      <c r="O75" s="71"/>
    </row>
    <row r="76" spans="1:15" ht="27.75" customHeight="1" x14ac:dyDescent="0.5">
      <c r="A76" s="862" t="s">
        <v>222</v>
      </c>
      <c r="B76" s="848"/>
      <c r="C76" s="849"/>
      <c r="D76" s="151" t="s">
        <v>139</v>
      </c>
      <c r="E76" s="95">
        <f>'16'!F76</f>
        <v>168557</v>
      </c>
      <c r="F76" s="123">
        <v>168630.5</v>
      </c>
      <c r="G76" s="112">
        <f t="shared" si="7"/>
        <v>73.5</v>
      </c>
      <c r="H76" s="99">
        <f>G76+'16'!H76</f>
        <v>1423.5</v>
      </c>
      <c r="I76" s="154"/>
      <c r="J76" s="175">
        <f>H76/DAY(B2)</f>
        <v>83.735294117647058</v>
      </c>
      <c r="K76" s="69"/>
      <c r="L76" s="66"/>
      <c r="N76" s="87"/>
      <c r="O76" s="71"/>
    </row>
    <row r="77" spans="1:15" ht="27.75" customHeight="1" x14ac:dyDescent="0.5">
      <c r="A77" s="862" t="s">
        <v>223</v>
      </c>
      <c r="B77" s="848"/>
      <c r="C77" s="849"/>
      <c r="D77" s="151" t="s">
        <v>139</v>
      </c>
      <c r="E77" s="95">
        <f>'16'!F77</f>
        <v>40798</v>
      </c>
      <c r="F77" s="123">
        <v>40821.300000000003</v>
      </c>
      <c r="G77" s="112">
        <f t="shared" si="7"/>
        <v>23.30000000000291</v>
      </c>
      <c r="H77" s="99">
        <f>G77+'16'!H77</f>
        <v>505.30000000000291</v>
      </c>
      <c r="I77" s="154"/>
      <c r="J77" s="175">
        <f>H77/DAY(B2)</f>
        <v>29.723529411764876</v>
      </c>
      <c r="K77" s="69"/>
      <c r="L77" s="66"/>
      <c r="N77" s="87"/>
      <c r="O77" s="71"/>
    </row>
    <row r="78" spans="1:15" ht="27.75" customHeight="1" x14ac:dyDescent="0.5">
      <c r="A78" s="862" t="s">
        <v>224</v>
      </c>
      <c r="B78" s="848"/>
      <c r="C78" s="849"/>
      <c r="D78" s="151" t="s">
        <v>139</v>
      </c>
      <c r="E78" s="95">
        <f>'16'!F78</f>
        <v>9499</v>
      </c>
      <c r="F78" s="123">
        <v>9499</v>
      </c>
      <c r="G78" s="112">
        <f t="shared" si="7"/>
        <v>0</v>
      </c>
      <c r="H78" s="99">
        <f>G78+'16'!H78</f>
        <v>13</v>
      </c>
      <c r="I78" s="118"/>
      <c r="J78" s="175">
        <f>H78/DAY(B2)</f>
        <v>0.76470588235294112</v>
      </c>
      <c r="K78" s="69"/>
      <c r="L78" s="66"/>
      <c r="N78" s="87"/>
      <c r="O78" s="71"/>
    </row>
    <row r="79" spans="1:15" s="57" customFormat="1" ht="27.75" customHeight="1" x14ac:dyDescent="0.5">
      <c r="A79" s="862" t="s">
        <v>225</v>
      </c>
      <c r="B79" s="848"/>
      <c r="C79" s="849"/>
      <c r="D79" s="151"/>
      <c r="E79" s="95">
        <f>'16'!F79</f>
        <v>0</v>
      </c>
      <c r="F79" s="123"/>
      <c r="G79" s="112">
        <f>G15-SUM(G74:G78)</f>
        <v>329.7730000000156</v>
      </c>
      <c r="H79" s="99">
        <f>G79+'16'!H79</f>
        <v>7919.5730000000185</v>
      </c>
      <c r="I79" s="118"/>
      <c r="J79" s="175"/>
      <c r="K79" s="59"/>
      <c r="L79" s="58"/>
      <c r="N79" s="87"/>
      <c r="O79" s="71"/>
    </row>
    <row r="80" spans="1:15" s="57" customFormat="1" ht="27.75" customHeight="1" x14ac:dyDescent="0.5">
      <c r="A80" s="815" t="s">
        <v>329</v>
      </c>
      <c r="B80" s="816"/>
      <c r="C80" s="817"/>
      <c r="D80" s="151"/>
      <c r="E80" s="117"/>
      <c r="F80" s="117"/>
      <c r="G80" s="112">
        <f>SUM(G74:G79)</f>
        <v>734.2730000000447</v>
      </c>
      <c r="H80" s="99"/>
      <c r="I80" s="118"/>
      <c r="J80" s="175"/>
      <c r="K80" s="59"/>
      <c r="L80" s="58"/>
      <c r="N80" s="87"/>
      <c r="O80" s="71"/>
    </row>
    <row r="81" spans="1:15" ht="27.75" customHeight="1" x14ac:dyDescent="0.4">
      <c r="A81" s="854" t="s">
        <v>226</v>
      </c>
      <c r="B81" s="855"/>
      <c r="C81" s="856"/>
      <c r="D81" s="110"/>
      <c r="E81" s="110"/>
      <c r="F81" s="110"/>
      <c r="G81" s="163"/>
      <c r="H81" s="163"/>
      <c r="I81" s="163"/>
      <c r="J81" s="184"/>
      <c r="O81" s="71"/>
    </row>
    <row r="82" spans="1:15" ht="27.75" customHeight="1" x14ac:dyDescent="0.5">
      <c r="A82" s="345" t="s">
        <v>227</v>
      </c>
      <c r="B82" s="346"/>
      <c r="C82" s="346"/>
      <c r="D82" s="151" t="s">
        <v>228</v>
      </c>
      <c r="E82" s="95">
        <f>'16'!F82</f>
        <v>0</v>
      </c>
      <c r="F82" s="122">
        <v>0</v>
      </c>
      <c r="G82" s="112">
        <f t="shared" ref="G82:G92" si="8">F82-E82</f>
        <v>0</v>
      </c>
      <c r="H82" s="99">
        <f>G82+'16'!H82</f>
        <v>0</v>
      </c>
      <c r="I82" s="118"/>
      <c r="J82" s="175">
        <f>H82/DAY(B2)</f>
        <v>0</v>
      </c>
      <c r="O82" s="71"/>
    </row>
    <row r="83" spans="1:15" ht="27.75" customHeight="1" x14ac:dyDescent="0.5">
      <c r="A83" s="345" t="s">
        <v>229</v>
      </c>
      <c r="B83" s="346"/>
      <c r="C83" s="346"/>
      <c r="D83" s="151" t="s">
        <v>228</v>
      </c>
      <c r="E83" s="95">
        <f>'16'!F83</f>
        <v>0</v>
      </c>
      <c r="F83" s="122">
        <v>0</v>
      </c>
      <c r="G83" s="112">
        <f t="shared" si="8"/>
        <v>0</v>
      </c>
      <c r="H83" s="99">
        <f>G83+'16'!H83</f>
        <v>0</v>
      </c>
      <c r="I83" s="118"/>
      <c r="J83" s="175">
        <f>H83/DAY(B2)</f>
        <v>0</v>
      </c>
      <c r="O83" s="71"/>
    </row>
    <row r="84" spans="1:15" ht="27.75" customHeight="1" x14ac:dyDescent="0.5">
      <c r="A84" s="345" t="s">
        <v>230</v>
      </c>
      <c r="B84" s="346"/>
      <c r="C84" s="346"/>
      <c r="D84" s="151" t="s">
        <v>228</v>
      </c>
      <c r="E84" s="95">
        <f>'16'!F84</f>
        <v>41675</v>
      </c>
      <c r="F84" s="164">
        <v>41675.26</v>
      </c>
      <c r="G84" s="112">
        <f t="shared" si="8"/>
        <v>0.26000000000203727</v>
      </c>
      <c r="H84" s="99">
        <f>G84+'16'!H84</f>
        <v>0.26000000000203727</v>
      </c>
      <c r="I84" s="118"/>
      <c r="J84" s="175">
        <f>H84/DAY(B2)</f>
        <v>1.5294117647178663E-2</v>
      </c>
      <c r="O84" s="71"/>
    </row>
    <row r="85" spans="1:15" ht="27.75" customHeight="1" x14ac:dyDescent="0.5">
      <c r="A85" s="345" t="s">
        <v>231</v>
      </c>
      <c r="B85" s="346"/>
      <c r="C85" s="346"/>
      <c r="D85" s="151" t="s">
        <v>228</v>
      </c>
      <c r="E85" s="95">
        <f>'16'!F85</f>
        <v>2096.5500000000002</v>
      </c>
      <c r="F85" s="164">
        <v>2096.5500000000002</v>
      </c>
      <c r="G85" s="112">
        <f t="shared" si="8"/>
        <v>0</v>
      </c>
      <c r="H85" s="99">
        <f>G85+'16'!H85</f>
        <v>-9.9999999997635314E-3</v>
      </c>
      <c r="I85" s="118">
        <f>G82+G83+G84+G85</f>
        <v>0.26000000000203727</v>
      </c>
      <c r="J85" s="175">
        <f>H85/DAY(B2)</f>
        <v>-5.8823529410373713E-4</v>
      </c>
      <c r="O85" s="71"/>
    </row>
    <row r="86" spans="1:15" ht="27.75" customHeight="1" x14ac:dyDescent="0.5">
      <c r="A86" s="345" t="s">
        <v>232</v>
      </c>
      <c r="B86" s="346"/>
      <c r="C86" s="346"/>
      <c r="D86" s="151" t="s">
        <v>228</v>
      </c>
      <c r="E86" s="95">
        <f>'16'!F86</f>
        <v>43248</v>
      </c>
      <c r="F86" s="164">
        <v>43272.04</v>
      </c>
      <c r="G86" s="112">
        <f t="shared" si="8"/>
        <v>24.040000000000873</v>
      </c>
      <c r="H86" s="99">
        <f>G86+'16'!H86</f>
        <v>409.04000000000087</v>
      </c>
      <c r="I86" s="118"/>
      <c r="J86" s="175">
        <f>H86/DAY(B2)</f>
        <v>24.061176470588286</v>
      </c>
      <c r="O86" s="71"/>
    </row>
    <row r="87" spans="1:15" ht="27.75" customHeight="1" x14ac:dyDescent="0.5">
      <c r="A87" s="345" t="s">
        <v>233</v>
      </c>
      <c r="B87" s="346"/>
      <c r="C87" s="346"/>
      <c r="D87" s="151" t="s">
        <v>228</v>
      </c>
      <c r="E87" s="95">
        <f>'16'!F87</f>
        <v>34598.550000000003</v>
      </c>
      <c r="F87" s="164">
        <v>34598.550000000003</v>
      </c>
      <c r="G87" s="112">
        <f t="shared" si="8"/>
        <v>0</v>
      </c>
      <c r="H87" s="99">
        <f>G87+'16'!H87</f>
        <v>0</v>
      </c>
      <c r="I87" s="118"/>
      <c r="J87" s="175">
        <f>H87/DAY(B2)</f>
        <v>0</v>
      </c>
      <c r="O87" s="71"/>
    </row>
    <row r="88" spans="1:15" ht="27.75" customHeight="1" x14ac:dyDescent="0.5">
      <c r="A88" s="345" t="s">
        <v>234</v>
      </c>
      <c r="B88" s="346"/>
      <c r="C88" s="346"/>
      <c r="D88" s="151" t="s">
        <v>228</v>
      </c>
      <c r="E88" s="95">
        <f>'16'!F88</f>
        <v>24059.29</v>
      </c>
      <c r="F88" s="164">
        <v>24059.29</v>
      </c>
      <c r="G88" s="112">
        <f t="shared" si="8"/>
        <v>0</v>
      </c>
      <c r="H88" s="99">
        <f>G88+'16'!H88</f>
        <v>12.290000000000873</v>
      </c>
      <c r="I88" s="118">
        <f>G86+G87+G88</f>
        <v>24.040000000000873</v>
      </c>
      <c r="J88" s="175">
        <f>H88/DAY(B2)</f>
        <v>0.7229411764706396</v>
      </c>
      <c r="O88" s="71"/>
    </row>
    <row r="89" spans="1:15" ht="27.75" customHeight="1" x14ac:dyDescent="0.5">
      <c r="A89" s="345" t="s">
        <v>235</v>
      </c>
      <c r="B89" s="346"/>
      <c r="C89" s="346"/>
      <c r="D89" s="151" t="s">
        <v>228</v>
      </c>
      <c r="E89" s="95">
        <f>'16'!F89</f>
        <v>25761.09</v>
      </c>
      <c r="F89" s="164">
        <v>25764.63</v>
      </c>
      <c r="G89" s="112">
        <f t="shared" si="8"/>
        <v>3.5400000000008731</v>
      </c>
      <c r="H89" s="99">
        <f>G89+'16'!H89</f>
        <v>101.63000000000102</v>
      </c>
      <c r="I89" s="118"/>
      <c r="J89" s="175">
        <f>H89/DAY(B2)</f>
        <v>5.9782352941177068</v>
      </c>
      <c r="O89" s="71"/>
    </row>
    <row r="90" spans="1:15" ht="27.75" customHeight="1" x14ac:dyDescent="0.5">
      <c r="A90" s="345" t="s">
        <v>236</v>
      </c>
      <c r="B90" s="346"/>
      <c r="C90" s="346"/>
      <c r="D90" s="151" t="s">
        <v>228</v>
      </c>
      <c r="E90" s="95">
        <f>'16'!F90</f>
        <v>71126.16</v>
      </c>
      <c r="F90" s="164">
        <v>71131</v>
      </c>
      <c r="G90" s="112">
        <f t="shared" si="8"/>
        <v>4.8399999999965075</v>
      </c>
      <c r="H90" s="99">
        <f>G90+'16'!H90</f>
        <v>97</v>
      </c>
      <c r="I90" s="118">
        <f>G89+G90</f>
        <v>8.3799999999973807</v>
      </c>
      <c r="J90" s="175">
        <f>H90/DAY(B2)</f>
        <v>5.7058823529411766</v>
      </c>
      <c r="O90" s="71"/>
    </row>
    <row r="91" spans="1:15" ht="27.75" customHeight="1" x14ac:dyDescent="0.5">
      <c r="A91" s="345" t="s">
        <v>237</v>
      </c>
      <c r="B91" s="346"/>
      <c r="C91" s="346"/>
      <c r="D91" s="151" t="s">
        <v>228</v>
      </c>
      <c r="E91" s="95">
        <f>'16'!F91</f>
        <v>3226.32</v>
      </c>
      <c r="F91" s="122">
        <v>3226.32</v>
      </c>
      <c r="G91" s="112">
        <f t="shared" si="8"/>
        <v>0</v>
      </c>
      <c r="H91" s="99">
        <f>G91+'16'!H91</f>
        <v>0</v>
      </c>
      <c r="I91" s="165"/>
      <c r="J91" s="175">
        <f>H91/DAY(B2)</f>
        <v>0</v>
      </c>
      <c r="O91" s="71"/>
    </row>
    <row r="92" spans="1:15" ht="27.75" customHeight="1" x14ac:dyDescent="0.5">
      <c r="A92" s="345" t="s">
        <v>238</v>
      </c>
      <c r="B92" s="346"/>
      <c r="C92" s="346"/>
      <c r="D92" s="151" t="s">
        <v>228</v>
      </c>
      <c r="E92" s="95">
        <f>'16'!F92</f>
        <v>5604.41</v>
      </c>
      <c r="F92" s="122">
        <v>5615.26</v>
      </c>
      <c r="G92" s="112">
        <f t="shared" si="8"/>
        <v>10.850000000000364</v>
      </c>
      <c r="H92" s="99">
        <f>G92+'16'!H92</f>
        <v>177.26000000000022</v>
      </c>
      <c r="I92" s="165"/>
      <c r="J92" s="175">
        <f>H92/DAY(B2)</f>
        <v>10.427058823529425</v>
      </c>
      <c r="O92" s="71"/>
    </row>
    <row r="93" spans="1:15" ht="27.75" customHeight="1" x14ac:dyDescent="0.5">
      <c r="A93" s="863" t="s">
        <v>239</v>
      </c>
      <c r="B93" s="864"/>
      <c r="C93" s="865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27.75" customHeight="1" x14ac:dyDescent="0.5">
      <c r="A94" s="818" t="s">
        <v>240</v>
      </c>
      <c r="B94" s="819"/>
      <c r="C94" s="820"/>
      <c r="D94" s="151" t="s">
        <v>130</v>
      </c>
      <c r="E94" s="151"/>
      <c r="F94" s="151"/>
      <c r="G94" s="99">
        <f>G35+G43+G49+G57</f>
        <v>4905.3599999999951</v>
      </c>
      <c r="H94" s="99">
        <f>G94+'16'!H94</f>
        <v>90541.36</v>
      </c>
      <c r="I94" s="118"/>
      <c r="J94" s="175">
        <f>H94/DAY(B2)</f>
        <v>5325.9623529411765</v>
      </c>
      <c r="K94" s="69"/>
      <c r="L94" s="66"/>
      <c r="O94" s="71"/>
    </row>
    <row r="95" spans="1:15" ht="27.75" customHeight="1" x14ac:dyDescent="0.5">
      <c r="A95" s="818" t="s">
        <v>241</v>
      </c>
      <c r="B95" s="819"/>
      <c r="C95" s="820"/>
      <c r="D95" s="151" t="s">
        <v>23</v>
      </c>
      <c r="E95" s="146"/>
      <c r="F95" s="146"/>
      <c r="G95" s="166">
        <f>G94/G7</f>
        <v>0.28104503265727027</v>
      </c>
      <c r="H95" s="99">
        <f>G95+'16'!H95</f>
        <v>4.9240063173452455</v>
      </c>
      <c r="I95" s="167"/>
      <c r="J95" s="175">
        <f>H95/DAY(B2)</f>
        <v>0.28964743043207325</v>
      </c>
      <c r="K95" s="69"/>
      <c r="L95" s="66"/>
      <c r="O95" s="71"/>
    </row>
    <row r="96" spans="1:15" ht="27.75" customHeight="1" x14ac:dyDescent="0.5">
      <c r="A96" s="818" t="s">
        <v>242</v>
      </c>
      <c r="B96" s="819"/>
      <c r="C96" s="820"/>
      <c r="D96" s="151" t="s">
        <v>130</v>
      </c>
      <c r="E96" s="95"/>
      <c r="F96" s="95"/>
      <c r="G96" s="99">
        <f>G41+G42+G55+G56</f>
        <v>3005.1699999999983</v>
      </c>
      <c r="H96" s="99">
        <f>G96+'16'!H96</f>
        <v>51237.770000000004</v>
      </c>
      <c r="I96" s="118"/>
      <c r="J96" s="175">
        <f>H96/DAY(B2)</f>
        <v>3013.9864705882355</v>
      </c>
      <c r="K96" s="69"/>
      <c r="L96" s="66"/>
      <c r="O96" s="71"/>
    </row>
    <row r="97" spans="1:15" ht="27.75" customHeight="1" x14ac:dyDescent="0.5">
      <c r="A97" s="818" t="s">
        <v>243</v>
      </c>
      <c r="B97" s="819"/>
      <c r="C97" s="820"/>
      <c r="D97" s="151" t="s">
        <v>23</v>
      </c>
      <c r="E97" s="95"/>
      <c r="F97" s="95"/>
      <c r="G97" s="166">
        <f>G96/G7</f>
        <v>0.17217657843474266</v>
      </c>
      <c r="H97" s="99">
        <f>G97+'16'!H97</f>
        <v>2.8012078195138232</v>
      </c>
      <c r="I97" s="167"/>
      <c r="J97" s="175">
        <f>H97/DAY(B2)</f>
        <v>0.16477693055963666</v>
      </c>
      <c r="K97" s="69"/>
      <c r="L97" s="66"/>
      <c r="O97" s="71"/>
    </row>
    <row r="98" spans="1:15" ht="27.75" customHeight="1" x14ac:dyDescent="0.5">
      <c r="A98" s="818" t="s">
        <v>244</v>
      </c>
      <c r="B98" s="819"/>
      <c r="C98" s="820"/>
      <c r="D98" s="151" t="s">
        <v>130</v>
      </c>
      <c r="E98" s="95"/>
      <c r="F98" s="95"/>
      <c r="G98" s="99">
        <f>G39+G53</f>
        <v>2698</v>
      </c>
      <c r="H98" s="99">
        <f>G98+'16'!H98</f>
        <v>44490</v>
      </c>
      <c r="I98" s="168"/>
      <c r="J98" s="175">
        <f>H98/DAY(B2)</f>
        <v>2617.0588235294117</v>
      </c>
      <c r="K98" s="69"/>
      <c r="L98" s="66"/>
      <c r="O98" s="71"/>
    </row>
    <row r="99" spans="1:15" ht="27.75" customHeight="1" x14ac:dyDescent="0.5">
      <c r="A99" s="818" t="s">
        <v>245</v>
      </c>
      <c r="B99" s="819"/>
      <c r="C99" s="820"/>
      <c r="D99" s="151" t="s">
        <v>23</v>
      </c>
      <c r="E99" s="95"/>
      <c r="F99" s="95"/>
      <c r="G99" s="166">
        <f>G98/G7</f>
        <v>0.15457774722126733</v>
      </c>
      <c r="H99" s="99">
        <f>G99+'16'!H99</f>
        <v>2.4319010094052875</v>
      </c>
      <c r="I99" s="168"/>
      <c r="J99" s="175">
        <f>H99/DAY(B2)</f>
        <v>0.14305300055325221</v>
      </c>
      <c r="O99" s="71"/>
    </row>
    <row r="100" spans="1:15" ht="27.75" customHeight="1" x14ac:dyDescent="0.5">
      <c r="A100" s="818" t="s">
        <v>246</v>
      </c>
      <c r="B100" s="819"/>
      <c r="C100" s="820"/>
      <c r="D100" s="151" t="s">
        <v>180</v>
      </c>
      <c r="E100" s="95"/>
      <c r="F100" s="95"/>
      <c r="G100" s="99">
        <f>G38+G52</f>
        <v>1604.1599999999999</v>
      </c>
      <c r="H100" s="99">
        <f>G100+'16'!H100</f>
        <v>27368.16</v>
      </c>
      <c r="I100" s="118"/>
      <c r="J100" s="175">
        <f>H100/DAY(B2)</f>
        <v>1609.8917647058825</v>
      </c>
      <c r="K100" s="70"/>
      <c r="O100" s="71"/>
    </row>
    <row r="101" spans="1:15" ht="27.75" customHeight="1" x14ac:dyDescent="0.5">
      <c r="A101" s="818" t="s">
        <v>247</v>
      </c>
      <c r="B101" s="819"/>
      <c r="C101" s="820"/>
      <c r="D101" s="151" t="s">
        <v>23</v>
      </c>
      <c r="E101" s="95"/>
      <c r="F101" s="95"/>
      <c r="G101" s="166">
        <f>G100/G7</f>
        <v>9.1907872121003778E-2</v>
      </c>
      <c r="H101" s="99">
        <f>G101+'16'!H101</f>
        <v>1.4965514431248319</v>
      </c>
      <c r="I101" s="168"/>
      <c r="J101" s="175">
        <f>H101/DAY(B2)</f>
        <v>8.8032437830872459E-2</v>
      </c>
      <c r="O101" s="71"/>
    </row>
    <row r="102" spans="1:15" ht="27.75" customHeight="1" x14ac:dyDescent="0.5">
      <c r="A102" s="818" t="s">
        <v>248</v>
      </c>
      <c r="B102" s="819"/>
      <c r="C102" s="820"/>
      <c r="D102" s="151" t="s">
        <v>180</v>
      </c>
      <c r="E102" s="95"/>
      <c r="F102" s="95"/>
      <c r="G102" s="99">
        <f>G36+G50</f>
        <v>1430.989999999998</v>
      </c>
      <c r="H102" s="99">
        <f>G102+'16'!H102</f>
        <v>28421.989999999998</v>
      </c>
      <c r="I102" s="168"/>
      <c r="J102" s="175">
        <f>H102/DAY(B2)</f>
        <v>1671.8817647058822</v>
      </c>
      <c r="O102" s="71"/>
    </row>
    <row r="103" spans="1:15" ht="27.75" customHeight="1" x14ac:dyDescent="0.5">
      <c r="A103" s="818" t="s">
        <v>249</v>
      </c>
      <c r="B103" s="819"/>
      <c r="C103" s="820"/>
      <c r="D103" s="151" t="s">
        <v>23</v>
      </c>
      <c r="E103" s="95"/>
      <c r="F103" s="95"/>
      <c r="G103" s="166">
        <f>G102/G7</f>
        <v>8.1986364157213124E-2</v>
      </c>
      <c r="H103" s="99">
        <f>G103+'16'!H103</f>
        <v>1.5451280685683184</v>
      </c>
      <c r="I103" s="118"/>
      <c r="J103" s="175">
        <f>H103/DAY(B2)</f>
        <v>9.0889886386371674E-2</v>
      </c>
      <c r="O103" s="71"/>
    </row>
    <row r="104" spans="1:15" ht="27.75" customHeight="1" x14ac:dyDescent="0.5">
      <c r="A104" s="818" t="s">
        <v>250</v>
      </c>
      <c r="B104" s="819"/>
      <c r="C104" s="820"/>
      <c r="D104" s="151" t="s">
        <v>180</v>
      </c>
      <c r="E104" s="95"/>
      <c r="F104" s="95"/>
      <c r="G104" s="99">
        <f>G37+G51</f>
        <v>1510.42</v>
      </c>
      <c r="H104" s="99">
        <f>G104+'16'!H104</f>
        <v>25533.42</v>
      </c>
      <c r="I104" s="118"/>
      <c r="J104" s="175">
        <f>H104/DAY(B2)</f>
        <v>1501.965882352941</v>
      </c>
      <c r="O104" s="71"/>
    </row>
    <row r="105" spans="1:15" ht="27.75" customHeight="1" thickBot="1" x14ac:dyDescent="0.55000000000000004">
      <c r="A105" s="858" t="s">
        <v>251</v>
      </c>
      <c r="B105" s="859"/>
      <c r="C105" s="860"/>
      <c r="D105" s="231" t="s">
        <v>23</v>
      </c>
      <c r="E105" s="185"/>
      <c r="F105" s="185"/>
      <c r="G105" s="186">
        <f>G104/G7</f>
        <v>8.6537183453649594E-2</v>
      </c>
      <c r="H105" s="99">
        <f>G105+'16'!H105</f>
        <v>1.397689955151735</v>
      </c>
      <c r="I105" s="187"/>
      <c r="J105" s="188">
        <f>H105/DAY(B2)</f>
        <v>8.2217056185396181E-2</v>
      </c>
      <c r="O105" s="71"/>
    </row>
    <row r="106" spans="1:15" ht="27.75" customHeight="1" x14ac:dyDescent="0.5">
      <c r="A106" s="105"/>
      <c r="B106" s="96"/>
      <c r="C106" s="96"/>
      <c r="D106" s="169"/>
      <c r="E106" s="169"/>
      <c r="F106" s="169"/>
      <c r="G106" s="169"/>
      <c r="H106" s="170"/>
      <c r="I106" s="169"/>
      <c r="J106" s="171"/>
      <c r="O106" s="71"/>
    </row>
    <row r="108" spans="1:15" ht="27.75" customHeight="1" x14ac:dyDescent="0.55000000000000004">
      <c r="A108" s="872" t="s">
        <v>324</v>
      </c>
      <c r="B108" s="872"/>
      <c r="C108" s="872"/>
      <c r="D108" s="872"/>
      <c r="E108" s="872"/>
      <c r="F108" s="872"/>
      <c r="G108" s="872"/>
      <c r="H108" s="872"/>
      <c r="I108" s="872"/>
      <c r="J108" s="872"/>
    </row>
    <row r="109" spans="1:15" ht="27.75" customHeight="1" x14ac:dyDescent="0.5">
      <c r="A109" s="857"/>
      <c r="B109" s="857"/>
    </row>
    <row r="110" spans="1:15" ht="27.75" customHeight="1" x14ac:dyDescent="0.5">
      <c r="A110" s="873" t="s">
        <v>165</v>
      </c>
      <c r="B110" s="874"/>
      <c r="C110" s="874"/>
      <c r="D110" s="874"/>
      <c r="E110" s="874"/>
      <c r="F110" s="874"/>
      <c r="G110" s="874"/>
      <c r="H110" s="874"/>
      <c r="I110" s="874"/>
      <c r="J110" s="875"/>
    </row>
    <row r="111" spans="1:15" ht="27.75" customHeight="1" x14ac:dyDescent="0.5">
      <c r="A111" s="876"/>
      <c r="B111" s="877"/>
      <c r="C111" s="878"/>
      <c r="D111" s="165"/>
      <c r="E111" s="165"/>
      <c r="F111" s="165"/>
      <c r="G111" s="165"/>
      <c r="H111" s="156"/>
      <c r="I111" s="165"/>
      <c r="J111" s="327"/>
    </row>
    <row r="112" spans="1:15" ht="27.75" customHeight="1" x14ac:dyDescent="0.5">
      <c r="A112" s="851" t="s">
        <v>252</v>
      </c>
      <c r="B112" s="852"/>
      <c r="C112" s="853"/>
      <c r="D112" s="146" t="s">
        <v>183</v>
      </c>
      <c r="E112" s="95">
        <f>'16'!F112</f>
        <v>56886</v>
      </c>
      <c r="F112" s="237">
        <v>56964</v>
      </c>
      <c r="G112" s="112">
        <f t="shared" ref="G112:G123" si="9">F112-E112</f>
        <v>78</v>
      </c>
      <c r="H112" s="99">
        <f>G112+'16'!H112</f>
        <v>1283</v>
      </c>
      <c r="I112" s="165"/>
      <c r="J112" s="328">
        <f>H112/DAY(B2)</f>
        <v>75.470588235294116</v>
      </c>
    </row>
    <row r="113" spans="1:18" ht="27.75" customHeight="1" x14ac:dyDescent="0.5">
      <c r="A113" s="851" t="s">
        <v>253</v>
      </c>
      <c r="B113" s="852"/>
      <c r="C113" s="853"/>
      <c r="D113" s="146" t="s">
        <v>183</v>
      </c>
      <c r="E113" s="95">
        <f>'16'!F113</f>
        <v>39409</v>
      </c>
      <c r="F113" s="237">
        <v>39860.839999999997</v>
      </c>
      <c r="G113" s="112">
        <f t="shared" si="9"/>
        <v>451.83999999999651</v>
      </c>
      <c r="H113" s="99">
        <f>G113+'16'!H113</f>
        <v>7665.8399999999965</v>
      </c>
      <c r="I113" s="165"/>
      <c r="J113" s="328">
        <f>H113/DAY(B2)</f>
        <v>450.93176470588213</v>
      </c>
    </row>
    <row r="114" spans="1:18" ht="27.75" customHeight="1" x14ac:dyDescent="0.5">
      <c r="A114" s="851" t="s">
        <v>254</v>
      </c>
      <c r="B114" s="852"/>
      <c r="C114" s="853"/>
      <c r="D114" s="146" t="s">
        <v>183</v>
      </c>
      <c r="E114" s="95">
        <f>'16'!F114</f>
        <v>29108</v>
      </c>
      <c r="F114" s="501">
        <v>29371</v>
      </c>
      <c r="G114" s="112">
        <f t="shared" si="9"/>
        <v>263</v>
      </c>
      <c r="H114" s="99">
        <f>G114+'16'!H114</f>
        <v>4366.3999999999996</v>
      </c>
      <c r="I114" s="165"/>
      <c r="J114" s="328">
        <f>H114/DAY(B2)</f>
        <v>256.84705882352938</v>
      </c>
    </row>
    <row r="115" spans="1:18" ht="27.75" customHeight="1" x14ac:dyDescent="0.5">
      <c r="A115" s="851" t="s">
        <v>255</v>
      </c>
      <c r="B115" s="852"/>
      <c r="C115" s="853"/>
      <c r="D115" s="146" t="s">
        <v>183</v>
      </c>
      <c r="E115" s="95">
        <f>'16'!F115</f>
        <v>8944</v>
      </c>
      <c r="F115" s="237">
        <v>8958.2000000000007</v>
      </c>
      <c r="G115" s="112">
        <f t="shared" si="9"/>
        <v>14.200000000000728</v>
      </c>
      <c r="H115" s="99">
        <f>G115+'16'!H115</f>
        <v>173.20000000000073</v>
      </c>
      <c r="I115" s="165"/>
      <c r="J115" s="328">
        <f>H115/DAY(B2)</f>
        <v>10.188235294117689</v>
      </c>
    </row>
    <row r="116" spans="1:18" ht="27.75" customHeight="1" x14ac:dyDescent="0.5">
      <c r="A116" s="869" t="s">
        <v>96</v>
      </c>
      <c r="B116" s="870"/>
      <c r="C116" s="871"/>
      <c r="D116" s="146" t="s">
        <v>183</v>
      </c>
      <c r="E116" s="95">
        <f>'16'!F116</f>
        <v>0</v>
      </c>
      <c r="F116" s="237">
        <v>0</v>
      </c>
      <c r="G116" s="112">
        <f t="shared" si="9"/>
        <v>0</v>
      </c>
      <c r="H116" s="99">
        <f>G116+'16'!H116</f>
        <v>0</v>
      </c>
      <c r="I116" s="165"/>
      <c r="J116" s="328">
        <f>H116/DAY(B2)</f>
        <v>0</v>
      </c>
      <c r="Q116" s="851"/>
      <c r="R116" s="853"/>
    </row>
    <row r="117" spans="1:18" ht="27.75" customHeight="1" x14ac:dyDescent="0.5">
      <c r="A117" s="869" t="s">
        <v>184</v>
      </c>
      <c r="B117" s="870"/>
      <c r="C117" s="871"/>
      <c r="D117" s="146" t="s">
        <v>183</v>
      </c>
      <c r="E117" s="95">
        <f>'16'!F117</f>
        <v>2977</v>
      </c>
      <c r="F117" s="237">
        <v>2999.97</v>
      </c>
      <c r="G117" s="112">
        <f t="shared" si="9"/>
        <v>22.9699999999998</v>
      </c>
      <c r="H117" s="99">
        <f>G117+'16'!H117</f>
        <v>409.9699999999998</v>
      </c>
      <c r="I117" s="165"/>
      <c r="J117" s="328">
        <f>H117/DAY(B2)</f>
        <v>24.115882352941163</v>
      </c>
      <c r="Q117" s="851"/>
      <c r="R117" s="853"/>
    </row>
    <row r="118" spans="1:18" ht="27.75" customHeight="1" x14ac:dyDescent="0.5">
      <c r="A118" s="846" t="s">
        <v>97</v>
      </c>
      <c r="B118" s="846"/>
      <c r="C118" s="846"/>
      <c r="D118" s="151" t="s">
        <v>183</v>
      </c>
      <c r="E118" s="95">
        <f>'16'!F118</f>
        <v>247347</v>
      </c>
      <c r="F118" s="237">
        <v>247684</v>
      </c>
      <c r="G118" s="112">
        <f t="shared" si="9"/>
        <v>337</v>
      </c>
      <c r="H118" s="99">
        <f>G118+'16'!H118</f>
        <v>6037</v>
      </c>
      <c r="I118" s="165"/>
      <c r="J118" s="328">
        <f>H118/DAY(B2)</f>
        <v>355.11764705882354</v>
      </c>
      <c r="Q118" s="851"/>
      <c r="R118" s="853"/>
    </row>
    <row r="119" spans="1:18" ht="27.75" customHeight="1" x14ac:dyDescent="0.5">
      <c r="A119" s="846" t="s">
        <v>98</v>
      </c>
      <c r="B119" s="846"/>
      <c r="C119" s="846"/>
      <c r="D119" s="151" t="s">
        <v>183</v>
      </c>
      <c r="E119" s="95">
        <f>'16'!F119</f>
        <v>251784</v>
      </c>
      <c r="F119" s="237">
        <v>252241</v>
      </c>
      <c r="G119" s="112">
        <f t="shared" si="9"/>
        <v>457</v>
      </c>
      <c r="H119" s="99">
        <f>G119+'16'!H119</f>
        <v>7115</v>
      </c>
      <c r="I119" s="165"/>
      <c r="J119" s="328">
        <f>H119/DAY(B2)</f>
        <v>418.52941176470586</v>
      </c>
    </row>
    <row r="120" spans="1:18" ht="27.75" customHeight="1" x14ac:dyDescent="0.5">
      <c r="A120" s="846" t="s">
        <v>99</v>
      </c>
      <c r="B120" s="846"/>
      <c r="C120" s="846"/>
      <c r="D120" s="151" t="s">
        <v>183</v>
      </c>
      <c r="E120" s="95">
        <f>'16'!F120</f>
        <v>36711</v>
      </c>
      <c r="F120" s="237">
        <v>37145.4</v>
      </c>
      <c r="G120" s="112">
        <f t="shared" si="9"/>
        <v>434.40000000000146</v>
      </c>
      <c r="H120" s="99">
        <f>G120+'16'!H120</f>
        <v>7067.4000000000015</v>
      </c>
      <c r="I120" s="165"/>
      <c r="J120" s="328">
        <f>H120/DAY(B2)</f>
        <v>415.72941176470596</v>
      </c>
    </row>
    <row r="121" spans="1:18" ht="27.75" customHeight="1" x14ac:dyDescent="0.5">
      <c r="A121" s="846" t="s">
        <v>100</v>
      </c>
      <c r="B121" s="846"/>
      <c r="C121" s="846"/>
      <c r="D121" s="151" t="s">
        <v>183</v>
      </c>
      <c r="E121" s="95">
        <f>'16'!F121</f>
        <v>387737</v>
      </c>
      <c r="F121" s="237">
        <v>388428</v>
      </c>
      <c r="G121" s="112">
        <f t="shared" si="9"/>
        <v>691</v>
      </c>
      <c r="H121" s="99">
        <f>G121+'16'!H121</f>
        <v>11899</v>
      </c>
      <c r="I121" s="165"/>
      <c r="J121" s="328">
        <f>H121/DAY(B2)</f>
        <v>699.94117647058829</v>
      </c>
    </row>
    <row r="122" spans="1:18" ht="27.75" customHeight="1" x14ac:dyDescent="0.5">
      <c r="A122" s="846" t="s">
        <v>101</v>
      </c>
      <c r="B122" s="846"/>
      <c r="C122" s="846"/>
      <c r="D122" s="151" t="s">
        <v>183</v>
      </c>
      <c r="E122" s="95">
        <f>'16'!F122</f>
        <v>123348</v>
      </c>
      <c r="F122" s="237">
        <v>123533.44</v>
      </c>
      <c r="G122" s="112">
        <f t="shared" si="9"/>
        <v>185.44000000000233</v>
      </c>
      <c r="H122" s="99">
        <f>G122+'16'!H122</f>
        <v>3483.4400000000023</v>
      </c>
      <c r="I122" s="165"/>
      <c r="J122" s="328">
        <f>H122/DAY(B2)</f>
        <v>204.90823529411779</v>
      </c>
    </row>
    <row r="123" spans="1:18" ht="27.75" customHeight="1" x14ac:dyDescent="0.5">
      <c r="A123" s="846" t="s">
        <v>102</v>
      </c>
      <c r="B123" s="846"/>
      <c r="C123" s="846"/>
      <c r="D123" s="151" t="s">
        <v>183</v>
      </c>
      <c r="E123" s="95">
        <f>'16'!F123</f>
        <v>149981</v>
      </c>
      <c r="F123" s="237">
        <v>150237.63</v>
      </c>
      <c r="G123" s="112">
        <f t="shared" si="9"/>
        <v>256.63000000000466</v>
      </c>
      <c r="H123" s="99">
        <f>G123+'16'!H123</f>
        <v>5112.6300000000047</v>
      </c>
      <c r="I123" s="165"/>
      <c r="J123" s="328">
        <f>H123/DAY(B2)</f>
        <v>300.74294117647088</v>
      </c>
    </row>
    <row r="124" spans="1:18" ht="27.75" customHeight="1" x14ac:dyDescent="0.5">
      <c r="A124" s="876"/>
      <c r="B124" s="877"/>
      <c r="C124" s="878"/>
      <c r="D124" s="165"/>
      <c r="E124" s="95">
        <f>'16'!F124</f>
        <v>0</v>
      </c>
      <c r="F124" s="165"/>
      <c r="G124" s="327"/>
      <c r="H124" s="99">
        <f>G124+'16'!H124</f>
        <v>0</v>
      </c>
      <c r="I124" s="165"/>
      <c r="J124" s="327"/>
    </row>
    <row r="125" spans="1:18" ht="27.75" customHeight="1" x14ac:dyDescent="0.5">
      <c r="A125" s="879" t="s">
        <v>196</v>
      </c>
      <c r="B125" s="880"/>
      <c r="C125" s="245"/>
      <c r="D125" s="307"/>
      <c r="E125" s="308"/>
      <c r="F125" s="308"/>
      <c r="G125" s="309">
        <f>SUM(G112:G124)</f>
        <v>3191.4800000000055</v>
      </c>
      <c r="H125" s="156"/>
      <c r="I125" s="327">
        <f>G125-(G39+G53)</f>
        <v>493.48000000000548</v>
      </c>
      <c r="J125" s="327"/>
    </row>
    <row r="126" spans="1:18" ht="27.75" customHeight="1" x14ac:dyDescent="0.5">
      <c r="A126" s="881" t="s">
        <v>317</v>
      </c>
      <c r="B126" s="881"/>
      <c r="C126" s="881"/>
      <c r="D126" s="881"/>
      <c r="E126" s="881"/>
      <c r="F126" s="881"/>
      <c r="G126" s="881"/>
      <c r="H126" s="881"/>
      <c r="I126" s="881"/>
      <c r="J126" s="881"/>
    </row>
    <row r="127" spans="1:18" ht="27.75" customHeight="1" x14ac:dyDescent="0.5">
      <c r="A127" s="882"/>
      <c r="B127" s="882"/>
      <c r="C127" s="245"/>
      <c r="D127" s="307"/>
      <c r="E127" s="308"/>
      <c r="F127" s="308"/>
      <c r="G127" s="309"/>
      <c r="H127" s="99">
        <f>G127+'16'!H127</f>
        <v>0</v>
      </c>
      <c r="I127" s="165"/>
      <c r="J127" s="328">
        <f>H127/DAY(B2)</f>
        <v>0</v>
      </c>
    </row>
    <row r="128" spans="1:18" ht="27.75" customHeight="1" x14ac:dyDescent="0.5">
      <c r="A128" s="851" t="s">
        <v>318</v>
      </c>
      <c r="B128" s="852"/>
      <c r="C128" s="853"/>
      <c r="D128" s="151" t="s">
        <v>183</v>
      </c>
      <c r="E128" s="95">
        <f>'16'!F128</f>
        <v>43107</v>
      </c>
      <c r="F128" s="165">
        <v>43403.9</v>
      </c>
      <c r="G128" s="112">
        <f t="shared" ref="G128:G133" si="10">F128-E128</f>
        <v>296.90000000000146</v>
      </c>
      <c r="H128" s="99">
        <f>G128+'16'!H128</f>
        <v>5399.9000000000015</v>
      </c>
      <c r="I128" s="165"/>
      <c r="J128" s="328">
        <f>H128/DAY(B2)</f>
        <v>317.64117647058833</v>
      </c>
    </row>
    <row r="129" spans="1:15" ht="27.75" customHeight="1" x14ac:dyDescent="0.5">
      <c r="A129" s="329" t="s">
        <v>319</v>
      </c>
      <c r="B129" s="330"/>
      <c r="C129" s="331"/>
      <c r="D129" s="151" t="s">
        <v>183</v>
      </c>
      <c r="E129" s="95">
        <f>'16'!F129</f>
        <v>23830</v>
      </c>
      <c r="F129" s="165">
        <v>24083.9</v>
      </c>
      <c r="G129" s="112">
        <f t="shared" si="10"/>
        <v>253.90000000000146</v>
      </c>
      <c r="H129" s="99">
        <f>G129+'16'!H129</f>
        <v>3762.9000000000015</v>
      </c>
      <c r="I129" s="165"/>
      <c r="J129" s="328">
        <f>H129/DAY(B2)</f>
        <v>221.34705882352949</v>
      </c>
      <c r="N129" s="240"/>
      <c r="O129" s="241"/>
    </row>
    <row r="130" spans="1:15" ht="27.75" customHeight="1" x14ac:dyDescent="0.5">
      <c r="A130" s="329" t="s">
        <v>320</v>
      </c>
      <c r="B130" s="330"/>
      <c r="C130" s="331"/>
      <c r="D130" s="151" t="s">
        <v>183</v>
      </c>
      <c r="E130" s="95">
        <f>'16'!F130</f>
        <v>27905</v>
      </c>
      <c r="F130" s="165">
        <v>28449.45</v>
      </c>
      <c r="G130" s="112">
        <f t="shared" si="10"/>
        <v>544.45000000000073</v>
      </c>
      <c r="H130" s="99">
        <f>G130+'16'!H130</f>
        <v>10067.450000000001</v>
      </c>
      <c r="I130" s="165"/>
      <c r="J130" s="328">
        <f>H130/DAY(B2)</f>
        <v>592.20294117647063</v>
      </c>
      <c r="N130" s="240"/>
      <c r="O130" s="241"/>
    </row>
    <row r="131" spans="1:15" ht="27.75" customHeight="1" x14ac:dyDescent="0.5">
      <c r="A131" s="851" t="s">
        <v>321</v>
      </c>
      <c r="B131" s="852"/>
      <c r="C131" s="853"/>
      <c r="D131" s="151" t="s">
        <v>183</v>
      </c>
      <c r="E131" s="95">
        <f>'16'!F131</f>
        <v>14295</v>
      </c>
      <c r="F131" s="165">
        <v>14365.97</v>
      </c>
      <c r="G131" s="112">
        <f t="shared" si="10"/>
        <v>70.969999999999345</v>
      </c>
      <c r="H131" s="99">
        <f>G131+'16'!H131</f>
        <v>1212.9699999999993</v>
      </c>
      <c r="I131" s="165"/>
      <c r="J131" s="328">
        <f>H131/DAY(B2)</f>
        <v>71.3511764705882</v>
      </c>
      <c r="N131" s="240"/>
      <c r="O131" s="241"/>
    </row>
    <row r="132" spans="1:15" ht="27.75" customHeight="1" x14ac:dyDescent="0.5">
      <c r="A132" s="851" t="s">
        <v>322</v>
      </c>
      <c r="B132" s="852"/>
      <c r="C132" s="853"/>
      <c r="D132" s="151" t="s">
        <v>183</v>
      </c>
      <c r="E132" s="95">
        <f>'16'!F132</f>
        <v>48804</v>
      </c>
      <c r="F132" s="165">
        <v>49304</v>
      </c>
      <c r="G132" s="112">
        <f t="shared" si="10"/>
        <v>500</v>
      </c>
      <c r="H132" s="99">
        <f>G132+'16'!H132</f>
        <v>8281</v>
      </c>
      <c r="I132" s="165"/>
      <c r="J132" s="328">
        <f>H132/DAY(B2)</f>
        <v>487.11764705882354</v>
      </c>
    </row>
    <row r="133" spans="1:15" ht="27.75" customHeight="1" x14ac:dyDescent="0.5">
      <c r="A133" s="851" t="s">
        <v>362</v>
      </c>
      <c r="B133" s="852"/>
      <c r="C133" s="853"/>
      <c r="D133" s="151" t="s">
        <v>183</v>
      </c>
      <c r="E133" s="95">
        <f>'16'!F133</f>
        <v>97594</v>
      </c>
      <c r="F133" s="165">
        <v>98082.6</v>
      </c>
      <c r="G133" s="112">
        <f t="shared" si="10"/>
        <v>488.60000000000582</v>
      </c>
      <c r="H133" s="99">
        <f>G133+'16'!H133</f>
        <v>10379.600000000006</v>
      </c>
      <c r="I133" s="165"/>
      <c r="J133" s="328">
        <f>H133/DAY(B2)</f>
        <v>610.56470588235334</v>
      </c>
    </row>
    <row r="134" spans="1:15" ht="27.75" customHeight="1" x14ac:dyDescent="0.5">
      <c r="A134" s="851" t="s">
        <v>340</v>
      </c>
      <c r="B134" s="852"/>
      <c r="C134" s="853"/>
      <c r="D134" s="151" t="s">
        <v>183</v>
      </c>
      <c r="E134" s="95">
        <f>'16'!F134</f>
        <v>6027</v>
      </c>
      <c r="F134" s="165">
        <v>6179</v>
      </c>
      <c r="G134" s="112">
        <f>F134-E134</f>
        <v>152</v>
      </c>
      <c r="H134" s="99">
        <f>G134+'16'!H134</f>
        <v>8473</v>
      </c>
      <c r="I134" s="165"/>
      <c r="J134" s="328">
        <f>H134/DAY(B2)</f>
        <v>498.41176470588238</v>
      </c>
    </row>
    <row r="135" spans="1:15" ht="27.75" customHeight="1" x14ac:dyDescent="0.5">
      <c r="A135" s="879" t="s">
        <v>196</v>
      </c>
      <c r="B135" s="880"/>
      <c r="C135" s="331"/>
      <c r="D135" s="151"/>
      <c r="E135" s="95"/>
      <c r="F135" s="165"/>
      <c r="G135" s="112">
        <f>SUM(G128:G134)</f>
        <v>2306.8200000000088</v>
      </c>
      <c r="H135" s="99">
        <f>G135+'10'!H135</f>
        <v>33530.820000000007</v>
      </c>
      <c r="I135" s="327">
        <f>G135-(G35+G49)</f>
        <v>-379.38999999999214</v>
      </c>
      <c r="J135" s="328"/>
    </row>
    <row r="136" spans="1:15" ht="27.75" customHeight="1" x14ac:dyDescent="0.55000000000000004">
      <c r="A136" s="883" t="s">
        <v>325</v>
      </c>
      <c r="B136" s="883"/>
      <c r="C136" s="883"/>
      <c r="D136" s="883"/>
      <c r="E136" s="883"/>
      <c r="F136" s="883"/>
      <c r="G136" s="883"/>
      <c r="H136" s="883"/>
      <c r="I136" s="883"/>
      <c r="J136" s="883"/>
    </row>
    <row r="137" spans="1:15" ht="27.75" customHeight="1" x14ac:dyDescent="0.5">
      <c r="A137" s="245"/>
      <c r="B137" s="246"/>
      <c r="C137" s="246"/>
      <c r="D137" s="165"/>
      <c r="E137" s="165"/>
      <c r="F137" s="165"/>
      <c r="G137" s="165"/>
      <c r="H137" s="156"/>
      <c r="I137" s="165"/>
      <c r="J137" s="327"/>
    </row>
    <row r="138" spans="1:15" ht="27.75" customHeight="1" x14ac:dyDescent="0.5">
      <c r="A138" s="846" t="s">
        <v>185</v>
      </c>
      <c r="B138" s="846"/>
      <c r="C138" s="846"/>
      <c r="D138" s="151" t="s">
        <v>183</v>
      </c>
      <c r="E138" s="95">
        <f>'16'!F138</f>
        <v>865169</v>
      </c>
      <c r="F138" s="147">
        <v>865229</v>
      </c>
      <c r="G138" s="112">
        <f t="shared" ref="G138:G152" si="11">F138-E138</f>
        <v>60</v>
      </c>
      <c r="H138" s="99">
        <f>G138+'16'!H138</f>
        <v>1058</v>
      </c>
      <c r="I138" s="118"/>
      <c r="J138" s="328">
        <f>H138/DAY(B2)</f>
        <v>62.235294117647058</v>
      </c>
    </row>
    <row r="139" spans="1:15" ht="27.75" customHeight="1" x14ac:dyDescent="0.5">
      <c r="A139" s="846" t="s">
        <v>186</v>
      </c>
      <c r="B139" s="846"/>
      <c r="C139" s="846"/>
      <c r="D139" s="151" t="s">
        <v>183</v>
      </c>
      <c r="E139" s="95">
        <f>'16'!F139</f>
        <v>886550</v>
      </c>
      <c r="F139" s="148">
        <v>886550</v>
      </c>
      <c r="G139" s="112">
        <f t="shared" si="11"/>
        <v>0</v>
      </c>
      <c r="H139" s="99">
        <f>G139+'16'!H139</f>
        <v>4</v>
      </c>
      <c r="I139" s="118"/>
      <c r="J139" s="328">
        <f>H139/DAY(B2)</f>
        <v>0.23529411764705882</v>
      </c>
    </row>
    <row r="140" spans="1:15" ht="27.75" customHeight="1" x14ac:dyDescent="0.5">
      <c r="A140" s="846" t="s">
        <v>187</v>
      </c>
      <c r="B140" s="846"/>
      <c r="C140" s="846"/>
      <c r="D140" s="151" t="s">
        <v>183</v>
      </c>
      <c r="E140" s="95">
        <f>'16'!F140</f>
        <v>88898</v>
      </c>
      <c r="F140" s="149">
        <v>88898</v>
      </c>
      <c r="G140" s="112">
        <f t="shared" si="11"/>
        <v>0</v>
      </c>
      <c r="H140" s="99">
        <f>G140+'16'!H140</f>
        <v>16</v>
      </c>
      <c r="I140" s="118"/>
      <c r="J140" s="328">
        <f>H140/DAY(B2)</f>
        <v>0.94117647058823528</v>
      </c>
    </row>
    <row r="141" spans="1:15" ht="27.75" customHeight="1" x14ac:dyDescent="0.5">
      <c r="A141" s="850" t="s">
        <v>188</v>
      </c>
      <c r="B141" s="850"/>
      <c r="C141" s="850"/>
      <c r="D141" s="151" t="s">
        <v>183</v>
      </c>
      <c r="E141" s="95">
        <f>'16'!F141</f>
        <v>52076</v>
      </c>
      <c r="F141" s="149">
        <v>52234.8</v>
      </c>
      <c r="G141" s="112">
        <f t="shared" si="11"/>
        <v>158.80000000000291</v>
      </c>
      <c r="H141" s="99">
        <f>G141+'16'!H141</f>
        <v>2928.8000000000029</v>
      </c>
      <c r="I141" s="118"/>
      <c r="J141" s="328">
        <f>H141/DAY(B2)</f>
        <v>172.28235294117664</v>
      </c>
    </row>
    <row r="142" spans="1:15" ht="27.75" customHeight="1" x14ac:dyDescent="0.5">
      <c r="A142" s="850" t="s">
        <v>189</v>
      </c>
      <c r="B142" s="850"/>
      <c r="C142" s="850"/>
      <c r="D142" s="151" t="s">
        <v>183</v>
      </c>
      <c r="E142" s="95">
        <f>'16'!F142</f>
        <v>20119</v>
      </c>
      <c r="F142" s="148">
        <v>20197.09</v>
      </c>
      <c r="G142" s="112">
        <f t="shared" si="11"/>
        <v>78.090000000000146</v>
      </c>
      <c r="H142" s="99">
        <f>G142+'16'!H142</f>
        <v>1188.0900000000001</v>
      </c>
      <c r="I142" s="140"/>
      <c r="J142" s="328">
        <f>H142/DAY(B2)</f>
        <v>69.887647058823532</v>
      </c>
    </row>
    <row r="143" spans="1:15" ht="27.75" customHeight="1" x14ac:dyDescent="0.5">
      <c r="A143" s="846" t="s">
        <v>91</v>
      </c>
      <c r="B143" s="846"/>
      <c r="C143" s="846"/>
      <c r="D143" s="151" t="s">
        <v>183</v>
      </c>
      <c r="E143" s="95">
        <f>'16'!F143</f>
        <v>3439</v>
      </c>
      <c r="F143" s="149">
        <v>3466.51</v>
      </c>
      <c r="G143" s="112">
        <f t="shared" si="11"/>
        <v>27.510000000000218</v>
      </c>
      <c r="H143" s="99">
        <f>G143+'16'!H143</f>
        <v>405.51000000000022</v>
      </c>
      <c r="I143" s="140"/>
      <c r="J143" s="328">
        <f>H143/DAY(B2)</f>
        <v>23.853529411764718</v>
      </c>
    </row>
    <row r="144" spans="1:15" ht="27.75" customHeight="1" x14ac:dyDescent="0.5">
      <c r="A144" s="850" t="s">
        <v>90</v>
      </c>
      <c r="B144" s="850"/>
      <c r="C144" s="850"/>
      <c r="D144" s="151" t="s">
        <v>183</v>
      </c>
      <c r="E144" s="95">
        <f>'16'!F144</f>
        <v>873290</v>
      </c>
      <c r="F144" s="149">
        <v>873523</v>
      </c>
      <c r="G144" s="112">
        <f t="shared" si="11"/>
        <v>233</v>
      </c>
      <c r="H144" s="99">
        <f>G144+'16'!H144</f>
        <v>3853</v>
      </c>
      <c r="I144" s="140"/>
      <c r="J144" s="328">
        <f>H144/DAY(B2)</f>
        <v>226.64705882352942</v>
      </c>
    </row>
    <row r="145" spans="1:10" ht="27.75" customHeight="1" x14ac:dyDescent="0.5">
      <c r="A145" s="846" t="s">
        <v>190</v>
      </c>
      <c r="B145" s="846"/>
      <c r="C145" s="846"/>
      <c r="D145" s="152" t="s">
        <v>183</v>
      </c>
      <c r="E145" s="95">
        <f>'16'!F145</f>
        <v>4798</v>
      </c>
      <c r="F145" s="149">
        <v>4812.34</v>
      </c>
      <c r="G145" s="112">
        <f t="shared" si="11"/>
        <v>14.340000000000146</v>
      </c>
      <c r="H145" s="99">
        <f>G145+'16'!H145</f>
        <v>254.34000000000015</v>
      </c>
      <c r="I145" s="140"/>
      <c r="J145" s="328">
        <f>H145/DAY(B2)</f>
        <v>14.961176470588244</v>
      </c>
    </row>
    <row r="146" spans="1:10" ht="27.75" customHeight="1" x14ac:dyDescent="0.5">
      <c r="A146" s="847" t="s">
        <v>191</v>
      </c>
      <c r="B146" s="848"/>
      <c r="C146" s="849"/>
      <c r="D146" s="152" t="s">
        <v>183</v>
      </c>
      <c r="E146" s="95">
        <f>'16'!F146</f>
        <v>731328</v>
      </c>
      <c r="F146" s="148">
        <v>731756</v>
      </c>
      <c r="G146" s="112">
        <f t="shared" si="11"/>
        <v>428</v>
      </c>
      <c r="H146" s="99">
        <f>G146+'16'!H146</f>
        <v>6898</v>
      </c>
      <c r="I146" s="140"/>
      <c r="J146" s="328">
        <f>H146/DAY(B2)</f>
        <v>405.76470588235293</v>
      </c>
    </row>
    <row r="147" spans="1:10" ht="27.75" customHeight="1" x14ac:dyDescent="0.5">
      <c r="A147" s="850" t="s">
        <v>192</v>
      </c>
      <c r="B147" s="850"/>
      <c r="C147" s="850"/>
      <c r="D147" s="152" t="s">
        <v>183</v>
      </c>
      <c r="E147" s="95">
        <f>'16'!F147</f>
        <v>621179</v>
      </c>
      <c r="F147" s="148">
        <v>621509</v>
      </c>
      <c r="G147" s="112">
        <f t="shared" si="11"/>
        <v>330</v>
      </c>
      <c r="H147" s="99">
        <f>G147+'16'!H147</f>
        <v>6227</v>
      </c>
      <c r="I147" s="140"/>
      <c r="J147" s="328">
        <f>H147/DAY(B2)</f>
        <v>366.29411764705884</v>
      </c>
    </row>
    <row r="148" spans="1:10" ht="27.75" customHeight="1" x14ac:dyDescent="0.5">
      <c r="A148" s="842" t="s">
        <v>193</v>
      </c>
      <c r="B148" s="843"/>
      <c r="C148" s="844"/>
      <c r="D148" s="123" t="s">
        <v>130</v>
      </c>
      <c r="E148" s="95">
        <f>'16'!F148</f>
        <v>686696</v>
      </c>
      <c r="F148" s="150">
        <v>686860</v>
      </c>
      <c r="G148" s="112">
        <f t="shared" si="11"/>
        <v>164</v>
      </c>
      <c r="H148" s="99">
        <f>G148+'16'!H148</f>
        <v>3826.8800000000047</v>
      </c>
      <c r="I148" s="124"/>
      <c r="J148" s="328">
        <f>H148/DAY(B2)</f>
        <v>225.11058823529439</v>
      </c>
    </row>
    <row r="149" spans="1:10" ht="27.75" customHeight="1" x14ac:dyDescent="0.5">
      <c r="A149" s="842" t="s">
        <v>336</v>
      </c>
      <c r="B149" s="843"/>
      <c r="C149" s="844"/>
      <c r="D149" s="227" t="s">
        <v>130</v>
      </c>
      <c r="E149" s="95">
        <f>'16'!F149</f>
        <v>17345</v>
      </c>
      <c r="F149" s="500">
        <v>17791.439999999999</v>
      </c>
      <c r="G149" s="112">
        <f t="shared" si="11"/>
        <v>446.43999999999869</v>
      </c>
      <c r="H149" s="99">
        <f>G149+'16'!H149</f>
        <v>7042.4399999999987</v>
      </c>
      <c r="I149" s="119"/>
      <c r="J149" s="328">
        <f>H149/DAY(B2)</f>
        <v>414.26117647058817</v>
      </c>
    </row>
    <row r="150" spans="1:10" ht="27.75" customHeight="1" x14ac:dyDescent="0.5">
      <c r="A150" s="842" t="s">
        <v>337</v>
      </c>
      <c r="B150" s="843"/>
      <c r="C150" s="844"/>
      <c r="D150" s="117" t="s">
        <v>130</v>
      </c>
      <c r="E150" s="95">
        <f>'16'!F150</f>
        <v>7545</v>
      </c>
      <c r="F150" s="233">
        <v>7752.4</v>
      </c>
      <c r="G150" s="112">
        <f t="shared" si="11"/>
        <v>207.39999999999964</v>
      </c>
      <c r="H150" s="99">
        <f>G150+'16'!H150</f>
        <v>3700.3999999999996</v>
      </c>
      <c r="I150" s="119"/>
      <c r="J150" s="328">
        <f>H150/DAY(B2)</f>
        <v>217.6705882352941</v>
      </c>
    </row>
    <row r="151" spans="1:10" ht="27.75" customHeight="1" x14ac:dyDescent="0.5">
      <c r="A151" s="842" t="s">
        <v>338</v>
      </c>
      <c r="B151" s="843"/>
      <c r="C151" s="844"/>
      <c r="D151" s="117" t="s">
        <v>130</v>
      </c>
      <c r="E151" s="95">
        <f>'16'!F151</f>
        <v>81943</v>
      </c>
      <c r="F151" s="233">
        <v>82156</v>
      </c>
      <c r="G151" s="112">
        <f t="shared" si="11"/>
        <v>213</v>
      </c>
      <c r="H151" s="99">
        <f>G151+'16'!H151</f>
        <v>3939</v>
      </c>
      <c r="I151" s="119"/>
      <c r="J151" s="328">
        <f>H151/DAY(B2)</f>
        <v>231.70588235294119</v>
      </c>
    </row>
    <row r="152" spans="1:10" ht="27.75" customHeight="1" x14ac:dyDescent="0.5">
      <c r="A152" s="842" t="s">
        <v>339</v>
      </c>
      <c r="B152" s="843"/>
      <c r="C152" s="844"/>
      <c r="D152" s="117" t="s">
        <v>130</v>
      </c>
      <c r="E152" s="95">
        <f>'16'!F152</f>
        <v>1405</v>
      </c>
      <c r="F152" s="233">
        <v>1419.9</v>
      </c>
      <c r="G152" s="112">
        <f t="shared" si="11"/>
        <v>14.900000000000091</v>
      </c>
      <c r="H152" s="99">
        <f>G152+'16'!H152</f>
        <v>292.90000000000009</v>
      </c>
      <c r="I152" s="119"/>
      <c r="J152" s="328">
        <f>H152/DAY(B2)</f>
        <v>17.229411764705887</v>
      </c>
    </row>
    <row r="153" spans="1:10" ht="27.75" customHeight="1" x14ac:dyDescent="0.5">
      <c r="A153" s="879" t="s">
        <v>196</v>
      </c>
      <c r="B153" s="880"/>
      <c r="C153" s="365"/>
      <c r="D153" s="358"/>
      <c r="E153" s="360"/>
      <c r="F153" s="361"/>
      <c r="G153" s="362">
        <f>SUM(G138:G152)</f>
        <v>2375.4800000000018</v>
      </c>
      <c r="H153" s="363"/>
      <c r="I153" s="119">
        <f>G153-(G38+G52)</f>
        <v>771.32000000000198</v>
      </c>
      <c r="J153" s="366"/>
    </row>
    <row r="154" spans="1:10" ht="27.75" customHeight="1" x14ac:dyDescent="0.55000000000000004">
      <c r="A154" s="883" t="s">
        <v>344</v>
      </c>
      <c r="B154" s="883"/>
      <c r="C154" s="883"/>
      <c r="D154" s="883"/>
      <c r="E154" s="883"/>
      <c r="F154" s="883"/>
      <c r="G154" s="883"/>
      <c r="H154" s="883"/>
      <c r="I154" s="883"/>
      <c r="J154" s="883"/>
    </row>
    <row r="155" spans="1:10" ht="27.75" customHeight="1" x14ac:dyDescent="0.55000000000000004">
      <c r="A155" s="850" t="s">
        <v>345</v>
      </c>
      <c r="B155" s="850"/>
      <c r="C155" s="850"/>
      <c r="D155" s="117" t="s">
        <v>130</v>
      </c>
      <c r="E155" s="95">
        <f>'16'!F155</f>
        <v>22693</v>
      </c>
      <c r="F155" s="473">
        <v>23303</v>
      </c>
      <c r="G155" s="112">
        <f t="shared" ref="G155:G156" si="12">F155-E155</f>
        <v>610</v>
      </c>
      <c r="H155" s="99">
        <f>G155+'16'!H155</f>
        <v>9831</v>
      </c>
      <c r="I155" s="364"/>
      <c r="J155" s="328">
        <f>H155/DAY(B2)</f>
        <v>578.29411764705878</v>
      </c>
    </row>
    <row r="156" spans="1:10" ht="27.75" customHeight="1" x14ac:dyDescent="0.5">
      <c r="A156" s="850" t="s">
        <v>347</v>
      </c>
      <c r="B156" s="850"/>
      <c r="C156" s="850"/>
      <c r="D156" s="117" t="s">
        <v>130</v>
      </c>
      <c r="E156" s="95">
        <f>'16'!F156</f>
        <v>1898</v>
      </c>
      <c r="F156" s="155">
        <v>1954</v>
      </c>
      <c r="G156" s="112">
        <f t="shared" si="12"/>
        <v>56</v>
      </c>
      <c r="H156" s="99">
        <f>G156+'16'!H156</f>
        <v>866</v>
      </c>
      <c r="I156" s="165"/>
      <c r="J156" s="328">
        <f>H156/DAY(B2)</f>
        <v>50.941176470588232</v>
      </c>
    </row>
    <row r="157" spans="1:10" ht="27.75" customHeight="1" x14ac:dyDescent="0.5">
      <c r="A157" s="842" t="s">
        <v>364</v>
      </c>
      <c r="B157" s="843"/>
      <c r="C157" s="844"/>
      <c r="D157" s="117" t="s">
        <v>130</v>
      </c>
      <c r="E157" s="95">
        <f>'16'!F157</f>
        <v>2430</v>
      </c>
      <c r="F157" s="155">
        <v>2516.1329999999998</v>
      </c>
      <c r="G157" s="112">
        <f>F157-E157</f>
        <v>86.132999999999811</v>
      </c>
      <c r="H157" s="99">
        <f>G157+'16'!H157</f>
        <v>585.13299999999981</v>
      </c>
      <c r="I157" s="165"/>
      <c r="J157" s="328">
        <f>H157/DAY(B2)</f>
        <v>34.419588235294107</v>
      </c>
    </row>
    <row r="158" spans="1:10" ht="27.75" customHeight="1" x14ac:dyDescent="0.5">
      <c r="A158" s="842" t="s">
        <v>365</v>
      </c>
      <c r="B158" s="843"/>
      <c r="C158" s="844"/>
      <c r="D158" s="117" t="s">
        <v>130</v>
      </c>
      <c r="E158" s="95">
        <f>'16'!F158</f>
        <v>23.34</v>
      </c>
      <c r="F158" s="165">
        <v>23.34</v>
      </c>
      <c r="G158" s="112">
        <f>F158-E158</f>
        <v>0</v>
      </c>
      <c r="H158" s="99">
        <f>G158+'16'!H158</f>
        <v>23.34</v>
      </c>
      <c r="I158" s="165"/>
      <c r="J158" s="328">
        <f>H158/DAY(B2)</f>
        <v>1.3729411764705883</v>
      </c>
    </row>
    <row r="159" spans="1:10" ht="27.75" customHeight="1" x14ac:dyDescent="0.5">
      <c r="A159" s="899"/>
      <c r="B159" s="900"/>
      <c r="C159" s="901"/>
      <c r="D159" s="117"/>
      <c r="E159" s="95"/>
      <c r="F159" s="165"/>
      <c r="G159" s="112"/>
      <c r="H159" s="99"/>
      <c r="I159" s="165"/>
      <c r="J159" s="328"/>
    </row>
    <row r="160" spans="1:10" ht="27.75" customHeight="1" x14ac:dyDescent="0.55000000000000004">
      <c r="A160" s="883" t="s">
        <v>326</v>
      </c>
      <c r="B160" s="883"/>
      <c r="C160" s="883"/>
      <c r="D160" s="883"/>
      <c r="E160" s="883"/>
      <c r="F160" s="883"/>
      <c r="G160" s="883"/>
      <c r="H160" s="883"/>
      <c r="I160" s="883"/>
      <c r="J160" s="883"/>
    </row>
    <row r="161" spans="1:10" ht="27.75" customHeight="1" x14ac:dyDescent="0.5">
      <c r="A161" s="242" t="s">
        <v>92</v>
      </c>
      <c r="B161" s="243"/>
      <c r="C161" s="243"/>
      <c r="D161" s="244" t="s">
        <v>180</v>
      </c>
      <c r="E161" s="95">
        <f>'16'!F161</f>
        <v>471439</v>
      </c>
      <c r="F161" s="235">
        <v>471446</v>
      </c>
      <c r="G161" s="238">
        <f t="shared" ref="G161:G165" si="13">F161-E161</f>
        <v>7</v>
      </c>
      <c r="H161" s="99">
        <f>G161+'16'!H161</f>
        <v>292.84000000002561</v>
      </c>
      <c r="I161" s="236"/>
      <c r="J161" s="239">
        <f>H161/DAY(B2)</f>
        <v>17.225882352942683</v>
      </c>
    </row>
    <row r="162" spans="1:10" ht="27.75" customHeight="1" x14ac:dyDescent="0.5">
      <c r="A162" s="242" t="s">
        <v>93</v>
      </c>
      <c r="B162" s="243"/>
      <c r="C162" s="243"/>
      <c r="D162" s="244" t="s">
        <v>180</v>
      </c>
      <c r="E162" s="95">
        <f>'16'!F162</f>
        <v>88016</v>
      </c>
      <c r="F162" s="235">
        <v>88053</v>
      </c>
      <c r="G162" s="238">
        <f t="shared" si="13"/>
        <v>37</v>
      </c>
      <c r="H162" s="99">
        <f>G162+'16'!H162</f>
        <v>483</v>
      </c>
      <c r="I162" s="236"/>
      <c r="J162" s="239">
        <f>H162/DAY(B2)</f>
        <v>28.411764705882351</v>
      </c>
    </row>
    <row r="163" spans="1:10" ht="27.75" customHeight="1" x14ac:dyDescent="0.5">
      <c r="A163" s="242" t="s">
        <v>197</v>
      </c>
      <c r="B163" s="243"/>
      <c r="C163" s="243"/>
      <c r="D163" s="244" t="s">
        <v>180</v>
      </c>
      <c r="E163" s="95">
        <f>'16'!F163</f>
        <v>78515</v>
      </c>
      <c r="F163" s="235">
        <v>78572.7</v>
      </c>
      <c r="G163" s="238">
        <f t="shared" si="13"/>
        <v>57.69999999999709</v>
      </c>
      <c r="H163" s="99">
        <f>G163+'16'!H163</f>
        <v>747.69999999999709</v>
      </c>
      <c r="I163" s="236"/>
      <c r="J163" s="239">
        <f>H163/DAY(B2)</f>
        <v>43.982352941176302</v>
      </c>
    </row>
    <row r="164" spans="1:10" ht="27.75" customHeight="1" x14ac:dyDescent="0.5">
      <c r="A164" s="242" t="s">
        <v>197</v>
      </c>
      <c r="B164" s="243"/>
      <c r="C164" s="243"/>
      <c r="D164" s="244" t="s">
        <v>180</v>
      </c>
      <c r="E164" s="95">
        <f>'16'!F164</f>
        <v>4266</v>
      </c>
      <c r="F164" s="235">
        <v>4270.8999999999996</v>
      </c>
      <c r="G164" s="238">
        <f t="shared" si="13"/>
        <v>4.8999999999996362</v>
      </c>
      <c r="H164" s="99">
        <f>G164+'16'!H164</f>
        <v>28.899999999999636</v>
      </c>
      <c r="I164" s="236"/>
      <c r="J164" s="239">
        <f>H164/DAY(B2)</f>
        <v>1.6999999999999786</v>
      </c>
    </row>
    <row r="165" spans="1:10" ht="27.75" customHeight="1" x14ac:dyDescent="0.5">
      <c r="A165" s="242" t="s">
        <v>309</v>
      </c>
      <c r="B165" s="243"/>
      <c r="C165" s="243"/>
      <c r="D165" s="244" t="s">
        <v>180</v>
      </c>
      <c r="E165" s="95">
        <f>'16'!F165</f>
        <v>29746</v>
      </c>
      <c r="F165" s="235">
        <v>29754.45</v>
      </c>
      <c r="G165" s="238">
        <f t="shared" si="13"/>
        <v>8.4500000000007276</v>
      </c>
      <c r="H165" s="99">
        <f>G165+'16'!H165</f>
        <v>108.45000000000073</v>
      </c>
      <c r="I165" s="236"/>
      <c r="J165" s="239">
        <f>H165/DAY(B2)</f>
        <v>6.3794117647059254</v>
      </c>
    </row>
    <row r="166" spans="1:10" ht="27.75" customHeight="1" x14ac:dyDescent="0.5">
      <c r="A166" s="882"/>
      <c r="B166" s="882"/>
      <c r="C166" s="246"/>
      <c r="D166" s="244"/>
      <c r="E166" s="95"/>
      <c r="F166" s="165"/>
      <c r="G166" s="165"/>
      <c r="H166" s="99"/>
      <c r="I166" s="165"/>
      <c r="J166" s="239"/>
    </row>
    <row r="167" spans="1:10" ht="27.75" customHeight="1" x14ac:dyDescent="0.5">
      <c r="A167" s="882"/>
      <c r="B167" s="882"/>
      <c r="C167" s="246"/>
      <c r="D167" s="244"/>
      <c r="E167" s="95"/>
      <c r="F167" s="165"/>
      <c r="G167" s="165"/>
      <c r="H167" s="99"/>
      <c r="I167" s="165"/>
      <c r="J167" s="239"/>
    </row>
    <row r="168" spans="1:10" ht="27.75" customHeight="1" x14ac:dyDescent="0.5">
      <c r="A168" s="882"/>
      <c r="B168" s="882"/>
      <c r="C168" s="246"/>
      <c r="D168" s="244"/>
      <c r="E168" s="95"/>
      <c r="F168" s="165"/>
      <c r="G168" s="165"/>
      <c r="H168" s="99"/>
      <c r="I168" s="165"/>
      <c r="J168" s="239"/>
    </row>
    <row r="171" spans="1:10" ht="27.75" customHeight="1" x14ac:dyDescent="0.35">
      <c r="A171" s="890" t="s">
        <v>330</v>
      </c>
      <c r="B171" s="891"/>
      <c r="C171" s="891"/>
      <c r="D171" s="891"/>
      <c r="E171" s="891"/>
      <c r="F171" s="891"/>
      <c r="G171" s="891"/>
      <c r="H171" s="891"/>
      <c r="I171" s="891"/>
      <c r="J171" s="892"/>
    </row>
    <row r="172" spans="1:10" ht="27.75" customHeight="1" x14ac:dyDescent="0.5">
      <c r="A172" s="886"/>
      <c r="B172" s="887"/>
      <c r="C172" s="332"/>
      <c r="D172" s="228"/>
      <c r="E172" s="155"/>
      <c r="F172" s="155"/>
      <c r="G172" s="155"/>
      <c r="H172" s="156"/>
      <c r="I172" s="155"/>
      <c r="J172" s="178"/>
    </row>
    <row r="173" spans="1:10" ht="27.75" customHeight="1" x14ac:dyDescent="0.5">
      <c r="A173" s="840" t="s">
        <v>209</v>
      </c>
      <c r="B173" s="841"/>
      <c r="C173" s="333"/>
      <c r="D173" s="228" t="s">
        <v>142</v>
      </c>
      <c r="E173" s="95">
        <f>'16'!F173</f>
        <v>8126</v>
      </c>
      <c r="F173" s="157">
        <v>8126</v>
      </c>
      <c r="G173" s="155">
        <f>F173-E173</f>
        <v>0</v>
      </c>
      <c r="H173" s="99">
        <f>G173+'16'!H173</f>
        <v>0</v>
      </c>
      <c r="I173" s="155"/>
      <c r="J173" s="178">
        <f>H173/DAY(B2)</f>
        <v>0</v>
      </c>
    </row>
    <row r="174" spans="1:10" ht="27.75" customHeight="1" x14ac:dyDescent="0.5">
      <c r="A174" s="840" t="s">
        <v>75</v>
      </c>
      <c r="B174" s="841"/>
      <c r="C174" s="333"/>
      <c r="D174" s="228" t="s">
        <v>142</v>
      </c>
      <c r="E174" s="95">
        <f>'16'!F174</f>
        <v>38444</v>
      </c>
      <c r="F174" s="157">
        <v>38444</v>
      </c>
      <c r="G174" s="155">
        <f t="shared" ref="G174:G175" si="14">F174-E174</f>
        <v>0</v>
      </c>
      <c r="H174" s="99">
        <f>G174+'16'!H174</f>
        <v>151</v>
      </c>
      <c r="I174" s="155"/>
      <c r="J174" s="178">
        <f>H174/DAY(B2)</f>
        <v>8.882352941176471</v>
      </c>
    </row>
    <row r="175" spans="1:10" ht="27.75" customHeight="1" x14ac:dyDescent="0.5">
      <c r="A175" s="840" t="s">
        <v>76</v>
      </c>
      <c r="B175" s="845"/>
      <c r="C175" s="841"/>
      <c r="D175" s="228" t="s">
        <v>142</v>
      </c>
      <c r="E175" s="95">
        <f>'16'!F175</f>
        <v>21666</v>
      </c>
      <c r="F175" s="155">
        <v>21673</v>
      </c>
      <c r="G175" s="155">
        <f t="shared" si="14"/>
        <v>7</v>
      </c>
      <c r="H175" s="99">
        <f>G175+'16'!H175</f>
        <v>155</v>
      </c>
      <c r="I175" s="155"/>
      <c r="J175" s="178">
        <f>H175/DAY(B2)</f>
        <v>9.117647058823529</v>
      </c>
    </row>
    <row r="176" spans="1:10" ht="27.75" customHeight="1" x14ac:dyDescent="0.5">
      <c r="A176" s="879" t="s">
        <v>196</v>
      </c>
      <c r="B176" s="880"/>
      <c r="C176" s="333"/>
      <c r="D176" s="228" t="s">
        <v>142</v>
      </c>
      <c r="E176" s="95"/>
      <c r="F176" s="155"/>
      <c r="G176" s="155">
        <f>SUM(G173:G175)</f>
        <v>7</v>
      </c>
      <c r="H176" s="99">
        <f>G176+'16'!H176</f>
        <v>306</v>
      </c>
      <c r="I176" s="155"/>
      <c r="J176" s="178">
        <f>H176/DAY(B2)</f>
        <v>18</v>
      </c>
    </row>
    <row r="177" spans="1:11" ht="27.75" customHeight="1" x14ac:dyDescent="0.5">
      <c r="A177" s="840" t="s">
        <v>77</v>
      </c>
      <c r="B177" s="841"/>
      <c r="C177" s="333"/>
      <c r="D177" s="228" t="s">
        <v>142</v>
      </c>
      <c r="E177" s="95"/>
      <c r="F177" s="155"/>
      <c r="G177" s="155"/>
      <c r="H177" s="99">
        <f>G177+'16'!H177</f>
        <v>0</v>
      </c>
      <c r="I177" s="155"/>
      <c r="J177" s="178">
        <f>H177/DAY(B2)</f>
        <v>0</v>
      </c>
    </row>
    <row r="178" spans="1:11" ht="27.75" customHeight="1" x14ac:dyDescent="0.5">
      <c r="A178" s="840" t="s">
        <v>210</v>
      </c>
      <c r="B178" s="841"/>
      <c r="C178" s="333"/>
      <c r="D178" s="228" t="s">
        <v>142</v>
      </c>
      <c r="E178" s="95">
        <f>'16'!F178</f>
        <v>80529</v>
      </c>
      <c r="F178" s="155">
        <v>80589</v>
      </c>
      <c r="G178" s="155">
        <f>F178-E178</f>
        <v>60</v>
      </c>
      <c r="H178" s="99">
        <f>G178+'16'!H178</f>
        <v>975</v>
      </c>
      <c r="I178" s="155"/>
      <c r="J178" s="178">
        <f>H178/DAY(B2)</f>
        <v>57.352941176470587</v>
      </c>
    </row>
    <row r="179" spans="1:11" ht="27.75" customHeight="1" x14ac:dyDescent="0.5">
      <c r="A179" s="840" t="s">
        <v>211</v>
      </c>
      <c r="B179" s="841"/>
      <c r="C179" s="333"/>
      <c r="D179" s="228" t="s">
        <v>142</v>
      </c>
      <c r="E179" s="95">
        <f>'16'!F179</f>
        <v>34251</v>
      </c>
      <c r="F179" s="155">
        <v>34278</v>
      </c>
      <c r="G179" s="155">
        <f t="shared" ref="G179:G180" si="15">F179-E179</f>
        <v>27</v>
      </c>
      <c r="H179" s="99">
        <f>G179+'16'!H179</f>
        <v>363</v>
      </c>
      <c r="I179" s="155"/>
      <c r="J179" s="178">
        <f>H179/DAY(B2)</f>
        <v>21.352941176470587</v>
      </c>
    </row>
    <row r="180" spans="1:11" ht="27.75" customHeight="1" x14ac:dyDescent="0.5">
      <c r="A180" s="840" t="s">
        <v>212</v>
      </c>
      <c r="B180" s="841"/>
      <c r="C180" s="333"/>
      <c r="D180" s="228" t="s">
        <v>142</v>
      </c>
      <c r="E180" s="95">
        <f>'16'!F180</f>
        <v>5595</v>
      </c>
      <c r="F180" s="155">
        <v>5596</v>
      </c>
      <c r="G180" s="155">
        <f t="shared" si="15"/>
        <v>1</v>
      </c>
      <c r="H180" s="99">
        <f>G180+'16'!H180</f>
        <v>119</v>
      </c>
      <c r="I180" s="155"/>
      <c r="J180" s="178">
        <f>H180/DAY(B2)</f>
        <v>7</v>
      </c>
    </row>
    <row r="181" spans="1:11" ht="27.75" customHeight="1" x14ac:dyDescent="0.5">
      <c r="A181" s="884" t="s">
        <v>108</v>
      </c>
      <c r="B181" s="885"/>
      <c r="C181" s="333"/>
      <c r="D181" s="228" t="s">
        <v>142</v>
      </c>
      <c r="E181" s="95"/>
      <c r="F181" s="155"/>
      <c r="G181" s="155">
        <f>SUM(G178:G180)</f>
        <v>88</v>
      </c>
      <c r="H181" s="99">
        <f>G181+'16'!H181</f>
        <v>1457</v>
      </c>
      <c r="I181" s="155"/>
      <c r="J181" s="178">
        <f>H181/DAY(B2)</f>
        <v>85.705882352941174</v>
      </c>
    </row>
    <row r="182" spans="1:11" ht="27.75" customHeight="1" x14ac:dyDescent="0.5">
      <c r="A182" s="840" t="s">
        <v>213</v>
      </c>
      <c r="B182" s="841"/>
      <c r="C182" s="333"/>
      <c r="D182" s="228" t="s">
        <v>142</v>
      </c>
      <c r="E182" s="95"/>
      <c r="F182" s="155"/>
      <c r="G182" s="155"/>
      <c r="H182" s="99">
        <f>G182+'16'!H182</f>
        <v>0</v>
      </c>
      <c r="I182" s="155"/>
      <c r="J182" s="178">
        <f>H182/DAY(B2)</f>
        <v>0</v>
      </c>
    </row>
    <row r="183" spans="1:11" ht="27.75" customHeight="1" x14ac:dyDescent="0.5">
      <c r="A183" s="840" t="s">
        <v>214</v>
      </c>
      <c r="B183" s="841"/>
      <c r="C183" s="334"/>
      <c r="D183" s="228" t="s">
        <v>142</v>
      </c>
      <c r="E183" s="95">
        <f>'16'!F183</f>
        <v>15137</v>
      </c>
      <c r="F183" s="157">
        <v>15146</v>
      </c>
      <c r="G183" s="157">
        <f>F183-E183</f>
        <v>9</v>
      </c>
      <c r="H183" s="99">
        <f>G183+'16'!H183</f>
        <v>199</v>
      </c>
      <c r="I183" s="155"/>
      <c r="J183" s="178">
        <f>H183/DAY(B2)</f>
        <v>11.705882352941176</v>
      </c>
    </row>
    <row r="184" spans="1:11" ht="27.75" customHeight="1" x14ac:dyDescent="0.5">
      <c r="A184" s="840" t="s">
        <v>215</v>
      </c>
      <c r="B184" s="841"/>
      <c r="C184" s="334"/>
      <c r="D184" s="228" t="s">
        <v>142</v>
      </c>
      <c r="E184" s="95">
        <f>'16'!F184</f>
        <v>10404</v>
      </c>
      <c r="F184" s="157">
        <v>10411</v>
      </c>
      <c r="G184" s="157">
        <f t="shared" ref="G184:G185" si="16">F184-E184</f>
        <v>7</v>
      </c>
      <c r="H184" s="99">
        <f>G184+'16'!H184</f>
        <v>110</v>
      </c>
      <c r="I184" s="155"/>
      <c r="J184" s="178">
        <f>H184/DAY(B2)</f>
        <v>6.4705882352941178</v>
      </c>
    </row>
    <row r="185" spans="1:11" ht="27.75" customHeight="1" x14ac:dyDescent="0.5">
      <c r="A185" s="840" t="s">
        <v>216</v>
      </c>
      <c r="B185" s="841"/>
      <c r="C185" s="334"/>
      <c r="D185" s="228" t="s">
        <v>142</v>
      </c>
      <c r="E185" s="95">
        <f>'16'!F185</f>
        <v>0</v>
      </c>
      <c r="F185" s="157"/>
      <c r="G185" s="157">
        <f t="shared" si="16"/>
        <v>0</v>
      </c>
      <c r="H185" s="99">
        <f>G185+'16'!H185</f>
        <v>0</v>
      </c>
      <c r="I185" s="155"/>
      <c r="J185" s="178">
        <f>H185/DAY(B2)</f>
        <v>0</v>
      </c>
    </row>
    <row r="186" spans="1:11" ht="27.75" customHeight="1" x14ac:dyDescent="0.5">
      <c r="A186" s="879" t="s">
        <v>196</v>
      </c>
      <c r="B186" s="880"/>
      <c r="C186" s="334"/>
      <c r="D186" s="228" t="s">
        <v>142</v>
      </c>
      <c r="E186" s="95"/>
      <c r="F186" s="157"/>
      <c r="G186" s="157">
        <f>SUM(G183:G185)</f>
        <v>16</v>
      </c>
      <c r="H186" s="99">
        <f>G186+'16'!H186</f>
        <v>309</v>
      </c>
      <c r="I186" s="157"/>
      <c r="J186" s="178">
        <f>H186/DAY(B2)</f>
        <v>18.176470588235293</v>
      </c>
    </row>
    <row r="187" spans="1:11" ht="27.75" customHeight="1" x14ac:dyDescent="0.5">
      <c r="A187" s="888" t="s">
        <v>217</v>
      </c>
      <c r="B187" s="889"/>
      <c r="C187" s="333"/>
      <c r="D187" s="228" t="s">
        <v>142</v>
      </c>
      <c r="E187" s="95"/>
      <c r="F187" s="159"/>
      <c r="G187" s="462">
        <f>G62+G19</f>
        <v>119</v>
      </c>
      <c r="H187" s="99">
        <f>G187+'16'!H187</f>
        <v>1926</v>
      </c>
      <c r="I187" s="158"/>
      <c r="J187" s="179">
        <f>H187/DAY(B2)</f>
        <v>113.29411764705883</v>
      </c>
    </row>
    <row r="188" spans="1:11" ht="27.75" customHeight="1" x14ac:dyDescent="0.5">
      <c r="A188" s="888" t="s">
        <v>218</v>
      </c>
      <c r="B188" s="889"/>
      <c r="C188" s="333"/>
      <c r="D188" s="230" t="s">
        <v>142</v>
      </c>
      <c r="E188" s="95"/>
      <c r="F188" s="159"/>
      <c r="G188" s="462">
        <f>G65+G66+G67+G69+G70</f>
        <v>114</v>
      </c>
      <c r="H188" s="99">
        <f>G188+'16'!H188</f>
        <v>364</v>
      </c>
      <c r="I188" s="158"/>
      <c r="J188" s="179">
        <f>H188/DAY(B2)</f>
        <v>21.411764705882351</v>
      </c>
    </row>
    <row r="189" spans="1:11" ht="27.75" customHeight="1" x14ac:dyDescent="0.5">
      <c r="A189" s="888" t="s">
        <v>219</v>
      </c>
      <c r="B189" s="889"/>
      <c r="C189" s="333"/>
      <c r="D189" s="230" t="s">
        <v>142</v>
      </c>
      <c r="E189" s="95"/>
      <c r="F189" s="157"/>
      <c r="G189" s="459">
        <f>G181</f>
        <v>88</v>
      </c>
      <c r="H189" s="99">
        <f>G189+'16'!H189</f>
        <v>1457</v>
      </c>
      <c r="I189" s="158"/>
      <c r="J189" s="179">
        <f>H189/DAY(B2)</f>
        <v>85.705882352941174</v>
      </c>
    </row>
    <row r="190" spans="1:11" ht="27.75" customHeight="1" x14ac:dyDescent="0.5">
      <c r="A190" s="811"/>
      <c r="B190" s="812"/>
      <c r="C190" s="483"/>
      <c r="D190" s="480"/>
      <c r="E190" s="480"/>
      <c r="F190" s="480"/>
      <c r="G190" s="480"/>
      <c r="H190" s="481"/>
      <c r="I190" s="480"/>
      <c r="J190" s="482"/>
    </row>
    <row r="191" spans="1:11" ht="23.25" customHeight="1" x14ac:dyDescent="0.5">
      <c r="A191" s="245" t="s">
        <v>360</v>
      </c>
      <c r="B191" s="246"/>
      <c r="C191" s="246"/>
      <c r="D191" s="165"/>
      <c r="E191" s="165"/>
      <c r="F191" s="155">
        <f>'16'!G191</f>
        <v>53289</v>
      </c>
      <c r="G191" s="165">
        <v>53102</v>
      </c>
      <c r="H191" s="238">
        <f>G191-F191</f>
        <v>-187</v>
      </c>
      <c r="I191" s="99">
        <f>H191+'15'!I191</f>
        <v>-187</v>
      </c>
      <c r="J191" s="236"/>
      <c r="K191" s="239" t="e">
        <f>I191/DAY(C28)</f>
        <v>#DIV/0!</v>
      </c>
    </row>
  </sheetData>
  <mergeCells count="115">
    <mergeCell ref="A186:B186"/>
    <mergeCell ref="A187:B187"/>
    <mergeCell ref="A188:B188"/>
    <mergeCell ref="A189:B189"/>
    <mergeCell ref="A190:B190"/>
    <mergeCell ref="A171:J171"/>
    <mergeCell ref="A172:B172"/>
    <mergeCell ref="A173:B173"/>
    <mergeCell ref="A174:B174"/>
    <mergeCell ref="A176:B176"/>
    <mergeCell ref="A185:B185"/>
    <mergeCell ref="A182:B182"/>
    <mergeCell ref="A183:B183"/>
    <mergeCell ref="A184:B184"/>
    <mergeCell ref="A180:B180"/>
    <mergeCell ref="A181:B181"/>
    <mergeCell ref="A175:C175"/>
    <mergeCell ref="A177:B177"/>
    <mergeCell ref="A178:B178"/>
    <mergeCell ref="A179:B179"/>
    <mergeCell ref="Q118:R118"/>
    <mergeCell ref="A110:J110"/>
    <mergeCell ref="A111:C111"/>
    <mergeCell ref="A112:C112"/>
    <mergeCell ref="A113:C113"/>
    <mergeCell ref="A114:C114"/>
    <mergeCell ref="A131:C131"/>
    <mergeCell ref="A132:C132"/>
    <mergeCell ref="A133:C133"/>
    <mergeCell ref="A124:C124"/>
    <mergeCell ref="A125:B125"/>
    <mergeCell ref="A126:J126"/>
    <mergeCell ref="A127:B127"/>
    <mergeCell ref="A128:C128"/>
    <mergeCell ref="A118:C118"/>
    <mergeCell ref="A123:C123"/>
    <mergeCell ref="A119:C119"/>
    <mergeCell ref="A120:C120"/>
    <mergeCell ref="A121:C121"/>
    <mergeCell ref="A122:C122"/>
    <mergeCell ref="Q116:R116"/>
    <mergeCell ref="A117:C117"/>
    <mergeCell ref="Q117:R117"/>
    <mergeCell ref="A101:C101"/>
    <mergeCell ref="A103:C103"/>
    <mergeCell ref="A104:C104"/>
    <mergeCell ref="A105:C105"/>
    <mergeCell ref="A108:J108"/>
    <mergeCell ref="A109:B109"/>
    <mergeCell ref="A115:C115"/>
    <mergeCell ref="A116:C116"/>
    <mergeCell ref="A136:J136"/>
    <mergeCell ref="A135:B135"/>
    <mergeCell ref="A134:C134"/>
    <mergeCell ref="A138:C138"/>
    <mergeCell ref="A139:C139"/>
    <mergeCell ref="A140:C140"/>
    <mergeCell ref="A141:C141"/>
    <mergeCell ref="A147:C147"/>
    <mergeCell ref="A148:C148"/>
    <mergeCell ref="A143:C143"/>
    <mergeCell ref="A78:C78"/>
    <mergeCell ref="A97:C97"/>
    <mergeCell ref="A98:C98"/>
    <mergeCell ref="A99:C99"/>
    <mergeCell ref="A100:C100"/>
    <mergeCell ref="A102:C102"/>
    <mergeCell ref="A79:C79"/>
    <mergeCell ref="A80:C80"/>
    <mergeCell ref="A94:C94"/>
    <mergeCell ref="A95:C95"/>
    <mergeCell ref="A96:C96"/>
    <mergeCell ref="A81:C81"/>
    <mergeCell ref="A93:C93"/>
    <mergeCell ref="A144:C144"/>
    <mergeCell ref="A145:C145"/>
    <mergeCell ref="A146:C146"/>
    <mergeCell ref="A142:C142"/>
    <mergeCell ref="A160:J160"/>
    <mergeCell ref="A166:B166"/>
    <mergeCell ref="A167:B167"/>
    <mergeCell ref="A168:B168"/>
    <mergeCell ref="A149:C149"/>
    <mergeCell ref="A150:C150"/>
    <mergeCell ref="A151:C151"/>
    <mergeCell ref="A152:C152"/>
    <mergeCell ref="A154:J154"/>
    <mergeCell ref="A155:C155"/>
    <mergeCell ref="A156:C156"/>
    <mergeCell ref="A153:B153"/>
    <mergeCell ref="A157:C157"/>
    <mergeCell ref="A158:C158"/>
    <mergeCell ref="A159:C159"/>
    <mergeCell ref="A1:J1"/>
    <mergeCell ref="A6:C6"/>
    <mergeCell ref="A14:C14"/>
    <mergeCell ref="A17:C17"/>
    <mergeCell ref="E3:F3"/>
    <mergeCell ref="A18:C18"/>
    <mergeCell ref="A19:C19"/>
    <mergeCell ref="A21:C21"/>
    <mergeCell ref="A25:C25"/>
    <mergeCell ref="A33:C33"/>
    <mergeCell ref="A64:C64"/>
    <mergeCell ref="A65:C65"/>
    <mergeCell ref="A75:C75"/>
    <mergeCell ref="A76:C76"/>
    <mergeCell ref="A77:C77"/>
    <mergeCell ref="A73:C73"/>
    <mergeCell ref="A74:C74"/>
    <mergeCell ref="A61:C61"/>
    <mergeCell ref="A62:C62"/>
    <mergeCell ref="A63:C63"/>
    <mergeCell ref="A71:C71"/>
    <mergeCell ref="A72:B72"/>
  </mergeCells>
  <pageMargins left="0.22" right="0.17" top="0.14000000000000001" bottom="0.2" header="0.2" footer="0.2"/>
  <pageSetup paperSize="5" scale="19"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tabColor theme="3" tint="0.79998168889431442"/>
    <pageSetUpPr fitToPage="1"/>
  </sheetPr>
  <dimension ref="A1:R190"/>
  <sheetViews>
    <sheetView view="pageBreakPreview" topLeftCell="A145" zoomScale="55" zoomScaleNormal="68" zoomScaleSheetLayoutView="55" workbookViewId="0">
      <selection activeCell="G156" sqref="G156"/>
    </sheetView>
  </sheetViews>
  <sheetFormatPr defaultColWidth="22.33203125" defaultRowHeight="27.75" customHeight="1" x14ac:dyDescent="0.5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6" width="30" style="160" customWidth="1"/>
    <col min="7" max="7" width="28.88671875" style="580" customWidth="1"/>
    <col min="8" max="8" width="39.21875" style="161" customWidth="1"/>
    <col min="9" max="9" width="23.5546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27.75" customHeight="1" x14ac:dyDescent="0.65">
      <c r="A1" s="821" t="s">
        <v>115</v>
      </c>
      <c r="B1" s="822"/>
      <c r="C1" s="822"/>
      <c r="D1" s="822"/>
      <c r="E1" s="822"/>
      <c r="F1" s="822"/>
      <c r="G1" s="822"/>
      <c r="H1" s="822"/>
      <c r="I1" s="822"/>
      <c r="J1" s="823"/>
    </row>
    <row r="2" spans="1:15" s="57" customFormat="1" ht="27.75" customHeight="1" x14ac:dyDescent="0.5">
      <c r="A2" s="191" t="s">
        <v>350</v>
      </c>
      <c r="B2" s="262">
        <v>44548</v>
      </c>
      <c r="C2" s="348" t="s">
        <v>67</v>
      </c>
      <c r="D2" s="218">
        <v>0.51</v>
      </c>
      <c r="E2" s="100"/>
      <c r="F2" s="100"/>
      <c r="G2" s="557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27.75" customHeight="1" x14ac:dyDescent="0.5">
      <c r="A3" s="189"/>
      <c r="B3" s="221"/>
      <c r="C3" s="348" t="s">
        <v>118</v>
      </c>
      <c r="D3" s="219">
        <v>28</v>
      </c>
      <c r="E3" s="830" t="s">
        <v>119</v>
      </c>
      <c r="F3" s="831"/>
      <c r="G3" s="558"/>
      <c r="H3" s="102"/>
      <c r="I3" s="102"/>
      <c r="J3" s="222"/>
      <c r="K3" s="61"/>
      <c r="L3" s="58"/>
    </row>
    <row r="4" spans="1:15" s="57" customFormat="1" ht="27.75" customHeight="1" x14ac:dyDescent="0.5">
      <c r="A4" s="192"/>
      <c r="B4" s="223"/>
      <c r="C4" s="348" t="s">
        <v>120</v>
      </c>
      <c r="D4" s="218">
        <v>0.9</v>
      </c>
      <c r="E4" s="103"/>
      <c r="F4" s="103"/>
      <c r="G4" s="558"/>
      <c r="H4" s="103"/>
      <c r="I4" s="104"/>
      <c r="J4" s="222"/>
      <c r="K4" s="62"/>
      <c r="L4" s="58"/>
    </row>
    <row r="5" spans="1:15" ht="27.75" customHeight="1" x14ac:dyDescent="0.4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559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5" ht="27.75" customHeight="1" x14ac:dyDescent="0.4">
      <c r="A6" s="824" t="s">
        <v>128</v>
      </c>
      <c r="B6" s="825"/>
      <c r="C6" s="826"/>
      <c r="D6" s="110"/>
      <c r="E6" s="110"/>
      <c r="F6" s="110"/>
      <c r="G6" s="560"/>
      <c r="H6" s="111"/>
      <c r="I6" s="111"/>
      <c r="J6" s="174"/>
      <c r="K6" s="78"/>
      <c r="L6" s="66"/>
    </row>
    <row r="7" spans="1:15" ht="27.75" customHeight="1" thickBot="1" x14ac:dyDescent="0.45">
      <c r="A7" s="194" t="s">
        <v>129</v>
      </c>
      <c r="B7" s="195"/>
      <c r="C7" s="195"/>
      <c r="D7" s="151" t="s">
        <v>130</v>
      </c>
      <c r="E7" s="95">
        <f>'17'!F7</f>
        <v>406408</v>
      </c>
      <c r="F7" s="95">
        <v>424173</v>
      </c>
      <c r="G7" s="561">
        <f>F7-E7</f>
        <v>17765</v>
      </c>
      <c r="H7" s="99">
        <f>G7+'17'!H7</f>
        <v>329612</v>
      </c>
      <c r="I7" s="113">
        <f>'1'!I7</f>
        <v>12000</v>
      </c>
      <c r="J7" s="175">
        <f>H7/DAY(B2)</f>
        <v>18311.777777777777</v>
      </c>
      <c r="K7" s="172">
        <v>1375467</v>
      </c>
      <c r="L7" s="66"/>
      <c r="N7" s="87"/>
      <c r="O7" s="71"/>
    </row>
    <row r="8" spans="1:15" ht="27.75" customHeight="1" thickBot="1" x14ac:dyDescent="0.45">
      <c r="A8" s="196" t="s">
        <v>131</v>
      </c>
      <c r="B8" s="197"/>
      <c r="C8" s="198"/>
      <c r="D8" s="224" t="s">
        <v>24</v>
      </c>
      <c r="E8" s="95">
        <f>'17'!F8</f>
        <v>457733</v>
      </c>
      <c r="F8" s="95">
        <v>475797.83</v>
      </c>
      <c r="G8" s="562">
        <f>F8-E8</f>
        <v>18064.830000000016</v>
      </c>
      <c r="H8" s="99">
        <f>G8+'17'!H8</f>
        <v>334912.83</v>
      </c>
      <c r="I8" s="116"/>
      <c r="J8" s="175">
        <f>H8/DAY(B2)</f>
        <v>18606.268333333333</v>
      </c>
      <c r="K8" s="172">
        <v>1715917</v>
      </c>
      <c r="L8" s="76">
        <v>1728480</v>
      </c>
      <c r="M8" s="87">
        <f>L8-K8</f>
        <v>12563</v>
      </c>
      <c r="N8" s="87"/>
      <c r="O8" s="71"/>
    </row>
    <row r="9" spans="1:15" ht="27.75" customHeight="1" x14ac:dyDescent="0.4">
      <c r="A9" s="199" t="s">
        <v>132</v>
      </c>
      <c r="B9" s="200"/>
      <c r="C9" s="200"/>
      <c r="D9" s="151" t="s">
        <v>130</v>
      </c>
      <c r="E9" s="95">
        <f>'17'!F9</f>
        <v>98294.9</v>
      </c>
      <c r="F9" s="601">
        <v>109695.53</v>
      </c>
      <c r="G9" s="561">
        <f>F9-E9</f>
        <v>11400.630000000005</v>
      </c>
      <c r="H9" s="99">
        <f>G9+'17'!H9</f>
        <v>208200.53</v>
      </c>
      <c r="I9" s="124">
        <f>I7-J7</f>
        <v>-6311.7777777777774</v>
      </c>
      <c r="J9" s="175">
        <f>H9/DAY(B2)</f>
        <v>11566.69611111111</v>
      </c>
      <c r="K9" s="79">
        <f>K8-100</f>
        <v>1715817</v>
      </c>
      <c r="L9" s="66"/>
      <c r="N9" s="87"/>
      <c r="O9" s="71"/>
    </row>
    <row r="10" spans="1:15" ht="27.75" customHeight="1" x14ac:dyDescent="0.4">
      <c r="A10" s="194" t="s">
        <v>133</v>
      </c>
      <c r="B10" s="195"/>
      <c r="C10" s="195"/>
      <c r="D10" s="151" t="s">
        <v>130</v>
      </c>
      <c r="E10" s="95">
        <f>'17'!F10</f>
        <v>51481.74</v>
      </c>
      <c r="F10" s="353">
        <v>57422.18</v>
      </c>
      <c r="G10" s="561">
        <f>F10-E10</f>
        <v>5940.4400000000023</v>
      </c>
      <c r="H10" s="99">
        <f>G10+'17'!H10</f>
        <v>112328.18</v>
      </c>
      <c r="I10" s="282"/>
      <c r="J10" s="175">
        <f>H10/DAY(B2)</f>
        <v>6240.4544444444437</v>
      </c>
      <c r="K10" s="79"/>
      <c r="L10" s="66"/>
      <c r="N10" s="87"/>
      <c r="O10" s="71"/>
    </row>
    <row r="11" spans="1:15" ht="27.75" customHeight="1" x14ac:dyDescent="0.4">
      <c r="A11" s="194" t="s">
        <v>134</v>
      </c>
      <c r="B11" s="195"/>
      <c r="C11" s="195"/>
      <c r="D11" s="151" t="s">
        <v>130</v>
      </c>
      <c r="E11" s="95">
        <f>'17'!F11</f>
        <v>37000</v>
      </c>
      <c r="F11" s="95">
        <v>37170</v>
      </c>
      <c r="G11" s="561">
        <f t="shared" ref="G11:G12" si="0">F11-E11</f>
        <v>170</v>
      </c>
      <c r="H11" s="99">
        <f>G11+'17'!H11</f>
        <v>170</v>
      </c>
      <c r="I11" s="282"/>
      <c r="J11" s="175">
        <f>H11/DAY(B2)</f>
        <v>9.4444444444444446</v>
      </c>
      <c r="K11" s="79"/>
      <c r="L11" s="66"/>
      <c r="N11" s="87"/>
      <c r="O11" s="71"/>
    </row>
    <row r="12" spans="1:15" ht="27.75" customHeight="1" x14ac:dyDescent="0.4">
      <c r="A12" s="194" t="s">
        <v>135</v>
      </c>
      <c r="B12" s="195"/>
      <c r="C12" s="195"/>
      <c r="D12" s="151" t="s">
        <v>130</v>
      </c>
      <c r="E12" s="95">
        <f>'17'!F12</f>
        <v>40010</v>
      </c>
      <c r="F12" s="117">
        <v>40010</v>
      </c>
      <c r="G12" s="561">
        <f t="shared" si="0"/>
        <v>0</v>
      </c>
      <c r="H12" s="99">
        <f>G12+'17'!H12</f>
        <v>0</v>
      </c>
      <c r="I12" s="282"/>
      <c r="J12" s="175">
        <f>H12/DAY(B2)</f>
        <v>0</v>
      </c>
      <c r="K12" s="79"/>
      <c r="L12" s="66"/>
      <c r="N12" s="87"/>
      <c r="O12" s="71"/>
    </row>
    <row r="13" spans="1:15" ht="27.75" customHeight="1" x14ac:dyDescent="0.5">
      <c r="A13" s="201" t="s">
        <v>136</v>
      </c>
      <c r="B13" s="202"/>
      <c r="C13" s="202"/>
      <c r="D13" s="151"/>
      <c r="E13" s="95"/>
      <c r="F13" s="95"/>
      <c r="G13" s="563">
        <f>G9+G10+G11+G12</f>
        <v>17511.070000000007</v>
      </c>
      <c r="H13" s="99">
        <f>G13+'17'!H13</f>
        <v>301233.4599999999</v>
      </c>
      <c r="I13" s="120">
        <f>G7-G13</f>
        <v>253.92999999999302</v>
      </c>
      <c r="J13" s="175">
        <f>H13/DAY(B2)</f>
        <v>16735.192222222217</v>
      </c>
      <c r="K13" s="79"/>
      <c r="L13" s="66"/>
      <c r="N13" s="87"/>
      <c r="O13" s="71"/>
    </row>
    <row r="14" spans="1:15" ht="27.75" customHeight="1" x14ac:dyDescent="0.5">
      <c r="A14" s="827" t="s">
        <v>137</v>
      </c>
      <c r="B14" s="828"/>
      <c r="C14" s="829"/>
      <c r="D14" s="111"/>
      <c r="E14" s="111"/>
      <c r="F14" s="111"/>
      <c r="G14" s="564"/>
      <c r="H14" s="111"/>
      <c r="I14" s="111"/>
      <c r="J14" s="174"/>
      <c r="K14" s="80"/>
      <c r="L14" s="66"/>
      <c r="N14" s="87"/>
      <c r="O14" s="71"/>
    </row>
    <row r="15" spans="1:15" ht="27.75" customHeight="1" x14ac:dyDescent="0.5">
      <c r="A15" s="345" t="s">
        <v>138</v>
      </c>
      <c r="B15" s="205"/>
      <c r="C15" s="205"/>
      <c r="D15" s="151" t="s">
        <v>139</v>
      </c>
      <c r="E15" s="95">
        <f>'17'!F15</f>
        <v>1893340.273</v>
      </c>
      <c r="F15" s="123">
        <v>1894222</v>
      </c>
      <c r="G15" s="561">
        <f>(F15-E15)</f>
        <v>881.7269999999553</v>
      </c>
      <c r="H15" s="99">
        <f>G15+'17'!H15</f>
        <v>15792</v>
      </c>
      <c r="I15" s="113">
        <f>'1'!I15</f>
        <v>800</v>
      </c>
      <c r="J15" s="175">
        <f>H15/DAY(B2)</f>
        <v>877.33333333333337</v>
      </c>
      <c r="K15" s="79"/>
      <c r="L15" s="66"/>
      <c r="N15" s="87"/>
      <c r="O15" s="71"/>
    </row>
    <row r="16" spans="1:15" ht="27.75" customHeight="1" x14ac:dyDescent="0.4">
      <c r="A16" s="203"/>
      <c r="B16" s="204"/>
      <c r="C16" s="204"/>
      <c r="D16" s="152"/>
      <c r="E16" s="123"/>
      <c r="F16" s="123"/>
      <c r="G16" s="561"/>
      <c r="H16" s="124"/>
      <c r="I16" s="120">
        <f>I15-J15</f>
        <v>-77.333333333333371</v>
      </c>
      <c r="J16" s="176"/>
      <c r="K16" s="79"/>
      <c r="L16" s="66"/>
      <c r="N16" s="87"/>
      <c r="O16" s="71"/>
    </row>
    <row r="17" spans="1:15" ht="27.75" customHeight="1" x14ac:dyDescent="0.5">
      <c r="A17" s="827" t="s">
        <v>140</v>
      </c>
      <c r="B17" s="828"/>
      <c r="C17" s="829"/>
      <c r="D17" s="111"/>
      <c r="E17" s="111"/>
      <c r="F17" s="111"/>
      <c r="G17" s="564"/>
      <c r="H17" s="111"/>
      <c r="I17" s="111"/>
      <c r="J17" s="174"/>
      <c r="K17" s="79"/>
      <c r="L17" s="66"/>
      <c r="N17" s="87"/>
      <c r="O17" s="71"/>
    </row>
    <row r="18" spans="1:15" ht="27.75" customHeight="1" x14ac:dyDescent="0.5">
      <c r="A18" s="818" t="s">
        <v>141</v>
      </c>
      <c r="B18" s="819"/>
      <c r="C18" s="820"/>
      <c r="D18" s="151" t="s">
        <v>142</v>
      </c>
      <c r="E18" s="95">
        <f>'17'!F18</f>
        <v>8</v>
      </c>
      <c r="F18" s="122">
        <v>10</v>
      </c>
      <c r="G18" s="563">
        <f>F18*10</f>
        <v>100</v>
      </c>
      <c r="H18" s="99">
        <f>G18+'17'!H18</f>
        <v>1920</v>
      </c>
      <c r="I18" s="113">
        <f>'1'!I18</f>
        <v>65</v>
      </c>
      <c r="J18" s="175">
        <f>H18/DAY(B2)</f>
        <v>106.66666666666667</v>
      </c>
      <c r="K18" s="79"/>
      <c r="L18" s="66"/>
      <c r="N18" s="87"/>
      <c r="O18" s="71"/>
    </row>
    <row r="19" spans="1:15" ht="27.75" customHeight="1" x14ac:dyDescent="0.5">
      <c r="A19" s="818" t="s">
        <v>69</v>
      </c>
      <c r="B19" s="819"/>
      <c r="C19" s="820"/>
      <c r="D19" s="151" t="s">
        <v>142</v>
      </c>
      <c r="E19" s="95">
        <f>'17'!F19</f>
        <v>153125</v>
      </c>
      <c r="F19" s="122">
        <v>153179</v>
      </c>
      <c r="G19" s="561">
        <f t="shared" ref="G19" si="1">F19-E19</f>
        <v>54</v>
      </c>
      <c r="H19" s="99">
        <f>G19+'17'!H19</f>
        <v>954</v>
      </c>
      <c r="I19" s="335"/>
      <c r="J19" s="175">
        <f>H19/DAY(B2)</f>
        <v>53</v>
      </c>
      <c r="K19" s="79"/>
      <c r="L19" s="66"/>
      <c r="N19" s="87"/>
      <c r="O19" s="71"/>
    </row>
    <row r="20" spans="1:15" ht="27.75" customHeight="1" x14ac:dyDescent="0.5">
      <c r="A20" s="201" t="s">
        <v>143</v>
      </c>
      <c r="B20" s="202"/>
      <c r="C20" s="202"/>
      <c r="D20" s="126"/>
      <c r="E20" s="126"/>
      <c r="F20" s="126"/>
      <c r="G20" s="565">
        <f>G18+G19</f>
        <v>154</v>
      </c>
      <c r="H20" s="99">
        <f>G20+'17'!H20</f>
        <v>2874</v>
      </c>
      <c r="I20" s="336">
        <f>I18-J20</f>
        <v>-94.666666666666657</v>
      </c>
      <c r="J20" s="175">
        <f>H20/DAY(B2)</f>
        <v>159.66666666666666</v>
      </c>
      <c r="K20" s="79"/>
      <c r="L20" s="66"/>
      <c r="N20" s="87"/>
      <c r="O20" s="71"/>
    </row>
    <row r="21" spans="1:15" ht="27.75" customHeight="1" x14ac:dyDescent="0.5">
      <c r="A21" s="827" t="s">
        <v>144</v>
      </c>
      <c r="B21" s="828"/>
      <c r="C21" s="829"/>
      <c r="D21" s="111"/>
      <c r="E21" s="111"/>
      <c r="F21" s="111"/>
      <c r="G21" s="564"/>
      <c r="H21" s="111"/>
      <c r="I21" s="111"/>
      <c r="J21" s="174"/>
      <c r="K21" s="79"/>
      <c r="L21" s="66"/>
      <c r="N21" s="87"/>
      <c r="O21" s="71"/>
    </row>
    <row r="22" spans="1:15" ht="27.75" customHeight="1" x14ac:dyDescent="0.5">
      <c r="A22" s="345" t="s">
        <v>145</v>
      </c>
      <c r="B22" s="205"/>
      <c r="C22" s="205"/>
      <c r="D22" s="151" t="s">
        <v>146</v>
      </c>
      <c r="E22" s="95">
        <f>'17'!F22</f>
        <v>2970</v>
      </c>
      <c r="F22" s="122">
        <v>2970</v>
      </c>
      <c r="G22" s="563">
        <f>(F22-E22)</f>
        <v>0</v>
      </c>
      <c r="H22" s="99">
        <f>G22+'17'!H22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27.75" customHeight="1" x14ac:dyDescent="0.5">
      <c r="A23" s="345" t="s">
        <v>147</v>
      </c>
      <c r="B23" s="205"/>
      <c r="C23" s="205"/>
      <c r="D23" s="151" t="s">
        <v>146</v>
      </c>
      <c r="E23" s="604">
        <f>'17'!F23</f>
        <v>1500</v>
      </c>
      <c r="F23" s="488">
        <v>1390</v>
      </c>
      <c r="G23" s="706">
        <f>-(F23-E23)</f>
        <v>110</v>
      </c>
      <c r="H23" s="99">
        <f>G23+'17'!H23</f>
        <v>110</v>
      </c>
      <c r="I23" s="118"/>
      <c r="J23" s="175">
        <f>H23/DAY(B2)</f>
        <v>6.1111111111111107</v>
      </c>
      <c r="K23" s="79"/>
      <c r="L23" s="66"/>
      <c r="N23" s="707"/>
      <c r="O23" s="71"/>
    </row>
    <row r="24" spans="1:15" ht="27.75" customHeight="1" x14ac:dyDescent="0.4">
      <c r="A24" s="206" t="s">
        <v>148</v>
      </c>
      <c r="B24" s="207"/>
      <c r="C24" s="207"/>
      <c r="D24" s="146" t="s">
        <v>146</v>
      </c>
      <c r="E24" s="95">
        <f>SUM(E22:E23)</f>
        <v>4470</v>
      </c>
      <c r="F24" s="128">
        <v>4970</v>
      </c>
      <c r="G24" s="563">
        <f>SUM(G22:G23)</f>
        <v>110</v>
      </c>
      <c r="H24" s="99">
        <f>G24+'17'!H24</f>
        <v>110</v>
      </c>
      <c r="I24" s="118"/>
      <c r="J24" s="175">
        <f>H24/DAY(B2)</f>
        <v>6.1111111111111107</v>
      </c>
      <c r="K24" s="79"/>
      <c r="L24" s="66"/>
      <c r="N24" s="87"/>
      <c r="O24" s="71"/>
    </row>
    <row r="25" spans="1:15" s="88" customFormat="1" ht="27.75" customHeight="1" x14ac:dyDescent="0.35">
      <c r="A25" s="832" t="s">
        <v>149</v>
      </c>
      <c r="B25" s="833"/>
      <c r="C25" s="834"/>
      <c r="D25" s="110"/>
      <c r="E25" s="110"/>
      <c r="F25" s="110"/>
      <c r="G25" s="566"/>
      <c r="H25" s="130"/>
      <c r="I25" s="131"/>
      <c r="J25" s="177"/>
      <c r="K25" s="63"/>
      <c r="L25" s="89"/>
      <c r="N25" s="87"/>
      <c r="O25" s="71"/>
    </row>
    <row r="26" spans="1:15" s="88" customFormat="1" ht="27.75" customHeight="1" x14ac:dyDescent="0.5">
      <c r="A26" s="208" t="s">
        <v>150</v>
      </c>
      <c r="B26" s="209"/>
      <c r="C26" s="210"/>
      <c r="D26" s="225" t="s">
        <v>151</v>
      </c>
      <c r="E26" s="132"/>
      <c r="F26" s="132"/>
      <c r="G26" s="567"/>
      <c r="H26" s="99"/>
      <c r="I26" s="134"/>
      <c r="J26" s="175"/>
      <c r="K26" s="64"/>
      <c r="L26" s="89"/>
      <c r="N26" s="87"/>
      <c r="O26" s="71"/>
    </row>
    <row r="27" spans="1:15" s="88" customFormat="1" ht="27.75" customHeight="1" x14ac:dyDescent="0.5">
      <c r="A27" s="208" t="s">
        <v>5</v>
      </c>
      <c r="B27" s="209"/>
      <c r="C27" s="210"/>
      <c r="D27" s="226" t="s">
        <v>24</v>
      </c>
      <c r="E27" s="135">
        <f>G8</f>
        <v>18064.830000000016</v>
      </c>
      <c r="F27" s="136">
        <v>9</v>
      </c>
      <c r="G27" s="568">
        <f>E27*F27</f>
        <v>162583.47000000015</v>
      </c>
      <c r="H27" s="99">
        <f>G27+'17'!H27</f>
        <v>3014215.47</v>
      </c>
      <c r="I27" s="138"/>
      <c r="J27" s="175">
        <f>H27/DAY(B2)</f>
        <v>167456.41500000001</v>
      </c>
      <c r="K27" s="63"/>
      <c r="L27" s="89"/>
      <c r="N27" s="87"/>
      <c r="O27" s="71"/>
    </row>
    <row r="28" spans="1:15" s="88" customFormat="1" ht="27.75" customHeight="1" x14ac:dyDescent="0.5">
      <c r="A28" s="208" t="s">
        <v>152</v>
      </c>
      <c r="B28" s="209"/>
      <c r="C28" s="210"/>
      <c r="D28" s="226" t="s">
        <v>153</v>
      </c>
      <c r="E28" s="139">
        <f>G15</f>
        <v>881.7269999999553</v>
      </c>
      <c r="F28" s="136">
        <v>52</v>
      </c>
      <c r="G28" s="568">
        <f>E28*F28</f>
        <v>45849.803999997675</v>
      </c>
      <c r="H28" s="99">
        <f>G28+'17'!H28</f>
        <v>821184</v>
      </c>
      <c r="I28" s="140"/>
      <c r="J28" s="175">
        <f>H28/DAY(B2)</f>
        <v>45621.333333333336</v>
      </c>
      <c r="K28" s="63"/>
      <c r="L28" s="89"/>
      <c r="N28" s="87"/>
      <c r="O28" s="71"/>
    </row>
    <row r="29" spans="1:15" s="88" customFormat="1" ht="27.75" customHeight="1" x14ac:dyDescent="0.5">
      <c r="A29" s="208" t="s">
        <v>154</v>
      </c>
      <c r="B29" s="209"/>
      <c r="C29" s="210"/>
      <c r="D29" s="226" t="s">
        <v>155</v>
      </c>
      <c r="E29" s="141">
        <f>G24</f>
        <v>110</v>
      </c>
      <c r="F29" s="136">
        <v>69</v>
      </c>
      <c r="G29" s="568">
        <f>E29*F29</f>
        <v>7590</v>
      </c>
      <c r="H29" s="99">
        <f>G29+'17'!H29</f>
        <v>7590</v>
      </c>
      <c r="I29" s="140"/>
      <c r="J29" s="175">
        <f>H29/DAY(B2)</f>
        <v>421.66666666666669</v>
      </c>
      <c r="K29" s="63"/>
      <c r="L29" s="89"/>
      <c r="N29" s="87"/>
      <c r="O29" s="71"/>
    </row>
    <row r="30" spans="1:15" s="88" customFormat="1" ht="27.75" customHeight="1" x14ac:dyDescent="0.5">
      <c r="A30" s="208" t="s">
        <v>156</v>
      </c>
      <c r="B30" s="209"/>
      <c r="C30" s="210"/>
      <c r="D30" s="226" t="s">
        <v>157</v>
      </c>
      <c r="E30" s="141">
        <f>G19</f>
        <v>54</v>
      </c>
      <c r="F30" s="136">
        <v>146</v>
      </c>
      <c r="G30" s="568">
        <f>E30*F30</f>
        <v>7884</v>
      </c>
      <c r="H30" s="99">
        <f>G30+'17'!H30</f>
        <v>139284</v>
      </c>
      <c r="I30" s="140"/>
      <c r="J30" s="175">
        <f>H30/DAY(B2)</f>
        <v>7738</v>
      </c>
      <c r="K30" s="63"/>
      <c r="L30" s="89"/>
      <c r="N30" s="87"/>
      <c r="O30" s="71"/>
    </row>
    <row r="31" spans="1:15" s="88" customFormat="1" ht="27.75" customHeight="1" x14ac:dyDescent="0.5">
      <c r="A31" s="208" t="s">
        <v>158</v>
      </c>
      <c r="B31" s="209"/>
      <c r="C31" s="210"/>
      <c r="D31" s="226" t="s">
        <v>142</v>
      </c>
      <c r="E31" s="141">
        <f>G18</f>
        <v>100</v>
      </c>
      <c r="F31" s="136">
        <v>80</v>
      </c>
      <c r="G31" s="568">
        <f>E31*F31</f>
        <v>8000</v>
      </c>
      <c r="H31" s="99">
        <f>G31+'17'!H31</f>
        <v>153600</v>
      </c>
      <c r="I31" s="140"/>
      <c r="J31" s="175">
        <f>H31/DAY(B2)</f>
        <v>8533.3333333333339</v>
      </c>
      <c r="K31" s="63"/>
      <c r="L31" s="89"/>
      <c r="N31" s="87"/>
      <c r="O31" s="71"/>
    </row>
    <row r="32" spans="1:15" s="88" customFormat="1" ht="27.75" customHeight="1" x14ac:dyDescent="0.5">
      <c r="A32" s="211" t="s">
        <v>159</v>
      </c>
      <c r="B32" s="212"/>
      <c r="C32" s="213"/>
      <c r="D32" s="142"/>
      <c r="E32" s="142"/>
      <c r="F32" s="142"/>
      <c r="G32" s="569">
        <f>G27+G28+G29+G30+G31</f>
        <v>231907.27399999782</v>
      </c>
      <c r="H32" s="99">
        <f>G32+'17'!H32</f>
        <v>4135873.47</v>
      </c>
      <c r="I32" s="144"/>
      <c r="J32" s="175">
        <f>H32/DAY(B2)</f>
        <v>229770.74833333335</v>
      </c>
      <c r="K32" s="63"/>
      <c r="L32" s="89"/>
      <c r="N32" s="87"/>
      <c r="O32" s="71"/>
    </row>
    <row r="33" spans="1:15" ht="27.75" customHeight="1" x14ac:dyDescent="0.35">
      <c r="A33" s="835" t="s">
        <v>331</v>
      </c>
      <c r="B33" s="836"/>
      <c r="C33" s="836"/>
      <c r="D33" s="337"/>
      <c r="E33" s="337"/>
      <c r="F33" s="337"/>
      <c r="G33" s="570"/>
      <c r="H33" s="337"/>
      <c r="I33" s="337"/>
      <c r="J33" s="338"/>
      <c r="K33" s="79"/>
      <c r="L33" s="66"/>
      <c r="N33" s="87"/>
      <c r="O33" s="71"/>
    </row>
    <row r="34" spans="1:15" ht="27.75" customHeight="1" x14ac:dyDescent="0.5">
      <c r="A34" s="214" t="s">
        <v>160</v>
      </c>
      <c r="B34" s="349"/>
      <c r="C34" s="349"/>
      <c r="D34" s="111"/>
      <c r="E34" s="110"/>
      <c r="F34" s="110"/>
      <c r="G34" s="571"/>
      <c r="H34" s="111"/>
      <c r="I34" s="111"/>
      <c r="J34" s="174"/>
      <c r="K34" s="79"/>
      <c r="L34" s="66"/>
      <c r="N34" s="87"/>
      <c r="O34" s="71"/>
    </row>
    <row r="35" spans="1:15" ht="27.75" customHeight="1" x14ac:dyDescent="0.4">
      <c r="A35" s="194" t="s">
        <v>161</v>
      </c>
      <c r="B35" s="195"/>
      <c r="C35" s="195"/>
      <c r="D35" s="151" t="s">
        <v>130</v>
      </c>
      <c r="E35" s="95">
        <f>'17'!F35</f>
        <v>13093.6</v>
      </c>
      <c r="F35" s="145">
        <v>14485.36</v>
      </c>
      <c r="G35" s="561">
        <f t="shared" ref="G35:G46" si="2">F35-E35</f>
        <v>1391.7600000000002</v>
      </c>
      <c r="H35" s="99">
        <f>G35+'17'!H35</f>
        <v>29685.360000000001</v>
      </c>
      <c r="I35" s="95"/>
      <c r="J35" s="175">
        <f>H35/DAY(B2)</f>
        <v>1649.1866666666667</v>
      </c>
      <c r="K35" s="79"/>
      <c r="L35" s="66"/>
      <c r="N35" s="87"/>
      <c r="O35" s="71"/>
    </row>
    <row r="36" spans="1:15" ht="27.75" customHeight="1" x14ac:dyDescent="0.4">
      <c r="A36" s="194" t="s">
        <v>162</v>
      </c>
      <c r="B36" s="195"/>
      <c r="C36" s="195"/>
      <c r="D36" s="151" t="s">
        <v>130</v>
      </c>
      <c r="E36" s="95">
        <f>'17'!F36</f>
        <v>33474.46</v>
      </c>
      <c r="F36" s="145">
        <v>34075.360000000001</v>
      </c>
      <c r="G36" s="561">
        <f t="shared" si="2"/>
        <v>600.90000000000146</v>
      </c>
      <c r="H36" s="99">
        <f>G36+'17'!H36</f>
        <v>12548.36</v>
      </c>
      <c r="I36" s="95"/>
      <c r="J36" s="175">
        <f>H36/DAY(B2)</f>
        <v>697.13111111111118</v>
      </c>
      <c r="K36" s="79"/>
      <c r="L36" s="66"/>
      <c r="N36" s="87"/>
      <c r="O36" s="344"/>
    </row>
    <row r="37" spans="1:15" ht="27.75" customHeight="1" x14ac:dyDescent="0.4">
      <c r="A37" s="194" t="s">
        <v>163</v>
      </c>
      <c r="B37" s="195"/>
      <c r="C37" s="195"/>
      <c r="D37" s="151" t="s">
        <v>130</v>
      </c>
      <c r="E37" s="95">
        <f>'17'!F37</f>
        <v>13321.42</v>
      </c>
      <c r="F37" s="145">
        <v>14883.97</v>
      </c>
      <c r="G37" s="561">
        <f t="shared" si="2"/>
        <v>1562.5499999999993</v>
      </c>
      <c r="H37" s="99">
        <f>G37+'17'!H37</f>
        <v>27095.969999999998</v>
      </c>
      <c r="I37" s="95"/>
      <c r="J37" s="175">
        <f>H37/DAY(B2)</f>
        <v>1505.3316666666665</v>
      </c>
      <c r="K37" s="79"/>
      <c r="L37" s="66"/>
      <c r="N37" s="87"/>
      <c r="O37" s="234"/>
    </row>
    <row r="38" spans="1:15" ht="27.75" customHeight="1" x14ac:dyDescent="0.4">
      <c r="A38" s="194" t="s">
        <v>164</v>
      </c>
      <c r="B38" s="195"/>
      <c r="C38" s="195"/>
      <c r="D38" s="151" t="s">
        <v>130</v>
      </c>
      <c r="E38" s="95">
        <f>'17'!F38</f>
        <v>14168.16</v>
      </c>
      <c r="F38" s="108">
        <v>15864.46</v>
      </c>
      <c r="G38" s="561">
        <f t="shared" si="2"/>
        <v>1696.2999999999993</v>
      </c>
      <c r="H38" s="99">
        <f>G38+'17'!H38</f>
        <v>29064.46</v>
      </c>
      <c r="I38" s="95"/>
      <c r="J38" s="175">
        <f>H38/DAY(B2)</f>
        <v>1614.6922222222222</v>
      </c>
      <c r="K38" s="79"/>
      <c r="L38" s="66"/>
      <c r="N38" s="87"/>
      <c r="O38" s="71"/>
    </row>
    <row r="39" spans="1:15" ht="27.75" customHeight="1" x14ac:dyDescent="0.4">
      <c r="A39" s="194" t="s">
        <v>165</v>
      </c>
      <c r="B39" s="195"/>
      <c r="C39" s="195"/>
      <c r="D39" s="151" t="s">
        <v>130</v>
      </c>
      <c r="E39" s="95">
        <f>'17'!F39</f>
        <v>22808</v>
      </c>
      <c r="F39" s="145">
        <v>25354.49</v>
      </c>
      <c r="G39" s="561">
        <f t="shared" si="2"/>
        <v>2546.4900000000016</v>
      </c>
      <c r="H39" s="99">
        <f>G39+'17'!H39</f>
        <v>47036.490000000005</v>
      </c>
      <c r="I39" s="95"/>
      <c r="J39" s="175">
        <f>H39/DAY(B2)</f>
        <v>2613.1383333333338</v>
      </c>
      <c r="K39" s="79"/>
      <c r="L39" s="66"/>
      <c r="N39" s="87"/>
      <c r="O39" s="71"/>
    </row>
    <row r="40" spans="1:15" ht="27.75" customHeight="1" x14ac:dyDescent="0.4">
      <c r="A40" s="215" t="s">
        <v>166</v>
      </c>
      <c r="B40" s="216"/>
      <c r="C40" s="216"/>
      <c r="D40" s="151" t="s">
        <v>130</v>
      </c>
      <c r="E40" s="490">
        <f>'17'!F40</f>
        <v>13361</v>
      </c>
      <c r="F40" s="552">
        <v>13643.14</v>
      </c>
      <c r="G40" s="705">
        <f t="shared" si="2"/>
        <v>282.13999999999942</v>
      </c>
      <c r="H40" s="99">
        <f>G40+'17'!H40</f>
        <v>8033.1399999999994</v>
      </c>
      <c r="I40" s="95"/>
      <c r="J40" s="175">
        <f>H40/DAY(B2)</f>
        <v>446.2855555555555</v>
      </c>
      <c r="K40" s="80"/>
      <c r="L40" s="66"/>
      <c r="N40" s="87">
        <v>7285</v>
      </c>
      <c r="O40" s="71" t="s">
        <v>368</v>
      </c>
    </row>
    <row r="41" spans="1:15" ht="27.75" customHeight="1" x14ac:dyDescent="0.4">
      <c r="A41" s="194" t="s">
        <v>167</v>
      </c>
      <c r="B41" s="195"/>
      <c r="C41" s="195"/>
      <c r="D41" s="151" t="s">
        <v>130</v>
      </c>
      <c r="E41" s="95">
        <f>'17'!F41</f>
        <v>0</v>
      </c>
      <c r="F41" s="145">
        <v>0</v>
      </c>
      <c r="G41" s="561">
        <f t="shared" si="2"/>
        <v>0</v>
      </c>
      <c r="H41" s="99">
        <f>G41+'17'!H41</f>
        <v>0</v>
      </c>
      <c r="I41" s="95"/>
      <c r="J41" s="175">
        <f>H41/DAY(B2)</f>
        <v>0</v>
      </c>
      <c r="K41" s="79"/>
      <c r="L41" s="66"/>
      <c r="N41" s="87"/>
      <c r="O41" s="71"/>
    </row>
    <row r="42" spans="1:15" ht="27.75" customHeight="1" x14ac:dyDescent="0.4">
      <c r="A42" s="194" t="s">
        <v>168</v>
      </c>
      <c r="B42" s="195"/>
      <c r="C42" s="195"/>
      <c r="D42" s="151" t="s">
        <v>130</v>
      </c>
      <c r="E42" s="95">
        <f>'17'!F42</f>
        <v>73808.600000000006</v>
      </c>
      <c r="F42" s="145">
        <v>73808.600000000006</v>
      </c>
      <c r="G42" s="561">
        <f t="shared" si="2"/>
        <v>0</v>
      </c>
      <c r="H42" s="99">
        <f>G42+'17'!H42</f>
        <v>-0.39999999999417923</v>
      </c>
      <c r="I42" s="95"/>
      <c r="J42" s="175">
        <f>H42/DAY(B2)</f>
        <v>-2.2222222221898846E-2</v>
      </c>
      <c r="K42" s="79"/>
      <c r="L42" s="66"/>
      <c r="N42" s="87"/>
      <c r="O42" s="71"/>
    </row>
    <row r="43" spans="1:15" ht="27.75" customHeight="1" x14ac:dyDescent="0.4">
      <c r="A43" s="194" t="s">
        <v>169</v>
      </c>
      <c r="B43" s="195"/>
      <c r="C43" s="195"/>
      <c r="D43" s="151" t="s">
        <v>130</v>
      </c>
      <c r="E43" s="95">
        <f>'17'!F43</f>
        <v>85043.15</v>
      </c>
      <c r="F43" s="145">
        <v>87381.15</v>
      </c>
      <c r="G43" s="561">
        <f t="shared" si="2"/>
        <v>2338</v>
      </c>
      <c r="H43" s="99">
        <f>G43+'17'!H43</f>
        <v>40120.149999999994</v>
      </c>
      <c r="I43" s="95"/>
      <c r="J43" s="175">
        <f>H43/DAY(B2)</f>
        <v>2228.8972222222219</v>
      </c>
      <c r="K43" s="79"/>
      <c r="L43" s="66"/>
      <c r="N43" s="87"/>
      <c r="O43" s="71"/>
    </row>
    <row r="44" spans="1:15" ht="27.75" customHeight="1" x14ac:dyDescent="0.4">
      <c r="A44" s="194" t="s">
        <v>170</v>
      </c>
      <c r="B44" s="195"/>
      <c r="C44" s="195"/>
      <c r="D44" s="151" t="s">
        <v>130</v>
      </c>
      <c r="E44" s="95">
        <f>'17'!F44</f>
        <v>0</v>
      </c>
      <c r="F44" s="145">
        <v>0</v>
      </c>
      <c r="G44" s="561">
        <f t="shared" si="2"/>
        <v>0</v>
      </c>
      <c r="H44" s="99">
        <f>G44+'17'!H44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27.75" customHeight="1" x14ac:dyDescent="0.4">
      <c r="A45" s="194" t="s">
        <v>171</v>
      </c>
      <c r="B45" s="195"/>
      <c r="C45" s="195"/>
      <c r="D45" s="151" t="s">
        <v>130</v>
      </c>
      <c r="E45" s="95">
        <f>'17'!F45</f>
        <v>0</v>
      </c>
      <c r="F45" s="145">
        <v>0</v>
      </c>
      <c r="G45" s="561">
        <f t="shared" si="2"/>
        <v>0</v>
      </c>
      <c r="H45" s="99">
        <f>G45+'17'!H45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27.75" customHeight="1" x14ac:dyDescent="0.4">
      <c r="A46" s="194" t="s">
        <v>172</v>
      </c>
      <c r="B46" s="195"/>
      <c r="C46" s="195"/>
      <c r="D46" s="151" t="s">
        <v>130</v>
      </c>
      <c r="E46" s="95">
        <f>'17'!F46</f>
        <v>0</v>
      </c>
      <c r="F46" s="145">
        <v>0</v>
      </c>
      <c r="G46" s="561">
        <f t="shared" si="2"/>
        <v>0</v>
      </c>
      <c r="H46" s="99">
        <f>G46+'17'!H46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27.75" customHeight="1" x14ac:dyDescent="0.5">
      <c r="A47" s="201" t="s">
        <v>173</v>
      </c>
      <c r="B47" s="202"/>
      <c r="C47" s="202"/>
      <c r="D47" s="109"/>
      <c r="E47" s="146"/>
      <c r="F47" s="146"/>
      <c r="G47" s="563">
        <f>G35+G36+G37+G38+G39+G40+G41+G42+G43+G44+G45+G46</f>
        <v>10418.140000000001</v>
      </c>
      <c r="H47" s="99">
        <f>G47+'17'!H47</f>
        <v>193583.53000000003</v>
      </c>
      <c r="I47" s="95"/>
      <c r="J47" s="175">
        <f>H47/DAY(B2)</f>
        <v>10754.640555555558</v>
      </c>
      <c r="K47" s="79"/>
      <c r="L47" s="66"/>
      <c r="N47" s="87"/>
      <c r="O47" s="71"/>
    </row>
    <row r="48" spans="1:15" ht="27.75" customHeight="1" x14ac:dyDescent="0.5">
      <c r="A48" s="214" t="s">
        <v>174</v>
      </c>
      <c r="B48" s="349"/>
      <c r="C48" s="349"/>
      <c r="D48" s="111"/>
      <c r="E48" s="110"/>
      <c r="F48" s="110"/>
      <c r="G48" s="571"/>
      <c r="H48" s="111"/>
      <c r="I48" s="111"/>
      <c r="J48" s="174"/>
      <c r="K48" s="79"/>
      <c r="L48" s="66"/>
      <c r="N48" s="87"/>
      <c r="O48" s="71"/>
    </row>
    <row r="49" spans="1:15" ht="27.75" customHeight="1" x14ac:dyDescent="0.4">
      <c r="A49" s="194" t="s">
        <v>161</v>
      </c>
      <c r="B49" s="217"/>
      <c r="C49" s="217"/>
      <c r="D49" s="151" t="s">
        <v>130</v>
      </c>
      <c r="E49" s="95">
        <f>'17'!F49</f>
        <v>11344.61</v>
      </c>
      <c r="F49" s="145">
        <v>12587.33</v>
      </c>
      <c r="G49" s="561">
        <f t="shared" ref="G49:G58" si="3">F49-E49</f>
        <v>1242.7199999999993</v>
      </c>
      <c r="H49" s="99">
        <f>G49+'17'!H49</f>
        <v>25708.33</v>
      </c>
      <c r="I49" s="95"/>
      <c r="J49" s="175">
        <f>H49/DAY(B2)</f>
        <v>1428.2405555555556</v>
      </c>
      <c r="K49" s="79"/>
      <c r="L49" s="66"/>
      <c r="N49" s="87"/>
      <c r="O49" s="71"/>
    </row>
    <row r="50" spans="1:15" ht="27.75" customHeight="1" x14ac:dyDescent="0.4">
      <c r="A50" s="194" t="s">
        <v>175</v>
      </c>
      <c r="B50" s="217"/>
      <c r="C50" s="217"/>
      <c r="D50" s="151" t="s">
        <v>130</v>
      </c>
      <c r="E50" s="95">
        <f>'17'!F50</f>
        <v>41124.53</v>
      </c>
      <c r="F50" s="145">
        <v>42045.93</v>
      </c>
      <c r="G50" s="561">
        <f t="shared" si="3"/>
        <v>921.40000000000146</v>
      </c>
      <c r="H50" s="99">
        <f>G50+'17'!H50</f>
        <v>17395.93</v>
      </c>
      <c r="I50" s="95"/>
      <c r="J50" s="175">
        <f>H50/DAY(B2)</f>
        <v>966.44055555555553</v>
      </c>
      <c r="K50" s="79"/>
      <c r="L50" s="66"/>
      <c r="N50" s="87"/>
      <c r="O50" s="71"/>
    </row>
    <row r="51" spans="1:15" ht="27.75" customHeight="1" x14ac:dyDescent="0.4">
      <c r="A51" s="194" t="s">
        <v>163</v>
      </c>
      <c r="B51" s="217"/>
      <c r="C51" s="217"/>
      <c r="D51" s="151" t="s">
        <v>130</v>
      </c>
      <c r="E51" s="95">
        <f>'17'!F51</f>
        <v>0</v>
      </c>
      <c r="F51" s="145">
        <v>0</v>
      </c>
      <c r="G51" s="561">
        <f t="shared" si="3"/>
        <v>0</v>
      </c>
      <c r="H51" s="99">
        <f>G51+'17'!H51</f>
        <v>0</v>
      </c>
      <c r="I51" s="95"/>
      <c r="J51" s="175">
        <f>H51/DAY(B2)</f>
        <v>0</v>
      </c>
      <c r="K51" s="79"/>
      <c r="L51" s="66"/>
      <c r="N51" s="87"/>
      <c r="O51" s="71"/>
    </row>
    <row r="52" spans="1:15" ht="27.75" customHeight="1" x14ac:dyDescent="0.4">
      <c r="A52" s="194" t="s">
        <v>176</v>
      </c>
      <c r="B52" s="217"/>
      <c r="C52" s="217"/>
      <c r="D52" s="151" t="s">
        <v>130</v>
      </c>
      <c r="E52" s="95">
        <f>'17'!F52</f>
        <v>0</v>
      </c>
      <c r="F52" s="145">
        <v>0</v>
      </c>
      <c r="G52" s="561">
        <f t="shared" si="3"/>
        <v>0</v>
      </c>
      <c r="H52" s="99">
        <f>G52+'17'!H52</f>
        <v>0</v>
      </c>
      <c r="I52" s="95"/>
      <c r="J52" s="175">
        <f>H52/DAY(B2)</f>
        <v>0</v>
      </c>
      <c r="K52" s="79"/>
      <c r="L52" s="66"/>
      <c r="N52" s="87"/>
      <c r="O52" s="71"/>
    </row>
    <row r="53" spans="1:15" ht="27.75" customHeight="1" x14ac:dyDescent="0.4">
      <c r="A53" s="194" t="s">
        <v>165</v>
      </c>
      <c r="B53" s="217"/>
      <c r="C53" s="217"/>
      <c r="D53" s="151" t="s">
        <v>130</v>
      </c>
      <c r="E53" s="95">
        <f>'17'!F53</f>
        <v>0</v>
      </c>
      <c r="F53" s="145">
        <v>0</v>
      </c>
      <c r="G53" s="561">
        <f t="shared" si="3"/>
        <v>0</v>
      </c>
      <c r="H53" s="99">
        <f>G53+'17'!H53</f>
        <v>0</v>
      </c>
      <c r="I53" s="95"/>
      <c r="J53" s="175">
        <f>H53/DAY(B2)</f>
        <v>0</v>
      </c>
      <c r="K53" s="79"/>
      <c r="L53" s="66"/>
      <c r="N53" s="87"/>
      <c r="O53" s="71"/>
    </row>
    <row r="54" spans="1:15" ht="27.75" customHeight="1" x14ac:dyDescent="0.4">
      <c r="A54" s="194" t="s">
        <v>177</v>
      </c>
      <c r="B54" s="217"/>
      <c r="C54" s="217"/>
      <c r="D54" s="151" t="s">
        <v>130</v>
      </c>
      <c r="E54" s="95">
        <f>'17'!F54</f>
        <v>4789.7</v>
      </c>
      <c r="F54" s="145">
        <v>5147.42</v>
      </c>
      <c r="G54" s="561">
        <f t="shared" si="3"/>
        <v>357.72000000000025</v>
      </c>
      <c r="H54" s="99">
        <f>G54+'17'!H54</f>
        <v>6914.5</v>
      </c>
      <c r="I54" s="95"/>
      <c r="J54" s="175">
        <f>H54/DAY(B2)</f>
        <v>384.13888888888891</v>
      </c>
      <c r="K54" s="79"/>
      <c r="L54" s="66"/>
      <c r="N54" s="87"/>
      <c r="O54" s="71"/>
    </row>
    <row r="55" spans="1:15" ht="27.75" customHeight="1" x14ac:dyDescent="0.4">
      <c r="A55" s="194" t="s">
        <v>178</v>
      </c>
      <c r="B55" s="217"/>
      <c r="C55" s="217"/>
      <c r="D55" s="151" t="s">
        <v>130</v>
      </c>
      <c r="E55" s="95">
        <f>'17'!F55</f>
        <v>54749.17</v>
      </c>
      <c r="F55" s="145">
        <v>57839.69</v>
      </c>
      <c r="G55" s="561">
        <f t="shared" si="3"/>
        <v>3090.5200000000041</v>
      </c>
      <c r="H55" s="99">
        <f>G55+'17'!H55</f>
        <v>54328.69</v>
      </c>
      <c r="I55" s="95"/>
      <c r="J55" s="175">
        <f>H55/DAY(B2)</f>
        <v>3018.2605555555556</v>
      </c>
      <c r="K55" s="79"/>
      <c r="L55" s="66"/>
      <c r="N55" s="87"/>
      <c r="O55" s="71"/>
    </row>
    <row r="56" spans="1:15" ht="27.75" customHeight="1" x14ac:dyDescent="0.4">
      <c r="A56" s="194" t="s">
        <v>179</v>
      </c>
      <c r="B56" s="217"/>
      <c r="C56" s="217"/>
      <c r="D56" s="151" t="s">
        <v>180</v>
      </c>
      <c r="E56" s="95">
        <f>'17'!F56</f>
        <v>8610.5400000000009</v>
      </c>
      <c r="F56" s="145">
        <v>8610.5400000000009</v>
      </c>
      <c r="G56" s="561">
        <f t="shared" si="3"/>
        <v>0</v>
      </c>
      <c r="H56" s="99">
        <f>G56+'17'!H56</f>
        <v>0</v>
      </c>
      <c r="I56" s="95"/>
      <c r="J56" s="175">
        <f>H56/DAY(B2)</f>
        <v>0</v>
      </c>
      <c r="K56" s="78"/>
      <c r="L56" s="66"/>
      <c r="N56" s="87"/>
      <c r="O56" s="71"/>
    </row>
    <row r="57" spans="1:15" ht="27.75" customHeight="1" x14ac:dyDescent="0.4">
      <c r="A57" s="194" t="s">
        <v>169</v>
      </c>
      <c r="B57" s="217"/>
      <c r="C57" s="217"/>
      <c r="D57" s="151" t="s">
        <v>130</v>
      </c>
      <c r="E57" s="95">
        <f>'17'!F57</f>
        <v>0</v>
      </c>
      <c r="F57" s="145">
        <v>0</v>
      </c>
      <c r="G57" s="561">
        <f t="shared" si="3"/>
        <v>0</v>
      </c>
      <c r="H57" s="99">
        <f>G57+'17'!H57</f>
        <v>0</v>
      </c>
      <c r="I57" s="95"/>
      <c r="J57" s="175">
        <f>H57/DAY(B2)</f>
        <v>0</v>
      </c>
      <c r="K57" s="79"/>
      <c r="L57" s="66"/>
      <c r="N57" s="87"/>
      <c r="O57" s="71"/>
    </row>
    <row r="58" spans="1:15" ht="27.75" customHeight="1" x14ac:dyDescent="0.4">
      <c r="A58" s="194" t="s">
        <v>181</v>
      </c>
      <c r="B58" s="217"/>
      <c r="C58" s="217"/>
      <c r="D58" s="151" t="s">
        <v>130</v>
      </c>
      <c r="E58" s="95">
        <f>'17'!F58</f>
        <v>2016.6</v>
      </c>
      <c r="F58" s="145">
        <v>2148.48</v>
      </c>
      <c r="G58" s="561">
        <f t="shared" si="3"/>
        <v>131.88000000000011</v>
      </c>
      <c r="H58" s="99">
        <f>G58+'17'!H58</f>
        <v>2489.1100000000047</v>
      </c>
      <c r="I58" s="95"/>
      <c r="J58" s="175">
        <f>H58/DAY(B2)</f>
        <v>138.28388888888915</v>
      </c>
      <c r="K58" s="79"/>
      <c r="L58" s="66"/>
      <c r="N58" s="87"/>
      <c r="O58" s="71"/>
    </row>
    <row r="59" spans="1:15" ht="27.75" customHeight="1" x14ac:dyDescent="0.5">
      <c r="A59" s="201" t="s">
        <v>173</v>
      </c>
      <c r="B59" s="202"/>
      <c r="C59" s="202"/>
      <c r="D59" s="146"/>
      <c r="E59" s="146"/>
      <c r="F59" s="146"/>
      <c r="G59" s="563">
        <f>G49+G50+G51+G52+G53+G54+G55+G56+G57+G58</f>
        <v>5744.2400000000052</v>
      </c>
      <c r="H59" s="99">
        <f>G59+'17'!H59</f>
        <v>106836.56000000003</v>
      </c>
      <c r="I59" s="95">
        <f>G7-G60</f>
        <v>1602.6199999999935</v>
      </c>
      <c r="J59" s="175">
        <f>H59/DAY(B2)</f>
        <v>5935.3644444444462</v>
      </c>
      <c r="K59" s="79"/>
      <c r="L59" s="66"/>
      <c r="N59" s="87"/>
      <c r="O59" s="71"/>
    </row>
    <row r="60" spans="1:15" ht="27.75" customHeight="1" x14ac:dyDescent="0.4">
      <c r="A60" s="194"/>
      <c r="B60" s="195"/>
      <c r="C60" s="195"/>
      <c r="D60" s="146" t="s">
        <v>182</v>
      </c>
      <c r="E60" s="146"/>
      <c r="F60" s="146"/>
      <c r="G60" s="563">
        <f>G47+G59</f>
        <v>16162.380000000006</v>
      </c>
      <c r="H60" s="99">
        <f>G60+'17'!H60</f>
        <v>300420.08999999997</v>
      </c>
      <c r="I60" s="95">
        <f>G13-G60</f>
        <v>1348.6900000000005</v>
      </c>
      <c r="J60" s="175">
        <f>H60/DAY(B2)</f>
        <v>16690.004999999997</v>
      </c>
      <c r="K60" s="79"/>
      <c r="L60" s="66"/>
      <c r="N60" s="87"/>
      <c r="O60" s="71"/>
    </row>
    <row r="61" spans="1:15" s="68" customFormat="1" ht="27.75" customHeight="1" x14ac:dyDescent="0.5">
      <c r="A61" s="837" t="s">
        <v>332</v>
      </c>
      <c r="B61" s="838"/>
      <c r="C61" s="839"/>
      <c r="D61" s="339"/>
      <c r="E61" s="339"/>
      <c r="F61" s="339"/>
      <c r="G61" s="572"/>
      <c r="H61" s="339"/>
      <c r="I61" s="339"/>
      <c r="J61" s="341"/>
      <c r="K61" s="69"/>
      <c r="L61" s="67"/>
      <c r="N61" s="87"/>
      <c r="O61" s="71"/>
    </row>
    <row r="62" spans="1:15" ht="27.75" customHeight="1" x14ac:dyDescent="0.5">
      <c r="A62" s="818" t="s">
        <v>198</v>
      </c>
      <c r="B62" s="819"/>
      <c r="C62" s="820"/>
      <c r="D62" s="151" t="s">
        <v>142</v>
      </c>
      <c r="E62" s="95">
        <f>'17'!F62</f>
        <v>268239</v>
      </c>
      <c r="F62" s="122">
        <v>268308</v>
      </c>
      <c r="G62" s="561">
        <f t="shared" ref="G62:G63" si="4">F62-E62</f>
        <v>69</v>
      </c>
      <c r="H62" s="99">
        <f>G62+'17'!H62</f>
        <v>1095</v>
      </c>
      <c r="I62" s="118"/>
      <c r="J62" s="175">
        <f>H62/DAY(B2)</f>
        <v>60.833333333333336</v>
      </c>
      <c r="K62" s="80"/>
      <c r="L62" s="66"/>
      <c r="N62" s="87"/>
      <c r="O62" s="71"/>
    </row>
    <row r="63" spans="1:15" ht="27.75" customHeight="1" x14ac:dyDescent="0.5">
      <c r="A63" s="818" t="s">
        <v>199</v>
      </c>
      <c r="B63" s="819"/>
      <c r="C63" s="820"/>
      <c r="D63" s="151" t="s">
        <v>142</v>
      </c>
      <c r="E63" s="95">
        <f>'17'!F63</f>
        <v>214118</v>
      </c>
      <c r="F63" s="122">
        <v>214242</v>
      </c>
      <c r="G63" s="561">
        <f t="shared" si="4"/>
        <v>124</v>
      </c>
      <c r="H63" s="99">
        <f>G63+'17'!H63</f>
        <v>1817</v>
      </c>
      <c r="I63" s="118"/>
      <c r="J63" s="175">
        <f>H63/DAY(B2)</f>
        <v>100.94444444444444</v>
      </c>
      <c r="K63" s="69"/>
      <c r="L63" s="66"/>
      <c r="N63" s="87"/>
      <c r="O63" s="71"/>
    </row>
    <row r="64" spans="1:15" ht="27.75" customHeight="1" x14ac:dyDescent="0.5">
      <c r="A64" s="815" t="s">
        <v>200</v>
      </c>
      <c r="B64" s="816"/>
      <c r="C64" s="817"/>
      <c r="D64" s="151"/>
      <c r="E64" s="95">
        <f>'17'!F64</f>
        <v>0</v>
      </c>
      <c r="F64" s="122"/>
      <c r="G64" s="561">
        <f>G62+G63</f>
        <v>193</v>
      </c>
      <c r="H64" s="99">
        <f>G64+'17'!H64</f>
        <v>2912</v>
      </c>
      <c r="I64" s="118"/>
      <c r="J64" s="175">
        <f>H64/DAY(B2)</f>
        <v>161.77777777777777</v>
      </c>
      <c r="K64" s="69"/>
      <c r="L64" s="66"/>
      <c r="N64" s="87"/>
      <c r="O64" s="71"/>
    </row>
    <row r="65" spans="1:15" ht="27.75" customHeight="1" x14ac:dyDescent="0.5">
      <c r="A65" s="818" t="s">
        <v>201</v>
      </c>
      <c r="B65" s="819"/>
      <c r="C65" s="820"/>
      <c r="D65" s="151" t="s">
        <v>142</v>
      </c>
      <c r="E65" s="95">
        <f>'17'!F65</f>
        <v>433792</v>
      </c>
      <c r="F65" s="122">
        <v>433856</v>
      </c>
      <c r="G65" s="561">
        <f t="shared" ref="G65:G70" si="5">F65-E65</f>
        <v>64</v>
      </c>
      <c r="H65" s="99">
        <f>G65+'17'!H65</f>
        <v>1242</v>
      </c>
      <c r="I65" s="118"/>
      <c r="J65" s="175">
        <f>H65/DAY(B2)</f>
        <v>69</v>
      </c>
      <c r="K65" s="69"/>
      <c r="L65" s="66"/>
      <c r="N65" s="87"/>
      <c r="O65" s="71"/>
    </row>
    <row r="66" spans="1:15" ht="27.75" customHeight="1" x14ac:dyDescent="0.5">
      <c r="A66" s="345" t="s">
        <v>202</v>
      </c>
      <c r="B66" s="346"/>
      <c r="C66" s="346"/>
      <c r="D66" s="151" t="s">
        <v>142</v>
      </c>
      <c r="E66" s="95">
        <f>'17'!F66</f>
        <v>107508</v>
      </c>
      <c r="F66" s="122">
        <v>107519</v>
      </c>
      <c r="G66" s="561">
        <f t="shared" si="5"/>
        <v>11</v>
      </c>
      <c r="H66" s="99">
        <f>G66+'17'!H66</f>
        <v>305</v>
      </c>
      <c r="I66" s="118"/>
      <c r="J66" s="175">
        <f>H66/DAY(B2)</f>
        <v>16.944444444444443</v>
      </c>
      <c r="K66" s="78"/>
      <c r="L66" s="66"/>
      <c r="N66" s="87"/>
      <c r="O66" s="71"/>
    </row>
    <row r="67" spans="1:15" ht="27.75" customHeight="1" x14ac:dyDescent="0.5">
      <c r="A67" s="345" t="s">
        <v>203</v>
      </c>
      <c r="B67" s="346"/>
      <c r="C67" s="346"/>
      <c r="D67" s="151" t="s">
        <v>142</v>
      </c>
      <c r="E67" s="95">
        <f>'17'!F67</f>
        <v>104322</v>
      </c>
      <c r="F67" s="122">
        <v>104344</v>
      </c>
      <c r="G67" s="561">
        <f t="shared" si="5"/>
        <v>22</v>
      </c>
      <c r="H67" s="99">
        <f>G67+'17'!H67</f>
        <v>416</v>
      </c>
      <c r="I67" s="118"/>
      <c r="J67" s="175">
        <f>H67/DAY(B2)</f>
        <v>23.111111111111111</v>
      </c>
      <c r="K67" s="81"/>
      <c r="L67" s="66"/>
      <c r="N67" s="87"/>
      <c r="O67" s="71"/>
    </row>
    <row r="68" spans="1:15" ht="27.75" customHeight="1" x14ac:dyDescent="0.5">
      <c r="A68" s="345" t="s">
        <v>204</v>
      </c>
      <c r="B68" s="346"/>
      <c r="C68" s="346"/>
      <c r="D68" s="151" t="s">
        <v>142</v>
      </c>
      <c r="E68" s="95">
        <f>'17'!F68</f>
        <v>157058</v>
      </c>
      <c r="F68" s="122">
        <v>157113</v>
      </c>
      <c r="G68" s="561">
        <f t="shared" si="5"/>
        <v>55</v>
      </c>
      <c r="H68" s="99">
        <f>G68+'17'!H68</f>
        <v>493</v>
      </c>
      <c r="I68" s="118"/>
      <c r="J68" s="175">
        <f>H68/DAY(B2)</f>
        <v>27.388888888888889</v>
      </c>
      <c r="K68" s="69"/>
      <c r="L68" s="66"/>
      <c r="N68" s="87"/>
      <c r="O68" s="71"/>
    </row>
    <row r="69" spans="1:15" ht="27.75" customHeight="1" x14ac:dyDescent="0.5">
      <c r="A69" s="345" t="s">
        <v>205</v>
      </c>
      <c r="B69" s="346"/>
      <c r="C69" s="346"/>
      <c r="D69" s="151" t="s">
        <v>142</v>
      </c>
      <c r="E69" s="95">
        <f>'17'!F69</f>
        <v>10377</v>
      </c>
      <c r="F69" s="122">
        <v>10389</v>
      </c>
      <c r="G69" s="561">
        <f t="shared" si="5"/>
        <v>12</v>
      </c>
      <c r="H69" s="99">
        <f>G69+'17'!H69</f>
        <v>175</v>
      </c>
      <c r="I69" s="118"/>
      <c r="J69" s="175">
        <f>H69/DAY(B2)</f>
        <v>9.7222222222222214</v>
      </c>
      <c r="K69" s="69"/>
      <c r="L69" s="66"/>
      <c r="N69" s="87"/>
      <c r="O69" s="71"/>
    </row>
    <row r="70" spans="1:15" ht="27.75" customHeight="1" x14ac:dyDescent="0.5">
      <c r="A70" s="345" t="s">
        <v>206</v>
      </c>
      <c r="B70" s="346"/>
      <c r="C70" s="346"/>
      <c r="D70" s="151" t="s">
        <v>142</v>
      </c>
      <c r="E70" s="95">
        <f>'17'!F70</f>
        <v>7991</v>
      </c>
      <c r="F70" s="122">
        <v>7995</v>
      </c>
      <c r="G70" s="561">
        <f t="shared" si="5"/>
        <v>4</v>
      </c>
      <c r="H70" s="99">
        <f>G70+'17'!H70</f>
        <v>133</v>
      </c>
      <c r="I70" s="118"/>
      <c r="J70" s="175">
        <f>H70/DAY(B2)</f>
        <v>7.3888888888888893</v>
      </c>
      <c r="K70" s="69"/>
      <c r="L70" s="66"/>
      <c r="N70" s="87"/>
      <c r="O70" s="71"/>
    </row>
    <row r="71" spans="1:15" ht="27.75" customHeight="1" x14ac:dyDescent="0.5">
      <c r="A71" s="815" t="s">
        <v>208</v>
      </c>
      <c r="B71" s="816"/>
      <c r="C71" s="817"/>
      <c r="D71" s="152"/>
      <c r="E71" s="152"/>
      <c r="F71" s="152"/>
      <c r="G71" s="573">
        <f>SUM(G65:G70)</f>
        <v>168</v>
      </c>
      <c r="H71" s="99">
        <f>G71+'17'!H71</f>
        <v>2764</v>
      </c>
      <c r="I71" s="154"/>
      <c r="J71" s="175">
        <f>H71/DAY(B2)</f>
        <v>153.55555555555554</v>
      </c>
      <c r="K71" s="69"/>
      <c r="L71" s="66"/>
      <c r="N71" s="87"/>
      <c r="O71" s="71"/>
    </row>
    <row r="72" spans="1:15" s="88" customFormat="1" ht="27.75" customHeight="1" x14ac:dyDescent="0.5">
      <c r="A72" s="861"/>
      <c r="B72" s="853"/>
      <c r="C72" s="347"/>
      <c r="D72" s="180"/>
      <c r="E72" s="180" t="s">
        <v>207</v>
      </c>
      <c r="F72" s="180"/>
      <c r="G72" s="574"/>
      <c r="H72" s="181"/>
      <c r="I72" s="180"/>
      <c r="J72" s="182"/>
      <c r="N72" s="87"/>
      <c r="O72" s="71"/>
    </row>
    <row r="73" spans="1:15" ht="27.75" customHeight="1" x14ac:dyDescent="0.5">
      <c r="A73" s="866" t="s">
        <v>333</v>
      </c>
      <c r="B73" s="867"/>
      <c r="C73" s="868"/>
      <c r="D73" s="339"/>
      <c r="E73" s="339"/>
      <c r="F73" s="339"/>
      <c r="G73" s="572"/>
      <c r="H73" s="342"/>
      <c r="I73" s="342"/>
      <c r="J73" s="343"/>
      <c r="K73" s="69"/>
      <c r="L73" s="66"/>
      <c r="N73" s="87"/>
      <c r="O73" s="71"/>
    </row>
    <row r="74" spans="1:15" ht="27.75" customHeight="1" x14ac:dyDescent="0.5">
      <c r="A74" s="818" t="s">
        <v>220</v>
      </c>
      <c r="B74" s="819"/>
      <c r="C74" s="820"/>
      <c r="D74" s="151" t="s">
        <v>139</v>
      </c>
      <c r="E74" s="95">
        <f>'17'!F74</f>
        <v>897080.9</v>
      </c>
      <c r="F74" s="123">
        <v>897366.15</v>
      </c>
      <c r="G74" s="561">
        <f>F74-E74</f>
        <v>285.25</v>
      </c>
      <c r="H74" s="99">
        <f>G74+'17'!H74</f>
        <v>5334.1500000000233</v>
      </c>
      <c r="I74" s="154"/>
      <c r="J74" s="175">
        <f>H74/DAY(B2)</f>
        <v>296.34166666666795</v>
      </c>
      <c r="K74" s="69"/>
      <c r="L74" s="66"/>
      <c r="N74" s="87"/>
      <c r="O74" s="71"/>
    </row>
    <row r="75" spans="1:15" ht="27.75" customHeight="1" x14ac:dyDescent="0.5">
      <c r="A75" s="818" t="s">
        <v>221</v>
      </c>
      <c r="B75" s="819"/>
      <c r="C75" s="820"/>
      <c r="D75" s="151" t="s">
        <v>139</v>
      </c>
      <c r="E75" s="95">
        <f>'17'!F75</f>
        <v>73586.8</v>
      </c>
      <c r="F75" s="494">
        <v>73586.8</v>
      </c>
      <c r="G75" s="561">
        <f t="shared" ref="G75:G78" si="6">F75-E75</f>
        <v>0</v>
      </c>
      <c r="H75" s="99">
        <f>G75+'17'!H75</f>
        <v>0</v>
      </c>
      <c r="I75" s="154"/>
      <c r="J75" s="175">
        <f>H75/DAY(B2)</f>
        <v>0</v>
      </c>
      <c r="K75" s="69"/>
      <c r="L75" s="66"/>
      <c r="N75" s="87"/>
      <c r="O75" s="71"/>
    </row>
    <row r="76" spans="1:15" ht="27.75" customHeight="1" x14ac:dyDescent="0.5">
      <c r="A76" s="862" t="s">
        <v>222</v>
      </c>
      <c r="B76" s="848"/>
      <c r="C76" s="849"/>
      <c r="D76" s="151" t="s">
        <v>139</v>
      </c>
      <c r="E76" s="95">
        <f>'17'!F76</f>
        <v>168630.5</v>
      </c>
      <c r="F76" s="123">
        <v>168711</v>
      </c>
      <c r="G76" s="561">
        <f>F76-E76</f>
        <v>80.5</v>
      </c>
      <c r="H76" s="99">
        <f>G76+'17'!H76</f>
        <v>1504</v>
      </c>
      <c r="I76" s="154"/>
      <c r="J76" s="175">
        <f>H76/DAY(B2)</f>
        <v>83.555555555555557</v>
      </c>
      <c r="K76" s="69"/>
      <c r="L76" s="66"/>
      <c r="N76" s="87"/>
      <c r="O76" s="71"/>
    </row>
    <row r="77" spans="1:15" ht="27.75" customHeight="1" x14ac:dyDescent="0.5">
      <c r="A77" s="862" t="s">
        <v>223</v>
      </c>
      <c r="B77" s="848"/>
      <c r="C77" s="849"/>
      <c r="D77" s="151" t="s">
        <v>139</v>
      </c>
      <c r="E77" s="95">
        <f>'17'!F77</f>
        <v>40821.300000000003</v>
      </c>
      <c r="F77" s="123">
        <v>40844</v>
      </c>
      <c r="G77" s="561">
        <f t="shared" si="6"/>
        <v>22.69999999999709</v>
      </c>
      <c r="H77" s="99">
        <f>G77+'17'!H77</f>
        <v>528</v>
      </c>
      <c r="I77" s="154"/>
      <c r="J77" s="175">
        <f>H77/DAY(B2)</f>
        <v>29.333333333333332</v>
      </c>
      <c r="K77" s="69"/>
      <c r="L77" s="66"/>
      <c r="N77" s="87"/>
      <c r="O77" s="71"/>
    </row>
    <row r="78" spans="1:15" ht="27.75" customHeight="1" x14ac:dyDescent="0.5">
      <c r="A78" s="862" t="s">
        <v>224</v>
      </c>
      <c r="B78" s="848"/>
      <c r="C78" s="849"/>
      <c r="D78" s="151" t="s">
        <v>139</v>
      </c>
      <c r="E78" s="95">
        <f>'17'!F78</f>
        <v>9499</v>
      </c>
      <c r="F78" s="123">
        <v>9500</v>
      </c>
      <c r="G78" s="561">
        <f t="shared" si="6"/>
        <v>1</v>
      </c>
      <c r="H78" s="99">
        <f>G78+'17'!H78</f>
        <v>14</v>
      </c>
      <c r="I78" s="118"/>
      <c r="J78" s="175">
        <f>H78/DAY(B2)</f>
        <v>0.77777777777777779</v>
      </c>
      <c r="K78" s="69"/>
      <c r="L78" s="66"/>
      <c r="N78" s="87"/>
      <c r="O78" s="71"/>
    </row>
    <row r="79" spans="1:15" s="57" customFormat="1" ht="27.75" customHeight="1" x14ac:dyDescent="0.5">
      <c r="A79" s="862" t="s">
        <v>225</v>
      </c>
      <c r="B79" s="848"/>
      <c r="C79" s="849"/>
      <c r="D79" s="151"/>
      <c r="E79" s="95">
        <f>'17'!F79</f>
        <v>0</v>
      </c>
      <c r="F79" s="123">
        <v>0</v>
      </c>
      <c r="G79" s="561">
        <f>G15-SUM(G74:G78)</f>
        <v>492.27699999995821</v>
      </c>
      <c r="H79" s="99">
        <f>G79+'17'!H79</f>
        <v>8411.8499999999767</v>
      </c>
      <c r="I79" s="118"/>
      <c r="J79" s="175"/>
      <c r="K79" s="59"/>
      <c r="L79" s="58"/>
      <c r="N79" s="87"/>
      <c r="O79" s="71"/>
    </row>
    <row r="80" spans="1:15" s="57" customFormat="1" ht="27.75" customHeight="1" x14ac:dyDescent="0.5">
      <c r="A80" s="815" t="s">
        <v>329</v>
      </c>
      <c r="B80" s="816"/>
      <c r="C80" s="817"/>
      <c r="D80" s="151"/>
      <c r="E80" s="117"/>
      <c r="F80" s="117"/>
      <c r="G80" s="561">
        <f>SUM(G74:G79)</f>
        <v>881.7269999999553</v>
      </c>
      <c r="H80" s="99">
        <f>G80+'17'!H80</f>
        <v>881.7269999999553</v>
      </c>
      <c r="I80" s="118"/>
      <c r="J80" s="175"/>
      <c r="K80" s="59"/>
      <c r="L80" s="58"/>
      <c r="N80" s="87"/>
      <c r="O80" s="71"/>
    </row>
    <row r="81" spans="1:15" ht="27.75" customHeight="1" x14ac:dyDescent="0.4">
      <c r="A81" s="854" t="s">
        <v>226</v>
      </c>
      <c r="B81" s="855"/>
      <c r="C81" s="856"/>
      <c r="D81" s="110"/>
      <c r="E81" s="110"/>
      <c r="F81" s="110"/>
      <c r="G81" s="575"/>
      <c r="H81" s="163"/>
      <c r="I81" s="163"/>
      <c r="J81" s="184"/>
      <c r="O81" s="71"/>
    </row>
    <row r="82" spans="1:15" ht="27.75" customHeight="1" x14ac:dyDescent="0.5">
      <c r="A82" s="345" t="s">
        <v>227</v>
      </c>
      <c r="B82" s="346"/>
      <c r="C82" s="346"/>
      <c r="D82" s="151" t="s">
        <v>228</v>
      </c>
      <c r="E82" s="95">
        <f>'17'!F82</f>
        <v>0</v>
      </c>
      <c r="F82" s="122">
        <v>0</v>
      </c>
      <c r="G82" s="561">
        <f t="shared" ref="G82:G92" si="7">F82-E82</f>
        <v>0</v>
      </c>
      <c r="H82" s="99">
        <f>G82+'17'!H82</f>
        <v>0</v>
      </c>
      <c r="I82" s="118"/>
      <c r="J82" s="175">
        <f>H82/DAY(B2)</f>
        <v>0</v>
      </c>
      <c r="O82" s="71"/>
    </row>
    <row r="83" spans="1:15" ht="27.75" customHeight="1" x14ac:dyDescent="0.5">
      <c r="A83" s="345" t="s">
        <v>229</v>
      </c>
      <c r="B83" s="346"/>
      <c r="C83" s="346"/>
      <c r="D83" s="151" t="s">
        <v>228</v>
      </c>
      <c r="E83" s="95">
        <f>'17'!F83</f>
        <v>0</v>
      </c>
      <c r="F83" s="122">
        <v>0</v>
      </c>
      <c r="G83" s="561">
        <f t="shared" si="7"/>
        <v>0</v>
      </c>
      <c r="H83" s="99">
        <f>G83+'17'!H83</f>
        <v>0</v>
      </c>
      <c r="I83" s="118"/>
      <c r="J83" s="175">
        <f>H83/DAY(B2)</f>
        <v>0</v>
      </c>
      <c r="O83" s="71"/>
    </row>
    <row r="84" spans="1:15" ht="27.75" customHeight="1" x14ac:dyDescent="0.5">
      <c r="A84" s="345" t="s">
        <v>230</v>
      </c>
      <c r="B84" s="346"/>
      <c r="C84" s="346"/>
      <c r="D84" s="151" t="s">
        <v>228</v>
      </c>
      <c r="E84" s="95">
        <f>'17'!F84</f>
        <v>41675.26</v>
      </c>
      <c r="F84" s="164">
        <v>41675.26</v>
      </c>
      <c r="G84" s="561">
        <f>F84-E84</f>
        <v>0</v>
      </c>
      <c r="H84" s="99">
        <f>G84+'17'!H84</f>
        <v>0.26000000000203727</v>
      </c>
      <c r="I84" s="118"/>
      <c r="J84" s="175">
        <f>H84/DAY(B2)</f>
        <v>1.4444444444557626E-2</v>
      </c>
      <c r="O84" s="71"/>
    </row>
    <row r="85" spans="1:15" ht="27.75" customHeight="1" x14ac:dyDescent="0.5">
      <c r="A85" s="345" t="s">
        <v>231</v>
      </c>
      <c r="B85" s="346"/>
      <c r="C85" s="346"/>
      <c r="D85" s="151" t="s">
        <v>228</v>
      </c>
      <c r="E85" s="95">
        <f>'17'!F85</f>
        <v>2096.5500000000002</v>
      </c>
      <c r="F85" s="164">
        <v>2096.5500000000002</v>
      </c>
      <c r="G85" s="561">
        <f t="shared" si="7"/>
        <v>0</v>
      </c>
      <c r="H85" s="99">
        <f>G85+'17'!H85</f>
        <v>-9.9999999997635314E-3</v>
      </c>
      <c r="I85" s="118">
        <f>G82+G83+G84+G85</f>
        <v>0</v>
      </c>
      <c r="J85" s="175">
        <f>H85/DAY(B2)</f>
        <v>-5.5555555554241839E-4</v>
      </c>
      <c r="O85" s="71"/>
    </row>
    <row r="86" spans="1:15" ht="27.75" customHeight="1" x14ac:dyDescent="0.5">
      <c r="A86" s="345" t="s">
        <v>232</v>
      </c>
      <c r="B86" s="346"/>
      <c r="C86" s="346"/>
      <c r="D86" s="151" t="s">
        <v>228</v>
      </c>
      <c r="E86" s="95">
        <f>'17'!F86</f>
        <v>43272.04</v>
      </c>
      <c r="F86" s="164">
        <v>43296.06</v>
      </c>
      <c r="G86" s="561">
        <f t="shared" si="7"/>
        <v>24.019999999996799</v>
      </c>
      <c r="H86" s="99">
        <f>G86+'17'!H86</f>
        <v>433.05999999999767</v>
      </c>
      <c r="I86" s="118"/>
      <c r="J86" s="175">
        <f>H86/DAY(B2)</f>
        <v>24.05888888888876</v>
      </c>
      <c r="O86" s="71"/>
    </row>
    <row r="87" spans="1:15" ht="27.75" customHeight="1" x14ac:dyDescent="0.5">
      <c r="A87" s="345" t="s">
        <v>233</v>
      </c>
      <c r="B87" s="346"/>
      <c r="C87" s="346"/>
      <c r="D87" s="151" t="s">
        <v>228</v>
      </c>
      <c r="E87" s="95">
        <f>'17'!F87</f>
        <v>34598.550000000003</v>
      </c>
      <c r="F87" s="164">
        <v>34598.550000000003</v>
      </c>
      <c r="G87" s="561">
        <f t="shared" si="7"/>
        <v>0</v>
      </c>
      <c r="H87" s="99">
        <f>G87+'17'!H87</f>
        <v>0</v>
      </c>
      <c r="I87" s="118"/>
      <c r="J87" s="175">
        <f>H87/DAY(B2)</f>
        <v>0</v>
      </c>
      <c r="O87" s="71"/>
    </row>
    <row r="88" spans="1:15" ht="27.75" customHeight="1" x14ac:dyDescent="0.5">
      <c r="A88" s="345" t="s">
        <v>234</v>
      </c>
      <c r="B88" s="346"/>
      <c r="C88" s="346"/>
      <c r="D88" s="151" t="s">
        <v>228</v>
      </c>
      <c r="E88" s="95">
        <f>'17'!F88</f>
        <v>24059.29</v>
      </c>
      <c r="F88" s="164">
        <v>24061.16</v>
      </c>
      <c r="G88" s="561">
        <f t="shared" si="7"/>
        <v>1.8699999999989814</v>
      </c>
      <c r="H88" s="99">
        <f>G88+'17'!H88</f>
        <v>14.159999999999854</v>
      </c>
      <c r="I88" s="118">
        <f>G86+G87+G88</f>
        <v>25.88999999999578</v>
      </c>
      <c r="J88" s="175">
        <f>H88/DAY(B2)</f>
        <v>0.78666666666665863</v>
      </c>
      <c r="O88" s="71"/>
    </row>
    <row r="89" spans="1:15" ht="27.75" customHeight="1" x14ac:dyDescent="0.5">
      <c r="A89" s="345" t="s">
        <v>235</v>
      </c>
      <c r="B89" s="346"/>
      <c r="C89" s="346"/>
      <c r="D89" s="151" t="s">
        <v>228</v>
      </c>
      <c r="E89" s="95">
        <f>'17'!F89</f>
        <v>25764.63</v>
      </c>
      <c r="F89" s="164">
        <v>25772.05</v>
      </c>
      <c r="G89" s="561">
        <f t="shared" si="7"/>
        <v>7.4199999999982538</v>
      </c>
      <c r="H89" s="99">
        <f>G89+'17'!H89</f>
        <v>109.04999999999927</v>
      </c>
      <c r="I89" s="118"/>
      <c r="J89" s="175">
        <f>H89/DAY(B2)</f>
        <v>6.0583333333332927</v>
      </c>
      <c r="O89" s="71"/>
    </row>
    <row r="90" spans="1:15" ht="27.75" customHeight="1" x14ac:dyDescent="0.5">
      <c r="A90" s="345" t="s">
        <v>236</v>
      </c>
      <c r="B90" s="346"/>
      <c r="C90" s="346"/>
      <c r="D90" s="151" t="s">
        <v>228</v>
      </c>
      <c r="E90" s="95">
        <f>'17'!F90</f>
        <v>71131</v>
      </c>
      <c r="F90" s="164">
        <v>71131.710000000006</v>
      </c>
      <c r="G90" s="561">
        <f t="shared" si="7"/>
        <v>0.71000000000640284</v>
      </c>
      <c r="H90" s="99">
        <f>G90+'17'!H90</f>
        <v>97.710000000006403</v>
      </c>
      <c r="I90" s="118">
        <f>G89+G90</f>
        <v>8.1300000000046566</v>
      </c>
      <c r="J90" s="175">
        <f>H90/DAY(B2)</f>
        <v>5.4283333333336889</v>
      </c>
      <c r="O90" s="71"/>
    </row>
    <row r="91" spans="1:15" ht="27.75" customHeight="1" x14ac:dyDescent="0.5">
      <c r="A91" s="345" t="s">
        <v>237</v>
      </c>
      <c r="B91" s="346"/>
      <c r="C91" s="346"/>
      <c r="D91" s="151" t="s">
        <v>228</v>
      </c>
      <c r="E91" s="95">
        <f>'17'!F91</f>
        <v>3226.32</v>
      </c>
      <c r="F91" s="122">
        <v>3226.32</v>
      </c>
      <c r="G91" s="561">
        <f t="shared" si="7"/>
        <v>0</v>
      </c>
      <c r="H91" s="99">
        <f>G91+'17'!H91</f>
        <v>0</v>
      </c>
      <c r="I91" s="165"/>
      <c r="J91" s="175">
        <f>H91/DAY(B2)</f>
        <v>0</v>
      </c>
      <c r="O91" s="71"/>
    </row>
    <row r="92" spans="1:15" ht="27.75" customHeight="1" x14ac:dyDescent="0.5">
      <c r="A92" s="345" t="s">
        <v>238</v>
      </c>
      <c r="B92" s="346"/>
      <c r="C92" s="346"/>
      <c r="D92" s="151" t="s">
        <v>228</v>
      </c>
      <c r="E92" s="95">
        <f>'17'!F92</f>
        <v>5615.26</v>
      </c>
      <c r="F92" s="122">
        <v>5625.33</v>
      </c>
      <c r="G92" s="561">
        <f t="shared" si="7"/>
        <v>10.069999999999709</v>
      </c>
      <c r="H92" s="99">
        <f>G92+'17'!H92</f>
        <v>187.32999999999993</v>
      </c>
      <c r="I92" s="165"/>
      <c r="J92" s="175">
        <f>H92/DAY(B2)</f>
        <v>10.407222222222218</v>
      </c>
      <c r="O92" s="71"/>
    </row>
    <row r="93" spans="1:15" ht="27.75" customHeight="1" x14ac:dyDescent="0.5">
      <c r="A93" s="863" t="s">
        <v>239</v>
      </c>
      <c r="B93" s="864"/>
      <c r="C93" s="865"/>
      <c r="D93" s="111"/>
      <c r="E93" s="111"/>
      <c r="F93" s="111"/>
      <c r="G93" s="564"/>
      <c r="H93" s="121"/>
      <c r="I93" s="121"/>
      <c r="J93" s="183"/>
      <c r="K93" s="69"/>
      <c r="L93" s="66"/>
      <c r="O93" s="71"/>
    </row>
    <row r="94" spans="1:15" ht="27.75" customHeight="1" x14ac:dyDescent="0.5">
      <c r="A94" s="818" t="s">
        <v>240</v>
      </c>
      <c r="B94" s="819"/>
      <c r="C94" s="820"/>
      <c r="D94" s="151" t="s">
        <v>130</v>
      </c>
      <c r="E94" s="151"/>
      <c r="F94" s="151"/>
      <c r="G94" s="576">
        <f>G35+G43+G49+G57</f>
        <v>4972.4799999999996</v>
      </c>
      <c r="H94" s="99">
        <f>G94+'17'!H94</f>
        <v>95513.84</v>
      </c>
      <c r="I94" s="118"/>
      <c r="J94" s="175">
        <f>H94/DAY(B2)</f>
        <v>5306.3244444444445</v>
      </c>
      <c r="K94" s="69"/>
      <c r="L94" s="66"/>
      <c r="O94" s="71"/>
    </row>
    <row r="95" spans="1:15" ht="27.75" customHeight="1" x14ac:dyDescent="0.5">
      <c r="A95" s="818" t="s">
        <v>241</v>
      </c>
      <c r="B95" s="819"/>
      <c r="C95" s="820"/>
      <c r="D95" s="151" t="s">
        <v>23</v>
      </c>
      <c r="E95" s="146"/>
      <c r="F95" s="146"/>
      <c r="G95" s="577">
        <f>G94/G7</f>
        <v>0.27990318041092033</v>
      </c>
      <c r="H95" s="99">
        <f>G95+'17'!H95</f>
        <v>5.2039094977561655</v>
      </c>
      <c r="I95" s="167"/>
      <c r="J95" s="175">
        <f>H95/DAY(B2)</f>
        <v>0.28910608320867587</v>
      </c>
      <c r="K95" s="69"/>
      <c r="L95" s="66"/>
      <c r="O95" s="71"/>
    </row>
    <row r="96" spans="1:15" ht="27.75" customHeight="1" x14ac:dyDescent="0.5">
      <c r="A96" s="818" t="s">
        <v>242</v>
      </c>
      <c r="B96" s="819"/>
      <c r="C96" s="820"/>
      <c r="D96" s="151" t="s">
        <v>130</v>
      </c>
      <c r="E96" s="95"/>
      <c r="F96" s="95"/>
      <c r="G96" s="576">
        <f>G41+G42+G55+G56</f>
        <v>3090.5200000000041</v>
      </c>
      <c r="H96" s="99">
        <f>G96+'17'!H96</f>
        <v>54328.290000000008</v>
      </c>
      <c r="I96" s="118"/>
      <c r="J96" s="175">
        <f>H96/DAY(B2)</f>
        <v>3018.2383333333337</v>
      </c>
      <c r="K96" s="69"/>
      <c r="L96" s="66"/>
      <c r="O96" s="71"/>
    </row>
    <row r="97" spans="1:15" ht="27.75" customHeight="1" x14ac:dyDescent="0.5">
      <c r="A97" s="818" t="s">
        <v>243</v>
      </c>
      <c r="B97" s="819"/>
      <c r="C97" s="820"/>
      <c r="D97" s="151" t="s">
        <v>23</v>
      </c>
      <c r="E97" s="95"/>
      <c r="F97" s="95"/>
      <c r="G97" s="577">
        <f>G96/G7</f>
        <v>0.17396678862932755</v>
      </c>
      <c r="H97" s="99">
        <f>G97+'17'!H97</f>
        <v>2.9751746081431509</v>
      </c>
      <c r="I97" s="167"/>
      <c r="J97" s="175">
        <f>H97/DAY(B2)</f>
        <v>0.16528747823017506</v>
      </c>
      <c r="K97" s="69"/>
      <c r="L97" s="66"/>
      <c r="O97" s="71"/>
    </row>
    <row r="98" spans="1:15" ht="27.75" customHeight="1" x14ac:dyDescent="0.5">
      <c r="A98" s="818" t="s">
        <v>244</v>
      </c>
      <c r="B98" s="819"/>
      <c r="C98" s="820"/>
      <c r="D98" s="151" t="s">
        <v>130</v>
      </c>
      <c r="E98" s="95"/>
      <c r="F98" s="95"/>
      <c r="G98" s="576">
        <f>G39+G53</f>
        <v>2546.4900000000016</v>
      </c>
      <c r="H98" s="99">
        <f>G98+'17'!H98</f>
        <v>47036.490000000005</v>
      </c>
      <c r="I98" s="168"/>
      <c r="J98" s="175">
        <f>H98/DAY(B2)</f>
        <v>2613.1383333333338</v>
      </c>
      <c r="K98" s="69"/>
      <c r="L98" s="66"/>
      <c r="O98" s="71"/>
    </row>
    <row r="99" spans="1:15" ht="27.75" customHeight="1" x14ac:dyDescent="0.5">
      <c r="A99" s="818" t="s">
        <v>245</v>
      </c>
      <c r="B99" s="819"/>
      <c r="C99" s="820"/>
      <c r="D99" s="151" t="s">
        <v>23</v>
      </c>
      <c r="E99" s="95"/>
      <c r="F99" s="95"/>
      <c r="G99" s="577">
        <f>G98/G7</f>
        <v>0.14334309034618642</v>
      </c>
      <c r="H99" s="99">
        <f>G99+'17'!H99</f>
        <v>2.5752440997514738</v>
      </c>
      <c r="I99" s="168"/>
      <c r="J99" s="175">
        <f>H99/DAY(B2)</f>
        <v>0.14306911665285965</v>
      </c>
      <c r="O99" s="71"/>
    </row>
    <row r="100" spans="1:15" ht="27.75" customHeight="1" x14ac:dyDescent="0.5">
      <c r="A100" s="818" t="s">
        <v>246</v>
      </c>
      <c r="B100" s="819"/>
      <c r="C100" s="820"/>
      <c r="D100" s="151" t="s">
        <v>180</v>
      </c>
      <c r="E100" s="95"/>
      <c r="F100" s="95"/>
      <c r="G100" s="576">
        <f>G38+G52</f>
        <v>1696.2999999999993</v>
      </c>
      <c r="H100" s="99">
        <f>G100+'17'!H100</f>
        <v>29064.46</v>
      </c>
      <c r="I100" s="118"/>
      <c r="J100" s="175">
        <f>H100/DAY(B2)</f>
        <v>1614.6922222222222</v>
      </c>
      <c r="K100" s="70"/>
      <c r="O100" s="71"/>
    </row>
    <row r="101" spans="1:15" ht="27.75" customHeight="1" x14ac:dyDescent="0.5">
      <c r="A101" s="818" t="s">
        <v>247</v>
      </c>
      <c r="B101" s="819"/>
      <c r="C101" s="820"/>
      <c r="D101" s="151" t="s">
        <v>23</v>
      </c>
      <c r="E101" s="95"/>
      <c r="F101" s="95"/>
      <c r="G101" s="577">
        <f>G100/G7</f>
        <v>9.5485505206867397E-2</v>
      </c>
      <c r="H101" s="99">
        <f>G101+'17'!H101</f>
        <v>1.5920369483316994</v>
      </c>
      <c r="I101" s="168"/>
      <c r="J101" s="175">
        <f>H101/DAY(B2)</f>
        <v>8.8446497129538851E-2</v>
      </c>
      <c r="O101" s="71"/>
    </row>
    <row r="102" spans="1:15" ht="27.75" customHeight="1" x14ac:dyDescent="0.5">
      <c r="A102" s="818" t="s">
        <v>248</v>
      </c>
      <c r="B102" s="819"/>
      <c r="C102" s="820"/>
      <c r="D102" s="151" t="s">
        <v>180</v>
      </c>
      <c r="E102" s="95"/>
      <c r="F102" s="95"/>
      <c r="G102" s="576">
        <f>G36+G50</f>
        <v>1522.3000000000029</v>
      </c>
      <c r="H102" s="99">
        <f>G102+'17'!H102</f>
        <v>29944.29</v>
      </c>
      <c r="I102" s="168"/>
      <c r="J102" s="175">
        <f>H102/DAY(B2)</f>
        <v>1663.5716666666667</v>
      </c>
      <c r="O102" s="71"/>
    </row>
    <row r="103" spans="1:15" ht="27.75" customHeight="1" x14ac:dyDescent="0.5">
      <c r="A103" s="818" t="s">
        <v>249</v>
      </c>
      <c r="B103" s="819"/>
      <c r="C103" s="820"/>
      <c r="D103" s="151" t="s">
        <v>23</v>
      </c>
      <c r="E103" s="95"/>
      <c r="F103" s="95"/>
      <c r="G103" s="577">
        <f>G102/G7</f>
        <v>8.5690965381368028E-2</v>
      </c>
      <c r="H103" s="99">
        <f>G103+'17'!H103</f>
        <v>1.6308190339496864</v>
      </c>
      <c r="I103" s="118"/>
      <c r="J103" s="175">
        <f>H103/DAY(B2)</f>
        <v>9.0601057441649244E-2</v>
      </c>
      <c r="O103" s="71"/>
    </row>
    <row r="104" spans="1:15" ht="27.75" customHeight="1" x14ac:dyDescent="0.5">
      <c r="A104" s="818" t="s">
        <v>250</v>
      </c>
      <c r="B104" s="819"/>
      <c r="C104" s="820"/>
      <c r="D104" s="151" t="s">
        <v>180</v>
      </c>
      <c r="E104" s="95"/>
      <c r="F104" s="95"/>
      <c r="G104" s="576">
        <f>G37+G51</f>
        <v>1562.5499999999993</v>
      </c>
      <c r="H104" s="99">
        <f>G104+'17'!H104</f>
        <v>27095.969999999998</v>
      </c>
      <c r="I104" s="118"/>
      <c r="J104" s="175">
        <f>H104/DAY(B2)</f>
        <v>1505.3316666666665</v>
      </c>
      <c r="O104" s="71"/>
    </row>
    <row r="105" spans="1:15" ht="27.75" customHeight="1" thickBot="1" x14ac:dyDescent="0.55000000000000004">
      <c r="A105" s="858" t="s">
        <v>251</v>
      </c>
      <c r="B105" s="859"/>
      <c r="C105" s="860"/>
      <c r="D105" s="231" t="s">
        <v>23</v>
      </c>
      <c r="E105" s="185"/>
      <c r="F105" s="185"/>
      <c r="G105" s="578">
        <f>G104/G7</f>
        <v>8.7956656346749179E-2</v>
      </c>
      <c r="H105" s="99">
        <f>G105+'17'!H105</f>
        <v>1.4856466114984841</v>
      </c>
      <c r="I105" s="187"/>
      <c r="J105" s="188">
        <f>H105/DAY(B2)</f>
        <v>8.25359228610269E-2</v>
      </c>
      <c r="O105" s="71"/>
    </row>
    <row r="106" spans="1:15" ht="27.75" customHeight="1" x14ac:dyDescent="0.5">
      <c r="A106" s="105"/>
      <c r="B106" s="96"/>
      <c r="C106" s="96"/>
      <c r="D106" s="169"/>
      <c r="E106" s="169"/>
      <c r="F106" s="169"/>
      <c r="G106" s="579"/>
      <c r="H106" s="170"/>
      <c r="I106" s="169"/>
      <c r="J106" s="171"/>
      <c r="O106" s="71"/>
    </row>
    <row r="108" spans="1:15" ht="27.75" customHeight="1" x14ac:dyDescent="0.55000000000000004">
      <c r="A108" s="872" t="s">
        <v>324</v>
      </c>
      <c r="B108" s="872"/>
      <c r="C108" s="872"/>
      <c r="D108" s="872"/>
      <c r="E108" s="872"/>
      <c r="F108" s="872"/>
      <c r="G108" s="872"/>
      <c r="H108" s="872"/>
      <c r="I108" s="872"/>
      <c r="J108" s="872"/>
    </row>
    <row r="109" spans="1:15" ht="27.75" customHeight="1" x14ac:dyDescent="0.5">
      <c r="A109" s="857"/>
      <c r="B109" s="857"/>
    </row>
    <row r="110" spans="1:15" ht="27.75" customHeight="1" x14ac:dyDescent="0.5">
      <c r="A110" s="873" t="s">
        <v>165</v>
      </c>
      <c r="B110" s="874"/>
      <c r="C110" s="874"/>
      <c r="D110" s="874"/>
      <c r="E110" s="874"/>
      <c r="F110" s="874"/>
      <c r="G110" s="874"/>
      <c r="H110" s="874"/>
      <c r="I110" s="874"/>
      <c r="J110" s="875"/>
    </row>
    <row r="111" spans="1:15" ht="27.75" customHeight="1" x14ac:dyDescent="0.5">
      <c r="A111" s="876"/>
      <c r="B111" s="877"/>
      <c r="C111" s="878"/>
      <c r="D111" s="165"/>
      <c r="E111" s="165"/>
      <c r="F111" s="165"/>
      <c r="G111" s="581"/>
      <c r="H111" s="156"/>
      <c r="I111" s="165"/>
      <c r="J111" s="327"/>
    </row>
    <row r="112" spans="1:15" ht="27.75" customHeight="1" x14ac:dyDescent="0.5">
      <c r="A112" s="851" t="s">
        <v>252</v>
      </c>
      <c r="B112" s="852"/>
      <c r="C112" s="853"/>
      <c r="D112" s="146" t="s">
        <v>183</v>
      </c>
      <c r="E112" s="95">
        <f>'17'!F112</f>
        <v>56964</v>
      </c>
      <c r="F112" s="237">
        <v>57044.5</v>
      </c>
      <c r="G112" s="561">
        <f t="shared" ref="G112:G123" si="8">F112-E112</f>
        <v>80.5</v>
      </c>
      <c r="H112" s="99">
        <f>G112+'17'!H112</f>
        <v>1363.5</v>
      </c>
      <c r="I112" s="165"/>
      <c r="J112" s="328">
        <f>H112/DAY(B2)</f>
        <v>75.75</v>
      </c>
    </row>
    <row r="113" spans="1:18" ht="27.75" customHeight="1" x14ac:dyDescent="0.5">
      <c r="A113" s="851" t="s">
        <v>253</v>
      </c>
      <c r="B113" s="852"/>
      <c r="C113" s="853"/>
      <c r="D113" s="146" t="s">
        <v>183</v>
      </c>
      <c r="E113" s="95">
        <f>'17'!F113</f>
        <v>39860.839999999997</v>
      </c>
      <c r="F113" s="237">
        <v>40324.26</v>
      </c>
      <c r="G113" s="561">
        <f t="shared" si="8"/>
        <v>463.42000000000553</v>
      </c>
      <c r="H113" s="99">
        <f>G113+'17'!H113</f>
        <v>8129.260000000002</v>
      </c>
      <c r="I113" s="165"/>
      <c r="J113" s="328">
        <f>H113/DAY(B2)</f>
        <v>451.62555555555565</v>
      </c>
    </row>
    <row r="114" spans="1:18" ht="27.75" customHeight="1" x14ac:dyDescent="0.5">
      <c r="A114" s="851" t="s">
        <v>254</v>
      </c>
      <c r="B114" s="852"/>
      <c r="C114" s="853"/>
      <c r="D114" s="146" t="s">
        <v>183</v>
      </c>
      <c r="E114" s="95">
        <f>'17'!F114</f>
        <v>29371</v>
      </c>
      <c r="F114" s="237">
        <v>29635.1</v>
      </c>
      <c r="G114" s="561">
        <f t="shared" si="8"/>
        <v>264.09999999999854</v>
      </c>
      <c r="H114" s="99">
        <f>G114+'17'!H114</f>
        <v>4630.4999999999982</v>
      </c>
      <c r="I114" s="165"/>
      <c r="J114" s="328">
        <f>H114/DAY(B2)</f>
        <v>257.24999999999989</v>
      </c>
    </row>
    <row r="115" spans="1:18" ht="27.75" customHeight="1" x14ac:dyDescent="0.5">
      <c r="A115" s="851" t="s">
        <v>255</v>
      </c>
      <c r="B115" s="852"/>
      <c r="C115" s="853"/>
      <c r="D115" s="146" t="s">
        <v>183</v>
      </c>
      <c r="E115" s="95">
        <f>'17'!F115</f>
        <v>8958.2000000000007</v>
      </c>
      <c r="F115" s="237">
        <v>8969.3700000000008</v>
      </c>
      <c r="G115" s="561">
        <f t="shared" si="8"/>
        <v>11.170000000000073</v>
      </c>
      <c r="H115" s="99">
        <f>G115+'17'!H115</f>
        <v>184.3700000000008</v>
      </c>
      <c r="I115" s="165"/>
      <c r="J115" s="328">
        <f>H115/DAY(B2)</f>
        <v>10.242777777777823</v>
      </c>
    </row>
    <row r="116" spans="1:18" ht="27.75" customHeight="1" x14ac:dyDescent="0.5">
      <c r="A116" s="869" t="s">
        <v>96</v>
      </c>
      <c r="B116" s="870"/>
      <c r="C116" s="871"/>
      <c r="D116" s="146" t="s">
        <v>183</v>
      </c>
      <c r="E116" s="95">
        <f>'17'!F116</f>
        <v>0</v>
      </c>
      <c r="F116" s="237">
        <v>0</v>
      </c>
      <c r="G116" s="561">
        <f t="shared" si="8"/>
        <v>0</v>
      </c>
      <c r="H116" s="99">
        <f>G116+'17'!H116</f>
        <v>0</v>
      </c>
      <c r="I116" s="165"/>
      <c r="J116" s="328">
        <f>H116/DAY(B2)</f>
        <v>0</v>
      </c>
      <c r="Q116" s="851" t="s">
        <v>311</v>
      </c>
      <c r="R116" s="853"/>
    </row>
    <row r="117" spans="1:18" ht="27.75" customHeight="1" x14ac:dyDescent="0.5">
      <c r="A117" s="869" t="s">
        <v>184</v>
      </c>
      <c r="B117" s="870"/>
      <c r="C117" s="871"/>
      <c r="D117" s="146" t="s">
        <v>183</v>
      </c>
      <c r="E117" s="95">
        <f>'17'!F117</f>
        <v>2999.97</v>
      </c>
      <c r="F117" s="237">
        <v>3023.11</v>
      </c>
      <c r="G117" s="561">
        <f t="shared" si="8"/>
        <v>23.140000000000327</v>
      </c>
      <c r="H117" s="99">
        <f>G117+'17'!H117</f>
        <v>433.11000000000013</v>
      </c>
      <c r="I117" s="165"/>
      <c r="J117" s="328">
        <f>H117/DAY(B2)</f>
        <v>24.061666666666675</v>
      </c>
      <c r="Q117" s="851" t="s">
        <v>312</v>
      </c>
      <c r="R117" s="853"/>
    </row>
    <row r="118" spans="1:18" ht="27.75" customHeight="1" x14ac:dyDescent="0.5">
      <c r="A118" s="846" t="s">
        <v>97</v>
      </c>
      <c r="B118" s="846"/>
      <c r="C118" s="846"/>
      <c r="D118" s="151" t="s">
        <v>183</v>
      </c>
      <c r="E118" s="95">
        <f>'17'!F118</f>
        <v>247684</v>
      </c>
      <c r="F118" s="237">
        <v>248035.49</v>
      </c>
      <c r="G118" s="561">
        <f t="shared" si="8"/>
        <v>351.48999999999069</v>
      </c>
      <c r="H118" s="99">
        <f>G118+'17'!H118</f>
        <v>6388.4899999999907</v>
      </c>
      <c r="I118" s="165"/>
      <c r="J118" s="328">
        <f>H118/DAY(B2)</f>
        <v>354.91611111111058</v>
      </c>
      <c r="Q118" s="851" t="s">
        <v>311</v>
      </c>
      <c r="R118" s="853"/>
    </row>
    <row r="119" spans="1:18" ht="27.75" customHeight="1" x14ac:dyDescent="0.5">
      <c r="A119" s="846" t="s">
        <v>98</v>
      </c>
      <c r="B119" s="846"/>
      <c r="C119" s="846"/>
      <c r="D119" s="151" t="s">
        <v>183</v>
      </c>
      <c r="E119" s="95">
        <f>'17'!F119</f>
        <v>252241</v>
      </c>
      <c r="F119" s="237">
        <v>252682.05</v>
      </c>
      <c r="G119" s="561">
        <f t="shared" si="8"/>
        <v>441.04999999998836</v>
      </c>
      <c r="H119" s="99">
        <f>G119+'17'!H119</f>
        <v>7556.0499999999884</v>
      </c>
      <c r="I119" s="165"/>
      <c r="J119" s="328">
        <f>H119/DAY(B2)</f>
        <v>419.78055555555488</v>
      </c>
    </row>
    <row r="120" spans="1:18" ht="27.75" customHeight="1" x14ac:dyDescent="0.5">
      <c r="A120" s="846" t="s">
        <v>99</v>
      </c>
      <c r="B120" s="846"/>
      <c r="C120" s="846"/>
      <c r="D120" s="151" t="s">
        <v>183</v>
      </c>
      <c r="E120" s="95">
        <f>'17'!F120</f>
        <v>37145.4</v>
      </c>
      <c r="F120" s="237">
        <v>37580.07</v>
      </c>
      <c r="G120" s="561">
        <f t="shared" si="8"/>
        <v>434.66999999999825</v>
      </c>
      <c r="H120" s="99">
        <f>G120+'17'!H120</f>
        <v>7502.07</v>
      </c>
      <c r="I120" s="165"/>
      <c r="J120" s="328">
        <f>H120/DAY(B2)</f>
        <v>416.78166666666664</v>
      </c>
    </row>
    <row r="121" spans="1:18" ht="27.75" customHeight="1" x14ac:dyDescent="0.5">
      <c r="A121" s="846" t="s">
        <v>100</v>
      </c>
      <c r="B121" s="846"/>
      <c r="C121" s="846"/>
      <c r="D121" s="151" t="s">
        <v>183</v>
      </c>
      <c r="E121" s="95">
        <f>'17'!F121</f>
        <v>388428</v>
      </c>
      <c r="F121" s="237">
        <v>389079</v>
      </c>
      <c r="G121" s="561">
        <f t="shared" si="8"/>
        <v>651</v>
      </c>
      <c r="H121" s="99">
        <f>G121+'17'!H121</f>
        <v>12550</v>
      </c>
      <c r="I121" s="165"/>
      <c r="J121" s="328">
        <f>H121/DAY(B2)</f>
        <v>697.22222222222217</v>
      </c>
    </row>
    <row r="122" spans="1:18" ht="27.75" customHeight="1" x14ac:dyDescent="0.5">
      <c r="A122" s="846" t="s">
        <v>101</v>
      </c>
      <c r="B122" s="846"/>
      <c r="C122" s="846"/>
      <c r="D122" s="151" t="s">
        <v>183</v>
      </c>
      <c r="E122" s="95">
        <f>'17'!F122</f>
        <v>123533.44</v>
      </c>
      <c r="F122" s="237">
        <v>123702</v>
      </c>
      <c r="G122" s="561">
        <f t="shared" si="8"/>
        <v>168.55999999999767</v>
      </c>
      <c r="H122" s="99">
        <f>G122+'17'!H122</f>
        <v>3652</v>
      </c>
      <c r="I122" s="165"/>
      <c r="J122" s="328">
        <f>H122/DAY(B2)</f>
        <v>202.88888888888889</v>
      </c>
    </row>
    <row r="123" spans="1:18" ht="27.75" customHeight="1" x14ac:dyDescent="0.5">
      <c r="A123" s="846" t="s">
        <v>102</v>
      </c>
      <c r="B123" s="846"/>
      <c r="C123" s="846"/>
      <c r="D123" s="151" t="s">
        <v>183</v>
      </c>
      <c r="E123" s="95">
        <f>'17'!F123</f>
        <v>150237.63</v>
      </c>
      <c r="F123" s="237">
        <v>150502.59</v>
      </c>
      <c r="G123" s="561">
        <f t="shared" si="8"/>
        <v>264.95999999999185</v>
      </c>
      <c r="H123" s="99">
        <f>G123+'17'!H123</f>
        <v>5377.5899999999965</v>
      </c>
      <c r="I123" s="165"/>
      <c r="J123" s="328">
        <f>H123/DAY(B2)</f>
        <v>298.75499999999982</v>
      </c>
    </row>
    <row r="124" spans="1:18" ht="27.75" customHeight="1" x14ac:dyDescent="0.5">
      <c r="A124" s="876"/>
      <c r="B124" s="877"/>
      <c r="C124" s="878"/>
      <c r="D124" s="165"/>
      <c r="E124" s="95">
        <f>'17'!F124</f>
        <v>0</v>
      </c>
      <c r="F124" s="165"/>
      <c r="G124" s="581"/>
      <c r="H124" s="99">
        <f>G124+'17'!H124</f>
        <v>0</v>
      </c>
      <c r="I124" s="165"/>
      <c r="J124" s="327"/>
    </row>
    <row r="125" spans="1:18" ht="27.75" customHeight="1" x14ac:dyDescent="0.5">
      <c r="A125" s="879" t="s">
        <v>196</v>
      </c>
      <c r="B125" s="880"/>
      <c r="C125" s="245"/>
      <c r="D125" s="307"/>
      <c r="E125" s="308"/>
      <c r="F125" s="308"/>
      <c r="G125" s="582">
        <f>SUM(G112:G124)</f>
        <v>3154.0599999999713</v>
      </c>
      <c r="H125" s="156"/>
      <c r="I125" s="327">
        <f>G125-(G39+G53)</f>
        <v>607.5699999999697</v>
      </c>
      <c r="J125" s="327"/>
    </row>
    <row r="126" spans="1:18" ht="27.75" customHeight="1" x14ac:dyDescent="0.5">
      <c r="A126" s="881" t="s">
        <v>317</v>
      </c>
      <c r="B126" s="881"/>
      <c r="C126" s="881"/>
      <c r="D126" s="881"/>
      <c r="E126" s="881"/>
      <c r="F126" s="881"/>
      <c r="G126" s="881"/>
      <c r="H126" s="881"/>
      <c r="I126" s="881"/>
      <c r="J126" s="881"/>
    </row>
    <row r="127" spans="1:18" ht="27.75" customHeight="1" x14ac:dyDescent="0.5">
      <c r="A127" s="882"/>
      <c r="B127" s="882"/>
      <c r="C127" s="245"/>
      <c r="D127" s="307"/>
      <c r="E127" s="308"/>
      <c r="F127" s="308"/>
      <c r="G127" s="582"/>
      <c r="H127" s="99">
        <f>G127+'17'!H127</f>
        <v>0</v>
      </c>
      <c r="I127" s="165"/>
      <c r="J127" s="328">
        <f>H127/DAY(B2)</f>
        <v>0</v>
      </c>
    </row>
    <row r="128" spans="1:18" ht="27.75" customHeight="1" x14ac:dyDescent="0.5">
      <c r="A128" s="851" t="s">
        <v>318</v>
      </c>
      <c r="B128" s="852"/>
      <c r="C128" s="853"/>
      <c r="D128" s="151" t="s">
        <v>183</v>
      </c>
      <c r="E128" s="95">
        <f>'17'!F128</f>
        <v>43403.9</v>
      </c>
      <c r="F128" s="165">
        <v>43694.22</v>
      </c>
      <c r="G128" s="561">
        <f t="shared" ref="G128:G134" si="9">F128-E128</f>
        <v>290.31999999999971</v>
      </c>
      <c r="H128" s="99">
        <f>G128+'17'!H128</f>
        <v>5690.2200000000012</v>
      </c>
      <c r="I128" s="165"/>
      <c r="J128" s="328">
        <f>H128/DAY(B2)</f>
        <v>316.12333333333339</v>
      </c>
    </row>
    <row r="129" spans="1:15" ht="27.75" customHeight="1" x14ac:dyDescent="0.5">
      <c r="A129" s="329" t="s">
        <v>319</v>
      </c>
      <c r="B129" s="330"/>
      <c r="C129" s="331"/>
      <c r="D129" s="151" t="s">
        <v>183</v>
      </c>
      <c r="E129" s="95">
        <f>'17'!F129</f>
        <v>24083.9</v>
      </c>
      <c r="F129" s="165">
        <v>24341.02</v>
      </c>
      <c r="G129" s="561">
        <f t="shared" si="9"/>
        <v>257.11999999999898</v>
      </c>
      <c r="H129" s="99">
        <f>G129+'17'!H129</f>
        <v>4020.0200000000004</v>
      </c>
      <c r="I129" s="165"/>
      <c r="J129" s="328">
        <f>H129/DAY(B2)</f>
        <v>223.33444444444447</v>
      </c>
      <c r="N129" s="240"/>
      <c r="O129" s="241"/>
    </row>
    <row r="130" spans="1:15" ht="27.75" customHeight="1" x14ac:dyDescent="0.5">
      <c r="A130" s="329" t="s">
        <v>320</v>
      </c>
      <c r="B130" s="330"/>
      <c r="C130" s="331"/>
      <c r="D130" s="151" t="s">
        <v>183</v>
      </c>
      <c r="E130" s="95">
        <f>'17'!F130</f>
        <v>28449.45</v>
      </c>
      <c r="F130" s="165">
        <v>28966.26</v>
      </c>
      <c r="G130" s="561">
        <f t="shared" si="9"/>
        <v>516.80999999999767</v>
      </c>
      <c r="H130" s="99">
        <f>G130+'17'!H130</f>
        <v>10584.259999999998</v>
      </c>
      <c r="I130" s="165"/>
      <c r="J130" s="328">
        <f>H130/DAY(B2)</f>
        <v>588.01444444444439</v>
      </c>
      <c r="N130" s="240"/>
      <c r="O130" s="241"/>
    </row>
    <row r="131" spans="1:15" ht="27.75" customHeight="1" x14ac:dyDescent="0.5">
      <c r="A131" s="851" t="s">
        <v>321</v>
      </c>
      <c r="B131" s="852"/>
      <c r="C131" s="853"/>
      <c r="D131" s="151" t="s">
        <v>183</v>
      </c>
      <c r="E131" s="95">
        <f>'17'!F131</f>
        <v>14365.97</v>
      </c>
      <c r="F131" s="158">
        <v>14447.42</v>
      </c>
      <c r="G131" s="561">
        <f t="shared" si="9"/>
        <v>81.450000000000728</v>
      </c>
      <c r="H131" s="99">
        <f>G131+'17'!H131</f>
        <v>1294.42</v>
      </c>
      <c r="I131" s="165"/>
      <c r="J131" s="328">
        <f>H131/DAY(B2)</f>
        <v>71.912222222222226</v>
      </c>
      <c r="N131" s="240"/>
      <c r="O131" s="241"/>
    </row>
    <row r="132" spans="1:15" ht="27.75" customHeight="1" x14ac:dyDescent="0.5">
      <c r="A132" s="851" t="s">
        <v>322</v>
      </c>
      <c r="B132" s="852"/>
      <c r="C132" s="853"/>
      <c r="D132" s="151" t="s">
        <v>183</v>
      </c>
      <c r="E132" s="95">
        <f>'17'!F132</f>
        <v>49304</v>
      </c>
      <c r="F132" s="158">
        <v>49682.7</v>
      </c>
      <c r="G132" s="561">
        <f t="shared" si="9"/>
        <v>378.69999999999709</v>
      </c>
      <c r="H132" s="99">
        <f>G132+'17'!H132</f>
        <v>8659.6999999999971</v>
      </c>
      <c r="I132" s="165"/>
      <c r="J132" s="328">
        <f>H132/DAY(B2)</f>
        <v>481.09444444444426</v>
      </c>
    </row>
    <row r="133" spans="1:15" ht="27.75" customHeight="1" x14ac:dyDescent="0.5">
      <c r="A133" s="851" t="s">
        <v>362</v>
      </c>
      <c r="B133" s="852"/>
      <c r="C133" s="853"/>
      <c r="D133" s="151" t="s">
        <v>183</v>
      </c>
      <c r="E133" s="95">
        <f>'17'!F133</f>
        <v>98082.6</v>
      </c>
      <c r="F133" s="165">
        <v>98583.4</v>
      </c>
      <c r="G133" s="561">
        <f t="shared" si="9"/>
        <v>500.79999999998836</v>
      </c>
      <c r="H133" s="99">
        <f>G133+'17'!H133</f>
        <v>10880.399999999994</v>
      </c>
      <c r="I133" s="165"/>
      <c r="J133" s="328">
        <f>H133/DAY(B2)</f>
        <v>604.46666666666636</v>
      </c>
    </row>
    <row r="134" spans="1:15" ht="27.75" customHeight="1" x14ac:dyDescent="0.5">
      <c r="A134" s="851" t="s">
        <v>340</v>
      </c>
      <c r="B134" s="852"/>
      <c r="C134" s="853"/>
      <c r="D134" s="151" t="s">
        <v>183</v>
      </c>
      <c r="E134" s="95">
        <f>'17'!F134</f>
        <v>6179</v>
      </c>
      <c r="F134" s="158">
        <v>6368.93</v>
      </c>
      <c r="G134" s="561">
        <f t="shared" si="9"/>
        <v>189.93000000000029</v>
      </c>
      <c r="H134" s="99">
        <f>G134+'17'!H134</f>
        <v>8662.93</v>
      </c>
      <c r="I134" s="165"/>
      <c r="J134" s="328">
        <f>H134/DAY(B2)</f>
        <v>481.27388888888891</v>
      </c>
    </row>
    <row r="135" spans="1:15" ht="27.75" customHeight="1" x14ac:dyDescent="0.5">
      <c r="A135" s="879" t="s">
        <v>196</v>
      </c>
      <c r="B135" s="880"/>
      <c r="C135" s="331"/>
      <c r="D135" s="151"/>
      <c r="E135" s="95"/>
      <c r="F135" s="165"/>
      <c r="G135" s="561">
        <f>SUM(G128:G134)</f>
        <v>2215.1299999999828</v>
      </c>
      <c r="H135" s="99">
        <f>G135+'10'!H135</f>
        <v>33439.129999999983</v>
      </c>
      <c r="I135" s="327">
        <f>G135-(G35+G49)</f>
        <v>-419.35000000001673</v>
      </c>
      <c r="J135" s="328"/>
    </row>
    <row r="136" spans="1:15" ht="27.75" customHeight="1" x14ac:dyDescent="0.55000000000000004">
      <c r="A136" s="883" t="s">
        <v>325</v>
      </c>
      <c r="B136" s="883"/>
      <c r="C136" s="883"/>
      <c r="D136" s="883"/>
      <c r="E136" s="883"/>
      <c r="F136" s="883"/>
      <c r="G136" s="883"/>
      <c r="H136" s="883"/>
      <c r="I136" s="883"/>
      <c r="J136" s="883"/>
    </row>
    <row r="137" spans="1:15" ht="27.75" customHeight="1" x14ac:dyDescent="0.5">
      <c r="A137" s="245"/>
      <c r="B137" s="246"/>
      <c r="C137" s="246"/>
      <c r="D137" s="165"/>
      <c r="E137" s="165"/>
      <c r="F137" s="165"/>
      <c r="G137" s="581"/>
      <c r="H137" s="156"/>
      <c r="I137" s="165"/>
      <c r="J137" s="327"/>
    </row>
    <row r="138" spans="1:15" ht="27.75" customHeight="1" x14ac:dyDescent="0.5">
      <c r="A138" s="846" t="s">
        <v>185</v>
      </c>
      <c r="B138" s="846"/>
      <c r="C138" s="846"/>
      <c r="D138" s="151" t="s">
        <v>183</v>
      </c>
      <c r="E138" s="95">
        <f>'17'!F138</f>
        <v>865229</v>
      </c>
      <c r="F138" s="147">
        <v>865289</v>
      </c>
      <c r="G138" s="561">
        <f t="shared" ref="G138:G152" si="10">F138-E138</f>
        <v>60</v>
      </c>
      <c r="H138" s="99">
        <f>G138+'17'!H138</f>
        <v>1118</v>
      </c>
      <c r="I138" s="118"/>
      <c r="J138" s="328">
        <f>H138/DAY(B2)</f>
        <v>62.111111111111114</v>
      </c>
    </row>
    <row r="139" spans="1:15" ht="27.75" customHeight="1" x14ac:dyDescent="0.5">
      <c r="A139" s="846" t="s">
        <v>186</v>
      </c>
      <c r="B139" s="846"/>
      <c r="C139" s="846"/>
      <c r="D139" s="151" t="s">
        <v>183</v>
      </c>
      <c r="E139" s="95">
        <f>'17'!F139</f>
        <v>886550</v>
      </c>
      <c r="F139" s="148">
        <v>886551</v>
      </c>
      <c r="G139" s="561">
        <f t="shared" si="10"/>
        <v>1</v>
      </c>
      <c r="H139" s="99">
        <f>G139+'17'!H139</f>
        <v>5</v>
      </c>
      <c r="I139" s="118"/>
      <c r="J139" s="328">
        <f>H139/DAY(B2)</f>
        <v>0.27777777777777779</v>
      </c>
    </row>
    <row r="140" spans="1:15" ht="27.75" customHeight="1" x14ac:dyDescent="0.5">
      <c r="A140" s="846" t="s">
        <v>187</v>
      </c>
      <c r="B140" s="846"/>
      <c r="C140" s="846"/>
      <c r="D140" s="151" t="s">
        <v>183</v>
      </c>
      <c r="E140" s="95">
        <f>'17'!F140</f>
        <v>88898</v>
      </c>
      <c r="F140" s="149">
        <v>88898</v>
      </c>
      <c r="G140" s="561">
        <f t="shared" si="10"/>
        <v>0</v>
      </c>
      <c r="H140" s="99">
        <f>G140+'17'!H140</f>
        <v>16</v>
      </c>
      <c r="I140" s="118"/>
      <c r="J140" s="328">
        <f>H140/DAY(B2)</f>
        <v>0.88888888888888884</v>
      </c>
    </row>
    <row r="141" spans="1:15" ht="27.75" customHeight="1" x14ac:dyDescent="0.5">
      <c r="A141" s="850" t="s">
        <v>188</v>
      </c>
      <c r="B141" s="850"/>
      <c r="C141" s="850"/>
      <c r="D141" s="151" t="s">
        <v>183</v>
      </c>
      <c r="E141" s="95">
        <f>'17'!F141</f>
        <v>52234.8</v>
      </c>
      <c r="F141" s="149">
        <v>52406.65</v>
      </c>
      <c r="G141" s="561">
        <f t="shared" si="10"/>
        <v>171.84999999999854</v>
      </c>
      <c r="H141" s="99">
        <f>G141+'17'!H141</f>
        <v>3100.6500000000015</v>
      </c>
      <c r="I141" s="118"/>
      <c r="J141" s="328">
        <f>H141/DAY(B2)</f>
        <v>172.25833333333341</v>
      </c>
    </row>
    <row r="142" spans="1:15" ht="27.75" customHeight="1" x14ac:dyDescent="0.5">
      <c r="A142" s="850" t="s">
        <v>189</v>
      </c>
      <c r="B142" s="850"/>
      <c r="C142" s="850"/>
      <c r="D142" s="151" t="s">
        <v>183</v>
      </c>
      <c r="E142" s="95">
        <f>'17'!F142</f>
        <v>20197.09</v>
      </c>
      <c r="F142" s="148">
        <v>20277.63</v>
      </c>
      <c r="G142" s="561">
        <f t="shared" si="10"/>
        <v>80.540000000000873</v>
      </c>
      <c r="H142" s="99">
        <f>G142+'17'!H142</f>
        <v>1268.630000000001</v>
      </c>
      <c r="I142" s="140"/>
      <c r="J142" s="328">
        <f>H142/DAY(B2)</f>
        <v>70.479444444444496</v>
      </c>
    </row>
    <row r="143" spans="1:15" ht="27.75" customHeight="1" x14ac:dyDescent="0.5">
      <c r="A143" s="846" t="s">
        <v>91</v>
      </c>
      <c r="B143" s="846"/>
      <c r="C143" s="846"/>
      <c r="D143" s="151" t="s">
        <v>183</v>
      </c>
      <c r="E143" s="95">
        <f>'17'!F143</f>
        <v>3466.51</v>
      </c>
      <c r="F143" s="149">
        <v>3491.46</v>
      </c>
      <c r="G143" s="561">
        <f t="shared" si="10"/>
        <v>24.949999999999818</v>
      </c>
      <c r="H143" s="99">
        <f>G143+'17'!H143</f>
        <v>430.46000000000004</v>
      </c>
      <c r="I143" s="140"/>
      <c r="J143" s="328">
        <f>H143/DAY(B2)</f>
        <v>23.914444444444445</v>
      </c>
    </row>
    <row r="144" spans="1:15" ht="27.75" customHeight="1" x14ac:dyDescent="0.5">
      <c r="A144" s="850" t="s">
        <v>90</v>
      </c>
      <c r="B144" s="850"/>
      <c r="C144" s="850"/>
      <c r="D144" s="151" t="s">
        <v>183</v>
      </c>
      <c r="E144" s="95">
        <f>'17'!F144</f>
        <v>873523</v>
      </c>
      <c r="F144" s="149">
        <v>873743</v>
      </c>
      <c r="G144" s="561">
        <f t="shared" si="10"/>
        <v>220</v>
      </c>
      <c r="H144" s="99">
        <f>G144+'17'!H144</f>
        <v>4073</v>
      </c>
      <c r="I144" s="140"/>
      <c r="J144" s="328">
        <f>H144/DAY(B2)</f>
        <v>226.27777777777777</v>
      </c>
    </row>
    <row r="145" spans="1:10" ht="27.75" customHeight="1" x14ac:dyDescent="0.5">
      <c r="A145" s="846" t="s">
        <v>190</v>
      </c>
      <c r="B145" s="846"/>
      <c r="C145" s="846"/>
      <c r="D145" s="152" t="s">
        <v>183</v>
      </c>
      <c r="E145" s="95">
        <f>'17'!F145</f>
        <v>4812.34</v>
      </c>
      <c r="F145" s="149">
        <v>4827.1899999999996</v>
      </c>
      <c r="G145" s="561">
        <f t="shared" si="10"/>
        <v>14.849999999999454</v>
      </c>
      <c r="H145" s="99">
        <f>G145+'17'!H145</f>
        <v>269.1899999999996</v>
      </c>
      <c r="I145" s="140"/>
      <c r="J145" s="328">
        <f>H145/DAY(B2)</f>
        <v>14.954999999999977</v>
      </c>
    </row>
    <row r="146" spans="1:10" ht="27.75" customHeight="1" x14ac:dyDescent="0.5">
      <c r="A146" s="847" t="s">
        <v>191</v>
      </c>
      <c r="B146" s="848"/>
      <c r="C146" s="849"/>
      <c r="D146" s="152" t="s">
        <v>183</v>
      </c>
      <c r="E146" s="95">
        <f>'17'!F146</f>
        <v>731756</v>
      </c>
      <c r="F146" s="148">
        <v>732122</v>
      </c>
      <c r="G146" s="561">
        <f t="shared" si="10"/>
        <v>366</v>
      </c>
      <c r="H146" s="99">
        <f>G146+'17'!H146</f>
        <v>7264</v>
      </c>
      <c r="I146" s="140"/>
      <c r="J146" s="328">
        <f>H146/DAY(B2)</f>
        <v>403.55555555555554</v>
      </c>
    </row>
    <row r="147" spans="1:10" ht="27.75" customHeight="1" x14ac:dyDescent="0.5">
      <c r="A147" s="850" t="s">
        <v>192</v>
      </c>
      <c r="B147" s="850"/>
      <c r="C147" s="850"/>
      <c r="D147" s="152" t="s">
        <v>183</v>
      </c>
      <c r="E147" s="95">
        <f>'17'!F147</f>
        <v>621509</v>
      </c>
      <c r="F147" s="148">
        <v>621813.56000000006</v>
      </c>
      <c r="G147" s="561">
        <f t="shared" si="10"/>
        <v>304.56000000005588</v>
      </c>
      <c r="H147" s="99">
        <f>G147+'17'!H147</f>
        <v>6531.5600000000559</v>
      </c>
      <c r="I147" s="140"/>
      <c r="J147" s="328">
        <f>H147/DAY(B2)</f>
        <v>362.86444444444754</v>
      </c>
    </row>
    <row r="148" spans="1:10" ht="27.75" customHeight="1" x14ac:dyDescent="0.5">
      <c r="A148" s="842" t="s">
        <v>193</v>
      </c>
      <c r="B148" s="843"/>
      <c r="C148" s="844"/>
      <c r="D148" s="123" t="s">
        <v>130</v>
      </c>
      <c r="E148" s="95">
        <f>'17'!F148</f>
        <v>686860</v>
      </c>
      <c r="F148" s="150">
        <v>687015.44</v>
      </c>
      <c r="G148" s="561">
        <f t="shared" si="10"/>
        <v>155.43999999994412</v>
      </c>
      <c r="H148" s="99">
        <f>G148+'17'!H148</f>
        <v>3982.3199999999488</v>
      </c>
      <c r="I148" s="124"/>
      <c r="J148" s="328">
        <f>H148/DAY(B2)</f>
        <v>221.23999999999717</v>
      </c>
    </row>
    <row r="149" spans="1:10" ht="27.75" customHeight="1" x14ac:dyDescent="0.5">
      <c r="A149" s="842" t="s">
        <v>336</v>
      </c>
      <c r="B149" s="843"/>
      <c r="C149" s="844"/>
      <c r="D149" s="227" t="s">
        <v>130</v>
      </c>
      <c r="E149" s="95">
        <f>'17'!F149</f>
        <v>17791.439999999999</v>
      </c>
      <c r="F149" s="146">
        <v>18255.259999999998</v>
      </c>
      <c r="G149" s="561">
        <f t="shared" si="10"/>
        <v>463.81999999999971</v>
      </c>
      <c r="H149" s="99">
        <f>G149+'17'!H149</f>
        <v>7506.2599999999984</v>
      </c>
      <c r="I149" s="119"/>
      <c r="J149" s="328">
        <f>H149/DAY(B2)</f>
        <v>417.01444444444434</v>
      </c>
    </row>
    <row r="150" spans="1:10" ht="27.75" customHeight="1" x14ac:dyDescent="0.5">
      <c r="A150" s="842" t="s">
        <v>337</v>
      </c>
      <c r="B150" s="843"/>
      <c r="C150" s="844"/>
      <c r="D150" s="117" t="s">
        <v>130</v>
      </c>
      <c r="E150" s="95">
        <f>'17'!F150</f>
        <v>7752.4</v>
      </c>
      <c r="F150" s="233">
        <v>7974.99</v>
      </c>
      <c r="G150" s="561">
        <f t="shared" si="10"/>
        <v>222.59000000000015</v>
      </c>
      <c r="H150" s="99">
        <f>G150+'17'!H150</f>
        <v>3922.99</v>
      </c>
      <c r="I150" s="119"/>
      <c r="J150" s="328">
        <f>H150/DAY(B2)</f>
        <v>217.94388888888886</v>
      </c>
    </row>
    <row r="151" spans="1:10" ht="27.75" customHeight="1" x14ac:dyDescent="0.5">
      <c r="A151" s="842" t="s">
        <v>338</v>
      </c>
      <c r="B151" s="843"/>
      <c r="C151" s="844"/>
      <c r="D151" s="117" t="s">
        <v>130</v>
      </c>
      <c r="E151" s="95">
        <f>'17'!F151</f>
        <v>82156</v>
      </c>
      <c r="F151" s="233">
        <v>82410</v>
      </c>
      <c r="G151" s="561">
        <f t="shared" si="10"/>
        <v>254</v>
      </c>
      <c r="H151" s="99">
        <f>G151+'17'!H151</f>
        <v>4193</v>
      </c>
      <c r="I151" s="119"/>
      <c r="J151" s="328">
        <f>H151/DAY(B2)</f>
        <v>232.94444444444446</v>
      </c>
    </row>
    <row r="152" spans="1:10" ht="27.75" customHeight="1" x14ac:dyDescent="0.5">
      <c r="A152" s="842" t="s">
        <v>339</v>
      </c>
      <c r="B152" s="843"/>
      <c r="C152" s="844"/>
      <c r="D152" s="117" t="s">
        <v>130</v>
      </c>
      <c r="E152" s="95">
        <f>'17'!F152</f>
        <v>1419.9</v>
      </c>
      <c r="F152" s="233">
        <v>1435.92</v>
      </c>
      <c r="G152" s="561">
        <f t="shared" si="10"/>
        <v>16.019999999999982</v>
      </c>
      <c r="H152" s="99">
        <f>G152+'17'!H152</f>
        <v>308.92000000000007</v>
      </c>
      <c r="I152" s="119"/>
      <c r="J152" s="328">
        <f>H152/DAY(B2)</f>
        <v>17.162222222222226</v>
      </c>
    </row>
    <row r="153" spans="1:10" ht="27.75" customHeight="1" x14ac:dyDescent="0.5">
      <c r="A153" s="879" t="s">
        <v>196</v>
      </c>
      <c r="B153" s="880"/>
      <c r="C153" s="365"/>
      <c r="D153" s="358"/>
      <c r="E153" s="360"/>
      <c r="F153" s="361"/>
      <c r="G153" s="583">
        <f>SUM(G138:G152)</f>
        <v>2355.6199999999985</v>
      </c>
      <c r="H153" s="363"/>
      <c r="I153" s="119">
        <f>G153-(G38+G52)</f>
        <v>659.31999999999925</v>
      </c>
      <c r="J153" s="366"/>
    </row>
    <row r="154" spans="1:10" ht="27.75" customHeight="1" x14ac:dyDescent="0.55000000000000004">
      <c r="A154" s="883" t="s">
        <v>344</v>
      </c>
      <c r="B154" s="883"/>
      <c r="C154" s="883"/>
      <c r="D154" s="883"/>
      <c r="E154" s="883"/>
      <c r="F154" s="883"/>
      <c r="G154" s="883"/>
      <c r="H154" s="883"/>
      <c r="I154" s="883"/>
      <c r="J154" s="883"/>
    </row>
    <row r="155" spans="1:10" ht="27.75" customHeight="1" x14ac:dyDescent="0.55000000000000004">
      <c r="A155" s="850" t="s">
        <v>345</v>
      </c>
      <c r="B155" s="850"/>
      <c r="C155" s="850"/>
      <c r="D155" s="117" t="s">
        <v>130</v>
      </c>
      <c r="E155" s="95">
        <f>'17'!F155</f>
        <v>23303</v>
      </c>
      <c r="F155" s="473">
        <v>23908.77</v>
      </c>
      <c r="G155" s="561">
        <f t="shared" ref="G155:G157" si="11">F155-E155</f>
        <v>605.77000000000044</v>
      </c>
      <c r="H155" s="99">
        <f>G155+'17'!H155</f>
        <v>10436.77</v>
      </c>
      <c r="I155" s="364"/>
      <c r="J155" s="328">
        <f>H155/DAY(B2)</f>
        <v>579.82055555555553</v>
      </c>
    </row>
    <row r="156" spans="1:10" ht="27.75" customHeight="1" x14ac:dyDescent="0.5">
      <c r="A156" s="850" t="s">
        <v>347</v>
      </c>
      <c r="B156" s="850"/>
      <c r="C156" s="850"/>
      <c r="D156" s="117" t="s">
        <v>130</v>
      </c>
      <c r="E156" s="95">
        <f>'17'!F156</f>
        <v>1954</v>
      </c>
      <c r="F156" s="165">
        <v>2010.05</v>
      </c>
      <c r="G156" s="561">
        <f t="shared" si="11"/>
        <v>56.049999999999955</v>
      </c>
      <c r="H156" s="99">
        <f>G156+'17'!H156</f>
        <v>922.05</v>
      </c>
      <c r="I156" s="165"/>
      <c r="J156" s="328">
        <f>H156/DAY(B2)</f>
        <v>51.224999999999994</v>
      </c>
    </row>
    <row r="157" spans="1:10" ht="27.75" customHeight="1" x14ac:dyDescent="0.5">
      <c r="A157" s="842" t="s">
        <v>364</v>
      </c>
      <c r="B157" s="843"/>
      <c r="C157" s="844"/>
      <c r="D157" s="117" t="s">
        <v>130</v>
      </c>
      <c r="E157" s="95">
        <f>'17'!F157</f>
        <v>2516.1329999999998</v>
      </c>
      <c r="F157" s="165">
        <v>2598.1799999999998</v>
      </c>
      <c r="G157" s="561">
        <f t="shared" si="11"/>
        <v>82.047000000000025</v>
      </c>
      <c r="H157" s="99">
        <f>G157+'17'!H157</f>
        <v>667.17999999999984</v>
      </c>
      <c r="I157" s="165"/>
      <c r="J157" s="328">
        <f>H157/DAY(B2)</f>
        <v>37.065555555555548</v>
      </c>
    </row>
    <row r="158" spans="1:10" ht="27.75" customHeight="1" x14ac:dyDescent="0.5">
      <c r="A158" s="842" t="s">
        <v>365</v>
      </c>
      <c r="B158" s="843"/>
      <c r="C158" s="844"/>
      <c r="D158" s="117" t="s">
        <v>130</v>
      </c>
      <c r="E158" s="95">
        <f>'17'!F158</f>
        <v>23.34</v>
      </c>
      <c r="F158" s="165">
        <v>23.34</v>
      </c>
      <c r="G158" s="561">
        <f t="shared" ref="G158" si="12">F158-E158</f>
        <v>0</v>
      </c>
      <c r="H158" s="99">
        <f>G158+'17'!H158</f>
        <v>23.34</v>
      </c>
      <c r="I158" s="165"/>
      <c r="J158" s="328">
        <f>H158/DAY(B2)</f>
        <v>1.2966666666666666</v>
      </c>
    </row>
    <row r="159" spans="1:10" ht="27.75" customHeight="1" x14ac:dyDescent="0.5">
      <c r="A159" s="899"/>
      <c r="B159" s="900"/>
      <c r="C159" s="901"/>
      <c r="D159" s="117"/>
      <c r="E159" s="95"/>
      <c r="F159" s="165"/>
      <c r="G159" s="561"/>
      <c r="H159" s="99"/>
      <c r="I159" s="165"/>
      <c r="J159" s="328"/>
    </row>
    <row r="160" spans="1:10" ht="27.75" customHeight="1" x14ac:dyDescent="0.55000000000000004">
      <c r="A160" s="883" t="s">
        <v>326</v>
      </c>
      <c r="B160" s="883"/>
      <c r="C160" s="883"/>
      <c r="D160" s="883"/>
      <c r="E160" s="883"/>
      <c r="F160" s="883"/>
      <c r="G160" s="883"/>
      <c r="H160" s="883"/>
      <c r="I160" s="883"/>
      <c r="J160" s="883"/>
    </row>
    <row r="161" spans="1:10" ht="27.75" customHeight="1" x14ac:dyDescent="0.5">
      <c r="A161" s="242" t="s">
        <v>92</v>
      </c>
      <c r="B161" s="243"/>
      <c r="C161" s="243"/>
      <c r="D161" s="244" t="s">
        <v>180</v>
      </c>
      <c r="E161" s="95">
        <f>'17'!F161</f>
        <v>471446</v>
      </c>
      <c r="F161" s="235">
        <v>471453.56</v>
      </c>
      <c r="G161" s="584">
        <f t="shared" ref="G161:G165" si="13">F161-E161</f>
        <v>7.5599999999976717</v>
      </c>
      <c r="H161" s="99">
        <f>G161+'17'!H161</f>
        <v>300.40000000002328</v>
      </c>
      <c r="I161" s="236"/>
      <c r="J161" s="239">
        <f>H161/DAY(B2)</f>
        <v>16.688888888890183</v>
      </c>
    </row>
    <row r="162" spans="1:10" ht="27.75" customHeight="1" x14ac:dyDescent="0.5">
      <c r="A162" s="242" t="s">
        <v>93</v>
      </c>
      <c r="B162" s="243"/>
      <c r="C162" s="243"/>
      <c r="D162" s="244" t="s">
        <v>180</v>
      </c>
      <c r="E162" s="95">
        <f>'17'!F162</f>
        <v>88053</v>
      </c>
      <c r="F162" s="235">
        <v>88093.3</v>
      </c>
      <c r="G162" s="584">
        <f t="shared" si="13"/>
        <v>40.30000000000291</v>
      </c>
      <c r="H162" s="99">
        <f>G162+'17'!H162</f>
        <v>523.30000000000291</v>
      </c>
      <c r="I162" s="236"/>
      <c r="J162" s="239">
        <f>H162/DAY(B2)</f>
        <v>29.072222222222383</v>
      </c>
    </row>
    <row r="163" spans="1:10" ht="27.75" customHeight="1" x14ac:dyDescent="0.5">
      <c r="A163" s="242" t="s">
        <v>197</v>
      </c>
      <c r="B163" s="243"/>
      <c r="C163" s="243"/>
      <c r="D163" s="244" t="s">
        <v>180</v>
      </c>
      <c r="E163" s="95">
        <f>'17'!F163</f>
        <v>78572.7</v>
      </c>
      <c r="F163" s="235">
        <v>78635.5</v>
      </c>
      <c r="G163" s="584">
        <f t="shared" si="13"/>
        <v>62.80000000000291</v>
      </c>
      <c r="H163" s="99">
        <f>G163+'17'!H163</f>
        <v>810.5</v>
      </c>
      <c r="I163" s="236"/>
      <c r="J163" s="239">
        <f>H163/DAY(B2)</f>
        <v>45.027777777777779</v>
      </c>
    </row>
    <row r="164" spans="1:10" ht="27.75" customHeight="1" x14ac:dyDescent="0.5">
      <c r="A164" s="242" t="s">
        <v>197</v>
      </c>
      <c r="B164" s="243"/>
      <c r="C164" s="243"/>
      <c r="D164" s="244" t="s">
        <v>180</v>
      </c>
      <c r="E164" s="95">
        <f>'17'!F164</f>
        <v>4270.8999999999996</v>
      </c>
      <c r="F164" s="235">
        <v>4280</v>
      </c>
      <c r="G164" s="584">
        <f t="shared" si="13"/>
        <v>9.1000000000003638</v>
      </c>
      <c r="H164" s="99">
        <f>G164+'17'!H164</f>
        <v>38</v>
      </c>
      <c r="I164" s="236"/>
      <c r="J164" s="239">
        <f>H164/DAY(B2)</f>
        <v>2.1111111111111112</v>
      </c>
    </row>
    <row r="165" spans="1:10" ht="27.75" customHeight="1" x14ac:dyDescent="0.5">
      <c r="A165" s="242" t="s">
        <v>309</v>
      </c>
      <c r="B165" s="243"/>
      <c r="C165" s="243"/>
      <c r="D165" s="244" t="s">
        <v>180</v>
      </c>
      <c r="E165" s="95">
        <f>'17'!F165</f>
        <v>29754.45</v>
      </c>
      <c r="F165" s="235">
        <v>29763.9</v>
      </c>
      <c r="G165" s="584">
        <f t="shared" si="13"/>
        <v>9.4500000000007276</v>
      </c>
      <c r="H165" s="99">
        <f>G165+'17'!H165</f>
        <v>117.90000000000146</v>
      </c>
      <c r="I165" s="236"/>
      <c r="J165" s="239">
        <f>H165/DAY(B2)</f>
        <v>6.5500000000000806</v>
      </c>
    </row>
    <row r="166" spans="1:10" ht="27.75" customHeight="1" x14ac:dyDescent="0.5">
      <c r="A166" s="882"/>
      <c r="B166" s="882"/>
      <c r="C166" s="246"/>
      <c r="D166" s="244" t="s">
        <v>180</v>
      </c>
      <c r="E166" s="95">
        <f>'17'!F166</f>
        <v>0</v>
      </c>
      <c r="F166" s="165"/>
      <c r="G166" s="581"/>
      <c r="H166" s="99">
        <f>G166+'17'!H166</f>
        <v>0</v>
      </c>
      <c r="I166" s="165"/>
      <c r="J166" s="239">
        <f>H166/DAY(B2)</f>
        <v>0</v>
      </c>
    </row>
    <row r="167" spans="1:10" ht="27.75" customHeight="1" x14ac:dyDescent="0.5">
      <c r="A167" s="882"/>
      <c r="B167" s="882"/>
      <c r="C167" s="246"/>
      <c r="D167" s="244" t="s">
        <v>180</v>
      </c>
      <c r="E167" s="95">
        <f>'17'!F167</f>
        <v>0</v>
      </c>
      <c r="F167" s="165"/>
      <c r="G167" s="581"/>
      <c r="H167" s="99">
        <f>G167+'17'!H167</f>
        <v>0</v>
      </c>
      <c r="I167" s="165"/>
      <c r="J167" s="239">
        <f>H167/DAY(B2)</f>
        <v>0</v>
      </c>
    </row>
    <row r="168" spans="1:10" ht="27.75" customHeight="1" x14ac:dyDescent="0.5">
      <c r="A168" s="882"/>
      <c r="B168" s="882"/>
      <c r="C168" s="246"/>
      <c r="D168" s="244" t="s">
        <v>180</v>
      </c>
      <c r="E168" s="95">
        <f>'17'!F168</f>
        <v>0</v>
      </c>
      <c r="F168" s="165"/>
      <c r="G168" s="581"/>
      <c r="H168" s="99">
        <f>G168+'17'!H168</f>
        <v>0</v>
      </c>
      <c r="I168" s="165"/>
      <c r="J168" s="239">
        <f>H168/DAY(B2)</f>
        <v>0</v>
      </c>
    </row>
    <row r="171" spans="1:10" ht="27.75" customHeight="1" x14ac:dyDescent="0.35">
      <c r="A171" s="890" t="s">
        <v>330</v>
      </c>
      <c r="B171" s="891"/>
      <c r="C171" s="891"/>
      <c r="D171" s="891"/>
      <c r="E171" s="891"/>
      <c r="F171" s="891"/>
      <c r="G171" s="891"/>
      <c r="H171" s="891"/>
      <c r="I171" s="891"/>
      <c r="J171" s="892"/>
    </row>
    <row r="172" spans="1:10" ht="27.75" customHeight="1" x14ac:dyDescent="0.5">
      <c r="A172" s="886"/>
      <c r="B172" s="887"/>
      <c r="C172" s="332"/>
      <c r="D172" s="228"/>
      <c r="E172" s="155"/>
      <c r="F172" s="155"/>
      <c r="G172" s="585"/>
      <c r="H172" s="156"/>
      <c r="I172" s="155"/>
      <c r="J172" s="178"/>
    </row>
    <row r="173" spans="1:10" ht="27.75" customHeight="1" x14ac:dyDescent="0.5">
      <c r="A173" s="840" t="s">
        <v>209</v>
      </c>
      <c r="B173" s="841"/>
      <c r="C173" s="333"/>
      <c r="D173" s="228" t="s">
        <v>142</v>
      </c>
      <c r="E173" s="95">
        <f>'17'!F173</f>
        <v>8126</v>
      </c>
      <c r="F173" s="155">
        <v>8126</v>
      </c>
      <c r="G173" s="585">
        <f>F173-E173</f>
        <v>0</v>
      </c>
      <c r="H173" s="99">
        <f>G173+'17'!H173</f>
        <v>0</v>
      </c>
      <c r="I173" s="155"/>
      <c r="J173" s="178">
        <f>H173/DAY(B2)</f>
        <v>0</v>
      </c>
    </row>
    <row r="174" spans="1:10" ht="27.75" customHeight="1" x14ac:dyDescent="0.5">
      <c r="A174" s="840" t="s">
        <v>75</v>
      </c>
      <c r="B174" s="841"/>
      <c r="C174" s="333"/>
      <c r="D174" s="228" t="s">
        <v>142</v>
      </c>
      <c r="E174" s="95">
        <f>'17'!F174</f>
        <v>38444</v>
      </c>
      <c r="F174" s="157">
        <v>38457</v>
      </c>
      <c r="G174" s="585">
        <f t="shared" ref="G174:G175" si="14">F174-E174</f>
        <v>13</v>
      </c>
      <c r="H174" s="99">
        <f>G174+'17'!H174</f>
        <v>164</v>
      </c>
      <c r="I174" s="155"/>
      <c r="J174" s="178">
        <f>H174/DAY(B2)</f>
        <v>9.1111111111111107</v>
      </c>
    </row>
    <row r="175" spans="1:10" ht="27.75" customHeight="1" x14ac:dyDescent="0.5">
      <c r="A175" s="840" t="s">
        <v>76</v>
      </c>
      <c r="B175" s="845"/>
      <c r="C175" s="841"/>
      <c r="D175" s="228" t="s">
        <v>142</v>
      </c>
      <c r="E175" s="95">
        <f>'17'!F175</f>
        <v>21673</v>
      </c>
      <c r="F175" s="155">
        <v>21683</v>
      </c>
      <c r="G175" s="585">
        <f t="shared" si="14"/>
        <v>10</v>
      </c>
      <c r="H175" s="99">
        <f>G175+'17'!H175</f>
        <v>165</v>
      </c>
      <c r="I175" s="155"/>
      <c r="J175" s="178">
        <f>H175/DAY(B2)</f>
        <v>9.1666666666666661</v>
      </c>
    </row>
    <row r="176" spans="1:10" ht="27.75" customHeight="1" x14ac:dyDescent="0.5">
      <c r="A176" s="879" t="s">
        <v>196</v>
      </c>
      <c r="B176" s="880"/>
      <c r="C176" s="485"/>
      <c r="D176" s="228" t="s">
        <v>142</v>
      </c>
      <c r="E176" s="95"/>
      <c r="F176" s="155"/>
      <c r="G176" s="585">
        <f>SUM(G173:G175)</f>
        <v>23</v>
      </c>
      <c r="H176" s="99">
        <f>G176+'17'!H176</f>
        <v>329</v>
      </c>
      <c r="I176" s="155"/>
      <c r="J176" s="178">
        <f>H176/DAY(B2)</f>
        <v>18.277777777777779</v>
      </c>
    </row>
    <row r="177" spans="1:11" ht="27.75" customHeight="1" x14ac:dyDescent="0.5">
      <c r="A177" s="840" t="s">
        <v>77</v>
      </c>
      <c r="B177" s="841"/>
      <c r="C177" s="333"/>
      <c r="D177" s="228" t="s">
        <v>142</v>
      </c>
      <c r="E177" s="95"/>
      <c r="F177" s="155"/>
      <c r="G177" s="585"/>
      <c r="H177" s="99">
        <f>G177+'17'!H177</f>
        <v>0</v>
      </c>
      <c r="I177" s="155"/>
      <c r="J177" s="178">
        <f>H177/DAY(B2)</f>
        <v>0</v>
      </c>
    </row>
    <row r="178" spans="1:11" ht="27.75" customHeight="1" x14ac:dyDescent="0.5">
      <c r="A178" s="840" t="s">
        <v>210</v>
      </c>
      <c r="B178" s="841"/>
      <c r="C178" s="333"/>
      <c r="D178" s="228" t="s">
        <v>142</v>
      </c>
      <c r="E178" s="95">
        <f>'17'!F178</f>
        <v>80589</v>
      </c>
      <c r="F178" s="155">
        <v>80653</v>
      </c>
      <c r="G178" s="585">
        <f>F178-E178</f>
        <v>64</v>
      </c>
      <c r="H178" s="99">
        <f>G178+'17'!H178</f>
        <v>1039</v>
      </c>
      <c r="I178" s="155"/>
      <c r="J178" s="178">
        <f>H178/DAY(B2)</f>
        <v>57.722222222222221</v>
      </c>
    </row>
    <row r="179" spans="1:11" ht="27.75" customHeight="1" x14ac:dyDescent="0.5">
      <c r="A179" s="840" t="s">
        <v>211</v>
      </c>
      <c r="B179" s="841"/>
      <c r="C179" s="333"/>
      <c r="D179" s="228" t="s">
        <v>142</v>
      </c>
      <c r="E179" s="95">
        <f>'17'!F179</f>
        <v>34278</v>
      </c>
      <c r="F179" s="155">
        <v>34332</v>
      </c>
      <c r="G179" s="585">
        <f t="shared" ref="G179:G180" si="15">F179-E179</f>
        <v>54</v>
      </c>
      <c r="H179" s="99">
        <f>G179+'17'!H179</f>
        <v>417</v>
      </c>
      <c r="I179" s="155"/>
      <c r="J179" s="178">
        <f>H179/DAY(B2)</f>
        <v>23.166666666666668</v>
      </c>
    </row>
    <row r="180" spans="1:11" ht="27.75" customHeight="1" x14ac:dyDescent="0.5">
      <c r="A180" s="840" t="s">
        <v>212</v>
      </c>
      <c r="B180" s="841"/>
      <c r="C180" s="333"/>
      <c r="D180" s="228" t="s">
        <v>142</v>
      </c>
      <c r="E180" s="95">
        <f>'17'!F180</f>
        <v>5596</v>
      </c>
      <c r="F180" s="155">
        <v>5611</v>
      </c>
      <c r="G180" s="585">
        <f t="shared" si="15"/>
        <v>15</v>
      </c>
      <c r="H180" s="99">
        <f>G180+'17'!H180</f>
        <v>134</v>
      </c>
      <c r="I180" s="155"/>
      <c r="J180" s="178">
        <f>H180/DAY(B2)</f>
        <v>7.4444444444444446</v>
      </c>
    </row>
    <row r="181" spans="1:11" ht="27.75" customHeight="1" x14ac:dyDescent="0.5">
      <c r="A181" s="884" t="s">
        <v>108</v>
      </c>
      <c r="B181" s="885"/>
      <c r="C181" s="485"/>
      <c r="D181" s="228" t="s">
        <v>142</v>
      </c>
      <c r="E181" s="95"/>
      <c r="F181" s="155"/>
      <c r="G181" s="585">
        <f>SUM(G178:G180)</f>
        <v>133</v>
      </c>
      <c r="H181" s="99">
        <f>G181+'17'!H181</f>
        <v>1590</v>
      </c>
      <c r="I181" s="155"/>
      <c r="J181" s="178">
        <f>H181/DAY(B2)</f>
        <v>88.333333333333329</v>
      </c>
    </row>
    <row r="182" spans="1:11" ht="27.75" customHeight="1" x14ac:dyDescent="0.5">
      <c r="A182" s="840" t="s">
        <v>213</v>
      </c>
      <c r="B182" s="841"/>
      <c r="C182" s="333"/>
      <c r="D182" s="228" t="s">
        <v>142</v>
      </c>
      <c r="E182" s="95"/>
      <c r="F182" s="155"/>
      <c r="G182" s="585"/>
      <c r="H182" s="99">
        <f>G182+'17'!H182</f>
        <v>0</v>
      </c>
      <c r="I182" s="155"/>
      <c r="J182" s="178">
        <f>H182/DAY(B2)</f>
        <v>0</v>
      </c>
    </row>
    <row r="183" spans="1:11" ht="27.75" customHeight="1" x14ac:dyDescent="0.5">
      <c r="A183" s="840" t="s">
        <v>214</v>
      </c>
      <c r="B183" s="841"/>
      <c r="C183" s="334"/>
      <c r="D183" s="228" t="s">
        <v>142</v>
      </c>
      <c r="E183" s="95">
        <f>'17'!F183</f>
        <v>15146</v>
      </c>
      <c r="F183" s="157">
        <v>15161</v>
      </c>
      <c r="G183" s="586">
        <f>F183-E183</f>
        <v>15</v>
      </c>
      <c r="H183" s="99">
        <f>G183+'17'!H183</f>
        <v>214</v>
      </c>
      <c r="I183" s="155"/>
      <c r="J183" s="178">
        <f>H183/DAY(B2)</f>
        <v>11.888888888888889</v>
      </c>
    </row>
    <row r="184" spans="1:11" ht="27.75" customHeight="1" x14ac:dyDescent="0.5">
      <c r="A184" s="840" t="s">
        <v>215</v>
      </c>
      <c r="B184" s="841"/>
      <c r="C184" s="334"/>
      <c r="D184" s="228" t="s">
        <v>142</v>
      </c>
      <c r="E184" s="95">
        <f>'17'!F184</f>
        <v>10411</v>
      </c>
      <c r="F184" s="157">
        <v>10415</v>
      </c>
      <c r="G184" s="586">
        <f t="shared" ref="G184:G185" si="16">F184-E184</f>
        <v>4</v>
      </c>
      <c r="H184" s="99">
        <f>G184+'17'!H184</f>
        <v>114</v>
      </c>
      <c r="I184" s="155"/>
      <c r="J184" s="178">
        <f>H184/DAY(B2)</f>
        <v>6.333333333333333</v>
      </c>
    </row>
    <row r="185" spans="1:11" ht="27.75" customHeight="1" x14ac:dyDescent="0.5">
      <c r="A185" s="840" t="s">
        <v>216</v>
      </c>
      <c r="B185" s="841"/>
      <c r="C185" s="334"/>
      <c r="D185" s="228" t="s">
        <v>142</v>
      </c>
      <c r="E185" s="95">
        <f>'17'!F185</f>
        <v>0</v>
      </c>
      <c r="F185" s="157"/>
      <c r="G185" s="586">
        <f t="shared" si="16"/>
        <v>0</v>
      </c>
      <c r="H185" s="99">
        <f>G185+'17'!H185</f>
        <v>0</v>
      </c>
      <c r="I185" s="155"/>
      <c r="J185" s="178">
        <f>H185/DAY(B2)</f>
        <v>0</v>
      </c>
    </row>
    <row r="186" spans="1:11" ht="27.75" customHeight="1" x14ac:dyDescent="0.5">
      <c r="A186" s="879" t="s">
        <v>196</v>
      </c>
      <c r="B186" s="880"/>
      <c r="C186" s="484"/>
      <c r="D186" s="228" t="s">
        <v>142</v>
      </c>
      <c r="E186" s="95"/>
      <c r="F186" s="157"/>
      <c r="G186" s="586">
        <f>SUM(G183:G185)</f>
        <v>19</v>
      </c>
      <c r="H186" s="99">
        <f>G186+'17'!H186</f>
        <v>328</v>
      </c>
      <c r="I186" s="157"/>
      <c r="J186" s="178">
        <f>H186/DAY(B2)</f>
        <v>18.222222222222221</v>
      </c>
    </row>
    <row r="187" spans="1:11" ht="27.75" customHeight="1" x14ac:dyDescent="0.5">
      <c r="A187" s="888" t="s">
        <v>217</v>
      </c>
      <c r="B187" s="889"/>
      <c r="C187" s="333"/>
      <c r="D187" s="230" t="s">
        <v>142</v>
      </c>
      <c r="E187" s="95"/>
      <c r="F187" s="159"/>
      <c r="G187" s="587">
        <f>G62+G19</f>
        <v>123</v>
      </c>
      <c r="H187" s="99">
        <f>G187+'17'!H187</f>
        <v>2049</v>
      </c>
      <c r="I187" s="158"/>
      <c r="J187" s="179">
        <f>H187/DAY(B2)</f>
        <v>113.83333333333333</v>
      </c>
    </row>
    <row r="188" spans="1:11" ht="27.75" customHeight="1" x14ac:dyDescent="0.5">
      <c r="A188" s="888" t="s">
        <v>218</v>
      </c>
      <c r="B188" s="889"/>
      <c r="C188" s="333"/>
      <c r="D188" s="230" t="s">
        <v>142</v>
      </c>
      <c r="E188" s="95"/>
      <c r="F188" s="159"/>
      <c r="G188" s="587">
        <f>G65+G66+G67+G69+G70</f>
        <v>113</v>
      </c>
      <c r="H188" s="99">
        <f>G188+'17'!H188</f>
        <v>477</v>
      </c>
      <c r="I188" s="158"/>
      <c r="J188" s="179">
        <f>H188/DAY(B2)</f>
        <v>26.5</v>
      </c>
    </row>
    <row r="189" spans="1:11" ht="27.75" customHeight="1" x14ac:dyDescent="0.5">
      <c r="A189" s="888" t="s">
        <v>219</v>
      </c>
      <c r="B189" s="889"/>
      <c r="C189" s="333"/>
      <c r="D189" s="230" t="s">
        <v>142</v>
      </c>
      <c r="E189" s="95"/>
      <c r="F189" s="157"/>
      <c r="G189" s="587">
        <f>G181</f>
        <v>133</v>
      </c>
      <c r="H189" s="99">
        <f>G189+'17'!H189</f>
        <v>1590</v>
      </c>
      <c r="I189" s="158"/>
      <c r="J189" s="179">
        <f>H189/DAY(B2)</f>
        <v>88.333333333333329</v>
      </c>
    </row>
    <row r="190" spans="1:11" ht="23.25" customHeight="1" x14ac:dyDescent="0.5">
      <c r="A190" s="245" t="s">
        <v>360</v>
      </c>
      <c r="B190" s="246"/>
      <c r="C190" s="246"/>
      <c r="D190" s="165"/>
      <c r="E190" s="165"/>
      <c r="F190" s="155">
        <f>'17'!G191</f>
        <v>53102</v>
      </c>
      <c r="G190" s="581">
        <v>52871</v>
      </c>
      <c r="H190" s="238">
        <f>G190-F190</f>
        <v>-231</v>
      </c>
      <c r="I190" s="99">
        <f>H190+'15'!I190</f>
        <v>-231</v>
      </c>
      <c r="J190" s="236"/>
      <c r="K190" s="239" t="e">
        <f>I190/DAY(C27)</f>
        <v>#DIV/0!</v>
      </c>
    </row>
  </sheetData>
  <mergeCells count="114">
    <mergeCell ref="A172:B172"/>
    <mergeCell ref="A173:B173"/>
    <mergeCell ref="A174:B174"/>
    <mergeCell ref="A176:B176"/>
    <mergeCell ref="A188:B188"/>
    <mergeCell ref="A189:B189"/>
    <mergeCell ref="A182:B182"/>
    <mergeCell ref="A183:B183"/>
    <mergeCell ref="A185:B185"/>
    <mergeCell ref="A186:B186"/>
    <mergeCell ref="A187:B187"/>
    <mergeCell ref="A177:B177"/>
    <mergeCell ref="A178:B178"/>
    <mergeCell ref="A179:B179"/>
    <mergeCell ref="A180:B180"/>
    <mergeCell ref="A181:B181"/>
    <mergeCell ref="A184:B184"/>
    <mergeCell ref="A142:C142"/>
    <mergeCell ref="A160:J160"/>
    <mergeCell ref="A166:B166"/>
    <mergeCell ref="A167:B167"/>
    <mergeCell ref="A168:B168"/>
    <mergeCell ref="A175:C175"/>
    <mergeCell ref="A145:C145"/>
    <mergeCell ref="A146:C146"/>
    <mergeCell ref="A147:C147"/>
    <mergeCell ref="A148:C148"/>
    <mergeCell ref="A149:C149"/>
    <mergeCell ref="A143:C143"/>
    <mergeCell ref="A144:C144"/>
    <mergeCell ref="A150:C150"/>
    <mergeCell ref="A151:C151"/>
    <mergeCell ref="A152:C152"/>
    <mergeCell ref="A154:J154"/>
    <mergeCell ref="A155:C155"/>
    <mergeCell ref="A156:C156"/>
    <mergeCell ref="A153:B153"/>
    <mergeCell ref="A157:C157"/>
    <mergeCell ref="A158:C158"/>
    <mergeCell ref="A159:C159"/>
    <mergeCell ref="A171:J171"/>
    <mergeCell ref="A136:J136"/>
    <mergeCell ref="A138:C138"/>
    <mergeCell ref="A139:C139"/>
    <mergeCell ref="A140:C140"/>
    <mergeCell ref="A141:C141"/>
    <mergeCell ref="A131:C131"/>
    <mergeCell ref="A132:C132"/>
    <mergeCell ref="A133:C133"/>
    <mergeCell ref="A134:C134"/>
    <mergeCell ref="A135:B135"/>
    <mergeCell ref="A125:B125"/>
    <mergeCell ref="A126:J126"/>
    <mergeCell ref="A127:B127"/>
    <mergeCell ref="A128:C128"/>
    <mergeCell ref="Q116:R116"/>
    <mergeCell ref="A117:C117"/>
    <mergeCell ref="Q117:R117"/>
    <mergeCell ref="A118:C118"/>
    <mergeCell ref="Q118:R118"/>
    <mergeCell ref="A119:C119"/>
    <mergeCell ref="A120:C120"/>
    <mergeCell ref="A121:C121"/>
    <mergeCell ref="A122:C122"/>
    <mergeCell ref="A123:C123"/>
    <mergeCell ref="A116:C116"/>
    <mergeCell ref="A100:C100"/>
    <mergeCell ref="A79:C79"/>
    <mergeCell ref="A80:C80"/>
    <mergeCell ref="A81:C81"/>
    <mergeCell ref="A95:C95"/>
    <mergeCell ref="A96:C96"/>
    <mergeCell ref="A93:C93"/>
    <mergeCell ref="A94:C94"/>
    <mergeCell ref="A124:C124"/>
    <mergeCell ref="A1:J1"/>
    <mergeCell ref="A6:C6"/>
    <mergeCell ref="A14:C14"/>
    <mergeCell ref="A17:C17"/>
    <mergeCell ref="E3:F3"/>
    <mergeCell ref="A64:C64"/>
    <mergeCell ref="A65:C65"/>
    <mergeCell ref="A18:C18"/>
    <mergeCell ref="A19:C19"/>
    <mergeCell ref="A21:C21"/>
    <mergeCell ref="A25:C25"/>
    <mergeCell ref="A33:C33"/>
    <mergeCell ref="A61:C61"/>
    <mergeCell ref="A62:C62"/>
    <mergeCell ref="A63:C63"/>
    <mergeCell ref="A75:C75"/>
    <mergeCell ref="A76:C76"/>
    <mergeCell ref="A77:C77"/>
    <mergeCell ref="A71:C71"/>
    <mergeCell ref="A72:B72"/>
    <mergeCell ref="A73:C73"/>
    <mergeCell ref="A74:C74"/>
    <mergeCell ref="A114:C114"/>
    <mergeCell ref="A115:C115"/>
    <mergeCell ref="A109:B109"/>
    <mergeCell ref="A110:J110"/>
    <mergeCell ref="A111:C111"/>
    <mergeCell ref="A112:C112"/>
    <mergeCell ref="A113:C113"/>
    <mergeCell ref="A102:C102"/>
    <mergeCell ref="A101:C101"/>
    <mergeCell ref="A103:C103"/>
    <mergeCell ref="A104:C104"/>
    <mergeCell ref="A105:C105"/>
    <mergeCell ref="A108:J108"/>
    <mergeCell ref="A78:C78"/>
    <mergeCell ref="A97:C97"/>
    <mergeCell ref="A98:C98"/>
    <mergeCell ref="A99:C99"/>
  </mergeCells>
  <pageMargins left="0.22" right="0.17" top="0.14000000000000001" bottom="0.2" header="0.2" footer="0.2"/>
  <pageSetup paperSize="5" scale="19"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1:R270"/>
  <sheetViews>
    <sheetView view="pageBreakPreview" topLeftCell="A10" zoomScale="55" zoomScaleNormal="40" zoomScaleSheetLayoutView="55" zoomScalePageLayoutView="60" workbookViewId="0">
      <selection activeCell="F146" sqref="F146"/>
    </sheetView>
  </sheetViews>
  <sheetFormatPr defaultColWidth="22.33203125" defaultRowHeight="21.95" customHeight="1" x14ac:dyDescent="0.5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6" width="30" style="160" customWidth="1"/>
    <col min="7" max="7" width="28.88671875" style="629" customWidth="1"/>
    <col min="8" max="8" width="39.21875" style="161" customWidth="1"/>
    <col min="9" max="9" width="23.5546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33.75" x14ac:dyDescent="0.65">
      <c r="A1" s="821" t="s">
        <v>115</v>
      </c>
      <c r="B1" s="822"/>
      <c r="C1" s="822"/>
      <c r="D1" s="822"/>
      <c r="E1" s="822"/>
      <c r="F1" s="822"/>
      <c r="G1" s="822"/>
      <c r="H1" s="822"/>
      <c r="I1" s="822"/>
      <c r="J1" s="823"/>
    </row>
    <row r="2" spans="1:15" s="57" customFormat="1" ht="27" x14ac:dyDescent="0.5">
      <c r="A2" s="191" t="s">
        <v>350</v>
      </c>
      <c r="B2" s="262">
        <v>44580</v>
      </c>
      <c r="C2" s="348" t="s">
        <v>67</v>
      </c>
      <c r="D2" s="218">
        <v>0.92979999999999996</v>
      </c>
      <c r="E2" s="100"/>
      <c r="F2" s="100"/>
      <c r="G2" s="605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27" x14ac:dyDescent="0.5">
      <c r="A3" s="189"/>
      <c r="B3" s="221"/>
      <c r="C3" s="348" t="s">
        <v>118</v>
      </c>
      <c r="D3" s="219">
        <v>28</v>
      </c>
      <c r="E3" s="830" t="s">
        <v>119</v>
      </c>
      <c r="F3" s="831"/>
      <c r="G3" s="606"/>
      <c r="H3" s="102"/>
      <c r="I3" s="102"/>
      <c r="J3" s="222"/>
      <c r="K3" s="61"/>
      <c r="L3" s="58"/>
    </row>
    <row r="4" spans="1:15" s="57" customFormat="1" ht="27" x14ac:dyDescent="0.5">
      <c r="A4" s="192"/>
      <c r="B4" s="223"/>
      <c r="C4" s="348" t="s">
        <v>120</v>
      </c>
      <c r="D4" s="218">
        <v>0.9</v>
      </c>
      <c r="E4" s="103"/>
      <c r="F4" s="103"/>
      <c r="G4" s="606"/>
      <c r="H4" s="103"/>
      <c r="I4" s="104"/>
      <c r="J4" s="222"/>
      <c r="K4" s="62"/>
      <c r="L4" s="58"/>
    </row>
    <row r="5" spans="1:15" ht="29.25" x14ac:dyDescent="0.4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6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5" ht="29.25" x14ac:dyDescent="0.4">
      <c r="A6" s="824" t="s">
        <v>128</v>
      </c>
      <c r="B6" s="825"/>
      <c r="C6" s="826"/>
      <c r="D6" s="110"/>
      <c r="E6" s="110"/>
      <c r="F6" s="110"/>
      <c r="G6" s="608"/>
      <c r="H6" s="111"/>
      <c r="I6" s="111"/>
      <c r="J6" s="174"/>
      <c r="K6" s="78"/>
      <c r="L6" s="66"/>
    </row>
    <row r="7" spans="1:15" ht="30" thickBot="1" x14ac:dyDescent="0.45">
      <c r="A7" s="194" t="s">
        <v>129</v>
      </c>
      <c r="B7" s="195"/>
      <c r="C7" s="195"/>
      <c r="D7" s="151" t="s">
        <v>130</v>
      </c>
      <c r="E7" s="95">
        <f>'18 '!F7</f>
        <v>424173</v>
      </c>
      <c r="F7" s="95">
        <v>442206</v>
      </c>
      <c r="G7" s="609">
        <f>F7-E7</f>
        <v>18033</v>
      </c>
      <c r="H7" s="99">
        <f>G7+'18 '!H7</f>
        <v>347645</v>
      </c>
      <c r="I7" s="113">
        <f>'1'!I7</f>
        <v>12000</v>
      </c>
      <c r="J7" s="175">
        <f>H7/DAY(B2)</f>
        <v>18297.105263157893</v>
      </c>
      <c r="K7" s="172">
        <v>1375467</v>
      </c>
      <c r="L7" s="66"/>
      <c r="N7" s="87"/>
      <c r="O7" s="71"/>
    </row>
    <row r="8" spans="1:15" ht="27.75" thickBot="1" x14ac:dyDescent="0.45">
      <c r="A8" s="196" t="s">
        <v>131</v>
      </c>
      <c r="B8" s="197"/>
      <c r="C8" s="198"/>
      <c r="D8" s="224" t="s">
        <v>24</v>
      </c>
      <c r="E8" s="95">
        <f>'18 '!F8</f>
        <v>475797.83</v>
      </c>
      <c r="F8" s="95">
        <v>494519</v>
      </c>
      <c r="G8" s="610">
        <f>F8-E8</f>
        <v>18721.169999999984</v>
      </c>
      <c r="H8" s="99">
        <f>G8+'18 '!H8</f>
        <v>353634</v>
      </c>
      <c r="I8" s="116"/>
      <c r="J8" s="175">
        <f>H8/DAY(B2)</f>
        <v>18612.315789473683</v>
      </c>
      <c r="K8" s="172">
        <v>1715917</v>
      </c>
      <c r="L8" s="76">
        <v>1728480</v>
      </c>
      <c r="M8" s="87">
        <f>L8-K8</f>
        <v>12563</v>
      </c>
      <c r="N8" s="87"/>
      <c r="O8" s="71"/>
    </row>
    <row r="9" spans="1:15" ht="29.25" x14ac:dyDescent="0.4">
      <c r="A9" s="199" t="s">
        <v>132</v>
      </c>
      <c r="B9" s="200"/>
      <c r="C9" s="200"/>
      <c r="D9" s="151" t="s">
        <v>130</v>
      </c>
      <c r="E9" s="95">
        <f>'18 '!F9</f>
        <v>109695.53</v>
      </c>
      <c r="F9" s="601">
        <v>121587.8</v>
      </c>
      <c r="G9" s="609">
        <f>F9-E9</f>
        <v>11892.270000000004</v>
      </c>
      <c r="H9" s="99">
        <f>G9+'18 '!H9</f>
        <v>220092.79999999999</v>
      </c>
      <c r="I9" s="124">
        <f>I7-J7</f>
        <v>-6297.1052631578932</v>
      </c>
      <c r="J9" s="175">
        <f>H9/DAY(B2)</f>
        <v>11583.831578947367</v>
      </c>
      <c r="K9" s="79">
        <f>K8-100</f>
        <v>1715817</v>
      </c>
      <c r="L9" s="66"/>
      <c r="N9" s="87"/>
      <c r="O9" s="71"/>
    </row>
    <row r="10" spans="1:15" ht="29.25" x14ac:dyDescent="0.4">
      <c r="A10" s="194" t="s">
        <v>133</v>
      </c>
      <c r="B10" s="195"/>
      <c r="C10" s="195"/>
      <c r="D10" s="151" t="s">
        <v>130</v>
      </c>
      <c r="E10" s="95">
        <f>'18 '!F10</f>
        <v>57422.18</v>
      </c>
      <c r="F10" s="353">
        <v>62985.4</v>
      </c>
      <c r="G10" s="609">
        <f t="shared" ref="G10:G12" si="0">F10-E10</f>
        <v>5563.2200000000012</v>
      </c>
      <c r="H10" s="99">
        <f>G10+'18 '!H10</f>
        <v>117891.4</v>
      </c>
      <c r="I10" s="282"/>
      <c r="J10" s="175">
        <f>H10/DAY(B2)</f>
        <v>6204.8105263157895</v>
      </c>
      <c r="K10" s="79"/>
      <c r="L10" s="66"/>
      <c r="N10" s="87"/>
      <c r="O10" s="71"/>
    </row>
    <row r="11" spans="1:15" ht="29.25" x14ac:dyDescent="0.4">
      <c r="A11" s="194" t="s">
        <v>134</v>
      </c>
      <c r="B11" s="195"/>
      <c r="C11" s="195"/>
      <c r="D11" s="151" t="s">
        <v>130</v>
      </c>
      <c r="E11" s="95">
        <f>'18 '!F11</f>
        <v>37170</v>
      </c>
      <c r="F11" s="95">
        <v>37170</v>
      </c>
      <c r="G11" s="609">
        <f t="shared" si="0"/>
        <v>0</v>
      </c>
      <c r="H11" s="99">
        <f>G11+'18 '!H11</f>
        <v>170</v>
      </c>
      <c r="I11" s="282"/>
      <c r="J11" s="175">
        <f>H11/DAY(B2)</f>
        <v>8.9473684210526319</v>
      </c>
      <c r="K11" s="79"/>
      <c r="L11" s="66"/>
      <c r="N11" s="87"/>
      <c r="O11" s="71"/>
    </row>
    <row r="12" spans="1:15" ht="29.25" x14ac:dyDescent="0.4">
      <c r="A12" s="194" t="s">
        <v>135</v>
      </c>
      <c r="B12" s="195"/>
      <c r="C12" s="195"/>
      <c r="D12" s="151" t="s">
        <v>130</v>
      </c>
      <c r="E12" s="95">
        <f>'18 '!F12</f>
        <v>40010</v>
      </c>
      <c r="F12" s="117">
        <v>40010</v>
      </c>
      <c r="G12" s="609">
        <f t="shared" si="0"/>
        <v>0</v>
      </c>
      <c r="H12" s="99">
        <f>G12+'18 '!H12</f>
        <v>0</v>
      </c>
      <c r="I12" s="282"/>
      <c r="J12" s="175">
        <f>H12/DAY(B2)</f>
        <v>0</v>
      </c>
      <c r="K12" s="79"/>
      <c r="L12" s="66"/>
      <c r="N12" s="87"/>
      <c r="O12" s="71"/>
    </row>
    <row r="13" spans="1:15" ht="29.25" x14ac:dyDescent="0.5">
      <c r="A13" s="201" t="s">
        <v>136</v>
      </c>
      <c r="B13" s="202"/>
      <c r="C13" s="202"/>
      <c r="D13" s="151"/>
      <c r="E13" s="95"/>
      <c r="F13" s="95"/>
      <c r="G13" s="611">
        <f>G9+G10+G11+G12</f>
        <v>17455.490000000005</v>
      </c>
      <c r="H13" s="99">
        <f>G13+'18 '!H13</f>
        <v>318688.9499999999</v>
      </c>
      <c r="I13" s="120">
        <f>G7-G13</f>
        <v>577.50999999999476</v>
      </c>
      <c r="J13" s="175">
        <f>H13/DAY(B2)</f>
        <v>16773.102631578942</v>
      </c>
      <c r="K13" s="79"/>
      <c r="L13" s="66"/>
      <c r="N13" s="87"/>
      <c r="O13" s="71"/>
    </row>
    <row r="14" spans="1:15" ht="29.25" x14ac:dyDescent="0.5">
      <c r="A14" s="827" t="s">
        <v>137</v>
      </c>
      <c r="B14" s="828"/>
      <c r="C14" s="829"/>
      <c r="D14" s="111"/>
      <c r="E14" s="111"/>
      <c r="F14" s="111"/>
      <c r="G14" s="612"/>
      <c r="H14" s="111"/>
      <c r="I14" s="111"/>
      <c r="J14" s="174"/>
      <c r="K14" s="80"/>
      <c r="L14" s="66"/>
      <c r="N14" s="87"/>
      <c r="O14" s="71"/>
    </row>
    <row r="15" spans="1:15" ht="29.25" x14ac:dyDescent="0.5">
      <c r="A15" s="345" t="s">
        <v>138</v>
      </c>
      <c r="B15" s="205"/>
      <c r="C15" s="205"/>
      <c r="D15" s="151" t="s">
        <v>139</v>
      </c>
      <c r="E15" s="95">
        <f>'18 '!F15</f>
        <v>1894222</v>
      </c>
      <c r="F15" s="601">
        <v>1895056.3</v>
      </c>
      <c r="G15" s="609">
        <f>(F15-E15)</f>
        <v>834.30000000004657</v>
      </c>
      <c r="H15" s="99">
        <f>G15+'18 '!H15</f>
        <v>16626.300000000047</v>
      </c>
      <c r="I15" s="113">
        <f>'1'!I15</f>
        <v>800</v>
      </c>
      <c r="J15" s="175">
        <f>H15/DAY(B2)</f>
        <v>875.06842105263399</v>
      </c>
      <c r="K15" s="79"/>
      <c r="L15" s="66"/>
      <c r="N15" s="87"/>
      <c r="O15" s="71"/>
    </row>
    <row r="16" spans="1:15" ht="29.25" x14ac:dyDescent="0.4">
      <c r="A16" s="203"/>
      <c r="B16" s="204"/>
      <c r="C16" s="204"/>
      <c r="D16" s="152"/>
      <c r="E16" s="123"/>
      <c r="F16" s="123"/>
      <c r="G16" s="609"/>
      <c r="H16" s="124"/>
      <c r="I16" s="120">
        <f>I15-J15</f>
        <v>-75.068421052633994</v>
      </c>
      <c r="J16" s="176"/>
      <c r="K16" s="79"/>
      <c r="L16" s="66"/>
      <c r="N16" s="87"/>
      <c r="O16" s="71"/>
    </row>
    <row r="17" spans="1:15" ht="29.25" x14ac:dyDescent="0.5">
      <c r="A17" s="827" t="s">
        <v>140</v>
      </c>
      <c r="B17" s="828"/>
      <c r="C17" s="829"/>
      <c r="D17" s="111"/>
      <c r="E17" s="111"/>
      <c r="F17" s="111"/>
      <c r="G17" s="612"/>
      <c r="H17" s="111"/>
      <c r="I17" s="111"/>
      <c r="J17" s="174"/>
      <c r="K17" s="79"/>
      <c r="L17" s="66"/>
      <c r="N17" s="87"/>
      <c r="O17" s="71"/>
    </row>
    <row r="18" spans="1:15" ht="27.75" x14ac:dyDescent="0.5">
      <c r="A18" s="818" t="s">
        <v>141</v>
      </c>
      <c r="B18" s="819"/>
      <c r="C18" s="820"/>
      <c r="D18" s="151" t="s">
        <v>142</v>
      </c>
      <c r="E18" s="95">
        <f>'18 '!F18</f>
        <v>10</v>
      </c>
      <c r="F18" s="122">
        <v>10</v>
      </c>
      <c r="G18" s="611">
        <f>F18*10</f>
        <v>100</v>
      </c>
      <c r="H18" s="99">
        <f>G18+'18 '!H18</f>
        <v>2020</v>
      </c>
      <c r="I18" s="113">
        <f>'1'!I18</f>
        <v>65</v>
      </c>
      <c r="J18" s="175">
        <f>H18/DAY(B2)</f>
        <v>106.31578947368421</v>
      </c>
      <c r="K18" s="79"/>
      <c r="L18" s="66"/>
      <c r="N18" s="87"/>
      <c r="O18" s="71"/>
    </row>
    <row r="19" spans="1:15" ht="27.75" x14ac:dyDescent="0.5">
      <c r="A19" s="818" t="s">
        <v>69</v>
      </c>
      <c r="B19" s="819"/>
      <c r="C19" s="820"/>
      <c r="D19" s="151" t="s">
        <v>142</v>
      </c>
      <c r="E19" s="95">
        <f>'18 '!F19</f>
        <v>153179</v>
      </c>
      <c r="F19" s="122">
        <v>153236</v>
      </c>
      <c r="G19" s="609">
        <f t="shared" ref="G19" si="1">F19-E19</f>
        <v>57</v>
      </c>
      <c r="H19" s="99">
        <f>G19+'18 '!H19</f>
        <v>1011</v>
      </c>
      <c r="I19" s="335"/>
      <c r="J19" s="175">
        <f>H19/DAY(B2)</f>
        <v>53.210526315789473</v>
      </c>
      <c r="K19" s="79"/>
      <c r="L19" s="66"/>
      <c r="N19" s="87"/>
      <c r="O19" s="71"/>
    </row>
    <row r="20" spans="1:15" ht="29.25" x14ac:dyDescent="0.5">
      <c r="A20" s="201" t="s">
        <v>143</v>
      </c>
      <c r="B20" s="202"/>
      <c r="C20" s="202"/>
      <c r="D20" s="126"/>
      <c r="E20" s="126"/>
      <c r="F20" s="126"/>
      <c r="G20" s="613">
        <f>G18+G19</f>
        <v>157</v>
      </c>
      <c r="H20" s="99">
        <f>G20+'18 '!H20</f>
        <v>3031</v>
      </c>
      <c r="I20" s="336">
        <f>I18-J20</f>
        <v>-94.526315789473671</v>
      </c>
      <c r="J20" s="175">
        <f>H20/DAY(B2)</f>
        <v>159.52631578947367</v>
      </c>
      <c r="K20" s="79"/>
      <c r="L20" s="66"/>
      <c r="N20" s="87"/>
      <c r="O20" s="71"/>
    </row>
    <row r="21" spans="1:15" ht="29.25" x14ac:dyDescent="0.5">
      <c r="A21" s="827" t="s">
        <v>144</v>
      </c>
      <c r="B21" s="828"/>
      <c r="C21" s="829"/>
      <c r="D21" s="111"/>
      <c r="E21" s="111"/>
      <c r="F21" s="111"/>
      <c r="G21" s="612"/>
      <c r="H21" s="111"/>
      <c r="I21" s="111"/>
      <c r="J21" s="174"/>
      <c r="K21" s="79"/>
      <c r="L21" s="66"/>
      <c r="N21" s="87"/>
      <c r="O21" s="71"/>
    </row>
    <row r="22" spans="1:15" ht="29.25" x14ac:dyDescent="0.5">
      <c r="A22" s="345" t="s">
        <v>145</v>
      </c>
      <c r="B22" s="205"/>
      <c r="C22" s="205"/>
      <c r="D22" s="151" t="s">
        <v>146</v>
      </c>
      <c r="E22" s="95">
        <f>'18 '!F22</f>
        <v>2970</v>
      </c>
      <c r="F22" s="122">
        <v>2970</v>
      </c>
      <c r="G22" s="611">
        <f t="shared" ref="G22" si="2">(F22-E22)</f>
        <v>0</v>
      </c>
      <c r="H22" s="99">
        <f>G22+'18 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29.25" x14ac:dyDescent="0.5">
      <c r="A23" s="345" t="s">
        <v>147</v>
      </c>
      <c r="B23" s="205"/>
      <c r="C23" s="205"/>
      <c r="D23" s="151" t="s">
        <v>146</v>
      </c>
      <c r="E23" s="95">
        <f>'18 '!F23</f>
        <v>1390</v>
      </c>
      <c r="F23" s="122">
        <v>1390</v>
      </c>
      <c r="G23" s="611">
        <v>0</v>
      </c>
      <c r="H23" s="99">
        <f>G23+'18 '!H23</f>
        <v>110</v>
      </c>
      <c r="I23" s="118"/>
      <c r="J23" s="175">
        <f>H23/DAY(B2)</f>
        <v>5.7894736842105265</v>
      </c>
      <c r="K23" s="79"/>
      <c r="L23" s="66"/>
      <c r="N23" s="87"/>
      <c r="O23" s="71"/>
    </row>
    <row r="24" spans="1:15" ht="29.25" x14ac:dyDescent="0.4">
      <c r="A24" s="206" t="s">
        <v>148</v>
      </c>
      <c r="B24" s="207"/>
      <c r="C24" s="207"/>
      <c r="D24" s="146" t="s">
        <v>146</v>
      </c>
      <c r="E24" s="95">
        <f>'18 '!F24</f>
        <v>4970</v>
      </c>
      <c r="F24" s="128">
        <v>4970</v>
      </c>
      <c r="G24" s="611">
        <v>0</v>
      </c>
      <c r="H24" s="99">
        <f>G24+'18 '!H24</f>
        <v>110</v>
      </c>
      <c r="I24" s="118"/>
      <c r="J24" s="175">
        <f>H24/DAY(B2)</f>
        <v>5.7894736842105265</v>
      </c>
      <c r="K24" s="79"/>
      <c r="L24" s="66"/>
      <c r="N24" s="87"/>
      <c r="O24" s="71"/>
    </row>
    <row r="25" spans="1:15" s="88" customFormat="1" ht="27" x14ac:dyDescent="0.35">
      <c r="A25" s="832" t="s">
        <v>149</v>
      </c>
      <c r="B25" s="833"/>
      <c r="C25" s="834"/>
      <c r="D25" s="110"/>
      <c r="E25" s="110"/>
      <c r="F25" s="110"/>
      <c r="G25" s="614"/>
      <c r="H25" s="130"/>
      <c r="I25" s="131"/>
      <c r="J25" s="177"/>
      <c r="K25" s="63"/>
      <c r="L25" s="89"/>
      <c r="N25" s="87"/>
      <c r="O25" s="71"/>
    </row>
    <row r="26" spans="1:15" s="88" customFormat="1" ht="27.75" x14ac:dyDescent="0.5">
      <c r="A26" s="208" t="s">
        <v>150</v>
      </c>
      <c r="B26" s="209"/>
      <c r="C26" s="210"/>
      <c r="D26" s="225" t="s">
        <v>151</v>
      </c>
      <c r="E26" s="132"/>
      <c r="F26" s="132"/>
      <c r="G26" s="615"/>
      <c r="H26" s="99"/>
      <c r="I26" s="134"/>
      <c r="J26" s="175"/>
      <c r="K26" s="64"/>
      <c r="L26" s="89"/>
      <c r="N26" s="87"/>
      <c r="O26" s="71"/>
    </row>
    <row r="27" spans="1:15" s="88" customFormat="1" ht="27.75" x14ac:dyDescent="0.5">
      <c r="A27" s="208" t="s">
        <v>5</v>
      </c>
      <c r="B27" s="209"/>
      <c r="C27" s="210"/>
      <c r="D27" s="226" t="s">
        <v>24</v>
      </c>
      <c r="E27" s="135">
        <f>G8</f>
        <v>18721.169999999984</v>
      </c>
      <c r="F27" s="136">
        <v>9</v>
      </c>
      <c r="G27" s="616">
        <f>E27*F27</f>
        <v>168490.52999999985</v>
      </c>
      <c r="H27" s="99">
        <f>G27+'18 '!H27</f>
        <v>3182706</v>
      </c>
      <c r="I27" s="138"/>
      <c r="J27" s="175">
        <f>H27/DAY(B2)</f>
        <v>167510.84210526315</v>
      </c>
      <c r="K27" s="63"/>
      <c r="L27" s="89"/>
      <c r="N27" s="87"/>
      <c r="O27" s="71"/>
    </row>
    <row r="28" spans="1:15" s="88" customFormat="1" ht="27.75" x14ac:dyDescent="0.5">
      <c r="A28" s="208" t="s">
        <v>152</v>
      </c>
      <c r="B28" s="209"/>
      <c r="C28" s="210"/>
      <c r="D28" s="226" t="s">
        <v>153</v>
      </c>
      <c r="E28" s="139">
        <f>G15</f>
        <v>834.30000000004657</v>
      </c>
      <c r="F28" s="136">
        <v>52</v>
      </c>
      <c r="G28" s="616">
        <f>E28*F28</f>
        <v>43383.600000002421</v>
      </c>
      <c r="H28" s="99">
        <f>G28+'18 '!H28</f>
        <v>864567.60000000242</v>
      </c>
      <c r="I28" s="140"/>
      <c r="J28" s="175">
        <f>H28/DAY(B2)</f>
        <v>45503.557894736972</v>
      </c>
      <c r="K28" s="63"/>
      <c r="L28" s="89"/>
      <c r="N28" s="87"/>
      <c r="O28" s="71"/>
    </row>
    <row r="29" spans="1:15" s="88" customFormat="1" ht="27.75" x14ac:dyDescent="0.5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616">
        <f>E29*F29</f>
        <v>0</v>
      </c>
      <c r="H29" s="99">
        <f>G29+'18 '!H29</f>
        <v>7590</v>
      </c>
      <c r="I29" s="140"/>
      <c r="J29" s="175">
        <f>H29/DAY(B2)</f>
        <v>399.4736842105263</v>
      </c>
      <c r="K29" s="63"/>
      <c r="L29" s="89"/>
      <c r="N29" s="87"/>
      <c r="O29" s="71"/>
    </row>
    <row r="30" spans="1:15" s="88" customFormat="1" ht="27.75" x14ac:dyDescent="0.5">
      <c r="A30" s="208" t="s">
        <v>156</v>
      </c>
      <c r="B30" s="209"/>
      <c r="C30" s="210"/>
      <c r="D30" s="226" t="s">
        <v>157</v>
      </c>
      <c r="E30" s="141">
        <f>G19</f>
        <v>57</v>
      </c>
      <c r="F30" s="136">
        <v>146</v>
      </c>
      <c r="G30" s="616">
        <f>E30*F30</f>
        <v>8322</v>
      </c>
      <c r="H30" s="99">
        <f>G30+'18 '!H30</f>
        <v>147606</v>
      </c>
      <c r="I30" s="140"/>
      <c r="J30" s="175">
        <f>H30/DAY(B2)</f>
        <v>7768.7368421052633</v>
      </c>
      <c r="K30" s="63"/>
      <c r="L30" s="89"/>
      <c r="N30" s="87"/>
      <c r="O30" s="71"/>
    </row>
    <row r="31" spans="1:15" s="88" customFormat="1" ht="27.75" x14ac:dyDescent="0.5">
      <c r="A31" s="208" t="s">
        <v>158</v>
      </c>
      <c r="B31" s="209"/>
      <c r="C31" s="210"/>
      <c r="D31" s="226" t="s">
        <v>142</v>
      </c>
      <c r="E31" s="141">
        <f>G18</f>
        <v>100</v>
      </c>
      <c r="F31" s="136">
        <v>80</v>
      </c>
      <c r="G31" s="616">
        <f>E31*F31</f>
        <v>8000</v>
      </c>
      <c r="H31" s="99">
        <f>G31+'18 '!H31</f>
        <v>161600</v>
      </c>
      <c r="I31" s="140"/>
      <c r="J31" s="175">
        <f>H31/DAY(B2)</f>
        <v>8505.2631578947367</v>
      </c>
      <c r="K31" s="63"/>
      <c r="L31" s="89"/>
      <c r="N31" s="87"/>
      <c r="O31" s="71"/>
    </row>
    <row r="32" spans="1:15" s="88" customFormat="1" ht="27.75" x14ac:dyDescent="0.5">
      <c r="A32" s="211" t="s">
        <v>159</v>
      </c>
      <c r="B32" s="212"/>
      <c r="C32" s="213"/>
      <c r="D32" s="142"/>
      <c r="E32" s="142"/>
      <c r="F32" s="142"/>
      <c r="G32" s="617">
        <f>G27+G28+G29+G30+G31</f>
        <v>228196.13000000227</v>
      </c>
      <c r="H32" s="99">
        <f>G32+'18 '!H32</f>
        <v>4364069.6000000024</v>
      </c>
      <c r="I32" s="144"/>
      <c r="J32" s="175">
        <f>H32/DAY(B2)</f>
        <v>229687.87368421064</v>
      </c>
      <c r="K32" s="63"/>
      <c r="L32" s="89"/>
      <c r="N32" s="87"/>
      <c r="O32" s="71"/>
    </row>
    <row r="33" spans="1:15" ht="25.5" customHeight="1" x14ac:dyDescent="0.35">
      <c r="A33" s="835" t="s">
        <v>331</v>
      </c>
      <c r="B33" s="836"/>
      <c r="C33" s="836"/>
      <c r="D33" s="337"/>
      <c r="E33" s="337"/>
      <c r="F33" s="337"/>
      <c r="G33" s="618"/>
      <c r="H33" s="337"/>
      <c r="I33" s="337"/>
      <c r="J33" s="338"/>
      <c r="K33" s="79"/>
      <c r="L33" s="66"/>
      <c r="N33" s="87"/>
      <c r="O33" s="71"/>
    </row>
    <row r="34" spans="1:15" ht="29.25" x14ac:dyDescent="0.5">
      <c r="A34" s="214" t="s">
        <v>160</v>
      </c>
      <c r="B34" s="349"/>
      <c r="C34" s="349"/>
      <c r="D34" s="111"/>
      <c r="E34" s="110"/>
      <c r="F34" s="110"/>
      <c r="G34" s="619"/>
      <c r="H34" s="111"/>
      <c r="I34" s="111"/>
      <c r="J34" s="174"/>
      <c r="K34" s="79"/>
      <c r="L34" s="66"/>
      <c r="N34" s="87"/>
      <c r="O34" s="71"/>
    </row>
    <row r="35" spans="1:15" ht="29.25" x14ac:dyDescent="0.4">
      <c r="A35" s="194" t="s">
        <v>161</v>
      </c>
      <c r="B35" s="195"/>
      <c r="C35" s="195"/>
      <c r="D35" s="151" t="s">
        <v>130</v>
      </c>
      <c r="E35" s="95">
        <f>'18 '!F35</f>
        <v>14485.36</v>
      </c>
      <c r="F35" s="145">
        <v>16302.52</v>
      </c>
      <c r="G35" s="609">
        <f t="shared" ref="G35:G46" si="3">F35-E35</f>
        <v>1817.1599999999999</v>
      </c>
      <c r="H35" s="99">
        <f>G35+'18 '!H35</f>
        <v>31502.52</v>
      </c>
      <c r="I35" s="95"/>
      <c r="J35" s="175">
        <f>H35/DAY(B2)</f>
        <v>1658.0273684210526</v>
      </c>
      <c r="K35" s="79"/>
      <c r="L35" s="66"/>
      <c r="N35" s="87"/>
      <c r="O35" s="71"/>
    </row>
    <row r="36" spans="1:15" ht="29.25" x14ac:dyDescent="0.4">
      <c r="A36" s="194" t="s">
        <v>162</v>
      </c>
      <c r="B36" s="195"/>
      <c r="C36" s="195"/>
      <c r="D36" s="151" t="s">
        <v>130</v>
      </c>
      <c r="E36" s="95">
        <f>'18 '!F36</f>
        <v>34075.360000000001</v>
      </c>
      <c r="F36" s="145">
        <v>34736.959999999999</v>
      </c>
      <c r="G36" s="609">
        <f t="shared" si="3"/>
        <v>661.59999999999854</v>
      </c>
      <c r="H36" s="99">
        <f>G36+'18 '!H36</f>
        <v>13209.96</v>
      </c>
      <c r="I36" s="95"/>
      <c r="J36" s="175">
        <f>H36/DAY(B2)</f>
        <v>695.26105263157888</v>
      </c>
      <c r="K36" s="79"/>
      <c r="L36" s="66"/>
      <c r="N36" s="87"/>
      <c r="O36" s="344"/>
    </row>
    <row r="37" spans="1:15" ht="29.25" x14ac:dyDescent="0.4">
      <c r="A37" s="194" t="s">
        <v>163</v>
      </c>
      <c r="B37" s="195"/>
      <c r="C37" s="195"/>
      <c r="D37" s="151" t="s">
        <v>130</v>
      </c>
      <c r="E37" s="95">
        <f>'18 '!F37</f>
        <v>14883.97</v>
      </c>
      <c r="F37" s="145">
        <v>16480.14</v>
      </c>
      <c r="G37" s="609">
        <f t="shared" si="3"/>
        <v>1596.17</v>
      </c>
      <c r="H37" s="99">
        <f>G37+'18 '!H37</f>
        <v>28692.14</v>
      </c>
      <c r="I37" s="95"/>
      <c r="J37" s="175">
        <f>H37/DAY(B2)</f>
        <v>1510.1126315789472</v>
      </c>
      <c r="K37" s="79"/>
      <c r="L37" s="66"/>
      <c r="N37" s="87"/>
      <c r="O37" s="234"/>
    </row>
    <row r="38" spans="1:15" ht="29.25" x14ac:dyDescent="0.4">
      <c r="A38" s="194" t="s">
        <v>164</v>
      </c>
      <c r="B38" s="195"/>
      <c r="C38" s="195"/>
      <c r="D38" s="151" t="s">
        <v>130</v>
      </c>
      <c r="E38" s="95">
        <f>'18 '!F38</f>
        <v>15864.46</v>
      </c>
      <c r="F38" s="108">
        <v>17488</v>
      </c>
      <c r="G38" s="609">
        <f t="shared" si="3"/>
        <v>1623.5400000000009</v>
      </c>
      <c r="H38" s="99">
        <f>G38+'18 '!H38</f>
        <v>30688</v>
      </c>
      <c r="I38" s="95"/>
      <c r="J38" s="175">
        <f>H38/DAY(B2)</f>
        <v>1615.1578947368421</v>
      </c>
      <c r="K38" s="79"/>
      <c r="L38" s="66"/>
      <c r="N38" s="87"/>
      <c r="O38" s="71"/>
    </row>
    <row r="39" spans="1:15" ht="29.25" x14ac:dyDescent="0.4">
      <c r="A39" s="194" t="s">
        <v>165</v>
      </c>
      <c r="B39" s="195"/>
      <c r="C39" s="195"/>
      <c r="D39" s="151" t="s">
        <v>130</v>
      </c>
      <c r="E39" s="95">
        <f>'18 '!F39</f>
        <v>25354.49</v>
      </c>
      <c r="F39" s="145">
        <v>28000.560000000001</v>
      </c>
      <c r="G39" s="609">
        <f t="shared" si="3"/>
        <v>2646.0699999999997</v>
      </c>
      <c r="H39" s="99">
        <f>G39+'18 '!H39</f>
        <v>49682.560000000005</v>
      </c>
      <c r="I39" s="95"/>
      <c r="J39" s="175">
        <f>H39/DAY(B2)</f>
        <v>2614.8715789473686</v>
      </c>
      <c r="K39" s="79"/>
      <c r="L39" s="66"/>
      <c r="N39" s="87"/>
      <c r="O39" s="71"/>
    </row>
    <row r="40" spans="1:15" ht="29.25" x14ac:dyDescent="0.4">
      <c r="A40" s="215" t="s">
        <v>166</v>
      </c>
      <c r="B40" s="216"/>
      <c r="C40" s="216"/>
      <c r="D40" s="151" t="s">
        <v>130</v>
      </c>
      <c r="E40" s="604">
        <f>'18 '!F40</f>
        <v>13643.14</v>
      </c>
      <c r="F40" s="376">
        <v>14058.37</v>
      </c>
      <c r="G40" s="620">
        <f t="shared" si="3"/>
        <v>415.23000000000138</v>
      </c>
      <c r="H40" s="99">
        <f>G40+'18 '!H40</f>
        <v>8448.3700000000008</v>
      </c>
      <c r="I40" s="95"/>
      <c r="J40" s="175">
        <f>H40/DAY(B2)</f>
        <v>444.65105263157898</v>
      </c>
      <c r="K40" s="80"/>
      <c r="L40" s="66"/>
      <c r="N40" s="87"/>
      <c r="O40" s="71"/>
    </row>
    <row r="41" spans="1:15" ht="29.25" x14ac:dyDescent="0.4">
      <c r="A41" s="194" t="s">
        <v>167</v>
      </c>
      <c r="B41" s="195"/>
      <c r="C41" s="195"/>
      <c r="D41" s="151" t="s">
        <v>130</v>
      </c>
      <c r="E41" s="95">
        <f>'18 '!F41</f>
        <v>0</v>
      </c>
      <c r="F41" s="145">
        <v>0</v>
      </c>
      <c r="G41" s="609">
        <f t="shared" si="3"/>
        <v>0</v>
      </c>
      <c r="H41" s="99">
        <f>G41+'18 '!H41</f>
        <v>0</v>
      </c>
      <c r="I41" s="95"/>
      <c r="J41" s="175">
        <f>H41/DAY(B2)</f>
        <v>0</v>
      </c>
      <c r="K41" s="79"/>
      <c r="L41" s="66"/>
      <c r="N41" s="87"/>
      <c r="O41" s="71"/>
    </row>
    <row r="42" spans="1:15" ht="29.25" x14ac:dyDescent="0.4">
      <c r="A42" s="194" t="s">
        <v>168</v>
      </c>
      <c r="B42" s="195"/>
      <c r="C42" s="195"/>
      <c r="D42" s="151" t="s">
        <v>130</v>
      </c>
      <c r="E42" s="95">
        <f>'18 '!F42</f>
        <v>73808.600000000006</v>
      </c>
      <c r="F42" s="145">
        <v>73808.600000000006</v>
      </c>
      <c r="G42" s="609">
        <f t="shared" si="3"/>
        <v>0</v>
      </c>
      <c r="H42" s="99">
        <f>G42+'18 '!H42</f>
        <v>-0.39999999999417923</v>
      </c>
      <c r="I42" s="95"/>
      <c r="J42" s="175">
        <f>H42/DAY(B2)</f>
        <v>-2.1052631578641012E-2</v>
      </c>
      <c r="K42" s="79"/>
      <c r="L42" s="66"/>
      <c r="N42" s="87"/>
      <c r="O42" s="71"/>
    </row>
    <row r="43" spans="1:15" ht="29.25" x14ac:dyDescent="0.4">
      <c r="A43" s="194" t="s">
        <v>169</v>
      </c>
      <c r="B43" s="195"/>
      <c r="C43" s="195"/>
      <c r="D43" s="151" t="s">
        <v>130</v>
      </c>
      <c r="E43" s="95">
        <f>'18 '!F43</f>
        <v>87381.15</v>
      </c>
      <c r="F43" s="145">
        <v>89753.52</v>
      </c>
      <c r="G43" s="609">
        <f t="shared" si="3"/>
        <v>2372.3700000000099</v>
      </c>
      <c r="H43" s="99">
        <f>G43+'18 '!H43</f>
        <v>42492.520000000004</v>
      </c>
      <c r="I43" s="95"/>
      <c r="J43" s="175">
        <f>H43/DAY(B2)</f>
        <v>2236.4484210526316</v>
      </c>
      <c r="K43" s="79"/>
      <c r="L43" s="66"/>
      <c r="N43" s="87"/>
      <c r="O43" s="71"/>
    </row>
    <row r="44" spans="1:15" ht="29.25" x14ac:dyDescent="0.4">
      <c r="A44" s="194" t="s">
        <v>170</v>
      </c>
      <c r="B44" s="195"/>
      <c r="C44" s="195"/>
      <c r="D44" s="151" t="s">
        <v>130</v>
      </c>
      <c r="E44" s="95">
        <f>'18 '!F44</f>
        <v>0</v>
      </c>
      <c r="F44" s="145">
        <v>0</v>
      </c>
      <c r="G44" s="609">
        <f t="shared" si="3"/>
        <v>0</v>
      </c>
      <c r="H44" s="99">
        <f>G44+'18 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29.25" x14ac:dyDescent="0.4">
      <c r="A45" s="194" t="s">
        <v>171</v>
      </c>
      <c r="B45" s="195"/>
      <c r="C45" s="195"/>
      <c r="D45" s="151" t="s">
        <v>130</v>
      </c>
      <c r="E45" s="95">
        <f>'18 '!F45</f>
        <v>0</v>
      </c>
      <c r="F45" s="145">
        <v>0</v>
      </c>
      <c r="G45" s="609">
        <f t="shared" si="3"/>
        <v>0</v>
      </c>
      <c r="H45" s="99">
        <f>G45+'18 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29.25" x14ac:dyDescent="0.4">
      <c r="A46" s="194" t="s">
        <v>172</v>
      </c>
      <c r="B46" s="195"/>
      <c r="C46" s="195"/>
      <c r="D46" s="151" t="s">
        <v>130</v>
      </c>
      <c r="E46" s="95">
        <f>'18 '!F46</f>
        <v>0</v>
      </c>
      <c r="F46" s="145">
        <v>0</v>
      </c>
      <c r="G46" s="609">
        <f t="shared" si="3"/>
        <v>0</v>
      </c>
      <c r="H46" s="99">
        <f>G46+'18 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29.25" x14ac:dyDescent="0.5">
      <c r="A47" s="201" t="s">
        <v>173</v>
      </c>
      <c r="B47" s="202"/>
      <c r="C47" s="202"/>
      <c r="D47" s="109"/>
      <c r="E47" s="146"/>
      <c r="F47" s="146"/>
      <c r="G47" s="611">
        <f>G35+G36+G37+G38+G39+G40+G41+G42+G43+G44+G45+G46</f>
        <v>11132.14000000001</v>
      </c>
      <c r="H47" s="99">
        <f>G47+'18 '!H47</f>
        <v>204715.67000000004</v>
      </c>
      <c r="I47" s="95"/>
      <c r="J47" s="175">
        <f>H47/DAY(B2)</f>
        <v>10774.508947368424</v>
      </c>
      <c r="K47" s="79"/>
      <c r="L47" s="66"/>
      <c r="N47" s="87"/>
      <c r="O47" s="71"/>
    </row>
    <row r="48" spans="1:15" ht="29.25" x14ac:dyDescent="0.5">
      <c r="A48" s="214" t="s">
        <v>174</v>
      </c>
      <c r="B48" s="349"/>
      <c r="C48" s="349"/>
      <c r="D48" s="111"/>
      <c r="E48" s="110"/>
      <c r="F48" s="110"/>
      <c r="G48" s="619"/>
      <c r="H48" s="111"/>
      <c r="I48" s="111"/>
      <c r="J48" s="174"/>
      <c r="K48" s="79"/>
      <c r="L48" s="66"/>
      <c r="N48" s="87"/>
      <c r="O48" s="71"/>
    </row>
    <row r="49" spans="1:15" ht="29.25" x14ac:dyDescent="0.4">
      <c r="A49" s="194" t="s">
        <v>161</v>
      </c>
      <c r="B49" s="217"/>
      <c r="C49" s="217"/>
      <c r="D49" s="151" t="s">
        <v>130</v>
      </c>
      <c r="E49" s="95">
        <f>'18 '!F49</f>
        <v>12587.33</v>
      </c>
      <c r="F49" s="145">
        <v>13711.82</v>
      </c>
      <c r="G49" s="609">
        <f t="shared" ref="G49:G58" si="4">F49-E49</f>
        <v>1124.4899999999998</v>
      </c>
      <c r="H49" s="99">
        <f>G49+'18 '!H49</f>
        <v>26832.82</v>
      </c>
      <c r="I49" s="95"/>
      <c r="J49" s="175">
        <f>H49/DAY(B2)</f>
        <v>1412.2536842105262</v>
      </c>
      <c r="K49" s="79"/>
      <c r="L49" s="66"/>
      <c r="N49" s="87"/>
      <c r="O49" s="71"/>
    </row>
    <row r="50" spans="1:15" ht="29.25" x14ac:dyDescent="0.4">
      <c r="A50" s="194" t="s">
        <v>175</v>
      </c>
      <c r="B50" s="217"/>
      <c r="C50" s="217"/>
      <c r="D50" s="151" t="s">
        <v>130</v>
      </c>
      <c r="E50" s="95">
        <f>'18 '!F50</f>
        <v>42045.93</v>
      </c>
      <c r="F50" s="145">
        <v>43021.69</v>
      </c>
      <c r="G50" s="609">
        <f t="shared" si="4"/>
        <v>975.76000000000204</v>
      </c>
      <c r="H50" s="99">
        <f>G50+'18 '!H50</f>
        <v>18371.690000000002</v>
      </c>
      <c r="I50" s="95"/>
      <c r="J50" s="175">
        <f>H50/DAY(B2)</f>
        <v>966.93105263157906</v>
      </c>
      <c r="K50" s="79"/>
      <c r="L50" s="66"/>
      <c r="N50" s="87"/>
      <c r="O50" s="71"/>
    </row>
    <row r="51" spans="1:15" ht="29.25" x14ac:dyDescent="0.4">
      <c r="A51" s="194" t="s">
        <v>163</v>
      </c>
      <c r="B51" s="217"/>
      <c r="C51" s="217"/>
      <c r="D51" s="151" t="s">
        <v>130</v>
      </c>
      <c r="E51" s="95">
        <f>'18 '!F51</f>
        <v>0</v>
      </c>
      <c r="F51" s="145">
        <v>0</v>
      </c>
      <c r="G51" s="609">
        <f t="shared" si="4"/>
        <v>0</v>
      </c>
      <c r="H51" s="99">
        <f>G51+'18 '!H51</f>
        <v>0</v>
      </c>
      <c r="I51" s="95"/>
      <c r="J51" s="175">
        <f>H51/DAY(B2)</f>
        <v>0</v>
      </c>
      <c r="K51" s="79"/>
      <c r="L51" s="66"/>
      <c r="N51" s="87"/>
      <c r="O51" s="71"/>
    </row>
    <row r="52" spans="1:15" ht="29.25" x14ac:dyDescent="0.4">
      <c r="A52" s="194" t="s">
        <v>176</v>
      </c>
      <c r="B52" s="217"/>
      <c r="C52" s="217"/>
      <c r="D52" s="151" t="s">
        <v>130</v>
      </c>
      <c r="E52" s="95">
        <f>'18 '!F52</f>
        <v>0</v>
      </c>
      <c r="F52" s="145">
        <v>0</v>
      </c>
      <c r="G52" s="609">
        <f t="shared" si="4"/>
        <v>0</v>
      </c>
      <c r="H52" s="99">
        <f>G52+'18 '!H52</f>
        <v>0</v>
      </c>
      <c r="I52" s="95"/>
      <c r="J52" s="175">
        <f>H52/DAY(B2)</f>
        <v>0</v>
      </c>
      <c r="K52" s="79"/>
      <c r="L52" s="66"/>
      <c r="N52" s="87"/>
      <c r="O52" s="71"/>
    </row>
    <row r="53" spans="1:15" ht="29.25" x14ac:dyDescent="0.4">
      <c r="A53" s="194" t="s">
        <v>165</v>
      </c>
      <c r="B53" s="217"/>
      <c r="C53" s="217"/>
      <c r="D53" s="151" t="s">
        <v>130</v>
      </c>
      <c r="E53" s="95">
        <f>'18 '!F53</f>
        <v>0</v>
      </c>
      <c r="F53" s="145">
        <v>0</v>
      </c>
      <c r="G53" s="609">
        <f t="shared" si="4"/>
        <v>0</v>
      </c>
      <c r="H53" s="99">
        <f>G53+'18 '!H53</f>
        <v>0</v>
      </c>
      <c r="I53" s="95"/>
      <c r="J53" s="175">
        <f>H53/DAY(B2)</f>
        <v>0</v>
      </c>
      <c r="K53" s="79"/>
      <c r="L53" s="66"/>
      <c r="N53" s="87"/>
      <c r="O53" s="71"/>
    </row>
    <row r="54" spans="1:15" ht="29.25" x14ac:dyDescent="0.4">
      <c r="A54" s="194" t="s">
        <v>177</v>
      </c>
      <c r="B54" s="217"/>
      <c r="C54" s="217"/>
      <c r="D54" s="151" t="s">
        <v>130</v>
      </c>
      <c r="E54" s="95">
        <f>'18 '!F54</f>
        <v>5147.42</v>
      </c>
      <c r="F54" s="145">
        <v>5147.42</v>
      </c>
      <c r="G54" s="609">
        <f t="shared" si="4"/>
        <v>0</v>
      </c>
      <c r="H54" s="99">
        <f>G54+'18 '!H54</f>
        <v>6914.5</v>
      </c>
      <c r="I54" s="95"/>
      <c r="J54" s="175">
        <f>H54/DAY(B2)</f>
        <v>363.92105263157896</v>
      </c>
      <c r="K54" s="79"/>
      <c r="L54" s="66"/>
      <c r="N54" s="87"/>
      <c r="O54" s="71"/>
    </row>
    <row r="55" spans="1:15" ht="29.25" x14ac:dyDescent="0.4">
      <c r="A55" s="194" t="s">
        <v>178</v>
      </c>
      <c r="B55" s="217"/>
      <c r="C55" s="217"/>
      <c r="D55" s="151" t="s">
        <v>130</v>
      </c>
      <c r="E55" s="95">
        <f>'18 '!F55</f>
        <v>57839.69</v>
      </c>
      <c r="F55" s="145">
        <v>60685.83</v>
      </c>
      <c r="G55" s="609">
        <f t="shared" si="4"/>
        <v>2846.1399999999994</v>
      </c>
      <c r="H55" s="99">
        <f>G55+'18 '!H55</f>
        <v>57174.83</v>
      </c>
      <c r="I55" s="95"/>
      <c r="J55" s="175">
        <f>H55/DAY(B2)</f>
        <v>3009.2015789473685</v>
      </c>
      <c r="K55" s="79"/>
      <c r="L55" s="66"/>
      <c r="N55" s="87"/>
      <c r="O55" s="71"/>
    </row>
    <row r="56" spans="1:15" ht="29.25" x14ac:dyDescent="0.4">
      <c r="A56" s="194" t="s">
        <v>179</v>
      </c>
      <c r="B56" s="217"/>
      <c r="C56" s="217"/>
      <c r="D56" s="151" t="s">
        <v>180</v>
      </c>
      <c r="E56" s="95">
        <f>'18 '!F56</f>
        <v>8610.5400000000009</v>
      </c>
      <c r="F56" s="145">
        <v>8610.5400000000009</v>
      </c>
      <c r="G56" s="609">
        <f t="shared" si="4"/>
        <v>0</v>
      </c>
      <c r="H56" s="99">
        <f>G56+'18 '!H56</f>
        <v>0</v>
      </c>
      <c r="I56" s="95"/>
      <c r="J56" s="175">
        <f>H56/DAY(B2)</f>
        <v>0</v>
      </c>
      <c r="K56" s="78"/>
      <c r="L56" s="66"/>
      <c r="N56" s="87"/>
      <c r="O56" s="71"/>
    </row>
    <row r="57" spans="1:15" ht="29.25" x14ac:dyDescent="0.4">
      <c r="A57" s="194" t="s">
        <v>169</v>
      </c>
      <c r="B57" s="217"/>
      <c r="C57" s="217"/>
      <c r="D57" s="151" t="s">
        <v>130</v>
      </c>
      <c r="E57" s="95">
        <f>'18 '!F57</f>
        <v>0</v>
      </c>
      <c r="F57" s="145">
        <v>0</v>
      </c>
      <c r="G57" s="609">
        <f t="shared" si="4"/>
        <v>0</v>
      </c>
      <c r="H57" s="99">
        <f>G57+'18 '!H57</f>
        <v>0</v>
      </c>
      <c r="I57" s="95"/>
      <c r="J57" s="175">
        <f>H57/DAY(B2)</f>
        <v>0</v>
      </c>
      <c r="K57" s="79"/>
      <c r="L57" s="66"/>
      <c r="N57" s="87"/>
      <c r="O57" s="71"/>
    </row>
    <row r="58" spans="1:15" ht="29.25" x14ac:dyDescent="0.4">
      <c r="A58" s="194" t="s">
        <v>181</v>
      </c>
      <c r="B58" s="217"/>
      <c r="C58" s="217"/>
      <c r="D58" s="151" t="s">
        <v>130</v>
      </c>
      <c r="E58" s="95">
        <f>'18 '!F58</f>
        <v>2148.48</v>
      </c>
      <c r="F58" s="145">
        <v>2310.27</v>
      </c>
      <c r="G58" s="609">
        <f t="shared" si="4"/>
        <v>161.78999999999996</v>
      </c>
      <c r="H58" s="99">
        <f>G58+'18 '!H58</f>
        <v>2650.9000000000046</v>
      </c>
      <c r="I58" s="95"/>
      <c r="J58" s="175">
        <f>H58/DAY(B2)</f>
        <v>139.52105263157918</v>
      </c>
      <c r="K58" s="79"/>
      <c r="L58" s="66"/>
      <c r="N58" s="87"/>
      <c r="O58" s="71"/>
    </row>
    <row r="59" spans="1:15" ht="29.25" x14ac:dyDescent="0.5">
      <c r="A59" s="201" t="s">
        <v>173</v>
      </c>
      <c r="B59" s="202"/>
      <c r="C59" s="202"/>
      <c r="D59" s="146"/>
      <c r="E59" s="146"/>
      <c r="F59" s="146"/>
      <c r="G59" s="611">
        <f>G49+G50+G51+G52+G53+G54+G55+G56+G57+G58</f>
        <v>5108.1800000000012</v>
      </c>
      <c r="H59" s="99">
        <f>G59+'18 '!H59</f>
        <v>111944.74000000003</v>
      </c>
      <c r="I59" s="95">
        <f>G7-G60</f>
        <v>1792.6799999999894</v>
      </c>
      <c r="J59" s="175">
        <f>H59/DAY(B2)</f>
        <v>5891.8284210526335</v>
      </c>
      <c r="K59" s="79"/>
      <c r="L59" s="66"/>
      <c r="N59" s="87"/>
      <c r="O59" s="71"/>
    </row>
    <row r="60" spans="1:15" ht="29.25" x14ac:dyDescent="0.4">
      <c r="A60" s="194"/>
      <c r="B60" s="195"/>
      <c r="C60" s="195"/>
      <c r="D60" s="146" t="s">
        <v>182</v>
      </c>
      <c r="E60" s="146"/>
      <c r="F60" s="146"/>
      <c r="G60" s="611">
        <f>G47+G59</f>
        <v>16240.320000000011</v>
      </c>
      <c r="H60" s="99">
        <f>G60+'18 '!H60</f>
        <v>316660.40999999997</v>
      </c>
      <c r="I60" s="95">
        <f>G13-G60</f>
        <v>1215.1699999999946</v>
      </c>
      <c r="J60" s="175">
        <f>H60/DAY(B2)</f>
        <v>16666.337368421053</v>
      </c>
      <c r="K60" s="79"/>
      <c r="L60" s="66"/>
      <c r="N60" s="87"/>
      <c r="O60" s="71"/>
    </row>
    <row r="61" spans="1:15" s="68" customFormat="1" ht="27.75" x14ac:dyDescent="0.5">
      <c r="A61" s="837" t="s">
        <v>332</v>
      </c>
      <c r="B61" s="838"/>
      <c r="C61" s="839"/>
      <c r="D61" s="339"/>
      <c r="E61" s="339"/>
      <c r="F61" s="339"/>
      <c r="G61" s="621"/>
      <c r="H61" s="339"/>
      <c r="I61" s="339"/>
      <c r="J61" s="341"/>
      <c r="K61" s="69"/>
      <c r="L61" s="67"/>
      <c r="N61" s="87"/>
      <c r="O61" s="71"/>
    </row>
    <row r="62" spans="1:15" ht="27.75" x14ac:dyDescent="0.5">
      <c r="A62" s="818" t="s">
        <v>198</v>
      </c>
      <c r="B62" s="819"/>
      <c r="C62" s="820"/>
      <c r="D62" s="151" t="s">
        <v>142</v>
      </c>
      <c r="E62" s="95">
        <f>'18 '!F62</f>
        <v>268308</v>
      </c>
      <c r="F62" s="122">
        <v>268368</v>
      </c>
      <c r="G62" s="609">
        <f t="shared" ref="G62:G63" si="5">F62-E62</f>
        <v>60</v>
      </c>
      <c r="H62" s="99">
        <f>G62+'18 '!H62</f>
        <v>1155</v>
      </c>
      <c r="I62" s="118"/>
      <c r="J62" s="175">
        <f>H62/DAY(B2)</f>
        <v>60.789473684210527</v>
      </c>
      <c r="K62" s="80"/>
      <c r="L62" s="66"/>
      <c r="N62" s="87"/>
      <c r="O62" s="71"/>
    </row>
    <row r="63" spans="1:15" ht="27.75" x14ac:dyDescent="0.5">
      <c r="A63" s="818" t="s">
        <v>199</v>
      </c>
      <c r="B63" s="819"/>
      <c r="C63" s="820"/>
      <c r="D63" s="151" t="s">
        <v>142</v>
      </c>
      <c r="E63" s="95">
        <f>'18 '!F63</f>
        <v>214242</v>
      </c>
      <c r="F63" s="122">
        <v>214335</v>
      </c>
      <c r="G63" s="609">
        <f t="shared" si="5"/>
        <v>93</v>
      </c>
      <c r="H63" s="99">
        <f>G63+'18 '!H63</f>
        <v>1910</v>
      </c>
      <c r="I63" s="118"/>
      <c r="J63" s="175">
        <f>H63/DAY(B2)</f>
        <v>100.52631578947368</v>
      </c>
      <c r="K63" s="69"/>
      <c r="L63" s="66"/>
      <c r="N63" s="87"/>
      <c r="O63" s="71"/>
    </row>
    <row r="64" spans="1:15" ht="29.25" x14ac:dyDescent="0.5">
      <c r="A64" s="815" t="s">
        <v>200</v>
      </c>
      <c r="B64" s="816"/>
      <c r="C64" s="817"/>
      <c r="D64" s="151"/>
      <c r="E64" s="95">
        <f>'18 '!F64</f>
        <v>0</v>
      </c>
      <c r="F64" s="122"/>
      <c r="G64" s="609">
        <f>G62+G63</f>
        <v>153</v>
      </c>
      <c r="H64" s="99">
        <f>G64+'18 '!H64</f>
        <v>3065</v>
      </c>
      <c r="I64" s="118"/>
      <c r="J64" s="175">
        <f>H64/DAY(B2)</f>
        <v>161.31578947368422</v>
      </c>
      <c r="K64" s="69"/>
      <c r="L64" s="66"/>
      <c r="N64" s="87"/>
      <c r="O64" s="71"/>
    </row>
    <row r="65" spans="1:15" ht="27.75" x14ac:dyDescent="0.5">
      <c r="A65" s="818" t="s">
        <v>201</v>
      </c>
      <c r="B65" s="819"/>
      <c r="C65" s="820"/>
      <c r="D65" s="151" t="s">
        <v>142</v>
      </c>
      <c r="E65" s="95">
        <f>'18 '!F65</f>
        <v>433856</v>
      </c>
      <c r="F65" s="122">
        <v>433919</v>
      </c>
      <c r="G65" s="609">
        <f t="shared" ref="G65:G70" si="6">F65-E65</f>
        <v>63</v>
      </c>
      <c r="H65" s="99">
        <f>G65+'18 '!H65</f>
        <v>1305</v>
      </c>
      <c r="I65" s="118"/>
      <c r="J65" s="175">
        <f>H65/DAY(B2)</f>
        <v>68.684210526315795</v>
      </c>
      <c r="K65" s="69"/>
      <c r="L65" s="66"/>
      <c r="N65" s="87"/>
      <c r="O65" s="71"/>
    </row>
    <row r="66" spans="1:15" ht="27.75" x14ac:dyDescent="0.5">
      <c r="A66" s="345" t="s">
        <v>202</v>
      </c>
      <c r="B66" s="346"/>
      <c r="C66" s="346"/>
      <c r="D66" s="151" t="s">
        <v>142</v>
      </c>
      <c r="E66" s="95">
        <f>'18 '!F66</f>
        <v>107519</v>
      </c>
      <c r="F66" s="122">
        <v>107534</v>
      </c>
      <c r="G66" s="609">
        <f t="shared" si="6"/>
        <v>15</v>
      </c>
      <c r="H66" s="99">
        <f>G66+'18 '!H66</f>
        <v>320</v>
      </c>
      <c r="I66" s="118"/>
      <c r="J66" s="175">
        <f>H66/DAY(B2)</f>
        <v>16.842105263157894</v>
      </c>
      <c r="K66" s="78"/>
      <c r="L66" s="66"/>
      <c r="N66" s="87"/>
      <c r="O66" s="71"/>
    </row>
    <row r="67" spans="1:15" ht="27.75" x14ac:dyDescent="0.5">
      <c r="A67" s="345" t="s">
        <v>203</v>
      </c>
      <c r="B67" s="346"/>
      <c r="C67" s="346"/>
      <c r="D67" s="151" t="s">
        <v>142</v>
      </c>
      <c r="E67" s="95">
        <f>'18 '!F67</f>
        <v>104344</v>
      </c>
      <c r="F67" s="122">
        <v>104367</v>
      </c>
      <c r="G67" s="609">
        <f t="shared" si="6"/>
        <v>23</v>
      </c>
      <c r="H67" s="99">
        <f>G67+'18 '!H67</f>
        <v>439</v>
      </c>
      <c r="I67" s="118"/>
      <c r="J67" s="175">
        <f>H67/DAY(B2)</f>
        <v>23.105263157894736</v>
      </c>
      <c r="K67" s="81"/>
      <c r="L67" s="66"/>
      <c r="N67" s="87"/>
      <c r="O67" s="71"/>
    </row>
    <row r="68" spans="1:15" ht="27.75" x14ac:dyDescent="0.5">
      <c r="A68" s="345" t="s">
        <v>204</v>
      </c>
      <c r="B68" s="346"/>
      <c r="C68" s="346"/>
      <c r="D68" s="151" t="s">
        <v>142</v>
      </c>
      <c r="E68" s="95">
        <f>'18 '!F68</f>
        <v>157113</v>
      </c>
      <c r="F68" s="122">
        <v>157143</v>
      </c>
      <c r="G68" s="609">
        <f t="shared" si="6"/>
        <v>30</v>
      </c>
      <c r="H68" s="99">
        <f>G68+'18 '!H68</f>
        <v>523</v>
      </c>
      <c r="I68" s="118"/>
      <c r="J68" s="175">
        <f>H68/DAY(B2)</f>
        <v>27.526315789473685</v>
      </c>
      <c r="K68" s="69"/>
      <c r="L68" s="66"/>
      <c r="N68" s="87"/>
      <c r="O68" s="71"/>
    </row>
    <row r="69" spans="1:15" ht="27.75" x14ac:dyDescent="0.5">
      <c r="A69" s="345" t="s">
        <v>205</v>
      </c>
      <c r="B69" s="346"/>
      <c r="C69" s="346"/>
      <c r="D69" s="151" t="s">
        <v>142</v>
      </c>
      <c r="E69" s="95">
        <f>'18 '!F69</f>
        <v>10389</v>
      </c>
      <c r="F69" s="122">
        <v>10397</v>
      </c>
      <c r="G69" s="609">
        <f t="shared" si="6"/>
        <v>8</v>
      </c>
      <c r="H69" s="99">
        <f>G69+'18 '!H69</f>
        <v>183</v>
      </c>
      <c r="I69" s="118"/>
      <c r="J69" s="175">
        <f>H69/DAY(B2)</f>
        <v>9.6315789473684212</v>
      </c>
      <c r="K69" s="69"/>
      <c r="L69" s="66"/>
      <c r="N69" s="87"/>
      <c r="O69" s="71"/>
    </row>
    <row r="70" spans="1:15" ht="27.75" x14ac:dyDescent="0.5">
      <c r="A70" s="345" t="s">
        <v>206</v>
      </c>
      <c r="B70" s="346"/>
      <c r="C70" s="346"/>
      <c r="D70" s="151" t="s">
        <v>142</v>
      </c>
      <c r="E70" s="95">
        <f>'18 '!F70</f>
        <v>7995</v>
      </c>
      <c r="F70" s="122">
        <v>8001.1</v>
      </c>
      <c r="G70" s="609">
        <f t="shared" si="6"/>
        <v>6.1000000000003638</v>
      </c>
      <c r="H70" s="99">
        <f>G70+'18 '!H70</f>
        <v>139.10000000000036</v>
      </c>
      <c r="I70" s="118"/>
      <c r="J70" s="175">
        <f>H70/DAY(B2)</f>
        <v>7.3210526315789668</v>
      </c>
      <c r="K70" s="69"/>
      <c r="L70" s="66"/>
      <c r="N70" s="87"/>
      <c r="O70" s="71"/>
    </row>
    <row r="71" spans="1:15" ht="29.25" x14ac:dyDescent="0.5">
      <c r="A71" s="815" t="s">
        <v>208</v>
      </c>
      <c r="B71" s="816"/>
      <c r="C71" s="817"/>
      <c r="D71" s="152"/>
      <c r="E71" s="95">
        <f>'18 '!F71</f>
        <v>0</v>
      </c>
      <c r="F71" s="152"/>
      <c r="G71" s="622">
        <f>SUM(G65:G70)</f>
        <v>145.10000000000036</v>
      </c>
      <c r="H71" s="99">
        <f>G71+'18 '!H71</f>
        <v>2909.1000000000004</v>
      </c>
      <c r="I71" s="154"/>
      <c r="J71" s="175">
        <f>H71/DAY(B2)</f>
        <v>153.11052631578949</v>
      </c>
      <c r="K71" s="69"/>
      <c r="L71" s="66"/>
      <c r="N71" s="87"/>
      <c r="O71" s="71"/>
    </row>
    <row r="72" spans="1:15" s="88" customFormat="1" ht="27.75" x14ac:dyDescent="0.5">
      <c r="A72" s="861"/>
      <c r="B72" s="853"/>
      <c r="C72" s="347"/>
      <c r="D72" s="180"/>
      <c r="E72" s="180" t="s">
        <v>207</v>
      </c>
      <c r="F72" s="180"/>
      <c r="G72" s="623"/>
      <c r="H72" s="181"/>
      <c r="I72" s="180"/>
      <c r="J72" s="182"/>
      <c r="N72" s="87"/>
      <c r="O72" s="71"/>
    </row>
    <row r="73" spans="1:15" ht="29.25" x14ac:dyDescent="0.5">
      <c r="A73" s="866" t="s">
        <v>333</v>
      </c>
      <c r="B73" s="867"/>
      <c r="C73" s="868"/>
      <c r="D73" s="339"/>
      <c r="E73" s="339"/>
      <c r="F73" s="339"/>
      <c r="G73" s="621"/>
      <c r="H73" s="342"/>
      <c r="I73" s="342"/>
      <c r="J73" s="343"/>
      <c r="K73" s="69"/>
      <c r="L73" s="66"/>
      <c r="N73" s="87"/>
      <c r="O73" s="71"/>
    </row>
    <row r="74" spans="1:15" ht="27.75" x14ac:dyDescent="0.5">
      <c r="A74" s="818" t="s">
        <v>220</v>
      </c>
      <c r="B74" s="819"/>
      <c r="C74" s="820"/>
      <c r="D74" s="151" t="s">
        <v>139</v>
      </c>
      <c r="E74" s="95">
        <f>'18 '!F74</f>
        <v>897366.15</v>
      </c>
      <c r="F74" s="117">
        <v>897672.5</v>
      </c>
      <c r="G74" s="609">
        <f t="shared" ref="G74:G78" si="7">F74-E74</f>
        <v>306.34999999997672</v>
      </c>
      <c r="H74" s="99">
        <f>G74+'18 '!H74</f>
        <v>5640.5</v>
      </c>
      <c r="I74" s="154"/>
      <c r="J74" s="175">
        <f>H74/DAY(B2)</f>
        <v>296.86842105263156</v>
      </c>
      <c r="K74" s="69"/>
      <c r="L74" s="66"/>
      <c r="N74" s="87"/>
      <c r="O74" s="71"/>
    </row>
    <row r="75" spans="1:15" ht="27.75" x14ac:dyDescent="0.5">
      <c r="A75" s="818" t="s">
        <v>221</v>
      </c>
      <c r="B75" s="819"/>
      <c r="C75" s="820"/>
      <c r="D75" s="151" t="s">
        <v>139</v>
      </c>
      <c r="E75" s="95">
        <f>'18 '!F75</f>
        <v>73586.8</v>
      </c>
      <c r="F75" s="123">
        <v>73586.8</v>
      </c>
      <c r="G75" s="609">
        <f t="shared" si="7"/>
        <v>0</v>
      </c>
      <c r="H75" s="99">
        <f>G75+'18 '!H75</f>
        <v>0</v>
      </c>
      <c r="I75" s="154"/>
      <c r="J75" s="175">
        <f>H75/DAY(B2)</f>
        <v>0</v>
      </c>
      <c r="K75" s="69"/>
      <c r="L75" s="66"/>
      <c r="N75" s="87"/>
      <c r="O75" s="71"/>
    </row>
    <row r="76" spans="1:15" ht="27.75" x14ac:dyDescent="0.5">
      <c r="A76" s="862" t="s">
        <v>222</v>
      </c>
      <c r="B76" s="848"/>
      <c r="C76" s="849"/>
      <c r="D76" s="151" t="s">
        <v>139</v>
      </c>
      <c r="E76" s="95">
        <f>'18 '!F76</f>
        <v>168711</v>
      </c>
      <c r="F76" s="123">
        <v>168794.9</v>
      </c>
      <c r="G76" s="609">
        <f t="shared" si="7"/>
        <v>83.899999999994179</v>
      </c>
      <c r="H76" s="99">
        <f>G76+'18 '!H76</f>
        <v>1587.8999999999942</v>
      </c>
      <c r="I76" s="154"/>
      <c r="J76" s="175">
        <f>H76/DAY(B2)</f>
        <v>83.573684210526011</v>
      </c>
      <c r="K76" s="69"/>
      <c r="L76" s="66"/>
      <c r="N76" s="87"/>
      <c r="O76" s="71"/>
    </row>
    <row r="77" spans="1:15" ht="27.75" x14ac:dyDescent="0.5">
      <c r="A77" s="862" t="s">
        <v>223</v>
      </c>
      <c r="B77" s="848"/>
      <c r="C77" s="849"/>
      <c r="D77" s="151" t="s">
        <v>139</v>
      </c>
      <c r="E77" s="95">
        <f>'18 '!F77</f>
        <v>40844</v>
      </c>
      <c r="F77" s="123">
        <v>40871.1</v>
      </c>
      <c r="G77" s="609">
        <f t="shared" si="7"/>
        <v>27.099999999998545</v>
      </c>
      <c r="H77" s="99">
        <f>G77+'18 '!H77</f>
        <v>555.09999999999854</v>
      </c>
      <c r="I77" s="154"/>
      <c r="J77" s="175">
        <f>H77/DAY(B2)</f>
        <v>29.215789473684133</v>
      </c>
      <c r="K77" s="69"/>
      <c r="L77" s="66"/>
      <c r="N77" s="87"/>
      <c r="O77" s="71"/>
    </row>
    <row r="78" spans="1:15" ht="27.75" x14ac:dyDescent="0.5">
      <c r="A78" s="862" t="s">
        <v>224</v>
      </c>
      <c r="B78" s="848"/>
      <c r="C78" s="849"/>
      <c r="D78" s="151" t="s">
        <v>139</v>
      </c>
      <c r="E78" s="95">
        <f>'18 '!F78</f>
        <v>9500</v>
      </c>
      <c r="F78" s="123">
        <v>9501.2999999999993</v>
      </c>
      <c r="G78" s="609">
        <f t="shared" si="7"/>
        <v>1.2999999999992724</v>
      </c>
      <c r="H78" s="99">
        <f>G78+'18 '!H78</f>
        <v>15.299999999999272</v>
      </c>
      <c r="I78" s="118"/>
      <c r="J78" s="175">
        <f>H78/DAY(B2)</f>
        <v>0.8052631578946986</v>
      </c>
      <c r="K78" s="69"/>
      <c r="L78" s="66"/>
      <c r="N78" s="87"/>
      <c r="O78" s="71"/>
    </row>
    <row r="79" spans="1:15" s="57" customFormat="1" ht="27.75" x14ac:dyDescent="0.5">
      <c r="A79" s="862" t="s">
        <v>225</v>
      </c>
      <c r="B79" s="848"/>
      <c r="C79" s="849"/>
      <c r="D79" s="151"/>
      <c r="E79" s="95">
        <f>'18 '!F79</f>
        <v>0</v>
      </c>
      <c r="F79" s="123"/>
      <c r="G79" s="609">
        <f>G15-SUM(G74:G78)</f>
        <v>415.65000000007785</v>
      </c>
      <c r="H79" s="99">
        <f>G79+'18 '!H79</f>
        <v>8827.5000000000546</v>
      </c>
      <c r="I79" s="118"/>
      <c r="J79" s="175"/>
      <c r="K79" s="59"/>
      <c r="L79" s="58"/>
      <c r="N79" s="87"/>
      <c r="O79" s="71"/>
    </row>
    <row r="80" spans="1:15" s="57" customFormat="1" ht="29.25" x14ac:dyDescent="0.5">
      <c r="A80" s="815" t="s">
        <v>329</v>
      </c>
      <c r="B80" s="816"/>
      <c r="C80" s="817"/>
      <c r="D80" s="151"/>
      <c r="E80" s="117"/>
      <c r="F80" s="117"/>
      <c r="G80" s="609">
        <f>SUM(G74:G79)</f>
        <v>834.30000000004657</v>
      </c>
      <c r="H80" s="99"/>
      <c r="I80" s="118"/>
      <c r="J80" s="175"/>
      <c r="K80" s="59"/>
      <c r="L80" s="58"/>
      <c r="N80" s="87"/>
      <c r="O80" s="71"/>
    </row>
    <row r="81" spans="1:15" ht="27" x14ac:dyDescent="0.4">
      <c r="A81" s="854" t="s">
        <v>226</v>
      </c>
      <c r="B81" s="855"/>
      <c r="C81" s="856"/>
      <c r="D81" s="110"/>
      <c r="E81" s="110"/>
      <c r="F81" s="110"/>
      <c r="G81" s="624"/>
      <c r="H81" s="163"/>
      <c r="I81" s="163"/>
      <c r="J81" s="184"/>
      <c r="O81" s="71"/>
    </row>
    <row r="82" spans="1:15" ht="27.75" x14ac:dyDescent="0.5">
      <c r="A82" s="345" t="s">
        <v>227</v>
      </c>
      <c r="B82" s="346"/>
      <c r="C82" s="346"/>
      <c r="D82" s="151" t="s">
        <v>228</v>
      </c>
      <c r="E82" s="95">
        <f>'18 '!F82</f>
        <v>0</v>
      </c>
      <c r="F82" s="122">
        <v>0</v>
      </c>
      <c r="G82" s="609">
        <f t="shared" ref="G82:G92" si="8">F82-E82</f>
        <v>0</v>
      </c>
      <c r="H82" s="99">
        <f>G82+'18 '!H82</f>
        <v>0</v>
      </c>
      <c r="I82" s="118"/>
      <c r="J82" s="175">
        <f>H82/DAY(B2)</f>
        <v>0</v>
      </c>
      <c r="O82" s="71"/>
    </row>
    <row r="83" spans="1:15" ht="27.75" x14ac:dyDescent="0.5">
      <c r="A83" s="345" t="s">
        <v>229</v>
      </c>
      <c r="B83" s="346"/>
      <c r="C83" s="346"/>
      <c r="D83" s="151" t="s">
        <v>228</v>
      </c>
      <c r="E83" s="95">
        <f>'18 '!F83</f>
        <v>0</v>
      </c>
      <c r="F83" s="122">
        <v>0</v>
      </c>
      <c r="G83" s="609">
        <f t="shared" si="8"/>
        <v>0</v>
      </c>
      <c r="H83" s="99">
        <f>G83+'18 '!H83</f>
        <v>0</v>
      </c>
      <c r="I83" s="118"/>
      <c r="J83" s="175">
        <f>H83/DAY(B2)</f>
        <v>0</v>
      </c>
      <c r="O83" s="71"/>
    </row>
    <row r="84" spans="1:15" ht="27.75" x14ac:dyDescent="0.5">
      <c r="A84" s="345" t="s">
        <v>230</v>
      </c>
      <c r="B84" s="346"/>
      <c r="C84" s="346"/>
      <c r="D84" s="151" t="s">
        <v>228</v>
      </c>
      <c r="E84" s="95">
        <f>'18 '!F84</f>
        <v>41675.26</v>
      </c>
      <c r="F84" s="164">
        <v>41675.4</v>
      </c>
      <c r="G84" s="609">
        <f t="shared" si="8"/>
        <v>0.13999999999941792</v>
      </c>
      <c r="H84" s="99">
        <f>G84+'18 '!H84</f>
        <v>0.40000000000145519</v>
      </c>
      <c r="I84" s="118"/>
      <c r="J84" s="175">
        <f>H84/DAY(B2)</f>
        <v>2.1052631579023956E-2</v>
      </c>
      <c r="O84" s="71"/>
    </row>
    <row r="85" spans="1:15" ht="27.75" x14ac:dyDescent="0.5">
      <c r="A85" s="345" t="s">
        <v>231</v>
      </c>
      <c r="B85" s="346"/>
      <c r="C85" s="346"/>
      <c r="D85" s="151" t="s">
        <v>228</v>
      </c>
      <c r="E85" s="95">
        <f>'18 '!F85</f>
        <v>2096.5500000000002</v>
      </c>
      <c r="F85" s="164">
        <v>2096.5500000000002</v>
      </c>
      <c r="G85" s="609">
        <f t="shared" si="8"/>
        <v>0</v>
      </c>
      <c r="H85" s="99">
        <f>G85+'18 '!H85</f>
        <v>-9.9999999997635314E-3</v>
      </c>
      <c r="I85" s="118">
        <f>G82+G83+G84+G85</f>
        <v>0.13999999999941792</v>
      </c>
      <c r="J85" s="175">
        <f>H85/DAY(B2)</f>
        <v>-5.2631578946123853E-4</v>
      </c>
      <c r="O85" s="71"/>
    </row>
    <row r="86" spans="1:15" ht="27.75" x14ac:dyDescent="0.5">
      <c r="A86" s="345" t="s">
        <v>232</v>
      </c>
      <c r="B86" s="346"/>
      <c r="C86" s="346"/>
      <c r="D86" s="151" t="s">
        <v>228</v>
      </c>
      <c r="E86" s="95">
        <f>'18 '!F86</f>
        <v>43296.06</v>
      </c>
      <c r="F86" s="164">
        <v>43321</v>
      </c>
      <c r="G86" s="609">
        <f t="shared" si="8"/>
        <v>24.940000000002328</v>
      </c>
      <c r="H86" s="99">
        <f>G86+'18 '!H86</f>
        <v>458</v>
      </c>
      <c r="I86" s="118"/>
      <c r="J86" s="175">
        <f>H86/DAY(B2)</f>
        <v>24.105263157894736</v>
      </c>
      <c r="O86" s="71"/>
    </row>
    <row r="87" spans="1:15" ht="27.75" x14ac:dyDescent="0.5">
      <c r="A87" s="345" t="s">
        <v>233</v>
      </c>
      <c r="B87" s="346"/>
      <c r="C87" s="346"/>
      <c r="D87" s="151" t="s">
        <v>228</v>
      </c>
      <c r="E87" s="95">
        <f>'18 '!F87</f>
        <v>34598.550000000003</v>
      </c>
      <c r="F87" s="164">
        <v>34598.550000000003</v>
      </c>
      <c r="G87" s="609">
        <f t="shared" si="8"/>
        <v>0</v>
      </c>
      <c r="H87" s="99">
        <f>G87+'18 '!H87</f>
        <v>0</v>
      </c>
      <c r="I87" s="118"/>
      <c r="J87" s="175">
        <f>H87/DAY(B2)</f>
        <v>0</v>
      </c>
      <c r="O87" s="71"/>
    </row>
    <row r="88" spans="1:15" ht="27.75" x14ac:dyDescent="0.5">
      <c r="A88" s="345" t="s">
        <v>234</v>
      </c>
      <c r="B88" s="346"/>
      <c r="C88" s="346"/>
      <c r="D88" s="151" t="s">
        <v>228</v>
      </c>
      <c r="E88" s="95">
        <f>'18 '!F88</f>
        <v>24061.16</v>
      </c>
      <c r="F88" s="164">
        <v>24061.37</v>
      </c>
      <c r="G88" s="609">
        <f t="shared" si="8"/>
        <v>0.20999999999912689</v>
      </c>
      <c r="H88" s="99">
        <f>G88+'18 '!H88</f>
        <v>14.369999999998981</v>
      </c>
      <c r="I88" s="118">
        <f>G86+G87+G88</f>
        <v>25.150000000001455</v>
      </c>
      <c r="J88" s="175">
        <f>H88/DAY(B2)</f>
        <v>0.75631578947363065</v>
      </c>
      <c r="O88" s="71"/>
    </row>
    <row r="89" spans="1:15" ht="27.75" x14ac:dyDescent="0.5">
      <c r="A89" s="345" t="s">
        <v>235</v>
      </c>
      <c r="B89" s="346"/>
      <c r="C89" s="346"/>
      <c r="D89" s="151" t="s">
        <v>228</v>
      </c>
      <c r="E89" s="95">
        <f>'18 '!F89</f>
        <v>25772.05</v>
      </c>
      <c r="F89" s="164">
        <v>25779.07</v>
      </c>
      <c r="G89" s="609">
        <f t="shared" si="8"/>
        <v>7.0200000000004366</v>
      </c>
      <c r="H89" s="99">
        <f>G89+'18 '!H89</f>
        <v>116.06999999999971</v>
      </c>
      <c r="I89" s="118"/>
      <c r="J89" s="175">
        <f>H89/DAY(B2)</f>
        <v>6.1089473684210374</v>
      </c>
      <c r="O89" s="71"/>
    </row>
    <row r="90" spans="1:15" ht="27.75" x14ac:dyDescent="0.5">
      <c r="A90" s="345" t="s">
        <v>236</v>
      </c>
      <c r="B90" s="346"/>
      <c r="C90" s="346"/>
      <c r="D90" s="151" t="s">
        <v>228</v>
      </c>
      <c r="E90" s="95">
        <f>'18 '!F90</f>
        <v>71131.710000000006</v>
      </c>
      <c r="F90" s="164">
        <v>71133.570000000007</v>
      </c>
      <c r="G90" s="609">
        <f t="shared" si="8"/>
        <v>1.8600000000005821</v>
      </c>
      <c r="H90" s="99">
        <f>G90+'18 '!H90</f>
        <v>99.570000000006985</v>
      </c>
      <c r="I90" s="118">
        <f>G89+G90</f>
        <v>8.8800000000010186</v>
      </c>
      <c r="J90" s="175">
        <f>H90/DAY(B2)</f>
        <v>5.2405263157898414</v>
      </c>
      <c r="O90" s="71"/>
    </row>
    <row r="91" spans="1:15" ht="27.75" x14ac:dyDescent="0.5">
      <c r="A91" s="345" t="s">
        <v>237</v>
      </c>
      <c r="B91" s="346"/>
      <c r="C91" s="346"/>
      <c r="D91" s="151" t="s">
        <v>228</v>
      </c>
      <c r="E91" s="95">
        <f>'18 '!F91</f>
        <v>3226.32</v>
      </c>
      <c r="F91" s="122">
        <v>3226.32</v>
      </c>
      <c r="G91" s="609">
        <f t="shared" si="8"/>
        <v>0</v>
      </c>
      <c r="H91" s="99">
        <f>G91+'18 '!H91</f>
        <v>0</v>
      </c>
      <c r="I91" s="165"/>
      <c r="J91" s="175">
        <f>H91/DAY(B2)</f>
        <v>0</v>
      </c>
      <c r="O91" s="71"/>
    </row>
    <row r="92" spans="1:15" ht="27.75" x14ac:dyDescent="0.5">
      <c r="A92" s="345" t="s">
        <v>238</v>
      </c>
      <c r="B92" s="346"/>
      <c r="C92" s="346"/>
      <c r="D92" s="151" t="s">
        <v>228</v>
      </c>
      <c r="E92" s="95">
        <f>'18 '!F92</f>
        <v>5625.33</v>
      </c>
      <c r="F92" s="122">
        <v>5636.06</v>
      </c>
      <c r="G92" s="609">
        <f t="shared" si="8"/>
        <v>10.730000000000473</v>
      </c>
      <c r="H92" s="99">
        <f>G92+'18 '!H92</f>
        <v>198.0600000000004</v>
      </c>
      <c r="I92" s="165"/>
      <c r="J92" s="175">
        <f>H92/DAY(B2)</f>
        <v>10.424210526315811</v>
      </c>
      <c r="O92" s="71"/>
    </row>
    <row r="93" spans="1:15" ht="29.25" x14ac:dyDescent="0.5">
      <c r="A93" s="863" t="s">
        <v>239</v>
      </c>
      <c r="B93" s="864"/>
      <c r="C93" s="865"/>
      <c r="D93" s="111"/>
      <c r="E93" s="111"/>
      <c r="F93" s="111"/>
      <c r="G93" s="612"/>
      <c r="H93" s="121"/>
      <c r="I93" s="121"/>
      <c r="J93" s="183"/>
      <c r="K93" s="69"/>
      <c r="L93" s="66"/>
      <c r="O93" s="71"/>
    </row>
    <row r="94" spans="1:15" ht="27.75" x14ac:dyDescent="0.5">
      <c r="A94" s="818" t="s">
        <v>240</v>
      </c>
      <c r="B94" s="819"/>
      <c r="C94" s="820"/>
      <c r="D94" s="151" t="s">
        <v>130</v>
      </c>
      <c r="E94" s="151"/>
      <c r="F94" s="151"/>
      <c r="G94" s="625">
        <f>G35+G43+G49+G57</f>
        <v>5314.0200000000095</v>
      </c>
      <c r="H94" s="99">
        <f>G94+'18 '!H94</f>
        <v>100827.86</v>
      </c>
      <c r="I94" s="118"/>
      <c r="J94" s="175">
        <f>H94/DAY(B2)</f>
        <v>5306.7294736842105</v>
      </c>
      <c r="K94" s="69"/>
      <c r="L94" s="66"/>
      <c r="O94" s="71"/>
    </row>
    <row r="95" spans="1:15" ht="27.75" x14ac:dyDescent="0.5">
      <c r="A95" s="818" t="s">
        <v>241</v>
      </c>
      <c r="B95" s="819"/>
      <c r="C95" s="820"/>
      <c r="D95" s="151" t="s">
        <v>23</v>
      </c>
      <c r="E95" s="146"/>
      <c r="F95" s="146"/>
      <c r="G95" s="626">
        <f>G94/G7</f>
        <v>0.29468308101813395</v>
      </c>
      <c r="H95" s="99">
        <f>G95+'18 '!H95</f>
        <v>5.4985925787742991</v>
      </c>
      <c r="I95" s="167"/>
      <c r="J95" s="175">
        <f>H95/DAY(B2)</f>
        <v>0.28939960940917364</v>
      </c>
      <c r="K95" s="69"/>
      <c r="L95" s="66"/>
      <c r="O95" s="71"/>
    </row>
    <row r="96" spans="1:15" ht="27.75" x14ac:dyDescent="0.5">
      <c r="A96" s="818" t="s">
        <v>242</v>
      </c>
      <c r="B96" s="819"/>
      <c r="C96" s="820"/>
      <c r="D96" s="151" t="s">
        <v>130</v>
      </c>
      <c r="E96" s="95"/>
      <c r="F96" s="95"/>
      <c r="G96" s="625">
        <f>G41+G42+G55+G56</f>
        <v>2846.1399999999994</v>
      </c>
      <c r="H96" s="99">
        <f>G96+'18 '!H96</f>
        <v>57174.430000000008</v>
      </c>
      <c r="I96" s="118"/>
      <c r="J96" s="175">
        <f>H96/DAY(B2)</f>
        <v>3009.1805263157898</v>
      </c>
      <c r="K96" s="69"/>
      <c r="L96" s="66"/>
      <c r="O96" s="71"/>
    </row>
    <row r="97" spans="1:15" ht="27.75" x14ac:dyDescent="0.5">
      <c r="A97" s="818" t="s">
        <v>243</v>
      </c>
      <c r="B97" s="819"/>
      <c r="C97" s="820"/>
      <c r="D97" s="151" t="s">
        <v>23</v>
      </c>
      <c r="E97" s="95"/>
      <c r="F97" s="95"/>
      <c r="G97" s="626">
        <f>G96/G7</f>
        <v>0.15782953474186212</v>
      </c>
      <c r="H97" s="99">
        <f>G97+'18 '!H97</f>
        <v>3.1330041428850128</v>
      </c>
      <c r="I97" s="167"/>
      <c r="J97" s="175">
        <f>H97/DAY(B2)</f>
        <v>0.16489495488868489</v>
      </c>
      <c r="K97" s="69"/>
      <c r="L97" s="66"/>
      <c r="O97" s="71"/>
    </row>
    <row r="98" spans="1:15" ht="27.75" x14ac:dyDescent="0.5">
      <c r="A98" s="818" t="s">
        <v>244</v>
      </c>
      <c r="B98" s="819"/>
      <c r="C98" s="820"/>
      <c r="D98" s="151" t="s">
        <v>130</v>
      </c>
      <c r="E98" s="95"/>
      <c r="F98" s="95"/>
      <c r="G98" s="625">
        <f>G39+G53</f>
        <v>2646.0699999999997</v>
      </c>
      <c r="H98" s="99">
        <f>G98+'18 '!H98</f>
        <v>49682.560000000005</v>
      </c>
      <c r="I98" s="168"/>
      <c r="J98" s="175">
        <f>H98/DAY(B2)</f>
        <v>2614.8715789473686</v>
      </c>
      <c r="K98" s="69"/>
      <c r="L98" s="66"/>
      <c r="O98" s="71"/>
    </row>
    <row r="99" spans="1:15" ht="27.75" x14ac:dyDescent="0.5">
      <c r="A99" s="818" t="s">
        <v>245</v>
      </c>
      <c r="B99" s="819"/>
      <c r="C99" s="820"/>
      <c r="D99" s="151" t="s">
        <v>23</v>
      </c>
      <c r="E99" s="95"/>
      <c r="F99" s="95"/>
      <c r="G99" s="626">
        <f>G98/G7</f>
        <v>0.14673487495147783</v>
      </c>
      <c r="H99" s="99">
        <f>G99+'18 '!H99</f>
        <v>2.7219789747029517</v>
      </c>
      <c r="I99" s="168"/>
      <c r="J99" s="175">
        <f>H99/DAY(B2)</f>
        <v>0.14326205130015535</v>
      </c>
      <c r="O99" s="71"/>
    </row>
    <row r="100" spans="1:15" ht="27.75" x14ac:dyDescent="0.5">
      <c r="A100" s="818" t="s">
        <v>246</v>
      </c>
      <c r="B100" s="819"/>
      <c r="C100" s="820"/>
      <c r="D100" s="151" t="s">
        <v>180</v>
      </c>
      <c r="E100" s="95"/>
      <c r="F100" s="95"/>
      <c r="G100" s="625">
        <f>G38+G52</f>
        <v>1623.5400000000009</v>
      </c>
      <c r="H100" s="99">
        <f>G100+'18 '!H100</f>
        <v>30688</v>
      </c>
      <c r="I100" s="118"/>
      <c r="J100" s="175">
        <f>H100/DAY(B2)</f>
        <v>1615.1578947368421</v>
      </c>
      <c r="K100" s="70"/>
      <c r="O100" s="71"/>
    </row>
    <row r="101" spans="1:15" ht="27.75" x14ac:dyDescent="0.5">
      <c r="A101" s="818" t="s">
        <v>247</v>
      </c>
      <c r="B101" s="819"/>
      <c r="C101" s="820"/>
      <c r="D101" s="151" t="s">
        <v>23</v>
      </c>
      <c r="E101" s="95"/>
      <c r="F101" s="95"/>
      <c r="G101" s="626">
        <f>G100/G7</f>
        <v>9.0031608717351566E-2</v>
      </c>
      <c r="H101" s="99">
        <f>G101+'18 '!H101</f>
        <v>1.682068557049051</v>
      </c>
      <c r="I101" s="168"/>
      <c r="J101" s="175">
        <f>H101/DAY(B2)</f>
        <v>8.8529924055213205E-2</v>
      </c>
      <c r="O101" s="71"/>
    </row>
    <row r="102" spans="1:15" ht="27.75" x14ac:dyDescent="0.5">
      <c r="A102" s="818" t="s">
        <v>248</v>
      </c>
      <c r="B102" s="819"/>
      <c r="C102" s="820"/>
      <c r="D102" s="151" t="s">
        <v>180</v>
      </c>
      <c r="E102" s="95"/>
      <c r="F102" s="95"/>
      <c r="G102" s="625">
        <f>G36+G50</f>
        <v>1637.3600000000006</v>
      </c>
      <c r="H102" s="99">
        <f>G102+'18 '!H102</f>
        <v>31581.65</v>
      </c>
      <c r="I102" s="168"/>
      <c r="J102" s="175">
        <f>H102/DAY(B2)</f>
        <v>1662.1921052631581</v>
      </c>
      <c r="O102" s="71"/>
    </row>
    <row r="103" spans="1:15" ht="27.75" x14ac:dyDescent="0.5">
      <c r="A103" s="818" t="s">
        <v>249</v>
      </c>
      <c r="B103" s="819"/>
      <c r="C103" s="820"/>
      <c r="D103" s="151" t="s">
        <v>23</v>
      </c>
      <c r="E103" s="95"/>
      <c r="F103" s="95"/>
      <c r="G103" s="626">
        <f>G102/G7</f>
        <v>9.0797981478400736E-2</v>
      </c>
      <c r="H103" s="99">
        <f>G103+'18 '!H103</f>
        <v>1.7216170154280872</v>
      </c>
      <c r="I103" s="118"/>
      <c r="J103" s="175">
        <f>H103/DAY(B2)</f>
        <v>9.0611421864636166E-2</v>
      </c>
      <c r="O103" s="71"/>
    </row>
    <row r="104" spans="1:15" ht="27.75" x14ac:dyDescent="0.5">
      <c r="A104" s="818" t="s">
        <v>250</v>
      </c>
      <c r="B104" s="819"/>
      <c r="C104" s="820"/>
      <c r="D104" s="151" t="s">
        <v>180</v>
      </c>
      <c r="E104" s="95"/>
      <c r="F104" s="95"/>
      <c r="G104" s="625">
        <f>G37+G51</f>
        <v>1596.17</v>
      </c>
      <c r="H104" s="99">
        <f>G104+'18 '!H104</f>
        <v>28692.14</v>
      </c>
      <c r="I104" s="118"/>
      <c r="J104" s="175">
        <f>H104/DAY(B2)</f>
        <v>1510.1126315789472</v>
      </c>
      <c r="O104" s="71"/>
    </row>
    <row r="105" spans="1:15" ht="28.5" thickBot="1" x14ac:dyDescent="0.55000000000000004">
      <c r="A105" s="858" t="s">
        <v>251</v>
      </c>
      <c r="B105" s="859"/>
      <c r="C105" s="860"/>
      <c r="D105" s="231" t="s">
        <v>23</v>
      </c>
      <c r="E105" s="185"/>
      <c r="F105" s="185"/>
      <c r="G105" s="627">
        <f>G104/G7</f>
        <v>8.8513835745577557E-2</v>
      </c>
      <c r="H105" s="99">
        <f>G105+'18 '!H105</f>
        <v>1.5741604472440616</v>
      </c>
      <c r="I105" s="187"/>
      <c r="J105" s="188">
        <f>H105/DAY(B2)</f>
        <v>8.2850549854950606E-2</v>
      </c>
      <c r="O105" s="71"/>
    </row>
    <row r="106" spans="1:15" ht="29.25" x14ac:dyDescent="0.5">
      <c r="A106" s="105"/>
      <c r="B106" s="96"/>
      <c r="C106" s="96"/>
      <c r="D106" s="169"/>
      <c r="E106" s="169"/>
      <c r="F106" s="169"/>
      <c r="G106" s="628"/>
      <c r="H106" s="170"/>
      <c r="I106" s="169"/>
      <c r="J106" s="171"/>
      <c r="O106" s="71"/>
    </row>
    <row r="107" spans="1:15" ht="29.25" x14ac:dyDescent="0.5"/>
    <row r="108" spans="1:15" ht="31.5" x14ac:dyDescent="0.55000000000000004">
      <c r="A108" s="872" t="s">
        <v>324</v>
      </c>
      <c r="B108" s="872"/>
      <c r="C108" s="872"/>
      <c r="D108" s="872"/>
      <c r="E108" s="872"/>
      <c r="F108" s="872"/>
      <c r="G108" s="872"/>
      <c r="H108" s="872"/>
      <c r="I108" s="872"/>
      <c r="J108" s="872"/>
    </row>
    <row r="109" spans="1:15" ht="29.25" x14ac:dyDescent="0.5">
      <c r="A109" s="857"/>
      <c r="B109" s="857"/>
    </row>
    <row r="110" spans="1:15" ht="29.25" x14ac:dyDescent="0.5">
      <c r="A110" s="873" t="s">
        <v>165</v>
      </c>
      <c r="B110" s="874"/>
      <c r="C110" s="874"/>
      <c r="D110" s="874"/>
      <c r="E110" s="874"/>
      <c r="F110" s="874"/>
      <c r="G110" s="874"/>
      <c r="H110" s="874"/>
      <c r="I110" s="874"/>
      <c r="J110" s="875"/>
    </row>
    <row r="111" spans="1:15" ht="27.75" x14ac:dyDescent="0.5">
      <c r="A111" s="876"/>
      <c r="B111" s="877"/>
      <c r="C111" s="878"/>
      <c r="D111" s="165"/>
      <c r="E111" s="165"/>
      <c r="F111" s="165"/>
      <c r="G111" s="630"/>
      <c r="H111" s="156"/>
      <c r="I111" s="165"/>
      <c r="J111" s="327"/>
    </row>
    <row r="112" spans="1:15" ht="27.75" x14ac:dyDescent="0.5">
      <c r="A112" s="851" t="s">
        <v>252</v>
      </c>
      <c r="B112" s="852"/>
      <c r="C112" s="853"/>
      <c r="D112" s="146" t="s">
        <v>183</v>
      </c>
      <c r="E112" s="95">
        <f>'18 '!F112</f>
        <v>57044.5</v>
      </c>
      <c r="F112" s="237">
        <v>57125.98</v>
      </c>
      <c r="G112" s="609">
        <f t="shared" ref="G112:G123" si="9">F112-E112</f>
        <v>81.480000000003201</v>
      </c>
      <c r="H112" s="99">
        <f>G112+'18 '!H112</f>
        <v>1444.9800000000032</v>
      </c>
      <c r="I112" s="165"/>
      <c r="J112" s="328">
        <f>H112/DAY(B2)</f>
        <v>76.051578947368583</v>
      </c>
    </row>
    <row r="113" spans="1:18" ht="29.25" customHeight="1" x14ac:dyDescent="0.5">
      <c r="A113" s="851" t="s">
        <v>253</v>
      </c>
      <c r="B113" s="852"/>
      <c r="C113" s="853"/>
      <c r="D113" s="146" t="s">
        <v>183</v>
      </c>
      <c r="E113" s="95">
        <f>'18 '!F113</f>
        <v>40324.26</v>
      </c>
      <c r="F113" s="237">
        <v>40787.379999999997</v>
      </c>
      <c r="G113" s="609">
        <f t="shared" si="9"/>
        <v>463.11999999999534</v>
      </c>
      <c r="H113" s="99">
        <f>G113+'18 '!H113</f>
        <v>8592.3799999999974</v>
      </c>
      <c r="I113" s="165"/>
      <c r="J113" s="328">
        <f>H113/DAY(B2)</f>
        <v>452.23052631578935</v>
      </c>
    </row>
    <row r="114" spans="1:18" ht="29.25" customHeight="1" x14ac:dyDescent="0.5">
      <c r="A114" s="851" t="s">
        <v>254</v>
      </c>
      <c r="B114" s="852"/>
      <c r="C114" s="853"/>
      <c r="D114" s="146" t="s">
        <v>183</v>
      </c>
      <c r="E114" s="95">
        <f>'18 '!F114</f>
        <v>29635.1</v>
      </c>
      <c r="F114" s="237">
        <v>29901.7</v>
      </c>
      <c r="G114" s="609">
        <f t="shared" si="9"/>
        <v>266.60000000000218</v>
      </c>
      <c r="H114" s="99">
        <f>G114+'18 '!H114</f>
        <v>4897.1000000000004</v>
      </c>
      <c r="I114" s="165"/>
      <c r="J114" s="328">
        <f>H114/DAY(B2)</f>
        <v>257.7421052631579</v>
      </c>
    </row>
    <row r="115" spans="1:18" ht="29.25" customHeight="1" x14ac:dyDescent="0.5">
      <c r="A115" s="851" t="s">
        <v>255</v>
      </c>
      <c r="B115" s="852"/>
      <c r="C115" s="853"/>
      <c r="D115" s="146" t="s">
        <v>183</v>
      </c>
      <c r="E115" s="95">
        <f>'18 '!F115</f>
        <v>8969.3700000000008</v>
      </c>
      <c r="F115" s="237">
        <v>8979.4500000000007</v>
      </c>
      <c r="G115" s="609">
        <f t="shared" si="9"/>
        <v>10.079999999999927</v>
      </c>
      <c r="H115" s="99">
        <f>G115+'18 '!H115</f>
        <v>194.45000000000073</v>
      </c>
      <c r="I115" s="165"/>
      <c r="J115" s="328">
        <f>H115/DAY(B2)</f>
        <v>10.234210526315827</v>
      </c>
    </row>
    <row r="116" spans="1:18" ht="29.25" customHeight="1" x14ac:dyDescent="0.5">
      <c r="A116" s="869" t="s">
        <v>96</v>
      </c>
      <c r="B116" s="870"/>
      <c r="C116" s="871"/>
      <c r="D116" s="146" t="s">
        <v>183</v>
      </c>
      <c r="E116" s="95">
        <f>'18 '!F116</f>
        <v>0</v>
      </c>
      <c r="F116" s="237">
        <v>0</v>
      </c>
      <c r="G116" s="609">
        <f t="shared" si="9"/>
        <v>0</v>
      </c>
      <c r="H116" s="99">
        <f>G116+'18 '!H116</f>
        <v>0</v>
      </c>
      <c r="I116" s="165"/>
      <c r="J116" s="328">
        <f>H116/DAY(B2)</f>
        <v>0</v>
      </c>
      <c r="Q116" s="851" t="s">
        <v>311</v>
      </c>
      <c r="R116" s="853"/>
    </row>
    <row r="117" spans="1:18" ht="29.25" customHeight="1" x14ac:dyDescent="0.5">
      <c r="A117" s="869" t="s">
        <v>184</v>
      </c>
      <c r="B117" s="870"/>
      <c r="C117" s="871"/>
      <c r="D117" s="146" t="s">
        <v>183</v>
      </c>
      <c r="E117" s="95">
        <f>'18 '!F117</f>
        <v>3023.11</v>
      </c>
      <c r="F117" s="237">
        <v>3046.45</v>
      </c>
      <c r="G117" s="609">
        <f t="shared" si="9"/>
        <v>23.339999999999691</v>
      </c>
      <c r="H117" s="99">
        <f>G117+'18 '!H117</f>
        <v>456.44999999999982</v>
      </c>
      <c r="I117" s="165"/>
      <c r="J117" s="328">
        <f>H117/DAY(B2)</f>
        <v>24.023684210526305</v>
      </c>
      <c r="Q117" s="851" t="s">
        <v>312</v>
      </c>
      <c r="R117" s="853"/>
    </row>
    <row r="118" spans="1:18" ht="27.75" x14ac:dyDescent="0.5">
      <c r="A118" s="846" t="s">
        <v>97</v>
      </c>
      <c r="B118" s="846"/>
      <c r="C118" s="846"/>
      <c r="D118" s="151" t="s">
        <v>183</v>
      </c>
      <c r="E118" s="95">
        <f>'18 '!F118</f>
        <v>248035.49</v>
      </c>
      <c r="F118" s="237">
        <v>248401.09</v>
      </c>
      <c r="G118" s="609">
        <f t="shared" si="9"/>
        <v>365.60000000000582</v>
      </c>
      <c r="H118" s="99">
        <f>G118+'18 '!H118</f>
        <v>6754.0899999999965</v>
      </c>
      <c r="I118" s="165"/>
      <c r="J118" s="328">
        <f>H118/DAY(B2)</f>
        <v>355.4784210526314</v>
      </c>
      <c r="Q118" s="851" t="s">
        <v>311</v>
      </c>
      <c r="R118" s="853"/>
    </row>
    <row r="119" spans="1:18" ht="27.75" x14ac:dyDescent="0.5">
      <c r="A119" s="846" t="s">
        <v>98</v>
      </c>
      <c r="B119" s="846"/>
      <c r="C119" s="846"/>
      <c r="D119" s="151" t="s">
        <v>183</v>
      </c>
      <c r="E119" s="95">
        <f>'18 '!F119</f>
        <v>252682.05</v>
      </c>
      <c r="F119" s="237">
        <v>253125.45</v>
      </c>
      <c r="G119" s="609">
        <f t="shared" si="9"/>
        <v>443.40000000002328</v>
      </c>
      <c r="H119" s="99">
        <f>G119+'18 '!H119</f>
        <v>7999.4500000000116</v>
      </c>
      <c r="I119" s="165"/>
      <c r="J119" s="328">
        <f>H119/DAY(B2)</f>
        <v>421.02368421052694</v>
      </c>
    </row>
    <row r="120" spans="1:18" ht="27.75" x14ac:dyDescent="0.5">
      <c r="A120" s="846" t="s">
        <v>99</v>
      </c>
      <c r="B120" s="846"/>
      <c r="C120" s="846"/>
      <c r="D120" s="151" t="s">
        <v>183</v>
      </c>
      <c r="E120" s="95">
        <f>'18 '!F120</f>
        <v>37580.07</v>
      </c>
      <c r="F120" s="237">
        <v>37987.129999999997</v>
      </c>
      <c r="G120" s="609">
        <f t="shared" si="9"/>
        <v>407.05999999999767</v>
      </c>
      <c r="H120" s="99">
        <f>G120+'18 '!H120</f>
        <v>7909.1299999999974</v>
      </c>
      <c r="I120" s="165"/>
      <c r="J120" s="328">
        <f>H120/DAY(B2)</f>
        <v>416.26999999999987</v>
      </c>
    </row>
    <row r="121" spans="1:18" ht="27.75" x14ac:dyDescent="0.5">
      <c r="A121" s="846" t="s">
        <v>100</v>
      </c>
      <c r="B121" s="846"/>
      <c r="C121" s="846"/>
      <c r="D121" s="151" t="s">
        <v>183</v>
      </c>
      <c r="E121" s="95">
        <f>'18 '!F121</f>
        <v>389079</v>
      </c>
      <c r="F121" s="237">
        <v>389744.43</v>
      </c>
      <c r="G121" s="609">
        <f t="shared" si="9"/>
        <v>665.42999999999302</v>
      </c>
      <c r="H121" s="99">
        <f>G121+'18 '!H121</f>
        <v>13215.429999999993</v>
      </c>
      <c r="I121" s="165"/>
      <c r="J121" s="328">
        <f>H121/DAY(B2)</f>
        <v>695.54894736842073</v>
      </c>
    </row>
    <row r="122" spans="1:18" ht="27.75" x14ac:dyDescent="0.5">
      <c r="A122" s="846" t="s">
        <v>101</v>
      </c>
      <c r="B122" s="846"/>
      <c r="C122" s="846"/>
      <c r="D122" s="151" t="s">
        <v>183</v>
      </c>
      <c r="E122" s="95">
        <f>'18 '!F122</f>
        <v>123702</v>
      </c>
      <c r="F122" s="237">
        <v>123875.49</v>
      </c>
      <c r="G122" s="609">
        <f t="shared" si="9"/>
        <v>173.49000000000524</v>
      </c>
      <c r="H122" s="99">
        <f>G122+'18 '!H122</f>
        <v>3825.4900000000052</v>
      </c>
      <c r="I122" s="165"/>
      <c r="J122" s="328">
        <f>H122/DAY(B2)</f>
        <v>201.3415789473687</v>
      </c>
    </row>
    <row r="123" spans="1:18" ht="27.75" x14ac:dyDescent="0.5">
      <c r="A123" s="846" t="s">
        <v>102</v>
      </c>
      <c r="B123" s="846"/>
      <c r="C123" s="846"/>
      <c r="D123" s="151" t="s">
        <v>183</v>
      </c>
      <c r="E123" s="95">
        <f>'18 '!F123</f>
        <v>150502.59</v>
      </c>
      <c r="F123" s="237">
        <v>150781.35</v>
      </c>
      <c r="G123" s="609">
        <f t="shared" si="9"/>
        <v>278.76000000000931</v>
      </c>
      <c r="H123" s="99">
        <f>G123+'18 '!H123</f>
        <v>5656.3500000000058</v>
      </c>
      <c r="I123" s="165"/>
      <c r="J123" s="328">
        <f>H123/DAY(B2)</f>
        <v>297.70263157894766</v>
      </c>
    </row>
    <row r="124" spans="1:18" ht="29.25" customHeight="1" x14ac:dyDescent="0.5">
      <c r="A124" s="876"/>
      <c r="B124" s="877"/>
      <c r="C124" s="878"/>
      <c r="D124" s="165"/>
      <c r="E124" s="95">
        <f>'18 '!F124</f>
        <v>0</v>
      </c>
      <c r="F124" s="165"/>
      <c r="G124" s="630"/>
      <c r="H124" s="156"/>
      <c r="I124" s="165"/>
      <c r="J124" s="327"/>
    </row>
    <row r="125" spans="1:18" ht="27.75" x14ac:dyDescent="0.5">
      <c r="A125" s="879" t="s">
        <v>196</v>
      </c>
      <c r="B125" s="880"/>
      <c r="C125" s="245"/>
      <c r="D125" s="307"/>
      <c r="E125" s="308"/>
      <c r="F125" s="308"/>
      <c r="G125" s="631">
        <f>SUM(G112:G124)</f>
        <v>3178.3600000000347</v>
      </c>
      <c r="H125" s="156"/>
      <c r="I125" s="327">
        <f>G125-(G39+G53)</f>
        <v>532.29000000003498</v>
      </c>
      <c r="J125" s="327"/>
    </row>
    <row r="126" spans="1:18" ht="27.75" x14ac:dyDescent="0.5">
      <c r="A126" s="881" t="s">
        <v>317</v>
      </c>
      <c r="B126" s="881"/>
      <c r="C126" s="881"/>
      <c r="D126" s="881"/>
      <c r="E126" s="881"/>
      <c r="F126" s="881"/>
      <c r="G126" s="881"/>
      <c r="H126" s="881"/>
      <c r="I126" s="881"/>
      <c r="J126" s="881"/>
    </row>
    <row r="127" spans="1:18" ht="27.75" x14ac:dyDescent="0.5">
      <c r="A127" s="882"/>
      <c r="B127" s="882"/>
      <c r="C127" s="245"/>
      <c r="D127" s="307"/>
      <c r="E127" s="308"/>
      <c r="F127" s="308"/>
      <c r="G127" s="631"/>
      <c r="H127" s="99">
        <f>G127+'18 '!H127</f>
        <v>0</v>
      </c>
      <c r="I127" s="165"/>
      <c r="J127" s="328">
        <f>H127/DAY(B2)</f>
        <v>0</v>
      </c>
    </row>
    <row r="128" spans="1:18" ht="29.25" customHeight="1" x14ac:dyDescent="0.5">
      <c r="A128" s="851" t="s">
        <v>318</v>
      </c>
      <c r="B128" s="852"/>
      <c r="C128" s="853"/>
      <c r="D128" s="151" t="s">
        <v>183</v>
      </c>
      <c r="E128" s="95">
        <f>'18 '!F128</f>
        <v>43694.22</v>
      </c>
      <c r="F128" s="165">
        <v>44007</v>
      </c>
      <c r="G128" s="609">
        <f t="shared" ref="G128:G134" si="10">F128-E128</f>
        <v>312.77999999999884</v>
      </c>
      <c r="H128" s="99">
        <f>G128+'18 '!H128</f>
        <v>6003</v>
      </c>
      <c r="I128" s="165"/>
      <c r="J128" s="328">
        <f>H128/DAY(B2)</f>
        <v>315.94736842105266</v>
      </c>
    </row>
    <row r="129" spans="1:15" ht="27.75" x14ac:dyDescent="0.5">
      <c r="A129" s="329" t="s">
        <v>319</v>
      </c>
      <c r="B129" s="330"/>
      <c r="C129" s="331"/>
      <c r="D129" s="151" t="s">
        <v>183</v>
      </c>
      <c r="E129" s="95">
        <f>'18 '!F129</f>
        <v>24341.02</v>
      </c>
      <c r="F129" s="165">
        <v>24539.05</v>
      </c>
      <c r="G129" s="609">
        <f t="shared" si="10"/>
        <v>198.02999999999884</v>
      </c>
      <c r="H129" s="99">
        <f>G129+'18 '!H129</f>
        <v>4218.0499999999993</v>
      </c>
      <c r="I129" s="165"/>
      <c r="J129" s="328">
        <f>H129/DAY(B2)</f>
        <v>222.00263157894733</v>
      </c>
      <c r="N129" s="240"/>
      <c r="O129" s="241"/>
    </row>
    <row r="130" spans="1:15" ht="27.75" x14ac:dyDescent="0.5">
      <c r="A130" s="329" t="s">
        <v>320</v>
      </c>
      <c r="B130" s="330"/>
      <c r="C130" s="331"/>
      <c r="D130" s="151" t="s">
        <v>183</v>
      </c>
      <c r="E130" s="95">
        <f>'18 '!F130</f>
        <v>28966.26</v>
      </c>
      <c r="F130" s="158">
        <v>29719.24</v>
      </c>
      <c r="G130" s="609">
        <f t="shared" si="10"/>
        <v>752.9800000000032</v>
      </c>
      <c r="H130" s="99">
        <f>G130+'18 '!H130</f>
        <v>11337.240000000002</v>
      </c>
      <c r="I130" s="165"/>
      <c r="J130" s="328">
        <f>H130/DAY(B2)</f>
        <v>596.69684210526327</v>
      </c>
      <c r="N130" s="240"/>
      <c r="O130" s="241"/>
    </row>
    <row r="131" spans="1:15" ht="27.75" x14ac:dyDescent="0.5">
      <c r="A131" s="851" t="s">
        <v>321</v>
      </c>
      <c r="B131" s="852"/>
      <c r="C131" s="853"/>
      <c r="D131" s="151" t="s">
        <v>183</v>
      </c>
      <c r="E131" s="95">
        <f>'18 '!F131</f>
        <v>14447.42</v>
      </c>
      <c r="F131" s="165">
        <v>14534.22</v>
      </c>
      <c r="G131" s="609">
        <f t="shared" si="10"/>
        <v>86.799999999999272</v>
      </c>
      <c r="H131" s="99">
        <f>G131+'18 '!H131</f>
        <v>1381.2199999999993</v>
      </c>
      <c r="I131" s="165"/>
      <c r="J131" s="328">
        <f>H131/DAY(B2)</f>
        <v>72.695789473684172</v>
      </c>
      <c r="N131" s="240"/>
      <c r="O131" s="241"/>
    </row>
    <row r="132" spans="1:15" ht="27.75" x14ac:dyDescent="0.5">
      <c r="A132" s="851" t="s">
        <v>322</v>
      </c>
      <c r="B132" s="852"/>
      <c r="C132" s="853"/>
      <c r="D132" s="151" t="s">
        <v>183</v>
      </c>
      <c r="E132" s="95">
        <f>'18 '!F132</f>
        <v>49682.7</v>
      </c>
      <c r="F132" s="165">
        <v>49852.15</v>
      </c>
      <c r="G132" s="609">
        <f t="shared" si="10"/>
        <v>169.45000000000437</v>
      </c>
      <c r="H132" s="99">
        <f>G132+'18 '!H132</f>
        <v>8829.1500000000015</v>
      </c>
      <c r="I132" s="165"/>
      <c r="J132" s="328">
        <f>H132/DAY(B2)</f>
        <v>464.692105263158</v>
      </c>
    </row>
    <row r="133" spans="1:15" ht="27.75" x14ac:dyDescent="0.5">
      <c r="A133" s="851" t="s">
        <v>362</v>
      </c>
      <c r="B133" s="852"/>
      <c r="C133" s="853"/>
      <c r="D133" s="151" t="s">
        <v>183</v>
      </c>
      <c r="E133" s="95">
        <f>'18 '!F133</f>
        <v>98583.4</v>
      </c>
      <c r="F133" s="165">
        <v>99251.43</v>
      </c>
      <c r="G133" s="609">
        <f t="shared" si="10"/>
        <v>668.02999999999884</v>
      </c>
      <c r="H133" s="99">
        <f>G133+'18 '!H133</f>
        <v>11548.429999999993</v>
      </c>
      <c r="I133" s="165"/>
      <c r="J133" s="328">
        <f>H133/DAY(B2)</f>
        <v>607.81210526315749</v>
      </c>
    </row>
    <row r="134" spans="1:15" ht="27.75" x14ac:dyDescent="0.5">
      <c r="A134" s="851" t="s">
        <v>340</v>
      </c>
      <c r="B134" s="852"/>
      <c r="C134" s="853"/>
      <c r="D134" s="151" t="s">
        <v>183</v>
      </c>
      <c r="E134" s="95">
        <f>'18 '!F134</f>
        <v>6368.93</v>
      </c>
      <c r="F134" s="165">
        <v>6620</v>
      </c>
      <c r="G134" s="609">
        <f t="shared" si="10"/>
        <v>251.06999999999971</v>
      </c>
      <c r="H134" s="99">
        <f>G134+'18 '!H134</f>
        <v>8914</v>
      </c>
      <c r="I134" s="165"/>
      <c r="J134" s="328">
        <f>H134/DAY(B2)</f>
        <v>469.15789473684208</v>
      </c>
    </row>
    <row r="135" spans="1:15" ht="27.75" x14ac:dyDescent="0.5">
      <c r="A135" s="879" t="s">
        <v>196</v>
      </c>
      <c r="B135" s="880"/>
      <c r="C135" s="331"/>
      <c r="D135" s="151"/>
      <c r="E135" s="95"/>
      <c r="F135" s="165"/>
      <c r="G135" s="609">
        <f>SUM(G128:G134)</f>
        <v>2439.1400000000031</v>
      </c>
      <c r="H135" s="99">
        <f>G135+'10'!H135</f>
        <v>33663.14</v>
      </c>
      <c r="I135" s="327">
        <f>G135-(G35+G49)</f>
        <v>-502.50999999999658</v>
      </c>
      <c r="J135" s="328"/>
    </row>
    <row r="136" spans="1:15" ht="31.5" x14ac:dyDescent="0.55000000000000004">
      <c r="A136" s="883" t="s">
        <v>325</v>
      </c>
      <c r="B136" s="883"/>
      <c r="C136" s="883"/>
      <c r="D136" s="883"/>
      <c r="E136" s="883"/>
      <c r="F136" s="883"/>
      <c r="G136" s="883"/>
      <c r="H136" s="883"/>
      <c r="I136" s="883"/>
      <c r="J136" s="883"/>
    </row>
    <row r="137" spans="1:15" ht="29.25" x14ac:dyDescent="0.5">
      <c r="A137" s="245"/>
      <c r="B137" s="246"/>
      <c r="C137" s="246"/>
      <c r="D137" s="165"/>
      <c r="E137" s="165"/>
      <c r="F137" s="165"/>
      <c r="G137" s="630"/>
      <c r="H137" s="156"/>
      <c r="I137" s="165"/>
      <c r="J137" s="327"/>
    </row>
    <row r="138" spans="1:15" ht="27.75" x14ac:dyDescent="0.5">
      <c r="A138" s="846" t="s">
        <v>185</v>
      </c>
      <c r="B138" s="846"/>
      <c r="C138" s="846"/>
      <c r="D138" s="151" t="s">
        <v>183</v>
      </c>
      <c r="E138" s="95">
        <f>'18 '!F138</f>
        <v>865289</v>
      </c>
      <c r="F138" s="147">
        <v>865348</v>
      </c>
      <c r="G138" s="609">
        <f t="shared" ref="G138:G152" si="11">F138-E138</f>
        <v>59</v>
      </c>
      <c r="H138" s="99">
        <f>G138+'18 '!H138</f>
        <v>1177</v>
      </c>
      <c r="I138" s="118"/>
      <c r="J138" s="328">
        <f>H138/DAY(B2)</f>
        <v>61.94736842105263</v>
      </c>
    </row>
    <row r="139" spans="1:15" ht="27.75" x14ac:dyDescent="0.5">
      <c r="A139" s="846" t="s">
        <v>186</v>
      </c>
      <c r="B139" s="846"/>
      <c r="C139" s="846"/>
      <c r="D139" s="151" t="s">
        <v>183</v>
      </c>
      <c r="E139" s="95">
        <f>'18 '!F139</f>
        <v>886551</v>
      </c>
      <c r="F139" s="148">
        <v>886551</v>
      </c>
      <c r="G139" s="609">
        <f t="shared" si="11"/>
        <v>0</v>
      </c>
      <c r="H139" s="99">
        <f>G139+'18 '!H139</f>
        <v>5</v>
      </c>
      <c r="I139" s="118"/>
      <c r="J139" s="328">
        <f>H139/DAY(B2)</f>
        <v>0.26315789473684209</v>
      </c>
    </row>
    <row r="140" spans="1:15" ht="27.75" x14ac:dyDescent="0.5">
      <c r="A140" s="846" t="s">
        <v>187</v>
      </c>
      <c r="B140" s="846"/>
      <c r="C140" s="846"/>
      <c r="D140" s="151" t="s">
        <v>183</v>
      </c>
      <c r="E140" s="95">
        <f>'18 '!F140</f>
        <v>88898</v>
      </c>
      <c r="F140" s="149">
        <v>88898</v>
      </c>
      <c r="G140" s="609">
        <f t="shared" si="11"/>
        <v>0</v>
      </c>
      <c r="H140" s="99">
        <f>G140+'18 '!H140</f>
        <v>16</v>
      </c>
      <c r="I140" s="118"/>
      <c r="J140" s="328">
        <f>H140/DAY(B2)</f>
        <v>0.84210526315789469</v>
      </c>
    </row>
    <row r="141" spans="1:15" ht="27.75" x14ac:dyDescent="0.5">
      <c r="A141" s="850" t="s">
        <v>188</v>
      </c>
      <c r="B141" s="850"/>
      <c r="C141" s="850"/>
      <c r="D141" s="151" t="s">
        <v>183</v>
      </c>
      <c r="E141" s="95">
        <f>'18 '!F141</f>
        <v>52406.65</v>
      </c>
      <c r="F141" s="149">
        <v>52577.7</v>
      </c>
      <c r="G141" s="609">
        <f t="shared" si="11"/>
        <v>171.04999999999563</v>
      </c>
      <c r="H141" s="99">
        <f>G141+'18 '!H141</f>
        <v>3271.6999999999971</v>
      </c>
      <c r="I141" s="118"/>
      <c r="J141" s="328">
        <f>H141/DAY(B2)</f>
        <v>172.1947368421051</v>
      </c>
    </row>
    <row r="142" spans="1:15" ht="27.75" x14ac:dyDescent="0.5">
      <c r="A142" s="850" t="s">
        <v>189</v>
      </c>
      <c r="B142" s="850"/>
      <c r="C142" s="850"/>
      <c r="D142" s="151" t="s">
        <v>183</v>
      </c>
      <c r="E142" s="95">
        <f>'18 '!F142</f>
        <v>20277.63</v>
      </c>
      <c r="F142" s="148">
        <v>20344.240000000002</v>
      </c>
      <c r="G142" s="609">
        <f t="shared" si="11"/>
        <v>66.610000000000582</v>
      </c>
      <c r="H142" s="99">
        <f>G142+'18 '!H142</f>
        <v>1335.2400000000016</v>
      </c>
      <c r="I142" s="140"/>
      <c r="J142" s="328">
        <f>H142/DAY(B2)</f>
        <v>70.275789473684299</v>
      </c>
    </row>
    <row r="143" spans="1:15" ht="27.75" x14ac:dyDescent="0.5">
      <c r="A143" s="846" t="s">
        <v>91</v>
      </c>
      <c r="B143" s="846"/>
      <c r="C143" s="846"/>
      <c r="D143" s="151" t="s">
        <v>183</v>
      </c>
      <c r="E143" s="95">
        <f>'18 '!F143</f>
        <v>3491.46</v>
      </c>
      <c r="F143" s="149">
        <v>3515.52</v>
      </c>
      <c r="G143" s="609">
        <f t="shared" si="11"/>
        <v>24.059999999999945</v>
      </c>
      <c r="H143" s="99">
        <f>G143+'18 '!H143</f>
        <v>454.52</v>
      </c>
      <c r="I143" s="140"/>
      <c r="J143" s="328">
        <f>H143/DAY(B2)</f>
        <v>23.922105263157892</v>
      </c>
    </row>
    <row r="144" spans="1:15" ht="27.75" x14ac:dyDescent="0.5">
      <c r="A144" s="850" t="s">
        <v>90</v>
      </c>
      <c r="B144" s="850"/>
      <c r="C144" s="850"/>
      <c r="D144" s="151" t="s">
        <v>183</v>
      </c>
      <c r="E144" s="95">
        <f>'18 '!F144</f>
        <v>873743</v>
      </c>
      <c r="F144" s="149">
        <v>873963</v>
      </c>
      <c r="G144" s="609">
        <f t="shared" si="11"/>
        <v>220</v>
      </c>
      <c r="H144" s="99">
        <f>G144+'18 '!H144</f>
        <v>4293</v>
      </c>
      <c r="I144" s="140"/>
      <c r="J144" s="328">
        <f>H144/DAY(B2)</f>
        <v>225.94736842105263</v>
      </c>
    </row>
    <row r="145" spans="1:17" ht="27.75" x14ac:dyDescent="0.5">
      <c r="A145" s="846" t="s">
        <v>190</v>
      </c>
      <c r="B145" s="846"/>
      <c r="C145" s="846"/>
      <c r="D145" s="152" t="s">
        <v>183</v>
      </c>
      <c r="E145" s="95">
        <f>'18 '!F145</f>
        <v>4827.1899999999996</v>
      </c>
      <c r="F145" s="149">
        <v>4843.3999999999996</v>
      </c>
      <c r="G145" s="609">
        <f t="shared" si="11"/>
        <v>16.210000000000036</v>
      </c>
      <c r="H145" s="99">
        <f>G145+'18 '!H145</f>
        <v>285.39999999999964</v>
      </c>
      <c r="I145" s="140"/>
      <c r="J145" s="328">
        <f>H145/DAY(B2)</f>
        <v>15.021052631578929</v>
      </c>
    </row>
    <row r="146" spans="1:17" ht="27.75" x14ac:dyDescent="0.5">
      <c r="A146" s="847" t="s">
        <v>191</v>
      </c>
      <c r="B146" s="848"/>
      <c r="C146" s="849"/>
      <c r="D146" s="152" t="s">
        <v>183</v>
      </c>
      <c r="E146" s="95">
        <f>'18 '!F146</f>
        <v>732122</v>
      </c>
      <c r="F146" s="148">
        <v>732529</v>
      </c>
      <c r="G146" s="609">
        <f t="shared" si="11"/>
        <v>407</v>
      </c>
      <c r="H146" s="99">
        <f>G146+'18 '!H146</f>
        <v>7671</v>
      </c>
      <c r="I146" s="140"/>
      <c r="J146" s="328">
        <f>H146/DAY(B2)</f>
        <v>403.73684210526318</v>
      </c>
    </row>
    <row r="147" spans="1:17" ht="27.75" x14ac:dyDescent="0.5">
      <c r="A147" s="850" t="s">
        <v>192</v>
      </c>
      <c r="B147" s="850"/>
      <c r="C147" s="850"/>
      <c r="D147" s="152" t="s">
        <v>183</v>
      </c>
      <c r="E147" s="95">
        <f>'18 '!F147</f>
        <v>621813.56000000006</v>
      </c>
      <c r="F147" s="148">
        <v>622164.64</v>
      </c>
      <c r="G147" s="609">
        <f t="shared" si="11"/>
        <v>351.07999999995809</v>
      </c>
      <c r="H147" s="99">
        <f>G147+'18 '!H147</f>
        <v>6882.640000000014</v>
      </c>
      <c r="I147" s="140"/>
      <c r="J147" s="328">
        <f>H147/DAY(B2)</f>
        <v>362.24421052631652</v>
      </c>
    </row>
    <row r="148" spans="1:17" ht="27.75" x14ac:dyDescent="0.5">
      <c r="A148" s="842" t="s">
        <v>193</v>
      </c>
      <c r="B148" s="843"/>
      <c r="C148" s="844"/>
      <c r="D148" s="123" t="s">
        <v>130</v>
      </c>
      <c r="E148" s="95">
        <f>'18 '!F148</f>
        <v>687015.44</v>
      </c>
      <c r="F148" s="150">
        <v>687181.52</v>
      </c>
      <c r="G148" s="609">
        <f t="shared" si="11"/>
        <v>166.08000000007451</v>
      </c>
      <c r="H148" s="99">
        <f>G148+'18 '!H148</f>
        <v>4148.4000000000233</v>
      </c>
      <c r="I148" s="124"/>
      <c r="J148" s="328">
        <f>H148/DAY(B2)</f>
        <v>218.3368421052644</v>
      </c>
    </row>
    <row r="149" spans="1:17" ht="27.75" x14ac:dyDescent="0.5">
      <c r="A149" s="842" t="s">
        <v>336</v>
      </c>
      <c r="B149" s="843"/>
      <c r="C149" s="844"/>
      <c r="D149" s="227" t="s">
        <v>130</v>
      </c>
      <c r="E149" s="95">
        <f>'18 '!F149</f>
        <v>18255.259999999998</v>
      </c>
      <c r="F149" s="500">
        <v>18705.96</v>
      </c>
      <c r="G149" s="609">
        <f t="shared" si="11"/>
        <v>450.70000000000073</v>
      </c>
      <c r="H149" s="99">
        <f>G149+'18 '!H149</f>
        <v>7956.9599999999991</v>
      </c>
      <c r="I149" s="119"/>
      <c r="J149" s="328">
        <f>H149/DAY(B2)</f>
        <v>418.78736842105258</v>
      </c>
    </row>
    <row r="150" spans="1:17" ht="27.75" x14ac:dyDescent="0.5">
      <c r="A150" s="842" t="s">
        <v>337</v>
      </c>
      <c r="B150" s="843"/>
      <c r="C150" s="844"/>
      <c r="D150" s="117" t="s">
        <v>130</v>
      </c>
      <c r="E150" s="95">
        <f>'18 '!F150</f>
        <v>7974.99</v>
      </c>
      <c r="F150" s="233">
        <v>8195.51</v>
      </c>
      <c r="G150" s="609">
        <f t="shared" si="11"/>
        <v>220.52000000000044</v>
      </c>
      <c r="H150" s="99">
        <f>G150+'18 '!H150</f>
        <v>4143.51</v>
      </c>
      <c r="I150" s="119"/>
      <c r="J150" s="328">
        <f>H150/DAY(B2)</f>
        <v>218.07947368421054</v>
      </c>
    </row>
    <row r="151" spans="1:17" ht="27.75" x14ac:dyDescent="0.5">
      <c r="A151" s="842" t="s">
        <v>338</v>
      </c>
      <c r="B151" s="843"/>
      <c r="C151" s="844"/>
      <c r="D151" s="117" t="s">
        <v>130</v>
      </c>
      <c r="E151" s="95">
        <f>'18 '!F151</f>
        <v>82410</v>
      </c>
      <c r="F151" s="233">
        <v>82600</v>
      </c>
      <c r="G151" s="609">
        <f t="shared" si="11"/>
        <v>190</v>
      </c>
      <c r="H151" s="99">
        <f>G151+'18 '!H151</f>
        <v>4383</v>
      </c>
      <c r="I151" s="119"/>
      <c r="J151" s="328">
        <f>H151/DAY(B2)</f>
        <v>230.68421052631578</v>
      </c>
    </row>
    <row r="152" spans="1:17" ht="27.75" x14ac:dyDescent="0.5">
      <c r="A152" s="842" t="s">
        <v>339</v>
      </c>
      <c r="B152" s="843"/>
      <c r="C152" s="844"/>
      <c r="D152" s="117" t="s">
        <v>130</v>
      </c>
      <c r="E152" s="95">
        <f>'18 '!F152</f>
        <v>1435.92</v>
      </c>
      <c r="F152" s="233">
        <v>1452.1</v>
      </c>
      <c r="G152" s="609">
        <f t="shared" si="11"/>
        <v>16.179999999999836</v>
      </c>
      <c r="H152" s="99">
        <f>G152+'18 '!H152</f>
        <v>325.09999999999991</v>
      </c>
      <c r="I152" s="119"/>
      <c r="J152" s="328">
        <f>H152/DAY(B2)</f>
        <v>17.110526315789468</v>
      </c>
    </row>
    <row r="153" spans="1:17" ht="27.75" x14ac:dyDescent="0.5">
      <c r="A153" s="879" t="s">
        <v>196</v>
      </c>
      <c r="B153" s="880"/>
      <c r="C153" s="365"/>
      <c r="D153" s="358"/>
      <c r="E153" s="360"/>
      <c r="F153" s="361"/>
      <c r="G153" s="632">
        <f>SUM(G138:G152)</f>
        <v>2358.4900000000298</v>
      </c>
      <c r="H153" s="363"/>
      <c r="I153" s="119">
        <f>G153-(G38+G52)</f>
        <v>734.95000000002892</v>
      </c>
      <c r="J153" s="366"/>
    </row>
    <row r="154" spans="1:17" ht="31.5" x14ac:dyDescent="0.55000000000000004">
      <c r="A154" s="883" t="s">
        <v>344</v>
      </c>
      <c r="B154" s="883"/>
      <c r="C154" s="883"/>
      <c r="D154" s="883"/>
      <c r="E154" s="883"/>
      <c r="F154" s="883"/>
      <c r="G154" s="883"/>
      <c r="H154" s="883"/>
      <c r="I154" s="883"/>
      <c r="J154" s="883"/>
    </row>
    <row r="155" spans="1:17" ht="31.5" x14ac:dyDescent="0.55000000000000004">
      <c r="A155" s="850" t="s">
        <v>345</v>
      </c>
      <c r="B155" s="850"/>
      <c r="C155" s="850"/>
      <c r="D155" s="117" t="s">
        <v>130</v>
      </c>
      <c r="E155" s="95">
        <f>'18 '!F155</f>
        <v>23908.77</v>
      </c>
      <c r="F155" s="157">
        <v>24510</v>
      </c>
      <c r="G155" s="609">
        <f t="shared" ref="G155:G158" si="12">F155-E155</f>
        <v>601.22999999999956</v>
      </c>
      <c r="H155" s="99">
        <f>G155+'18 '!H155</f>
        <v>11038</v>
      </c>
      <c r="I155" s="364"/>
      <c r="J155" s="328">
        <f>H155/DAY(B2)</f>
        <v>580.9473684210526</v>
      </c>
    </row>
    <row r="156" spans="1:17" ht="27.75" x14ac:dyDescent="0.5">
      <c r="A156" s="850" t="s">
        <v>347</v>
      </c>
      <c r="B156" s="850"/>
      <c r="C156" s="850"/>
      <c r="D156" s="117" t="s">
        <v>130</v>
      </c>
      <c r="E156" s="95">
        <f>'18 '!F156</f>
        <v>2010.05</v>
      </c>
      <c r="F156" s="157">
        <v>2070</v>
      </c>
      <c r="G156" s="609">
        <f t="shared" si="12"/>
        <v>59.950000000000045</v>
      </c>
      <c r="H156" s="99">
        <f>G156+'18 '!H156</f>
        <v>982</v>
      </c>
      <c r="I156" s="165"/>
      <c r="J156" s="328">
        <f>H156/DAY(B2)</f>
        <v>51.684210526315788</v>
      </c>
      <c r="P156" s="65">
        <v>164.5</v>
      </c>
      <c r="Q156" s="65" t="s">
        <v>372</v>
      </c>
    </row>
    <row r="157" spans="1:17" ht="27.75" x14ac:dyDescent="0.5">
      <c r="A157" s="842" t="s">
        <v>364</v>
      </c>
      <c r="B157" s="843"/>
      <c r="C157" s="844"/>
      <c r="D157" s="117" t="s">
        <v>130</v>
      </c>
      <c r="E157" s="95">
        <f>'18 '!F157</f>
        <v>2598.1799999999998</v>
      </c>
      <c r="F157" s="374">
        <v>2720.16</v>
      </c>
      <c r="G157" s="609">
        <f t="shared" si="12"/>
        <v>121.98000000000002</v>
      </c>
      <c r="H157" s="99"/>
      <c r="I157" s="165"/>
      <c r="J157" s="328"/>
    </row>
    <row r="158" spans="1:17" ht="27.75" x14ac:dyDescent="0.5">
      <c r="A158" s="842" t="s">
        <v>365</v>
      </c>
      <c r="B158" s="843"/>
      <c r="C158" s="844"/>
      <c r="D158" s="117" t="s">
        <v>130</v>
      </c>
      <c r="E158" s="95">
        <f>'18 '!F158</f>
        <v>23.34</v>
      </c>
      <c r="F158" s="374">
        <v>24.34</v>
      </c>
      <c r="G158" s="609">
        <f t="shared" si="12"/>
        <v>1</v>
      </c>
      <c r="H158" s="99"/>
      <c r="I158" s="165"/>
      <c r="J158" s="328"/>
    </row>
    <row r="159" spans="1:17" ht="27.75" x14ac:dyDescent="0.5">
      <c r="A159" s="899"/>
      <c r="B159" s="900"/>
      <c r="C159" s="901"/>
      <c r="D159" s="117"/>
      <c r="E159" s="95"/>
      <c r="F159" s="165"/>
      <c r="G159" s="609"/>
      <c r="H159" s="99"/>
      <c r="I159" s="165"/>
      <c r="J159" s="328"/>
    </row>
    <row r="160" spans="1:17" ht="31.5" x14ac:dyDescent="0.55000000000000004">
      <c r="A160" s="883" t="s">
        <v>326</v>
      </c>
      <c r="B160" s="883"/>
      <c r="C160" s="883"/>
      <c r="D160" s="883"/>
      <c r="E160" s="883"/>
      <c r="F160" s="883"/>
      <c r="G160" s="883"/>
      <c r="H160" s="883"/>
      <c r="I160" s="883"/>
      <c r="J160" s="883"/>
    </row>
    <row r="161" spans="1:10" ht="29.25" x14ac:dyDescent="0.5">
      <c r="A161" s="242" t="s">
        <v>92</v>
      </c>
      <c r="B161" s="243"/>
      <c r="C161" s="243"/>
      <c r="D161" s="244" t="s">
        <v>180</v>
      </c>
      <c r="E161" s="95">
        <f>'18 '!F161</f>
        <v>471453.56</v>
      </c>
      <c r="F161" s="235">
        <v>471460.76</v>
      </c>
      <c r="G161" s="633">
        <f t="shared" ref="G161:G165" si="13">F161-E161</f>
        <v>7.2000000000116415</v>
      </c>
      <c r="H161" s="99">
        <f>G161+'18 '!H161</f>
        <v>307.60000000003492</v>
      </c>
      <c r="I161" s="236"/>
      <c r="J161" s="239">
        <f>H161/DAY(B2)</f>
        <v>16.189473684212363</v>
      </c>
    </row>
    <row r="162" spans="1:10" ht="29.25" x14ac:dyDescent="0.5">
      <c r="A162" s="242" t="s">
        <v>93</v>
      </c>
      <c r="B162" s="243"/>
      <c r="C162" s="243"/>
      <c r="D162" s="244" t="s">
        <v>180</v>
      </c>
      <c r="E162" s="95">
        <f>'18 '!F162</f>
        <v>88093.3</v>
      </c>
      <c r="F162" s="235">
        <v>88135.4</v>
      </c>
      <c r="G162" s="633">
        <f t="shared" si="13"/>
        <v>42.099999999991269</v>
      </c>
      <c r="H162" s="99">
        <f>G162+'18 '!H162</f>
        <v>565.39999999999418</v>
      </c>
      <c r="I162" s="236"/>
      <c r="J162" s="239">
        <f>H162/DAY(B2)</f>
        <v>29.757894736841799</v>
      </c>
    </row>
    <row r="163" spans="1:10" ht="29.25" x14ac:dyDescent="0.5">
      <c r="A163" s="242" t="s">
        <v>197</v>
      </c>
      <c r="B163" s="243"/>
      <c r="C163" s="243"/>
      <c r="D163" s="244" t="s">
        <v>180</v>
      </c>
      <c r="E163" s="95">
        <f>'18 '!F163</f>
        <v>78635.5</v>
      </c>
      <c r="F163" s="235">
        <v>78699.8</v>
      </c>
      <c r="G163" s="633">
        <f t="shared" si="13"/>
        <v>64.30000000000291</v>
      </c>
      <c r="H163" s="99">
        <f>G163+'18 '!H163</f>
        <v>874.80000000000291</v>
      </c>
      <c r="I163" s="236"/>
      <c r="J163" s="239">
        <f>H163/DAY(B2)</f>
        <v>46.042105263158049</v>
      </c>
    </row>
    <row r="164" spans="1:10" ht="29.25" x14ac:dyDescent="0.5">
      <c r="A164" s="242" t="s">
        <v>197</v>
      </c>
      <c r="B164" s="243"/>
      <c r="C164" s="243"/>
      <c r="D164" s="244" t="s">
        <v>180</v>
      </c>
      <c r="E164" s="95">
        <f>'18 '!F164</f>
        <v>4280</v>
      </c>
      <c r="F164" s="235">
        <v>4284.5</v>
      </c>
      <c r="G164" s="633">
        <f t="shared" si="13"/>
        <v>4.5</v>
      </c>
      <c r="H164" s="99">
        <f>G164+'18 '!H164</f>
        <v>42.5</v>
      </c>
      <c r="I164" s="236"/>
      <c r="J164" s="239">
        <f>H164/DAY(B2)</f>
        <v>2.236842105263158</v>
      </c>
    </row>
    <row r="165" spans="1:10" ht="29.25" x14ac:dyDescent="0.5">
      <c r="A165" s="242" t="s">
        <v>309</v>
      </c>
      <c r="B165" s="243"/>
      <c r="C165" s="243"/>
      <c r="D165" s="244" t="s">
        <v>180</v>
      </c>
      <c r="E165" s="95">
        <f>'18 '!F165</f>
        <v>29763.9</v>
      </c>
      <c r="F165" s="235">
        <v>29771.72</v>
      </c>
      <c r="G165" s="633">
        <f t="shared" si="13"/>
        <v>7.819999999999709</v>
      </c>
      <c r="H165" s="99">
        <f>G165+'18 '!H165</f>
        <v>125.72000000000116</v>
      </c>
      <c r="I165" s="236"/>
      <c r="J165" s="239">
        <f>H165/DAY(B2)</f>
        <v>6.6168421052632196</v>
      </c>
    </row>
    <row r="166" spans="1:10" ht="29.25" x14ac:dyDescent="0.5">
      <c r="A166" s="882"/>
      <c r="B166" s="882"/>
      <c r="C166" s="246"/>
      <c r="D166" s="244"/>
      <c r="E166" s="95"/>
      <c r="F166" s="165"/>
      <c r="G166" s="630"/>
      <c r="H166" s="99"/>
      <c r="I166" s="165"/>
      <c r="J166" s="239"/>
    </row>
    <row r="167" spans="1:10" ht="29.25" x14ac:dyDescent="0.5">
      <c r="A167" s="882"/>
      <c r="B167" s="882"/>
      <c r="C167" s="246"/>
      <c r="D167" s="244"/>
      <c r="E167" s="95"/>
      <c r="F167" s="165"/>
      <c r="G167" s="630"/>
      <c r="H167" s="99"/>
      <c r="I167" s="165"/>
      <c r="J167" s="239"/>
    </row>
    <row r="168" spans="1:10" ht="29.25" x14ac:dyDescent="0.5">
      <c r="A168" s="882"/>
      <c r="B168" s="882"/>
      <c r="C168" s="246"/>
      <c r="D168" s="244"/>
      <c r="E168" s="95"/>
      <c r="F168" s="165"/>
      <c r="G168" s="630"/>
      <c r="H168" s="99"/>
      <c r="I168" s="165"/>
      <c r="J168" s="239"/>
    </row>
    <row r="169" spans="1:10" ht="29.25" x14ac:dyDescent="0.5"/>
    <row r="170" spans="1:10" ht="29.25" x14ac:dyDescent="0.5"/>
    <row r="171" spans="1:10" ht="31.5" x14ac:dyDescent="0.35">
      <c r="A171" s="890" t="s">
        <v>330</v>
      </c>
      <c r="B171" s="891"/>
      <c r="C171" s="891"/>
      <c r="D171" s="891"/>
      <c r="E171" s="891"/>
      <c r="F171" s="891"/>
      <c r="G171" s="891"/>
      <c r="H171" s="891"/>
      <c r="I171" s="891"/>
      <c r="J171" s="892"/>
    </row>
    <row r="172" spans="1:10" ht="27.75" x14ac:dyDescent="0.5">
      <c r="A172" s="886"/>
      <c r="B172" s="887"/>
      <c r="C172" s="332"/>
      <c r="D172" s="228"/>
      <c r="E172" s="155"/>
      <c r="F172" s="155"/>
      <c r="G172" s="634"/>
      <c r="H172" s="156"/>
      <c r="I172" s="155"/>
      <c r="J172" s="178"/>
    </row>
    <row r="173" spans="1:10" ht="27.75" x14ac:dyDescent="0.5">
      <c r="A173" s="840" t="s">
        <v>209</v>
      </c>
      <c r="B173" s="841"/>
      <c r="C173" s="333"/>
      <c r="D173" s="228" t="s">
        <v>142</v>
      </c>
      <c r="E173" s="95">
        <f>'18 '!F173</f>
        <v>8126</v>
      </c>
      <c r="F173" s="157">
        <v>8126</v>
      </c>
      <c r="G173" s="634">
        <f>F173-E173</f>
        <v>0</v>
      </c>
      <c r="H173" s="99">
        <f>G173+'18 '!H173</f>
        <v>0</v>
      </c>
      <c r="I173" s="155"/>
      <c r="J173" s="178">
        <f>H173/DAY(B2)</f>
        <v>0</v>
      </c>
    </row>
    <row r="174" spans="1:10" ht="27.75" x14ac:dyDescent="0.5">
      <c r="A174" s="840" t="s">
        <v>75</v>
      </c>
      <c r="B174" s="841"/>
      <c r="C174" s="333"/>
      <c r="D174" s="228" t="s">
        <v>142</v>
      </c>
      <c r="E174" s="95">
        <f>'18 '!F174</f>
        <v>38457</v>
      </c>
      <c r="F174" s="157">
        <v>38466</v>
      </c>
      <c r="G174" s="634">
        <f t="shared" ref="G174:G175" si="14">F174-E174</f>
        <v>9</v>
      </c>
      <c r="H174" s="99">
        <f>G174+'18 '!H174</f>
        <v>173</v>
      </c>
      <c r="I174" s="155"/>
      <c r="J174" s="178">
        <f>H174/DAY(B2)</f>
        <v>9.1052631578947363</v>
      </c>
    </row>
    <row r="175" spans="1:10" ht="27.75" x14ac:dyDescent="0.5">
      <c r="A175" s="840" t="s">
        <v>76</v>
      </c>
      <c r="B175" s="845"/>
      <c r="C175" s="841"/>
      <c r="D175" s="228" t="s">
        <v>142</v>
      </c>
      <c r="E175" s="95">
        <f>'18 '!F175</f>
        <v>21683</v>
      </c>
      <c r="F175" s="155">
        <v>21692</v>
      </c>
      <c r="G175" s="634">
        <f t="shared" si="14"/>
        <v>9</v>
      </c>
      <c r="H175" s="99">
        <f>G175+'18 '!H175</f>
        <v>174</v>
      </c>
      <c r="I175" s="155"/>
      <c r="J175" s="178">
        <f>H175/DAY(B2)</f>
        <v>9.1578947368421044</v>
      </c>
    </row>
    <row r="176" spans="1:10" ht="27.75" x14ac:dyDescent="0.5">
      <c r="A176" s="879" t="s">
        <v>196</v>
      </c>
      <c r="B176" s="880"/>
      <c r="C176" s="485"/>
      <c r="D176" s="228" t="s">
        <v>142</v>
      </c>
      <c r="E176" s="95"/>
      <c r="F176" s="155"/>
      <c r="G176" s="634">
        <f>SUM(G173:G175)</f>
        <v>18</v>
      </c>
      <c r="H176" s="99">
        <f>G176+'18 '!H176</f>
        <v>347</v>
      </c>
      <c r="I176" s="155"/>
      <c r="J176" s="178">
        <f>H176/DAY(B2)</f>
        <v>18.263157894736842</v>
      </c>
    </row>
    <row r="177" spans="1:11" ht="27.75" x14ac:dyDescent="0.5">
      <c r="A177" s="840" t="s">
        <v>77</v>
      </c>
      <c r="B177" s="841"/>
      <c r="C177" s="333"/>
      <c r="D177" s="228" t="s">
        <v>142</v>
      </c>
      <c r="E177" s="95"/>
      <c r="F177" s="155"/>
      <c r="G177" s="634"/>
      <c r="H177" s="99">
        <f>G177+'18 '!H177</f>
        <v>0</v>
      </c>
      <c r="I177" s="155"/>
      <c r="J177" s="178">
        <f>H177/DAY(B2)</f>
        <v>0</v>
      </c>
    </row>
    <row r="178" spans="1:11" ht="27.75" x14ac:dyDescent="0.5">
      <c r="A178" s="840" t="s">
        <v>210</v>
      </c>
      <c r="B178" s="841"/>
      <c r="C178" s="333"/>
      <c r="D178" s="228" t="s">
        <v>142</v>
      </c>
      <c r="E178" s="95">
        <f>'18 '!F178</f>
        <v>80653</v>
      </c>
      <c r="F178" s="155">
        <v>80688</v>
      </c>
      <c r="G178" s="634">
        <f>F178-E178</f>
        <v>35</v>
      </c>
      <c r="H178" s="99">
        <f>G178+'18 '!H178</f>
        <v>1074</v>
      </c>
      <c r="I178" s="155"/>
      <c r="J178" s="178">
        <f>H178/DAY(B2)</f>
        <v>56.526315789473685</v>
      </c>
    </row>
    <row r="179" spans="1:11" ht="27.75" x14ac:dyDescent="0.5">
      <c r="A179" s="840" t="s">
        <v>211</v>
      </c>
      <c r="B179" s="841"/>
      <c r="C179" s="333"/>
      <c r="D179" s="228" t="s">
        <v>142</v>
      </c>
      <c r="E179" s="95">
        <f>'18 '!F179</f>
        <v>34332</v>
      </c>
      <c r="F179" s="155">
        <v>34336</v>
      </c>
      <c r="G179" s="634">
        <f t="shared" ref="G179:G180" si="15">F179-E179</f>
        <v>4</v>
      </c>
      <c r="H179" s="99">
        <f>G179+'18 '!H179</f>
        <v>421</v>
      </c>
      <c r="I179" s="155"/>
      <c r="J179" s="178">
        <f>H179/DAY(B2)</f>
        <v>22.157894736842106</v>
      </c>
    </row>
    <row r="180" spans="1:11" ht="27.75" x14ac:dyDescent="0.5">
      <c r="A180" s="840" t="s">
        <v>212</v>
      </c>
      <c r="B180" s="841"/>
      <c r="C180" s="333"/>
      <c r="D180" s="228" t="s">
        <v>142</v>
      </c>
      <c r="E180" s="95">
        <f>'18 '!F180</f>
        <v>5611</v>
      </c>
      <c r="F180" s="155">
        <v>5611</v>
      </c>
      <c r="G180" s="634">
        <f t="shared" si="15"/>
        <v>0</v>
      </c>
      <c r="H180" s="99">
        <f>G180+'18 '!H180</f>
        <v>134</v>
      </c>
      <c r="I180" s="155"/>
      <c r="J180" s="178">
        <f>H180/DAY(B2)</f>
        <v>7.0526315789473681</v>
      </c>
    </row>
    <row r="181" spans="1:11" ht="27.75" x14ac:dyDescent="0.5">
      <c r="A181" s="884" t="s">
        <v>108</v>
      </c>
      <c r="B181" s="885"/>
      <c r="C181" s="485"/>
      <c r="D181" s="228" t="s">
        <v>142</v>
      </c>
      <c r="E181" s="95"/>
      <c r="F181" s="155"/>
      <c r="G181" s="634">
        <f>SUM(G178:G180)</f>
        <v>39</v>
      </c>
      <c r="H181" s="99">
        <f>G181+'18 '!H181</f>
        <v>1629</v>
      </c>
      <c r="I181" s="155"/>
      <c r="J181" s="178">
        <f>H181/DAY(B2)</f>
        <v>85.736842105263165</v>
      </c>
    </row>
    <row r="182" spans="1:11" ht="27.75" x14ac:dyDescent="0.5">
      <c r="A182" s="840" t="s">
        <v>213</v>
      </c>
      <c r="B182" s="841"/>
      <c r="C182" s="333"/>
      <c r="D182" s="228" t="s">
        <v>142</v>
      </c>
      <c r="E182" s="95"/>
      <c r="F182" s="155"/>
      <c r="G182" s="634"/>
      <c r="H182" s="99">
        <f>G182+'18 '!H182</f>
        <v>0</v>
      </c>
      <c r="I182" s="155"/>
      <c r="J182" s="178">
        <f>H182/DAY(B2)</f>
        <v>0</v>
      </c>
    </row>
    <row r="183" spans="1:11" ht="27.75" x14ac:dyDescent="0.5">
      <c r="A183" s="840" t="s">
        <v>214</v>
      </c>
      <c r="B183" s="841"/>
      <c r="C183" s="334"/>
      <c r="D183" s="228" t="s">
        <v>142</v>
      </c>
      <c r="E183" s="95">
        <f>'18 '!F183</f>
        <v>15161</v>
      </c>
      <c r="F183" s="157">
        <v>15172</v>
      </c>
      <c r="G183" s="635">
        <f>F183-E183</f>
        <v>11</v>
      </c>
      <c r="H183" s="99">
        <f>G183+'18 '!H183</f>
        <v>225</v>
      </c>
      <c r="I183" s="155"/>
      <c r="J183" s="178">
        <f>H183/DAY(B2)</f>
        <v>11.842105263157896</v>
      </c>
    </row>
    <row r="184" spans="1:11" ht="27.75" x14ac:dyDescent="0.5">
      <c r="A184" s="840" t="s">
        <v>215</v>
      </c>
      <c r="B184" s="841"/>
      <c r="C184" s="334"/>
      <c r="D184" s="228" t="s">
        <v>142</v>
      </c>
      <c r="E184" s="95">
        <f>'18 '!F184</f>
        <v>10415</v>
      </c>
      <c r="F184" s="157">
        <v>10420</v>
      </c>
      <c r="G184" s="635">
        <f t="shared" ref="G184:G185" si="16">F184-E184</f>
        <v>5</v>
      </c>
      <c r="H184" s="99">
        <f>G184+'18 '!H184</f>
        <v>119</v>
      </c>
      <c r="I184" s="155"/>
      <c r="J184" s="178">
        <f>H184/DAY(B2)</f>
        <v>6.2631578947368425</v>
      </c>
    </row>
    <row r="185" spans="1:11" ht="30.75" customHeight="1" x14ac:dyDescent="0.5">
      <c r="A185" s="840" t="s">
        <v>216</v>
      </c>
      <c r="B185" s="841"/>
      <c r="C185" s="334"/>
      <c r="D185" s="228" t="s">
        <v>142</v>
      </c>
      <c r="E185" s="95">
        <f>'18 '!F185</f>
        <v>0</v>
      </c>
      <c r="F185" s="157"/>
      <c r="G185" s="635">
        <f t="shared" si="16"/>
        <v>0</v>
      </c>
      <c r="H185" s="99">
        <f>G185+'18 '!H185</f>
        <v>0</v>
      </c>
      <c r="I185" s="155"/>
      <c r="J185" s="178">
        <f>H185/DAY(B2)</f>
        <v>0</v>
      </c>
    </row>
    <row r="186" spans="1:11" ht="27.75" x14ac:dyDescent="0.5">
      <c r="A186" s="879" t="s">
        <v>196</v>
      </c>
      <c r="B186" s="880"/>
      <c r="C186" s="484"/>
      <c r="D186" s="228" t="s">
        <v>142</v>
      </c>
      <c r="E186" s="95"/>
      <c r="F186" s="157"/>
      <c r="G186" s="635">
        <f>SUM(G183:G185)</f>
        <v>16</v>
      </c>
      <c r="H186" s="99">
        <f>G186+'18 '!H186</f>
        <v>344</v>
      </c>
      <c r="I186" s="157"/>
      <c r="J186" s="178">
        <f>H186/DAY(B2)</f>
        <v>18.105263157894736</v>
      </c>
    </row>
    <row r="187" spans="1:11" ht="27.75" x14ac:dyDescent="0.5">
      <c r="A187" s="888" t="s">
        <v>217</v>
      </c>
      <c r="B187" s="889"/>
      <c r="C187" s="333"/>
      <c r="D187" s="230" t="s">
        <v>142</v>
      </c>
      <c r="E187" s="95"/>
      <c r="F187" s="159"/>
      <c r="G187" s="636">
        <f>G62+G19</f>
        <v>117</v>
      </c>
      <c r="H187" s="99">
        <f>G187+'18 '!H187</f>
        <v>2166</v>
      </c>
      <c r="I187" s="158"/>
      <c r="J187" s="179">
        <f>H187/DAY(B2)</f>
        <v>114</v>
      </c>
    </row>
    <row r="188" spans="1:11" ht="27.75" x14ac:dyDescent="0.5">
      <c r="A188" s="888" t="s">
        <v>218</v>
      </c>
      <c r="B188" s="889"/>
      <c r="C188" s="333"/>
      <c r="D188" s="230" t="s">
        <v>142</v>
      </c>
      <c r="E188" s="95"/>
      <c r="F188" s="159"/>
      <c r="G188" s="636">
        <f>G65+G66+G67+G69+G70</f>
        <v>115.10000000000036</v>
      </c>
      <c r="H188" s="99">
        <f>G188+'18 '!H188</f>
        <v>592.10000000000036</v>
      </c>
      <c r="I188" s="158"/>
      <c r="J188" s="179">
        <f>H188/DAY(B2)</f>
        <v>31.163157894736862</v>
      </c>
    </row>
    <row r="189" spans="1:11" ht="27.75" x14ac:dyDescent="0.5">
      <c r="A189" s="888" t="s">
        <v>219</v>
      </c>
      <c r="B189" s="889"/>
      <c r="C189" s="333"/>
      <c r="D189" s="230" t="s">
        <v>142</v>
      </c>
      <c r="E189" s="95"/>
      <c r="F189" s="157"/>
      <c r="G189" s="636">
        <f>G181</f>
        <v>39</v>
      </c>
      <c r="H189" s="99">
        <f>G189+'30'!H238</f>
        <v>39</v>
      </c>
      <c r="I189" s="158"/>
      <c r="J189" s="179">
        <f>H189/DAY(B2)</f>
        <v>2.0526315789473686</v>
      </c>
    </row>
    <row r="190" spans="1:11" ht="23.25" customHeight="1" x14ac:dyDescent="0.5">
      <c r="A190" s="245" t="s">
        <v>360</v>
      </c>
      <c r="B190" s="246"/>
      <c r="C190" s="246"/>
      <c r="D190" s="165"/>
      <c r="E190" s="165"/>
      <c r="F190" s="585">
        <f>'18 '!G190</f>
        <v>52871</v>
      </c>
      <c r="G190" s="630">
        <v>52878</v>
      </c>
      <c r="H190" s="238">
        <f>G190-F190</f>
        <v>7</v>
      </c>
      <c r="I190" s="99">
        <f>H190+'15'!I190</f>
        <v>7</v>
      </c>
      <c r="J190" s="236"/>
      <c r="K190" s="239" t="e">
        <f>I190/DAY(C27)</f>
        <v>#DIV/0!</v>
      </c>
    </row>
    <row r="191" spans="1:11" ht="29.25" x14ac:dyDescent="0.5"/>
    <row r="192" spans="1:11" ht="29.25" x14ac:dyDescent="0.5"/>
    <row r="193" ht="29.25" x14ac:dyDescent="0.5"/>
    <row r="194" ht="29.25" x14ac:dyDescent="0.5"/>
    <row r="195" ht="29.25" x14ac:dyDescent="0.5"/>
    <row r="196" ht="29.25" x14ac:dyDescent="0.5"/>
    <row r="197" ht="29.25" x14ac:dyDescent="0.5"/>
    <row r="198" ht="29.25" x14ac:dyDescent="0.5"/>
    <row r="199" ht="29.25" x14ac:dyDescent="0.5"/>
    <row r="200" ht="29.25" x14ac:dyDescent="0.5"/>
    <row r="201" ht="29.25" x14ac:dyDescent="0.5"/>
    <row r="202" ht="29.25" x14ac:dyDescent="0.5"/>
    <row r="203" ht="29.25" x14ac:dyDescent="0.5"/>
    <row r="204" ht="29.25" x14ac:dyDescent="0.5"/>
    <row r="205" ht="29.25" x14ac:dyDescent="0.5"/>
    <row r="206" ht="29.25" x14ac:dyDescent="0.5"/>
    <row r="207" ht="29.25" x14ac:dyDescent="0.5"/>
    <row r="208" ht="29.25" x14ac:dyDescent="0.5"/>
    <row r="209" ht="29.25" x14ac:dyDescent="0.5"/>
    <row r="210" ht="29.25" x14ac:dyDescent="0.5"/>
    <row r="211" ht="29.25" x14ac:dyDescent="0.5"/>
    <row r="212" ht="29.25" x14ac:dyDescent="0.5"/>
    <row r="213" ht="29.25" x14ac:dyDescent="0.5"/>
    <row r="214" ht="29.25" x14ac:dyDescent="0.5"/>
    <row r="215" ht="29.25" x14ac:dyDescent="0.5"/>
    <row r="216" ht="29.25" x14ac:dyDescent="0.5"/>
    <row r="217" ht="29.25" x14ac:dyDescent="0.5"/>
    <row r="218" ht="29.25" x14ac:dyDescent="0.5"/>
    <row r="219" ht="29.25" x14ac:dyDescent="0.5"/>
    <row r="220" ht="29.25" x14ac:dyDescent="0.5"/>
    <row r="221" ht="29.25" x14ac:dyDescent="0.5"/>
    <row r="222" ht="29.25" x14ac:dyDescent="0.5"/>
    <row r="223" ht="29.25" x14ac:dyDescent="0.5"/>
    <row r="224" ht="29.25" x14ac:dyDescent="0.5"/>
    <row r="225" ht="29.25" x14ac:dyDescent="0.5"/>
    <row r="226" ht="29.25" x14ac:dyDescent="0.5"/>
    <row r="227" ht="29.25" x14ac:dyDescent="0.5"/>
    <row r="228" ht="29.25" x14ac:dyDescent="0.5"/>
    <row r="229" ht="29.25" x14ac:dyDescent="0.5"/>
    <row r="230" ht="29.25" x14ac:dyDescent="0.5"/>
    <row r="231" ht="29.25" x14ac:dyDescent="0.5"/>
    <row r="232" ht="29.25" x14ac:dyDescent="0.5"/>
    <row r="233" ht="29.25" x14ac:dyDescent="0.5"/>
    <row r="234" ht="29.25" x14ac:dyDescent="0.5"/>
    <row r="235" ht="29.25" x14ac:dyDescent="0.5"/>
    <row r="236" ht="29.25" x14ac:dyDescent="0.5"/>
    <row r="237" ht="29.25" x14ac:dyDescent="0.5"/>
    <row r="238" ht="29.25" x14ac:dyDescent="0.5"/>
    <row r="239" ht="29.25" x14ac:dyDescent="0.5"/>
    <row r="240" ht="29.25" x14ac:dyDescent="0.5"/>
    <row r="241" ht="29.25" x14ac:dyDescent="0.5"/>
    <row r="242" ht="29.25" x14ac:dyDescent="0.5"/>
    <row r="243" ht="29.25" x14ac:dyDescent="0.5"/>
    <row r="244" ht="29.25" x14ac:dyDescent="0.5"/>
    <row r="245" ht="29.25" x14ac:dyDescent="0.5"/>
    <row r="246" ht="29.25" x14ac:dyDescent="0.5"/>
    <row r="247" ht="29.25" x14ac:dyDescent="0.5"/>
    <row r="248" ht="29.25" x14ac:dyDescent="0.5"/>
    <row r="249" ht="29.25" x14ac:dyDescent="0.5"/>
    <row r="250" ht="29.25" x14ac:dyDescent="0.5"/>
    <row r="251" ht="29.25" x14ac:dyDescent="0.5"/>
    <row r="252" ht="29.25" x14ac:dyDescent="0.5"/>
    <row r="253" ht="29.25" x14ac:dyDescent="0.5"/>
    <row r="254" ht="29.25" x14ac:dyDescent="0.5"/>
    <row r="255" ht="29.25" x14ac:dyDescent="0.5"/>
    <row r="256" ht="29.25" x14ac:dyDescent="0.5"/>
    <row r="257" ht="29.25" x14ac:dyDescent="0.5"/>
    <row r="258" ht="29.25" x14ac:dyDescent="0.5"/>
    <row r="259" ht="29.25" x14ac:dyDescent="0.5"/>
    <row r="260" ht="29.25" x14ac:dyDescent="0.5"/>
    <row r="261" ht="29.25" x14ac:dyDescent="0.5"/>
    <row r="262" ht="29.25" x14ac:dyDescent="0.5"/>
    <row r="263" ht="29.25" x14ac:dyDescent="0.5"/>
    <row r="264" ht="29.25" x14ac:dyDescent="0.5"/>
    <row r="265" ht="29.25" x14ac:dyDescent="0.5"/>
    <row r="266" ht="29.25" x14ac:dyDescent="0.5"/>
    <row r="267" ht="29.25" x14ac:dyDescent="0.5"/>
    <row r="268" ht="29.25" x14ac:dyDescent="0.5"/>
    <row r="269" ht="29.25" x14ac:dyDescent="0.5"/>
    <row r="270" ht="29.25" x14ac:dyDescent="0.5"/>
  </sheetData>
  <mergeCells count="114">
    <mergeCell ref="A157:C157"/>
    <mergeCell ref="A158:C158"/>
    <mergeCell ref="A159:C159"/>
    <mergeCell ref="A135:B135"/>
    <mergeCell ref="A186:B186"/>
    <mergeCell ref="A187:B187"/>
    <mergeCell ref="A188:B188"/>
    <mergeCell ref="A189:B189"/>
    <mergeCell ref="A171:J171"/>
    <mergeCell ref="A172:B172"/>
    <mergeCell ref="A173:B173"/>
    <mergeCell ref="A174:B174"/>
    <mergeCell ref="A176:B176"/>
    <mergeCell ref="A185:B185"/>
    <mergeCell ref="A142:C142"/>
    <mergeCell ref="A160:J160"/>
    <mergeCell ref="A166:B166"/>
    <mergeCell ref="A167:B167"/>
    <mergeCell ref="A168:B168"/>
    <mergeCell ref="A136:J136"/>
    <mergeCell ref="A138:C138"/>
    <mergeCell ref="A139:C139"/>
    <mergeCell ref="A140:C140"/>
    <mergeCell ref="A141:C141"/>
    <mergeCell ref="A150:C150"/>
    <mergeCell ref="A151:C151"/>
    <mergeCell ref="A152:C152"/>
    <mergeCell ref="A154:J154"/>
    <mergeCell ref="A155:C155"/>
    <mergeCell ref="A156:C156"/>
    <mergeCell ref="A153:B153"/>
    <mergeCell ref="Q116:R116"/>
    <mergeCell ref="A117:C117"/>
    <mergeCell ref="Q117:R117"/>
    <mergeCell ref="A118:C118"/>
    <mergeCell ref="Q118:R118"/>
    <mergeCell ref="A123:C123"/>
    <mergeCell ref="A145:C145"/>
    <mergeCell ref="A146:C146"/>
    <mergeCell ref="A147:C147"/>
    <mergeCell ref="A148:C148"/>
    <mergeCell ref="A149:C149"/>
    <mergeCell ref="A143:C143"/>
    <mergeCell ref="A144:C144"/>
    <mergeCell ref="A131:C131"/>
    <mergeCell ref="A132:C132"/>
    <mergeCell ref="A133:C133"/>
    <mergeCell ref="A134:C134"/>
    <mergeCell ref="A124:C124"/>
    <mergeCell ref="A125:B125"/>
    <mergeCell ref="A126:J126"/>
    <mergeCell ref="A112:C112"/>
    <mergeCell ref="A113:C113"/>
    <mergeCell ref="A102:C102"/>
    <mergeCell ref="A78:C78"/>
    <mergeCell ref="A97:C97"/>
    <mergeCell ref="A98:C98"/>
    <mergeCell ref="A99:C99"/>
    <mergeCell ref="A100:C100"/>
    <mergeCell ref="A79:C79"/>
    <mergeCell ref="A80:C80"/>
    <mergeCell ref="A81:C81"/>
    <mergeCell ref="A95:C95"/>
    <mergeCell ref="A96:C96"/>
    <mergeCell ref="A93:C93"/>
    <mergeCell ref="A94:C94"/>
    <mergeCell ref="A183:B183"/>
    <mergeCell ref="A184:B184"/>
    <mergeCell ref="A180:B180"/>
    <mergeCell ref="A181:B181"/>
    <mergeCell ref="A182:B182"/>
    <mergeCell ref="A175:C175"/>
    <mergeCell ref="A177:B177"/>
    <mergeCell ref="A178:B178"/>
    <mergeCell ref="A179:B179"/>
    <mergeCell ref="A127:B127"/>
    <mergeCell ref="A128:C128"/>
    <mergeCell ref="A75:C75"/>
    <mergeCell ref="A76:C76"/>
    <mergeCell ref="A77:C77"/>
    <mergeCell ref="A71:C71"/>
    <mergeCell ref="A72:B72"/>
    <mergeCell ref="A73:C73"/>
    <mergeCell ref="A74:C74"/>
    <mergeCell ref="A114:C114"/>
    <mergeCell ref="A115:C115"/>
    <mergeCell ref="A116:C116"/>
    <mergeCell ref="A119:C119"/>
    <mergeCell ref="A120:C120"/>
    <mergeCell ref="A121:C121"/>
    <mergeCell ref="A122:C122"/>
    <mergeCell ref="A109:B109"/>
    <mergeCell ref="A110:J110"/>
    <mergeCell ref="A111:C111"/>
    <mergeCell ref="A101:C101"/>
    <mergeCell ref="A103:C103"/>
    <mergeCell ref="A104:C104"/>
    <mergeCell ref="A105:C105"/>
    <mergeCell ref="A108:J108"/>
    <mergeCell ref="A1:J1"/>
    <mergeCell ref="A6:C6"/>
    <mergeCell ref="A14:C14"/>
    <mergeCell ref="A17:C17"/>
    <mergeCell ref="E3:F3"/>
    <mergeCell ref="A64:C64"/>
    <mergeCell ref="A65:C65"/>
    <mergeCell ref="A18:C18"/>
    <mergeCell ref="A19:C19"/>
    <mergeCell ref="A21:C21"/>
    <mergeCell ref="A25:C25"/>
    <mergeCell ref="A33:C33"/>
    <mergeCell ref="A61:C61"/>
    <mergeCell ref="A62:C62"/>
    <mergeCell ref="A63:C63"/>
  </mergeCells>
  <pageMargins left="0.22" right="0.17" top="0.14000000000000001" bottom="0.2" header="0.2" footer="0.2"/>
  <pageSetup paperSize="5" scale="19"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1:R1701"/>
  <sheetViews>
    <sheetView view="pageBreakPreview" topLeftCell="A133" zoomScale="55" zoomScaleSheetLayoutView="55" zoomScalePageLayoutView="78" workbookViewId="0">
      <selection activeCell="F185" sqref="F185"/>
    </sheetView>
  </sheetViews>
  <sheetFormatPr defaultColWidth="22.33203125" defaultRowHeight="21.95" customHeight="1" x14ac:dyDescent="0.5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5" width="30" style="160" customWidth="1"/>
    <col min="6" max="6" width="23.88671875" style="160" customWidth="1"/>
    <col min="7" max="7" width="28.88671875" style="160" customWidth="1"/>
    <col min="8" max="8" width="29" style="161" customWidth="1"/>
    <col min="9" max="9" width="21.3320312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33.75" x14ac:dyDescent="0.65">
      <c r="A1" s="821" t="s">
        <v>115</v>
      </c>
      <c r="B1" s="822"/>
      <c r="C1" s="822"/>
      <c r="D1" s="822"/>
      <c r="E1" s="822"/>
      <c r="F1" s="822"/>
      <c r="G1" s="822"/>
      <c r="H1" s="822"/>
      <c r="I1" s="822"/>
      <c r="J1" s="823"/>
    </row>
    <row r="2" spans="1:15" s="57" customFormat="1" ht="27" x14ac:dyDescent="0.5">
      <c r="A2" s="191" t="s">
        <v>356</v>
      </c>
      <c r="B2" s="262">
        <v>44581</v>
      </c>
      <c r="C2" s="348" t="s">
        <v>67</v>
      </c>
      <c r="D2" s="218">
        <v>1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27" x14ac:dyDescent="0.5">
      <c r="A3" s="189"/>
      <c r="B3" s="221"/>
      <c r="C3" s="348" t="s">
        <v>118</v>
      </c>
      <c r="D3" s="219">
        <v>28</v>
      </c>
      <c r="E3" s="830" t="s">
        <v>119</v>
      </c>
      <c r="F3" s="831"/>
      <c r="G3" s="101"/>
      <c r="H3" s="102"/>
      <c r="I3" s="102"/>
      <c r="J3" s="222"/>
      <c r="K3" s="61"/>
      <c r="L3" s="58"/>
    </row>
    <row r="4" spans="1:15" s="57" customFormat="1" ht="27" x14ac:dyDescent="0.5">
      <c r="A4" s="192"/>
      <c r="B4" s="223"/>
      <c r="C4" s="348" t="s">
        <v>120</v>
      </c>
      <c r="D4" s="218">
        <v>0.78</v>
      </c>
      <c r="E4" s="103"/>
      <c r="F4" s="103"/>
      <c r="G4" s="103"/>
      <c r="H4" s="103"/>
      <c r="I4" s="104"/>
      <c r="J4" s="222"/>
      <c r="K4" s="62"/>
      <c r="L4" s="58"/>
    </row>
    <row r="5" spans="1:15" ht="29.25" x14ac:dyDescent="0.4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5" ht="29.25" x14ac:dyDescent="0.4">
      <c r="A6" s="824" t="s">
        <v>128</v>
      </c>
      <c r="B6" s="825"/>
      <c r="C6" s="826"/>
      <c r="D6" s="110"/>
      <c r="E6" s="110"/>
      <c r="F6" s="110"/>
      <c r="G6" s="110"/>
      <c r="H6" s="111"/>
      <c r="I6" s="111"/>
      <c r="J6" s="174"/>
      <c r="K6" s="78"/>
      <c r="L6" s="66"/>
    </row>
    <row r="7" spans="1:15" ht="30" thickBot="1" x14ac:dyDescent="0.45">
      <c r="A7" s="194" t="s">
        <v>129</v>
      </c>
      <c r="B7" s="195"/>
      <c r="C7" s="195"/>
      <c r="D7" s="151" t="s">
        <v>130</v>
      </c>
      <c r="E7" s="95">
        <f>'19'!F7</f>
        <v>442206</v>
      </c>
      <c r="F7" s="95">
        <v>458929.15</v>
      </c>
      <c r="G7" s="112">
        <f>F7-E7</f>
        <v>16723.150000000023</v>
      </c>
      <c r="H7" s="99">
        <f>G7+'19'!H7</f>
        <v>364368.15</v>
      </c>
      <c r="I7" s="113">
        <v>24000</v>
      </c>
      <c r="J7" s="175">
        <f>H7/DAY(B2)</f>
        <v>18218.407500000001</v>
      </c>
      <c r="K7" s="172">
        <v>1375467</v>
      </c>
      <c r="L7" s="66"/>
      <c r="N7" s="87"/>
      <c r="O7" s="71"/>
    </row>
    <row r="8" spans="1:15" ht="27.75" thickBot="1" x14ac:dyDescent="0.45">
      <c r="A8" s="196" t="s">
        <v>131</v>
      </c>
      <c r="B8" s="197"/>
      <c r="C8" s="198"/>
      <c r="D8" s="224" t="s">
        <v>24</v>
      </c>
      <c r="E8" s="95">
        <f>'19'!F8</f>
        <v>494519</v>
      </c>
      <c r="F8" s="95">
        <v>511855.71</v>
      </c>
      <c r="G8" s="115">
        <f>F8-E8</f>
        <v>17336.710000000021</v>
      </c>
      <c r="H8" s="99">
        <f>G8+'19'!H8</f>
        <v>370970.71</v>
      </c>
      <c r="I8" s="116"/>
      <c r="J8" s="175">
        <f>H8/DAY(B2)</f>
        <v>18548.535500000002</v>
      </c>
      <c r="K8" s="172">
        <v>1715917</v>
      </c>
      <c r="L8" s="76">
        <v>1728480</v>
      </c>
      <c r="M8" s="87">
        <f>L8-K8</f>
        <v>12563</v>
      </c>
      <c r="N8" s="87"/>
      <c r="O8" s="71"/>
    </row>
    <row r="9" spans="1:15" ht="29.25" x14ac:dyDescent="0.4">
      <c r="A9" s="199" t="s">
        <v>132</v>
      </c>
      <c r="B9" s="200"/>
      <c r="C9" s="200"/>
      <c r="D9" s="151" t="s">
        <v>130</v>
      </c>
      <c r="E9" s="95">
        <f>'19'!F9</f>
        <v>121587.8</v>
      </c>
      <c r="F9" s="601">
        <v>132779.53</v>
      </c>
      <c r="G9" s="112">
        <f>F9-E9</f>
        <v>11191.729999999996</v>
      </c>
      <c r="H9" s="99">
        <f>G9+'19'!H9</f>
        <v>231284.52999999997</v>
      </c>
      <c r="I9" s="124">
        <f>I7-J7</f>
        <v>5781.5924999999988</v>
      </c>
      <c r="J9" s="175">
        <f>H9/DAY(B2)</f>
        <v>11564.226499999999</v>
      </c>
      <c r="K9" s="79">
        <f>K8-100</f>
        <v>1715817</v>
      </c>
      <c r="L9" s="66"/>
      <c r="N9" s="87"/>
      <c r="O9" s="71"/>
    </row>
    <row r="10" spans="1:15" ht="29.25" x14ac:dyDescent="0.4">
      <c r="A10" s="194" t="s">
        <v>133</v>
      </c>
      <c r="B10" s="195"/>
      <c r="C10" s="195"/>
      <c r="D10" s="151" t="s">
        <v>130</v>
      </c>
      <c r="E10" s="95">
        <f>'19'!F10</f>
        <v>62985.4</v>
      </c>
      <c r="F10" s="353">
        <v>68056.070000000007</v>
      </c>
      <c r="G10" s="112">
        <f t="shared" ref="G10:G12" si="0">F10-E10</f>
        <v>5070.6700000000055</v>
      </c>
      <c r="H10" s="99">
        <f>G10+'19'!H10</f>
        <v>122962.07</v>
      </c>
      <c r="I10" s="282"/>
      <c r="J10" s="175">
        <f>H10/DAY(B2)</f>
        <v>6148.1035000000002</v>
      </c>
      <c r="K10" s="79"/>
      <c r="L10" s="66"/>
      <c r="N10" s="87"/>
      <c r="O10" s="71"/>
    </row>
    <row r="11" spans="1:15" ht="29.25" x14ac:dyDescent="0.4">
      <c r="A11" s="194" t="s">
        <v>134</v>
      </c>
      <c r="B11" s="195"/>
      <c r="C11" s="195"/>
      <c r="D11" s="151" t="s">
        <v>130</v>
      </c>
      <c r="E11" s="95">
        <f>'19'!F11</f>
        <v>37170</v>
      </c>
      <c r="F11" s="95">
        <v>37170</v>
      </c>
      <c r="G11" s="112">
        <f t="shared" si="0"/>
        <v>0</v>
      </c>
      <c r="H11" s="99">
        <f>G11+'19'!H11</f>
        <v>170</v>
      </c>
      <c r="I11" s="282"/>
      <c r="J11" s="175">
        <f>H11/DAY(B2)</f>
        <v>8.5</v>
      </c>
      <c r="K11" s="79"/>
      <c r="L11" s="66"/>
      <c r="N11" s="87"/>
      <c r="O11" s="71"/>
    </row>
    <row r="12" spans="1:15" ht="29.25" x14ac:dyDescent="0.4">
      <c r="A12" s="194" t="s">
        <v>135</v>
      </c>
      <c r="B12" s="195"/>
      <c r="C12" s="195"/>
      <c r="D12" s="151" t="s">
        <v>130</v>
      </c>
      <c r="E12" s="95">
        <f>'19'!F12</f>
        <v>40010</v>
      </c>
      <c r="F12" s="117">
        <v>40010</v>
      </c>
      <c r="G12" s="112">
        <f t="shared" si="0"/>
        <v>0</v>
      </c>
      <c r="H12" s="99">
        <f>G12+'19'!H12</f>
        <v>0</v>
      </c>
      <c r="I12" s="282"/>
      <c r="J12" s="175">
        <f>H12/DAY(B2)</f>
        <v>0</v>
      </c>
      <c r="K12" s="79"/>
      <c r="L12" s="66"/>
      <c r="N12" s="87"/>
      <c r="O12" s="71"/>
    </row>
    <row r="13" spans="1:15" ht="29.25" x14ac:dyDescent="0.5">
      <c r="A13" s="201" t="s">
        <v>136</v>
      </c>
      <c r="B13" s="202"/>
      <c r="C13" s="202"/>
      <c r="D13" s="151"/>
      <c r="E13" s="95"/>
      <c r="F13" s="95"/>
      <c r="G13" s="119">
        <f>G9+G10+G11+G12</f>
        <v>16262.400000000001</v>
      </c>
      <c r="H13" s="99">
        <f>G13+'19'!H13</f>
        <v>334951.34999999992</v>
      </c>
      <c r="I13" s="120">
        <f>G7-G13</f>
        <v>460.75000000002183</v>
      </c>
      <c r="J13" s="175">
        <f>H13/DAY(B2)</f>
        <v>16747.567499999997</v>
      </c>
      <c r="K13" s="79"/>
      <c r="L13" s="66"/>
      <c r="N13" s="87"/>
      <c r="O13" s="71"/>
    </row>
    <row r="14" spans="1:15" ht="29.25" x14ac:dyDescent="0.5">
      <c r="A14" s="827" t="s">
        <v>137</v>
      </c>
      <c r="B14" s="828"/>
      <c r="C14" s="829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5" ht="29.25" x14ac:dyDescent="0.5">
      <c r="A15" s="345" t="s">
        <v>138</v>
      </c>
      <c r="B15" s="205"/>
      <c r="C15" s="205"/>
      <c r="D15" s="151" t="s">
        <v>139</v>
      </c>
      <c r="E15" s="95">
        <f>'19'!F15</f>
        <v>1895056.3</v>
      </c>
      <c r="F15" s="123">
        <v>1896043.25</v>
      </c>
      <c r="G15" s="112">
        <f>(F15-E15)</f>
        <v>986.94999999995343</v>
      </c>
      <c r="H15" s="99">
        <f>G15+'19'!H15</f>
        <v>17613.25</v>
      </c>
      <c r="I15" s="113">
        <f>'1'!I15</f>
        <v>800</v>
      </c>
      <c r="J15" s="175">
        <f>H15/DAY(B2)</f>
        <v>880.66250000000002</v>
      </c>
      <c r="K15" s="79"/>
      <c r="L15" s="66"/>
      <c r="N15" s="87"/>
      <c r="O15" s="71"/>
    </row>
    <row r="16" spans="1:15" ht="29.25" x14ac:dyDescent="0.4">
      <c r="A16" s="203"/>
      <c r="B16" s="204"/>
      <c r="C16" s="204"/>
      <c r="D16" s="152"/>
      <c r="E16" s="123"/>
      <c r="F16" s="123"/>
      <c r="G16" s="112"/>
      <c r="H16" s="124"/>
      <c r="I16" s="120">
        <f>I15-J15</f>
        <v>-80.662500000000023</v>
      </c>
      <c r="J16" s="176"/>
      <c r="K16" s="79"/>
      <c r="L16" s="66"/>
      <c r="N16" s="87"/>
      <c r="O16" s="71"/>
    </row>
    <row r="17" spans="1:15" ht="29.25" x14ac:dyDescent="0.5">
      <c r="A17" s="827" t="s">
        <v>140</v>
      </c>
      <c r="B17" s="828"/>
      <c r="C17" s="829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5" ht="27.75" x14ac:dyDescent="0.5">
      <c r="A18" s="818" t="s">
        <v>141</v>
      </c>
      <c r="B18" s="819"/>
      <c r="C18" s="820"/>
      <c r="D18" s="151" t="s">
        <v>142</v>
      </c>
      <c r="E18" s="95">
        <f>'19'!F18</f>
        <v>10</v>
      </c>
      <c r="F18" s="122">
        <v>16</v>
      </c>
      <c r="G18" s="119">
        <f>F18*10</f>
        <v>160</v>
      </c>
      <c r="H18" s="99">
        <f>G18+'19'!H18</f>
        <v>2180</v>
      </c>
      <c r="I18" s="113">
        <f>'1'!I18</f>
        <v>65</v>
      </c>
      <c r="J18" s="175">
        <f>H18/DAY(B2)</f>
        <v>109</v>
      </c>
      <c r="K18" s="79"/>
      <c r="L18" s="66"/>
      <c r="N18" s="87"/>
      <c r="O18" s="71"/>
    </row>
    <row r="19" spans="1:15" ht="27.75" x14ac:dyDescent="0.5">
      <c r="A19" s="818" t="s">
        <v>69</v>
      </c>
      <c r="B19" s="819"/>
      <c r="C19" s="820"/>
      <c r="D19" s="151" t="s">
        <v>142</v>
      </c>
      <c r="E19" s="95">
        <f>'19'!F19</f>
        <v>153236</v>
      </c>
      <c r="F19" s="122">
        <v>153292</v>
      </c>
      <c r="G19" s="112">
        <f t="shared" ref="G19" si="1">F19-E19</f>
        <v>56</v>
      </c>
      <c r="H19" s="99">
        <f>G19+'19'!H19</f>
        <v>1067</v>
      </c>
      <c r="I19" s="335"/>
      <c r="J19" s="175">
        <f>H19/DAY(B2)</f>
        <v>53.35</v>
      </c>
      <c r="K19" s="79"/>
      <c r="L19" s="66"/>
      <c r="N19" s="87"/>
      <c r="O19" s="71"/>
    </row>
    <row r="20" spans="1:15" ht="29.25" x14ac:dyDescent="0.5">
      <c r="A20" s="201" t="s">
        <v>143</v>
      </c>
      <c r="B20" s="202"/>
      <c r="C20" s="202"/>
      <c r="D20" s="126"/>
      <c r="E20" s="126"/>
      <c r="F20" s="126"/>
      <c r="G20" s="127">
        <f>G18+G19</f>
        <v>216</v>
      </c>
      <c r="H20" s="99">
        <f>G20+'19'!H20</f>
        <v>3247</v>
      </c>
      <c r="I20" s="336">
        <f>I18-J20</f>
        <v>-97.35</v>
      </c>
      <c r="J20" s="175">
        <f>H20/DAY(B2)</f>
        <v>162.35</v>
      </c>
      <c r="K20" s="79"/>
      <c r="L20" s="66"/>
      <c r="N20" s="87"/>
      <c r="O20" s="71"/>
    </row>
    <row r="21" spans="1:15" ht="29.25" x14ac:dyDescent="0.5">
      <c r="A21" s="827" t="s">
        <v>144</v>
      </c>
      <c r="B21" s="828"/>
      <c r="C21" s="829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5" ht="29.25" x14ac:dyDescent="0.5">
      <c r="A22" s="345" t="s">
        <v>145</v>
      </c>
      <c r="B22" s="205"/>
      <c r="C22" s="205"/>
      <c r="D22" s="151" t="s">
        <v>146</v>
      </c>
      <c r="E22" s="95">
        <f>'19'!F22</f>
        <v>2970</v>
      </c>
      <c r="F22" s="122">
        <v>2970</v>
      </c>
      <c r="G22" s="119">
        <f t="shared" ref="G22" si="2">(F22-E22)</f>
        <v>0</v>
      </c>
      <c r="H22" s="99">
        <f>G22+'19'!H22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29.25" x14ac:dyDescent="0.5">
      <c r="A23" s="345" t="s">
        <v>147</v>
      </c>
      <c r="B23" s="205"/>
      <c r="C23" s="205"/>
      <c r="D23" s="151" t="s">
        <v>146</v>
      </c>
      <c r="E23" s="95">
        <f>'19'!F23</f>
        <v>1390</v>
      </c>
      <c r="F23" s="122">
        <v>2000</v>
      </c>
      <c r="G23" s="119">
        <v>0</v>
      </c>
      <c r="H23" s="99">
        <f>G23+'19'!H23</f>
        <v>110</v>
      </c>
      <c r="I23" s="118"/>
      <c r="J23" s="175">
        <f>H23/DAY(B2)</f>
        <v>5.5</v>
      </c>
      <c r="K23" s="79"/>
      <c r="L23" s="66"/>
      <c r="N23" s="87"/>
      <c r="O23" s="71"/>
    </row>
    <row r="24" spans="1:15" ht="29.25" x14ac:dyDescent="0.4">
      <c r="A24" s="206" t="s">
        <v>148</v>
      </c>
      <c r="B24" s="207"/>
      <c r="C24" s="207"/>
      <c r="D24" s="146" t="s">
        <v>146</v>
      </c>
      <c r="E24" s="95">
        <f>'19'!F24</f>
        <v>4970</v>
      </c>
      <c r="F24" s="128">
        <v>4970</v>
      </c>
      <c r="G24" s="119">
        <v>0</v>
      </c>
      <c r="H24" s="99">
        <f>G24+'19'!H24</f>
        <v>110</v>
      </c>
      <c r="I24" s="118"/>
      <c r="J24" s="175">
        <f>H24/DAY(B2)</f>
        <v>5.5</v>
      </c>
      <c r="K24" s="79"/>
      <c r="L24" s="66"/>
      <c r="N24" s="87"/>
      <c r="O24" s="71"/>
    </row>
    <row r="25" spans="1:15" s="88" customFormat="1" ht="27" x14ac:dyDescent="0.35">
      <c r="A25" s="832" t="s">
        <v>149</v>
      </c>
      <c r="B25" s="833"/>
      <c r="C25" s="834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5" s="88" customFormat="1" ht="27.75" x14ac:dyDescent="0.5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/>
      <c r="I26" s="134"/>
      <c r="J26" s="175"/>
      <c r="K26" s="64"/>
      <c r="L26" s="89"/>
      <c r="N26" s="87"/>
      <c r="O26" s="71"/>
    </row>
    <row r="27" spans="1:15" s="88" customFormat="1" ht="27.75" x14ac:dyDescent="0.5">
      <c r="A27" s="208" t="s">
        <v>5</v>
      </c>
      <c r="B27" s="209"/>
      <c r="C27" s="210"/>
      <c r="D27" s="226" t="s">
        <v>24</v>
      </c>
      <c r="E27" s="135">
        <f>G8</f>
        <v>17336.710000000021</v>
      </c>
      <c r="F27" s="136">
        <v>9</v>
      </c>
      <c r="G27" s="137">
        <f>E27*F27</f>
        <v>156030.39000000019</v>
      </c>
      <c r="H27" s="99">
        <f>G27+'19'!H27</f>
        <v>3338736.39</v>
      </c>
      <c r="I27" s="138"/>
      <c r="J27" s="175">
        <f>H27/DAY(B2)</f>
        <v>166936.81950000001</v>
      </c>
      <c r="K27" s="63"/>
      <c r="L27" s="89"/>
      <c r="N27" s="87"/>
      <c r="O27" s="71"/>
    </row>
    <row r="28" spans="1:15" s="88" customFormat="1" ht="27.75" x14ac:dyDescent="0.5">
      <c r="A28" s="208" t="s">
        <v>152</v>
      </c>
      <c r="B28" s="209"/>
      <c r="C28" s="210"/>
      <c r="D28" s="226" t="s">
        <v>153</v>
      </c>
      <c r="E28" s="139">
        <f>G15</f>
        <v>986.94999999995343</v>
      </c>
      <c r="F28" s="136">
        <v>52</v>
      </c>
      <c r="G28" s="137">
        <f>E28*F28</f>
        <v>51321.399999997579</v>
      </c>
      <c r="H28" s="99">
        <f>G28+'19'!H28</f>
        <v>915889</v>
      </c>
      <c r="I28" s="140"/>
      <c r="J28" s="175">
        <f>H28/DAY(B2)</f>
        <v>45794.45</v>
      </c>
      <c r="K28" s="63"/>
      <c r="L28" s="89"/>
      <c r="N28" s="87"/>
      <c r="O28" s="71"/>
    </row>
    <row r="29" spans="1:15" s="88" customFormat="1" ht="27.75" x14ac:dyDescent="0.5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>E29*F29</f>
        <v>0</v>
      </c>
      <c r="H29" s="99">
        <f>G29+'19'!H29</f>
        <v>7590</v>
      </c>
      <c r="I29" s="140"/>
      <c r="J29" s="175">
        <f>H29/DAY(B2)</f>
        <v>379.5</v>
      </c>
      <c r="K29" s="63"/>
      <c r="L29" s="89"/>
      <c r="N29" s="87"/>
      <c r="O29" s="71"/>
    </row>
    <row r="30" spans="1:15" s="88" customFormat="1" ht="27.75" x14ac:dyDescent="0.5">
      <c r="A30" s="208" t="s">
        <v>156</v>
      </c>
      <c r="B30" s="209"/>
      <c r="C30" s="210"/>
      <c r="D30" s="226" t="s">
        <v>157</v>
      </c>
      <c r="E30" s="141">
        <f>G19</f>
        <v>56</v>
      </c>
      <c r="F30" s="136">
        <v>146</v>
      </c>
      <c r="G30" s="137">
        <f>E30*F30</f>
        <v>8176</v>
      </c>
      <c r="H30" s="99">
        <f>G30+'19'!H30</f>
        <v>155782</v>
      </c>
      <c r="I30" s="140"/>
      <c r="J30" s="175">
        <f>H30/DAY(B2)</f>
        <v>7789.1</v>
      </c>
      <c r="K30" s="63"/>
      <c r="L30" s="89"/>
      <c r="N30" s="87"/>
      <c r="O30" s="71"/>
    </row>
    <row r="31" spans="1:15" s="88" customFormat="1" ht="27.75" x14ac:dyDescent="0.5">
      <c r="A31" s="208" t="s">
        <v>158</v>
      </c>
      <c r="B31" s="209"/>
      <c r="C31" s="210"/>
      <c r="D31" s="226" t="s">
        <v>142</v>
      </c>
      <c r="E31" s="141">
        <f>G18</f>
        <v>160</v>
      </c>
      <c r="F31" s="136">
        <v>80</v>
      </c>
      <c r="G31" s="137">
        <f>E31*F31</f>
        <v>12800</v>
      </c>
      <c r="H31" s="99">
        <f>G31+'19'!H31</f>
        <v>174400</v>
      </c>
      <c r="I31" s="140"/>
      <c r="J31" s="175">
        <f>H31/DAY(B2)</f>
        <v>8720</v>
      </c>
      <c r="K31" s="63"/>
      <c r="L31" s="89"/>
      <c r="N31" s="87"/>
      <c r="O31" s="71"/>
    </row>
    <row r="32" spans="1:15" s="88" customFormat="1" ht="27.75" x14ac:dyDescent="0.5">
      <c r="A32" s="211" t="s">
        <v>159</v>
      </c>
      <c r="B32" s="212"/>
      <c r="C32" s="213"/>
      <c r="D32" s="142"/>
      <c r="E32" s="142"/>
      <c r="F32" s="142"/>
      <c r="G32" s="143">
        <f>G27+G28+G29+G30+G31</f>
        <v>228327.78999999777</v>
      </c>
      <c r="H32" s="99">
        <f>G32+'19'!H32</f>
        <v>4592397.3900000006</v>
      </c>
      <c r="I32" s="144"/>
      <c r="J32" s="175">
        <f>H32/DAY(B2)</f>
        <v>229619.86950000003</v>
      </c>
      <c r="K32" s="63"/>
      <c r="L32" s="89"/>
      <c r="N32" s="87"/>
      <c r="O32" s="71"/>
    </row>
    <row r="33" spans="1:15" ht="25.5" customHeight="1" x14ac:dyDescent="0.35">
      <c r="A33" s="835" t="s">
        <v>331</v>
      </c>
      <c r="B33" s="836"/>
      <c r="C33" s="836"/>
      <c r="D33" s="337"/>
      <c r="E33" s="337"/>
      <c r="F33" s="337"/>
      <c r="G33" s="337"/>
      <c r="H33" s="337"/>
      <c r="I33" s="337"/>
      <c r="J33" s="338"/>
      <c r="K33" s="79"/>
      <c r="L33" s="66"/>
      <c r="N33" s="87"/>
      <c r="O33" s="71"/>
    </row>
    <row r="34" spans="1:15" ht="29.25" x14ac:dyDescent="0.5">
      <c r="A34" s="214" t="s">
        <v>160</v>
      </c>
      <c r="B34" s="349"/>
      <c r="C34" s="349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29.25" x14ac:dyDescent="0.4">
      <c r="A35" s="194" t="s">
        <v>161</v>
      </c>
      <c r="B35" s="195"/>
      <c r="C35" s="195"/>
      <c r="D35" s="151" t="s">
        <v>130</v>
      </c>
      <c r="E35" s="95">
        <f>'19'!F35</f>
        <v>16302.52</v>
      </c>
      <c r="F35" s="145">
        <v>17793.810000000001</v>
      </c>
      <c r="G35" s="112">
        <f t="shared" ref="G35:G46" si="3">F35-E35</f>
        <v>1491.2900000000009</v>
      </c>
      <c r="H35" s="99">
        <f>G35+'19'!H35</f>
        <v>32993.81</v>
      </c>
      <c r="I35" s="95"/>
      <c r="J35" s="175">
        <f>H35/DAY(B2)</f>
        <v>1649.6904999999999</v>
      </c>
      <c r="K35" s="79"/>
      <c r="L35" s="66"/>
      <c r="N35" s="87"/>
      <c r="O35" s="71"/>
    </row>
    <row r="36" spans="1:15" ht="29.25" x14ac:dyDescent="0.4">
      <c r="A36" s="194" t="s">
        <v>162</v>
      </c>
      <c r="B36" s="195"/>
      <c r="C36" s="195"/>
      <c r="D36" s="151" t="s">
        <v>130</v>
      </c>
      <c r="E36" s="95">
        <f>'19'!F36</f>
        <v>34736.959999999999</v>
      </c>
      <c r="F36" s="145">
        <v>35331.82</v>
      </c>
      <c r="G36" s="112">
        <f t="shared" si="3"/>
        <v>594.86000000000058</v>
      </c>
      <c r="H36" s="99">
        <f>G36+'19'!H36</f>
        <v>13804.82</v>
      </c>
      <c r="I36" s="95"/>
      <c r="J36" s="175">
        <f>H36/DAY(B2)</f>
        <v>690.24099999999999</v>
      </c>
      <c r="K36" s="79"/>
      <c r="L36" s="66"/>
      <c r="N36" s="87"/>
      <c r="O36" s="344"/>
    </row>
    <row r="37" spans="1:15" ht="29.25" x14ac:dyDescent="0.4">
      <c r="A37" s="194" t="s">
        <v>163</v>
      </c>
      <c r="B37" s="195"/>
      <c r="C37" s="195"/>
      <c r="D37" s="151" t="s">
        <v>130</v>
      </c>
      <c r="E37" s="95">
        <f>'19'!F37</f>
        <v>16480.14</v>
      </c>
      <c r="F37" s="504">
        <v>18017.919999999998</v>
      </c>
      <c r="G37" s="112">
        <f t="shared" si="3"/>
        <v>1537.7799999999988</v>
      </c>
      <c r="H37" s="99">
        <f>G37+'19'!H37</f>
        <v>30229.919999999998</v>
      </c>
      <c r="I37" s="95"/>
      <c r="J37" s="175">
        <f>H37/DAY(B2)</f>
        <v>1511.4959999999999</v>
      </c>
      <c r="K37" s="79"/>
      <c r="L37" s="66"/>
      <c r="N37" s="87"/>
      <c r="O37" s="234"/>
    </row>
    <row r="38" spans="1:15" ht="29.25" x14ac:dyDescent="0.4">
      <c r="A38" s="194" t="s">
        <v>164</v>
      </c>
      <c r="B38" s="195"/>
      <c r="C38" s="195"/>
      <c r="D38" s="151" t="s">
        <v>130</v>
      </c>
      <c r="E38" s="95">
        <f>'19'!F38</f>
        <v>17488</v>
      </c>
      <c r="F38" s="106">
        <v>19100.849999999999</v>
      </c>
      <c r="G38" s="112">
        <f t="shared" si="3"/>
        <v>1612.8499999999985</v>
      </c>
      <c r="H38" s="99">
        <f>G38+'19'!H38</f>
        <v>32300.85</v>
      </c>
      <c r="I38" s="95"/>
      <c r="J38" s="175">
        <f>H38/DAY(B2)</f>
        <v>1615.0425</v>
      </c>
      <c r="K38" s="79"/>
      <c r="L38" s="66"/>
      <c r="N38" s="87"/>
      <c r="O38" s="71"/>
    </row>
    <row r="39" spans="1:15" ht="29.25" x14ac:dyDescent="0.4">
      <c r="A39" s="194" t="s">
        <v>165</v>
      </c>
      <c r="B39" s="195"/>
      <c r="C39" s="195"/>
      <c r="D39" s="151" t="s">
        <v>130</v>
      </c>
      <c r="E39" s="95">
        <f>'19'!F39</f>
        <v>28000.560000000001</v>
      </c>
      <c r="F39" s="504">
        <v>30507.61</v>
      </c>
      <c r="G39" s="112">
        <f t="shared" si="3"/>
        <v>2507.0499999999993</v>
      </c>
      <c r="H39" s="99">
        <f>G39+'19'!H39</f>
        <v>52189.61</v>
      </c>
      <c r="I39" s="95"/>
      <c r="J39" s="175">
        <f>H39/DAY(B2)</f>
        <v>2609.4805000000001</v>
      </c>
      <c r="K39" s="79"/>
      <c r="L39" s="66"/>
      <c r="N39" s="87"/>
      <c r="O39" s="71"/>
    </row>
    <row r="40" spans="1:15" ht="29.25" x14ac:dyDescent="0.4">
      <c r="A40" s="215" t="s">
        <v>166</v>
      </c>
      <c r="B40" s="216"/>
      <c r="C40" s="216"/>
      <c r="D40" s="151" t="s">
        <v>130</v>
      </c>
      <c r="E40" s="95">
        <f>'19'!F40</f>
        <v>14058.37</v>
      </c>
      <c r="F40" s="145">
        <v>14501.05</v>
      </c>
      <c r="G40" s="112">
        <f t="shared" si="3"/>
        <v>442.67999999999847</v>
      </c>
      <c r="H40" s="99">
        <f>G40+'19'!H40</f>
        <v>8891.0499999999993</v>
      </c>
      <c r="I40" s="95"/>
      <c r="J40" s="175">
        <f>H40/DAY(B2)</f>
        <v>444.55249999999995</v>
      </c>
      <c r="K40" s="80"/>
      <c r="L40" s="66"/>
      <c r="N40" s="87"/>
      <c r="O40" s="71"/>
    </row>
    <row r="41" spans="1:15" ht="29.25" x14ac:dyDescent="0.4">
      <c r="A41" s="194" t="s">
        <v>167</v>
      </c>
      <c r="B41" s="195"/>
      <c r="C41" s="195"/>
      <c r="D41" s="151" t="s">
        <v>130</v>
      </c>
      <c r="E41" s="95">
        <f>'19'!F41</f>
        <v>0</v>
      </c>
      <c r="F41" s="145">
        <v>0</v>
      </c>
      <c r="G41" s="112">
        <f t="shared" si="3"/>
        <v>0</v>
      </c>
      <c r="H41" s="99">
        <f>G41+'19'!H41</f>
        <v>0</v>
      </c>
      <c r="I41" s="95"/>
      <c r="J41" s="175">
        <f>H41/DAY(B2)</f>
        <v>0</v>
      </c>
      <c r="K41" s="79"/>
      <c r="L41" s="66"/>
      <c r="N41" s="87"/>
      <c r="O41" s="71"/>
    </row>
    <row r="42" spans="1:15" ht="29.25" x14ac:dyDescent="0.4">
      <c r="A42" s="194" t="s">
        <v>168</v>
      </c>
      <c r="B42" s="195"/>
      <c r="C42" s="195"/>
      <c r="D42" s="151" t="s">
        <v>130</v>
      </c>
      <c r="E42" s="95">
        <f>'19'!F42</f>
        <v>73808.600000000006</v>
      </c>
      <c r="F42" s="145">
        <v>73808.600000000006</v>
      </c>
      <c r="G42" s="112">
        <f t="shared" si="3"/>
        <v>0</v>
      </c>
      <c r="H42" s="99">
        <f>G42+'19'!H42</f>
        <v>-0.39999999999417923</v>
      </c>
      <c r="I42" s="95"/>
      <c r="J42" s="175">
        <f>H42/DAY(B2)</f>
        <v>-1.9999999999708962E-2</v>
      </c>
      <c r="K42" s="79"/>
      <c r="L42" s="66"/>
      <c r="N42" s="87"/>
      <c r="O42" s="71"/>
    </row>
    <row r="43" spans="1:15" ht="29.25" x14ac:dyDescent="0.4">
      <c r="A43" s="194" t="s">
        <v>169</v>
      </c>
      <c r="B43" s="195"/>
      <c r="C43" s="195"/>
      <c r="D43" s="151" t="s">
        <v>130</v>
      </c>
      <c r="E43" s="95">
        <f>'19'!F43</f>
        <v>89753.52</v>
      </c>
      <c r="F43" s="145">
        <v>92066.99</v>
      </c>
      <c r="G43" s="112">
        <f t="shared" si="3"/>
        <v>2313.4700000000012</v>
      </c>
      <c r="H43" s="99">
        <f>G43+'19'!H43</f>
        <v>44805.990000000005</v>
      </c>
      <c r="I43" s="95"/>
      <c r="J43" s="175">
        <f>H43/DAY(B2)</f>
        <v>2240.2995000000001</v>
      </c>
      <c r="K43" s="79"/>
      <c r="L43" s="66"/>
      <c r="N43" s="87"/>
      <c r="O43" s="71"/>
    </row>
    <row r="44" spans="1:15" ht="29.25" x14ac:dyDescent="0.4">
      <c r="A44" s="194" t="s">
        <v>170</v>
      </c>
      <c r="B44" s="195"/>
      <c r="C44" s="195"/>
      <c r="D44" s="151" t="s">
        <v>130</v>
      </c>
      <c r="E44" s="95">
        <f>'19'!F44</f>
        <v>0</v>
      </c>
      <c r="F44" s="145">
        <v>0</v>
      </c>
      <c r="G44" s="112">
        <f t="shared" si="3"/>
        <v>0</v>
      </c>
      <c r="H44" s="99">
        <f>G44+'19'!H44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29.25" x14ac:dyDescent="0.4">
      <c r="A45" s="194" t="s">
        <v>171</v>
      </c>
      <c r="B45" s="195"/>
      <c r="C45" s="195"/>
      <c r="D45" s="151" t="s">
        <v>130</v>
      </c>
      <c r="E45" s="95">
        <f>'19'!F45</f>
        <v>0</v>
      </c>
      <c r="F45" s="145">
        <v>0</v>
      </c>
      <c r="G45" s="112">
        <f t="shared" si="3"/>
        <v>0</v>
      </c>
      <c r="H45" s="99">
        <f>G45+'19'!H45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29.25" x14ac:dyDescent="0.4">
      <c r="A46" s="194" t="s">
        <v>172</v>
      </c>
      <c r="B46" s="195"/>
      <c r="C46" s="195"/>
      <c r="D46" s="151" t="s">
        <v>130</v>
      </c>
      <c r="E46" s="95">
        <f>'19'!F46</f>
        <v>0</v>
      </c>
      <c r="F46" s="145">
        <v>0</v>
      </c>
      <c r="G46" s="112">
        <f t="shared" si="3"/>
        <v>0</v>
      </c>
      <c r="H46" s="99">
        <f>G46+'19'!H46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29.25" x14ac:dyDescent="0.5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10499.979999999998</v>
      </c>
      <c r="H47" s="99">
        <f>G47+'19'!H47</f>
        <v>215215.65000000005</v>
      </c>
      <c r="I47" s="95"/>
      <c r="J47" s="175">
        <f>H47/DAY(B2)</f>
        <v>10760.782500000003</v>
      </c>
      <c r="K47" s="79"/>
      <c r="L47" s="66"/>
      <c r="N47" s="87"/>
      <c r="O47" s="71"/>
    </row>
    <row r="48" spans="1:15" ht="29.25" x14ac:dyDescent="0.5">
      <c r="A48" s="214" t="s">
        <v>174</v>
      </c>
      <c r="B48" s="349"/>
      <c r="C48" s="349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29.25" x14ac:dyDescent="0.4">
      <c r="A49" s="194" t="s">
        <v>161</v>
      </c>
      <c r="B49" s="217"/>
      <c r="C49" s="217"/>
      <c r="D49" s="151" t="s">
        <v>130</v>
      </c>
      <c r="E49" s="95">
        <f>'19'!F49</f>
        <v>13711.82</v>
      </c>
      <c r="F49" s="145">
        <v>14791.1</v>
      </c>
      <c r="G49" s="112">
        <f t="shared" ref="G49:G58" si="4">F49-E49</f>
        <v>1079.2800000000007</v>
      </c>
      <c r="H49" s="99">
        <f>G49+'19'!H49</f>
        <v>27912.1</v>
      </c>
      <c r="I49" s="95"/>
      <c r="J49" s="175">
        <f>H49/DAY(B2)</f>
        <v>1395.605</v>
      </c>
      <c r="K49" s="79"/>
      <c r="L49" s="66"/>
      <c r="N49" s="87"/>
      <c r="O49" s="71"/>
    </row>
    <row r="50" spans="1:15" ht="29.25" x14ac:dyDescent="0.4">
      <c r="A50" s="194" t="s">
        <v>175</v>
      </c>
      <c r="B50" s="217"/>
      <c r="C50" s="217"/>
      <c r="D50" s="151" t="s">
        <v>130</v>
      </c>
      <c r="E50" s="95">
        <f>'19'!F50</f>
        <v>43021.69</v>
      </c>
      <c r="F50" s="145">
        <v>43936.35</v>
      </c>
      <c r="G50" s="112">
        <f t="shared" si="4"/>
        <v>914.65999999999622</v>
      </c>
      <c r="H50" s="99">
        <f>G50+'19'!H50</f>
        <v>19286.349999999999</v>
      </c>
      <c r="I50" s="95"/>
      <c r="J50" s="175">
        <f>H50/DAY(B2)</f>
        <v>964.31749999999988</v>
      </c>
      <c r="K50" s="79"/>
      <c r="L50" s="66"/>
      <c r="N50" s="87"/>
      <c r="O50" s="71"/>
    </row>
    <row r="51" spans="1:15" ht="29.25" x14ac:dyDescent="0.4">
      <c r="A51" s="194" t="s">
        <v>163</v>
      </c>
      <c r="B51" s="217"/>
      <c r="C51" s="217"/>
      <c r="D51" s="151" t="s">
        <v>130</v>
      </c>
      <c r="E51" s="95">
        <f>'19'!F51</f>
        <v>0</v>
      </c>
      <c r="F51" s="145">
        <v>0</v>
      </c>
      <c r="G51" s="112">
        <f t="shared" si="4"/>
        <v>0</v>
      </c>
      <c r="H51" s="99">
        <f>G51+'19'!H51</f>
        <v>0</v>
      </c>
      <c r="I51" s="95"/>
      <c r="J51" s="175">
        <f>H51/DAY(B2)</f>
        <v>0</v>
      </c>
      <c r="K51" s="79"/>
      <c r="L51" s="66"/>
      <c r="N51" s="87"/>
      <c r="O51" s="71"/>
    </row>
    <row r="52" spans="1:15" ht="29.25" x14ac:dyDescent="0.4">
      <c r="A52" s="194" t="s">
        <v>176</v>
      </c>
      <c r="B52" s="217"/>
      <c r="C52" s="217"/>
      <c r="D52" s="151" t="s">
        <v>130</v>
      </c>
      <c r="E52" s="95">
        <f>'19'!F52</f>
        <v>0</v>
      </c>
      <c r="F52" s="145">
        <v>0</v>
      </c>
      <c r="G52" s="112">
        <f t="shared" si="4"/>
        <v>0</v>
      </c>
      <c r="H52" s="99">
        <f>G52+'19'!H52</f>
        <v>0</v>
      </c>
      <c r="I52" s="95"/>
      <c r="J52" s="175">
        <f>H52/DAY(B2)</f>
        <v>0</v>
      </c>
      <c r="K52" s="79"/>
      <c r="L52" s="66"/>
      <c r="N52" s="87"/>
      <c r="O52" s="71"/>
    </row>
    <row r="53" spans="1:15" ht="29.25" x14ac:dyDescent="0.4">
      <c r="A53" s="194" t="s">
        <v>165</v>
      </c>
      <c r="B53" s="217"/>
      <c r="C53" s="217"/>
      <c r="D53" s="151" t="s">
        <v>130</v>
      </c>
      <c r="E53" s="95">
        <f>'19'!F53</f>
        <v>0</v>
      </c>
      <c r="F53" s="145">
        <v>0</v>
      </c>
      <c r="G53" s="112">
        <f t="shared" si="4"/>
        <v>0</v>
      </c>
      <c r="H53" s="99">
        <f>G53+'19'!H53</f>
        <v>0</v>
      </c>
      <c r="I53" s="95"/>
      <c r="J53" s="175">
        <f>H53/DAY(B2)</f>
        <v>0</v>
      </c>
      <c r="K53" s="79"/>
      <c r="L53" s="66"/>
      <c r="N53" s="87"/>
      <c r="O53" s="71"/>
    </row>
    <row r="54" spans="1:15" ht="29.25" x14ac:dyDescent="0.4">
      <c r="A54" s="194" t="s">
        <v>177</v>
      </c>
      <c r="B54" s="217"/>
      <c r="C54" s="217"/>
      <c r="D54" s="151" t="s">
        <v>130</v>
      </c>
      <c r="E54" s="95">
        <f>'19'!F54</f>
        <v>5147.42</v>
      </c>
      <c r="F54" s="145">
        <v>5147.42</v>
      </c>
      <c r="G54" s="112">
        <f t="shared" si="4"/>
        <v>0</v>
      </c>
      <c r="H54" s="99">
        <f>G54+'19'!H54</f>
        <v>6914.5</v>
      </c>
      <c r="I54" s="95"/>
      <c r="J54" s="175">
        <f>H54/DAY(B2)</f>
        <v>345.72500000000002</v>
      </c>
      <c r="K54" s="79"/>
      <c r="L54" s="66"/>
      <c r="N54" s="87"/>
      <c r="O54" s="71"/>
    </row>
    <row r="55" spans="1:15" ht="29.25" x14ac:dyDescent="0.4">
      <c r="A55" s="194" t="s">
        <v>178</v>
      </c>
      <c r="B55" s="217"/>
      <c r="C55" s="217"/>
      <c r="D55" s="151" t="s">
        <v>130</v>
      </c>
      <c r="E55" s="95">
        <f>'19'!F55</f>
        <v>60685.83</v>
      </c>
      <c r="F55" s="145">
        <v>63274.47</v>
      </c>
      <c r="G55" s="112">
        <f t="shared" si="4"/>
        <v>2588.6399999999994</v>
      </c>
      <c r="H55" s="99">
        <f>G55+'19'!H55</f>
        <v>59763.47</v>
      </c>
      <c r="I55" s="95"/>
      <c r="J55" s="175">
        <f>H55/DAY(B2)</f>
        <v>2988.1734999999999</v>
      </c>
      <c r="K55" s="79"/>
      <c r="L55" s="66"/>
      <c r="N55" s="87"/>
      <c r="O55" s="71"/>
    </row>
    <row r="56" spans="1:15" ht="29.25" x14ac:dyDescent="0.4">
      <c r="A56" s="194" t="s">
        <v>179</v>
      </c>
      <c r="B56" s="217"/>
      <c r="C56" s="217"/>
      <c r="D56" s="151" t="s">
        <v>180</v>
      </c>
      <c r="E56" s="95">
        <f>'19'!F56</f>
        <v>8610.5400000000009</v>
      </c>
      <c r="F56" s="145">
        <v>8610.5400000000009</v>
      </c>
      <c r="G56" s="112">
        <f t="shared" si="4"/>
        <v>0</v>
      </c>
      <c r="H56" s="99">
        <f>G56+'19'!H56</f>
        <v>0</v>
      </c>
      <c r="I56" s="95"/>
      <c r="J56" s="175">
        <f>H56/DAY(B2)</f>
        <v>0</v>
      </c>
      <c r="K56" s="78"/>
      <c r="L56" s="66"/>
      <c r="N56" s="87"/>
      <c r="O56" s="71"/>
    </row>
    <row r="57" spans="1:15" ht="29.25" x14ac:dyDescent="0.4">
      <c r="A57" s="194" t="s">
        <v>169</v>
      </c>
      <c r="B57" s="217"/>
      <c r="C57" s="217"/>
      <c r="D57" s="151" t="s">
        <v>130</v>
      </c>
      <c r="E57" s="95">
        <f>'19'!F57</f>
        <v>0</v>
      </c>
      <c r="F57" s="145">
        <v>0</v>
      </c>
      <c r="G57" s="112">
        <f t="shared" si="4"/>
        <v>0</v>
      </c>
      <c r="H57" s="99">
        <f>G57+'19'!H57</f>
        <v>0</v>
      </c>
      <c r="I57" s="95"/>
      <c r="J57" s="175">
        <f>H57/DAY(B2)</f>
        <v>0</v>
      </c>
      <c r="K57" s="79"/>
      <c r="L57" s="66"/>
      <c r="N57" s="87"/>
      <c r="O57" s="71"/>
    </row>
    <row r="58" spans="1:15" ht="29.25" x14ac:dyDescent="0.4">
      <c r="A58" s="194" t="s">
        <v>181</v>
      </c>
      <c r="B58" s="217"/>
      <c r="C58" s="217"/>
      <c r="D58" s="151" t="s">
        <v>130</v>
      </c>
      <c r="E58" s="95">
        <f>'19'!F58</f>
        <v>2310.27</v>
      </c>
      <c r="F58" s="145">
        <v>2566.9899999999998</v>
      </c>
      <c r="G58" s="112">
        <f t="shared" si="4"/>
        <v>256.7199999999998</v>
      </c>
      <c r="H58" s="99">
        <f>G58+'19'!H58</f>
        <v>2907.6200000000044</v>
      </c>
      <c r="I58" s="95"/>
      <c r="J58" s="175">
        <f>H58/DAY(B2)</f>
        <v>145.38100000000023</v>
      </c>
      <c r="K58" s="79"/>
      <c r="L58" s="66"/>
      <c r="N58" s="87"/>
      <c r="O58" s="71"/>
    </row>
    <row r="59" spans="1:15" ht="29.25" x14ac:dyDescent="0.5">
      <c r="A59" s="201" t="s">
        <v>173</v>
      </c>
      <c r="B59" s="202"/>
      <c r="C59" s="202"/>
      <c r="D59" s="146"/>
      <c r="E59" s="146"/>
      <c r="F59" s="146"/>
      <c r="G59" s="119">
        <f>G49+G50+G51+G52+G53+G54+G55+G56+G57+G58</f>
        <v>4839.2999999999956</v>
      </c>
      <c r="H59" s="99">
        <f>G59+'19'!H59</f>
        <v>116784.04000000004</v>
      </c>
      <c r="I59" s="95">
        <f>G7-G60</f>
        <v>1383.8700000000299</v>
      </c>
      <c r="J59" s="175">
        <f>H59/DAY(B2)</f>
        <v>5839.202000000002</v>
      </c>
      <c r="K59" s="79"/>
      <c r="L59" s="66"/>
      <c r="N59" s="87"/>
      <c r="O59" s="71"/>
    </row>
    <row r="60" spans="1:15" ht="29.25" x14ac:dyDescent="0.4">
      <c r="A60" s="194"/>
      <c r="B60" s="195"/>
      <c r="C60" s="195"/>
      <c r="D60" s="146" t="s">
        <v>182</v>
      </c>
      <c r="E60" s="146"/>
      <c r="F60" s="146"/>
      <c r="G60" s="119">
        <f>G47+G59</f>
        <v>15339.279999999993</v>
      </c>
      <c r="H60" s="99">
        <f>G60+'19'!H60</f>
        <v>331999.68999999994</v>
      </c>
      <c r="I60" s="95">
        <f>G13-G60</f>
        <v>923.12000000000808</v>
      </c>
      <c r="J60" s="175">
        <f>H60/DAY(B2)</f>
        <v>16599.984499999999</v>
      </c>
      <c r="K60" s="79"/>
      <c r="L60" s="66"/>
      <c r="N60" s="87"/>
      <c r="O60" s="71"/>
    </row>
    <row r="61" spans="1:15" s="68" customFormat="1" ht="27.75" x14ac:dyDescent="0.5">
      <c r="A61" s="837" t="s">
        <v>332</v>
      </c>
      <c r="B61" s="838"/>
      <c r="C61" s="839"/>
      <c r="D61" s="339"/>
      <c r="E61" s="339"/>
      <c r="F61" s="339"/>
      <c r="G61" s="340"/>
      <c r="H61" s="339"/>
      <c r="I61" s="339"/>
      <c r="J61" s="341"/>
      <c r="K61" s="69"/>
      <c r="L61" s="67"/>
      <c r="N61" s="87"/>
      <c r="O61" s="71"/>
    </row>
    <row r="62" spans="1:15" ht="27.75" x14ac:dyDescent="0.5">
      <c r="A62" s="818" t="s">
        <v>198</v>
      </c>
      <c r="B62" s="819"/>
      <c r="C62" s="820"/>
      <c r="D62" s="151" t="s">
        <v>142</v>
      </c>
      <c r="E62" s="95">
        <f>'19'!F62</f>
        <v>268368</v>
      </c>
      <c r="F62" s="122">
        <v>268437</v>
      </c>
      <c r="G62" s="112">
        <f t="shared" ref="G62:G63" si="5">F62-E62</f>
        <v>69</v>
      </c>
      <c r="H62" s="99">
        <f>G62+'19'!H62</f>
        <v>1224</v>
      </c>
      <c r="I62" s="118"/>
      <c r="J62" s="175">
        <f>H62/DAY(B2)</f>
        <v>61.2</v>
      </c>
      <c r="K62" s="80"/>
      <c r="L62" s="66"/>
      <c r="N62" s="87"/>
      <c r="O62" s="71"/>
    </row>
    <row r="63" spans="1:15" ht="27.75" x14ac:dyDescent="0.5">
      <c r="A63" s="818" t="s">
        <v>199</v>
      </c>
      <c r="B63" s="819"/>
      <c r="C63" s="820"/>
      <c r="D63" s="151" t="s">
        <v>142</v>
      </c>
      <c r="E63" s="95">
        <f>'19'!F63</f>
        <v>214335</v>
      </c>
      <c r="F63" s="122">
        <v>214440</v>
      </c>
      <c r="G63" s="112">
        <f t="shared" si="5"/>
        <v>105</v>
      </c>
      <c r="H63" s="99">
        <f>G63+'19'!H63</f>
        <v>2015</v>
      </c>
      <c r="I63" s="118"/>
      <c r="J63" s="175">
        <f>H63/DAY(B2)</f>
        <v>100.75</v>
      </c>
      <c r="K63" s="69"/>
      <c r="L63" s="66"/>
      <c r="N63" s="87"/>
      <c r="O63" s="71"/>
    </row>
    <row r="64" spans="1:15" ht="29.25" x14ac:dyDescent="0.5">
      <c r="A64" s="815" t="s">
        <v>200</v>
      </c>
      <c r="B64" s="816"/>
      <c r="C64" s="817"/>
      <c r="D64" s="151"/>
      <c r="E64" s="95">
        <f>'19'!F64</f>
        <v>0</v>
      </c>
      <c r="F64" s="122"/>
      <c r="G64" s="112">
        <f>G62+G63</f>
        <v>174</v>
      </c>
      <c r="H64" s="99">
        <f>G64+'19'!H64</f>
        <v>3239</v>
      </c>
      <c r="I64" s="118"/>
      <c r="J64" s="175">
        <f>H64/DAY(B2)</f>
        <v>161.94999999999999</v>
      </c>
      <c r="K64" s="69"/>
      <c r="L64" s="66"/>
      <c r="N64" s="87"/>
      <c r="O64" s="71"/>
    </row>
    <row r="65" spans="1:15" ht="27.75" x14ac:dyDescent="0.5">
      <c r="A65" s="818" t="s">
        <v>201</v>
      </c>
      <c r="B65" s="819"/>
      <c r="C65" s="820"/>
      <c r="D65" s="151" t="s">
        <v>142</v>
      </c>
      <c r="E65" s="95">
        <f>'19'!F65</f>
        <v>433919</v>
      </c>
      <c r="F65" s="122">
        <v>433991</v>
      </c>
      <c r="G65" s="112">
        <f t="shared" ref="G65:G70" si="6">F65-E65</f>
        <v>72</v>
      </c>
      <c r="H65" s="99">
        <f>G65+'19'!H65</f>
        <v>1377</v>
      </c>
      <c r="I65" s="118"/>
      <c r="J65" s="175">
        <f>H65/DAY(B2)</f>
        <v>68.849999999999994</v>
      </c>
      <c r="K65" s="69"/>
      <c r="L65" s="66"/>
      <c r="N65" s="87"/>
      <c r="O65" s="71"/>
    </row>
    <row r="66" spans="1:15" ht="27.75" x14ac:dyDescent="0.5">
      <c r="A66" s="345" t="s">
        <v>202</v>
      </c>
      <c r="B66" s="346"/>
      <c r="C66" s="346"/>
      <c r="D66" s="151" t="s">
        <v>142</v>
      </c>
      <c r="E66" s="95">
        <f>'19'!F66</f>
        <v>107534</v>
      </c>
      <c r="F66" s="122">
        <v>107544</v>
      </c>
      <c r="G66" s="112">
        <f t="shared" si="6"/>
        <v>10</v>
      </c>
      <c r="H66" s="99">
        <f>G66+'19'!H66</f>
        <v>330</v>
      </c>
      <c r="I66" s="118"/>
      <c r="J66" s="175">
        <f>H66/DAY(B2)</f>
        <v>16.5</v>
      </c>
      <c r="K66" s="78"/>
      <c r="L66" s="66"/>
      <c r="N66" s="87"/>
      <c r="O66" s="71"/>
    </row>
    <row r="67" spans="1:15" ht="27.75" x14ac:dyDescent="0.5">
      <c r="A67" s="345" t="s">
        <v>203</v>
      </c>
      <c r="B67" s="346"/>
      <c r="C67" s="346"/>
      <c r="D67" s="151" t="s">
        <v>142</v>
      </c>
      <c r="E67" s="95">
        <f>'19'!F67</f>
        <v>104367</v>
      </c>
      <c r="F67" s="122">
        <v>104390</v>
      </c>
      <c r="G67" s="112">
        <f t="shared" si="6"/>
        <v>23</v>
      </c>
      <c r="H67" s="99">
        <f>G67+'19'!H67</f>
        <v>462</v>
      </c>
      <c r="I67" s="118"/>
      <c r="J67" s="175">
        <f>H67/DAY(B2)</f>
        <v>23.1</v>
      </c>
      <c r="K67" s="81"/>
      <c r="L67" s="66"/>
      <c r="N67" s="87"/>
      <c r="O67" s="71"/>
    </row>
    <row r="68" spans="1:15" ht="27.75" x14ac:dyDescent="0.5">
      <c r="A68" s="345" t="s">
        <v>204</v>
      </c>
      <c r="B68" s="346"/>
      <c r="C68" s="346"/>
      <c r="D68" s="151" t="s">
        <v>142</v>
      </c>
      <c r="E68" s="95">
        <f>'19'!F68</f>
        <v>157143</v>
      </c>
      <c r="F68" s="122">
        <v>157193</v>
      </c>
      <c r="G68" s="112">
        <f t="shared" si="6"/>
        <v>50</v>
      </c>
      <c r="H68" s="99">
        <f>G68+'19'!H68</f>
        <v>573</v>
      </c>
      <c r="I68" s="118"/>
      <c r="J68" s="175">
        <f>H68/DAY(B2)</f>
        <v>28.65</v>
      </c>
      <c r="K68" s="69"/>
      <c r="L68" s="66"/>
      <c r="N68" s="87"/>
      <c r="O68" s="71"/>
    </row>
    <row r="69" spans="1:15" ht="27.75" x14ac:dyDescent="0.5">
      <c r="A69" s="345" t="s">
        <v>205</v>
      </c>
      <c r="B69" s="346"/>
      <c r="C69" s="346"/>
      <c r="D69" s="151" t="s">
        <v>142</v>
      </c>
      <c r="E69" s="95">
        <f>'19'!F69</f>
        <v>10397</v>
      </c>
      <c r="F69" s="122">
        <v>10411</v>
      </c>
      <c r="G69" s="112">
        <f t="shared" si="6"/>
        <v>14</v>
      </c>
      <c r="H69" s="99">
        <f>G69+'19'!H69</f>
        <v>197</v>
      </c>
      <c r="I69" s="118"/>
      <c r="J69" s="175">
        <f>H69/DAY(B2)</f>
        <v>9.85</v>
      </c>
      <c r="K69" s="69"/>
      <c r="L69" s="66"/>
      <c r="N69" s="87"/>
      <c r="O69" s="71"/>
    </row>
    <row r="70" spans="1:15" ht="27.75" x14ac:dyDescent="0.5">
      <c r="A70" s="345" t="s">
        <v>206</v>
      </c>
      <c r="B70" s="346"/>
      <c r="C70" s="346"/>
      <c r="D70" s="151" t="s">
        <v>142</v>
      </c>
      <c r="E70" s="95">
        <f>'19'!F70</f>
        <v>8001.1</v>
      </c>
      <c r="F70" s="122">
        <v>8006</v>
      </c>
      <c r="G70" s="112">
        <f t="shared" si="6"/>
        <v>4.8999999999996362</v>
      </c>
      <c r="H70" s="99">
        <f>G70+'19'!H70</f>
        <v>144</v>
      </c>
      <c r="I70" s="118"/>
      <c r="J70" s="175">
        <f>H70/DAY(B2)</f>
        <v>7.2</v>
      </c>
      <c r="K70" s="69"/>
      <c r="L70" s="66"/>
      <c r="N70" s="87"/>
      <c r="O70" s="71"/>
    </row>
    <row r="71" spans="1:15" ht="29.25" x14ac:dyDescent="0.5">
      <c r="A71" s="815" t="s">
        <v>208</v>
      </c>
      <c r="B71" s="816"/>
      <c r="C71" s="817"/>
      <c r="D71" s="152"/>
      <c r="E71" s="152"/>
      <c r="F71" s="152"/>
      <c r="G71" s="153">
        <f>SUM(G65:G70)</f>
        <v>173.89999999999964</v>
      </c>
      <c r="H71" s="99">
        <f>G71+'19'!H71</f>
        <v>3083</v>
      </c>
      <c r="I71" s="154"/>
      <c r="J71" s="175">
        <f>H71/DAY(B2)</f>
        <v>154.15</v>
      </c>
      <c r="K71" s="69"/>
      <c r="L71" s="66"/>
      <c r="N71" s="87"/>
      <c r="O71" s="71"/>
    </row>
    <row r="72" spans="1:15" s="88" customFormat="1" ht="27.75" x14ac:dyDescent="0.5">
      <c r="A72" s="861"/>
      <c r="B72" s="853"/>
      <c r="C72" s="347"/>
      <c r="D72" s="180"/>
      <c r="E72" s="180" t="s">
        <v>207</v>
      </c>
      <c r="F72" s="180"/>
      <c r="G72" s="180"/>
      <c r="H72" s="181"/>
      <c r="I72" s="180"/>
      <c r="J72" s="182"/>
      <c r="N72" s="87"/>
      <c r="O72" s="71"/>
    </row>
    <row r="73" spans="1:15" ht="29.25" x14ac:dyDescent="0.5">
      <c r="A73" s="866" t="s">
        <v>333</v>
      </c>
      <c r="B73" s="867"/>
      <c r="C73" s="868"/>
      <c r="D73" s="339"/>
      <c r="E73" s="339"/>
      <c r="F73" s="339"/>
      <c r="G73" s="342"/>
      <c r="H73" s="342"/>
      <c r="I73" s="342"/>
      <c r="J73" s="343"/>
      <c r="K73" s="69"/>
      <c r="L73" s="66"/>
      <c r="N73" s="87"/>
      <c r="O73" s="71"/>
    </row>
    <row r="74" spans="1:15" ht="27.75" x14ac:dyDescent="0.5">
      <c r="A74" s="818" t="s">
        <v>220</v>
      </c>
      <c r="B74" s="819"/>
      <c r="C74" s="820"/>
      <c r="D74" s="151" t="s">
        <v>139</v>
      </c>
      <c r="E74" s="95">
        <f>'19'!F74</f>
        <v>897672.5</v>
      </c>
      <c r="F74" s="117">
        <v>897967.65</v>
      </c>
      <c r="G74" s="112">
        <f t="shared" ref="G74:G78" si="7">F74-E74</f>
        <v>295.15000000002328</v>
      </c>
      <c r="H74" s="99">
        <f>G74+'19'!H74</f>
        <v>5935.6500000000233</v>
      </c>
      <c r="I74" s="154"/>
      <c r="J74" s="175">
        <f>H74/DAY(B2)</f>
        <v>296.78250000000116</v>
      </c>
      <c r="K74" s="69"/>
      <c r="L74" s="66"/>
      <c r="N74" s="87"/>
      <c r="O74" s="71"/>
    </row>
    <row r="75" spans="1:15" ht="27.75" x14ac:dyDescent="0.5">
      <c r="A75" s="818" t="s">
        <v>221</v>
      </c>
      <c r="B75" s="819"/>
      <c r="C75" s="820"/>
      <c r="D75" s="151" t="s">
        <v>139</v>
      </c>
      <c r="E75" s="95">
        <f>'19'!F75</f>
        <v>73586.8</v>
      </c>
      <c r="F75" s="123">
        <v>73586.8</v>
      </c>
      <c r="G75" s="112">
        <f t="shared" si="7"/>
        <v>0</v>
      </c>
      <c r="H75" s="99">
        <f>G75+'19'!H75</f>
        <v>0</v>
      </c>
      <c r="I75" s="154"/>
      <c r="J75" s="175">
        <f>H75/DAY(B2)</f>
        <v>0</v>
      </c>
      <c r="K75" s="69"/>
      <c r="L75" s="66"/>
      <c r="N75" s="87"/>
      <c r="O75" s="71"/>
    </row>
    <row r="76" spans="1:15" ht="27.75" x14ac:dyDescent="0.5">
      <c r="A76" s="862" t="s">
        <v>222</v>
      </c>
      <c r="B76" s="848"/>
      <c r="C76" s="849"/>
      <c r="D76" s="151" t="s">
        <v>139</v>
      </c>
      <c r="E76" s="95">
        <f>'19'!F76</f>
        <v>168794.9</v>
      </c>
      <c r="F76" s="123">
        <v>168878.54</v>
      </c>
      <c r="G76" s="112">
        <f t="shared" si="7"/>
        <v>83.64000000001397</v>
      </c>
      <c r="H76" s="99">
        <f>G76+'19'!H76</f>
        <v>1671.5400000000081</v>
      </c>
      <c r="I76" s="154"/>
      <c r="J76" s="175">
        <f>H76/DAY(B2)</f>
        <v>83.57700000000041</v>
      </c>
      <c r="K76" s="69"/>
      <c r="L76" s="66"/>
      <c r="N76" s="87"/>
      <c r="O76" s="71"/>
    </row>
    <row r="77" spans="1:15" ht="27.75" x14ac:dyDescent="0.5">
      <c r="A77" s="862" t="s">
        <v>223</v>
      </c>
      <c r="B77" s="848"/>
      <c r="C77" s="849"/>
      <c r="D77" s="151" t="s">
        <v>139</v>
      </c>
      <c r="E77" s="95">
        <f>'19'!F77</f>
        <v>40871.1</v>
      </c>
      <c r="F77" s="123">
        <v>40896.699999999997</v>
      </c>
      <c r="G77" s="112">
        <f t="shared" si="7"/>
        <v>25.599999999998545</v>
      </c>
      <c r="H77" s="99">
        <f>G77+'19'!H77</f>
        <v>580.69999999999709</v>
      </c>
      <c r="I77" s="154"/>
      <c r="J77" s="175">
        <f>H77/DAY(B2)</f>
        <v>29.034999999999854</v>
      </c>
      <c r="K77" s="69"/>
      <c r="L77" s="66"/>
      <c r="N77" s="87"/>
      <c r="O77" s="71"/>
    </row>
    <row r="78" spans="1:15" ht="27.75" x14ac:dyDescent="0.5">
      <c r="A78" s="862" t="s">
        <v>224</v>
      </c>
      <c r="B78" s="848"/>
      <c r="C78" s="849"/>
      <c r="D78" s="151" t="s">
        <v>139</v>
      </c>
      <c r="E78" s="95">
        <f>'19'!F78</f>
        <v>9501.2999999999993</v>
      </c>
      <c r="F78" s="123">
        <v>9501.9</v>
      </c>
      <c r="G78" s="112">
        <f t="shared" si="7"/>
        <v>0.6000000000003638</v>
      </c>
      <c r="H78" s="99">
        <f>G78+'19'!H78</f>
        <v>15.899999999999636</v>
      </c>
      <c r="I78" s="118"/>
      <c r="J78" s="175">
        <f>H78/DAY(B2)</f>
        <v>0.79499999999998183</v>
      </c>
      <c r="K78" s="69"/>
      <c r="L78" s="66"/>
      <c r="N78" s="87"/>
      <c r="O78" s="71"/>
    </row>
    <row r="79" spans="1:15" s="57" customFormat="1" ht="27.75" x14ac:dyDescent="0.5">
      <c r="A79" s="862" t="s">
        <v>225</v>
      </c>
      <c r="B79" s="848"/>
      <c r="C79" s="849"/>
      <c r="D79" s="151"/>
      <c r="E79" s="95">
        <f>'19'!F79</f>
        <v>0</v>
      </c>
      <c r="F79" s="117"/>
      <c r="G79" s="112">
        <f>G15-SUM(G74:G78)</f>
        <v>581.95999999991727</v>
      </c>
      <c r="H79" s="99">
        <f>G79+'19'!H79</f>
        <v>9409.4599999999718</v>
      </c>
      <c r="I79" s="118"/>
      <c r="J79" s="175"/>
      <c r="K79" s="59"/>
      <c r="L79" s="58"/>
      <c r="N79" s="87"/>
      <c r="O79" s="71"/>
    </row>
    <row r="80" spans="1:15" s="57" customFormat="1" ht="29.25" x14ac:dyDescent="0.5">
      <c r="A80" s="915" t="s">
        <v>329</v>
      </c>
      <c r="B80" s="916"/>
      <c r="C80" s="917"/>
      <c r="D80" s="151"/>
      <c r="E80" s="117"/>
      <c r="F80" s="117"/>
      <c r="G80" s="112">
        <f>SUM(G74:G79)</f>
        <v>986.94999999995343</v>
      </c>
      <c r="H80" s="99"/>
      <c r="I80" s="118"/>
      <c r="J80" s="175"/>
      <c r="K80" s="59"/>
      <c r="L80" s="58"/>
      <c r="N80" s="87"/>
      <c r="O80" s="71"/>
    </row>
    <row r="81" spans="1:15" ht="27" x14ac:dyDescent="0.4">
      <c r="A81" s="854" t="s">
        <v>226</v>
      </c>
      <c r="B81" s="855"/>
      <c r="C81" s="856"/>
      <c r="D81" s="110"/>
      <c r="E81" s="110"/>
      <c r="F81" s="110"/>
      <c r="G81" s="163"/>
      <c r="H81" s="163"/>
      <c r="I81" s="163"/>
      <c r="J81" s="184"/>
      <c r="O81" s="71"/>
    </row>
    <row r="82" spans="1:15" ht="27.75" x14ac:dyDescent="0.5">
      <c r="A82" s="345" t="s">
        <v>227</v>
      </c>
      <c r="B82" s="346"/>
      <c r="C82" s="346"/>
      <c r="D82" s="151" t="s">
        <v>228</v>
      </c>
      <c r="E82" s="95">
        <f>'19'!F82</f>
        <v>0</v>
      </c>
      <c r="F82" s="122">
        <v>0</v>
      </c>
      <c r="G82" s="112">
        <f t="shared" ref="G82:G92" si="8">F82-E82</f>
        <v>0</v>
      </c>
      <c r="H82" s="99">
        <f>G82+'19'!H82</f>
        <v>0</v>
      </c>
      <c r="I82" s="118"/>
      <c r="J82" s="175">
        <f>H82/DAY(B2)</f>
        <v>0</v>
      </c>
      <c r="O82" s="71"/>
    </row>
    <row r="83" spans="1:15" ht="27.75" x14ac:dyDescent="0.5">
      <c r="A83" s="345" t="s">
        <v>229</v>
      </c>
      <c r="B83" s="346"/>
      <c r="C83" s="346"/>
      <c r="D83" s="151" t="s">
        <v>228</v>
      </c>
      <c r="E83" s="95">
        <f>'19'!F83</f>
        <v>0</v>
      </c>
      <c r="F83" s="122">
        <v>0</v>
      </c>
      <c r="G83" s="112">
        <f t="shared" si="8"/>
        <v>0</v>
      </c>
      <c r="H83" s="99">
        <f>G83+'19'!H83</f>
        <v>0</v>
      </c>
      <c r="I83" s="118"/>
      <c r="J83" s="175">
        <f>H83/DAY(B2)</f>
        <v>0</v>
      </c>
      <c r="O83" s="71"/>
    </row>
    <row r="84" spans="1:15" ht="27.75" x14ac:dyDescent="0.5">
      <c r="A84" s="345" t="s">
        <v>230</v>
      </c>
      <c r="B84" s="346"/>
      <c r="C84" s="346"/>
      <c r="D84" s="151" t="s">
        <v>228</v>
      </c>
      <c r="E84" s="95">
        <f>'19'!F84</f>
        <v>41675.4</v>
      </c>
      <c r="F84" s="164">
        <v>41675.26</v>
      </c>
      <c r="G84" s="112">
        <f t="shared" si="8"/>
        <v>-0.13999999999941792</v>
      </c>
      <c r="H84" s="99">
        <f>G84+'19'!H84</f>
        <v>0.26000000000203727</v>
      </c>
      <c r="I84" s="118"/>
      <c r="J84" s="175">
        <f>H84/DAY(B2)</f>
        <v>1.3000000000101864E-2</v>
      </c>
      <c r="O84" s="71"/>
    </row>
    <row r="85" spans="1:15" ht="27.75" x14ac:dyDescent="0.5">
      <c r="A85" s="345" t="s">
        <v>231</v>
      </c>
      <c r="B85" s="346"/>
      <c r="C85" s="346"/>
      <c r="D85" s="151" t="s">
        <v>228</v>
      </c>
      <c r="E85" s="95">
        <f>'19'!F85</f>
        <v>2096.5500000000002</v>
      </c>
      <c r="F85" s="164">
        <v>2096.56</v>
      </c>
      <c r="G85" s="112">
        <f t="shared" si="8"/>
        <v>9.9999999997635314E-3</v>
      </c>
      <c r="H85" s="99">
        <f>G85+'19'!H85</f>
        <v>0</v>
      </c>
      <c r="I85" s="118">
        <f>G82+G83+G84+G85</f>
        <v>-0.12999999999965439</v>
      </c>
      <c r="J85" s="175">
        <f>H85/DAY(B2)</f>
        <v>0</v>
      </c>
      <c r="O85" s="71"/>
    </row>
    <row r="86" spans="1:15" ht="27.75" x14ac:dyDescent="0.5">
      <c r="A86" s="345" t="s">
        <v>232</v>
      </c>
      <c r="B86" s="346"/>
      <c r="C86" s="346"/>
      <c r="D86" s="151" t="s">
        <v>228</v>
      </c>
      <c r="E86" s="95">
        <f>'19'!F86</f>
        <v>43321</v>
      </c>
      <c r="F86" s="164">
        <v>43345.37</v>
      </c>
      <c r="G86" s="112">
        <f t="shared" si="8"/>
        <v>24.370000000002619</v>
      </c>
      <c r="H86" s="99">
        <f>G86+'19'!H86</f>
        <v>482.37000000000262</v>
      </c>
      <c r="I86" s="118"/>
      <c r="J86" s="175">
        <f>H86/DAY(B2)</f>
        <v>24.118500000000132</v>
      </c>
      <c r="O86" s="71"/>
    </row>
    <row r="87" spans="1:15" ht="27.75" x14ac:dyDescent="0.5">
      <c r="A87" s="345" t="s">
        <v>233</v>
      </c>
      <c r="B87" s="346"/>
      <c r="C87" s="346"/>
      <c r="D87" s="151" t="s">
        <v>228</v>
      </c>
      <c r="E87" s="95">
        <f>'19'!F87</f>
        <v>34598.550000000003</v>
      </c>
      <c r="F87" s="164">
        <v>34598.550000000003</v>
      </c>
      <c r="G87" s="112">
        <f t="shared" si="8"/>
        <v>0</v>
      </c>
      <c r="H87" s="99">
        <f>G87+'19'!H87</f>
        <v>0</v>
      </c>
      <c r="I87" s="118"/>
      <c r="J87" s="175">
        <f>H87/DAY(B2)</f>
        <v>0</v>
      </c>
      <c r="O87" s="71"/>
    </row>
    <row r="88" spans="1:15" ht="27.75" x14ac:dyDescent="0.5">
      <c r="A88" s="345" t="s">
        <v>234</v>
      </c>
      <c r="B88" s="346"/>
      <c r="C88" s="346"/>
      <c r="D88" s="151" t="s">
        <v>228</v>
      </c>
      <c r="E88" s="95">
        <f>'19'!F88</f>
        <v>24061.37</v>
      </c>
      <c r="F88" s="164">
        <v>24061.37</v>
      </c>
      <c r="G88" s="112">
        <f t="shared" si="8"/>
        <v>0</v>
      </c>
      <c r="H88" s="99">
        <f>G88+'19'!H88</f>
        <v>14.369999999998981</v>
      </c>
      <c r="I88" s="118">
        <f>G86+G87+G88</f>
        <v>24.370000000002619</v>
      </c>
      <c r="J88" s="175">
        <f>H88/DAY(B2)</f>
        <v>0.71849999999994907</v>
      </c>
      <c r="O88" s="71"/>
    </row>
    <row r="89" spans="1:15" ht="27.75" x14ac:dyDescent="0.5">
      <c r="A89" s="345" t="s">
        <v>235</v>
      </c>
      <c r="B89" s="346"/>
      <c r="C89" s="346"/>
      <c r="D89" s="151" t="s">
        <v>228</v>
      </c>
      <c r="E89" s="95">
        <f>'19'!F89</f>
        <v>25779.07</v>
      </c>
      <c r="F89" s="164">
        <v>25790.26</v>
      </c>
      <c r="G89" s="112">
        <f t="shared" si="8"/>
        <v>11.18999999999869</v>
      </c>
      <c r="H89" s="99">
        <f>G89+'19'!H89</f>
        <v>127.2599999999984</v>
      </c>
      <c r="I89" s="118"/>
      <c r="J89" s="175">
        <f>H89/DAY(B2)</f>
        <v>6.3629999999999196</v>
      </c>
      <c r="O89" s="71"/>
    </row>
    <row r="90" spans="1:15" ht="27.75" x14ac:dyDescent="0.5">
      <c r="A90" s="345" t="s">
        <v>236</v>
      </c>
      <c r="B90" s="346"/>
      <c r="C90" s="346"/>
      <c r="D90" s="151" t="s">
        <v>228</v>
      </c>
      <c r="E90" s="95">
        <f>'19'!F90</f>
        <v>71133.570000000007</v>
      </c>
      <c r="F90" s="164">
        <v>71136.31</v>
      </c>
      <c r="G90" s="112">
        <f t="shared" si="8"/>
        <v>2.7399999999906868</v>
      </c>
      <c r="H90" s="99">
        <f>G90+'19'!H90</f>
        <v>102.30999999999767</v>
      </c>
      <c r="I90" s="118">
        <f>G89+G90</f>
        <v>13.929999999989377</v>
      </c>
      <c r="J90" s="175">
        <f>H90/DAY(B2)</f>
        <v>5.1154999999998836</v>
      </c>
      <c r="O90" s="71"/>
    </row>
    <row r="91" spans="1:15" ht="27.75" x14ac:dyDescent="0.5">
      <c r="A91" s="345" t="s">
        <v>237</v>
      </c>
      <c r="B91" s="346"/>
      <c r="C91" s="346"/>
      <c r="D91" s="151" t="s">
        <v>228</v>
      </c>
      <c r="E91" s="95">
        <f>'19'!F91</f>
        <v>3226.32</v>
      </c>
      <c r="F91" s="122">
        <v>3226.32</v>
      </c>
      <c r="G91" s="112">
        <f t="shared" si="8"/>
        <v>0</v>
      </c>
      <c r="H91" s="99">
        <f>G91+'19'!H91</f>
        <v>0</v>
      </c>
      <c r="I91" s="165"/>
      <c r="J91" s="175">
        <f>H91/DAY(B2)</f>
        <v>0</v>
      </c>
      <c r="O91" s="71"/>
    </row>
    <row r="92" spans="1:15" ht="27.75" x14ac:dyDescent="0.5">
      <c r="A92" s="345" t="s">
        <v>238</v>
      </c>
      <c r="B92" s="346"/>
      <c r="C92" s="346"/>
      <c r="D92" s="151" t="s">
        <v>228</v>
      </c>
      <c r="E92" s="95">
        <f>'19'!F92</f>
        <v>5636.06</v>
      </c>
      <c r="F92" s="122">
        <v>5646.39</v>
      </c>
      <c r="G92" s="112">
        <f t="shared" si="8"/>
        <v>10.329999999999927</v>
      </c>
      <c r="H92" s="99">
        <f>G92+'19'!H92</f>
        <v>208.39000000000033</v>
      </c>
      <c r="I92" s="165"/>
      <c r="J92" s="175">
        <f>H92/DAY(B2)</f>
        <v>10.419500000000017</v>
      </c>
      <c r="O92" s="71"/>
    </row>
    <row r="93" spans="1:15" ht="29.25" x14ac:dyDescent="0.5">
      <c r="A93" s="863" t="s">
        <v>239</v>
      </c>
      <c r="B93" s="864"/>
      <c r="C93" s="865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27.75" x14ac:dyDescent="0.5">
      <c r="A94" s="818" t="s">
        <v>240</v>
      </c>
      <c r="B94" s="819"/>
      <c r="C94" s="820"/>
      <c r="D94" s="151" t="s">
        <v>130</v>
      </c>
      <c r="E94" s="151"/>
      <c r="F94" s="151"/>
      <c r="G94" s="99">
        <f>G35+G43+G49+G57</f>
        <v>4884.0400000000027</v>
      </c>
      <c r="H94" s="99">
        <f>G94+'19'!H94</f>
        <v>105711.90000000001</v>
      </c>
      <c r="I94" s="118"/>
      <c r="J94" s="175">
        <f>H94/DAY(B2)</f>
        <v>5285.5950000000003</v>
      </c>
      <c r="K94" s="69"/>
      <c r="L94" s="66"/>
      <c r="O94" s="71"/>
    </row>
    <row r="95" spans="1:15" ht="27.75" x14ac:dyDescent="0.5">
      <c r="A95" s="818" t="s">
        <v>241</v>
      </c>
      <c r="B95" s="819"/>
      <c r="C95" s="820"/>
      <c r="D95" s="151" t="s">
        <v>23</v>
      </c>
      <c r="E95" s="146"/>
      <c r="F95" s="146"/>
      <c r="G95" s="166">
        <f>G94/G7</f>
        <v>0.29205263362464584</v>
      </c>
      <c r="H95" s="99">
        <f>G95+'19'!H95</f>
        <v>5.7906452123989451</v>
      </c>
      <c r="I95" s="167"/>
      <c r="J95" s="175">
        <f>H95/DAY(B2)</f>
        <v>0.28953226061994725</v>
      </c>
      <c r="K95" s="69"/>
      <c r="L95" s="66"/>
      <c r="O95" s="71"/>
    </row>
    <row r="96" spans="1:15" ht="27.75" x14ac:dyDescent="0.5">
      <c r="A96" s="818" t="s">
        <v>242</v>
      </c>
      <c r="B96" s="819"/>
      <c r="C96" s="820"/>
      <c r="D96" s="151" t="s">
        <v>130</v>
      </c>
      <c r="E96" s="95"/>
      <c r="F96" s="95"/>
      <c r="G96" s="99">
        <f>G41+G42+G55+G56</f>
        <v>2588.6399999999994</v>
      </c>
      <c r="H96" s="99">
        <f>G96+'19'!H96</f>
        <v>59763.070000000007</v>
      </c>
      <c r="I96" s="118"/>
      <c r="J96" s="175">
        <f>H96/DAY(B2)</f>
        <v>2988.1535000000003</v>
      </c>
      <c r="K96" s="69"/>
      <c r="L96" s="66"/>
      <c r="O96" s="71"/>
    </row>
    <row r="97" spans="1:15" ht="27.75" x14ac:dyDescent="0.5">
      <c r="A97" s="818" t="s">
        <v>243</v>
      </c>
      <c r="B97" s="819"/>
      <c r="C97" s="820"/>
      <c r="D97" s="151" t="s">
        <v>23</v>
      </c>
      <c r="E97" s="95"/>
      <c r="F97" s="95"/>
      <c r="G97" s="166">
        <f>G96/G7</f>
        <v>0.15479380379892518</v>
      </c>
      <c r="H97" s="99">
        <f>G97+'19'!H97</f>
        <v>3.2877979466839382</v>
      </c>
      <c r="I97" s="167"/>
      <c r="J97" s="175">
        <f>H97/DAY(B2)</f>
        <v>0.1643898973341969</v>
      </c>
      <c r="K97" s="69"/>
      <c r="L97" s="66"/>
      <c r="O97" s="71"/>
    </row>
    <row r="98" spans="1:15" ht="27.75" x14ac:dyDescent="0.5">
      <c r="A98" s="818" t="s">
        <v>244</v>
      </c>
      <c r="B98" s="819"/>
      <c r="C98" s="820"/>
      <c r="D98" s="151" t="s">
        <v>130</v>
      </c>
      <c r="E98" s="95"/>
      <c r="F98" s="95"/>
      <c r="G98" s="99">
        <f>G39+G53</f>
        <v>2507.0499999999993</v>
      </c>
      <c r="H98" s="99">
        <f>G98+'19'!H98</f>
        <v>52189.61</v>
      </c>
      <c r="I98" s="168"/>
      <c r="J98" s="175">
        <f>H98/DAY(B2)</f>
        <v>2609.4805000000001</v>
      </c>
      <c r="K98" s="69"/>
      <c r="L98" s="66"/>
      <c r="O98" s="71"/>
    </row>
    <row r="99" spans="1:15" ht="27.75" x14ac:dyDescent="0.5">
      <c r="A99" s="818" t="s">
        <v>245</v>
      </c>
      <c r="B99" s="819"/>
      <c r="C99" s="820"/>
      <c r="D99" s="151" t="s">
        <v>23</v>
      </c>
      <c r="E99" s="95"/>
      <c r="F99" s="95"/>
      <c r="G99" s="166">
        <f>G98/G7</f>
        <v>0.14991493827418853</v>
      </c>
      <c r="H99" s="99">
        <f>G99+'19'!H99</f>
        <v>2.8718939129771401</v>
      </c>
      <c r="I99" s="168"/>
      <c r="J99" s="175">
        <f>H99/DAY(B2)</f>
        <v>0.14359469564885702</v>
      </c>
      <c r="O99" s="71"/>
    </row>
    <row r="100" spans="1:15" ht="27.75" x14ac:dyDescent="0.5">
      <c r="A100" s="818" t="s">
        <v>246</v>
      </c>
      <c r="B100" s="819"/>
      <c r="C100" s="820"/>
      <c r="D100" s="151" t="s">
        <v>180</v>
      </c>
      <c r="E100" s="95"/>
      <c r="F100" s="95"/>
      <c r="G100" s="99">
        <f>G38+G52</f>
        <v>1612.8499999999985</v>
      </c>
      <c r="H100" s="99">
        <f>G100+'19'!H100</f>
        <v>32300.85</v>
      </c>
      <c r="I100" s="118"/>
      <c r="J100" s="175">
        <f>H100/DAY(B2)</f>
        <v>1615.0425</v>
      </c>
      <c r="K100" s="70"/>
      <c r="O100" s="71"/>
    </row>
    <row r="101" spans="1:15" ht="27.75" x14ac:dyDescent="0.5">
      <c r="A101" s="818" t="s">
        <v>247</v>
      </c>
      <c r="B101" s="819"/>
      <c r="C101" s="820"/>
      <c r="D101" s="151" t="s">
        <v>23</v>
      </c>
      <c r="E101" s="95"/>
      <c r="F101" s="95"/>
      <c r="G101" s="166">
        <f>G100/G7</f>
        <v>9.644415077302998E-2</v>
      </c>
      <c r="H101" s="99">
        <f>G101+'19'!H101</f>
        <v>1.778512707822081</v>
      </c>
      <c r="I101" s="168"/>
      <c r="J101" s="175">
        <f>H101/DAY(B2)</f>
        <v>8.8925635391104055E-2</v>
      </c>
      <c r="O101" s="71"/>
    </row>
    <row r="102" spans="1:15" ht="27.75" x14ac:dyDescent="0.5">
      <c r="A102" s="818" t="s">
        <v>248</v>
      </c>
      <c r="B102" s="819"/>
      <c r="C102" s="820"/>
      <c r="D102" s="151" t="s">
        <v>180</v>
      </c>
      <c r="E102" s="95"/>
      <c r="F102" s="95"/>
      <c r="G102" s="99">
        <f>G36+G50</f>
        <v>1509.5199999999968</v>
      </c>
      <c r="H102" s="99">
        <f>G102+'19'!H102</f>
        <v>33091.17</v>
      </c>
      <c r="I102" s="168"/>
      <c r="J102" s="175">
        <f>H102/DAY(B2)</f>
        <v>1654.5584999999999</v>
      </c>
      <c r="O102" s="71"/>
    </row>
    <row r="103" spans="1:15" ht="27.75" x14ac:dyDescent="0.5">
      <c r="A103" s="818" t="s">
        <v>249</v>
      </c>
      <c r="B103" s="819"/>
      <c r="C103" s="820"/>
      <c r="D103" s="151" t="s">
        <v>23</v>
      </c>
      <c r="E103" s="95"/>
      <c r="F103" s="95"/>
      <c r="G103" s="166">
        <f>G102/G7</f>
        <v>9.0265290929041161E-2</v>
      </c>
      <c r="H103" s="99">
        <f>G103+'19'!H103</f>
        <v>1.8118823063571283</v>
      </c>
      <c r="I103" s="118"/>
      <c r="J103" s="175">
        <f>H103/DAY(B2)</f>
        <v>9.0594115317856411E-2</v>
      </c>
      <c r="O103" s="71"/>
    </row>
    <row r="104" spans="1:15" ht="27.75" x14ac:dyDescent="0.5">
      <c r="A104" s="818" t="s">
        <v>250</v>
      </c>
      <c r="B104" s="819"/>
      <c r="C104" s="820"/>
      <c r="D104" s="151" t="s">
        <v>180</v>
      </c>
      <c r="E104" s="95"/>
      <c r="F104" s="95"/>
      <c r="G104" s="99">
        <f>G37+G51</f>
        <v>1537.7799999999988</v>
      </c>
      <c r="H104" s="99">
        <f>G104+'19'!H104</f>
        <v>30229.919999999998</v>
      </c>
      <c r="I104" s="118"/>
      <c r="J104" s="175">
        <f>H104/DAY(B2)</f>
        <v>1511.4959999999999</v>
      </c>
      <c r="O104" s="71"/>
    </row>
    <row r="105" spans="1:15" ht="28.5" thickBot="1" x14ac:dyDescent="0.55000000000000004">
      <c r="A105" s="858" t="s">
        <v>251</v>
      </c>
      <c r="B105" s="859"/>
      <c r="C105" s="860"/>
      <c r="D105" s="231" t="s">
        <v>23</v>
      </c>
      <c r="E105" s="185"/>
      <c r="F105" s="185"/>
      <c r="G105" s="186">
        <f>G104/G7</f>
        <v>9.1955163949375363E-2</v>
      </c>
      <c r="H105" s="99">
        <f>G105+'19'!H105</f>
        <v>1.666115611193437</v>
      </c>
      <c r="I105" s="187"/>
      <c r="J105" s="188">
        <f>H105/DAY(B2)</f>
        <v>8.3305780559671846E-2</v>
      </c>
      <c r="O105" s="71"/>
    </row>
    <row r="106" spans="1:15" ht="29.25" x14ac:dyDescent="0.5">
      <c r="A106" s="105"/>
      <c r="B106" s="96"/>
      <c r="C106" s="96"/>
      <c r="D106" s="169"/>
      <c r="E106" s="169"/>
      <c r="F106" s="169"/>
      <c r="G106" s="169"/>
      <c r="H106" s="170"/>
      <c r="I106" s="169"/>
      <c r="J106" s="171"/>
      <c r="O106" s="71"/>
    </row>
    <row r="107" spans="1:15" ht="29.25" x14ac:dyDescent="0.5"/>
    <row r="108" spans="1:15" ht="31.5" x14ac:dyDescent="0.55000000000000004">
      <c r="A108" s="872" t="s">
        <v>324</v>
      </c>
      <c r="B108" s="872"/>
      <c r="C108" s="872"/>
      <c r="D108" s="872"/>
      <c r="E108" s="872"/>
      <c r="F108" s="872"/>
      <c r="G108" s="872"/>
      <c r="H108" s="872"/>
      <c r="I108" s="872"/>
      <c r="J108" s="872"/>
    </row>
    <row r="109" spans="1:15" ht="29.25" x14ac:dyDescent="0.5">
      <c r="A109" s="857"/>
      <c r="B109" s="857"/>
    </row>
    <row r="110" spans="1:15" ht="29.25" x14ac:dyDescent="0.5">
      <c r="A110" s="873" t="s">
        <v>165</v>
      </c>
      <c r="B110" s="874"/>
      <c r="C110" s="874"/>
      <c r="D110" s="874"/>
      <c r="E110" s="874"/>
      <c r="F110" s="874"/>
      <c r="G110" s="874"/>
      <c r="H110" s="874"/>
      <c r="I110" s="874"/>
      <c r="J110" s="875"/>
    </row>
    <row r="111" spans="1:15" ht="27.75" x14ac:dyDescent="0.5">
      <c r="A111" s="876"/>
      <c r="B111" s="877"/>
      <c r="C111" s="878"/>
      <c r="D111" s="165"/>
      <c r="E111" s="165"/>
      <c r="F111" s="165"/>
      <c r="G111" s="165"/>
      <c r="H111" s="156"/>
      <c r="I111" s="165"/>
      <c r="J111" s="327"/>
    </row>
    <row r="112" spans="1:15" ht="27.75" x14ac:dyDescent="0.5">
      <c r="A112" s="851" t="s">
        <v>252</v>
      </c>
      <c r="B112" s="852"/>
      <c r="C112" s="853"/>
      <c r="D112" s="146" t="s">
        <v>183</v>
      </c>
      <c r="E112" s="95">
        <f>'19'!F112</f>
        <v>57125.98</v>
      </c>
      <c r="F112" s="237">
        <v>57204.12</v>
      </c>
      <c r="G112" s="112">
        <f t="shared" ref="G112:G123" si="9">F112-E112</f>
        <v>78.139999999999418</v>
      </c>
      <c r="H112" s="99">
        <f>G112+'19'!H112</f>
        <v>1523.1200000000026</v>
      </c>
      <c r="I112" s="165"/>
      <c r="J112" s="328">
        <f>H112/DAY(B2)</f>
        <v>76.156000000000134</v>
      </c>
    </row>
    <row r="113" spans="1:18" ht="29.25" customHeight="1" x14ac:dyDescent="0.5">
      <c r="A113" s="851" t="s">
        <v>253</v>
      </c>
      <c r="B113" s="852"/>
      <c r="C113" s="853"/>
      <c r="D113" s="146" t="s">
        <v>183</v>
      </c>
      <c r="E113" s="95">
        <f>'19'!F113</f>
        <v>40787.379999999997</v>
      </c>
      <c r="F113" s="237">
        <v>41236.870000000003</v>
      </c>
      <c r="G113" s="112">
        <f t="shared" si="9"/>
        <v>449.49000000000524</v>
      </c>
      <c r="H113" s="99">
        <f>G113+'19'!H113</f>
        <v>9041.8700000000026</v>
      </c>
      <c r="I113" s="165"/>
      <c r="J113" s="328">
        <f>H113/DAY(B2)</f>
        <v>452.09350000000012</v>
      </c>
    </row>
    <row r="114" spans="1:18" ht="29.25" customHeight="1" x14ac:dyDescent="0.5">
      <c r="A114" s="851" t="s">
        <v>254</v>
      </c>
      <c r="B114" s="852"/>
      <c r="C114" s="853"/>
      <c r="D114" s="146" t="s">
        <v>183</v>
      </c>
      <c r="E114" s="95">
        <f>'19'!F114</f>
        <v>29901.7</v>
      </c>
      <c r="F114" s="237">
        <v>30161.65</v>
      </c>
      <c r="G114" s="112">
        <f t="shared" si="9"/>
        <v>259.95000000000073</v>
      </c>
      <c r="H114" s="99">
        <f>G114+'19'!H114</f>
        <v>5157.0500000000011</v>
      </c>
      <c r="I114" s="165"/>
      <c r="J114" s="328">
        <f>H114/DAY(B2)</f>
        <v>257.85250000000008</v>
      </c>
    </row>
    <row r="115" spans="1:18" ht="29.25" customHeight="1" x14ac:dyDescent="0.5">
      <c r="A115" s="851" t="s">
        <v>255</v>
      </c>
      <c r="B115" s="852"/>
      <c r="C115" s="853"/>
      <c r="D115" s="146" t="s">
        <v>183</v>
      </c>
      <c r="E115" s="95">
        <f>'19'!F115</f>
        <v>8979.4500000000007</v>
      </c>
      <c r="F115" s="237">
        <v>8988.66</v>
      </c>
      <c r="G115" s="112">
        <f t="shared" si="9"/>
        <v>9.2099999999991269</v>
      </c>
      <c r="H115" s="99">
        <f>G115+'19'!H115</f>
        <v>203.65999999999985</v>
      </c>
      <c r="I115" s="165"/>
      <c r="J115" s="328">
        <f>H115/DAY(B2)</f>
        <v>10.182999999999993</v>
      </c>
    </row>
    <row r="116" spans="1:18" ht="29.25" customHeight="1" x14ac:dyDescent="0.5">
      <c r="A116" s="869" t="s">
        <v>96</v>
      </c>
      <c r="B116" s="870"/>
      <c r="C116" s="871"/>
      <c r="D116" s="146" t="s">
        <v>183</v>
      </c>
      <c r="E116" s="95">
        <f>'19'!F116</f>
        <v>0</v>
      </c>
      <c r="F116" s="237">
        <v>0</v>
      </c>
      <c r="G116" s="112">
        <f t="shared" si="9"/>
        <v>0</v>
      </c>
      <c r="H116" s="99">
        <f>G116+'19'!H116</f>
        <v>0</v>
      </c>
      <c r="I116" s="165"/>
      <c r="J116" s="328">
        <f>H116/DAY(B2)</f>
        <v>0</v>
      </c>
      <c r="Q116" s="851"/>
      <c r="R116" s="853"/>
    </row>
    <row r="117" spans="1:18" ht="29.25" customHeight="1" x14ac:dyDescent="0.5">
      <c r="A117" s="869" t="s">
        <v>184</v>
      </c>
      <c r="B117" s="870"/>
      <c r="C117" s="871"/>
      <c r="D117" s="146" t="s">
        <v>183</v>
      </c>
      <c r="E117" s="95">
        <f>'19'!F117</f>
        <v>3046.45</v>
      </c>
      <c r="F117" s="237">
        <v>3069.13</v>
      </c>
      <c r="G117" s="112">
        <f t="shared" si="9"/>
        <v>22.680000000000291</v>
      </c>
      <c r="H117" s="99">
        <f>G117+'19'!H117</f>
        <v>479.13000000000011</v>
      </c>
      <c r="I117" s="165"/>
      <c r="J117" s="328">
        <f>H117/DAY(B2)</f>
        <v>23.956500000000005</v>
      </c>
      <c r="Q117" s="851"/>
      <c r="R117" s="853"/>
    </row>
    <row r="118" spans="1:18" ht="27.75" x14ac:dyDescent="0.5">
      <c r="A118" s="846" t="s">
        <v>97</v>
      </c>
      <c r="B118" s="846"/>
      <c r="C118" s="846"/>
      <c r="D118" s="151" t="s">
        <v>183</v>
      </c>
      <c r="E118" s="95">
        <f>'19'!F118</f>
        <v>248401.09</v>
      </c>
      <c r="F118" s="237">
        <v>248744.33</v>
      </c>
      <c r="G118" s="112">
        <f t="shared" si="9"/>
        <v>343.23999999999069</v>
      </c>
      <c r="H118" s="99">
        <f>G118+'19'!H118</f>
        <v>7097.3299999999872</v>
      </c>
      <c r="I118" s="165"/>
      <c r="J118" s="328">
        <f>H118/DAY(B2)</f>
        <v>354.86649999999935</v>
      </c>
      <c r="Q118" s="851"/>
      <c r="R118" s="853"/>
    </row>
    <row r="119" spans="1:18" ht="27.75" x14ac:dyDescent="0.5">
      <c r="A119" s="846" t="s">
        <v>98</v>
      </c>
      <c r="B119" s="846"/>
      <c r="C119" s="846"/>
      <c r="D119" s="151" t="s">
        <v>183</v>
      </c>
      <c r="E119" s="95">
        <f>'19'!F119</f>
        <v>253125.45</v>
      </c>
      <c r="F119" s="237">
        <v>253557.93</v>
      </c>
      <c r="G119" s="112">
        <f t="shared" si="9"/>
        <v>432.47999999998137</v>
      </c>
      <c r="H119" s="99">
        <f>G119+'19'!H119</f>
        <v>8431.929999999993</v>
      </c>
      <c r="I119" s="165"/>
      <c r="J119" s="328">
        <f>H119/DAY(B2)</f>
        <v>421.59649999999965</v>
      </c>
    </row>
    <row r="120" spans="1:18" ht="27.75" x14ac:dyDescent="0.5">
      <c r="A120" s="846" t="s">
        <v>99</v>
      </c>
      <c r="B120" s="846"/>
      <c r="C120" s="846"/>
      <c r="D120" s="151" t="s">
        <v>183</v>
      </c>
      <c r="E120" s="95">
        <f>'19'!F120</f>
        <v>37987.129999999997</v>
      </c>
      <c r="F120" s="237">
        <v>38389.870000000003</v>
      </c>
      <c r="G120" s="112">
        <f t="shared" si="9"/>
        <v>402.74000000000524</v>
      </c>
      <c r="H120" s="99">
        <f>G120+'19'!H120</f>
        <v>8311.8700000000026</v>
      </c>
      <c r="I120" s="165"/>
      <c r="J120" s="328">
        <f>H120/DAY(B2)</f>
        <v>415.59350000000012</v>
      </c>
    </row>
    <row r="121" spans="1:18" ht="27.75" x14ac:dyDescent="0.5">
      <c r="A121" s="846" t="s">
        <v>100</v>
      </c>
      <c r="B121" s="846"/>
      <c r="C121" s="846"/>
      <c r="D121" s="151" t="s">
        <v>183</v>
      </c>
      <c r="E121" s="95">
        <f>'19'!F121</f>
        <v>389744.43</v>
      </c>
      <c r="F121" s="237">
        <v>390351.51</v>
      </c>
      <c r="G121" s="112">
        <f t="shared" si="9"/>
        <v>607.0800000000163</v>
      </c>
      <c r="H121" s="99">
        <f>G121+'19'!H121</f>
        <v>13822.510000000009</v>
      </c>
      <c r="I121" s="165"/>
      <c r="J121" s="328">
        <f>H121/DAY(B2)</f>
        <v>691.12550000000044</v>
      </c>
    </row>
    <row r="122" spans="1:18" ht="27.75" x14ac:dyDescent="0.5">
      <c r="A122" s="846" t="s">
        <v>101</v>
      </c>
      <c r="B122" s="846"/>
      <c r="C122" s="846"/>
      <c r="D122" s="151" t="s">
        <v>183</v>
      </c>
      <c r="E122" s="95">
        <f>'19'!F122</f>
        <v>123875.49</v>
      </c>
      <c r="F122" s="237">
        <v>124029.62</v>
      </c>
      <c r="G122" s="112">
        <f t="shared" si="9"/>
        <v>154.1299999999901</v>
      </c>
      <c r="H122" s="99">
        <f>G122+'19'!H122</f>
        <v>3979.6199999999953</v>
      </c>
      <c r="I122" s="165"/>
      <c r="J122" s="328">
        <f>H122/DAY(B2)</f>
        <v>198.98099999999977</v>
      </c>
    </row>
    <row r="123" spans="1:18" ht="27.75" x14ac:dyDescent="0.5">
      <c r="A123" s="846" t="s">
        <v>102</v>
      </c>
      <c r="B123" s="846"/>
      <c r="C123" s="846"/>
      <c r="D123" s="151" t="s">
        <v>183</v>
      </c>
      <c r="E123" s="95">
        <f>'19'!F123</f>
        <v>150781.35</v>
      </c>
      <c r="F123" s="237">
        <v>151054.42000000001</v>
      </c>
      <c r="G123" s="112">
        <f t="shared" si="9"/>
        <v>273.07000000000698</v>
      </c>
      <c r="H123" s="99">
        <f>G123+'19'!H123</f>
        <v>5929.4200000000128</v>
      </c>
      <c r="I123" s="165"/>
      <c r="J123" s="328">
        <f>H123/DAY(B2)</f>
        <v>296.47100000000063</v>
      </c>
    </row>
    <row r="124" spans="1:18" ht="29.25" customHeight="1" x14ac:dyDescent="0.5">
      <c r="A124" s="876"/>
      <c r="B124" s="877"/>
      <c r="C124" s="878"/>
      <c r="D124" s="165"/>
      <c r="E124" s="95">
        <f>'19'!F124</f>
        <v>0</v>
      </c>
      <c r="F124" s="165"/>
      <c r="G124" s="327"/>
      <c r="H124" s="99">
        <f>G124+'19'!H124</f>
        <v>0</v>
      </c>
      <c r="I124" s="165"/>
      <c r="J124" s="327"/>
    </row>
    <row r="125" spans="1:18" ht="27.75" x14ac:dyDescent="0.5">
      <c r="A125" s="907" t="s">
        <v>108</v>
      </c>
      <c r="B125" s="907"/>
      <c r="C125" s="245"/>
      <c r="D125" s="307"/>
      <c r="E125" s="308"/>
      <c r="F125" s="308"/>
      <c r="G125" s="309">
        <f>SUM(G112:G124)</f>
        <v>3032.2099999999955</v>
      </c>
      <c r="H125" s="156"/>
      <c r="I125" s="327">
        <f>G125-(G39+G53)</f>
        <v>525.15999999999622</v>
      </c>
      <c r="J125" s="327"/>
    </row>
    <row r="126" spans="1:18" ht="27.75" x14ac:dyDescent="0.5">
      <c r="A126" s="881" t="s">
        <v>317</v>
      </c>
      <c r="B126" s="881"/>
      <c r="C126" s="881"/>
      <c r="D126" s="881"/>
      <c r="E126" s="881"/>
      <c r="F126" s="881"/>
      <c r="G126" s="881"/>
      <c r="H126" s="881"/>
      <c r="I126" s="881"/>
      <c r="J126" s="881"/>
    </row>
    <row r="127" spans="1:18" ht="27.75" x14ac:dyDescent="0.5">
      <c r="A127" s="882"/>
      <c r="B127" s="882"/>
      <c r="C127" s="245"/>
      <c r="D127" s="307"/>
      <c r="E127" s="308"/>
      <c r="F127" s="308"/>
      <c r="G127" s="309"/>
      <c r="H127" s="99">
        <f>G127+'19'!H127</f>
        <v>0</v>
      </c>
      <c r="I127" s="165"/>
      <c r="J127" s="328">
        <f>H127/DAY(B2)</f>
        <v>0</v>
      </c>
    </row>
    <row r="128" spans="1:18" ht="29.25" customHeight="1" x14ac:dyDescent="0.5">
      <c r="A128" s="851" t="s">
        <v>318</v>
      </c>
      <c r="B128" s="852"/>
      <c r="C128" s="853"/>
      <c r="D128" s="151" t="s">
        <v>183</v>
      </c>
      <c r="E128" s="95">
        <f>'19'!F128</f>
        <v>44007</v>
      </c>
      <c r="F128" s="165">
        <v>44305.26</v>
      </c>
      <c r="G128" s="112">
        <f t="shared" ref="G128:G134" si="10">F128-E128</f>
        <v>298.26000000000204</v>
      </c>
      <c r="H128" s="99">
        <f>G128+'19'!H128</f>
        <v>6301.260000000002</v>
      </c>
      <c r="I128" s="165"/>
      <c r="J128" s="328">
        <f>H128/DAY(B2)</f>
        <v>315.0630000000001</v>
      </c>
    </row>
    <row r="129" spans="1:15" ht="27.75" x14ac:dyDescent="0.5">
      <c r="A129" s="329" t="s">
        <v>319</v>
      </c>
      <c r="B129" s="330"/>
      <c r="C129" s="331"/>
      <c r="D129" s="151" t="s">
        <v>183</v>
      </c>
      <c r="E129" s="95">
        <f>'19'!F129</f>
        <v>24539.05</v>
      </c>
      <c r="F129" s="165">
        <v>24721.98</v>
      </c>
      <c r="G129" s="112">
        <f t="shared" si="10"/>
        <v>182.93000000000029</v>
      </c>
      <c r="H129" s="99">
        <f>G129+'19'!H129</f>
        <v>4400.9799999999996</v>
      </c>
      <c r="I129" s="165"/>
      <c r="J129" s="328">
        <f>H129/DAY(B2)</f>
        <v>220.04899999999998</v>
      </c>
      <c r="N129" s="240"/>
      <c r="O129" s="241"/>
    </row>
    <row r="130" spans="1:15" ht="27.75" x14ac:dyDescent="0.5">
      <c r="A130" s="329" t="s">
        <v>320</v>
      </c>
      <c r="B130" s="330"/>
      <c r="C130" s="331"/>
      <c r="D130" s="151" t="s">
        <v>183</v>
      </c>
      <c r="E130" s="95">
        <f>'19'!F130</f>
        <v>29719.24</v>
      </c>
      <c r="F130" s="165">
        <v>30206.9</v>
      </c>
      <c r="G130" s="112">
        <f t="shared" si="10"/>
        <v>487.65999999999985</v>
      </c>
      <c r="H130" s="99">
        <f>G130+'19'!H130</f>
        <v>11824.900000000001</v>
      </c>
      <c r="I130" s="165"/>
      <c r="J130" s="328">
        <f>H130/DAY(B2)</f>
        <v>591.24500000000012</v>
      </c>
      <c r="N130" s="240"/>
      <c r="O130" s="241"/>
    </row>
    <row r="131" spans="1:15" ht="27.75" x14ac:dyDescent="0.5">
      <c r="A131" s="851" t="s">
        <v>321</v>
      </c>
      <c r="B131" s="852"/>
      <c r="C131" s="853"/>
      <c r="D131" s="151" t="s">
        <v>183</v>
      </c>
      <c r="E131" s="95">
        <f>'19'!F131</f>
        <v>14534.22</v>
      </c>
      <c r="F131" s="165">
        <v>14612.15</v>
      </c>
      <c r="G131" s="112">
        <f t="shared" si="10"/>
        <v>77.930000000000291</v>
      </c>
      <c r="H131" s="99">
        <f>G131+'19'!H131</f>
        <v>1459.1499999999996</v>
      </c>
      <c r="I131" s="165"/>
      <c r="J131" s="328">
        <f>H131/DAY(B2)</f>
        <v>72.957499999999982</v>
      </c>
      <c r="N131" s="240"/>
      <c r="O131" s="241"/>
    </row>
    <row r="132" spans="1:15" ht="27.75" x14ac:dyDescent="0.5">
      <c r="A132" s="851" t="s">
        <v>322</v>
      </c>
      <c r="B132" s="852"/>
      <c r="C132" s="853"/>
      <c r="D132" s="151" t="s">
        <v>183</v>
      </c>
      <c r="E132" s="95">
        <f>'19'!F132</f>
        <v>49852.15</v>
      </c>
      <c r="F132" s="165">
        <v>50017.94</v>
      </c>
      <c r="G132" s="112">
        <f t="shared" si="10"/>
        <v>165.79000000000087</v>
      </c>
      <c r="H132" s="99">
        <f>G132+'19'!H132</f>
        <v>8994.9400000000023</v>
      </c>
      <c r="I132" s="165"/>
      <c r="J132" s="328">
        <f>H132/DAY(B2)</f>
        <v>449.74700000000013</v>
      </c>
    </row>
    <row r="133" spans="1:15" ht="27.75" x14ac:dyDescent="0.5">
      <c r="A133" s="851" t="s">
        <v>362</v>
      </c>
      <c r="B133" s="852"/>
      <c r="C133" s="853"/>
      <c r="D133" s="151" t="s">
        <v>183</v>
      </c>
      <c r="E133" s="95">
        <f>'19'!F133</f>
        <v>99251.43</v>
      </c>
      <c r="F133" s="165">
        <v>99906.82</v>
      </c>
      <c r="G133" s="112">
        <f t="shared" si="10"/>
        <v>655.39000000001397</v>
      </c>
      <c r="H133" s="99">
        <f>G133+'19'!H133</f>
        <v>12203.820000000007</v>
      </c>
      <c r="I133" s="165"/>
      <c r="J133" s="328">
        <f>H133/DAY(B2)</f>
        <v>610.19100000000037</v>
      </c>
    </row>
    <row r="134" spans="1:15" ht="27.75" x14ac:dyDescent="0.5">
      <c r="A134" s="851" t="s">
        <v>340</v>
      </c>
      <c r="B134" s="852"/>
      <c r="C134" s="853"/>
      <c r="D134" s="151" t="s">
        <v>183</v>
      </c>
      <c r="E134" s="95">
        <f>'19'!F134</f>
        <v>6620</v>
      </c>
      <c r="F134" s="594">
        <v>6866.21</v>
      </c>
      <c r="G134" s="112">
        <f t="shared" si="10"/>
        <v>246.21000000000004</v>
      </c>
      <c r="H134" s="99">
        <f>G134+'19'!H134</f>
        <v>9160.2099999999991</v>
      </c>
      <c r="I134" s="165"/>
      <c r="J134" s="328">
        <f>H134/DAY(B2)</f>
        <v>458.01049999999998</v>
      </c>
    </row>
    <row r="135" spans="1:15" ht="27.75" x14ac:dyDescent="0.5">
      <c r="A135" s="918" t="s">
        <v>108</v>
      </c>
      <c r="B135" s="919"/>
      <c r="C135" s="885"/>
      <c r="D135" s="151"/>
      <c r="E135" s="95"/>
      <c r="F135" s="165"/>
      <c r="G135" s="112">
        <f>SUM(G128:G134)</f>
        <v>2114.1700000000174</v>
      </c>
      <c r="H135" s="99"/>
      <c r="I135" s="327">
        <f>G135-(G35+G49)</f>
        <v>-456.39999999998417</v>
      </c>
      <c r="J135" s="328"/>
    </row>
    <row r="136" spans="1:15" ht="31.5" x14ac:dyDescent="0.55000000000000004">
      <c r="A136" s="883" t="s">
        <v>325</v>
      </c>
      <c r="B136" s="883"/>
      <c r="C136" s="883"/>
      <c r="D136" s="883"/>
      <c r="E136" s="883"/>
      <c r="F136" s="883"/>
      <c r="G136" s="883"/>
      <c r="H136" s="883"/>
      <c r="I136" s="883"/>
      <c r="J136" s="883"/>
    </row>
    <row r="137" spans="1:15" ht="29.25" x14ac:dyDescent="0.5">
      <c r="A137" s="245"/>
      <c r="B137" s="246"/>
      <c r="C137" s="246"/>
      <c r="D137" s="165"/>
      <c r="E137" s="165"/>
      <c r="F137" s="165"/>
      <c r="G137" s="165"/>
      <c r="H137" s="156"/>
      <c r="I137" s="165"/>
      <c r="J137" s="327"/>
    </row>
    <row r="138" spans="1:15" ht="27.75" x14ac:dyDescent="0.5">
      <c r="A138" s="846" t="s">
        <v>185</v>
      </c>
      <c r="B138" s="846"/>
      <c r="C138" s="846"/>
      <c r="D138" s="151" t="s">
        <v>183</v>
      </c>
      <c r="E138" s="95">
        <f>'19'!F138</f>
        <v>865348</v>
      </c>
      <c r="F138" s="147">
        <v>865405</v>
      </c>
      <c r="G138" s="112">
        <f t="shared" ref="G138:G152" si="11">F138-E138</f>
        <v>57</v>
      </c>
      <c r="H138" s="99">
        <f>G138+'19'!H138</f>
        <v>1234</v>
      </c>
      <c r="I138" s="118"/>
      <c r="J138" s="328">
        <f>H138/DAY(B2)</f>
        <v>61.7</v>
      </c>
    </row>
    <row r="139" spans="1:15" ht="27.75" x14ac:dyDescent="0.5">
      <c r="A139" s="846" t="s">
        <v>186</v>
      </c>
      <c r="B139" s="846"/>
      <c r="C139" s="846"/>
      <c r="D139" s="151" t="s">
        <v>183</v>
      </c>
      <c r="E139" s="95">
        <f>'19'!F139</f>
        <v>886551</v>
      </c>
      <c r="F139" s="148">
        <v>886552</v>
      </c>
      <c r="G139" s="112">
        <f t="shared" si="11"/>
        <v>1</v>
      </c>
      <c r="H139" s="99">
        <f>G139+'19'!H139</f>
        <v>6</v>
      </c>
      <c r="I139" s="118"/>
      <c r="J139" s="328">
        <f>H139/DAY(B2)</f>
        <v>0.3</v>
      </c>
    </row>
    <row r="140" spans="1:15" ht="27.75" x14ac:dyDescent="0.5">
      <c r="A140" s="846" t="s">
        <v>187</v>
      </c>
      <c r="B140" s="846"/>
      <c r="C140" s="846"/>
      <c r="D140" s="151" t="s">
        <v>183</v>
      </c>
      <c r="E140" s="95">
        <f>'19'!F140</f>
        <v>88898</v>
      </c>
      <c r="F140" s="149">
        <v>88917</v>
      </c>
      <c r="G140" s="112">
        <f>F140-E140</f>
        <v>19</v>
      </c>
      <c r="H140" s="99">
        <f>G140+'19'!H140</f>
        <v>35</v>
      </c>
      <c r="I140" s="118"/>
      <c r="J140" s="328">
        <f>H140/DAY(B2)</f>
        <v>1.75</v>
      </c>
    </row>
    <row r="141" spans="1:15" ht="27.75" x14ac:dyDescent="0.5">
      <c r="A141" s="850" t="s">
        <v>188</v>
      </c>
      <c r="B141" s="850"/>
      <c r="C141" s="850"/>
      <c r="D141" s="151" t="s">
        <v>183</v>
      </c>
      <c r="E141" s="95">
        <f>'19'!F141</f>
        <v>52577.7</v>
      </c>
      <c r="F141" s="149">
        <v>52741.02</v>
      </c>
      <c r="G141" s="112">
        <f t="shared" si="11"/>
        <v>163.31999999999971</v>
      </c>
      <c r="H141" s="99">
        <f>G141+'19'!H141</f>
        <v>3435.0199999999968</v>
      </c>
      <c r="I141" s="118"/>
      <c r="J141" s="328">
        <f>H141/DAY(B2)</f>
        <v>171.75099999999983</v>
      </c>
    </row>
    <row r="142" spans="1:15" ht="27.75" x14ac:dyDescent="0.5">
      <c r="A142" s="850" t="s">
        <v>189</v>
      </c>
      <c r="B142" s="850"/>
      <c r="C142" s="850"/>
      <c r="D142" s="151" t="s">
        <v>183</v>
      </c>
      <c r="E142" s="95">
        <f>'19'!F142</f>
        <v>20344.240000000002</v>
      </c>
      <c r="F142" s="148">
        <v>20419.13</v>
      </c>
      <c r="G142" s="112">
        <f t="shared" si="11"/>
        <v>74.889999999999418</v>
      </c>
      <c r="H142" s="99">
        <f>G142+'19'!H142</f>
        <v>1410.130000000001</v>
      </c>
      <c r="I142" s="140"/>
      <c r="J142" s="328">
        <f>H142/DAY(B2)</f>
        <v>70.506500000000045</v>
      </c>
    </row>
    <row r="143" spans="1:15" ht="27.75" x14ac:dyDescent="0.5">
      <c r="A143" s="846" t="s">
        <v>91</v>
      </c>
      <c r="B143" s="846"/>
      <c r="C143" s="846"/>
      <c r="D143" s="151" t="s">
        <v>183</v>
      </c>
      <c r="E143" s="95">
        <f>'19'!F143</f>
        <v>3515.52</v>
      </c>
      <c r="F143" s="149">
        <v>3541.77</v>
      </c>
      <c r="G143" s="112">
        <f t="shared" si="11"/>
        <v>26.25</v>
      </c>
      <c r="H143" s="99">
        <f>G143+'19'!H143</f>
        <v>480.77</v>
      </c>
      <c r="I143" s="140"/>
      <c r="J143" s="328">
        <f>H143/DAY(B2)</f>
        <v>24.038499999999999</v>
      </c>
    </row>
    <row r="144" spans="1:15" ht="27.75" x14ac:dyDescent="0.5">
      <c r="A144" s="850" t="s">
        <v>90</v>
      </c>
      <c r="B144" s="850"/>
      <c r="C144" s="850"/>
      <c r="D144" s="151" t="s">
        <v>183</v>
      </c>
      <c r="E144" s="95">
        <f>'19'!F144</f>
        <v>873963</v>
      </c>
      <c r="F144" s="149">
        <v>874189</v>
      </c>
      <c r="G144" s="112">
        <f t="shared" si="11"/>
        <v>226</v>
      </c>
      <c r="H144" s="99">
        <f>G144+'19'!H144</f>
        <v>4519</v>
      </c>
      <c r="I144" s="140"/>
      <c r="J144" s="328">
        <f>H144/DAY(B2)</f>
        <v>225.95</v>
      </c>
    </row>
    <row r="145" spans="1:10" ht="27.75" x14ac:dyDescent="0.5">
      <c r="A145" s="846" t="s">
        <v>190</v>
      </c>
      <c r="B145" s="846"/>
      <c r="C145" s="846"/>
      <c r="D145" s="152" t="s">
        <v>183</v>
      </c>
      <c r="E145" s="95">
        <f>'19'!F145</f>
        <v>4843.3999999999996</v>
      </c>
      <c r="F145" s="149">
        <v>4858.28</v>
      </c>
      <c r="G145" s="112">
        <f t="shared" si="11"/>
        <v>14.880000000000109</v>
      </c>
      <c r="H145" s="99">
        <f>G145+'19'!H145</f>
        <v>300.27999999999975</v>
      </c>
      <c r="I145" s="140"/>
      <c r="J145" s="328">
        <f>H145/DAY(B2)</f>
        <v>15.013999999999987</v>
      </c>
    </row>
    <row r="146" spans="1:10" ht="27.75" x14ac:dyDescent="0.5">
      <c r="A146" s="847" t="s">
        <v>191</v>
      </c>
      <c r="B146" s="848"/>
      <c r="C146" s="849"/>
      <c r="D146" s="152" t="s">
        <v>183</v>
      </c>
      <c r="E146" s="95">
        <f>'19'!F146</f>
        <v>732529</v>
      </c>
      <c r="F146" s="148">
        <v>732875</v>
      </c>
      <c r="G146" s="112">
        <f t="shared" si="11"/>
        <v>346</v>
      </c>
      <c r="H146" s="99">
        <f>G146+'19'!H146</f>
        <v>8017</v>
      </c>
      <c r="I146" s="140"/>
      <c r="J146" s="328">
        <f>H146/DAY(B2)</f>
        <v>400.85</v>
      </c>
    </row>
    <row r="147" spans="1:10" ht="27.75" x14ac:dyDescent="0.5">
      <c r="A147" s="850" t="s">
        <v>192</v>
      </c>
      <c r="B147" s="850"/>
      <c r="C147" s="850"/>
      <c r="D147" s="152" t="s">
        <v>183</v>
      </c>
      <c r="E147" s="95">
        <f>'19'!F147</f>
        <v>622164.64</v>
      </c>
      <c r="F147" s="148">
        <v>622512</v>
      </c>
      <c r="G147" s="112">
        <f t="shared" si="11"/>
        <v>347.35999999998603</v>
      </c>
      <c r="H147" s="99">
        <f>G147+'19'!H147</f>
        <v>7230</v>
      </c>
      <c r="I147" s="140"/>
      <c r="J147" s="328">
        <f>H147/DAY(B2)</f>
        <v>361.5</v>
      </c>
    </row>
    <row r="148" spans="1:10" ht="27.75" x14ac:dyDescent="0.5">
      <c r="A148" s="842" t="s">
        <v>193</v>
      </c>
      <c r="B148" s="843"/>
      <c r="C148" s="844"/>
      <c r="D148" s="123" t="s">
        <v>130</v>
      </c>
      <c r="E148" s="95">
        <f>'19'!F148</f>
        <v>687181.52</v>
      </c>
      <c r="F148" s="150">
        <v>687342</v>
      </c>
      <c r="G148" s="112">
        <f t="shared" si="11"/>
        <v>160.47999999998137</v>
      </c>
      <c r="H148" s="99">
        <f>G148+'19'!H148</f>
        <v>4308.8800000000047</v>
      </c>
      <c r="I148" s="124"/>
      <c r="J148" s="328">
        <f>H148/DAY(B2)</f>
        <v>215.44400000000024</v>
      </c>
    </row>
    <row r="149" spans="1:10" ht="27.75" x14ac:dyDescent="0.5">
      <c r="A149" s="842" t="s">
        <v>336</v>
      </c>
      <c r="B149" s="843"/>
      <c r="C149" s="844"/>
      <c r="D149" s="227" t="s">
        <v>130</v>
      </c>
      <c r="E149" s="95">
        <f>'19'!F149</f>
        <v>18705.96</v>
      </c>
      <c r="F149" s="146">
        <v>19166</v>
      </c>
      <c r="G149" s="112">
        <f t="shared" si="11"/>
        <v>460.04000000000087</v>
      </c>
      <c r="H149" s="99">
        <f>G149+'19'!H149</f>
        <v>8417</v>
      </c>
      <c r="I149" s="119"/>
      <c r="J149" s="328">
        <f>H149/DAY(B2)</f>
        <v>420.85</v>
      </c>
    </row>
    <row r="150" spans="1:10" ht="27.75" x14ac:dyDescent="0.5">
      <c r="A150" s="842" t="s">
        <v>337</v>
      </c>
      <c r="B150" s="843"/>
      <c r="C150" s="844"/>
      <c r="D150" s="117" t="s">
        <v>130</v>
      </c>
      <c r="E150" s="95">
        <f>'19'!F150</f>
        <v>8195.51</v>
      </c>
      <c r="F150" s="233">
        <v>8417.11</v>
      </c>
      <c r="G150" s="112">
        <f t="shared" si="11"/>
        <v>221.60000000000036</v>
      </c>
      <c r="H150" s="99">
        <f>G150+'19'!H150</f>
        <v>4365.1100000000006</v>
      </c>
      <c r="I150" s="119"/>
      <c r="J150" s="328">
        <f>H150/DAY(B2)</f>
        <v>218.25550000000004</v>
      </c>
    </row>
    <row r="151" spans="1:10" ht="27.75" x14ac:dyDescent="0.5">
      <c r="A151" s="842" t="s">
        <v>338</v>
      </c>
      <c r="B151" s="843"/>
      <c r="C151" s="844"/>
      <c r="D151" s="117" t="s">
        <v>130</v>
      </c>
      <c r="E151" s="95">
        <f>'19'!F151</f>
        <v>82600</v>
      </c>
      <c r="F151" s="233">
        <v>82812</v>
      </c>
      <c r="G151" s="112">
        <f t="shared" si="11"/>
        <v>212</v>
      </c>
      <c r="H151" s="99">
        <f>G151+'19'!H151</f>
        <v>4595</v>
      </c>
      <c r="I151" s="119"/>
      <c r="J151" s="328">
        <f>H151/DAY(B2)</f>
        <v>229.75</v>
      </c>
    </row>
    <row r="152" spans="1:10" ht="27.75" x14ac:dyDescent="0.5">
      <c r="A152" s="842" t="s">
        <v>339</v>
      </c>
      <c r="B152" s="843"/>
      <c r="C152" s="844"/>
      <c r="D152" s="117" t="s">
        <v>130</v>
      </c>
      <c r="E152" s="95">
        <f>'19'!F152</f>
        <v>1452.1</v>
      </c>
      <c r="F152" s="233">
        <v>1466.21</v>
      </c>
      <c r="G152" s="112">
        <f t="shared" si="11"/>
        <v>14.110000000000127</v>
      </c>
      <c r="H152" s="99">
        <f>G152+'19'!H152</f>
        <v>339.21000000000004</v>
      </c>
      <c r="I152" s="119"/>
      <c r="J152" s="328">
        <f>H152/DAY(B2)</f>
        <v>16.960500000000003</v>
      </c>
    </row>
    <row r="153" spans="1:10" ht="27.75" x14ac:dyDescent="0.5">
      <c r="A153" s="588" t="s">
        <v>108</v>
      </c>
      <c r="B153" s="365"/>
      <c r="C153" s="365"/>
      <c r="D153" s="117"/>
      <c r="E153" s="95"/>
      <c r="F153" s="233"/>
      <c r="G153" s="112">
        <f>SUM(G138:G152)</f>
        <v>2343.929999999968</v>
      </c>
      <c r="H153" s="99"/>
      <c r="I153" s="119">
        <f>G153-(G38+G52)</f>
        <v>731.07999999996946</v>
      </c>
      <c r="J153" s="328"/>
    </row>
    <row r="154" spans="1:10" ht="31.5" x14ac:dyDescent="0.55000000000000004">
      <c r="A154" s="883" t="s">
        <v>344</v>
      </c>
      <c r="B154" s="883"/>
      <c r="C154" s="883"/>
      <c r="D154" s="883"/>
      <c r="E154" s="883"/>
      <c r="F154" s="883"/>
      <c r="G154" s="883"/>
      <c r="H154" s="883"/>
      <c r="I154" s="883"/>
      <c r="J154" s="883"/>
    </row>
    <row r="155" spans="1:10" ht="31.5" x14ac:dyDescent="0.55000000000000004">
      <c r="A155" s="850" t="s">
        <v>345</v>
      </c>
      <c r="B155" s="850"/>
      <c r="C155" s="850"/>
      <c r="D155" s="117" t="s">
        <v>130</v>
      </c>
      <c r="E155" s="95">
        <f>'19'!F155</f>
        <v>24510</v>
      </c>
      <c r="F155" s="374">
        <v>25146.7</v>
      </c>
      <c r="G155" s="112">
        <f t="shared" ref="G155:G158" si="12">F155-E155</f>
        <v>636.70000000000073</v>
      </c>
      <c r="H155" s="99">
        <f>G155+'19'!H155</f>
        <v>11674.7</v>
      </c>
      <c r="I155" s="364"/>
      <c r="J155" s="328">
        <f>H155/DAY(B2)</f>
        <v>583.73500000000001</v>
      </c>
    </row>
    <row r="156" spans="1:10" ht="27.75" x14ac:dyDescent="0.5">
      <c r="A156" s="850" t="s">
        <v>347</v>
      </c>
      <c r="B156" s="850"/>
      <c r="C156" s="850"/>
      <c r="D156" s="117" t="s">
        <v>130</v>
      </c>
      <c r="E156" s="95">
        <f>'19'!F156</f>
        <v>2070</v>
      </c>
      <c r="F156" s="155">
        <v>2118.25</v>
      </c>
      <c r="G156" s="112">
        <f t="shared" si="12"/>
        <v>48.25</v>
      </c>
      <c r="H156" s="99">
        <f>G156+'19'!H156</f>
        <v>1030.25</v>
      </c>
      <c r="I156" s="165"/>
      <c r="J156" s="328">
        <f>H156/DAY(B2)</f>
        <v>51.512500000000003</v>
      </c>
    </row>
    <row r="157" spans="1:10" ht="27.75" x14ac:dyDescent="0.5">
      <c r="A157" s="842" t="s">
        <v>364</v>
      </c>
      <c r="B157" s="843"/>
      <c r="C157" s="844"/>
      <c r="D157" s="117" t="s">
        <v>130</v>
      </c>
      <c r="E157" s="95">
        <f>'19'!F157</f>
        <v>2720.16</v>
      </c>
      <c r="F157" s="155">
        <v>2837.68</v>
      </c>
      <c r="G157" s="112">
        <f t="shared" si="12"/>
        <v>117.51999999999998</v>
      </c>
      <c r="H157" s="99">
        <f>G157+'19'!H157</f>
        <v>117.51999999999998</v>
      </c>
      <c r="I157" s="165"/>
      <c r="J157" s="328">
        <f>H157/DAY(B2)</f>
        <v>5.8759999999999994</v>
      </c>
    </row>
    <row r="158" spans="1:10" ht="27.75" x14ac:dyDescent="0.5">
      <c r="A158" s="842" t="s">
        <v>365</v>
      </c>
      <c r="B158" s="843"/>
      <c r="C158" s="844"/>
      <c r="D158" s="117" t="s">
        <v>130</v>
      </c>
      <c r="E158" s="95">
        <f>'19'!F158</f>
        <v>24.34</v>
      </c>
      <c r="F158" s="155">
        <v>26.38</v>
      </c>
      <c r="G158" s="112">
        <f t="shared" si="12"/>
        <v>2.0399999999999991</v>
      </c>
      <c r="H158" s="99">
        <f>G158+'19'!H158</f>
        <v>2.0399999999999991</v>
      </c>
      <c r="I158" s="165"/>
      <c r="J158" s="328">
        <f>H158/DAY(B2)</f>
        <v>0.10199999999999995</v>
      </c>
    </row>
    <row r="159" spans="1:10" ht="27.75" x14ac:dyDescent="0.5">
      <c r="A159" s="899"/>
      <c r="B159" s="900"/>
      <c r="C159" s="901"/>
      <c r="D159" s="117"/>
      <c r="E159" s="95"/>
      <c r="F159" s="155"/>
      <c r="G159" s="112"/>
      <c r="H159" s="99"/>
      <c r="I159" s="165"/>
      <c r="J159" s="328"/>
    </row>
    <row r="160" spans="1:10" ht="31.5" x14ac:dyDescent="0.55000000000000004">
      <c r="A160" s="883" t="s">
        <v>326</v>
      </c>
      <c r="B160" s="883"/>
      <c r="C160" s="883"/>
      <c r="D160" s="883"/>
      <c r="E160" s="883"/>
      <c r="F160" s="883"/>
      <c r="G160" s="883"/>
      <c r="H160" s="883"/>
      <c r="I160" s="883"/>
      <c r="J160" s="883"/>
    </row>
    <row r="161" spans="1:10" ht="29.25" x14ac:dyDescent="0.5">
      <c r="A161" s="242" t="s">
        <v>92</v>
      </c>
      <c r="B161" s="243"/>
      <c r="C161" s="243"/>
      <c r="D161" s="244" t="s">
        <v>180</v>
      </c>
      <c r="E161" s="95">
        <f>'19'!F161</f>
        <v>471460.76</v>
      </c>
      <c r="F161" s="235">
        <v>471467.24</v>
      </c>
      <c r="G161" s="238">
        <f t="shared" ref="G161:G166" si="13">F161-E161</f>
        <v>6.4799999999813735</v>
      </c>
      <c r="H161" s="99">
        <f>G161+'19'!H161</f>
        <v>314.0800000000163</v>
      </c>
      <c r="I161" s="236"/>
      <c r="J161" s="239">
        <f>H161/DAY(B2)</f>
        <v>15.704000000000814</v>
      </c>
    </row>
    <row r="162" spans="1:10" ht="29.25" x14ac:dyDescent="0.5">
      <c r="A162" s="242" t="s">
        <v>93</v>
      </c>
      <c r="B162" s="243"/>
      <c r="C162" s="243"/>
      <c r="D162" s="244" t="s">
        <v>180</v>
      </c>
      <c r="E162" s="95">
        <f>'19'!F162</f>
        <v>88135.4</v>
      </c>
      <c r="F162" s="235">
        <v>88171.5</v>
      </c>
      <c r="G162" s="238">
        <f t="shared" si="13"/>
        <v>36.100000000005821</v>
      </c>
      <c r="H162" s="99">
        <f>G162+'19'!H162</f>
        <v>601.5</v>
      </c>
      <c r="I162" s="236"/>
      <c r="J162" s="239">
        <f>H162/DAY(B2)</f>
        <v>30.074999999999999</v>
      </c>
    </row>
    <row r="163" spans="1:10" ht="29.25" x14ac:dyDescent="0.5">
      <c r="A163" s="242" t="s">
        <v>197</v>
      </c>
      <c r="B163" s="243"/>
      <c r="C163" s="243"/>
      <c r="D163" s="244" t="s">
        <v>180</v>
      </c>
      <c r="E163" s="95">
        <f>'19'!F163</f>
        <v>78699.8</v>
      </c>
      <c r="F163" s="235">
        <v>78749.600000000006</v>
      </c>
      <c r="G163" s="238">
        <f t="shared" si="13"/>
        <v>49.80000000000291</v>
      </c>
      <c r="H163" s="99">
        <f>G163+'19'!H163</f>
        <v>924.60000000000582</v>
      </c>
      <c r="I163" s="236"/>
      <c r="J163" s="239">
        <f>H163/DAY(B2)</f>
        <v>46.230000000000288</v>
      </c>
    </row>
    <row r="164" spans="1:10" ht="29.25" x14ac:dyDescent="0.5">
      <c r="A164" s="242" t="s">
        <v>197</v>
      </c>
      <c r="B164" s="243"/>
      <c r="C164" s="243"/>
      <c r="D164" s="244" t="s">
        <v>180</v>
      </c>
      <c r="E164" s="95">
        <f>'19'!F164</f>
        <v>4284.5</v>
      </c>
      <c r="F164" s="235">
        <v>4288</v>
      </c>
      <c r="G164" s="238">
        <f t="shared" si="13"/>
        <v>3.5</v>
      </c>
      <c r="H164" s="99">
        <f>G164+'19'!H164</f>
        <v>46</v>
      </c>
      <c r="I164" s="236"/>
      <c r="J164" s="239">
        <f>H164/DAY(B2)</f>
        <v>2.2999999999999998</v>
      </c>
    </row>
    <row r="165" spans="1:10" ht="29.25" x14ac:dyDescent="0.5">
      <c r="A165" s="242" t="s">
        <v>309</v>
      </c>
      <c r="B165" s="243"/>
      <c r="C165" s="243"/>
      <c r="D165" s="244" t="s">
        <v>180</v>
      </c>
      <c r="E165" s="95">
        <f>'19'!F165</f>
        <v>29771.72</v>
      </c>
      <c r="F165" s="235">
        <v>29779.71</v>
      </c>
      <c r="G165" s="238">
        <f t="shared" si="13"/>
        <v>7.9899999999979627</v>
      </c>
      <c r="H165" s="99">
        <f>G165+'19'!H165</f>
        <v>133.70999999999913</v>
      </c>
      <c r="I165" s="236"/>
      <c r="J165" s="239">
        <f>H165/DAY(B2)</f>
        <v>6.6854999999999567</v>
      </c>
    </row>
    <row r="166" spans="1:10" ht="29.25" x14ac:dyDescent="0.5">
      <c r="A166" s="882"/>
      <c r="B166" s="882"/>
      <c r="C166" s="246"/>
      <c r="D166" s="244" t="s">
        <v>180</v>
      </c>
      <c r="E166" s="95">
        <f>'19'!F166</f>
        <v>0</v>
      </c>
      <c r="F166" s="165"/>
      <c r="G166" s="165">
        <f t="shared" si="13"/>
        <v>0</v>
      </c>
      <c r="H166" s="99">
        <f>G166+'19'!H166</f>
        <v>0</v>
      </c>
      <c r="I166" s="165"/>
      <c r="J166" s="239">
        <f>H166/DAY(B2)</f>
        <v>0</v>
      </c>
    </row>
    <row r="167" spans="1:10" ht="29.25" x14ac:dyDescent="0.5">
      <c r="A167" s="882"/>
      <c r="B167" s="882"/>
      <c r="C167" s="246"/>
      <c r="D167" s="244" t="s">
        <v>180</v>
      </c>
      <c r="E167" s="95">
        <f>'19'!F167</f>
        <v>0</v>
      </c>
      <c r="F167" s="165"/>
      <c r="G167" s="165"/>
      <c r="H167" s="99">
        <f>G167+'19'!H167</f>
        <v>0</v>
      </c>
      <c r="I167" s="165"/>
      <c r="J167" s="239">
        <f>H167/DAY(B2)</f>
        <v>0</v>
      </c>
    </row>
    <row r="168" spans="1:10" ht="29.25" x14ac:dyDescent="0.5">
      <c r="A168" s="882"/>
      <c r="B168" s="882"/>
      <c r="C168" s="246"/>
      <c r="D168" s="244" t="s">
        <v>180</v>
      </c>
      <c r="E168" s="95">
        <f>'19'!F168</f>
        <v>0</v>
      </c>
      <c r="F168" s="165"/>
      <c r="G168" s="165"/>
      <c r="H168" s="99">
        <f>G168+'19'!H168</f>
        <v>0</v>
      </c>
      <c r="I168" s="165"/>
      <c r="J168" s="239">
        <f>H168/DAY(B2)</f>
        <v>0</v>
      </c>
    </row>
    <row r="169" spans="1:10" ht="29.25" x14ac:dyDescent="0.5"/>
    <row r="170" spans="1:10" ht="29.25" x14ac:dyDescent="0.5"/>
    <row r="171" spans="1:10" ht="31.5" x14ac:dyDescent="0.35">
      <c r="A171" s="890" t="s">
        <v>330</v>
      </c>
      <c r="B171" s="891"/>
      <c r="C171" s="891"/>
      <c r="D171" s="891"/>
      <c r="E171" s="891"/>
      <c r="F171" s="891"/>
      <c r="G171" s="891"/>
      <c r="H171" s="891"/>
      <c r="I171" s="891"/>
      <c r="J171" s="892"/>
    </row>
    <row r="172" spans="1:10" ht="27.75" x14ac:dyDescent="0.5">
      <c r="A172" s="886"/>
      <c r="B172" s="887"/>
      <c r="C172" s="332"/>
      <c r="D172" s="228"/>
      <c r="E172" s="155"/>
      <c r="F172" s="155"/>
      <c r="G172" s="155"/>
      <c r="H172" s="156"/>
      <c r="I172" s="155"/>
      <c r="J172" s="178"/>
    </row>
    <row r="173" spans="1:10" ht="27.75" x14ac:dyDescent="0.5">
      <c r="A173" s="840" t="s">
        <v>209</v>
      </c>
      <c r="B173" s="841"/>
      <c r="C173" s="333"/>
      <c r="D173" s="228" t="s">
        <v>142</v>
      </c>
      <c r="E173" s="95">
        <f>'19'!F173</f>
        <v>8126</v>
      </c>
      <c r="F173" s="155">
        <v>8126</v>
      </c>
      <c r="G173" s="155">
        <f>F173-E173</f>
        <v>0</v>
      </c>
      <c r="H173" s="99">
        <f>G173+'19'!H173</f>
        <v>0</v>
      </c>
      <c r="I173" s="155"/>
      <c r="J173" s="178">
        <f>H173/DAY(B2)</f>
        <v>0</v>
      </c>
    </row>
    <row r="174" spans="1:10" ht="27.75" x14ac:dyDescent="0.5">
      <c r="A174" s="840" t="s">
        <v>75</v>
      </c>
      <c r="B174" s="841"/>
      <c r="C174" s="333"/>
      <c r="D174" s="228" t="s">
        <v>142</v>
      </c>
      <c r="E174" s="95">
        <f>'19'!F174</f>
        <v>38466</v>
      </c>
      <c r="F174" s="157">
        <v>38478</v>
      </c>
      <c r="G174" s="155">
        <f t="shared" ref="G174:G175" si="14">F174-E174</f>
        <v>12</v>
      </c>
      <c r="H174" s="99">
        <f>G174+'19'!H174</f>
        <v>185</v>
      </c>
      <c r="I174" s="155"/>
      <c r="J174" s="178">
        <f>H174/DAY(B2)</f>
        <v>9.25</v>
      </c>
    </row>
    <row r="175" spans="1:10" ht="27.75" x14ac:dyDescent="0.5">
      <c r="A175" s="840" t="s">
        <v>76</v>
      </c>
      <c r="B175" s="845"/>
      <c r="C175" s="841"/>
      <c r="D175" s="228" t="s">
        <v>142</v>
      </c>
      <c r="E175" s="95">
        <f>'19'!F175</f>
        <v>21692</v>
      </c>
      <c r="F175" s="155">
        <v>21704</v>
      </c>
      <c r="G175" s="155">
        <f t="shared" si="14"/>
        <v>12</v>
      </c>
      <c r="H175" s="99">
        <f>G175+'19'!H175</f>
        <v>186</v>
      </c>
      <c r="I175" s="155"/>
      <c r="J175" s="178">
        <f>H175/DAY(B2)</f>
        <v>9.3000000000000007</v>
      </c>
    </row>
    <row r="176" spans="1:10" ht="27.75" x14ac:dyDescent="0.5">
      <c r="A176" s="879" t="s">
        <v>196</v>
      </c>
      <c r="B176" s="880"/>
      <c r="C176" s="485"/>
      <c r="D176" s="228" t="s">
        <v>142</v>
      </c>
      <c r="E176" s="95"/>
      <c r="F176" s="155"/>
      <c r="G176" s="155">
        <f>SUM(G173:G175)</f>
        <v>24</v>
      </c>
      <c r="H176" s="99">
        <f>G176+'19'!H176</f>
        <v>371</v>
      </c>
      <c r="I176" s="155"/>
      <c r="J176" s="178">
        <f>H176/DAY(B2)</f>
        <v>18.55</v>
      </c>
    </row>
    <row r="177" spans="1:10" ht="27.75" x14ac:dyDescent="0.5">
      <c r="A177" s="840" t="s">
        <v>77</v>
      </c>
      <c r="B177" s="841"/>
      <c r="C177" s="333"/>
      <c r="D177" s="228" t="s">
        <v>142</v>
      </c>
      <c r="E177" s="95"/>
      <c r="F177" s="155"/>
      <c r="G177" s="155"/>
      <c r="H177" s="99">
        <f>G177+'19'!H177</f>
        <v>0</v>
      </c>
      <c r="I177" s="155"/>
      <c r="J177" s="178">
        <f>H177/DAY(B2)</f>
        <v>0</v>
      </c>
    </row>
    <row r="178" spans="1:10" ht="27.75" x14ac:dyDescent="0.5">
      <c r="A178" s="840" t="s">
        <v>210</v>
      </c>
      <c r="B178" s="841"/>
      <c r="C178" s="333"/>
      <c r="D178" s="228" t="s">
        <v>142</v>
      </c>
      <c r="E178" s="95">
        <f>'19'!F178</f>
        <v>80688</v>
      </c>
      <c r="F178" s="155">
        <v>80729</v>
      </c>
      <c r="G178" s="155">
        <f>F178-E178</f>
        <v>41</v>
      </c>
      <c r="H178" s="99">
        <f>G178+'19'!H178</f>
        <v>1115</v>
      </c>
      <c r="I178" s="155"/>
      <c r="J178" s="178">
        <f>H178/DAY(B2)</f>
        <v>55.75</v>
      </c>
    </row>
    <row r="179" spans="1:10" ht="27.75" x14ac:dyDescent="0.5">
      <c r="A179" s="840" t="s">
        <v>211</v>
      </c>
      <c r="B179" s="841"/>
      <c r="C179" s="333"/>
      <c r="D179" s="228" t="s">
        <v>142</v>
      </c>
      <c r="E179" s="95">
        <f>'19'!F179</f>
        <v>34336</v>
      </c>
      <c r="F179" s="155">
        <v>34336</v>
      </c>
      <c r="G179" s="155">
        <f t="shared" ref="G179:G180" si="15">F179-E179</f>
        <v>0</v>
      </c>
      <c r="H179" s="99">
        <f>G179+'19'!H179</f>
        <v>421</v>
      </c>
      <c r="I179" s="155"/>
      <c r="J179" s="178">
        <f>H179/DAY(B2)</f>
        <v>21.05</v>
      </c>
    </row>
    <row r="180" spans="1:10" ht="27.75" x14ac:dyDescent="0.5">
      <c r="A180" s="840" t="s">
        <v>212</v>
      </c>
      <c r="B180" s="841"/>
      <c r="C180" s="333"/>
      <c r="D180" s="228" t="s">
        <v>142</v>
      </c>
      <c r="E180" s="95">
        <f>'19'!F180</f>
        <v>5611</v>
      </c>
      <c r="F180" s="155">
        <v>5623</v>
      </c>
      <c r="G180" s="155">
        <f t="shared" si="15"/>
        <v>12</v>
      </c>
      <c r="H180" s="99">
        <f>G180+'19'!H180</f>
        <v>146</v>
      </c>
      <c r="I180" s="155"/>
      <c r="J180" s="178">
        <f>H180/DAY(B2)</f>
        <v>7.3</v>
      </c>
    </row>
    <row r="181" spans="1:10" ht="24.75" customHeight="1" x14ac:dyDescent="0.5">
      <c r="A181" s="884" t="s">
        <v>108</v>
      </c>
      <c r="B181" s="885"/>
      <c r="C181" s="485"/>
      <c r="D181" s="228" t="s">
        <v>142</v>
      </c>
      <c r="E181" s="95"/>
      <c r="F181" s="155"/>
      <c r="G181" s="155">
        <f>SUM(G178:G180)</f>
        <v>53</v>
      </c>
      <c r="H181" s="99">
        <f>G181+'19'!H181</f>
        <v>1682</v>
      </c>
      <c r="I181" s="155"/>
      <c r="J181" s="178">
        <f>H181/DAY(B2)</f>
        <v>84.1</v>
      </c>
    </row>
    <row r="182" spans="1:10" ht="24.75" customHeight="1" x14ac:dyDescent="0.5">
      <c r="A182" s="840" t="s">
        <v>213</v>
      </c>
      <c r="B182" s="841"/>
      <c r="C182" s="333"/>
      <c r="D182" s="228" t="s">
        <v>142</v>
      </c>
      <c r="E182" s="95"/>
      <c r="F182" s="155"/>
      <c r="G182" s="155"/>
      <c r="H182" s="99">
        <f>G182+'19'!H182</f>
        <v>0</v>
      </c>
      <c r="I182" s="155"/>
      <c r="J182" s="178">
        <f>H182/DAY(B2)</f>
        <v>0</v>
      </c>
    </row>
    <row r="183" spans="1:10" ht="24.75" customHeight="1" x14ac:dyDescent="0.5">
      <c r="A183" s="840" t="s">
        <v>214</v>
      </c>
      <c r="B183" s="841"/>
      <c r="C183" s="334"/>
      <c r="D183" s="228" t="s">
        <v>142</v>
      </c>
      <c r="E183" s="95">
        <f>'19'!F183</f>
        <v>15172</v>
      </c>
      <c r="F183" s="157">
        <v>15189</v>
      </c>
      <c r="G183" s="157">
        <f>F183-E183</f>
        <v>17</v>
      </c>
      <c r="H183" s="99">
        <f>G183+'19'!H183</f>
        <v>242</v>
      </c>
      <c r="I183" s="155"/>
      <c r="J183" s="178">
        <f>H183/DAY(B2)</f>
        <v>12.1</v>
      </c>
    </row>
    <row r="184" spans="1:10" ht="24.75" customHeight="1" x14ac:dyDescent="0.5">
      <c r="A184" s="840" t="s">
        <v>215</v>
      </c>
      <c r="B184" s="841"/>
      <c r="C184" s="334"/>
      <c r="D184" s="228" t="s">
        <v>142</v>
      </c>
      <c r="E184" s="95">
        <f>'19'!F184</f>
        <v>10420</v>
      </c>
      <c r="F184" s="157">
        <v>10425</v>
      </c>
      <c r="G184" s="157">
        <f t="shared" ref="G184:G185" si="16">F184-E184</f>
        <v>5</v>
      </c>
      <c r="H184" s="99">
        <f>G184+'19'!H184</f>
        <v>124</v>
      </c>
      <c r="I184" s="155"/>
      <c r="J184" s="178">
        <f>H184/DAY(B2)</f>
        <v>6.2</v>
      </c>
    </row>
    <row r="185" spans="1:10" ht="24.75" customHeight="1" x14ac:dyDescent="0.5">
      <c r="A185" s="840" t="s">
        <v>216</v>
      </c>
      <c r="B185" s="841"/>
      <c r="C185" s="334"/>
      <c r="D185" s="228" t="s">
        <v>142</v>
      </c>
      <c r="E185" s="95">
        <f>'19'!F185</f>
        <v>0</v>
      </c>
      <c r="F185" s="157"/>
      <c r="G185" s="157">
        <f t="shared" si="16"/>
        <v>0</v>
      </c>
      <c r="H185" s="99">
        <f>G185+'19'!H185</f>
        <v>0</v>
      </c>
      <c r="I185" s="155"/>
      <c r="J185" s="178">
        <f>H185/DAY(B2)</f>
        <v>0</v>
      </c>
    </row>
    <row r="186" spans="1:10" ht="27.75" x14ac:dyDescent="0.5">
      <c r="A186" s="879" t="s">
        <v>196</v>
      </c>
      <c r="B186" s="880"/>
      <c r="C186" s="484"/>
      <c r="D186" s="228" t="s">
        <v>142</v>
      </c>
      <c r="E186" s="95"/>
      <c r="F186" s="157"/>
      <c r="G186" s="157">
        <f>SUM(G183:G185)</f>
        <v>22</v>
      </c>
      <c r="H186" s="99">
        <f>G186+'19'!H186</f>
        <v>366</v>
      </c>
      <c r="I186" s="157"/>
      <c r="J186" s="178">
        <f>H186/DAY(B2)</f>
        <v>18.3</v>
      </c>
    </row>
    <row r="187" spans="1:10" ht="27.75" x14ac:dyDescent="0.5">
      <c r="A187" s="888" t="s">
        <v>217</v>
      </c>
      <c r="B187" s="889"/>
      <c r="C187" s="333"/>
      <c r="D187" s="230" t="s">
        <v>142</v>
      </c>
      <c r="E187" s="95"/>
      <c r="F187" s="159"/>
      <c r="G187" s="462">
        <f>G62+G19</f>
        <v>125</v>
      </c>
      <c r="H187" s="99">
        <f>G187+'19'!H187</f>
        <v>2291</v>
      </c>
      <c r="I187" s="158"/>
      <c r="J187" s="179">
        <f>H187/DAY(B2)</f>
        <v>114.55</v>
      </c>
    </row>
    <row r="188" spans="1:10" ht="27.75" x14ac:dyDescent="0.5">
      <c r="A188" s="888" t="s">
        <v>218</v>
      </c>
      <c r="B188" s="889"/>
      <c r="C188" s="333"/>
      <c r="D188" s="230" t="s">
        <v>142</v>
      </c>
      <c r="E188" s="95"/>
      <c r="F188" s="159"/>
      <c r="G188" s="462">
        <f>G65+G66+G67+G69+G70</f>
        <v>123.89999999999964</v>
      </c>
      <c r="H188" s="99">
        <f>G188+'19'!H188</f>
        <v>716</v>
      </c>
      <c r="I188" s="158"/>
      <c r="J188" s="179">
        <f>H188/DAY(B2)</f>
        <v>35.799999999999997</v>
      </c>
    </row>
    <row r="189" spans="1:10" ht="27.75" x14ac:dyDescent="0.5">
      <c r="A189" s="888" t="s">
        <v>219</v>
      </c>
      <c r="B189" s="889"/>
      <c r="C189" s="333"/>
      <c r="D189" s="230" t="s">
        <v>142</v>
      </c>
      <c r="E189" s="95"/>
      <c r="F189" s="157"/>
      <c r="G189" s="459">
        <f>G181</f>
        <v>53</v>
      </c>
      <c r="H189" s="99">
        <f>G189+'19'!H189</f>
        <v>92</v>
      </c>
      <c r="I189" s="158"/>
      <c r="J189" s="179">
        <f>H189/DAY(B2)</f>
        <v>4.5999999999999996</v>
      </c>
    </row>
    <row r="190" spans="1:10" ht="27.75" x14ac:dyDescent="0.5">
      <c r="A190" s="811"/>
      <c r="B190" s="812"/>
      <c r="C190" s="483"/>
      <c r="D190" s="480"/>
      <c r="E190" s="480" t="s">
        <v>207</v>
      </c>
      <c r="F190" s="480"/>
      <c r="G190" s="480"/>
      <c r="H190" s="481"/>
      <c r="I190" s="480"/>
      <c r="J190" s="482"/>
    </row>
    <row r="191" spans="1:10" ht="29.25" x14ac:dyDescent="0.5"/>
    <row r="192" spans="1:10" ht="29.25" x14ac:dyDescent="0.5"/>
    <row r="193" ht="29.25" x14ac:dyDescent="0.5"/>
    <row r="194" ht="29.25" x14ac:dyDescent="0.5"/>
    <row r="195" ht="29.25" x14ac:dyDescent="0.5"/>
    <row r="196" ht="29.25" x14ac:dyDescent="0.5"/>
    <row r="197" ht="29.25" x14ac:dyDescent="0.5"/>
    <row r="198" ht="29.25" x14ac:dyDescent="0.5"/>
    <row r="199" ht="29.25" x14ac:dyDescent="0.5"/>
    <row r="200" ht="29.25" x14ac:dyDescent="0.5"/>
    <row r="201" ht="29.25" x14ac:dyDescent="0.5"/>
    <row r="202" ht="29.25" x14ac:dyDescent="0.5"/>
    <row r="203" ht="29.25" x14ac:dyDescent="0.5"/>
    <row r="204" ht="29.25" x14ac:dyDescent="0.5"/>
    <row r="205" ht="29.25" x14ac:dyDescent="0.5"/>
    <row r="206" ht="29.25" x14ac:dyDescent="0.5"/>
    <row r="207" ht="29.25" x14ac:dyDescent="0.5"/>
    <row r="208" ht="29.25" x14ac:dyDescent="0.5"/>
    <row r="209" ht="29.25" x14ac:dyDescent="0.5"/>
    <row r="210" ht="29.25" x14ac:dyDescent="0.5"/>
    <row r="211" ht="29.25" x14ac:dyDescent="0.5"/>
    <row r="212" ht="29.25" x14ac:dyDescent="0.5"/>
    <row r="213" ht="29.25" x14ac:dyDescent="0.5"/>
    <row r="214" ht="29.25" x14ac:dyDescent="0.5"/>
    <row r="215" ht="29.25" x14ac:dyDescent="0.5"/>
    <row r="216" ht="29.25" x14ac:dyDescent="0.5"/>
    <row r="217" ht="29.25" x14ac:dyDescent="0.5"/>
    <row r="218" ht="29.25" x14ac:dyDescent="0.5"/>
    <row r="219" ht="29.25" x14ac:dyDescent="0.5"/>
    <row r="220" ht="29.25" x14ac:dyDescent="0.5"/>
    <row r="221" ht="29.25" x14ac:dyDescent="0.5"/>
    <row r="222" ht="29.25" x14ac:dyDescent="0.5"/>
    <row r="223" ht="29.25" x14ac:dyDescent="0.5"/>
    <row r="224" ht="29.25" x14ac:dyDescent="0.5"/>
    <row r="225" ht="29.25" x14ac:dyDescent="0.5"/>
    <row r="226" ht="29.25" x14ac:dyDescent="0.5"/>
    <row r="227" ht="29.25" x14ac:dyDescent="0.5"/>
    <row r="228" ht="29.25" x14ac:dyDescent="0.5"/>
    <row r="229" ht="29.25" x14ac:dyDescent="0.5"/>
    <row r="230" ht="29.25" x14ac:dyDescent="0.5"/>
    <row r="231" ht="29.25" x14ac:dyDescent="0.5"/>
    <row r="232" ht="29.25" x14ac:dyDescent="0.5"/>
    <row r="233" ht="29.25" x14ac:dyDescent="0.5"/>
    <row r="234" ht="29.25" x14ac:dyDescent="0.5"/>
    <row r="235" ht="29.25" x14ac:dyDescent="0.5"/>
    <row r="236" ht="29.25" x14ac:dyDescent="0.5"/>
    <row r="237" ht="29.25" x14ac:dyDescent="0.5"/>
    <row r="238" ht="29.25" x14ac:dyDescent="0.5"/>
    <row r="239" ht="29.25" x14ac:dyDescent="0.5"/>
    <row r="240" ht="29.25" x14ac:dyDescent="0.5"/>
    <row r="241" ht="29.25" x14ac:dyDescent="0.5"/>
    <row r="242" ht="29.25" x14ac:dyDescent="0.5"/>
    <row r="243" ht="29.25" x14ac:dyDescent="0.5"/>
    <row r="244" ht="29.25" x14ac:dyDescent="0.5"/>
    <row r="245" ht="29.25" x14ac:dyDescent="0.5"/>
    <row r="246" ht="29.25" x14ac:dyDescent="0.5"/>
    <row r="247" ht="29.25" x14ac:dyDescent="0.5"/>
    <row r="248" ht="29.25" x14ac:dyDescent="0.5"/>
    <row r="249" ht="29.25" x14ac:dyDescent="0.5"/>
    <row r="250" ht="29.25" x14ac:dyDescent="0.5"/>
    <row r="251" ht="29.25" x14ac:dyDescent="0.5"/>
    <row r="252" ht="29.25" x14ac:dyDescent="0.5"/>
    <row r="253" ht="29.25" x14ac:dyDescent="0.5"/>
    <row r="254" ht="29.25" x14ac:dyDescent="0.5"/>
    <row r="255" ht="29.25" x14ac:dyDescent="0.5"/>
    <row r="256" ht="29.25" x14ac:dyDescent="0.5"/>
    <row r="257" ht="29.25" x14ac:dyDescent="0.5"/>
    <row r="258" ht="29.25" x14ac:dyDescent="0.5"/>
    <row r="259" ht="29.25" x14ac:dyDescent="0.5"/>
    <row r="260" ht="29.25" x14ac:dyDescent="0.5"/>
    <row r="261" ht="29.25" x14ac:dyDescent="0.5"/>
    <row r="262" ht="29.25" x14ac:dyDescent="0.5"/>
    <row r="263" ht="29.25" x14ac:dyDescent="0.5"/>
    <row r="264" ht="29.25" x14ac:dyDescent="0.5"/>
    <row r="265" ht="29.25" x14ac:dyDescent="0.5"/>
    <row r="266" ht="29.25" x14ac:dyDescent="0.5"/>
    <row r="267" ht="29.25" x14ac:dyDescent="0.5"/>
    <row r="268" ht="29.25" x14ac:dyDescent="0.5"/>
    <row r="269" ht="29.25" x14ac:dyDescent="0.5"/>
    <row r="270" ht="29.25" x14ac:dyDescent="0.5"/>
    <row r="313" ht="29.25" x14ac:dyDescent="0.5"/>
    <row r="314" ht="29.25" x14ac:dyDescent="0.5"/>
    <row r="315" ht="29.25" x14ac:dyDescent="0.5"/>
    <row r="316" ht="29.25" x14ac:dyDescent="0.5"/>
    <row r="317" ht="29.25" x14ac:dyDescent="0.5"/>
    <row r="318" ht="29.25" x14ac:dyDescent="0.5"/>
    <row r="319" ht="29.25" x14ac:dyDescent="0.5"/>
    <row r="320" ht="29.25" x14ac:dyDescent="0.5"/>
    <row r="321" ht="29.25" x14ac:dyDescent="0.5"/>
    <row r="322" ht="29.25" x14ac:dyDescent="0.5"/>
    <row r="323" ht="29.25" x14ac:dyDescent="0.5"/>
    <row r="324" ht="29.25" x14ac:dyDescent="0.5"/>
    <row r="325" ht="29.25" x14ac:dyDescent="0.5"/>
    <row r="326" ht="29.25" x14ac:dyDescent="0.5"/>
    <row r="327" ht="29.25" x14ac:dyDescent="0.5"/>
    <row r="328" ht="29.25" x14ac:dyDescent="0.5"/>
    <row r="329" ht="29.25" x14ac:dyDescent="0.5"/>
    <row r="330" ht="29.25" x14ac:dyDescent="0.5"/>
    <row r="331" ht="29.25" x14ac:dyDescent="0.5"/>
    <row r="332" ht="29.25" x14ac:dyDescent="0.5"/>
    <row r="333" ht="29.25" x14ac:dyDescent="0.5"/>
    <row r="334" ht="29.25" x14ac:dyDescent="0.5"/>
    <row r="335" ht="29.25" x14ac:dyDescent="0.5"/>
    <row r="336" ht="29.25" x14ac:dyDescent="0.5"/>
    <row r="337" ht="29.25" x14ac:dyDescent="0.5"/>
    <row r="338" ht="29.25" x14ac:dyDescent="0.5"/>
    <row r="339" ht="29.25" x14ac:dyDescent="0.5"/>
    <row r="340" ht="29.25" x14ac:dyDescent="0.5"/>
    <row r="341" ht="29.25" x14ac:dyDescent="0.5"/>
    <row r="342" ht="29.25" x14ac:dyDescent="0.5"/>
    <row r="343" ht="29.25" x14ac:dyDescent="0.5"/>
    <row r="344" ht="29.25" x14ac:dyDescent="0.5"/>
    <row r="345" ht="29.25" x14ac:dyDescent="0.5"/>
    <row r="346" ht="29.25" x14ac:dyDescent="0.5"/>
    <row r="347" ht="29.25" x14ac:dyDescent="0.5"/>
    <row r="348" ht="29.25" x14ac:dyDescent="0.5"/>
    <row r="349" ht="29.25" x14ac:dyDescent="0.5"/>
    <row r="350" ht="29.25" x14ac:dyDescent="0.5"/>
    <row r="351" ht="29.25" x14ac:dyDescent="0.5"/>
    <row r="352" ht="29.25" x14ac:dyDescent="0.5"/>
    <row r="353" ht="29.25" x14ac:dyDescent="0.5"/>
    <row r="354" ht="29.25" x14ac:dyDescent="0.5"/>
    <row r="355" ht="29.25" x14ac:dyDescent="0.5"/>
    <row r="356" ht="29.25" x14ac:dyDescent="0.5"/>
    <row r="357" ht="29.25" x14ac:dyDescent="0.5"/>
    <row r="358" ht="29.25" x14ac:dyDescent="0.5"/>
    <row r="359" ht="29.25" x14ac:dyDescent="0.5"/>
    <row r="360" ht="29.25" x14ac:dyDescent="0.5"/>
    <row r="361" ht="29.25" x14ac:dyDescent="0.5"/>
    <row r="362" ht="29.25" x14ac:dyDescent="0.5"/>
    <row r="363" ht="29.25" x14ac:dyDescent="0.5"/>
    <row r="364" ht="29.25" x14ac:dyDescent="0.5"/>
    <row r="365" ht="29.25" x14ac:dyDescent="0.5"/>
    <row r="366" ht="29.25" x14ac:dyDescent="0.5"/>
    <row r="367" ht="29.25" x14ac:dyDescent="0.5"/>
    <row r="368" ht="29.25" x14ac:dyDescent="0.5"/>
    <row r="369" ht="29.25" x14ac:dyDescent="0.5"/>
    <row r="370" ht="29.25" x14ac:dyDescent="0.5"/>
    <row r="371" ht="29.25" x14ac:dyDescent="0.5"/>
    <row r="372" ht="29.25" x14ac:dyDescent="0.5"/>
    <row r="373" ht="29.25" x14ac:dyDescent="0.5"/>
    <row r="374" ht="29.25" x14ac:dyDescent="0.5"/>
    <row r="375" ht="29.25" x14ac:dyDescent="0.5"/>
    <row r="376" ht="29.25" x14ac:dyDescent="0.5"/>
    <row r="377" ht="29.25" x14ac:dyDescent="0.5"/>
    <row r="378" ht="29.25" x14ac:dyDescent="0.5"/>
    <row r="379" ht="29.25" x14ac:dyDescent="0.5"/>
    <row r="380" ht="29.25" x14ac:dyDescent="0.5"/>
    <row r="381" ht="29.25" x14ac:dyDescent="0.5"/>
    <row r="382" ht="29.25" x14ac:dyDescent="0.5"/>
    <row r="383" ht="29.25" x14ac:dyDescent="0.5"/>
    <row r="384" ht="29.25" x14ac:dyDescent="0.5"/>
    <row r="385" ht="29.25" x14ac:dyDescent="0.5"/>
    <row r="386" ht="29.25" x14ac:dyDescent="0.5"/>
    <row r="387" ht="29.25" x14ac:dyDescent="0.5"/>
    <row r="388" ht="29.25" x14ac:dyDescent="0.5"/>
    <row r="389" ht="29.25" x14ac:dyDescent="0.5"/>
    <row r="390" ht="29.25" x14ac:dyDescent="0.5"/>
    <row r="391" ht="29.25" x14ac:dyDescent="0.5"/>
    <row r="392" ht="29.25" x14ac:dyDescent="0.5"/>
    <row r="393" ht="29.25" x14ac:dyDescent="0.5"/>
    <row r="394" ht="29.25" x14ac:dyDescent="0.5"/>
    <row r="395" ht="29.25" x14ac:dyDescent="0.5"/>
    <row r="396" ht="29.25" x14ac:dyDescent="0.5"/>
    <row r="397" ht="29.25" x14ac:dyDescent="0.5"/>
    <row r="398" ht="29.25" x14ac:dyDescent="0.5"/>
    <row r="399" ht="29.25" x14ac:dyDescent="0.5"/>
    <row r="400" ht="29.25" x14ac:dyDescent="0.5"/>
    <row r="401" ht="29.25" x14ac:dyDescent="0.5"/>
    <row r="402" ht="29.25" x14ac:dyDescent="0.5"/>
    <row r="403" ht="29.25" x14ac:dyDescent="0.5"/>
    <row r="404" ht="29.25" x14ac:dyDescent="0.5"/>
    <row r="405" ht="29.25" x14ac:dyDescent="0.5"/>
    <row r="406" ht="29.25" x14ac:dyDescent="0.5"/>
    <row r="407" ht="29.25" x14ac:dyDescent="0.5"/>
    <row r="408" ht="29.25" x14ac:dyDescent="0.5"/>
    <row r="409" ht="29.25" x14ac:dyDescent="0.5"/>
    <row r="410" ht="29.25" x14ac:dyDescent="0.5"/>
    <row r="411" ht="29.25" x14ac:dyDescent="0.5"/>
    <row r="412" ht="29.25" x14ac:dyDescent="0.5"/>
    <row r="413" ht="29.25" x14ac:dyDescent="0.5"/>
    <row r="414" ht="29.25" x14ac:dyDescent="0.5"/>
    <row r="415" ht="29.25" x14ac:dyDescent="0.5"/>
    <row r="416" ht="29.25" x14ac:dyDescent="0.5"/>
    <row r="417" ht="29.25" x14ac:dyDescent="0.5"/>
    <row r="418" ht="29.25" x14ac:dyDescent="0.5"/>
    <row r="419" ht="29.25" x14ac:dyDescent="0.5"/>
    <row r="420" ht="29.25" x14ac:dyDescent="0.5"/>
    <row r="421" ht="29.25" x14ac:dyDescent="0.5"/>
    <row r="422" ht="29.25" x14ac:dyDescent="0.5"/>
    <row r="423" ht="29.25" x14ac:dyDescent="0.5"/>
    <row r="424" ht="29.25" x14ac:dyDescent="0.5"/>
    <row r="425" ht="29.25" x14ac:dyDescent="0.5"/>
    <row r="426" ht="29.25" x14ac:dyDescent="0.5"/>
    <row r="427" ht="29.25" x14ac:dyDescent="0.5"/>
    <row r="428" ht="29.25" x14ac:dyDescent="0.5"/>
    <row r="429" ht="29.25" x14ac:dyDescent="0.5"/>
    <row r="430" ht="29.25" x14ac:dyDescent="0.5"/>
    <row r="431" ht="29.25" x14ac:dyDescent="0.5"/>
    <row r="432" ht="29.25" x14ac:dyDescent="0.5"/>
    <row r="433" ht="29.25" x14ac:dyDescent="0.5"/>
    <row r="434" ht="29.25" x14ac:dyDescent="0.5"/>
    <row r="435" ht="29.25" x14ac:dyDescent="0.5"/>
    <row r="436" ht="29.25" x14ac:dyDescent="0.5"/>
    <row r="437" ht="29.25" x14ac:dyDescent="0.5"/>
    <row r="438" ht="29.25" x14ac:dyDescent="0.5"/>
    <row r="439" ht="29.25" x14ac:dyDescent="0.5"/>
    <row r="440" ht="29.25" x14ac:dyDescent="0.5"/>
    <row r="441" ht="29.25" x14ac:dyDescent="0.5"/>
    <row r="442" ht="29.25" x14ac:dyDescent="0.5"/>
    <row r="443" ht="29.25" x14ac:dyDescent="0.5"/>
    <row r="444" ht="29.25" x14ac:dyDescent="0.5"/>
    <row r="445" ht="29.25" x14ac:dyDescent="0.5"/>
    <row r="446" ht="29.25" x14ac:dyDescent="0.5"/>
    <row r="447" ht="29.25" x14ac:dyDescent="0.5"/>
    <row r="448" ht="29.25" x14ac:dyDescent="0.5"/>
    <row r="449" ht="29.25" x14ac:dyDescent="0.5"/>
    <row r="450" ht="29.25" x14ac:dyDescent="0.5"/>
    <row r="451" ht="29.25" x14ac:dyDescent="0.5"/>
    <row r="452" ht="29.25" x14ac:dyDescent="0.5"/>
    <row r="453" ht="29.25" x14ac:dyDescent="0.5"/>
    <row r="454" ht="29.25" x14ac:dyDescent="0.5"/>
    <row r="455" ht="29.25" x14ac:dyDescent="0.5"/>
    <row r="456" ht="29.25" x14ac:dyDescent="0.5"/>
    <row r="457" ht="29.25" x14ac:dyDescent="0.5"/>
    <row r="458" ht="29.25" x14ac:dyDescent="0.5"/>
    <row r="459" ht="29.25" x14ac:dyDescent="0.5"/>
    <row r="460" ht="29.25" x14ac:dyDescent="0.5"/>
    <row r="461" ht="29.25" x14ac:dyDescent="0.5"/>
    <row r="462" ht="29.25" x14ac:dyDescent="0.5"/>
    <row r="463" ht="29.25" x14ac:dyDescent="0.5"/>
    <row r="464" ht="29.25" x14ac:dyDescent="0.5"/>
    <row r="465" ht="29.25" x14ac:dyDescent="0.5"/>
    <row r="466" ht="29.25" x14ac:dyDescent="0.5"/>
    <row r="467" ht="29.25" x14ac:dyDescent="0.5"/>
    <row r="468" ht="29.25" x14ac:dyDescent="0.5"/>
    <row r="469" ht="29.25" x14ac:dyDescent="0.5"/>
    <row r="470" ht="29.25" x14ac:dyDescent="0.5"/>
    <row r="471" ht="29.25" x14ac:dyDescent="0.5"/>
    <row r="472" ht="29.25" x14ac:dyDescent="0.5"/>
    <row r="473" ht="29.25" x14ac:dyDescent="0.5"/>
    <row r="474" ht="29.25" x14ac:dyDescent="0.5"/>
    <row r="475" ht="29.25" x14ac:dyDescent="0.5"/>
    <row r="476" ht="29.25" x14ac:dyDescent="0.5"/>
    <row r="477" ht="29.25" x14ac:dyDescent="0.5"/>
    <row r="478" ht="29.25" x14ac:dyDescent="0.5"/>
    <row r="479" ht="29.25" x14ac:dyDescent="0.5"/>
    <row r="480" ht="29.25" x14ac:dyDescent="0.5"/>
    <row r="481" ht="29.25" x14ac:dyDescent="0.5"/>
    <row r="482" ht="29.25" x14ac:dyDescent="0.5"/>
    <row r="483" ht="29.25" x14ac:dyDescent="0.5"/>
    <row r="484" ht="29.25" x14ac:dyDescent="0.5"/>
    <row r="485" ht="29.25" x14ac:dyDescent="0.5"/>
    <row r="486" ht="29.25" x14ac:dyDescent="0.5"/>
    <row r="487" ht="29.25" x14ac:dyDescent="0.5"/>
    <row r="488" ht="29.25" x14ac:dyDescent="0.5"/>
    <row r="489" ht="29.25" x14ac:dyDescent="0.5"/>
    <row r="490" ht="29.25" x14ac:dyDescent="0.5"/>
    <row r="491" ht="29.25" x14ac:dyDescent="0.5"/>
    <row r="492" ht="29.25" x14ac:dyDescent="0.5"/>
    <row r="493" ht="29.25" x14ac:dyDescent="0.5"/>
    <row r="494" ht="29.25" x14ac:dyDescent="0.5"/>
    <row r="495" ht="29.25" x14ac:dyDescent="0.5"/>
    <row r="496" ht="29.25" x14ac:dyDescent="0.5"/>
    <row r="497" ht="29.25" x14ac:dyDescent="0.5"/>
    <row r="498" ht="29.25" x14ac:dyDescent="0.5"/>
    <row r="499" ht="29.25" x14ac:dyDescent="0.5"/>
    <row r="500" ht="29.25" x14ac:dyDescent="0.5"/>
    <row r="501" ht="29.25" x14ac:dyDescent="0.5"/>
    <row r="502" ht="29.25" x14ac:dyDescent="0.5"/>
    <row r="503" ht="29.25" x14ac:dyDescent="0.5"/>
    <row r="504" ht="29.25" x14ac:dyDescent="0.5"/>
    <row r="505" ht="29.25" x14ac:dyDescent="0.5"/>
    <row r="506" ht="29.25" x14ac:dyDescent="0.5"/>
    <row r="507" ht="29.25" x14ac:dyDescent="0.5"/>
    <row r="508" ht="29.25" x14ac:dyDescent="0.5"/>
    <row r="509" ht="29.25" x14ac:dyDescent="0.5"/>
    <row r="510" ht="29.25" x14ac:dyDescent="0.5"/>
    <row r="511" ht="29.25" x14ac:dyDescent="0.5"/>
    <row r="512" ht="29.25" x14ac:dyDescent="0.5"/>
    <row r="513" ht="29.25" x14ac:dyDescent="0.5"/>
    <row r="514" ht="29.25" x14ac:dyDescent="0.5"/>
    <row r="515" ht="29.25" x14ac:dyDescent="0.5"/>
    <row r="516" ht="29.25" x14ac:dyDescent="0.5"/>
    <row r="517" ht="29.25" x14ac:dyDescent="0.5"/>
    <row r="518" ht="29.25" x14ac:dyDescent="0.5"/>
    <row r="519" ht="29.25" x14ac:dyDescent="0.5"/>
    <row r="520" ht="29.25" x14ac:dyDescent="0.5"/>
    <row r="521" ht="29.25" x14ac:dyDescent="0.5"/>
    <row r="522" ht="29.25" x14ac:dyDescent="0.5"/>
    <row r="523" ht="29.25" x14ac:dyDescent="0.5"/>
    <row r="524" ht="29.25" x14ac:dyDescent="0.5"/>
    <row r="525" ht="29.25" x14ac:dyDescent="0.5"/>
    <row r="526" ht="29.25" x14ac:dyDescent="0.5"/>
    <row r="527" ht="29.25" x14ac:dyDescent="0.5"/>
    <row r="528" ht="29.25" x14ac:dyDescent="0.5"/>
    <row r="529" ht="29.25" x14ac:dyDescent="0.5"/>
    <row r="530" ht="29.25" x14ac:dyDescent="0.5"/>
    <row r="531" ht="29.25" x14ac:dyDescent="0.5"/>
    <row r="532" ht="29.25" x14ac:dyDescent="0.5"/>
    <row r="533" ht="29.25" x14ac:dyDescent="0.5"/>
    <row r="534" ht="29.25" x14ac:dyDescent="0.5"/>
    <row r="535" ht="29.25" x14ac:dyDescent="0.5"/>
    <row r="536" ht="29.25" x14ac:dyDescent="0.5"/>
    <row r="537" ht="29.25" x14ac:dyDescent="0.5"/>
    <row r="538" ht="29.25" x14ac:dyDescent="0.5"/>
    <row r="539" ht="29.25" x14ac:dyDescent="0.5"/>
    <row r="540" ht="29.25" x14ac:dyDescent="0.5"/>
    <row r="541" ht="29.25" x14ac:dyDescent="0.5"/>
    <row r="542" ht="29.25" x14ac:dyDescent="0.5"/>
    <row r="543" ht="29.25" x14ac:dyDescent="0.5"/>
    <row r="544" ht="29.25" x14ac:dyDescent="0.5"/>
    <row r="545" ht="29.25" x14ac:dyDescent="0.5"/>
    <row r="546" ht="29.25" x14ac:dyDescent="0.5"/>
    <row r="547" ht="29.25" x14ac:dyDescent="0.5"/>
    <row r="548" ht="29.25" x14ac:dyDescent="0.5"/>
    <row r="549" ht="29.25" x14ac:dyDescent="0.5"/>
    <row r="550" ht="29.25" x14ac:dyDescent="0.5"/>
    <row r="551" ht="29.25" x14ac:dyDescent="0.5"/>
    <row r="552" ht="29.25" x14ac:dyDescent="0.5"/>
    <row r="553" ht="29.25" x14ac:dyDescent="0.5"/>
    <row r="554" ht="29.25" x14ac:dyDescent="0.5"/>
    <row r="555" ht="29.25" x14ac:dyDescent="0.5"/>
    <row r="556" ht="29.25" x14ac:dyDescent="0.5"/>
    <row r="557" ht="29.25" x14ac:dyDescent="0.5"/>
    <row r="558" ht="29.25" x14ac:dyDescent="0.5"/>
    <row r="559" ht="29.25" x14ac:dyDescent="0.5"/>
    <row r="560" ht="29.25" x14ac:dyDescent="0.5"/>
    <row r="561" ht="29.25" x14ac:dyDescent="0.5"/>
    <row r="562" ht="29.25" x14ac:dyDescent="0.5"/>
    <row r="563" ht="29.25" x14ac:dyDescent="0.5"/>
    <row r="564" ht="29.25" x14ac:dyDescent="0.5"/>
    <row r="565" ht="29.25" x14ac:dyDescent="0.5"/>
    <row r="566" ht="29.25" x14ac:dyDescent="0.5"/>
    <row r="567" ht="29.25" x14ac:dyDescent="0.5"/>
    <row r="568" ht="29.25" x14ac:dyDescent="0.5"/>
    <row r="569" ht="29.25" x14ac:dyDescent="0.5"/>
    <row r="570" ht="29.25" x14ac:dyDescent="0.5"/>
    <row r="571" ht="29.25" x14ac:dyDescent="0.5"/>
    <row r="572" ht="29.25" x14ac:dyDescent="0.5"/>
    <row r="573" ht="29.25" x14ac:dyDescent="0.5"/>
    <row r="574" ht="29.25" x14ac:dyDescent="0.5"/>
    <row r="575" ht="29.25" x14ac:dyDescent="0.5"/>
    <row r="576" ht="29.25" x14ac:dyDescent="0.5"/>
    <row r="577" ht="29.25" x14ac:dyDescent="0.5"/>
    <row r="578" ht="29.25" x14ac:dyDescent="0.5"/>
    <row r="579" ht="29.25" x14ac:dyDescent="0.5"/>
    <row r="580" ht="29.25" x14ac:dyDescent="0.5"/>
    <row r="581" ht="29.25" x14ac:dyDescent="0.5"/>
    <row r="582" ht="29.25" x14ac:dyDescent="0.5"/>
    <row r="583" ht="29.25" x14ac:dyDescent="0.5"/>
    <row r="584" ht="29.25" x14ac:dyDescent="0.5"/>
    <row r="585" ht="29.25" x14ac:dyDescent="0.5"/>
    <row r="586" ht="29.25" x14ac:dyDescent="0.5"/>
    <row r="587" ht="29.25" x14ac:dyDescent="0.5"/>
    <row r="588" ht="29.25" x14ac:dyDescent="0.5"/>
    <row r="589" ht="29.25" x14ac:dyDescent="0.5"/>
    <row r="590" ht="29.25" x14ac:dyDescent="0.5"/>
    <row r="591" ht="29.25" x14ac:dyDescent="0.5"/>
    <row r="592" ht="29.25" x14ac:dyDescent="0.5"/>
    <row r="593" ht="29.25" x14ac:dyDescent="0.5"/>
    <row r="594" ht="29.25" x14ac:dyDescent="0.5"/>
    <row r="595" ht="29.25" x14ac:dyDescent="0.5"/>
    <row r="596" ht="29.25" x14ac:dyDescent="0.5"/>
    <row r="597" ht="29.25" x14ac:dyDescent="0.5"/>
    <row r="598" ht="29.25" x14ac:dyDescent="0.5"/>
    <row r="599" ht="29.25" x14ac:dyDescent="0.5"/>
    <row r="600" ht="29.25" x14ac:dyDescent="0.5"/>
    <row r="601" ht="29.25" x14ac:dyDescent="0.5"/>
    <row r="602" ht="29.25" x14ac:dyDescent="0.5"/>
    <row r="603" ht="29.25" x14ac:dyDescent="0.5"/>
    <row r="604" ht="29.25" x14ac:dyDescent="0.5"/>
    <row r="605" ht="29.25" x14ac:dyDescent="0.5"/>
    <row r="606" ht="29.25" x14ac:dyDescent="0.5"/>
    <row r="607" ht="29.25" x14ac:dyDescent="0.5"/>
    <row r="608" ht="29.25" x14ac:dyDescent="0.5"/>
    <row r="609" ht="29.25" x14ac:dyDescent="0.5"/>
    <row r="610" ht="29.25" x14ac:dyDescent="0.5"/>
    <row r="611" ht="29.25" x14ac:dyDescent="0.5"/>
    <row r="612" ht="29.25" x14ac:dyDescent="0.5"/>
    <row r="613" ht="29.25" x14ac:dyDescent="0.5"/>
    <row r="614" ht="29.25" x14ac:dyDescent="0.5"/>
    <row r="615" ht="29.25" x14ac:dyDescent="0.5"/>
    <row r="616" ht="29.25" x14ac:dyDescent="0.5"/>
    <row r="617" ht="29.25" x14ac:dyDescent="0.5"/>
    <row r="618" ht="29.25" x14ac:dyDescent="0.5"/>
    <row r="619" ht="29.25" x14ac:dyDescent="0.5"/>
    <row r="620" ht="29.25" x14ac:dyDescent="0.5"/>
    <row r="621" ht="29.25" x14ac:dyDescent="0.5"/>
    <row r="622" ht="29.25" x14ac:dyDescent="0.5"/>
    <row r="623" ht="29.25" x14ac:dyDescent="0.5"/>
    <row r="624" ht="29.25" x14ac:dyDescent="0.5"/>
    <row r="625" ht="29.25" x14ac:dyDescent="0.5"/>
    <row r="626" ht="29.25" x14ac:dyDescent="0.5"/>
    <row r="627" ht="29.25" x14ac:dyDescent="0.5"/>
    <row r="628" ht="29.25" x14ac:dyDescent="0.5"/>
    <row r="629" ht="29.25" x14ac:dyDescent="0.5"/>
    <row r="630" ht="29.25" x14ac:dyDescent="0.5"/>
    <row r="631" ht="29.25" x14ac:dyDescent="0.5"/>
    <row r="632" ht="29.25" x14ac:dyDescent="0.5"/>
    <row r="633" ht="29.25" x14ac:dyDescent="0.5"/>
    <row r="634" ht="29.25" x14ac:dyDescent="0.5"/>
    <row r="635" ht="29.25" x14ac:dyDescent="0.5"/>
    <row r="636" ht="29.25" x14ac:dyDescent="0.5"/>
    <row r="637" ht="29.25" x14ac:dyDescent="0.5"/>
    <row r="638" ht="29.25" x14ac:dyDescent="0.5"/>
    <row r="639" ht="29.25" x14ac:dyDescent="0.5"/>
    <row r="640" ht="29.25" x14ac:dyDescent="0.5"/>
    <row r="641" ht="29.25" x14ac:dyDescent="0.5"/>
    <row r="642" ht="29.25" x14ac:dyDescent="0.5"/>
    <row r="643" ht="29.25" x14ac:dyDescent="0.5"/>
    <row r="644" ht="29.25" x14ac:dyDescent="0.5"/>
    <row r="645" ht="29.25" x14ac:dyDescent="0.5"/>
    <row r="646" ht="29.25" x14ac:dyDescent="0.5"/>
    <row r="647" ht="29.25" x14ac:dyDescent="0.5"/>
    <row r="648" ht="29.25" x14ac:dyDescent="0.5"/>
    <row r="649" ht="29.25" x14ac:dyDescent="0.5"/>
    <row r="650" ht="29.25" x14ac:dyDescent="0.5"/>
    <row r="651" ht="29.25" x14ac:dyDescent="0.5"/>
    <row r="652" ht="29.25" x14ac:dyDescent="0.5"/>
    <row r="653" ht="29.25" x14ac:dyDescent="0.5"/>
    <row r="654" ht="29.25" x14ac:dyDescent="0.5"/>
    <row r="655" ht="29.25" x14ac:dyDescent="0.5"/>
    <row r="656" ht="29.25" x14ac:dyDescent="0.5"/>
    <row r="657" ht="29.25" x14ac:dyDescent="0.5"/>
    <row r="658" ht="29.25" x14ac:dyDescent="0.5"/>
    <row r="659" ht="29.25" x14ac:dyDescent="0.5"/>
    <row r="660" ht="29.25" x14ac:dyDescent="0.5"/>
    <row r="661" ht="29.25" x14ac:dyDescent="0.5"/>
    <row r="662" ht="29.25" x14ac:dyDescent="0.5"/>
    <row r="663" ht="29.25" x14ac:dyDescent="0.5"/>
    <row r="664" ht="29.25" x14ac:dyDescent="0.5"/>
    <row r="665" ht="29.25" x14ac:dyDescent="0.5"/>
    <row r="666" ht="29.25" x14ac:dyDescent="0.5"/>
    <row r="667" ht="29.25" x14ac:dyDescent="0.5"/>
    <row r="668" ht="29.25" x14ac:dyDescent="0.5"/>
    <row r="669" ht="29.25" x14ac:dyDescent="0.5"/>
    <row r="670" ht="29.25" x14ac:dyDescent="0.5"/>
    <row r="671" ht="29.25" x14ac:dyDescent="0.5"/>
    <row r="672" ht="29.25" x14ac:dyDescent="0.5"/>
    <row r="673" ht="29.25" x14ac:dyDescent="0.5"/>
    <row r="674" ht="29.25" x14ac:dyDescent="0.5"/>
    <row r="675" ht="29.25" x14ac:dyDescent="0.5"/>
    <row r="676" ht="29.25" x14ac:dyDescent="0.5"/>
    <row r="677" ht="29.25" x14ac:dyDescent="0.5"/>
    <row r="678" ht="29.25" x14ac:dyDescent="0.5"/>
    <row r="679" ht="29.25" x14ac:dyDescent="0.5"/>
    <row r="680" ht="29.25" x14ac:dyDescent="0.5"/>
    <row r="681" ht="29.25" x14ac:dyDescent="0.5"/>
    <row r="682" ht="29.25" x14ac:dyDescent="0.5"/>
    <row r="683" ht="29.25" x14ac:dyDescent="0.5"/>
    <row r="684" ht="29.25" x14ac:dyDescent="0.5"/>
    <row r="685" ht="29.25" x14ac:dyDescent="0.5"/>
    <row r="686" ht="29.25" x14ac:dyDescent="0.5"/>
    <row r="687" ht="29.25" x14ac:dyDescent="0.5"/>
    <row r="688" ht="29.25" x14ac:dyDescent="0.5"/>
    <row r="689" ht="29.25" x14ac:dyDescent="0.5"/>
    <row r="690" ht="29.25" x14ac:dyDescent="0.5"/>
    <row r="691" ht="29.25" x14ac:dyDescent="0.5"/>
    <row r="692" ht="29.25" x14ac:dyDescent="0.5"/>
    <row r="693" ht="29.25" x14ac:dyDescent="0.5"/>
    <row r="694" ht="29.25" x14ac:dyDescent="0.5"/>
    <row r="695" ht="29.25" x14ac:dyDescent="0.5"/>
    <row r="696" ht="29.25" x14ac:dyDescent="0.5"/>
    <row r="697" ht="29.25" x14ac:dyDescent="0.5"/>
    <row r="698" ht="29.25" x14ac:dyDescent="0.5"/>
    <row r="699" ht="29.25" x14ac:dyDescent="0.5"/>
    <row r="700" ht="29.25" x14ac:dyDescent="0.5"/>
    <row r="701" ht="29.25" x14ac:dyDescent="0.5"/>
    <row r="702" ht="29.25" x14ac:dyDescent="0.5"/>
    <row r="703" ht="29.25" x14ac:dyDescent="0.5"/>
    <row r="704" ht="29.25" x14ac:dyDescent="0.5"/>
    <row r="705" ht="29.25" x14ac:dyDescent="0.5"/>
    <row r="706" ht="29.25" x14ac:dyDescent="0.5"/>
    <row r="707" ht="29.25" x14ac:dyDescent="0.5"/>
    <row r="708" ht="29.25" x14ac:dyDescent="0.5"/>
    <row r="709" ht="29.25" x14ac:dyDescent="0.5"/>
    <row r="710" ht="29.25" x14ac:dyDescent="0.5"/>
    <row r="711" ht="29.25" x14ac:dyDescent="0.5"/>
    <row r="712" ht="29.25" x14ac:dyDescent="0.5"/>
    <row r="713" ht="29.25" x14ac:dyDescent="0.5"/>
    <row r="714" ht="29.25" x14ac:dyDescent="0.5"/>
    <row r="715" ht="29.25" x14ac:dyDescent="0.5"/>
    <row r="716" ht="29.25" x14ac:dyDescent="0.5"/>
    <row r="717" ht="29.25" x14ac:dyDescent="0.5"/>
    <row r="718" ht="29.25" x14ac:dyDescent="0.5"/>
    <row r="719" ht="29.25" x14ac:dyDescent="0.5"/>
    <row r="720" ht="29.25" x14ac:dyDescent="0.5"/>
    <row r="721" ht="29.25" x14ac:dyDescent="0.5"/>
    <row r="722" ht="29.25" x14ac:dyDescent="0.5"/>
    <row r="723" ht="29.25" x14ac:dyDescent="0.5"/>
    <row r="724" ht="29.25" x14ac:dyDescent="0.5"/>
    <row r="725" ht="29.25" x14ac:dyDescent="0.5"/>
    <row r="726" ht="29.25" x14ac:dyDescent="0.5"/>
    <row r="727" ht="29.25" x14ac:dyDescent="0.5"/>
    <row r="728" ht="29.25" x14ac:dyDescent="0.5"/>
    <row r="729" ht="29.25" x14ac:dyDescent="0.5"/>
    <row r="730" ht="29.25" x14ac:dyDescent="0.5"/>
    <row r="731" ht="29.25" x14ac:dyDescent="0.5"/>
    <row r="732" ht="29.25" x14ac:dyDescent="0.5"/>
    <row r="733" ht="29.25" x14ac:dyDescent="0.5"/>
    <row r="734" ht="29.25" x14ac:dyDescent="0.5"/>
    <row r="735" ht="29.25" x14ac:dyDescent="0.5"/>
    <row r="736" ht="29.25" x14ac:dyDescent="0.5"/>
    <row r="737" ht="29.25" x14ac:dyDescent="0.5"/>
    <row r="738" ht="29.25" x14ac:dyDescent="0.5"/>
    <row r="739" ht="29.25" x14ac:dyDescent="0.5"/>
    <row r="740" ht="29.25" x14ac:dyDescent="0.5"/>
    <row r="741" ht="29.25" x14ac:dyDescent="0.5"/>
    <row r="742" ht="29.25" x14ac:dyDescent="0.5"/>
    <row r="743" ht="29.25" x14ac:dyDescent="0.5"/>
    <row r="744" ht="29.25" x14ac:dyDescent="0.5"/>
    <row r="745" ht="29.25" x14ac:dyDescent="0.5"/>
    <row r="746" ht="29.25" x14ac:dyDescent="0.5"/>
    <row r="747" ht="29.25" x14ac:dyDescent="0.5"/>
    <row r="748" ht="29.25" x14ac:dyDescent="0.5"/>
    <row r="749" ht="29.25" x14ac:dyDescent="0.5"/>
    <row r="750" ht="29.25" x14ac:dyDescent="0.5"/>
    <row r="751" ht="29.25" x14ac:dyDescent="0.5"/>
    <row r="752" ht="29.25" x14ac:dyDescent="0.5"/>
    <row r="753" ht="29.25" x14ac:dyDescent="0.5"/>
    <row r="754" ht="29.25" x14ac:dyDescent="0.5"/>
    <row r="755" ht="29.25" x14ac:dyDescent="0.5"/>
    <row r="756" ht="29.25" x14ac:dyDescent="0.5"/>
    <row r="757" ht="29.25" x14ac:dyDescent="0.5"/>
    <row r="758" ht="29.25" x14ac:dyDescent="0.5"/>
    <row r="759" ht="29.25" x14ac:dyDescent="0.5"/>
    <row r="760" ht="29.25" x14ac:dyDescent="0.5"/>
    <row r="761" ht="29.25" x14ac:dyDescent="0.5"/>
    <row r="762" ht="29.25" x14ac:dyDescent="0.5"/>
    <row r="763" ht="29.25" x14ac:dyDescent="0.5"/>
    <row r="764" ht="29.25" x14ac:dyDescent="0.5"/>
    <row r="765" ht="29.25" x14ac:dyDescent="0.5"/>
    <row r="766" ht="29.25" x14ac:dyDescent="0.5"/>
    <row r="767" ht="29.25" x14ac:dyDescent="0.5"/>
    <row r="768" ht="29.25" x14ac:dyDescent="0.5"/>
    <row r="769" ht="29.25" x14ac:dyDescent="0.5"/>
    <row r="770" ht="29.25" x14ac:dyDescent="0.5"/>
    <row r="771" ht="29.25" x14ac:dyDescent="0.5"/>
    <row r="772" ht="29.25" x14ac:dyDescent="0.5"/>
    <row r="773" ht="29.25" x14ac:dyDescent="0.5"/>
    <row r="774" ht="29.25" x14ac:dyDescent="0.5"/>
    <row r="775" ht="29.25" x14ac:dyDescent="0.5"/>
    <row r="776" ht="29.25" x14ac:dyDescent="0.5"/>
    <row r="777" ht="29.25" x14ac:dyDescent="0.5"/>
    <row r="778" ht="29.25" x14ac:dyDescent="0.5"/>
    <row r="779" ht="29.25" x14ac:dyDescent="0.5"/>
    <row r="780" ht="29.25" x14ac:dyDescent="0.5"/>
    <row r="781" ht="29.25" x14ac:dyDescent="0.5"/>
    <row r="782" ht="29.25" x14ac:dyDescent="0.5"/>
    <row r="783" ht="29.25" x14ac:dyDescent="0.5"/>
    <row r="784" ht="29.25" x14ac:dyDescent="0.5"/>
    <row r="785" ht="29.25" x14ac:dyDescent="0.5"/>
    <row r="786" ht="29.25" x14ac:dyDescent="0.5"/>
    <row r="787" ht="29.25" x14ac:dyDescent="0.5"/>
    <row r="788" ht="29.25" x14ac:dyDescent="0.5"/>
    <row r="789" ht="29.25" x14ac:dyDescent="0.5"/>
    <row r="790" ht="29.25" x14ac:dyDescent="0.5"/>
    <row r="791" ht="29.25" x14ac:dyDescent="0.5"/>
    <row r="792" ht="29.25" x14ac:dyDescent="0.5"/>
    <row r="793" ht="29.25" x14ac:dyDescent="0.5"/>
    <row r="794" ht="29.25" x14ac:dyDescent="0.5"/>
    <row r="795" ht="29.25" x14ac:dyDescent="0.5"/>
    <row r="796" ht="29.25" x14ac:dyDescent="0.5"/>
    <row r="797" ht="29.25" x14ac:dyDescent="0.5"/>
    <row r="798" ht="29.25" x14ac:dyDescent="0.5"/>
    <row r="799" ht="29.25" x14ac:dyDescent="0.5"/>
    <row r="800" ht="29.25" x14ac:dyDescent="0.5"/>
    <row r="801" ht="29.25" x14ac:dyDescent="0.5"/>
    <row r="802" ht="29.25" x14ac:dyDescent="0.5"/>
    <row r="803" ht="29.25" x14ac:dyDescent="0.5"/>
    <row r="804" ht="29.25" x14ac:dyDescent="0.5"/>
    <row r="805" ht="29.25" x14ac:dyDescent="0.5"/>
    <row r="806" ht="29.25" x14ac:dyDescent="0.5"/>
    <row r="807" ht="29.25" x14ac:dyDescent="0.5"/>
    <row r="808" ht="29.25" x14ac:dyDescent="0.5"/>
    <row r="809" ht="29.25" x14ac:dyDescent="0.5"/>
    <row r="810" ht="29.25" x14ac:dyDescent="0.5"/>
    <row r="811" ht="29.25" x14ac:dyDescent="0.5"/>
    <row r="812" ht="29.25" x14ac:dyDescent="0.5"/>
    <row r="813" ht="29.25" x14ac:dyDescent="0.5"/>
    <row r="814" ht="29.25" x14ac:dyDescent="0.5"/>
    <row r="815" ht="29.25" x14ac:dyDescent="0.5"/>
    <row r="816" ht="29.25" x14ac:dyDescent="0.5"/>
    <row r="817" ht="29.25" x14ac:dyDescent="0.5"/>
    <row r="818" ht="29.25" x14ac:dyDescent="0.5"/>
    <row r="819" ht="29.25" x14ac:dyDescent="0.5"/>
    <row r="820" ht="29.25" x14ac:dyDescent="0.5"/>
    <row r="821" ht="29.25" x14ac:dyDescent="0.5"/>
    <row r="822" ht="29.25" x14ac:dyDescent="0.5"/>
    <row r="823" ht="29.25" x14ac:dyDescent="0.5"/>
    <row r="824" ht="29.25" x14ac:dyDescent="0.5"/>
    <row r="825" ht="29.25" x14ac:dyDescent="0.5"/>
    <row r="826" ht="29.25" x14ac:dyDescent="0.5"/>
    <row r="827" ht="29.25" x14ac:dyDescent="0.5"/>
    <row r="828" ht="29.25" x14ac:dyDescent="0.5"/>
    <row r="829" ht="29.25" x14ac:dyDescent="0.5"/>
    <row r="830" ht="29.25" x14ac:dyDescent="0.5"/>
    <row r="831" ht="29.25" x14ac:dyDescent="0.5"/>
    <row r="832" ht="29.25" x14ac:dyDescent="0.5"/>
    <row r="833" ht="29.25" x14ac:dyDescent="0.5"/>
    <row r="834" ht="29.25" x14ac:dyDescent="0.5"/>
    <row r="835" ht="29.25" x14ac:dyDescent="0.5"/>
    <row r="836" ht="29.25" x14ac:dyDescent="0.5"/>
    <row r="837" ht="29.25" x14ac:dyDescent="0.5"/>
    <row r="838" ht="29.25" x14ac:dyDescent="0.5"/>
    <row r="839" ht="29.25" x14ac:dyDescent="0.5"/>
    <row r="840" ht="29.25" x14ac:dyDescent="0.5"/>
    <row r="841" ht="29.25" x14ac:dyDescent="0.5"/>
    <row r="842" ht="29.25" x14ac:dyDescent="0.5"/>
    <row r="843" ht="29.25" x14ac:dyDescent="0.5"/>
    <row r="844" ht="29.25" x14ac:dyDescent="0.5"/>
    <row r="845" ht="29.25" x14ac:dyDescent="0.5"/>
    <row r="846" ht="29.25" x14ac:dyDescent="0.5"/>
    <row r="847" ht="29.25" x14ac:dyDescent="0.5"/>
    <row r="848" ht="29.25" x14ac:dyDescent="0.5"/>
    <row r="849" ht="29.25" x14ac:dyDescent="0.5"/>
    <row r="850" ht="29.25" x14ac:dyDescent="0.5"/>
    <row r="851" ht="29.25" x14ac:dyDescent="0.5"/>
    <row r="852" ht="29.25" x14ac:dyDescent="0.5"/>
    <row r="853" ht="29.25" x14ac:dyDescent="0.5"/>
    <row r="854" ht="29.25" x14ac:dyDescent="0.5"/>
    <row r="855" ht="29.25" x14ac:dyDescent="0.5"/>
    <row r="856" ht="29.25" x14ac:dyDescent="0.5"/>
    <row r="857" ht="29.25" x14ac:dyDescent="0.5"/>
    <row r="858" ht="29.25" x14ac:dyDescent="0.5"/>
    <row r="859" ht="29.25" x14ac:dyDescent="0.5"/>
    <row r="860" ht="29.25" x14ac:dyDescent="0.5"/>
    <row r="861" ht="29.25" x14ac:dyDescent="0.5"/>
    <row r="862" ht="29.25" x14ac:dyDescent="0.5"/>
    <row r="863" ht="29.25" x14ac:dyDescent="0.5"/>
    <row r="864" ht="29.25" x14ac:dyDescent="0.5"/>
    <row r="865" ht="29.25" x14ac:dyDescent="0.5"/>
    <row r="866" ht="29.25" x14ac:dyDescent="0.5"/>
    <row r="867" ht="29.25" x14ac:dyDescent="0.5"/>
    <row r="868" ht="29.25" x14ac:dyDescent="0.5"/>
    <row r="869" ht="29.25" x14ac:dyDescent="0.5"/>
    <row r="870" ht="29.25" x14ac:dyDescent="0.5"/>
    <row r="871" ht="29.25" x14ac:dyDescent="0.5"/>
    <row r="872" ht="29.25" x14ac:dyDescent="0.5"/>
    <row r="873" ht="29.25" x14ac:dyDescent="0.5"/>
    <row r="874" ht="29.25" x14ac:dyDescent="0.5"/>
    <row r="875" ht="29.25" x14ac:dyDescent="0.5"/>
    <row r="876" ht="29.25" x14ac:dyDescent="0.5"/>
    <row r="877" ht="29.25" x14ac:dyDescent="0.5"/>
    <row r="878" ht="29.25" x14ac:dyDescent="0.5"/>
    <row r="879" ht="29.25" x14ac:dyDescent="0.5"/>
    <row r="880" ht="29.25" x14ac:dyDescent="0.5"/>
    <row r="881" ht="29.25" x14ac:dyDescent="0.5"/>
    <row r="882" ht="29.25" x14ac:dyDescent="0.5"/>
    <row r="883" ht="29.25" x14ac:dyDescent="0.5"/>
    <row r="884" ht="29.25" x14ac:dyDescent="0.5"/>
    <row r="885" ht="29.25" x14ac:dyDescent="0.5"/>
    <row r="886" ht="29.25" x14ac:dyDescent="0.5"/>
    <row r="887" ht="29.25" x14ac:dyDescent="0.5"/>
    <row r="888" ht="29.25" x14ac:dyDescent="0.5"/>
    <row r="889" ht="29.25" x14ac:dyDescent="0.5"/>
    <row r="890" ht="29.25" x14ac:dyDescent="0.5"/>
    <row r="891" ht="29.25" x14ac:dyDescent="0.5"/>
    <row r="892" ht="29.25" x14ac:dyDescent="0.5"/>
    <row r="893" ht="29.25" x14ac:dyDescent="0.5"/>
    <row r="894" ht="29.25" x14ac:dyDescent="0.5"/>
    <row r="895" ht="29.25" x14ac:dyDescent="0.5"/>
    <row r="896" ht="29.25" x14ac:dyDescent="0.5"/>
    <row r="897" ht="29.25" x14ac:dyDescent="0.5"/>
    <row r="898" ht="29.25" x14ac:dyDescent="0.5"/>
    <row r="899" ht="29.25" x14ac:dyDescent="0.5"/>
    <row r="900" ht="29.25" x14ac:dyDescent="0.5"/>
    <row r="901" ht="29.25" x14ac:dyDescent="0.5"/>
    <row r="902" ht="29.25" x14ac:dyDescent="0.5"/>
    <row r="903" ht="29.25" x14ac:dyDescent="0.5"/>
    <row r="904" ht="29.25" x14ac:dyDescent="0.5"/>
    <row r="905" ht="29.25" x14ac:dyDescent="0.5"/>
    <row r="906" ht="29.25" x14ac:dyDescent="0.5"/>
    <row r="907" ht="29.25" x14ac:dyDescent="0.5"/>
    <row r="908" ht="29.25" x14ac:dyDescent="0.5"/>
    <row r="909" ht="29.25" x14ac:dyDescent="0.5"/>
    <row r="910" ht="29.25" x14ac:dyDescent="0.5"/>
    <row r="911" ht="29.25" x14ac:dyDescent="0.5"/>
    <row r="912" ht="29.25" x14ac:dyDescent="0.5"/>
    <row r="913" ht="29.25" x14ac:dyDescent="0.5"/>
    <row r="914" ht="29.25" x14ac:dyDescent="0.5"/>
    <row r="915" ht="29.25" x14ac:dyDescent="0.5"/>
    <row r="916" ht="29.25" x14ac:dyDescent="0.5"/>
    <row r="917" ht="29.25" x14ac:dyDescent="0.5"/>
    <row r="918" ht="29.25" x14ac:dyDescent="0.5"/>
    <row r="919" ht="29.25" x14ac:dyDescent="0.5"/>
    <row r="920" ht="29.25" x14ac:dyDescent="0.5"/>
    <row r="921" ht="29.25" x14ac:dyDescent="0.5"/>
    <row r="922" ht="29.25" x14ac:dyDescent="0.5"/>
    <row r="923" ht="29.25" x14ac:dyDescent="0.5"/>
    <row r="924" ht="29.25" x14ac:dyDescent="0.5"/>
    <row r="925" ht="29.25" x14ac:dyDescent="0.5"/>
    <row r="926" ht="29.25" x14ac:dyDescent="0.5"/>
    <row r="927" ht="29.25" x14ac:dyDescent="0.5"/>
    <row r="928" ht="29.25" x14ac:dyDescent="0.5"/>
    <row r="929" ht="29.25" x14ac:dyDescent="0.5"/>
    <row r="930" ht="29.25" x14ac:dyDescent="0.5"/>
    <row r="931" ht="29.25" x14ac:dyDescent="0.5"/>
    <row r="932" ht="29.25" x14ac:dyDescent="0.5"/>
    <row r="933" ht="29.25" x14ac:dyDescent="0.5"/>
    <row r="934" ht="29.25" x14ac:dyDescent="0.5"/>
    <row r="935" ht="29.25" x14ac:dyDescent="0.5"/>
    <row r="936" ht="29.25" x14ac:dyDescent="0.5"/>
    <row r="937" ht="29.25" x14ac:dyDescent="0.5"/>
    <row r="938" ht="29.25" x14ac:dyDescent="0.5"/>
    <row r="939" ht="29.25" x14ac:dyDescent="0.5"/>
    <row r="940" ht="29.25" x14ac:dyDescent="0.5"/>
    <row r="941" ht="29.25" x14ac:dyDescent="0.5"/>
    <row r="942" ht="29.25" x14ac:dyDescent="0.5"/>
    <row r="943" ht="29.25" x14ac:dyDescent="0.5"/>
    <row r="944" ht="29.25" x14ac:dyDescent="0.5"/>
    <row r="945" ht="29.25" x14ac:dyDescent="0.5"/>
    <row r="946" ht="29.25" x14ac:dyDescent="0.5"/>
    <row r="947" ht="29.25" x14ac:dyDescent="0.5"/>
    <row r="948" ht="29.25" x14ac:dyDescent="0.5"/>
    <row r="949" ht="29.25" x14ac:dyDescent="0.5"/>
    <row r="950" ht="29.25" x14ac:dyDescent="0.5"/>
    <row r="951" ht="29.25" x14ac:dyDescent="0.5"/>
    <row r="952" ht="29.25" x14ac:dyDescent="0.5"/>
    <row r="953" ht="29.25" x14ac:dyDescent="0.5"/>
    <row r="954" ht="29.25" x14ac:dyDescent="0.5"/>
    <row r="955" ht="29.25" x14ac:dyDescent="0.5"/>
    <row r="956" ht="29.25" x14ac:dyDescent="0.5"/>
    <row r="957" ht="29.25" x14ac:dyDescent="0.5"/>
    <row r="958" ht="29.25" x14ac:dyDescent="0.5"/>
    <row r="959" ht="29.25" x14ac:dyDescent="0.5"/>
    <row r="960" ht="29.25" x14ac:dyDescent="0.5"/>
    <row r="961" ht="29.25" x14ac:dyDescent="0.5"/>
    <row r="962" ht="29.25" x14ac:dyDescent="0.5"/>
    <row r="963" ht="29.25" x14ac:dyDescent="0.5"/>
    <row r="964" ht="29.25" x14ac:dyDescent="0.5"/>
    <row r="965" ht="29.25" x14ac:dyDescent="0.5"/>
    <row r="966" ht="29.25" x14ac:dyDescent="0.5"/>
    <row r="967" ht="29.25" x14ac:dyDescent="0.5"/>
    <row r="968" ht="29.25" x14ac:dyDescent="0.5"/>
    <row r="969" ht="29.25" x14ac:dyDescent="0.5"/>
    <row r="970" ht="29.25" x14ac:dyDescent="0.5"/>
    <row r="971" ht="29.25" x14ac:dyDescent="0.5"/>
    <row r="972" ht="29.25" x14ac:dyDescent="0.5"/>
    <row r="973" ht="29.25" x14ac:dyDescent="0.5"/>
    <row r="974" ht="29.25" x14ac:dyDescent="0.5"/>
    <row r="975" ht="29.25" x14ac:dyDescent="0.5"/>
    <row r="976" ht="29.25" x14ac:dyDescent="0.5"/>
    <row r="977" ht="29.25" x14ac:dyDescent="0.5"/>
    <row r="978" ht="29.25" x14ac:dyDescent="0.5"/>
    <row r="979" ht="29.25" x14ac:dyDescent="0.5"/>
    <row r="980" ht="29.25" x14ac:dyDescent="0.5"/>
    <row r="981" ht="29.25" x14ac:dyDescent="0.5"/>
    <row r="982" ht="29.25" x14ac:dyDescent="0.5"/>
    <row r="983" ht="29.25" x14ac:dyDescent="0.5"/>
    <row r="984" ht="29.25" x14ac:dyDescent="0.5"/>
    <row r="985" ht="29.25" x14ac:dyDescent="0.5"/>
    <row r="986" ht="29.25" x14ac:dyDescent="0.5"/>
    <row r="987" ht="29.25" x14ac:dyDescent="0.5"/>
    <row r="988" ht="29.25" x14ac:dyDescent="0.5"/>
    <row r="989" ht="29.25" x14ac:dyDescent="0.5"/>
    <row r="990" ht="29.25" x14ac:dyDescent="0.5"/>
    <row r="991" ht="29.25" x14ac:dyDescent="0.5"/>
    <row r="992" ht="29.25" x14ac:dyDescent="0.5"/>
    <row r="993" ht="29.25" x14ac:dyDescent="0.5"/>
    <row r="994" ht="29.25" x14ac:dyDescent="0.5"/>
    <row r="995" ht="29.25" x14ac:dyDescent="0.5"/>
    <row r="996" ht="29.25" x14ac:dyDescent="0.5"/>
    <row r="997" ht="29.25" x14ac:dyDescent="0.5"/>
    <row r="998" ht="29.25" x14ac:dyDescent="0.5"/>
    <row r="999" ht="29.25" x14ac:dyDescent="0.5"/>
    <row r="1000" ht="29.25" x14ac:dyDescent="0.5"/>
    <row r="1001" ht="29.25" x14ac:dyDescent="0.5"/>
    <row r="1002" ht="29.25" x14ac:dyDescent="0.5"/>
    <row r="1003" ht="29.25" x14ac:dyDescent="0.5"/>
    <row r="1004" ht="29.25" x14ac:dyDescent="0.5"/>
    <row r="1005" ht="29.25" x14ac:dyDescent="0.5"/>
    <row r="1006" ht="29.25" x14ac:dyDescent="0.5"/>
    <row r="1007" ht="29.25" x14ac:dyDescent="0.5"/>
    <row r="1008" ht="29.25" x14ac:dyDescent="0.5"/>
    <row r="1009" ht="29.25" x14ac:dyDescent="0.5"/>
    <row r="1010" ht="29.25" x14ac:dyDescent="0.5"/>
    <row r="1011" ht="29.25" x14ac:dyDescent="0.5"/>
    <row r="1012" ht="29.25" x14ac:dyDescent="0.5"/>
    <row r="1013" ht="29.25" x14ac:dyDescent="0.5"/>
    <row r="1014" ht="29.25" x14ac:dyDescent="0.5"/>
    <row r="1015" ht="29.25" x14ac:dyDescent="0.5"/>
    <row r="1016" ht="29.25" x14ac:dyDescent="0.5"/>
    <row r="1017" ht="29.25" x14ac:dyDescent="0.5"/>
    <row r="1018" ht="29.25" x14ac:dyDescent="0.5"/>
    <row r="1019" ht="29.25" x14ac:dyDescent="0.5"/>
    <row r="1020" ht="29.25" x14ac:dyDescent="0.5"/>
    <row r="1021" ht="29.25" x14ac:dyDescent="0.5"/>
    <row r="1022" ht="29.25" x14ac:dyDescent="0.5"/>
    <row r="1023" ht="29.25" x14ac:dyDescent="0.5"/>
    <row r="1024" ht="29.25" x14ac:dyDescent="0.5"/>
    <row r="1025" ht="29.25" x14ac:dyDescent="0.5"/>
    <row r="1026" ht="29.25" x14ac:dyDescent="0.5"/>
    <row r="1027" ht="29.25" x14ac:dyDescent="0.5"/>
    <row r="1028" ht="29.25" x14ac:dyDescent="0.5"/>
    <row r="1029" ht="29.25" x14ac:dyDescent="0.5"/>
    <row r="1030" ht="29.25" x14ac:dyDescent="0.5"/>
    <row r="1031" ht="29.25" x14ac:dyDescent="0.5"/>
    <row r="1032" ht="29.25" x14ac:dyDescent="0.5"/>
    <row r="1033" ht="29.25" x14ac:dyDescent="0.5"/>
    <row r="1034" ht="29.25" x14ac:dyDescent="0.5"/>
    <row r="1035" ht="29.25" x14ac:dyDescent="0.5"/>
    <row r="1036" ht="29.25" x14ac:dyDescent="0.5"/>
    <row r="1037" ht="29.25" x14ac:dyDescent="0.5"/>
    <row r="1038" ht="29.25" x14ac:dyDescent="0.5"/>
    <row r="1039" ht="29.25" x14ac:dyDescent="0.5"/>
    <row r="1040" ht="29.25" x14ac:dyDescent="0.5"/>
    <row r="1041" ht="29.25" x14ac:dyDescent="0.5"/>
    <row r="1042" ht="29.25" x14ac:dyDescent="0.5"/>
    <row r="1043" ht="29.25" x14ac:dyDescent="0.5"/>
    <row r="1044" ht="29.25" x14ac:dyDescent="0.5"/>
    <row r="1045" ht="29.25" x14ac:dyDescent="0.5"/>
    <row r="1046" ht="29.25" x14ac:dyDescent="0.5"/>
    <row r="1047" ht="29.25" x14ac:dyDescent="0.5"/>
    <row r="1048" ht="29.25" x14ac:dyDescent="0.5"/>
    <row r="1049" ht="29.25" x14ac:dyDescent="0.5"/>
    <row r="1050" ht="29.25" x14ac:dyDescent="0.5"/>
    <row r="1051" ht="29.25" x14ac:dyDescent="0.5"/>
    <row r="1052" ht="29.25" x14ac:dyDescent="0.5"/>
    <row r="1053" ht="29.25" x14ac:dyDescent="0.5"/>
    <row r="1054" ht="29.25" x14ac:dyDescent="0.5"/>
    <row r="1055" ht="29.25" x14ac:dyDescent="0.5"/>
    <row r="1056" ht="29.25" x14ac:dyDescent="0.5"/>
    <row r="1057" ht="29.25" x14ac:dyDescent="0.5"/>
    <row r="1058" ht="29.25" x14ac:dyDescent="0.5"/>
    <row r="1059" ht="29.25" x14ac:dyDescent="0.5"/>
    <row r="1060" ht="29.25" x14ac:dyDescent="0.5"/>
    <row r="1061" ht="29.25" x14ac:dyDescent="0.5"/>
    <row r="1062" ht="29.25" x14ac:dyDescent="0.5"/>
    <row r="1063" ht="29.25" x14ac:dyDescent="0.5"/>
    <row r="1064" ht="29.25" x14ac:dyDescent="0.5"/>
    <row r="1065" ht="29.25" x14ac:dyDescent="0.5"/>
    <row r="1066" ht="29.25" x14ac:dyDescent="0.5"/>
    <row r="1067" ht="29.25" x14ac:dyDescent="0.5"/>
    <row r="1068" ht="29.25" x14ac:dyDescent="0.5"/>
    <row r="1069" ht="29.25" x14ac:dyDescent="0.5"/>
    <row r="1070" ht="29.25" x14ac:dyDescent="0.5"/>
    <row r="1071" ht="29.25" x14ac:dyDescent="0.5"/>
    <row r="1072" ht="29.25" x14ac:dyDescent="0.5"/>
    <row r="1073" ht="29.25" x14ac:dyDescent="0.5"/>
    <row r="1074" ht="29.25" x14ac:dyDescent="0.5"/>
    <row r="1075" ht="29.25" x14ac:dyDescent="0.5"/>
    <row r="1076" ht="29.25" x14ac:dyDescent="0.5"/>
    <row r="1077" ht="29.25" x14ac:dyDescent="0.5"/>
    <row r="1078" ht="29.25" x14ac:dyDescent="0.5"/>
    <row r="1079" ht="29.25" x14ac:dyDescent="0.5"/>
    <row r="1080" ht="29.25" x14ac:dyDescent="0.5"/>
    <row r="1081" ht="29.25" x14ac:dyDescent="0.5"/>
    <row r="1082" ht="29.25" x14ac:dyDescent="0.5"/>
    <row r="1083" ht="29.25" x14ac:dyDescent="0.5"/>
    <row r="1084" ht="29.25" x14ac:dyDescent="0.5"/>
    <row r="1085" ht="29.25" x14ac:dyDescent="0.5"/>
    <row r="1086" ht="29.25" x14ac:dyDescent="0.5"/>
    <row r="1087" ht="29.25" x14ac:dyDescent="0.5"/>
    <row r="1088" ht="29.25" x14ac:dyDescent="0.5"/>
    <row r="1089" ht="29.25" x14ac:dyDescent="0.5"/>
    <row r="1090" ht="29.25" x14ac:dyDescent="0.5"/>
    <row r="1091" ht="29.25" x14ac:dyDescent="0.5"/>
    <row r="1092" ht="29.25" x14ac:dyDescent="0.5"/>
    <row r="1093" ht="29.25" x14ac:dyDescent="0.5"/>
    <row r="1094" ht="29.25" x14ac:dyDescent="0.5"/>
    <row r="1095" ht="29.25" x14ac:dyDescent="0.5"/>
    <row r="1096" ht="29.25" x14ac:dyDescent="0.5"/>
    <row r="1097" ht="29.25" x14ac:dyDescent="0.5"/>
    <row r="1098" ht="29.25" x14ac:dyDescent="0.5"/>
    <row r="1099" ht="29.25" x14ac:dyDescent="0.5"/>
    <row r="1100" ht="29.25" x14ac:dyDescent="0.5"/>
    <row r="1101" ht="29.25" x14ac:dyDescent="0.5"/>
    <row r="1102" ht="29.25" x14ac:dyDescent="0.5"/>
    <row r="1103" ht="29.25" x14ac:dyDescent="0.5"/>
    <row r="1104" ht="29.25" x14ac:dyDescent="0.5"/>
    <row r="1105" ht="29.25" x14ac:dyDescent="0.5"/>
    <row r="1106" ht="29.25" x14ac:dyDescent="0.5"/>
    <row r="1107" ht="29.25" x14ac:dyDescent="0.5"/>
    <row r="1108" ht="29.25" x14ac:dyDescent="0.5"/>
    <row r="1109" ht="29.25" x14ac:dyDescent="0.5"/>
    <row r="1110" ht="29.25" x14ac:dyDescent="0.5"/>
    <row r="1111" ht="29.25" x14ac:dyDescent="0.5"/>
    <row r="1112" ht="29.25" x14ac:dyDescent="0.5"/>
    <row r="1113" ht="29.25" x14ac:dyDescent="0.5"/>
    <row r="1114" ht="29.25" x14ac:dyDescent="0.5"/>
    <row r="1115" ht="29.25" x14ac:dyDescent="0.5"/>
    <row r="1116" ht="29.25" x14ac:dyDescent="0.5"/>
    <row r="1117" ht="29.25" x14ac:dyDescent="0.5"/>
    <row r="1118" ht="29.25" x14ac:dyDescent="0.5"/>
    <row r="1119" ht="29.25" x14ac:dyDescent="0.5"/>
    <row r="1120" ht="29.25" x14ac:dyDescent="0.5"/>
    <row r="1121" ht="29.25" x14ac:dyDescent="0.5"/>
    <row r="1122" ht="29.25" x14ac:dyDescent="0.5"/>
    <row r="1123" ht="29.25" x14ac:dyDescent="0.5"/>
    <row r="1124" ht="29.25" x14ac:dyDescent="0.5"/>
    <row r="1125" ht="29.25" x14ac:dyDescent="0.5"/>
    <row r="1126" ht="29.25" x14ac:dyDescent="0.5"/>
    <row r="1127" ht="29.25" x14ac:dyDescent="0.5"/>
    <row r="1128" ht="29.25" x14ac:dyDescent="0.5"/>
    <row r="1129" ht="29.25" x14ac:dyDescent="0.5"/>
    <row r="1130" ht="29.25" x14ac:dyDescent="0.5"/>
    <row r="1131" ht="29.25" x14ac:dyDescent="0.5"/>
    <row r="1132" ht="29.25" x14ac:dyDescent="0.5"/>
    <row r="1133" ht="29.25" x14ac:dyDescent="0.5"/>
    <row r="1134" ht="29.25" x14ac:dyDescent="0.5"/>
    <row r="1135" ht="29.25" x14ac:dyDescent="0.5"/>
    <row r="1136" ht="29.25" x14ac:dyDescent="0.5"/>
    <row r="1137" ht="29.25" x14ac:dyDescent="0.5"/>
    <row r="1138" ht="29.25" x14ac:dyDescent="0.5"/>
    <row r="1139" ht="29.25" x14ac:dyDescent="0.5"/>
    <row r="1140" ht="29.25" x14ac:dyDescent="0.5"/>
    <row r="1141" ht="29.25" x14ac:dyDescent="0.5"/>
    <row r="1142" ht="29.25" x14ac:dyDescent="0.5"/>
    <row r="1143" ht="29.25" x14ac:dyDescent="0.5"/>
    <row r="1144" ht="29.25" x14ac:dyDescent="0.5"/>
    <row r="1145" ht="29.25" x14ac:dyDescent="0.5"/>
    <row r="1146" ht="29.25" x14ac:dyDescent="0.5"/>
    <row r="1147" ht="29.25" x14ac:dyDescent="0.5"/>
    <row r="1148" ht="29.25" x14ac:dyDescent="0.5"/>
    <row r="1149" ht="29.25" x14ac:dyDescent="0.5"/>
    <row r="1150" ht="29.25" x14ac:dyDescent="0.5"/>
    <row r="1151" ht="29.25" x14ac:dyDescent="0.5"/>
    <row r="1152" ht="29.25" x14ac:dyDescent="0.5"/>
    <row r="1153" ht="29.25" x14ac:dyDescent="0.5"/>
    <row r="1154" ht="29.25" x14ac:dyDescent="0.5"/>
    <row r="1155" ht="29.25" x14ac:dyDescent="0.5"/>
    <row r="1156" ht="29.25" x14ac:dyDescent="0.5"/>
    <row r="1157" ht="29.25" x14ac:dyDescent="0.5"/>
    <row r="1158" ht="29.25" x14ac:dyDescent="0.5"/>
    <row r="1159" ht="29.25" x14ac:dyDescent="0.5"/>
    <row r="1160" ht="29.25" x14ac:dyDescent="0.5"/>
    <row r="1161" ht="29.25" x14ac:dyDescent="0.5"/>
    <row r="1162" ht="29.25" x14ac:dyDescent="0.5"/>
    <row r="1163" ht="29.25" x14ac:dyDescent="0.5"/>
    <row r="1164" ht="29.25" x14ac:dyDescent="0.5"/>
    <row r="1165" ht="29.25" x14ac:dyDescent="0.5"/>
    <row r="1166" ht="29.25" x14ac:dyDescent="0.5"/>
    <row r="1167" ht="29.25" x14ac:dyDescent="0.5"/>
    <row r="1168" ht="29.25" x14ac:dyDescent="0.5"/>
    <row r="1169" ht="29.25" x14ac:dyDescent="0.5"/>
    <row r="1170" ht="29.25" x14ac:dyDescent="0.5"/>
    <row r="1171" ht="29.25" x14ac:dyDescent="0.5"/>
    <row r="1172" ht="29.25" x14ac:dyDescent="0.5"/>
    <row r="1173" ht="29.25" x14ac:dyDescent="0.5"/>
    <row r="1174" ht="29.25" x14ac:dyDescent="0.5"/>
    <row r="1175" ht="29.25" x14ac:dyDescent="0.5"/>
    <row r="1176" ht="29.25" x14ac:dyDescent="0.5"/>
    <row r="1177" ht="29.25" x14ac:dyDescent="0.5"/>
    <row r="1178" ht="29.25" x14ac:dyDescent="0.5"/>
    <row r="1179" ht="29.25" x14ac:dyDescent="0.5"/>
    <row r="1180" ht="29.25" x14ac:dyDescent="0.5"/>
    <row r="1181" ht="29.25" x14ac:dyDescent="0.5"/>
    <row r="1182" ht="29.25" x14ac:dyDescent="0.5"/>
    <row r="1183" ht="29.25" x14ac:dyDescent="0.5"/>
    <row r="1184" ht="29.25" x14ac:dyDescent="0.5"/>
    <row r="1185" ht="29.25" x14ac:dyDescent="0.5"/>
    <row r="1186" ht="29.25" x14ac:dyDescent="0.5"/>
    <row r="1187" ht="29.25" x14ac:dyDescent="0.5"/>
    <row r="1188" ht="29.25" x14ac:dyDescent="0.5"/>
    <row r="1189" ht="29.25" x14ac:dyDescent="0.5"/>
    <row r="1190" ht="29.25" x14ac:dyDescent="0.5"/>
    <row r="1191" ht="29.25" x14ac:dyDescent="0.5"/>
    <row r="1192" ht="29.25" x14ac:dyDescent="0.5"/>
    <row r="1193" ht="29.25" x14ac:dyDescent="0.5"/>
    <row r="1194" ht="29.25" x14ac:dyDescent="0.5"/>
    <row r="1195" ht="29.25" x14ac:dyDescent="0.5"/>
    <row r="1196" ht="29.25" x14ac:dyDescent="0.5"/>
    <row r="1197" ht="29.25" x14ac:dyDescent="0.5"/>
    <row r="1198" ht="29.25" x14ac:dyDescent="0.5"/>
    <row r="1199" ht="29.25" x14ac:dyDescent="0.5"/>
    <row r="1200" ht="29.25" x14ac:dyDescent="0.5"/>
    <row r="1201" ht="29.25" x14ac:dyDescent="0.5"/>
    <row r="1202" ht="29.25" x14ac:dyDescent="0.5"/>
    <row r="1203" ht="29.25" x14ac:dyDescent="0.5"/>
    <row r="1204" ht="29.25" x14ac:dyDescent="0.5"/>
    <row r="1205" ht="29.25" x14ac:dyDescent="0.5"/>
    <row r="1206" ht="29.25" x14ac:dyDescent="0.5"/>
    <row r="1207" ht="29.25" x14ac:dyDescent="0.5"/>
    <row r="1208" ht="29.25" x14ac:dyDescent="0.5"/>
    <row r="1209" ht="29.25" x14ac:dyDescent="0.5"/>
    <row r="1210" ht="29.25" x14ac:dyDescent="0.5"/>
    <row r="1211" ht="29.25" x14ac:dyDescent="0.5"/>
    <row r="1212" ht="29.25" x14ac:dyDescent="0.5"/>
    <row r="1213" ht="29.25" x14ac:dyDescent="0.5"/>
    <row r="1214" ht="29.25" x14ac:dyDescent="0.5"/>
    <row r="1215" ht="29.25" x14ac:dyDescent="0.5"/>
    <row r="1216" ht="29.25" x14ac:dyDescent="0.5"/>
    <row r="1217" ht="29.25" x14ac:dyDescent="0.5"/>
    <row r="1218" ht="29.25" x14ac:dyDescent="0.5"/>
    <row r="1219" ht="29.25" x14ac:dyDescent="0.5"/>
    <row r="1220" ht="29.25" x14ac:dyDescent="0.5"/>
    <row r="1221" ht="29.25" x14ac:dyDescent="0.5"/>
    <row r="1222" ht="29.25" x14ac:dyDescent="0.5"/>
    <row r="1223" ht="29.25" x14ac:dyDescent="0.5"/>
    <row r="1224" ht="29.25" x14ac:dyDescent="0.5"/>
    <row r="1225" ht="29.25" x14ac:dyDescent="0.5"/>
    <row r="1226" ht="29.25" x14ac:dyDescent="0.5"/>
    <row r="1227" ht="29.25" x14ac:dyDescent="0.5"/>
    <row r="1228" ht="29.25" x14ac:dyDescent="0.5"/>
    <row r="1229" ht="29.25" x14ac:dyDescent="0.5"/>
    <row r="1230" ht="29.25" x14ac:dyDescent="0.5"/>
    <row r="1231" ht="29.25" x14ac:dyDescent="0.5"/>
    <row r="1232" ht="29.25" x14ac:dyDescent="0.5"/>
    <row r="1233" ht="29.25" x14ac:dyDescent="0.5"/>
    <row r="1234" ht="29.25" x14ac:dyDescent="0.5"/>
    <row r="1235" ht="29.25" x14ac:dyDescent="0.5"/>
    <row r="1236" ht="29.25" x14ac:dyDescent="0.5"/>
    <row r="1237" ht="29.25" x14ac:dyDescent="0.5"/>
    <row r="1238" ht="29.25" x14ac:dyDescent="0.5"/>
    <row r="1239" ht="29.25" x14ac:dyDescent="0.5"/>
    <row r="1240" ht="29.25" x14ac:dyDescent="0.5"/>
    <row r="1241" ht="29.25" x14ac:dyDescent="0.5"/>
    <row r="1242" ht="29.25" x14ac:dyDescent="0.5"/>
    <row r="1243" ht="29.25" x14ac:dyDescent="0.5"/>
    <row r="1244" ht="29.25" x14ac:dyDescent="0.5"/>
    <row r="1245" ht="29.25" x14ac:dyDescent="0.5"/>
    <row r="1246" ht="29.25" x14ac:dyDescent="0.5"/>
    <row r="1247" ht="29.25" x14ac:dyDescent="0.5"/>
    <row r="1248" ht="29.25" x14ac:dyDescent="0.5"/>
    <row r="1249" ht="29.25" x14ac:dyDescent="0.5"/>
    <row r="1250" ht="29.25" x14ac:dyDescent="0.5"/>
    <row r="1251" ht="29.25" x14ac:dyDescent="0.5"/>
    <row r="1252" ht="29.25" x14ac:dyDescent="0.5"/>
    <row r="1253" ht="29.25" x14ac:dyDescent="0.5"/>
    <row r="1254" ht="29.25" x14ac:dyDescent="0.5"/>
    <row r="1255" ht="29.25" x14ac:dyDescent="0.5"/>
    <row r="1256" ht="29.25" x14ac:dyDescent="0.5"/>
    <row r="1257" ht="29.25" x14ac:dyDescent="0.5"/>
    <row r="1258" ht="29.25" x14ac:dyDescent="0.5"/>
    <row r="1259" ht="29.25" x14ac:dyDescent="0.5"/>
    <row r="1260" ht="29.25" x14ac:dyDescent="0.5"/>
    <row r="1261" ht="29.25" x14ac:dyDescent="0.5"/>
    <row r="1262" ht="29.25" x14ac:dyDescent="0.5"/>
    <row r="1263" ht="29.25" x14ac:dyDescent="0.5"/>
    <row r="1264" ht="29.25" x14ac:dyDescent="0.5"/>
    <row r="1265" ht="29.25" x14ac:dyDescent="0.5"/>
    <row r="1266" ht="29.25" x14ac:dyDescent="0.5"/>
    <row r="1267" ht="29.25" x14ac:dyDescent="0.5"/>
    <row r="1268" ht="29.25" x14ac:dyDescent="0.5"/>
    <row r="1269" ht="29.25" x14ac:dyDescent="0.5"/>
    <row r="1270" ht="29.25" x14ac:dyDescent="0.5"/>
    <row r="1271" ht="29.25" x14ac:dyDescent="0.5"/>
    <row r="1272" ht="29.25" x14ac:dyDescent="0.5"/>
    <row r="1273" ht="29.25" x14ac:dyDescent="0.5"/>
    <row r="1274" ht="29.25" x14ac:dyDescent="0.5"/>
    <row r="1275" ht="29.25" x14ac:dyDescent="0.5"/>
    <row r="1276" ht="29.25" x14ac:dyDescent="0.5"/>
    <row r="1277" ht="29.25" x14ac:dyDescent="0.5"/>
    <row r="1278" ht="29.25" x14ac:dyDescent="0.5"/>
    <row r="1279" ht="29.25" x14ac:dyDescent="0.5"/>
    <row r="1280" ht="29.25" x14ac:dyDescent="0.5"/>
    <row r="1281" ht="29.25" x14ac:dyDescent="0.5"/>
    <row r="1282" ht="29.25" x14ac:dyDescent="0.5"/>
    <row r="1283" ht="29.25" x14ac:dyDescent="0.5"/>
    <row r="1284" ht="29.25" x14ac:dyDescent="0.5"/>
    <row r="1285" ht="29.25" x14ac:dyDescent="0.5"/>
    <row r="1286" ht="29.25" x14ac:dyDescent="0.5"/>
    <row r="1287" ht="29.25" x14ac:dyDescent="0.5"/>
    <row r="1288" ht="29.25" x14ac:dyDescent="0.5"/>
    <row r="1289" ht="29.25" x14ac:dyDescent="0.5"/>
    <row r="1290" ht="29.25" x14ac:dyDescent="0.5"/>
    <row r="1291" ht="29.25" x14ac:dyDescent="0.5"/>
    <row r="1292" ht="29.25" x14ac:dyDescent="0.5"/>
    <row r="1293" ht="29.25" x14ac:dyDescent="0.5"/>
    <row r="1294" ht="29.25" x14ac:dyDescent="0.5"/>
    <row r="1295" ht="29.25" x14ac:dyDescent="0.5"/>
    <row r="1296" ht="29.25" x14ac:dyDescent="0.5"/>
    <row r="1297" ht="29.25" x14ac:dyDescent="0.5"/>
    <row r="1298" ht="29.25" x14ac:dyDescent="0.5"/>
    <row r="1299" ht="29.25" x14ac:dyDescent="0.5"/>
    <row r="1300" ht="29.25" x14ac:dyDescent="0.5"/>
    <row r="1301" ht="29.25" x14ac:dyDescent="0.5"/>
    <row r="1302" ht="29.25" x14ac:dyDescent="0.5"/>
    <row r="1303" ht="29.25" x14ac:dyDescent="0.5"/>
    <row r="1304" ht="29.25" x14ac:dyDescent="0.5"/>
    <row r="1305" ht="29.25" x14ac:dyDescent="0.5"/>
    <row r="1306" ht="29.25" x14ac:dyDescent="0.5"/>
    <row r="1307" ht="29.25" x14ac:dyDescent="0.5"/>
    <row r="1308" ht="29.25" x14ac:dyDescent="0.5"/>
    <row r="1309" ht="29.25" x14ac:dyDescent="0.5"/>
    <row r="1310" ht="29.25" x14ac:dyDescent="0.5"/>
    <row r="1311" ht="29.25" x14ac:dyDescent="0.5"/>
    <row r="1312" ht="29.25" x14ac:dyDescent="0.5"/>
    <row r="1313" ht="29.25" x14ac:dyDescent="0.5"/>
    <row r="1314" ht="29.25" x14ac:dyDescent="0.5"/>
    <row r="1315" ht="29.25" x14ac:dyDescent="0.5"/>
    <row r="1316" ht="29.25" x14ac:dyDescent="0.5"/>
    <row r="1317" ht="29.25" x14ac:dyDescent="0.5"/>
    <row r="1318" ht="29.25" x14ac:dyDescent="0.5"/>
    <row r="1319" ht="29.25" x14ac:dyDescent="0.5"/>
    <row r="1320" ht="29.25" x14ac:dyDescent="0.5"/>
    <row r="1321" ht="29.25" x14ac:dyDescent="0.5"/>
    <row r="1322" ht="29.25" x14ac:dyDescent="0.5"/>
    <row r="1323" ht="29.25" x14ac:dyDescent="0.5"/>
    <row r="1324" ht="29.25" x14ac:dyDescent="0.5"/>
    <row r="1325" ht="29.25" x14ac:dyDescent="0.5"/>
    <row r="1326" ht="29.25" x14ac:dyDescent="0.5"/>
    <row r="1327" ht="29.25" x14ac:dyDescent="0.5"/>
    <row r="1328" ht="29.25" x14ac:dyDescent="0.5"/>
    <row r="1329" ht="29.25" x14ac:dyDescent="0.5"/>
    <row r="1330" ht="29.25" x14ac:dyDescent="0.5"/>
    <row r="1331" ht="29.25" x14ac:dyDescent="0.5"/>
    <row r="1332" ht="29.25" x14ac:dyDescent="0.5"/>
    <row r="1333" ht="29.25" x14ac:dyDescent="0.5"/>
    <row r="1334" ht="29.25" x14ac:dyDescent="0.5"/>
    <row r="1335" ht="29.25" x14ac:dyDescent="0.5"/>
    <row r="1336" ht="29.25" x14ac:dyDescent="0.5"/>
    <row r="1337" ht="29.25" x14ac:dyDescent="0.5"/>
    <row r="1338" ht="29.25" x14ac:dyDescent="0.5"/>
    <row r="1339" ht="29.25" x14ac:dyDescent="0.5"/>
    <row r="1340" ht="29.25" x14ac:dyDescent="0.5"/>
    <row r="1341" ht="29.25" x14ac:dyDescent="0.5"/>
    <row r="1342" ht="29.25" x14ac:dyDescent="0.5"/>
    <row r="1343" ht="29.25" x14ac:dyDescent="0.5"/>
    <row r="1344" ht="29.25" x14ac:dyDescent="0.5"/>
    <row r="1345" ht="29.25" x14ac:dyDescent="0.5"/>
    <row r="1346" ht="29.25" x14ac:dyDescent="0.5"/>
    <row r="1347" ht="29.25" x14ac:dyDescent="0.5"/>
    <row r="1348" ht="29.25" x14ac:dyDescent="0.5"/>
    <row r="1349" ht="29.25" x14ac:dyDescent="0.5"/>
    <row r="1350" ht="29.25" x14ac:dyDescent="0.5"/>
    <row r="1351" ht="29.25" x14ac:dyDescent="0.5"/>
    <row r="1352" ht="29.25" x14ac:dyDescent="0.5"/>
    <row r="1353" ht="29.25" x14ac:dyDescent="0.5"/>
    <row r="1354" ht="29.25" x14ac:dyDescent="0.5"/>
    <row r="1355" ht="29.25" x14ac:dyDescent="0.5"/>
    <row r="1356" ht="29.25" x14ac:dyDescent="0.5"/>
    <row r="1357" ht="29.25" x14ac:dyDescent="0.5"/>
    <row r="1358" ht="29.25" x14ac:dyDescent="0.5"/>
    <row r="1359" ht="29.25" x14ac:dyDescent="0.5"/>
    <row r="1360" ht="29.25" x14ac:dyDescent="0.5"/>
    <row r="1361" ht="29.25" x14ac:dyDescent="0.5"/>
    <row r="1362" ht="29.25" x14ac:dyDescent="0.5"/>
    <row r="1363" ht="29.25" x14ac:dyDescent="0.5"/>
    <row r="1364" ht="29.25" x14ac:dyDescent="0.5"/>
    <row r="1365" ht="29.25" x14ac:dyDescent="0.5"/>
    <row r="1366" ht="29.25" x14ac:dyDescent="0.5"/>
    <row r="1367" ht="29.25" x14ac:dyDescent="0.5"/>
    <row r="1368" ht="29.25" x14ac:dyDescent="0.5"/>
    <row r="1369" ht="29.25" x14ac:dyDescent="0.5"/>
    <row r="1370" ht="29.25" x14ac:dyDescent="0.5"/>
    <row r="1371" ht="29.25" x14ac:dyDescent="0.5"/>
    <row r="1372" ht="29.25" x14ac:dyDescent="0.5"/>
    <row r="1373" ht="29.25" x14ac:dyDescent="0.5"/>
    <row r="1374" ht="29.25" x14ac:dyDescent="0.5"/>
    <row r="1375" ht="29.25" x14ac:dyDescent="0.5"/>
    <row r="1376" ht="29.25" x14ac:dyDescent="0.5"/>
    <row r="1377" ht="29.25" x14ac:dyDescent="0.5"/>
    <row r="1378" ht="29.25" x14ac:dyDescent="0.5"/>
    <row r="1379" ht="29.25" x14ac:dyDescent="0.5"/>
    <row r="1380" ht="29.25" x14ac:dyDescent="0.5"/>
    <row r="1381" ht="29.25" x14ac:dyDescent="0.5"/>
    <row r="1382" ht="29.25" x14ac:dyDescent="0.5"/>
    <row r="1383" ht="29.25" x14ac:dyDescent="0.5"/>
    <row r="1384" ht="29.25" x14ac:dyDescent="0.5"/>
    <row r="1385" ht="29.25" x14ac:dyDescent="0.5"/>
    <row r="1386" ht="29.25" x14ac:dyDescent="0.5"/>
    <row r="1387" ht="29.25" x14ac:dyDescent="0.5"/>
    <row r="1388" ht="29.25" x14ac:dyDescent="0.5"/>
    <row r="1389" ht="29.25" x14ac:dyDescent="0.5"/>
    <row r="1390" ht="29.25" x14ac:dyDescent="0.5"/>
    <row r="1391" ht="29.25" x14ac:dyDescent="0.5"/>
    <row r="1392" ht="29.25" x14ac:dyDescent="0.5"/>
    <row r="1393" ht="29.25" x14ac:dyDescent="0.5"/>
    <row r="1394" ht="29.25" x14ac:dyDescent="0.5"/>
    <row r="1395" ht="29.25" x14ac:dyDescent="0.5"/>
    <row r="1396" ht="29.25" x14ac:dyDescent="0.5"/>
    <row r="1397" ht="29.25" x14ac:dyDescent="0.5"/>
    <row r="1398" ht="29.25" x14ac:dyDescent="0.5"/>
    <row r="1399" ht="29.25" x14ac:dyDescent="0.5"/>
    <row r="1400" ht="29.25" x14ac:dyDescent="0.5"/>
    <row r="1401" ht="29.25" x14ac:dyDescent="0.5"/>
    <row r="1402" ht="29.25" x14ac:dyDescent="0.5"/>
    <row r="1403" ht="29.25" x14ac:dyDescent="0.5"/>
    <row r="1404" ht="29.25" x14ac:dyDescent="0.5"/>
    <row r="1405" ht="29.25" x14ac:dyDescent="0.5"/>
    <row r="1406" ht="29.25" x14ac:dyDescent="0.5"/>
    <row r="1407" ht="29.25" x14ac:dyDescent="0.5"/>
    <row r="1408" ht="29.25" x14ac:dyDescent="0.5"/>
    <row r="1409" ht="29.25" x14ac:dyDescent="0.5"/>
    <row r="1410" ht="29.25" x14ac:dyDescent="0.5"/>
    <row r="1411" ht="29.25" x14ac:dyDescent="0.5"/>
    <row r="1412" ht="29.25" x14ac:dyDescent="0.5"/>
    <row r="1413" ht="29.25" x14ac:dyDescent="0.5"/>
    <row r="1414" ht="29.25" x14ac:dyDescent="0.5"/>
    <row r="1415" ht="29.25" x14ac:dyDescent="0.5"/>
    <row r="1416" ht="29.25" x14ac:dyDescent="0.5"/>
    <row r="1417" ht="29.25" x14ac:dyDescent="0.5"/>
    <row r="1418" ht="29.25" x14ac:dyDescent="0.5"/>
    <row r="1419" ht="29.25" x14ac:dyDescent="0.5"/>
    <row r="1420" ht="29.25" x14ac:dyDescent="0.5"/>
    <row r="1421" ht="29.25" x14ac:dyDescent="0.5"/>
    <row r="1422" ht="29.25" x14ac:dyDescent="0.5"/>
    <row r="1423" ht="29.25" x14ac:dyDescent="0.5"/>
    <row r="1424" ht="29.25" x14ac:dyDescent="0.5"/>
    <row r="1425" ht="29.25" x14ac:dyDescent="0.5"/>
    <row r="1426" ht="29.25" x14ac:dyDescent="0.5"/>
    <row r="1427" ht="29.25" x14ac:dyDescent="0.5"/>
    <row r="1428" ht="29.25" x14ac:dyDescent="0.5"/>
    <row r="1429" ht="29.25" x14ac:dyDescent="0.5"/>
    <row r="1430" ht="29.25" x14ac:dyDescent="0.5"/>
    <row r="1431" ht="29.25" x14ac:dyDescent="0.5"/>
    <row r="1432" ht="29.25" x14ac:dyDescent="0.5"/>
    <row r="1433" ht="29.25" x14ac:dyDescent="0.5"/>
    <row r="1434" ht="29.25" x14ac:dyDescent="0.5"/>
    <row r="1435" ht="29.25" x14ac:dyDescent="0.5"/>
    <row r="1436" ht="29.25" x14ac:dyDescent="0.5"/>
    <row r="1437" ht="29.25" x14ac:dyDescent="0.5"/>
    <row r="1438" ht="29.25" x14ac:dyDescent="0.5"/>
    <row r="1439" ht="29.25" x14ac:dyDescent="0.5"/>
    <row r="1440" ht="29.25" x14ac:dyDescent="0.5"/>
    <row r="1441" ht="29.25" x14ac:dyDescent="0.5"/>
    <row r="1442" ht="29.25" x14ac:dyDescent="0.5"/>
    <row r="1443" ht="29.25" x14ac:dyDescent="0.5"/>
    <row r="1444" ht="29.25" x14ac:dyDescent="0.5"/>
    <row r="1445" ht="29.25" x14ac:dyDescent="0.5"/>
    <row r="1446" ht="29.25" x14ac:dyDescent="0.5"/>
    <row r="1447" ht="29.25" x14ac:dyDescent="0.5"/>
    <row r="1448" ht="29.25" x14ac:dyDescent="0.5"/>
    <row r="1449" ht="29.25" x14ac:dyDescent="0.5"/>
    <row r="1450" ht="29.25" x14ac:dyDescent="0.5"/>
    <row r="1451" ht="29.25" x14ac:dyDescent="0.5"/>
    <row r="1452" ht="29.25" x14ac:dyDescent="0.5"/>
    <row r="1453" ht="29.25" x14ac:dyDescent="0.5"/>
    <row r="1454" ht="29.25" x14ac:dyDescent="0.5"/>
    <row r="1455" ht="29.25" x14ac:dyDescent="0.5"/>
    <row r="1456" ht="29.25" x14ac:dyDescent="0.5"/>
    <row r="1457" ht="29.25" x14ac:dyDescent="0.5"/>
    <row r="1458" ht="29.25" x14ac:dyDescent="0.5"/>
    <row r="1459" ht="29.25" x14ac:dyDescent="0.5"/>
    <row r="1460" ht="29.25" x14ac:dyDescent="0.5"/>
    <row r="1461" ht="29.25" x14ac:dyDescent="0.5"/>
    <row r="1462" ht="29.25" x14ac:dyDescent="0.5"/>
    <row r="1463" ht="29.25" x14ac:dyDescent="0.5"/>
    <row r="1464" ht="29.25" x14ac:dyDescent="0.5"/>
    <row r="1465" ht="29.25" x14ac:dyDescent="0.5"/>
    <row r="1466" ht="29.25" x14ac:dyDescent="0.5"/>
    <row r="1467" ht="29.25" x14ac:dyDescent="0.5"/>
    <row r="1468" ht="29.25" x14ac:dyDescent="0.5"/>
    <row r="1469" ht="29.25" x14ac:dyDescent="0.5"/>
    <row r="1470" ht="29.25" x14ac:dyDescent="0.5"/>
    <row r="1471" ht="29.25" x14ac:dyDescent="0.5"/>
    <row r="1472" ht="29.25" x14ac:dyDescent="0.5"/>
    <row r="1473" ht="29.25" x14ac:dyDescent="0.5"/>
    <row r="1474" ht="29.25" x14ac:dyDescent="0.5"/>
    <row r="1475" ht="29.25" x14ac:dyDescent="0.5"/>
    <row r="1476" ht="29.25" x14ac:dyDescent="0.5"/>
    <row r="1477" ht="29.25" x14ac:dyDescent="0.5"/>
    <row r="1478" ht="29.25" x14ac:dyDescent="0.5"/>
    <row r="1479" ht="29.25" x14ac:dyDescent="0.5"/>
    <row r="1480" ht="29.25" x14ac:dyDescent="0.5"/>
    <row r="1481" ht="29.25" x14ac:dyDescent="0.5"/>
    <row r="1482" ht="29.25" x14ac:dyDescent="0.5"/>
    <row r="1483" ht="29.25" x14ac:dyDescent="0.5"/>
    <row r="1484" ht="29.25" x14ac:dyDescent="0.5"/>
    <row r="1485" ht="29.25" x14ac:dyDescent="0.5"/>
    <row r="1486" ht="29.25" x14ac:dyDescent="0.5"/>
    <row r="1487" ht="29.25" x14ac:dyDescent="0.5"/>
    <row r="1488" ht="29.25" x14ac:dyDescent="0.5"/>
    <row r="1489" ht="29.25" x14ac:dyDescent="0.5"/>
    <row r="1490" ht="29.25" x14ac:dyDescent="0.5"/>
    <row r="1491" ht="29.25" x14ac:dyDescent="0.5"/>
    <row r="1492" ht="29.25" x14ac:dyDescent="0.5"/>
    <row r="1493" ht="29.25" x14ac:dyDescent="0.5"/>
    <row r="1494" ht="29.25" x14ac:dyDescent="0.5"/>
    <row r="1495" ht="29.25" x14ac:dyDescent="0.5"/>
    <row r="1496" ht="29.25" x14ac:dyDescent="0.5"/>
    <row r="1497" ht="29.25" x14ac:dyDescent="0.5"/>
    <row r="1498" ht="29.25" x14ac:dyDescent="0.5"/>
    <row r="1499" ht="29.25" x14ac:dyDescent="0.5"/>
    <row r="1500" ht="29.25" x14ac:dyDescent="0.5"/>
    <row r="1501" ht="29.25" x14ac:dyDescent="0.5"/>
    <row r="1502" ht="29.25" x14ac:dyDescent="0.5"/>
    <row r="1503" ht="29.25" x14ac:dyDescent="0.5"/>
    <row r="1504" ht="29.25" x14ac:dyDescent="0.5"/>
    <row r="1505" ht="29.25" x14ac:dyDescent="0.5"/>
    <row r="1506" ht="29.25" x14ac:dyDescent="0.5"/>
    <row r="1507" ht="29.25" x14ac:dyDescent="0.5"/>
    <row r="1508" ht="29.25" x14ac:dyDescent="0.5"/>
    <row r="1509" ht="29.25" x14ac:dyDescent="0.5"/>
    <row r="1510" ht="29.25" x14ac:dyDescent="0.5"/>
    <row r="1511" ht="29.25" x14ac:dyDescent="0.5"/>
    <row r="1512" ht="29.25" x14ac:dyDescent="0.5"/>
    <row r="1513" ht="29.25" x14ac:dyDescent="0.5"/>
    <row r="1514" ht="29.25" x14ac:dyDescent="0.5"/>
    <row r="1515" ht="29.25" x14ac:dyDescent="0.5"/>
    <row r="1516" ht="29.25" x14ac:dyDescent="0.5"/>
    <row r="1517" ht="29.25" x14ac:dyDescent="0.5"/>
    <row r="1518" ht="29.25" x14ac:dyDescent="0.5"/>
    <row r="1519" ht="29.25" x14ac:dyDescent="0.5"/>
    <row r="1520" ht="29.25" x14ac:dyDescent="0.5"/>
    <row r="1521" ht="29.25" x14ac:dyDescent="0.5"/>
    <row r="1522" ht="29.25" x14ac:dyDescent="0.5"/>
    <row r="1523" ht="29.25" x14ac:dyDescent="0.5"/>
    <row r="1524" ht="29.25" x14ac:dyDescent="0.5"/>
    <row r="1525" ht="29.25" x14ac:dyDescent="0.5"/>
    <row r="1526" ht="29.25" x14ac:dyDescent="0.5"/>
    <row r="1527" ht="29.25" x14ac:dyDescent="0.5"/>
    <row r="1528" ht="29.25" x14ac:dyDescent="0.5"/>
    <row r="1529" ht="29.25" x14ac:dyDescent="0.5"/>
    <row r="1530" ht="29.25" x14ac:dyDescent="0.5"/>
    <row r="1531" ht="29.25" x14ac:dyDescent="0.5"/>
    <row r="1532" ht="29.25" x14ac:dyDescent="0.5"/>
    <row r="1533" ht="29.25" x14ac:dyDescent="0.5"/>
    <row r="1534" ht="29.25" x14ac:dyDescent="0.5"/>
    <row r="1535" ht="29.25" x14ac:dyDescent="0.5"/>
    <row r="1536" ht="29.25" x14ac:dyDescent="0.5"/>
    <row r="1537" ht="29.25" x14ac:dyDescent="0.5"/>
    <row r="1538" ht="29.25" x14ac:dyDescent="0.5"/>
    <row r="1539" ht="29.25" x14ac:dyDescent="0.5"/>
    <row r="1540" ht="29.25" x14ac:dyDescent="0.5"/>
    <row r="1541" ht="29.25" x14ac:dyDescent="0.5"/>
    <row r="1542" ht="29.25" x14ac:dyDescent="0.5"/>
    <row r="1543" ht="29.25" x14ac:dyDescent="0.5"/>
    <row r="1544" ht="29.25" x14ac:dyDescent="0.5"/>
    <row r="1545" ht="29.25" x14ac:dyDescent="0.5"/>
    <row r="1546" ht="29.25" x14ac:dyDescent="0.5"/>
    <row r="1547" ht="29.25" x14ac:dyDescent="0.5"/>
    <row r="1548" ht="29.25" x14ac:dyDescent="0.5"/>
    <row r="1549" ht="29.25" x14ac:dyDescent="0.5"/>
    <row r="1550" ht="29.25" x14ac:dyDescent="0.5"/>
    <row r="1551" ht="29.25" x14ac:dyDescent="0.5"/>
    <row r="1552" ht="29.25" x14ac:dyDescent="0.5"/>
    <row r="1553" ht="29.25" x14ac:dyDescent="0.5"/>
    <row r="1554" ht="29.25" x14ac:dyDescent="0.5"/>
    <row r="1555" ht="29.25" x14ac:dyDescent="0.5"/>
    <row r="1556" ht="29.25" x14ac:dyDescent="0.5"/>
    <row r="1557" ht="29.25" x14ac:dyDescent="0.5"/>
    <row r="1558" ht="29.25" x14ac:dyDescent="0.5"/>
    <row r="1559" ht="29.25" x14ac:dyDescent="0.5"/>
    <row r="1560" ht="29.25" x14ac:dyDescent="0.5"/>
    <row r="1561" ht="29.25" x14ac:dyDescent="0.5"/>
    <row r="1562" ht="29.25" x14ac:dyDescent="0.5"/>
    <row r="1563" ht="29.25" x14ac:dyDescent="0.5"/>
    <row r="1564" ht="29.25" x14ac:dyDescent="0.5"/>
    <row r="1565" ht="29.25" x14ac:dyDescent="0.5"/>
    <row r="1566" ht="29.25" x14ac:dyDescent="0.5"/>
    <row r="1567" ht="29.25" x14ac:dyDescent="0.5"/>
    <row r="1568" ht="29.25" x14ac:dyDescent="0.5"/>
    <row r="1569" ht="29.25" x14ac:dyDescent="0.5"/>
    <row r="1570" ht="29.25" x14ac:dyDescent="0.5"/>
    <row r="1571" ht="29.25" x14ac:dyDescent="0.5"/>
    <row r="1572" ht="29.25" x14ac:dyDescent="0.5"/>
    <row r="1573" ht="29.25" x14ac:dyDescent="0.5"/>
    <row r="1574" ht="29.25" x14ac:dyDescent="0.5"/>
    <row r="1575" ht="29.25" x14ac:dyDescent="0.5"/>
    <row r="1576" ht="29.25" x14ac:dyDescent="0.5"/>
    <row r="1577" ht="29.25" x14ac:dyDescent="0.5"/>
    <row r="1578" ht="29.25" x14ac:dyDescent="0.5"/>
    <row r="1579" ht="29.25" x14ac:dyDescent="0.5"/>
    <row r="1580" ht="29.25" x14ac:dyDescent="0.5"/>
    <row r="1581" ht="29.25" x14ac:dyDescent="0.5"/>
    <row r="1582" ht="29.25" x14ac:dyDescent="0.5"/>
    <row r="1583" ht="29.25" x14ac:dyDescent="0.5"/>
    <row r="1584" ht="29.25" x14ac:dyDescent="0.5"/>
    <row r="1585" ht="29.25" x14ac:dyDescent="0.5"/>
    <row r="1586" ht="29.25" x14ac:dyDescent="0.5"/>
    <row r="1587" ht="29.25" x14ac:dyDescent="0.5"/>
    <row r="1588" ht="29.25" x14ac:dyDescent="0.5"/>
    <row r="1589" ht="29.25" x14ac:dyDescent="0.5"/>
    <row r="1590" ht="29.25" x14ac:dyDescent="0.5"/>
    <row r="1591" ht="29.25" x14ac:dyDescent="0.5"/>
    <row r="1592" ht="29.25" x14ac:dyDescent="0.5"/>
    <row r="1593" ht="29.25" x14ac:dyDescent="0.5"/>
    <row r="1594" ht="29.25" x14ac:dyDescent="0.5"/>
    <row r="1595" ht="29.25" x14ac:dyDescent="0.5"/>
    <row r="1596" ht="29.25" x14ac:dyDescent="0.5"/>
    <row r="1597" ht="29.25" x14ac:dyDescent="0.5"/>
    <row r="1598" ht="29.25" x14ac:dyDescent="0.5"/>
    <row r="1599" ht="29.25" x14ac:dyDescent="0.5"/>
    <row r="1600" ht="29.25" x14ac:dyDescent="0.5"/>
    <row r="1601" ht="29.25" x14ac:dyDescent="0.5"/>
    <row r="1602" ht="29.25" x14ac:dyDescent="0.5"/>
    <row r="1603" ht="29.25" x14ac:dyDescent="0.5"/>
    <row r="1604" ht="29.25" x14ac:dyDescent="0.5"/>
    <row r="1605" ht="29.25" x14ac:dyDescent="0.5"/>
    <row r="1606" ht="29.25" x14ac:dyDescent="0.5"/>
    <row r="1607" ht="29.25" x14ac:dyDescent="0.5"/>
    <row r="1608" ht="29.25" x14ac:dyDescent="0.5"/>
    <row r="1609" ht="29.25" x14ac:dyDescent="0.5"/>
    <row r="1610" ht="29.25" x14ac:dyDescent="0.5"/>
    <row r="1611" ht="29.25" x14ac:dyDescent="0.5"/>
    <row r="1612" ht="29.25" x14ac:dyDescent="0.5"/>
    <row r="1613" ht="29.25" x14ac:dyDescent="0.5"/>
    <row r="1614" ht="29.25" x14ac:dyDescent="0.5"/>
    <row r="1615" ht="29.25" x14ac:dyDescent="0.5"/>
    <row r="1616" ht="29.25" x14ac:dyDescent="0.5"/>
    <row r="1617" ht="29.25" x14ac:dyDescent="0.5"/>
    <row r="1618" ht="29.25" x14ac:dyDescent="0.5"/>
    <row r="1619" ht="29.25" x14ac:dyDescent="0.5"/>
    <row r="1620" ht="29.25" x14ac:dyDescent="0.5"/>
    <row r="1621" ht="29.25" x14ac:dyDescent="0.5"/>
    <row r="1622" ht="29.25" x14ac:dyDescent="0.5"/>
    <row r="1623" ht="29.25" x14ac:dyDescent="0.5"/>
    <row r="1624" ht="29.25" x14ac:dyDescent="0.5"/>
    <row r="1625" ht="29.25" x14ac:dyDescent="0.5"/>
    <row r="1626" ht="29.25" x14ac:dyDescent="0.5"/>
    <row r="1627" ht="29.25" x14ac:dyDescent="0.5"/>
    <row r="1628" ht="29.25" x14ac:dyDescent="0.5"/>
    <row r="1629" ht="29.25" x14ac:dyDescent="0.5"/>
    <row r="1630" ht="29.25" x14ac:dyDescent="0.5"/>
    <row r="1631" ht="29.25" x14ac:dyDescent="0.5"/>
    <row r="1632" ht="29.25" x14ac:dyDescent="0.5"/>
    <row r="1633" ht="29.25" x14ac:dyDescent="0.5"/>
    <row r="1634" ht="29.25" x14ac:dyDescent="0.5"/>
    <row r="1635" ht="29.25" x14ac:dyDescent="0.5"/>
    <row r="1636" ht="29.25" x14ac:dyDescent="0.5"/>
    <row r="1637" ht="29.25" x14ac:dyDescent="0.5"/>
    <row r="1638" ht="29.25" x14ac:dyDescent="0.5"/>
    <row r="1639" ht="29.25" x14ac:dyDescent="0.5"/>
    <row r="1640" ht="29.25" x14ac:dyDescent="0.5"/>
    <row r="1641" ht="29.25" x14ac:dyDescent="0.5"/>
    <row r="1642" ht="29.25" x14ac:dyDescent="0.5"/>
    <row r="1643" ht="29.25" x14ac:dyDescent="0.5"/>
    <row r="1644" ht="29.25" x14ac:dyDescent="0.5"/>
    <row r="1645" ht="29.25" x14ac:dyDescent="0.5"/>
    <row r="1646" ht="29.25" x14ac:dyDescent="0.5"/>
    <row r="1647" ht="29.25" x14ac:dyDescent="0.5"/>
    <row r="1648" ht="29.25" x14ac:dyDescent="0.5"/>
    <row r="1649" ht="29.25" x14ac:dyDescent="0.5"/>
    <row r="1650" ht="29.25" x14ac:dyDescent="0.5"/>
    <row r="1651" ht="29.25" x14ac:dyDescent="0.5"/>
    <row r="1652" ht="29.25" x14ac:dyDescent="0.5"/>
    <row r="1653" ht="29.25" x14ac:dyDescent="0.5"/>
    <row r="1654" ht="29.25" x14ac:dyDescent="0.5"/>
    <row r="1655" ht="29.25" x14ac:dyDescent="0.5"/>
    <row r="1656" ht="29.25" x14ac:dyDescent="0.5"/>
    <row r="1657" ht="29.25" x14ac:dyDescent="0.5"/>
    <row r="1658" ht="29.25" x14ac:dyDescent="0.5"/>
    <row r="1659" ht="29.25" x14ac:dyDescent="0.5"/>
    <row r="1660" ht="29.25" x14ac:dyDescent="0.5"/>
    <row r="1661" ht="29.25" x14ac:dyDescent="0.5"/>
    <row r="1662" ht="29.25" x14ac:dyDescent="0.5"/>
    <row r="1663" ht="29.25" x14ac:dyDescent="0.5"/>
    <row r="1664" ht="29.25" x14ac:dyDescent="0.5"/>
    <row r="1665" ht="29.25" x14ac:dyDescent="0.5"/>
    <row r="1666" ht="29.25" x14ac:dyDescent="0.5"/>
    <row r="1667" ht="29.25" x14ac:dyDescent="0.5"/>
    <row r="1668" ht="29.25" x14ac:dyDescent="0.5"/>
    <row r="1669" ht="29.25" x14ac:dyDescent="0.5"/>
    <row r="1670" ht="29.25" x14ac:dyDescent="0.5"/>
    <row r="1671" ht="29.25" x14ac:dyDescent="0.5"/>
    <row r="1672" ht="29.25" x14ac:dyDescent="0.5"/>
    <row r="1673" ht="29.25" x14ac:dyDescent="0.5"/>
    <row r="1674" ht="29.25" x14ac:dyDescent="0.5"/>
    <row r="1675" ht="29.25" x14ac:dyDescent="0.5"/>
    <row r="1676" ht="29.25" x14ac:dyDescent="0.5"/>
    <row r="1677" ht="29.25" x14ac:dyDescent="0.5"/>
    <row r="1678" ht="29.25" x14ac:dyDescent="0.5"/>
    <row r="1679" ht="29.25" x14ac:dyDescent="0.5"/>
    <row r="1680" ht="29.25" x14ac:dyDescent="0.5"/>
    <row r="1681" ht="29.25" x14ac:dyDescent="0.5"/>
    <row r="1682" ht="29.25" x14ac:dyDescent="0.5"/>
    <row r="1683" ht="29.25" x14ac:dyDescent="0.5"/>
    <row r="1684" ht="29.25" x14ac:dyDescent="0.5"/>
    <row r="1685" ht="29.25" x14ac:dyDescent="0.5"/>
    <row r="1686" ht="29.25" x14ac:dyDescent="0.5"/>
    <row r="1687" ht="29.25" x14ac:dyDescent="0.5"/>
    <row r="1688" ht="29.25" x14ac:dyDescent="0.5"/>
    <row r="1689" ht="29.25" x14ac:dyDescent="0.5"/>
    <row r="1690" ht="29.25" x14ac:dyDescent="0.5"/>
    <row r="1691" ht="29.25" x14ac:dyDescent="0.5"/>
    <row r="1692" ht="29.25" x14ac:dyDescent="0.5"/>
    <row r="1693" ht="29.25" x14ac:dyDescent="0.5"/>
    <row r="1694" ht="29.25" x14ac:dyDescent="0.5"/>
    <row r="1695" ht="29.25" x14ac:dyDescent="0.5"/>
    <row r="1696" ht="29.25" x14ac:dyDescent="0.5"/>
    <row r="1697" ht="29.25" x14ac:dyDescent="0.5"/>
    <row r="1698" ht="29.25" x14ac:dyDescent="0.5"/>
    <row r="1699" ht="29.25" x14ac:dyDescent="0.5"/>
    <row r="1700" ht="29.25" x14ac:dyDescent="0.5"/>
    <row r="1701" ht="29.25" x14ac:dyDescent="0.5"/>
  </sheetData>
  <mergeCells count="114">
    <mergeCell ref="A186:B186"/>
    <mergeCell ref="A187:B187"/>
    <mergeCell ref="A188:B188"/>
    <mergeCell ref="A189:B189"/>
    <mergeCell ref="A190:B190"/>
    <mergeCell ref="A171:J171"/>
    <mergeCell ref="A172:B172"/>
    <mergeCell ref="A173:B173"/>
    <mergeCell ref="A174:B174"/>
    <mergeCell ref="A176:B176"/>
    <mergeCell ref="A185:B185"/>
    <mergeCell ref="A183:B183"/>
    <mergeCell ref="A184:B184"/>
    <mergeCell ref="A180:B180"/>
    <mergeCell ref="A181:B181"/>
    <mergeCell ref="A182:B182"/>
    <mergeCell ref="A175:C175"/>
    <mergeCell ref="A177:B177"/>
    <mergeCell ref="A178:B178"/>
    <mergeCell ref="A179:B179"/>
    <mergeCell ref="A160:J160"/>
    <mergeCell ref="A166:B166"/>
    <mergeCell ref="A167:B167"/>
    <mergeCell ref="A168:B168"/>
    <mergeCell ref="A136:J136"/>
    <mergeCell ref="A138:C138"/>
    <mergeCell ref="A139:C139"/>
    <mergeCell ref="A140:C140"/>
    <mergeCell ref="A141:C141"/>
    <mergeCell ref="A148:C148"/>
    <mergeCell ref="A143:C143"/>
    <mergeCell ref="A150:C150"/>
    <mergeCell ref="A151:C151"/>
    <mergeCell ref="A152:C152"/>
    <mergeCell ref="A154:J154"/>
    <mergeCell ref="A155:C155"/>
    <mergeCell ref="A156:C156"/>
    <mergeCell ref="A157:C157"/>
    <mergeCell ref="A158:C158"/>
    <mergeCell ref="A159:C159"/>
    <mergeCell ref="Q116:R116"/>
    <mergeCell ref="A117:C117"/>
    <mergeCell ref="Q117:R117"/>
    <mergeCell ref="A118:C118"/>
    <mergeCell ref="Q118:R118"/>
    <mergeCell ref="A111:C111"/>
    <mergeCell ref="A112:C112"/>
    <mergeCell ref="A113:C113"/>
    <mergeCell ref="A114:C114"/>
    <mergeCell ref="A115:C115"/>
    <mergeCell ref="A116:C116"/>
    <mergeCell ref="A103:C103"/>
    <mergeCell ref="A104:C104"/>
    <mergeCell ref="A105:C105"/>
    <mergeCell ref="A108:J108"/>
    <mergeCell ref="A110:J110"/>
    <mergeCell ref="A97:C97"/>
    <mergeCell ref="A98:C98"/>
    <mergeCell ref="A99:C99"/>
    <mergeCell ref="A100:C100"/>
    <mergeCell ref="A101:C101"/>
    <mergeCell ref="A119:C119"/>
    <mergeCell ref="A120:C120"/>
    <mergeCell ref="A121:C121"/>
    <mergeCell ref="A122:C122"/>
    <mergeCell ref="A149:C149"/>
    <mergeCell ref="A144:C144"/>
    <mergeCell ref="A145:C145"/>
    <mergeCell ref="A146:C146"/>
    <mergeCell ref="A147:C147"/>
    <mergeCell ref="A131:C131"/>
    <mergeCell ref="A132:C132"/>
    <mergeCell ref="A133:C133"/>
    <mergeCell ref="A134:C134"/>
    <mergeCell ref="A135:C135"/>
    <mergeCell ref="A124:C124"/>
    <mergeCell ref="A125:B125"/>
    <mergeCell ref="A126:J126"/>
    <mergeCell ref="A127:B127"/>
    <mergeCell ref="A128:C128"/>
    <mergeCell ref="A142:C142"/>
    <mergeCell ref="A1:J1"/>
    <mergeCell ref="A6:C6"/>
    <mergeCell ref="A14:C14"/>
    <mergeCell ref="A17:C17"/>
    <mergeCell ref="E3:F3"/>
    <mergeCell ref="A18:C18"/>
    <mergeCell ref="A19:C19"/>
    <mergeCell ref="A21:C21"/>
    <mergeCell ref="A25:C25"/>
    <mergeCell ref="A94:C94"/>
    <mergeCell ref="A95:C95"/>
    <mergeCell ref="A96:C96"/>
    <mergeCell ref="A102:C102"/>
    <mergeCell ref="A123:C123"/>
    <mergeCell ref="A109:B109"/>
    <mergeCell ref="A33:C33"/>
    <mergeCell ref="A64:C64"/>
    <mergeCell ref="A65:C65"/>
    <mergeCell ref="A73:C73"/>
    <mergeCell ref="A74:C74"/>
    <mergeCell ref="A81:C81"/>
    <mergeCell ref="A93:C93"/>
    <mergeCell ref="A75:C75"/>
    <mergeCell ref="A76:C76"/>
    <mergeCell ref="A77:C77"/>
    <mergeCell ref="A79:C79"/>
    <mergeCell ref="A80:C80"/>
    <mergeCell ref="A78:C78"/>
    <mergeCell ref="A61:C61"/>
    <mergeCell ref="A62:C62"/>
    <mergeCell ref="A63:C63"/>
    <mergeCell ref="A71:C71"/>
    <mergeCell ref="A72:B72"/>
  </mergeCells>
  <pageMargins left="0.22" right="0.17" top="0.14000000000000001" bottom="0.2" header="0.2" footer="0.2"/>
  <pageSetup paperSize="5" scale="19"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1:R1701"/>
  <sheetViews>
    <sheetView view="pageBreakPreview" topLeftCell="A112" zoomScale="60" zoomScaleNormal="60" zoomScalePageLayoutView="20" workbookViewId="0">
      <selection activeCell="D3" sqref="D3"/>
    </sheetView>
  </sheetViews>
  <sheetFormatPr defaultColWidth="22.33203125" defaultRowHeight="21.95" customHeight="1" x14ac:dyDescent="0.5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6" width="30" style="160" customWidth="1"/>
    <col min="7" max="7" width="28.88671875" style="160" customWidth="1"/>
    <col min="8" max="8" width="39.21875" style="161" customWidth="1"/>
    <col min="9" max="9" width="23.5546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33.75" x14ac:dyDescent="0.65">
      <c r="A1" s="821" t="s">
        <v>115</v>
      </c>
      <c r="B1" s="822"/>
      <c r="C1" s="822"/>
      <c r="D1" s="822"/>
      <c r="E1" s="822"/>
      <c r="F1" s="822"/>
      <c r="G1" s="822"/>
      <c r="H1" s="822"/>
      <c r="I1" s="822"/>
      <c r="J1" s="823"/>
    </row>
    <row r="2" spans="1:15" s="57" customFormat="1" ht="27" x14ac:dyDescent="0.5">
      <c r="A2" s="191" t="s">
        <v>356</v>
      </c>
      <c r="B2" s="262">
        <v>44582</v>
      </c>
      <c r="C2" s="348" t="s">
        <v>67</v>
      </c>
      <c r="D2" s="218">
        <v>0.71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27" x14ac:dyDescent="0.5">
      <c r="A3" s="189"/>
      <c r="B3" s="221"/>
      <c r="C3" s="348" t="s">
        <v>118</v>
      </c>
      <c r="D3" s="219">
        <v>28</v>
      </c>
      <c r="E3" s="830" t="s">
        <v>119</v>
      </c>
      <c r="F3" s="831"/>
      <c r="G3" s="101"/>
      <c r="H3" s="102"/>
      <c r="I3" s="102"/>
      <c r="J3" s="222"/>
      <c r="K3" s="61"/>
      <c r="L3" s="58"/>
    </row>
    <row r="4" spans="1:15" s="57" customFormat="1" ht="27" x14ac:dyDescent="0.5">
      <c r="A4" s="192"/>
      <c r="B4" s="223"/>
      <c r="C4" s="348" t="s">
        <v>120</v>
      </c>
      <c r="D4" s="218">
        <v>0.78</v>
      </c>
      <c r="E4" s="103"/>
      <c r="F4" s="103"/>
      <c r="G4" s="103"/>
      <c r="H4" s="103"/>
      <c r="I4" s="104"/>
      <c r="J4" s="222"/>
      <c r="K4" s="62"/>
      <c r="L4" s="58"/>
    </row>
    <row r="5" spans="1:15" ht="29.25" x14ac:dyDescent="0.4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5" ht="29.25" x14ac:dyDescent="0.4">
      <c r="A6" s="824" t="s">
        <v>128</v>
      </c>
      <c r="B6" s="825"/>
      <c r="C6" s="826"/>
      <c r="D6" s="110"/>
      <c r="E6" s="110"/>
      <c r="F6" s="110"/>
      <c r="G6" s="110"/>
      <c r="H6" s="111"/>
      <c r="I6" s="111"/>
      <c r="J6" s="174"/>
      <c r="K6" s="78"/>
      <c r="L6" s="66"/>
    </row>
    <row r="7" spans="1:15" ht="30" thickBot="1" x14ac:dyDescent="0.45">
      <c r="A7" s="194" t="s">
        <v>129</v>
      </c>
      <c r="B7" s="195"/>
      <c r="C7" s="195"/>
      <c r="D7" s="151" t="s">
        <v>130</v>
      </c>
      <c r="E7" s="95">
        <f>'20'!F7</f>
        <v>458929.15</v>
      </c>
      <c r="F7" s="95">
        <v>476797.71</v>
      </c>
      <c r="G7" s="112">
        <f>F7-E7</f>
        <v>17868.559999999998</v>
      </c>
      <c r="H7" s="99">
        <f>G7+'20'!H7</f>
        <v>382236.71</v>
      </c>
      <c r="I7" s="113">
        <f>'1'!I7</f>
        <v>12000</v>
      </c>
      <c r="J7" s="175">
        <f>H7/DAY(B2)</f>
        <v>18201.748095238097</v>
      </c>
      <c r="K7" s="172">
        <v>1375467</v>
      </c>
      <c r="L7" s="66"/>
      <c r="N7" s="87"/>
      <c r="O7" s="71"/>
    </row>
    <row r="8" spans="1:15" ht="27.75" thickBot="1" x14ac:dyDescent="0.45">
      <c r="A8" s="196" t="s">
        <v>131</v>
      </c>
      <c r="B8" s="197"/>
      <c r="C8" s="198"/>
      <c r="D8" s="224" t="s">
        <v>24</v>
      </c>
      <c r="E8" s="95">
        <f>'20'!F8</f>
        <v>511855.71</v>
      </c>
      <c r="F8" s="95">
        <v>530403.75</v>
      </c>
      <c r="G8" s="115">
        <f>F8-E8</f>
        <v>18548.039999999979</v>
      </c>
      <c r="H8" s="99">
        <f>G8+'20'!H8</f>
        <v>389518.75</v>
      </c>
      <c r="I8" s="116"/>
      <c r="J8" s="175">
        <f>H8/DAY(B2)</f>
        <v>18548.511904761905</v>
      </c>
      <c r="K8" s="172">
        <v>1715917</v>
      </c>
      <c r="L8" s="76">
        <v>1728480</v>
      </c>
      <c r="M8" s="87">
        <f>L8-K8</f>
        <v>12563</v>
      </c>
      <c r="N8" s="87"/>
      <c r="O8" s="71"/>
    </row>
    <row r="9" spans="1:15" ht="29.25" x14ac:dyDescent="0.4">
      <c r="A9" s="199" t="s">
        <v>132</v>
      </c>
      <c r="B9" s="200"/>
      <c r="C9" s="200"/>
      <c r="D9" s="151" t="s">
        <v>130</v>
      </c>
      <c r="E9" s="95">
        <f>'20'!F9</f>
        <v>132779.53</v>
      </c>
      <c r="F9" s="601">
        <v>144338.41</v>
      </c>
      <c r="G9" s="112">
        <f>F9-E9</f>
        <v>11558.880000000005</v>
      </c>
      <c r="H9" s="99">
        <f>G9+'20'!H9</f>
        <v>242843.40999999997</v>
      </c>
      <c r="I9" s="124">
        <f>I7-J7</f>
        <v>-6201.7480952380974</v>
      </c>
      <c r="J9" s="175">
        <f>H9/DAY(B2)</f>
        <v>11563.971904761904</v>
      </c>
      <c r="K9" s="79">
        <f>K8-100</f>
        <v>1715817</v>
      </c>
      <c r="L9" s="66"/>
      <c r="N9" s="87"/>
      <c r="O9" s="71"/>
    </row>
    <row r="10" spans="1:15" ht="29.25" x14ac:dyDescent="0.4">
      <c r="A10" s="194" t="s">
        <v>133</v>
      </c>
      <c r="B10" s="195"/>
      <c r="C10" s="195"/>
      <c r="D10" s="151" t="s">
        <v>130</v>
      </c>
      <c r="E10" s="95">
        <f>'20'!F10</f>
        <v>68056.070000000007</v>
      </c>
      <c r="F10" s="353">
        <v>73845.8</v>
      </c>
      <c r="G10" s="112">
        <f t="shared" ref="G10:G12" si="0">F10-E10</f>
        <v>5789.7299999999959</v>
      </c>
      <c r="H10" s="99">
        <f>G10+'20'!H10</f>
        <v>128751.8</v>
      </c>
      <c r="I10" s="282"/>
      <c r="J10" s="175">
        <f>H10/DAY(B2)</f>
        <v>6131.0380952380956</v>
      </c>
      <c r="K10" s="79"/>
      <c r="L10" s="66"/>
      <c r="N10" s="87"/>
      <c r="O10" s="71"/>
    </row>
    <row r="11" spans="1:15" ht="29.25" x14ac:dyDescent="0.4">
      <c r="A11" s="194" t="s">
        <v>134</v>
      </c>
      <c r="B11" s="195"/>
      <c r="C11" s="195"/>
      <c r="D11" s="151" t="s">
        <v>130</v>
      </c>
      <c r="E11" s="95">
        <f>'20'!F11</f>
        <v>37170</v>
      </c>
      <c r="F11" s="95">
        <v>37170</v>
      </c>
      <c r="G11" s="112">
        <f t="shared" si="0"/>
        <v>0</v>
      </c>
      <c r="H11" s="99">
        <f>G11+'20'!H11</f>
        <v>170</v>
      </c>
      <c r="I11" s="282"/>
      <c r="J11" s="175">
        <f>H11/DAY(B2)</f>
        <v>8.0952380952380949</v>
      </c>
      <c r="K11" s="79"/>
      <c r="L11" s="66"/>
      <c r="N11" s="87"/>
      <c r="O11" s="71"/>
    </row>
    <row r="12" spans="1:15" ht="29.25" x14ac:dyDescent="0.4">
      <c r="A12" s="194" t="s">
        <v>135</v>
      </c>
      <c r="B12" s="195"/>
      <c r="C12" s="195"/>
      <c r="D12" s="151" t="s">
        <v>130</v>
      </c>
      <c r="E12" s="95">
        <f>'20'!F12</f>
        <v>40010</v>
      </c>
      <c r="F12" s="117">
        <v>40010</v>
      </c>
      <c r="G12" s="112">
        <f t="shared" si="0"/>
        <v>0</v>
      </c>
      <c r="H12" s="99">
        <f>G12+'20'!H12</f>
        <v>0</v>
      </c>
      <c r="I12" s="282"/>
      <c r="J12" s="175">
        <f>H12/DAY(B2)</f>
        <v>0</v>
      </c>
      <c r="K12" s="79"/>
      <c r="L12" s="66"/>
      <c r="N12" s="87"/>
      <c r="O12" s="71"/>
    </row>
    <row r="13" spans="1:15" ht="29.25" x14ac:dyDescent="0.5">
      <c r="A13" s="201" t="s">
        <v>136</v>
      </c>
      <c r="B13" s="202"/>
      <c r="C13" s="202"/>
      <c r="D13" s="151"/>
      <c r="E13" s="95"/>
      <c r="F13" s="95"/>
      <c r="G13" s="119">
        <f>G9+G10+G11+G12</f>
        <v>17348.61</v>
      </c>
      <c r="H13" s="99">
        <f>G13+'20'!H13</f>
        <v>352299.9599999999</v>
      </c>
      <c r="I13" s="120">
        <f>G7-G13</f>
        <v>519.94999999999709</v>
      </c>
      <c r="J13" s="175">
        <f>H13/DAY(B2)</f>
        <v>16776.188571428567</v>
      </c>
      <c r="K13" s="79"/>
      <c r="L13" s="66"/>
      <c r="N13" s="87"/>
      <c r="O13" s="71"/>
    </row>
    <row r="14" spans="1:15" ht="29.25" x14ac:dyDescent="0.5">
      <c r="A14" s="827" t="s">
        <v>137</v>
      </c>
      <c r="B14" s="828"/>
      <c r="C14" s="829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5" ht="29.25" x14ac:dyDescent="0.5">
      <c r="A15" s="345" t="s">
        <v>138</v>
      </c>
      <c r="B15" s="205"/>
      <c r="C15" s="205"/>
      <c r="D15" s="151" t="s">
        <v>139</v>
      </c>
      <c r="E15" s="95">
        <f>'20'!F15</f>
        <v>1896043.25</v>
      </c>
      <c r="F15" s="123">
        <v>1897060.59</v>
      </c>
      <c r="G15" s="112">
        <f>(F15-E15)</f>
        <v>1017.3400000000838</v>
      </c>
      <c r="H15" s="99">
        <f>G15+'20'!H15</f>
        <v>18630.590000000084</v>
      </c>
      <c r="I15" s="113">
        <f>'1'!I15</f>
        <v>800</v>
      </c>
      <c r="J15" s="175">
        <f>H15/DAY(B2)</f>
        <v>887.17095238095635</v>
      </c>
      <c r="K15" s="79"/>
      <c r="L15" s="66"/>
      <c r="N15" s="87"/>
      <c r="O15" s="71"/>
    </row>
    <row r="16" spans="1:15" ht="29.25" x14ac:dyDescent="0.4">
      <c r="A16" s="203"/>
      <c r="B16" s="204"/>
      <c r="C16" s="204"/>
      <c r="D16" s="152"/>
      <c r="E16" s="123"/>
      <c r="F16" s="123"/>
      <c r="G16" s="112"/>
      <c r="H16" s="124"/>
      <c r="I16" s="120">
        <f>I15-J15</f>
        <v>-87.170952380956351</v>
      </c>
      <c r="J16" s="176"/>
      <c r="K16" s="79"/>
      <c r="L16" s="66"/>
      <c r="N16" s="87"/>
      <c r="O16" s="71"/>
    </row>
    <row r="17" spans="1:15" ht="29.25" x14ac:dyDescent="0.5">
      <c r="A17" s="827" t="s">
        <v>140</v>
      </c>
      <c r="B17" s="828"/>
      <c r="C17" s="829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5" ht="27.75" x14ac:dyDescent="0.5">
      <c r="A18" s="818" t="s">
        <v>141</v>
      </c>
      <c r="B18" s="819"/>
      <c r="C18" s="820"/>
      <c r="D18" s="151" t="s">
        <v>142</v>
      </c>
      <c r="E18" s="95">
        <f>'20'!F18</f>
        <v>16</v>
      </c>
      <c r="F18" s="122">
        <v>11</v>
      </c>
      <c r="G18" s="119">
        <f>F18*10</f>
        <v>110</v>
      </c>
      <c r="H18" s="99">
        <f>G18+'20'!H18</f>
        <v>2290</v>
      </c>
      <c r="I18" s="113">
        <f>'1'!I18</f>
        <v>65</v>
      </c>
      <c r="J18" s="175">
        <f>H18/DAY(B2)</f>
        <v>109.04761904761905</v>
      </c>
      <c r="K18" s="79"/>
      <c r="L18" s="66"/>
      <c r="N18" s="87"/>
      <c r="O18" s="71"/>
    </row>
    <row r="19" spans="1:15" ht="27.75" x14ac:dyDescent="0.5">
      <c r="A19" s="818" t="s">
        <v>69</v>
      </c>
      <c r="B19" s="819"/>
      <c r="C19" s="820"/>
      <c r="D19" s="151" t="s">
        <v>142</v>
      </c>
      <c r="E19" s="95">
        <f>'20'!F19</f>
        <v>153292</v>
      </c>
      <c r="F19" s="122">
        <v>153349</v>
      </c>
      <c r="G19" s="112">
        <f t="shared" ref="G19" si="1">F19-E19</f>
        <v>57</v>
      </c>
      <c r="H19" s="99">
        <f>G19+'20'!H19</f>
        <v>1124</v>
      </c>
      <c r="I19" s="335"/>
      <c r="J19" s="175">
        <f>H19/DAY(B2)</f>
        <v>53.523809523809526</v>
      </c>
      <c r="K19" s="79"/>
      <c r="L19" s="66"/>
      <c r="N19" s="87"/>
      <c r="O19" s="71"/>
    </row>
    <row r="20" spans="1:15" ht="29.25" x14ac:dyDescent="0.5">
      <c r="A20" s="201" t="s">
        <v>143</v>
      </c>
      <c r="B20" s="202"/>
      <c r="C20" s="202"/>
      <c r="D20" s="126"/>
      <c r="E20" s="126"/>
      <c r="F20" s="126"/>
      <c r="G20" s="127">
        <f>G18+G19</f>
        <v>167</v>
      </c>
      <c r="H20" s="99">
        <f>G20+'20'!H20</f>
        <v>3414</v>
      </c>
      <c r="I20" s="336">
        <f>I18-J20</f>
        <v>-97.571428571428584</v>
      </c>
      <c r="J20" s="175">
        <f>H20/DAY(B2)</f>
        <v>162.57142857142858</v>
      </c>
      <c r="K20" s="79"/>
      <c r="L20" s="66"/>
      <c r="N20" s="87"/>
      <c r="O20" s="71"/>
    </row>
    <row r="21" spans="1:15" ht="29.25" x14ac:dyDescent="0.5">
      <c r="A21" s="827" t="s">
        <v>144</v>
      </c>
      <c r="B21" s="828"/>
      <c r="C21" s="829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5" ht="29.25" x14ac:dyDescent="0.5">
      <c r="A22" s="345" t="s">
        <v>145</v>
      </c>
      <c r="B22" s="205"/>
      <c r="C22" s="205"/>
      <c r="D22" s="151" t="s">
        <v>146</v>
      </c>
      <c r="E22" s="95">
        <f>'20'!F22</f>
        <v>2970</v>
      </c>
      <c r="F22" s="122">
        <v>2970</v>
      </c>
      <c r="G22" s="119">
        <f t="shared" ref="G22" si="2">(F22-E22)</f>
        <v>0</v>
      </c>
      <c r="H22" s="99">
        <f>G22+'20'!H22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29.25" x14ac:dyDescent="0.5">
      <c r="A23" s="345" t="s">
        <v>147</v>
      </c>
      <c r="B23" s="205"/>
      <c r="C23" s="205"/>
      <c r="D23" s="151" t="s">
        <v>146</v>
      </c>
      <c r="E23" s="95">
        <f>'20'!F23</f>
        <v>2000</v>
      </c>
      <c r="F23" s="122">
        <v>2000</v>
      </c>
      <c r="G23" s="119">
        <v>0</v>
      </c>
      <c r="H23" s="99">
        <f>G23+'20'!H23</f>
        <v>110</v>
      </c>
      <c r="I23" s="118"/>
      <c r="J23" s="175">
        <f>H23/DAY(B2)</f>
        <v>5.2380952380952381</v>
      </c>
      <c r="K23" s="79"/>
      <c r="L23" s="66"/>
      <c r="N23" s="87"/>
      <c r="O23" s="71"/>
    </row>
    <row r="24" spans="1:15" ht="29.25" x14ac:dyDescent="0.4">
      <c r="A24" s="206" t="s">
        <v>148</v>
      </c>
      <c r="B24" s="207"/>
      <c r="C24" s="207"/>
      <c r="D24" s="146" t="s">
        <v>146</v>
      </c>
      <c r="E24" s="95">
        <f>'20'!F24</f>
        <v>4970</v>
      </c>
      <c r="F24" s="128">
        <v>4970</v>
      </c>
      <c r="G24" s="119">
        <v>0</v>
      </c>
      <c r="H24" s="99">
        <f>G24+'20'!H24</f>
        <v>110</v>
      </c>
      <c r="I24" s="118"/>
      <c r="J24" s="175">
        <f>H24/DAY(B2)</f>
        <v>5.2380952380952381</v>
      </c>
      <c r="K24" s="79"/>
      <c r="L24" s="66"/>
      <c r="N24" s="87"/>
      <c r="O24" s="71"/>
    </row>
    <row r="25" spans="1:15" s="88" customFormat="1" ht="27" x14ac:dyDescent="0.35">
      <c r="A25" s="832" t="s">
        <v>149</v>
      </c>
      <c r="B25" s="833"/>
      <c r="C25" s="834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5" s="88" customFormat="1" ht="27.75" x14ac:dyDescent="0.5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/>
      <c r="I26" s="134"/>
      <c r="J26" s="175"/>
      <c r="K26" s="64"/>
      <c r="L26" s="89"/>
      <c r="N26" s="87"/>
      <c r="O26" s="71"/>
    </row>
    <row r="27" spans="1:15" s="88" customFormat="1" ht="27.75" x14ac:dyDescent="0.5">
      <c r="A27" s="208" t="s">
        <v>5</v>
      </c>
      <c r="B27" s="209"/>
      <c r="C27" s="210"/>
      <c r="D27" s="226" t="s">
        <v>24</v>
      </c>
      <c r="E27" s="135">
        <f>G8</f>
        <v>18548.039999999979</v>
      </c>
      <c r="F27" s="136">
        <v>9</v>
      </c>
      <c r="G27" s="137">
        <f>E27*F27</f>
        <v>166932.35999999981</v>
      </c>
      <c r="H27" s="99">
        <f>G27+'20'!H27</f>
        <v>3505668.75</v>
      </c>
      <c r="I27" s="138"/>
      <c r="J27" s="175">
        <f>H27/DAY(B2)</f>
        <v>166936.60714285713</v>
      </c>
      <c r="K27" s="63"/>
      <c r="L27" s="89"/>
      <c r="N27" s="87"/>
      <c r="O27" s="71"/>
    </row>
    <row r="28" spans="1:15" s="88" customFormat="1" ht="27.75" x14ac:dyDescent="0.5">
      <c r="A28" s="208" t="s">
        <v>152</v>
      </c>
      <c r="B28" s="209"/>
      <c r="C28" s="210"/>
      <c r="D28" s="226" t="s">
        <v>153</v>
      </c>
      <c r="E28" s="139">
        <f>G15</f>
        <v>1017.3400000000838</v>
      </c>
      <c r="F28" s="136">
        <v>52</v>
      </c>
      <c r="G28" s="137">
        <f>E28*F28</f>
        <v>52901.680000004359</v>
      </c>
      <c r="H28" s="99">
        <f>G28+'20'!H28</f>
        <v>968790.68000000436</v>
      </c>
      <c r="I28" s="140"/>
      <c r="J28" s="175">
        <f>H28/DAY(B2)</f>
        <v>46132.889523809732</v>
      </c>
      <c r="K28" s="63"/>
      <c r="L28" s="89"/>
      <c r="N28" s="87"/>
      <c r="O28" s="71"/>
    </row>
    <row r="29" spans="1:15" s="88" customFormat="1" ht="27.75" x14ac:dyDescent="0.5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>E29*F29</f>
        <v>0</v>
      </c>
      <c r="H29" s="99">
        <f>G29+'20'!H29</f>
        <v>7590</v>
      </c>
      <c r="I29" s="140"/>
      <c r="J29" s="175">
        <f>H29/DAY(B2)</f>
        <v>361.42857142857144</v>
      </c>
      <c r="K29" s="63"/>
      <c r="L29" s="89"/>
      <c r="N29" s="87"/>
      <c r="O29" s="71"/>
    </row>
    <row r="30" spans="1:15" s="88" customFormat="1" ht="27.75" x14ac:dyDescent="0.5">
      <c r="A30" s="208" t="s">
        <v>156</v>
      </c>
      <c r="B30" s="209"/>
      <c r="C30" s="210"/>
      <c r="D30" s="226" t="s">
        <v>157</v>
      </c>
      <c r="E30" s="141">
        <f>G19</f>
        <v>57</v>
      </c>
      <c r="F30" s="136">
        <v>146</v>
      </c>
      <c r="G30" s="137">
        <f>E30*F30</f>
        <v>8322</v>
      </c>
      <c r="H30" s="99">
        <f>G30+'20'!H30</f>
        <v>164104</v>
      </c>
      <c r="I30" s="140"/>
      <c r="J30" s="175">
        <f>H30/DAY(B2)</f>
        <v>7814.4761904761908</v>
      </c>
      <c r="K30" s="63"/>
      <c r="L30" s="89"/>
      <c r="N30" s="87"/>
      <c r="O30" s="71"/>
    </row>
    <row r="31" spans="1:15" s="88" customFormat="1" ht="27.75" x14ac:dyDescent="0.5">
      <c r="A31" s="208" t="s">
        <v>158</v>
      </c>
      <c r="B31" s="209"/>
      <c r="C31" s="210"/>
      <c r="D31" s="226" t="s">
        <v>142</v>
      </c>
      <c r="E31" s="141">
        <f>G18</f>
        <v>110</v>
      </c>
      <c r="F31" s="136">
        <v>80</v>
      </c>
      <c r="G31" s="137">
        <f>E31*F31</f>
        <v>8800</v>
      </c>
      <c r="H31" s="99">
        <f>G31+'20'!H31</f>
        <v>183200</v>
      </c>
      <c r="I31" s="140"/>
      <c r="J31" s="175">
        <f>H31/DAY(B2)</f>
        <v>8723.8095238095229</v>
      </c>
      <c r="K31" s="63"/>
      <c r="L31" s="89"/>
      <c r="N31" s="87"/>
      <c r="O31" s="71"/>
    </row>
    <row r="32" spans="1:15" s="88" customFormat="1" ht="27.75" x14ac:dyDescent="0.5">
      <c r="A32" s="211" t="s">
        <v>159</v>
      </c>
      <c r="B32" s="212"/>
      <c r="C32" s="213"/>
      <c r="D32" s="142"/>
      <c r="E32" s="142"/>
      <c r="F32" s="142"/>
      <c r="G32" s="143">
        <f>G27+G28+G29+G30+G31</f>
        <v>236956.04000000417</v>
      </c>
      <c r="H32" s="99">
        <f>G32+'20'!H32</f>
        <v>4829353.4300000044</v>
      </c>
      <c r="I32" s="144"/>
      <c r="J32" s="175">
        <f>H32/DAY(B2)</f>
        <v>229969.21095238117</v>
      </c>
      <c r="K32" s="63"/>
      <c r="L32" s="89"/>
      <c r="N32" s="87"/>
      <c r="O32" s="71"/>
    </row>
    <row r="33" spans="1:15" ht="25.5" customHeight="1" x14ac:dyDescent="0.35">
      <c r="A33" s="835" t="s">
        <v>331</v>
      </c>
      <c r="B33" s="836"/>
      <c r="C33" s="836"/>
      <c r="D33" s="337"/>
      <c r="E33" s="337"/>
      <c r="F33" s="337"/>
      <c r="G33" s="337"/>
      <c r="H33" s="337"/>
      <c r="I33" s="337"/>
      <c r="J33" s="338"/>
      <c r="K33" s="79"/>
      <c r="L33" s="66"/>
      <c r="N33" s="87"/>
      <c r="O33" s="71"/>
    </row>
    <row r="34" spans="1:15" ht="29.25" x14ac:dyDescent="0.5">
      <c r="A34" s="214" t="s">
        <v>160</v>
      </c>
      <c r="B34" s="349"/>
      <c r="C34" s="349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29.25" x14ac:dyDescent="0.4">
      <c r="A35" s="194" t="s">
        <v>161</v>
      </c>
      <c r="B35" s="195"/>
      <c r="C35" s="195"/>
      <c r="D35" s="151" t="s">
        <v>130</v>
      </c>
      <c r="E35" s="95">
        <f>'20'!F35</f>
        <v>17793.810000000001</v>
      </c>
      <c r="F35" s="145">
        <v>19247.78</v>
      </c>
      <c r="G35" s="112">
        <f t="shared" ref="G35:G46" si="3">F35-E35</f>
        <v>1453.9699999999975</v>
      </c>
      <c r="H35" s="99">
        <f>G35+'20'!H35</f>
        <v>34447.78</v>
      </c>
      <c r="I35" s="95"/>
      <c r="J35" s="175">
        <f>H35/DAY(B2)</f>
        <v>1640.3704761904762</v>
      </c>
      <c r="K35" s="79"/>
      <c r="L35" s="66"/>
      <c r="N35" s="87"/>
      <c r="O35" s="71"/>
    </row>
    <row r="36" spans="1:15" ht="29.25" x14ac:dyDescent="0.4">
      <c r="A36" s="194" t="s">
        <v>162</v>
      </c>
      <c r="B36" s="195"/>
      <c r="C36" s="195"/>
      <c r="D36" s="151" t="s">
        <v>130</v>
      </c>
      <c r="E36" s="95">
        <f>'20'!F36</f>
        <v>35331.82</v>
      </c>
      <c r="F36" s="145">
        <v>35993.730000000003</v>
      </c>
      <c r="G36" s="112">
        <f t="shared" si="3"/>
        <v>661.91000000000349</v>
      </c>
      <c r="H36" s="99">
        <f>G36+'20'!H36</f>
        <v>14466.730000000003</v>
      </c>
      <c r="I36" s="95"/>
      <c r="J36" s="175">
        <f>H36/DAY(B2)</f>
        <v>688.89190476190493</v>
      </c>
      <c r="K36" s="79"/>
      <c r="L36" s="66"/>
      <c r="N36" s="87"/>
      <c r="O36" s="344"/>
    </row>
    <row r="37" spans="1:15" ht="29.25" x14ac:dyDescent="0.4">
      <c r="A37" s="194" t="s">
        <v>163</v>
      </c>
      <c r="B37" s="195"/>
      <c r="C37" s="195"/>
      <c r="D37" s="151" t="s">
        <v>130</v>
      </c>
      <c r="E37" s="95">
        <f>'20'!F37</f>
        <v>18017.919999999998</v>
      </c>
      <c r="F37" s="504">
        <v>19583.419999999998</v>
      </c>
      <c r="G37" s="112">
        <f t="shared" si="3"/>
        <v>1565.5</v>
      </c>
      <c r="H37" s="99">
        <f>G37+'20'!H37</f>
        <v>31795.42</v>
      </c>
      <c r="I37" s="95"/>
      <c r="J37" s="175">
        <f>H37/DAY(B2)</f>
        <v>1514.067619047619</v>
      </c>
      <c r="K37" s="79"/>
      <c r="L37" s="66"/>
      <c r="N37" s="87"/>
      <c r="O37" s="234"/>
    </row>
    <row r="38" spans="1:15" ht="29.25" x14ac:dyDescent="0.4">
      <c r="A38" s="194" t="s">
        <v>164</v>
      </c>
      <c r="B38" s="195"/>
      <c r="C38" s="195"/>
      <c r="D38" s="151" t="s">
        <v>130</v>
      </c>
      <c r="E38" s="95">
        <f>'20'!F38</f>
        <v>19100.849999999999</v>
      </c>
      <c r="F38" s="108">
        <v>20772.3</v>
      </c>
      <c r="G38" s="112">
        <f t="shared" si="3"/>
        <v>1671.4500000000007</v>
      </c>
      <c r="H38" s="99">
        <f>G38+'20'!H38</f>
        <v>33972.300000000003</v>
      </c>
      <c r="I38" s="95"/>
      <c r="J38" s="175">
        <f>H38/DAY(B2)</f>
        <v>1617.7285714285715</v>
      </c>
      <c r="K38" s="79"/>
      <c r="L38" s="66"/>
      <c r="N38" s="87"/>
      <c r="O38" s="71"/>
    </row>
    <row r="39" spans="1:15" ht="29.25" x14ac:dyDescent="0.4">
      <c r="A39" s="194" t="s">
        <v>165</v>
      </c>
      <c r="B39" s="195"/>
      <c r="C39" s="195"/>
      <c r="D39" s="151" t="s">
        <v>130</v>
      </c>
      <c r="E39" s="95">
        <f>'20'!F39</f>
        <v>30507.61</v>
      </c>
      <c r="F39" s="504">
        <v>33105.85</v>
      </c>
      <c r="G39" s="112">
        <f t="shared" si="3"/>
        <v>2598.239999999998</v>
      </c>
      <c r="H39" s="99">
        <f>G39+'20'!H39</f>
        <v>54787.85</v>
      </c>
      <c r="I39" s="95"/>
      <c r="J39" s="175">
        <f>H39/DAY(B2)</f>
        <v>2608.945238095238</v>
      </c>
      <c r="K39" s="79"/>
      <c r="L39" s="66"/>
      <c r="N39" s="87"/>
      <c r="O39" s="71"/>
    </row>
    <row r="40" spans="1:15" ht="29.25" x14ac:dyDescent="0.4">
      <c r="A40" s="215" t="s">
        <v>166</v>
      </c>
      <c r="B40" s="216"/>
      <c r="C40" s="216"/>
      <c r="D40" s="151" t="s">
        <v>130</v>
      </c>
      <c r="E40" s="95">
        <f>'20'!F40</f>
        <v>14501.05</v>
      </c>
      <c r="F40" s="145">
        <v>14856.38</v>
      </c>
      <c r="G40" s="112">
        <f t="shared" si="3"/>
        <v>355.32999999999993</v>
      </c>
      <c r="H40" s="99">
        <f>G40+'20'!H40</f>
        <v>9246.3799999999992</v>
      </c>
      <c r="I40" s="95"/>
      <c r="J40" s="175">
        <f>H40/DAY(B2)</f>
        <v>440.30380952380949</v>
      </c>
      <c r="K40" s="80"/>
      <c r="L40" s="66"/>
      <c r="N40" s="87"/>
      <c r="O40" s="71"/>
    </row>
    <row r="41" spans="1:15" ht="29.25" x14ac:dyDescent="0.4">
      <c r="A41" s="194" t="s">
        <v>167</v>
      </c>
      <c r="B41" s="195"/>
      <c r="C41" s="195"/>
      <c r="D41" s="151" t="s">
        <v>130</v>
      </c>
      <c r="E41" s="95">
        <f>'20'!F41</f>
        <v>0</v>
      </c>
      <c r="F41" s="145">
        <v>0</v>
      </c>
      <c r="G41" s="112">
        <f t="shared" si="3"/>
        <v>0</v>
      </c>
      <c r="H41" s="99">
        <f>G41+'20'!H41</f>
        <v>0</v>
      </c>
      <c r="I41" s="95"/>
      <c r="J41" s="175">
        <f>H41/DAY(B2)</f>
        <v>0</v>
      </c>
      <c r="K41" s="79"/>
      <c r="L41" s="66"/>
      <c r="N41" s="87"/>
      <c r="O41" s="71"/>
    </row>
    <row r="42" spans="1:15" ht="29.25" x14ac:dyDescent="0.4">
      <c r="A42" s="194" t="s">
        <v>168</v>
      </c>
      <c r="B42" s="195"/>
      <c r="C42" s="195"/>
      <c r="D42" s="151" t="s">
        <v>130</v>
      </c>
      <c r="E42" s="95">
        <f>'20'!F42</f>
        <v>73808.600000000006</v>
      </c>
      <c r="F42" s="145">
        <v>73808.600000000006</v>
      </c>
      <c r="G42" s="112">
        <f t="shared" si="3"/>
        <v>0</v>
      </c>
      <c r="H42" s="99">
        <f>G42+'20'!H42</f>
        <v>-0.39999999999417923</v>
      </c>
      <c r="I42" s="95"/>
      <c r="J42" s="175">
        <f>H42/DAY(B2)</f>
        <v>-1.9047619047341868E-2</v>
      </c>
      <c r="K42" s="79"/>
      <c r="L42" s="66"/>
      <c r="N42" s="87"/>
      <c r="O42" s="71"/>
    </row>
    <row r="43" spans="1:15" ht="29.25" x14ac:dyDescent="0.4">
      <c r="A43" s="194" t="s">
        <v>169</v>
      </c>
      <c r="B43" s="195"/>
      <c r="C43" s="195"/>
      <c r="D43" s="151" t="s">
        <v>130</v>
      </c>
      <c r="E43" s="95">
        <f>'20'!F43</f>
        <v>92066.99</v>
      </c>
      <c r="F43" s="145">
        <v>94406.93</v>
      </c>
      <c r="G43" s="112">
        <f t="shared" si="3"/>
        <v>2339.9399999999878</v>
      </c>
      <c r="H43" s="99">
        <f>G43+'20'!H43</f>
        <v>47145.929999999993</v>
      </c>
      <c r="I43" s="95"/>
      <c r="J43" s="175">
        <f>H43/DAY(B2)</f>
        <v>2245.0442857142853</v>
      </c>
      <c r="K43" s="79"/>
      <c r="L43" s="66"/>
      <c r="N43" s="87"/>
      <c r="O43" s="71"/>
    </row>
    <row r="44" spans="1:15" ht="29.25" x14ac:dyDescent="0.4">
      <c r="A44" s="194" t="s">
        <v>170</v>
      </c>
      <c r="B44" s="195"/>
      <c r="C44" s="195"/>
      <c r="D44" s="151" t="s">
        <v>130</v>
      </c>
      <c r="E44" s="95">
        <f>'20'!F44</f>
        <v>0</v>
      </c>
      <c r="F44" s="145">
        <v>0</v>
      </c>
      <c r="G44" s="112">
        <f t="shared" si="3"/>
        <v>0</v>
      </c>
      <c r="H44" s="99">
        <f>G44+'20'!H44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29.25" x14ac:dyDescent="0.4">
      <c r="A45" s="194" t="s">
        <v>171</v>
      </c>
      <c r="B45" s="195"/>
      <c r="C45" s="195"/>
      <c r="D45" s="151" t="s">
        <v>130</v>
      </c>
      <c r="E45" s="95">
        <f>'20'!F45</f>
        <v>0</v>
      </c>
      <c r="F45" s="145">
        <v>0</v>
      </c>
      <c r="G45" s="112">
        <f t="shared" si="3"/>
        <v>0</v>
      </c>
      <c r="H45" s="99">
        <f>G45+'20'!H45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29.25" x14ac:dyDescent="0.4">
      <c r="A46" s="194" t="s">
        <v>172</v>
      </c>
      <c r="B46" s="195"/>
      <c r="C46" s="195"/>
      <c r="D46" s="151" t="s">
        <v>130</v>
      </c>
      <c r="E46" s="95">
        <f>'20'!F46</f>
        <v>0</v>
      </c>
      <c r="F46" s="145">
        <v>0</v>
      </c>
      <c r="G46" s="112">
        <f t="shared" si="3"/>
        <v>0</v>
      </c>
      <c r="H46" s="99">
        <f>G46+'20'!H46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29.25" x14ac:dyDescent="0.5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10646.339999999987</v>
      </c>
      <c r="H47" s="99">
        <f>G47+'20'!H47</f>
        <v>225861.99000000005</v>
      </c>
      <c r="I47" s="95"/>
      <c r="J47" s="175">
        <f>H47/DAY(B2)</f>
        <v>10755.332857142859</v>
      </c>
      <c r="K47" s="79"/>
      <c r="L47" s="66"/>
      <c r="N47" s="87"/>
      <c r="O47" s="71"/>
    </row>
    <row r="48" spans="1:15" ht="29.25" x14ac:dyDescent="0.5">
      <c r="A48" s="214" t="s">
        <v>174</v>
      </c>
      <c r="B48" s="349"/>
      <c r="C48" s="349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29.25" x14ac:dyDescent="0.4">
      <c r="A49" s="194" t="s">
        <v>161</v>
      </c>
      <c r="B49" s="217"/>
      <c r="C49" s="217"/>
      <c r="D49" s="151" t="s">
        <v>130</v>
      </c>
      <c r="E49" s="95">
        <f>'20'!F49</f>
        <v>14791.1</v>
      </c>
      <c r="F49" s="145">
        <v>15892.9</v>
      </c>
      <c r="G49" s="112">
        <f t="shared" ref="G49:G58" si="4">F49-E49</f>
        <v>1101.7999999999993</v>
      </c>
      <c r="H49" s="99">
        <f>G49+'20'!H49</f>
        <v>29013.899999999998</v>
      </c>
      <c r="I49" s="95"/>
      <c r="J49" s="175">
        <f>H49/DAY(B2)</f>
        <v>1381.6142857142856</v>
      </c>
      <c r="K49" s="79"/>
      <c r="L49" s="66"/>
      <c r="N49" s="87"/>
      <c r="O49" s="71"/>
    </row>
    <row r="50" spans="1:15" ht="29.25" x14ac:dyDescent="0.4">
      <c r="A50" s="194" t="s">
        <v>175</v>
      </c>
      <c r="B50" s="217"/>
      <c r="C50" s="217"/>
      <c r="D50" s="151" t="s">
        <v>130</v>
      </c>
      <c r="E50" s="95">
        <f>'20'!F50</f>
        <v>43936.35</v>
      </c>
      <c r="F50" s="145">
        <v>45096.4</v>
      </c>
      <c r="G50" s="112">
        <f t="shared" si="4"/>
        <v>1160.0500000000029</v>
      </c>
      <c r="H50" s="99">
        <f>G50+'20'!H50</f>
        <v>20446.400000000001</v>
      </c>
      <c r="I50" s="95"/>
      <c r="J50" s="175">
        <f>H50/DAY(B2)</f>
        <v>973.63809523809527</v>
      </c>
      <c r="K50" s="79"/>
      <c r="L50" s="66"/>
      <c r="N50" s="87"/>
      <c r="O50" s="71"/>
    </row>
    <row r="51" spans="1:15" ht="29.25" x14ac:dyDescent="0.4">
      <c r="A51" s="194" t="s">
        <v>163</v>
      </c>
      <c r="B51" s="217"/>
      <c r="C51" s="217"/>
      <c r="D51" s="151" t="s">
        <v>130</v>
      </c>
      <c r="E51" s="95">
        <f>'20'!F51</f>
        <v>0</v>
      </c>
      <c r="F51" s="145">
        <v>0</v>
      </c>
      <c r="G51" s="112">
        <f t="shared" si="4"/>
        <v>0</v>
      </c>
      <c r="H51" s="99">
        <f>G51+'20'!H51</f>
        <v>0</v>
      </c>
      <c r="I51" s="95"/>
      <c r="J51" s="175">
        <f>H51/DAY(B2)</f>
        <v>0</v>
      </c>
      <c r="K51" s="79"/>
      <c r="L51" s="66"/>
      <c r="N51" s="87"/>
      <c r="O51" s="71"/>
    </row>
    <row r="52" spans="1:15" ht="29.25" x14ac:dyDescent="0.4">
      <c r="A52" s="194" t="s">
        <v>176</v>
      </c>
      <c r="B52" s="217"/>
      <c r="C52" s="217"/>
      <c r="D52" s="151" t="s">
        <v>130</v>
      </c>
      <c r="E52" s="95">
        <f>'20'!F52</f>
        <v>0</v>
      </c>
      <c r="F52" s="145">
        <v>0</v>
      </c>
      <c r="G52" s="112">
        <f t="shared" si="4"/>
        <v>0</v>
      </c>
      <c r="H52" s="99">
        <f>G52+'20'!H52</f>
        <v>0</v>
      </c>
      <c r="I52" s="95"/>
      <c r="J52" s="175">
        <f>H52/DAY(B2)</f>
        <v>0</v>
      </c>
      <c r="K52" s="79"/>
      <c r="L52" s="66"/>
      <c r="N52" s="87"/>
      <c r="O52" s="71"/>
    </row>
    <row r="53" spans="1:15" ht="29.25" x14ac:dyDescent="0.4">
      <c r="A53" s="194" t="s">
        <v>165</v>
      </c>
      <c r="B53" s="217"/>
      <c r="C53" s="217"/>
      <c r="D53" s="151" t="s">
        <v>130</v>
      </c>
      <c r="E53" s="95">
        <f>'20'!F53</f>
        <v>0</v>
      </c>
      <c r="F53" s="145">
        <v>0</v>
      </c>
      <c r="G53" s="112">
        <f t="shared" si="4"/>
        <v>0</v>
      </c>
      <c r="H53" s="99">
        <f>G53+'20'!H53</f>
        <v>0</v>
      </c>
      <c r="I53" s="95"/>
      <c r="J53" s="175">
        <f>H53/DAY(B2)</f>
        <v>0</v>
      </c>
      <c r="K53" s="79"/>
      <c r="L53" s="66"/>
      <c r="N53" s="87"/>
      <c r="O53" s="71"/>
    </row>
    <row r="54" spans="1:15" ht="29.25" x14ac:dyDescent="0.4">
      <c r="A54" s="194" t="s">
        <v>177</v>
      </c>
      <c r="B54" s="217"/>
      <c r="C54" s="217"/>
      <c r="D54" s="151" t="s">
        <v>130</v>
      </c>
      <c r="E54" s="95">
        <f>'20'!F54</f>
        <v>5147.42</v>
      </c>
      <c r="F54" s="145">
        <v>5147.42</v>
      </c>
      <c r="G54" s="112">
        <f t="shared" si="4"/>
        <v>0</v>
      </c>
      <c r="H54" s="99">
        <f>G54+'20'!H54</f>
        <v>6914.5</v>
      </c>
      <c r="I54" s="95"/>
      <c r="J54" s="175">
        <f>H54/DAY(B2)</f>
        <v>329.26190476190476</v>
      </c>
      <c r="K54" s="79"/>
      <c r="L54" s="66"/>
      <c r="N54" s="87"/>
      <c r="O54" s="71"/>
    </row>
    <row r="55" spans="1:15" ht="29.25" x14ac:dyDescent="0.4">
      <c r="A55" s="194" t="s">
        <v>178</v>
      </c>
      <c r="B55" s="217"/>
      <c r="C55" s="217"/>
      <c r="D55" s="151" t="s">
        <v>130</v>
      </c>
      <c r="E55" s="95">
        <f>'20'!F55</f>
        <v>63274.47</v>
      </c>
      <c r="F55" s="145">
        <v>66112.87</v>
      </c>
      <c r="G55" s="112">
        <f t="shared" si="4"/>
        <v>2838.3999999999942</v>
      </c>
      <c r="H55" s="99">
        <f>G55+'20'!H55</f>
        <v>62601.869999999995</v>
      </c>
      <c r="I55" s="95"/>
      <c r="J55" s="175">
        <f>H55/DAY(B2)</f>
        <v>2981.0414285714282</v>
      </c>
      <c r="K55" s="79"/>
      <c r="L55" s="66"/>
      <c r="N55" s="87"/>
      <c r="O55" s="71"/>
    </row>
    <row r="56" spans="1:15" ht="29.25" x14ac:dyDescent="0.4">
      <c r="A56" s="194" t="s">
        <v>179</v>
      </c>
      <c r="B56" s="217"/>
      <c r="C56" s="217"/>
      <c r="D56" s="151" t="s">
        <v>180</v>
      </c>
      <c r="E56" s="95">
        <f>'20'!F56</f>
        <v>8610.5400000000009</v>
      </c>
      <c r="F56" s="504">
        <v>8610.5400000000009</v>
      </c>
      <c r="G56" s="112">
        <f t="shared" si="4"/>
        <v>0</v>
      </c>
      <c r="H56" s="99">
        <f>G56+'20'!H56</f>
        <v>0</v>
      </c>
      <c r="I56" s="95"/>
      <c r="J56" s="175">
        <f>H56/DAY(B2)</f>
        <v>0</v>
      </c>
      <c r="K56" s="78"/>
      <c r="L56" s="66"/>
      <c r="N56" s="87"/>
      <c r="O56" s="71"/>
    </row>
    <row r="57" spans="1:15" ht="29.25" x14ac:dyDescent="0.4">
      <c r="A57" s="194" t="s">
        <v>169</v>
      </c>
      <c r="B57" s="217"/>
      <c r="C57" s="217"/>
      <c r="D57" s="151" t="s">
        <v>130</v>
      </c>
      <c r="E57" s="95">
        <f>'20'!F57</f>
        <v>0</v>
      </c>
      <c r="F57" s="145">
        <v>0</v>
      </c>
      <c r="G57" s="112">
        <f t="shared" si="4"/>
        <v>0</v>
      </c>
      <c r="H57" s="99">
        <f>G57+'20'!H57</f>
        <v>0</v>
      </c>
      <c r="I57" s="95"/>
      <c r="J57" s="175">
        <f>H57/DAY(B2)</f>
        <v>0</v>
      </c>
      <c r="K57" s="79"/>
      <c r="L57" s="66"/>
      <c r="N57" s="87"/>
      <c r="O57" s="71"/>
    </row>
    <row r="58" spans="1:15" ht="29.25" x14ac:dyDescent="0.4">
      <c r="A58" s="194" t="s">
        <v>181</v>
      </c>
      <c r="B58" s="217"/>
      <c r="C58" s="217"/>
      <c r="D58" s="151" t="s">
        <v>130</v>
      </c>
      <c r="E58" s="95">
        <f>'20'!F58</f>
        <v>2566.9899999999998</v>
      </c>
      <c r="F58" s="145">
        <v>2801.18</v>
      </c>
      <c r="G58" s="112">
        <f t="shared" si="4"/>
        <v>234.19000000000005</v>
      </c>
      <c r="H58" s="99">
        <f>G58+'20'!H58</f>
        <v>3141.8100000000045</v>
      </c>
      <c r="I58" s="95"/>
      <c r="J58" s="175">
        <f>H58/DAY(B2)</f>
        <v>149.61000000000021</v>
      </c>
      <c r="K58" s="79"/>
      <c r="L58" s="66"/>
      <c r="N58" s="87"/>
      <c r="O58" s="71"/>
    </row>
    <row r="59" spans="1:15" ht="29.25" x14ac:dyDescent="0.5">
      <c r="A59" s="201" t="s">
        <v>173</v>
      </c>
      <c r="B59" s="202"/>
      <c r="C59" s="202"/>
      <c r="D59" s="146"/>
      <c r="E59" s="146"/>
      <c r="F59" s="146"/>
      <c r="G59" s="119">
        <f>G49+G50+G51+G52+G53+G54+G55+G56+G57+G58</f>
        <v>5334.4399999999969</v>
      </c>
      <c r="H59" s="99">
        <f>G59+'20'!H59</f>
        <v>122118.48000000004</v>
      </c>
      <c r="I59" s="95">
        <f>G7-G60</f>
        <v>1887.7800000000134</v>
      </c>
      <c r="J59" s="175">
        <f>H59/DAY(B2)</f>
        <v>5815.1657142857166</v>
      </c>
      <c r="K59" s="79"/>
      <c r="L59" s="66"/>
      <c r="N59" s="87"/>
      <c r="O59" s="71"/>
    </row>
    <row r="60" spans="1:15" ht="29.25" x14ac:dyDescent="0.4">
      <c r="A60" s="194"/>
      <c r="B60" s="195"/>
      <c r="C60" s="195"/>
      <c r="D60" s="146" t="s">
        <v>182</v>
      </c>
      <c r="E60" s="146"/>
      <c r="F60" s="146"/>
      <c r="G60" s="119">
        <f>G47+G59</f>
        <v>15980.779999999984</v>
      </c>
      <c r="H60" s="99">
        <f>G60+'20'!H60</f>
        <v>347980.46999999991</v>
      </c>
      <c r="I60" s="95">
        <f>G13-G60</f>
        <v>1367.8300000000163</v>
      </c>
      <c r="J60" s="175">
        <f>H60/DAY(B2)</f>
        <v>16570.498571428569</v>
      </c>
      <c r="K60" s="79"/>
      <c r="L60" s="66"/>
      <c r="N60" s="87"/>
      <c r="O60" s="71"/>
    </row>
    <row r="61" spans="1:15" s="68" customFormat="1" ht="27.75" x14ac:dyDescent="0.5">
      <c r="A61" s="837" t="s">
        <v>332</v>
      </c>
      <c r="B61" s="838"/>
      <c r="C61" s="839"/>
      <c r="D61" s="339"/>
      <c r="E61" s="339"/>
      <c r="F61" s="339"/>
      <c r="G61" s="340"/>
      <c r="H61" s="339"/>
      <c r="I61" s="339"/>
      <c r="J61" s="341"/>
      <c r="K61" s="69"/>
      <c r="L61" s="67"/>
      <c r="N61" s="87"/>
      <c r="O61" s="71"/>
    </row>
    <row r="62" spans="1:15" ht="27.75" x14ac:dyDescent="0.5">
      <c r="A62" s="818" t="s">
        <v>198</v>
      </c>
      <c r="B62" s="819"/>
      <c r="C62" s="820"/>
      <c r="D62" s="151" t="s">
        <v>142</v>
      </c>
      <c r="E62" s="95">
        <f>'20'!F62</f>
        <v>268437</v>
      </c>
      <c r="F62" s="122">
        <v>268497</v>
      </c>
      <c r="G62" s="112">
        <f t="shared" ref="G62:G63" si="5">F62-E62</f>
        <v>60</v>
      </c>
      <c r="H62" s="99">
        <f>G62+'20'!H62</f>
        <v>1284</v>
      </c>
      <c r="I62" s="118"/>
      <c r="J62" s="175">
        <f>H62/DAY(B2)</f>
        <v>61.142857142857146</v>
      </c>
      <c r="K62" s="80"/>
      <c r="L62" s="66"/>
      <c r="N62" s="87"/>
      <c r="O62" s="71"/>
    </row>
    <row r="63" spans="1:15" ht="27.75" x14ac:dyDescent="0.5">
      <c r="A63" s="818" t="s">
        <v>199</v>
      </c>
      <c r="B63" s="819"/>
      <c r="C63" s="820"/>
      <c r="D63" s="151" t="s">
        <v>142</v>
      </c>
      <c r="E63" s="95">
        <f>'20'!F63</f>
        <v>214440</v>
      </c>
      <c r="F63" s="150">
        <v>214536</v>
      </c>
      <c r="G63" s="112">
        <f t="shared" si="5"/>
        <v>96</v>
      </c>
      <c r="H63" s="99">
        <f>G63+'20'!H63</f>
        <v>2111</v>
      </c>
      <c r="I63" s="118"/>
      <c r="J63" s="175">
        <f>H63/DAY(B2)</f>
        <v>100.52380952380952</v>
      </c>
      <c r="K63" s="69"/>
      <c r="L63" s="66"/>
      <c r="N63" s="87"/>
      <c r="O63" s="71"/>
    </row>
    <row r="64" spans="1:15" ht="29.25" x14ac:dyDescent="0.5">
      <c r="A64" s="815" t="s">
        <v>200</v>
      </c>
      <c r="B64" s="816"/>
      <c r="C64" s="817"/>
      <c r="D64" s="151"/>
      <c r="E64" s="95">
        <f>'20'!F64</f>
        <v>0</v>
      </c>
      <c r="F64" s="122"/>
      <c r="G64" s="112">
        <f>G62+G63</f>
        <v>156</v>
      </c>
      <c r="H64" s="99">
        <f>G64+'20'!H64</f>
        <v>3395</v>
      </c>
      <c r="I64" s="118"/>
      <c r="J64" s="175">
        <f>H64/DAY(B2)</f>
        <v>161.66666666666666</v>
      </c>
      <c r="K64" s="69"/>
      <c r="L64" s="66"/>
      <c r="N64" s="87"/>
      <c r="O64" s="71"/>
    </row>
    <row r="65" spans="1:15" ht="27.75" x14ac:dyDescent="0.5">
      <c r="A65" s="818" t="s">
        <v>201</v>
      </c>
      <c r="B65" s="819"/>
      <c r="C65" s="820"/>
      <c r="D65" s="151" t="s">
        <v>142</v>
      </c>
      <c r="E65" s="95">
        <f>'20'!F65</f>
        <v>433991</v>
      </c>
      <c r="F65" s="122">
        <v>434063</v>
      </c>
      <c r="G65" s="112">
        <f t="shared" ref="G65:G70" si="6">F65-E65</f>
        <v>72</v>
      </c>
      <c r="H65" s="99">
        <f>G65+'20'!H65</f>
        <v>1449</v>
      </c>
      <c r="I65" s="118"/>
      <c r="J65" s="175">
        <f>H65/DAY(B2)</f>
        <v>69</v>
      </c>
      <c r="K65" s="69"/>
      <c r="L65" s="66"/>
      <c r="N65" s="87"/>
      <c r="O65" s="71"/>
    </row>
    <row r="66" spans="1:15" ht="27.75" x14ac:dyDescent="0.5">
      <c r="A66" s="345" t="s">
        <v>202</v>
      </c>
      <c r="B66" s="346"/>
      <c r="C66" s="346"/>
      <c r="D66" s="151" t="s">
        <v>142</v>
      </c>
      <c r="E66" s="95">
        <f>'20'!F66</f>
        <v>107544</v>
      </c>
      <c r="F66" s="122">
        <v>107556</v>
      </c>
      <c r="G66" s="112">
        <f t="shared" si="6"/>
        <v>12</v>
      </c>
      <c r="H66" s="99">
        <f>G66+'20'!H66</f>
        <v>342</v>
      </c>
      <c r="I66" s="118"/>
      <c r="J66" s="175">
        <f>H66/DAY(B2)</f>
        <v>16.285714285714285</v>
      </c>
      <c r="K66" s="78"/>
      <c r="L66" s="66"/>
      <c r="N66" s="87"/>
      <c r="O66" s="71"/>
    </row>
    <row r="67" spans="1:15" ht="27.75" x14ac:dyDescent="0.5">
      <c r="A67" s="345" t="s">
        <v>203</v>
      </c>
      <c r="B67" s="346"/>
      <c r="C67" s="346"/>
      <c r="D67" s="151" t="s">
        <v>142</v>
      </c>
      <c r="E67" s="95">
        <f>'20'!F67</f>
        <v>104390</v>
      </c>
      <c r="F67" s="122">
        <v>104410</v>
      </c>
      <c r="G67" s="112">
        <f t="shared" si="6"/>
        <v>20</v>
      </c>
      <c r="H67" s="99">
        <f>G67+'20'!H67</f>
        <v>482</v>
      </c>
      <c r="I67" s="118"/>
      <c r="J67" s="175">
        <f>H67/DAY(B2)</f>
        <v>22.952380952380953</v>
      </c>
      <c r="K67" s="81"/>
      <c r="L67" s="66"/>
      <c r="N67" s="87"/>
      <c r="O67" s="71"/>
    </row>
    <row r="68" spans="1:15" ht="27.75" x14ac:dyDescent="0.5">
      <c r="A68" s="345" t="s">
        <v>204</v>
      </c>
      <c r="B68" s="346"/>
      <c r="C68" s="346"/>
      <c r="D68" s="151" t="s">
        <v>142</v>
      </c>
      <c r="E68" s="95">
        <f>'20'!F68</f>
        <v>157193</v>
      </c>
      <c r="F68" s="122">
        <v>157227</v>
      </c>
      <c r="G68" s="112">
        <f t="shared" si="6"/>
        <v>34</v>
      </c>
      <c r="H68" s="99">
        <f>G68+'20'!H68</f>
        <v>607</v>
      </c>
      <c r="I68" s="118"/>
      <c r="J68" s="175">
        <f>H68/DAY(B2)</f>
        <v>28.904761904761905</v>
      </c>
      <c r="K68" s="69"/>
      <c r="L68" s="66"/>
      <c r="N68" s="87"/>
      <c r="O68" s="71"/>
    </row>
    <row r="69" spans="1:15" ht="27.75" x14ac:dyDescent="0.5">
      <c r="A69" s="345" t="s">
        <v>205</v>
      </c>
      <c r="B69" s="346"/>
      <c r="C69" s="346"/>
      <c r="D69" s="151" t="s">
        <v>142</v>
      </c>
      <c r="E69" s="95">
        <f>'20'!F69</f>
        <v>10411</v>
      </c>
      <c r="F69" s="122">
        <v>10419</v>
      </c>
      <c r="G69" s="112">
        <f t="shared" si="6"/>
        <v>8</v>
      </c>
      <c r="H69" s="99">
        <f>G69+'20'!H69</f>
        <v>205</v>
      </c>
      <c r="I69" s="118"/>
      <c r="J69" s="175">
        <f>H69/DAY(B2)</f>
        <v>9.7619047619047628</v>
      </c>
      <c r="K69" s="69"/>
      <c r="L69" s="66"/>
      <c r="N69" s="87"/>
      <c r="O69" s="71"/>
    </row>
    <row r="70" spans="1:15" ht="27.75" x14ac:dyDescent="0.5">
      <c r="A70" s="345" t="s">
        <v>206</v>
      </c>
      <c r="B70" s="346"/>
      <c r="C70" s="346"/>
      <c r="D70" s="151" t="s">
        <v>142</v>
      </c>
      <c r="E70" s="95">
        <f>'20'!F70</f>
        <v>8006</v>
      </c>
      <c r="F70" s="122">
        <v>8010</v>
      </c>
      <c r="G70" s="112">
        <f t="shared" si="6"/>
        <v>4</v>
      </c>
      <c r="H70" s="99">
        <f>G70+'20'!H70</f>
        <v>148</v>
      </c>
      <c r="I70" s="118"/>
      <c r="J70" s="175">
        <f>H70/DAY(B2)</f>
        <v>7.0476190476190474</v>
      </c>
      <c r="K70" s="69"/>
      <c r="L70" s="66"/>
      <c r="N70" s="87"/>
      <c r="O70" s="71"/>
    </row>
    <row r="71" spans="1:15" ht="29.25" x14ac:dyDescent="0.5">
      <c r="A71" s="815" t="s">
        <v>208</v>
      </c>
      <c r="B71" s="816"/>
      <c r="C71" s="817"/>
      <c r="D71" s="152"/>
      <c r="E71" s="152"/>
      <c r="F71" s="152"/>
      <c r="G71" s="153">
        <f>SUM(G65:G70)</f>
        <v>150</v>
      </c>
      <c r="H71" s="99">
        <f>G71+'20'!H71</f>
        <v>3233</v>
      </c>
      <c r="I71" s="154"/>
      <c r="J71" s="175">
        <f>H71/DAY(B2)</f>
        <v>153.95238095238096</v>
      </c>
      <c r="K71" s="69"/>
      <c r="L71" s="66"/>
      <c r="N71" s="87"/>
      <c r="O71" s="71"/>
    </row>
    <row r="72" spans="1:15" s="88" customFormat="1" ht="27.75" x14ac:dyDescent="0.5">
      <c r="A72" s="861"/>
      <c r="B72" s="853"/>
      <c r="C72" s="347"/>
      <c r="D72" s="180"/>
      <c r="E72" s="180" t="s">
        <v>207</v>
      </c>
      <c r="F72" s="180"/>
      <c r="G72" s="180"/>
      <c r="H72" s="181"/>
      <c r="I72" s="180"/>
      <c r="J72" s="182"/>
      <c r="N72" s="87"/>
      <c r="O72" s="71"/>
    </row>
    <row r="73" spans="1:15" ht="29.25" x14ac:dyDescent="0.5">
      <c r="A73" s="866" t="s">
        <v>333</v>
      </c>
      <c r="B73" s="867"/>
      <c r="C73" s="868"/>
      <c r="D73" s="339"/>
      <c r="E73" s="339"/>
      <c r="F73" s="339"/>
      <c r="G73" s="342"/>
      <c r="H73" s="342"/>
      <c r="I73" s="342"/>
      <c r="J73" s="343"/>
      <c r="K73" s="69"/>
      <c r="L73" s="66"/>
      <c r="N73" s="87"/>
      <c r="O73" s="71"/>
    </row>
    <row r="74" spans="1:15" ht="27.75" x14ac:dyDescent="0.5">
      <c r="A74" s="818" t="s">
        <v>220</v>
      </c>
      <c r="B74" s="819"/>
      <c r="C74" s="820"/>
      <c r="D74" s="151" t="s">
        <v>139</v>
      </c>
      <c r="E74" s="95">
        <f>'20'!F74</f>
        <v>897967.65</v>
      </c>
      <c r="F74" s="123">
        <v>898262.41</v>
      </c>
      <c r="G74" s="112">
        <f t="shared" ref="G74:G78" si="7">F74-E74</f>
        <v>294.76000000000931</v>
      </c>
      <c r="H74" s="99">
        <f>G74+'20'!H74</f>
        <v>6230.4100000000326</v>
      </c>
      <c r="I74" s="154"/>
      <c r="J74" s="175">
        <f>H74/DAY(B2)</f>
        <v>296.68619047619205</v>
      </c>
      <c r="K74" s="69"/>
      <c r="L74" s="66"/>
      <c r="N74" s="87"/>
      <c r="O74" s="71"/>
    </row>
    <row r="75" spans="1:15" ht="27.75" x14ac:dyDescent="0.5">
      <c r="A75" s="818" t="s">
        <v>221</v>
      </c>
      <c r="B75" s="819"/>
      <c r="C75" s="820"/>
      <c r="D75" s="151" t="s">
        <v>139</v>
      </c>
      <c r="E75" s="95">
        <f>'20'!F75</f>
        <v>73586.8</v>
      </c>
      <c r="F75" s="123">
        <v>73586.8</v>
      </c>
      <c r="G75" s="112">
        <f t="shared" si="7"/>
        <v>0</v>
      </c>
      <c r="H75" s="99">
        <f>G75+'20'!H75</f>
        <v>0</v>
      </c>
      <c r="I75" s="154"/>
      <c r="J75" s="175">
        <f>H75/DAY(B2)</f>
        <v>0</v>
      </c>
      <c r="K75" s="69"/>
      <c r="L75" s="66"/>
      <c r="N75" s="87"/>
      <c r="O75" s="71"/>
    </row>
    <row r="76" spans="1:15" ht="27.75" x14ac:dyDescent="0.5">
      <c r="A76" s="862" t="s">
        <v>222</v>
      </c>
      <c r="B76" s="848"/>
      <c r="C76" s="849"/>
      <c r="D76" s="151" t="s">
        <v>139</v>
      </c>
      <c r="E76" s="95">
        <f>'20'!F76</f>
        <v>168878.54</v>
      </c>
      <c r="F76" s="123">
        <v>168983.32</v>
      </c>
      <c r="G76" s="112">
        <f t="shared" si="7"/>
        <v>104.77999999999884</v>
      </c>
      <c r="H76" s="99">
        <f>G76+'20'!H76</f>
        <v>1776.320000000007</v>
      </c>
      <c r="I76" s="154"/>
      <c r="J76" s="175">
        <f>H76/DAY(B2)</f>
        <v>84.586666666667</v>
      </c>
      <c r="K76" s="69"/>
      <c r="L76" s="66"/>
      <c r="N76" s="87"/>
      <c r="O76" s="71"/>
    </row>
    <row r="77" spans="1:15" ht="27.75" x14ac:dyDescent="0.5">
      <c r="A77" s="862" t="s">
        <v>223</v>
      </c>
      <c r="B77" s="848"/>
      <c r="C77" s="849"/>
      <c r="D77" s="151" t="s">
        <v>139</v>
      </c>
      <c r="E77" s="95">
        <f>'20'!F77</f>
        <v>40896.699999999997</v>
      </c>
      <c r="F77" s="123">
        <v>40947</v>
      </c>
      <c r="G77" s="112">
        <f t="shared" si="7"/>
        <v>50.30000000000291</v>
      </c>
      <c r="H77" s="99">
        <f>G77+'20'!H77</f>
        <v>631</v>
      </c>
      <c r="I77" s="154"/>
      <c r="J77" s="175">
        <f>H77/DAY(B2)</f>
        <v>30.047619047619047</v>
      </c>
      <c r="K77" s="69"/>
      <c r="L77" s="66"/>
      <c r="N77" s="87"/>
      <c r="O77" s="71"/>
    </row>
    <row r="78" spans="1:15" ht="27.75" x14ac:dyDescent="0.5">
      <c r="A78" s="862" t="s">
        <v>224</v>
      </c>
      <c r="B78" s="848"/>
      <c r="C78" s="849"/>
      <c r="D78" s="151" t="s">
        <v>139</v>
      </c>
      <c r="E78" s="95">
        <f>'20'!F78</f>
        <v>9501.9</v>
      </c>
      <c r="F78" s="123">
        <v>9503</v>
      </c>
      <c r="G78" s="112">
        <f t="shared" si="7"/>
        <v>1.1000000000003638</v>
      </c>
      <c r="H78" s="99">
        <f>G78+'20'!H78</f>
        <v>17</v>
      </c>
      <c r="I78" s="118"/>
      <c r="J78" s="175">
        <f>H78/DAY(B2)</f>
        <v>0.80952380952380953</v>
      </c>
      <c r="K78" s="69"/>
      <c r="L78" s="66"/>
      <c r="N78" s="87"/>
      <c r="O78" s="71"/>
    </row>
    <row r="79" spans="1:15" s="57" customFormat="1" ht="27.75" x14ac:dyDescent="0.5">
      <c r="A79" s="862" t="s">
        <v>225</v>
      </c>
      <c r="B79" s="848"/>
      <c r="C79" s="849"/>
      <c r="D79" s="151"/>
      <c r="E79" s="95">
        <f>'20'!F79</f>
        <v>0</v>
      </c>
      <c r="F79" s="123"/>
      <c r="G79" s="112">
        <f>G15-SUM(G74:G78)</f>
        <v>566.4000000000724</v>
      </c>
      <c r="H79" s="99">
        <f>G79+'20'!H79</f>
        <v>9975.8600000000442</v>
      </c>
      <c r="I79" s="118"/>
      <c r="J79" s="175"/>
      <c r="K79" s="59"/>
      <c r="L79" s="58"/>
      <c r="N79" s="87"/>
      <c r="O79" s="71"/>
    </row>
    <row r="80" spans="1:15" s="57" customFormat="1" ht="29.25" x14ac:dyDescent="0.5">
      <c r="A80" s="815" t="s">
        <v>329</v>
      </c>
      <c r="B80" s="816"/>
      <c r="C80" s="817"/>
      <c r="D80" s="151"/>
      <c r="E80" s="117"/>
      <c r="F80" s="117"/>
      <c r="G80" s="112">
        <f>SUM(G74:G79)</f>
        <v>1017.3400000000838</v>
      </c>
      <c r="H80" s="99"/>
      <c r="I80" s="118"/>
      <c r="J80" s="175"/>
      <c r="K80" s="59"/>
      <c r="L80" s="58"/>
      <c r="N80" s="87"/>
      <c r="O80" s="71"/>
    </row>
    <row r="81" spans="1:15" ht="27" x14ac:dyDescent="0.4">
      <c r="A81" s="854" t="s">
        <v>226</v>
      </c>
      <c r="B81" s="855"/>
      <c r="C81" s="856"/>
      <c r="D81" s="110"/>
      <c r="E81" s="110"/>
      <c r="F81" s="110"/>
      <c r="G81" s="163"/>
      <c r="H81" s="163"/>
      <c r="I81" s="163"/>
      <c r="J81" s="184"/>
      <c r="O81" s="71"/>
    </row>
    <row r="82" spans="1:15" ht="27.75" x14ac:dyDescent="0.5">
      <c r="A82" s="345" t="s">
        <v>227</v>
      </c>
      <c r="B82" s="346"/>
      <c r="C82" s="346"/>
      <c r="D82" s="151" t="s">
        <v>228</v>
      </c>
      <c r="E82" s="95">
        <f>'20'!F82</f>
        <v>0</v>
      </c>
      <c r="F82" s="122">
        <v>0</v>
      </c>
      <c r="G82" s="112">
        <f t="shared" ref="G82:G92" si="8">F82-E82</f>
        <v>0</v>
      </c>
      <c r="H82" s="99">
        <f>G82+'20'!H82</f>
        <v>0</v>
      </c>
      <c r="I82" s="118"/>
      <c r="J82" s="175">
        <f>H82/DAY(B2)</f>
        <v>0</v>
      </c>
      <c r="O82" s="71"/>
    </row>
    <row r="83" spans="1:15" ht="27.75" x14ac:dyDescent="0.5">
      <c r="A83" s="345" t="s">
        <v>229</v>
      </c>
      <c r="B83" s="346"/>
      <c r="C83" s="346"/>
      <c r="D83" s="151" t="s">
        <v>228</v>
      </c>
      <c r="E83" s="95">
        <f>'20'!F83</f>
        <v>0</v>
      </c>
      <c r="F83" s="122">
        <v>0</v>
      </c>
      <c r="G83" s="112">
        <f t="shared" si="8"/>
        <v>0</v>
      </c>
      <c r="H83" s="99">
        <f>G83+'20'!H83</f>
        <v>0</v>
      </c>
      <c r="I83" s="118"/>
      <c r="J83" s="175">
        <f>H83/DAY(B2)</f>
        <v>0</v>
      </c>
      <c r="O83" s="71"/>
    </row>
    <row r="84" spans="1:15" ht="27.75" x14ac:dyDescent="0.5">
      <c r="A84" s="345" t="s">
        <v>230</v>
      </c>
      <c r="B84" s="346"/>
      <c r="C84" s="346"/>
      <c r="D84" s="151" t="s">
        <v>228</v>
      </c>
      <c r="E84" s="95">
        <f>'20'!F84</f>
        <v>41675.26</v>
      </c>
      <c r="F84" s="164">
        <v>41675.4</v>
      </c>
      <c r="G84" s="112">
        <f t="shared" si="8"/>
        <v>0.13999999999941792</v>
      </c>
      <c r="H84" s="99">
        <f>G84+'20'!H84</f>
        <v>0.40000000000145519</v>
      </c>
      <c r="I84" s="118"/>
      <c r="J84" s="175">
        <f>H84/DAY(B2)</f>
        <v>1.9047619047688341E-2</v>
      </c>
      <c r="O84" s="71"/>
    </row>
    <row r="85" spans="1:15" ht="27.75" x14ac:dyDescent="0.5">
      <c r="A85" s="345" t="s">
        <v>231</v>
      </c>
      <c r="B85" s="346"/>
      <c r="C85" s="346"/>
      <c r="D85" s="151" t="s">
        <v>228</v>
      </c>
      <c r="E85" s="95">
        <f>'20'!F85</f>
        <v>2096.56</v>
      </c>
      <c r="F85" s="164">
        <v>2096.56</v>
      </c>
      <c r="G85" s="112">
        <f t="shared" si="8"/>
        <v>0</v>
      </c>
      <c r="H85" s="99">
        <f>G85+'20'!H85</f>
        <v>0</v>
      </c>
      <c r="I85" s="118">
        <f>G82+G83+G84+G85</f>
        <v>0.13999999999941792</v>
      </c>
      <c r="J85" s="175">
        <f>H85/DAY(B2)</f>
        <v>0</v>
      </c>
      <c r="O85" s="71"/>
    </row>
    <row r="86" spans="1:15" ht="27.75" x14ac:dyDescent="0.5">
      <c r="A86" s="345" t="s">
        <v>232</v>
      </c>
      <c r="B86" s="346"/>
      <c r="C86" s="346"/>
      <c r="D86" s="151" t="s">
        <v>228</v>
      </c>
      <c r="E86" s="95">
        <f>'20'!F86</f>
        <v>43345.37</v>
      </c>
      <c r="F86" s="164">
        <v>43369.45</v>
      </c>
      <c r="G86" s="112">
        <f t="shared" si="8"/>
        <v>24.07999999999447</v>
      </c>
      <c r="H86" s="99">
        <f>G86+'20'!H86</f>
        <v>506.44999999999709</v>
      </c>
      <c r="I86" s="118"/>
      <c r="J86" s="175">
        <f>H86/DAY(B2)</f>
        <v>24.116666666666529</v>
      </c>
      <c r="O86" s="71"/>
    </row>
    <row r="87" spans="1:15" ht="27.75" x14ac:dyDescent="0.5">
      <c r="A87" s="345" t="s">
        <v>233</v>
      </c>
      <c r="B87" s="346"/>
      <c r="C87" s="346"/>
      <c r="D87" s="151" t="s">
        <v>228</v>
      </c>
      <c r="E87" s="95">
        <f>'20'!F87</f>
        <v>34598.550000000003</v>
      </c>
      <c r="F87" s="164">
        <v>34598.550000000003</v>
      </c>
      <c r="G87" s="112">
        <f t="shared" si="8"/>
        <v>0</v>
      </c>
      <c r="H87" s="99">
        <f>G87+'20'!H87</f>
        <v>0</v>
      </c>
      <c r="I87" s="118"/>
      <c r="J87" s="175">
        <f>H87/DAY(B2)</f>
        <v>0</v>
      </c>
      <c r="O87" s="71"/>
    </row>
    <row r="88" spans="1:15" ht="27.75" x14ac:dyDescent="0.5">
      <c r="A88" s="345" t="s">
        <v>234</v>
      </c>
      <c r="B88" s="346"/>
      <c r="C88" s="346"/>
      <c r="D88" s="151" t="s">
        <v>228</v>
      </c>
      <c r="E88" s="95">
        <f>'20'!F88</f>
        <v>24061.37</v>
      </c>
      <c r="F88" s="164">
        <v>24061.37</v>
      </c>
      <c r="G88" s="112">
        <f t="shared" si="8"/>
        <v>0</v>
      </c>
      <c r="H88" s="99">
        <f>G88+'20'!H88</f>
        <v>14.369999999998981</v>
      </c>
      <c r="I88" s="118">
        <f>G86+G87+G88</f>
        <v>24.07999999999447</v>
      </c>
      <c r="J88" s="175">
        <f>H88/DAY(B2)</f>
        <v>0.68428571428566576</v>
      </c>
      <c r="O88" s="71"/>
    </row>
    <row r="89" spans="1:15" ht="27.75" x14ac:dyDescent="0.5">
      <c r="A89" s="345" t="s">
        <v>235</v>
      </c>
      <c r="B89" s="346"/>
      <c r="C89" s="346"/>
      <c r="D89" s="151" t="s">
        <v>228</v>
      </c>
      <c r="E89" s="95">
        <f>'20'!F89</f>
        <v>25790.26</v>
      </c>
      <c r="F89" s="164">
        <v>25800.560000000001</v>
      </c>
      <c r="G89" s="112">
        <f t="shared" si="8"/>
        <v>10.30000000000291</v>
      </c>
      <c r="H89" s="99">
        <f>G89+'20'!H89</f>
        <v>137.56000000000131</v>
      </c>
      <c r="I89" s="118"/>
      <c r="J89" s="175">
        <f>H89/DAY(B2)</f>
        <v>6.5504761904762532</v>
      </c>
      <c r="O89" s="71"/>
    </row>
    <row r="90" spans="1:15" ht="27.75" x14ac:dyDescent="0.5">
      <c r="A90" s="345" t="s">
        <v>236</v>
      </c>
      <c r="B90" s="346"/>
      <c r="C90" s="346"/>
      <c r="D90" s="151" t="s">
        <v>228</v>
      </c>
      <c r="E90" s="95">
        <f>'20'!F90</f>
        <v>71136.31</v>
      </c>
      <c r="F90" s="164">
        <v>71138.429999999993</v>
      </c>
      <c r="G90" s="112">
        <f t="shared" si="8"/>
        <v>2.1199999999953434</v>
      </c>
      <c r="H90" s="99">
        <f>G90+'20'!H90</f>
        <v>104.42999999999302</v>
      </c>
      <c r="I90" s="118">
        <f>G89+G90</f>
        <v>12.419999999998254</v>
      </c>
      <c r="J90" s="175">
        <f>H90/DAY(B2)</f>
        <v>4.9728571428568102</v>
      </c>
      <c r="O90" s="71"/>
    </row>
    <row r="91" spans="1:15" ht="27.75" x14ac:dyDescent="0.5">
      <c r="A91" s="345" t="s">
        <v>237</v>
      </c>
      <c r="B91" s="346"/>
      <c r="C91" s="346"/>
      <c r="D91" s="151" t="s">
        <v>228</v>
      </c>
      <c r="E91" s="95">
        <f>'20'!F91</f>
        <v>3226.32</v>
      </c>
      <c r="F91" s="122">
        <v>3226.32</v>
      </c>
      <c r="G91" s="112">
        <f t="shared" si="8"/>
        <v>0</v>
      </c>
      <c r="H91" s="99">
        <f>G91+'20'!H91</f>
        <v>0</v>
      </c>
      <c r="I91" s="165"/>
      <c r="J91" s="175">
        <f>H91/DAY(B2)</f>
        <v>0</v>
      </c>
      <c r="O91" s="71"/>
    </row>
    <row r="92" spans="1:15" ht="27.75" x14ac:dyDescent="0.5">
      <c r="A92" s="345" t="s">
        <v>238</v>
      </c>
      <c r="B92" s="346"/>
      <c r="C92" s="346"/>
      <c r="D92" s="151" t="s">
        <v>228</v>
      </c>
      <c r="E92" s="95">
        <f>'20'!F92</f>
        <v>5646.39</v>
      </c>
      <c r="F92" s="122">
        <v>5656.7</v>
      </c>
      <c r="G92" s="112">
        <f t="shared" si="8"/>
        <v>10.309999999999491</v>
      </c>
      <c r="H92" s="99">
        <f>G92+'20'!H92</f>
        <v>218.69999999999982</v>
      </c>
      <c r="I92" s="165"/>
      <c r="J92" s="175">
        <f>H92/DAY(B2)</f>
        <v>10.414285714285706</v>
      </c>
      <c r="O92" s="71"/>
    </row>
    <row r="93" spans="1:15" ht="29.25" x14ac:dyDescent="0.5">
      <c r="A93" s="863" t="s">
        <v>239</v>
      </c>
      <c r="B93" s="864"/>
      <c r="C93" s="865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27.75" x14ac:dyDescent="0.5">
      <c r="A94" s="818" t="s">
        <v>240</v>
      </c>
      <c r="B94" s="819"/>
      <c r="C94" s="820"/>
      <c r="D94" s="151" t="s">
        <v>130</v>
      </c>
      <c r="E94" s="151"/>
      <c r="F94" s="151"/>
      <c r="G94" s="99">
        <f>G35+G43+G49+G57</f>
        <v>4895.7099999999846</v>
      </c>
      <c r="H94" s="99">
        <f>G94+'20'!H94</f>
        <v>110607.60999999999</v>
      </c>
      <c r="I94" s="118"/>
      <c r="J94" s="175">
        <f>H94/DAY(B2)</f>
        <v>5267.0290476190467</v>
      </c>
      <c r="K94" s="69"/>
      <c r="L94" s="66"/>
      <c r="O94" s="71"/>
    </row>
    <row r="95" spans="1:15" ht="27.75" x14ac:dyDescent="0.5">
      <c r="A95" s="818" t="s">
        <v>241</v>
      </c>
      <c r="B95" s="819"/>
      <c r="C95" s="820"/>
      <c r="D95" s="151" t="s">
        <v>23</v>
      </c>
      <c r="E95" s="146"/>
      <c r="F95" s="146"/>
      <c r="G95" s="166">
        <f>G94/G7</f>
        <v>0.27398458521559571</v>
      </c>
      <c r="H95" s="99">
        <f>G95+'20'!H95</f>
        <v>6.0646297976145407</v>
      </c>
      <c r="I95" s="167"/>
      <c r="J95" s="175">
        <f>H95/DAY(B2)</f>
        <v>0.28879189512450193</v>
      </c>
      <c r="K95" s="69"/>
      <c r="L95" s="66"/>
      <c r="O95" s="71"/>
    </row>
    <row r="96" spans="1:15" ht="27.75" x14ac:dyDescent="0.5">
      <c r="A96" s="818" t="s">
        <v>242</v>
      </c>
      <c r="B96" s="819"/>
      <c r="C96" s="820"/>
      <c r="D96" s="151" t="s">
        <v>130</v>
      </c>
      <c r="E96" s="95"/>
      <c r="F96" s="95"/>
      <c r="G96" s="99">
        <f>G41+G42+G55+G56</f>
        <v>2838.3999999999942</v>
      </c>
      <c r="H96" s="99">
        <f>G96+'20'!H96</f>
        <v>62601.47</v>
      </c>
      <c r="I96" s="118"/>
      <c r="J96" s="175">
        <f>H96/DAY(B2)</f>
        <v>2981.0223809523809</v>
      </c>
      <c r="K96" s="69"/>
      <c r="L96" s="66"/>
      <c r="O96" s="71"/>
    </row>
    <row r="97" spans="1:15" ht="27.75" x14ac:dyDescent="0.5">
      <c r="A97" s="818" t="s">
        <v>243</v>
      </c>
      <c r="B97" s="819"/>
      <c r="C97" s="820"/>
      <c r="D97" s="151" t="s">
        <v>23</v>
      </c>
      <c r="E97" s="95"/>
      <c r="F97" s="95"/>
      <c r="G97" s="166">
        <f>G96/G7</f>
        <v>0.15884883840667599</v>
      </c>
      <c r="H97" s="99">
        <f>G97+'20'!H97</f>
        <v>3.4466467850906142</v>
      </c>
      <c r="I97" s="167"/>
      <c r="J97" s="175">
        <f>H97/DAY(B2)</f>
        <v>0.16412603738526735</v>
      </c>
      <c r="K97" s="69"/>
      <c r="L97" s="66"/>
      <c r="O97" s="71"/>
    </row>
    <row r="98" spans="1:15" ht="27.75" x14ac:dyDescent="0.5">
      <c r="A98" s="818" t="s">
        <v>244</v>
      </c>
      <c r="B98" s="819"/>
      <c r="C98" s="820"/>
      <c r="D98" s="151" t="s">
        <v>130</v>
      </c>
      <c r="E98" s="95"/>
      <c r="F98" s="95"/>
      <c r="G98" s="99">
        <f>G39+G53</f>
        <v>2598.239999999998</v>
      </c>
      <c r="H98" s="99">
        <f>G98+'20'!H98</f>
        <v>54787.85</v>
      </c>
      <c r="I98" s="168"/>
      <c r="J98" s="175">
        <f>H98/DAY(B2)</f>
        <v>2608.945238095238</v>
      </c>
      <c r="K98" s="69"/>
      <c r="L98" s="66"/>
      <c r="O98" s="71"/>
    </row>
    <row r="99" spans="1:15" ht="27.75" x14ac:dyDescent="0.5">
      <c r="A99" s="818" t="s">
        <v>245</v>
      </c>
      <c r="B99" s="819"/>
      <c r="C99" s="820"/>
      <c r="D99" s="151" t="s">
        <v>23</v>
      </c>
      <c r="E99" s="95"/>
      <c r="F99" s="95"/>
      <c r="G99" s="166">
        <f>G98/G7</f>
        <v>0.14540847163957243</v>
      </c>
      <c r="H99" s="99">
        <f>G99+'20'!H99</f>
        <v>3.0173023846167126</v>
      </c>
      <c r="I99" s="168"/>
      <c r="J99" s="175">
        <f>H99/DAY(B2)</f>
        <v>0.14368106593412916</v>
      </c>
      <c r="O99" s="71"/>
    </row>
    <row r="100" spans="1:15" ht="27.75" x14ac:dyDescent="0.5">
      <c r="A100" s="818" t="s">
        <v>246</v>
      </c>
      <c r="B100" s="819"/>
      <c r="C100" s="820"/>
      <c r="D100" s="151" t="s">
        <v>180</v>
      </c>
      <c r="E100" s="95"/>
      <c r="F100" s="95"/>
      <c r="G100" s="99">
        <f>G38+G52</f>
        <v>1671.4500000000007</v>
      </c>
      <c r="H100" s="99">
        <f>G100+'20'!H100</f>
        <v>33972.300000000003</v>
      </c>
      <c r="I100" s="118"/>
      <c r="J100" s="175">
        <f>H100/DAY(B2)</f>
        <v>1617.7285714285715</v>
      </c>
      <c r="K100" s="70"/>
      <c r="O100" s="71"/>
    </row>
    <row r="101" spans="1:15" ht="27.75" x14ac:dyDescent="0.5">
      <c r="A101" s="818" t="s">
        <v>247</v>
      </c>
      <c r="B101" s="819"/>
      <c r="C101" s="820"/>
      <c r="D101" s="151" t="s">
        <v>23</v>
      </c>
      <c r="E101" s="95"/>
      <c r="F101" s="95"/>
      <c r="G101" s="166">
        <f>G100/G7</f>
        <v>9.3541393374731982E-2</v>
      </c>
      <c r="H101" s="99">
        <f>G101+'20'!H101</f>
        <v>1.872054101196813</v>
      </c>
      <c r="I101" s="168"/>
      <c r="J101" s="175">
        <f>H101/DAY(B2)</f>
        <v>8.9145433390324436E-2</v>
      </c>
      <c r="O101" s="71"/>
    </row>
    <row r="102" spans="1:15" ht="27.75" x14ac:dyDescent="0.5">
      <c r="A102" s="818" t="s">
        <v>248</v>
      </c>
      <c r="B102" s="819"/>
      <c r="C102" s="820"/>
      <c r="D102" s="151" t="s">
        <v>180</v>
      </c>
      <c r="E102" s="95"/>
      <c r="F102" s="95"/>
      <c r="G102" s="99">
        <f>G36+G50</f>
        <v>1821.9600000000064</v>
      </c>
      <c r="H102" s="99">
        <f>G102+'20'!H102</f>
        <v>34913.130000000005</v>
      </c>
      <c r="I102" s="168"/>
      <c r="J102" s="175">
        <f>H102/DAY(B2)</f>
        <v>1662.5300000000002</v>
      </c>
      <c r="O102" s="71"/>
    </row>
    <row r="103" spans="1:15" ht="27.75" x14ac:dyDescent="0.5">
      <c r="A103" s="818" t="s">
        <v>249</v>
      </c>
      <c r="B103" s="819"/>
      <c r="C103" s="820"/>
      <c r="D103" s="151" t="s">
        <v>23</v>
      </c>
      <c r="E103" s="95"/>
      <c r="F103" s="95"/>
      <c r="G103" s="166">
        <f>G102/G7</f>
        <v>0.10196456793384619</v>
      </c>
      <c r="H103" s="99">
        <f>G103+'20'!H103</f>
        <v>1.9138468742909744</v>
      </c>
      <c r="I103" s="118"/>
      <c r="J103" s="175">
        <f>H103/DAY(B2)</f>
        <v>9.113556544242736E-2</v>
      </c>
      <c r="O103" s="71"/>
    </row>
    <row r="104" spans="1:15" ht="27.75" x14ac:dyDescent="0.5">
      <c r="A104" s="818" t="s">
        <v>250</v>
      </c>
      <c r="B104" s="819"/>
      <c r="C104" s="820"/>
      <c r="D104" s="151" t="s">
        <v>180</v>
      </c>
      <c r="E104" s="95"/>
      <c r="F104" s="95"/>
      <c r="G104" s="99">
        <f>G37+G51</f>
        <v>1565.5</v>
      </c>
      <c r="H104" s="99">
        <f>G104+'20'!H104</f>
        <v>31795.42</v>
      </c>
      <c r="I104" s="118"/>
      <c r="J104" s="175">
        <f>H104/DAY(B2)</f>
        <v>1514.067619047619</v>
      </c>
      <c r="O104" s="71"/>
    </row>
    <row r="105" spans="1:15" ht="28.5" thickBot="1" x14ac:dyDescent="0.55000000000000004">
      <c r="A105" s="858" t="s">
        <v>251</v>
      </c>
      <c r="B105" s="859"/>
      <c r="C105" s="860"/>
      <c r="D105" s="231" t="s">
        <v>23</v>
      </c>
      <c r="E105" s="185"/>
      <c r="F105" s="185"/>
      <c r="G105" s="186">
        <f>G104/G7</f>
        <v>8.7611984401652965E-2</v>
      </c>
      <c r="H105" s="99">
        <f>G105+'20'!H105</f>
        <v>1.7537275955950899</v>
      </c>
      <c r="I105" s="187"/>
      <c r="J105" s="188">
        <f>H105/DAY(B2)</f>
        <v>8.3510837885480471E-2</v>
      </c>
      <c r="O105" s="71"/>
    </row>
    <row r="106" spans="1:15" ht="29.25" x14ac:dyDescent="0.5">
      <c r="A106" s="105"/>
      <c r="B106" s="96"/>
      <c r="C106" s="96"/>
      <c r="D106" s="169"/>
      <c r="E106" s="169"/>
      <c r="F106" s="169"/>
      <c r="G106" s="169"/>
      <c r="H106" s="170"/>
      <c r="I106" s="169"/>
      <c r="J106" s="171"/>
      <c r="O106" s="71"/>
    </row>
    <row r="107" spans="1:15" ht="29.25" x14ac:dyDescent="0.5"/>
    <row r="108" spans="1:15" ht="31.5" x14ac:dyDescent="0.55000000000000004">
      <c r="A108" s="872" t="s">
        <v>324</v>
      </c>
      <c r="B108" s="872"/>
      <c r="C108" s="872"/>
      <c r="D108" s="872"/>
      <c r="E108" s="872"/>
      <c r="F108" s="872"/>
      <c r="G108" s="872"/>
      <c r="H108" s="872"/>
      <c r="I108" s="872"/>
      <c r="J108" s="872"/>
    </row>
    <row r="109" spans="1:15" ht="29.25" x14ac:dyDescent="0.5">
      <c r="A109" s="857"/>
      <c r="B109" s="857"/>
    </row>
    <row r="110" spans="1:15" ht="29.25" x14ac:dyDescent="0.5">
      <c r="A110" s="873" t="s">
        <v>165</v>
      </c>
      <c r="B110" s="874"/>
      <c r="C110" s="874"/>
      <c r="D110" s="874"/>
      <c r="E110" s="874"/>
      <c r="F110" s="874"/>
      <c r="G110" s="874"/>
      <c r="H110" s="874"/>
      <c r="I110" s="874"/>
      <c r="J110" s="875"/>
    </row>
    <row r="111" spans="1:15" ht="27.75" x14ac:dyDescent="0.5">
      <c r="A111" s="876"/>
      <c r="B111" s="877"/>
      <c r="C111" s="878"/>
      <c r="D111" s="165"/>
      <c r="E111" s="165"/>
      <c r="F111" s="165"/>
      <c r="G111" s="165"/>
      <c r="H111" s="156"/>
      <c r="I111" s="165"/>
      <c r="J111" s="327"/>
    </row>
    <row r="112" spans="1:15" ht="27.75" x14ac:dyDescent="0.5">
      <c r="A112" s="851" t="s">
        <v>252</v>
      </c>
      <c r="B112" s="852"/>
      <c r="C112" s="853"/>
      <c r="D112" s="146" t="s">
        <v>183</v>
      </c>
      <c r="E112" s="95">
        <f>'20'!F112</f>
        <v>57204.12</v>
      </c>
      <c r="F112" s="237">
        <v>57281.3</v>
      </c>
      <c r="G112" s="112">
        <f t="shared" ref="G112:G123" si="9">F112-E112</f>
        <v>77.180000000000291</v>
      </c>
      <c r="H112" s="99">
        <f>G112+'20'!H112</f>
        <v>1600.3000000000029</v>
      </c>
      <c r="I112" s="165"/>
      <c r="J112" s="328">
        <f>H112/DAY(B2)</f>
        <v>76.204761904762037</v>
      </c>
    </row>
    <row r="113" spans="1:18" ht="29.25" customHeight="1" x14ac:dyDescent="0.5">
      <c r="A113" s="851" t="s">
        <v>253</v>
      </c>
      <c r="B113" s="852"/>
      <c r="C113" s="853"/>
      <c r="D113" s="146" t="s">
        <v>183</v>
      </c>
      <c r="E113" s="95">
        <f>'20'!F113</f>
        <v>41236.870000000003</v>
      </c>
      <c r="F113" s="600">
        <v>41726.75</v>
      </c>
      <c r="G113" s="112">
        <f t="shared" si="9"/>
        <v>489.87999999999738</v>
      </c>
      <c r="H113" s="99">
        <f>G113+'20'!H113</f>
        <v>9531.75</v>
      </c>
      <c r="I113" s="165"/>
      <c r="J113" s="328">
        <f>H113/DAY(B2)</f>
        <v>453.89285714285717</v>
      </c>
    </row>
    <row r="114" spans="1:18" ht="29.25" customHeight="1" x14ac:dyDescent="0.5">
      <c r="A114" s="851" t="s">
        <v>254</v>
      </c>
      <c r="B114" s="852"/>
      <c r="C114" s="853"/>
      <c r="D114" s="146" t="s">
        <v>183</v>
      </c>
      <c r="E114" s="95">
        <f>'20'!F114</f>
        <v>30161.65</v>
      </c>
      <c r="F114" s="237">
        <v>30460.67</v>
      </c>
      <c r="G114" s="112">
        <f t="shared" si="9"/>
        <v>299.0199999999968</v>
      </c>
      <c r="H114" s="99">
        <f>G114+'20'!H114</f>
        <v>5456.0699999999979</v>
      </c>
      <c r="I114" s="165"/>
      <c r="J114" s="328">
        <f>H114/DAY(B2)</f>
        <v>259.81285714285707</v>
      </c>
    </row>
    <row r="115" spans="1:18" ht="29.25" customHeight="1" x14ac:dyDescent="0.5">
      <c r="A115" s="851" t="s">
        <v>255</v>
      </c>
      <c r="B115" s="852"/>
      <c r="C115" s="853"/>
      <c r="D115" s="146" t="s">
        <v>183</v>
      </c>
      <c r="E115" s="95">
        <f>'20'!F115</f>
        <v>8988.66</v>
      </c>
      <c r="F115" s="237">
        <v>8998.33</v>
      </c>
      <c r="G115" s="112">
        <f t="shared" si="9"/>
        <v>9.6700000000000728</v>
      </c>
      <c r="H115" s="99">
        <f>G115+'20'!H115</f>
        <v>213.32999999999993</v>
      </c>
      <c r="I115" s="165"/>
      <c r="J115" s="328">
        <f>H115/DAY(B2)</f>
        <v>10.158571428571426</v>
      </c>
    </row>
    <row r="116" spans="1:18" ht="29.25" customHeight="1" x14ac:dyDescent="0.5">
      <c r="A116" s="869" t="s">
        <v>96</v>
      </c>
      <c r="B116" s="870"/>
      <c r="C116" s="871"/>
      <c r="D116" s="146" t="s">
        <v>183</v>
      </c>
      <c r="E116" s="95">
        <f>'20'!F116</f>
        <v>0</v>
      </c>
      <c r="F116" s="237">
        <v>0</v>
      </c>
      <c r="G116" s="112">
        <f t="shared" si="9"/>
        <v>0</v>
      </c>
      <c r="H116" s="99">
        <f>G116+'20'!H116</f>
        <v>0</v>
      </c>
      <c r="I116" s="165"/>
      <c r="J116" s="328">
        <f>H116/DAY(B2)</f>
        <v>0</v>
      </c>
      <c r="Q116" s="851" t="s">
        <v>311</v>
      </c>
      <c r="R116" s="853"/>
    </row>
    <row r="117" spans="1:18" ht="29.25" customHeight="1" x14ac:dyDescent="0.5">
      <c r="A117" s="869" t="s">
        <v>184</v>
      </c>
      <c r="B117" s="870"/>
      <c r="C117" s="871"/>
      <c r="D117" s="146" t="s">
        <v>183</v>
      </c>
      <c r="E117" s="95">
        <f>'20'!F117</f>
        <v>3069.13</v>
      </c>
      <c r="F117" s="237">
        <v>3092.27</v>
      </c>
      <c r="G117" s="112">
        <f t="shared" si="9"/>
        <v>23.139999999999873</v>
      </c>
      <c r="H117" s="99">
        <f>G117+'20'!H117</f>
        <v>502.27</v>
      </c>
      <c r="I117" s="165"/>
      <c r="J117" s="328">
        <f>H117/DAY(B2)</f>
        <v>23.917619047619048</v>
      </c>
      <c r="Q117" s="851" t="s">
        <v>312</v>
      </c>
      <c r="R117" s="853"/>
    </row>
    <row r="118" spans="1:18" ht="27.75" x14ac:dyDescent="0.5">
      <c r="A118" s="846" t="s">
        <v>97</v>
      </c>
      <c r="B118" s="846"/>
      <c r="C118" s="846"/>
      <c r="D118" s="151" t="s">
        <v>183</v>
      </c>
      <c r="E118" s="95">
        <f>'20'!F118</f>
        <v>248744.33</v>
      </c>
      <c r="F118" s="237">
        <v>249077.77</v>
      </c>
      <c r="G118" s="112">
        <f t="shared" si="9"/>
        <v>333.44000000000233</v>
      </c>
      <c r="H118" s="99">
        <f>G118+'20'!H118</f>
        <v>7430.7699999999895</v>
      </c>
      <c r="I118" s="165"/>
      <c r="J118" s="328">
        <f>H118/DAY(B2)</f>
        <v>353.84619047618997</v>
      </c>
      <c r="Q118" s="851" t="s">
        <v>311</v>
      </c>
      <c r="R118" s="853"/>
    </row>
    <row r="119" spans="1:18" ht="27.75" x14ac:dyDescent="0.5">
      <c r="A119" s="846" t="s">
        <v>98</v>
      </c>
      <c r="B119" s="846"/>
      <c r="C119" s="846"/>
      <c r="D119" s="151" t="s">
        <v>183</v>
      </c>
      <c r="E119" s="95">
        <f>'20'!F119</f>
        <v>253557.93</v>
      </c>
      <c r="F119" s="237">
        <v>253998.79</v>
      </c>
      <c r="G119" s="112">
        <f t="shared" si="9"/>
        <v>440.86000000001513</v>
      </c>
      <c r="H119" s="99">
        <f>G119+'20'!H119</f>
        <v>8872.7900000000081</v>
      </c>
      <c r="I119" s="165"/>
      <c r="J119" s="328">
        <f>H119/DAY(B2)</f>
        <v>422.51380952380993</v>
      </c>
    </row>
    <row r="120" spans="1:18" ht="27.75" x14ac:dyDescent="0.5">
      <c r="A120" s="846" t="s">
        <v>99</v>
      </c>
      <c r="B120" s="846"/>
      <c r="C120" s="846"/>
      <c r="D120" s="151" t="s">
        <v>183</v>
      </c>
      <c r="E120" s="95">
        <f>'20'!F120</f>
        <v>38389.870000000003</v>
      </c>
      <c r="F120" s="600">
        <v>38801.230000000003</v>
      </c>
      <c r="G120" s="112">
        <f t="shared" si="9"/>
        <v>411.36000000000058</v>
      </c>
      <c r="H120" s="99">
        <f>G120+'20'!H120</f>
        <v>8723.2300000000032</v>
      </c>
      <c r="I120" s="165"/>
      <c r="J120" s="328">
        <f>H120/DAY(B2)</f>
        <v>415.39190476190493</v>
      </c>
    </row>
    <row r="121" spans="1:18" ht="27.75" x14ac:dyDescent="0.5">
      <c r="A121" s="846" t="s">
        <v>100</v>
      </c>
      <c r="B121" s="846"/>
      <c r="C121" s="846"/>
      <c r="D121" s="151" t="s">
        <v>183</v>
      </c>
      <c r="E121" s="95">
        <f>'20'!F121</f>
        <v>390351.51</v>
      </c>
      <c r="F121" s="237">
        <v>391024.71</v>
      </c>
      <c r="G121" s="112">
        <f t="shared" si="9"/>
        <v>673.20000000001164</v>
      </c>
      <c r="H121" s="99">
        <f>G121+'20'!H121</f>
        <v>14495.710000000021</v>
      </c>
      <c r="I121" s="165"/>
      <c r="J121" s="328">
        <f>H121/DAY(B2)</f>
        <v>690.27190476190572</v>
      </c>
    </row>
    <row r="122" spans="1:18" ht="27.75" x14ac:dyDescent="0.5">
      <c r="A122" s="846" t="s">
        <v>101</v>
      </c>
      <c r="B122" s="846"/>
      <c r="C122" s="846"/>
      <c r="D122" s="151" t="s">
        <v>183</v>
      </c>
      <c r="E122" s="95">
        <f>'20'!F122</f>
        <v>124029.62</v>
      </c>
      <c r="F122" s="237">
        <v>124232.97</v>
      </c>
      <c r="G122" s="112">
        <f t="shared" si="9"/>
        <v>203.35000000000582</v>
      </c>
      <c r="H122" s="99">
        <f>G122+'20'!H122</f>
        <v>4182.9700000000012</v>
      </c>
      <c r="I122" s="165"/>
      <c r="J122" s="328">
        <f>H122/DAY(B2)</f>
        <v>199.18904761904767</v>
      </c>
    </row>
    <row r="123" spans="1:18" ht="27.75" x14ac:dyDescent="0.5">
      <c r="A123" s="846" t="s">
        <v>102</v>
      </c>
      <c r="B123" s="846"/>
      <c r="C123" s="846"/>
      <c r="D123" s="151" t="s">
        <v>183</v>
      </c>
      <c r="E123" s="95">
        <f>'20'!F123</f>
        <v>151054.42000000001</v>
      </c>
      <c r="F123" s="237">
        <v>151320</v>
      </c>
      <c r="G123" s="112">
        <f t="shared" si="9"/>
        <v>265.57999999998719</v>
      </c>
      <c r="H123" s="99">
        <f>G123+'20'!H123</f>
        <v>6195</v>
      </c>
      <c r="I123" s="165"/>
      <c r="J123" s="328">
        <f>H123/DAY(B2)</f>
        <v>295</v>
      </c>
    </row>
    <row r="124" spans="1:18" ht="29.25" customHeight="1" x14ac:dyDescent="0.5">
      <c r="A124" s="876"/>
      <c r="B124" s="877"/>
      <c r="C124" s="878"/>
      <c r="D124" s="165"/>
      <c r="E124" s="165"/>
      <c r="F124" s="165"/>
      <c r="G124" s="327"/>
      <c r="H124" s="99">
        <f>G124+'20'!H124</f>
        <v>0</v>
      </c>
      <c r="I124" s="165"/>
      <c r="J124" s="327"/>
    </row>
    <row r="125" spans="1:18" ht="27.75" x14ac:dyDescent="0.5">
      <c r="A125" s="879" t="s">
        <v>196</v>
      </c>
      <c r="B125" s="880"/>
      <c r="C125" s="245"/>
      <c r="D125" s="307"/>
      <c r="E125" s="308"/>
      <c r="F125" s="308"/>
      <c r="G125" s="309">
        <f>SUM(G112:G124)</f>
        <v>3226.6800000000171</v>
      </c>
      <c r="H125" s="156"/>
      <c r="I125" s="327">
        <f>G125-(G39+G53)</f>
        <v>628.44000000001915</v>
      </c>
      <c r="J125" s="327"/>
    </row>
    <row r="126" spans="1:18" ht="27.75" x14ac:dyDescent="0.5">
      <c r="A126" s="881" t="s">
        <v>317</v>
      </c>
      <c r="B126" s="881"/>
      <c r="C126" s="881"/>
      <c r="D126" s="881"/>
      <c r="E126" s="881"/>
      <c r="F126" s="881"/>
      <c r="G126" s="881"/>
      <c r="H126" s="881"/>
      <c r="I126" s="881"/>
      <c r="J126" s="881"/>
    </row>
    <row r="127" spans="1:18" ht="27.75" x14ac:dyDescent="0.5">
      <c r="A127" s="882"/>
      <c r="B127" s="882"/>
      <c r="C127" s="245"/>
      <c r="D127" s="307"/>
      <c r="E127" s="308"/>
      <c r="F127" s="308"/>
      <c r="G127" s="309"/>
      <c r="H127" s="99">
        <f>G127+'20'!H127</f>
        <v>0</v>
      </c>
      <c r="I127" s="165"/>
      <c r="J127" s="328">
        <f>H127/DAY(B2)</f>
        <v>0</v>
      </c>
    </row>
    <row r="128" spans="1:18" ht="29.25" customHeight="1" x14ac:dyDescent="0.5">
      <c r="A128" s="851" t="s">
        <v>318</v>
      </c>
      <c r="B128" s="852"/>
      <c r="C128" s="853"/>
      <c r="D128" s="151" t="s">
        <v>183</v>
      </c>
      <c r="E128" s="95">
        <f>'20'!F128</f>
        <v>44305.26</v>
      </c>
      <c r="F128" s="165">
        <v>44614.51</v>
      </c>
      <c r="G128" s="112">
        <f t="shared" ref="G128:G134" si="10">F128-E128</f>
        <v>309.25</v>
      </c>
      <c r="H128" s="99">
        <f>G128+'20'!H128</f>
        <v>6610.510000000002</v>
      </c>
      <c r="I128" s="165"/>
      <c r="J128" s="328">
        <f>H128/DAY(B2)</f>
        <v>314.7861904761906</v>
      </c>
    </row>
    <row r="129" spans="1:15" ht="27.75" x14ac:dyDescent="0.5">
      <c r="A129" s="329" t="s">
        <v>319</v>
      </c>
      <c r="B129" s="330"/>
      <c r="C129" s="331"/>
      <c r="D129" s="151" t="s">
        <v>183</v>
      </c>
      <c r="E129" s="95">
        <f>'20'!F129</f>
        <v>24721.98</v>
      </c>
      <c r="F129" s="165">
        <v>24910.95</v>
      </c>
      <c r="G129" s="112">
        <f t="shared" si="10"/>
        <v>188.97000000000116</v>
      </c>
      <c r="H129" s="99">
        <f>G129+'20'!H129</f>
        <v>4589.9500000000007</v>
      </c>
      <c r="I129" s="165"/>
      <c r="J129" s="328">
        <f>H129/DAY(B2)</f>
        <v>218.56904761904767</v>
      </c>
      <c r="N129" s="240"/>
      <c r="O129" s="241"/>
    </row>
    <row r="130" spans="1:15" ht="27.75" x14ac:dyDescent="0.5">
      <c r="A130" s="329" t="s">
        <v>320</v>
      </c>
      <c r="B130" s="330"/>
      <c r="C130" s="331"/>
      <c r="D130" s="151" t="s">
        <v>183</v>
      </c>
      <c r="E130" s="95">
        <f>'20'!F130</f>
        <v>30206.9</v>
      </c>
      <c r="F130" s="594">
        <v>30726.03</v>
      </c>
      <c r="G130" s="112">
        <f t="shared" si="10"/>
        <v>519.12999999999738</v>
      </c>
      <c r="H130" s="99">
        <f>G130+'20'!H130</f>
        <v>12344.029999999999</v>
      </c>
      <c r="I130" s="165"/>
      <c r="J130" s="328">
        <f>H130/DAY(B2)</f>
        <v>587.81095238095236</v>
      </c>
      <c r="N130" s="240"/>
      <c r="O130" s="241"/>
    </row>
    <row r="131" spans="1:15" ht="27.75" x14ac:dyDescent="0.5">
      <c r="A131" s="851" t="s">
        <v>321</v>
      </c>
      <c r="B131" s="852"/>
      <c r="C131" s="853"/>
      <c r="D131" s="151" t="s">
        <v>183</v>
      </c>
      <c r="E131" s="95">
        <f>'20'!F131</f>
        <v>14612.15</v>
      </c>
      <c r="F131" s="165">
        <v>14692.65</v>
      </c>
      <c r="G131" s="112">
        <f t="shared" si="10"/>
        <v>80.5</v>
      </c>
      <c r="H131" s="99">
        <f>G131+'20'!H131</f>
        <v>1539.6499999999996</v>
      </c>
      <c r="I131" s="165"/>
      <c r="J131" s="328">
        <f>H131/DAY(B2)</f>
        <v>73.316666666666649</v>
      </c>
      <c r="N131" s="240"/>
      <c r="O131" s="241"/>
    </row>
    <row r="132" spans="1:15" ht="27.75" x14ac:dyDescent="0.5">
      <c r="A132" s="851" t="s">
        <v>322</v>
      </c>
      <c r="B132" s="852"/>
      <c r="C132" s="853"/>
      <c r="D132" s="151" t="s">
        <v>183</v>
      </c>
      <c r="E132" s="95">
        <f>'20'!F132</f>
        <v>50017.94</v>
      </c>
      <c r="F132" s="165">
        <v>50185.33</v>
      </c>
      <c r="G132" s="112">
        <f t="shared" si="10"/>
        <v>167.38999999999942</v>
      </c>
      <c r="H132" s="99">
        <f>G132+'20'!H132</f>
        <v>9162.3300000000017</v>
      </c>
      <c r="I132" s="165"/>
      <c r="J132" s="328">
        <f>H132/DAY(B2)</f>
        <v>436.30142857142863</v>
      </c>
    </row>
    <row r="133" spans="1:15" ht="27.75" x14ac:dyDescent="0.5">
      <c r="A133" s="851" t="s">
        <v>362</v>
      </c>
      <c r="B133" s="852"/>
      <c r="C133" s="853"/>
      <c r="D133" s="151" t="s">
        <v>183</v>
      </c>
      <c r="E133" s="95">
        <f>'20'!F133</f>
        <v>99906.82</v>
      </c>
      <c r="F133" s="165">
        <v>100562.66</v>
      </c>
      <c r="G133" s="112">
        <f t="shared" si="10"/>
        <v>655.83999999999651</v>
      </c>
      <c r="H133" s="99">
        <f>G133+'20'!H133</f>
        <v>12859.660000000003</v>
      </c>
      <c r="I133" s="165"/>
      <c r="J133" s="328">
        <f>H133/DAY(B2)</f>
        <v>612.36476190476208</v>
      </c>
    </row>
    <row r="134" spans="1:15" ht="27.75" x14ac:dyDescent="0.5">
      <c r="A134" s="851" t="s">
        <v>340</v>
      </c>
      <c r="B134" s="852"/>
      <c r="C134" s="853"/>
      <c r="D134" s="151" t="s">
        <v>183</v>
      </c>
      <c r="E134" s="95">
        <f>'20'!F134</f>
        <v>6866.21</v>
      </c>
      <c r="F134" s="165">
        <v>7081.8</v>
      </c>
      <c r="G134" s="112">
        <f t="shared" si="10"/>
        <v>215.59000000000015</v>
      </c>
      <c r="H134" s="99">
        <f>G134+'20'!H134</f>
        <v>9375.7999999999993</v>
      </c>
      <c r="I134" s="165"/>
      <c r="J134" s="328">
        <f>H134/DAY(B2)</f>
        <v>446.46666666666664</v>
      </c>
    </row>
    <row r="135" spans="1:15" ht="27.75" x14ac:dyDescent="0.5">
      <c r="A135" s="879" t="s">
        <v>196</v>
      </c>
      <c r="B135" s="880"/>
      <c r="C135" s="331"/>
      <c r="D135" s="151"/>
      <c r="E135" s="95"/>
      <c r="F135" s="165"/>
      <c r="G135" s="112">
        <f>SUM(G128:G134)</f>
        <v>2136.6699999999946</v>
      </c>
      <c r="H135" s="99">
        <f>G135+'10'!H135</f>
        <v>33360.67</v>
      </c>
      <c r="I135" s="327">
        <f>G135-(G35+G49)</f>
        <v>-419.10000000000218</v>
      </c>
      <c r="J135" s="328"/>
    </row>
    <row r="136" spans="1:15" ht="31.5" x14ac:dyDescent="0.55000000000000004">
      <c r="A136" s="883" t="s">
        <v>325</v>
      </c>
      <c r="B136" s="883"/>
      <c r="C136" s="883"/>
      <c r="D136" s="883"/>
      <c r="E136" s="883"/>
      <c r="F136" s="883"/>
      <c r="G136" s="883"/>
      <c r="H136" s="883"/>
      <c r="I136" s="883"/>
      <c r="J136" s="883"/>
    </row>
    <row r="137" spans="1:15" ht="29.25" x14ac:dyDescent="0.5">
      <c r="A137" s="245"/>
      <c r="B137" s="246"/>
      <c r="C137" s="246"/>
      <c r="D137" s="165"/>
      <c r="E137" s="165"/>
      <c r="F137" s="165"/>
      <c r="G137" s="165"/>
      <c r="H137" s="156"/>
      <c r="I137" s="165"/>
      <c r="J137" s="327"/>
    </row>
    <row r="138" spans="1:15" ht="27.75" x14ac:dyDescent="0.5">
      <c r="A138" s="846" t="s">
        <v>185</v>
      </c>
      <c r="B138" s="846"/>
      <c r="C138" s="846"/>
      <c r="D138" s="151" t="s">
        <v>183</v>
      </c>
      <c r="E138" s="95">
        <f>'20'!F138</f>
        <v>865405</v>
      </c>
      <c r="F138" s="147">
        <v>865473</v>
      </c>
      <c r="G138" s="112">
        <f t="shared" ref="G138:G152" si="11">F138-E138</f>
        <v>68</v>
      </c>
      <c r="H138" s="99">
        <f>G138+'20'!H138</f>
        <v>1302</v>
      </c>
      <c r="I138" s="118"/>
      <c r="J138" s="328">
        <f>H138/DAY(B2)</f>
        <v>62</v>
      </c>
    </row>
    <row r="139" spans="1:15" ht="27.75" x14ac:dyDescent="0.5">
      <c r="A139" s="846" t="s">
        <v>186</v>
      </c>
      <c r="B139" s="846"/>
      <c r="C139" s="846"/>
      <c r="D139" s="151" t="s">
        <v>183</v>
      </c>
      <c r="E139" s="95">
        <f>'20'!F139</f>
        <v>886552</v>
      </c>
      <c r="F139" s="148">
        <v>886554</v>
      </c>
      <c r="G139" s="112">
        <f t="shared" si="11"/>
        <v>2</v>
      </c>
      <c r="H139" s="99">
        <f>G139+'20'!H139</f>
        <v>8</v>
      </c>
      <c r="I139" s="118"/>
      <c r="J139" s="328">
        <f>H139/DAY(B2)</f>
        <v>0.38095238095238093</v>
      </c>
    </row>
    <row r="140" spans="1:15" ht="27.75" x14ac:dyDescent="0.5">
      <c r="A140" s="846" t="s">
        <v>187</v>
      </c>
      <c r="B140" s="846"/>
      <c r="C140" s="846"/>
      <c r="D140" s="151" t="s">
        <v>183</v>
      </c>
      <c r="E140" s="95">
        <f>'20'!F140</f>
        <v>88917</v>
      </c>
      <c r="F140" s="149">
        <v>88918.5</v>
      </c>
      <c r="G140" s="112">
        <f t="shared" si="11"/>
        <v>1.5</v>
      </c>
      <c r="H140" s="99">
        <f>G140+'20'!H140</f>
        <v>36.5</v>
      </c>
      <c r="I140" s="118"/>
      <c r="J140" s="328">
        <f>H140/DAY(B2)</f>
        <v>1.7380952380952381</v>
      </c>
    </row>
    <row r="141" spans="1:15" ht="27.75" x14ac:dyDescent="0.5">
      <c r="A141" s="850" t="s">
        <v>188</v>
      </c>
      <c r="B141" s="850"/>
      <c r="C141" s="850"/>
      <c r="D141" s="151" t="s">
        <v>183</v>
      </c>
      <c r="E141" s="95">
        <f>'20'!F141</f>
        <v>52741.02</v>
      </c>
      <c r="F141" s="149">
        <v>52924.98</v>
      </c>
      <c r="G141" s="112">
        <f t="shared" si="11"/>
        <v>183.9600000000064</v>
      </c>
      <c r="H141" s="99">
        <f>G141+'20'!H141</f>
        <v>3618.9800000000032</v>
      </c>
      <c r="I141" s="118"/>
      <c r="J141" s="328">
        <f>H141/DAY(B2)</f>
        <v>172.3323809523811</v>
      </c>
    </row>
    <row r="142" spans="1:15" ht="27.75" x14ac:dyDescent="0.5">
      <c r="A142" s="850" t="s">
        <v>189</v>
      </c>
      <c r="B142" s="850"/>
      <c r="C142" s="850"/>
      <c r="D142" s="151" t="s">
        <v>183</v>
      </c>
      <c r="E142" s="95">
        <f>'20'!F142</f>
        <v>20419.13</v>
      </c>
      <c r="F142" s="148">
        <v>20501.91</v>
      </c>
      <c r="G142" s="112">
        <f t="shared" si="11"/>
        <v>82.779999999998836</v>
      </c>
      <c r="H142" s="99">
        <f>G142+'20'!H142</f>
        <v>1492.9099999999999</v>
      </c>
      <c r="I142" s="140"/>
      <c r="J142" s="328">
        <f>H142/DAY(B2)</f>
        <v>71.090952380952373</v>
      </c>
    </row>
    <row r="143" spans="1:15" ht="27.75" x14ac:dyDescent="0.5">
      <c r="A143" s="846" t="s">
        <v>91</v>
      </c>
      <c r="B143" s="846"/>
      <c r="C143" s="846"/>
      <c r="D143" s="151" t="s">
        <v>183</v>
      </c>
      <c r="E143" s="95">
        <f>'20'!F143</f>
        <v>3541.77</v>
      </c>
      <c r="F143" s="149">
        <v>3565.54</v>
      </c>
      <c r="G143" s="112">
        <f t="shared" si="11"/>
        <v>23.769999999999982</v>
      </c>
      <c r="H143" s="99">
        <f>G143+'20'!H143</f>
        <v>504.53999999999996</v>
      </c>
      <c r="I143" s="140"/>
      <c r="J143" s="328">
        <f>H143/DAY(B2)</f>
        <v>24.025714285714283</v>
      </c>
    </row>
    <row r="144" spans="1:15" ht="27.75" x14ac:dyDescent="0.5">
      <c r="A144" s="850" t="s">
        <v>90</v>
      </c>
      <c r="B144" s="850"/>
      <c r="C144" s="850"/>
      <c r="D144" s="151" t="s">
        <v>183</v>
      </c>
      <c r="E144" s="95">
        <f>'20'!F144</f>
        <v>874189</v>
      </c>
      <c r="F144" s="147">
        <v>874416</v>
      </c>
      <c r="G144" s="112">
        <f t="shared" si="11"/>
        <v>227</v>
      </c>
      <c r="H144" s="99">
        <f>G144+'20'!H144</f>
        <v>4746</v>
      </c>
      <c r="I144" s="140"/>
      <c r="J144" s="328">
        <f>H144/DAY(B2)</f>
        <v>226</v>
      </c>
    </row>
    <row r="145" spans="1:10" ht="27.75" x14ac:dyDescent="0.5">
      <c r="A145" s="846" t="s">
        <v>190</v>
      </c>
      <c r="B145" s="846"/>
      <c r="C145" s="846"/>
      <c r="D145" s="152" t="s">
        <v>183</v>
      </c>
      <c r="E145" s="95">
        <f>'20'!F145</f>
        <v>4858.28</v>
      </c>
      <c r="F145" s="147">
        <v>4873.3999999999996</v>
      </c>
      <c r="G145" s="112">
        <f t="shared" si="11"/>
        <v>15.119999999999891</v>
      </c>
      <c r="H145" s="99">
        <f>G145+'20'!H145</f>
        <v>315.39999999999964</v>
      </c>
      <c r="I145" s="140"/>
      <c r="J145" s="328">
        <f>H145/DAY(B2)</f>
        <v>15.019047619047601</v>
      </c>
    </row>
    <row r="146" spans="1:10" ht="27.75" x14ac:dyDescent="0.5">
      <c r="A146" s="847" t="s">
        <v>191</v>
      </c>
      <c r="B146" s="848"/>
      <c r="C146" s="849"/>
      <c r="D146" s="152" t="s">
        <v>183</v>
      </c>
      <c r="E146" s="95">
        <f>'20'!F146</f>
        <v>732875</v>
      </c>
      <c r="F146" s="148">
        <v>733244</v>
      </c>
      <c r="G146" s="112">
        <f t="shared" si="11"/>
        <v>369</v>
      </c>
      <c r="H146" s="99">
        <f>G146+'20'!H146</f>
        <v>8386</v>
      </c>
      <c r="I146" s="140"/>
      <c r="J146" s="328">
        <f>H146/DAY(B2)</f>
        <v>399.33333333333331</v>
      </c>
    </row>
    <row r="147" spans="1:10" ht="27.75" x14ac:dyDescent="0.5">
      <c r="A147" s="850" t="s">
        <v>192</v>
      </c>
      <c r="B147" s="850"/>
      <c r="C147" s="850"/>
      <c r="D147" s="152" t="s">
        <v>183</v>
      </c>
      <c r="E147" s="95">
        <f>'20'!F147</f>
        <v>622512</v>
      </c>
      <c r="F147" s="148">
        <v>622888.12</v>
      </c>
      <c r="G147" s="112">
        <f t="shared" si="11"/>
        <v>376.11999999999534</v>
      </c>
      <c r="H147" s="99">
        <f>G147+'20'!H147</f>
        <v>7606.1199999999953</v>
      </c>
      <c r="I147" s="140"/>
      <c r="J147" s="328">
        <f>H147/DAY(B2)</f>
        <v>362.19619047619028</v>
      </c>
    </row>
    <row r="148" spans="1:10" ht="27.75" x14ac:dyDescent="0.5">
      <c r="A148" s="842" t="s">
        <v>193</v>
      </c>
      <c r="B148" s="843"/>
      <c r="C148" s="844"/>
      <c r="D148" s="123" t="s">
        <v>130</v>
      </c>
      <c r="E148" s="95">
        <f>'20'!F148</f>
        <v>687342</v>
      </c>
      <c r="F148" s="150">
        <v>687496.88</v>
      </c>
      <c r="G148" s="112">
        <f t="shared" si="11"/>
        <v>154.88000000000466</v>
      </c>
      <c r="H148" s="99">
        <f>G148+'20'!H148</f>
        <v>4463.7600000000093</v>
      </c>
      <c r="I148" s="124"/>
      <c r="J148" s="328">
        <f>H148/DAY(B2)</f>
        <v>212.56000000000046</v>
      </c>
    </row>
    <row r="149" spans="1:10" ht="27.75" x14ac:dyDescent="0.5">
      <c r="A149" s="842" t="s">
        <v>336</v>
      </c>
      <c r="B149" s="843"/>
      <c r="C149" s="844"/>
      <c r="D149" s="227" t="s">
        <v>130</v>
      </c>
      <c r="E149" s="95">
        <f>'20'!F149</f>
        <v>19166</v>
      </c>
      <c r="F149" s="146">
        <v>19600.46</v>
      </c>
      <c r="G149" s="112">
        <f t="shared" si="11"/>
        <v>434.45999999999913</v>
      </c>
      <c r="H149" s="99">
        <f>G149+'20'!H149</f>
        <v>8851.4599999999991</v>
      </c>
      <c r="I149" s="119"/>
      <c r="J149" s="328">
        <f>H149/DAY(B2)</f>
        <v>421.49809523809517</v>
      </c>
    </row>
    <row r="150" spans="1:10" ht="27.75" x14ac:dyDescent="0.5">
      <c r="A150" s="842" t="s">
        <v>337</v>
      </c>
      <c r="B150" s="843"/>
      <c r="C150" s="844"/>
      <c r="D150" s="117" t="s">
        <v>130</v>
      </c>
      <c r="E150" s="95">
        <f>'20'!F150</f>
        <v>8417.11</v>
      </c>
      <c r="F150" s="233">
        <v>8639.66</v>
      </c>
      <c r="G150" s="112">
        <f t="shared" si="11"/>
        <v>222.54999999999927</v>
      </c>
      <c r="H150" s="99">
        <f>G150+'20'!H150</f>
        <v>4587.66</v>
      </c>
      <c r="I150" s="119"/>
      <c r="J150" s="328">
        <f>H150/DAY(B2)</f>
        <v>218.45999999999998</v>
      </c>
    </row>
    <row r="151" spans="1:10" ht="27.75" x14ac:dyDescent="0.5">
      <c r="A151" s="842" t="s">
        <v>338</v>
      </c>
      <c r="B151" s="843"/>
      <c r="C151" s="844"/>
      <c r="D151" s="117" t="s">
        <v>130</v>
      </c>
      <c r="E151" s="95">
        <f>'20'!F151</f>
        <v>82812</v>
      </c>
      <c r="F151" s="152">
        <v>83038</v>
      </c>
      <c r="G151" s="112">
        <f t="shared" si="11"/>
        <v>226</v>
      </c>
      <c r="H151" s="99">
        <f>G151+'20'!H151</f>
        <v>4821</v>
      </c>
      <c r="I151" s="119"/>
      <c r="J151" s="328">
        <f>H151/DAY(B2)</f>
        <v>229.57142857142858</v>
      </c>
    </row>
    <row r="152" spans="1:10" ht="27.75" x14ac:dyDescent="0.5">
      <c r="A152" s="842" t="s">
        <v>339</v>
      </c>
      <c r="B152" s="843"/>
      <c r="C152" s="844"/>
      <c r="D152" s="117" t="s">
        <v>130</v>
      </c>
      <c r="E152" s="95">
        <f>'20'!F152</f>
        <v>1466.21</v>
      </c>
      <c r="F152" s="233">
        <v>1482.07</v>
      </c>
      <c r="G152" s="112">
        <f t="shared" si="11"/>
        <v>15.8599999999999</v>
      </c>
      <c r="H152" s="99">
        <f>G152+'20'!H152</f>
        <v>355.06999999999994</v>
      </c>
      <c r="I152" s="119"/>
      <c r="J152" s="328">
        <f>H152/DAY(B2)</f>
        <v>16.908095238095235</v>
      </c>
    </row>
    <row r="153" spans="1:10" ht="27.75" x14ac:dyDescent="0.5">
      <c r="A153" s="879" t="s">
        <v>196</v>
      </c>
      <c r="B153" s="880"/>
      <c r="C153" s="365"/>
      <c r="D153" s="358"/>
      <c r="E153" s="360"/>
      <c r="F153" s="361"/>
      <c r="G153" s="362">
        <f>SUM(G138:G152)</f>
        <v>2403.0000000000036</v>
      </c>
      <c r="H153" s="363"/>
      <c r="I153" s="119">
        <f>G153-(G38+G52)</f>
        <v>731.55000000000291</v>
      </c>
      <c r="J153" s="366"/>
    </row>
    <row r="154" spans="1:10" ht="31.5" x14ac:dyDescent="0.55000000000000004">
      <c r="A154" s="883" t="s">
        <v>344</v>
      </c>
      <c r="B154" s="883"/>
      <c r="C154" s="883"/>
      <c r="D154" s="883"/>
      <c r="E154" s="883"/>
      <c r="F154" s="883"/>
      <c r="G154" s="883"/>
      <c r="H154" s="883"/>
      <c r="I154" s="883"/>
      <c r="J154" s="883"/>
    </row>
    <row r="155" spans="1:10" ht="31.5" x14ac:dyDescent="0.55000000000000004">
      <c r="A155" s="850" t="s">
        <v>345</v>
      </c>
      <c r="B155" s="850"/>
      <c r="C155" s="850"/>
      <c r="D155" s="117" t="s">
        <v>130</v>
      </c>
      <c r="E155" s="95">
        <f>'20'!F155</f>
        <v>25146.7</v>
      </c>
      <c r="F155" s="374">
        <v>25759.94</v>
      </c>
      <c r="G155" s="112">
        <f t="shared" ref="G155:G158" si="12">F155-E155</f>
        <v>613.23999999999796</v>
      </c>
      <c r="H155" s="99">
        <f>G155+'20'!H155</f>
        <v>12287.939999999999</v>
      </c>
      <c r="I155" s="364"/>
      <c r="J155" s="328">
        <f>H155/DAY(B2)</f>
        <v>585.14</v>
      </c>
    </row>
    <row r="156" spans="1:10" ht="27.75" x14ac:dyDescent="0.5">
      <c r="A156" s="850" t="s">
        <v>347</v>
      </c>
      <c r="B156" s="850"/>
      <c r="C156" s="850"/>
      <c r="D156" s="117" t="s">
        <v>130</v>
      </c>
      <c r="E156" s="95">
        <f>'20'!F156</f>
        <v>2118.25</v>
      </c>
      <c r="F156" s="155">
        <v>2175.3200000000002</v>
      </c>
      <c r="G156" s="112">
        <f t="shared" si="12"/>
        <v>57.070000000000164</v>
      </c>
      <c r="H156" s="99">
        <f>G156+'20'!H156</f>
        <v>1087.3200000000002</v>
      </c>
      <c r="I156" s="165"/>
      <c r="J156" s="328">
        <f>H156/DAY(B2)</f>
        <v>51.777142857142863</v>
      </c>
    </row>
    <row r="157" spans="1:10" ht="27.75" x14ac:dyDescent="0.5">
      <c r="A157" s="842" t="s">
        <v>364</v>
      </c>
      <c r="B157" s="843"/>
      <c r="C157" s="844"/>
      <c r="D157" s="117" t="s">
        <v>130</v>
      </c>
      <c r="E157" s="95">
        <f>'20'!F157</f>
        <v>2837.68</v>
      </c>
      <c r="F157" s="155">
        <v>2949.54</v>
      </c>
      <c r="G157" s="112">
        <f t="shared" si="12"/>
        <v>111.86000000000013</v>
      </c>
      <c r="H157" s="99">
        <f>G157+'20'!H157</f>
        <v>229.38000000000011</v>
      </c>
      <c r="I157" s="165"/>
      <c r="J157" s="328">
        <f>H157/DAY(B2)</f>
        <v>10.922857142857149</v>
      </c>
    </row>
    <row r="158" spans="1:10" ht="27.75" x14ac:dyDescent="0.5">
      <c r="A158" s="842" t="s">
        <v>365</v>
      </c>
      <c r="B158" s="843"/>
      <c r="C158" s="844"/>
      <c r="D158" s="117" t="s">
        <v>130</v>
      </c>
      <c r="E158" s="95">
        <f>'20'!F158</f>
        <v>26.38</v>
      </c>
      <c r="F158" s="155">
        <v>26.84</v>
      </c>
      <c r="G158" s="112">
        <f t="shared" si="12"/>
        <v>0.46000000000000085</v>
      </c>
      <c r="H158" s="99">
        <f>G158+'20'!H158</f>
        <v>2.5</v>
      </c>
      <c r="I158" s="165"/>
      <c r="J158" s="328">
        <f>H158/DAY(B2)</f>
        <v>0.11904761904761904</v>
      </c>
    </row>
    <row r="159" spans="1:10" ht="27.75" x14ac:dyDescent="0.5">
      <c r="A159" s="899"/>
      <c r="B159" s="900"/>
      <c r="C159" s="901"/>
      <c r="D159" s="117"/>
      <c r="E159" s="95"/>
      <c r="F159" s="165"/>
      <c r="G159" s="112"/>
      <c r="H159" s="99"/>
      <c r="I159" s="165"/>
      <c r="J159" s="328"/>
    </row>
    <row r="160" spans="1:10" ht="31.5" x14ac:dyDescent="0.55000000000000004">
      <c r="A160" s="883" t="s">
        <v>326</v>
      </c>
      <c r="B160" s="883"/>
      <c r="C160" s="883"/>
      <c r="D160" s="883"/>
      <c r="E160" s="883"/>
      <c r="F160" s="883"/>
      <c r="G160" s="883"/>
      <c r="H160" s="883"/>
      <c r="I160" s="883"/>
      <c r="J160" s="883"/>
    </row>
    <row r="161" spans="1:10" ht="29.25" x14ac:dyDescent="0.5">
      <c r="A161" s="242" t="s">
        <v>92</v>
      </c>
      <c r="B161" s="243"/>
      <c r="C161" s="243"/>
      <c r="D161" s="244" t="s">
        <v>180</v>
      </c>
      <c r="E161" s="95">
        <f>'20'!F161</f>
        <v>471467.24</v>
      </c>
      <c r="F161" s="235">
        <v>471569</v>
      </c>
      <c r="G161" s="238">
        <f t="shared" ref="G161:G165" si="13">F161-E161</f>
        <v>101.76000000000931</v>
      </c>
      <c r="H161" s="99">
        <f>G161+'20'!H161</f>
        <v>415.84000000002561</v>
      </c>
      <c r="I161" s="236"/>
      <c r="J161" s="239">
        <f>H161/DAY(B2)</f>
        <v>19.80190476190598</v>
      </c>
    </row>
    <row r="162" spans="1:10" ht="29.25" x14ac:dyDescent="0.5">
      <c r="A162" s="242" t="s">
        <v>93</v>
      </c>
      <c r="B162" s="243"/>
      <c r="C162" s="243"/>
      <c r="D162" s="244" t="s">
        <v>180</v>
      </c>
      <c r="E162" s="95">
        <f>'20'!F162</f>
        <v>88171.5</v>
      </c>
      <c r="F162" s="235">
        <v>88213.3</v>
      </c>
      <c r="G162" s="238">
        <f t="shared" si="13"/>
        <v>41.80000000000291</v>
      </c>
      <c r="H162" s="99">
        <f>G162+'20'!H162</f>
        <v>643.30000000000291</v>
      </c>
      <c r="I162" s="236"/>
      <c r="J162" s="239">
        <f>H162/DAY(B2)</f>
        <v>30.633333333333471</v>
      </c>
    </row>
    <row r="163" spans="1:10" ht="29.25" x14ac:dyDescent="0.5">
      <c r="A163" s="242" t="s">
        <v>197</v>
      </c>
      <c r="B163" s="243"/>
      <c r="C163" s="243"/>
      <c r="D163" s="244" t="s">
        <v>180</v>
      </c>
      <c r="E163" s="95">
        <f>'20'!F163</f>
        <v>78749.600000000006</v>
      </c>
      <c r="F163" s="637">
        <v>78800.600000000006</v>
      </c>
      <c r="G163" s="238">
        <f t="shared" si="13"/>
        <v>51</v>
      </c>
      <c r="H163" s="99">
        <f>G163+'20'!H163</f>
        <v>975.60000000000582</v>
      </c>
      <c r="I163" s="236"/>
      <c r="J163" s="239">
        <f>H163/DAY(B2)</f>
        <v>46.457142857143133</v>
      </c>
    </row>
    <row r="164" spans="1:10" ht="29.25" x14ac:dyDescent="0.5">
      <c r="A164" s="242" t="s">
        <v>197</v>
      </c>
      <c r="B164" s="243"/>
      <c r="C164" s="243"/>
      <c r="D164" s="244" t="s">
        <v>180</v>
      </c>
      <c r="E164" s="95">
        <f>'20'!F164</f>
        <v>4288</v>
      </c>
      <c r="F164" s="637">
        <v>4291.1000000000004</v>
      </c>
      <c r="G164" s="238">
        <f t="shared" si="13"/>
        <v>3.1000000000003638</v>
      </c>
      <c r="H164" s="99">
        <f>G164+'20'!H164</f>
        <v>49.100000000000364</v>
      </c>
      <c r="I164" s="236"/>
      <c r="J164" s="239">
        <f>H164/DAY(B2)</f>
        <v>2.3380952380952555</v>
      </c>
    </row>
    <row r="165" spans="1:10" ht="29.25" x14ac:dyDescent="0.5">
      <c r="A165" s="242" t="s">
        <v>309</v>
      </c>
      <c r="B165" s="243"/>
      <c r="C165" s="243"/>
      <c r="D165" s="244" t="s">
        <v>180</v>
      </c>
      <c r="E165" s="95">
        <f>'20'!F165</f>
        <v>29779.71</v>
      </c>
      <c r="F165" s="235">
        <v>29788.91</v>
      </c>
      <c r="G165" s="238">
        <f t="shared" si="13"/>
        <v>9.2000000000007276</v>
      </c>
      <c r="H165" s="99">
        <f>G165+'20'!H165</f>
        <v>142.90999999999985</v>
      </c>
      <c r="I165" s="236"/>
      <c r="J165" s="239">
        <f>H165/DAY(B2)</f>
        <v>6.8052380952380886</v>
      </c>
    </row>
    <row r="166" spans="1:10" ht="29.25" x14ac:dyDescent="0.5">
      <c r="A166" s="882"/>
      <c r="B166" s="882"/>
      <c r="C166" s="246"/>
      <c r="D166" s="244" t="s">
        <v>180</v>
      </c>
      <c r="E166" s="95">
        <f>'20'!F166</f>
        <v>0</v>
      </c>
      <c r="F166" s="165"/>
      <c r="G166" s="165"/>
      <c r="H166" s="99">
        <f>G166+'20'!H166</f>
        <v>0</v>
      </c>
      <c r="I166" s="165"/>
      <c r="J166" s="239">
        <f>H166/DAY(B2)</f>
        <v>0</v>
      </c>
    </row>
    <row r="167" spans="1:10" ht="29.25" x14ac:dyDescent="0.5">
      <c r="A167" s="882"/>
      <c r="B167" s="882"/>
      <c r="C167" s="246"/>
      <c r="D167" s="244" t="s">
        <v>180</v>
      </c>
      <c r="E167" s="95">
        <f>'20'!F167</f>
        <v>0</v>
      </c>
      <c r="F167" s="165"/>
      <c r="G167" s="165"/>
      <c r="H167" s="99">
        <f>G167+'20'!H167</f>
        <v>0</v>
      </c>
      <c r="I167" s="165"/>
      <c r="J167" s="239">
        <f>H167/DAY(B2)</f>
        <v>0</v>
      </c>
    </row>
    <row r="168" spans="1:10" ht="29.25" x14ac:dyDescent="0.5">
      <c r="A168" s="882"/>
      <c r="B168" s="882"/>
      <c r="C168" s="246"/>
      <c r="D168" s="244" t="s">
        <v>180</v>
      </c>
      <c r="E168" s="95">
        <f>'20'!F168</f>
        <v>0</v>
      </c>
      <c r="F168" s="165"/>
      <c r="G168" s="165"/>
      <c r="H168" s="99">
        <f>G168+'20'!H168</f>
        <v>0</v>
      </c>
      <c r="I168" s="165"/>
      <c r="J168" s="239">
        <f>H168/DAY(B2)</f>
        <v>0</v>
      </c>
    </row>
    <row r="169" spans="1:10" ht="29.25" x14ac:dyDescent="0.5"/>
    <row r="170" spans="1:10" ht="29.25" x14ac:dyDescent="0.5"/>
    <row r="171" spans="1:10" ht="31.5" x14ac:dyDescent="0.35">
      <c r="A171" s="890" t="s">
        <v>330</v>
      </c>
      <c r="B171" s="891"/>
      <c r="C171" s="891"/>
      <c r="D171" s="891"/>
      <c r="E171" s="891"/>
      <c r="F171" s="891"/>
      <c r="G171" s="891"/>
      <c r="H171" s="891"/>
      <c r="I171" s="891"/>
      <c r="J171" s="892"/>
    </row>
    <row r="172" spans="1:10" ht="27.75" x14ac:dyDescent="0.5">
      <c r="A172" s="886"/>
      <c r="B172" s="887"/>
      <c r="C172" s="332"/>
      <c r="D172" s="228"/>
      <c r="E172" s="155"/>
      <c r="F172" s="155"/>
      <c r="G172" s="155"/>
      <c r="H172" s="156"/>
      <c r="I172" s="155"/>
      <c r="J172" s="178"/>
    </row>
    <row r="173" spans="1:10" ht="27.75" x14ac:dyDescent="0.5">
      <c r="A173" s="840" t="s">
        <v>209</v>
      </c>
      <c r="B173" s="841"/>
      <c r="C173" s="333"/>
      <c r="D173" s="228" t="s">
        <v>142</v>
      </c>
      <c r="E173" s="95">
        <f>'20'!F173</f>
        <v>8126</v>
      </c>
      <c r="F173" s="155">
        <v>8126</v>
      </c>
      <c r="G173" s="155">
        <f>F173-E173</f>
        <v>0</v>
      </c>
      <c r="H173" s="99">
        <f>G173+'20'!H173</f>
        <v>0</v>
      </c>
      <c r="I173" s="155"/>
      <c r="J173" s="178">
        <f>H173/DAY(B2)</f>
        <v>0</v>
      </c>
    </row>
    <row r="174" spans="1:10" ht="27.75" x14ac:dyDescent="0.5">
      <c r="A174" s="840" t="s">
        <v>75</v>
      </c>
      <c r="B174" s="841"/>
      <c r="C174" s="333"/>
      <c r="D174" s="228" t="s">
        <v>142</v>
      </c>
      <c r="E174" s="95">
        <f>'20'!F174</f>
        <v>38478</v>
      </c>
      <c r="F174" s="157">
        <v>38489</v>
      </c>
      <c r="G174" s="155">
        <f t="shared" ref="G174:G175" si="14">F174-E174</f>
        <v>11</v>
      </c>
      <c r="H174" s="99">
        <f>G174+'20'!H174</f>
        <v>196</v>
      </c>
      <c r="I174" s="155"/>
      <c r="J174" s="178">
        <f>H174/DAY(B2)</f>
        <v>9.3333333333333339</v>
      </c>
    </row>
    <row r="175" spans="1:10" ht="27.75" x14ac:dyDescent="0.5">
      <c r="A175" s="840" t="s">
        <v>76</v>
      </c>
      <c r="B175" s="845"/>
      <c r="C175" s="841"/>
      <c r="D175" s="228" t="s">
        <v>142</v>
      </c>
      <c r="E175" s="95">
        <f>'20'!F175</f>
        <v>21704</v>
      </c>
      <c r="F175" s="155">
        <v>21714</v>
      </c>
      <c r="G175" s="155">
        <f t="shared" si="14"/>
        <v>10</v>
      </c>
      <c r="H175" s="99">
        <f>G175+'20'!H175</f>
        <v>196</v>
      </c>
      <c r="I175" s="155"/>
      <c r="J175" s="178">
        <f>H175/DAY(B2)</f>
        <v>9.3333333333333339</v>
      </c>
    </row>
    <row r="176" spans="1:10" ht="27.75" x14ac:dyDescent="0.5">
      <c r="A176" s="879" t="s">
        <v>196</v>
      </c>
      <c r="B176" s="880"/>
      <c r="C176" s="485"/>
      <c r="D176" s="228" t="s">
        <v>142</v>
      </c>
      <c r="E176" s="95"/>
      <c r="F176" s="155"/>
      <c r="G176" s="155">
        <f>SUM(G173:G175)</f>
        <v>21</v>
      </c>
      <c r="H176" s="99">
        <f>G176+'20'!H176</f>
        <v>392</v>
      </c>
      <c r="I176" s="155"/>
      <c r="J176" s="178">
        <f>H176/DAY(B2)</f>
        <v>18.666666666666668</v>
      </c>
    </row>
    <row r="177" spans="1:10" ht="27.75" x14ac:dyDescent="0.5">
      <c r="A177" s="840" t="s">
        <v>77</v>
      </c>
      <c r="B177" s="841"/>
      <c r="C177" s="333"/>
      <c r="D177" s="228" t="s">
        <v>142</v>
      </c>
      <c r="E177" s="95"/>
      <c r="F177" s="155"/>
      <c r="G177" s="155"/>
      <c r="H177" s="99">
        <f>G177+'20'!H177</f>
        <v>0</v>
      </c>
      <c r="I177" s="155"/>
      <c r="J177" s="178">
        <f>H177/DAY(B2)</f>
        <v>0</v>
      </c>
    </row>
    <row r="178" spans="1:10" ht="27.75" x14ac:dyDescent="0.5">
      <c r="A178" s="840" t="s">
        <v>210</v>
      </c>
      <c r="B178" s="841"/>
      <c r="C178" s="333"/>
      <c r="D178" s="228" t="s">
        <v>142</v>
      </c>
      <c r="E178" s="95">
        <f>'20'!F178</f>
        <v>80729</v>
      </c>
      <c r="F178" s="155">
        <v>80790</v>
      </c>
      <c r="G178" s="155">
        <f>F178-E178</f>
        <v>61</v>
      </c>
      <c r="H178" s="99">
        <f>G178+'20'!H178</f>
        <v>1176</v>
      </c>
      <c r="I178" s="155"/>
      <c r="J178" s="178">
        <f>H178/DAY(B2)</f>
        <v>56</v>
      </c>
    </row>
    <row r="179" spans="1:10" ht="27.75" x14ac:dyDescent="0.5">
      <c r="A179" s="840" t="s">
        <v>211</v>
      </c>
      <c r="B179" s="841"/>
      <c r="C179" s="333"/>
      <c r="D179" s="228" t="s">
        <v>142</v>
      </c>
      <c r="E179" s="95">
        <f>'20'!F179</f>
        <v>34336</v>
      </c>
      <c r="F179" s="155">
        <v>34356</v>
      </c>
      <c r="G179" s="155">
        <f t="shared" ref="G179:G180" si="15">F179-E179</f>
        <v>20</v>
      </c>
      <c r="H179" s="99">
        <f>G179+'20'!H179</f>
        <v>441</v>
      </c>
      <c r="I179" s="155"/>
      <c r="J179" s="178">
        <f>H179/DAY(B2)</f>
        <v>21</v>
      </c>
    </row>
    <row r="180" spans="1:10" ht="27.75" x14ac:dyDescent="0.5">
      <c r="A180" s="840" t="s">
        <v>212</v>
      </c>
      <c r="B180" s="841"/>
      <c r="C180" s="333"/>
      <c r="D180" s="228" t="s">
        <v>142</v>
      </c>
      <c r="E180" s="95">
        <f>'20'!F180</f>
        <v>5623</v>
      </c>
      <c r="F180" s="155">
        <v>5637</v>
      </c>
      <c r="G180" s="155">
        <f t="shared" si="15"/>
        <v>14</v>
      </c>
      <c r="H180" s="99">
        <f>G180+'20'!H180</f>
        <v>160</v>
      </c>
      <c r="I180" s="155"/>
      <c r="J180" s="178">
        <f>H180/DAY(B2)</f>
        <v>7.6190476190476186</v>
      </c>
    </row>
    <row r="181" spans="1:10" ht="27.75" x14ac:dyDescent="0.5">
      <c r="A181" s="884" t="s">
        <v>108</v>
      </c>
      <c r="B181" s="885"/>
      <c r="C181" s="485"/>
      <c r="D181" s="228" t="s">
        <v>142</v>
      </c>
      <c r="E181" s="95"/>
      <c r="F181" s="155"/>
      <c r="G181" s="155">
        <f>SUM(G178:G180)</f>
        <v>95</v>
      </c>
      <c r="H181" s="99">
        <f>G181+'20'!H181</f>
        <v>1777</v>
      </c>
      <c r="I181" s="155"/>
      <c r="J181" s="178">
        <f>H181/DAY(B2)</f>
        <v>84.61904761904762</v>
      </c>
    </row>
    <row r="182" spans="1:10" ht="27.75" x14ac:dyDescent="0.5">
      <c r="A182" s="840" t="s">
        <v>213</v>
      </c>
      <c r="B182" s="841"/>
      <c r="C182" s="333"/>
      <c r="D182" s="228" t="s">
        <v>142</v>
      </c>
      <c r="E182" s="95"/>
      <c r="F182" s="155"/>
      <c r="G182" s="155"/>
      <c r="H182" s="99">
        <f>G182+'20'!H182</f>
        <v>0</v>
      </c>
      <c r="I182" s="155"/>
      <c r="J182" s="178">
        <f>H182/DAY(B2)</f>
        <v>0</v>
      </c>
    </row>
    <row r="183" spans="1:10" ht="27.75" x14ac:dyDescent="0.5">
      <c r="A183" s="840" t="s">
        <v>214</v>
      </c>
      <c r="B183" s="841"/>
      <c r="C183" s="334"/>
      <c r="D183" s="228" t="s">
        <v>142</v>
      </c>
      <c r="E183" s="95">
        <f>'20'!F183</f>
        <v>15189</v>
      </c>
      <c r="F183" s="157">
        <v>15199</v>
      </c>
      <c r="G183" s="157">
        <f>F183-E183</f>
        <v>10</v>
      </c>
      <c r="H183" s="99">
        <f>G183+'20'!H183</f>
        <v>252</v>
      </c>
      <c r="I183" s="155"/>
      <c r="J183" s="178">
        <f>H183/DAY(B2)</f>
        <v>12</v>
      </c>
    </row>
    <row r="184" spans="1:10" ht="27.75" x14ac:dyDescent="0.5">
      <c r="A184" s="840" t="s">
        <v>215</v>
      </c>
      <c r="B184" s="841"/>
      <c r="C184" s="334"/>
      <c r="D184" s="228" t="s">
        <v>142</v>
      </c>
      <c r="E184" s="95">
        <f>'20'!F184</f>
        <v>10425</v>
      </c>
      <c r="F184" s="157">
        <v>10429</v>
      </c>
      <c r="G184" s="157">
        <f t="shared" ref="G184:G185" si="16">F184-E184</f>
        <v>4</v>
      </c>
      <c r="H184" s="99">
        <f>G184+'20'!H184</f>
        <v>128</v>
      </c>
      <c r="I184" s="155"/>
      <c r="J184" s="178">
        <f>H184/DAY(B2)</f>
        <v>6.0952380952380949</v>
      </c>
    </row>
    <row r="185" spans="1:10" ht="32.25" customHeight="1" x14ac:dyDescent="0.5">
      <c r="A185" s="840" t="s">
        <v>216</v>
      </c>
      <c r="B185" s="841"/>
      <c r="C185" s="334"/>
      <c r="D185" s="228" t="s">
        <v>142</v>
      </c>
      <c r="E185" s="95">
        <f>'20'!F185</f>
        <v>0</v>
      </c>
      <c r="F185" s="157"/>
      <c r="G185" s="157">
        <f t="shared" si="16"/>
        <v>0</v>
      </c>
      <c r="H185" s="99">
        <f>G185+'20'!H185</f>
        <v>0</v>
      </c>
      <c r="I185" s="155"/>
      <c r="J185" s="178">
        <f>H185/DAY(B2)</f>
        <v>0</v>
      </c>
    </row>
    <row r="186" spans="1:10" ht="27.75" x14ac:dyDescent="0.5">
      <c r="A186" s="879" t="s">
        <v>196</v>
      </c>
      <c r="B186" s="880"/>
      <c r="C186" s="484"/>
      <c r="D186" s="228" t="s">
        <v>142</v>
      </c>
      <c r="E186" s="95"/>
      <c r="F186" s="157"/>
      <c r="G186" s="157">
        <f>SUM(G183:G185)</f>
        <v>14</v>
      </c>
      <c r="H186" s="99">
        <f>G186+'20'!H186</f>
        <v>380</v>
      </c>
      <c r="I186" s="157"/>
      <c r="J186" s="178">
        <f>H186/DAY(B2)</f>
        <v>18.095238095238095</v>
      </c>
    </row>
    <row r="187" spans="1:10" ht="27.75" x14ac:dyDescent="0.5">
      <c r="A187" s="888" t="s">
        <v>217</v>
      </c>
      <c r="B187" s="889"/>
      <c r="C187" s="333"/>
      <c r="D187" s="230" t="s">
        <v>142</v>
      </c>
      <c r="E187" s="95"/>
      <c r="F187" s="159"/>
      <c r="G187" s="462">
        <f>G62+G19</f>
        <v>117</v>
      </c>
      <c r="H187" s="99">
        <f>G187+'20'!H187</f>
        <v>2408</v>
      </c>
      <c r="I187" s="158"/>
      <c r="J187" s="179">
        <f>H187/DAY(B2)</f>
        <v>114.66666666666667</v>
      </c>
    </row>
    <row r="188" spans="1:10" ht="27.75" x14ac:dyDescent="0.5">
      <c r="A188" s="888" t="s">
        <v>218</v>
      </c>
      <c r="B188" s="889"/>
      <c r="C188" s="333"/>
      <c r="D188" s="230" t="s">
        <v>142</v>
      </c>
      <c r="E188" s="95"/>
      <c r="F188" s="159"/>
      <c r="G188" s="462">
        <f>G65+G66+G67+G69+G70</f>
        <v>116</v>
      </c>
      <c r="H188" s="99">
        <f>G188+'20'!H188</f>
        <v>832</v>
      </c>
      <c r="I188" s="158"/>
      <c r="J188" s="179">
        <f>H188/DAY(B2)</f>
        <v>39.61904761904762</v>
      </c>
    </row>
    <row r="189" spans="1:10" ht="21" customHeight="1" x14ac:dyDescent="0.5">
      <c r="A189" s="888" t="s">
        <v>219</v>
      </c>
      <c r="B189" s="889"/>
      <c r="C189" s="333"/>
      <c r="D189" s="230" t="s">
        <v>142</v>
      </c>
      <c r="E189" s="95"/>
      <c r="F189" s="157"/>
      <c r="G189" s="459">
        <f>G181</f>
        <v>95</v>
      </c>
      <c r="H189" s="99">
        <f>G189+'20'!H189</f>
        <v>187</v>
      </c>
      <c r="I189" s="158"/>
      <c r="J189" s="179">
        <f>H189/DAY(B2)</f>
        <v>8.9047619047619051</v>
      </c>
    </row>
    <row r="190" spans="1:10" ht="27.75" x14ac:dyDescent="0.5">
      <c r="A190" s="811"/>
      <c r="B190" s="812"/>
      <c r="C190" s="483"/>
      <c r="D190" s="480"/>
      <c r="E190" s="480" t="s">
        <v>207</v>
      </c>
      <c r="F190" s="480"/>
      <c r="G190" s="480"/>
      <c r="H190" s="481"/>
      <c r="I190" s="480"/>
      <c r="J190" s="482"/>
    </row>
    <row r="191" spans="1:10" ht="29.25" x14ac:dyDescent="0.5"/>
    <row r="192" spans="1:10" ht="29.25" x14ac:dyDescent="0.5"/>
    <row r="193" ht="29.25" x14ac:dyDescent="0.5"/>
    <row r="194" ht="29.25" x14ac:dyDescent="0.5"/>
    <row r="195" ht="29.25" x14ac:dyDescent="0.5"/>
    <row r="196" ht="29.25" x14ac:dyDescent="0.5"/>
    <row r="197" ht="29.25" x14ac:dyDescent="0.5"/>
    <row r="198" ht="29.25" x14ac:dyDescent="0.5"/>
    <row r="199" ht="29.25" x14ac:dyDescent="0.5"/>
    <row r="200" ht="29.25" x14ac:dyDescent="0.5"/>
    <row r="201" ht="29.25" x14ac:dyDescent="0.5"/>
    <row r="202" ht="29.25" x14ac:dyDescent="0.5"/>
    <row r="203" ht="29.25" x14ac:dyDescent="0.5"/>
    <row r="204" ht="29.25" x14ac:dyDescent="0.5"/>
    <row r="205" ht="29.25" x14ac:dyDescent="0.5"/>
    <row r="206" ht="29.25" x14ac:dyDescent="0.5"/>
    <row r="207" ht="29.25" x14ac:dyDescent="0.5"/>
    <row r="208" ht="29.25" x14ac:dyDescent="0.5"/>
    <row r="209" ht="29.25" x14ac:dyDescent="0.5"/>
    <row r="210" ht="29.25" x14ac:dyDescent="0.5"/>
    <row r="211" ht="29.25" x14ac:dyDescent="0.5"/>
    <row r="212" ht="29.25" x14ac:dyDescent="0.5"/>
    <row r="213" ht="29.25" x14ac:dyDescent="0.5"/>
    <row r="214" ht="29.25" x14ac:dyDescent="0.5"/>
    <row r="215" ht="29.25" x14ac:dyDescent="0.5"/>
    <row r="216" ht="29.25" x14ac:dyDescent="0.5"/>
    <row r="217" ht="29.25" x14ac:dyDescent="0.5"/>
    <row r="218" ht="29.25" x14ac:dyDescent="0.5"/>
    <row r="219" ht="29.25" x14ac:dyDescent="0.5"/>
    <row r="220" ht="29.25" x14ac:dyDescent="0.5"/>
    <row r="221" ht="29.25" x14ac:dyDescent="0.5"/>
    <row r="222" ht="29.25" x14ac:dyDescent="0.5"/>
    <row r="223" ht="29.25" x14ac:dyDescent="0.5"/>
    <row r="224" ht="29.25" x14ac:dyDescent="0.5"/>
    <row r="225" ht="29.25" x14ac:dyDescent="0.5"/>
    <row r="226" ht="29.25" x14ac:dyDescent="0.5"/>
    <row r="227" ht="29.25" x14ac:dyDescent="0.5"/>
    <row r="228" ht="29.25" x14ac:dyDescent="0.5"/>
    <row r="229" ht="29.25" x14ac:dyDescent="0.5"/>
    <row r="230" ht="29.25" x14ac:dyDescent="0.5"/>
    <row r="231" ht="29.25" x14ac:dyDescent="0.5"/>
    <row r="232" ht="29.25" x14ac:dyDescent="0.5"/>
    <row r="233" ht="29.25" x14ac:dyDescent="0.5"/>
    <row r="234" ht="29.25" x14ac:dyDescent="0.5"/>
    <row r="235" ht="29.25" x14ac:dyDescent="0.5"/>
    <row r="236" ht="29.25" x14ac:dyDescent="0.5"/>
    <row r="237" ht="29.25" x14ac:dyDescent="0.5"/>
    <row r="238" ht="29.25" x14ac:dyDescent="0.5"/>
    <row r="239" ht="29.25" x14ac:dyDescent="0.5"/>
    <row r="240" ht="29.25" x14ac:dyDescent="0.5"/>
    <row r="241" ht="29.25" x14ac:dyDescent="0.5"/>
    <row r="242" ht="29.25" x14ac:dyDescent="0.5"/>
    <row r="243" ht="29.25" x14ac:dyDescent="0.5"/>
    <row r="244" ht="29.25" x14ac:dyDescent="0.5"/>
    <row r="245" ht="29.25" x14ac:dyDescent="0.5"/>
    <row r="246" ht="29.25" x14ac:dyDescent="0.5"/>
    <row r="247" ht="29.25" x14ac:dyDescent="0.5"/>
    <row r="248" ht="29.25" x14ac:dyDescent="0.5"/>
    <row r="249" ht="29.25" x14ac:dyDescent="0.5"/>
    <row r="250" ht="29.25" x14ac:dyDescent="0.5"/>
    <row r="251" ht="29.25" x14ac:dyDescent="0.5"/>
    <row r="252" ht="29.25" x14ac:dyDescent="0.5"/>
    <row r="253" ht="29.25" x14ac:dyDescent="0.5"/>
    <row r="254" ht="29.25" x14ac:dyDescent="0.5"/>
    <row r="255" ht="29.25" x14ac:dyDescent="0.5"/>
    <row r="256" ht="29.25" x14ac:dyDescent="0.5"/>
    <row r="257" ht="29.25" x14ac:dyDescent="0.5"/>
    <row r="258" ht="29.25" x14ac:dyDescent="0.5"/>
    <row r="259" ht="29.25" x14ac:dyDescent="0.5"/>
    <row r="260" ht="29.25" x14ac:dyDescent="0.5"/>
    <row r="261" ht="29.25" x14ac:dyDescent="0.5"/>
    <row r="262" ht="29.25" x14ac:dyDescent="0.5"/>
    <row r="263" ht="29.25" x14ac:dyDescent="0.5"/>
    <row r="264" ht="29.25" x14ac:dyDescent="0.5"/>
    <row r="265" ht="29.25" x14ac:dyDescent="0.5"/>
    <row r="266" ht="29.25" x14ac:dyDescent="0.5"/>
    <row r="267" ht="29.25" x14ac:dyDescent="0.5"/>
    <row r="268" ht="29.25" x14ac:dyDescent="0.5"/>
    <row r="269" ht="29.25" x14ac:dyDescent="0.5"/>
    <row r="270" ht="29.25" x14ac:dyDescent="0.5"/>
    <row r="313" ht="21" customHeight="1" x14ac:dyDescent="0.5"/>
    <row r="314" ht="21" customHeight="1" x14ac:dyDescent="0.5"/>
    <row r="315" ht="21" customHeight="1" x14ac:dyDescent="0.5"/>
    <row r="316" ht="21" customHeight="1" x14ac:dyDescent="0.5"/>
    <row r="317" ht="21" customHeight="1" x14ac:dyDescent="0.5"/>
    <row r="318" ht="21" customHeight="1" x14ac:dyDescent="0.5"/>
    <row r="319" ht="21" customHeight="1" x14ac:dyDescent="0.5"/>
    <row r="320" ht="21" customHeight="1" x14ac:dyDescent="0.5"/>
    <row r="321" ht="21" customHeight="1" x14ac:dyDescent="0.5"/>
    <row r="322" ht="21" customHeight="1" x14ac:dyDescent="0.5"/>
    <row r="323" ht="21" customHeight="1" x14ac:dyDescent="0.5"/>
    <row r="324" ht="21" customHeight="1" x14ac:dyDescent="0.5"/>
    <row r="325" ht="21" customHeight="1" x14ac:dyDescent="0.5"/>
    <row r="326" ht="21" customHeight="1" x14ac:dyDescent="0.5"/>
    <row r="327" ht="21" customHeight="1" x14ac:dyDescent="0.5"/>
    <row r="328" ht="21" customHeight="1" x14ac:dyDescent="0.5"/>
    <row r="329" ht="21" customHeight="1" x14ac:dyDescent="0.5"/>
    <row r="330" ht="21" customHeight="1" x14ac:dyDescent="0.5"/>
    <row r="331" ht="21" customHeight="1" x14ac:dyDescent="0.5"/>
    <row r="332" ht="21" customHeight="1" x14ac:dyDescent="0.5"/>
    <row r="333" ht="21" customHeight="1" x14ac:dyDescent="0.5"/>
    <row r="334" ht="21" customHeight="1" x14ac:dyDescent="0.5"/>
    <row r="335" ht="21" customHeight="1" x14ac:dyDescent="0.5"/>
    <row r="336" ht="21" customHeight="1" x14ac:dyDescent="0.5"/>
    <row r="337" ht="21" customHeight="1" x14ac:dyDescent="0.5"/>
    <row r="338" ht="21" customHeight="1" x14ac:dyDescent="0.5"/>
    <row r="339" ht="21" customHeight="1" x14ac:dyDescent="0.5"/>
    <row r="340" ht="21" customHeight="1" x14ac:dyDescent="0.5"/>
    <row r="341" ht="21" customHeight="1" x14ac:dyDescent="0.5"/>
    <row r="342" ht="21" customHeight="1" x14ac:dyDescent="0.5"/>
    <row r="343" ht="21" customHeight="1" x14ac:dyDescent="0.5"/>
    <row r="344" ht="21" customHeight="1" x14ac:dyDescent="0.5"/>
    <row r="345" ht="21" customHeight="1" x14ac:dyDescent="0.5"/>
    <row r="346" ht="21" customHeight="1" x14ac:dyDescent="0.5"/>
    <row r="347" ht="21" customHeight="1" x14ac:dyDescent="0.5"/>
    <row r="348" ht="21" customHeight="1" x14ac:dyDescent="0.5"/>
    <row r="349" ht="21" customHeight="1" x14ac:dyDescent="0.5"/>
    <row r="350" ht="21" customHeight="1" x14ac:dyDescent="0.5"/>
    <row r="351" ht="21" customHeight="1" x14ac:dyDescent="0.5"/>
    <row r="352" ht="21" customHeight="1" x14ac:dyDescent="0.5"/>
    <row r="353" ht="21" customHeight="1" x14ac:dyDescent="0.5"/>
    <row r="354" ht="21" customHeight="1" x14ac:dyDescent="0.5"/>
    <row r="355" ht="21" customHeight="1" x14ac:dyDescent="0.5"/>
    <row r="356" ht="21" customHeight="1" x14ac:dyDescent="0.5"/>
    <row r="357" ht="21" customHeight="1" x14ac:dyDescent="0.5"/>
    <row r="358" ht="21" customHeight="1" x14ac:dyDescent="0.5"/>
    <row r="359" ht="21" customHeight="1" x14ac:dyDescent="0.5"/>
    <row r="360" ht="21" customHeight="1" x14ac:dyDescent="0.5"/>
    <row r="361" ht="21" customHeight="1" x14ac:dyDescent="0.5"/>
    <row r="362" ht="21" customHeight="1" x14ac:dyDescent="0.5"/>
    <row r="363" ht="21" customHeight="1" x14ac:dyDescent="0.5"/>
    <row r="364" ht="21" customHeight="1" x14ac:dyDescent="0.5"/>
    <row r="365" ht="21" customHeight="1" x14ac:dyDescent="0.5"/>
    <row r="366" ht="21" customHeight="1" x14ac:dyDescent="0.5"/>
    <row r="367" ht="21" customHeight="1" x14ac:dyDescent="0.5"/>
    <row r="368" ht="21" customHeight="1" x14ac:dyDescent="0.5"/>
    <row r="369" ht="21" customHeight="1" x14ac:dyDescent="0.5"/>
    <row r="370" ht="21" customHeight="1" x14ac:dyDescent="0.5"/>
    <row r="371" ht="21" customHeight="1" x14ac:dyDescent="0.5"/>
    <row r="372" ht="21" customHeight="1" x14ac:dyDescent="0.5"/>
    <row r="373" ht="21" customHeight="1" x14ac:dyDescent="0.5"/>
    <row r="374" ht="21" customHeight="1" x14ac:dyDescent="0.5"/>
    <row r="375" ht="21" customHeight="1" x14ac:dyDescent="0.5"/>
    <row r="376" ht="21" customHeight="1" x14ac:dyDescent="0.5"/>
    <row r="377" ht="21" customHeight="1" x14ac:dyDescent="0.5"/>
    <row r="378" ht="21" customHeight="1" x14ac:dyDescent="0.5"/>
    <row r="379" ht="21" customHeight="1" x14ac:dyDescent="0.5"/>
    <row r="380" ht="21" customHeight="1" x14ac:dyDescent="0.5"/>
    <row r="381" ht="21" customHeight="1" x14ac:dyDescent="0.5"/>
    <row r="382" ht="21" customHeight="1" x14ac:dyDescent="0.5"/>
    <row r="383" ht="21" customHeight="1" x14ac:dyDescent="0.5"/>
    <row r="384" ht="21" customHeight="1" x14ac:dyDescent="0.5"/>
    <row r="385" ht="21" customHeight="1" x14ac:dyDescent="0.5"/>
    <row r="386" ht="21" customHeight="1" x14ac:dyDescent="0.5"/>
    <row r="387" ht="21" customHeight="1" x14ac:dyDescent="0.5"/>
    <row r="388" ht="21" customHeight="1" x14ac:dyDescent="0.5"/>
    <row r="389" ht="21" customHeight="1" x14ac:dyDescent="0.5"/>
    <row r="390" ht="21" customHeight="1" x14ac:dyDescent="0.5"/>
    <row r="391" ht="21" customHeight="1" x14ac:dyDescent="0.5"/>
    <row r="392" ht="21" customHeight="1" x14ac:dyDescent="0.5"/>
    <row r="393" ht="21" customHeight="1" x14ac:dyDescent="0.5"/>
    <row r="394" ht="21" customHeight="1" x14ac:dyDescent="0.5"/>
    <row r="395" ht="21" customHeight="1" x14ac:dyDescent="0.5"/>
    <row r="396" ht="21" customHeight="1" x14ac:dyDescent="0.5"/>
    <row r="397" ht="21" customHeight="1" x14ac:dyDescent="0.5"/>
    <row r="398" ht="21" customHeight="1" x14ac:dyDescent="0.5"/>
    <row r="399" ht="21" customHeight="1" x14ac:dyDescent="0.5"/>
    <row r="400" ht="21" customHeight="1" x14ac:dyDescent="0.5"/>
    <row r="401" ht="21" customHeight="1" x14ac:dyDescent="0.5"/>
    <row r="402" ht="21" customHeight="1" x14ac:dyDescent="0.5"/>
    <row r="403" ht="21" customHeight="1" x14ac:dyDescent="0.5"/>
    <row r="404" ht="21" customHeight="1" x14ac:dyDescent="0.5"/>
    <row r="405" ht="21" customHeight="1" x14ac:dyDescent="0.5"/>
    <row r="406" ht="21" customHeight="1" x14ac:dyDescent="0.5"/>
    <row r="407" ht="21" customHeight="1" x14ac:dyDescent="0.5"/>
    <row r="408" ht="21" customHeight="1" x14ac:dyDescent="0.5"/>
    <row r="409" ht="21" customHeight="1" x14ac:dyDescent="0.5"/>
    <row r="410" ht="21" customHeight="1" x14ac:dyDescent="0.5"/>
    <row r="411" ht="21" customHeight="1" x14ac:dyDescent="0.5"/>
    <row r="412" ht="21" customHeight="1" x14ac:dyDescent="0.5"/>
    <row r="413" ht="21" customHeight="1" x14ac:dyDescent="0.5"/>
    <row r="414" ht="21" customHeight="1" x14ac:dyDescent="0.5"/>
    <row r="415" ht="21" customHeight="1" x14ac:dyDescent="0.5"/>
    <row r="416" ht="21" customHeight="1" x14ac:dyDescent="0.5"/>
    <row r="417" ht="21" customHeight="1" x14ac:dyDescent="0.5"/>
    <row r="418" ht="21" customHeight="1" x14ac:dyDescent="0.5"/>
    <row r="419" ht="21" customHeight="1" x14ac:dyDescent="0.5"/>
    <row r="420" ht="21" customHeight="1" x14ac:dyDescent="0.5"/>
    <row r="421" ht="21" customHeight="1" x14ac:dyDescent="0.5"/>
    <row r="422" ht="21" customHeight="1" x14ac:dyDescent="0.5"/>
    <row r="423" ht="21" customHeight="1" x14ac:dyDescent="0.5"/>
    <row r="424" ht="21" customHeight="1" x14ac:dyDescent="0.5"/>
    <row r="425" ht="21" customHeight="1" x14ac:dyDescent="0.5"/>
    <row r="426" ht="21" customHeight="1" x14ac:dyDescent="0.5"/>
    <row r="427" ht="21" customHeight="1" x14ac:dyDescent="0.5"/>
    <row r="428" ht="21" customHeight="1" x14ac:dyDescent="0.5"/>
    <row r="429" ht="21" customHeight="1" x14ac:dyDescent="0.5"/>
    <row r="430" ht="21" customHeight="1" x14ac:dyDescent="0.5"/>
    <row r="431" ht="21" customHeight="1" x14ac:dyDescent="0.5"/>
    <row r="432" ht="21" customHeight="1" x14ac:dyDescent="0.5"/>
    <row r="433" ht="21" customHeight="1" x14ac:dyDescent="0.5"/>
    <row r="434" ht="21" customHeight="1" x14ac:dyDescent="0.5"/>
    <row r="435" ht="21" customHeight="1" x14ac:dyDescent="0.5"/>
    <row r="436" ht="21" customHeight="1" x14ac:dyDescent="0.5"/>
    <row r="437" ht="21" customHeight="1" x14ac:dyDescent="0.5"/>
    <row r="438" ht="21" customHeight="1" x14ac:dyDescent="0.5"/>
    <row r="439" ht="21" customHeight="1" x14ac:dyDescent="0.5"/>
    <row r="440" ht="21" customHeight="1" x14ac:dyDescent="0.5"/>
    <row r="441" ht="21" customHeight="1" x14ac:dyDescent="0.5"/>
    <row r="442" ht="21" customHeight="1" x14ac:dyDescent="0.5"/>
    <row r="443" ht="21" customHeight="1" x14ac:dyDescent="0.5"/>
    <row r="444" ht="21" customHeight="1" x14ac:dyDescent="0.5"/>
    <row r="445" ht="21" customHeight="1" x14ac:dyDescent="0.5"/>
    <row r="446" ht="21" customHeight="1" x14ac:dyDescent="0.5"/>
    <row r="447" ht="21" customHeight="1" x14ac:dyDescent="0.5"/>
    <row r="448" ht="21" customHeight="1" x14ac:dyDescent="0.5"/>
    <row r="449" ht="21" customHeight="1" x14ac:dyDescent="0.5"/>
    <row r="450" ht="21" customHeight="1" x14ac:dyDescent="0.5"/>
    <row r="451" ht="21" customHeight="1" x14ac:dyDescent="0.5"/>
    <row r="452" ht="21" customHeight="1" x14ac:dyDescent="0.5"/>
    <row r="453" ht="21" customHeight="1" x14ac:dyDescent="0.5"/>
    <row r="454" ht="21" customHeight="1" x14ac:dyDescent="0.5"/>
    <row r="455" ht="21" customHeight="1" x14ac:dyDescent="0.5"/>
    <row r="456" ht="21" customHeight="1" x14ac:dyDescent="0.5"/>
    <row r="457" ht="21" customHeight="1" x14ac:dyDescent="0.5"/>
    <row r="458" ht="21" customHeight="1" x14ac:dyDescent="0.5"/>
    <row r="459" ht="21" customHeight="1" x14ac:dyDescent="0.5"/>
    <row r="460" ht="21" customHeight="1" x14ac:dyDescent="0.5"/>
    <row r="461" ht="21" customHeight="1" x14ac:dyDescent="0.5"/>
    <row r="462" ht="21" customHeight="1" x14ac:dyDescent="0.5"/>
    <row r="463" ht="21" customHeight="1" x14ac:dyDescent="0.5"/>
    <row r="464" ht="21" customHeight="1" x14ac:dyDescent="0.5"/>
    <row r="465" ht="21" customHeight="1" x14ac:dyDescent="0.5"/>
    <row r="466" ht="21" customHeight="1" x14ac:dyDescent="0.5"/>
    <row r="467" ht="21" customHeight="1" x14ac:dyDescent="0.5"/>
    <row r="468" ht="21" customHeight="1" x14ac:dyDescent="0.5"/>
    <row r="469" ht="21" customHeight="1" x14ac:dyDescent="0.5"/>
    <row r="470" ht="21" customHeight="1" x14ac:dyDescent="0.5"/>
    <row r="471" ht="21" customHeight="1" x14ac:dyDescent="0.5"/>
    <row r="472" ht="21" customHeight="1" x14ac:dyDescent="0.5"/>
    <row r="473" ht="21" customHeight="1" x14ac:dyDescent="0.5"/>
    <row r="474" ht="21" customHeight="1" x14ac:dyDescent="0.5"/>
    <row r="475" ht="21" customHeight="1" x14ac:dyDescent="0.5"/>
    <row r="476" ht="21" customHeight="1" x14ac:dyDescent="0.5"/>
    <row r="477" ht="21" customHeight="1" x14ac:dyDescent="0.5"/>
    <row r="478" ht="21" customHeight="1" x14ac:dyDescent="0.5"/>
    <row r="479" ht="21" customHeight="1" x14ac:dyDescent="0.5"/>
    <row r="480" ht="21" customHeight="1" x14ac:dyDescent="0.5"/>
    <row r="481" ht="21" customHeight="1" x14ac:dyDescent="0.5"/>
    <row r="482" ht="21" customHeight="1" x14ac:dyDescent="0.5"/>
    <row r="483" ht="21" customHeight="1" x14ac:dyDescent="0.5"/>
    <row r="484" ht="21" customHeight="1" x14ac:dyDescent="0.5"/>
    <row r="485" ht="21" customHeight="1" x14ac:dyDescent="0.5"/>
    <row r="486" ht="21" customHeight="1" x14ac:dyDescent="0.5"/>
    <row r="487" ht="21" customHeight="1" x14ac:dyDescent="0.5"/>
    <row r="488" ht="21" customHeight="1" x14ac:dyDescent="0.5"/>
    <row r="489" ht="21" customHeight="1" x14ac:dyDescent="0.5"/>
    <row r="490" ht="21" customHeight="1" x14ac:dyDescent="0.5"/>
    <row r="491" ht="21" customHeight="1" x14ac:dyDescent="0.5"/>
    <row r="492" ht="21" customHeight="1" x14ac:dyDescent="0.5"/>
    <row r="493" ht="21" customHeight="1" x14ac:dyDescent="0.5"/>
    <row r="494" ht="21" customHeight="1" x14ac:dyDescent="0.5"/>
    <row r="495" ht="21" customHeight="1" x14ac:dyDescent="0.5"/>
    <row r="496" ht="21" customHeight="1" x14ac:dyDescent="0.5"/>
    <row r="497" ht="21" customHeight="1" x14ac:dyDescent="0.5"/>
    <row r="498" ht="21" customHeight="1" x14ac:dyDescent="0.5"/>
    <row r="499" ht="21" customHeight="1" x14ac:dyDescent="0.5"/>
    <row r="500" ht="21" customHeight="1" x14ac:dyDescent="0.5"/>
    <row r="501" ht="21" customHeight="1" x14ac:dyDescent="0.5"/>
    <row r="502" ht="21" customHeight="1" x14ac:dyDescent="0.5"/>
    <row r="503" ht="21" customHeight="1" x14ac:dyDescent="0.5"/>
    <row r="504" ht="21" customHeight="1" x14ac:dyDescent="0.5"/>
    <row r="505" ht="21" customHeight="1" x14ac:dyDescent="0.5"/>
    <row r="506" ht="21" customHeight="1" x14ac:dyDescent="0.5"/>
    <row r="507" ht="21" customHeight="1" x14ac:dyDescent="0.5"/>
    <row r="508" ht="21" customHeight="1" x14ac:dyDescent="0.5"/>
    <row r="509" ht="21" customHeight="1" x14ac:dyDescent="0.5"/>
    <row r="510" ht="21" customHeight="1" x14ac:dyDescent="0.5"/>
    <row r="511" ht="21" customHeight="1" x14ac:dyDescent="0.5"/>
    <row r="512" ht="21" customHeight="1" x14ac:dyDescent="0.5"/>
    <row r="513" ht="21" customHeight="1" x14ac:dyDescent="0.5"/>
    <row r="514" ht="21" customHeight="1" x14ac:dyDescent="0.5"/>
    <row r="515" ht="21" customHeight="1" x14ac:dyDescent="0.5"/>
    <row r="516" ht="21" customHeight="1" x14ac:dyDescent="0.5"/>
    <row r="517" ht="21" customHeight="1" x14ac:dyDescent="0.5"/>
    <row r="518" ht="21" customHeight="1" x14ac:dyDescent="0.5"/>
    <row r="519" ht="21" customHeight="1" x14ac:dyDescent="0.5"/>
    <row r="520" ht="21" customHeight="1" x14ac:dyDescent="0.5"/>
    <row r="521" ht="21" customHeight="1" x14ac:dyDescent="0.5"/>
    <row r="522" ht="21" customHeight="1" x14ac:dyDescent="0.5"/>
    <row r="523" ht="21" customHeight="1" x14ac:dyDescent="0.5"/>
    <row r="524" ht="21" customHeight="1" x14ac:dyDescent="0.5"/>
    <row r="525" ht="21" customHeight="1" x14ac:dyDescent="0.5"/>
    <row r="526" ht="21" customHeight="1" x14ac:dyDescent="0.5"/>
    <row r="527" ht="21" customHeight="1" x14ac:dyDescent="0.5"/>
    <row r="528" ht="21" customHeight="1" x14ac:dyDescent="0.5"/>
    <row r="529" ht="21" customHeight="1" x14ac:dyDescent="0.5"/>
    <row r="530" ht="21" customHeight="1" x14ac:dyDescent="0.5"/>
    <row r="531" ht="21" customHeight="1" x14ac:dyDescent="0.5"/>
    <row r="532" ht="21" customHeight="1" x14ac:dyDescent="0.5"/>
    <row r="533" ht="21" customHeight="1" x14ac:dyDescent="0.5"/>
    <row r="534" ht="21" customHeight="1" x14ac:dyDescent="0.5"/>
    <row r="535" ht="21" customHeight="1" x14ac:dyDescent="0.5"/>
    <row r="536" ht="21" customHeight="1" x14ac:dyDescent="0.5"/>
    <row r="537" ht="21" customHeight="1" x14ac:dyDescent="0.5"/>
    <row r="538" ht="21" customHeight="1" x14ac:dyDescent="0.5"/>
    <row r="539" ht="21" customHeight="1" x14ac:dyDescent="0.5"/>
    <row r="540" ht="21" customHeight="1" x14ac:dyDescent="0.5"/>
    <row r="541" ht="21" customHeight="1" x14ac:dyDescent="0.5"/>
    <row r="542" ht="21" customHeight="1" x14ac:dyDescent="0.5"/>
    <row r="543" ht="21" customHeight="1" x14ac:dyDescent="0.5"/>
    <row r="544" ht="21" customHeight="1" x14ac:dyDescent="0.5"/>
    <row r="545" ht="21" customHeight="1" x14ac:dyDescent="0.5"/>
    <row r="546" ht="21" customHeight="1" x14ac:dyDescent="0.5"/>
    <row r="547" ht="21" customHeight="1" x14ac:dyDescent="0.5"/>
    <row r="548" ht="21" customHeight="1" x14ac:dyDescent="0.5"/>
    <row r="549" ht="21" customHeight="1" x14ac:dyDescent="0.5"/>
    <row r="550" ht="21" customHeight="1" x14ac:dyDescent="0.5"/>
    <row r="551" ht="21" customHeight="1" x14ac:dyDescent="0.5"/>
    <row r="552" ht="21" customHeight="1" x14ac:dyDescent="0.5"/>
    <row r="553" ht="21" customHeight="1" x14ac:dyDescent="0.5"/>
    <row r="554" ht="21" customHeight="1" x14ac:dyDescent="0.5"/>
    <row r="555" ht="21" customHeight="1" x14ac:dyDescent="0.5"/>
    <row r="556" ht="21" customHeight="1" x14ac:dyDescent="0.5"/>
    <row r="557" ht="21" customHeight="1" x14ac:dyDescent="0.5"/>
    <row r="558" ht="21" customHeight="1" x14ac:dyDescent="0.5"/>
    <row r="559" ht="21" customHeight="1" x14ac:dyDescent="0.5"/>
    <row r="560" ht="21" customHeight="1" x14ac:dyDescent="0.5"/>
    <row r="561" ht="21" customHeight="1" x14ac:dyDescent="0.5"/>
    <row r="562" ht="21" customHeight="1" x14ac:dyDescent="0.5"/>
    <row r="563" ht="21" customHeight="1" x14ac:dyDescent="0.5"/>
    <row r="564" ht="21" customHeight="1" x14ac:dyDescent="0.5"/>
    <row r="565" ht="21" customHeight="1" x14ac:dyDescent="0.5"/>
    <row r="566" ht="21" customHeight="1" x14ac:dyDescent="0.5"/>
    <row r="567" ht="21" customHeight="1" x14ac:dyDescent="0.5"/>
    <row r="568" ht="21" customHeight="1" x14ac:dyDescent="0.5"/>
    <row r="569" ht="21" customHeight="1" x14ac:dyDescent="0.5"/>
    <row r="570" ht="21" customHeight="1" x14ac:dyDescent="0.5"/>
    <row r="571" ht="21" customHeight="1" x14ac:dyDescent="0.5"/>
    <row r="572" ht="21" customHeight="1" x14ac:dyDescent="0.5"/>
    <row r="573" ht="21" customHeight="1" x14ac:dyDescent="0.5"/>
    <row r="574" ht="21" customHeight="1" x14ac:dyDescent="0.5"/>
    <row r="575" ht="21" customHeight="1" x14ac:dyDescent="0.5"/>
    <row r="576" ht="21" customHeight="1" x14ac:dyDescent="0.5"/>
    <row r="577" ht="21" customHeight="1" x14ac:dyDescent="0.5"/>
    <row r="578" ht="21" customHeight="1" x14ac:dyDescent="0.5"/>
    <row r="579" ht="21" customHeight="1" x14ac:dyDescent="0.5"/>
    <row r="580" ht="21" customHeight="1" x14ac:dyDescent="0.5"/>
    <row r="581" ht="21" customHeight="1" x14ac:dyDescent="0.5"/>
    <row r="582" ht="21" customHeight="1" x14ac:dyDescent="0.5"/>
    <row r="583" ht="21" customHeight="1" x14ac:dyDescent="0.5"/>
    <row r="584" ht="21" customHeight="1" x14ac:dyDescent="0.5"/>
    <row r="585" ht="21" customHeight="1" x14ac:dyDescent="0.5"/>
    <row r="586" ht="21" customHeight="1" x14ac:dyDescent="0.5"/>
    <row r="587" ht="21" customHeight="1" x14ac:dyDescent="0.5"/>
    <row r="588" ht="21" customHeight="1" x14ac:dyDescent="0.5"/>
    <row r="589" ht="21" customHeight="1" x14ac:dyDescent="0.5"/>
    <row r="590" ht="21" customHeight="1" x14ac:dyDescent="0.5"/>
    <row r="591" ht="21" customHeight="1" x14ac:dyDescent="0.5"/>
    <row r="592" ht="21" customHeight="1" x14ac:dyDescent="0.5"/>
    <row r="593" ht="21" customHeight="1" x14ac:dyDescent="0.5"/>
    <row r="594" ht="21" customHeight="1" x14ac:dyDescent="0.5"/>
    <row r="595" ht="21" customHeight="1" x14ac:dyDescent="0.5"/>
    <row r="596" ht="21" customHeight="1" x14ac:dyDescent="0.5"/>
    <row r="597" ht="21" customHeight="1" x14ac:dyDescent="0.5"/>
    <row r="598" ht="21" customHeight="1" x14ac:dyDescent="0.5"/>
    <row r="599" ht="21" customHeight="1" x14ac:dyDescent="0.5"/>
    <row r="600" ht="21" customHeight="1" x14ac:dyDescent="0.5"/>
    <row r="601" ht="21" customHeight="1" x14ac:dyDescent="0.5"/>
    <row r="602" ht="21" customHeight="1" x14ac:dyDescent="0.5"/>
    <row r="603" ht="21" customHeight="1" x14ac:dyDescent="0.5"/>
    <row r="604" ht="21" customHeight="1" x14ac:dyDescent="0.5"/>
    <row r="605" ht="21" customHeight="1" x14ac:dyDescent="0.5"/>
    <row r="606" ht="21" customHeight="1" x14ac:dyDescent="0.5"/>
    <row r="607" ht="21" customHeight="1" x14ac:dyDescent="0.5"/>
    <row r="608" ht="21" customHeight="1" x14ac:dyDescent="0.5"/>
    <row r="609" ht="21" customHeight="1" x14ac:dyDescent="0.5"/>
    <row r="610" ht="21" customHeight="1" x14ac:dyDescent="0.5"/>
    <row r="611" ht="21" customHeight="1" x14ac:dyDescent="0.5"/>
    <row r="612" ht="21" customHeight="1" x14ac:dyDescent="0.5"/>
    <row r="613" ht="21" customHeight="1" x14ac:dyDescent="0.5"/>
    <row r="614" ht="21" customHeight="1" x14ac:dyDescent="0.5"/>
    <row r="615" ht="21" customHeight="1" x14ac:dyDescent="0.5"/>
    <row r="616" ht="21" customHeight="1" x14ac:dyDescent="0.5"/>
    <row r="617" ht="21" customHeight="1" x14ac:dyDescent="0.5"/>
    <row r="618" ht="21" customHeight="1" x14ac:dyDescent="0.5"/>
    <row r="619" ht="21" customHeight="1" x14ac:dyDescent="0.5"/>
    <row r="620" ht="21" customHeight="1" x14ac:dyDescent="0.5"/>
    <row r="621" ht="21" customHeight="1" x14ac:dyDescent="0.5"/>
    <row r="622" ht="21" customHeight="1" x14ac:dyDescent="0.5"/>
    <row r="623" ht="21" customHeight="1" x14ac:dyDescent="0.5"/>
    <row r="624" ht="21" customHeight="1" x14ac:dyDescent="0.5"/>
    <row r="625" ht="21" customHeight="1" x14ac:dyDescent="0.5"/>
    <row r="626" ht="21" customHeight="1" x14ac:dyDescent="0.5"/>
    <row r="627" ht="21" customHeight="1" x14ac:dyDescent="0.5"/>
    <row r="628" ht="21" customHeight="1" x14ac:dyDescent="0.5"/>
    <row r="629" ht="21" customHeight="1" x14ac:dyDescent="0.5"/>
    <row r="630" ht="21" customHeight="1" x14ac:dyDescent="0.5"/>
    <row r="631" ht="21" customHeight="1" x14ac:dyDescent="0.5"/>
    <row r="632" ht="21" customHeight="1" x14ac:dyDescent="0.5"/>
    <row r="633" ht="21" customHeight="1" x14ac:dyDescent="0.5"/>
    <row r="634" ht="21" customHeight="1" x14ac:dyDescent="0.5"/>
    <row r="635" ht="21" customHeight="1" x14ac:dyDescent="0.5"/>
    <row r="636" ht="21" customHeight="1" x14ac:dyDescent="0.5"/>
    <row r="637" ht="21" customHeight="1" x14ac:dyDescent="0.5"/>
    <row r="638" ht="21" customHeight="1" x14ac:dyDescent="0.5"/>
    <row r="639" ht="21" customHeight="1" x14ac:dyDescent="0.5"/>
    <row r="640" ht="21" customHeight="1" x14ac:dyDescent="0.5"/>
    <row r="641" ht="21" customHeight="1" x14ac:dyDescent="0.5"/>
    <row r="642" ht="21" customHeight="1" x14ac:dyDescent="0.5"/>
    <row r="643" ht="21" customHeight="1" x14ac:dyDescent="0.5"/>
    <row r="644" ht="21" customHeight="1" x14ac:dyDescent="0.5"/>
    <row r="645" ht="21" customHeight="1" x14ac:dyDescent="0.5"/>
    <row r="646" ht="21" customHeight="1" x14ac:dyDescent="0.5"/>
    <row r="647" ht="21" customHeight="1" x14ac:dyDescent="0.5"/>
    <row r="648" ht="21" customHeight="1" x14ac:dyDescent="0.5"/>
    <row r="649" ht="21" customHeight="1" x14ac:dyDescent="0.5"/>
    <row r="650" ht="21" customHeight="1" x14ac:dyDescent="0.5"/>
    <row r="651" ht="21" customHeight="1" x14ac:dyDescent="0.5"/>
    <row r="652" ht="21" customHeight="1" x14ac:dyDescent="0.5"/>
    <row r="653" ht="21" customHeight="1" x14ac:dyDescent="0.5"/>
    <row r="654" ht="21" customHeight="1" x14ac:dyDescent="0.5"/>
    <row r="655" ht="21" customHeight="1" x14ac:dyDescent="0.5"/>
    <row r="656" ht="21" customHeight="1" x14ac:dyDescent="0.5"/>
    <row r="657" ht="21" customHeight="1" x14ac:dyDescent="0.5"/>
    <row r="658" ht="21" customHeight="1" x14ac:dyDescent="0.5"/>
    <row r="659" ht="21" customHeight="1" x14ac:dyDescent="0.5"/>
    <row r="660" ht="21" customHeight="1" x14ac:dyDescent="0.5"/>
    <row r="661" ht="21" customHeight="1" x14ac:dyDescent="0.5"/>
    <row r="662" ht="21" customHeight="1" x14ac:dyDescent="0.5"/>
    <row r="663" ht="21" customHeight="1" x14ac:dyDescent="0.5"/>
    <row r="664" ht="21" customHeight="1" x14ac:dyDescent="0.5"/>
    <row r="665" ht="21" customHeight="1" x14ac:dyDescent="0.5"/>
    <row r="666" ht="21" customHeight="1" x14ac:dyDescent="0.5"/>
    <row r="667" ht="21" customHeight="1" x14ac:dyDescent="0.5"/>
    <row r="668" ht="21" customHeight="1" x14ac:dyDescent="0.5"/>
    <row r="669" ht="21" customHeight="1" x14ac:dyDescent="0.5"/>
    <row r="670" ht="21" customHeight="1" x14ac:dyDescent="0.5"/>
    <row r="671" ht="21" customHeight="1" x14ac:dyDescent="0.5"/>
    <row r="672" ht="21" customHeight="1" x14ac:dyDescent="0.5"/>
    <row r="673" ht="21" customHeight="1" x14ac:dyDescent="0.5"/>
    <row r="674" ht="21" customHeight="1" x14ac:dyDescent="0.5"/>
    <row r="675" ht="21" customHeight="1" x14ac:dyDescent="0.5"/>
    <row r="676" ht="21" customHeight="1" x14ac:dyDescent="0.5"/>
    <row r="677" ht="21" customHeight="1" x14ac:dyDescent="0.5"/>
    <row r="678" ht="21" customHeight="1" x14ac:dyDescent="0.5"/>
    <row r="679" ht="21" customHeight="1" x14ac:dyDescent="0.5"/>
    <row r="680" ht="21" customHeight="1" x14ac:dyDescent="0.5"/>
    <row r="681" ht="21" customHeight="1" x14ac:dyDescent="0.5"/>
    <row r="682" ht="21" customHeight="1" x14ac:dyDescent="0.5"/>
    <row r="683" ht="21" customHeight="1" x14ac:dyDescent="0.5"/>
    <row r="684" ht="21" customHeight="1" x14ac:dyDescent="0.5"/>
    <row r="685" ht="21" customHeight="1" x14ac:dyDescent="0.5"/>
    <row r="686" ht="21" customHeight="1" x14ac:dyDescent="0.5"/>
    <row r="687" ht="21" customHeight="1" x14ac:dyDescent="0.5"/>
    <row r="688" ht="21" customHeight="1" x14ac:dyDescent="0.5"/>
    <row r="689" ht="21" customHeight="1" x14ac:dyDescent="0.5"/>
    <row r="690" ht="21" customHeight="1" x14ac:dyDescent="0.5"/>
    <row r="691" ht="21" customHeight="1" x14ac:dyDescent="0.5"/>
    <row r="692" ht="21" customHeight="1" x14ac:dyDescent="0.5"/>
    <row r="693" ht="21" customHeight="1" x14ac:dyDescent="0.5"/>
    <row r="694" ht="21" customHeight="1" x14ac:dyDescent="0.5"/>
    <row r="695" ht="21" customHeight="1" x14ac:dyDescent="0.5"/>
    <row r="696" ht="21" customHeight="1" x14ac:dyDescent="0.5"/>
    <row r="697" ht="21" customHeight="1" x14ac:dyDescent="0.5"/>
    <row r="698" ht="21" customHeight="1" x14ac:dyDescent="0.5"/>
    <row r="699" ht="21" customHeight="1" x14ac:dyDescent="0.5"/>
    <row r="700" ht="21" customHeight="1" x14ac:dyDescent="0.5"/>
    <row r="701" ht="21" customHeight="1" x14ac:dyDescent="0.5"/>
    <row r="702" ht="21" customHeight="1" x14ac:dyDescent="0.5"/>
    <row r="703" ht="21" customHeight="1" x14ac:dyDescent="0.5"/>
    <row r="704" ht="21" customHeight="1" x14ac:dyDescent="0.5"/>
    <row r="705" ht="21" customHeight="1" x14ac:dyDescent="0.5"/>
    <row r="706" ht="21" customHeight="1" x14ac:dyDescent="0.5"/>
    <row r="707" ht="21" customHeight="1" x14ac:dyDescent="0.5"/>
    <row r="708" ht="21" customHeight="1" x14ac:dyDescent="0.5"/>
    <row r="709" ht="21" customHeight="1" x14ac:dyDescent="0.5"/>
    <row r="710" ht="21" customHeight="1" x14ac:dyDescent="0.5"/>
    <row r="711" ht="21" customHeight="1" x14ac:dyDescent="0.5"/>
    <row r="712" ht="21" customHeight="1" x14ac:dyDescent="0.5"/>
    <row r="713" ht="21" customHeight="1" x14ac:dyDescent="0.5"/>
    <row r="714" ht="21" customHeight="1" x14ac:dyDescent="0.5"/>
    <row r="715" ht="21" customHeight="1" x14ac:dyDescent="0.5"/>
    <row r="716" ht="21" customHeight="1" x14ac:dyDescent="0.5"/>
    <row r="717" ht="21" customHeight="1" x14ac:dyDescent="0.5"/>
    <row r="718" ht="21" customHeight="1" x14ac:dyDescent="0.5"/>
    <row r="719" ht="21" customHeight="1" x14ac:dyDescent="0.5"/>
    <row r="720" ht="21" customHeight="1" x14ac:dyDescent="0.5"/>
    <row r="721" ht="21" customHeight="1" x14ac:dyDescent="0.5"/>
    <row r="722" ht="21" customHeight="1" x14ac:dyDescent="0.5"/>
    <row r="723" ht="21" customHeight="1" x14ac:dyDescent="0.5"/>
    <row r="724" ht="21" customHeight="1" x14ac:dyDescent="0.5"/>
    <row r="725" ht="21" customHeight="1" x14ac:dyDescent="0.5"/>
    <row r="726" ht="21" customHeight="1" x14ac:dyDescent="0.5"/>
    <row r="727" ht="21" customHeight="1" x14ac:dyDescent="0.5"/>
    <row r="728" ht="21" customHeight="1" x14ac:dyDescent="0.5"/>
    <row r="729" ht="21" customHeight="1" x14ac:dyDescent="0.5"/>
    <row r="730" ht="21" customHeight="1" x14ac:dyDescent="0.5"/>
    <row r="731" ht="21" customHeight="1" x14ac:dyDescent="0.5"/>
    <row r="732" ht="21" customHeight="1" x14ac:dyDescent="0.5"/>
    <row r="733" ht="21" customHeight="1" x14ac:dyDescent="0.5"/>
    <row r="734" ht="21" customHeight="1" x14ac:dyDescent="0.5"/>
    <row r="735" ht="21" customHeight="1" x14ac:dyDescent="0.5"/>
    <row r="736" ht="21" customHeight="1" x14ac:dyDescent="0.5"/>
    <row r="737" ht="21" customHeight="1" x14ac:dyDescent="0.5"/>
    <row r="738" ht="21" customHeight="1" x14ac:dyDescent="0.5"/>
    <row r="739" ht="21" customHeight="1" x14ac:dyDescent="0.5"/>
    <row r="740" ht="21" customHeight="1" x14ac:dyDescent="0.5"/>
    <row r="741" ht="21" customHeight="1" x14ac:dyDescent="0.5"/>
    <row r="742" ht="21" customHeight="1" x14ac:dyDescent="0.5"/>
    <row r="743" ht="21" customHeight="1" x14ac:dyDescent="0.5"/>
    <row r="744" ht="21" customHeight="1" x14ac:dyDescent="0.5"/>
    <row r="745" ht="21" customHeight="1" x14ac:dyDescent="0.5"/>
    <row r="746" ht="21" customHeight="1" x14ac:dyDescent="0.5"/>
    <row r="747" ht="21" customHeight="1" x14ac:dyDescent="0.5"/>
    <row r="748" ht="21" customHeight="1" x14ac:dyDescent="0.5"/>
    <row r="749" ht="21" customHeight="1" x14ac:dyDescent="0.5"/>
    <row r="750" ht="21" customHeight="1" x14ac:dyDescent="0.5"/>
    <row r="751" ht="21" customHeight="1" x14ac:dyDescent="0.5"/>
    <row r="752" ht="21" customHeight="1" x14ac:dyDescent="0.5"/>
    <row r="753" ht="21" customHeight="1" x14ac:dyDescent="0.5"/>
    <row r="754" ht="21" customHeight="1" x14ac:dyDescent="0.5"/>
    <row r="755" ht="21" customHeight="1" x14ac:dyDescent="0.5"/>
    <row r="756" ht="21" customHeight="1" x14ac:dyDescent="0.5"/>
    <row r="757" ht="21" customHeight="1" x14ac:dyDescent="0.5"/>
    <row r="758" ht="21" customHeight="1" x14ac:dyDescent="0.5"/>
    <row r="759" ht="21" customHeight="1" x14ac:dyDescent="0.5"/>
    <row r="760" ht="21" customHeight="1" x14ac:dyDescent="0.5"/>
    <row r="761" ht="21" customHeight="1" x14ac:dyDescent="0.5"/>
    <row r="762" ht="21" customHeight="1" x14ac:dyDescent="0.5"/>
    <row r="763" ht="21" customHeight="1" x14ac:dyDescent="0.5"/>
    <row r="764" ht="21" customHeight="1" x14ac:dyDescent="0.5"/>
    <row r="765" ht="21" customHeight="1" x14ac:dyDescent="0.5"/>
    <row r="766" ht="21" customHeight="1" x14ac:dyDescent="0.5"/>
    <row r="767" ht="21" customHeight="1" x14ac:dyDescent="0.5"/>
    <row r="768" ht="21" customHeight="1" x14ac:dyDescent="0.5"/>
    <row r="769" ht="21" customHeight="1" x14ac:dyDescent="0.5"/>
    <row r="770" ht="21" customHeight="1" x14ac:dyDescent="0.5"/>
    <row r="771" ht="21" customHeight="1" x14ac:dyDescent="0.5"/>
    <row r="772" ht="21" customHeight="1" x14ac:dyDescent="0.5"/>
    <row r="773" ht="21" customHeight="1" x14ac:dyDescent="0.5"/>
    <row r="774" ht="21" customHeight="1" x14ac:dyDescent="0.5"/>
    <row r="775" ht="21" customHeight="1" x14ac:dyDescent="0.5"/>
    <row r="776" ht="21" customHeight="1" x14ac:dyDescent="0.5"/>
    <row r="777" ht="21" customHeight="1" x14ac:dyDescent="0.5"/>
    <row r="778" ht="21" customHeight="1" x14ac:dyDescent="0.5"/>
    <row r="779" ht="21" customHeight="1" x14ac:dyDescent="0.5"/>
    <row r="780" ht="21" customHeight="1" x14ac:dyDescent="0.5"/>
    <row r="781" ht="21" customHeight="1" x14ac:dyDescent="0.5"/>
    <row r="782" ht="21" customHeight="1" x14ac:dyDescent="0.5"/>
    <row r="783" ht="21" customHeight="1" x14ac:dyDescent="0.5"/>
    <row r="784" ht="21" customHeight="1" x14ac:dyDescent="0.5"/>
    <row r="785" ht="21" customHeight="1" x14ac:dyDescent="0.5"/>
    <row r="786" ht="21" customHeight="1" x14ac:dyDescent="0.5"/>
    <row r="787" ht="21" customHeight="1" x14ac:dyDescent="0.5"/>
    <row r="788" ht="21" customHeight="1" x14ac:dyDescent="0.5"/>
    <row r="789" ht="21" customHeight="1" x14ac:dyDescent="0.5"/>
    <row r="790" ht="21" customHeight="1" x14ac:dyDescent="0.5"/>
    <row r="791" ht="21" customHeight="1" x14ac:dyDescent="0.5"/>
    <row r="792" ht="21" customHeight="1" x14ac:dyDescent="0.5"/>
    <row r="793" ht="21" customHeight="1" x14ac:dyDescent="0.5"/>
    <row r="794" ht="21" customHeight="1" x14ac:dyDescent="0.5"/>
    <row r="795" ht="21" customHeight="1" x14ac:dyDescent="0.5"/>
    <row r="796" ht="21" customHeight="1" x14ac:dyDescent="0.5"/>
    <row r="797" ht="21" customHeight="1" x14ac:dyDescent="0.5"/>
    <row r="798" ht="21" customHeight="1" x14ac:dyDescent="0.5"/>
    <row r="799" ht="21" customHeight="1" x14ac:dyDescent="0.5"/>
    <row r="800" ht="21" customHeight="1" x14ac:dyDescent="0.5"/>
    <row r="801" ht="21" customHeight="1" x14ac:dyDescent="0.5"/>
    <row r="802" ht="21" customHeight="1" x14ac:dyDescent="0.5"/>
    <row r="803" ht="21" customHeight="1" x14ac:dyDescent="0.5"/>
    <row r="804" ht="21" customHeight="1" x14ac:dyDescent="0.5"/>
    <row r="805" ht="21" customHeight="1" x14ac:dyDescent="0.5"/>
    <row r="806" ht="21" customHeight="1" x14ac:dyDescent="0.5"/>
    <row r="807" ht="21" customHeight="1" x14ac:dyDescent="0.5"/>
    <row r="808" ht="21" customHeight="1" x14ac:dyDescent="0.5"/>
    <row r="809" ht="21" customHeight="1" x14ac:dyDescent="0.5"/>
    <row r="810" ht="21" customHeight="1" x14ac:dyDescent="0.5"/>
    <row r="811" ht="21" customHeight="1" x14ac:dyDescent="0.5"/>
    <row r="812" ht="21" customHeight="1" x14ac:dyDescent="0.5"/>
    <row r="813" ht="21" customHeight="1" x14ac:dyDescent="0.5"/>
    <row r="814" ht="21" customHeight="1" x14ac:dyDescent="0.5"/>
    <row r="815" ht="21" customHeight="1" x14ac:dyDescent="0.5"/>
    <row r="816" ht="21" customHeight="1" x14ac:dyDescent="0.5"/>
    <row r="817" ht="21" customHeight="1" x14ac:dyDescent="0.5"/>
    <row r="818" ht="21" customHeight="1" x14ac:dyDescent="0.5"/>
    <row r="819" ht="21" customHeight="1" x14ac:dyDescent="0.5"/>
    <row r="820" ht="21" customHeight="1" x14ac:dyDescent="0.5"/>
    <row r="821" ht="21" customHeight="1" x14ac:dyDescent="0.5"/>
    <row r="822" ht="21" customHeight="1" x14ac:dyDescent="0.5"/>
    <row r="823" ht="21" customHeight="1" x14ac:dyDescent="0.5"/>
    <row r="824" ht="21" customHeight="1" x14ac:dyDescent="0.5"/>
    <row r="825" ht="21" customHeight="1" x14ac:dyDescent="0.5"/>
    <row r="826" ht="21" customHeight="1" x14ac:dyDescent="0.5"/>
    <row r="827" ht="21" customHeight="1" x14ac:dyDescent="0.5"/>
    <row r="828" ht="21" customHeight="1" x14ac:dyDescent="0.5"/>
    <row r="829" ht="21" customHeight="1" x14ac:dyDescent="0.5"/>
    <row r="830" ht="21" customHeight="1" x14ac:dyDescent="0.5"/>
    <row r="831" ht="21" customHeight="1" x14ac:dyDescent="0.5"/>
    <row r="832" ht="21" customHeight="1" x14ac:dyDescent="0.5"/>
    <row r="833" ht="21" customHeight="1" x14ac:dyDescent="0.5"/>
    <row r="834" ht="21" customHeight="1" x14ac:dyDescent="0.5"/>
    <row r="835" ht="21" customHeight="1" x14ac:dyDescent="0.5"/>
    <row r="836" ht="21" customHeight="1" x14ac:dyDescent="0.5"/>
    <row r="837" ht="21" customHeight="1" x14ac:dyDescent="0.5"/>
    <row r="838" ht="21" customHeight="1" x14ac:dyDescent="0.5"/>
    <row r="839" ht="21" customHeight="1" x14ac:dyDescent="0.5"/>
    <row r="840" ht="21" customHeight="1" x14ac:dyDescent="0.5"/>
    <row r="841" ht="21" customHeight="1" x14ac:dyDescent="0.5"/>
    <row r="842" ht="21" customHeight="1" x14ac:dyDescent="0.5"/>
    <row r="843" ht="21" customHeight="1" x14ac:dyDescent="0.5"/>
    <row r="844" ht="21" customHeight="1" x14ac:dyDescent="0.5"/>
    <row r="845" ht="21" customHeight="1" x14ac:dyDescent="0.5"/>
    <row r="846" ht="21" customHeight="1" x14ac:dyDescent="0.5"/>
    <row r="847" ht="21" customHeight="1" x14ac:dyDescent="0.5"/>
    <row r="848" ht="21" customHeight="1" x14ac:dyDescent="0.5"/>
    <row r="849" ht="21" customHeight="1" x14ac:dyDescent="0.5"/>
    <row r="850" ht="21" customHeight="1" x14ac:dyDescent="0.5"/>
    <row r="851" ht="21" customHeight="1" x14ac:dyDescent="0.5"/>
    <row r="852" ht="21" customHeight="1" x14ac:dyDescent="0.5"/>
    <row r="853" ht="21" customHeight="1" x14ac:dyDescent="0.5"/>
    <row r="854" ht="21" customHeight="1" x14ac:dyDescent="0.5"/>
    <row r="855" ht="21" customHeight="1" x14ac:dyDescent="0.5"/>
    <row r="856" ht="21" customHeight="1" x14ac:dyDescent="0.5"/>
    <row r="857" ht="21" customHeight="1" x14ac:dyDescent="0.5"/>
    <row r="858" ht="21" customHeight="1" x14ac:dyDescent="0.5"/>
    <row r="859" ht="21" customHeight="1" x14ac:dyDescent="0.5"/>
    <row r="860" ht="21" customHeight="1" x14ac:dyDescent="0.5"/>
    <row r="861" ht="21" customHeight="1" x14ac:dyDescent="0.5"/>
    <row r="862" ht="21" customHeight="1" x14ac:dyDescent="0.5"/>
    <row r="863" ht="21" customHeight="1" x14ac:dyDescent="0.5"/>
    <row r="864" ht="21" customHeight="1" x14ac:dyDescent="0.5"/>
    <row r="865" ht="21" customHeight="1" x14ac:dyDescent="0.5"/>
    <row r="866" ht="21" customHeight="1" x14ac:dyDescent="0.5"/>
    <row r="867" ht="21" customHeight="1" x14ac:dyDescent="0.5"/>
    <row r="868" ht="21" customHeight="1" x14ac:dyDescent="0.5"/>
    <row r="869" ht="21" customHeight="1" x14ac:dyDescent="0.5"/>
    <row r="870" ht="21" customHeight="1" x14ac:dyDescent="0.5"/>
    <row r="871" ht="21" customHeight="1" x14ac:dyDescent="0.5"/>
    <row r="872" ht="21" customHeight="1" x14ac:dyDescent="0.5"/>
    <row r="873" ht="21" customHeight="1" x14ac:dyDescent="0.5"/>
    <row r="874" ht="21" customHeight="1" x14ac:dyDescent="0.5"/>
    <row r="875" ht="21" customHeight="1" x14ac:dyDescent="0.5"/>
    <row r="876" ht="21" customHeight="1" x14ac:dyDescent="0.5"/>
    <row r="877" ht="21" customHeight="1" x14ac:dyDescent="0.5"/>
    <row r="878" ht="21" customHeight="1" x14ac:dyDescent="0.5"/>
    <row r="879" ht="21" customHeight="1" x14ac:dyDescent="0.5"/>
    <row r="880" ht="21" customHeight="1" x14ac:dyDescent="0.5"/>
    <row r="881" ht="21" customHeight="1" x14ac:dyDescent="0.5"/>
    <row r="882" ht="21" customHeight="1" x14ac:dyDescent="0.5"/>
    <row r="883" ht="21" customHeight="1" x14ac:dyDescent="0.5"/>
    <row r="884" ht="21" customHeight="1" x14ac:dyDescent="0.5"/>
    <row r="885" ht="21" customHeight="1" x14ac:dyDescent="0.5"/>
    <row r="886" ht="21" customHeight="1" x14ac:dyDescent="0.5"/>
    <row r="887" ht="21" customHeight="1" x14ac:dyDescent="0.5"/>
    <row r="888" ht="21" customHeight="1" x14ac:dyDescent="0.5"/>
    <row r="889" ht="21" customHeight="1" x14ac:dyDescent="0.5"/>
    <row r="890" ht="21" customHeight="1" x14ac:dyDescent="0.5"/>
    <row r="891" ht="21" customHeight="1" x14ac:dyDescent="0.5"/>
    <row r="892" ht="21" customHeight="1" x14ac:dyDescent="0.5"/>
    <row r="893" ht="21" customHeight="1" x14ac:dyDescent="0.5"/>
    <row r="894" ht="21" customHeight="1" x14ac:dyDescent="0.5"/>
    <row r="895" ht="21" customHeight="1" x14ac:dyDescent="0.5"/>
    <row r="896" ht="21" customHeight="1" x14ac:dyDescent="0.5"/>
    <row r="897" ht="21" customHeight="1" x14ac:dyDescent="0.5"/>
    <row r="898" ht="21" customHeight="1" x14ac:dyDescent="0.5"/>
    <row r="899" ht="21" customHeight="1" x14ac:dyDescent="0.5"/>
    <row r="900" ht="21" customHeight="1" x14ac:dyDescent="0.5"/>
    <row r="901" ht="21" customHeight="1" x14ac:dyDescent="0.5"/>
    <row r="902" ht="21" customHeight="1" x14ac:dyDescent="0.5"/>
    <row r="903" ht="21" customHeight="1" x14ac:dyDescent="0.5"/>
    <row r="904" ht="21" customHeight="1" x14ac:dyDescent="0.5"/>
    <row r="905" ht="21" customHeight="1" x14ac:dyDescent="0.5"/>
    <row r="906" ht="21" customHeight="1" x14ac:dyDescent="0.5"/>
    <row r="907" ht="21" customHeight="1" x14ac:dyDescent="0.5"/>
    <row r="908" ht="21" customHeight="1" x14ac:dyDescent="0.5"/>
    <row r="909" ht="21" customHeight="1" x14ac:dyDescent="0.5"/>
    <row r="910" ht="21" customHeight="1" x14ac:dyDescent="0.5"/>
    <row r="911" ht="21" customHeight="1" x14ac:dyDescent="0.5"/>
    <row r="912" ht="21" customHeight="1" x14ac:dyDescent="0.5"/>
    <row r="913" ht="21" customHeight="1" x14ac:dyDescent="0.5"/>
    <row r="914" ht="21" customHeight="1" x14ac:dyDescent="0.5"/>
    <row r="915" ht="21" customHeight="1" x14ac:dyDescent="0.5"/>
    <row r="916" ht="21" customHeight="1" x14ac:dyDescent="0.5"/>
    <row r="917" ht="21" customHeight="1" x14ac:dyDescent="0.5"/>
    <row r="918" ht="21" customHeight="1" x14ac:dyDescent="0.5"/>
    <row r="919" ht="21" customHeight="1" x14ac:dyDescent="0.5"/>
    <row r="920" ht="21" customHeight="1" x14ac:dyDescent="0.5"/>
    <row r="921" ht="21" customHeight="1" x14ac:dyDescent="0.5"/>
    <row r="922" ht="21" customHeight="1" x14ac:dyDescent="0.5"/>
    <row r="923" ht="21" customHeight="1" x14ac:dyDescent="0.5"/>
    <row r="924" ht="21" customHeight="1" x14ac:dyDescent="0.5"/>
    <row r="925" ht="21" customHeight="1" x14ac:dyDescent="0.5"/>
    <row r="926" ht="21" customHeight="1" x14ac:dyDescent="0.5"/>
    <row r="927" ht="21" customHeight="1" x14ac:dyDescent="0.5"/>
    <row r="928" ht="21" customHeight="1" x14ac:dyDescent="0.5"/>
    <row r="929" ht="21" customHeight="1" x14ac:dyDescent="0.5"/>
    <row r="930" ht="21" customHeight="1" x14ac:dyDescent="0.5"/>
    <row r="931" ht="21" customHeight="1" x14ac:dyDescent="0.5"/>
    <row r="932" ht="21" customHeight="1" x14ac:dyDescent="0.5"/>
    <row r="933" ht="21" customHeight="1" x14ac:dyDescent="0.5"/>
    <row r="934" ht="21" customHeight="1" x14ac:dyDescent="0.5"/>
    <row r="935" ht="21" customHeight="1" x14ac:dyDescent="0.5"/>
    <row r="936" ht="21" customHeight="1" x14ac:dyDescent="0.5"/>
    <row r="937" ht="21" customHeight="1" x14ac:dyDescent="0.5"/>
    <row r="938" ht="21" customHeight="1" x14ac:dyDescent="0.5"/>
    <row r="939" ht="21" customHeight="1" x14ac:dyDescent="0.5"/>
    <row r="940" ht="21" customHeight="1" x14ac:dyDescent="0.5"/>
    <row r="941" ht="21" customHeight="1" x14ac:dyDescent="0.5"/>
    <row r="942" ht="21" customHeight="1" x14ac:dyDescent="0.5"/>
    <row r="943" ht="21" customHeight="1" x14ac:dyDescent="0.5"/>
    <row r="944" ht="21" customHeight="1" x14ac:dyDescent="0.5"/>
    <row r="945" ht="21" customHeight="1" x14ac:dyDescent="0.5"/>
    <row r="946" ht="21" customHeight="1" x14ac:dyDescent="0.5"/>
    <row r="947" ht="21" customHeight="1" x14ac:dyDescent="0.5"/>
    <row r="948" ht="21" customHeight="1" x14ac:dyDescent="0.5"/>
    <row r="949" ht="21" customHeight="1" x14ac:dyDescent="0.5"/>
    <row r="950" ht="21" customHeight="1" x14ac:dyDescent="0.5"/>
    <row r="951" ht="21" customHeight="1" x14ac:dyDescent="0.5"/>
    <row r="952" ht="21" customHeight="1" x14ac:dyDescent="0.5"/>
    <row r="953" ht="21" customHeight="1" x14ac:dyDescent="0.5"/>
    <row r="954" ht="21" customHeight="1" x14ac:dyDescent="0.5"/>
    <row r="955" ht="21" customHeight="1" x14ac:dyDescent="0.5"/>
    <row r="956" ht="21" customHeight="1" x14ac:dyDescent="0.5"/>
    <row r="957" ht="21" customHeight="1" x14ac:dyDescent="0.5"/>
    <row r="958" ht="21" customHeight="1" x14ac:dyDescent="0.5"/>
    <row r="959" ht="21" customHeight="1" x14ac:dyDescent="0.5"/>
    <row r="960" ht="21" customHeight="1" x14ac:dyDescent="0.5"/>
    <row r="961" ht="21" customHeight="1" x14ac:dyDescent="0.5"/>
    <row r="962" ht="21" customHeight="1" x14ac:dyDescent="0.5"/>
    <row r="963" ht="21" customHeight="1" x14ac:dyDescent="0.5"/>
    <row r="964" ht="21" customHeight="1" x14ac:dyDescent="0.5"/>
    <row r="965" ht="21" customHeight="1" x14ac:dyDescent="0.5"/>
    <row r="966" ht="21" customHeight="1" x14ac:dyDescent="0.5"/>
    <row r="967" ht="21" customHeight="1" x14ac:dyDescent="0.5"/>
    <row r="968" ht="21" customHeight="1" x14ac:dyDescent="0.5"/>
    <row r="969" ht="21" customHeight="1" x14ac:dyDescent="0.5"/>
    <row r="970" ht="21" customHeight="1" x14ac:dyDescent="0.5"/>
    <row r="971" ht="21" customHeight="1" x14ac:dyDescent="0.5"/>
    <row r="972" ht="21" customHeight="1" x14ac:dyDescent="0.5"/>
    <row r="973" ht="21" customHeight="1" x14ac:dyDescent="0.5"/>
    <row r="974" ht="21" customHeight="1" x14ac:dyDescent="0.5"/>
    <row r="975" ht="21" customHeight="1" x14ac:dyDescent="0.5"/>
    <row r="976" ht="21" customHeight="1" x14ac:dyDescent="0.5"/>
    <row r="977" ht="21" customHeight="1" x14ac:dyDescent="0.5"/>
    <row r="978" ht="21" customHeight="1" x14ac:dyDescent="0.5"/>
    <row r="979" ht="21" customHeight="1" x14ac:dyDescent="0.5"/>
    <row r="980" ht="21" customHeight="1" x14ac:dyDescent="0.5"/>
    <row r="981" ht="21" customHeight="1" x14ac:dyDescent="0.5"/>
    <row r="982" ht="21" customHeight="1" x14ac:dyDescent="0.5"/>
    <row r="983" ht="21" customHeight="1" x14ac:dyDescent="0.5"/>
    <row r="984" ht="21" customHeight="1" x14ac:dyDescent="0.5"/>
    <row r="985" ht="21" customHeight="1" x14ac:dyDescent="0.5"/>
    <row r="986" ht="21" customHeight="1" x14ac:dyDescent="0.5"/>
    <row r="987" ht="21" customHeight="1" x14ac:dyDescent="0.5"/>
    <row r="988" ht="21" customHeight="1" x14ac:dyDescent="0.5"/>
    <row r="989" ht="21" customHeight="1" x14ac:dyDescent="0.5"/>
    <row r="990" ht="21" customHeight="1" x14ac:dyDescent="0.5"/>
    <row r="991" ht="21" customHeight="1" x14ac:dyDescent="0.5"/>
    <row r="992" ht="21" customHeight="1" x14ac:dyDescent="0.5"/>
    <row r="993" ht="21" customHeight="1" x14ac:dyDescent="0.5"/>
    <row r="994" ht="21" customHeight="1" x14ac:dyDescent="0.5"/>
    <row r="995" ht="21" customHeight="1" x14ac:dyDescent="0.5"/>
    <row r="996" ht="21" customHeight="1" x14ac:dyDescent="0.5"/>
    <row r="997" ht="21" customHeight="1" x14ac:dyDescent="0.5"/>
    <row r="998" ht="21" customHeight="1" x14ac:dyDescent="0.5"/>
    <row r="999" ht="21" customHeight="1" x14ac:dyDescent="0.5"/>
    <row r="1000" ht="21" customHeight="1" x14ac:dyDescent="0.5"/>
    <row r="1001" ht="21" customHeight="1" x14ac:dyDescent="0.5"/>
    <row r="1002" ht="21" customHeight="1" x14ac:dyDescent="0.5"/>
    <row r="1003" ht="21" customHeight="1" x14ac:dyDescent="0.5"/>
    <row r="1004" ht="21" customHeight="1" x14ac:dyDescent="0.5"/>
    <row r="1005" ht="21" customHeight="1" x14ac:dyDescent="0.5"/>
    <row r="1006" ht="21" customHeight="1" x14ac:dyDescent="0.5"/>
    <row r="1007" ht="21" customHeight="1" x14ac:dyDescent="0.5"/>
    <row r="1008" ht="21" customHeight="1" x14ac:dyDescent="0.5"/>
    <row r="1009" ht="21" customHeight="1" x14ac:dyDescent="0.5"/>
    <row r="1010" ht="21" customHeight="1" x14ac:dyDescent="0.5"/>
    <row r="1011" ht="21" customHeight="1" x14ac:dyDescent="0.5"/>
    <row r="1012" ht="21" customHeight="1" x14ac:dyDescent="0.5"/>
    <row r="1013" ht="21" customHeight="1" x14ac:dyDescent="0.5"/>
    <row r="1014" ht="21" customHeight="1" x14ac:dyDescent="0.5"/>
    <row r="1015" ht="21" customHeight="1" x14ac:dyDescent="0.5"/>
    <row r="1016" ht="21" customHeight="1" x14ac:dyDescent="0.5"/>
    <row r="1017" ht="21" customHeight="1" x14ac:dyDescent="0.5"/>
    <row r="1018" ht="21" customHeight="1" x14ac:dyDescent="0.5"/>
    <row r="1019" ht="21" customHeight="1" x14ac:dyDescent="0.5"/>
    <row r="1020" ht="21" customHeight="1" x14ac:dyDescent="0.5"/>
    <row r="1021" ht="21" customHeight="1" x14ac:dyDescent="0.5"/>
    <row r="1022" ht="21" customHeight="1" x14ac:dyDescent="0.5"/>
    <row r="1023" ht="21" customHeight="1" x14ac:dyDescent="0.5"/>
    <row r="1024" ht="21" customHeight="1" x14ac:dyDescent="0.5"/>
    <row r="1025" ht="21" customHeight="1" x14ac:dyDescent="0.5"/>
    <row r="1026" ht="21" customHeight="1" x14ac:dyDescent="0.5"/>
    <row r="1027" ht="21" customHeight="1" x14ac:dyDescent="0.5"/>
    <row r="1028" ht="21" customHeight="1" x14ac:dyDescent="0.5"/>
    <row r="1029" ht="21" customHeight="1" x14ac:dyDescent="0.5"/>
    <row r="1030" ht="21" customHeight="1" x14ac:dyDescent="0.5"/>
    <row r="1031" ht="21" customHeight="1" x14ac:dyDescent="0.5"/>
    <row r="1032" ht="21" customHeight="1" x14ac:dyDescent="0.5"/>
    <row r="1033" ht="21" customHeight="1" x14ac:dyDescent="0.5"/>
    <row r="1034" ht="21" customHeight="1" x14ac:dyDescent="0.5"/>
    <row r="1035" ht="21" customHeight="1" x14ac:dyDescent="0.5"/>
    <row r="1036" ht="21" customHeight="1" x14ac:dyDescent="0.5"/>
    <row r="1037" ht="21" customHeight="1" x14ac:dyDescent="0.5"/>
    <row r="1038" ht="21" customHeight="1" x14ac:dyDescent="0.5"/>
    <row r="1039" ht="21" customHeight="1" x14ac:dyDescent="0.5"/>
    <row r="1040" ht="21" customHeight="1" x14ac:dyDescent="0.5"/>
    <row r="1041" ht="21" customHeight="1" x14ac:dyDescent="0.5"/>
    <row r="1042" ht="21" customHeight="1" x14ac:dyDescent="0.5"/>
    <row r="1043" ht="21" customHeight="1" x14ac:dyDescent="0.5"/>
    <row r="1044" ht="21" customHeight="1" x14ac:dyDescent="0.5"/>
    <row r="1045" ht="21" customHeight="1" x14ac:dyDescent="0.5"/>
    <row r="1046" ht="21" customHeight="1" x14ac:dyDescent="0.5"/>
    <row r="1047" ht="21" customHeight="1" x14ac:dyDescent="0.5"/>
    <row r="1048" ht="21" customHeight="1" x14ac:dyDescent="0.5"/>
    <row r="1049" ht="21" customHeight="1" x14ac:dyDescent="0.5"/>
    <row r="1050" ht="21" customHeight="1" x14ac:dyDescent="0.5"/>
    <row r="1051" ht="21" customHeight="1" x14ac:dyDescent="0.5"/>
    <row r="1052" ht="21" customHeight="1" x14ac:dyDescent="0.5"/>
    <row r="1053" ht="21" customHeight="1" x14ac:dyDescent="0.5"/>
    <row r="1054" ht="21" customHeight="1" x14ac:dyDescent="0.5"/>
    <row r="1055" ht="21" customHeight="1" x14ac:dyDescent="0.5"/>
    <row r="1056" ht="21" customHeight="1" x14ac:dyDescent="0.5"/>
    <row r="1057" ht="21" customHeight="1" x14ac:dyDescent="0.5"/>
    <row r="1058" ht="21" customHeight="1" x14ac:dyDescent="0.5"/>
    <row r="1059" ht="21" customHeight="1" x14ac:dyDescent="0.5"/>
    <row r="1060" ht="21" customHeight="1" x14ac:dyDescent="0.5"/>
    <row r="1061" ht="21" customHeight="1" x14ac:dyDescent="0.5"/>
    <row r="1062" ht="21" customHeight="1" x14ac:dyDescent="0.5"/>
    <row r="1063" ht="21" customHeight="1" x14ac:dyDescent="0.5"/>
    <row r="1064" ht="21" customHeight="1" x14ac:dyDescent="0.5"/>
    <row r="1065" ht="21" customHeight="1" x14ac:dyDescent="0.5"/>
    <row r="1066" ht="21" customHeight="1" x14ac:dyDescent="0.5"/>
    <row r="1067" ht="21" customHeight="1" x14ac:dyDescent="0.5"/>
    <row r="1068" ht="21" customHeight="1" x14ac:dyDescent="0.5"/>
    <row r="1069" ht="21" customHeight="1" x14ac:dyDescent="0.5"/>
    <row r="1070" ht="21" customHeight="1" x14ac:dyDescent="0.5"/>
    <row r="1071" ht="21" customHeight="1" x14ac:dyDescent="0.5"/>
    <row r="1072" ht="21" customHeight="1" x14ac:dyDescent="0.5"/>
    <row r="1073" ht="21" customHeight="1" x14ac:dyDescent="0.5"/>
    <row r="1074" ht="21" customHeight="1" x14ac:dyDescent="0.5"/>
    <row r="1075" ht="21" customHeight="1" x14ac:dyDescent="0.5"/>
    <row r="1076" ht="21" customHeight="1" x14ac:dyDescent="0.5"/>
    <row r="1077" ht="21" customHeight="1" x14ac:dyDescent="0.5"/>
    <row r="1078" ht="21" customHeight="1" x14ac:dyDescent="0.5"/>
    <row r="1079" ht="21" customHeight="1" x14ac:dyDescent="0.5"/>
    <row r="1080" ht="21" customHeight="1" x14ac:dyDescent="0.5"/>
    <row r="1081" ht="21" customHeight="1" x14ac:dyDescent="0.5"/>
    <row r="1082" ht="21" customHeight="1" x14ac:dyDescent="0.5"/>
    <row r="1083" ht="21" customHeight="1" x14ac:dyDescent="0.5"/>
    <row r="1084" ht="21" customHeight="1" x14ac:dyDescent="0.5"/>
    <row r="1085" ht="21" customHeight="1" x14ac:dyDescent="0.5"/>
    <row r="1086" ht="21" customHeight="1" x14ac:dyDescent="0.5"/>
    <row r="1087" ht="21" customHeight="1" x14ac:dyDescent="0.5"/>
    <row r="1088" ht="21" customHeight="1" x14ac:dyDescent="0.5"/>
    <row r="1089" ht="21" customHeight="1" x14ac:dyDescent="0.5"/>
    <row r="1090" ht="21" customHeight="1" x14ac:dyDescent="0.5"/>
    <row r="1091" ht="21" customHeight="1" x14ac:dyDescent="0.5"/>
    <row r="1092" ht="21" customHeight="1" x14ac:dyDescent="0.5"/>
    <row r="1093" ht="21" customHeight="1" x14ac:dyDescent="0.5"/>
    <row r="1094" ht="21" customHeight="1" x14ac:dyDescent="0.5"/>
    <row r="1095" ht="21" customHeight="1" x14ac:dyDescent="0.5"/>
    <row r="1096" ht="21" customHeight="1" x14ac:dyDescent="0.5"/>
    <row r="1097" ht="21" customHeight="1" x14ac:dyDescent="0.5"/>
    <row r="1098" ht="21" customHeight="1" x14ac:dyDescent="0.5"/>
    <row r="1099" ht="21" customHeight="1" x14ac:dyDescent="0.5"/>
    <row r="1100" ht="21" customHeight="1" x14ac:dyDescent="0.5"/>
    <row r="1101" ht="21" customHeight="1" x14ac:dyDescent="0.5"/>
    <row r="1102" ht="21" customHeight="1" x14ac:dyDescent="0.5"/>
    <row r="1103" ht="21" customHeight="1" x14ac:dyDescent="0.5"/>
    <row r="1104" ht="21" customHeight="1" x14ac:dyDescent="0.5"/>
    <row r="1105" ht="21" customHeight="1" x14ac:dyDescent="0.5"/>
    <row r="1106" ht="21" customHeight="1" x14ac:dyDescent="0.5"/>
    <row r="1107" ht="21" customHeight="1" x14ac:dyDescent="0.5"/>
    <row r="1108" ht="21" customHeight="1" x14ac:dyDescent="0.5"/>
    <row r="1109" ht="21" customHeight="1" x14ac:dyDescent="0.5"/>
    <row r="1110" ht="21" customHeight="1" x14ac:dyDescent="0.5"/>
    <row r="1111" ht="21" customHeight="1" x14ac:dyDescent="0.5"/>
    <row r="1112" ht="21" customHeight="1" x14ac:dyDescent="0.5"/>
    <row r="1113" ht="21" customHeight="1" x14ac:dyDescent="0.5"/>
    <row r="1114" ht="21" customHeight="1" x14ac:dyDescent="0.5"/>
    <row r="1115" ht="21" customHeight="1" x14ac:dyDescent="0.5"/>
    <row r="1116" ht="21" customHeight="1" x14ac:dyDescent="0.5"/>
    <row r="1117" ht="21" customHeight="1" x14ac:dyDescent="0.5"/>
    <row r="1118" ht="21" customHeight="1" x14ac:dyDescent="0.5"/>
    <row r="1119" ht="21" customHeight="1" x14ac:dyDescent="0.5"/>
    <row r="1120" ht="21" customHeight="1" x14ac:dyDescent="0.5"/>
    <row r="1121" ht="21" customHeight="1" x14ac:dyDescent="0.5"/>
    <row r="1122" ht="21" customHeight="1" x14ac:dyDescent="0.5"/>
    <row r="1123" ht="21" customHeight="1" x14ac:dyDescent="0.5"/>
    <row r="1124" ht="21" customHeight="1" x14ac:dyDescent="0.5"/>
    <row r="1125" ht="21" customHeight="1" x14ac:dyDescent="0.5"/>
    <row r="1126" ht="21" customHeight="1" x14ac:dyDescent="0.5"/>
    <row r="1127" ht="21" customHeight="1" x14ac:dyDescent="0.5"/>
    <row r="1128" ht="21" customHeight="1" x14ac:dyDescent="0.5"/>
    <row r="1129" ht="21" customHeight="1" x14ac:dyDescent="0.5"/>
    <row r="1130" ht="21" customHeight="1" x14ac:dyDescent="0.5"/>
    <row r="1131" ht="21" customHeight="1" x14ac:dyDescent="0.5"/>
    <row r="1132" ht="21" customHeight="1" x14ac:dyDescent="0.5"/>
    <row r="1133" ht="21" customHeight="1" x14ac:dyDescent="0.5"/>
    <row r="1134" ht="21" customHeight="1" x14ac:dyDescent="0.5"/>
    <row r="1135" ht="21" customHeight="1" x14ac:dyDescent="0.5"/>
    <row r="1136" ht="21" customHeight="1" x14ac:dyDescent="0.5"/>
    <row r="1137" ht="21" customHeight="1" x14ac:dyDescent="0.5"/>
    <row r="1138" ht="21" customHeight="1" x14ac:dyDescent="0.5"/>
    <row r="1139" ht="21" customHeight="1" x14ac:dyDescent="0.5"/>
    <row r="1140" ht="21" customHeight="1" x14ac:dyDescent="0.5"/>
    <row r="1141" ht="21" customHeight="1" x14ac:dyDescent="0.5"/>
    <row r="1142" ht="21" customHeight="1" x14ac:dyDescent="0.5"/>
    <row r="1143" ht="21" customHeight="1" x14ac:dyDescent="0.5"/>
    <row r="1144" ht="21" customHeight="1" x14ac:dyDescent="0.5"/>
    <row r="1145" ht="21" customHeight="1" x14ac:dyDescent="0.5"/>
    <row r="1146" ht="21" customHeight="1" x14ac:dyDescent="0.5"/>
    <row r="1147" ht="21" customHeight="1" x14ac:dyDescent="0.5"/>
    <row r="1148" ht="21" customHeight="1" x14ac:dyDescent="0.5"/>
    <row r="1149" ht="21" customHeight="1" x14ac:dyDescent="0.5"/>
    <row r="1150" ht="21" customHeight="1" x14ac:dyDescent="0.5"/>
    <row r="1151" ht="21" customHeight="1" x14ac:dyDescent="0.5"/>
    <row r="1152" ht="21" customHeight="1" x14ac:dyDescent="0.5"/>
    <row r="1153" ht="21" customHeight="1" x14ac:dyDescent="0.5"/>
    <row r="1154" ht="21" customHeight="1" x14ac:dyDescent="0.5"/>
    <row r="1155" ht="21" customHeight="1" x14ac:dyDescent="0.5"/>
    <row r="1156" ht="21" customHeight="1" x14ac:dyDescent="0.5"/>
    <row r="1157" ht="21" customHeight="1" x14ac:dyDescent="0.5"/>
    <row r="1158" ht="21" customHeight="1" x14ac:dyDescent="0.5"/>
    <row r="1159" ht="21" customHeight="1" x14ac:dyDescent="0.5"/>
    <row r="1160" ht="21" customHeight="1" x14ac:dyDescent="0.5"/>
    <row r="1161" ht="21" customHeight="1" x14ac:dyDescent="0.5"/>
    <row r="1162" ht="21" customHeight="1" x14ac:dyDescent="0.5"/>
    <row r="1163" ht="21" customHeight="1" x14ac:dyDescent="0.5"/>
    <row r="1164" ht="21" customHeight="1" x14ac:dyDescent="0.5"/>
    <row r="1165" ht="21" customHeight="1" x14ac:dyDescent="0.5"/>
    <row r="1166" ht="21" customHeight="1" x14ac:dyDescent="0.5"/>
    <row r="1167" ht="21" customHeight="1" x14ac:dyDescent="0.5"/>
    <row r="1168" ht="21" customHeight="1" x14ac:dyDescent="0.5"/>
    <row r="1169" ht="21" customHeight="1" x14ac:dyDescent="0.5"/>
    <row r="1170" ht="21" customHeight="1" x14ac:dyDescent="0.5"/>
    <row r="1171" ht="21" customHeight="1" x14ac:dyDescent="0.5"/>
    <row r="1172" ht="21" customHeight="1" x14ac:dyDescent="0.5"/>
    <row r="1173" ht="21" customHeight="1" x14ac:dyDescent="0.5"/>
    <row r="1174" ht="21" customHeight="1" x14ac:dyDescent="0.5"/>
    <row r="1175" ht="21" customHeight="1" x14ac:dyDescent="0.5"/>
    <row r="1176" ht="21" customHeight="1" x14ac:dyDescent="0.5"/>
    <row r="1177" ht="21" customHeight="1" x14ac:dyDescent="0.5"/>
    <row r="1178" ht="21" customHeight="1" x14ac:dyDescent="0.5"/>
    <row r="1179" ht="21" customHeight="1" x14ac:dyDescent="0.5"/>
    <row r="1180" ht="21" customHeight="1" x14ac:dyDescent="0.5"/>
    <row r="1181" ht="21" customHeight="1" x14ac:dyDescent="0.5"/>
    <row r="1182" ht="21" customHeight="1" x14ac:dyDescent="0.5"/>
    <row r="1183" ht="21" customHeight="1" x14ac:dyDescent="0.5"/>
    <row r="1184" ht="21" customHeight="1" x14ac:dyDescent="0.5"/>
    <row r="1185" ht="21" customHeight="1" x14ac:dyDescent="0.5"/>
    <row r="1186" ht="21" customHeight="1" x14ac:dyDescent="0.5"/>
    <row r="1187" ht="21" customHeight="1" x14ac:dyDescent="0.5"/>
    <row r="1188" ht="21" customHeight="1" x14ac:dyDescent="0.5"/>
    <row r="1189" ht="21" customHeight="1" x14ac:dyDescent="0.5"/>
    <row r="1190" ht="21" customHeight="1" x14ac:dyDescent="0.5"/>
    <row r="1191" ht="21" customHeight="1" x14ac:dyDescent="0.5"/>
    <row r="1192" ht="21" customHeight="1" x14ac:dyDescent="0.5"/>
    <row r="1193" ht="21" customHeight="1" x14ac:dyDescent="0.5"/>
    <row r="1194" ht="21" customHeight="1" x14ac:dyDescent="0.5"/>
    <row r="1195" ht="21" customHeight="1" x14ac:dyDescent="0.5"/>
    <row r="1196" ht="21" customHeight="1" x14ac:dyDescent="0.5"/>
    <row r="1197" ht="21" customHeight="1" x14ac:dyDescent="0.5"/>
    <row r="1198" ht="21" customHeight="1" x14ac:dyDescent="0.5"/>
    <row r="1199" ht="21" customHeight="1" x14ac:dyDescent="0.5"/>
    <row r="1200" ht="21" customHeight="1" x14ac:dyDescent="0.5"/>
    <row r="1201" ht="21" customHeight="1" x14ac:dyDescent="0.5"/>
    <row r="1202" ht="21" customHeight="1" x14ac:dyDescent="0.5"/>
    <row r="1203" ht="21" customHeight="1" x14ac:dyDescent="0.5"/>
    <row r="1204" ht="21" customHeight="1" x14ac:dyDescent="0.5"/>
    <row r="1205" ht="21" customHeight="1" x14ac:dyDescent="0.5"/>
    <row r="1206" ht="21" customHeight="1" x14ac:dyDescent="0.5"/>
    <row r="1207" ht="21" customHeight="1" x14ac:dyDescent="0.5"/>
    <row r="1208" ht="21" customHeight="1" x14ac:dyDescent="0.5"/>
    <row r="1209" ht="21" customHeight="1" x14ac:dyDescent="0.5"/>
    <row r="1210" ht="21" customHeight="1" x14ac:dyDescent="0.5"/>
    <row r="1211" ht="21" customHeight="1" x14ac:dyDescent="0.5"/>
    <row r="1212" ht="21" customHeight="1" x14ac:dyDescent="0.5"/>
    <row r="1213" ht="21" customHeight="1" x14ac:dyDescent="0.5"/>
    <row r="1214" ht="21" customHeight="1" x14ac:dyDescent="0.5"/>
    <row r="1215" ht="21" customHeight="1" x14ac:dyDescent="0.5"/>
    <row r="1216" ht="21" customHeight="1" x14ac:dyDescent="0.5"/>
    <row r="1217" ht="21" customHeight="1" x14ac:dyDescent="0.5"/>
    <row r="1218" ht="21" customHeight="1" x14ac:dyDescent="0.5"/>
    <row r="1219" ht="21" customHeight="1" x14ac:dyDescent="0.5"/>
    <row r="1220" ht="21" customHeight="1" x14ac:dyDescent="0.5"/>
    <row r="1221" ht="21" customHeight="1" x14ac:dyDescent="0.5"/>
    <row r="1222" ht="21" customHeight="1" x14ac:dyDescent="0.5"/>
    <row r="1223" ht="21" customHeight="1" x14ac:dyDescent="0.5"/>
    <row r="1224" ht="21" customHeight="1" x14ac:dyDescent="0.5"/>
    <row r="1225" ht="21" customHeight="1" x14ac:dyDescent="0.5"/>
    <row r="1226" ht="21" customHeight="1" x14ac:dyDescent="0.5"/>
    <row r="1227" ht="21" customHeight="1" x14ac:dyDescent="0.5"/>
    <row r="1228" ht="21" customHeight="1" x14ac:dyDescent="0.5"/>
    <row r="1229" ht="21" customHeight="1" x14ac:dyDescent="0.5"/>
    <row r="1230" ht="21" customHeight="1" x14ac:dyDescent="0.5"/>
    <row r="1231" ht="21" customHeight="1" x14ac:dyDescent="0.5"/>
    <row r="1232" ht="21" customHeight="1" x14ac:dyDescent="0.5"/>
    <row r="1233" ht="21" customHeight="1" x14ac:dyDescent="0.5"/>
    <row r="1234" ht="21" customHeight="1" x14ac:dyDescent="0.5"/>
    <row r="1235" ht="21" customHeight="1" x14ac:dyDescent="0.5"/>
    <row r="1236" ht="21" customHeight="1" x14ac:dyDescent="0.5"/>
    <row r="1237" ht="21" customHeight="1" x14ac:dyDescent="0.5"/>
    <row r="1238" ht="21" customHeight="1" x14ac:dyDescent="0.5"/>
    <row r="1239" ht="21" customHeight="1" x14ac:dyDescent="0.5"/>
    <row r="1240" ht="21" customHeight="1" x14ac:dyDescent="0.5"/>
    <row r="1241" ht="21" customHeight="1" x14ac:dyDescent="0.5"/>
    <row r="1242" ht="21" customHeight="1" x14ac:dyDescent="0.5"/>
    <row r="1243" ht="21" customHeight="1" x14ac:dyDescent="0.5"/>
    <row r="1244" ht="21" customHeight="1" x14ac:dyDescent="0.5"/>
    <row r="1245" ht="21" customHeight="1" x14ac:dyDescent="0.5"/>
    <row r="1246" ht="21" customHeight="1" x14ac:dyDescent="0.5"/>
    <row r="1247" ht="21" customHeight="1" x14ac:dyDescent="0.5"/>
    <row r="1248" ht="21" customHeight="1" x14ac:dyDescent="0.5"/>
    <row r="1249" ht="21" customHeight="1" x14ac:dyDescent="0.5"/>
    <row r="1250" ht="21" customHeight="1" x14ac:dyDescent="0.5"/>
    <row r="1251" ht="21" customHeight="1" x14ac:dyDescent="0.5"/>
    <row r="1252" ht="21" customHeight="1" x14ac:dyDescent="0.5"/>
    <row r="1253" ht="21" customHeight="1" x14ac:dyDescent="0.5"/>
    <row r="1254" ht="21" customHeight="1" x14ac:dyDescent="0.5"/>
    <row r="1255" ht="21" customHeight="1" x14ac:dyDescent="0.5"/>
    <row r="1256" ht="21" customHeight="1" x14ac:dyDescent="0.5"/>
    <row r="1257" ht="21" customHeight="1" x14ac:dyDescent="0.5"/>
    <row r="1258" ht="21" customHeight="1" x14ac:dyDescent="0.5"/>
    <row r="1259" ht="21" customHeight="1" x14ac:dyDescent="0.5"/>
    <row r="1260" ht="21" customHeight="1" x14ac:dyDescent="0.5"/>
    <row r="1261" ht="21" customHeight="1" x14ac:dyDescent="0.5"/>
    <row r="1262" ht="21" customHeight="1" x14ac:dyDescent="0.5"/>
    <row r="1263" ht="21" customHeight="1" x14ac:dyDescent="0.5"/>
    <row r="1264" ht="21" customHeight="1" x14ac:dyDescent="0.5"/>
    <row r="1265" ht="21" customHeight="1" x14ac:dyDescent="0.5"/>
    <row r="1266" ht="21" customHeight="1" x14ac:dyDescent="0.5"/>
    <row r="1267" ht="21" customHeight="1" x14ac:dyDescent="0.5"/>
    <row r="1268" ht="21" customHeight="1" x14ac:dyDescent="0.5"/>
    <row r="1269" ht="21" customHeight="1" x14ac:dyDescent="0.5"/>
    <row r="1270" ht="21" customHeight="1" x14ac:dyDescent="0.5"/>
    <row r="1271" ht="21" customHeight="1" x14ac:dyDescent="0.5"/>
    <row r="1272" ht="21" customHeight="1" x14ac:dyDescent="0.5"/>
    <row r="1273" ht="21" customHeight="1" x14ac:dyDescent="0.5"/>
    <row r="1274" ht="21" customHeight="1" x14ac:dyDescent="0.5"/>
    <row r="1275" ht="21" customHeight="1" x14ac:dyDescent="0.5"/>
    <row r="1276" ht="21" customHeight="1" x14ac:dyDescent="0.5"/>
    <row r="1277" ht="21" customHeight="1" x14ac:dyDescent="0.5"/>
    <row r="1278" ht="21" customHeight="1" x14ac:dyDescent="0.5"/>
    <row r="1279" ht="21" customHeight="1" x14ac:dyDescent="0.5"/>
    <row r="1280" ht="21" customHeight="1" x14ac:dyDescent="0.5"/>
    <row r="1281" ht="21" customHeight="1" x14ac:dyDescent="0.5"/>
    <row r="1282" ht="21" customHeight="1" x14ac:dyDescent="0.5"/>
    <row r="1283" ht="21" customHeight="1" x14ac:dyDescent="0.5"/>
    <row r="1284" ht="21" customHeight="1" x14ac:dyDescent="0.5"/>
    <row r="1285" ht="21" customHeight="1" x14ac:dyDescent="0.5"/>
    <row r="1286" ht="21" customHeight="1" x14ac:dyDescent="0.5"/>
    <row r="1287" ht="21" customHeight="1" x14ac:dyDescent="0.5"/>
    <row r="1288" ht="21" customHeight="1" x14ac:dyDescent="0.5"/>
    <row r="1289" ht="21" customHeight="1" x14ac:dyDescent="0.5"/>
    <row r="1290" ht="21" customHeight="1" x14ac:dyDescent="0.5"/>
    <row r="1291" ht="21" customHeight="1" x14ac:dyDescent="0.5"/>
    <row r="1292" ht="21" customHeight="1" x14ac:dyDescent="0.5"/>
    <row r="1293" ht="21" customHeight="1" x14ac:dyDescent="0.5"/>
    <row r="1294" ht="21" customHeight="1" x14ac:dyDescent="0.5"/>
    <row r="1295" ht="21" customHeight="1" x14ac:dyDescent="0.5"/>
    <row r="1296" ht="21" customHeight="1" x14ac:dyDescent="0.5"/>
    <row r="1297" ht="21" customHeight="1" x14ac:dyDescent="0.5"/>
    <row r="1298" ht="21" customHeight="1" x14ac:dyDescent="0.5"/>
    <row r="1299" ht="21" customHeight="1" x14ac:dyDescent="0.5"/>
    <row r="1300" ht="21" customHeight="1" x14ac:dyDescent="0.5"/>
    <row r="1301" ht="21" customHeight="1" x14ac:dyDescent="0.5"/>
    <row r="1302" ht="21" customHeight="1" x14ac:dyDescent="0.5"/>
    <row r="1303" ht="21" customHeight="1" x14ac:dyDescent="0.5"/>
    <row r="1304" ht="21" customHeight="1" x14ac:dyDescent="0.5"/>
    <row r="1305" ht="21" customHeight="1" x14ac:dyDescent="0.5"/>
    <row r="1306" ht="21" customHeight="1" x14ac:dyDescent="0.5"/>
    <row r="1307" ht="21" customHeight="1" x14ac:dyDescent="0.5"/>
    <row r="1308" ht="21" customHeight="1" x14ac:dyDescent="0.5"/>
    <row r="1309" ht="21" customHeight="1" x14ac:dyDescent="0.5"/>
    <row r="1310" ht="21" customHeight="1" x14ac:dyDescent="0.5"/>
    <row r="1311" ht="21" customHeight="1" x14ac:dyDescent="0.5"/>
    <row r="1312" ht="21" customHeight="1" x14ac:dyDescent="0.5"/>
    <row r="1313" ht="21" customHeight="1" x14ac:dyDescent="0.5"/>
    <row r="1314" ht="21" customHeight="1" x14ac:dyDescent="0.5"/>
    <row r="1315" ht="21" customHeight="1" x14ac:dyDescent="0.5"/>
    <row r="1316" ht="21" customHeight="1" x14ac:dyDescent="0.5"/>
    <row r="1317" ht="21" customHeight="1" x14ac:dyDescent="0.5"/>
    <row r="1318" ht="21" customHeight="1" x14ac:dyDescent="0.5"/>
    <row r="1319" ht="21" customHeight="1" x14ac:dyDescent="0.5"/>
    <row r="1320" ht="21" customHeight="1" x14ac:dyDescent="0.5"/>
    <row r="1321" ht="21" customHeight="1" x14ac:dyDescent="0.5"/>
    <row r="1322" ht="21" customHeight="1" x14ac:dyDescent="0.5"/>
    <row r="1323" ht="21" customHeight="1" x14ac:dyDescent="0.5"/>
    <row r="1324" ht="21" customHeight="1" x14ac:dyDescent="0.5"/>
    <row r="1325" ht="21" customHeight="1" x14ac:dyDescent="0.5"/>
    <row r="1326" ht="21" customHeight="1" x14ac:dyDescent="0.5"/>
    <row r="1327" ht="21" customHeight="1" x14ac:dyDescent="0.5"/>
    <row r="1328" ht="21" customHeight="1" x14ac:dyDescent="0.5"/>
    <row r="1329" ht="21" customHeight="1" x14ac:dyDescent="0.5"/>
    <row r="1330" ht="21" customHeight="1" x14ac:dyDescent="0.5"/>
    <row r="1331" ht="21" customHeight="1" x14ac:dyDescent="0.5"/>
    <row r="1332" ht="21" customHeight="1" x14ac:dyDescent="0.5"/>
    <row r="1333" ht="21" customHeight="1" x14ac:dyDescent="0.5"/>
    <row r="1334" ht="21" customHeight="1" x14ac:dyDescent="0.5"/>
    <row r="1335" ht="21" customHeight="1" x14ac:dyDescent="0.5"/>
    <row r="1336" ht="21" customHeight="1" x14ac:dyDescent="0.5"/>
    <row r="1337" ht="21" customHeight="1" x14ac:dyDescent="0.5"/>
    <row r="1338" ht="21" customHeight="1" x14ac:dyDescent="0.5"/>
    <row r="1339" ht="21" customHeight="1" x14ac:dyDescent="0.5"/>
    <row r="1340" ht="21" customHeight="1" x14ac:dyDescent="0.5"/>
    <row r="1341" ht="21" customHeight="1" x14ac:dyDescent="0.5"/>
    <row r="1342" ht="21" customHeight="1" x14ac:dyDescent="0.5"/>
    <row r="1343" ht="21" customHeight="1" x14ac:dyDescent="0.5"/>
    <row r="1344" ht="21" customHeight="1" x14ac:dyDescent="0.5"/>
    <row r="1345" ht="21" customHeight="1" x14ac:dyDescent="0.5"/>
    <row r="1346" ht="21" customHeight="1" x14ac:dyDescent="0.5"/>
    <row r="1347" ht="21" customHeight="1" x14ac:dyDescent="0.5"/>
    <row r="1348" ht="21" customHeight="1" x14ac:dyDescent="0.5"/>
    <row r="1349" ht="21" customHeight="1" x14ac:dyDescent="0.5"/>
    <row r="1350" ht="21" customHeight="1" x14ac:dyDescent="0.5"/>
    <row r="1351" ht="21" customHeight="1" x14ac:dyDescent="0.5"/>
    <row r="1352" ht="21" customHeight="1" x14ac:dyDescent="0.5"/>
    <row r="1353" ht="21" customHeight="1" x14ac:dyDescent="0.5"/>
    <row r="1354" ht="21" customHeight="1" x14ac:dyDescent="0.5"/>
    <row r="1355" ht="21" customHeight="1" x14ac:dyDescent="0.5"/>
    <row r="1356" ht="21" customHeight="1" x14ac:dyDescent="0.5"/>
    <row r="1357" ht="21" customHeight="1" x14ac:dyDescent="0.5"/>
    <row r="1358" ht="21" customHeight="1" x14ac:dyDescent="0.5"/>
    <row r="1359" ht="21" customHeight="1" x14ac:dyDescent="0.5"/>
    <row r="1360" ht="21" customHeight="1" x14ac:dyDescent="0.5"/>
    <row r="1361" ht="21" customHeight="1" x14ac:dyDescent="0.5"/>
    <row r="1362" ht="21" customHeight="1" x14ac:dyDescent="0.5"/>
    <row r="1363" ht="21" customHeight="1" x14ac:dyDescent="0.5"/>
    <row r="1364" ht="21" customHeight="1" x14ac:dyDescent="0.5"/>
    <row r="1365" ht="21" customHeight="1" x14ac:dyDescent="0.5"/>
    <row r="1366" ht="21" customHeight="1" x14ac:dyDescent="0.5"/>
    <row r="1367" ht="21" customHeight="1" x14ac:dyDescent="0.5"/>
    <row r="1368" ht="21" customHeight="1" x14ac:dyDescent="0.5"/>
    <row r="1369" ht="21" customHeight="1" x14ac:dyDescent="0.5"/>
    <row r="1370" ht="21" customHeight="1" x14ac:dyDescent="0.5"/>
    <row r="1371" ht="21" customHeight="1" x14ac:dyDescent="0.5"/>
    <row r="1372" ht="21" customHeight="1" x14ac:dyDescent="0.5"/>
    <row r="1373" ht="21" customHeight="1" x14ac:dyDescent="0.5"/>
    <row r="1374" ht="21" customHeight="1" x14ac:dyDescent="0.5"/>
    <row r="1375" ht="21" customHeight="1" x14ac:dyDescent="0.5"/>
    <row r="1376" ht="21" customHeight="1" x14ac:dyDescent="0.5"/>
    <row r="1377" ht="21" customHeight="1" x14ac:dyDescent="0.5"/>
    <row r="1378" ht="21" customHeight="1" x14ac:dyDescent="0.5"/>
    <row r="1379" ht="21" customHeight="1" x14ac:dyDescent="0.5"/>
    <row r="1380" ht="21" customHeight="1" x14ac:dyDescent="0.5"/>
    <row r="1381" ht="21" customHeight="1" x14ac:dyDescent="0.5"/>
    <row r="1382" ht="21" customHeight="1" x14ac:dyDescent="0.5"/>
    <row r="1383" ht="21" customHeight="1" x14ac:dyDescent="0.5"/>
    <row r="1384" ht="21" customHeight="1" x14ac:dyDescent="0.5"/>
    <row r="1385" ht="21" customHeight="1" x14ac:dyDescent="0.5"/>
    <row r="1386" ht="21" customHeight="1" x14ac:dyDescent="0.5"/>
    <row r="1387" ht="21" customHeight="1" x14ac:dyDescent="0.5"/>
    <row r="1388" ht="21" customHeight="1" x14ac:dyDescent="0.5"/>
    <row r="1389" ht="21" customHeight="1" x14ac:dyDescent="0.5"/>
    <row r="1390" ht="21" customHeight="1" x14ac:dyDescent="0.5"/>
    <row r="1391" ht="21" customHeight="1" x14ac:dyDescent="0.5"/>
    <row r="1392" ht="21" customHeight="1" x14ac:dyDescent="0.5"/>
    <row r="1393" ht="21" customHeight="1" x14ac:dyDescent="0.5"/>
    <row r="1394" ht="21" customHeight="1" x14ac:dyDescent="0.5"/>
    <row r="1395" ht="21" customHeight="1" x14ac:dyDescent="0.5"/>
    <row r="1396" ht="21" customHeight="1" x14ac:dyDescent="0.5"/>
    <row r="1397" ht="21" customHeight="1" x14ac:dyDescent="0.5"/>
    <row r="1398" ht="21" customHeight="1" x14ac:dyDescent="0.5"/>
    <row r="1399" ht="21" customHeight="1" x14ac:dyDescent="0.5"/>
    <row r="1400" ht="21" customHeight="1" x14ac:dyDescent="0.5"/>
    <row r="1401" ht="21" customHeight="1" x14ac:dyDescent="0.5"/>
    <row r="1402" ht="21" customHeight="1" x14ac:dyDescent="0.5"/>
    <row r="1403" ht="21" customHeight="1" x14ac:dyDescent="0.5"/>
    <row r="1404" ht="21" customHeight="1" x14ac:dyDescent="0.5"/>
    <row r="1405" ht="21" customHeight="1" x14ac:dyDescent="0.5"/>
    <row r="1406" ht="21" customHeight="1" x14ac:dyDescent="0.5"/>
    <row r="1407" ht="21" customHeight="1" x14ac:dyDescent="0.5"/>
    <row r="1408" ht="21" customHeight="1" x14ac:dyDescent="0.5"/>
    <row r="1409" ht="21" customHeight="1" x14ac:dyDescent="0.5"/>
    <row r="1410" ht="21" customHeight="1" x14ac:dyDescent="0.5"/>
    <row r="1411" ht="21" customHeight="1" x14ac:dyDescent="0.5"/>
    <row r="1412" ht="21" customHeight="1" x14ac:dyDescent="0.5"/>
    <row r="1413" ht="21" customHeight="1" x14ac:dyDescent="0.5"/>
    <row r="1414" ht="21" customHeight="1" x14ac:dyDescent="0.5"/>
    <row r="1415" ht="21" customHeight="1" x14ac:dyDescent="0.5"/>
    <row r="1416" ht="21" customHeight="1" x14ac:dyDescent="0.5"/>
    <row r="1417" ht="21" customHeight="1" x14ac:dyDescent="0.5"/>
    <row r="1418" ht="21" customHeight="1" x14ac:dyDescent="0.5"/>
    <row r="1419" ht="21" customHeight="1" x14ac:dyDescent="0.5"/>
    <row r="1420" ht="21" customHeight="1" x14ac:dyDescent="0.5"/>
    <row r="1421" ht="21" customHeight="1" x14ac:dyDescent="0.5"/>
    <row r="1422" ht="21" customHeight="1" x14ac:dyDescent="0.5"/>
    <row r="1423" ht="21" customHeight="1" x14ac:dyDescent="0.5"/>
    <row r="1424" ht="21" customHeight="1" x14ac:dyDescent="0.5"/>
    <row r="1425" ht="21" customHeight="1" x14ac:dyDescent="0.5"/>
    <row r="1426" ht="21" customHeight="1" x14ac:dyDescent="0.5"/>
    <row r="1427" ht="21" customHeight="1" x14ac:dyDescent="0.5"/>
    <row r="1428" ht="21" customHeight="1" x14ac:dyDescent="0.5"/>
    <row r="1429" ht="21" customHeight="1" x14ac:dyDescent="0.5"/>
    <row r="1430" ht="21" customHeight="1" x14ac:dyDescent="0.5"/>
    <row r="1431" ht="21" customHeight="1" x14ac:dyDescent="0.5"/>
    <row r="1432" ht="21" customHeight="1" x14ac:dyDescent="0.5"/>
    <row r="1433" ht="21" customHeight="1" x14ac:dyDescent="0.5"/>
    <row r="1434" ht="21" customHeight="1" x14ac:dyDescent="0.5"/>
    <row r="1435" ht="21" customHeight="1" x14ac:dyDescent="0.5"/>
    <row r="1436" ht="21" customHeight="1" x14ac:dyDescent="0.5"/>
    <row r="1437" ht="21" customHeight="1" x14ac:dyDescent="0.5"/>
    <row r="1438" ht="21" customHeight="1" x14ac:dyDescent="0.5"/>
    <row r="1439" ht="21" customHeight="1" x14ac:dyDescent="0.5"/>
    <row r="1440" ht="21" customHeight="1" x14ac:dyDescent="0.5"/>
    <row r="1441" ht="21" customHeight="1" x14ac:dyDescent="0.5"/>
    <row r="1442" ht="21" customHeight="1" x14ac:dyDescent="0.5"/>
    <row r="1443" ht="21" customHeight="1" x14ac:dyDescent="0.5"/>
    <row r="1444" ht="21" customHeight="1" x14ac:dyDescent="0.5"/>
    <row r="1445" ht="21" customHeight="1" x14ac:dyDescent="0.5"/>
    <row r="1446" ht="21" customHeight="1" x14ac:dyDescent="0.5"/>
    <row r="1447" ht="21" customHeight="1" x14ac:dyDescent="0.5"/>
    <row r="1448" ht="21" customHeight="1" x14ac:dyDescent="0.5"/>
    <row r="1449" ht="21" customHeight="1" x14ac:dyDescent="0.5"/>
    <row r="1450" ht="21" customHeight="1" x14ac:dyDescent="0.5"/>
    <row r="1451" ht="21" customHeight="1" x14ac:dyDescent="0.5"/>
    <row r="1452" ht="21" customHeight="1" x14ac:dyDescent="0.5"/>
    <row r="1453" ht="21" customHeight="1" x14ac:dyDescent="0.5"/>
    <row r="1454" ht="21" customHeight="1" x14ac:dyDescent="0.5"/>
    <row r="1455" ht="21" customHeight="1" x14ac:dyDescent="0.5"/>
    <row r="1456" ht="21" customHeight="1" x14ac:dyDescent="0.5"/>
    <row r="1457" ht="21" customHeight="1" x14ac:dyDescent="0.5"/>
    <row r="1458" ht="21" customHeight="1" x14ac:dyDescent="0.5"/>
    <row r="1459" ht="21" customHeight="1" x14ac:dyDescent="0.5"/>
    <row r="1460" ht="21" customHeight="1" x14ac:dyDescent="0.5"/>
    <row r="1461" ht="21" customHeight="1" x14ac:dyDescent="0.5"/>
    <row r="1462" ht="21" customHeight="1" x14ac:dyDescent="0.5"/>
    <row r="1463" ht="21" customHeight="1" x14ac:dyDescent="0.5"/>
    <row r="1464" ht="21" customHeight="1" x14ac:dyDescent="0.5"/>
    <row r="1465" ht="21" customHeight="1" x14ac:dyDescent="0.5"/>
    <row r="1466" ht="21" customHeight="1" x14ac:dyDescent="0.5"/>
    <row r="1467" ht="21" customHeight="1" x14ac:dyDescent="0.5"/>
    <row r="1468" ht="21" customHeight="1" x14ac:dyDescent="0.5"/>
    <row r="1469" ht="21" customHeight="1" x14ac:dyDescent="0.5"/>
    <row r="1470" ht="21" customHeight="1" x14ac:dyDescent="0.5"/>
    <row r="1471" ht="21" customHeight="1" x14ac:dyDescent="0.5"/>
    <row r="1472" ht="21" customHeight="1" x14ac:dyDescent="0.5"/>
    <row r="1473" ht="21" customHeight="1" x14ac:dyDescent="0.5"/>
    <row r="1474" ht="21" customHeight="1" x14ac:dyDescent="0.5"/>
    <row r="1475" ht="21" customHeight="1" x14ac:dyDescent="0.5"/>
    <row r="1476" ht="21" customHeight="1" x14ac:dyDescent="0.5"/>
    <row r="1477" ht="21" customHeight="1" x14ac:dyDescent="0.5"/>
    <row r="1478" ht="21" customHeight="1" x14ac:dyDescent="0.5"/>
    <row r="1479" ht="21" customHeight="1" x14ac:dyDescent="0.5"/>
    <row r="1480" ht="21" customHeight="1" x14ac:dyDescent="0.5"/>
    <row r="1481" ht="21" customHeight="1" x14ac:dyDescent="0.5"/>
    <row r="1482" ht="21" customHeight="1" x14ac:dyDescent="0.5"/>
    <row r="1483" ht="21" customHeight="1" x14ac:dyDescent="0.5"/>
    <row r="1484" ht="21" customHeight="1" x14ac:dyDescent="0.5"/>
    <row r="1485" ht="21" customHeight="1" x14ac:dyDescent="0.5"/>
    <row r="1486" ht="21" customHeight="1" x14ac:dyDescent="0.5"/>
    <row r="1487" ht="21" customHeight="1" x14ac:dyDescent="0.5"/>
    <row r="1488" ht="21" customHeight="1" x14ac:dyDescent="0.5"/>
    <row r="1489" ht="21" customHeight="1" x14ac:dyDescent="0.5"/>
    <row r="1490" ht="21" customHeight="1" x14ac:dyDescent="0.5"/>
    <row r="1491" ht="21" customHeight="1" x14ac:dyDescent="0.5"/>
    <row r="1492" ht="21" customHeight="1" x14ac:dyDescent="0.5"/>
    <row r="1493" ht="21" customHeight="1" x14ac:dyDescent="0.5"/>
    <row r="1494" ht="21" customHeight="1" x14ac:dyDescent="0.5"/>
    <row r="1495" ht="21" customHeight="1" x14ac:dyDescent="0.5"/>
    <row r="1496" ht="21" customHeight="1" x14ac:dyDescent="0.5"/>
    <row r="1497" ht="21" customHeight="1" x14ac:dyDescent="0.5"/>
    <row r="1498" ht="21" customHeight="1" x14ac:dyDescent="0.5"/>
    <row r="1499" ht="21" customHeight="1" x14ac:dyDescent="0.5"/>
    <row r="1500" ht="21" customHeight="1" x14ac:dyDescent="0.5"/>
    <row r="1501" ht="21" customHeight="1" x14ac:dyDescent="0.5"/>
    <row r="1502" ht="21" customHeight="1" x14ac:dyDescent="0.5"/>
    <row r="1503" ht="21" customHeight="1" x14ac:dyDescent="0.5"/>
    <row r="1504" ht="21" customHeight="1" x14ac:dyDescent="0.5"/>
    <row r="1505" ht="21" customHeight="1" x14ac:dyDescent="0.5"/>
    <row r="1506" ht="21" customHeight="1" x14ac:dyDescent="0.5"/>
    <row r="1507" ht="21" customHeight="1" x14ac:dyDescent="0.5"/>
    <row r="1508" ht="21" customHeight="1" x14ac:dyDescent="0.5"/>
    <row r="1509" ht="21" customHeight="1" x14ac:dyDescent="0.5"/>
    <row r="1510" ht="21" customHeight="1" x14ac:dyDescent="0.5"/>
    <row r="1511" ht="21" customHeight="1" x14ac:dyDescent="0.5"/>
    <row r="1512" ht="21" customHeight="1" x14ac:dyDescent="0.5"/>
    <row r="1513" ht="21" customHeight="1" x14ac:dyDescent="0.5"/>
    <row r="1514" ht="21" customHeight="1" x14ac:dyDescent="0.5"/>
    <row r="1515" ht="21" customHeight="1" x14ac:dyDescent="0.5"/>
    <row r="1516" ht="21" customHeight="1" x14ac:dyDescent="0.5"/>
    <row r="1517" ht="21" customHeight="1" x14ac:dyDescent="0.5"/>
    <row r="1518" ht="21" customHeight="1" x14ac:dyDescent="0.5"/>
    <row r="1519" ht="21" customHeight="1" x14ac:dyDescent="0.5"/>
    <row r="1520" ht="21" customHeight="1" x14ac:dyDescent="0.5"/>
    <row r="1521" ht="21" customHeight="1" x14ac:dyDescent="0.5"/>
    <row r="1522" ht="21" customHeight="1" x14ac:dyDescent="0.5"/>
    <row r="1523" ht="21" customHeight="1" x14ac:dyDescent="0.5"/>
    <row r="1524" ht="21" customHeight="1" x14ac:dyDescent="0.5"/>
    <row r="1525" ht="21" customHeight="1" x14ac:dyDescent="0.5"/>
    <row r="1526" ht="21" customHeight="1" x14ac:dyDescent="0.5"/>
    <row r="1527" ht="21" customHeight="1" x14ac:dyDescent="0.5"/>
    <row r="1528" ht="21" customHeight="1" x14ac:dyDescent="0.5"/>
    <row r="1529" ht="21" customHeight="1" x14ac:dyDescent="0.5"/>
    <row r="1530" ht="21" customHeight="1" x14ac:dyDescent="0.5"/>
    <row r="1531" ht="21" customHeight="1" x14ac:dyDescent="0.5"/>
    <row r="1532" ht="21" customHeight="1" x14ac:dyDescent="0.5"/>
    <row r="1533" ht="21" customHeight="1" x14ac:dyDescent="0.5"/>
    <row r="1534" ht="21" customHeight="1" x14ac:dyDescent="0.5"/>
    <row r="1535" ht="21" customHeight="1" x14ac:dyDescent="0.5"/>
    <row r="1536" ht="21" customHeight="1" x14ac:dyDescent="0.5"/>
    <row r="1537" ht="21" customHeight="1" x14ac:dyDescent="0.5"/>
    <row r="1538" ht="21" customHeight="1" x14ac:dyDescent="0.5"/>
    <row r="1539" ht="21" customHeight="1" x14ac:dyDescent="0.5"/>
    <row r="1540" ht="21" customHeight="1" x14ac:dyDescent="0.5"/>
    <row r="1541" ht="21" customHeight="1" x14ac:dyDescent="0.5"/>
    <row r="1542" ht="21" customHeight="1" x14ac:dyDescent="0.5"/>
    <row r="1543" ht="21" customHeight="1" x14ac:dyDescent="0.5"/>
    <row r="1544" ht="21" customHeight="1" x14ac:dyDescent="0.5"/>
    <row r="1545" ht="21" customHeight="1" x14ac:dyDescent="0.5"/>
    <row r="1546" ht="21" customHeight="1" x14ac:dyDescent="0.5"/>
    <row r="1547" ht="21" customHeight="1" x14ac:dyDescent="0.5"/>
    <row r="1548" ht="21" customHeight="1" x14ac:dyDescent="0.5"/>
    <row r="1549" ht="21" customHeight="1" x14ac:dyDescent="0.5"/>
    <row r="1550" ht="21" customHeight="1" x14ac:dyDescent="0.5"/>
    <row r="1551" ht="21" customHeight="1" x14ac:dyDescent="0.5"/>
    <row r="1552" ht="21" customHeight="1" x14ac:dyDescent="0.5"/>
    <row r="1553" ht="21" customHeight="1" x14ac:dyDescent="0.5"/>
    <row r="1554" ht="21" customHeight="1" x14ac:dyDescent="0.5"/>
    <row r="1555" ht="21" customHeight="1" x14ac:dyDescent="0.5"/>
    <row r="1556" ht="21" customHeight="1" x14ac:dyDescent="0.5"/>
    <row r="1557" ht="21" customHeight="1" x14ac:dyDescent="0.5"/>
    <row r="1558" ht="21" customHeight="1" x14ac:dyDescent="0.5"/>
    <row r="1559" ht="21" customHeight="1" x14ac:dyDescent="0.5"/>
    <row r="1560" ht="21" customHeight="1" x14ac:dyDescent="0.5"/>
    <row r="1561" ht="21" customHeight="1" x14ac:dyDescent="0.5"/>
    <row r="1562" ht="21" customHeight="1" x14ac:dyDescent="0.5"/>
    <row r="1563" ht="21" customHeight="1" x14ac:dyDescent="0.5"/>
    <row r="1564" ht="21" customHeight="1" x14ac:dyDescent="0.5"/>
    <row r="1565" ht="21" customHeight="1" x14ac:dyDescent="0.5"/>
    <row r="1566" ht="21" customHeight="1" x14ac:dyDescent="0.5"/>
    <row r="1567" ht="21" customHeight="1" x14ac:dyDescent="0.5"/>
    <row r="1568" ht="21" customHeight="1" x14ac:dyDescent="0.5"/>
    <row r="1569" ht="21" customHeight="1" x14ac:dyDescent="0.5"/>
    <row r="1570" ht="21" customHeight="1" x14ac:dyDescent="0.5"/>
    <row r="1571" ht="21" customHeight="1" x14ac:dyDescent="0.5"/>
    <row r="1572" ht="21" customHeight="1" x14ac:dyDescent="0.5"/>
    <row r="1573" ht="21" customHeight="1" x14ac:dyDescent="0.5"/>
    <row r="1574" ht="21" customHeight="1" x14ac:dyDescent="0.5"/>
    <row r="1575" ht="21" customHeight="1" x14ac:dyDescent="0.5"/>
    <row r="1576" ht="21" customHeight="1" x14ac:dyDescent="0.5"/>
    <row r="1577" ht="21" customHeight="1" x14ac:dyDescent="0.5"/>
    <row r="1578" ht="21" customHeight="1" x14ac:dyDescent="0.5"/>
    <row r="1579" ht="21" customHeight="1" x14ac:dyDescent="0.5"/>
    <row r="1580" ht="21" customHeight="1" x14ac:dyDescent="0.5"/>
    <row r="1581" ht="21" customHeight="1" x14ac:dyDescent="0.5"/>
    <row r="1582" ht="21" customHeight="1" x14ac:dyDescent="0.5"/>
    <row r="1583" ht="21" customHeight="1" x14ac:dyDescent="0.5"/>
    <row r="1584" ht="21" customHeight="1" x14ac:dyDescent="0.5"/>
    <row r="1585" ht="21" customHeight="1" x14ac:dyDescent="0.5"/>
    <row r="1586" ht="21" customHeight="1" x14ac:dyDescent="0.5"/>
    <row r="1587" ht="21" customHeight="1" x14ac:dyDescent="0.5"/>
    <row r="1588" ht="21" customHeight="1" x14ac:dyDescent="0.5"/>
    <row r="1589" ht="21" customHeight="1" x14ac:dyDescent="0.5"/>
    <row r="1590" ht="21" customHeight="1" x14ac:dyDescent="0.5"/>
    <row r="1591" ht="21" customHeight="1" x14ac:dyDescent="0.5"/>
    <row r="1592" ht="21" customHeight="1" x14ac:dyDescent="0.5"/>
    <row r="1593" ht="21" customHeight="1" x14ac:dyDescent="0.5"/>
    <row r="1594" ht="21" customHeight="1" x14ac:dyDescent="0.5"/>
    <row r="1595" ht="21" customHeight="1" x14ac:dyDescent="0.5"/>
    <row r="1596" ht="21" customHeight="1" x14ac:dyDescent="0.5"/>
    <row r="1597" ht="21" customHeight="1" x14ac:dyDescent="0.5"/>
    <row r="1598" ht="21" customHeight="1" x14ac:dyDescent="0.5"/>
    <row r="1599" ht="21" customHeight="1" x14ac:dyDescent="0.5"/>
    <row r="1600" ht="21" customHeight="1" x14ac:dyDescent="0.5"/>
    <row r="1601" ht="21" customHeight="1" x14ac:dyDescent="0.5"/>
    <row r="1602" ht="21" customHeight="1" x14ac:dyDescent="0.5"/>
    <row r="1603" ht="21" customHeight="1" x14ac:dyDescent="0.5"/>
    <row r="1604" ht="21" customHeight="1" x14ac:dyDescent="0.5"/>
    <row r="1605" ht="21" customHeight="1" x14ac:dyDescent="0.5"/>
    <row r="1606" ht="21" customHeight="1" x14ac:dyDescent="0.5"/>
    <row r="1607" ht="21" customHeight="1" x14ac:dyDescent="0.5"/>
    <row r="1608" ht="21" customHeight="1" x14ac:dyDescent="0.5"/>
    <row r="1609" ht="21" customHeight="1" x14ac:dyDescent="0.5"/>
    <row r="1610" ht="21" customHeight="1" x14ac:dyDescent="0.5"/>
    <row r="1611" ht="21" customHeight="1" x14ac:dyDescent="0.5"/>
    <row r="1612" ht="21" customHeight="1" x14ac:dyDescent="0.5"/>
    <row r="1613" ht="21" customHeight="1" x14ac:dyDescent="0.5"/>
    <row r="1614" ht="21" customHeight="1" x14ac:dyDescent="0.5"/>
    <row r="1615" ht="21" customHeight="1" x14ac:dyDescent="0.5"/>
    <row r="1616" ht="21" customHeight="1" x14ac:dyDescent="0.5"/>
    <row r="1617" ht="21" customHeight="1" x14ac:dyDescent="0.5"/>
    <row r="1618" ht="21" customHeight="1" x14ac:dyDescent="0.5"/>
    <row r="1619" ht="21" customHeight="1" x14ac:dyDescent="0.5"/>
    <row r="1620" ht="21" customHeight="1" x14ac:dyDescent="0.5"/>
    <row r="1621" ht="21" customHeight="1" x14ac:dyDescent="0.5"/>
    <row r="1622" ht="21" customHeight="1" x14ac:dyDescent="0.5"/>
    <row r="1623" ht="21" customHeight="1" x14ac:dyDescent="0.5"/>
    <row r="1624" ht="21" customHeight="1" x14ac:dyDescent="0.5"/>
    <row r="1625" ht="21" customHeight="1" x14ac:dyDescent="0.5"/>
    <row r="1626" ht="21" customHeight="1" x14ac:dyDescent="0.5"/>
    <row r="1627" ht="21" customHeight="1" x14ac:dyDescent="0.5"/>
    <row r="1628" ht="21" customHeight="1" x14ac:dyDescent="0.5"/>
    <row r="1629" ht="21" customHeight="1" x14ac:dyDescent="0.5"/>
    <row r="1630" ht="21" customHeight="1" x14ac:dyDescent="0.5"/>
    <row r="1631" ht="21" customHeight="1" x14ac:dyDescent="0.5"/>
    <row r="1632" ht="21" customHeight="1" x14ac:dyDescent="0.5"/>
    <row r="1633" ht="21" customHeight="1" x14ac:dyDescent="0.5"/>
    <row r="1634" ht="21" customHeight="1" x14ac:dyDescent="0.5"/>
    <row r="1635" ht="21" customHeight="1" x14ac:dyDescent="0.5"/>
    <row r="1636" ht="21" customHeight="1" x14ac:dyDescent="0.5"/>
    <row r="1637" ht="21" customHeight="1" x14ac:dyDescent="0.5"/>
    <row r="1638" ht="21" customHeight="1" x14ac:dyDescent="0.5"/>
    <row r="1639" ht="21" customHeight="1" x14ac:dyDescent="0.5"/>
    <row r="1640" ht="21" customHeight="1" x14ac:dyDescent="0.5"/>
    <row r="1641" ht="21" customHeight="1" x14ac:dyDescent="0.5"/>
    <row r="1642" ht="21" customHeight="1" x14ac:dyDescent="0.5"/>
    <row r="1643" ht="21" customHeight="1" x14ac:dyDescent="0.5"/>
    <row r="1644" ht="21" customHeight="1" x14ac:dyDescent="0.5"/>
    <row r="1645" ht="21" customHeight="1" x14ac:dyDescent="0.5"/>
    <row r="1646" ht="21" customHeight="1" x14ac:dyDescent="0.5"/>
    <row r="1647" ht="21" customHeight="1" x14ac:dyDescent="0.5"/>
    <row r="1648" ht="21" customHeight="1" x14ac:dyDescent="0.5"/>
    <row r="1649" ht="21" customHeight="1" x14ac:dyDescent="0.5"/>
    <row r="1650" ht="21" customHeight="1" x14ac:dyDescent="0.5"/>
    <row r="1651" ht="21" customHeight="1" x14ac:dyDescent="0.5"/>
    <row r="1652" ht="21" customHeight="1" x14ac:dyDescent="0.5"/>
    <row r="1653" ht="21" customHeight="1" x14ac:dyDescent="0.5"/>
    <row r="1654" ht="21" customHeight="1" x14ac:dyDescent="0.5"/>
    <row r="1655" ht="21" customHeight="1" x14ac:dyDescent="0.5"/>
    <row r="1656" ht="21" customHeight="1" x14ac:dyDescent="0.5"/>
    <row r="1657" ht="21" customHeight="1" x14ac:dyDescent="0.5"/>
    <row r="1658" ht="21" customHeight="1" x14ac:dyDescent="0.5"/>
    <row r="1659" ht="21" customHeight="1" x14ac:dyDescent="0.5"/>
    <row r="1660" ht="21" customHeight="1" x14ac:dyDescent="0.5"/>
    <row r="1661" ht="21" customHeight="1" x14ac:dyDescent="0.5"/>
    <row r="1662" ht="21" customHeight="1" x14ac:dyDescent="0.5"/>
    <row r="1663" ht="21" customHeight="1" x14ac:dyDescent="0.5"/>
    <row r="1664" ht="21" customHeight="1" x14ac:dyDescent="0.5"/>
    <row r="1665" ht="21" customHeight="1" x14ac:dyDescent="0.5"/>
    <row r="1666" ht="21" customHeight="1" x14ac:dyDescent="0.5"/>
    <row r="1667" ht="21" customHeight="1" x14ac:dyDescent="0.5"/>
    <row r="1668" ht="21" customHeight="1" x14ac:dyDescent="0.5"/>
    <row r="1669" ht="21" customHeight="1" x14ac:dyDescent="0.5"/>
    <row r="1670" ht="21" customHeight="1" x14ac:dyDescent="0.5"/>
    <row r="1671" ht="21" customHeight="1" x14ac:dyDescent="0.5"/>
    <row r="1672" ht="21" customHeight="1" x14ac:dyDescent="0.5"/>
    <row r="1673" ht="21" customHeight="1" x14ac:dyDescent="0.5"/>
    <row r="1674" ht="21" customHeight="1" x14ac:dyDescent="0.5"/>
    <row r="1675" ht="21" customHeight="1" x14ac:dyDescent="0.5"/>
    <row r="1676" ht="21" customHeight="1" x14ac:dyDescent="0.5"/>
    <row r="1677" ht="21" customHeight="1" x14ac:dyDescent="0.5"/>
    <row r="1678" ht="21" customHeight="1" x14ac:dyDescent="0.5"/>
    <row r="1679" ht="21" customHeight="1" x14ac:dyDescent="0.5"/>
    <row r="1680" ht="21" customHeight="1" x14ac:dyDescent="0.5"/>
    <row r="1681" ht="21" customHeight="1" x14ac:dyDescent="0.5"/>
    <row r="1682" ht="21" customHeight="1" x14ac:dyDescent="0.5"/>
    <row r="1683" ht="21" customHeight="1" x14ac:dyDescent="0.5"/>
    <row r="1684" ht="21" customHeight="1" x14ac:dyDescent="0.5"/>
    <row r="1685" ht="21" customHeight="1" x14ac:dyDescent="0.5"/>
    <row r="1686" ht="21" customHeight="1" x14ac:dyDescent="0.5"/>
    <row r="1687" ht="21" customHeight="1" x14ac:dyDescent="0.5"/>
    <row r="1688" ht="21" customHeight="1" x14ac:dyDescent="0.5"/>
    <row r="1689" ht="21" customHeight="1" x14ac:dyDescent="0.5"/>
    <row r="1690" ht="21" customHeight="1" x14ac:dyDescent="0.5"/>
    <row r="1691" ht="21" customHeight="1" x14ac:dyDescent="0.5"/>
    <row r="1692" ht="21" customHeight="1" x14ac:dyDescent="0.5"/>
    <row r="1693" ht="21" customHeight="1" x14ac:dyDescent="0.5"/>
    <row r="1694" ht="21" customHeight="1" x14ac:dyDescent="0.5"/>
    <row r="1695" ht="21" customHeight="1" x14ac:dyDescent="0.5"/>
    <row r="1696" ht="21" customHeight="1" x14ac:dyDescent="0.5"/>
    <row r="1697" ht="21" customHeight="1" x14ac:dyDescent="0.5"/>
    <row r="1698" ht="21" customHeight="1" x14ac:dyDescent="0.5"/>
    <row r="1699" ht="21" customHeight="1" x14ac:dyDescent="0.5"/>
    <row r="1700" ht="21" customHeight="1" x14ac:dyDescent="0.5"/>
    <row r="1701" ht="21" customHeight="1" x14ac:dyDescent="0.5"/>
  </sheetData>
  <mergeCells count="115">
    <mergeCell ref="A157:C157"/>
    <mergeCell ref="A158:C158"/>
    <mergeCell ref="A159:C159"/>
    <mergeCell ref="A135:B135"/>
    <mergeCell ref="A186:B186"/>
    <mergeCell ref="A187:B187"/>
    <mergeCell ref="A188:B188"/>
    <mergeCell ref="A189:B189"/>
    <mergeCell ref="A190:B190"/>
    <mergeCell ref="A171:J171"/>
    <mergeCell ref="A172:B172"/>
    <mergeCell ref="A173:B173"/>
    <mergeCell ref="A174:B174"/>
    <mergeCell ref="A176:B176"/>
    <mergeCell ref="A185:B185"/>
    <mergeCell ref="A142:C142"/>
    <mergeCell ref="A160:J160"/>
    <mergeCell ref="A166:B166"/>
    <mergeCell ref="A167:B167"/>
    <mergeCell ref="A168:B168"/>
    <mergeCell ref="A136:J136"/>
    <mergeCell ref="A138:C138"/>
    <mergeCell ref="A139:C139"/>
    <mergeCell ref="A140:C140"/>
    <mergeCell ref="A141:C141"/>
    <mergeCell ref="A150:C150"/>
    <mergeCell ref="A151:C151"/>
    <mergeCell ref="A152:C152"/>
    <mergeCell ref="A154:J154"/>
    <mergeCell ref="A155:C155"/>
    <mergeCell ref="A156:C156"/>
    <mergeCell ref="A153:B153"/>
    <mergeCell ref="Q116:R116"/>
    <mergeCell ref="A117:C117"/>
    <mergeCell ref="Q117:R117"/>
    <mergeCell ref="A118:C118"/>
    <mergeCell ref="Q118:R118"/>
    <mergeCell ref="A123:C123"/>
    <mergeCell ref="A145:C145"/>
    <mergeCell ref="A146:C146"/>
    <mergeCell ref="A147:C147"/>
    <mergeCell ref="A148:C148"/>
    <mergeCell ref="A149:C149"/>
    <mergeCell ref="A143:C143"/>
    <mergeCell ref="A144:C144"/>
    <mergeCell ref="A131:C131"/>
    <mergeCell ref="A132:C132"/>
    <mergeCell ref="A133:C133"/>
    <mergeCell ref="A134:C134"/>
    <mergeCell ref="A124:C124"/>
    <mergeCell ref="A125:B125"/>
    <mergeCell ref="A108:J108"/>
    <mergeCell ref="A112:C112"/>
    <mergeCell ref="A113:C113"/>
    <mergeCell ref="A102:C102"/>
    <mergeCell ref="A78:C78"/>
    <mergeCell ref="A97:C97"/>
    <mergeCell ref="A98:C98"/>
    <mergeCell ref="A99:C99"/>
    <mergeCell ref="A100:C100"/>
    <mergeCell ref="A79:C79"/>
    <mergeCell ref="A80:C80"/>
    <mergeCell ref="A81:C81"/>
    <mergeCell ref="A95:C95"/>
    <mergeCell ref="A96:C96"/>
    <mergeCell ref="A93:C93"/>
    <mergeCell ref="A94:C94"/>
    <mergeCell ref="A126:J126"/>
    <mergeCell ref="A127:B127"/>
    <mergeCell ref="A128:C128"/>
    <mergeCell ref="A116:C116"/>
    <mergeCell ref="A119:C119"/>
    <mergeCell ref="A183:B183"/>
    <mergeCell ref="A184:B184"/>
    <mergeCell ref="A180:B180"/>
    <mergeCell ref="A181:B181"/>
    <mergeCell ref="A182:B182"/>
    <mergeCell ref="A175:C175"/>
    <mergeCell ref="A177:B177"/>
    <mergeCell ref="A178:B178"/>
    <mergeCell ref="A179:B179"/>
    <mergeCell ref="A75:C75"/>
    <mergeCell ref="A76:C76"/>
    <mergeCell ref="A77:C77"/>
    <mergeCell ref="A71:C71"/>
    <mergeCell ref="A72:B72"/>
    <mergeCell ref="A73:C73"/>
    <mergeCell ref="A74:C74"/>
    <mergeCell ref="A114:C114"/>
    <mergeCell ref="A115:C115"/>
    <mergeCell ref="A120:C120"/>
    <mergeCell ref="A121:C121"/>
    <mergeCell ref="A122:C122"/>
    <mergeCell ref="A109:B109"/>
    <mergeCell ref="A110:J110"/>
    <mergeCell ref="A111:C111"/>
    <mergeCell ref="A101:C101"/>
    <mergeCell ref="A103:C103"/>
    <mergeCell ref="A104:C104"/>
    <mergeCell ref="A105:C105"/>
    <mergeCell ref="A1:J1"/>
    <mergeCell ref="A6:C6"/>
    <mergeCell ref="A14:C14"/>
    <mergeCell ref="A17:C17"/>
    <mergeCell ref="E3:F3"/>
    <mergeCell ref="A64:C64"/>
    <mergeCell ref="A65:C65"/>
    <mergeCell ref="A18:C18"/>
    <mergeCell ref="A19:C19"/>
    <mergeCell ref="A21:C21"/>
    <mergeCell ref="A25:C25"/>
    <mergeCell ref="A33:C33"/>
    <mergeCell ref="A61:C61"/>
    <mergeCell ref="A62:C62"/>
    <mergeCell ref="A63:C63"/>
  </mergeCells>
  <pageMargins left="0.22" right="0.17" top="0.14000000000000001" bottom="0.2" header="0.2" footer="0.2"/>
  <pageSetup paperSize="5" scale="18"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1:R192"/>
  <sheetViews>
    <sheetView view="pageBreakPreview" zoomScale="50" zoomScaleNormal="71" zoomScaleSheetLayoutView="50" workbookViewId="0">
      <selection activeCell="F159" sqref="F159"/>
    </sheetView>
  </sheetViews>
  <sheetFormatPr defaultColWidth="22.33203125" defaultRowHeight="21.95" customHeight="1" x14ac:dyDescent="0.5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6" width="30" style="160" customWidth="1"/>
    <col min="7" max="7" width="28.88671875" style="160" customWidth="1"/>
    <col min="8" max="8" width="32.77734375" style="161" customWidth="1"/>
    <col min="9" max="9" width="23.5546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33.75" x14ac:dyDescent="0.65">
      <c r="A1" s="821" t="s">
        <v>115</v>
      </c>
      <c r="B1" s="822"/>
      <c r="C1" s="822"/>
      <c r="D1" s="822"/>
      <c r="E1" s="822"/>
      <c r="F1" s="822"/>
      <c r="G1" s="822"/>
      <c r="H1" s="822"/>
      <c r="I1" s="822"/>
      <c r="J1" s="823"/>
    </row>
    <row r="2" spans="1:15" s="57" customFormat="1" ht="27" x14ac:dyDescent="0.5">
      <c r="A2" s="191" t="s">
        <v>356</v>
      </c>
      <c r="B2" s="262">
        <v>44583</v>
      </c>
      <c r="C2" s="348" t="s">
        <v>67</v>
      </c>
      <c r="D2" s="218">
        <v>0.97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27" x14ac:dyDescent="0.5">
      <c r="A3" s="189"/>
      <c r="B3" s="221"/>
      <c r="C3" s="348" t="s">
        <v>118</v>
      </c>
      <c r="D3" s="219">
        <v>28</v>
      </c>
      <c r="E3" s="830" t="s">
        <v>119</v>
      </c>
      <c r="F3" s="831"/>
      <c r="G3" s="101"/>
      <c r="H3" s="102"/>
      <c r="I3" s="102"/>
      <c r="J3" s="222"/>
      <c r="K3" s="61"/>
      <c r="L3" s="58"/>
    </row>
    <row r="4" spans="1:15" s="57" customFormat="1" ht="27" x14ac:dyDescent="0.5">
      <c r="A4" s="192"/>
      <c r="B4" s="223"/>
      <c r="C4" s="348" t="s">
        <v>120</v>
      </c>
      <c r="D4" s="218">
        <v>0.9</v>
      </c>
      <c r="E4" s="103"/>
      <c r="F4" s="103"/>
      <c r="G4" s="103"/>
      <c r="H4" s="103"/>
      <c r="I4" s="104"/>
      <c r="J4" s="222"/>
      <c r="K4" s="62"/>
      <c r="L4" s="58"/>
    </row>
    <row r="5" spans="1:15" ht="29.25" x14ac:dyDescent="0.4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5" ht="29.25" x14ac:dyDescent="0.4">
      <c r="A6" s="824" t="s">
        <v>128</v>
      </c>
      <c r="B6" s="825"/>
      <c r="C6" s="826"/>
      <c r="D6" s="110"/>
      <c r="E6" s="110"/>
      <c r="F6" s="110"/>
      <c r="G6" s="110"/>
      <c r="H6" s="111"/>
      <c r="I6" s="111"/>
      <c r="J6" s="174"/>
      <c r="K6" s="78"/>
      <c r="L6" s="66"/>
    </row>
    <row r="7" spans="1:15" ht="30" thickBot="1" x14ac:dyDescent="0.45">
      <c r="A7" s="194" t="s">
        <v>129</v>
      </c>
      <c r="B7" s="195"/>
      <c r="C7" s="195"/>
      <c r="D7" s="151" t="s">
        <v>130</v>
      </c>
      <c r="E7" s="95">
        <f>'21'!F7</f>
        <v>476797.71</v>
      </c>
      <c r="F7" s="95">
        <v>496013.67</v>
      </c>
      <c r="G7" s="112">
        <f>F7-E7</f>
        <v>19215.959999999963</v>
      </c>
      <c r="H7" s="99">
        <f>G7+'21'!H7</f>
        <v>401452.67</v>
      </c>
      <c r="I7" s="113">
        <f>'1'!I7</f>
        <v>12000</v>
      </c>
      <c r="J7" s="175">
        <f>H7/DAY(B2)</f>
        <v>18247.848636363637</v>
      </c>
      <c r="K7" s="172">
        <v>1375467</v>
      </c>
      <c r="L7" s="66"/>
      <c r="N7" s="87"/>
      <c r="O7" s="71"/>
    </row>
    <row r="8" spans="1:15" ht="27.75" thickBot="1" x14ac:dyDescent="0.45">
      <c r="A8" s="196" t="s">
        <v>131</v>
      </c>
      <c r="B8" s="197"/>
      <c r="C8" s="198"/>
      <c r="D8" s="224" t="s">
        <v>24</v>
      </c>
      <c r="E8" s="95">
        <f>'21'!F8</f>
        <v>530403.75</v>
      </c>
      <c r="F8" s="95">
        <v>550326.51</v>
      </c>
      <c r="G8" s="115">
        <f>F8-E8</f>
        <v>19922.760000000009</v>
      </c>
      <c r="H8" s="99">
        <f>G8+'21'!H8</f>
        <v>409441.51</v>
      </c>
      <c r="I8" s="116"/>
      <c r="J8" s="175">
        <f>H8/DAY(B2)</f>
        <v>18610.977727272726</v>
      </c>
      <c r="K8" s="172">
        <v>1715917</v>
      </c>
      <c r="L8" s="76">
        <v>1728480</v>
      </c>
      <c r="M8" s="87">
        <f>L8-K8</f>
        <v>12563</v>
      </c>
      <c r="N8" s="87"/>
      <c r="O8" s="71"/>
    </row>
    <row r="9" spans="1:15" ht="29.25" x14ac:dyDescent="0.4">
      <c r="A9" s="199" t="s">
        <v>132</v>
      </c>
      <c r="B9" s="200"/>
      <c r="C9" s="200"/>
      <c r="D9" s="151" t="s">
        <v>130</v>
      </c>
      <c r="E9" s="95">
        <f>'21'!F9</f>
        <v>144338.41</v>
      </c>
      <c r="F9" s="601">
        <v>156266.35</v>
      </c>
      <c r="G9" s="112">
        <f>F9-E9</f>
        <v>11927.940000000002</v>
      </c>
      <c r="H9" s="99">
        <f>G9+'21'!H9</f>
        <v>254771.34999999998</v>
      </c>
      <c r="I9" s="124">
        <f>I7-J7</f>
        <v>-6247.8486363636366</v>
      </c>
      <c r="J9" s="175">
        <f>H9/DAY(B2)</f>
        <v>11580.515909090907</v>
      </c>
      <c r="K9" s="79">
        <f>K8-100</f>
        <v>1715817</v>
      </c>
      <c r="L9" s="66"/>
      <c r="N9" s="87"/>
      <c r="O9" s="71"/>
    </row>
    <row r="10" spans="1:15" ht="29.25" x14ac:dyDescent="0.4">
      <c r="A10" s="194" t="s">
        <v>133</v>
      </c>
      <c r="B10" s="195"/>
      <c r="C10" s="195"/>
      <c r="D10" s="151" t="s">
        <v>130</v>
      </c>
      <c r="E10" s="95">
        <f>'21'!F10</f>
        <v>73845.8</v>
      </c>
      <c r="F10" s="353">
        <v>80607.3</v>
      </c>
      <c r="G10" s="112">
        <f t="shared" ref="G10:G12" si="0">F10-E10</f>
        <v>6761.5</v>
      </c>
      <c r="H10" s="99">
        <f>G10+'21'!H10</f>
        <v>135513.29999999999</v>
      </c>
      <c r="I10" s="282"/>
      <c r="J10" s="175">
        <f>H10/DAY(B2)</f>
        <v>6159.6954545454537</v>
      </c>
      <c r="K10" s="79"/>
      <c r="L10" s="66"/>
      <c r="N10" s="87"/>
      <c r="O10" s="71"/>
    </row>
    <row r="11" spans="1:15" ht="29.25" x14ac:dyDescent="0.4">
      <c r="A11" s="194" t="s">
        <v>134</v>
      </c>
      <c r="B11" s="195"/>
      <c r="C11" s="195"/>
      <c r="D11" s="151" t="s">
        <v>130</v>
      </c>
      <c r="E11" s="95">
        <f>'21'!F11</f>
        <v>37170</v>
      </c>
      <c r="F11" s="95">
        <v>37170</v>
      </c>
      <c r="G11" s="112">
        <f t="shared" si="0"/>
        <v>0</v>
      </c>
      <c r="H11" s="99">
        <f>G11+'21'!H11</f>
        <v>170</v>
      </c>
      <c r="I11" s="282"/>
      <c r="J11" s="175">
        <f>H11/DAY(B2)</f>
        <v>7.7272727272727275</v>
      </c>
      <c r="K11" s="79"/>
      <c r="L11" s="66"/>
      <c r="N11" s="87"/>
      <c r="O11" s="71"/>
    </row>
    <row r="12" spans="1:15" ht="29.25" x14ac:dyDescent="0.4">
      <c r="A12" s="194" t="s">
        <v>135</v>
      </c>
      <c r="B12" s="195"/>
      <c r="C12" s="195"/>
      <c r="D12" s="151" t="s">
        <v>130</v>
      </c>
      <c r="E12" s="95">
        <f>'21'!F12</f>
        <v>40010</v>
      </c>
      <c r="F12" s="117">
        <v>40010</v>
      </c>
      <c r="G12" s="112">
        <f t="shared" si="0"/>
        <v>0</v>
      </c>
      <c r="H12" s="99">
        <f>G12+'21'!H12</f>
        <v>0</v>
      </c>
      <c r="I12" s="282"/>
      <c r="J12" s="175">
        <f>H12/DAY(B2)</f>
        <v>0</v>
      </c>
      <c r="K12" s="79"/>
      <c r="L12" s="66"/>
      <c r="N12" s="87"/>
      <c r="O12" s="71"/>
    </row>
    <row r="13" spans="1:15" ht="29.25" x14ac:dyDescent="0.5">
      <c r="A13" s="201" t="s">
        <v>136</v>
      </c>
      <c r="B13" s="202"/>
      <c r="C13" s="202"/>
      <c r="D13" s="151"/>
      <c r="E13" s="95"/>
      <c r="F13" s="95"/>
      <c r="G13" s="119">
        <f>G9+G10+G11+G12</f>
        <v>18689.440000000002</v>
      </c>
      <c r="H13" s="99">
        <f>G13+'21'!H13</f>
        <v>370989.39999999991</v>
      </c>
      <c r="I13" s="120">
        <f>G7-G13</f>
        <v>526.51999999996042</v>
      </c>
      <c r="J13" s="175">
        <f>H13/DAY(B2)</f>
        <v>16863.154545454541</v>
      </c>
      <c r="K13" s="79"/>
      <c r="L13" s="66"/>
      <c r="N13" s="87"/>
      <c r="O13" s="71"/>
    </row>
    <row r="14" spans="1:15" ht="29.25" x14ac:dyDescent="0.5">
      <c r="A14" s="827" t="s">
        <v>137</v>
      </c>
      <c r="B14" s="828"/>
      <c r="C14" s="829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5" ht="29.25" x14ac:dyDescent="0.5">
      <c r="A15" s="345" t="s">
        <v>138</v>
      </c>
      <c r="B15" s="205"/>
      <c r="C15" s="205"/>
      <c r="D15" s="151" t="s">
        <v>139</v>
      </c>
      <c r="E15" s="95">
        <f>'21'!F15</f>
        <v>1897060.59</v>
      </c>
      <c r="F15" s="123">
        <v>1898097</v>
      </c>
      <c r="G15" s="112">
        <f>(F15-E15)</f>
        <v>1036.4099999999162</v>
      </c>
      <c r="H15" s="99">
        <f>G15+'21'!H15</f>
        <v>19667</v>
      </c>
      <c r="I15" s="113">
        <f>'1'!I15</f>
        <v>800</v>
      </c>
      <c r="J15" s="175">
        <f>H15/DAY(B2)</f>
        <v>893.9545454545455</v>
      </c>
      <c r="K15" s="79"/>
      <c r="L15" s="66"/>
      <c r="N15" s="87"/>
      <c r="O15" s="71"/>
    </row>
    <row r="16" spans="1:15" ht="29.25" x14ac:dyDescent="0.4">
      <c r="A16" s="203"/>
      <c r="B16" s="204"/>
      <c r="C16" s="204"/>
      <c r="D16" s="152"/>
      <c r="E16" s="123"/>
      <c r="F16" s="123"/>
      <c r="G16" s="112"/>
      <c r="H16" s="124"/>
      <c r="I16" s="120">
        <f>I15-J15</f>
        <v>-93.954545454545496</v>
      </c>
      <c r="J16" s="176"/>
      <c r="K16" s="79"/>
      <c r="L16" s="66"/>
      <c r="N16" s="87"/>
      <c r="O16" s="71"/>
    </row>
    <row r="17" spans="1:15" ht="29.25" x14ac:dyDescent="0.5">
      <c r="A17" s="827" t="s">
        <v>140</v>
      </c>
      <c r="B17" s="828"/>
      <c r="C17" s="829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5" ht="27.75" x14ac:dyDescent="0.5">
      <c r="A18" s="818" t="s">
        <v>141</v>
      </c>
      <c r="B18" s="819"/>
      <c r="C18" s="820"/>
      <c r="D18" s="151" t="s">
        <v>142</v>
      </c>
      <c r="E18" s="95">
        <f>'21'!F18</f>
        <v>11</v>
      </c>
      <c r="F18" s="122">
        <v>12</v>
      </c>
      <c r="G18" s="119">
        <f>F18*10</f>
        <v>120</v>
      </c>
      <c r="H18" s="99">
        <f>G18+'21'!H18</f>
        <v>2410</v>
      </c>
      <c r="I18" s="113">
        <f>'1'!I18</f>
        <v>65</v>
      </c>
      <c r="J18" s="175">
        <f>H18/DAY(B2)</f>
        <v>109.54545454545455</v>
      </c>
      <c r="K18" s="79"/>
      <c r="L18" s="66"/>
      <c r="N18" s="87"/>
      <c r="O18" s="71"/>
    </row>
    <row r="19" spans="1:15" ht="27.75" x14ac:dyDescent="0.5">
      <c r="A19" s="818" t="s">
        <v>69</v>
      </c>
      <c r="B19" s="819"/>
      <c r="C19" s="820"/>
      <c r="D19" s="151" t="s">
        <v>142</v>
      </c>
      <c r="E19" s="95">
        <f>'21'!F19</f>
        <v>153349</v>
      </c>
      <c r="F19" s="122">
        <v>153405</v>
      </c>
      <c r="G19" s="112">
        <f t="shared" ref="G19" si="1">F19-E19</f>
        <v>56</v>
      </c>
      <c r="H19" s="99">
        <f>G19+'21'!H19</f>
        <v>1180</v>
      </c>
      <c r="I19" s="335"/>
      <c r="J19" s="175">
        <f>H19/DAY(B2)</f>
        <v>53.636363636363633</v>
      </c>
      <c r="K19" s="79"/>
      <c r="L19" s="66"/>
      <c r="N19" s="87"/>
      <c r="O19" s="71"/>
    </row>
    <row r="20" spans="1:15" ht="29.25" x14ac:dyDescent="0.5">
      <c r="A20" s="201" t="s">
        <v>143</v>
      </c>
      <c r="B20" s="202"/>
      <c r="C20" s="202"/>
      <c r="D20" s="126"/>
      <c r="E20" s="126"/>
      <c r="F20" s="126"/>
      <c r="G20" s="127">
        <f>G18+G19</f>
        <v>176</v>
      </c>
      <c r="H20" s="99">
        <f>G20+'21'!H20</f>
        <v>3590</v>
      </c>
      <c r="I20" s="336">
        <f>I18-J20</f>
        <v>-98.181818181818187</v>
      </c>
      <c r="J20" s="175">
        <f>H20/DAY(B2)</f>
        <v>163.18181818181819</v>
      </c>
      <c r="K20" s="79"/>
      <c r="L20" s="66"/>
      <c r="N20" s="87"/>
      <c r="O20" s="71"/>
    </row>
    <row r="21" spans="1:15" ht="29.25" x14ac:dyDescent="0.5">
      <c r="A21" s="827" t="s">
        <v>144</v>
      </c>
      <c r="B21" s="828"/>
      <c r="C21" s="829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5" ht="29.25" x14ac:dyDescent="0.5">
      <c r="A22" s="345" t="s">
        <v>145</v>
      </c>
      <c r="B22" s="205"/>
      <c r="C22" s="205"/>
      <c r="D22" s="151" t="s">
        <v>146</v>
      </c>
      <c r="E22" s="95">
        <f>'21'!F22</f>
        <v>2970</v>
      </c>
      <c r="F22" s="122">
        <v>2970</v>
      </c>
      <c r="G22" s="119">
        <f t="shared" ref="G22" si="2">(F22-E22)</f>
        <v>0</v>
      </c>
      <c r="H22" s="99">
        <f>G22+'21'!H22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29.25" x14ac:dyDescent="0.5">
      <c r="A23" s="345" t="s">
        <v>147</v>
      </c>
      <c r="B23" s="205"/>
      <c r="C23" s="205"/>
      <c r="D23" s="151" t="s">
        <v>146</v>
      </c>
      <c r="E23" s="95">
        <f>'21'!F23</f>
        <v>2000</v>
      </c>
      <c r="F23" s="122">
        <v>2000</v>
      </c>
      <c r="G23" s="119">
        <v>0</v>
      </c>
      <c r="H23" s="99">
        <f>G23+'21'!H23</f>
        <v>110</v>
      </c>
      <c r="I23" s="118"/>
      <c r="J23" s="175">
        <f>H23/DAY(B2)</f>
        <v>5</v>
      </c>
      <c r="K23" s="79"/>
      <c r="L23" s="66"/>
      <c r="N23" s="87"/>
      <c r="O23" s="71"/>
    </row>
    <row r="24" spans="1:15" ht="29.25" x14ac:dyDescent="0.4">
      <c r="A24" s="206" t="s">
        <v>148</v>
      </c>
      <c r="B24" s="207"/>
      <c r="C24" s="207"/>
      <c r="D24" s="146" t="s">
        <v>146</v>
      </c>
      <c r="E24" s="95">
        <f>'21'!F24</f>
        <v>4970</v>
      </c>
      <c r="F24" s="128">
        <v>4970</v>
      </c>
      <c r="G24" s="119">
        <v>0</v>
      </c>
      <c r="H24" s="99">
        <f>G24+'21'!H24</f>
        <v>110</v>
      </c>
      <c r="I24" s="118"/>
      <c r="J24" s="175">
        <f>H24/DAY(B2)</f>
        <v>5</v>
      </c>
      <c r="K24" s="79"/>
      <c r="L24" s="66"/>
      <c r="N24" s="87"/>
      <c r="O24" s="71"/>
    </row>
    <row r="25" spans="1:15" s="88" customFormat="1" ht="27" x14ac:dyDescent="0.35">
      <c r="A25" s="832" t="s">
        <v>149</v>
      </c>
      <c r="B25" s="833"/>
      <c r="C25" s="834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5" s="88" customFormat="1" ht="27.75" x14ac:dyDescent="0.5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/>
      <c r="I26" s="134"/>
      <c r="J26" s="175"/>
      <c r="K26" s="64"/>
      <c r="L26" s="89"/>
      <c r="N26" s="87"/>
      <c r="O26" s="71"/>
    </row>
    <row r="27" spans="1:15" s="88" customFormat="1" ht="27.75" x14ac:dyDescent="0.5">
      <c r="A27" s="208" t="s">
        <v>5</v>
      </c>
      <c r="B27" s="209"/>
      <c r="C27" s="210"/>
      <c r="D27" s="226" t="s">
        <v>24</v>
      </c>
      <c r="E27" s="135">
        <f>G8</f>
        <v>19922.760000000009</v>
      </c>
      <c r="F27" s="136">
        <v>9</v>
      </c>
      <c r="G27" s="137">
        <f>E27*F27</f>
        <v>179304.84000000008</v>
      </c>
      <c r="H27" s="99">
        <f>G27+'21'!H27</f>
        <v>3684973.59</v>
      </c>
      <c r="I27" s="138"/>
      <c r="J27" s="175">
        <f>H27/DAY(B2)</f>
        <v>167498.79954545453</v>
      </c>
      <c r="K27" s="63"/>
      <c r="L27" s="89"/>
      <c r="N27" s="87"/>
      <c r="O27" s="71"/>
    </row>
    <row r="28" spans="1:15" s="88" customFormat="1" ht="27.75" x14ac:dyDescent="0.5">
      <c r="A28" s="208" t="s">
        <v>152</v>
      </c>
      <c r="B28" s="209"/>
      <c r="C28" s="210"/>
      <c r="D28" s="226" t="s">
        <v>153</v>
      </c>
      <c r="E28" s="139">
        <f>G15</f>
        <v>1036.4099999999162</v>
      </c>
      <c r="F28" s="136">
        <v>52</v>
      </c>
      <c r="G28" s="137">
        <f>E28*F28</f>
        <v>53893.319999995641</v>
      </c>
      <c r="H28" s="99">
        <f>G28+'21'!H28</f>
        <v>1022684</v>
      </c>
      <c r="I28" s="140"/>
      <c r="J28" s="175">
        <f>H28/DAY(B2)</f>
        <v>46485.63636363636</v>
      </c>
      <c r="K28" s="63"/>
      <c r="L28" s="89"/>
      <c r="N28" s="87"/>
      <c r="O28" s="71"/>
    </row>
    <row r="29" spans="1:15" s="88" customFormat="1" ht="27.75" x14ac:dyDescent="0.5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>E29*F29</f>
        <v>0</v>
      </c>
      <c r="H29" s="99">
        <f>G29+'21'!H29</f>
        <v>7590</v>
      </c>
      <c r="I29" s="140"/>
      <c r="J29" s="175">
        <f>H29/DAY(B2)</f>
        <v>345</v>
      </c>
      <c r="K29" s="63"/>
      <c r="L29" s="89"/>
      <c r="N29" s="87"/>
      <c r="O29" s="71"/>
    </row>
    <row r="30" spans="1:15" s="88" customFormat="1" ht="27.75" x14ac:dyDescent="0.5">
      <c r="A30" s="208" t="s">
        <v>156</v>
      </c>
      <c r="B30" s="209"/>
      <c r="C30" s="210"/>
      <c r="D30" s="226" t="s">
        <v>157</v>
      </c>
      <c r="E30" s="141">
        <f>G19</f>
        <v>56</v>
      </c>
      <c r="F30" s="136">
        <v>146</v>
      </c>
      <c r="G30" s="137">
        <f>E30*F30</f>
        <v>8176</v>
      </c>
      <c r="H30" s="99">
        <f>G30+'21'!H30</f>
        <v>172280</v>
      </c>
      <c r="I30" s="140"/>
      <c r="J30" s="175">
        <f>H30/DAY(B2)</f>
        <v>7830.909090909091</v>
      </c>
      <c r="K30" s="63"/>
      <c r="L30" s="89"/>
      <c r="N30" s="87"/>
      <c r="O30" s="71"/>
    </row>
    <row r="31" spans="1:15" s="88" customFormat="1" ht="27.75" x14ac:dyDescent="0.5">
      <c r="A31" s="208" t="s">
        <v>158</v>
      </c>
      <c r="B31" s="209"/>
      <c r="C31" s="210"/>
      <c r="D31" s="226" t="s">
        <v>142</v>
      </c>
      <c r="E31" s="141">
        <f>G18</f>
        <v>120</v>
      </c>
      <c r="F31" s="136">
        <v>80</v>
      </c>
      <c r="G31" s="137">
        <f>E31*F31</f>
        <v>9600</v>
      </c>
      <c r="H31" s="99">
        <f>G31+'21'!H31</f>
        <v>192800</v>
      </c>
      <c r="I31" s="140"/>
      <c r="J31" s="175">
        <f>H31/DAY(B2)</f>
        <v>8763.636363636364</v>
      </c>
      <c r="K31" s="63"/>
      <c r="L31" s="89"/>
      <c r="N31" s="87"/>
      <c r="O31" s="71"/>
    </row>
    <row r="32" spans="1:15" s="88" customFormat="1" ht="27.75" x14ac:dyDescent="0.5">
      <c r="A32" s="211" t="s">
        <v>159</v>
      </c>
      <c r="B32" s="212"/>
      <c r="C32" s="213"/>
      <c r="D32" s="142"/>
      <c r="E32" s="142"/>
      <c r="F32" s="142"/>
      <c r="G32" s="143">
        <f>G27+G28+G29+G30+G31</f>
        <v>250974.15999999573</v>
      </c>
      <c r="H32" s="99">
        <f>G32+'21'!H32</f>
        <v>5080327.59</v>
      </c>
      <c r="I32" s="144"/>
      <c r="J32" s="175">
        <f>H32/DAY(B2)</f>
        <v>230923.98136363635</v>
      </c>
      <c r="K32" s="63"/>
      <c r="L32" s="89"/>
      <c r="N32" s="87"/>
      <c r="O32" s="71"/>
    </row>
    <row r="33" spans="1:15" ht="25.5" customHeight="1" x14ac:dyDescent="0.35">
      <c r="A33" s="835" t="s">
        <v>331</v>
      </c>
      <c r="B33" s="836"/>
      <c r="C33" s="836"/>
      <c r="D33" s="337"/>
      <c r="E33" s="337"/>
      <c r="F33" s="337"/>
      <c r="G33" s="337"/>
      <c r="H33" s="337"/>
      <c r="I33" s="337"/>
      <c r="J33" s="338"/>
      <c r="K33" s="79"/>
      <c r="L33" s="66"/>
      <c r="N33" s="87"/>
      <c r="O33" s="71"/>
    </row>
    <row r="34" spans="1:15" ht="29.25" x14ac:dyDescent="0.5">
      <c r="A34" s="214" t="s">
        <v>160</v>
      </c>
      <c r="B34" s="349"/>
      <c r="C34" s="349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29.25" x14ac:dyDescent="0.4">
      <c r="A35" s="194" t="s">
        <v>161</v>
      </c>
      <c r="B35" s="195"/>
      <c r="C35" s="195"/>
      <c r="D35" s="151" t="s">
        <v>130</v>
      </c>
      <c r="E35" s="95">
        <f>'21'!F35</f>
        <v>19247.78</v>
      </c>
      <c r="F35" s="504">
        <v>20670.580000000002</v>
      </c>
      <c r="G35" s="112">
        <f t="shared" ref="G35:G46" si="3">F35-E35</f>
        <v>1422.8000000000029</v>
      </c>
      <c r="H35" s="99">
        <f>G35+'21'!H35</f>
        <v>35870.58</v>
      </c>
      <c r="I35" s="95"/>
      <c r="J35" s="175">
        <f>H35/DAY(B2)</f>
        <v>1630.4809090909091</v>
      </c>
      <c r="K35" s="79"/>
      <c r="L35" s="66"/>
      <c r="N35" s="87"/>
      <c r="O35" s="71"/>
    </row>
    <row r="36" spans="1:15" ht="29.25" x14ac:dyDescent="0.4">
      <c r="A36" s="194" t="s">
        <v>162</v>
      </c>
      <c r="B36" s="195"/>
      <c r="C36" s="195"/>
      <c r="D36" s="151" t="s">
        <v>130</v>
      </c>
      <c r="E36" s="95">
        <f>'21'!F36</f>
        <v>35993.730000000003</v>
      </c>
      <c r="F36" s="145">
        <v>36828.019999999997</v>
      </c>
      <c r="G36" s="112">
        <f t="shared" si="3"/>
        <v>834.2899999999936</v>
      </c>
      <c r="H36" s="99">
        <f>G36+'21'!H36</f>
        <v>15301.019999999997</v>
      </c>
      <c r="I36" s="95"/>
      <c r="J36" s="175">
        <f>H36/DAY(B2)</f>
        <v>695.50090909090898</v>
      </c>
      <c r="K36" s="79"/>
      <c r="L36" s="66"/>
      <c r="N36" s="87"/>
      <c r="O36" s="344"/>
    </row>
    <row r="37" spans="1:15" ht="29.25" x14ac:dyDescent="0.4">
      <c r="A37" s="194" t="s">
        <v>163</v>
      </c>
      <c r="B37" s="195"/>
      <c r="C37" s="195"/>
      <c r="D37" s="151" t="s">
        <v>130</v>
      </c>
      <c r="E37" s="95">
        <f>'21'!F37</f>
        <v>19583.419999999998</v>
      </c>
      <c r="F37" s="504">
        <v>21170.51</v>
      </c>
      <c r="G37" s="112">
        <f t="shared" si="3"/>
        <v>1587.0900000000001</v>
      </c>
      <c r="H37" s="99">
        <f>G37+'21'!H37</f>
        <v>33382.509999999995</v>
      </c>
      <c r="I37" s="95"/>
      <c r="J37" s="175">
        <f>H37/DAY(B2)</f>
        <v>1517.3868181818179</v>
      </c>
      <c r="K37" s="79"/>
      <c r="L37" s="66"/>
      <c r="N37" s="87"/>
      <c r="O37" s="234"/>
    </row>
    <row r="38" spans="1:15" ht="29.25" x14ac:dyDescent="0.4">
      <c r="A38" s="194" t="s">
        <v>164</v>
      </c>
      <c r="B38" s="195"/>
      <c r="C38" s="195"/>
      <c r="D38" s="151" t="s">
        <v>130</v>
      </c>
      <c r="E38" s="95">
        <f>'21'!F38</f>
        <v>20772.3</v>
      </c>
      <c r="F38" s="108">
        <v>22559.54</v>
      </c>
      <c r="G38" s="112">
        <f t="shared" si="3"/>
        <v>1787.2400000000016</v>
      </c>
      <c r="H38" s="99">
        <f>G38+'21'!H38</f>
        <v>35759.540000000008</v>
      </c>
      <c r="I38" s="95"/>
      <c r="J38" s="175">
        <f>H38/DAY(B2)</f>
        <v>1625.4336363636367</v>
      </c>
      <c r="K38" s="79"/>
      <c r="L38" s="66"/>
      <c r="N38" s="87"/>
      <c r="O38" s="71"/>
    </row>
    <row r="39" spans="1:15" ht="29.25" x14ac:dyDescent="0.4">
      <c r="A39" s="194" t="s">
        <v>165</v>
      </c>
      <c r="B39" s="195"/>
      <c r="C39" s="195"/>
      <c r="D39" s="151" t="s">
        <v>130</v>
      </c>
      <c r="E39" s="95">
        <f>'21'!F39</f>
        <v>33105.85</v>
      </c>
      <c r="F39" s="504">
        <v>35754.550000000003</v>
      </c>
      <c r="G39" s="112">
        <f t="shared" si="3"/>
        <v>2648.7000000000044</v>
      </c>
      <c r="H39" s="99">
        <f>G39+'21'!H39</f>
        <v>57436.55</v>
      </c>
      <c r="I39" s="95"/>
      <c r="J39" s="175">
        <f>H39/DAY(B2)</f>
        <v>2610.7522727272731</v>
      </c>
      <c r="K39" s="79"/>
      <c r="L39" s="66"/>
      <c r="N39" s="87"/>
      <c r="O39" s="71"/>
    </row>
    <row r="40" spans="1:15" ht="29.25" x14ac:dyDescent="0.4">
      <c r="A40" s="215" t="s">
        <v>166</v>
      </c>
      <c r="B40" s="216"/>
      <c r="C40" s="216"/>
      <c r="D40" s="151" t="s">
        <v>130</v>
      </c>
      <c r="E40" s="95">
        <f>'21'!F40</f>
        <v>14856.38</v>
      </c>
      <c r="F40" s="145">
        <v>15149.86</v>
      </c>
      <c r="G40" s="112">
        <f t="shared" si="3"/>
        <v>293.48000000000138</v>
      </c>
      <c r="H40" s="99">
        <f>G40+'21'!H40</f>
        <v>9539.86</v>
      </c>
      <c r="I40" s="95"/>
      <c r="J40" s="175">
        <f>H40/DAY(B2)</f>
        <v>433.63000000000005</v>
      </c>
      <c r="K40" s="80"/>
      <c r="L40" s="66"/>
      <c r="N40" s="87"/>
      <c r="O40" s="71"/>
    </row>
    <row r="41" spans="1:15" ht="29.25" x14ac:dyDescent="0.4">
      <c r="A41" s="194" t="s">
        <v>167</v>
      </c>
      <c r="B41" s="195"/>
      <c r="C41" s="195"/>
      <c r="D41" s="151" t="s">
        <v>130</v>
      </c>
      <c r="E41" s="95">
        <f>'21'!F41</f>
        <v>0</v>
      </c>
      <c r="F41" s="145">
        <v>0</v>
      </c>
      <c r="G41" s="112">
        <f t="shared" si="3"/>
        <v>0</v>
      </c>
      <c r="H41" s="99">
        <f>G41+'21'!H41</f>
        <v>0</v>
      </c>
      <c r="I41" s="95"/>
      <c r="J41" s="175">
        <f>H41/DAY(B2)</f>
        <v>0</v>
      </c>
      <c r="K41" s="79"/>
      <c r="L41" s="66"/>
      <c r="N41" s="87"/>
      <c r="O41" s="71"/>
    </row>
    <row r="42" spans="1:15" ht="29.25" x14ac:dyDescent="0.4">
      <c r="A42" s="194" t="s">
        <v>168</v>
      </c>
      <c r="B42" s="195"/>
      <c r="C42" s="195"/>
      <c r="D42" s="151" t="s">
        <v>130</v>
      </c>
      <c r="E42" s="95">
        <f>'21'!F42</f>
        <v>73808.600000000006</v>
      </c>
      <c r="F42" s="145">
        <v>73808.600000000006</v>
      </c>
      <c r="G42" s="112">
        <f t="shared" si="3"/>
        <v>0</v>
      </c>
      <c r="H42" s="99">
        <f>G42+'21'!H42</f>
        <v>-0.39999999999417923</v>
      </c>
      <c r="I42" s="95"/>
      <c r="J42" s="175">
        <f>H42/DAY(B2)</f>
        <v>-1.8181818181553601E-2</v>
      </c>
      <c r="K42" s="79"/>
      <c r="L42" s="66"/>
      <c r="N42" s="87"/>
      <c r="O42" s="71"/>
    </row>
    <row r="43" spans="1:15" ht="29.25" x14ac:dyDescent="0.4">
      <c r="A43" s="194" t="s">
        <v>169</v>
      </c>
      <c r="B43" s="195"/>
      <c r="C43" s="195"/>
      <c r="D43" s="151" t="s">
        <v>130</v>
      </c>
      <c r="E43" s="95">
        <f>'21'!F43</f>
        <v>94406.93</v>
      </c>
      <c r="F43" s="145">
        <v>96740.35</v>
      </c>
      <c r="G43" s="112">
        <f t="shared" si="3"/>
        <v>2333.4200000000128</v>
      </c>
      <c r="H43" s="99">
        <f>G43+'21'!H43</f>
        <v>49479.350000000006</v>
      </c>
      <c r="I43" s="95"/>
      <c r="J43" s="175">
        <f>H43/DAY(B2)</f>
        <v>2249.0613636363637</v>
      </c>
      <c r="K43" s="79"/>
      <c r="L43" s="66"/>
      <c r="N43" s="87"/>
      <c r="O43" s="71"/>
    </row>
    <row r="44" spans="1:15" ht="29.25" x14ac:dyDescent="0.4">
      <c r="A44" s="194" t="s">
        <v>170</v>
      </c>
      <c r="B44" s="195"/>
      <c r="C44" s="195"/>
      <c r="D44" s="151" t="s">
        <v>130</v>
      </c>
      <c r="E44" s="95">
        <f>'21'!F44</f>
        <v>0</v>
      </c>
      <c r="F44" s="145">
        <v>0</v>
      </c>
      <c r="G44" s="112">
        <f t="shared" si="3"/>
        <v>0</v>
      </c>
      <c r="H44" s="99">
        <f>G44+'21'!H44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29.25" x14ac:dyDescent="0.4">
      <c r="A45" s="194" t="s">
        <v>171</v>
      </c>
      <c r="B45" s="195"/>
      <c r="C45" s="195"/>
      <c r="D45" s="151" t="s">
        <v>130</v>
      </c>
      <c r="E45" s="95">
        <f>'21'!F45</f>
        <v>0</v>
      </c>
      <c r="F45" s="145">
        <v>0</v>
      </c>
      <c r="G45" s="112">
        <f t="shared" si="3"/>
        <v>0</v>
      </c>
      <c r="H45" s="99">
        <f>G45+'21'!H45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29.25" x14ac:dyDescent="0.4">
      <c r="A46" s="194" t="s">
        <v>172</v>
      </c>
      <c r="B46" s="195"/>
      <c r="C46" s="195"/>
      <c r="D46" s="151" t="s">
        <v>130</v>
      </c>
      <c r="E46" s="95">
        <f>'21'!F46</f>
        <v>0</v>
      </c>
      <c r="F46" s="145">
        <v>0</v>
      </c>
      <c r="G46" s="112">
        <f t="shared" si="3"/>
        <v>0</v>
      </c>
      <c r="H46" s="99">
        <f>G46+'21'!H46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29.25" x14ac:dyDescent="0.5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10907.020000000017</v>
      </c>
      <c r="H47" s="99">
        <f>G47+'21'!H47</f>
        <v>236769.01000000007</v>
      </c>
      <c r="I47" s="95"/>
      <c r="J47" s="175">
        <f>H47/DAY(B2)</f>
        <v>10762.22772727273</v>
      </c>
      <c r="K47" s="79"/>
      <c r="L47" s="66"/>
      <c r="N47" s="87"/>
      <c r="O47" s="71"/>
    </row>
    <row r="48" spans="1:15" ht="29.25" x14ac:dyDescent="0.5">
      <c r="A48" s="214" t="s">
        <v>174</v>
      </c>
      <c r="B48" s="349"/>
      <c r="C48" s="349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29.25" x14ac:dyDescent="0.4">
      <c r="A49" s="194" t="s">
        <v>161</v>
      </c>
      <c r="B49" s="217"/>
      <c r="C49" s="217"/>
      <c r="D49" s="151" t="s">
        <v>130</v>
      </c>
      <c r="E49" s="95">
        <f>'21'!F49</f>
        <v>15892.9</v>
      </c>
      <c r="F49" s="145">
        <v>17066.73</v>
      </c>
      <c r="G49" s="112">
        <f t="shared" ref="G49:G58" si="4">F49-E49</f>
        <v>1173.83</v>
      </c>
      <c r="H49" s="99">
        <f>G49+'21'!H49</f>
        <v>30187.729999999996</v>
      </c>
      <c r="I49" s="95"/>
      <c r="J49" s="175">
        <f>H49/DAY(B2)</f>
        <v>1372.1695454545452</v>
      </c>
      <c r="K49" s="79"/>
      <c r="L49" s="66"/>
      <c r="N49" s="87"/>
      <c r="O49" s="71"/>
    </row>
    <row r="50" spans="1:15" ht="29.25" x14ac:dyDescent="0.4">
      <c r="A50" s="194" t="s">
        <v>175</v>
      </c>
      <c r="B50" s="217"/>
      <c r="C50" s="217"/>
      <c r="D50" s="151" t="s">
        <v>130</v>
      </c>
      <c r="E50" s="95">
        <f>'21'!F50</f>
        <v>45096.4</v>
      </c>
      <c r="F50" s="145">
        <v>46607.1</v>
      </c>
      <c r="G50" s="112">
        <f t="shared" si="4"/>
        <v>1510.6999999999971</v>
      </c>
      <c r="H50" s="99">
        <f>G50+'21'!H50</f>
        <v>21957.1</v>
      </c>
      <c r="I50" s="95"/>
      <c r="J50" s="175">
        <f>H50/DAY(B2)</f>
        <v>998.05</v>
      </c>
      <c r="K50" s="79"/>
      <c r="L50" s="66"/>
      <c r="N50" s="87"/>
      <c r="O50" s="71"/>
    </row>
    <row r="51" spans="1:15" ht="29.25" x14ac:dyDescent="0.4">
      <c r="A51" s="194" t="s">
        <v>163</v>
      </c>
      <c r="B51" s="217"/>
      <c r="C51" s="217"/>
      <c r="D51" s="151" t="s">
        <v>130</v>
      </c>
      <c r="E51" s="95">
        <f>'21'!F51</f>
        <v>0</v>
      </c>
      <c r="F51" s="145">
        <v>0</v>
      </c>
      <c r="G51" s="112">
        <f t="shared" si="4"/>
        <v>0</v>
      </c>
      <c r="H51" s="99">
        <f>G51+'21'!H51</f>
        <v>0</v>
      </c>
      <c r="I51" s="95"/>
      <c r="J51" s="175">
        <f>H51/DAY(B2)</f>
        <v>0</v>
      </c>
      <c r="K51" s="79"/>
      <c r="L51" s="66"/>
      <c r="N51" s="87"/>
      <c r="O51" s="71"/>
    </row>
    <row r="52" spans="1:15" ht="29.25" x14ac:dyDescent="0.4">
      <c r="A52" s="194" t="s">
        <v>176</v>
      </c>
      <c r="B52" s="217"/>
      <c r="C52" s="217"/>
      <c r="D52" s="151" t="s">
        <v>130</v>
      </c>
      <c r="E52" s="95">
        <f>'21'!F52</f>
        <v>0</v>
      </c>
      <c r="F52" s="145">
        <v>0</v>
      </c>
      <c r="G52" s="112">
        <f t="shared" si="4"/>
        <v>0</v>
      </c>
      <c r="H52" s="99">
        <f>G52+'21'!H52</f>
        <v>0</v>
      </c>
      <c r="I52" s="95"/>
      <c r="J52" s="175">
        <f>H52/DAY(B2)</f>
        <v>0</v>
      </c>
      <c r="K52" s="79"/>
      <c r="L52" s="66"/>
      <c r="N52" s="87"/>
      <c r="O52" s="71"/>
    </row>
    <row r="53" spans="1:15" ht="29.25" x14ac:dyDescent="0.4">
      <c r="A53" s="194" t="s">
        <v>165</v>
      </c>
      <c r="B53" s="217"/>
      <c r="C53" s="217"/>
      <c r="D53" s="151" t="s">
        <v>130</v>
      </c>
      <c r="E53" s="95">
        <f>'21'!F53</f>
        <v>0</v>
      </c>
      <c r="F53" s="145">
        <v>0</v>
      </c>
      <c r="G53" s="112">
        <f t="shared" si="4"/>
        <v>0</v>
      </c>
      <c r="H53" s="99">
        <f>G53+'21'!H53</f>
        <v>0</v>
      </c>
      <c r="I53" s="95"/>
      <c r="J53" s="175">
        <f>H53/DAY(B2)</f>
        <v>0</v>
      </c>
      <c r="K53" s="79"/>
      <c r="L53" s="66"/>
      <c r="N53" s="87"/>
      <c r="O53" s="71"/>
    </row>
    <row r="54" spans="1:15" ht="29.25" x14ac:dyDescent="0.4">
      <c r="A54" s="194" t="s">
        <v>177</v>
      </c>
      <c r="B54" s="217"/>
      <c r="C54" s="217"/>
      <c r="D54" s="151" t="s">
        <v>130</v>
      </c>
      <c r="E54" s="95">
        <f>'21'!F54</f>
        <v>5147.42</v>
      </c>
      <c r="F54" s="145">
        <v>5147.42</v>
      </c>
      <c r="G54" s="112">
        <f t="shared" si="4"/>
        <v>0</v>
      </c>
      <c r="H54" s="99">
        <f>G54+'21'!H54</f>
        <v>6914.5</v>
      </c>
      <c r="I54" s="95"/>
      <c r="J54" s="175">
        <f>H54/DAY(B2)</f>
        <v>314.29545454545456</v>
      </c>
      <c r="K54" s="79"/>
      <c r="L54" s="66"/>
      <c r="N54" s="87"/>
      <c r="O54" s="71"/>
    </row>
    <row r="55" spans="1:15" ht="29.25" x14ac:dyDescent="0.4">
      <c r="A55" s="194" t="s">
        <v>178</v>
      </c>
      <c r="B55" s="217"/>
      <c r="C55" s="217"/>
      <c r="D55" s="151" t="s">
        <v>130</v>
      </c>
      <c r="E55" s="95">
        <f>'21'!F55</f>
        <v>66112.87</v>
      </c>
      <c r="F55" s="504">
        <v>69186.45</v>
      </c>
      <c r="G55" s="112">
        <f t="shared" si="4"/>
        <v>3073.5800000000017</v>
      </c>
      <c r="H55" s="99">
        <f>G55+'21'!H55</f>
        <v>65675.45</v>
      </c>
      <c r="I55" s="95"/>
      <c r="J55" s="175">
        <f>H55/DAY(B2)</f>
        <v>2985.2477272727269</v>
      </c>
      <c r="K55" s="79"/>
      <c r="L55" s="66"/>
      <c r="N55" s="87"/>
      <c r="O55" s="71"/>
    </row>
    <row r="56" spans="1:15" ht="29.25" x14ac:dyDescent="0.4">
      <c r="A56" s="194" t="s">
        <v>179</v>
      </c>
      <c r="B56" s="217"/>
      <c r="C56" s="217"/>
      <c r="D56" s="151" t="s">
        <v>180</v>
      </c>
      <c r="E56" s="95">
        <f>'21'!F56</f>
        <v>8610.5400000000009</v>
      </c>
      <c r="F56" s="504">
        <v>8610.5400000000009</v>
      </c>
      <c r="G56" s="112">
        <f>F56-E56</f>
        <v>0</v>
      </c>
      <c r="H56" s="99">
        <f>G56+'21'!H56</f>
        <v>0</v>
      </c>
      <c r="I56" s="95"/>
      <c r="J56" s="175">
        <f>H56/DAY(B2)</f>
        <v>0</v>
      </c>
      <c r="K56" s="78"/>
      <c r="L56" s="66"/>
      <c r="N56" s="87"/>
      <c r="O56" s="71"/>
    </row>
    <row r="57" spans="1:15" ht="29.25" x14ac:dyDescent="0.4">
      <c r="A57" s="194" t="s">
        <v>169</v>
      </c>
      <c r="B57" s="217"/>
      <c r="C57" s="217"/>
      <c r="D57" s="151" t="s">
        <v>130</v>
      </c>
      <c r="E57" s="95">
        <f>'21'!F57</f>
        <v>0</v>
      </c>
      <c r="F57" s="145">
        <v>0</v>
      </c>
      <c r="G57" s="112">
        <f t="shared" si="4"/>
        <v>0</v>
      </c>
      <c r="H57" s="99">
        <f>G57+'21'!H57</f>
        <v>0</v>
      </c>
      <c r="I57" s="95"/>
      <c r="J57" s="175">
        <f>H57/DAY(B2)</f>
        <v>0</v>
      </c>
      <c r="K57" s="79"/>
      <c r="L57" s="66"/>
      <c r="N57" s="87"/>
      <c r="O57" s="71"/>
    </row>
    <row r="58" spans="1:15" ht="29.25" x14ac:dyDescent="0.4">
      <c r="A58" s="194" t="s">
        <v>181</v>
      </c>
      <c r="B58" s="217"/>
      <c r="C58" s="217"/>
      <c r="D58" s="151" t="s">
        <v>130</v>
      </c>
      <c r="E58" s="95">
        <f>'21'!F58</f>
        <v>2801.18</v>
      </c>
      <c r="F58" s="145">
        <v>3044.63</v>
      </c>
      <c r="G58" s="112">
        <f t="shared" si="4"/>
        <v>243.45000000000027</v>
      </c>
      <c r="H58" s="99">
        <f>G58+'21'!H58</f>
        <v>3385.2600000000048</v>
      </c>
      <c r="I58" s="95"/>
      <c r="J58" s="175">
        <f>H58/DAY(B2)</f>
        <v>153.87545454545477</v>
      </c>
      <c r="K58" s="79"/>
      <c r="L58" s="66"/>
      <c r="N58" s="87"/>
      <c r="O58" s="71"/>
    </row>
    <row r="59" spans="1:15" ht="29.25" x14ac:dyDescent="0.5">
      <c r="A59" s="201" t="s">
        <v>173</v>
      </c>
      <c r="B59" s="202"/>
      <c r="C59" s="202"/>
      <c r="D59" s="146"/>
      <c r="E59" s="146"/>
      <c r="F59" s="146"/>
      <c r="G59" s="119">
        <f>G49+G50+G51+G52+G53+G54+G55+G56+G57+G58</f>
        <v>6001.5599999999995</v>
      </c>
      <c r="H59" s="99">
        <f>G59+'21'!H59</f>
        <v>128120.04000000004</v>
      </c>
      <c r="I59" s="95">
        <f>G7-G60</f>
        <v>2307.3799999999464</v>
      </c>
      <c r="J59" s="175">
        <f>H59/DAY(B2)</f>
        <v>5823.6381818181835</v>
      </c>
      <c r="K59" s="79"/>
      <c r="L59" s="66"/>
      <c r="N59" s="87"/>
      <c r="O59" s="71"/>
    </row>
    <row r="60" spans="1:15" ht="29.25" x14ac:dyDescent="0.4">
      <c r="A60" s="194"/>
      <c r="B60" s="195"/>
      <c r="C60" s="195"/>
      <c r="D60" s="146" t="s">
        <v>182</v>
      </c>
      <c r="E60" s="146"/>
      <c r="F60" s="146"/>
      <c r="G60" s="119">
        <f>G47+G59</f>
        <v>16908.580000000016</v>
      </c>
      <c r="H60" s="99">
        <f>G60+'21'!H60</f>
        <v>364889.04999999993</v>
      </c>
      <c r="I60" s="95">
        <f>G13-G60</f>
        <v>1780.859999999986</v>
      </c>
      <c r="J60" s="175">
        <f>H60/DAY(B2)</f>
        <v>16585.865909090906</v>
      </c>
      <c r="K60" s="79"/>
      <c r="L60" s="66"/>
      <c r="N60" s="87"/>
      <c r="O60" s="71"/>
    </row>
    <row r="61" spans="1:15" s="68" customFormat="1" ht="27.75" x14ac:dyDescent="0.5">
      <c r="A61" s="837" t="s">
        <v>332</v>
      </c>
      <c r="B61" s="838"/>
      <c r="C61" s="839"/>
      <c r="D61" s="339"/>
      <c r="E61" s="339"/>
      <c r="F61" s="339"/>
      <c r="G61" s="340"/>
      <c r="H61" s="339"/>
      <c r="I61" s="339"/>
      <c r="J61" s="341"/>
      <c r="K61" s="69"/>
      <c r="L61" s="67"/>
      <c r="N61" s="87"/>
      <c r="O61" s="71"/>
    </row>
    <row r="62" spans="1:15" ht="27.75" x14ac:dyDescent="0.5">
      <c r="A62" s="818" t="s">
        <v>198</v>
      </c>
      <c r="B62" s="819"/>
      <c r="C62" s="820"/>
      <c r="D62" s="151" t="s">
        <v>142</v>
      </c>
      <c r="E62" s="95">
        <f>'21'!F62</f>
        <v>268497</v>
      </c>
      <c r="F62" s="122">
        <v>268569</v>
      </c>
      <c r="G62" s="112">
        <f t="shared" ref="G62:G63" si="5">F62-E62</f>
        <v>72</v>
      </c>
      <c r="H62" s="99">
        <f>G62+'21'!H62</f>
        <v>1356</v>
      </c>
      <c r="I62" s="118"/>
      <c r="J62" s="175">
        <f>H62/DAY(B2)</f>
        <v>61.636363636363633</v>
      </c>
      <c r="K62" s="80"/>
      <c r="L62" s="66"/>
      <c r="N62" s="87"/>
      <c r="O62" s="71"/>
    </row>
    <row r="63" spans="1:15" ht="27.75" x14ac:dyDescent="0.5">
      <c r="A63" s="818" t="s">
        <v>199</v>
      </c>
      <c r="B63" s="819"/>
      <c r="C63" s="820"/>
      <c r="D63" s="151" t="s">
        <v>142</v>
      </c>
      <c r="E63" s="95">
        <f>'21'!F63</f>
        <v>214536</v>
      </c>
      <c r="F63" s="122">
        <v>214644</v>
      </c>
      <c r="G63" s="112">
        <f t="shared" si="5"/>
        <v>108</v>
      </c>
      <c r="H63" s="99">
        <f>G63+'21'!H63</f>
        <v>2219</v>
      </c>
      <c r="I63" s="118"/>
      <c r="J63" s="175">
        <f>H63/DAY(B2)</f>
        <v>100.86363636363636</v>
      </c>
      <c r="K63" s="69"/>
      <c r="L63" s="66"/>
      <c r="N63" s="87"/>
      <c r="O63" s="71"/>
    </row>
    <row r="64" spans="1:15" ht="29.25" x14ac:dyDescent="0.5">
      <c r="A64" s="815" t="s">
        <v>200</v>
      </c>
      <c r="B64" s="816"/>
      <c r="C64" s="817"/>
      <c r="D64" s="151"/>
      <c r="E64" s="95">
        <f>'21'!F64</f>
        <v>0</v>
      </c>
      <c r="F64" s="122"/>
      <c r="G64" s="112">
        <f>G62+G63</f>
        <v>180</v>
      </c>
      <c r="H64" s="99">
        <f>G64+'21'!H64</f>
        <v>3575</v>
      </c>
      <c r="I64" s="118"/>
      <c r="J64" s="175">
        <f>H64/DAY(B2)</f>
        <v>162.5</v>
      </c>
      <c r="K64" s="69"/>
      <c r="L64" s="66"/>
      <c r="N64" s="87"/>
      <c r="O64" s="71"/>
    </row>
    <row r="65" spans="1:15" ht="27.75" x14ac:dyDescent="0.5">
      <c r="A65" s="818" t="s">
        <v>201</v>
      </c>
      <c r="B65" s="819"/>
      <c r="C65" s="820"/>
      <c r="D65" s="151" t="s">
        <v>142</v>
      </c>
      <c r="E65" s="95">
        <f>'21'!F65</f>
        <v>434063</v>
      </c>
      <c r="F65" s="122">
        <v>434138</v>
      </c>
      <c r="G65" s="112">
        <f t="shared" ref="G65:G70" si="6">F65-E65</f>
        <v>75</v>
      </c>
      <c r="H65" s="99">
        <f>G65+'21'!H65</f>
        <v>1524</v>
      </c>
      <c r="I65" s="118"/>
      <c r="J65" s="175">
        <f>H65/DAY(B2)</f>
        <v>69.272727272727266</v>
      </c>
      <c r="K65" s="69"/>
      <c r="L65" s="66"/>
      <c r="N65" s="87"/>
      <c r="O65" s="71"/>
    </row>
    <row r="66" spans="1:15" ht="27.75" x14ac:dyDescent="0.5">
      <c r="A66" s="345" t="s">
        <v>202</v>
      </c>
      <c r="B66" s="346"/>
      <c r="C66" s="346"/>
      <c r="D66" s="151" t="s">
        <v>142</v>
      </c>
      <c r="E66" s="95">
        <f>'21'!F66</f>
        <v>107556</v>
      </c>
      <c r="F66" s="122">
        <v>107570</v>
      </c>
      <c r="G66" s="112">
        <f t="shared" si="6"/>
        <v>14</v>
      </c>
      <c r="H66" s="99">
        <f>G66+'21'!H66</f>
        <v>356</v>
      </c>
      <c r="I66" s="118"/>
      <c r="J66" s="175">
        <f>H66/DAY(B2)</f>
        <v>16.181818181818183</v>
      </c>
      <c r="K66" s="78"/>
      <c r="L66" s="66"/>
      <c r="N66" s="87"/>
      <c r="O66" s="71"/>
    </row>
    <row r="67" spans="1:15" ht="27.75" x14ac:dyDescent="0.5">
      <c r="A67" s="345" t="s">
        <v>203</v>
      </c>
      <c r="B67" s="346"/>
      <c r="C67" s="346"/>
      <c r="D67" s="151" t="s">
        <v>142</v>
      </c>
      <c r="E67" s="95">
        <f>'21'!F67</f>
        <v>104410</v>
      </c>
      <c r="F67" s="122">
        <v>104430</v>
      </c>
      <c r="G67" s="112">
        <f t="shared" si="6"/>
        <v>20</v>
      </c>
      <c r="H67" s="99">
        <f>G67+'21'!H67</f>
        <v>502</v>
      </c>
      <c r="I67" s="118"/>
      <c r="J67" s="175">
        <f>H67/DAY(B2)</f>
        <v>22.818181818181817</v>
      </c>
      <c r="K67" s="81"/>
      <c r="L67" s="66"/>
      <c r="N67" s="87"/>
      <c r="O67" s="71"/>
    </row>
    <row r="68" spans="1:15" ht="27.75" x14ac:dyDescent="0.5">
      <c r="A68" s="345" t="s">
        <v>204</v>
      </c>
      <c r="B68" s="346"/>
      <c r="C68" s="346"/>
      <c r="D68" s="151" t="s">
        <v>142</v>
      </c>
      <c r="E68" s="95">
        <f>'21'!F68</f>
        <v>157227</v>
      </c>
      <c r="F68" s="122">
        <v>157272</v>
      </c>
      <c r="G68" s="112">
        <f t="shared" si="6"/>
        <v>45</v>
      </c>
      <c r="H68" s="99">
        <f>G68+'21'!H68</f>
        <v>652</v>
      </c>
      <c r="I68" s="118"/>
      <c r="J68" s="175">
        <f>H68/DAY(B2)</f>
        <v>29.636363636363637</v>
      </c>
      <c r="K68" s="69"/>
      <c r="L68" s="66"/>
      <c r="N68" s="87"/>
      <c r="O68" s="71"/>
    </row>
    <row r="69" spans="1:15" ht="27.75" x14ac:dyDescent="0.5">
      <c r="A69" s="345" t="s">
        <v>205</v>
      </c>
      <c r="B69" s="346"/>
      <c r="C69" s="346"/>
      <c r="D69" s="151" t="s">
        <v>142</v>
      </c>
      <c r="E69" s="95">
        <f>'21'!F69</f>
        <v>10419</v>
      </c>
      <c r="F69" s="122">
        <v>10427</v>
      </c>
      <c r="G69" s="112">
        <f t="shared" si="6"/>
        <v>8</v>
      </c>
      <c r="H69" s="99">
        <f>G69+'21'!H69</f>
        <v>213</v>
      </c>
      <c r="I69" s="118"/>
      <c r="J69" s="175">
        <f>H69/DAY(B2)</f>
        <v>9.6818181818181817</v>
      </c>
      <c r="K69" s="69"/>
      <c r="L69" s="66"/>
      <c r="N69" s="87"/>
      <c r="O69" s="71"/>
    </row>
    <row r="70" spans="1:15" ht="27.75" x14ac:dyDescent="0.5">
      <c r="A70" s="345" t="s">
        <v>206</v>
      </c>
      <c r="B70" s="346"/>
      <c r="C70" s="346"/>
      <c r="D70" s="151" t="s">
        <v>142</v>
      </c>
      <c r="E70" s="95">
        <f>'21'!F70</f>
        <v>8010</v>
      </c>
      <c r="F70" s="122">
        <v>8016</v>
      </c>
      <c r="G70" s="112">
        <f t="shared" si="6"/>
        <v>6</v>
      </c>
      <c r="H70" s="99">
        <f>G70+'21'!H70</f>
        <v>154</v>
      </c>
      <c r="I70" s="118"/>
      <c r="J70" s="175">
        <f>H70/DAY(B2)</f>
        <v>7</v>
      </c>
      <c r="K70" s="69"/>
      <c r="L70" s="66"/>
      <c r="N70" s="87"/>
      <c r="O70" s="71"/>
    </row>
    <row r="71" spans="1:15" ht="29.25" x14ac:dyDescent="0.5">
      <c r="A71" s="815" t="s">
        <v>208</v>
      </c>
      <c r="B71" s="816"/>
      <c r="C71" s="817"/>
      <c r="D71" s="152"/>
      <c r="E71" s="152"/>
      <c r="F71" s="152"/>
      <c r="G71" s="153">
        <f>SUM(G65:G70)</f>
        <v>168</v>
      </c>
      <c r="H71" s="99">
        <f>G71+'21'!H71</f>
        <v>3401</v>
      </c>
      <c r="I71" s="154"/>
      <c r="J71" s="175">
        <f>H71/DAY(B2)</f>
        <v>154.59090909090909</v>
      </c>
      <c r="K71" s="69"/>
      <c r="L71" s="66"/>
      <c r="N71" s="87"/>
      <c r="O71" s="71"/>
    </row>
    <row r="72" spans="1:15" s="88" customFormat="1" ht="27.75" x14ac:dyDescent="0.5">
      <c r="A72" s="861"/>
      <c r="B72" s="853"/>
      <c r="C72" s="347"/>
      <c r="D72" s="180"/>
      <c r="E72" s="180" t="s">
        <v>207</v>
      </c>
      <c r="F72" s="180"/>
      <c r="G72" s="180"/>
      <c r="H72" s="181"/>
      <c r="I72" s="180"/>
      <c r="J72" s="182"/>
      <c r="N72" s="87"/>
      <c r="O72" s="71"/>
    </row>
    <row r="73" spans="1:15" ht="29.25" x14ac:dyDescent="0.5">
      <c r="A73" s="866" t="s">
        <v>333</v>
      </c>
      <c r="B73" s="867"/>
      <c r="C73" s="868"/>
      <c r="D73" s="339"/>
      <c r="E73" s="339"/>
      <c r="F73" s="339"/>
      <c r="G73" s="342"/>
      <c r="H73" s="342"/>
      <c r="I73" s="342"/>
      <c r="J73" s="343"/>
      <c r="K73" s="69"/>
      <c r="L73" s="66"/>
      <c r="N73" s="87"/>
      <c r="O73" s="71"/>
    </row>
    <row r="74" spans="1:15" ht="27.75" x14ac:dyDescent="0.5">
      <c r="A74" s="818" t="s">
        <v>220</v>
      </c>
      <c r="B74" s="819"/>
      <c r="C74" s="820"/>
      <c r="D74" s="151" t="s">
        <v>139</v>
      </c>
      <c r="E74" s="95">
        <f>'21'!F74</f>
        <v>898262.41</v>
      </c>
      <c r="F74" s="123">
        <v>898570.12</v>
      </c>
      <c r="G74" s="112">
        <f t="shared" ref="G74:G78" si="7">F74-E74</f>
        <v>307.70999999996275</v>
      </c>
      <c r="H74" s="99">
        <f>G74+'21'!H74</f>
        <v>6538.1199999999953</v>
      </c>
      <c r="I74" s="154"/>
      <c r="J74" s="175">
        <f>H74/DAY(B2)</f>
        <v>297.1872727272725</v>
      </c>
      <c r="K74" s="69"/>
      <c r="L74" s="66"/>
      <c r="N74" s="87"/>
      <c r="O74" s="71"/>
    </row>
    <row r="75" spans="1:15" ht="27.75" x14ac:dyDescent="0.5">
      <c r="A75" s="818" t="s">
        <v>221</v>
      </c>
      <c r="B75" s="819"/>
      <c r="C75" s="820"/>
      <c r="D75" s="151" t="s">
        <v>139</v>
      </c>
      <c r="E75" s="95">
        <f>'21'!F75</f>
        <v>73586.8</v>
      </c>
      <c r="F75" s="123">
        <v>73586.8</v>
      </c>
      <c r="G75" s="112">
        <f t="shared" si="7"/>
        <v>0</v>
      </c>
      <c r="H75" s="99">
        <f>G75+'21'!H75</f>
        <v>0</v>
      </c>
      <c r="I75" s="154"/>
      <c r="J75" s="175">
        <f>H75/DAY(B2)</f>
        <v>0</v>
      </c>
      <c r="K75" s="69"/>
      <c r="L75" s="66"/>
      <c r="N75" s="87"/>
      <c r="O75" s="71"/>
    </row>
    <row r="76" spans="1:15" ht="27.75" x14ac:dyDescent="0.5">
      <c r="A76" s="862" t="s">
        <v>222</v>
      </c>
      <c r="B76" s="848"/>
      <c r="C76" s="849"/>
      <c r="D76" s="151" t="s">
        <v>139</v>
      </c>
      <c r="E76" s="95">
        <f>'21'!F76</f>
        <v>168983.32</v>
      </c>
      <c r="F76" s="123">
        <v>169102.67</v>
      </c>
      <c r="G76" s="112">
        <f t="shared" si="7"/>
        <v>119.35000000000582</v>
      </c>
      <c r="H76" s="99">
        <f>G76+'21'!H76</f>
        <v>1895.6700000000128</v>
      </c>
      <c r="I76" s="154"/>
      <c r="J76" s="175">
        <f>H76/DAY(B2)</f>
        <v>86.166818181818769</v>
      </c>
      <c r="K76" s="69"/>
      <c r="L76" s="66"/>
      <c r="N76" s="87"/>
      <c r="O76" s="71"/>
    </row>
    <row r="77" spans="1:15" ht="27.75" x14ac:dyDescent="0.5">
      <c r="A77" s="862" t="s">
        <v>223</v>
      </c>
      <c r="B77" s="848"/>
      <c r="C77" s="849"/>
      <c r="D77" s="151" t="s">
        <v>139</v>
      </c>
      <c r="E77" s="95">
        <f>'21'!F77</f>
        <v>40947</v>
      </c>
      <c r="F77" s="123">
        <v>40987</v>
      </c>
      <c r="G77" s="112">
        <f t="shared" si="7"/>
        <v>40</v>
      </c>
      <c r="H77" s="99">
        <f>G77+'21'!H77</f>
        <v>671</v>
      </c>
      <c r="I77" s="154"/>
      <c r="J77" s="175">
        <f>H77/DAY(B2)</f>
        <v>30.5</v>
      </c>
      <c r="K77" s="69"/>
      <c r="L77" s="66"/>
      <c r="N77" s="87"/>
      <c r="O77" s="71"/>
    </row>
    <row r="78" spans="1:15" ht="27.75" x14ac:dyDescent="0.5">
      <c r="A78" s="862" t="s">
        <v>224</v>
      </c>
      <c r="B78" s="848"/>
      <c r="C78" s="849"/>
      <c r="D78" s="151" t="s">
        <v>139</v>
      </c>
      <c r="E78" s="95">
        <f>'21'!F78</f>
        <v>9503</v>
      </c>
      <c r="F78" s="123">
        <v>9506</v>
      </c>
      <c r="G78" s="112">
        <f t="shared" si="7"/>
        <v>3</v>
      </c>
      <c r="H78" s="99">
        <f>G78+'21'!H78</f>
        <v>20</v>
      </c>
      <c r="I78" s="118"/>
      <c r="J78" s="175">
        <f>H78/DAY(B2)</f>
        <v>0.90909090909090906</v>
      </c>
      <c r="K78" s="69"/>
      <c r="L78" s="66"/>
      <c r="N78" s="87"/>
      <c r="O78" s="71"/>
    </row>
    <row r="79" spans="1:15" s="57" customFormat="1" ht="27.75" x14ac:dyDescent="0.5">
      <c r="A79" s="862" t="s">
        <v>225</v>
      </c>
      <c r="B79" s="848"/>
      <c r="C79" s="849"/>
      <c r="D79" s="151"/>
      <c r="E79" s="95">
        <f>'21'!F79</f>
        <v>0</v>
      </c>
      <c r="F79" s="123"/>
      <c r="G79" s="112">
        <f>G15-SUM(G74:G78)</f>
        <v>566.34999999994761</v>
      </c>
      <c r="H79" s="99">
        <f>G79+'21'!H79</f>
        <v>10542.209999999992</v>
      </c>
      <c r="I79" s="118"/>
      <c r="J79" s="175"/>
      <c r="K79" s="59"/>
      <c r="L79" s="58"/>
      <c r="N79" s="87"/>
      <c r="O79" s="71"/>
    </row>
    <row r="80" spans="1:15" s="57" customFormat="1" ht="29.25" x14ac:dyDescent="0.5">
      <c r="A80" s="815" t="s">
        <v>329</v>
      </c>
      <c r="B80" s="816"/>
      <c r="C80" s="817"/>
      <c r="D80" s="151"/>
      <c r="E80" s="117"/>
      <c r="F80" s="117"/>
      <c r="G80" s="112">
        <f>SUM(G74:G79)</f>
        <v>1036.4099999999162</v>
      </c>
      <c r="H80" s="99"/>
      <c r="I80" s="118"/>
      <c r="J80" s="175"/>
      <c r="K80" s="59"/>
      <c r="L80" s="58"/>
      <c r="N80" s="87"/>
      <c r="O80" s="71"/>
    </row>
    <row r="81" spans="1:15" ht="27" x14ac:dyDescent="0.4">
      <c r="A81" s="854" t="s">
        <v>226</v>
      </c>
      <c r="B81" s="855"/>
      <c r="C81" s="856"/>
      <c r="D81" s="110"/>
      <c r="E81" s="110"/>
      <c r="F81" s="110"/>
      <c r="G81" s="163"/>
      <c r="H81" s="163"/>
      <c r="I81" s="163"/>
      <c r="J81" s="184"/>
      <c r="O81" s="71"/>
    </row>
    <row r="82" spans="1:15" ht="27.75" x14ac:dyDescent="0.5">
      <c r="A82" s="345" t="s">
        <v>227</v>
      </c>
      <c r="B82" s="346"/>
      <c r="C82" s="346"/>
      <c r="D82" s="151" t="s">
        <v>228</v>
      </c>
      <c r="E82" s="95">
        <f>'21'!F82</f>
        <v>0</v>
      </c>
      <c r="F82" s="122">
        <v>0</v>
      </c>
      <c r="G82" s="112">
        <f t="shared" ref="G82:G92" si="8">F82-E82</f>
        <v>0</v>
      </c>
      <c r="H82" s="99">
        <f>G82+'21'!H82</f>
        <v>0</v>
      </c>
      <c r="I82" s="118"/>
      <c r="J82" s="175">
        <f>H82/DAY(B2)</f>
        <v>0</v>
      </c>
      <c r="O82" s="71"/>
    </row>
    <row r="83" spans="1:15" ht="27.75" x14ac:dyDescent="0.5">
      <c r="A83" s="345" t="s">
        <v>229</v>
      </c>
      <c r="B83" s="346"/>
      <c r="C83" s="346"/>
      <c r="D83" s="151" t="s">
        <v>228</v>
      </c>
      <c r="E83" s="95">
        <f>'21'!F83</f>
        <v>0</v>
      </c>
      <c r="F83" s="122">
        <v>0</v>
      </c>
      <c r="G83" s="112">
        <f t="shared" si="8"/>
        <v>0</v>
      </c>
      <c r="H83" s="99">
        <f>G83+'21'!H83</f>
        <v>0</v>
      </c>
      <c r="I83" s="118"/>
      <c r="J83" s="175">
        <f>H83/DAY(B2)</f>
        <v>0</v>
      </c>
      <c r="O83" s="71"/>
    </row>
    <row r="84" spans="1:15" ht="27.75" x14ac:dyDescent="0.5">
      <c r="A84" s="345" t="s">
        <v>230</v>
      </c>
      <c r="B84" s="346"/>
      <c r="C84" s="346"/>
      <c r="D84" s="151" t="s">
        <v>228</v>
      </c>
      <c r="E84" s="95">
        <f>'21'!F84</f>
        <v>41675.4</v>
      </c>
      <c r="F84" s="164">
        <v>41675.4</v>
      </c>
      <c r="G84" s="112">
        <f t="shared" si="8"/>
        <v>0</v>
      </c>
      <c r="H84" s="99">
        <f>G84+'21'!H84</f>
        <v>0.40000000000145519</v>
      </c>
      <c r="I84" s="118"/>
      <c r="J84" s="175">
        <f>H84/DAY(B2)</f>
        <v>1.8181818181884326E-2</v>
      </c>
      <c r="O84" s="71"/>
    </row>
    <row r="85" spans="1:15" ht="27.75" x14ac:dyDescent="0.5">
      <c r="A85" s="345" t="s">
        <v>231</v>
      </c>
      <c r="B85" s="346"/>
      <c r="C85" s="346"/>
      <c r="D85" s="151" t="s">
        <v>228</v>
      </c>
      <c r="E85" s="95">
        <f>'21'!F85</f>
        <v>2096.56</v>
      </c>
      <c r="F85" s="164">
        <v>2096.56</v>
      </c>
      <c r="G85" s="112">
        <f t="shared" si="8"/>
        <v>0</v>
      </c>
      <c r="H85" s="99">
        <f>G85+'21'!H85</f>
        <v>0</v>
      </c>
      <c r="I85" s="118">
        <f>G82+G83+G84+G85</f>
        <v>0</v>
      </c>
      <c r="J85" s="175">
        <f>H85/DAY(B2)</f>
        <v>0</v>
      </c>
      <c r="O85" s="71"/>
    </row>
    <row r="86" spans="1:15" ht="27.75" x14ac:dyDescent="0.5">
      <c r="A86" s="345" t="s">
        <v>232</v>
      </c>
      <c r="B86" s="346"/>
      <c r="C86" s="346"/>
      <c r="D86" s="151" t="s">
        <v>228</v>
      </c>
      <c r="E86" s="95">
        <f>'21'!F86</f>
        <v>43369.45</v>
      </c>
      <c r="F86" s="164">
        <v>43393.86</v>
      </c>
      <c r="G86" s="112">
        <f t="shared" si="8"/>
        <v>24.410000000003492</v>
      </c>
      <c r="H86" s="99">
        <f>G86+'21'!H86</f>
        <v>530.86000000000058</v>
      </c>
      <c r="I86" s="118"/>
      <c r="J86" s="175">
        <f>H86/DAY(B2)</f>
        <v>24.130000000000027</v>
      </c>
      <c r="O86" s="71"/>
    </row>
    <row r="87" spans="1:15" ht="27.75" x14ac:dyDescent="0.5">
      <c r="A87" s="345" t="s">
        <v>233</v>
      </c>
      <c r="B87" s="346"/>
      <c r="C87" s="346"/>
      <c r="D87" s="151" t="s">
        <v>228</v>
      </c>
      <c r="E87" s="95">
        <f>'21'!F87</f>
        <v>34598.550000000003</v>
      </c>
      <c r="F87" s="164">
        <v>34598.550000000003</v>
      </c>
      <c r="G87" s="112">
        <f t="shared" si="8"/>
        <v>0</v>
      </c>
      <c r="H87" s="99">
        <f>G87+'21'!H87</f>
        <v>0</v>
      </c>
      <c r="I87" s="118"/>
      <c r="J87" s="175">
        <f>H87/DAY(B2)</f>
        <v>0</v>
      </c>
      <c r="O87" s="71"/>
    </row>
    <row r="88" spans="1:15" ht="27.75" x14ac:dyDescent="0.5">
      <c r="A88" s="345" t="s">
        <v>234</v>
      </c>
      <c r="B88" s="346"/>
      <c r="C88" s="346"/>
      <c r="D88" s="151" t="s">
        <v>228</v>
      </c>
      <c r="E88" s="95">
        <f>'21'!F88</f>
        <v>24061.37</v>
      </c>
      <c r="F88" s="164">
        <v>24061.37</v>
      </c>
      <c r="G88" s="112">
        <f t="shared" si="8"/>
        <v>0</v>
      </c>
      <c r="H88" s="99">
        <f>G88+'21'!H88</f>
        <v>14.369999999998981</v>
      </c>
      <c r="I88" s="118">
        <f>G86+G87+G88</f>
        <v>24.410000000003492</v>
      </c>
      <c r="J88" s="175">
        <f>H88/DAY(B2)</f>
        <v>0.6531818181817719</v>
      </c>
      <c r="O88" s="71"/>
    </row>
    <row r="89" spans="1:15" ht="27.75" x14ac:dyDescent="0.5">
      <c r="A89" s="345" t="s">
        <v>235</v>
      </c>
      <c r="B89" s="346"/>
      <c r="C89" s="346"/>
      <c r="D89" s="151" t="s">
        <v>228</v>
      </c>
      <c r="E89" s="95">
        <f>'21'!F89</f>
        <v>25800.560000000001</v>
      </c>
      <c r="F89" s="164">
        <v>25810.44</v>
      </c>
      <c r="G89" s="112">
        <f t="shared" si="8"/>
        <v>9.8799999999973807</v>
      </c>
      <c r="H89" s="99">
        <f>G89+'21'!H89</f>
        <v>147.43999999999869</v>
      </c>
      <c r="I89" s="118"/>
      <c r="J89" s="175">
        <f>H89/DAY(B2)</f>
        <v>6.7018181818181226</v>
      </c>
      <c r="O89" s="71"/>
    </row>
    <row r="90" spans="1:15" ht="27.75" x14ac:dyDescent="0.5">
      <c r="A90" s="345" t="s">
        <v>236</v>
      </c>
      <c r="B90" s="346"/>
      <c r="C90" s="346"/>
      <c r="D90" s="151" t="s">
        <v>228</v>
      </c>
      <c r="E90" s="95">
        <f>'21'!F90</f>
        <v>71138.429999999993</v>
      </c>
      <c r="F90" s="164">
        <v>71141.88</v>
      </c>
      <c r="G90" s="112">
        <f t="shared" si="8"/>
        <v>3.4500000000116415</v>
      </c>
      <c r="H90" s="99">
        <f>G90+'21'!H90</f>
        <v>107.88000000000466</v>
      </c>
      <c r="I90" s="118">
        <f>G89+G90</f>
        <v>13.330000000009022</v>
      </c>
      <c r="J90" s="175">
        <f>H90/DAY(B2)</f>
        <v>4.9036363636365756</v>
      </c>
      <c r="O90" s="71"/>
    </row>
    <row r="91" spans="1:15" ht="27.75" x14ac:dyDescent="0.5">
      <c r="A91" s="345" t="s">
        <v>237</v>
      </c>
      <c r="B91" s="346"/>
      <c r="C91" s="346"/>
      <c r="D91" s="151" t="s">
        <v>228</v>
      </c>
      <c r="E91" s="95">
        <f>'21'!F91</f>
        <v>3226.32</v>
      </c>
      <c r="F91" s="122">
        <v>3226.32</v>
      </c>
      <c r="G91" s="112">
        <f t="shared" si="8"/>
        <v>0</v>
      </c>
      <c r="H91" s="99">
        <f>G91+'21'!H91</f>
        <v>0</v>
      </c>
      <c r="I91" s="165"/>
      <c r="J91" s="175">
        <f>H91/DAY(B2)</f>
        <v>0</v>
      </c>
      <c r="O91" s="71"/>
    </row>
    <row r="92" spans="1:15" ht="27.75" x14ac:dyDescent="0.5">
      <c r="A92" s="345" t="s">
        <v>238</v>
      </c>
      <c r="B92" s="346"/>
      <c r="C92" s="346"/>
      <c r="D92" s="151" t="s">
        <v>228</v>
      </c>
      <c r="E92" s="95">
        <f>'21'!F92</f>
        <v>5656.7</v>
      </c>
      <c r="F92" s="122">
        <v>5667.45</v>
      </c>
      <c r="G92" s="112">
        <f t="shared" si="8"/>
        <v>10.75</v>
      </c>
      <c r="H92" s="99">
        <f>G92+'21'!H92</f>
        <v>229.44999999999982</v>
      </c>
      <c r="I92" s="165"/>
      <c r="J92" s="175">
        <f>H92/DAY(B2)</f>
        <v>10.429545454545446</v>
      </c>
      <c r="O92" s="71"/>
    </row>
    <row r="93" spans="1:15" ht="29.25" x14ac:dyDescent="0.5">
      <c r="A93" s="863" t="s">
        <v>239</v>
      </c>
      <c r="B93" s="864"/>
      <c r="C93" s="865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27.75" x14ac:dyDescent="0.5">
      <c r="A94" s="818" t="s">
        <v>240</v>
      </c>
      <c r="B94" s="819"/>
      <c r="C94" s="820"/>
      <c r="D94" s="151" t="s">
        <v>130</v>
      </c>
      <c r="E94" s="151"/>
      <c r="F94" s="151"/>
      <c r="G94" s="99">
        <f>G35+G43+G49+G57</f>
        <v>4930.0500000000156</v>
      </c>
      <c r="H94" s="99">
        <f>G94+'21'!H94</f>
        <v>115537.66</v>
      </c>
      <c r="I94" s="118"/>
      <c r="J94" s="175">
        <f>H94/DAY(B2)</f>
        <v>5251.7118181818187</v>
      </c>
      <c r="K94" s="69"/>
      <c r="L94" s="66"/>
      <c r="O94" s="71"/>
    </row>
    <row r="95" spans="1:15" ht="27.75" x14ac:dyDescent="0.5">
      <c r="A95" s="818" t="s">
        <v>241</v>
      </c>
      <c r="B95" s="819"/>
      <c r="C95" s="820"/>
      <c r="D95" s="151" t="s">
        <v>23</v>
      </c>
      <c r="E95" s="146"/>
      <c r="F95" s="146"/>
      <c r="G95" s="166">
        <f>G94/G7</f>
        <v>0.25656017185714508</v>
      </c>
      <c r="H95" s="99">
        <f>G95+'21'!H95</f>
        <v>6.3211899694716855</v>
      </c>
      <c r="I95" s="167"/>
      <c r="J95" s="175">
        <f>H95/DAY(B2)</f>
        <v>0.28732681679416755</v>
      </c>
      <c r="K95" s="69"/>
      <c r="L95" s="66"/>
      <c r="O95" s="71"/>
    </row>
    <row r="96" spans="1:15" ht="27.75" x14ac:dyDescent="0.5">
      <c r="A96" s="818" t="s">
        <v>242</v>
      </c>
      <c r="B96" s="819"/>
      <c r="C96" s="820"/>
      <c r="D96" s="151" t="s">
        <v>130</v>
      </c>
      <c r="E96" s="95"/>
      <c r="F96" s="95"/>
      <c r="G96" s="99">
        <f>G41+G42+G55+G56</f>
        <v>3073.5800000000017</v>
      </c>
      <c r="H96" s="99">
        <f>G96+'21'!H96</f>
        <v>65675.05</v>
      </c>
      <c r="I96" s="118"/>
      <c r="J96" s="175">
        <f>H96/DAY(B2)</f>
        <v>2985.2295454545456</v>
      </c>
      <c r="K96" s="69"/>
      <c r="L96" s="66"/>
      <c r="O96" s="71"/>
    </row>
    <row r="97" spans="1:15" ht="27.75" x14ac:dyDescent="0.5">
      <c r="A97" s="818" t="s">
        <v>243</v>
      </c>
      <c r="B97" s="819"/>
      <c r="C97" s="820"/>
      <c r="D97" s="151" t="s">
        <v>23</v>
      </c>
      <c r="E97" s="95"/>
      <c r="F97" s="95"/>
      <c r="G97" s="166">
        <f>G96/G7</f>
        <v>0.15994933378295997</v>
      </c>
      <c r="H97" s="99">
        <f>G97+'21'!H97</f>
        <v>3.6065961188735742</v>
      </c>
      <c r="I97" s="167"/>
      <c r="J97" s="175">
        <f>H97/DAY(B2)</f>
        <v>0.16393618722152611</v>
      </c>
      <c r="K97" s="69"/>
      <c r="L97" s="66"/>
      <c r="O97" s="71"/>
    </row>
    <row r="98" spans="1:15" ht="27.75" x14ac:dyDescent="0.5">
      <c r="A98" s="818" t="s">
        <v>244</v>
      </c>
      <c r="B98" s="819"/>
      <c r="C98" s="820"/>
      <c r="D98" s="151" t="s">
        <v>130</v>
      </c>
      <c r="E98" s="95"/>
      <c r="F98" s="95"/>
      <c r="G98" s="99">
        <f>G39+G53</f>
        <v>2648.7000000000044</v>
      </c>
      <c r="H98" s="99">
        <f>G98+'21'!H98</f>
        <v>57436.55</v>
      </c>
      <c r="I98" s="168"/>
      <c r="J98" s="175">
        <f>H98/DAY(B2)</f>
        <v>2610.7522727272731</v>
      </c>
      <c r="K98" s="69"/>
      <c r="L98" s="66"/>
      <c r="O98" s="71"/>
    </row>
    <row r="99" spans="1:15" ht="27.75" x14ac:dyDescent="0.5">
      <c r="A99" s="818" t="s">
        <v>245</v>
      </c>
      <c r="B99" s="819"/>
      <c r="C99" s="820"/>
      <c r="D99" s="151" t="s">
        <v>23</v>
      </c>
      <c r="E99" s="95"/>
      <c r="F99" s="95"/>
      <c r="G99" s="166">
        <f>G98/G7</f>
        <v>0.13783854670804943</v>
      </c>
      <c r="H99" s="99">
        <f>G99+'21'!H99</f>
        <v>3.155140931324762</v>
      </c>
      <c r="I99" s="168"/>
      <c r="J99" s="175">
        <f>H99/DAY(B2)</f>
        <v>0.14341549687839827</v>
      </c>
      <c r="O99" s="71"/>
    </row>
    <row r="100" spans="1:15" ht="27.75" x14ac:dyDescent="0.5">
      <c r="A100" s="818" t="s">
        <v>246</v>
      </c>
      <c r="B100" s="819"/>
      <c r="C100" s="820"/>
      <c r="D100" s="151" t="s">
        <v>180</v>
      </c>
      <c r="E100" s="95"/>
      <c r="F100" s="95"/>
      <c r="G100" s="99">
        <f>G38+G52</f>
        <v>1787.2400000000016</v>
      </c>
      <c r="H100" s="99">
        <f>G100+'21'!H100</f>
        <v>35759.540000000008</v>
      </c>
      <c r="I100" s="118"/>
      <c r="J100" s="175">
        <f>H100/DAY(B2)</f>
        <v>1625.4336363636367</v>
      </c>
      <c r="K100" s="70"/>
      <c r="O100" s="71"/>
    </row>
    <row r="101" spans="1:15" ht="27.75" x14ac:dyDescent="0.5">
      <c r="A101" s="818" t="s">
        <v>247</v>
      </c>
      <c r="B101" s="819"/>
      <c r="C101" s="820"/>
      <c r="D101" s="151" t="s">
        <v>23</v>
      </c>
      <c r="E101" s="95"/>
      <c r="F101" s="95"/>
      <c r="G101" s="166">
        <f>G100/G7</f>
        <v>9.3008103680482526E-2</v>
      </c>
      <c r="H101" s="99">
        <f>G101+'21'!H101</f>
        <v>1.9650622048772957</v>
      </c>
      <c r="I101" s="168"/>
      <c r="J101" s="175">
        <f>H101/DAY(B2)</f>
        <v>8.9321009312604352E-2</v>
      </c>
      <c r="O101" s="71"/>
    </row>
    <row r="102" spans="1:15" ht="27.75" x14ac:dyDescent="0.5">
      <c r="A102" s="818" t="s">
        <v>248</v>
      </c>
      <c r="B102" s="819"/>
      <c r="C102" s="820"/>
      <c r="D102" s="151" t="s">
        <v>180</v>
      </c>
      <c r="E102" s="95"/>
      <c r="F102" s="95"/>
      <c r="G102" s="99">
        <f>G36+G50</f>
        <v>2344.9899999999907</v>
      </c>
      <c r="H102" s="99">
        <f>G102+'21'!H102</f>
        <v>37258.119999999995</v>
      </c>
      <c r="I102" s="168"/>
      <c r="J102" s="175">
        <f>H102/DAY(B2)</f>
        <v>1693.5509090909088</v>
      </c>
      <c r="O102" s="71"/>
    </row>
    <row r="103" spans="1:15" ht="27.75" x14ac:dyDescent="0.5">
      <c r="A103" s="818" t="s">
        <v>249</v>
      </c>
      <c r="B103" s="819"/>
      <c r="C103" s="820"/>
      <c r="D103" s="151" t="s">
        <v>23</v>
      </c>
      <c r="E103" s="95"/>
      <c r="F103" s="95"/>
      <c r="G103" s="166">
        <f>G102/G7</f>
        <v>0.12203345552342923</v>
      </c>
      <c r="H103" s="99">
        <f>G103+'21'!H103</f>
        <v>2.0358803298144035</v>
      </c>
      <c r="I103" s="118"/>
      <c r="J103" s="175">
        <f>H103/DAY(B2)</f>
        <v>9.2540014991563793E-2</v>
      </c>
      <c r="O103" s="71"/>
    </row>
    <row r="104" spans="1:15" ht="27.75" x14ac:dyDescent="0.5">
      <c r="A104" s="818" t="s">
        <v>250</v>
      </c>
      <c r="B104" s="819"/>
      <c r="C104" s="820"/>
      <c r="D104" s="151" t="s">
        <v>180</v>
      </c>
      <c r="E104" s="95"/>
      <c r="F104" s="95"/>
      <c r="G104" s="99">
        <f>G37+G51</f>
        <v>1587.0900000000001</v>
      </c>
      <c r="H104" s="99">
        <f>G104+'21'!H104</f>
        <v>33382.509999999995</v>
      </c>
      <c r="I104" s="118"/>
      <c r="J104" s="175">
        <f>H104/DAY(B2)</f>
        <v>1517.3868181818179</v>
      </c>
      <c r="O104" s="71"/>
    </row>
    <row r="105" spans="1:15" ht="28.5" thickBot="1" x14ac:dyDescent="0.55000000000000004">
      <c r="A105" s="858" t="s">
        <v>251</v>
      </c>
      <c r="B105" s="859"/>
      <c r="C105" s="860"/>
      <c r="D105" s="231" t="s">
        <v>23</v>
      </c>
      <c r="E105" s="185"/>
      <c r="F105" s="185"/>
      <c r="G105" s="186">
        <f>G104/G7</f>
        <v>8.2592282665034863E-2</v>
      </c>
      <c r="H105" s="99">
        <f>G105+'21'!H105</f>
        <v>1.8363198782601249</v>
      </c>
      <c r="I105" s="187"/>
      <c r="J105" s="188">
        <f>H105/DAY(B2)</f>
        <v>8.3469085375460217E-2</v>
      </c>
      <c r="O105" s="71"/>
    </row>
    <row r="106" spans="1:15" ht="29.25" x14ac:dyDescent="0.5">
      <c r="A106" s="105"/>
      <c r="B106" s="96"/>
      <c r="C106" s="96"/>
      <c r="D106" s="169"/>
      <c r="E106" s="169"/>
      <c r="F106" s="169"/>
      <c r="G106" s="169"/>
      <c r="H106" s="170"/>
      <c r="I106" s="169"/>
      <c r="J106" s="171"/>
      <c r="O106" s="71"/>
    </row>
    <row r="107" spans="1:15" ht="29.25" x14ac:dyDescent="0.5"/>
    <row r="108" spans="1:15" ht="31.5" x14ac:dyDescent="0.55000000000000004">
      <c r="A108" s="872" t="s">
        <v>324</v>
      </c>
      <c r="B108" s="872"/>
      <c r="C108" s="872"/>
      <c r="D108" s="872"/>
      <c r="E108" s="872"/>
      <c r="F108" s="872"/>
      <c r="G108" s="872"/>
      <c r="H108" s="872"/>
      <c r="I108" s="872"/>
      <c r="J108" s="872"/>
    </row>
    <row r="109" spans="1:15" ht="29.25" x14ac:dyDescent="0.5">
      <c r="A109" s="857"/>
      <c r="B109" s="857"/>
    </row>
    <row r="110" spans="1:15" ht="29.25" x14ac:dyDescent="0.5">
      <c r="A110" s="873" t="s">
        <v>165</v>
      </c>
      <c r="B110" s="874"/>
      <c r="C110" s="874"/>
      <c r="D110" s="874"/>
      <c r="E110" s="874"/>
      <c r="F110" s="874"/>
      <c r="G110" s="874"/>
      <c r="H110" s="874"/>
      <c r="I110" s="874"/>
      <c r="J110" s="875"/>
    </row>
    <row r="111" spans="1:15" ht="27.75" x14ac:dyDescent="0.5">
      <c r="A111" s="876"/>
      <c r="B111" s="877"/>
      <c r="C111" s="878"/>
      <c r="D111" s="165"/>
      <c r="E111" s="165"/>
      <c r="F111" s="165"/>
      <c r="G111" s="165"/>
      <c r="H111" s="156"/>
      <c r="I111" s="165"/>
      <c r="J111" s="327"/>
    </row>
    <row r="112" spans="1:15" ht="27.75" x14ac:dyDescent="0.5">
      <c r="A112" s="851" t="s">
        <v>252</v>
      </c>
      <c r="B112" s="852"/>
      <c r="C112" s="853"/>
      <c r="D112" s="146" t="s">
        <v>183</v>
      </c>
      <c r="E112" s="95">
        <f>'21'!F112</f>
        <v>57281.3</v>
      </c>
      <c r="F112" s="237">
        <v>57358.06</v>
      </c>
      <c r="G112" s="112">
        <f t="shared" ref="G112:G123" si="9">F112-E112</f>
        <v>76.759999999994761</v>
      </c>
      <c r="H112" s="99">
        <f>G112+'21'!H112</f>
        <v>1677.0599999999977</v>
      </c>
      <c r="I112" s="165"/>
      <c r="J112" s="328">
        <f>H112/DAY(B2)</f>
        <v>76.22999999999989</v>
      </c>
    </row>
    <row r="113" spans="1:18" ht="29.25" customHeight="1" x14ac:dyDescent="0.5">
      <c r="A113" s="851" t="s">
        <v>253</v>
      </c>
      <c r="B113" s="852"/>
      <c r="C113" s="853"/>
      <c r="D113" s="146" t="s">
        <v>183</v>
      </c>
      <c r="E113" s="95">
        <f>'21'!F113</f>
        <v>41726.75</v>
      </c>
      <c r="F113" s="237">
        <v>42213.68</v>
      </c>
      <c r="G113" s="112">
        <f t="shared" si="9"/>
        <v>486.93000000000029</v>
      </c>
      <c r="H113" s="99">
        <f>G113+'21'!H113</f>
        <v>10018.68</v>
      </c>
      <c r="I113" s="165"/>
      <c r="J113" s="328">
        <f>H113/DAY(B2)</f>
        <v>455.39454545454549</v>
      </c>
    </row>
    <row r="114" spans="1:18" ht="29.25" customHeight="1" x14ac:dyDescent="0.5">
      <c r="A114" s="851" t="s">
        <v>254</v>
      </c>
      <c r="B114" s="852"/>
      <c r="C114" s="853"/>
      <c r="D114" s="146" t="s">
        <v>183</v>
      </c>
      <c r="E114" s="95">
        <f>'21'!F114</f>
        <v>30460.67</v>
      </c>
      <c r="F114" s="237">
        <v>30820.69</v>
      </c>
      <c r="G114" s="112">
        <f t="shared" si="9"/>
        <v>360.02000000000044</v>
      </c>
      <c r="H114" s="99">
        <f>G114+'21'!H114</f>
        <v>5816.0899999999983</v>
      </c>
      <c r="I114" s="165"/>
      <c r="J114" s="328">
        <f>H114/DAY(B2)</f>
        <v>264.36772727272722</v>
      </c>
    </row>
    <row r="115" spans="1:18" ht="29.25" customHeight="1" x14ac:dyDescent="0.5">
      <c r="A115" s="851" t="s">
        <v>255</v>
      </c>
      <c r="B115" s="852"/>
      <c r="C115" s="853"/>
      <c r="D115" s="146" t="s">
        <v>183</v>
      </c>
      <c r="E115" s="95">
        <f>'21'!F115</f>
        <v>8998.33</v>
      </c>
      <c r="F115" s="237">
        <v>9008.8799999999992</v>
      </c>
      <c r="G115" s="112">
        <f t="shared" si="9"/>
        <v>10.549999999999272</v>
      </c>
      <c r="H115" s="99">
        <f>G115+'21'!H115</f>
        <v>223.8799999999992</v>
      </c>
      <c r="I115" s="165"/>
      <c r="J115" s="328">
        <f>H115/DAY(B2)</f>
        <v>10.1763636363636</v>
      </c>
    </row>
    <row r="116" spans="1:18" ht="29.25" customHeight="1" x14ac:dyDescent="0.5">
      <c r="A116" s="869" t="s">
        <v>96</v>
      </c>
      <c r="B116" s="870"/>
      <c r="C116" s="871"/>
      <c r="D116" s="146" t="s">
        <v>183</v>
      </c>
      <c r="E116" s="95">
        <f>'21'!F116</f>
        <v>0</v>
      </c>
      <c r="F116" s="237">
        <v>0</v>
      </c>
      <c r="G116" s="112">
        <f t="shared" si="9"/>
        <v>0</v>
      </c>
      <c r="H116" s="99">
        <f>G116+'21'!H116</f>
        <v>0</v>
      </c>
      <c r="I116" s="165"/>
      <c r="J116" s="328">
        <f>H116/DAY(B2)</f>
        <v>0</v>
      </c>
      <c r="Q116" s="851"/>
      <c r="R116" s="853"/>
    </row>
    <row r="117" spans="1:18" ht="29.25" customHeight="1" x14ac:dyDescent="0.5">
      <c r="A117" s="869" t="s">
        <v>184</v>
      </c>
      <c r="B117" s="870"/>
      <c r="C117" s="871"/>
      <c r="D117" s="146" t="s">
        <v>183</v>
      </c>
      <c r="E117" s="95">
        <f>'21'!F117</f>
        <v>3092.27</v>
      </c>
      <c r="F117" s="237">
        <v>3115.38</v>
      </c>
      <c r="G117" s="112">
        <f t="shared" si="9"/>
        <v>23.110000000000127</v>
      </c>
      <c r="H117" s="99">
        <f>G117+'21'!H117</f>
        <v>525.38000000000011</v>
      </c>
      <c r="I117" s="165"/>
      <c r="J117" s="328">
        <f>H117/DAY(B2)</f>
        <v>23.880909090909096</v>
      </c>
      <c r="Q117" s="851"/>
      <c r="R117" s="853"/>
    </row>
    <row r="118" spans="1:18" ht="27.75" x14ac:dyDescent="0.5">
      <c r="A118" s="846" t="s">
        <v>97</v>
      </c>
      <c r="B118" s="846"/>
      <c r="C118" s="846"/>
      <c r="D118" s="151" t="s">
        <v>183</v>
      </c>
      <c r="E118" s="95">
        <f>'21'!F118</f>
        <v>249077.77</v>
      </c>
      <c r="F118" s="237">
        <v>249390.73</v>
      </c>
      <c r="G118" s="112">
        <f t="shared" si="9"/>
        <v>312.96000000002095</v>
      </c>
      <c r="H118" s="99">
        <f>G118+'21'!H118</f>
        <v>7743.7300000000105</v>
      </c>
      <c r="I118" s="165"/>
      <c r="J118" s="328">
        <f>H118/DAY(B2)</f>
        <v>351.98772727272774</v>
      </c>
      <c r="Q118" s="851"/>
      <c r="R118" s="853"/>
    </row>
    <row r="119" spans="1:18" ht="27.75" x14ac:dyDescent="0.5">
      <c r="A119" s="846" t="s">
        <v>98</v>
      </c>
      <c r="B119" s="846"/>
      <c r="C119" s="846"/>
      <c r="D119" s="151" t="s">
        <v>183</v>
      </c>
      <c r="E119" s="95">
        <f>'21'!F119</f>
        <v>253998.79</v>
      </c>
      <c r="F119" s="237">
        <v>254407.65</v>
      </c>
      <c r="G119" s="112">
        <f t="shared" si="9"/>
        <v>408.85999999998603</v>
      </c>
      <c r="H119" s="99">
        <f>G119+'21'!H119</f>
        <v>9281.6499999999942</v>
      </c>
      <c r="I119" s="165"/>
      <c r="J119" s="328">
        <f>H119/DAY(B2)</f>
        <v>421.89318181818157</v>
      </c>
    </row>
    <row r="120" spans="1:18" ht="27.75" x14ac:dyDescent="0.5">
      <c r="A120" s="846" t="s">
        <v>99</v>
      </c>
      <c r="B120" s="846"/>
      <c r="C120" s="846"/>
      <c r="D120" s="151" t="s">
        <v>183</v>
      </c>
      <c r="E120" s="95">
        <f>'21'!F120</f>
        <v>38801.230000000003</v>
      </c>
      <c r="F120" s="237">
        <v>39225.410000000003</v>
      </c>
      <c r="G120" s="112">
        <f t="shared" si="9"/>
        <v>424.18000000000029</v>
      </c>
      <c r="H120" s="99">
        <f>G120+'21'!H120</f>
        <v>9147.4100000000035</v>
      </c>
      <c r="I120" s="165"/>
      <c r="J120" s="328">
        <f>H120/DAY(B2)</f>
        <v>415.79136363636377</v>
      </c>
    </row>
    <row r="121" spans="1:18" ht="27.75" x14ac:dyDescent="0.5">
      <c r="A121" s="846" t="s">
        <v>100</v>
      </c>
      <c r="B121" s="846"/>
      <c r="C121" s="846"/>
      <c r="D121" s="151" t="s">
        <v>183</v>
      </c>
      <c r="E121" s="95">
        <f>'21'!F121</f>
        <v>391024.71</v>
      </c>
      <c r="F121" s="237">
        <v>391729.91</v>
      </c>
      <c r="G121" s="112">
        <f t="shared" si="9"/>
        <v>705.19999999995343</v>
      </c>
      <c r="H121" s="99">
        <f>G121+'21'!H121</f>
        <v>15200.909999999974</v>
      </c>
      <c r="I121" s="165"/>
      <c r="J121" s="328">
        <f>H121/DAY(B2)</f>
        <v>690.95045454545334</v>
      </c>
    </row>
    <row r="122" spans="1:18" ht="27.75" x14ac:dyDescent="0.5">
      <c r="A122" s="846" t="s">
        <v>101</v>
      </c>
      <c r="B122" s="846"/>
      <c r="C122" s="846"/>
      <c r="D122" s="151" t="s">
        <v>183</v>
      </c>
      <c r="E122" s="95">
        <f>'21'!F122</f>
        <v>124232.97</v>
      </c>
      <c r="F122" s="237">
        <v>124455.62</v>
      </c>
      <c r="G122" s="112">
        <f t="shared" si="9"/>
        <v>222.64999999999418</v>
      </c>
      <c r="H122" s="99">
        <f>G122+'21'!H122</f>
        <v>4405.6199999999953</v>
      </c>
      <c r="I122" s="165"/>
      <c r="J122" s="328">
        <f>H122/DAY(B2)</f>
        <v>200.25545454545434</v>
      </c>
    </row>
    <row r="123" spans="1:18" ht="27.75" x14ac:dyDescent="0.5">
      <c r="A123" s="846" t="s">
        <v>102</v>
      </c>
      <c r="B123" s="846"/>
      <c r="C123" s="846"/>
      <c r="D123" s="151" t="s">
        <v>183</v>
      </c>
      <c r="E123" s="95">
        <f>'21'!F123</f>
        <v>151320</v>
      </c>
      <c r="F123" s="237">
        <v>151591.79999999999</v>
      </c>
      <c r="G123" s="112">
        <f t="shared" si="9"/>
        <v>271.79999999998836</v>
      </c>
      <c r="H123" s="99">
        <f>G123+'21'!H123</f>
        <v>6466.7999999999884</v>
      </c>
      <c r="I123" s="165"/>
      <c r="J123" s="328">
        <f>H123/DAY(B2)</f>
        <v>293.94545454545403</v>
      </c>
    </row>
    <row r="124" spans="1:18" ht="29.25" customHeight="1" x14ac:dyDescent="0.5">
      <c r="A124" s="876"/>
      <c r="B124" s="877"/>
      <c r="C124" s="878"/>
      <c r="D124" s="165"/>
      <c r="E124" s="95">
        <f>'21'!F124</f>
        <v>0</v>
      </c>
      <c r="F124" s="165"/>
      <c r="G124" s="327"/>
      <c r="H124" s="99">
        <f>G124+'21'!H124</f>
        <v>0</v>
      </c>
      <c r="I124" s="165"/>
      <c r="J124" s="327"/>
    </row>
    <row r="125" spans="1:18" ht="27.75" x14ac:dyDescent="0.5">
      <c r="A125" s="879" t="s">
        <v>196</v>
      </c>
      <c r="B125" s="880"/>
      <c r="C125" s="245"/>
      <c r="D125" s="307"/>
      <c r="E125" s="308"/>
      <c r="F125" s="308"/>
      <c r="G125" s="309">
        <f>SUM(G112:G124)</f>
        <v>3303.0199999999381</v>
      </c>
      <c r="H125" s="156"/>
      <c r="I125" s="327">
        <f>G125-(G39+G53)</f>
        <v>654.31999999993377</v>
      </c>
      <c r="J125" s="327"/>
    </row>
    <row r="126" spans="1:18" ht="27.75" x14ac:dyDescent="0.5">
      <c r="A126" s="881" t="s">
        <v>317</v>
      </c>
      <c r="B126" s="881"/>
      <c r="C126" s="881"/>
      <c r="D126" s="881"/>
      <c r="E126" s="881"/>
      <c r="F126" s="881"/>
      <c r="G126" s="881"/>
      <c r="H126" s="881"/>
      <c r="I126" s="881"/>
      <c r="J126" s="881"/>
    </row>
    <row r="127" spans="1:18" ht="27.75" x14ac:dyDescent="0.5">
      <c r="A127" s="882"/>
      <c r="B127" s="882"/>
      <c r="C127" s="245"/>
      <c r="D127" s="307"/>
      <c r="E127" s="308"/>
      <c r="F127" s="308"/>
      <c r="G127" s="309"/>
      <c r="H127" s="99">
        <f>G127+'21'!H127</f>
        <v>0</v>
      </c>
      <c r="I127" s="165"/>
      <c r="J127" s="328">
        <f>H127/DAY(B2)</f>
        <v>0</v>
      </c>
    </row>
    <row r="128" spans="1:18" ht="29.25" customHeight="1" x14ac:dyDescent="0.5">
      <c r="A128" s="851" t="s">
        <v>318</v>
      </c>
      <c r="B128" s="852"/>
      <c r="C128" s="853"/>
      <c r="D128" s="151" t="s">
        <v>183</v>
      </c>
      <c r="E128" s="95">
        <f>'21'!F128</f>
        <v>44614.51</v>
      </c>
      <c r="F128" s="165">
        <v>44929.03</v>
      </c>
      <c r="G128" s="112">
        <f t="shared" ref="G128:G134" si="10">F128-E128</f>
        <v>314.5199999999968</v>
      </c>
      <c r="H128" s="99">
        <f>G128+'21'!H128</f>
        <v>6925.0299999999988</v>
      </c>
      <c r="I128" s="165"/>
      <c r="J128" s="328">
        <f>H128/DAY(B2)</f>
        <v>314.77409090909083</v>
      </c>
    </row>
    <row r="129" spans="1:15" ht="27.75" x14ac:dyDescent="0.5">
      <c r="A129" s="329" t="s">
        <v>319</v>
      </c>
      <c r="B129" s="330"/>
      <c r="C129" s="331"/>
      <c r="D129" s="151" t="s">
        <v>183</v>
      </c>
      <c r="E129" s="95">
        <f>'21'!F129</f>
        <v>24910.95</v>
      </c>
      <c r="F129" s="165">
        <v>25169.919999999998</v>
      </c>
      <c r="G129" s="112">
        <f t="shared" si="10"/>
        <v>258.96999999999753</v>
      </c>
      <c r="H129" s="99">
        <f>G129+'21'!H129</f>
        <v>4848.9199999999983</v>
      </c>
      <c r="I129" s="165"/>
      <c r="J129" s="328">
        <f>H129/DAY(B2)</f>
        <v>220.40545454545446</v>
      </c>
      <c r="N129" s="240"/>
      <c r="O129" s="241"/>
    </row>
    <row r="130" spans="1:15" ht="27.75" x14ac:dyDescent="0.5">
      <c r="A130" s="329" t="s">
        <v>320</v>
      </c>
      <c r="B130" s="330"/>
      <c r="C130" s="331"/>
      <c r="D130" s="151" t="s">
        <v>183</v>
      </c>
      <c r="E130" s="95">
        <f>'21'!F130</f>
        <v>30726.03</v>
      </c>
      <c r="F130" s="165">
        <v>31373.81</v>
      </c>
      <c r="G130" s="112">
        <f t="shared" si="10"/>
        <v>647.78000000000247</v>
      </c>
      <c r="H130" s="99">
        <f>G130+'21'!H130</f>
        <v>12991.810000000001</v>
      </c>
      <c r="I130" s="165"/>
      <c r="J130" s="328">
        <f>H130/DAY(B2)</f>
        <v>590.53681818181826</v>
      </c>
      <c r="N130" s="240"/>
      <c r="O130" s="241"/>
    </row>
    <row r="131" spans="1:15" ht="27.75" x14ac:dyDescent="0.5">
      <c r="A131" s="851" t="s">
        <v>321</v>
      </c>
      <c r="B131" s="852"/>
      <c r="C131" s="853"/>
      <c r="D131" s="151" t="s">
        <v>183</v>
      </c>
      <c r="E131" s="95">
        <f>'21'!F131</f>
        <v>14692.65</v>
      </c>
      <c r="F131" s="165">
        <v>14758.15</v>
      </c>
      <c r="G131" s="112">
        <f t="shared" si="10"/>
        <v>65.5</v>
      </c>
      <c r="H131" s="99">
        <f>G131+'21'!H131</f>
        <v>1605.1499999999996</v>
      </c>
      <c r="I131" s="165"/>
      <c r="J131" s="328">
        <f>H131/DAY(B2)</f>
        <v>72.961363636363615</v>
      </c>
      <c r="N131" s="240"/>
      <c r="O131" s="241"/>
    </row>
    <row r="132" spans="1:15" ht="27.75" x14ac:dyDescent="0.5">
      <c r="A132" s="851" t="s">
        <v>322</v>
      </c>
      <c r="B132" s="852"/>
      <c r="C132" s="853"/>
      <c r="D132" s="151" t="s">
        <v>183</v>
      </c>
      <c r="E132" s="95">
        <f>'21'!F132</f>
        <v>50185.33</v>
      </c>
      <c r="F132" s="165">
        <v>50351.33</v>
      </c>
      <c r="G132" s="112">
        <f t="shared" si="10"/>
        <v>166</v>
      </c>
      <c r="H132" s="99">
        <f>G132+'21'!H132</f>
        <v>9328.3300000000017</v>
      </c>
      <c r="I132" s="165"/>
      <c r="J132" s="328">
        <f>H132/DAY(B2)</f>
        <v>424.0150000000001</v>
      </c>
    </row>
    <row r="133" spans="1:15" ht="27.75" x14ac:dyDescent="0.5">
      <c r="A133" s="851" t="s">
        <v>362</v>
      </c>
      <c r="B133" s="852"/>
      <c r="C133" s="853"/>
      <c r="D133" s="151" t="s">
        <v>183</v>
      </c>
      <c r="E133" s="95">
        <f>'21'!F133</f>
        <v>100562.66</v>
      </c>
      <c r="F133" s="165">
        <v>101216.1</v>
      </c>
      <c r="G133" s="112">
        <f t="shared" si="10"/>
        <v>653.44000000000233</v>
      </c>
      <c r="H133" s="99">
        <f>G133+'21'!H133</f>
        <v>13513.100000000006</v>
      </c>
      <c r="I133" s="165"/>
      <c r="J133" s="328">
        <f>H133/DAY(B2)</f>
        <v>614.23181818181843</v>
      </c>
    </row>
    <row r="134" spans="1:15" ht="27.75" x14ac:dyDescent="0.5">
      <c r="A134" s="851" t="s">
        <v>340</v>
      </c>
      <c r="B134" s="852"/>
      <c r="C134" s="853"/>
      <c r="D134" s="151" t="s">
        <v>183</v>
      </c>
      <c r="E134" s="95">
        <f>'21'!F134</f>
        <v>7081.8</v>
      </c>
      <c r="F134" s="165">
        <v>7236.79</v>
      </c>
      <c r="G134" s="112">
        <f t="shared" si="10"/>
        <v>154.98999999999978</v>
      </c>
      <c r="H134" s="99">
        <f>G134+'21'!H134</f>
        <v>9530.7899999999991</v>
      </c>
      <c r="I134" s="165"/>
      <c r="J134" s="328">
        <f>H134/DAY(B2)</f>
        <v>433.21772727272725</v>
      </c>
    </row>
    <row r="135" spans="1:15" ht="27.75" x14ac:dyDescent="0.5">
      <c r="A135" s="879" t="s">
        <v>196</v>
      </c>
      <c r="B135" s="880"/>
      <c r="C135" s="331"/>
      <c r="D135" s="151"/>
      <c r="E135" s="95"/>
      <c r="F135" s="165"/>
      <c r="G135" s="112">
        <f>SUM(G128:G134)</f>
        <v>2261.1999999999989</v>
      </c>
      <c r="H135" s="99">
        <f>G135+'10'!H135</f>
        <v>33485.199999999997</v>
      </c>
      <c r="I135" s="327">
        <f>G135-(G35+G49)</f>
        <v>-335.43000000000393</v>
      </c>
      <c r="J135" s="328"/>
    </row>
    <row r="136" spans="1:15" ht="31.5" x14ac:dyDescent="0.55000000000000004">
      <c r="A136" s="883" t="s">
        <v>325</v>
      </c>
      <c r="B136" s="883"/>
      <c r="C136" s="883"/>
      <c r="D136" s="883"/>
      <c r="E136" s="883"/>
      <c r="F136" s="883"/>
      <c r="G136" s="883"/>
      <c r="H136" s="883"/>
      <c r="I136" s="883"/>
      <c r="J136" s="883"/>
    </row>
    <row r="137" spans="1:15" ht="29.25" x14ac:dyDescent="0.5">
      <c r="A137" s="245"/>
      <c r="B137" s="246"/>
      <c r="C137" s="246"/>
      <c r="D137" s="165"/>
      <c r="E137" s="165"/>
      <c r="F137" s="165"/>
      <c r="G137" s="165"/>
      <c r="H137" s="156"/>
      <c r="I137" s="165"/>
      <c r="J137" s="327"/>
    </row>
    <row r="138" spans="1:15" ht="27.75" x14ac:dyDescent="0.5">
      <c r="A138" s="846" t="s">
        <v>185</v>
      </c>
      <c r="B138" s="846"/>
      <c r="C138" s="846"/>
      <c r="D138" s="151" t="s">
        <v>183</v>
      </c>
      <c r="E138" s="95">
        <f>'21'!F138</f>
        <v>865473</v>
      </c>
      <c r="F138" s="147">
        <v>865580</v>
      </c>
      <c r="G138" s="112">
        <f t="shared" ref="G138:G152" si="11">F138-E138</f>
        <v>107</v>
      </c>
      <c r="H138" s="99">
        <f>G138+'21'!H138</f>
        <v>1409</v>
      </c>
      <c r="I138" s="118"/>
      <c r="J138" s="328">
        <f>H138/DAY(B2)</f>
        <v>64.045454545454547</v>
      </c>
    </row>
    <row r="139" spans="1:15" ht="27.75" x14ac:dyDescent="0.5">
      <c r="A139" s="846" t="s">
        <v>186</v>
      </c>
      <c r="B139" s="846"/>
      <c r="C139" s="846"/>
      <c r="D139" s="151" t="s">
        <v>183</v>
      </c>
      <c r="E139" s="95">
        <f>'21'!F139</f>
        <v>886554</v>
      </c>
      <c r="F139" s="148">
        <v>886563</v>
      </c>
      <c r="G139" s="112">
        <f t="shared" si="11"/>
        <v>9</v>
      </c>
      <c r="H139" s="99">
        <f>G139+'21'!H139</f>
        <v>17</v>
      </c>
      <c r="I139" s="118"/>
      <c r="J139" s="328">
        <f>H139/DAY(B2)</f>
        <v>0.77272727272727271</v>
      </c>
    </row>
    <row r="140" spans="1:15" ht="27.75" x14ac:dyDescent="0.5">
      <c r="A140" s="846" t="s">
        <v>187</v>
      </c>
      <c r="B140" s="846"/>
      <c r="C140" s="846"/>
      <c r="D140" s="151" t="s">
        <v>183</v>
      </c>
      <c r="E140" s="95">
        <f>'21'!F140</f>
        <v>88918.5</v>
      </c>
      <c r="F140" s="149">
        <v>88920.03</v>
      </c>
      <c r="G140" s="112">
        <f t="shared" si="11"/>
        <v>1.5299999999988358</v>
      </c>
      <c r="H140" s="99">
        <f>G140+'21'!H140</f>
        <v>38.029999999998836</v>
      </c>
      <c r="I140" s="118"/>
      <c r="J140" s="328">
        <f>H140/DAY(B2)</f>
        <v>1.7286363636363107</v>
      </c>
    </row>
    <row r="141" spans="1:15" ht="27.75" x14ac:dyDescent="0.5">
      <c r="A141" s="850" t="s">
        <v>188</v>
      </c>
      <c r="B141" s="850"/>
      <c r="C141" s="850"/>
      <c r="D141" s="151" t="s">
        <v>183</v>
      </c>
      <c r="E141" s="95">
        <f>'21'!F141</f>
        <v>52924.98</v>
      </c>
      <c r="F141" s="149">
        <v>53117.62</v>
      </c>
      <c r="G141" s="112">
        <f t="shared" si="11"/>
        <v>192.63999999999942</v>
      </c>
      <c r="H141" s="99">
        <f>G141+'21'!H141</f>
        <v>3811.6200000000026</v>
      </c>
      <c r="I141" s="118"/>
      <c r="J141" s="328">
        <f>H141/DAY(B2)</f>
        <v>173.25545454545465</v>
      </c>
    </row>
    <row r="142" spans="1:15" ht="27.75" x14ac:dyDescent="0.5">
      <c r="A142" s="850" t="s">
        <v>189</v>
      </c>
      <c r="B142" s="850"/>
      <c r="C142" s="850"/>
      <c r="D142" s="151" t="s">
        <v>183</v>
      </c>
      <c r="E142" s="95">
        <f>'21'!F142</f>
        <v>20501.91</v>
      </c>
      <c r="F142" s="148">
        <v>20581.73</v>
      </c>
      <c r="G142" s="112">
        <f t="shared" si="11"/>
        <v>79.819999999999709</v>
      </c>
      <c r="H142" s="99">
        <f>G142+'21'!H142</f>
        <v>1572.7299999999996</v>
      </c>
      <c r="I142" s="140"/>
      <c r="J142" s="328">
        <f>H142/DAY(B2)</f>
        <v>71.487727272727255</v>
      </c>
    </row>
    <row r="143" spans="1:15" ht="27.75" x14ac:dyDescent="0.5">
      <c r="A143" s="846" t="s">
        <v>91</v>
      </c>
      <c r="B143" s="846"/>
      <c r="C143" s="846"/>
      <c r="D143" s="151" t="s">
        <v>183</v>
      </c>
      <c r="E143" s="95">
        <f>'21'!F143</f>
        <v>3565.54</v>
      </c>
      <c r="F143" s="149">
        <v>3593.5</v>
      </c>
      <c r="G143" s="112">
        <f t="shared" si="11"/>
        <v>27.960000000000036</v>
      </c>
      <c r="H143" s="99">
        <f>G143+'21'!H143</f>
        <v>532.5</v>
      </c>
      <c r="I143" s="140"/>
      <c r="J143" s="328">
        <f>H143/DAY(B2)</f>
        <v>24.204545454545453</v>
      </c>
    </row>
    <row r="144" spans="1:15" ht="27.75" x14ac:dyDescent="0.5">
      <c r="A144" s="850" t="s">
        <v>90</v>
      </c>
      <c r="B144" s="850"/>
      <c r="C144" s="850"/>
      <c r="D144" s="151" t="s">
        <v>183</v>
      </c>
      <c r="E144" s="95">
        <f>'21'!F144</f>
        <v>874416</v>
      </c>
      <c r="F144" s="149">
        <v>874645</v>
      </c>
      <c r="G144" s="112">
        <f t="shared" si="11"/>
        <v>229</v>
      </c>
      <c r="H144" s="99">
        <f>G144+'21'!H144</f>
        <v>4975</v>
      </c>
      <c r="I144" s="140"/>
      <c r="J144" s="328">
        <f>H144/DAY(B2)</f>
        <v>226.13636363636363</v>
      </c>
    </row>
    <row r="145" spans="1:10" ht="27.75" x14ac:dyDescent="0.5">
      <c r="A145" s="846" t="s">
        <v>190</v>
      </c>
      <c r="B145" s="846"/>
      <c r="C145" s="846"/>
      <c r="D145" s="152" t="s">
        <v>183</v>
      </c>
      <c r="E145" s="95">
        <f>'21'!F145</f>
        <v>4873.3999999999996</v>
      </c>
      <c r="F145" s="149">
        <v>4888.2</v>
      </c>
      <c r="G145" s="112">
        <f t="shared" si="11"/>
        <v>14.800000000000182</v>
      </c>
      <c r="H145" s="99">
        <f>G145+'21'!H145</f>
        <v>330.19999999999982</v>
      </c>
      <c r="I145" s="140"/>
      <c r="J145" s="328">
        <f>H145/DAY(B2)</f>
        <v>15.009090909090901</v>
      </c>
    </row>
    <row r="146" spans="1:10" ht="27.75" x14ac:dyDescent="0.5">
      <c r="A146" s="847" t="s">
        <v>191</v>
      </c>
      <c r="B146" s="848"/>
      <c r="C146" s="849"/>
      <c r="D146" s="152" t="s">
        <v>183</v>
      </c>
      <c r="E146" s="95">
        <f>'21'!F146</f>
        <v>733244</v>
      </c>
      <c r="F146" s="148">
        <v>733690</v>
      </c>
      <c r="G146" s="112">
        <f t="shared" si="11"/>
        <v>446</v>
      </c>
      <c r="H146" s="99">
        <f>G146+'21'!H146</f>
        <v>8832</v>
      </c>
      <c r="I146" s="140"/>
      <c r="J146" s="328">
        <f>H146/DAY(B2)</f>
        <v>401.45454545454544</v>
      </c>
    </row>
    <row r="147" spans="1:10" ht="27.75" x14ac:dyDescent="0.5">
      <c r="A147" s="850" t="s">
        <v>192</v>
      </c>
      <c r="B147" s="850"/>
      <c r="C147" s="850"/>
      <c r="D147" s="152" t="s">
        <v>183</v>
      </c>
      <c r="E147" s="95">
        <f>'21'!F147</f>
        <v>622888.12</v>
      </c>
      <c r="F147" s="148">
        <v>623380.12</v>
      </c>
      <c r="G147" s="112">
        <f t="shared" si="11"/>
        <v>492</v>
      </c>
      <c r="H147" s="99">
        <f>G147+'21'!H147</f>
        <v>8098.1199999999953</v>
      </c>
      <c r="I147" s="140"/>
      <c r="J147" s="328">
        <f>H147/DAY(B2)</f>
        <v>368.09636363636344</v>
      </c>
    </row>
    <row r="148" spans="1:10" ht="27.75" x14ac:dyDescent="0.5">
      <c r="A148" s="842" t="s">
        <v>193</v>
      </c>
      <c r="B148" s="843"/>
      <c r="C148" s="844"/>
      <c r="D148" s="123" t="s">
        <v>130</v>
      </c>
      <c r="E148" s="95">
        <f>'21'!F148</f>
        <v>687496.88</v>
      </c>
      <c r="F148" s="150">
        <v>687699.44</v>
      </c>
      <c r="G148" s="112">
        <f t="shared" si="11"/>
        <v>202.55999999993946</v>
      </c>
      <c r="H148" s="99">
        <f>G148+'21'!H148</f>
        <v>4666.3199999999488</v>
      </c>
      <c r="I148" s="124"/>
      <c r="J148" s="328">
        <f>H148/DAY(B2)</f>
        <v>212.1054545454522</v>
      </c>
    </row>
    <row r="149" spans="1:10" ht="27.75" x14ac:dyDescent="0.5">
      <c r="A149" s="842" t="s">
        <v>336</v>
      </c>
      <c r="B149" s="843"/>
      <c r="C149" s="844"/>
      <c r="D149" s="227" t="s">
        <v>130</v>
      </c>
      <c r="E149" s="95">
        <f>'21'!F149</f>
        <v>19600.46</v>
      </c>
      <c r="F149" s="146">
        <v>20065.8</v>
      </c>
      <c r="G149" s="112">
        <f t="shared" si="11"/>
        <v>465.34000000000015</v>
      </c>
      <c r="H149" s="99">
        <f>G149+'21'!H149</f>
        <v>9316.7999999999993</v>
      </c>
      <c r="I149" s="119"/>
      <c r="J149" s="328">
        <f>H149/DAY(B2)</f>
        <v>423.49090909090904</v>
      </c>
    </row>
    <row r="150" spans="1:10" ht="27.75" x14ac:dyDescent="0.5">
      <c r="A150" s="842" t="s">
        <v>337</v>
      </c>
      <c r="B150" s="843"/>
      <c r="C150" s="844"/>
      <c r="D150" s="117" t="s">
        <v>130</v>
      </c>
      <c r="E150" s="95">
        <f>'21'!F150</f>
        <v>8639.66</v>
      </c>
      <c r="F150" s="233">
        <v>8866.56</v>
      </c>
      <c r="G150" s="112">
        <f t="shared" si="11"/>
        <v>226.89999999999964</v>
      </c>
      <c r="H150" s="99">
        <f>G150+'21'!H150</f>
        <v>4814.5599999999995</v>
      </c>
      <c r="I150" s="119"/>
      <c r="J150" s="328">
        <f>H150/DAY(B2)</f>
        <v>218.84363636363634</v>
      </c>
    </row>
    <row r="151" spans="1:10" ht="27.75" x14ac:dyDescent="0.5">
      <c r="A151" s="842" t="s">
        <v>338</v>
      </c>
      <c r="B151" s="843"/>
      <c r="C151" s="844"/>
      <c r="D151" s="117" t="s">
        <v>130</v>
      </c>
      <c r="E151" s="95">
        <f>'21'!F151</f>
        <v>83038</v>
      </c>
      <c r="F151" s="233">
        <v>83257</v>
      </c>
      <c r="G151" s="112">
        <f t="shared" si="11"/>
        <v>219</v>
      </c>
      <c r="H151" s="99">
        <f>G151+'21'!H151</f>
        <v>5040</v>
      </c>
      <c r="I151" s="119"/>
      <c r="J151" s="328">
        <f>H151/DAY(B2)</f>
        <v>229.09090909090909</v>
      </c>
    </row>
    <row r="152" spans="1:10" ht="27.75" x14ac:dyDescent="0.5">
      <c r="A152" s="842" t="s">
        <v>339</v>
      </c>
      <c r="B152" s="843"/>
      <c r="C152" s="844"/>
      <c r="D152" s="117" t="s">
        <v>130</v>
      </c>
      <c r="E152" s="95">
        <f>'21'!F152</f>
        <v>1482.07</v>
      </c>
      <c r="F152" s="233">
        <v>1497.94</v>
      </c>
      <c r="G152" s="112">
        <f t="shared" si="11"/>
        <v>15.870000000000118</v>
      </c>
      <c r="H152" s="99">
        <f>G152+'21'!H152</f>
        <v>370.94000000000005</v>
      </c>
      <c r="I152" s="119"/>
      <c r="J152" s="328">
        <f>H152/DAY(B2)</f>
        <v>16.860909090909093</v>
      </c>
    </row>
    <row r="153" spans="1:10" ht="27.75" x14ac:dyDescent="0.5">
      <c r="A153" s="879" t="s">
        <v>196</v>
      </c>
      <c r="B153" s="880"/>
      <c r="C153" s="365"/>
      <c r="D153" s="358"/>
      <c r="E153" s="360"/>
      <c r="F153" s="361"/>
      <c r="G153" s="362">
        <f>SUM(G138:G152)</f>
        <v>2729.4199999999373</v>
      </c>
      <c r="H153" s="363"/>
      <c r="I153" s="119">
        <f>G153-(G38+G52)</f>
        <v>942.17999999993572</v>
      </c>
      <c r="J153" s="366"/>
    </row>
    <row r="154" spans="1:10" ht="31.5" x14ac:dyDescent="0.55000000000000004">
      <c r="A154" s="883" t="s">
        <v>344</v>
      </c>
      <c r="B154" s="883"/>
      <c r="C154" s="883"/>
      <c r="D154" s="883"/>
      <c r="E154" s="883"/>
      <c r="F154" s="883"/>
      <c r="G154" s="883"/>
      <c r="H154" s="883"/>
      <c r="I154" s="883"/>
      <c r="J154" s="883"/>
    </row>
    <row r="155" spans="1:10" ht="31.5" x14ac:dyDescent="0.55000000000000004">
      <c r="A155" s="850" t="s">
        <v>345</v>
      </c>
      <c r="B155" s="850"/>
      <c r="C155" s="850"/>
      <c r="D155" s="117" t="s">
        <v>130</v>
      </c>
      <c r="E155" s="95">
        <f>'21'!F155</f>
        <v>25759.94</v>
      </c>
      <c r="F155" s="374">
        <v>26419.72</v>
      </c>
      <c r="G155" s="112">
        <f t="shared" ref="G155:G158" si="12">F155-E155</f>
        <v>659.78000000000247</v>
      </c>
      <c r="H155" s="99">
        <f>G155+'21'!H155</f>
        <v>12947.720000000001</v>
      </c>
      <c r="I155" s="364"/>
      <c r="J155" s="328">
        <f>H155/DAY(B2)</f>
        <v>588.53272727272736</v>
      </c>
    </row>
    <row r="156" spans="1:10" ht="27.75" x14ac:dyDescent="0.5">
      <c r="A156" s="850" t="s">
        <v>347</v>
      </c>
      <c r="B156" s="850"/>
      <c r="C156" s="850"/>
      <c r="D156" s="117" t="s">
        <v>130</v>
      </c>
      <c r="E156" s="95">
        <f>'21'!F156</f>
        <v>2175.3200000000002</v>
      </c>
      <c r="F156" s="155">
        <v>2228.39</v>
      </c>
      <c r="G156" s="112">
        <f t="shared" si="12"/>
        <v>53.069999999999709</v>
      </c>
      <c r="H156" s="99">
        <f>G156+'21'!H156</f>
        <v>1140.3899999999999</v>
      </c>
      <c r="I156" s="165"/>
      <c r="J156" s="328">
        <f>H156/DAY(B2)</f>
        <v>51.835909090909084</v>
      </c>
    </row>
    <row r="157" spans="1:10" ht="27.75" x14ac:dyDescent="0.5">
      <c r="A157" s="842" t="s">
        <v>364</v>
      </c>
      <c r="B157" s="843"/>
      <c r="C157" s="844"/>
      <c r="D157" s="117" t="s">
        <v>130</v>
      </c>
      <c r="E157" s="95">
        <f>'21'!F157</f>
        <v>2949.54</v>
      </c>
      <c r="F157" s="165">
        <v>3059.35</v>
      </c>
      <c r="G157" s="112">
        <f t="shared" si="12"/>
        <v>109.80999999999995</v>
      </c>
      <c r="H157" s="99">
        <f>G157+'21'!H157</f>
        <v>339.19000000000005</v>
      </c>
      <c r="I157" s="165"/>
      <c r="J157" s="328">
        <f>H157/DAY(B2)</f>
        <v>15.417727272727275</v>
      </c>
    </row>
    <row r="158" spans="1:10" ht="27.75" x14ac:dyDescent="0.5">
      <c r="A158" s="842" t="s">
        <v>365</v>
      </c>
      <c r="B158" s="843"/>
      <c r="C158" s="844"/>
      <c r="D158" s="117" t="s">
        <v>130</v>
      </c>
      <c r="E158" s="95">
        <f>'21'!F158</f>
        <v>26.84</v>
      </c>
      <c r="F158" s="165">
        <v>26.97</v>
      </c>
      <c r="G158" s="112">
        <f t="shared" si="12"/>
        <v>0.12999999999999901</v>
      </c>
      <c r="H158" s="99">
        <f>G158+'21'!H158</f>
        <v>2.629999999999999</v>
      </c>
      <c r="I158" s="165"/>
      <c r="J158" s="328">
        <f>H158/DAY(B2)</f>
        <v>0.1195454545454545</v>
      </c>
    </row>
    <row r="159" spans="1:10" ht="27.75" x14ac:dyDescent="0.5">
      <c r="A159" s="899"/>
      <c r="B159" s="900"/>
      <c r="C159" s="901"/>
      <c r="D159" s="117"/>
      <c r="E159" s="95"/>
      <c r="F159" s="165"/>
      <c r="G159" s="112"/>
      <c r="H159" s="99"/>
      <c r="I159" s="165"/>
      <c r="J159" s="328"/>
    </row>
    <row r="160" spans="1:10" ht="31.5" x14ac:dyDescent="0.55000000000000004">
      <c r="A160" s="883" t="s">
        <v>326</v>
      </c>
      <c r="B160" s="883"/>
      <c r="C160" s="883"/>
      <c r="D160" s="883"/>
      <c r="E160" s="883"/>
      <c r="F160" s="883"/>
      <c r="G160" s="883"/>
      <c r="H160" s="883"/>
      <c r="I160" s="883"/>
      <c r="J160" s="883"/>
    </row>
    <row r="161" spans="1:10" ht="29.25" x14ac:dyDescent="0.5">
      <c r="A161" s="242" t="s">
        <v>92</v>
      </c>
      <c r="B161" s="243"/>
      <c r="C161" s="243"/>
      <c r="D161" s="244" t="s">
        <v>180</v>
      </c>
      <c r="E161" s="95">
        <f>'21'!F161</f>
        <v>471569</v>
      </c>
      <c r="F161" s="235">
        <v>471787</v>
      </c>
      <c r="G161" s="238">
        <f t="shared" ref="G161:G165" si="13">F161-E161</f>
        <v>218</v>
      </c>
      <c r="H161" s="99">
        <f>G161+'21'!H161</f>
        <v>633.84000000002561</v>
      </c>
      <c r="I161" s="236"/>
      <c r="J161" s="239">
        <f>H161/DAY(B2)</f>
        <v>28.810909090910254</v>
      </c>
    </row>
    <row r="162" spans="1:10" ht="29.25" x14ac:dyDescent="0.5">
      <c r="A162" s="242" t="s">
        <v>93</v>
      </c>
      <c r="B162" s="243"/>
      <c r="C162" s="243"/>
      <c r="D162" s="244" t="s">
        <v>180</v>
      </c>
      <c r="E162" s="95">
        <f>'21'!F162</f>
        <v>88213.3</v>
      </c>
      <c r="F162" s="235">
        <v>88242.6</v>
      </c>
      <c r="G162" s="238">
        <f t="shared" si="13"/>
        <v>29.30000000000291</v>
      </c>
      <c r="H162" s="99">
        <f>G162+'21'!H162</f>
        <v>672.60000000000582</v>
      </c>
      <c r="I162" s="236"/>
      <c r="J162" s="239">
        <f>H162/DAY(B2)</f>
        <v>30.572727272727537</v>
      </c>
    </row>
    <row r="163" spans="1:10" ht="29.25" x14ac:dyDescent="0.5">
      <c r="A163" s="242" t="s">
        <v>197</v>
      </c>
      <c r="B163" s="243"/>
      <c r="C163" s="243"/>
      <c r="D163" s="244" t="s">
        <v>180</v>
      </c>
      <c r="E163" s="95">
        <f>'21'!F163</f>
        <v>78800.600000000006</v>
      </c>
      <c r="F163" s="235">
        <v>78837.3</v>
      </c>
      <c r="G163" s="238">
        <f t="shared" si="13"/>
        <v>36.69999999999709</v>
      </c>
      <c r="H163" s="99">
        <f>G163+'21'!H163</f>
        <v>1012.3000000000029</v>
      </c>
      <c r="I163" s="236"/>
      <c r="J163" s="239">
        <f>H163/DAY(B2)</f>
        <v>46.013636363636493</v>
      </c>
    </row>
    <row r="164" spans="1:10" ht="21.95" customHeight="1" x14ac:dyDescent="0.5">
      <c r="A164" s="242" t="s">
        <v>197</v>
      </c>
      <c r="B164" s="243"/>
      <c r="C164" s="243"/>
      <c r="D164" s="244" t="s">
        <v>180</v>
      </c>
      <c r="E164" s="95">
        <f>'21'!F164</f>
        <v>4291.1000000000004</v>
      </c>
      <c r="F164" s="235">
        <v>4292</v>
      </c>
      <c r="G164" s="238">
        <f t="shared" si="13"/>
        <v>0.8999999999996362</v>
      </c>
      <c r="H164" s="99">
        <f>G164+'21'!H164</f>
        <v>50</v>
      </c>
      <c r="I164" s="236"/>
      <c r="J164" s="239">
        <f>H164/DAY(B2)</f>
        <v>2.2727272727272729</v>
      </c>
    </row>
    <row r="165" spans="1:10" ht="21.95" customHeight="1" x14ac:dyDescent="0.5">
      <c r="A165" s="242" t="s">
        <v>309</v>
      </c>
      <c r="B165" s="243"/>
      <c r="C165" s="243"/>
      <c r="D165" s="244" t="s">
        <v>180</v>
      </c>
      <c r="E165" s="95">
        <f>'21'!F165</f>
        <v>29788.91</v>
      </c>
      <c r="F165" s="235">
        <v>29790.69</v>
      </c>
      <c r="G165" s="238">
        <f t="shared" si="13"/>
        <v>1.7799999999988358</v>
      </c>
      <c r="H165" s="99">
        <f>G165+'21'!H165</f>
        <v>144.68999999999869</v>
      </c>
      <c r="I165" s="236"/>
      <c r="J165" s="239">
        <f>H165/DAY(B2)</f>
        <v>6.5768181818181226</v>
      </c>
    </row>
    <row r="166" spans="1:10" ht="21.95" customHeight="1" x14ac:dyDescent="0.5">
      <c r="A166" s="882"/>
      <c r="B166" s="882"/>
      <c r="C166" s="246"/>
      <c r="D166" s="244" t="s">
        <v>180</v>
      </c>
      <c r="E166" s="95">
        <f>'21'!F166</f>
        <v>0</v>
      </c>
      <c r="F166" s="165"/>
      <c r="G166" s="165"/>
      <c r="H166" s="99">
        <f>G166+'21'!H166</f>
        <v>0</v>
      </c>
      <c r="I166" s="165"/>
      <c r="J166" s="239">
        <f>H166/DAY(B2)</f>
        <v>0</v>
      </c>
    </row>
    <row r="167" spans="1:10" ht="21.95" customHeight="1" x14ac:dyDescent="0.5">
      <c r="A167" s="882"/>
      <c r="B167" s="882"/>
      <c r="C167" s="246"/>
      <c r="D167" s="244" t="s">
        <v>180</v>
      </c>
      <c r="E167" s="95">
        <f>'21'!F167</f>
        <v>0</v>
      </c>
      <c r="F167" s="165"/>
      <c r="G167" s="165"/>
      <c r="H167" s="99">
        <f>G167+'21'!H167</f>
        <v>0</v>
      </c>
      <c r="I167" s="165"/>
      <c r="J167" s="239">
        <f>H167/DAY(B2)</f>
        <v>0</v>
      </c>
    </row>
    <row r="168" spans="1:10" ht="21.95" customHeight="1" x14ac:dyDescent="0.5">
      <c r="A168" s="882"/>
      <c r="B168" s="882"/>
      <c r="C168" s="246"/>
      <c r="D168" s="244" t="s">
        <v>180</v>
      </c>
      <c r="E168" s="95">
        <f>'21'!F168</f>
        <v>0</v>
      </c>
      <c r="F168" s="165"/>
      <c r="G168" s="165"/>
      <c r="H168" s="99">
        <f>G168+'21'!H168</f>
        <v>0</v>
      </c>
      <c r="I168" s="165"/>
      <c r="J168" s="239">
        <f>H168/DAY(B2)</f>
        <v>0</v>
      </c>
    </row>
    <row r="169" spans="1:10" ht="29.25" x14ac:dyDescent="0.5"/>
    <row r="170" spans="1:10" ht="29.25" x14ac:dyDescent="0.5"/>
    <row r="171" spans="1:10" ht="31.5" x14ac:dyDescent="0.35">
      <c r="A171" s="890" t="s">
        <v>330</v>
      </c>
      <c r="B171" s="891"/>
      <c r="C171" s="891"/>
      <c r="D171" s="891"/>
      <c r="E171" s="891"/>
      <c r="F171" s="891"/>
      <c r="G171" s="891"/>
      <c r="H171" s="891"/>
      <c r="I171" s="891"/>
      <c r="J171" s="892"/>
    </row>
    <row r="172" spans="1:10" ht="27.75" x14ac:dyDescent="0.5">
      <c r="A172" s="886"/>
      <c r="B172" s="887"/>
      <c r="C172" s="332"/>
      <c r="D172" s="228"/>
      <c r="E172" s="155"/>
      <c r="F172" s="155"/>
      <c r="G172" s="155"/>
      <c r="H172" s="156"/>
      <c r="I172" s="155"/>
      <c r="J172" s="178"/>
    </row>
    <row r="173" spans="1:10" ht="27.75" x14ac:dyDescent="0.5">
      <c r="A173" s="840" t="s">
        <v>209</v>
      </c>
      <c r="B173" s="841"/>
      <c r="C173" s="333"/>
      <c r="D173" s="228" t="s">
        <v>142</v>
      </c>
      <c r="E173" s="95">
        <f>'21'!F173</f>
        <v>8126</v>
      </c>
      <c r="F173" s="155">
        <v>8126</v>
      </c>
      <c r="G173" s="155">
        <f>F173-E173</f>
        <v>0</v>
      </c>
      <c r="H173" s="99">
        <f>G173+'21'!H173</f>
        <v>0</v>
      </c>
      <c r="I173" s="155"/>
      <c r="J173" s="178">
        <f>H173/DAY(B2)</f>
        <v>0</v>
      </c>
    </row>
    <row r="174" spans="1:10" ht="27.75" x14ac:dyDescent="0.5">
      <c r="A174" s="840" t="s">
        <v>75</v>
      </c>
      <c r="B174" s="841"/>
      <c r="C174" s="333"/>
      <c r="D174" s="228" t="s">
        <v>142</v>
      </c>
      <c r="E174" s="95">
        <f>'21'!F174</f>
        <v>38489</v>
      </c>
      <c r="F174" s="157">
        <v>38501</v>
      </c>
      <c r="G174" s="155">
        <f t="shared" ref="G174:G175" si="14">F174-E174</f>
        <v>12</v>
      </c>
      <c r="H174" s="99">
        <f>G174+'21'!H174</f>
        <v>208</v>
      </c>
      <c r="I174" s="155"/>
      <c r="J174" s="178">
        <f>H174/DAY(B2)</f>
        <v>9.454545454545455</v>
      </c>
    </row>
    <row r="175" spans="1:10" ht="27.75" x14ac:dyDescent="0.5">
      <c r="A175" s="840" t="s">
        <v>76</v>
      </c>
      <c r="B175" s="845"/>
      <c r="C175" s="841"/>
      <c r="D175" s="228" t="s">
        <v>142</v>
      </c>
      <c r="E175" s="95">
        <f>'21'!F175</f>
        <v>21714</v>
      </c>
      <c r="F175" s="155">
        <v>21724</v>
      </c>
      <c r="G175" s="155">
        <f t="shared" si="14"/>
        <v>10</v>
      </c>
      <c r="H175" s="99">
        <f>G175+'21'!H175</f>
        <v>206</v>
      </c>
      <c r="I175" s="155"/>
      <c r="J175" s="178">
        <f>H175/DAY(B2)</f>
        <v>9.3636363636363633</v>
      </c>
    </row>
    <row r="176" spans="1:10" ht="27.75" x14ac:dyDescent="0.5">
      <c r="A176" s="879" t="s">
        <v>196</v>
      </c>
      <c r="B176" s="880"/>
      <c r="C176" s="485"/>
      <c r="D176" s="228" t="s">
        <v>142</v>
      </c>
      <c r="E176" s="95"/>
      <c r="F176" s="155"/>
      <c r="G176" s="155">
        <f>SUM(G173:G175)</f>
        <v>22</v>
      </c>
      <c r="H176" s="99">
        <f>G176+'21'!H176</f>
        <v>414</v>
      </c>
      <c r="I176" s="155"/>
      <c r="J176" s="178">
        <f>H176/DAY(B2)</f>
        <v>18.818181818181817</v>
      </c>
    </row>
    <row r="177" spans="1:10" ht="27.75" x14ac:dyDescent="0.5">
      <c r="A177" s="840" t="s">
        <v>77</v>
      </c>
      <c r="B177" s="841"/>
      <c r="C177" s="333"/>
      <c r="D177" s="228" t="s">
        <v>142</v>
      </c>
      <c r="E177" s="95"/>
      <c r="F177" s="155"/>
      <c r="G177" s="155"/>
      <c r="H177" s="99">
        <f>G177+'21'!H177</f>
        <v>0</v>
      </c>
      <c r="I177" s="155"/>
      <c r="J177" s="178">
        <f>H177/DAY(B2)</f>
        <v>0</v>
      </c>
    </row>
    <row r="178" spans="1:10" ht="27.75" x14ac:dyDescent="0.5">
      <c r="A178" s="840" t="s">
        <v>210</v>
      </c>
      <c r="B178" s="841"/>
      <c r="C178" s="333"/>
      <c r="D178" s="228" t="s">
        <v>142</v>
      </c>
      <c r="E178" s="95">
        <f>'21'!F178</f>
        <v>80790</v>
      </c>
      <c r="F178" s="155">
        <v>80790</v>
      </c>
      <c r="G178" s="155">
        <f>F178-E178</f>
        <v>0</v>
      </c>
      <c r="H178" s="99">
        <f>G178+'21'!H178</f>
        <v>1176</v>
      </c>
      <c r="I178" s="155"/>
      <c r="J178" s="178">
        <f>H178/DAY(B2)</f>
        <v>53.454545454545453</v>
      </c>
    </row>
    <row r="179" spans="1:10" ht="27.75" x14ac:dyDescent="0.5">
      <c r="A179" s="840" t="s">
        <v>211</v>
      </c>
      <c r="B179" s="841"/>
      <c r="C179" s="333"/>
      <c r="D179" s="228" t="s">
        <v>142</v>
      </c>
      <c r="E179" s="95">
        <f>'21'!F179</f>
        <v>34356</v>
      </c>
      <c r="F179" s="155">
        <v>34370</v>
      </c>
      <c r="G179" s="155">
        <f t="shared" ref="G179:G180" si="15">F179-E179</f>
        <v>14</v>
      </c>
      <c r="H179" s="99">
        <f>G179+'21'!H179</f>
        <v>455</v>
      </c>
      <c r="I179" s="155"/>
      <c r="J179" s="178">
        <f>H179/DAY(B2)</f>
        <v>20.681818181818183</v>
      </c>
    </row>
    <row r="180" spans="1:10" ht="27.75" x14ac:dyDescent="0.5">
      <c r="A180" s="840" t="s">
        <v>212</v>
      </c>
      <c r="B180" s="841"/>
      <c r="C180" s="333"/>
      <c r="D180" s="228" t="s">
        <v>142</v>
      </c>
      <c r="E180" s="95">
        <f>'21'!F180</f>
        <v>5637</v>
      </c>
      <c r="F180" s="155">
        <v>5642</v>
      </c>
      <c r="G180" s="374">
        <f t="shared" si="15"/>
        <v>5</v>
      </c>
      <c r="H180" s="99">
        <f>G180+'21'!H180</f>
        <v>165</v>
      </c>
      <c r="I180" s="155"/>
      <c r="J180" s="178">
        <f>H180/DAY(B2)</f>
        <v>7.5</v>
      </c>
    </row>
    <row r="181" spans="1:10" ht="27.75" customHeight="1" x14ac:dyDescent="0.5">
      <c r="A181" s="884" t="s">
        <v>108</v>
      </c>
      <c r="B181" s="885"/>
      <c r="C181" s="485"/>
      <c r="D181" s="228" t="s">
        <v>142</v>
      </c>
      <c r="E181" s="95"/>
      <c r="F181" s="155"/>
      <c r="G181" s="155">
        <f>SUM(G178:G180)</f>
        <v>19</v>
      </c>
      <c r="H181" s="99">
        <f>G181+'21'!H181</f>
        <v>1796</v>
      </c>
      <c r="I181" s="155"/>
      <c r="J181" s="178">
        <f>H181/DAY(B2)</f>
        <v>81.63636363636364</v>
      </c>
    </row>
    <row r="182" spans="1:10" ht="27.75" x14ac:dyDescent="0.5">
      <c r="A182" s="840" t="s">
        <v>213</v>
      </c>
      <c r="B182" s="841"/>
      <c r="C182" s="333"/>
      <c r="D182" s="228" t="s">
        <v>142</v>
      </c>
      <c r="E182" s="95"/>
      <c r="F182" s="155"/>
      <c r="G182" s="155"/>
      <c r="H182" s="99">
        <f>G182+'21'!H182</f>
        <v>0</v>
      </c>
      <c r="I182" s="155"/>
      <c r="J182" s="178">
        <f>H182/DAY(B2)</f>
        <v>0</v>
      </c>
    </row>
    <row r="183" spans="1:10" ht="27.75" x14ac:dyDescent="0.5">
      <c r="A183" s="840" t="s">
        <v>214</v>
      </c>
      <c r="B183" s="841"/>
      <c r="C183" s="334"/>
      <c r="D183" s="228" t="s">
        <v>142</v>
      </c>
      <c r="E183" s="95">
        <f>'21'!F183</f>
        <v>15199</v>
      </c>
      <c r="F183" s="157">
        <v>15208</v>
      </c>
      <c r="G183" s="157">
        <f>F183-E183</f>
        <v>9</v>
      </c>
      <c r="H183" s="99">
        <f>G183+'21'!H183</f>
        <v>261</v>
      </c>
      <c r="I183" s="155"/>
      <c r="J183" s="178">
        <f>H183/DAY(B2)</f>
        <v>11.863636363636363</v>
      </c>
    </row>
    <row r="184" spans="1:10" ht="27.75" x14ac:dyDescent="0.5">
      <c r="A184" s="840" t="s">
        <v>215</v>
      </c>
      <c r="B184" s="841"/>
      <c r="C184" s="334"/>
      <c r="D184" s="228" t="s">
        <v>142</v>
      </c>
      <c r="E184" s="95">
        <f>'21'!F184</f>
        <v>10429</v>
      </c>
      <c r="F184" s="157">
        <v>10433</v>
      </c>
      <c r="G184" s="157">
        <f t="shared" ref="G184:G185" si="16">F184-E184</f>
        <v>4</v>
      </c>
      <c r="H184" s="99">
        <f>G184+'21'!H184</f>
        <v>132</v>
      </c>
      <c r="I184" s="155"/>
      <c r="J184" s="178">
        <f>H184/DAY(B2)</f>
        <v>6</v>
      </c>
    </row>
    <row r="185" spans="1:10" ht="27.75" x14ac:dyDescent="0.5">
      <c r="A185" s="840" t="s">
        <v>216</v>
      </c>
      <c r="B185" s="841"/>
      <c r="C185" s="334"/>
      <c r="D185" s="228" t="s">
        <v>142</v>
      </c>
      <c r="E185" s="95">
        <f>'21'!F185</f>
        <v>0</v>
      </c>
      <c r="F185" s="157"/>
      <c r="G185" s="157">
        <f t="shared" si="16"/>
        <v>0</v>
      </c>
      <c r="H185" s="99">
        <f>G185+'21'!H185</f>
        <v>0</v>
      </c>
      <c r="I185" s="155"/>
      <c r="J185" s="178">
        <f>H185/DAY(B2)</f>
        <v>0</v>
      </c>
    </row>
    <row r="186" spans="1:10" ht="27.75" x14ac:dyDescent="0.5">
      <c r="A186" s="879" t="s">
        <v>196</v>
      </c>
      <c r="B186" s="880"/>
      <c r="C186" s="484"/>
      <c r="D186" s="228" t="s">
        <v>142</v>
      </c>
      <c r="E186" s="95"/>
      <c r="F186" s="157"/>
      <c r="G186" s="157">
        <f>SUM(G183:G185)</f>
        <v>13</v>
      </c>
      <c r="H186" s="99">
        <f>G186+'21'!H186</f>
        <v>393</v>
      </c>
      <c r="I186" s="157"/>
      <c r="J186" s="178">
        <f>H186/DAY(B2)</f>
        <v>17.863636363636363</v>
      </c>
    </row>
    <row r="187" spans="1:10" ht="27.75" x14ac:dyDescent="0.5">
      <c r="A187" s="888" t="s">
        <v>217</v>
      </c>
      <c r="B187" s="889"/>
      <c r="C187" s="333"/>
      <c r="D187" s="230" t="s">
        <v>142</v>
      </c>
      <c r="E187" s="95"/>
      <c r="F187" s="159"/>
      <c r="G187" s="462">
        <f>G62+G19</f>
        <v>128</v>
      </c>
      <c r="H187" s="99">
        <f>G187+'21'!H187</f>
        <v>2536</v>
      </c>
      <c r="I187" s="158"/>
      <c r="J187" s="179">
        <f>H187/DAY(B2)</f>
        <v>115.27272727272727</v>
      </c>
    </row>
    <row r="188" spans="1:10" ht="27.75" x14ac:dyDescent="0.5">
      <c r="A188" s="888" t="s">
        <v>218</v>
      </c>
      <c r="B188" s="889"/>
      <c r="C188" s="333"/>
      <c r="D188" s="230" t="s">
        <v>142</v>
      </c>
      <c r="E188" s="95"/>
      <c r="F188" s="159"/>
      <c r="G188" s="462">
        <f>G65+G66+G67+G69+G70</f>
        <v>123</v>
      </c>
      <c r="H188" s="99">
        <f>G188+'21'!H188</f>
        <v>955</v>
      </c>
      <c r="I188" s="158"/>
      <c r="J188" s="179">
        <f>H188/DAY(B2)</f>
        <v>43.409090909090907</v>
      </c>
    </row>
    <row r="189" spans="1:10" ht="27.75" x14ac:dyDescent="0.5">
      <c r="A189" s="888" t="s">
        <v>219</v>
      </c>
      <c r="B189" s="889"/>
      <c r="C189" s="333"/>
      <c r="D189" s="230" t="s">
        <v>142</v>
      </c>
      <c r="E189" s="95"/>
      <c r="F189" s="157"/>
      <c r="G189" s="459">
        <f>G181</f>
        <v>19</v>
      </c>
      <c r="H189" s="99">
        <f>G189+'21'!H189</f>
        <v>206</v>
      </c>
      <c r="I189" s="158"/>
      <c r="J189" s="179">
        <f>H189/DAY(B2)</f>
        <v>9.3636363636363633</v>
      </c>
    </row>
    <row r="190" spans="1:10" ht="27.75" x14ac:dyDescent="0.5">
      <c r="A190" s="811"/>
      <c r="B190" s="812"/>
      <c r="C190" s="483"/>
      <c r="D190" s="480"/>
      <c r="E190" s="480" t="s">
        <v>207</v>
      </c>
      <c r="F190" s="480"/>
      <c r="G190" s="480"/>
      <c r="H190" s="481"/>
      <c r="I190" s="480"/>
      <c r="J190" s="482"/>
    </row>
    <row r="191" spans="1:10" ht="29.25" x14ac:dyDescent="0.5"/>
    <row r="192" spans="1:10" ht="29.25" x14ac:dyDescent="0.5"/>
  </sheetData>
  <mergeCells count="115">
    <mergeCell ref="A160:J160"/>
    <mergeCell ref="A166:B166"/>
    <mergeCell ref="A167:B167"/>
    <mergeCell ref="A186:B186"/>
    <mergeCell ref="A187:B187"/>
    <mergeCell ref="A188:B188"/>
    <mergeCell ref="A189:B189"/>
    <mergeCell ref="A190:B190"/>
    <mergeCell ref="A171:J171"/>
    <mergeCell ref="A172:B172"/>
    <mergeCell ref="A173:B173"/>
    <mergeCell ref="A174:B174"/>
    <mergeCell ref="A176:B176"/>
    <mergeCell ref="A185:B185"/>
    <mergeCell ref="A183:B183"/>
    <mergeCell ref="A184:B184"/>
    <mergeCell ref="A180:B180"/>
    <mergeCell ref="A181:B181"/>
    <mergeCell ref="A182:B182"/>
    <mergeCell ref="A175:C175"/>
    <mergeCell ref="A177:B177"/>
    <mergeCell ref="A178:B178"/>
    <mergeCell ref="A179:B179"/>
    <mergeCell ref="A168:B168"/>
    <mergeCell ref="A136:J136"/>
    <mergeCell ref="A138:C138"/>
    <mergeCell ref="A139:C139"/>
    <mergeCell ref="A140:C140"/>
    <mergeCell ref="A141:C141"/>
    <mergeCell ref="A148:C148"/>
    <mergeCell ref="A149:C149"/>
    <mergeCell ref="A143:C143"/>
    <mergeCell ref="A144:C144"/>
    <mergeCell ref="A145:C145"/>
    <mergeCell ref="A146:C146"/>
    <mergeCell ref="A147:C147"/>
    <mergeCell ref="A142:C142"/>
    <mergeCell ref="A150:C150"/>
    <mergeCell ref="A151:C151"/>
    <mergeCell ref="A152:C152"/>
    <mergeCell ref="A154:J154"/>
    <mergeCell ref="A155:C155"/>
    <mergeCell ref="A156:C156"/>
    <mergeCell ref="A153:B153"/>
    <mergeCell ref="A157:C157"/>
    <mergeCell ref="A158:C158"/>
    <mergeCell ref="A159:C159"/>
    <mergeCell ref="Q116:R116"/>
    <mergeCell ref="A117:C117"/>
    <mergeCell ref="Q117:R117"/>
    <mergeCell ref="A118:C118"/>
    <mergeCell ref="Q118:R118"/>
    <mergeCell ref="A111:C111"/>
    <mergeCell ref="A112:C112"/>
    <mergeCell ref="A113:C113"/>
    <mergeCell ref="A114:C114"/>
    <mergeCell ref="A115:C115"/>
    <mergeCell ref="A119:C119"/>
    <mergeCell ref="A120:C120"/>
    <mergeCell ref="A121:C121"/>
    <mergeCell ref="A122:C122"/>
    <mergeCell ref="A116:C116"/>
    <mergeCell ref="A135:B135"/>
    <mergeCell ref="A124:C124"/>
    <mergeCell ref="A125:B125"/>
    <mergeCell ref="A126:J126"/>
    <mergeCell ref="A127:B127"/>
    <mergeCell ref="A128:C128"/>
    <mergeCell ref="A131:C131"/>
    <mergeCell ref="A132:C132"/>
    <mergeCell ref="A1:J1"/>
    <mergeCell ref="A6:C6"/>
    <mergeCell ref="A14:C14"/>
    <mergeCell ref="A17:C17"/>
    <mergeCell ref="E3:F3"/>
    <mergeCell ref="A18:C18"/>
    <mergeCell ref="A19:C19"/>
    <mergeCell ref="A21:C21"/>
    <mergeCell ref="A25:C25"/>
    <mergeCell ref="A79:C79"/>
    <mergeCell ref="A33:C33"/>
    <mergeCell ref="A61:C61"/>
    <mergeCell ref="A62:C62"/>
    <mergeCell ref="A63:C63"/>
    <mergeCell ref="A71:C71"/>
    <mergeCell ref="A73:C73"/>
    <mergeCell ref="A72:B72"/>
    <mergeCell ref="A78:C78"/>
    <mergeCell ref="A74:C74"/>
    <mergeCell ref="A75:C75"/>
    <mergeCell ref="A76:C76"/>
    <mergeCell ref="A77:C77"/>
    <mergeCell ref="A64:C64"/>
    <mergeCell ref="A65:C65"/>
    <mergeCell ref="A133:C133"/>
    <mergeCell ref="A134:C134"/>
    <mergeCell ref="A80:C80"/>
    <mergeCell ref="A81:C81"/>
    <mergeCell ref="A123:C123"/>
    <mergeCell ref="A93:C93"/>
    <mergeCell ref="A94:C94"/>
    <mergeCell ref="A95:C95"/>
    <mergeCell ref="A96:C96"/>
    <mergeCell ref="A109:B109"/>
    <mergeCell ref="A97:C97"/>
    <mergeCell ref="A98:C98"/>
    <mergeCell ref="A105:C105"/>
    <mergeCell ref="A108:J108"/>
    <mergeCell ref="A110:J110"/>
    <mergeCell ref="A99:C99"/>
    <mergeCell ref="A100:C100"/>
    <mergeCell ref="A101:C101"/>
    <mergeCell ref="A102:C102"/>
    <mergeCell ref="A103:C103"/>
    <mergeCell ref="A104:C104"/>
  </mergeCells>
  <pageMargins left="0.22" right="0.17" top="0.14000000000000001" bottom="0.2" header="0.2" footer="0.2"/>
  <pageSetup paperSize="5" scale="18" orientation="portrait" r:id="rId1"/>
  <colBreaks count="1" manualBreakCount="1">
    <brk id="10" max="1048575" man="1"/>
  </colBreaks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1:R190"/>
  <sheetViews>
    <sheetView view="pageBreakPreview" topLeftCell="A142" zoomScale="50" zoomScaleNormal="80" zoomScaleSheetLayoutView="50" workbookViewId="0">
      <selection activeCell="I143" sqref="I143"/>
    </sheetView>
  </sheetViews>
  <sheetFormatPr defaultColWidth="22.33203125" defaultRowHeight="30.75" customHeight="1" x14ac:dyDescent="0.5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6" width="30" style="160" customWidth="1"/>
    <col min="7" max="7" width="28.88671875" style="160" customWidth="1"/>
    <col min="8" max="8" width="39.21875" style="161" customWidth="1"/>
    <col min="9" max="9" width="23.5546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30.75" customHeight="1" x14ac:dyDescent="0.65">
      <c r="A1" s="821" t="s">
        <v>115</v>
      </c>
      <c r="B1" s="822"/>
      <c r="C1" s="822"/>
      <c r="D1" s="822"/>
      <c r="E1" s="822"/>
      <c r="F1" s="822"/>
      <c r="G1" s="822"/>
      <c r="H1" s="822"/>
      <c r="I1" s="822"/>
      <c r="J1" s="823"/>
    </row>
    <row r="2" spans="1:15" s="57" customFormat="1" ht="30.75" customHeight="1" x14ac:dyDescent="0.5">
      <c r="A2" s="191" t="s">
        <v>356</v>
      </c>
      <c r="B2" s="262">
        <v>44584</v>
      </c>
      <c r="C2" s="348" t="s">
        <v>67</v>
      </c>
      <c r="D2" s="218">
        <v>0.61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30.75" customHeight="1" x14ac:dyDescent="0.5">
      <c r="A3" s="189"/>
      <c r="B3" s="221"/>
      <c r="C3" s="348" t="s">
        <v>118</v>
      </c>
      <c r="D3" s="219">
        <v>24</v>
      </c>
      <c r="E3" s="830" t="s">
        <v>119</v>
      </c>
      <c r="F3" s="831"/>
      <c r="G3" s="101"/>
      <c r="H3" s="102"/>
      <c r="I3" s="102"/>
      <c r="J3" s="222"/>
      <c r="K3" s="61"/>
      <c r="L3" s="58"/>
    </row>
    <row r="4" spans="1:15" s="57" customFormat="1" ht="30.75" customHeight="1" x14ac:dyDescent="0.5">
      <c r="A4" s="192"/>
      <c r="B4" s="223"/>
      <c r="C4" s="348" t="s">
        <v>120</v>
      </c>
      <c r="D4" s="218">
        <v>0.77</v>
      </c>
      <c r="E4" s="103"/>
      <c r="F4" s="103"/>
      <c r="G4" s="103"/>
      <c r="H4" s="103"/>
      <c r="I4" s="104"/>
      <c r="J4" s="222"/>
      <c r="K4" s="62"/>
      <c r="L4" s="58"/>
    </row>
    <row r="5" spans="1:15" ht="30.75" customHeight="1" x14ac:dyDescent="0.4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5" ht="30.75" customHeight="1" x14ac:dyDescent="0.4">
      <c r="A6" s="824" t="s">
        <v>128</v>
      </c>
      <c r="B6" s="825"/>
      <c r="C6" s="826"/>
      <c r="D6" s="110"/>
      <c r="E6" s="110"/>
      <c r="F6" s="110"/>
      <c r="G6" s="110"/>
      <c r="H6" s="111"/>
      <c r="I6" s="111"/>
      <c r="J6" s="174"/>
      <c r="K6" s="78"/>
      <c r="L6" s="66"/>
    </row>
    <row r="7" spans="1:15" ht="30.75" customHeight="1" thickBot="1" x14ac:dyDescent="0.45">
      <c r="A7" s="194" t="s">
        <v>129</v>
      </c>
      <c r="B7" s="195"/>
      <c r="C7" s="195"/>
      <c r="D7" s="151" t="s">
        <v>130</v>
      </c>
      <c r="E7" s="95">
        <f>'22'!F7</f>
        <v>496013.67</v>
      </c>
      <c r="F7" s="95">
        <v>514716.83</v>
      </c>
      <c r="G7" s="112">
        <f>F7-E7</f>
        <v>18703.160000000033</v>
      </c>
      <c r="H7" s="99">
        <f>G7+'22'!H7</f>
        <v>420155.83</v>
      </c>
      <c r="I7" s="113">
        <f>'1'!I7</f>
        <v>12000</v>
      </c>
      <c r="J7" s="175">
        <f>H7/DAY(B2)</f>
        <v>18267.644782608695</v>
      </c>
      <c r="K7" s="172">
        <v>1375467</v>
      </c>
      <c r="L7" s="66"/>
      <c r="N7" s="87"/>
      <c r="O7" s="71"/>
    </row>
    <row r="8" spans="1:15" ht="30.75" customHeight="1" thickBot="1" x14ac:dyDescent="0.45">
      <c r="A8" s="196" t="s">
        <v>131</v>
      </c>
      <c r="B8" s="197"/>
      <c r="C8" s="198"/>
      <c r="D8" s="224" t="s">
        <v>24</v>
      </c>
      <c r="E8" s="95">
        <f>'22'!F8</f>
        <v>550326.51</v>
      </c>
      <c r="F8" s="95">
        <v>569714.82999999996</v>
      </c>
      <c r="G8" s="115">
        <f>F8-E8</f>
        <v>19388.319999999949</v>
      </c>
      <c r="H8" s="99">
        <f>G8+'22'!H8</f>
        <v>428829.82999999996</v>
      </c>
      <c r="I8" s="116"/>
      <c r="J8" s="175">
        <f>H8/DAY(B2)</f>
        <v>18644.775217391303</v>
      </c>
      <c r="K8" s="172">
        <v>1715917</v>
      </c>
      <c r="L8" s="76">
        <v>1728480</v>
      </c>
      <c r="M8" s="87">
        <f>L8-K8</f>
        <v>12563</v>
      </c>
      <c r="N8" s="87"/>
      <c r="O8" s="71"/>
    </row>
    <row r="9" spans="1:15" ht="30.75" customHeight="1" x14ac:dyDescent="0.4">
      <c r="A9" s="199" t="s">
        <v>132</v>
      </c>
      <c r="B9" s="200"/>
      <c r="C9" s="200"/>
      <c r="D9" s="151" t="s">
        <v>130</v>
      </c>
      <c r="E9" s="95">
        <f>'22'!F9</f>
        <v>156266.35</v>
      </c>
      <c r="F9" s="601">
        <v>168518.39</v>
      </c>
      <c r="G9" s="112">
        <f>F9-E9</f>
        <v>12252.040000000008</v>
      </c>
      <c r="H9" s="99">
        <f>G9+'22'!H9</f>
        <v>267023.39</v>
      </c>
      <c r="I9" s="124">
        <f>I7-J7</f>
        <v>-6267.6447826086951</v>
      </c>
      <c r="J9" s="175">
        <f>H9/DAY(B2)</f>
        <v>11609.712608695652</v>
      </c>
      <c r="K9" s="79">
        <f>K8-100</f>
        <v>1715817</v>
      </c>
      <c r="L9" s="66"/>
      <c r="N9" s="87"/>
      <c r="O9" s="71"/>
    </row>
    <row r="10" spans="1:15" ht="30.75" customHeight="1" x14ac:dyDescent="0.4">
      <c r="A10" s="194" t="s">
        <v>133</v>
      </c>
      <c r="B10" s="195"/>
      <c r="C10" s="195"/>
      <c r="D10" s="151" t="s">
        <v>130</v>
      </c>
      <c r="E10" s="95">
        <f>'22'!F10</f>
        <v>80607.3</v>
      </c>
      <c r="F10" s="353">
        <v>86539.68</v>
      </c>
      <c r="G10" s="112">
        <f t="shared" ref="G10:G12" si="0">F10-E10</f>
        <v>5932.3799999999901</v>
      </c>
      <c r="H10" s="99">
        <f>G10+'22'!H10</f>
        <v>141445.68</v>
      </c>
      <c r="I10" s="282"/>
      <c r="J10" s="175">
        <f>H10/DAY(B2)</f>
        <v>6149.8121739130429</v>
      </c>
      <c r="K10" s="79"/>
      <c r="L10" s="66"/>
      <c r="N10" s="87"/>
      <c r="O10" s="71"/>
    </row>
    <row r="11" spans="1:15" ht="30.75" customHeight="1" x14ac:dyDescent="0.4">
      <c r="A11" s="194" t="s">
        <v>134</v>
      </c>
      <c r="B11" s="195"/>
      <c r="C11" s="195"/>
      <c r="D11" s="151" t="s">
        <v>130</v>
      </c>
      <c r="E11" s="95">
        <f>'22'!F11</f>
        <v>37170</v>
      </c>
      <c r="F11" s="95">
        <v>37170</v>
      </c>
      <c r="G11" s="112">
        <f t="shared" si="0"/>
        <v>0</v>
      </c>
      <c r="H11" s="99">
        <f>G11+'22'!H11</f>
        <v>170</v>
      </c>
      <c r="I11" s="282"/>
      <c r="J11" s="175">
        <f>H11/DAY(B2)</f>
        <v>7.3913043478260869</v>
      </c>
      <c r="K11" s="79"/>
      <c r="L11" s="66"/>
      <c r="N11" s="87"/>
      <c r="O11" s="71"/>
    </row>
    <row r="12" spans="1:15" ht="30.75" customHeight="1" x14ac:dyDescent="0.4">
      <c r="A12" s="194" t="s">
        <v>135</v>
      </c>
      <c r="B12" s="195"/>
      <c r="C12" s="195"/>
      <c r="D12" s="151" t="s">
        <v>130</v>
      </c>
      <c r="E12" s="95">
        <f>'22'!F12</f>
        <v>40010</v>
      </c>
      <c r="F12" s="117">
        <v>40010</v>
      </c>
      <c r="G12" s="112">
        <f t="shared" si="0"/>
        <v>0</v>
      </c>
      <c r="H12" s="99">
        <f>G12+'22'!H12</f>
        <v>0</v>
      </c>
      <c r="I12" s="282"/>
      <c r="J12" s="175">
        <f>H12/DAY(B2)</f>
        <v>0</v>
      </c>
      <c r="K12" s="79"/>
      <c r="L12" s="66"/>
      <c r="N12" s="87"/>
      <c r="O12" s="71"/>
    </row>
    <row r="13" spans="1:15" ht="30.75" customHeight="1" x14ac:dyDescent="0.5">
      <c r="A13" s="201" t="s">
        <v>136</v>
      </c>
      <c r="B13" s="202"/>
      <c r="C13" s="202"/>
      <c r="D13" s="151"/>
      <c r="E13" s="95"/>
      <c r="F13" s="95"/>
      <c r="G13" s="119">
        <f>G9+G10+G11+G12</f>
        <v>18184.419999999998</v>
      </c>
      <c r="H13" s="99">
        <f>G13+'22'!H13</f>
        <v>389173.81999999989</v>
      </c>
      <c r="I13" s="120">
        <f>G7-G13</f>
        <v>518.74000000003434</v>
      </c>
      <c r="J13" s="175">
        <f>H13/DAY(B2)</f>
        <v>16920.600869565213</v>
      </c>
      <c r="K13" s="79"/>
      <c r="L13" s="66"/>
      <c r="N13" s="87"/>
      <c r="O13" s="71"/>
    </row>
    <row r="14" spans="1:15" ht="30.75" customHeight="1" x14ac:dyDescent="0.5">
      <c r="A14" s="827" t="s">
        <v>137</v>
      </c>
      <c r="B14" s="828"/>
      <c r="C14" s="829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5" ht="30.75" customHeight="1" x14ac:dyDescent="0.5">
      <c r="A15" s="345" t="s">
        <v>138</v>
      </c>
      <c r="B15" s="205"/>
      <c r="C15" s="205"/>
      <c r="D15" s="151" t="s">
        <v>139</v>
      </c>
      <c r="E15" s="95">
        <f>'22'!F15</f>
        <v>1898097</v>
      </c>
      <c r="F15" s="123">
        <v>1899076.92</v>
      </c>
      <c r="G15" s="112">
        <f>(F15-E15)</f>
        <v>979.91999999992549</v>
      </c>
      <c r="H15" s="99">
        <f>G15+'22'!H15</f>
        <v>20646.919999999925</v>
      </c>
      <c r="I15" s="113">
        <f>'1'!I15</f>
        <v>800</v>
      </c>
      <c r="J15" s="175">
        <f>H15/DAY(B2)</f>
        <v>897.69217391304028</v>
      </c>
      <c r="K15" s="79"/>
      <c r="L15" s="66"/>
      <c r="N15" s="87"/>
      <c r="O15" s="71"/>
    </row>
    <row r="16" spans="1:15" ht="30.75" customHeight="1" x14ac:dyDescent="0.4">
      <c r="A16" s="203"/>
      <c r="B16" s="204"/>
      <c r="C16" s="204"/>
      <c r="D16" s="152"/>
      <c r="E16" s="123"/>
      <c r="F16" s="123"/>
      <c r="G16" s="112"/>
      <c r="H16" s="124"/>
      <c r="I16" s="120">
        <f>I15-J15</f>
        <v>-97.692173913040278</v>
      </c>
      <c r="J16" s="176"/>
      <c r="K16" s="79"/>
      <c r="L16" s="66"/>
      <c r="N16" s="87"/>
      <c r="O16" s="71"/>
    </row>
    <row r="17" spans="1:15" ht="30.75" customHeight="1" x14ac:dyDescent="0.5">
      <c r="A17" s="827" t="s">
        <v>140</v>
      </c>
      <c r="B17" s="828"/>
      <c r="C17" s="829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5" ht="30.75" customHeight="1" x14ac:dyDescent="0.5">
      <c r="A18" s="818" t="s">
        <v>141</v>
      </c>
      <c r="B18" s="819"/>
      <c r="C18" s="820"/>
      <c r="D18" s="151" t="s">
        <v>142</v>
      </c>
      <c r="E18" s="95">
        <f>'22'!F18</f>
        <v>12</v>
      </c>
      <c r="F18" s="122">
        <v>16</v>
      </c>
      <c r="G18" s="119">
        <f>F18*10</f>
        <v>160</v>
      </c>
      <c r="H18" s="99">
        <f>G18+'22'!H18</f>
        <v>2570</v>
      </c>
      <c r="I18" s="113">
        <f>'1'!I18</f>
        <v>65</v>
      </c>
      <c r="J18" s="175">
        <f>H18/DAY(B2)</f>
        <v>111.73913043478261</v>
      </c>
      <c r="K18" s="79"/>
      <c r="L18" s="66"/>
      <c r="N18" s="87"/>
      <c r="O18" s="71"/>
    </row>
    <row r="19" spans="1:15" ht="30.75" customHeight="1" x14ac:dyDescent="0.5">
      <c r="A19" s="818" t="s">
        <v>69</v>
      </c>
      <c r="B19" s="819"/>
      <c r="C19" s="820"/>
      <c r="D19" s="151" t="s">
        <v>142</v>
      </c>
      <c r="E19" s="95">
        <f>'22'!F19</f>
        <v>153405</v>
      </c>
      <c r="F19" s="122">
        <v>153461</v>
      </c>
      <c r="G19" s="112">
        <f t="shared" ref="G19" si="1">F19-E19</f>
        <v>56</v>
      </c>
      <c r="H19" s="99">
        <f>G19+'22'!H19</f>
        <v>1236</v>
      </c>
      <c r="I19" s="335"/>
      <c r="J19" s="175">
        <f>H19/DAY(B2)</f>
        <v>53.739130434782609</v>
      </c>
      <c r="K19" s="79"/>
      <c r="L19" s="66"/>
      <c r="N19" s="87"/>
      <c r="O19" s="71"/>
    </row>
    <row r="20" spans="1:15" ht="30.75" customHeight="1" x14ac:dyDescent="0.5">
      <c r="A20" s="201" t="s">
        <v>143</v>
      </c>
      <c r="B20" s="202"/>
      <c r="C20" s="202"/>
      <c r="D20" s="126"/>
      <c r="E20" s="126"/>
      <c r="F20" s="126"/>
      <c r="G20" s="127">
        <f>G18+G19</f>
        <v>216</v>
      </c>
      <c r="H20" s="99">
        <f>G20+'22'!H20</f>
        <v>3806</v>
      </c>
      <c r="I20" s="336">
        <f>I18-J20</f>
        <v>-100.47826086956522</v>
      </c>
      <c r="J20" s="175">
        <f>H20/DAY(B2)</f>
        <v>165.47826086956522</v>
      </c>
      <c r="K20" s="79"/>
      <c r="L20" s="66"/>
      <c r="N20" s="87"/>
      <c r="O20" s="71"/>
    </row>
    <row r="21" spans="1:15" ht="30.75" customHeight="1" x14ac:dyDescent="0.5">
      <c r="A21" s="827" t="s">
        <v>144</v>
      </c>
      <c r="B21" s="828"/>
      <c r="C21" s="829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5" ht="30.75" customHeight="1" x14ac:dyDescent="0.5">
      <c r="A22" s="345" t="s">
        <v>145</v>
      </c>
      <c r="B22" s="205"/>
      <c r="C22" s="205"/>
      <c r="D22" s="151" t="s">
        <v>146</v>
      </c>
      <c r="E22" s="95">
        <f>'22'!F22</f>
        <v>2970</v>
      </c>
      <c r="F22" s="122">
        <v>2970</v>
      </c>
      <c r="G22" s="119">
        <f t="shared" ref="G22" si="2">(F22-E22)</f>
        <v>0</v>
      </c>
      <c r="H22" s="99">
        <f>G22+'22'!H22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30.75" customHeight="1" x14ac:dyDescent="0.5">
      <c r="A23" s="345" t="s">
        <v>147</v>
      </c>
      <c r="B23" s="205"/>
      <c r="C23" s="205"/>
      <c r="D23" s="151" t="s">
        <v>146</v>
      </c>
      <c r="E23" s="95">
        <f>'22'!F23</f>
        <v>2000</v>
      </c>
      <c r="F23" s="122">
        <v>2000</v>
      </c>
      <c r="G23" s="119">
        <v>0</v>
      </c>
      <c r="H23" s="99">
        <f>G23+'22'!H23</f>
        <v>110</v>
      </c>
      <c r="I23" s="118"/>
      <c r="J23" s="175">
        <f>H23/DAY(B2)</f>
        <v>4.7826086956521738</v>
      </c>
      <c r="K23" s="79"/>
      <c r="L23" s="66"/>
      <c r="N23" s="87"/>
      <c r="O23" s="71"/>
    </row>
    <row r="24" spans="1:15" ht="30.75" customHeight="1" x14ac:dyDescent="0.4">
      <c r="A24" s="206" t="s">
        <v>148</v>
      </c>
      <c r="B24" s="207"/>
      <c r="C24" s="207"/>
      <c r="D24" s="146" t="s">
        <v>146</v>
      </c>
      <c r="E24" s="95">
        <f>'22'!F24</f>
        <v>4970</v>
      </c>
      <c r="F24" s="128">
        <v>4970</v>
      </c>
      <c r="G24" s="119">
        <v>0</v>
      </c>
      <c r="H24" s="99">
        <f>G24+'22'!H24</f>
        <v>110</v>
      </c>
      <c r="I24" s="118"/>
      <c r="J24" s="175">
        <f>H24/DAY(B2)</f>
        <v>4.7826086956521738</v>
      </c>
      <c r="K24" s="79"/>
      <c r="L24" s="66"/>
      <c r="N24" s="87"/>
      <c r="O24" s="71"/>
    </row>
    <row r="25" spans="1:15" s="88" customFormat="1" ht="30.75" customHeight="1" x14ac:dyDescent="0.35">
      <c r="A25" s="832" t="s">
        <v>149</v>
      </c>
      <c r="B25" s="833"/>
      <c r="C25" s="834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5" s="88" customFormat="1" ht="30.75" customHeight="1" x14ac:dyDescent="0.5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/>
      <c r="I26" s="134"/>
      <c r="J26" s="175"/>
      <c r="K26" s="64"/>
      <c r="L26" s="89"/>
      <c r="N26" s="87"/>
      <c r="O26" s="71"/>
    </row>
    <row r="27" spans="1:15" s="88" customFormat="1" ht="30.75" customHeight="1" x14ac:dyDescent="0.5">
      <c r="A27" s="208" t="s">
        <v>5</v>
      </c>
      <c r="B27" s="209"/>
      <c r="C27" s="210"/>
      <c r="D27" s="226" t="s">
        <v>24</v>
      </c>
      <c r="E27" s="135">
        <f>G8</f>
        <v>19388.319999999949</v>
      </c>
      <c r="F27" s="136">
        <v>9</v>
      </c>
      <c r="G27" s="137">
        <f>E27*F27</f>
        <v>174494.87999999954</v>
      </c>
      <c r="H27" s="99">
        <f>G27+'22'!H27</f>
        <v>3859468.4699999993</v>
      </c>
      <c r="I27" s="138"/>
      <c r="J27" s="175">
        <f>H27/DAY(B2)</f>
        <v>167802.97695652171</v>
      </c>
      <c r="K27" s="63"/>
      <c r="L27" s="89"/>
      <c r="N27" s="87"/>
      <c r="O27" s="71"/>
    </row>
    <row r="28" spans="1:15" s="88" customFormat="1" ht="30.75" customHeight="1" x14ac:dyDescent="0.5">
      <c r="A28" s="208" t="s">
        <v>152</v>
      </c>
      <c r="B28" s="209"/>
      <c r="C28" s="210"/>
      <c r="D28" s="226" t="s">
        <v>153</v>
      </c>
      <c r="E28" s="139">
        <f>G15</f>
        <v>979.91999999992549</v>
      </c>
      <c r="F28" s="136">
        <v>52</v>
      </c>
      <c r="G28" s="137">
        <f>E28*F28</f>
        <v>50955.839999996126</v>
      </c>
      <c r="H28" s="99">
        <f>G28+'22'!H28</f>
        <v>1073639.8399999961</v>
      </c>
      <c r="I28" s="140"/>
      <c r="J28" s="175">
        <f>H28/DAY(B2)</f>
        <v>46679.993043478091</v>
      </c>
      <c r="K28" s="63"/>
      <c r="L28" s="89"/>
      <c r="N28" s="87"/>
      <c r="O28" s="71"/>
    </row>
    <row r="29" spans="1:15" s="88" customFormat="1" ht="30.75" customHeight="1" x14ac:dyDescent="0.5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>E29*F29</f>
        <v>0</v>
      </c>
      <c r="H29" s="99">
        <f>G29+'22'!H29</f>
        <v>7590</v>
      </c>
      <c r="I29" s="140"/>
      <c r="J29" s="175">
        <f>H29/DAY(B2)</f>
        <v>330</v>
      </c>
      <c r="K29" s="63"/>
      <c r="L29" s="89"/>
      <c r="N29" s="87"/>
      <c r="O29" s="71"/>
    </row>
    <row r="30" spans="1:15" s="88" customFormat="1" ht="30.75" customHeight="1" x14ac:dyDescent="0.5">
      <c r="A30" s="208" t="s">
        <v>156</v>
      </c>
      <c r="B30" s="209"/>
      <c r="C30" s="210"/>
      <c r="D30" s="226" t="s">
        <v>157</v>
      </c>
      <c r="E30" s="141">
        <f>G19</f>
        <v>56</v>
      </c>
      <c r="F30" s="136">
        <v>146</v>
      </c>
      <c r="G30" s="137">
        <f>E30*F30</f>
        <v>8176</v>
      </c>
      <c r="H30" s="99">
        <f>G30+'22'!H30</f>
        <v>180456</v>
      </c>
      <c r="I30" s="140"/>
      <c r="J30" s="175">
        <f>H30/DAY(B2)</f>
        <v>7845.913043478261</v>
      </c>
      <c r="K30" s="63"/>
      <c r="L30" s="89"/>
      <c r="N30" s="87"/>
      <c r="O30" s="71"/>
    </row>
    <row r="31" spans="1:15" s="88" customFormat="1" ht="30.75" customHeight="1" x14ac:dyDescent="0.5">
      <c r="A31" s="208" t="s">
        <v>158</v>
      </c>
      <c r="B31" s="209"/>
      <c r="C31" s="210"/>
      <c r="D31" s="226" t="s">
        <v>142</v>
      </c>
      <c r="E31" s="141">
        <f>G18</f>
        <v>160</v>
      </c>
      <c r="F31" s="136">
        <v>80</v>
      </c>
      <c r="G31" s="137">
        <f>E31*F31</f>
        <v>12800</v>
      </c>
      <c r="H31" s="99">
        <f>G31+'22'!H31</f>
        <v>205600</v>
      </c>
      <c r="I31" s="140"/>
      <c r="J31" s="175">
        <f>H31/DAY(B2)</f>
        <v>8939.1304347826081</v>
      </c>
      <c r="K31" s="63"/>
      <c r="L31" s="89"/>
      <c r="N31" s="87"/>
      <c r="O31" s="71"/>
    </row>
    <row r="32" spans="1:15" s="88" customFormat="1" ht="30.75" customHeight="1" x14ac:dyDescent="0.5">
      <c r="A32" s="211" t="s">
        <v>159</v>
      </c>
      <c r="B32" s="212"/>
      <c r="C32" s="213"/>
      <c r="D32" s="142"/>
      <c r="E32" s="142"/>
      <c r="F32" s="142"/>
      <c r="G32" s="143">
        <f>G27+G28+G29+G30+G31</f>
        <v>246426.71999999566</v>
      </c>
      <c r="H32" s="99">
        <f>G32+'22'!H32</f>
        <v>5326754.3099999959</v>
      </c>
      <c r="I32" s="144"/>
      <c r="J32" s="175">
        <f>H32/DAY(B2)</f>
        <v>231598.01347826069</v>
      </c>
      <c r="K32" s="63"/>
      <c r="L32" s="89"/>
      <c r="N32" s="87"/>
      <c r="O32" s="71"/>
    </row>
    <row r="33" spans="1:15" ht="30.75" customHeight="1" x14ac:dyDescent="0.35">
      <c r="A33" s="835" t="s">
        <v>331</v>
      </c>
      <c r="B33" s="836"/>
      <c r="C33" s="836"/>
      <c r="D33" s="337"/>
      <c r="E33" s="337"/>
      <c r="F33" s="337"/>
      <c r="G33" s="337"/>
      <c r="H33" s="337"/>
      <c r="I33" s="337"/>
      <c r="J33" s="338"/>
      <c r="K33" s="79"/>
      <c r="L33" s="66"/>
      <c r="N33" s="87"/>
      <c r="O33" s="71"/>
    </row>
    <row r="34" spans="1:15" ht="30.75" customHeight="1" x14ac:dyDescent="0.5">
      <c r="A34" s="214" t="s">
        <v>160</v>
      </c>
      <c r="B34" s="349"/>
      <c r="C34" s="349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30.75" customHeight="1" x14ac:dyDescent="0.4">
      <c r="A35" s="194" t="s">
        <v>161</v>
      </c>
      <c r="B35" s="195"/>
      <c r="C35" s="195"/>
      <c r="D35" s="151" t="s">
        <v>130</v>
      </c>
      <c r="E35" s="95">
        <f>'22'!F35</f>
        <v>20670.580000000002</v>
      </c>
      <c r="F35" s="145">
        <v>22026.29</v>
      </c>
      <c r="G35" s="112">
        <f t="shared" ref="G35:G46" si="3">F35-E35</f>
        <v>1355.7099999999991</v>
      </c>
      <c r="H35" s="99">
        <f>G35+'22'!H35</f>
        <v>37226.29</v>
      </c>
      <c r="I35" s="95"/>
      <c r="J35" s="175">
        <f>H35/DAY(B2)</f>
        <v>1618.534347826087</v>
      </c>
      <c r="K35" s="79"/>
      <c r="L35" s="66"/>
      <c r="N35" s="87"/>
      <c r="O35" s="71"/>
    </row>
    <row r="36" spans="1:15" ht="30.75" customHeight="1" x14ac:dyDescent="0.4">
      <c r="A36" s="194" t="s">
        <v>162</v>
      </c>
      <c r="B36" s="195"/>
      <c r="C36" s="195"/>
      <c r="D36" s="151" t="s">
        <v>130</v>
      </c>
      <c r="E36" s="95">
        <f>'22'!F36</f>
        <v>36828.019999999997</v>
      </c>
      <c r="F36" s="145">
        <v>37983.300000000003</v>
      </c>
      <c r="G36" s="112">
        <f t="shared" si="3"/>
        <v>1155.2800000000061</v>
      </c>
      <c r="H36" s="99">
        <f>G36+'22'!H36</f>
        <v>16456.300000000003</v>
      </c>
      <c r="I36" s="95"/>
      <c r="J36" s="175">
        <f>H36/DAY(B2)</f>
        <v>715.49130434782626</v>
      </c>
      <c r="K36" s="79"/>
      <c r="L36" s="66"/>
      <c r="N36" s="87"/>
      <c r="O36" s="344"/>
    </row>
    <row r="37" spans="1:15" ht="30.75" customHeight="1" x14ac:dyDescent="0.4">
      <c r="A37" s="194" t="s">
        <v>163</v>
      </c>
      <c r="B37" s="195"/>
      <c r="C37" s="195"/>
      <c r="D37" s="151" t="s">
        <v>130</v>
      </c>
      <c r="E37" s="95">
        <f>'22'!F37</f>
        <v>21170.51</v>
      </c>
      <c r="F37" s="145">
        <v>22742.49</v>
      </c>
      <c r="G37" s="112">
        <f t="shared" si="3"/>
        <v>1571.9800000000032</v>
      </c>
      <c r="H37" s="99">
        <f>G37+'22'!H37</f>
        <v>34954.49</v>
      </c>
      <c r="I37" s="95"/>
      <c r="J37" s="175">
        <f>H37/DAY(B2)</f>
        <v>1519.7604347826086</v>
      </c>
      <c r="K37" s="79"/>
      <c r="L37" s="66"/>
      <c r="N37" s="87"/>
      <c r="O37" s="234"/>
    </row>
    <row r="38" spans="1:15" ht="30.75" customHeight="1" x14ac:dyDescent="0.4">
      <c r="A38" s="194" t="s">
        <v>164</v>
      </c>
      <c r="B38" s="195"/>
      <c r="C38" s="195"/>
      <c r="D38" s="151" t="s">
        <v>130</v>
      </c>
      <c r="E38" s="95">
        <f>'22'!F38</f>
        <v>22559.54</v>
      </c>
      <c r="F38" s="108">
        <v>24491.61</v>
      </c>
      <c r="G38" s="112">
        <f t="shared" si="3"/>
        <v>1932.0699999999997</v>
      </c>
      <c r="H38" s="99">
        <f>G38+'22'!H38</f>
        <v>37691.610000000008</v>
      </c>
      <c r="I38" s="95"/>
      <c r="J38" s="175">
        <f>H38/DAY(B2)</f>
        <v>1638.7656521739134</v>
      </c>
      <c r="K38" s="79"/>
      <c r="L38" s="66"/>
      <c r="N38" s="87"/>
      <c r="O38" s="71"/>
    </row>
    <row r="39" spans="1:15" ht="30.75" customHeight="1" x14ac:dyDescent="0.4">
      <c r="A39" s="194" t="s">
        <v>165</v>
      </c>
      <c r="B39" s="195"/>
      <c r="C39" s="195"/>
      <c r="D39" s="151" t="s">
        <v>130</v>
      </c>
      <c r="E39" s="95">
        <f>'22'!F39</f>
        <v>35754.550000000003</v>
      </c>
      <c r="F39" s="145">
        <v>38330.800000000003</v>
      </c>
      <c r="G39" s="112">
        <f t="shared" si="3"/>
        <v>2576.25</v>
      </c>
      <c r="H39" s="99">
        <f>G39+'22'!H39</f>
        <v>60012.800000000003</v>
      </c>
      <c r="I39" s="95"/>
      <c r="J39" s="175">
        <f>H39/DAY(B2)</f>
        <v>2609.2521739130434</v>
      </c>
      <c r="K39" s="79"/>
      <c r="L39" s="66"/>
      <c r="N39" s="87"/>
      <c r="O39" s="71"/>
    </row>
    <row r="40" spans="1:15" ht="30.75" customHeight="1" x14ac:dyDescent="0.4">
      <c r="A40" s="215" t="s">
        <v>166</v>
      </c>
      <c r="B40" s="216"/>
      <c r="C40" s="216"/>
      <c r="D40" s="151" t="s">
        <v>130</v>
      </c>
      <c r="E40" s="95">
        <f>'22'!F40</f>
        <v>15149.86</v>
      </c>
      <c r="F40" s="145">
        <v>15533.76</v>
      </c>
      <c r="G40" s="112">
        <f t="shared" si="3"/>
        <v>383.89999999999964</v>
      </c>
      <c r="H40" s="99">
        <f>G40+'22'!H40</f>
        <v>9923.76</v>
      </c>
      <c r="I40" s="95"/>
      <c r="J40" s="175">
        <f>H40/DAY(B2)</f>
        <v>431.46782608695651</v>
      </c>
      <c r="K40" s="80"/>
      <c r="L40" s="66"/>
      <c r="N40" s="87"/>
      <c r="O40" s="71"/>
    </row>
    <row r="41" spans="1:15" ht="30.75" customHeight="1" x14ac:dyDescent="0.4">
      <c r="A41" s="194" t="s">
        <v>167</v>
      </c>
      <c r="B41" s="195"/>
      <c r="C41" s="195"/>
      <c r="D41" s="151" t="s">
        <v>130</v>
      </c>
      <c r="E41" s="95">
        <f>'22'!F41</f>
        <v>0</v>
      </c>
      <c r="F41" s="145">
        <v>0</v>
      </c>
      <c r="G41" s="112">
        <f t="shared" si="3"/>
        <v>0</v>
      </c>
      <c r="H41" s="99">
        <f>G41+'22'!H41</f>
        <v>0</v>
      </c>
      <c r="I41" s="95"/>
      <c r="J41" s="175">
        <f>H41/DAY(B2)</f>
        <v>0</v>
      </c>
      <c r="K41" s="79"/>
      <c r="L41" s="66"/>
      <c r="N41" s="87"/>
      <c r="O41" s="71"/>
    </row>
    <row r="42" spans="1:15" ht="30.75" customHeight="1" x14ac:dyDescent="0.4">
      <c r="A42" s="194" t="s">
        <v>168</v>
      </c>
      <c r="B42" s="195"/>
      <c r="C42" s="195"/>
      <c r="D42" s="151" t="s">
        <v>130</v>
      </c>
      <c r="E42" s="95">
        <f>'22'!F42</f>
        <v>73808.600000000006</v>
      </c>
      <c r="F42" s="145">
        <v>73808.600000000006</v>
      </c>
      <c r="G42" s="112">
        <f t="shared" si="3"/>
        <v>0</v>
      </c>
      <c r="H42" s="99">
        <f>G42+'22'!H42</f>
        <v>-0.39999999999417923</v>
      </c>
      <c r="I42" s="95"/>
      <c r="J42" s="175">
        <f>H42/DAY(B2)</f>
        <v>-1.7391304347573012E-2</v>
      </c>
      <c r="K42" s="79"/>
      <c r="L42" s="66"/>
      <c r="N42" s="87"/>
      <c r="O42" s="71"/>
    </row>
    <row r="43" spans="1:15" ht="30.75" customHeight="1" x14ac:dyDescent="0.4">
      <c r="A43" s="194" t="s">
        <v>169</v>
      </c>
      <c r="B43" s="195"/>
      <c r="C43" s="195"/>
      <c r="D43" s="151" t="s">
        <v>130</v>
      </c>
      <c r="E43" s="95">
        <f>'22'!F43</f>
        <v>96740.35</v>
      </c>
      <c r="F43" s="145">
        <v>99079.59</v>
      </c>
      <c r="G43" s="112">
        <f t="shared" si="3"/>
        <v>2339.2399999999907</v>
      </c>
      <c r="H43" s="99">
        <f>G43+'22'!H43</f>
        <v>51818.59</v>
      </c>
      <c r="I43" s="95"/>
      <c r="J43" s="175">
        <f>H43/DAY(B2)</f>
        <v>2252.9821739130434</v>
      </c>
      <c r="K43" s="79"/>
      <c r="L43" s="66"/>
      <c r="N43" s="87"/>
      <c r="O43" s="71"/>
    </row>
    <row r="44" spans="1:15" ht="30.75" customHeight="1" x14ac:dyDescent="0.4">
      <c r="A44" s="194" t="s">
        <v>170</v>
      </c>
      <c r="B44" s="195"/>
      <c r="C44" s="195"/>
      <c r="D44" s="151" t="s">
        <v>130</v>
      </c>
      <c r="E44" s="95">
        <f>'22'!F44</f>
        <v>0</v>
      </c>
      <c r="F44" s="145">
        <v>0</v>
      </c>
      <c r="G44" s="112">
        <f t="shared" si="3"/>
        <v>0</v>
      </c>
      <c r="H44" s="99">
        <f>G44+'22'!H44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30.75" customHeight="1" x14ac:dyDescent="0.4">
      <c r="A45" s="194" t="s">
        <v>171</v>
      </c>
      <c r="B45" s="195"/>
      <c r="C45" s="195"/>
      <c r="D45" s="151" t="s">
        <v>130</v>
      </c>
      <c r="E45" s="95">
        <f>'22'!F45</f>
        <v>0</v>
      </c>
      <c r="F45" s="145">
        <v>0</v>
      </c>
      <c r="G45" s="112">
        <f t="shared" si="3"/>
        <v>0</v>
      </c>
      <c r="H45" s="99">
        <f>G45+'22'!H45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30.75" customHeight="1" x14ac:dyDescent="0.4">
      <c r="A46" s="194" t="s">
        <v>172</v>
      </c>
      <c r="B46" s="195"/>
      <c r="C46" s="195"/>
      <c r="D46" s="151" t="s">
        <v>130</v>
      </c>
      <c r="E46" s="95">
        <f>'22'!F46</f>
        <v>0</v>
      </c>
      <c r="F46" s="145">
        <v>0</v>
      </c>
      <c r="G46" s="112">
        <f t="shared" si="3"/>
        <v>0</v>
      </c>
      <c r="H46" s="99">
        <f>G46+'22'!H46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30.75" customHeight="1" x14ac:dyDescent="0.5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11314.429999999998</v>
      </c>
      <c r="H47" s="99">
        <f>G47+'22'!H47</f>
        <v>248083.44000000006</v>
      </c>
      <c r="I47" s="95"/>
      <c r="J47" s="175">
        <f>H47/DAY(B2)</f>
        <v>10786.236521739133</v>
      </c>
      <c r="K47" s="79"/>
      <c r="L47" s="66"/>
      <c r="N47" s="87"/>
      <c r="O47" s="71"/>
    </row>
    <row r="48" spans="1:15" ht="30.75" customHeight="1" x14ac:dyDescent="0.5">
      <c r="A48" s="214" t="s">
        <v>174</v>
      </c>
      <c r="B48" s="349"/>
      <c r="C48" s="349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30.75" customHeight="1" x14ac:dyDescent="0.4">
      <c r="A49" s="194" t="s">
        <v>161</v>
      </c>
      <c r="B49" s="217"/>
      <c r="C49" s="217"/>
      <c r="D49" s="151" t="s">
        <v>130</v>
      </c>
      <c r="E49" s="95">
        <f>'22'!F49</f>
        <v>17066.73</v>
      </c>
      <c r="F49" s="145">
        <v>18159.7</v>
      </c>
      <c r="G49" s="112">
        <f t="shared" ref="G49:G58" si="4">F49-E49</f>
        <v>1092.9700000000012</v>
      </c>
      <c r="H49" s="99">
        <f>G49+'22'!H49</f>
        <v>31280.699999999997</v>
      </c>
      <c r="I49" s="95"/>
      <c r="J49" s="175">
        <f>H49/DAY(B2)</f>
        <v>1360.0304347826086</v>
      </c>
      <c r="K49" s="79"/>
      <c r="L49" s="66"/>
      <c r="N49" s="87"/>
      <c r="O49" s="71"/>
    </row>
    <row r="50" spans="1:15" ht="30.75" customHeight="1" x14ac:dyDescent="0.4">
      <c r="A50" s="194" t="s">
        <v>175</v>
      </c>
      <c r="B50" s="217"/>
      <c r="C50" s="217"/>
      <c r="D50" s="151" t="s">
        <v>130</v>
      </c>
      <c r="E50" s="95">
        <f>'22'!F50</f>
        <v>46607.1</v>
      </c>
      <c r="F50" s="145">
        <v>48234.36</v>
      </c>
      <c r="G50" s="112">
        <f t="shared" si="4"/>
        <v>1627.260000000002</v>
      </c>
      <c r="H50" s="99">
        <f>G50+'22'!H50</f>
        <v>23584.36</v>
      </c>
      <c r="I50" s="95"/>
      <c r="J50" s="175">
        <f>H50/DAY(B2)</f>
        <v>1025.4069565217392</v>
      </c>
      <c r="K50" s="79"/>
      <c r="L50" s="66"/>
      <c r="N50" s="87"/>
      <c r="O50" s="71"/>
    </row>
    <row r="51" spans="1:15" ht="30.75" customHeight="1" x14ac:dyDescent="0.4">
      <c r="A51" s="194" t="s">
        <v>163</v>
      </c>
      <c r="B51" s="217"/>
      <c r="C51" s="217"/>
      <c r="D51" s="151" t="s">
        <v>130</v>
      </c>
      <c r="E51" s="95">
        <f>'22'!F51</f>
        <v>0</v>
      </c>
      <c r="F51" s="145">
        <v>0</v>
      </c>
      <c r="G51" s="112">
        <f t="shared" si="4"/>
        <v>0</v>
      </c>
      <c r="H51" s="99">
        <f>G51+'22'!H51</f>
        <v>0</v>
      </c>
      <c r="I51" s="95"/>
      <c r="J51" s="175">
        <f>H51/DAY(B2)</f>
        <v>0</v>
      </c>
      <c r="K51" s="79"/>
      <c r="L51" s="66"/>
      <c r="N51" s="87"/>
      <c r="O51" s="71"/>
    </row>
    <row r="52" spans="1:15" ht="30.75" customHeight="1" x14ac:dyDescent="0.4">
      <c r="A52" s="194" t="s">
        <v>176</v>
      </c>
      <c r="B52" s="217"/>
      <c r="C52" s="217"/>
      <c r="D52" s="151" t="s">
        <v>130</v>
      </c>
      <c r="E52" s="95">
        <f>'22'!F52</f>
        <v>0</v>
      </c>
      <c r="F52" s="145">
        <v>0</v>
      </c>
      <c r="G52" s="112">
        <f t="shared" si="4"/>
        <v>0</v>
      </c>
      <c r="H52" s="99">
        <f>G52+'22'!H52</f>
        <v>0</v>
      </c>
      <c r="I52" s="95"/>
      <c r="J52" s="175">
        <f>H52/DAY(B2)</f>
        <v>0</v>
      </c>
      <c r="K52" s="79"/>
      <c r="L52" s="66"/>
      <c r="N52" s="87"/>
      <c r="O52" s="71"/>
    </row>
    <row r="53" spans="1:15" ht="30.75" customHeight="1" x14ac:dyDescent="0.4">
      <c r="A53" s="194" t="s">
        <v>165</v>
      </c>
      <c r="B53" s="217"/>
      <c r="C53" s="217"/>
      <c r="D53" s="151" t="s">
        <v>130</v>
      </c>
      <c r="E53" s="95">
        <f>'22'!F53</f>
        <v>0</v>
      </c>
      <c r="F53" s="145">
        <v>0</v>
      </c>
      <c r="G53" s="112">
        <f t="shared" si="4"/>
        <v>0</v>
      </c>
      <c r="H53" s="99">
        <f>G53+'22'!H53</f>
        <v>0</v>
      </c>
      <c r="I53" s="95"/>
      <c r="J53" s="175">
        <f>H53/DAY(B2)</f>
        <v>0</v>
      </c>
      <c r="K53" s="79"/>
      <c r="L53" s="66"/>
      <c r="N53" s="87"/>
      <c r="O53" s="71"/>
    </row>
    <row r="54" spans="1:15" ht="30.75" customHeight="1" x14ac:dyDescent="0.4">
      <c r="A54" s="194" t="s">
        <v>177</v>
      </c>
      <c r="B54" s="217"/>
      <c r="C54" s="217"/>
      <c r="D54" s="151" t="s">
        <v>130</v>
      </c>
      <c r="E54" s="95">
        <f>'22'!F54</f>
        <v>5147.42</v>
      </c>
      <c r="F54" s="145">
        <v>5147.42</v>
      </c>
      <c r="G54" s="112">
        <f t="shared" si="4"/>
        <v>0</v>
      </c>
      <c r="H54" s="99">
        <f>G54+'22'!H54</f>
        <v>6914.5</v>
      </c>
      <c r="I54" s="95"/>
      <c r="J54" s="175">
        <f>H54/DAY(B2)</f>
        <v>300.63043478260869</v>
      </c>
      <c r="K54" s="79"/>
      <c r="L54" s="66"/>
      <c r="N54" s="87"/>
      <c r="O54" s="71"/>
    </row>
    <row r="55" spans="1:15" ht="30.75" customHeight="1" x14ac:dyDescent="0.4">
      <c r="A55" s="194" t="s">
        <v>178</v>
      </c>
      <c r="B55" s="217"/>
      <c r="C55" s="217"/>
      <c r="D55" s="151" t="s">
        <v>130</v>
      </c>
      <c r="E55" s="95">
        <f>'22'!F55</f>
        <v>69186.45</v>
      </c>
      <c r="F55" s="145">
        <v>71881.67</v>
      </c>
      <c r="G55" s="112">
        <f t="shared" si="4"/>
        <v>2695.2200000000012</v>
      </c>
      <c r="H55" s="99">
        <f>G55+'22'!H55</f>
        <v>68370.67</v>
      </c>
      <c r="I55" s="95"/>
      <c r="J55" s="175">
        <f>H55/DAY(B2)</f>
        <v>2972.6378260869565</v>
      </c>
      <c r="K55" s="79"/>
      <c r="L55" s="66"/>
      <c r="N55" s="87"/>
      <c r="O55" s="71"/>
    </row>
    <row r="56" spans="1:15" ht="30.75" customHeight="1" x14ac:dyDescent="0.4">
      <c r="A56" s="194" t="s">
        <v>179</v>
      </c>
      <c r="B56" s="217"/>
      <c r="C56" s="217"/>
      <c r="D56" s="151" t="s">
        <v>180</v>
      </c>
      <c r="E56" s="95">
        <f>'22'!F56</f>
        <v>8610.5400000000009</v>
      </c>
      <c r="F56" s="145">
        <v>8610.5400000000009</v>
      </c>
      <c r="G56" s="112">
        <f t="shared" si="4"/>
        <v>0</v>
      </c>
      <c r="H56" s="99">
        <f>G56+'22'!H56</f>
        <v>0</v>
      </c>
      <c r="I56" s="95"/>
      <c r="J56" s="175">
        <f>H56/DAY(B2)</f>
        <v>0</v>
      </c>
      <c r="K56" s="78"/>
      <c r="L56" s="66"/>
      <c r="N56" s="87"/>
      <c r="O56" s="71"/>
    </row>
    <row r="57" spans="1:15" ht="30.75" customHeight="1" x14ac:dyDescent="0.4">
      <c r="A57" s="194" t="s">
        <v>169</v>
      </c>
      <c r="B57" s="217"/>
      <c r="C57" s="217"/>
      <c r="D57" s="151" t="s">
        <v>130</v>
      </c>
      <c r="E57" s="95">
        <f>'22'!F57</f>
        <v>0</v>
      </c>
      <c r="F57" s="145">
        <v>0</v>
      </c>
      <c r="G57" s="112">
        <f t="shared" si="4"/>
        <v>0</v>
      </c>
      <c r="H57" s="99">
        <f>G57+'22'!H57</f>
        <v>0</v>
      </c>
      <c r="I57" s="95"/>
      <c r="J57" s="175">
        <f>H57/DAY(B2)</f>
        <v>0</v>
      </c>
      <c r="K57" s="79"/>
      <c r="L57" s="66"/>
      <c r="N57" s="87"/>
      <c r="O57" s="71"/>
    </row>
    <row r="58" spans="1:15" ht="30.75" customHeight="1" x14ac:dyDescent="0.4">
      <c r="A58" s="194" t="s">
        <v>181</v>
      </c>
      <c r="B58" s="217"/>
      <c r="C58" s="217"/>
      <c r="D58" s="151" t="s">
        <v>130</v>
      </c>
      <c r="E58" s="95">
        <f>'22'!F58</f>
        <v>3044.63</v>
      </c>
      <c r="F58" s="145">
        <v>3270.59</v>
      </c>
      <c r="G58" s="112">
        <f t="shared" si="4"/>
        <v>225.96000000000004</v>
      </c>
      <c r="H58" s="99">
        <f>G58+'22'!H58</f>
        <v>3611.2200000000048</v>
      </c>
      <c r="I58" s="95"/>
      <c r="J58" s="175">
        <f>H58/DAY(B2)</f>
        <v>157.00956521739153</v>
      </c>
      <c r="K58" s="79"/>
      <c r="L58" s="66"/>
      <c r="N58" s="87"/>
      <c r="O58" s="71"/>
    </row>
    <row r="59" spans="1:15" ht="30.75" customHeight="1" x14ac:dyDescent="0.5">
      <c r="A59" s="201" t="s">
        <v>173</v>
      </c>
      <c r="B59" s="202"/>
      <c r="C59" s="202"/>
      <c r="D59" s="146"/>
      <c r="E59" s="146"/>
      <c r="F59" s="146"/>
      <c r="G59" s="119">
        <f>G49+G50+G51+G52+G53+G54+G55+G56+G57+G58</f>
        <v>5641.4100000000044</v>
      </c>
      <c r="H59" s="99">
        <f>G59+'22'!H59</f>
        <v>133761.45000000004</v>
      </c>
      <c r="I59" s="95">
        <f>G7-G60</f>
        <v>1747.3200000000288</v>
      </c>
      <c r="J59" s="175">
        <f>H59/DAY(B2)</f>
        <v>5815.7152173913064</v>
      </c>
      <c r="K59" s="79"/>
      <c r="L59" s="66"/>
      <c r="N59" s="87"/>
      <c r="O59" s="71"/>
    </row>
    <row r="60" spans="1:15" ht="30.75" customHeight="1" x14ac:dyDescent="0.4">
      <c r="A60" s="194"/>
      <c r="B60" s="195"/>
      <c r="C60" s="195"/>
      <c r="D60" s="146" t="s">
        <v>182</v>
      </c>
      <c r="E60" s="146"/>
      <c r="F60" s="146"/>
      <c r="G60" s="119">
        <f>G47+G59</f>
        <v>16955.840000000004</v>
      </c>
      <c r="H60" s="99">
        <f>G60+'22'!H60</f>
        <v>381844.88999999996</v>
      </c>
      <c r="I60" s="95">
        <f>G13-G60</f>
        <v>1228.5799999999945</v>
      </c>
      <c r="J60" s="175">
        <f>H60/DAY(B2)</f>
        <v>16601.951739130433</v>
      </c>
      <c r="K60" s="79"/>
      <c r="L60" s="66"/>
      <c r="N60" s="87"/>
      <c r="O60" s="71"/>
    </row>
    <row r="61" spans="1:15" s="68" customFormat="1" ht="30.75" customHeight="1" x14ac:dyDescent="0.5">
      <c r="A61" s="837" t="s">
        <v>332</v>
      </c>
      <c r="B61" s="838"/>
      <c r="C61" s="839"/>
      <c r="D61" s="339"/>
      <c r="E61" s="339"/>
      <c r="F61" s="339"/>
      <c r="G61" s="340"/>
      <c r="H61" s="339"/>
      <c r="I61" s="339"/>
      <c r="J61" s="341"/>
      <c r="K61" s="69"/>
      <c r="L61" s="67"/>
      <c r="N61" s="87"/>
      <c r="O61" s="71"/>
    </row>
    <row r="62" spans="1:15" ht="30.75" customHeight="1" x14ac:dyDescent="0.5">
      <c r="A62" s="818" t="s">
        <v>198</v>
      </c>
      <c r="B62" s="819"/>
      <c r="C62" s="820"/>
      <c r="D62" s="151" t="s">
        <v>142</v>
      </c>
      <c r="E62" s="95">
        <f>'22'!F62</f>
        <v>268569</v>
      </c>
      <c r="F62" s="122">
        <v>268688</v>
      </c>
      <c r="G62" s="112">
        <f t="shared" ref="G62:G63" si="5">F62-E62</f>
        <v>119</v>
      </c>
      <c r="H62" s="99">
        <f>G62+'22'!H62</f>
        <v>1475</v>
      </c>
      <c r="I62" s="118"/>
      <c r="J62" s="175">
        <f>H62/DAY(B2)</f>
        <v>64.130434782608702</v>
      </c>
      <c r="K62" s="80"/>
      <c r="L62" s="66"/>
      <c r="N62" s="87"/>
      <c r="O62" s="71"/>
    </row>
    <row r="63" spans="1:15" ht="30.75" customHeight="1" x14ac:dyDescent="0.5">
      <c r="A63" s="818" t="s">
        <v>199</v>
      </c>
      <c r="B63" s="819"/>
      <c r="C63" s="820"/>
      <c r="D63" s="151" t="s">
        <v>142</v>
      </c>
      <c r="E63" s="95">
        <f>'22'!F63</f>
        <v>214644</v>
      </c>
      <c r="F63" s="122">
        <v>214770</v>
      </c>
      <c r="G63" s="112">
        <f t="shared" si="5"/>
        <v>126</v>
      </c>
      <c r="H63" s="99">
        <f>G63+'22'!H63</f>
        <v>2345</v>
      </c>
      <c r="I63" s="118"/>
      <c r="J63" s="175">
        <f>H63/DAY(B2)</f>
        <v>101.95652173913044</v>
      </c>
      <c r="K63" s="69"/>
      <c r="L63" s="66"/>
      <c r="N63" s="87"/>
      <c r="O63" s="71"/>
    </row>
    <row r="64" spans="1:15" ht="30.75" customHeight="1" x14ac:dyDescent="0.5">
      <c r="A64" s="815" t="s">
        <v>200</v>
      </c>
      <c r="B64" s="816"/>
      <c r="C64" s="817"/>
      <c r="D64" s="151"/>
      <c r="E64" s="95">
        <f>'22'!F64</f>
        <v>0</v>
      </c>
      <c r="F64" s="122"/>
      <c r="G64" s="112">
        <f>G62+G63</f>
        <v>245</v>
      </c>
      <c r="H64" s="99">
        <f>G64+'22'!H64</f>
        <v>3820</v>
      </c>
      <c r="I64" s="118"/>
      <c r="J64" s="175">
        <f>H64/DAY(B2)</f>
        <v>166.08695652173913</v>
      </c>
      <c r="K64" s="69"/>
      <c r="L64" s="66"/>
      <c r="N64" s="87"/>
      <c r="O64" s="71"/>
    </row>
    <row r="65" spans="1:15" ht="30.75" customHeight="1" x14ac:dyDescent="0.5">
      <c r="A65" s="818" t="s">
        <v>201</v>
      </c>
      <c r="B65" s="819"/>
      <c r="C65" s="820"/>
      <c r="D65" s="151" t="s">
        <v>142</v>
      </c>
      <c r="E65" s="95">
        <f>'22'!F65</f>
        <v>434138</v>
      </c>
      <c r="F65" s="122">
        <v>434226</v>
      </c>
      <c r="G65" s="112">
        <f t="shared" ref="G65:G70" si="6">F65-E65</f>
        <v>88</v>
      </c>
      <c r="H65" s="99">
        <f>G65+'22'!H65</f>
        <v>1612</v>
      </c>
      <c r="I65" s="118"/>
      <c r="J65" s="175">
        <f>H65/DAY(B2)</f>
        <v>70.086956521739125</v>
      </c>
      <c r="K65" s="69"/>
      <c r="L65" s="66"/>
      <c r="N65" s="87"/>
      <c r="O65" s="71"/>
    </row>
    <row r="66" spans="1:15" ht="30.75" customHeight="1" x14ac:dyDescent="0.5">
      <c r="A66" s="345" t="s">
        <v>202</v>
      </c>
      <c r="B66" s="346"/>
      <c r="C66" s="346"/>
      <c r="D66" s="151" t="s">
        <v>142</v>
      </c>
      <c r="E66" s="95">
        <f>'22'!F66</f>
        <v>107570</v>
      </c>
      <c r="F66" s="122">
        <v>107593</v>
      </c>
      <c r="G66" s="112">
        <f t="shared" si="6"/>
        <v>23</v>
      </c>
      <c r="H66" s="99">
        <f>G66+'22'!H66</f>
        <v>379</v>
      </c>
      <c r="I66" s="118"/>
      <c r="J66" s="175">
        <f>H66/DAY(B2)</f>
        <v>16.478260869565219</v>
      </c>
      <c r="K66" s="78"/>
      <c r="L66" s="66"/>
      <c r="N66" s="87"/>
      <c r="O66" s="71"/>
    </row>
    <row r="67" spans="1:15" ht="30.75" customHeight="1" x14ac:dyDescent="0.5">
      <c r="A67" s="345" t="s">
        <v>203</v>
      </c>
      <c r="B67" s="346"/>
      <c r="C67" s="346"/>
      <c r="D67" s="151" t="s">
        <v>142</v>
      </c>
      <c r="E67" s="95">
        <f>'22'!F67</f>
        <v>104430</v>
      </c>
      <c r="F67" s="150">
        <v>104455</v>
      </c>
      <c r="G67" s="112">
        <f t="shared" si="6"/>
        <v>25</v>
      </c>
      <c r="H67" s="99">
        <f>G67+'22'!H67</f>
        <v>527</v>
      </c>
      <c r="I67" s="118"/>
      <c r="J67" s="175">
        <f>H67/DAY(B2)</f>
        <v>22.913043478260871</v>
      </c>
      <c r="K67" s="81"/>
      <c r="L67" s="66"/>
      <c r="N67" s="87"/>
      <c r="O67" s="71"/>
    </row>
    <row r="68" spans="1:15" ht="30.75" customHeight="1" x14ac:dyDescent="0.5">
      <c r="A68" s="345" t="s">
        <v>204</v>
      </c>
      <c r="B68" s="346"/>
      <c r="C68" s="346"/>
      <c r="D68" s="151" t="s">
        <v>142</v>
      </c>
      <c r="E68" s="95">
        <f>'22'!F68</f>
        <v>157272</v>
      </c>
      <c r="F68" s="122">
        <v>157314</v>
      </c>
      <c r="G68" s="112">
        <f t="shared" si="6"/>
        <v>42</v>
      </c>
      <c r="H68" s="99">
        <f>G68+'22'!H68</f>
        <v>694</v>
      </c>
      <c r="I68" s="118"/>
      <c r="J68" s="175">
        <f>H68/DAY(B2)</f>
        <v>30.173913043478262</v>
      </c>
      <c r="K68" s="69"/>
      <c r="L68" s="66"/>
      <c r="N68" s="87"/>
      <c r="O68" s="71"/>
    </row>
    <row r="69" spans="1:15" ht="30.75" customHeight="1" x14ac:dyDescent="0.5">
      <c r="A69" s="345" t="s">
        <v>205</v>
      </c>
      <c r="B69" s="346"/>
      <c r="C69" s="346"/>
      <c r="D69" s="151" t="s">
        <v>142</v>
      </c>
      <c r="E69" s="95">
        <f>'22'!F69</f>
        <v>10427</v>
      </c>
      <c r="F69" s="122">
        <v>10458</v>
      </c>
      <c r="G69" s="112">
        <f t="shared" si="6"/>
        <v>31</v>
      </c>
      <c r="H69" s="99">
        <f>G69+'22'!H69</f>
        <v>244</v>
      </c>
      <c r="I69" s="118"/>
      <c r="J69" s="175">
        <f>H69/DAY(B2)</f>
        <v>10.608695652173912</v>
      </c>
      <c r="K69" s="69"/>
      <c r="L69" s="66"/>
      <c r="N69" s="87"/>
      <c r="O69" s="71"/>
    </row>
    <row r="70" spans="1:15" ht="30.75" customHeight="1" x14ac:dyDescent="0.5">
      <c r="A70" s="345" t="s">
        <v>206</v>
      </c>
      <c r="B70" s="346"/>
      <c r="C70" s="346"/>
      <c r="D70" s="151" t="s">
        <v>142</v>
      </c>
      <c r="E70" s="95">
        <f>'22'!F70</f>
        <v>8016</v>
      </c>
      <c r="F70" s="150">
        <v>8022</v>
      </c>
      <c r="G70" s="112">
        <f t="shared" si="6"/>
        <v>6</v>
      </c>
      <c r="H70" s="99">
        <f>G70+'22'!H70</f>
        <v>160</v>
      </c>
      <c r="I70" s="118"/>
      <c r="J70" s="175">
        <f>H70/DAY(B2)</f>
        <v>6.9565217391304346</v>
      </c>
      <c r="K70" s="69"/>
      <c r="L70" s="66"/>
      <c r="N70" s="87"/>
      <c r="O70" s="71"/>
    </row>
    <row r="71" spans="1:15" ht="30.75" customHeight="1" x14ac:dyDescent="0.5">
      <c r="A71" s="815" t="s">
        <v>208</v>
      </c>
      <c r="B71" s="816"/>
      <c r="C71" s="817"/>
      <c r="D71" s="152"/>
      <c r="E71" s="152"/>
      <c r="F71" s="152"/>
      <c r="G71" s="153">
        <f>SUM(G65:G70)</f>
        <v>215</v>
      </c>
      <c r="H71" s="99">
        <f>G71+'22'!H71</f>
        <v>3616</v>
      </c>
      <c r="I71" s="154"/>
      <c r="J71" s="175">
        <f>H71/DAY(B2)</f>
        <v>157.21739130434781</v>
      </c>
      <c r="K71" s="69"/>
      <c r="L71" s="66"/>
      <c r="N71" s="87"/>
      <c r="O71" s="71"/>
    </row>
    <row r="72" spans="1:15" s="88" customFormat="1" ht="30.75" customHeight="1" x14ac:dyDescent="0.5">
      <c r="A72" s="861"/>
      <c r="B72" s="853"/>
      <c r="C72" s="347"/>
      <c r="D72" s="180"/>
      <c r="E72" s="180" t="s">
        <v>207</v>
      </c>
      <c r="F72" s="180"/>
      <c r="G72" s="180"/>
      <c r="H72" s="181"/>
      <c r="I72" s="180"/>
      <c r="J72" s="182"/>
      <c r="N72" s="87"/>
      <c r="O72" s="71"/>
    </row>
    <row r="73" spans="1:15" ht="30.75" customHeight="1" x14ac:dyDescent="0.5">
      <c r="A73" s="866" t="s">
        <v>333</v>
      </c>
      <c r="B73" s="867"/>
      <c r="C73" s="868"/>
      <c r="D73" s="339"/>
      <c r="E73" s="339"/>
      <c r="F73" s="339"/>
      <c r="G73" s="342"/>
      <c r="H73" s="342"/>
      <c r="I73" s="342"/>
      <c r="J73" s="343"/>
      <c r="K73" s="69"/>
      <c r="L73" s="66"/>
      <c r="N73" s="87"/>
      <c r="O73" s="71"/>
    </row>
    <row r="74" spans="1:15" ht="30.75" customHeight="1" x14ac:dyDescent="0.5">
      <c r="A74" s="818" t="s">
        <v>220</v>
      </c>
      <c r="B74" s="819"/>
      <c r="C74" s="820"/>
      <c r="D74" s="151" t="s">
        <v>139</v>
      </c>
      <c r="E74" s="95">
        <f>'22'!F74</f>
        <v>898570.12</v>
      </c>
      <c r="F74" s="117">
        <v>898862.81</v>
      </c>
      <c r="G74" s="112">
        <f t="shared" ref="G74:G78" si="7">F74-E74</f>
        <v>292.69000000006054</v>
      </c>
      <c r="H74" s="99">
        <f>G74+'22'!H74</f>
        <v>6830.8100000000559</v>
      </c>
      <c r="I74" s="154"/>
      <c r="J74" s="175">
        <f>H74/DAY(B2)</f>
        <v>296.99173913043722</v>
      </c>
      <c r="K74" s="69"/>
      <c r="L74" s="66"/>
      <c r="N74" s="87"/>
      <c r="O74" s="71"/>
    </row>
    <row r="75" spans="1:15" ht="30.75" customHeight="1" x14ac:dyDescent="0.5">
      <c r="A75" s="818" t="s">
        <v>221</v>
      </c>
      <c r="B75" s="819"/>
      <c r="C75" s="820"/>
      <c r="D75" s="151" t="s">
        <v>139</v>
      </c>
      <c r="E75" s="95">
        <f>'22'!F75</f>
        <v>73586.8</v>
      </c>
      <c r="F75" s="123">
        <v>73586.8</v>
      </c>
      <c r="G75" s="112">
        <f t="shared" si="7"/>
        <v>0</v>
      </c>
      <c r="H75" s="99">
        <f>G75+'22'!H75</f>
        <v>0</v>
      </c>
      <c r="I75" s="154"/>
      <c r="J75" s="175">
        <f>H75/DAY(B2)</f>
        <v>0</v>
      </c>
      <c r="K75" s="69"/>
      <c r="L75" s="66"/>
      <c r="N75" s="87"/>
      <c r="O75" s="71"/>
    </row>
    <row r="76" spans="1:15" ht="30.75" customHeight="1" x14ac:dyDescent="0.5">
      <c r="A76" s="862" t="s">
        <v>222</v>
      </c>
      <c r="B76" s="848"/>
      <c r="C76" s="849"/>
      <c r="D76" s="151" t="s">
        <v>139</v>
      </c>
      <c r="E76" s="95">
        <f>'22'!F76</f>
        <v>169102.67</v>
      </c>
      <c r="F76" s="123">
        <v>169204</v>
      </c>
      <c r="G76" s="112">
        <f t="shared" si="7"/>
        <v>101.32999999998719</v>
      </c>
      <c r="H76" s="99">
        <f>G76+'22'!H76</f>
        <v>1997</v>
      </c>
      <c r="I76" s="154"/>
      <c r="J76" s="175">
        <f>H76/DAY(B2)</f>
        <v>86.826086956521735</v>
      </c>
      <c r="K76" s="69"/>
      <c r="L76" s="66"/>
      <c r="N76" s="87"/>
      <c r="O76" s="71"/>
    </row>
    <row r="77" spans="1:15" ht="30.75" customHeight="1" x14ac:dyDescent="0.5">
      <c r="A77" s="862" t="s">
        <v>223</v>
      </c>
      <c r="B77" s="848"/>
      <c r="C77" s="849"/>
      <c r="D77" s="151" t="s">
        <v>139</v>
      </c>
      <c r="E77" s="95">
        <f>'22'!F77</f>
        <v>40987</v>
      </c>
      <c r="F77" s="123">
        <v>41023</v>
      </c>
      <c r="G77" s="112">
        <f t="shared" si="7"/>
        <v>36</v>
      </c>
      <c r="H77" s="99">
        <f>G77+'22'!H77</f>
        <v>707</v>
      </c>
      <c r="I77" s="154"/>
      <c r="J77" s="175">
        <f>H77/DAY(B2)</f>
        <v>30.739130434782609</v>
      </c>
      <c r="K77" s="69"/>
      <c r="L77" s="66"/>
      <c r="N77" s="87"/>
      <c r="O77" s="71"/>
    </row>
    <row r="78" spans="1:15" ht="30.75" customHeight="1" x14ac:dyDescent="0.5">
      <c r="A78" s="862" t="s">
        <v>224</v>
      </c>
      <c r="B78" s="848"/>
      <c r="C78" s="849"/>
      <c r="D78" s="151" t="s">
        <v>139</v>
      </c>
      <c r="E78" s="95">
        <f>'22'!F78</f>
        <v>9506</v>
      </c>
      <c r="F78" s="123">
        <v>9507</v>
      </c>
      <c r="G78" s="112">
        <f t="shared" si="7"/>
        <v>1</v>
      </c>
      <c r="H78" s="99">
        <f>G78+'22'!H78</f>
        <v>21</v>
      </c>
      <c r="I78" s="118"/>
      <c r="J78" s="175">
        <f>H78/DAY(B2)</f>
        <v>0.91304347826086951</v>
      </c>
      <c r="K78" s="69"/>
      <c r="L78" s="66"/>
      <c r="N78" s="87"/>
      <c r="O78" s="71"/>
    </row>
    <row r="79" spans="1:15" s="57" customFormat="1" ht="30.75" customHeight="1" x14ac:dyDescent="0.5">
      <c r="A79" s="862" t="s">
        <v>225</v>
      </c>
      <c r="B79" s="848"/>
      <c r="C79" s="849"/>
      <c r="D79" s="151"/>
      <c r="E79" s="95">
        <f>'22'!F79</f>
        <v>0</v>
      </c>
      <c r="F79" s="123"/>
      <c r="G79" s="112">
        <f>G15-SUM(G74:G78)</f>
        <v>548.89999999987776</v>
      </c>
      <c r="H79" s="99">
        <f>G79+'22'!H79</f>
        <v>11091.10999999987</v>
      </c>
      <c r="I79" s="118"/>
      <c r="J79" s="175"/>
      <c r="K79" s="59"/>
      <c r="L79" s="58"/>
      <c r="N79" s="87"/>
      <c r="O79" s="71"/>
    </row>
    <row r="80" spans="1:15" s="57" customFormat="1" ht="30.75" customHeight="1" x14ac:dyDescent="0.5">
      <c r="A80" s="815" t="s">
        <v>329</v>
      </c>
      <c r="B80" s="816"/>
      <c r="C80" s="817"/>
      <c r="D80" s="151"/>
      <c r="E80" s="117"/>
      <c r="F80" s="117"/>
      <c r="G80" s="112">
        <f>SUM(G74:G79)</f>
        <v>979.91999999992549</v>
      </c>
      <c r="H80" s="99"/>
      <c r="I80" s="118"/>
      <c r="J80" s="175"/>
      <c r="K80" s="59"/>
      <c r="L80" s="58"/>
      <c r="N80" s="87"/>
      <c r="O80" s="71"/>
    </row>
    <row r="81" spans="1:15" ht="30.75" customHeight="1" x14ac:dyDescent="0.4">
      <c r="A81" s="854" t="s">
        <v>226</v>
      </c>
      <c r="B81" s="855"/>
      <c r="C81" s="856"/>
      <c r="D81" s="110"/>
      <c r="E81" s="110"/>
      <c r="F81" s="110"/>
      <c r="G81" s="163"/>
      <c r="H81" s="163"/>
      <c r="I81" s="163"/>
      <c r="J81" s="184"/>
      <c r="O81" s="71"/>
    </row>
    <row r="82" spans="1:15" ht="30.75" customHeight="1" x14ac:dyDescent="0.5">
      <c r="A82" s="345" t="s">
        <v>227</v>
      </c>
      <c r="B82" s="346"/>
      <c r="C82" s="346"/>
      <c r="D82" s="151" t="s">
        <v>228</v>
      </c>
      <c r="E82" s="95">
        <f>'22'!F82</f>
        <v>0</v>
      </c>
      <c r="F82" s="122">
        <v>0</v>
      </c>
      <c r="G82" s="112">
        <f t="shared" ref="G82:G92" si="8">F82-E82</f>
        <v>0</v>
      </c>
      <c r="H82" s="99">
        <f>G82+'22'!H82</f>
        <v>0</v>
      </c>
      <c r="I82" s="118"/>
      <c r="J82" s="175">
        <f>H82/DAY(B2)</f>
        <v>0</v>
      </c>
      <c r="O82" s="71"/>
    </row>
    <row r="83" spans="1:15" ht="30.75" customHeight="1" x14ac:dyDescent="0.5">
      <c r="A83" s="345" t="s">
        <v>229</v>
      </c>
      <c r="B83" s="346"/>
      <c r="C83" s="346"/>
      <c r="D83" s="151" t="s">
        <v>228</v>
      </c>
      <c r="E83" s="95">
        <f>'22'!F83</f>
        <v>0</v>
      </c>
      <c r="F83" s="122">
        <v>0</v>
      </c>
      <c r="G83" s="112">
        <f t="shared" si="8"/>
        <v>0</v>
      </c>
      <c r="H83" s="99">
        <f>G83+'22'!H83</f>
        <v>0</v>
      </c>
      <c r="I83" s="118"/>
      <c r="J83" s="175">
        <f>H83/DAY(B2)</f>
        <v>0</v>
      </c>
      <c r="O83" s="71"/>
    </row>
    <row r="84" spans="1:15" ht="30.75" customHeight="1" x14ac:dyDescent="0.5">
      <c r="A84" s="345" t="s">
        <v>230</v>
      </c>
      <c r="B84" s="346"/>
      <c r="C84" s="346"/>
      <c r="D84" s="151" t="s">
        <v>228</v>
      </c>
      <c r="E84" s="95">
        <f>'22'!F84</f>
        <v>41675.4</v>
      </c>
      <c r="F84" s="164">
        <v>41675.4</v>
      </c>
      <c r="G84" s="112">
        <f t="shared" si="8"/>
        <v>0</v>
      </c>
      <c r="H84" s="99">
        <f>G84+'22'!H84</f>
        <v>0.40000000000145519</v>
      </c>
      <c r="I84" s="118"/>
      <c r="J84" s="175">
        <f>H84/DAY(B2)</f>
        <v>1.7391304347889356E-2</v>
      </c>
      <c r="O84" s="71"/>
    </row>
    <row r="85" spans="1:15" ht="30.75" customHeight="1" x14ac:dyDescent="0.5">
      <c r="A85" s="345" t="s">
        <v>231</v>
      </c>
      <c r="B85" s="346"/>
      <c r="C85" s="346"/>
      <c r="D85" s="151" t="s">
        <v>228</v>
      </c>
      <c r="E85" s="95">
        <f>'22'!F85</f>
        <v>2096.56</v>
      </c>
      <c r="F85" s="164">
        <v>2096.56</v>
      </c>
      <c r="G85" s="112">
        <f t="shared" si="8"/>
        <v>0</v>
      </c>
      <c r="H85" s="99">
        <f>G85+'22'!H85</f>
        <v>0</v>
      </c>
      <c r="I85" s="118">
        <f>G82+G83+G84+G85</f>
        <v>0</v>
      </c>
      <c r="J85" s="175">
        <f>H85/DAY(B2)</f>
        <v>0</v>
      </c>
      <c r="O85" s="71"/>
    </row>
    <row r="86" spans="1:15" ht="30.75" customHeight="1" x14ac:dyDescent="0.5">
      <c r="A86" s="345" t="s">
        <v>232</v>
      </c>
      <c r="B86" s="346"/>
      <c r="C86" s="346"/>
      <c r="D86" s="151" t="s">
        <v>228</v>
      </c>
      <c r="E86" s="95">
        <f>'22'!F86</f>
        <v>43393.86</v>
      </c>
      <c r="F86" s="164">
        <v>43418.11</v>
      </c>
      <c r="G86" s="112">
        <f t="shared" si="8"/>
        <v>24.25</v>
      </c>
      <c r="H86" s="99">
        <f>G86+'22'!H86</f>
        <v>555.11000000000058</v>
      </c>
      <c r="I86" s="118"/>
      <c r="J86" s="175">
        <f>H86/DAY(B2)</f>
        <v>24.135217391304373</v>
      </c>
      <c r="O86" s="71"/>
    </row>
    <row r="87" spans="1:15" ht="30.75" customHeight="1" x14ac:dyDescent="0.5">
      <c r="A87" s="345" t="s">
        <v>233</v>
      </c>
      <c r="B87" s="346"/>
      <c r="C87" s="346"/>
      <c r="D87" s="151" t="s">
        <v>228</v>
      </c>
      <c r="E87" s="95">
        <f>'22'!F87</f>
        <v>34598.550000000003</v>
      </c>
      <c r="F87" s="164">
        <v>34598.550000000003</v>
      </c>
      <c r="G87" s="112">
        <f t="shared" si="8"/>
        <v>0</v>
      </c>
      <c r="H87" s="99">
        <f>G87+'22'!H87</f>
        <v>0</v>
      </c>
      <c r="I87" s="118"/>
      <c r="J87" s="175">
        <f>H87/DAY(B2)</f>
        <v>0</v>
      </c>
      <c r="O87" s="71"/>
    </row>
    <row r="88" spans="1:15" ht="30.75" customHeight="1" x14ac:dyDescent="0.5">
      <c r="A88" s="345" t="s">
        <v>234</v>
      </c>
      <c r="B88" s="346"/>
      <c r="C88" s="346"/>
      <c r="D88" s="151" t="s">
        <v>228</v>
      </c>
      <c r="E88" s="95">
        <f>'22'!F88</f>
        <v>24061.37</v>
      </c>
      <c r="F88" s="164">
        <v>24063.38</v>
      </c>
      <c r="G88" s="112">
        <f t="shared" si="8"/>
        <v>2.0100000000020373</v>
      </c>
      <c r="H88" s="99">
        <f>G88+'22'!H88</f>
        <v>16.380000000001019</v>
      </c>
      <c r="I88" s="118">
        <f>G86+G87+G88</f>
        <v>26.260000000002037</v>
      </c>
      <c r="J88" s="175">
        <f>H88/DAY(B2)</f>
        <v>0.71217391304352251</v>
      </c>
      <c r="O88" s="71"/>
    </row>
    <row r="89" spans="1:15" ht="30.75" customHeight="1" x14ac:dyDescent="0.5">
      <c r="A89" s="345" t="s">
        <v>235</v>
      </c>
      <c r="B89" s="346"/>
      <c r="C89" s="346"/>
      <c r="D89" s="151" t="s">
        <v>228</v>
      </c>
      <c r="E89" s="95">
        <f>'22'!F89</f>
        <v>25810.44</v>
      </c>
      <c r="F89" s="164">
        <v>25818.61</v>
      </c>
      <c r="G89" s="112">
        <f t="shared" si="8"/>
        <v>8.1700000000018917</v>
      </c>
      <c r="H89" s="99">
        <f>G89+'22'!H89</f>
        <v>155.61000000000058</v>
      </c>
      <c r="I89" s="118"/>
      <c r="J89" s="175">
        <f>H89/DAY(B2)</f>
        <v>6.7656521739130691</v>
      </c>
      <c r="O89" s="71"/>
    </row>
    <row r="90" spans="1:15" ht="30.75" customHeight="1" x14ac:dyDescent="0.5">
      <c r="A90" s="345" t="s">
        <v>236</v>
      </c>
      <c r="B90" s="346"/>
      <c r="C90" s="346"/>
      <c r="D90" s="151" t="s">
        <v>228</v>
      </c>
      <c r="E90" s="95">
        <f>'22'!F90</f>
        <v>71141.88</v>
      </c>
      <c r="F90" s="164">
        <v>71143.37</v>
      </c>
      <c r="G90" s="112">
        <f t="shared" si="8"/>
        <v>1.4899999999906868</v>
      </c>
      <c r="H90" s="99">
        <f>G90+'22'!H90</f>
        <v>109.36999999999534</v>
      </c>
      <c r="I90" s="118">
        <f>G89+G90</f>
        <v>9.6599999999925785</v>
      </c>
      <c r="J90" s="175">
        <f>H90/DAY(B2)</f>
        <v>4.7552173913041456</v>
      </c>
      <c r="O90" s="71"/>
    </row>
    <row r="91" spans="1:15" ht="30.75" customHeight="1" x14ac:dyDescent="0.5">
      <c r="A91" s="345" t="s">
        <v>237</v>
      </c>
      <c r="B91" s="346"/>
      <c r="C91" s="346"/>
      <c r="D91" s="151" t="s">
        <v>228</v>
      </c>
      <c r="E91" s="95">
        <f>'22'!F91</f>
        <v>3226.32</v>
      </c>
      <c r="F91" s="122">
        <v>3226.32</v>
      </c>
      <c r="G91" s="112">
        <f t="shared" si="8"/>
        <v>0</v>
      </c>
      <c r="H91" s="99">
        <f>G91+'22'!H91</f>
        <v>0</v>
      </c>
      <c r="I91" s="165"/>
      <c r="J91" s="175">
        <f>H91/DAY(B2)</f>
        <v>0</v>
      </c>
      <c r="O91" s="71"/>
    </row>
    <row r="92" spans="1:15" ht="30.75" customHeight="1" x14ac:dyDescent="0.5">
      <c r="A92" s="345" t="s">
        <v>238</v>
      </c>
      <c r="B92" s="346"/>
      <c r="C92" s="346"/>
      <c r="D92" s="151" t="s">
        <v>228</v>
      </c>
      <c r="E92" s="95">
        <f>'22'!F92</f>
        <v>5667.45</v>
      </c>
      <c r="F92" s="122">
        <v>5677.67</v>
      </c>
      <c r="G92" s="112">
        <f t="shared" si="8"/>
        <v>10.220000000000255</v>
      </c>
      <c r="H92" s="99">
        <f>G92+'22'!H92</f>
        <v>239.67000000000007</v>
      </c>
      <c r="I92" s="165"/>
      <c r="J92" s="175">
        <f>H92/DAY(B2)</f>
        <v>10.420434782608698</v>
      </c>
      <c r="O92" s="71"/>
    </row>
    <row r="93" spans="1:15" ht="30.75" customHeight="1" x14ac:dyDescent="0.5">
      <c r="A93" s="863" t="s">
        <v>239</v>
      </c>
      <c r="B93" s="864"/>
      <c r="C93" s="865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30.75" customHeight="1" x14ac:dyDescent="0.5">
      <c r="A94" s="818" t="s">
        <v>240</v>
      </c>
      <c r="B94" s="819"/>
      <c r="C94" s="820"/>
      <c r="D94" s="151" t="s">
        <v>130</v>
      </c>
      <c r="E94" s="151"/>
      <c r="F94" s="151"/>
      <c r="G94" s="99">
        <f>G35+G43+G49+G57</f>
        <v>4787.919999999991</v>
      </c>
      <c r="H94" s="99">
        <f>G94+'22'!H94</f>
        <v>120325.57999999999</v>
      </c>
      <c r="I94" s="118"/>
      <c r="J94" s="175">
        <f>H94/DAY(B2)</f>
        <v>5231.5469565217381</v>
      </c>
      <c r="K94" s="69"/>
      <c r="L94" s="66"/>
      <c r="O94" s="71"/>
    </row>
    <row r="95" spans="1:15" ht="30.75" customHeight="1" x14ac:dyDescent="0.5">
      <c r="A95" s="818" t="s">
        <v>241</v>
      </c>
      <c r="B95" s="819"/>
      <c r="C95" s="820"/>
      <c r="D95" s="151" t="s">
        <v>23</v>
      </c>
      <c r="E95" s="146"/>
      <c r="F95" s="146"/>
      <c r="G95" s="166">
        <f>G94/G7</f>
        <v>0.25599524358450565</v>
      </c>
      <c r="H95" s="99">
        <f>G95+'22'!H95</f>
        <v>6.5771852130561914</v>
      </c>
      <c r="I95" s="167"/>
      <c r="J95" s="175">
        <f>H95/DAY(B2)</f>
        <v>0.28596457448070395</v>
      </c>
      <c r="K95" s="69"/>
      <c r="L95" s="66"/>
      <c r="O95" s="71"/>
    </row>
    <row r="96" spans="1:15" ht="30.75" customHeight="1" x14ac:dyDescent="0.5">
      <c r="A96" s="818" t="s">
        <v>242</v>
      </c>
      <c r="B96" s="819"/>
      <c r="C96" s="820"/>
      <c r="D96" s="151" t="s">
        <v>130</v>
      </c>
      <c r="E96" s="95"/>
      <c r="F96" s="95"/>
      <c r="G96" s="99">
        <f>G41+G42+G55+G56</f>
        <v>2695.2200000000012</v>
      </c>
      <c r="H96" s="99">
        <f>G96+'22'!H96</f>
        <v>68370.27</v>
      </c>
      <c r="I96" s="118"/>
      <c r="J96" s="175">
        <f>H96/DAY(B2)</f>
        <v>2972.6204347826088</v>
      </c>
      <c r="K96" s="69"/>
      <c r="L96" s="66"/>
      <c r="O96" s="71"/>
    </row>
    <row r="97" spans="1:15" ht="30.75" customHeight="1" x14ac:dyDescent="0.5">
      <c r="A97" s="818" t="s">
        <v>243</v>
      </c>
      <c r="B97" s="819"/>
      <c r="C97" s="820"/>
      <c r="D97" s="151" t="s">
        <v>23</v>
      </c>
      <c r="E97" s="95"/>
      <c r="F97" s="95"/>
      <c r="G97" s="166">
        <f>G96/G7</f>
        <v>0.14410506032135728</v>
      </c>
      <c r="H97" s="99">
        <f>G97+'22'!H97</f>
        <v>3.7507011791949316</v>
      </c>
      <c r="I97" s="167"/>
      <c r="J97" s="175">
        <f>H97/DAY(B2)</f>
        <v>0.16307396431282312</v>
      </c>
      <c r="K97" s="69"/>
      <c r="L97" s="66"/>
      <c r="O97" s="71"/>
    </row>
    <row r="98" spans="1:15" ht="30.75" customHeight="1" x14ac:dyDescent="0.5">
      <c r="A98" s="818" t="s">
        <v>244</v>
      </c>
      <c r="B98" s="819"/>
      <c r="C98" s="820"/>
      <c r="D98" s="151" t="s">
        <v>130</v>
      </c>
      <c r="E98" s="95"/>
      <c r="F98" s="95"/>
      <c r="G98" s="99">
        <f>G39+G53</f>
        <v>2576.25</v>
      </c>
      <c r="H98" s="99">
        <f>G98+'22'!H98</f>
        <v>60012.800000000003</v>
      </c>
      <c r="I98" s="168"/>
      <c r="J98" s="175">
        <f>H98/DAY(B2)</f>
        <v>2609.2521739130434</v>
      </c>
      <c r="K98" s="69"/>
      <c r="L98" s="66"/>
      <c r="O98" s="71"/>
    </row>
    <row r="99" spans="1:15" ht="30.75" customHeight="1" x14ac:dyDescent="0.5">
      <c r="A99" s="818" t="s">
        <v>245</v>
      </c>
      <c r="B99" s="819"/>
      <c r="C99" s="820"/>
      <c r="D99" s="151" t="s">
        <v>23</v>
      </c>
      <c r="E99" s="95"/>
      <c r="F99" s="95"/>
      <c r="G99" s="166">
        <f>G98/G7</f>
        <v>0.13774410313551269</v>
      </c>
      <c r="H99" s="99">
        <f>G99+'22'!H99</f>
        <v>3.2928850344602747</v>
      </c>
      <c r="I99" s="168"/>
      <c r="J99" s="175">
        <f>H99/DAY(B2)</f>
        <v>0.14316891454175107</v>
      </c>
      <c r="O99" s="71"/>
    </row>
    <row r="100" spans="1:15" ht="30.75" customHeight="1" x14ac:dyDescent="0.5">
      <c r="A100" s="818" t="s">
        <v>246</v>
      </c>
      <c r="B100" s="819"/>
      <c r="C100" s="820"/>
      <c r="D100" s="151" t="s">
        <v>180</v>
      </c>
      <c r="E100" s="95"/>
      <c r="F100" s="95"/>
      <c r="G100" s="99">
        <f>G38+G52</f>
        <v>1932.0699999999997</v>
      </c>
      <c r="H100" s="99">
        <f>G100+'22'!H100</f>
        <v>37691.610000000008</v>
      </c>
      <c r="I100" s="118"/>
      <c r="J100" s="175">
        <f>H100/DAY(B2)</f>
        <v>1638.7656521739134</v>
      </c>
      <c r="K100" s="70"/>
      <c r="O100" s="71"/>
    </row>
    <row r="101" spans="1:15" ht="30.75" customHeight="1" x14ac:dyDescent="0.5">
      <c r="A101" s="818" t="s">
        <v>247</v>
      </c>
      <c r="B101" s="819"/>
      <c r="C101" s="820"/>
      <c r="D101" s="151" t="s">
        <v>23</v>
      </c>
      <c r="E101" s="95"/>
      <c r="F101" s="95"/>
      <c r="G101" s="166">
        <f>G100/G7</f>
        <v>0.1033017949907928</v>
      </c>
      <c r="H101" s="99">
        <f>G101+'22'!H101</f>
        <v>2.0683639998680885</v>
      </c>
      <c r="I101" s="168"/>
      <c r="J101" s="175">
        <f>H101/DAY(B2)</f>
        <v>8.9928869559482108E-2</v>
      </c>
      <c r="O101" s="71"/>
    </row>
    <row r="102" spans="1:15" ht="30.75" customHeight="1" x14ac:dyDescent="0.5">
      <c r="A102" s="818" t="s">
        <v>248</v>
      </c>
      <c r="B102" s="819"/>
      <c r="C102" s="820"/>
      <c r="D102" s="151" t="s">
        <v>180</v>
      </c>
      <c r="E102" s="95"/>
      <c r="F102" s="95"/>
      <c r="G102" s="99">
        <f>G36+G50</f>
        <v>2782.5400000000081</v>
      </c>
      <c r="H102" s="99">
        <f>G102+'22'!H102</f>
        <v>40040.660000000003</v>
      </c>
      <c r="I102" s="168"/>
      <c r="J102" s="175">
        <f>H102/DAY(B2)</f>
        <v>1740.8982608695653</v>
      </c>
      <c r="O102" s="71"/>
    </row>
    <row r="103" spans="1:15" ht="30.75" customHeight="1" x14ac:dyDescent="0.5">
      <c r="A103" s="818" t="s">
        <v>249</v>
      </c>
      <c r="B103" s="819"/>
      <c r="C103" s="820"/>
      <c r="D103" s="151" t="s">
        <v>23</v>
      </c>
      <c r="E103" s="95"/>
      <c r="F103" s="95"/>
      <c r="G103" s="166">
        <f>G102/G7</f>
        <v>0.14877379009750241</v>
      </c>
      <c r="H103" s="99">
        <f>G103+'22'!H103</f>
        <v>2.1846541199119058</v>
      </c>
      <c r="I103" s="118"/>
      <c r="J103" s="175">
        <f>H103/DAY(B2)</f>
        <v>9.4984961735300258E-2</v>
      </c>
      <c r="O103" s="71"/>
    </row>
    <row r="104" spans="1:15" ht="30.75" customHeight="1" x14ac:dyDescent="0.5">
      <c r="A104" s="818" t="s">
        <v>250</v>
      </c>
      <c r="B104" s="819"/>
      <c r="C104" s="820"/>
      <c r="D104" s="151" t="s">
        <v>180</v>
      </c>
      <c r="E104" s="95"/>
      <c r="F104" s="95"/>
      <c r="G104" s="99">
        <f>G37+G51</f>
        <v>1571.9800000000032</v>
      </c>
      <c r="H104" s="99">
        <f>G104+'22'!H104</f>
        <v>34954.49</v>
      </c>
      <c r="I104" s="118"/>
      <c r="J104" s="175">
        <f>H104/DAY(B2)</f>
        <v>1519.7604347826086</v>
      </c>
      <c r="O104" s="71"/>
    </row>
    <row r="105" spans="1:15" ht="30.75" customHeight="1" thickBot="1" x14ac:dyDescent="0.55000000000000004">
      <c r="A105" s="858" t="s">
        <v>251</v>
      </c>
      <c r="B105" s="859"/>
      <c r="C105" s="860"/>
      <c r="D105" s="231" t="s">
        <v>23</v>
      </c>
      <c r="E105" s="185"/>
      <c r="F105" s="185"/>
      <c r="G105" s="186">
        <f>G104/G7</f>
        <v>8.4048898688777754E-2</v>
      </c>
      <c r="H105" s="99">
        <f>G105+'22'!H105</f>
        <v>1.9203687769489026</v>
      </c>
      <c r="I105" s="187"/>
      <c r="J105" s="188">
        <f>H105/DAY(B2)</f>
        <v>8.3494294649952283E-2</v>
      </c>
      <c r="O105" s="71"/>
    </row>
    <row r="106" spans="1:15" ht="30.75" customHeight="1" x14ac:dyDescent="0.5">
      <c r="A106" s="105"/>
      <c r="B106" s="96"/>
      <c r="C106" s="96"/>
      <c r="D106" s="169"/>
      <c r="E106" s="169"/>
      <c r="F106" s="169"/>
      <c r="G106" s="169"/>
      <c r="H106" s="170"/>
      <c r="I106" s="169"/>
      <c r="J106" s="171"/>
      <c r="O106" s="71"/>
    </row>
    <row r="108" spans="1:15" ht="30.75" customHeight="1" x14ac:dyDescent="0.55000000000000004">
      <c r="A108" s="872" t="s">
        <v>324</v>
      </c>
      <c r="B108" s="872"/>
      <c r="C108" s="872"/>
      <c r="D108" s="872"/>
      <c r="E108" s="872"/>
      <c r="F108" s="872"/>
      <c r="G108" s="872"/>
      <c r="H108" s="872"/>
      <c r="I108" s="872"/>
      <c r="J108" s="872"/>
    </row>
    <row r="109" spans="1:15" ht="30.75" customHeight="1" x14ac:dyDescent="0.5">
      <c r="A109" s="857"/>
      <c r="B109" s="857"/>
    </row>
    <row r="110" spans="1:15" ht="30.75" customHeight="1" x14ac:dyDescent="0.5">
      <c r="A110" s="873" t="s">
        <v>165</v>
      </c>
      <c r="B110" s="874"/>
      <c r="C110" s="874"/>
      <c r="D110" s="874"/>
      <c r="E110" s="874"/>
      <c r="F110" s="874"/>
      <c r="G110" s="874"/>
      <c r="H110" s="874"/>
      <c r="I110" s="874"/>
      <c r="J110" s="875"/>
    </row>
    <row r="111" spans="1:15" ht="30.75" customHeight="1" x14ac:dyDescent="0.5">
      <c r="A111" s="876"/>
      <c r="B111" s="877"/>
      <c r="C111" s="878"/>
      <c r="D111" s="165"/>
      <c r="E111" s="165"/>
      <c r="F111" s="165"/>
      <c r="G111" s="165"/>
      <c r="H111" s="156"/>
      <c r="I111" s="165"/>
      <c r="J111" s="327"/>
    </row>
    <row r="112" spans="1:15" ht="30.75" customHeight="1" x14ac:dyDescent="0.5">
      <c r="A112" s="851" t="s">
        <v>252</v>
      </c>
      <c r="B112" s="852"/>
      <c r="C112" s="853"/>
      <c r="D112" s="146" t="s">
        <v>183</v>
      </c>
      <c r="E112" s="95">
        <f>'22'!F112</f>
        <v>57358.06</v>
      </c>
      <c r="F112" s="237">
        <v>57434.45</v>
      </c>
      <c r="G112" s="112">
        <f t="shared" ref="G112:G123" si="9">F112-E112</f>
        <v>76.389999999999418</v>
      </c>
      <c r="H112" s="99">
        <f>G112+'22'!H112</f>
        <v>1753.4499999999971</v>
      </c>
      <c r="I112" s="165"/>
      <c r="J112" s="328">
        <f>H112/DAY(B2)</f>
        <v>76.236956521739003</v>
      </c>
    </row>
    <row r="113" spans="1:18" ht="30.75" customHeight="1" x14ac:dyDescent="0.5">
      <c r="A113" s="851" t="s">
        <v>253</v>
      </c>
      <c r="B113" s="852"/>
      <c r="C113" s="853"/>
      <c r="D113" s="146" t="s">
        <v>183</v>
      </c>
      <c r="E113" s="95">
        <f>'22'!F113</f>
        <v>42213.68</v>
      </c>
      <c r="F113" s="237">
        <v>42682.3</v>
      </c>
      <c r="G113" s="112">
        <f t="shared" si="9"/>
        <v>468.62000000000262</v>
      </c>
      <c r="H113" s="99">
        <f>G113+'22'!H113</f>
        <v>10487.300000000003</v>
      </c>
      <c r="I113" s="165"/>
      <c r="J113" s="328">
        <f>H113/DAY(B2)</f>
        <v>455.96956521739145</v>
      </c>
    </row>
    <row r="114" spans="1:18" ht="30.75" customHeight="1" x14ac:dyDescent="0.5">
      <c r="A114" s="851" t="s">
        <v>254</v>
      </c>
      <c r="B114" s="852"/>
      <c r="C114" s="853"/>
      <c r="D114" s="146" t="s">
        <v>183</v>
      </c>
      <c r="E114" s="95">
        <f>'22'!F114</f>
        <v>30820.69</v>
      </c>
      <c r="F114" s="237">
        <v>31084.35</v>
      </c>
      <c r="G114" s="112">
        <f t="shared" si="9"/>
        <v>263.65999999999985</v>
      </c>
      <c r="H114" s="99">
        <f>G114+'22'!H114</f>
        <v>6079.7499999999982</v>
      </c>
      <c r="I114" s="165"/>
      <c r="J114" s="328">
        <f>H114/DAY(B2)</f>
        <v>264.33695652173907</v>
      </c>
    </row>
    <row r="115" spans="1:18" ht="30.75" customHeight="1" x14ac:dyDescent="0.5">
      <c r="A115" s="851" t="s">
        <v>255</v>
      </c>
      <c r="B115" s="852"/>
      <c r="C115" s="853"/>
      <c r="D115" s="146" t="s">
        <v>183</v>
      </c>
      <c r="E115" s="95">
        <f>'22'!F115</f>
        <v>9008.8799999999992</v>
      </c>
      <c r="F115" s="237">
        <v>9020.7800000000007</v>
      </c>
      <c r="G115" s="112">
        <f t="shared" si="9"/>
        <v>11.900000000001455</v>
      </c>
      <c r="H115" s="99">
        <f>G115+'22'!H115</f>
        <v>235.78000000000065</v>
      </c>
      <c r="I115" s="165"/>
      <c r="J115" s="328">
        <f>H115/DAY(B2)</f>
        <v>10.251304347826116</v>
      </c>
    </row>
    <row r="116" spans="1:18" ht="30.75" customHeight="1" x14ac:dyDescent="0.5">
      <c r="A116" s="869" t="s">
        <v>96</v>
      </c>
      <c r="B116" s="870"/>
      <c r="C116" s="871"/>
      <c r="D116" s="146" t="s">
        <v>183</v>
      </c>
      <c r="E116" s="95">
        <f>'22'!F116</f>
        <v>0</v>
      </c>
      <c r="F116" s="237">
        <v>0</v>
      </c>
      <c r="G116" s="112">
        <f t="shared" si="9"/>
        <v>0</v>
      </c>
      <c r="H116" s="99">
        <f>G116+'22'!H116</f>
        <v>0</v>
      </c>
      <c r="I116" s="165"/>
      <c r="J116" s="328">
        <f>H116/DAY(B2)</f>
        <v>0</v>
      </c>
      <c r="Q116" s="851" t="s">
        <v>311</v>
      </c>
      <c r="R116" s="853"/>
    </row>
    <row r="117" spans="1:18" ht="30.75" customHeight="1" x14ac:dyDescent="0.5">
      <c r="A117" s="869" t="s">
        <v>184</v>
      </c>
      <c r="B117" s="870"/>
      <c r="C117" s="871"/>
      <c r="D117" s="146" t="s">
        <v>183</v>
      </c>
      <c r="E117" s="95">
        <f>'22'!F117</f>
        <v>3115.38</v>
      </c>
      <c r="F117" s="237">
        <v>3138.48</v>
      </c>
      <c r="G117" s="112">
        <f t="shared" si="9"/>
        <v>23.099999999999909</v>
      </c>
      <c r="H117" s="99">
        <f>G117+'22'!H117</f>
        <v>548.48</v>
      </c>
      <c r="I117" s="165"/>
      <c r="J117" s="328">
        <f>H117/DAY(B2)</f>
        <v>23.846956521739131</v>
      </c>
      <c r="Q117" s="851" t="s">
        <v>312</v>
      </c>
      <c r="R117" s="853"/>
    </row>
    <row r="118" spans="1:18" ht="30.75" customHeight="1" x14ac:dyDescent="0.5">
      <c r="A118" s="846" t="s">
        <v>97</v>
      </c>
      <c r="B118" s="846"/>
      <c r="C118" s="846"/>
      <c r="D118" s="151" t="s">
        <v>183</v>
      </c>
      <c r="E118" s="95">
        <f>'22'!F118</f>
        <v>249390.73</v>
      </c>
      <c r="F118" s="237">
        <v>249730.91</v>
      </c>
      <c r="G118" s="112">
        <f t="shared" si="9"/>
        <v>340.17999999999302</v>
      </c>
      <c r="H118" s="99">
        <f>G118+'22'!H118</f>
        <v>8083.9100000000035</v>
      </c>
      <c r="I118" s="165"/>
      <c r="J118" s="328">
        <f>H118/DAY(B2)</f>
        <v>351.47434782608713</v>
      </c>
      <c r="Q118" s="851" t="s">
        <v>311</v>
      </c>
      <c r="R118" s="853"/>
    </row>
    <row r="119" spans="1:18" ht="30.75" customHeight="1" x14ac:dyDescent="0.5">
      <c r="A119" s="846" t="s">
        <v>98</v>
      </c>
      <c r="B119" s="846"/>
      <c r="C119" s="846"/>
      <c r="D119" s="151" t="s">
        <v>183</v>
      </c>
      <c r="E119" s="95">
        <f>'22'!F119</f>
        <v>254407.65</v>
      </c>
      <c r="F119" s="237">
        <v>254824.83</v>
      </c>
      <c r="G119" s="112">
        <f t="shared" si="9"/>
        <v>417.17999999999302</v>
      </c>
      <c r="H119" s="99">
        <f>G119+'22'!H119</f>
        <v>9698.8299999999872</v>
      </c>
      <c r="I119" s="165"/>
      <c r="J119" s="328">
        <f>H119/DAY(B2)</f>
        <v>421.68826086956466</v>
      </c>
    </row>
    <row r="120" spans="1:18" ht="30.75" customHeight="1" x14ac:dyDescent="0.5">
      <c r="A120" s="846" t="s">
        <v>99</v>
      </c>
      <c r="B120" s="846"/>
      <c r="C120" s="846"/>
      <c r="D120" s="151" t="s">
        <v>183</v>
      </c>
      <c r="E120" s="95">
        <f>'22'!F120</f>
        <v>39225.410000000003</v>
      </c>
      <c r="F120" s="237">
        <v>39631.870000000003</v>
      </c>
      <c r="G120" s="112">
        <f t="shared" si="9"/>
        <v>406.45999999999913</v>
      </c>
      <c r="H120" s="99">
        <f>G120+'22'!H120</f>
        <v>9553.8700000000026</v>
      </c>
      <c r="I120" s="165"/>
      <c r="J120" s="328">
        <f>H120/DAY(B2)</f>
        <v>415.38565217391317</v>
      </c>
    </row>
    <row r="121" spans="1:18" ht="30.75" customHeight="1" x14ac:dyDescent="0.5">
      <c r="A121" s="846" t="s">
        <v>100</v>
      </c>
      <c r="B121" s="846"/>
      <c r="C121" s="846"/>
      <c r="D121" s="151" t="s">
        <v>183</v>
      </c>
      <c r="E121" s="95">
        <f>'22'!F121</f>
        <v>391729.91</v>
      </c>
      <c r="F121" s="237">
        <v>392394.07</v>
      </c>
      <c r="G121" s="112">
        <f t="shared" si="9"/>
        <v>664.1600000000326</v>
      </c>
      <c r="H121" s="99">
        <f>G121+'22'!H121</f>
        <v>15865.070000000007</v>
      </c>
      <c r="I121" s="165"/>
      <c r="J121" s="328">
        <f>H121/DAY(B2)</f>
        <v>689.78565217391338</v>
      </c>
    </row>
    <row r="122" spans="1:18" ht="30.75" customHeight="1" x14ac:dyDescent="0.5">
      <c r="A122" s="846" t="s">
        <v>101</v>
      </c>
      <c r="B122" s="846"/>
      <c r="C122" s="846"/>
      <c r="D122" s="151" t="s">
        <v>183</v>
      </c>
      <c r="E122" s="95">
        <f>'22'!F122</f>
        <v>124455.62</v>
      </c>
      <c r="F122" s="237">
        <v>124665.59</v>
      </c>
      <c r="G122" s="112">
        <f t="shared" si="9"/>
        <v>209.97000000000116</v>
      </c>
      <c r="H122" s="99">
        <f>G122+'22'!H122</f>
        <v>4615.5899999999965</v>
      </c>
      <c r="I122" s="165"/>
      <c r="J122" s="328">
        <f>H122/DAY(B2)</f>
        <v>200.67782608695637</v>
      </c>
    </row>
    <row r="123" spans="1:18" ht="30.75" customHeight="1" x14ac:dyDescent="0.5">
      <c r="A123" s="846" t="s">
        <v>102</v>
      </c>
      <c r="B123" s="846"/>
      <c r="C123" s="846"/>
      <c r="D123" s="151" t="s">
        <v>183</v>
      </c>
      <c r="E123" s="95">
        <f>'22'!F123</f>
        <v>151591.79999999999</v>
      </c>
      <c r="F123" s="237">
        <v>151865.10999999999</v>
      </c>
      <c r="G123" s="112">
        <f t="shared" si="9"/>
        <v>273.30999999999767</v>
      </c>
      <c r="H123" s="99">
        <f>G123+'22'!H123</f>
        <v>6740.109999999986</v>
      </c>
      <c r="I123" s="165"/>
      <c r="J123" s="328">
        <f>H123/DAY(B2)</f>
        <v>293.04826086956461</v>
      </c>
    </row>
    <row r="124" spans="1:18" ht="30.75" customHeight="1" x14ac:dyDescent="0.5">
      <c r="A124" s="876"/>
      <c r="B124" s="877"/>
      <c r="C124" s="878"/>
      <c r="D124" s="165"/>
      <c r="E124" s="95">
        <f>'22'!F124</f>
        <v>0</v>
      </c>
      <c r="F124" s="165"/>
      <c r="G124" s="327"/>
      <c r="H124" s="99">
        <f>G124+'22'!H124</f>
        <v>0</v>
      </c>
      <c r="I124" s="165"/>
      <c r="J124" s="327"/>
    </row>
    <row r="125" spans="1:18" ht="30.75" customHeight="1" x14ac:dyDescent="0.5">
      <c r="A125" s="879" t="s">
        <v>196</v>
      </c>
      <c r="B125" s="880"/>
      <c r="C125" s="245"/>
      <c r="D125" s="307"/>
      <c r="E125" s="308"/>
      <c r="F125" s="308"/>
      <c r="G125" s="309">
        <f>SUM(G112:G124)</f>
        <v>3154.9300000000198</v>
      </c>
      <c r="H125" s="156"/>
      <c r="I125" s="327">
        <f>G125-(G39+G53)</f>
        <v>578.68000000001985</v>
      </c>
      <c r="J125" s="327"/>
    </row>
    <row r="126" spans="1:18" ht="30.75" customHeight="1" x14ac:dyDescent="0.5">
      <c r="A126" s="881" t="s">
        <v>317</v>
      </c>
      <c r="B126" s="881"/>
      <c r="C126" s="881"/>
      <c r="D126" s="881"/>
      <c r="E126" s="881"/>
      <c r="F126" s="881"/>
      <c r="G126" s="881"/>
      <c r="H126" s="881"/>
      <c r="I126" s="881"/>
      <c r="J126" s="881"/>
    </row>
    <row r="127" spans="1:18" ht="30.75" customHeight="1" x14ac:dyDescent="0.5">
      <c r="A127" s="882"/>
      <c r="B127" s="882"/>
      <c r="C127" s="245"/>
      <c r="D127" s="307"/>
      <c r="E127" s="308"/>
      <c r="F127" s="308"/>
      <c r="G127" s="309"/>
      <c r="H127" s="99">
        <f>G127+'22'!H127</f>
        <v>0</v>
      </c>
      <c r="I127" s="165"/>
      <c r="J127" s="328">
        <f>H127/DAY(B2)</f>
        <v>0</v>
      </c>
    </row>
    <row r="128" spans="1:18" ht="30.75" customHeight="1" x14ac:dyDescent="0.5">
      <c r="A128" s="851" t="s">
        <v>318</v>
      </c>
      <c r="B128" s="852"/>
      <c r="C128" s="853"/>
      <c r="D128" s="151" t="s">
        <v>183</v>
      </c>
      <c r="E128" s="95">
        <f>'22'!F128</f>
        <v>44929.03</v>
      </c>
      <c r="F128" s="155">
        <v>45277.1</v>
      </c>
      <c r="G128" s="112">
        <f t="shared" ref="G128:G134" si="10">F128-E128</f>
        <v>348.06999999999971</v>
      </c>
      <c r="H128" s="99">
        <f>G128+'22'!H128</f>
        <v>7273.0999999999985</v>
      </c>
      <c r="I128" s="165"/>
      <c r="J128" s="328">
        <f>H128/DAY(B2)</f>
        <v>316.22173913043474</v>
      </c>
    </row>
    <row r="129" spans="1:15" ht="30.75" customHeight="1" x14ac:dyDescent="0.5">
      <c r="A129" s="329" t="s">
        <v>319</v>
      </c>
      <c r="B129" s="330"/>
      <c r="C129" s="331"/>
      <c r="D129" s="151" t="s">
        <v>183</v>
      </c>
      <c r="E129" s="95">
        <f>'22'!F129</f>
        <v>25169.919999999998</v>
      </c>
      <c r="F129" s="155">
        <v>25350.19</v>
      </c>
      <c r="G129" s="112">
        <f t="shared" si="10"/>
        <v>180.27000000000044</v>
      </c>
      <c r="H129" s="99">
        <f>G129+'22'!H129</f>
        <v>5029.1899999999987</v>
      </c>
      <c r="I129" s="165"/>
      <c r="J129" s="328">
        <f>H129/DAY(B2)</f>
        <v>218.66043478260863</v>
      </c>
      <c r="N129" s="240"/>
      <c r="O129" s="241"/>
    </row>
    <row r="130" spans="1:15" ht="30.75" customHeight="1" x14ac:dyDescent="0.5">
      <c r="A130" s="329" t="s">
        <v>320</v>
      </c>
      <c r="B130" s="330"/>
      <c r="C130" s="331"/>
      <c r="D130" s="151" t="s">
        <v>183</v>
      </c>
      <c r="E130" s="95">
        <f>'22'!F130</f>
        <v>31373.81</v>
      </c>
      <c r="F130" s="155">
        <v>31919.45</v>
      </c>
      <c r="G130" s="112">
        <f t="shared" si="10"/>
        <v>545.63999999999942</v>
      </c>
      <c r="H130" s="99">
        <f>G130+'22'!H130</f>
        <v>13537.45</v>
      </c>
      <c r="I130" s="165"/>
      <c r="J130" s="328">
        <f>H130/DAY(B2)</f>
        <v>588.58478260869572</v>
      </c>
      <c r="N130" s="240"/>
      <c r="O130" s="241"/>
    </row>
    <row r="131" spans="1:15" ht="30.75" customHeight="1" x14ac:dyDescent="0.5">
      <c r="A131" s="851" t="s">
        <v>321</v>
      </c>
      <c r="B131" s="852"/>
      <c r="C131" s="853"/>
      <c r="D131" s="151" t="s">
        <v>183</v>
      </c>
      <c r="E131" s="95">
        <f>'22'!F131</f>
        <v>14758.15</v>
      </c>
      <c r="F131" s="155">
        <v>14834.07</v>
      </c>
      <c r="G131" s="112">
        <f t="shared" si="10"/>
        <v>75.920000000000073</v>
      </c>
      <c r="H131" s="99">
        <f>G131+'22'!H131</f>
        <v>1681.0699999999997</v>
      </c>
      <c r="I131" s="165"/>
      <c r="J131" s="328">
        <f>H131/DAY(B2)</f>
        <v>73.089999999999989</v>
      </c>
      <c r="N131" s="240"/>
      <c r="O131" s="241"/>
    </row>
    <row r="132" spans="1:15" ht="30.75" customHeight="1" x14ac:dyDescent="0.5">
      <c r="A132" s="851" t="s">
        <v>322</v>
      </c>
      <c r="B132" s="852"/>
      <c r="C132" s="853"/>
      <c r="D132" s="151" t="s">
        <v>183</v>
      </c>
      <c r="E132" s="95">
        <f>'22'!F132</f>
        <v>50351.33</v>
      </c>
      <c r="F132" s="155">
        <v>50518.21</v>
      </c>
      <c r="G132" s="112">
        <f t="shared" si="10"/>
        <v>166.87999999999738</v>
      </c>
      <c r="H132" s="99">
        <f>G132+'22'!H132</f>
        <v>9495.2099999999991</v>
      </c>
      <c r="I132" s="165"/>
      <c r="J132" s="328">
        <f>H132/DAY(B2)</f>
        <v>412.8352173913043</v>
      </c>
    </row>
    <row r="133" spans="1:15" ht="30.75" customHeight="1" x14ac:dyDescent="0.5">
      <c r="A133" s="851" t="s">
        <v>362</v>
      </c>
      <c r="B133" s="852"/>
      <c r="C133" s="853"/>
      <c r="D133" s="151" t="s">
        <v>183</v>
      </c>
      <c r="E133" s="95">
        <f>'22'!F133</f>
        <v>101216.1</v>
      </c>
      <c r="F133" s="155">
        <v>101877.43</v>
      </c>
      <c r="G133" s="112">
        <f t="shared" si="10"/>
        <v>661.32999999998719</v>
      </c>
      <c r="H133" s="99">
        <f>G133+'22'!H133</f>
        <v>14174.429999999993</v>
      </c>
      <c r="I133" s="165"/>
      <c r="J133" s="328">
        <f>H133/DAY(B2)</f>
        <v>616.279565217391</v>
      </c>
    </row>
    <row r="134" spans="1:15" ht="30.75" customHeight="1" x14ac:dyDescent="0.5">
      <c r="A134" s="851" t="s">
        <v>340</v>
      </c>
      <c r="B134" s="852"/>
      <c r="C134" s="853"/>
      <c r="D134" s="151" t="s">
        <v>183</v>
      </c>
      <c r="E134" s="95">
        <f>'22'!F134</f>
        <v>7236.79</v>
      </c>
      <c r="F134" s="374">
        <v>7394.85</v>
      </c>
      <c r="G134" s="112">
        <f t="shared" si="10"/>
        <v>158.0600000000004</v>
      </c>
      <c r="H134" s="99">
        <f>G134+'22'!H134</f>
        <v>9688.8499999999985</v>
      </c>
      <c r="I134" s="165"/>
      <c r="J134" s="328">
        <f>H134/DAY(B2)</f>
        <v>421.25434782608687</v>
      </c>
    </row>
    <row r="135" spans="1:15" ht="30.75" customHeight="1" x14ac:dyDescent="0.5">
      <c r="A135" s="879" t="s">
        <v>196</v>
      </c>
      <c r="B135" s="880"/>
      <c r="C135" s="331"/>
      <c r="D135" s="151"/>
      <c r="E135" s="95"/>
      <c r="F135" s="594"/>
      <c r="G135" s="112">
        <f>SUM(G128:G134)</f>
        <v>2136.1699999999846</v>
      </c>
      <c r="H135" s="99">
        <f>G135+'10'!H135</f>
        <v>33360.169999999984</v>
      </c>
      <c r="I135" s="327">
        <f>G135-(G35+G49)</f>
        <v>-312.51000000001568</v>
      </c>
      <c r="J135" s="328"/>
    </row>
    <row r="136" spans="1:15" ht="30.75" customHeight="1" x14ac:dyDescent="0.55000000000000004">
      <c r="A136" s="883" t="s">
        <v>325</v>
      </c>
      <c r="B136" s="883"/>
      <c r="C136" s="883"/>
      <c r="D136" s="883"/>
      <c r="E136" s="883"/>
      <c r="F136" s="883"/>
      <c r="G136" s="883"/>
      <c r="H136" s="883"/>
      <c r="I136" s="883"/>
      <c r="J136" s="883"/>
    </row>
    <row r="137" spans="1:15" ht="30.75" customHeight="1" x14ac:dyDescent="0.5">
      <c r="A137" s="245"/>
      <c r="B137" s="246"/>
      <c r="C137" s="246"/>
      <c r="D137" s="165"/>
      <c r="E137" s="165"/>
      <c r="F137" s="165"/>
      <c r="G137" s="165"/>
      <c r="H137" s="156"/>
      <c r="I137" s="165"/>
      <c r="J137" s="327"/>
    </row>
    <row r="138" spans="1:15" ht="30.75" customHeight="1" x14ac:dyDescent="0.5">
      <c r="A138" s="846" t="s">
        <v>185</v>
      </c>
      <c r="B138" s="846"/>
      <c r="C138" s="846"/>
      <c r="D138" s="151" t="s">
        <v>183</v>
      </c>
      <c r="E138" s="95">
        <f>'22'!F138</f>
        <v>865580</v>
      </c>
      <c r="F138" s="147">
        <v>865689</v>
      </c>
      <c r="G138" s="112">
        <f t="shared" ref="G138:G152" si="11">F138-E138</f>
        <v>109</v>
      </c>
      <c r="H138" s="99">
        <f>G138+'22'!H138</f>
        <v>1518</v>
      </c>
      <c r="I138" s="118"/>
      <c r="J138" s="328">
        <f>H138/DAY(B2)</f>
        <v>66</v>
      </c>
    </row>
    <row r="139" spans="1:15" ht="30.75" customHeight="1" x14ac:dyDescent="0.5">
      <c r="A139" s="846" t="s">
        <v>186</v>
      </c>
      <c r="B139" s="846"/>
      <c r="C139" s="846"/>
      <c r="D139" s="151" t="s">
        <v>183</v>
      </c>
      <c r="E139" s="95">
        <f>'22'!F139</f>
        <v>886563</v>
      </c>
      <c r="F139" s="148">
        <v>886568</v>
      </c>
      <c r="G139" s="112">
        <f t="shared" si="11"/>
        <v>5</v>
      </c>
      <c r="H139" s="99">
        <f>G139+'22'!H139</f>
        <v>22</v>
      </c>
      <c r="I139" s="118"/>
      <c r="J139" s="328">
        <f>H139/DAY(B2)</f>
        <v>0.95652173913043481</v>
      </c>
    </row>
    <row r="140" spans="1:15" ht="30.75" customHeight="1" x14ac:dyDescent="0.5">
      <c r="A140" s="846" t="s">
        <v>187</v>
      </c>
      <c r="B140" s="846"/>
      <c r="C140" s="846"/>
      <c r="D140" s="151" t="s">
        <v>183</v>
      </c>
      <c r="E140" s="95">
        <f>'22'!F140</f>
        <v>88920.03</v>
      </c>
      <c r="F140" s="149">
        <v>88922.03</v>
      </c>
      <c r="G140" s="112">
        <f t="shared" si="11"/>
        <v>2</v>
      </c>
      <c r="H140" s="99">
        <f>G140+'22'!H140</f>
        <v>40.029999999998836</v>
      </c>
      <c r="I140" s="118"/>
      <c r="J140" s="328">
        <f>H140/DAY(B2)</f>
        <v>1.740434782608645</v>
      </c>
    </row>
    <row r="141" spans="1:15" ht="30.75" customHeight="1" x14ac:dyDescent="0.5">
      <c r="A141" s="850" t="s">
        <v>188</v>
      </c>
      <c r="B141" s="850"/>
      <c r="C141" s="850"/>
      <c r="D141" s="151" t="s">
        <v>183</v>
      </c>
      <c r="E141" s="95">
        <f>'22'!F141</f>
        <v>53117.62</v>
      </c>
      <c r="F141" s="149">
        <v>53301.33</v>
      </c>
      <c r="G141" s="112">
        <f t="shared" si="11"/>
        <v>183.70999999999913</v>
      </c>
      <c r="H141" s="99">
        <f>G141+'22'!H141</f>
        <v>3995.3300000000017</v>
      </c>
      <c r="I141" s="118"/>
      <c r="J141" s="328">
        <f>H141/DAY(B2)</f>
        <v>173.71000000000006</v>
      </c>
    </row>
    <row r="142" spans="1:15" ht="30.75" customHeight="1" x14ac:dyDescent="0.5">
      <c r="A142" s="850" t="s">
        <v>189</v>
      </c>
      <c r="B142" s="850"/>
      <c r="C142" s="850"/>
      <c r="D142" s="151" t="s">
        <v>183</v>
      </c>
      <c r="E142" s="95">
        <f>'22'!F142</f>
        <v>20581.73</v>
      </c>
      <c r="F142" s="148">
        <v>20660.27</v>
      </c>
      <c r="G142" s="112">
        <f t="shared" si="11"/>
        <v>78.540000000000873</v>
      </c>
      <c r="H142" s="99">
        <f>G142+'22'!H142</f>
        <v>1651.2700000000004</v>
      </c>
      <c r="I142" s="140"/>
      <c r="J142" s="328">
        <f>H142/DAY(B2)</f>
        <v>71.794347826086977</v>
      </c>
    </row>
    <row r="143" spans="1:15" ht="30.75" customHeight="1" x14ac:dyDescent="0.5">
      <c r="A143" s="846" t="s">
        <v>91</v>
      </c>
      <c r="B143" s="846"/>
      <c r="C143" s="846"/>
      <c r="D143" s="151" t="s">
        <v>183</v>
      </c>
      <c r="E143" s="95">
        <f>'22'!F143</f>
        <v>3593.5</v>
      </c>
      <c r="F143" s="149">
        <v>3620.62</v>
      </c>
      <c r="G143" s="112">
        <f t="shared" si="11"/>
        <v>27.119999999999891</v>
      </c>
      <c r="H143" s="99">
        <f>G143+'22'!H143</f>
        <v>559.61999999999989</v>
      </c>
      <c r="I143" s="140"/>
      <c r="J143" s="328">
        <f>H143/DAY(B2)</f>
        <v>24.331304347826084</v>
      </c>
    </row>
    <row r="144" spans="1:15" ht="30.75" customHeight="1" x14ac:dyDescent="0.5">
      <c r="A144" s="850" t="s">
        <v>90</v>
      </c>
      <c r="B144" s="850"/>
      <c r="C144" s="850"/>
      <c r="D144" s="151" t="s">
        <v>183</v>
      </c>
      <c r="E144" s="95">
        <f>'22'!F144</f>
        <v>874645</v>
      </c>
      <c r="F144" s="149">
        <v>874866</v>
      </c>
      <c r="G144" s="112">
        <f t="shared" si="11"/>
        <v>221</v>
      </c>
      <c r="H144" s="99">
        <f>G144+'22'!H144</f>
        <v>5196</v>
      </c>
      <c r="I144" s="140"/>
      <c r="J144" s="328">
        <f>H144/DAY(B2)</f>
        <v>225.91304347826087</v>
      </c>
    </row>
    <row r="145" spans="1:10" ht="30.75" customHeight="1" x14ac:dyDescent="0.5">
      <c r="A145" s="846" t="s">
        <v>190</v>
      </c>
      <c r="B145" s="846"/>
      <c r="C145" s="846"/>
      <c r="D145" s="152" t="s">
        <v>183</v>
      </c>
      <c r="E145" s="95">
        <f>'22'!F145</f>
        <v>4888.2</v>
      </c>
      <c r="F145" s="149">
        <v>4902.26</v>
      </c>
      <c r="G145" s="112">
        <f t="shared" si="11"/>
        <v>14.0600000000004</v>
      </c>
      <c r="H145" s="99">
        <f>G145+'22'!H145</f>
        <v>344.26000000000022</v>
      </c>
      <c r="I145" s="140"/>
      <c r="J145" s="328">
        <f>H145/DAY(B2)</f>
        <v>14.967826086956531</v>
      </c>
    </row>
    <row r="146" spans="1:10" ht="30.75" customHeight="1" x14ac:dyDescent="0.5">
      <c r="A146" s="847" t="s">
        <v>191</v>
      </c>
      <c r="B146" s="848"/>
      <c r="C146" s="849"/>
      <c r="D146" s="152" t="s">
        <v>183</v>
      </c>
      <c r="E146" s="95">
        <f>'22'!F146</f>
        <v>733690</v>
      </c>
      <c r="F146" s="148">
        <v>734107</v>
      </c>
      <c r="G146" s="112">
        <f t="shared" si="11"/>
        <v>417</v>
      </c>
      <c r="H146" s="99">
        <f>G146+'22'!H146</f>
        <v>9249</v>
      </c>
      <c r="I146" s="140"/>
      <c r="J146" s="328">
        <f>H146/DAY(B2)</f>
        <v>402.13043478260869</v>
      </c>
    </row>
    <row r="147" spans="1:10" ht="30.75" customHeight="1" x14ac:dyDescent="0.5">
      <c r="A147" s="850" t="s">
        <v>192</v>
      </c>
      <c r="B147" s="850"/>
      <c r="C147" s="850"/>
      <c r="D147" s="152" t="s">
        <v>183</v>
      </c>
      <c r="E147" s="95">
        <f>'22'!F147</f>
        <v>623380.12</v>
      </c>
      <c r="F147" s="148">
        <v>623801.96</v>
      </c>
      <c r="G147" s="112">
        <f t="shared" si="11"/>
        <v>421.8399999999674</v>
      </c>
      <c r="H147" s="99">
        <f>G147+'22'!H147</f>
        <v>8519.9599999999627</v>
      </c>
      <c r="I147" s="140"/>
      <c r="J147" s="328">
        <f>H147/DAY(B2)</f>
        <v>370.43304347825926</v>
      </c>
    </row>
    <row r="148" spans="1:10" ht="30.75" customHeight="1" x14ac:dyDescent="0.5">
      <c r="A148" s="842" t="s">
        <v>193</v>
      </c>
      <c r="B148" s="843"/>
      <c r="C148" s="844"/>
      <c r="D148" s="123" t="s">
        <v>130</v>
      </c>
      <c r="E148" s="95">
        <f>'22'!F148</f>
        <v>687699.44</v>
      </c>
      <c r="F148" s="150">
        <v>687966.96</v>
      </c>
      <c r="G148" s="112">
        <f t="shared" si="11"/>
        <v>267.52000000001863</v>
      </c>
      <c r="H148" s="99">
        <f>G148+'22'!H148</f>
        <v>4933.8399999999674</v>
      </c>
      <c r="I148" s="124"/>
      <c r="J148" s="328">
        <f>H148/DAY(B2)</f>
        <v>214.51478260869425</v>
      </c>
    </row>
    <row r="149" spans="1:10" ht="30.75" customHeight="1" x14ac:dyDescent="0.5">
      <c r="A149" s="842" t="s">
        <v>336</v>
      </c>
      <c r="B149" s="843"/>
      <c r="C149" s="844"/>
      <c r="D149" s="227" t="s">
        <v>130</v>
      </c>
      <c r="E149" s="95">
        <f>'22'!F149</f>
        <v>20065.8</v>
      </c>
      <c r="F149" s="227">
        <v>20624.12</v>
      </c>
      <c r="G149" s="112">
        <f t="shared" si="11"/>
        <v>558.31999999999971</v>
      </c>
      <c r="H149" s="99">
        <f>G149+'22'!H149</f>
        <v>9875.119999999999</v>
      </c>
      <c r="I149" s="119"/>
      <c r="J149" s="328">
        <f>H149/DAY(B2)</f>
        <v>429.35304347826082</v>
      </c>
    </row>
    <row r="150" spans="1:10" ht="30.75" customHeight="1" x14ac:dyDescent="0.5">
      <c r="A150" s="842" t="s">
        <v>337</v>
      </c>
      <c r="B150" s="843"/>
      <c r="C150" s="844"/>
      <c r="D150" s="117" t="s">
        <v>130</v>
      </c>
      <c r="E150" s="95">
        <f>'22'!F150</f>
        <v>8866.56</v>
      </c>
      <c r="F150" s="233">
        <v>9087.73</v>
      </c>
      <c r="G150" s="112">
        <f t="shared" si="11"/>
        <v>221.17000000000007</v>
      </c>
      <c r="H150" s="99">
        <f>G150+'22'!H150</f>
        <v>5035.7299999999996</v>
      </c>
      <c r="I150" s="119"/>
      <c r="J150" s="328">
        <f>H150/DAY(B2)</f>
        <v>218.94478260869565</v>
      </c>
    </row>
    <row r="151" spans="1:10" ht="30.75" customHeight="1" x14ac:dyDescent="0.5">
      <c r="A151" s="842" t="s">
        <v>338</v>
      </c>
      <c r="B151" s="843"/>
      <c r="C151" s="844"/>
      <c r="D151" s="117" t="s">
        <v>130</v>
      </c>
      <c r="E151" s="95">
        <f>'22'!F151</f>
        <v>83257</v>
      </c>
      <c r="F151" s="233">
        <v>83495</v>
      </c>
      <c r="G151" s="112">
        <f t="shared" si="11"/>
        <v>238</v>
      </c>
      <c r="H151" s="99">
        <f>G151+'22'!H151</f>
        <v>5278</v>
      </c>
      <c r="I151" s="119"/>
      <c r="J151" s="328">
        <f>H151/DAY(B2)</f>
        <v>229.47826086956522</v>
      </c>
    </row>
    <row r="152" spans="1:10" ht="30.75" customHeight="1" x14ac:dyDescent="0.5">
      <c r="A152" s="842" t="s">
        <v>339</v>
      </c>
      <c r="B152" s="843"/>
      <c r="C152" s="844"/>
      <c r="D152" s="117" t="s">
        <v>130</v>
      </c>
      <c r="E152" s="95">
        <f>'22'!F152</f>
        <v>1497.94</v>
      </c>
      <c r="F152" s="233">
        <v>1515.98</v>
      </c>
      <c r="G152" s="112">
        <f t="shared" si="11"/>
        <v>18.039999999999964</v>
      </c>
      <c r="H152" s="99">
        <f>G152+'22'!H152</f>
        <v>388.98</v>
      </c>
      <c r="I152" s="119"/>
      <c r="J152" s="328">
        <f>H152/DAY(B2)</f>
        <v>16.912173913043478</v>
      </c>
    </row>
    <row r="153" spans="1:10" ht="30.75" customHeight="1" x14ac:dyDescent="0.5">
      <c r="A153" s="879" t="s">
        <v>196</v>
      </c>
      <c r="B153" s="880"/>
      <c r="C153" s="365"/>
      <c r="D153" s="358"/>
      <c r="E153" s="360"/>
      <c r="F153" s="361"/>
      <c r="G153" s="362">
        <f>SUM(G138:G152)</f>
        <v>2782.3199999999861</v>
      </c>
      <c r="H153" s="363"/>
      <c r="I153" s="119">
        <f>G153-(G38+G52)</f>
        <v>850.24999999998636</v>
      </c>
      <c r="J153" s="366"/>
    </row>
    <row r="154" spans="1:10" ht="30.75" customHeight="1" x14ac:dyDescent="0.55000000000000004">
      <c r="A154" s="883" t="s">
        <v>344</v>
      </c>
      <c r="B154" s="883"/>
      <c r="C154" s="883"/>
      <c r="D154" s="883"/>
      <c r="E154" s="883"/>
      <c r="F154" s="883"/>
      <c r="G154" s="883"/>
      <c r="H154" s="883"/>
      <c r="I154" s="883"/>
      <c r="J154" s="883"/>
    </row>
    <row r="155" spans="1:10" ht="30.75" customHeight="1" x14ac:dyDescent="0.55000000000000004">
      <c r="A155" s="850" t="s">
        <v>345</v>
      </c>
      <c r="B155" s="850"/>
      <c r="C155" s="850"/>
      <c r="D155" s="117" t="s">
        <v>130</v>
      </c>
      <c r="E155" s="95">
        <f>'22'!F155</f>
        <v>26419.72</v>
      </c>
      <c r="F155" s="374">
        <v>27083</v>
      </c>
      <c r="G155" s="112">
        <f t="shared" ref="G155:G158" si="12">F155-E155</f>
        <v>663.27999999999884</v>
      </c>
      <c r="H155" s="99">
        <f>G155+'22'!H155</f>
        <v>13611</v>
      </c>
      <c r="I155" s="364"/>
      <c r="J155" s="161">
        <v>329</v>
      </c>
    </row>
    <row r="156" spans="1:10" ht="30.75" customHeight="1" x14ac:dyDescent="0.5">
      <c r="A156" s="850" t="s">
        <v>347</v>
      </c>
      <c r="B156" s="850"/>
      <c r="C156" s="850"/>
      <c r="D156" s="117" t="s">
        <v>130</v>
      </c>
      <c r="E156" s="95">
        <f>'22'!F156</f>
        <v>2228.39</v>
      </c>
      <c r="F156" s="374">
        <v>2279.13</v>
      </c>
      <c r="G156" s="112">
        <f t="shared" si="12"/>
        <v>50.740000000000236</v>
      </c>
      <c r="H156" s="99">
        <f>G156+'22'!H156</f>
        <v>1191.1300000000001</v>
      </c>
      <c r="I156" s="165"/>
      <c r="J156" s="328">
        <f>H156/DAY(B2)</f>
        <v>51.788260869565221</v>
      </c>
    </row>
    <row r="157" spans="1:10" ht="30.75" customHeight="1" x14ac:dyDescent="0.5">
      <c r="A157" s="842" t="s">
        <v>364</v>
      </c>
      <c r="B157" s="843"/>
      <c r="C157" s="844"/>
      <c r="D157" s="117" t="s">
        <v>130</v>
      </c>
      <c r="E157" s="95">
        <f>'22'!F157</f>
        <v>3059.35</v>
      </c>
      <c r="F157" s="95">
        <v>3168.06</v>
      </c>
      <c r="G157" s="112">
        <f t="shared" si="12"/>
        <v>108.71000000000004</v>
      </c>
      <c r="H157" s="99">
        <f>G157+'22'!H157</f>
        <v>447.90000000000009</v>
      </c>
      <c r="I157" s="165"/>
      <c r="J157" s="328">
        <f>H157/DAY(B2)</f>
        <v>19.473913043478266</v>
      </c>
    </row>
    <row r="158" spans="1:10" ht="30.75" customHeight="1" x14ac:dyDescent="0.5">
      <c r="A158" s="842" t="s">
        <v>365</v>
      </c>
      <c r="B158" s="843"/>
      <c r="C158" s="844"/>
      <c r="D158" s="117" t="s">
        <v>130</v>
      </c>
      <c r="E158" s="95">
        <f>'22'!F158</f>
        <v>26.97</v>
      </c>
      <c r="F158" s="95">
        <v>27.11</v>
      </c>
      <c r="G158" s="112">
        <f t="shared" si="12"/>
        <v>0.14000000000000057</v>
      </c>
      <c r="H158" s="99">
        <f>G158+'22'!H158</f>
        <v>2.7699999999999996</v>
      </c>
      <c r="I158" s="165"/>
      <c r="J158" s="328">
        <f>H158/DAY(B2)</f>
        <v>0.12043478260869564</v>
      </c>
    </row>
    <row r="159" spans="1:10" ht="30.75" customHeight="1" x14ac:dyDescent="0.5">
      <c r="A159" s="899"/>
      <c r="B159" s="900"/>
      <c r="C159" s="901"/>
      <c r="D159" s="117"/>
      <c r="E159" s="95"/>
      <c r="F159" s="165"/>
      <c r="G159" s="112"/>
      <c r="H159" s="99"/>
      <c r="I159" s="165"/>
      <c r="J159" s="328"/>
    </row>
    <row r="160" spans="1:10" ht="30.75" customHeight="1" x14ac:dyDescent="0.55000000000000004">
      <c r="A160" s="883" t="s">
        <v>326</v>
      </c>
      <c r="B160" s="883"/>
      <c r="C160" s="883"/>
      <c r="D160" s="883"/>
      <c r="E160" s="883"/>
      <c r="F160" s="883"/>
      <c r="G160" s="883"/>
      <c r="H160" s="883"/>
      <c r="I160" s="883"/>
      <c r="J160" s="883"/>
    </row>
    <row r="161" spans="1:10" ht="30.75" customHeight="1" x14ac:dyDescent="0.5">
      <c r="A161" s="242" t="s">
        <v>92</v>
      </c>
      <c r="B161" s="243"/>
      <c r="C161" s="243"/>
      <c r="D161" s="244" t="s">
        <v>180</v>
      </c>
      <c r="E161" s="95">
        <f>'22'!F161</f>
        <v>471787</v>
      </c>
      <c r="F161" s="235">
        <v>471803</v>
      </c>
      <c r="G161" s="238">
        <f t="shared" ref="G161:G165" si="13">F161-E161</f>
        <v>16</v>
      </c>
      <c r="H161" s="99">
        <f>G161+'22'!H161</f>
        <v>649.84000000002561</v>
      </c>
      <c r="I161" s="236"/>
      <c r="J161" s="239">
        <f>H161/DAY(B2)</f>
        <v>28.253913043479375</v>
      </c>
    </row>
    <row r="162" spans="1:10" ht="30.75" customHeight="1" x14ac:dyDescent="0.5">
      <c r="A162" s="242" t="s">
        <v>93</v>
      </c>
      <c r="B162" s="243"/>
      <c r="C162" s="243"/>
      <c r="D162" s="244" t="s">
        <v>180</v>
      </c>
      <c r="E162" s="95">
        <f>'22'!F162</f>
        <v>88242.6</v>
      </c>
      <c r="F162" s="235">
        <v>88256.9</v>
      </c>
      <c r="G162" s="238">
        <f t="shared" si="13"/>
        <v>14.299999999988358</v>
      </c>
      <c r="H162" s="99">
        <f>G162+'22'!H162</f>
        <v>686.89999999999418</v>
      </c>
      <c r="I162" s="236"/>
      <c r="J162" s="239">
        <f>H162/DAY(B2)</f>
        <v>29.865217391304096</v>
      </c>
    </row>
    <row r="163" spans="1:10" ht="30.75" customHeight="1" x14ac:dyDescent="0.5">
      <c r="A163" s="242" t="s">
        <v>197</v>
      </c>
      <c r="B163" s="243"/>
      <c r="C163" s="243"/>
      <c r="D163" s="244" t="s">
        <v>180</v>
      </c>
      <c r="E163" s="95">
        <f>'22'!F163</f>
        <v>78837.3</v>
      </c>
      <c r="F163" s="235">
        <v>78871</v>
      </c>
      <c r="G163" s="238">
        <f t="shared" si="13"/>
        <v>33.69999999999709</v>
      </c>
      <c r="H163" s="99">
        <f>G163+'22'!H163</f>
        <v>1046</v>
      </c>
      <c r="I163" s="236"/>
      <c r="J163" s="239">
        <f>H163/DAY(B2)</f>
        <v>45.478260869565219</v>
      </c>
    </row>
    <row r="164" spans="1:10" ht="30.75" customHeight="1" x14ac:dyDescent="0.5">
      <c r="A164" s="242" t="s">
        <v>197</v>
      </c>
      <c r="B164" s="243"/>
      <c r="C164" s="243"/>
      <c r="D164" s="244" t="s">
        <v>180</v>
      </c>
      <c r="E164" s="95">
        <f>'22'!F164</f>
        <v>4292</v>
      </c>
      <c r="F164" s="235">
        <v>4293.3999999999996</v>
      </c>
      <c r="G164" s="238">
        <f t="shared" si="13"/>
        <v>1.3999999999996362</v>
      </c>
      <c r="H164" s="99">
        <f>G164+'22'!H164</f>
        <v>51.399999999999636</v>
      </c>
      <c r="I164" s="236"/>
      <c r="J164" s="239">
        <f>H164/DAY(B2)</f>
        <v>2.2347826086956362</v>
      </c>
    </row>
    <row r="165" spans="1:10" ht="30.75" customHeight="1" x14ac:dyDescent="0.5">
      <c r="A165" s="242" t="s">
        <v>309</v>
      </c>
      <c r="B165" s="243"/>
      <c r="C165" s="243"/>
      <c r="D165" s="244" t="s">
        <v>180</v>
      </c>
      <c r="E165" s="95">
        <f>'22'!F165</f>
        <v>29790.69</v>
      </c>
      <c r="F165" s="235">
        <v>29792.66</v>
      </c>
      <c r="G165" s="238">
        <f t="shared" si="13"/>
        <v>1.9700000000011642</v>
      </c>
      <c r="H165" s="99">
        <f>G165+'22'!H165</f>
        <v>146.65999999999985</v>
      </c>
      <c r="I165" s="236"/>
      <c r="J165" s="239">
        <f>H165/DAY(B2)</f>
        <v>6.3765217391304283</v>
      </c>
    </row>
    <row r="166" spans="1:10" ht="30.75" customHeight="1" x14ac:dyDescent="0.5">
      <c r="A166" s="882"/>
      <c r="B166" s="882"/>
      <c r="C166" s="246"/>
      <c r="D166" s="244" t="s">
        <v>180</v>
      </c>
      <c r="E166" s="95">
        <f>'22'!F166</f>
        <v>0</v>
      </c>
      <c r="F166" s="165"/>
      <c r="G166" s="165"/>
      <c r="H166" s="99">
        <f>G166+'22'!H166</f>
        <v>0</v>
      </c>
      <c r="I166" s="165"/>
      <c r="J166" s="239">
        <f>H166/DAY(B2)</f>
        <v>0</v>
      </c>
    </row>
    <row r="167" spans="1:10" ht="30.75" customHeight="1" x14ac:dyDescent="0.5">
      <c r="A167" s="882"/>
      <c r="B167" s="882"/>
      <c r="C167" s="246"/>
      <c r="D167" s="244" t="s">
        <v>180</v>
      </c>
      <c r="E167" s="95">
        <f>'22'!F167</f>
        <v>0</v>
      </c>
      <c r="F167" s="165"/>
      <c r="G167" s="165"/>
      <c r="H167" s="99">
        <f>G167+'22'!H167</f>
        <v>0</v>
      </c>
      <c r="I167" s="165"/>
      <c r="J167" s="239">
        <f>H167/DAY(B2)</f>
        <v>0</v>
      </c>
    </row>
    <row r="168" spans="1:10" ht="30.75" customHeight="1" x14ac:dyDescent="0.5">
      <c r="A168" s="882"/>
      <c r="B168" s="882"/>
      <c r="C168" s="246"/>
      <c r="D168" s="244" t="s">
        <v>180</v>
      </c>
      <c r="E168" s="95">
        <f>'22'!F168</f>
        <v>0</v>
      </c>
      <c r="F168" s="165"/>
      <c r="G168" s="165"/>
      <c r="H168" s="99">
        <f>G168+'22'!H168</f>
        <v>0</v>
      </c>
      <c r="I168" s="165"/>
      <c r="J168" s="239">
        <f>H168/DAY(B2)</f>
        <v>0</v>
      </c>
    </row>
    <row r="171" spans="1:10" ht="30.75" customHeight="1" x14ac:dyDescent="0.35">
      <c r="A171" s="890" t="s">
        <v>330</v>
      </c>
      <c r="B171" s="891"/>
      <c r="C171" s="891"/>
      <c r="D171" s="891"/>
      <c r="E171" s="891"/>
      <c r="F171" s="891"/>
      <c r="G171" s="891"/>
      <c r="H171" s="891"/>
      <c r="I171" s="891"/>
      <c r="J171" s="892"/>
    </row>
    <row r="172" spans="1:10" ht="30.75" customHeight="1" x14ac:dyDescent="0.5">
      <c r="A172" s="886"/>
      <c r="B172" s="887"/>
      <c r="C172" s="332"/>
      <c r="D172" s="228"/>
      <c r="E172" s="155"/>
      <c r="F172" s="155"/>
      <c r="G172" s="155"/>
      <c r="H172" s="156"/>
      <c r="I172" s="155"/>
      <c r="J172" s="178"/>
    </row>
    <row r="173" spans="1:10" ht="30.75" customHeight="1" x14ac:dyDescent="0.5">
      <c r="A173" s="840" t="s">
        <v>209</v>
      </c>
      <c r="B173" s="841"/>
      <c r="C173" s="333"/>
      <c r="D173" s="228" t="s">
        <v>142</v>
      </c>
      <c r="E173" s="95">
        <f>'22'!F173</f>
        <v>8126</v>
      </c>
      <c r="F173" s="155">
        <v>8126</v>
      </c>
      <c r="G173" s="155">
        <f>F173-E173</f>
        <v>0</v>
      </c>
      <c r="H173" s="99">
        <f>G173+'22'!H173</f>
        <v>0</v>
      </c>
      <c r="I173" s="155"/>
      <c r="J173" s="178">
        <f>H173/DAY(B2)</f>
        <v>0</v>
      </c>
    </row>
    <row r="174" spans="1:10" ht="30.75" customHeight="1" x14ac:dyDescent="0.5">
      <c r="A174" s="840" t="s">
        <v>75</v>
      </c>
      <c r="B174" s="841"/>
      <c r="C174" s="333"/>
      <c r="D174" s="228" t="s">
        <v>142</v>
      </c>
      <c r="E174" s="95">
        <f>'22'!F174</f>
        <v>38501</v>
      </c>
      <c r="F174" s="157">
        <v>38514</v>
      </c>
      <c r="G174" s="155">
        <f t="shared" ref="G174:G175" si="14">F174-E174</f>
        <v>13</v>
      </c>
      <c r="H174" s="99">
        <f>G174+'22'!H174</f>
        <v>221</v>
      </c>
      <c r="I174" s="155"/>
      <c r="J174" s="178">
        <f>H174/DAY(B2)</f>
        <v>9.6086956521739122</v>
      </c>
    </row>
    <row r="175" spans="1:10" ht="30.75" customHeight="1" x14ac:dyDescent="0.5">
      <c r="A175" s="840" t="s">
        <v>76</v>
      </c>
      <c r="B175" s="845"/>
      <c r="C175" s="841"/>
      <c r="D175" s="228" t="s">
        <v>142</v>
      </c>
      <c r="E175" s="95">
        <f>'22'!F175</f>
        <v>21724</v>
      </c>
      <c r="F175" s="155">
        <v>21735</v>
      </c>
      <c r="G175" s="155">
        <f t="shared" si="14"/>
        <v>11</v>
      </c>
      <c r="H175" s="99">
        <f>G175+'22'!H175</f>
        <v>217</v>
      </c>
      <c r="I175" s="155"/>
      <c r="J175" s="178">
        <f>H175/DAY(B2)</f>
        <v>9.4347826086956523</v>
      </c>
    </row>
    <row r="176" spans="1:10" ht="30.75" customHeight="1" x14ac:dyDescent="0.5">
      <c r="A176" s="879" t="s">
        <v>196</v>
      </c>
      <c r="B176" s="880"/>
      <c r="C176" s="485"/>
      <c r="D176" s="228"/>
      <c r="E176" s="95"/>
      <c r="F176" s="155"/>
      <c r="G176" s="155">
        <f>SUM(G173:G175)</f>
        <v>24</v>
      </c>
      <c r="H176" s="99">
        <f>G176+'22'!H176</f>
        <v>438</v>
      </c>
      <c r="I176" s="155"/>
      <c r="J176" s="178">
        <f>H176/DAY(B2)</f>
        <v>19.043478260869566</v>
      </c>
    </row>
    <row r="177" spans="1:10" ht="30.75" customHeight="1" x14ac:dyDescent="0.5">
      <c r="A177" s="840" t="s">
        <v>77</v>
      </c>
      <c r="B177" s="841"/>
      <c r="C177" s="333"/>
      <c r="D177" s="228" t="s">
        <v>142</v>
      </c>
      <c r="E177" s="95"/>
      <c r="F177" s="155"/>
      <c r="G177" s="155"/>
      <c r="H177" s="99">
        <f>G177+'22'!H177</f>
        <v>0</v>
      </c>
      <c r="I177" s="155"/>
      <c r="J177" s="178">
        <f>H177/DAY(B2)</f>
        <v>0</v>
      </c>
    </row>
    <row r="178" spans="1:10" ht="30.75" customHeight="1" x14ac:dyDescent="0.5">
      <c r="A178" s="840" t="s">
        <v>210</v>
      </c>
      <c r="B178" s="841"/>
      <c r="C178" s="333"/>
      <c r="D178" s="228" t="s">
        <v>142</v>
      </c>
      <c r="E178" s="95">
        <f>'22'!F178</f>
        <v>80790</v>
      </c>
      <c r="F178" s="155">
        <v>80894</v>
      </c>
      <c r="G178" s="155">
        <f>F178-E178</f>
        <v>104</v>
      </c>
      <c r="H178" s="99">
        <f>G178+'22'!H178</f>
        <v>1280</v>
      </c>
      <c r="I178" s="155"/>
      <c r="J178" s="178">
        <f>H178/DAY(B2)</f>
        <v>55.652173913043477</v>
      </c>
    </row>
    <row r="179" spans="1:10" ht="30.75" customHeight="1" x14ac:dyDescent="0.5">
      <c r="A179" s="840" t="s">
        <v>211</v>
      </c>
      <c r="B179" s="841"/>
      <c r="C179" s="333"/>
      <c r="D179" s="228" t="s">
        <v>142</v>
      </c>
      <c r="E179" s="95">
        <f>'22'!F179</f>
        <v>34370</v>
      </c>
      <c r="F179" s="155">
        <v>34422</v>
      </c>
      <c r="G179" s="155">
        <f t="shared" ref="G179:G180" si="15">F179-E179</f>
        <v>52</v>
      </c>
      <c r="H179" s="99">
        <f>G179+'22'!H179</f>
        <v>507</v>
      </c>
      <c r="I179" s="155"/>
      <c r="J179" s="178">
        <f>H179/DAY(B2)</f>
        <v>22.043478260869566</v>
      </c>
    </row>
    <row r="180" spans="1:10" ht="30.75" customHeight="1" x14ac:dyDescent="0.5">
      <c r="A180" s="840" t="s">
        <v>212</v>
      </c>
      <c r="B180" s="841"/>
      <c r="C180" s="333"/>
      <c r="D180" s="228" t="s">
        <v>142</v>
      </c>
      <c r="E180" s="95">
        <f>'22'!F180</f>
        <v>5642</v>
      </c>
      <c r="F180" s="155">
        <v>5644</v>
      </c>
      <c r="G180" s="155">
        <f t="shared" si="15"/>
        <v>2</v>
      </c>
      <c r="H180" s="99">
        <f>G180+'22'!H180</f>
        <v>167</v>
      </c>
      <c r="I180" s="155"/>
      <c r="J180" s="178">
        <f>H180/DAY(B2)</f>
        <v>7.2608695652173916</v>
      </c>
    </row>
    <row r="181" spans="1:10" ht="30.75" customHeight="1" x14ac:dyDescent="0.5">
      <c r="A181" s="884" t="s">
        <v>108</v>
      </c>
      <c r="B181" s="885"/>
      <c r="C181" s="485"/>
      <c r="D181" s="228"/>
      <c r="E181" s="95"/>
      <c r="F181" s="155"/>
      <c r="G181" s="155">
        <f>SUM(G178:G180)</f>
        <v>158</v>
      </c>
      <c r="H181" s="99">
        <f>G181+'22'!H181</f>
        <v>1954</v>
      </c>
      <c r="I181" s="155"/>
      <c r="J181" s="178">
        <f>H181/DAY(B2)</f>
        <v>84.956521739130437</v>
      </c>
    </row>
    <row r="182" spans="1:10" ht="30.75" customHeight="1" x14ac:dyDescent="0.5">
      <c r="A182" s="840" t="s">
        <v>213</v>
      </c>
      <c r="B182" s="841"/>
      <c r="C182" s="333"/>
      <c r="D182" s="228"/>
      <c r="E182" s="95"/>
      <c r="F182" s="155"/>
      <c r="G182" s="155"/>
      <c r="H182" s="99">
        <f>G182+'22'!H182</f>
        <v>0</v>
      </c>
      <c r="I182" s="155"/>
      <c r="J182" s="178">
        <f>H182/DAY(B2)</f>
        <v>0</v>
      </c>
    </row>
    <row r="183" spans="1:10" ht="30.75" customHeight="1" x14ac:dyDescent="0.5">
      <c r="A183" s="840" t="s">
        <v>214</v>
      </c>
      <c r="B183" s="841"/>
      <c r="C183" s="334"/>
      <c r="D183" s="228" t="s">
        <v>142</v>
      </c>
      <c r="E183" s="95">
        <f>'22'!F183</f>
        <v>15208</v>
      </c>
      <c r="F183" s="157">
        <v>15244</v>
      </c>
      <c r="G183" s="157">
        <f>F183-E183</f>
        <v>36</v>
      </c>
      <c r="H183" s="99">
        <f>G183+'22'!H183</f>
        <v>297</v>
      </c>
      <c r="I183" s="155"/>
      <c r="J183" s="178">
        <f>H183/DAY(B2)</f>
        <v>12.913043478260869</v>
      </c>
    </row>
    <row r="184" spans="1:10" ht="30.75" customHeight="1" x14ac:dyDescent="0.5">
      <c r="A184" s="840" t="s">
        <v>215</v>
      </c>
      <c r="B184" s="841"/>
      <c r="C184" s="334"/>
      <c r="D184" s="228" t="s">
        <v>142</v>
      </c>
      <c r="E184" s="95">
        <f>'22'!F184</f>
        <v>10433</v>
      </c>
      <c r="F184" s="157">
        <v>10439</v>
      </c>
      <c r="G184" s="157">
        <f t="shared" ref="G184:G185" si="16">F184-E184</f>
        <v>6</v>
      </c>
      <c r="H184" s="99">
        <f>G184+'22'!H184</f>
        <v>138</v>
      </c>
      <c r="I184" s="155"/>
      <c r="J184" s="178">
        <f>H184/DAY(B2)</f>
        <v>6</v>
      </c>
    </row>
    <row r="185" spans="1:10" ht="30.75" customHeight="1" x14ac:dyDescent="0.5">
      <c r="A185" s="840" t="s">
        <v>216</v>
      </c>
      <c r="B185" s="841"/>
      <c r="C185" s="334"/>
      <c r="D185" s="228" t="s">
        <v>142</v>
      </c>
      <c r="E185" s="95">
        <f>'22'!F185</f>
        <v>0</v>
      </c>
      <c r="F185" s="157">
        <v>0</v>
      </c>
      <c r="G185" s="157">
        <f t="shared" si="16"/>
        <v>0</v>
      </c>
      <c r="H185" s="99">
        <f>G185+'22'!H185</f>
        <v>0</v>
      </c>
      <c r="I185" s="155"/>
      <c r="J185" s="178">
        <f>H185/DAY(B2)</f>
        <v>0</v>
      </c>
    </row>
    <row r="186" spans="1:10" ht="30.75" customHeight="1" x14ac:dyDescent="0.5">
      <c r="A186" s="879" t="s">
        <v>196</v>
      </c>
      <c r="B186" s="880"/>
      <c r="C186" s="484"/>
      <c r="D186" s="229"/>
      <c r="E186" s="95"/>
      <c r="F186" s="157"/>
      <c r="G186" s="157">
        <f>SUM(G183:G185)</f>
        <v>42</v>
      </c>
      <c r="H186" s="99">
        <f>G186+'22'!H186</f>
        <v>435</v>
      </c>
      <c r="I186" s="157"/>
      <c r="J186" s="178">
        <f>H186/DAY(B2)</f>
        <v>18.913043478260871</v>
      </c>
    </row>
    <row r="187" spans="1:10" ht="30.75" customHeight="1" x14ac:dyDescent="0.5">
      <c r="A187" s="888" t="s">
        <v>217</v>
      </c>
      <c r="B187" s="889"/>
      <c r="C187" s="333"/>
      <c r="D187" s="230" t="s">
        <v>142</v>
      </c>
      <c r="E187" s="95"/>
      <c r="F187" s="159"/>
      <c r="G187" s="462">
        <f>G62+G19</f>
        <v>175</v>
      </c>
      <c r="H187" s="99">
        <f>G187+'22'!H187</f>
        <v>2711</v>
      </c>
      <c r="I187" s="158"/>
      <c r="J187" s="179">
        <f>H187/DAY(B2)</f>
        <v>117.8695652173913</v>
      </c>
    </row>
    <row r="188" spans="1:10" ht="30.75" customHeight="1" x14ac:dyDescent="0.5">
      <c r="A188" s="888" t="s">
        <v>218</v>
      </c>
      <c r="B188" s="889"/>
      <c r="C188" s="333"/>
      <c r="D188" s="230" t="s">
        <v>142</v>
      </c>
      <c r="E188" s="95"/>
      <c r="F188" s="159"/>
      <c r="G188" s="462">
        <f>G65+G66+G67+G69+G70</f>
        <v>173</v>
      </c>
      <c r="H188" s="99">
        <f>G188+'22'!H188</f>
        <v>1128</v>
      </c>
      <c r="I188" s="158"/>
      <c r="J188" s="179">
        <f>H188/DAY(B2)</f>
        <v>49.043478260869563</v>
      </c>
    </row>
    <row r="189" spans="1:10" ht="30.75" customHeight="1" x14ac:dyDescent="0.5">
      <c r="A189" s="888" t="s">
        <v>219</v>
      </c>
      <c r="B189" s="889"/>
      <c r="C189" s="333"/>
      <c r="D189" s="230" t="s">
        <v>142</v>
      </c>
      <c r="E189" s="95"/>
      <c r="F189" s="157"/>
      <c r="G189" s="459">
        <f>G181</f>
        <v>158</v>
      </c>
      <c r="H189" s="99">
        <f>G189+'22'!H189</f>
        <v>364</v>
      </c>
      <c r="I189" s="158"/>
      <c r="J189" s="179">
        <f>H189/DAY(B2)</f>
        <v>15.826086956521738</v>
      </c>
    </row>
    <row r="190" spans="1:10" ht="30.75" customHeight="1" x14ac:dyDescent="0.5">
      <c r="A190" s="811"/>
      <c r="B190" s="812"/>
      <c r="C190" s="483"/>
      <c r="D190" s="480"/>
      <c r="E190" s="480" t="s">
        <v>207</v>
      </c>
      <c r="F190" s="480"/>
      <c r="G190" s="480"/>
      <c r="H190" s="481"/>
      <c r="I190" s="480"/>
      <c r="J190" s="482"/>
    </row>
  </sheetData>
  <mergeCells count="115">
    <mergeCell ref="A187:B187"/>
    <mergeCell ref="A188:B188"/>
    <mergeCell ref="A189:B189"/>
    <mergeCell ref="A190:B190"/>
    <mergeCell ref="A180:B180"/>
    <mergeCell ref="A181:B181"/>
    <mergeCell ref="A182:B182"/>
    <mergeCell ref="A185:B185"/>
    <mergeCell ref="A186:B186"/>
    <mergeCell ref="A174:B174"/>
    <mergeCell ref="A176:B176"/>
    <mergeCell ref="A177:B177"/>
    <mergeCell ref="A178:B178"/>
    <mergeCell ref="A179:B179"/>
    <mergeCell ref="A167:B167"/>
    <mergeCell ref="A168:B168"/>
    <mergeCell ref="A171:J171"/>
    <mergeCell ref="A172:B172"/>
    <mergeCell ref="A173:B173"/>
    <mergeCell ref="A140:C140"/>
    <mergeCell ref="A141:C141"/>
    <mergeCell ref="A142:C142"/>
    <mergeCell ref="A160:J160"/>
    <mergeCell ref="A166:B166"/>
    <mergeCell ref="A134:C134"/>
    <mergeCell ref="A136:J136"/>
    <mergeCell ref="A138:C138"/>
    <mergeCell ref="A139:C139"/>
    <mergeCell ref="A143:C143"/>
    <mergeCell ref="A149:C149"/>
    <mergeCell ref="A150:C150"/>
    <mergeCell ref="A151:C151"/>
    <mergeCell ref="A152:C152"/>
    <mergeCell ref="A154:J154"/>
    <mergeCell ref="A155:C155"/>
    <mergeCell ref="A156:C156"/>
    <mergeCell ref="A153:B153"/>
    <mergeCell ref="A135:B135"/>
    <mergeCell ref="A157:C157"/>
    <mergeCell ref="A158:C158"/>
    <mergeCell ref="A159:C159"/>
    <mergeCell ref="A127:B127"/>
    <mergeCell ref="A128:C128"/>
    <mergeCell ref="A131:C131"/>
    <mergeCell ref="A132:C132"/>
    <mergeCell ref="A133:C133"/>
    <mergeCell ref="A121:C121"/>
    <mergeCell ref="A122:C122"/>
    <mergeCell ref="A124:C124"/>
    <mergeCell ref="A125:B125"/>
    <mergeCell ref="A126:J126"/>
    <mergeCell ref="Q116:R116"/>
    <mergeCell ref="A117:C117"/>
    <mergeCell ref="Q117:R117"/>
    <mergeCell ref="A118:C118"/>
    <mergeCell ref="Q118:R118"/>
    <mergeCell ref="A103:C103"/>
    <mergeCell ref="A104:C104"/>
    <mergeCell ref="A105:C105"/>
    <mergeCell ref="A108:J108"/>
    <mergeCell ref="A110:J110"/>
    <mergeCell ref="A97:C97"/>
    <mergeCell ref="A98:C98"/>
    <mergeCell ref="A99:C99"/>
    <mergeCell ref="A100:C100"/>
    <mergeCell ref="A101:C101"/>
    <mergeCell ref="A184:B184"/>
    <mergeCell ref="A183:B183"/>
    <mergeCell ref="A175:C175"/>
    <mergeCell ref="A119:C119"/>
    <mergeCell ref="A120:C120"/>
    <mergeCell ref="A114:C114"/>
    <mergeCell ref="A115:C115"/>
    <mergeCell ref="A116:C116"/>
    <mergeCell ref="A109:B109"/>
    <mergeCell ref="A111:C111"/>
    <mergeCell ref="A112:C112"/>
    <mergeCell ref="A113:C113"/>
    <mergeCell ref="A102:C102"/>
    <mergeCell ref="A123:C123"/>
    <mergeCell ref="A144:C144"/>
    <mergeCell ref="A145:C145"/>
    <mergeCell ref="A146:C146"/>
    <mergeCell ref="A147:C147"/>
    <mergeCell ref="A148:C148"/>
    <mergeCell ref="A95:C95"/>
    <mergeCell ref="A96:C96"/>
    <mergeCell ref="A93:C93"/>
    <mergeCell ref="A94:C94"/>
    <mergeCell ref="A76:C76"/>
    <mergeCell ref="A77:C77"/>
    <mergeCell ref="A79:C79"/>
    <mergeCell ref="A80:C80"/>
    <mergeCell ref="A81:C81"/>
    <mergeCell ref="A78:C78"/>
    <mergeCell ref="A73:C73"/>
    <mergeCell ref="A74:C74"/>
    <mergeCell ref="A75:C75"/>
    <mergeCell ref="A71:C71"/>
    <mergeCell ref="A72:B72"/>
    <mergeCell ref="A1:J1"/>
    <mergeCell ref="A6:C6"/>
    <mergeCell ref="A14:C14"/>
    <mergeCell ref="A17:C17"/>
    <mergeCell ref="E3:F3"/>
    <mergeCell ref="A64:C64"/>
    <mergeCell ref="A65:C65"/>
    <mergeCell ref="A18:C18"/>
    <mergeCell ref="A19:C19"/>
    <mergeCell ref="A21:C21"/>
    <mergeCell ref="A25:C25"/>
    <mergeCell ref="A33:C33"/>
    <mergeCell ref="A61:C61"/>
    <mergeCell ref="A62:C62"/>
    <mergeCell ref="A63:C63"/>
  </mergeCells>
  <pageMargins left="0.22" right="0.17" top="0.14000000000000001" bottom="0.2" header="0.2" footer="0.2"/>
  <pageSetup paperSize="5" scale="17"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1:R1701"/>
  <sheetViews>
    <sheetView view="pageBreakPreview" zoomScale="60" zoomScaleNormal="44" workbookViewId="0">
      <selection activeCell="F159" sqref="F159"/>
    </sheetView>
  </sheetViews>
  <sheetFormatPr defaultColWidth="22.33203125" defaultRowHeight="21.95" customHeight="1" x14ac:dyDescent="0.5"/>
  <cols>
    <col min="1" max="1" width="51.21875" style="94" customWidth="1"/>
    <col min="2" max="2" width="24" style="97" customWidth="1"/>
    <col min="3" max="3" width="15.88671875" style="97" customWidth="1"/>
    <col min="4" max="4" width="13.6640625" style="160" customWidth="1"/>
    <col min="5" max="5" width="24.77734375" style="160" customWidth="1"/>
    <col min="6" max="6" width="22" style="160" customWidth="1"/>
    <col min="7" max="7" width="22.44140625" style="160" customWidth="1"/>
    <col min="8" max="8" width="22.5546875" style="161" customWidth="1"/>
    <col min="9" max="9" width="21.1093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33.75" x14ac:dyDescent="0.65">
      <c r="A1" s="821" t="s">
        <v>115</v>
      </c>
      <c r="B1" s="822"/>
      <c r="C1" s="822"/>
      <c r="D1" s="822"/>
      <c r="E1" s="822"/>
      <c r="F1" s="822"/>
      <c r="G1" s="822"/>
      <c r="H1" s="822"/>
      <c r="I1" s="822"/>
      <c r="J1" s="823"/>
    </row>
    <row r="2" spans="1:15" s="57" customFormat="1" ht="27" x14ac:dyDescent="0.5">
      <c r="A2" s="191" t="s">
        <v>357</v>
      </c>
      <c r="B2" s="262">
        <v>44585</v>
      </c>
      <c r="C2" s="348" t="s">
        <v>67</v>
      </c>
      <c r="D2" s="218">
        <v>0.75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27" x14ac:dyDescent="0.5">
      <c r="A3" s="189"/>
      <c r="B3" s="221"/>
      <c r="C3" s="348" t="s">
        <v>118</v>
      </c>
      <c r="D3" s="219">
        <v>21</v>
      </c>
      <c r="E3" s="830" t="s">
        <v>119</v>
      </c>
      <c r="F3" s="831"/>
      <c r="G3" s="101"/>
      <c r="H3" s="102"/>
      <c r="I3" s="102"/>
      <c r="J3" s="222"/>
      <c r="K3" s="61"/>
      <c r="L3" s="58"/>
    </row>
    <row r="4" spans="1:15" s="57" customFormat="1" ht="27" x14ac:dyDescent="0.5">
      <c r="A4" s="192"/>
      <c r="B4" s="223"/>
      <c r="C4" s="348" t="s">
        <v>120</v>
      </c>
      <c r="D4" s="218">
        <v>0.75</v>
      </c>
      <c r="E4" s="103"/>
      <c r="F4" s="103"/>
      <c r="G4" s="103"/>
      <c r="H4" s="103"/>
      <c r="I4" s="104"/>
      <c r="J4" s="222"/>
      <c r="K4" s="62"/>
      <c r="L4" s="58"/>
    </row>
    <row r="5" spans="1:15" ht="29.25" x14ac:dyDescent="0.4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5" ht="29.25" x14ac:dyDescent="0.4">
      <c r="A6" s="824" t="s">
        <v>128</v>
      </c>
      <c r="B6" s="825"/>
      <c r="C6" s="826"/>
      <c r="D6" s="110"/>
      <c r="E6" s="110"/>
      <c r="F6" s="110"/>
      <c r="G6" s="110"/>
      <c r="H6" s="111"/>
      <c r="I6" s="111"/>
      <c r="J6" s="174"/>
      <c r="K6" s="78"/>
      <c r="L6" s="66"/>
    </row>
    <row r="7" spans="1:15" ht="30" thickBot="1" x14ac:dyDescent="0.45">
      <c r="A7" s="194" t="s">
        <v>129</v>
      </c>
      <c r="B7" s="195"/>
      <c r="C7" s="195"/>
      <c r="D7" s="151" t="s">
        <v>130</v>
      </c>
      <c r="E7" s="95">
        <f>'23'!F7</f>
        <v>514716.83</v>
      </c>
      <c r="F7" s="95">
        <v>531080</v>
      </c>
      <c r="G7" s="112">
        <f>F7-E7</f>
        <v>16363.169999999984</v>
      </c>
      <c r="H7" s="99">
        <f>G7+'23'!H7</f>
        <v>436519</v>
      </c>
      <c r="I7" s="113">
        <f>'1'!I7</f>
        <v>12000</v>
      </c>
      <c r="J7" s="175">
        <f>H7/DAY(B2)</f>
        <v>18188.291666666668</v>
      </c>
      <c r="K7" s="172">
        <v>1375467</v>
      </c>
      <c r="L7" s="66"/>
      <c r="N7" s="87"/>
      <c r="O7" s="71"/>
    </row>
    <row r="8" spans="1:15" ht="27.75" thickBot="1" x14ac:dyDescent="0.45">
      <c r="A8" s="196" t="s">
        <v>131</v>
      </c>
      <c r="B8" s="197"/>
      <c r="C8" s="198"/>
      <c r="D8" s="224" t="s">
        <v>24</v>
      </c>
      <c r="E8" s="95">
        <f>'23'!F8</f>
        <v>569714.82999999996</v>
      </c>
      <c r="F8" s="95">
        <v>586591</v>
      </c>
      <c r="G8" s="115">
        <f>F8-E8</f>
        <v>16876.170000000042</v>
      </c>
      <c r="H8" s="99">
        <f>G8+'23'!H8</f>
        <v>445706</v>
      </c>
      <c r="I8" s="116"/>
      <c r="J8" s="175">
        <f>H8/DAY(B2)</f>
        <v>18571.083333333332</v>
      </c>
      <c r="K8" s="172">
        <v>1715917</v>
      </c>
      <c r="L8" s="76">
        <v>1728480</v>
      </c>
      <c r="M8" s="87">
        <f>L8-K8</f>
        <v>12563</v>
      </c>
      <c r="N8" s="87"/>
      <c r="O8" s="71"/>
    </row>
    <row r="9" spans="1:15" ht="29.25" x14ac:dyDescent="0.4">
      <c r="A9" s="199" t="s">
        <v>132</v>
      </c>
      <c r="B9" s="200"/>
      <c r="C9" s="200"/>
      <c r="D9" s="151" t="s">
        <v>130</v>
      </c>
      <c r="E9" s="95">
        <f>'23'!F9</f>
        <v>168518.39</v>
      </c>
      <c r="F9" s="601">
        <v>179760</v>
      </c>
      <c r="G9" s="112">
        <f>F9-E9</f>
        <v>11241.609999999986</v>
      </c>
      <c r="H9" s="99">
        <f>G9+'23'!H9</f>
        <v>278265</v>
      </c>
      <c r="I9" s="124">
        <f>I7-J7</f>
        <v>-6188.2916666666679</v>
      </c>
      <c r="J9" s="175">
        <f>H9/DAY(B2)</f>
        <v>11594.375</v>
      </c>
      <c r="K9" s="79">
        <f>K8-100</f>
        <v>1715817</v>
      </c>
      <c r="L9" s="66"/>
      <c r="N9" s="87"/>
      <c r="O9" s="71"/>
    </row>
    <row r="10" spans="1:15" ht="29.25" x14ac:dyDescent="0.4">
      <c r="A10" s="194" t="s">
        <v>133</v>
      </c>
      <c r="B10" s="195"/>
      <c r="C10" s="195"/>
      <c r="D10" s="151" t="s">
        <v>130</v>
      </c>
      <c r="E10" s="95">
        <f>'23'!F10</f>
        <v>86539.68</v>
      </c>
      <c r="F10" s="353">
        <v>91182</v>
      </c>
      <c r="G10" s="112">
        <f t="shared" ref="G10:G12" si="0">F10-E10</f>
        <v>4642.320000000007</v>
      </c>
      <c r="H10" s="99">
        <f>G10+'23'!H10</f>
        <v>146088</v>
      </c>
      <c r="I10" s="282"/>
      <c r="J10" s="175">
        <f>H10/DAY(B2)</f>
        <v>6087</v>
      </c>
      <c r="K10" s="79"/>
      <c r="L10" s="66"/>
      <c r="N10" s="87"/>
      <c r="O10" s="71"/>
    </row>
    <row r="11" spans="1:15" ht="29.25" x14ac:dyDescent="0.4">
      <c r="A11" s="194" t="s">
        <v>134</v>
      </c>
      <c r="B11" s="195"/>
      <c r="C11" s="195"/>
      <c r="D11" s="151" t="s">
        <v>130</v>
      </c>
      <c r="E11" s="95">
        <f>'23'!F11</f>
        <v>37170</v>
      </c>
      <c r="F11" s="95">
        <v>37170</v>
      </c>
      <c r="G11" s="112">
        <f t="shared" si="0"/>
        <v>0</v>
      </c>
      <c r="H11" s="99">
        <f>G11+'23'!H11</f>
        <v>170</v>
      </c>
      <c r="I11" s="282"/>
      <c r="J11" s="175">
        <f>H11/DAY(B2)</f>
        <v>7.083333333333333</v>
      </c>
      <c r="K11" s="79"/>
      <c r="L11" s="66"/>
      <c r="N11" s="87"/>
      <c r="O11" s="71"/>
    </row>
    <row r="12" spans="1:15" ht="29.25" x14ac:dyDescent="0.4">
      <c r="A12" s="194" t="s">
        <v>135</v>
      </c>
      <c r="B12" s="195"/>
      <c r="C12" s="195"/>
      <c r="D12" s="151" t="s">
        <v>130</v>
      </c>
      <c r="E12" s="95">
        <f>'23'!F12</f>
        <v>40010</v>
      </c>
      <c r="F12" s="117">
        <v>40010</v>
      </c>
      <c r="G12" s="112">
        <f t="shared" si="0"/>
        <v>0</v>
      </c>
      <c r="H12" s="99">
        <f>G12+'23'!H12</f>
        <v>0</v>
      </c>
      <c r="I12" s="282"/>
      <c r="J12" s="175">
        <f>H12/DAY(B2)</f>
        <v>0</v>
      </c>
      <c r="K12" s="79"/>
      <c r="L12" s="66"/>
      <c r="N12" s="87"/>
      <c r="O12" s="71"/>
    </row>
    <row r="13" spans="1:15" ht="29.25" x14ac:dyDescent="0.5">
      <c r="A13" s="201" t="s">
        <v>136</v>
      </c>
      <c r="B13" s="202"/>
      <c r="C13" s="202"/>
      <c r="D13" s="151"/>
      <c r="E13" s="95"/>
      <c r="F13" s="95"/>
      <c r="G13" s="119">
        <f>G9+G10+G11+G12</f>
        <v>15883.929999999993</v>
      </c>
      <c r="H13" s="99">
        <f>G13+'23'!H13</f>
        <v>405057.74999999988</v>
      </c>
      <c r="I13" s="120">
        <f>G7-G13</f>
        <v>479.23999999999069</v>
      </c>
      <c r="J13" s="175">
        <f>H13/DAY(B2)</f>
        <v>16877.406249999996</v>
      </c>
      <c r="K13" s="79"/>
      <c r="L13" s="66"/>
      <c r="N13" s="87"/>
      <c r="O13" s="71"/>
    </row>
    <row r="14" spans="1:15" ht="29.25" x14ac:dyDescent="0.5">
      <c r="A14" s="827" t="s">
        <v>137</v>
      </c>
      <c r="B14" s="828"/>
      <c r="C14" s="829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5" ht="29.25" x14ac:dyDescent="0.5">
      <c r="A15" s="345" t="s">
        <v>138</v>
      </c>
      <c r="B15" s="205"/>
      <c r="C15" s="205"/>
      <c r="D15" s="151" t="s">
        <v>139</v>
      </c>
      <c r="E15" s="95">
        <f>'23'!F15</f>
        <v>1899076.92</v>
      </c>
      <c r="F15" s="123">
        <v>1900114</v>
      </c>
      <c r="G15" s="112">
        <f>(F15-E15)</f>
        <v>1037.0800000000745</v>
      </c>
      <c r="H15" s="99">
        <f>G15+'23'!H15</f>
        <v>21684</v>
      </c>
      <c r="I15" s="113">
        <f>'1'!I15</f>
        <v>800</v>
      </c>
      <c r="J15" s="175">
        <f>H15/DAY(B2)</f>
        <v>903.5</v>
      </c>
      <c r="K15" s="79"/>
      <c r="L15" s="66"/>
      <c r="N15" s="87"/>
      <c r="O15" s="71"/>
    </row>
    <row r="16" spans="1:15" ht="29.25" x14ac:dyDescent="0.4">
      <c r="A16" s="203"/>
      <c r="B16" s="204"/>
      <c r="C16" s="204"/>
      <c r="D16" s="152"/>
      <c r="E16" s="123"/>
      <c r="F16" s="123"/>
      <c r="G16" s="112"/>
      <c r="H16" s="124"/>
      <c r="I16" s="120">
        <f>I15-J15</f>
        <v>-103.5</v>
      </c>
      <c r="J16" s="176"/>
      <c r="K16" s="79"/>
      <c r="L16" s="66"/>
      <c r="N16" s="87"/>
      <c r="O16" s="71"/>
    </row>
    <row r="17" spans="1:15" ht="29.25" x14ac:dyDescent="0.5">
      <c r="A17" s="827" t="s">
        <v>140</v>
      </c>
      <c r="B17" s="828"/>
      <c r="C17" s="829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5" ht="27.75" x14ac:dyDescent="0.5">
      <c r="A18" s="818" t="s">
        <v>141</v>
      </c>
      <c r="B18" s="819"/>
      <c r="C18" s="820"/>
      <c r="D18" s="151" t="s">
        <v>142</v>
      </c>
      <c r="E18" s="95">
        <f>'23'!F18</f>
        <v>16</v>
      </c>
      <c r="F18" s="122">
        <v>16</v>
      </c>
      <c r="G18" s="119">
        <f>F18*10</f>
        <v>160</v>
      </c>
      <c r="H18" s="99">
        <f>G18+'23'!H18</f>
        <v>2730</v>
      </c>
      <c r="I18" s="113">
        <f>'1'!I18</f>
        <v>65</v>
      </c>
      <c r="J18" s="175">
        <f>H18/DAY(B2)</f>
        <v>113.75</v>
      </c>
      <c r="K18" s="79"/>
      <c r="L18" s="66"/>
      <c r="N18" s="87"/>
      <c r="O18" s="71"/>
    </row>
    <row r="19" spans="1:15" ht="27.75" x14ac:dyDescent="0.5">
      <c r="A19" s="818" t="s">
        <v>69</v>
      </c>
      <c r="B19" s="819"/>
      <c r="C19" s="820"/>
      <c r="D19" s="151" t="s">
        <v>142</v>
      </c>
      <c r="E19" s="95">
        <f>'23'!F19</f>
        <v>153461</v>
      </c>
      <c r="F19" s="122">
        <v>153513</v>
      </c>
      <c r="G19" s="112">
        <f t="shared" ref="G19" si="1">F19-E19</f>
        <v>52</v>
      </c>
      <c r="H19" s="99">
        <f>G19+'23'!H19</f>
        <v>1288</v>
      </c>
      <c r="I19" s="335"/>
      <c r="J19" s="175">
        <f>H19/DAY(B2)</f>
        <v>53.666666666666664</v>
      </c>
      <c r="K19" s="79"/>
      <c r="L19" s="66"/>
      <c r="N19" s="87"/>
      <c r="O19" s="71"/>
    </row>
    <row r="20" spans="1:15" ht="29.25" x14ac:dyDescent="0.5">
      <c r="A20" s="201" t="s">
        <v>143</v>
      </c>
      <c r="B20" s="202"/>
      <c r="C20" s="202"/>
      <c r="D20" s="126"/>
      <c r="E20" s="126"/>
      <c r="F20" s="126"/>
      <c r="G20" s="127">
        <f>G18+G19</f>
        <v>212</v>
      </c>
      <c r="H20" s="99">
        <f>G20+'23'!H20</f>
        <v>4018</v>
      </c>
      <c r="I20" s="336">
        <f>I18-J20</f>
        <v>-102.41666666666666</v>
      </c>
      <c r="J20" s="175">
        <f>H20/DAY(B2)</f>
        <v>167.41666666666666</v>
      </c>
      <c r="K20" s="79"/>
      <c r="L20" s="66"/>
      <c r="N20" s="87"/>
      <c r="O20" s="71"/>
    </row>
    <row r="21" spans="1:15" ht="29.25" x14ac:dyDescent="0.5">
      <c r="A21" s="827" t="s">
        <v>144</v>
      </c>
      <c r="B21" s="828"/>
      <c r="C21" s="829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5" ht="29.25" x14ac:dyDescent="0.5">
      <c r="A22" s="345" t="s">
        <v>145</v>
      </c>
      <c r="B22" s="205"/>
      <c r="C22" s="205"/>
      <c r="D22" s="151" t="s">
        <v>146</v>
      </c>
      <c r="E22" s="95">
        <f>'23'!F22</f>
        <v>2970</v>
      </c>
      <c r="F22" s="122">
        <v>2970</v>
      </c>
      <c r="G22" s="119">
        <f t="shared" ref="G22" si="2">(F22-E22)</f>
        <v>0</v>
      </c>
      <c r="H22" s="99">
        <f>G22+'23'!H22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29.25" x14ac:dyDescent="0.5">
      <c r="A23" s="345" t="s">
        <v>147</v>
      </c>
      <c r="B23" s="205"/>
      <c r="C23" s="205"/>
      <c r="D23" s="151" t="s">
        <v>146</v>
      </c>
      <c r="E23" s="95">
        <f>'23'!F23</f>
        <v>2000</v>
      </c>
      <c r="F23" s="122">
        <v>2000</v>
      </c>
      <c r="G23" s="119">
        <v>0</v>
      </c>
      <c r="H23" s="99">
        <f>G23+'23'!H23</f>
        <v>110</v>
      </c>
      <c r="I23" s="118"/>
      <c r="J23" s="175">
        <f>H23/DAY(B2)</f>
        <v>4.583333333333333</v>
      </c>
      <c r="K23" s="79"/>
      <c r="L23" s="66"/>
      <c r="N23" s="87"/>
      <c r="O23" s="71"/>
    </row>
    <row r="24" spans="1:15" ht="29.25" x14ac:dyDescent="0.4">
      <c r="A24" s="206" t="s">
        <v>148</v>
      </c>
      <c r="B24" s="207"/>
      <c r="C24" s="207"/>
      <c r="D24" s="146" t="s">
        <v>146</v>
      </c>
      <c r="E24" s="95">
        <f>'23'!F24</f>
        <v>4970</v>
      </c>
      <c r="F24" s="128">
        <v>4970</v>
      </c>
      <c r="G24" s="119">
        <v>0</v>
      </c>
      <c r="H24" s="99">
        <f>G24+'23'!H24</f>
        <v>110</v>
      </c>
      <c r="I24" s="118"/>
      <c r="J24" s="175">
        <f>H24/DAY(B2)</f>
        <v>4.583333333333333</v>
      </c>
      <c r="K24" s="79"/>
      <c r="L24" s="66"/>
      <c r="N24" s="87"/>
      <c r="O24" s="71"/>
    </row>
    <row r="25" spans="1:15" s="88" customFormat="1" ht="27" x14ac:dyDescent="0.35">
      <c r="A25" s="832" t="s">
        <v>149</v>
      </c>
      <c r="B25" s="833"/>
      <c r="C25" s="834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5" s="88" customFormat="1" ht="27.75" x14ac:dyDescent="0.5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/>
      <c r="I26" s="134"/>
      <c r="J26" s="175"/>
      <c r="K26" s="64"/>
      <c r="L26" s="89"/>
      <c r="N26" s="87"/>
      <c r="O26" s="71"/>
    </row>
    <row r="27" spans="1:15" s="88" customFormat="1" ht="27.75" x14ac:dyDescent="0.5">
      <c r="A27" s="208" t="s">
        <v>5</v>
      </c>
      <c r="B27" s="209"/>
      <c r="C27" s="210"/>
      <c r="D27" s="226" t="s">
        <v>24</v>
      </c>
      <c r="E27" s="135">
        <f>G8</f>
        <v>16876.170000000042</v>
      </c>
      <c r="F27" s="136">
        <v>9</v>
      </c>
      <c r="G27" s="137">
        <f>E27*F27</f>
        <v>151885.53000000038</v>
      </c>
      <c r="H27" s="99">
        <f>G27+'23'!H27</f>
        <v>4011353.9999999995</v>
      </c>
      <c r="I27" s="138"/>
      <c r="J27" s="175">
        <f>H27/DAY(B2)</f>
        <v>167139.74999999997</v>
      </c>
      <c r="K27" s="63"/>
      <c r="L27" s="89"/>
      <c r="N27" s="87"/>
      <c r="O27" s="71"/>
    </row>
    <row r="28" spans="1:15" s="88" customFormat="1" ht="27.75" x14ac:dyDescent="0.5">
      <c r="A28" s="208" t="s">
        <v>152</v>
      </c>
      <c r="B28" s="209"/>
      <c r="C28" s="210"/>
      <c r="D28" s="226" t="s">
        <v>153</v>
      </c>
      <c r="E28" s="139">
        <f>G15</f>
        <v>1037.0800000000745</v>
      </c>
      <c r="F28" s="136">
        <v>52</v>
      </c>
      <c r="G28" s="137">
        <f>E28*F28</f>
        <v>53928.160000003874</v>
      </c>
      <c r="H28" s="99">
        <f>G28+'23'!H28</f>
        <v>1127568</v>
      </c>
      <c r="I28" s="140"/>
      <c r="J28" s="175">
        <f>H28/DAY(B2)</f>
        <v>46982</v>
      </c>
      <c r="K28" s="63"/>
      <c r="L28" s="89"/>
      <c r="N28" s="87"/>
      <c r="O28" s="71"/>
    </row>
    <row r="29" spans="1:15" s="88" customFormat="1" ht="27.75" x14ac:dyDescent="0.5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>E29*F29</f>
        <v>0</v>
      </c>
      <c r="H29" s="99">
        <f>G29+'23'!H29</f>
        <v>7590</v>
      </c>
      <c r="I29" s="140"/>
      <c r="J29" s="175">
        <f>H29/DAY(B2)</f>
        <v>316.25</v>
      </c>
      <c r="K29" s="63"/>
      <c r="L29" s="89"/>
      <c r="N29" s="87"/>
      <c r="O29" s="71"/>
    </row>
    <row r="30" spans="1:15" s="88" customFormat="1" ht="27.75" x14ac:dyDescent="0.5">
      <c r="A30" s="208" t="s">
        <v>156</v>
      </c>
      <c r="B30" s="209"/>
      <c r="C30" s="210"/>
      <c r="D30" s="226" t="s">
        <v>157</v>
      </c>
      <c r="E30" s="141">
        <f>G19</f>
        <v>52</v>
      </c>
      <c r="F30" s="136">
        <v>146</v>
      </c>
      <c r="G30" s="137">
        <f>E30*F30</f>
        <v>7592</v>
      </c>
      <c r="H30" s="99">
        <f>G30+'23'!H30</f>
        <v>188048</v>
      </c>
      <c r="I30" s="140"/>
      <c r="J30" s="175">
        <f>H30/DAY(B2)</f>
        <v>7835.333333333333</v>
      </c>
      <c r="K30" s="63"/>
      <c r="L30" s="89"/>
      <c r="N30" s="87"/>
      <c r="O30" s="71"/>
    </row>
    <row r="31" spans="1:15" s="88" customFormat="1" ht="27.75" x14ac:dyDescent="0.5">
      <c r="A31" s="208" t="s">
        <v>158</v>
      </c>
      <c r="B31" s="209"/>
      <c r="C31" s="210"/>
      <c r="D31" s="226" t="s">
        <v>142</v>
      </c>
      <c r="E31" s="141">
        <f>G18</f>
        <v>160</v>
      </c>
      <c r="F31" s="136">
        <v>80</v>
      </c>
      <c r="G31" s="137">
        <f>E31*F31</f>
        <v>12800</v>
      </c>
      <c r="H31" s="99">
        <f>G31+'23'!H31</f>
        <v>218400</v>
      </c>
      <c r="I31" s="140"/>
      <c r="J31" s="175">
        <f>H31/DAY(B2)</f>
        <v>9100</v>
      </c>
      <c r="K31" s="63"/>
      <c r="L31" s="89"/>
      <c r="N31" s="87"/>
      <c r="O31" s="71"/>
    </row>
    <row r="32" spans="1:15" s="88" customFormat="1" ht="27.75" x14ac:dyDescent="0.5">
      <c r="A32" s="211" t="s">
        <v>159</v>
      </c>
      <c r="B32" s="212"/>
      <c r="C32" s="213"/>
      <c r="D32" s="142"/>
      <c r="E32" s="142"/>
      <c r="F32" s="142"/>
      <c r="G32" s="143">
        <f>G27+G28+G29+G30+G31</f>
        <v>226205.69000000425</v>
      </c>
      <c r="H32" s="99">
        <f>G32+'23'!H32</f>
        <v>5552960</v>
      </c>
      <c r="I32" s="144"/>
      <c r="J32" s="175">
        <f>H32/DAY(B2)</f>
        <v>231373.33333333334</v>
      </c>
      <c r="K32" s="63"/>
      <c r="L32" s="89"/>
      <c r="N32" s="87"/>
      <c r="O32" s="71"/>
    </row>
    <row r="33" spans="1:15" ht="25.5" x14ac:dyDescent="0.35">
      <c r="A33" s="835" t="s">
        <v>331</v>
      </c>
      <c r="B33" s="836"/>
      <c r="C33" s="836"/>
      <c r="D33" s="337"/>
      <c r="E33" s="337"/>
      <c r="F33" s="337"/>
      <c r="G33" s="337"/>
      <c r="H33" s="337"/>
      <c r="I33" s="337"/>
      <c r="J33" s="338"/>
      <c r="K33" s="79"/>
      <c r="L33" s="66"/>
      <c r="N33" s="87"/>
      <c r="O33" s="71"/>
    </row>
    <row r="34" spans="1:15" ht="29.25" x14ac:dyDescent="0.5">
      <c r="A34" s="214" t="s">
        <v>160</v>
      </c>
      <c r="B34" s="349"/>
      <c r="C34" s="349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29.25" x14ac:dyDescent="0.4">
      <c r="A35" s="194" t="s">
        <v>161</v>
      </c>
      <c r="B35" s="195"/>
      <c r="C35" s="195"/>
      <c r="D35" s="151" t="s">
        <v>130</v>
      </c>
      <c r="E35" s="95">
        <f>'23'!F35</f>
        <v>22026.29</v>
      </c>
      <c r="F35" s="145">
        <v>23208</v>
      </c>
      <c r="G35" s="112">
        <f t="shared" ref="G35:G46" si="3">F35-E35</f>
        <v>1181.7099999999991</v>
      </c>
      <c r="H35" s="99">
        <f>G35+'23'!H35</f>
        <v>38408</v>
      </c>
      <c r="I35" s="95"/>
      <c r="J35" s="175">
        <f>H35/DAY(B2)</f>
        <v>1600.3333333333333</v>
      </c>
      <c r="K35" s="79"/>
      <c r="L35" s="66"/>
      <c r="N35" s="87"/>
      <c r="O35" s="71"/>
    </row>
    <row r="36" spans="1:15" ht="29.25" x14ac:dyDescent="0.4">
      <c r="A36" s="194" t="s">
        <v>162</v>
      </c>
      <c r="B36" s="195"/>
      <c r="C36" s="195"/>
      <c r="D36" s="151" t="s">
        <v>130</v>
      </c>
      <c r="E36" s="95">
        <f>'23'!F36</f>
        <v>37983.300000000003</v>
      </c>
      <c r="F36" s="145">
        <v>38640</v>
      </c>
      <c r="G36" s="112">
        <f t="shared" si="3"/>
        <v>656.69999999999709</v>
      </c>
      <c r="H36" s="99">
        <f>G36+'23'!H36</f>
        <v>17113</v>
      </c>
      <c r="I36" s="95"/>
      <c r="J36" s="175">
        <f>H36/DAY(B2)</f>
        <v>713.04166666666663</v>
      </c>
      <c r="K36" s="79"/>
      <c r="L36" s="66"/>
      <c r="N36" s="87"/>
      <c r="O36" s="344"/>
    </row>
    <row r="37" spans="1:15" ht="29.25" x14ac:dyDescent="0.4">
      <c r="A37" s="194" t="s">
        <v>163</v>
      </c>
      <c r="B37" s="195"/>
      <c r="C37" s="195"/>
      <c r="D37" s="151" t="s">
        <v>130</v>
      </c>
      <c r="E37" s="95">
        <f>'23'!F37</f>
        <v>22742.49</v>
      </c>
      <c r="F37" s="145">
        <v>24388</v>
      </c>
      <c r="G37" s="112">
        <f t="shared" si="3"/>
        <v>1645.5099999999984</v>
      </c>
      <c r="H37" s="99">
        <f>G37+'23'!H37</f>
        <v>36600</v>
      </c>
      <c r="I37" s="95"/>
      <c r="J37" s="175">
        <f>H37/DAY(B2)</f>
        <v>1525</v>
      </c>
      <c r="K37" s="79"/>
      <c r="L37" s="66"/>
      <c r="N37" s="87"/>
      <c r="O37" s="234"/>
    </row>
    <row r="38" spans="1:15" ht="29.25" x14ac:dyDescent="0.4">
      <c r="A38" s="194" t="s">
        <v>164</v>
      </c>
      <c r="B38" s="195"/>
      <c r="C38" s="195"/>
      <c r="D38" s="151" t="s">
        <v>130</v>
      </c>
      <c r="E38" s="95">
        <f>'23'!F38</f>
        <v>24491.61</v>
      </c>
      <c r="F38" s="108">
        <v>26318</v>
      </c>
      <c r="G38" s="112">
        <f t="shared" si="3"/>
        <v>1826.3899999999994</v>
      </c>
      <c r="H38" s="99">
        <f>G38+'23'!H38</f>
        <v>39518.000000000007</v>
      </c>
      <c r="I38" s="95"/>
      <c r="J38" s="175">
        <f>H38/DAY(B2)</f>
        <v>1646.5833333333337</v>
      </c>
      <c r="K38" s="79"/>
      <c r="L38" s="66"/>
      <c r="N38" s="87"/>
      <c r="O38" s="71"/>
    </row>
    <row r="39" spans="1:15" ht="29.25" x14ac:dyDescent="0.4">
      <c r="A39" s="194" t="s">
        <v>165</v>
      </c>
      <c r="B39" s="195"/>
      <c r="C39" s="195"/>
      <c r="D39" s="151" t="s">
        <v>130</v>
      </c>
      <c r="E39" s="95">
        <f>'23'!F39</f>
        <v>38330.800000000003</v>
      </c>
      <c r="F39" s="145">
        <v>40938</v>
      </c>
      <c r="G39" s="112">
        <f t="shared" si="3"/>
        <v>2607.1999999999971</v>
      </c>
      <c r="H39" s="99">
        <f>G39+'23'!H39</f>
        <v>62620</v>
      </c>
      <c r="I39" s="95"/>
      <c r="J39" s="175">
        <f>H39/DAY(B2)</f>
        <v>2609.1666666666665</v>
      </c>
      <c r="K39" s="79"/>
      <c r="L39" s="66"/>
      <c r="N39" s="87"/>
      <c r="O39" s="71"/>
    </row>
    <row r="40" spans="1:15" ht="29.25" x14ac:dyDescent="0.4">
      <c r="A40" s="215" t="s">
        <v>166</v>
      </c>
      <c r="B40" s="216"/>
      <c r="C40" s="216"/>
      <c r="D40" s="151" t="s">
        <v>130</v>
      </c>
      <c r="E40" s="95">
        <f>'23'!F40</f>
        <v>15533.76</v>
      </c>
      <c r="F40" s="145">
        <v>16184</v>
      </c>
      <c r="G40" s="112">
        <f t="shared" si="3"/>
        <v>650.23999999999978</v>
      </c>
      <c r="H40" s="99">
        <f>G40+'23'!H40</f>
        <v>10574</v>
      </c>
      <c r="I40" s="95"/>
      <c r="J40" s="175">
        <f>H40/DAY(B2)</f>
        <v>440.58333333333331</v>
      </c>
      <c r="K40" s="80"/>
      <c r="L40" s="66"/>
      <c r="N40" s="87"/>
      <c r="O40" s="71"/>
    </row>
    <row r="41" spans="1:15" ht="29.25" x14ac:dyDescent="0.4">
      <c r="A41" s="194" t="s">
        <v>167</v>
      </c>
      <c r="B41" s="195"/>
      <c r="C41" s="195"/>
      <c r="D41" s="151" t="s">
        <v>130</v>
      </c>
      <c r="E41" s="95">
        <f>'23'!F41</f>
        <v>0</v>
      </c>
      <c r="F41" s="145">
        <v>0</v>
      </c>
      <c r="G41" s="112">
        <f t="shared" si="3"/>
        <v>0</v>
      </c>
      <c r="H41" s="99">
        <f>G41+'23'!H41</f>
        <v>0</v>
      </c>
      <c r="I41" s="95"/>
      <c r="J41" s="175">
        <f>H41/DAY(B2)</f>
        <v>0</v>
      </c>
      <c r="K41" s="79"/>
      <c r="L41" s="66"/>
      <c r="N41" s="87"/>
      <c r="O41" s="71"/>
    </row>
    <row r="42" spans="1:15" ht="29.25" x14ac:dyDescent="0.4">
      <c r="A42" s="194" t="s">
        <v>168</v>
      </c>
      <c r="B42" s="195"/>
      <c r="C42" s="195"/>
      <c r="D42" s="151" t="s">
        <v>130</v>
      </c>
      <c r="E42" s="95">
        <f>'23'!F42</f>
        <v>73808.600000000006</v>
      </c>
      <c r="F42" s="145">
        <v>73808.600000000006</v>
      </c>
      <c r="G42" s="112">
        <f t="shared" si="3"/>
        <v>0</v>
      </c>
      <c r="H42" s="99">
        <f>G42+'23'!H42</f>
        <v>-0.39999999999417923</v>
      </c>
      <c r="I42" s="95"/>
      <c r="J42" s="175">
        <f>H42/DAY(B2)</f>
        <v>-1.6666666666424135E-2</v>
      </c>
      <c r="K42" s="79"/>
      <c r="L42" s="66"/>
      <c r="N42" s="87"/>
      <c r="O42" s="71"/>
    </row>
    <row r="43" spans="1:15" ht="29.25" x14ac:dyDescent="0.4">
      <c r="A43" s="194" t="s">
        <v>169</v>
      </c>
      <c r="B43" s="195"/>
      <c r="C43" s="195"/>
      <c r="D43" s="151" t="s">
        <v>130</v>
      </c>
      <c r="E43" s="95">
        <f>'23'!F43</f>
        <v>99079.59</v>
      </c>
      <c r="F43" s="145">
        <v>101167</v>
      </c>
      <c r="G43" s="112">
        <f t="shared" si="3"/>
        <v>2087.4100000000035</v>
      </c>
      <c r="H43" s="99">
        <f>G43+'23'!H43</f>
        <v>53906</v>
      </c>
      <c r="I43" s="95"/>
      <c r="J43" s="175">
        <f>H43/DAY(B2)</f>
        <v>2246.0833333333335</v>
      </c>
      <c r="K43" s="79"/>
      <c r="L43" s="66"/>
      <c r="N43" s="87"/>
      <c r="O43" s="71"/>
    </row>
    <row r="44" spans="1:15" ht="29.25" x14ac:dyDescent="0.4">
      <c r="A44" s="194" t="s">
        <v>170</v>
      </c>
      <c r="B44" s="195"/>
      <c r="C44" s="195"/>
      <c r="D44" s="151" t="s">
        <v>130</v>
      </c>
      <c r="E44" s="95">
        <f>'23'!F44</f>
        <v>0</v>
      </c>
      <c r="F44" s="145">
        <v>0</v>
      </c>
      <c r="G44" s="112">
        <f t="shared" si="3"/>
        <v>0</v>
      </c>
      <c r="H44" s="99">
        <f>G44+'23'!H44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29.25" x14ac:dyDescent="0.4">
      <c r="A45" s="194" t="s">
        <v>171</v>
      </c>
      <c r="B45" s="195"/>
      <c r="C45" s="195"/>
      <c r="D45" s="151" t="s">
        <v>130</v>
      </c>
      <c r="E45" s="95">
        <f>'23'!F45</f>
        <v>0</v>
      </c>
      <c r="F45" s="145">
        <v>0</v>
      </c>
      <c r="G45" s="112">
        <f t="shared" si="3"/>
        <v>0</v>
      </c>
      <c r="H45" s="99">
        <f>G45+'23'!H45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29.25" x14ac:dyDescent="0.4">
      <c r="A46" s="194" t="s">
        <v>172</v>
      </c>
      <c r="B46" s="195"/>
      <c r="C46" s="195"/>
      <c r="D46" s="151" t="s">
        <v>130</v>
      </c>
      <c r="E46" s="95">
        <f>'23'!F46</f>
        <v>0</v>
      </c>
      <c r="F46" s="145">
        <v>0</v>
      </c>
      <c r="G46" s="112">
        <f t="shared" si="3"/>
        <v>0</v>
      </c>
      <c r="H46" s="99">
        <f>G46+'23'!H46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29.25" x14ac:dyDescent="0.5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10655.159999999994</v>
      </c>
      <c r="H47" s="99">
        <f>G47+'23'!H47</f>
        <v>258738.60000000006</v>
      </c>
      <c r="I47" s="95"/>
      <c r="J47" s="175">
        <f>H47/DAY(B2)</f>
        <v>10780.775000000003</v>
      </c>
      <c r="K47" s="79"/>
      <c r="L47" s="66"/>
      <c r="N47" s="87"/>
      <c r="O47" s="71"/>
    </row>
    <row r="48" spans="1:15" ht="29.25" x14ac:dyDescent="0.5">
      <c r="A48" s="214" t="s">
        <v>174</v>
      </c>
      <c r="B48" s="349"/>
      <c r="C48" s="349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29.25" x14ac:dyDescent="0.4">
      <c r="A49" s="194" t="s">
        <v>161</v>
      </c>
      <c r="B49" s="217"/>
      <c r="C49" s="217"/>
      <c r="D49" s="151" t="s">
        <v>130</v>
      </c>
      <c r="E49" s="95">
        <f>'23'!F49</f>
        <v>18159.7</v>
      </c>
      <c r="F49" s="145">
        <v>19015</v>
      </c>
      <c r="G49" s="112">
        <f t="shared" ref="G49:G58" si="4">F49-E49</f>
        <v>855.29999999999927</v>
      </c>
      <c r="H49" s="99">
        <f>G49+'23'!H49</f>
        <v>32135.999999999996</v>
      </c>
      <c r="I49" s="95"/>
      <c r="J49" s="175">
        <f>H49/DAY(B2)</f>
        <v>1338.9999999999998</v>
      </c>
      <c r="K49" s="79"/>
      <c r="L49" s="66"/>
      <c r="N49" s="87"/>
      <c r="O49" s="71"/>
    </row>
    <row r="50" spans="1:15" ht="29.25" x14ac:dyDescent="0.4">
      <c r="A50" s="194" t="s">
        <v>175</v>
      </c>
      <c r="B50" s="217"/>
      <c r="C50" s="217"/>
      <c r="D50" s="151" t="s">
        <v>130</v>
      </c>
      <c r="E50" s="95">
        <f>'23'!F50</f>
        <v>48234.36</v>
      </c>
      <c r="F50" s="145">
        <v>49249</v>
      </c>
      <c r="G50" s="112">
        <f t="shared" si="4"/>
        <v>1014.6399999999994</v>
      </c>
      <c r="H50" s="99">
        <f>G50+'23'!H50</f>
        <v>24599</v>
      </c>
      <c r="I50" s="95"/>
      <c r="J50" s="175">
        <f>H50/DAY(B2)</f>
        <v>1024.9583333333333</v>
      </c>
      <c r="K50" s="79"/>
      <c r="L50" s="66"/>
      <c r="N50" s="87"/>
      <c r="O50" s="71"/>
    </row>
    <row r="51" spans="1:15" ht="29.25" x14ac:dyDescent="0.4">
      <c r="A51" s="194" t="s">
        <v>163</v>
      </c>
      <c r="B51" s="217"/>
      <c r="C51" s="217"/>
      <c r="D51" s="151" t="s">
        <v>130</v>
      </c>
      <c r="E51" s="95">
        <f>'23'!F51</f>
        <v>0</v>
      </c>
      <c r="F51" s="145">
        <v>0</v>
      </c>
      <c r="G51" s="112">
        <f t="shared" si="4"/>
        <v>0</v>
      </c>
      <c r="H51" s="99">
        <f>G51+'23'!H51</f>
        <v>0</v>
      </c>
      <c r="I51" s="95"/>
      <c r="J51" s="175">
        <f>H51/DAY(B2)</f>
        <v>0</v>
      </c>
      <c r="K51" s="79"/>
      <c r="L51" s="66"/>
      <c r="N51" s="87"/>
      <c r="O51" s="71"/>
    </row>
    <row r="52" spans="1:15" ht="29.25" x14ac:dyDescent="0.4">
      <c r="A52" s="194" t="s">
        <v>176</v>
      </c>
      <c r="B52" s="217"/>
      <c r="C52" s="217"/>
      <c r="D52" s="151" t="s">
        <v>130</v>
      </c>
      <c r="E52" s="95">
        <f>'23'!F52</f>
        <v>0</v>
      </c>
      <c r="F52" s="145">
        <v>0</v>
      </c>
      <c r="G52" s="112">
        <f t="shared" si="4"/>
        <v>0</v>
      </c>
      <c r="H52" s="99">
        <f>G52+'23'!H52</f>
        <v>0</v>
      </c>
      <c r="I52" s="95"/>
      <c r="J52" s="175">
        <f>H52/DAY(B2)</f>
        <v>0</v>
      </c>
      <c r="K52" s="79"/>
      <c r="L52" s="66"/>
      <c r="N52" s="87"/>
      <c r="O52" s="71"/>
    </row>
    <row r="53" spans="1:15" ht="29.25" x14ac:dyDescent="0.4">
      <c r="A53" s="194" t="s">
        <v>165</v>
      </c>
      <c r="B53" s="217"/>
      <c r="C53" s="217"/>
      <c r="D53" s="151" t="s">
        <v>130</v>
      </c>
      <c r="E53" s="95">
        <f>'23'!F53</f>
        <v>0</v>
      </c>
      <c r="F53" s="145">
        <v>0</v>
      </c>
      <c r="G53" s="112">
        <f t="shared" si="4"/>
        <v>0</v>
      </c>
      <c r="H53" s="99">
        <f>G53+'23'!H53</f>
        <v>0</v>
      </c>
      <c r="I53" s="95"/>
      <c r="J53" s="175">
        <f>H53/DAY(B2)</f>
        <v>0</v>
      </c>
      <c r="K53" s="79"/>
      <c r="L53" s="66"/>
      <c r="N53" s="87"/>
      <c r="O53" s="71"/>
    </row>
    <row r="54" spans="1:15" ht="29.25" x14ac:dyDescent="0.4">
      <c r="A54" s="194" t="s">
        <v>177</v>
      </c>
      <c r="B54" s="217"/>
      <c r="C54" s="217"/>
      <c r="D54" s="151" t="s">
        <v>130</v>
      </c>
      <c r="E54" s="95">
        <f>'23'!F54</f>
        <v>5147.42</v>
      </c>
      <c r="F54" s="145">
        <v>5147</v>
      </c>
      <c r="G54" s="112">
        <f t="shared" si="4"/>
        <v>-0.42000000000007276</v>
      </c>
      <c r="H54" s="99">
        <f>G54+'23'!H54</f>
        <v>6914.08</v>
      </c>
      <c r="I54" s="95"/>
      <c r="J54" s="175">
        <f>H54/DAY(B2)</f>
        <v>288.08666666666664</v>
      </c>
      <c r="K54" s="79"/>
      <c r="L54" s="66"/>
      <c r="N54" s="87"/>
      <c r="O54" s="71"/>
    </row>
    <row r="55" spans="1:15" ht="29.25" x14ac:dyDescent="0.4">
      <c r="A55" s="194" t="s">
        <v>178</v>
      </c>
      <c r="B55" s="217"/>
      <c r="C55" s="217"/>
      <c r="D55" s="151" t="s">
        <v>130</v>
      </c>
      <c r="E55" s="95">
        <f>'23'!F55</f>
        <v>71881.67</v>
      </c>
      <c r="F55" s="145">
        <v>74366</v>
      </c>
      <c r="G55" s="112">
        <f t="shared" si="4"/>
        <v>2484.3300000000017</v>
      </c>
      <c r="H55" s="99">
        <f>G55+'23'!H55</f>
        <v>70855</v>
      </c>
      <c r="I55" s="95"/>
      <c r="J55" s="175">
        <f>H55/DAY(B2)</f>
        <v>2952.2916666666665</v>
      </c>
      <c r="K55" s="79"/>
      <c r="L55" s="66"/>
      <c r="N55" s="87"/>
      <c r="O55" s="71"/>
    </row>
    <row r="56" spans="1:15" ht="29.25" x14ac:dyDescent="0.4">
      <c r="A56" s="194" t="s">
        <v>179</v>
      </c>
      <c r="B56" s="217"/>
      <c r="C56" s="217"/>
      <c r="D56" s="151" t="s">
        <v>180</v>
      </c>
      <c r="E56" s="95">
        <f>'23'!F56</f>
        <v>8610.5400000000009</v>
      </c>
      <c r="F56" s="145">
        <v>8610.5400000000009</v>
      </c>
      <c r="G56" s="112">
        <f t="shared" si="4"/>
        <v>0</v>
      </c>
      <c r="H56" s="99">
        <f>G56+'23'!H56</f>
        <v>0</v>
      </c>
      <c r="I56" s="95"/>
      <c r="J56" s="175">
        <f>H56/DAY(B2)</f>
        <v>0</v>
      </c>
      <c r="K56" s="78"/>
      <c r="L56" s="66"/>
      <c r="N56" s="87"/>
      <c r="O56" s="71"/>
    </row>
    <row r="57" spans="1:15" ht="29.25" x14ac:dyDescent="0.4">
      <c r="A57" s="194" t="s">
        <v>169</v>
      </c>
      <c r="B57" s="217"/>
      <c r="C57" s="217"/>
      <c r="D57" s="151" t="s">
        <v>130</v>
      </c>
      <c r="E57" s="95">
        <f>'23'!F57</f>
        <v>0</v>
      </c>
      <c r="F57" s="145">
        <v>0</v>
      </c>
      <c r="G57" s="112">
        <f t="shared" si="4"/>
        <v>0</v>
      </c>
      <c r="H57" s="99">
        <f>G57+'23'!H57</f>
        <v>0</v>
      </c>
      <c r="I57" s="95"/>
      <c r="J57" s="175">
        <f>H57/DAY(B2)</f>
        <v>0</v>
      </c>
      <c r="K57" s="79"/>
      <c r="L57" s="66"/>
      <c r="N57" s="87"/>
      <c r="O57" s="71"/>
    </row>
    <row r="58" spans="1:15" ht="29.25" x14ac:dyDescent="0.4">
      <c r="A58" s="194" t="s">
        <v>181</v>
      </c>
      <c r="B58" s="217"/>
      <c r="C58" s="217"/>
      <c r="D58" s="151" t="s">
        <v>130</v>
      </c>
      <c r="E58" s="95">
        <f>'23'!F58</f>
        <v>3270.59</v>
      </c>
      <c r="F58" s="145">
        <v>3485</v>
      </c>
      <c r="G58" s="112">
        <f t="shared" si="4"/>
        <v>214.40999999999985</v>
      </c>
      <c r="H58" s="99">
        <f>G58+'23'!H58</f>
        <v>3825.6300000000047</v>
      </c>
      <c r="I58" s="95"/>
      <c r="J58" s="175">
        <f>H58/DAY(B2)</f>
        <v>159.4012500000002</v>
      </c>
      <c r="K58" s="79"/>
      <c r="L58" s="66"/>
      <c r="N58" s="87"/>
      <c r="O58" s="71"/>
    </row>
    <row r="59" spans="1:15" ht="29.25" x14ac:dyDescent="0.5">
      <c r="A59" s="201" t="s">
        <v>173</v>
      </c>
      <c r="B59" s="202"/>
      <c r="C59" s="202"/>
      <c r="D59" s="146"/>
      <c r="E59" s="146"/>
      <c r="F59" s="146"/>
      <c r="G59" s="119">
        <f>G49+G50+G51+G52+G53+G54+G55+G56+G57+G58</f>
        <v>4568.26</v>
      </c>
      <c r="H59" s="99">
        <f>G59+'23'!H59</f>
        <v>138329.71000000005</v>
      </c>
      <c r="I59" s="95">
        <f>G7-G60</f>
        <v>1139.7499999999891</v>
      </c>
      <c r="J59" s="175">
        <f>H59/DAY(B2)</f>
        <v>5763.7379166666688</v>
      </c>
      <c r="K59" s="79"/>
      <c r="L59" s="66"/>
      <c r="N59" s="87"/>
      <c r="O59" s="71"/>
    </row>
    <row r="60" spans="1:15" ht="29.25" x14ac:dyDescent="0.4">
      <c r="A60" s="194"/>
      <c r="B60" s="195"/>
      <c r="C60" s="195"/>
      <c r="D60" s="146" t="s">
        <v>182</v>
      </c>
      <c r="E60" s="146"/>
      <c r="F60" s="146"/>
      <c r="G60" s="119">
        <f>G47+G59</f>
        <v>15223.419999999995</v>
      </c>
      <c r="H60" s="99">
        <f>G60+'23'!H60</f>
        <v>397068.30999999994</v>
      </c>
      <c r="I60" s="95">
        <f>G13-G60</f>
        <v>660.5099999999984</v>
      </c>
      <c r="J60" s="175">
        <f>H60/DAY(B2)</f>
        <v>16544.512916666663</v>
      </c>
      <c r="K60" s="79"/>
      <c r="L60" s="66"/>
      <c r="N60" s="87"/>
      <c r="O60" s="71"/>
    </row>
    <row r="61" spans="1:15" s="68" customFormat="1" ht="27.75" x14ac:dyDescent="0.5">
      <c r="A61" s="837" t="s">
        <v>332</v>
      </c>
      <c r="B61" s="838"/>
      <c r="C61" s="839"/>
      <c r="D61" s="339"/>
      <c r="E61" s="339"/>
      <c r="F61" s="339"/>
      <c r="G61" s="340"/>
      <c r="H61" s="339"/>
      <c r="I61" s="339"/>
      <c r="J61" s="341"/>
      <c r="K61" s="69"/>
      <c r="L61" s="67"/>
      <c r="N61" s="87"/>
      <c r="O61" s="71"/>
    </row>
    <row r="62" spans="1:15" ht="27.75" x14ac:dyDescent="0.5">
      <c r="A62" s="818" t="s">
        <v>198</v>
      </c>
      <c r="B62" s="819"/>
      <c r="C62" s="820"/>
      <c r="D62" s="151" t="s">
        <v>142</v>
      </c>
      <c r="E62" s="95">
        <f>'23'!F62</f>
        <v>268688</v>
      </c>
      <c r="F62" s="122">
        <v>268812</v>
      </c>
      <c r="G62" s="112">
        <f t="shared" ref="G62:G63" si="5">F62-E62</f>
        <v>124</v>
      </c>
      <c r="H62" s="99">
        <f>G62+'23'!H62</f>
        <v>1599</v>
      </c>
      <c r="I62" s="118"/>
      <c r="J62" s="175">
        <f>H62/DAY(B2)</f>
        <v>66.625</v>
      </c>
      <c r="K62" s="80"/>
      <c r="L62" s="66"/>
      <c r="N62" s="87"/>
      <c r="O62" s="71"/>
    </row>
    <row r="63" spans="1:15" ht="27.75" x14ac:dyDescent="0.5">
      <c r="A63" s="818" t="s">
        <v>199</v>
      </c>
      <c r="B63" s="819"/>
      <c r="C63" s="820"/>
      <c r="D63" s="151" t="s">
        <v>142</v>
      </c>
      <c r="E63" s="95">
        <f>'23'!F63</f>
        <v>214770</v>
      </c>
      <c r="F63" s="122">
        <v>214838</v>
      </c>
      <c r="G63" s="112">
        <f t="shared" si="5"/>
        <v>68</v>
      </c>
      <c r="H63" s="99">
        <f>G63+'23'!H63</f>
        <v>2413</v>
      </c>
      <c r="I63" s="118"/>
      <c r="J63" s="175">
        <f>H63/DAY(B2)</f>
        <v>100.54166666666667</v>
      </c>
      <c r="K63" s="69"/>
      <c r="L63" s="66"/>
      <c r="N63" s="87"/>
      <c r="O63" s="71"/>
    </row>
    <row r="64" spans="1:15" ht="29.25" x14ac:dyDescent="0.5">
      <c r="A64" s="815" t="s">
        <v>200</v>
      </c>
      <c r="B64" s="816"/>
      <c r="C64" s="817"/>
      <c r="D64" s="151"/>
      <c r="E64" s="95">
        <f>'23'!F64</f>
        <v>0</v>
      </c>
      <c r="F64" s="122"/>
      <c r="G64" s="112">
        <f>G62+G63</f>
        <v>192</v>
      </c>
      <c r="H64" s="99">
        <f>G64+'23'!H64</f>
        <v>4012</v>
      </c>
      <c r="I64" s="118"/>
      <c r="J64" s="175">
        <f>H64/DAY(B2)</f>
        <v>167.16666666666666</v>
      </c>
      <c r="K64" s="69"/>
      <c r="L64" s="66"/>
      <c r="N64" s="87"/>
      <c r="O64" s="71"/>
    </row>
    <row r="65" spans="1:15" ht="27.75" x14ac:dyDescent="0.5">
      <c r="A65" s="818" t="s">
        <v>201</v>
      </c>
      <c r="B65" s="819"/>
      <c r="C65" s="820"/>
      <c r="D65" s="151" t="s">
        <v>142</v>
      </c>
      <c r="E65" s="95">
        <f>'23'!F65</f>
        <v>434226</v>
      </c>
      <c r="F65" s="122">
        <v>434329</v>
      </c>
      <c r="G65" s="112">
        <f t="shared" ref="G65:G70" si="6">F65-E65</f>
        <v>103</v>
      </c>
      <c r="H65" s="99">
        <f>G65+'23'!H65</f>
        <v>1715</v>
      </c>
      <c r="I65" s="118"/>
      <c r="J65" s="175">
        <f>H65/DAY(B2)</f>
        <v>71.458333333333329</v>
      </c>
      <c r="K65" s="69"/>
      <c r="L65" s="66"/>
      <c r="N65" s="87"/>
      <c r="O65" s="71"/>
    </row>
    <row r="66" spans="1:15" ht="27.75" x14ac:dyDescent="0.5">
      <c r="A66" s="345" t="s">
        <v>202</v>
      </c>
      <c r="B66" s="346"/>
      <c r="C66" s="346"/>
      <c r="D66" s="151" t="s">
        <v>142</v>
      </c>
      <c r="E66" s="95">
        <f>'23'!F66</f>
        <v>107593</v>
      </c>
      <c r="F66" s="122">
        <v>107607</v>
      </c>
      <c r="G66" s="112">
        <f t="shared" si="6"/>
        <v>14</v>
      </c>
      <c r="H66" s="99">
        <f>G66+'23'!H66</f>
        <v>393</v>
      </c>
      <c r="I66" s="118"/>
      <c r="J66" s="175">
        <f>H66/DAY(B2)</f>
        <v>16.375</v>
      </c>
      <c r="K66" s="78"/>
      <c r="L66" s="66"/>
      <c r="N66" s="87"/>
      <c r="O66" s="71"/>
    </row>
    <row r="67" spans="1:15" ht="27.75" x14ac:dyDescent="0.5">
      <c r="A67" s="345" t="s">
        <v>203</v>
      </c>
      <c r="B67" s="346"/>
      <c r="C67" s="346"/>
      <c r="D67" s="151" t="s">
        <v>142</v>
      </c>
      <c r="E67" s="95">
        <f>'23'!F67</f>
        <v>104455</v>
      </c>
      <c r="F67" s="122">
        <v>104480</v>
      </c>
      <c r="G67" s="112">
        <f t="shared" si="6"/>
        <v>25</v>
      </c>
      <c r="H67" s="99">
        <f>G67+'23'!H67</f>
        <v>552</v>
      </c>
      <c r="I67" s="118"/>
      <c r="J67" s="175">
        <f>H67/DAY(B2)</f>
        <v>23</v>
      </c>
      <c r="K67" s="81"/>
      <c r="L67" s="66"/>
      <c r="N67" s="87"/>
      <c r="O67" s="71"/>
    </row>
    <row r="68" spans="1:15" ht="27.75" x14ac:dyDescent="0.5">
      <c r="A68" s="345" t="s">
        <v>204</v>
      </c>
      <c r="B68" s="346"/>
      <c r="C68" s="346"/>
      <c r="D68" s="151" t="s">
        <v>142</v>
      </c>
      <c r="E68" s="95">
        <f>'23'!F68</f>
        <v>157314</v>
      </c>
      <c r="F68" s="122">
        <v>157347</v>
      </c>
      <c r="G68" s="112">
        <f t="shared" si="6"/>
        <v>33</v>
      </c>
      <c r="H68" s="99">
        <f>G68+'23'!H68</f>
        <v>727</v>
      </c>
      <c r="I68" s="118"/>
      <c r="J68" s="175">
        <f>H68/DAY(B2)</f>
        <v>30.291666666666668</v>
      </c>
      <c r="K68" s="69"/>
      <c r="L68" s="66"/>
      <c r="N68" s="87"/>
      <c r="O68" s="71"/>
    </row>
    <row r="69" spans="1:15" ht="27.75" x14ac:dyDescent="0.5">
      <c r="A69" s="345" t="s">
        <v>205</v>
      </c>
      <c r="B69" s="346"/>
      <c r="C69" s="346"/>
      <c r="D69" s="151" t="s">
        <v>142</v>
      </c>
      <c r="E69" s="95">
        <f>'23'!F69</f>
        <v>10458</v>
      </c>
      <c r="F69" s="122">
        <v>10489</v>
      </c>
      <c r="G69" s="112">
        <f t="shared" si="6"/>
        <v>31</v>
      </c>
      <c r="H69" s="99">
        <f>G69+'23'!H69</f>
        <v>275</v>
      </c>
      <c r="I69" s="118"/>
      <c r="J69" s="175">
        <f>H69/DAY(B2)</f>
        <v>11.458333333333334</v>
      </c>
      <c r="K69" s="69"/>
      <c r="L69" s="66"/>
      <c r="N69" s="87"/>
      <c r="O69" s="71"/>
    </row>
    <row r="70" spans="1:15" ht="27.75" x14ac:dyDescent="0.5">
      <c r="A70" s="345" t="s">
        <v>206</v>
      </c>
      <c r="B70" s="346"/>
      <c r="C70" s="346"/>
      <c r="D70" s="151" t="s">
        <v>142</v>
      </c>
      <c r="E70" s="95">
        <f>'23'!F70</f>
        <v>8022</v>
      </c>
      <c r="F70" s="122">
        <v>8030</v>
      </c>
      <c r="G70" s="112">
        <f t="shared" si="6"/>
        <v>8</v>
      </c>
      <c r="H70" s="99">
        <f>G70+'23'!H70</f>
        <v>168</v>
      </c>
      <c r="I70" s="118"/>
      <c r="J70" s="175">
        <f>H70/DAY(B2)</f>
        <v>7</v>
      </c>
      <c r="K70" s="69"/>
      <c r="L70" s="66"/>
      <c r="N70" s="87"/>
      <c r="O70" s="71"/>
    </row>
    <row r="71" spans="1:15" ht="29.25" x14ac:dyDescent="0.5">
      <c r="A71" s="815" t="s">
        <v>208</v>
      </c>
      <c r="B71" s="816"/>
      <c r="C71" s="817"/>
      <c r="D71" s="152"/>
      <c r="E71" s="152"/>
      <c r="F71" s="152"/>
      <c r="G71" s="153">
        <f>SUM(G65:G70)</f>
        <v>214</v>
      </c>
      <c r="H71" s="99">
        <f>G71+'23'!H71</f>
        <v>3830</v>
      </c>
      <c r="I71" s="154"/>
      <c r="J71" s="175">
        <f>H71/DAY(B2)</f>
        <v>159.58333333333334</v>
      </c>
      <c r="K71" s="69"/>
      <c r="L71" s="66"/>
      <c r="N71" s="87"/>
      <c r="O71" s="71"/>
    </row>
    <row r="72" spans="1:15" s="88" customFormat="1" ht="27.75" x14ac:dyDescent="0.5">
      <c r="A72" s="861"/>
      <c r="B72" s="853"/>
      <c r="C72" s="347"/>
      <c r="D72" s="180"/>
      <c r="E72" s="180" t="s">
        <v>207</v>
      </c>
      <c r="F72" s="180"/>
      <c r="G72" s="180"/>
      <c r="H72" s="181"/>
      <c r="I72" s="180"/>
      <c r="J72" s="182"/>
      <c r="N72" s="87"/>
      <c r="O72" s="71"/>
    </row>
    <row r="73" spans="1:15" ht="29.25" x14ac:dyDescent="0.5">
      <c r="A73" s="866" t="s">
        <v>333</v>
      </c>
      <c r="B73" s="867"/>
      <c r="C73" s="868"/>
      <c r="D73" s="339"/>
      <c r="E73" s="339"/>
      <c r="F73" s="339"/>
      <c r="G73" s="342"/>
      <c r="H73" s="342"/>
      <c r="I73" s="342"/>
      <c r="J73" s="343"/>
      <c r="K73" s="69"/>
      <c r="L73" s="66"/>
      <c r="N73" s="87"/>
      <c r="O73" s="71"/>
    </row>
    <row r="74" spans="1:15" ht="27.75" x14ac:dyDescent="0.5">
      <c r="A74" s="818" t="s">
        <v>220</v>
      </c>
      <c r="B74" s="819"/>
      <c r="C74" s="820"/>
      <c r="D74" s="151" t="s">
        <v>139</v>
      </c>
      <c r="E74" s="95">
        <f>'23'!F74</f>
        <v>898862.81</v>
      </c>
      <c r="F74" s="117">
        <v>899174</v>
      </c>
      <c r="G74" s="112">
        <f t="shared" ref="G74:G78" si="7">F74-E74</f>
        <v>311.18999999994412</v>
      </c>
      <c r="H74" s="99">
        <f>G74+'23'!H74</f>
        <v>7142</v>
      </c>
      <c r="I74" s="154"/>
      <c r="J74" s="175">
        <f>H74/DAY(B2)</f>
        <v>297.58333333333331</v>
      </c>
      <c r="K74" s="69"/>
      <c r="L74" s="66"/>
      <c r="N74" s="87"/>
      <c r="O74" s="71"/>
    </row>
    <row r="75" spans="1:15" ht="27.75" x14ac:dyDescent="0.5">
      <c r="A75" s="818" t="s">
        <v>221</v>
      </c>
      <c r="B75" s="819"/>
      <c r="C75" s="820"/>
      <c r="D75" s="151" t="s">
        <v>139</v>
      </c>
      <c r="E75" s="95">
        <f>'23'!F75</f>
        <v>73586.8</v>
      </c>
      <c r="F75" s="123">
        <v>73586.8</v>
      </c>
      <c r="G75" s="112">
        <f t="shared" si="7"/>
        <v>0</v>
      </c>
      <c r="H75" s="99">
        <f>G75+'23'!H75</f>
        <v>0</v>
      </c>
      <c r="I75" s="154"/>
      <c r="J75" s="175">
        <f>H75/DAY(B2)</f>
        <v>0</v>
      </c>
      <c r="K75" s="69"/>
      <c r="L75" s="66"/>
      <c r="N75" s="87"/>
      <c r="O75" s="71"/>
    </row>
    <row r="76" spans="1:15" ht="27.75" x14ac:dyDescent="0.5">
      <c r="A76" s="862" t="s">
        <v>222</v>
      </c>
      <c r="B76" s="848"/>
      <c r="C76" s="849"/>
      <c r="D76" s="151" t="s">
        <v>139</v>
      </c>
      <c r="E76" s="95">
        <f>'23'!F76</f>
        <v>169204</v>
      </c>
      <c r="F76" s="123">
        <v>169318</v>
      </c>
      <c r="G76" s="112">
        <f t="shared" si="7"/>
        <v>114</v>
      </c>
      <c r="H76" s="99">
        <f>G76+'23'!H76</f>
        <v>2111</v>
      </c>
      <c r="I76" s="154"/>
      <c r="J76" s="175">
        <f>H76/DAY(B2)</f>
        <v>87.958333333333329</v>
      </c>
      <c r="K76" s="69"/>
      <c r="L76" s="66"/>
      <c r="N76" s="87"/>
      <c r="O76" s="71"/>
    </row>
    <row r="77" spans="1:15" ht="27.75" x14ac:dyDescent="0.5">
      <c r="A77" s="862" t="s">
        <v>223</v>
      </c>
      <c r="B77" s="848"/>
      <c r="C77" s="849"/>
      <c r="D77" s="151" t="s">
        <v>139</v>
      </c>
      <c r="E77" s="95">
        <f>'23'!F77</f>
        <v>41023</v>
      </c>
      <c r="F77" s="123">
        <v>41057</v>
      </c>
      <c r="G77" s="112">
        <f t="shared" si="7"/>
        <v>34</v>
      </c>
      <c r="H77" s="99">
        <f>G77+'23'!H77</f>
        <v>741</v>
      </c>
      <c r="I77" s="154"/>
      <c r="J77" s="175">
        <f>H77/DAY(B2)</f>
        <v>30.875</v>
      </c>
      <c r="K77" s="69"/>
      <c r="L77" s="66"/>
      <c r="N77" s="87"/>
      <c r="O77" s="71"/>
    </row>
    <row r="78" spans="1:15" ht="27.75" x14ac:dyDescent="0.5">
      <c r="A78" s="862" t="s">
        <v>224</v>
      </c>
      <c r="B78" s="848"/>
      <c r="C78" s="849"/>
      <c r="D78" s="151" t="s">
        <v>139</v>
      </c>
      <c r="E78" s="95">
        <f>'23'!F78</f>
        <v>9507</v>
      </c>
      <c r="F78" s="123">
        <v>9508</v>
      </c>
      <c r="G78" s="112">
        <f t="shared" si="7"/>
        <v>1</v>
      </c>
      <c r="H78" s="99">
        <f>G78+'23'!H78</f>
        <v>22</v>
      </c>
      <c r="I78" s="118"/>
      <c r="J78" s="175">
        <f>H78/DAY(B2)</f>
        <v>0.91666666666666663</v>
      </c>
      <c r="K78" s="69"/>
      <c r="L78" s="66"/>
      <c r="N78" s="87"/>
      <c r="O78" s="71"/>
    </row>
    <row r="79" spans="1:15" s="57" customFormat="1" ht="27.75" x14ac:dyDescent="0.5">
      <c r="A79" s="862" t="s">
        <v>225</v>
      </c>
      <c r="B79" s="848"/>
      <c r="C79" s="849"/>
      <c r="D79" s="151"/>
      <c r="E79" s="95">
        <f>'23'!F79</f>
        <v>0</v>
      </c>
      <c r="F79" s="117"/>
      <c r="G79" s="112">
        <f>G15-SUM(G74:G78)</f>
        <v>576.89000000013039</v>
      </c>
      <c r="H79" s="99">
        <f>G79+'23'!H79</f>
        <v>11668</v>
      </c>
      <c r="I79" s="118"/>
      <c r="J79" s="175">
        <f>H79/DAY(B2)</f>
        <v>486.16666666666669</v>
      </c>
      <c r="K79" s="59"/>
      <c r="L79" s="58"/>
      <c r="N79" s="87"/>
      <c r="O79" s="71"/>
    </row>
    <row r="80" spans="1:15" s="57" customFormat="1" ht="29.25" x14ac:dyDescent="0.5">
      <c r="A80" s="815" t="s">
        <v>329</v>
      </c>
      <c r="B80" s="816"/>
      <c r="C80" s="817"/>
      <c r="D80" s="151"/>
      <c r="E80" s="117"/>
      <c r="F80" s="117"/>
      <c r="G80" s="112">
        <f>SUM(G74:G79)</f>
        <v>1037.0800000000745</v>
      </c>
      <c r="H80" s="99"/>
      <c r="I80" s="118"/>
      <c r="J80" s="175"/>
      <c r="K80" s="59"/>
      <c r="L80" s="58"/>
      <c r="N80" s="87"/>
      <c r="O80" s="71"/>
    </row>
    <row r="81" spans="1:15" ht="27" x14ac:dyDescent="0.4">
      <c r="A81" s="854" t="s">
        <v>226</v>
      </c>
      <c r="B81" s="855"/>
      <c r="C81" s="856"/>
      <c r="D81" s="110"/>
      <c r="E81" s="110"/>
      <c r="F81" s="110"/>
      <c r="G81" s="163"/>
      <c r="H81" s="163"/>
      <c r="I81" s="163"/>
      <c r="J81" s="184"/>
      <c r="O81" s="71"/>
    </row>
    <row r="82" spans="1:15" ht="27.75" x14ac:dyDescent="0.5">
      <c r="A82" s="345" t="s">
        <v>227</v>
      </c>
      <c r="B82" s="346"/>
      <c r="C82" s="346"/>
      <c r="D82" s="151" t="s">
        <v>228</v>
      </c>
      <c r="E82" s="95">
        <f>'23'!F82</f>
        <v>0</v>
      </c>
      <c r="F82" s="122">
        <v>0</v>
      </c>
      <c r="G82" s="112">
        <f t="shared" ref="G82:G92" si="8">F82-E82</f>
        <v>0</v>
      </c>
      <c r="H82" s="99">
        <f>G82+'23'!H82</f>
        <v>0</v>
      </c>
      <c r="I82" s="118"/>
      <c r="J82" s="175">
        <f>H82/DAY(B2)</f>
        <v>0</v>
      </c>
      <c r="O82" s="71"/>
    </row>
    <row r="83" spans="1:15" ht="27.75" x14ac:dyDescent="0.5">
      <c r="A83" s="345" t="s">
        <v>229</v>
      </c>
      <c r="B83" s="346"/>
      <c r="C83" s="346"/>
      <c r="D83" s="151" t="s">
        <v>228</v>
      </c>
      <c r="E83" s="95">
        <f>'23'!F83</f>
        <v>0</v>
      </c>
      <c r="F83" s="122">
        <v>0</v>
      </c>
      <c r="G83" s="112">
        <f t="shared" si="8"/>
        <v>0</v>
      </c>
      <c r="H83" s="99">
        <f>G83+'23'!H83</f>
        <v>0</v>
      </c>
      <c r="I83" s="118"/>
      <c r="J83" s="175">
        <f>H83/DAY(B2)</f>
        <v>0</v>
      </c>
      <c r="O83" s="71"/>
    </row>
    <row r="84" spans="1:15" ht="27.75" x14ac:dyDescent="0.5">
      <c r="A84" s="345" t="s">
        <v>230</v>
      </c>
      <c r="B84" s="346"/>
      <c r="C84" s="346"/>
      <c r="D84" s="151" t="s">
        <v>228</v>
      </c>
      <c r="E84" s="95">
        <f>'23'!F84</f>
        <v>41675.4</v>
      </c>
      <c r="F84" s="164">
        <v>41675</v>
      </c>
      <c r="G84" s="112">
        <f t="shared" si="8"/>
        <v>-0.40000000000145519</v>
      </c>
      <c r="H84" s="99">
        <f>G84+'23'!H84</f>
        <v>0</v>
      </c>
      <c r="I84" s="118"/>
      <c r="J84" s="175">
        <f>H84/DAY(B2)</f>
        <v>0</v>
      </c>
      <c r="O84" s="71"/>
    </row>
    <row r="85" spans="1:15" ht="27.75" x14ac:dyDescent="0.5">
      <c r="A85" s="345" t="s">
        <v>231</v>
      </c>
      <c r="B85" s="346"/>
      <c r="C85" s="346"/>
      <c r="D85" s="151" t="s">
        <v>228</v>
      </c>
      <c r="E85" s="95">
        <f>'23'!F85</f>
        <v>2096.56</v>
      </c>
      <c r="F85" s="164">
        <v>2096.56</v>
      </c>
      <c r="G85" s="112">
        <f t="shared" si="8"/>
        <v>0</v>
      </c>
      <c r="H85" s="99">
        <f>G85+'23'!H85</f>
        <v>0</v>
      </c>
      <c r="I85" s="118">
        <f>G82+G83+G84+G85</f>
        <v>-0.40000000000145519</v>
      </c>
      <c r="J85" s="175">
        <f>H85/DAY(B2)</f>
        <v>0</v>
      </c>
      <c r="O85" s="71"/>
    </row>
    <row r="86" spans="1:15" ht="27.75" x14ac:dyDescent="0.5">
      <c r="A86" s="345" t="s">
        <v>232</v>
      </c>
      <c r="B86" s="346"/>
      <c r="C86" s="346"/>
      <c r="D86" s="151" t="s">
        <v>228</v>
      </c>
      <c r="E86" s="95">
        <f>'23'!F86</f>
        <v>43418.11</v>
      </c>
      <c r="F86" s="164">
        <v>43442</v>
      </c>
      <c r="G86" s="112">
        <f t="shared" si="8"/>
        <v>23.889999999999418</v>
      </c>
      <c r="H86" s="99">
        <f>G86+'23'!H86</f>
        <v>579</v>
      </c>
      <c r="I86" s="118"/>
      <c r="J86" s="175">
        <f>H86/DAY(B2)</f>
        <v>24.125</v>
      </c>
      <c r="O86" s="71"/>
    </row>
    <row r="87" spans="1:15" ht="27.75" x14ac:dyDescent="0.5">
      <c r="A87" s="345" t="s">
        <v>233</v>
      </c>
      <c r="B87" s="346"/>
      <c r="C87" s="346"/>
      <c r="D87" s="151" t="s">
        <v>228</v>
      </c>
      <c r="E87" s="95">
        <f>'23'!F87</f>
        <v>34598.550000000003</v>
      </c>
      <c r="F87" s="164">
        <v>34598.550000000003</v>
      </c>
      <c r="G87" s="112">
        <f t="shared" si="8"/>
        <v>0</v>
      </c>
      <c r="H87" s="99">
        <f>G87+'23'!H87</f>
        <v>0</v>
      </c>
      <c r="I87" s="118"/>
      <c r="J87" s="175">
        <f>H87/DAY(B2)</f>
        <v>0</v>
      </c>
      <c r="O87" s="71"/>
    </row>
    <row r="88" spans="1:15" ht="27.75" x14ac:dyDescent="0.5">
      <c r="A88" s="345" t="s">
        <v>234</v>
      </c>
      <c r="B88" s="346"/>
      <c r="C88" s="346"/>
      <c r="D88" s="151" t="s">
        <v>228</v>
      </c>
      <c r="E88" s="95">
        <f>'23'!F88</f>
        <v>24063.38</v>
      </c>
      <c r="F88" s="164">
        <v>24063</v>
      </c>
      <c r="G88" s="112">
        <f t="shared" si="8"/>
        <v>-0.38000000000101863</v>
      </c>
      <c r="H88" s="99">
        <f>G88+'23'!H88</f>
        <v>16</v>
      </c>
      <c r="I88" s="118">
        <f>G86+G87+G88</f>
        <v>23.509999999998399</v>
      </c>
      <c r="J88" s="175">
        <f>H88/DAY(B2)</f>
        <v>0.66666666666666663</v>
      </c>
      <c r="O88" s="71"/>
    </row>
    <row r="89" spans="1:15" ht="27.75" x14ac:dyDescent="0.5">
      <c r="A89" s="345" t="s">
        <v>235</v>
      </c>
      <c r="B89" s="346"/>
      <c r="C89" s="346"/>
      <c r="D89" s="151" t="s">
        <v>228</v>
      </c>
      <c r="E89" s="95">
        <f>'23'!F89</f>
        <v>25818.61</v>
      </c>
      <c r="F89" s="164">
        <v>25829</v>
      </c>
      <c r="G89" s="112">
        <f t="shared" si="8"/>
        <v>10.389999999999418</v>
      </c>
      <c r="H89" s="99">
        <f>G89+'23'!H89</f>
        <v>166</v>
      </c>
      <c r="I89" s="118"/>
      <c r="J89" s="175">
        <f>H89/DAY(B2)</f>
        <v>6.916666666666667</v>
      </c>
      <c r="O89" s="71"/>
    </row>
    <row r="90" spans="1:15" ht="27.75" x14ac:dyDescent="0.5">
      <c r="A90" s="345" t="s">
        <v>236</v>
      </c>
      <c r="B90" s="346"/>
      <c r="C90" s="346"/>
      <c r="D90" s="151" t="s">
        <v>228</v>
      </c>
      <c r="E90" s="95">
        <f>'23'!F90</f>
        <v>71143.37</v>
      </c>
      <c r="F90" s="164">
        <v>71146</v>
      </c>
      <c r="G90" s="112">
        <f t="shared" si="8"/>
        <v>2.6300000000046566</v>
      </c>
      <c r="H90" s="99">
        <f>G90+'23'!H90</f>
        <v>112</v>
      </c>
      <c r="I90" s="118">
        <f>G89+G90</f>
        <v>13.020000000004075</v>
      </c>
      <c r="J90" s="175">
        <f>H90/DAY(B2)</f>
        <v>4.666666666666667</v>
      </c>
      <c r="O90" s="71"/>
    </row>
    <row r="91" spans="1:15" ht="27.75" x14ac:dyDescent="0.5">
      <c r="A91" s="345" t="s">
        <v>237</v>
      </c>
      <c r="B91" s="346"/>
      <c r="C91" s="346"/>
      <c r="D91" s="151" t="s">
        <v>228</v>
      </c>
      <c r="E91" s="95">
        <f>'23'!F91</f>
        <v>3226.32</v>
      </c>
      <c r="F91" s="122">
        <v>3226.32</v>
      </c>
      <c r="G91" s="112">
        <f t="shared" si="8"/>
        <v>0</v>
      </c>
      <c r="H91" s="99">
        <f>G91+'23'!H91</f>
        <v>0</v>
      </c>
      <c r="I91" s="165"/>
      <c r="J91" s="175">
        <f>H91/DAY(B2)</f>
        <v>0</v>
      </c>
      <c r="O91" s="71"/>
    </row>
    <row r="92" spans="1:15" ht="27.75" x14ac:dyDescent="0.5">
      <c r="A92" s="345" t="s">
        <v>238</v>
      </c>
      <c r="B92" s="346"/>
      <c r="C92" s="346"/>
      <c r="D92" s="151" t="s">
        <v>228</v>
      </c>
      <c r="E92" s="95">
        <f>'23'!F92</f>
        <v>5677.67</v>
      </c>
      <c r="F92" s="122">
        <v>5689</v>
      </c>
      <c r="G92" s="112">
        <f t="shared" si="8"/>
        <v>11.329999999999927</v>
      </c>
      <c r="H92" s="99">
        <f>G92+'23'!H92</f>
        <v>251</v>
      </c>
      <c r="I92" s="165"/>
      <c r="J92" s="175">
        <f>H92/DAY(B2)</f>
        <v>10.458333333333334</v>
      </c>
      <c r="O92" s="71"/>
    </row>
    <row r="93" spans="1:15" ht="29.25" x14ac:dyDescent="0.5">
      <c r="A93" s="863" t="s">
        <v>239</v>
      </c>
      <c r="B93" s="864"/>
      <c r="C93" s="865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27.75" x14ac:dyDescent="0.5">
      <c r="A94" s="818" t="s">
        <v>240</v>
      </c>
      <c r="B94" s="819"/>
      <c r="C94" s="820"/>
      <c r="D94" s="151" t="s">
        <v>130</v>
      </c>
      <c r="E94" s="151"/>
      <c r="F94" s="151"/>
      <c r="G94" s="99">
        <f>G35+G43+G49+G57</f>
        <v>4124.4200000000019</v>
      </c>
      <c r="H94" s="99">
        <f>G94+'23'!H94</f>
        <v>124449.99999999999</v>
      </c>
      <c r="I94" s="118"/>
      <c r="J94" s="175">
        <f>H94/DAY(B2)</f>
        <v>5185.4166666666661</v>
      </c>
      <c r="K94" s="69"/>
      <c r="L94" s="66"/>
      <c r="O94" s="71"/>
    </row>
    <row r="95" spans="1:15" ht="27.75" x14ac:dyDescent="0.5">
      <c r="A95" s="818" t="s">
        <v>241</v>
      </c>
      <c r="B95" s="819"/>
      <c r="C95" s="820"/>
      <c r="D95" s="151" t="s">
        <v>23</v>
      </c>
      <c r="E95" s="146"/>
      <c r="F95" s="146"/>
      <c r="G95" s="166">
        <f>G94/G7</f>
        <v>0.25205507245845432</v>
      </c>
      <c r="H95" s="99">
        <f>G95+'23'!H95</f>
        <v>6.8292402855146461</v>
      </c>
      <c r="I95" s="167"/>
      <c r="J95" s="175">
        <f>H95/DAY(B2)</f>
        <v>0.28455167856311026</v>
      </c>
      <c r="K95" s="69"/>
      <c r="L95" s="66"/>
      <c r="O95" s="71"/>
    </row>
    <row r="96" spans="1:15" ht="27.75" x14ac:dyDescent="0.5">
      <c r="A96" s="818" t="s">
        <v>242</v>
      </c>
      <c r="B96" s="819"/>
      <c r="C96" s="820"/>
      <c r="D96" s="151" t="s">
        <v>130</v>
      </c>
      <c r="E96" s="95"/>
      <c r="F96" s="95"/>
      <c r="G96" s="99">
        <f>G41+G42+G55+G56</f>
        <v>2484.3300000000017</v>
      </c>
      <c r="H96" s="99">
        <f>G96+'23'!H96</f>
        <v>70854.600000000006</v>
      </c>
      <c r="I96" s="118"/>
      <c r="J96" s="175">
        <f>H96/DAY(B2)</f>
        <v>2952.2750000000001</v>
      </c>
      <c r="K96" s="69"/>
      <c r="L96" s="66"/>
      <c r="O96" s="71"/>
    </row>
    <row r="97" spans="1:15" ht="27.75" x14ac:dyDescent="0.5">
      <c r="A97" s="818" t="s">
        <v>243</v>
      </c>
      <c r="B97" s="819"/>
      <c r="C97" s="820"/>
      <c r="D97" s="151" t="s">
        <v>23</v>
      </c>
      <c r="E97" s="95"/>
      <c r="F97" s="95"/>
      <c r="G97" s="166">
        <f>G96/G7</f>
        <v>0.15182449366473638</v>
      </c>
      <c r="H97" s="99">
        <f>G97+'23'!H97</f>
        <v>3.9025256728596682</v>
      </c>
      <c r="I97" s="167"/>
      <c r="J97" s="175">
        <f>H97/DAY(B2)</f>
        <v>0.16260523636915283</v>
      </c>
      <c r="K97" s="69"/>
      <c r="L97" s="66"/>
      <c r="O97" s="71"/>
    </row>
    <row r="98" spans="1:15" ht="27.75" x14ac:dyDescent="0.5">
      <c r="A98" s="818" t="s">
        <v>244</v>
      </c>
      <c r="B98" s="819"/>
      <c r="C98" s="820"/>
      <c r="D98" s="151" t="s">
        <v>130</v>
      </c>
      <c r="E98" s="95"/>
      <c r="F98" s="95"/>
      <c r="G98" s="99">
        <f>G39+G53</f>
        <v>2607.1999999999971</v>
      </c>
      <c r="H98" s="99">
        <f>G98+'23'!H98</f>
        <v>62620</v>
      </c>
      <c r="I98" s="168"/>
      <c r="J98" s="175">
        <f>H98/DAY(B2)</f>
        <v>2609.1666666666665</v>
      </c>
      <c r="K98" s="69"/>
      <c r="L98" s="66"/>
      <c r="O98" s="71"/>
    </row>
    <row r="99" spans="1:15" ht="27.75" x14ac:dyDescent="0.5">
      <c r="A99" s="818" t="s">
        <v>245</v>
      </c>
      <c r="B99" s="819"/>
      <c r="C99" s="820"/>
      <c r="D99" s="151" t="s">
        <v>23</v>
      </c>
      <c r="E99" s="95"/>
      <c r="F99" s="95"/>
      <c r="G99" s="166">
        <f>G98/G7</f>
        <v>0.15933342989164079</v>
      </c>
      <c r="H99" s="99">
        <f>G99+'23'!H99</f>
        <v>3.4522184643519154</v>
      </c>
      <c r="I99" s="168"/>
      <c r="J99" s="175">
        <f>H99/DAY(B2)</f>
        <v>0.14384243601466315</v>
      </c>
      <c r="O99" s="71"/>
    </row>
    <row r="100" spans="1:15" ht="27.75" x14ac:dyDescent="0.5">
      <c r="A100" s="818" t="s">
        <v>246</v>
      </c>
      <c r="B100" s="819"/>
      <c r="C100" s="820"/>
      <c r="D100" s="151" t="s">
        <v>180</v>
      </c>
      <c r="E100" s="95"/>
      <c r="F100" s="95"/>
      <c r="G100" s="99">
        <f>G38+G52</f>
        <v>1826.3899999999994</v>
      </c>
      <c r="H100" s="99">
        <f>G100+'23'!H100</f>
        <v>39518.000000000007</v>
      </c>
      <c r="I100" s="118"/>
      <c r="J100" s="175">
        <f>H100/DAY(B2)</f>
        <v>1646.5833333333337</v>
      </c>
      <c r="K100" s="70"/>
      <c r="O100" s="71"/>
    </row>
    <row r="101" spans="1:15" ht="27.75" x14ac:dyDescent="0.5">
      <c r="A101" s="818" t="s">
        <v>247</v>
      </c>
      <c r="B101" s="819"/>
      <c r="C101" s="820"/>
      <c r="D101" s="151" t="s">
        <v>23</v>
      </c>
      <c r="E101" s="95"/>
      <c r="F101" s="95"/>
      <c r="G101" s="166">
        <f>G100/G7</f>
        <v>0.11161590327546565</v>
      </c>
      <c r="H101" s="99">
        <f>G101+'23'!H101</f>
        <v>2.1799799031435541</v>
      </c>
      <c r="I101" s="168"/>
      <c r="J101" s="175">
        <f>H101/DAY(B2)</f>
        <v>9.0832495964314752E-2</v>
      </c>
      <c r="O101" s="71"/>
    </row>
    <row r="102" spans="1:15" ht="27.75" x14ac:dyDescent="0.5">
      <c r="A102" s="818" t="s">
        <v>248</v>
      </c>
      <c r="B102" s="819"/>
      <c r="C102" s="820"/>
      <c r="D102" s="151" t="s">
        <v>180</v>
      </c>
      <c r="E102" s="95"/>
      <c r="F102" s="95"/>
      <c r="G102" s="99">
        <f>G36+G50</f>
        <v>1671.3399999999965</v>
      </c>
      <c r="H102" s="99">
        <f>G102+'23'!H102</f>
        <v>41712</v>
      </c>
      <c r="I102" s="168"/>
      <c r="J102" s="175">
        <f>H102/DAY(B2)</f>
        <v>1738</v>
      </c>
      <c r="O102" s="71"/>
    </row>
    <row r="103" spans="1:15" ht="27.75" x14ac:dyDescent="0.5">
      <c r="A103" s="818" t="s">
        <v>249</v>
      </c>
      <c r="B103" s="819"/>
      <c r="C103" s="820"/>
      <c r="D103" s="151" t="s">
        <v>23</v>
      </c>
      <c r="E103" s="95"/>
      <c r="F103" s="95"/>
      <c r="G103" s="166">
        <f>G102/G7</f>
        <v>0.1021403554445745</v>
      </c>
      <c r="H103" s="99">
        <f>G103+'23'!H103</f>
        <v>2.2867944753564804</v>
      </c>
      <c r="I103" s="118"/>
      <c r="J103" s="175">
        <f>H103/DAY(B2)</f>
        <v>9.5283103139853345E-2</v>
      </c>
      <c r="O103" s="71"/>
    </row>
    <row r="104" spans="1:15" ht="27.75" x14ac:dyDescent="0.5">
      <c r="A104" s="818" t="s">
        <v>250</v>
      </c>
      <c r="B104" s="819"/>
      <c r="C104" s="820"/>
      <c r="D104" s="151" t="s">
        <v>180</v>
      </c>
      <c r="E104" s="95"/>
      <c r="F104" s="95"/>
      <c r="G104" s="99">
        <f>G37+G51</f>
        <v>1645.5099999999984</v>
      </c>
      <c r="H104" s="99">
        <f>G104+'23'!H104</f>
        <v>36600</v>
      </c>
      <c r="I104" s="118"/>
      <c r="J104" s="175">
        <f>H104/DAY(B2)</f>
        <v>1525</v>
      </c>
      <c r="O104" s="71"/>
    </row>
    <row r="105" spans="1:15" ht="28.5" thickBot="1" x14ac:dyDescent="0.55000000000000004">
      <c r="A105" s="858" t="s">
        <v>251</v>
      </c>
      <c r="B105" s="859"/>
      <c r="C105" s="860"/>
      <c r="D105" s="231" t="s">
        <v>23</v>
      </c>
      <c r="E105" s="185"/>
      <c r="F105" s="185"/>
      <c r="G105" s="186">
        <f>G104/G7</f>
        <v>0.10056181045604244</v>
      </c>
      <c r="H105" s="99">
        <f>G105+'23'!H105</f>
        <v>2.020930587404945</v>
      </c>
      <c r="I105" s="187"/>
      <c r="J105" s="188">
        <f>H105/DAY(B2)</f>
        <v>8.4205441141872714E-2</v>
      </c>
      <c r="O105" s="71"/>
    </row>
    <row r="106" spans="1:15" ht="29.25" x14ac:dyDescent="0.5">
      <c r="A106" s="105"/>
      <c r="B106" s="96"/>
      <c r="C106" s="96"/>
      <c r="D106" s="169"/>
      <c r="E106" s="169"/>
      <c r="F106" s="169"/>
      <c r="G106" s="169"/>
      <c r="H106" s="170"/>
      <c r="I106" s="169"/>
      <c r="J106" s="171"/>
      <c r="O106" s="71"/>
    </row>
    <row r="107" spans="1:15" ht="29.25" x14ac:dyDescent="0.5"/>
    <row r="108" spans="1:15" ht="31.5" x14ac:dyDescent="0.55000000000000004">
      <c r="A108" s="872" t="s">
        <v>324</v>
      </c>
      <c r="B108" s="872"/>
      <c r="C108" s="872"/>
      <c r="D108" s="872"/>
      <c r="E108" s="872"/>
      <c r="F108" s="872"/>
      <c r="G108" s="872"/>
      <c r="H108" s="872"/>
      <c r="I108" s="872"/>
      <c r="J108" s="872"/>
    </row>
    <row r="109" spans="1:15" ht="29.25" x14ac:dyDescent="0.5">
      <c r="A109" s="857"/>
      <c r="B109" s="857"/>
    </row>
    <row r="110" spans="1:15" ht="29.25" x14ac:dyDescent="0.5">
      <c r="A110" s="873" t="s">
        <v>165</v>
      </c>
      <c r="B110" s="874"/>
      <c r="C110" s="874"/>
      <c r="D110" s="874"/>
      <c r="E110" s="874"/>
      <c r="F110" s="874"/>
      <c r="G110" s="874"/>
      <c r="H110" s="874"/>
      <c r="I110" s="874"/>
      <c r="J110" s="875"/>
    </row>
    <row r="111" spans="1:15" ht="27.75" x14ac:dyDescent="0.5">
      <c r="A111" s="876"/>
      <c r="B111" s="877"/>
      <c r="C111" s="878"/>
      <c r="D111" s="165"/>
      <c r="E111" s="165"/>
      <c r="F111" s="165"/>
      <c r="G111" s="165"/>
      <c r="H111" s="156"/>
      <c r="I111" s="165"/>
      <c r="J111" s="327"/>
    </row>
    <row r="112" spans="1:15" ht="27.75" x14ac:dyDescent="0.5">
      <c r="A112" s="851" t="s">
        <v>252</v>
      </c>
      <c r="B112" s="852"/>
      <c r="C112" s="853"/>
      <c r="D112" s="146" t="s">
        <v>183</v>
      </c>
      <c r="E112" s="95">
        <f>'23'!F112</f>
        <v>57434.45</v>
      </c>
      <c r="F112" s="237">
        <v>57510</v>
      </c>
      <c r="G112" s="112">
        <f t="shared" ref="G112:G123" si="9">F112-E112</f>
        <v>75.55000000000291</v>
      </c>
      <c r="H112" s="99">
        <f>G112+'23'!H112</f>
        <v>1829</v>
      </c>
      <c r="I112" s="165"/>
      <c r="J112" s="328">
        <f>H112/DAY(B2)</f>
        <v>76.208333333333329</v>
      </c>
    </row>
    <row r="113" spans="1:18" ht="29.25" customHeight="1" x14ac:dyDescent="0.5">
      <c r="A113" s="851" t="s">
        <v>253</v>
      </c>
      <c r="B113" s="852"/>
      <c r="C113" s="853"/>
      <c r="D113" s="146" t="s">
        <v>183</v>
      </c>
      <c r="E113" s="95">
        <f>'23'!F113</f>
        <v>42682.3</v>
      </c>
      <c r="F113" s="237">
        <v>43154</v>
      </c>
      <c r="G113" s="112">
        <f t="shared" si="9"/>
        <v>471.69999999999709</v>
      </c>
      <c r="H113" s="99">
        <f>G113+'23'!H113</f>
        <v>10959</v>
      </c>
      <c r="I113" s="165"/>
      <c r="J113" s="328">
        <f>H113/DAY(B2)</f>
        <v>456.625</v>
      </c>
    </row>
    <row r="114" spans="1:18" ht="29.25" customHeight="1" x14ac:dyDescent="0.5">
      <c r="A114" s="851" t="s">
        <v>254</v>
      </c>
      <c r="B114" s="852"/>
      <c r="C114" s="853"/>
      <c r="D114" s="146" t="s">
        <v>183</v>
      </c>
      <c r="E114" s="95">
        <f>'23'!F114</f>
        <v>31084.35</v>
      </c>
      <c r="F114" s="237">
        <v>31346</v>
      </c>
      <c r="G114" s="112">
        <f t="shared" si="9"/>
        <v>261.65000000000146</v>
      </c>
      <c r="H114" s="99">
        <f>G114+'23'!H114</f>
        <v>6341.4</v>
      </c>
      <c r="I114" s="165"/>
      <c r="J114" s="328">
        <f>H114/DAY(B2)</f>
        <v>264.22499999999997</v>
      </c>
    </row>
    <row r="115" spans="1:18" ht="29.25" customHeight="1" x14ac:dyDescent="0.5">
      <c r="A115" s="851" t="s">
        <v>255</v>
      </c>
      <c r="B115" s="852"/>
      <c r="C115" s="853"/>
      <c r="D115" s="146" t="s">
        <v>183</v>
      </c>
      <c r="E115" s="95">
        <f>'23'!F115</f>
        <v>9020.7800000000007</v>
      </c>
      <c r="F115" s="237">
        <v>9029</v>
      </c>
      <c r="G115" s="112">
        <f t="shared" si="9"/>
        <v>8.2199999999993452</v>
      </c>
      <c r="H115" s="99">
        <f>G115+'23'!H115</f>
        <v>244</v>
      </c>
      <c r="I115" s="165"/>
      <c r="J115" s="328">
        <f>H115/DAY(B2)</f>
        <v>10.166666666666666</v>
      </c>
    </row>
    <row r="116" spans="1:18" ht="29.25" customHeight="1" x14ac:dyDescent="0.5">
      <c r="A116" s="869" t="s">
        <v>96</v>
      </c>
      <c r="B116" s="870"/>
      <c r="C116" s="871"/>
      <c r="D116" s="146" t="s">
        <v>183</v>
      </c>
      <c r="E116" s="95">
        <f>'23'!F116</f>
        <v>0</v>
      </c>
      <c r="F116" s="237">
        <v>0</v>
      </c>
      <c r="G116" s="112">
        <f t="shared" si="9"/>
        <v>0</v>
      </c>
      <c r="H116" s="99">
        <f>G116+'23'!H116</f>
        <v>0</v>
      </c>
      <c r="I116" s="165"/>
      <c r="J116" s="328">
        <f>H116/DAY(B2)</f>
        <v>0</v>
      </c>
      <c r="Q116" s="851"/>
      <c r="R116" s="853"/>
    </row>
    <row r="117" spans="1:18" ht="29.25" customHeight="1" x14ac:dyDescent="0.5">
      <c r="A117" s="869" t="s">
        <v>184</v>
      </c>
      <c r="B117" s="870"/>
      <c r="C117" s="871"/>
      <c r="D117" s="146" t="s">
        <v>183</v>
      </c>
      <c r="E117" s="95">
        <f>'23'!F117</f>
        <v>3138.48</v>
      </c>
      <c r="F117" s="237">
        <v>3161</v>
      </c>
      <c r="G117" s="112">
        <f t="shared" si="9"/>
        <v>22.519999999999982</v>
      </c>
      <c r="H117" s="99">
        <f>G117+'23'!H117</f>
        <v>571</v>
      </c>
      <c r="I117" s="165"/>
      <c r="J117" s="328">
        <f>H117/DAY(B2)</f>
        <v>23.791666666666668</v>
      </c>
      <c r="Q117" s="851"/>
      <c r="R117" s="853"/>
    </row>
    <row r="118" spans="1:18" ht="27.75" x14ac:dyDescent="0.5">
      <c r="A118" s="846" t="s">
        <v>97</v>
      </c>
      <c r="B118" s="846"/>
      <c r="C118" s="846"/>
      <c r="D118" s="151" t="s">
        <v>183</v>
      </c>
      <c r="E118" s="95">
        <f>'23'!F118</f>
        <v>249730.91</v>
      </c>
      <c r="F118" s="237">
        <v>250107</v>
      </c>
      <c r="G118" s="112">
        <f t="shared" si="9"/>
        <v>376.08999999999651</v>
      </c>
      <c r="H118" s="99">
        <f>G118+'23'!H118</f>
        <v>8460</v>
      </c>
      <c r="I118" s="165"/>
      <c r="J118" s="328">
        <f>H118/DAY(B2)</f>
        <v>352.5</v>
      </c>
      <c r="Q118" s="851"/>
      <c r="R118" s="853"/>
    </row>
    <row r="119" spans="1:18" ht="27.75" x14ac:dyDescent="0.5">
      <c r="A119" s="846" t="s">
        <v>98</v>
      </c>
      <c r="B119" s="846"/>
      <c r="C119" s="846"/>
      <c r="D119" s="151" t="s">
        <v>183</v>
      </c>
      <c r="E119" s="95">
        <f>'23'!F119</f>
        <v>254824.83</v>
      </c>
      <c r="F119" s="237">
        <v>255232</v>
      </c>
      <c r="G119" s="112">
        <f t="shared" si="9"/>
        <v>407.17000000001281</v>
      </c>
      <c r="H119" s="99">
        <f>G119+'23'!H119</f>
        <v>10106</v>
      </c>
      <c r="I119" s="165"/>
      <c r="J119" s="328">
        <f>H119/DAY(B2)</f>
        <v>421.08333333333331</v>
      </c>
    </row>
    <row r="120" spans="1:18" ht="27.75" x14ac:dyDescent="0.5">
      <c r="A120" s="846" t="s">
        <v>99</v>
      </c>
      <c r="B120" s="846"/>
      <c r="C120" s="846"/>
      <c r="D120" s="151" t="s">
        <v>183</v>
      </c>
      <c r="E120" s="95">
        <f>'23'!F120</f>
        <v>39631.870000000003</v>
      </c>
      <c r="F120" s="237">
        <v>40045.769999999997</v>
      </c>
      <c r="G120" s="112">
        <f t="shared" si="9"/>
        <v>413.89999999999418</v>
      </c>
      <c r="H120" s="99">
        <f>G120+'23'!H120</f>
        <v>9967.7699999999968</v>
      </c>
      <c r="I120" s="165"/>
      <c r="J120" s="328">
        <f>H120/DAY(B2)</f>
        <v>415.32374999999985</v>
      </c>
    </row>
    <row r="121" spans="1:18" ht="27.75" x14ac:dyDescent="0.5">
      <c r="A121" s="846" t="s">
        <v>100</v>
      </c>
      <c r="B121" s="846"/>
      <c r="C121" s="846"/>
      <c r="D121" s="151" t="s">
        <v>183</v>
      </c>
      <c r="E121" s="95">
        <f>'23'!F121</f>
        <v>392394.07</v>
      </c>
      <c r="F121" s="237">
        <v>393054</v>
      </c>
      <c r="G121" s="112">
        <f t="shared" si="9"/>
        <v>659.92999999999302</v>
      </c>
      <c r="H121" s="99">
        <f>G121+'23'!H121</f>
        <v>16525</v>
      </c>
      <c r="I121" s="165"/>
      <c r="J121" s="328">
        <f>H121/DAY(B2)</f>
        <v>688.54166666666663</v>
      </c>
    </row>
    <row r="122" spans="1:18" ht="27.75" x14ac:dyDescent="0.5">
      <c r="A122" s="846" t="s">
        <v>101</v>
      </c>
      <c r="B122" s="846"/>
      <c r="C122" s="846"/>
      <c r="D122" s="151" t="s">
        <v>183</v>
      </c>
      <c r="E122" s="95">
        <f>'23'!F122</f>
        <v>124665.59</v>
      </c>
      <c r="F122" s="237">
        <v>124853</v>
      </c>
      <c r="G122" s="112">
        <f t="shared" si="9"/>
        <v>187.41000000000349</v>
      </c>
      <c r="H122" s="99">
        <f>G122+'23'!H122</f>
        <v>4803</v>
      </c>
      <c r="I122" s="165"/>
      <c r="J122" s="328">
        <f>H122/DAY(B2)</f>
        <v>200.125</v>
      </c>
    </row>
    <row r="123" spans="1:18" ht="27.75" x14ac:dyDescent="0.5">
      <c r="A123" s="846" t="s">
        <v>102</v>
      </c>
      <c r="B123" s="846"/>
      <c r="C123" s="846"/>
      <c r="D123" s="151" t="s">
        <v>183</v>
      </c>
      <c r="E123" s="95">
        <f>'23'!F123</f>
        <v>151865.10999999999</v>
      </c>
      <c r="F123" s="237">
        <v>152131</v>
      </c>
      <c r="G123" s="112">
        <f t="shared" si="9"/>
        <v>265.89000000001397</v>
      </c>
      <c r="H123" s="99">
        <f>G123+'23'!H123</f>
        <v>7006</v>
      </c>
      <c r="I123" s="165"/>
      <c r="J123" s="328">
        <f>H123/DAY(B2)</f>
        <v>291.91666666666669</v>
      </c>
    </row>
    <row r="124" spans="1:18" ht="29.25" customHeight="1" x14ac:dyDescent="0.5">
      <c r="A124" s="876"/>
      <c r="B124" s="877"/>
      <c r="C124" s="878"/>
      <c r="D124" s="165"/>
      <c r="E124" s="95">
        <f>'23'!F124</f>
        <v>0</v>
      </c>
      <c r="F124" s="165"/>
      <c r="G124" s="327"/>
      <c r="H124" s="156"/>
      <c r="I124" s="165"/>
      <c r="J124" s="327"/>
    </row>
    <row r="125" spans="1:18" ht="27.75" x14ac:dyDescent="0.5">
      <c r="A125" s="879" t="s">
        <v>196</v>
      </c>
      <c r="B125" s="880"/>
      <c r="C125" s="245"/>
      <c r="D125" s="307"/>
      <c r="E125" s="308"/>
      <c r="F125" s="308"/>
      <c r="G125" s="309">
        <f>SUM(G112:G124)</f>
        <v>3150.0300000000148</v>
      </c>
      <c r="H125" s="156"/>
      <c r="I125" s="327">
        <f>G125-(G39+G53)</f>
        <v>542.83000000001766</v>
      </c>
      <c r="J125" s="327"/>
    </row>
    <row r="126" spans="1:18" ht="27.75" x14ac:dyDescent="0.5">
      <c r="A126" s="881" t="s">
        <v>317</v>
      </c>
      <c r="B126" s="881"/>
      <c r="C126" s="881"/>
      <c r="D126" s="881"/>
      <c r="E126" s="881"/>
      <c r="F126" s="881"/>
      <c r="G126" s="881"/>
      <c r="H126" s="881"/>
      <c r="I126" s="881"/>
      <c r="J126" s="881"/>
    </row>
    <row r="127" spans="1:18" ht="27.75" x14ac:dyDescent="0.5">
      <c r="A127" s="882"/>
      <c r="B127" s="882"/>
      <c r="C127" s="245"/>
      <c r="D127" s="307"/>
      <c r="E127" s="308"/>
      <c r="F127" s="308"/>
      <c r="G127" s="309"/>
      <c r="H127" s="99">
        <f>G127+'23'!H127</f>
        <v>0</v>
      </c>
      <c r="I127" s="165"/>
      <c r="J127" s="328">
        <f>H127/DAY(B2)</f>
        <v>0</v>
      </c>
    </row>
    <row r="128" spans="1:18" ht="29.25" customHeight="1" x14ac:dyDescent="0.5">
      <c r="A128" s="851" t="s">
        <v>318</v>
      </c>
      <c r="B128" s="852"/>
      <c r="C128" s="853"/>
      <c r="D128" s="151" t="s">
        <v>183</v>
      </c>
      <c r="E128" s="95">
        <f>'23'!F128</f>
        <v>45277.1</v>
      </c>
      <c r="F128" s="165">
        <v>45611</v>
      </c>
      <c r="G128" s="112">
        <f t="shared" ref="G128:G134" si="10">F128-E128</f>
        <v>333.90000000000146</v>
      </c>
      <c r="H128" s="99">
        <f>G128+'23'!H128</f>
        <v>7607</v>
      </c>
      <c r="I128" s="165"/>
      <c r="J128" s="328">
        <f>H128/DAY(B2)</f>
        <v>316.95833333333331</v>
      </c>
    </row>
    <row r="129" spans="1:15" ht="27.75" x14ac:dyDescent="0.5">
      <c r="A129" s="329" t="s">
        <v>319</v>
      </c>
      <c r="B129" s="330"/>
      <c r="C129" s="331"/>
      <c r="D129" s="151" t="s">
        <v>183</v>
      </c>
      <c r="E129" s="95">
        <f>'23'!F129</f>
        <v>25350.19</v>
      </c>
      <c r="F129" s="165">
        <v>25528</v>
      </c>
      <c r="G129" s="112">
        <f t="shared" si="10"/>
        <v>177.81000000000131</v>
      </c>
      <c r="H129" s="99">
        <f>G129+'23'!H129</f>
        <v>5207</v>
      </c>
      <c r="I129" s="165"/>
      <c r="J129" s="328">
        <f>H129/DAY(B2)</f>
        <v>216.95833333333334</v>
      </c>
      <c r="N129" s="240"/>
      <c r="O129" s="241"/>
    </row>
    <row r="130" spans="1:15" ht="27.75" x14ac:dyDescent="0.5">
      <c r="A130" s="329" t="s">
        <v>320</v>
      </c>
      <c r="B130" s="330"/>
      <c r="C130" s="331"/>
      <c r="D130" s="151" t="s">
        <v>183</v>
      </c>
      <c r="E130" s="95">
        <f>'23'!F130</f>
        <v>31919.45</v>
      </c>
      <c r="F130" s="165">
        <v>32314</v>
      </c>
      <c r="G130" s="112">
        <f t="shared" si="10"/>
        <v>394.54999999999927</v>
      </c>
      <c r="H130" s="99">
        <f>G130+'23'!H130</f>
        <v>13932</v>
      </c>
      <c r="I130" s="165"/>
      <c r="J130" s="328">
        <f>H130/DAY(B2)</f>
        <v>580.5</v>
      </c>
      <c r="N130" s="240"/>
      <c r="O130" s="241"/>
    </row>
    <row r="131" spans="1:15" ht="27.75" x14ac:dyDescent="0.5">
      <c r="A131" s="851" t="s">
        <v>321</v>
      </c>
      <c r="B131" s="852"/>
      <c r="C131" s="853"/>
      <c r="D131" s="151" t="s">
        <v>183</v>
      </c>
      <c r="E131" s="95">
        <f>'23'!F131</f>
        <v>14834.07</v>
      </c>
      <c r="F131" s="165">
        <v>14903</v>
      </c>
      <c r="G131" s="112">
        <f t="shared" si="10"/>
        <v>68.930000000000291</v>
      </c>
      <c r="H131" s="99">
        <f>G131+'23'!H131</f>
        <v>1750</v>
      </c>
      <c r="I131" s="165"/>
      <c r="J131" s="328">
        <f>H131/DAY(B2)</f>
        <v>72.916666666666671</v>
      </c>
      <c r="N131" s="240"/>
      <c r="O131" s="241"/>
    </row>
    <row r="132" spans="1:15" ht="27.75" x14ac:dyDescent="0.5">
      <c r="A132" s="851" t="s">
        <v>322</v>
      </c>
      <c r="B132" s="852"/>
      <c r="C132" s="853"/>
      <c r="D132" s="151" t="s">
        <v>183</v>
      </c>
      <c r="E132" s="95">
        <f>'23'!F132</f>
        <v>50518.21</v>
      </c>
      <c r="F132" s="165">
        <v>50682</v>
      </c>
      <c r="G132" s="112">
        <f t="shared" si="10"/>
        <v>163.79000000000087</v>
      </c>
      <c r="H132" s="99">
        <f>G132+'23'!H132</f>
        <v>9659</v>
      </c>
      <c r="I132" s="165"/>
      <c r="J132" s="328">
        <f>H132/DAY(B2)</f>
        <v>402.45833333333331</v>
      </c>
    </row>
    <row r="133" spans="1:15" ht="27.75" x14ac:dyDescent="0.5">
      <c r="A133" s="851" t="s">
        <v>362</v>
      </c>
      <c r="B133" s="852"/>
      <c r="C133" s="853"/>
      <c r="D133" s="151" t="s">
        <v>183</v>
      </c>
      <c r="E133" s="95">
        <f>'23'!F133</f>
        <v>101877.43</v>
      </c>
      <c r="F133" s="165">
        <v>102315</v>
      </c>
      <c r="G133" s="112">
        <f t="shared" si="10"/>
        <v>437.57000000000698</v>
      </c>
      <c r="H133" s="99">
        <f>G133+'23'!H133</f>
        <v>14612</v>
      </c>
      <c r="I133" s="165"/>
      <c r="J133" s="328">
        <f>H133/DAY(B2)</f>
        <v>608.83333333333337</v>
      </c>
    </row>
    <row r="134" spans="1:15" ht="27.75" x14ac:dyDescent="0.5">
      <c r="A134" s="851" t="s">
        <v>340</v>
      </c>
      <c r="B134" s="852"/>
      <c r="C134" s="853"/>
      <c r="D134" s="151" t="s">
        <v>183</v>
      </c>
      <c r="E134" s="95">
        <f>'23'!F134</f>
        <v>7394.85</v>
      </c>
      <c r="F134" s="502">
        <v>7550</v>
      </c>
      <c r="G134" s="112">
        <f t="shared" si="10"/>
        <v>155.14999999999964</v>
      </c>
      <c r="H134" s="99">
        <f>G134+'23'!H134</f>
        <v>9843.9999999999982</v>
      </c>
      <c r="I134" s="165"/>
      <c r="J134" s="328">
        <f>H134/DAY(B2)</f>
        <v>410.16666666666657</v>
      </c>
    </row>
    <row r="135" spans="1:15" ht="27.75" x14ac:dyDescent="0.5">
      <c r="A135" s="879" t="s">
        <v>196</v>
      </c>
      <c r="B135" s="880"/>
      <c r="C135" s="331"/>
      <c r="D135" s="151"/>
      <c r="E135" s="95"/>
      <c r="F135" s="165"/>
      <c r="G135" s="112">
        <f>SUM(G128:G134)</f>
        <v>1731.7000000000098</v>
      </c>
      <c r="H135" s="99">
        <f>G135+'23'!H135</f>
        <v>35091.869999999995</v>
      </c>
      <c r="I135" s="327">
        <f>G135-(G35+G49)</f>
        <v>-305.30999999998858</v>
      </c>
      <c r="J135" s="328"/>
    </row>
    <row r="136" spans="1:15" ht="31.5" x14ac:dyDescent="0.55000000000000004">
      <c r="A136" s="883" t="s">
        <v>325</v>
      </c>
      <c r="B136" s="883"/>
      <c r="C136" s="883"/>
      <c r="D136" s="883"/>
      <c r="E136" s="883"/>
      <c r="F136" s="883"/>
      <c r="G136" s="883"/>
      <c r="H136" s="883"/>
      <c r="I136" s="883"/>
      <c r="J136" s="883"/>
    </row>
    <row r="137" spans="1:15" ht="29.25" x14ac:dyDescent="0.5">
      <c r="A137" s="245"/>
      <c r="B137" s="246"/>
      <c r="C137" s="246"/>
      <c r="D137" s="165"/>
      <c r="E137" s="165"/>
      <c r="F137" s="165"/>
      <c r="G137" s="165"/>
      <c r="H137" s="156"/>
      <c r="I137" s="165"/>
      <c r="J137" s="327"/>
    </row>
    <row r="138" spans="1:15" ht="27.75" x14ac:dyDescent="0.5">
      <c r="A138" s="846" t="s">
        <v>185</v>
      </c>
      <c r="B138" s="846"/>
      <c r="C138" s="846"/>
      <c r="D138" s="151" t="s">
        <v>183</v>
      </c>
      <c r="E138" s="95">
        <f>'23'!F138</f>
        <v>865689</v>
      </c>
      <c r="F138" s="147">
        <v>865753</v>
      </c>
      <c r="G138" s="112">
        <f t="shared" ref="G138:G152" si="11">F138-E138</f>
        <v>64</v>
      </c>
      <c r="H138" s="99">
        <f>G138+'23'!H138</f>
        <v>1582</v>
      </c>
      <c r="I138" s="118"/>
      <c r="J138" s="328">
        <f>H138/DAY(B2)</f>
        <v>65.916666666666671</v>
      </c>
    </row>
    <row r="139" spans="1:15" ht="27.75" x14ac:dyDescent="0.5">
      <c r="A139" s="846" t="s">
        <v>186</v>
      </c>
      <c r="B139" s="846"/>
      <c r="C139" s="846"/>
      <c r="D139" s="151" t="s">
        <v>183</v>
      </c>
      <c r="E139" s="95">
        <f>'23'!F139</f>
        <v>886568</v>
      </c>
      <c r="F139" s="148">
        <v>886568</v>
      </c>
      <c r="G139" s="112">
        <f t="shared" si="11"/>
        <v>0</v>
      </c>
      <c r="H139" s="99">
        <f>G139+'23'!H139</f>
        <v>22</v>
      </c>
      <c r="I139" s="118"/>
      <c r="J139" s="328">
        <f>H139/DAY(B2)</f>
        <v>0.91666666666666663</v>
      </c>
    </row>
    <row r="140" spans="1:15" ht="27.75" x14ac:dyDescent="0.5">
      <c r="A140" s="846" t="s">
        <v>187</v>
      </c>
      <c r="B140" s="846"/>
      <c r="C140" s="846"/>
      <c r="D140" s="151" t="s">
        <v>183</v>
      </c>
      <c r="E140" s="95">
        <f>'23'!F140</f>
        <v>88922.03</v>
      </c>
      <c r="F140" s="149">
        <v>88922</v>
      </c>
      <c r="G140" s="112">
        <f t="shared" si="11"/>
        <v>-2.9999999998835847E-2</v>
      </c>
      <c r="H140" s="99">
        <f>G140+'23'!H140</f>
        <v>40</v>
      </c>
      <c r="I140" s="118"/>
      <c r="J140" s="328">
        <f>H140/DAY(B2)</f>
        <v>1.6666666666666667</v>
      </c>
    </row>
    <row r="141" spans="1:15" ht="27.75" x14ac:dyDescent="0.5">
      <c r="A141" s="850" t="s">
        <v>188</v>
      </c>
      <c r="B141" s="850"/>
      <c r="C141" s="850"/>
      <c r="D141" s="151" t="s">
        <v>183</v>
      </c>
      <c r="E141" s="95">
        <f>'23'!F141</f>
        <v>53301.33</v>
      </c>
      <c r="F141" s="149">
        <v>53475</v>
      </c>
      <c r="G141" s="112">
        <f t="shared" si="11"/>
        <v>173.66999999999825</v>
      </c>
      <c r="H141" s="99">
        <f>G141+'23'!H141</f>
        <v>4169</v>
      </c>
      <c r="I141" s="118"/>
      <c r="J141" s="328">
        <f>H141/DAY(B2)</f>
        <v>173.70833333333334</v>
      </c>
    </row>
    <row r="142" spans="1:15" ht="27.75" x14ac:dyDescent="0.5">
      <c r="A142" s="850" t="s">
        <v>189</v>
      </c>
      <c r="B142" s="850"/>
      <c r="C142" s="850"/>
      <c r="D142" s="151" t="s">
        <v>183</v>
      </c>
      <c r="E142" s="95">
        <f>'23'!F142</f>
        <v>20660.27</v>
      </c>
      <c r="F142" s="148">
        <v>20742</v>
      </c>
      <c r="G142" s="112">
        <f t="shared" si="11"/>
        <v>81.729999999999563</v>
      </c>
      <c r="H142" s="99">
        <f>G142+'23'!H142</f>
        <v>1733</v>
      </c>
      <c r="I142" s="140"/>
      <c r="J142" s="328">
        <f>H142/DAY(B2)</f>
        <v>72.208333333333329</v>
      </c>
    </row>
    <row r="143" spans="1:15" ht="27.75" x14ac:dyDescent="0.5">
      <c r="A143" s="846" t="s">
        <v>91</v>
      </c>
      <c r="B143" s="846"/>
      <c r="C143" s="846"/>
      <c r="D143" s="151" t="s">
        <v>183</v>
      </c>
      <c r="E143" s="95">
        <f>'23'!F143</f>
        <v>3620.62</v>
      </c>
      <c r="F143" s="149">
        <v>3655</v>
      </c>
      <c r="G143" s="112">
        <f t="shared" si="11"/>
        <v>34.380000000000109</v>
      </c>
      <c r="H143" s="99">
        <f>G143+'23'!H143</f>
        <v>594</v>
      </c>
      <c r="I143" s="140"/>
      <c r="J143" s="328">
        <f>H143/DAY(B2)</f>
        <v>24.75</v>
      </c>
    </row>
    <row r="144" spans="1:15" ht="27.75" x14ac:dyDescent="0.5">
      <c r="A144" s="850" t="s">
        <v>90</v>
      </c>
      <c r="B144" s="850"/>
      <c r="C144" s="850"/>
      <c r="D144" s="151" t="s">
        <v>183</v>
      </c>
      <c r="E144" s="95">
        <f>'23'!F144</f>
        <v>874866</v>
      </c>
      <c r="F144" s="149">
        <v>875079</v>
      </c>
      <c r="G144" s="112">
        <f t="shared" si="11"/>
        <v>213</v>
      </c>
      <c r="H144" s="99">
        <f>G144+'23'!H144</f>
        <v>5409</v>
      </c>
      <c r="I144" s="140"/>
      <c r="J144" s="328">
        <f>H144/DAY(B2)</f>
        <v>225.375</v>
      </c>
    </row>
    <row r="145" spans="1:10" ht="27.75" x14ac:dyDescent="0.5">
      <c r="A145" s="846" t="s">
        <v>190</v>
      </c>
      <c r="B145" s="846"/>
      <c r="C145" s="846"/>
      <c r="D145" s="152" t="s">
        <v>183</v>
      </c>
      <c r="E145" s="95">
        <f>'23'!F145</f>
        <v>4902.26</v>
      </c>
      <c r="F145" s="149">
        <v>4909</v>
      </c>
      <c r="G145" s="112">
        <f t="shared" si="11"/>
        <v>6.7399999999997817</v>
      </c>
      <c r="H145" s="99">
        <f>G145+'23'!H145</f>
        <v>351</v>
      </c>
      <c r="I145" s="140"/>
      <c r="J145" s="328">
        <f>H145/DAY(B2)</f>
        <v>14.625</v>
      </c>
    </row>
    <row r="146" spans="1:10" ht="27.75" x14ac:dyDescent="0.5">
      <c r="A146" s="847" t="s">
        <v>191</v>
      </c>
      <c r="B146" s="848"/>
      <c r="C146" s="849"/>
      <c r="D146" s="152" t="s">
        <v>183</v>
      </c>
      <c r="E146" s="95">
        <f>'23'!F146</f>
        <v>734107</v>
      </c>
      <c r="F146" s="148">
        <v>734505</v>
      </c>
      <c r="G146" s="112">
        <f t="shared" si="11"/>
        <v>398</v>
      </c>
      <c r="H146" s="99">
        <f>G146+'23'!H146</f>
        <v>9647</v>
      </c>
      <c r="I146" s="140"/>
      <c r="J146" s="328">
        <f>H146/DAY(B2)</f>
        <v>401.95833333333331</v>
      </c>
    </row>
    <row r="147" spans="1:10" ht="27.75" x14ac:dyDescent="0.5">
      <c r="A147" s="850" t="s">
        <v>192</v>
      </c>
      <c r="B147" s="850"/>
      <c r="C147" s="850"/>
      <c r="D147" s="152" t="s">
        <v>183</v>
      </c>
      <c r="E147" s="95">
        <f>'23'!F147</f>
        <v>623801.96</v>
      </c>
      <c r="F147" s="148">
        <v>624120</v>
      </c>
      <c r="G147" s="112">
        <f t="shared" si="11"/>
        <v>318.04000000003725</v>
      </c>
      <c r="H147" s="99">
        <f>G147+'23'!H147</f>
        <v>8838</v>
      </c>
      <c r="I147" s="140"/>
      <c r="J147" s="328">
        <f>H147/DAY(B2)</f>
        <v>368.25</v>
      </c>
    </row>
    <row r="148" spans="1:10" ht="27.75" x14ac:dyDescent="0.5">
      <c r="A148" s="842" t="s">
        <v>193</v>
      </c>
      <c r="B148" s="843"/>
      <c r="C148" s="844"/>
      <c r="D148" s="123" t="s">
        <v>130</v>
      </c>
      <c r="E148" s="95">
        <f>'23'!F148</f>
        <v>687966.96</v>
      </c>
      <c r="F148" s="150">
        <v>688121</v>
      </c>
      <c r="G148" s="112">
        <f t="shared" si="11"/>
        <v>154.04000000003725</v>
      </c>
      <c r="H148" s="99">
        <f>G148+'23'!H148</f>
        <v>5087.8800000000047</v>
      </c>
      <c r="I148" s="124"/>
      <c r="J148" s="328">
        <f>H148/DAY(B2)</f>
        <v>211.9950000000002</v>
      </c>
    </row>
    <row r="149" spans="1:10" ht="27.75" x14ac:dyDescent="0.5">
      <c r="A149" s="842" t="s">
        <v>336</v>
      </c>
      <c r="B149" s="843"/>
      <c r="C149" s="844"/>
      <c r="D149" s="227" t="s">
        <v>130</v>
      </c>
      <c r="E149" s="95">
        <f>'23'!F149</f>
        <v>20624.12</v>
      </c>
      <c r="F149" s="146">
        <v>21180</v>
      </c>
      <c r="G149" s="112">
        <f t="shared" si="11"/>
        <v>555.88000000000102</v>
      </c>
      <c r="H149" s="99">
        <f>G149+'23'!H149</f>
        <v>10431</v>
      </c>
      <c r="I149" s="119"/>
      <c r="J149" s="328">
        <f>H149/DAY(B2)</f>
        <v>434.625</v>
      </c>
    </row>
    <row r="150" spans="1:10" ht="27.75" x14ac:dyDescent="0.5">
      <c r="A150" s="842" t="s">
        <v>337</v>
      </c>
      <c r="B150" s="843"/>
      <c r="C150" s="844"/>
      <c r="D150" s="117" t="s">
        <v>130</v>
      </c>
      <c r="E150" s="95">
        <f>'23'!F150</f>
        <v>9087.73</v>
      </c>
      <c r="F150" s="233">
        <v>9307</v>
      </c>
      <c r="G150" s="112">
        <f t="shared" si="11"/>
        <v>219.27000000000044</v>
      </c>
      <c r="H150" s="99">
        <f>G150+'23'!H150</f>
        <v>5255</v>
      </c>
      <c r="I150" s="119"/>
      <c r="J150" s="328">
        <f>H150/DAY(B2)</f>
        <v>218.95833333333334</v>
      </c>
    </row>
    <row r="151" spans="1:10" ht="27.75" x14ac:dyDescent="0.5">
      <c r="A151" s="842" t="s">
        <v>338</v>
      </c>
      <c r="B151" s="843"/>
      <c r="C151" s="844"/>
      <c r="D151" s="117" t="s">
        <v>130</v>
      </c>
      <c r="E151" s="95">
        <f>'23'!F151</f>
        <v>83495</v>
      </c>
      <c r="F151" s="233">
        <v>83702</v>
      </c>
      <c r="G151" s="112">
        <f t="shared" si="11"/>
        <v>207</v>
      </c>
      <c r="H151" s="99">
        <f>G151+'23'!H151</f>
        <v>5485</v>
      </c>
      <c r="I151" s="119"/>
      <c r="J151" s="328">
        <f>H151/DAY(B2)</f>
        <v>228.54166666666666</v>
      </c>
    </row>
    <row r="152" spans="1:10" ht="27.75" x14ac:dyDescent="0.5">
      <c r="A152" s="842" t="s">
        <v>339</v>
      </c>
      <c r="B152" s="843"/>
      <c r="C152" s="844"/>
      <c r="D152" s="117" t="s">
        <v>130</v>
      </c>
      <c r="E152" s="95">
        <f>'23'!F152</f>
        <v>1515.98</v>
      </c>
      <c r="F152" s="233">
        <v>1531</v>
      </c>
      <c r="G152" s="112">
        <f t="shared" si="11"/>
        <v>15.019999999999982</v>
      </c>
      <c r="H152" s="99">
        <f>G152+'23'!H152</f>
        <v>404</v>
      </c>
      <c r="I152" s="119"/>
      <c r="J152" s="328">
        <f>H152/DAY(B2)</f>
        <v>16.833333333333332</v>
      </c>
    </row>
    <row r="153" spans="1:10" ht="27.75" x14ac:dyDescent="0.5">
      <c r="A153" s="879" t="s">
        <v>196</v>
      </c>
      <c r="B153" s="880"/>
      <c r="C153" s="365"/>
      <c r="D153" s="358"/>
      <c r="E153" s="360"/>
      <c r="F153" s="361"/>
      <c r="G153" s="362">
        <f>SUM(G138:G152)</f>
        <v>2440.7400000000748</v>
      </c>
      <c r="H153" s="363"/>
      <c r="I153" s="119">
        <f>G153-(G38+G52)</f>
        <v>614.3500000000754</v>
      </c>
      <c r="J153" s="366"/>
    </row>
    <row r="154" spans="1:10" ht="31.5" x14ac:dyDescent="0.55000000000000004">
      <c r="A154" s="883" t="s">
        <v>344</v>
      </c>
      <c r="B154" s="883"/>
      <c r="C154" s="883"/>
      <c r="D154" s="883"/>
      <c r="E154" s="883"/>
      <c r="F154" s="883"/>
      <c r="G154" s="883"/>
      <c r="H154" s="883"/>
      <c r="I154" s="883"/>
      <c r="J154" s="883"/>
    </row>
    <row r="155" spans="1:10" ht="31.5" x14ac:dyDescent="0.55000000000000004">
      <c r="A155" s="850" t="s">
        <v>345</v>
      </c>
      <c r="B155" s="850"/>
      <c r="C155" s="850"/>
      <c r="D155" s="117" t="s">
        <v>130</v>
      </c>
      <c r="E155" s="95">
        <f>'23'!F155</f>
        <v>27083</v>
      </c>
      <c r="F155" s="505">
        <v>27719</v>
      </c>
      <c r="G155" s="112">
        <f t="shared" ref="G155:G158" si="12">F155-E155</f>
        <v>636</v>
      </c>
      <c r="H155" s="99">
        <f>G155+'23'!H155</f>
        <v>14247</v>
      </c>
      <c r="I155" s="364"/>
      <c r="J155" s="328">
        <f>H155/DAY(B2)</f>
        <v>593.625</v>
      </c>
    </row>
    <row r="156" spans="1:10" ht="27.75" x14ac:dyDescent="0.5">
      <c r="A156" s="850" t="s">
        <v>347</v>
      </c>
      <c r="B156" s="850"/>
      <c r="C156" s="850"/>
      <c r="D156" s="117" t="s">
        <v>130</v>
      </c>
      <c r="E156" s="95">
        <f>'23'!F156</f>
        <v>2279.13</v>
      </c>
      <c r="F156" s="155">
        <v>2333</v>
      </c>
      <c r="G156" s="112">
        <f t="shared" si="12"/>
        <v>53.869999999999891</v>
      </c>
      <c r="H156" s="99">
        <f>G156+'23'!H156</f>
        <v>1245</v>
      </c>
      <c r="I156" s="165"/>
      <c r="J156" s="328">
        <f>H156/DAY(B2)</f>
        <v>51.875</v>
      </c>
    </row>
    <row r="157" spans="1:10" ht="27.75" x14ac:dyDescent="0.5">
      <c r="A157" s="842" t="s">
        <v>364</v>
      </c>
      <c r="B157" s="843"/>
      <c r="C157" s="844"/>
      <c r="D157" s="117" t="s">
        <v>130</v>
      </c>
      <c r="E157" s="95">
        <f>'23'!F157</f>
        <v>3168.06</v>
      </c>
      <c r="F157" s="155">
        <v>3292</v>
      </c>
      <c r="G157" s="112">
        <f t="shared" si="12"/>
        <v>123.94000000000005</v>
      </c>
      <c r="H157" s="99">
        <f>G157+'23'!H157</f>
        <v>571.84000000000015</v>
      </c>
      <c r="I157" s="165"/>
      <c r="J157" s="328"/>
    </row>
    <row r="158" spans="1:10" ht="27.75" x14ac:dyDescent="0.5">
      <c r="A158" s="842" t="s">
        <v>365</v>
      </c>
      <c r="B158" s="843"/>
      <c r="C158" s="844"/>
      <c r="D158" s="117" t="s">
        <v>130</v>
      </c>
      <c r="E158" s="95">
        <f>'23'!F158</f>
        <v>27.11</v>
      </c>
      <c r="F158" s="155">
        <v>43</v>
      </c>
      <c r="G158" s="112">
        <f t="shared" si="12"/>
        <v>15.89</v>
      </c>
      <c r="H158" s="99">
        <f>G158+'23'!H158</f>
        <v>18.66</v>
      </c>
      <c r="I158" s="165"/>
      <c r="J158" s="328"/>
    </row>
    <row r="159" spans="1:10" ht="27.75" x14ac:dyDescent="0.5">
      <c r="A159" s="899"/>
      <c r="B159" s="900"/>
      <c r="C159" s="901"/>
      <c r="D159" s="117"/>
      <c r="E159" s="95"/>
      <c r="F159" s="165"/>
      <c r="G159" s="112"/>
      <c r="H159" s="99"/>
      <c r="I159" s="165"/>
      <c r="J159" s="328"/>
    </row>
    <row r="160" spans="1:10" ht="31.5" x14ac:dyDescent="0.55000000000000004">
      <c r="A160" s="883" t="s">
        <v>326</v>
      </c>
      <c r="B160" s="883"/>
      <c r="C160" s="883"/>
      <c r="D160" s="883"/>
      <c r="E160" s="883"/>
      <c r="F160" s="883"/>
      <c r="G160" s="883"/>
      <c r="H160" s="883"/>
      <c r="I160" s="883"/>
      <c r="J160" s="883"/>
    </row>
    <row r="161" spans="1:10" ht="29.25" x14ac:dyDescent="0.5">
      <c r="A161" s="242" t="s">
        <v>92</v>
      </c>
      <c r="B161" s="243"/>
      <c r="C161" s="243"/>
      <c r="D161" s="244" t="s">
        <v>180</v>
      </c>
      <c r="E161" s="95">
        <f>'23'!F161</f>
        <v>471803</v>
      </c>
      <c r="F161" s="235">
        <v>471872.52</v>
      </c>
      <c r="G161" s="238">
        <f t="shared" ref="G161:G165" si="13">F161-E161</f>
        <v>69.520000000018626</v>
      </c>
      <c r="H161" s="99">
        <f>G161+'23'!H161</f>
        <v>719.36000000004424</v>
      </c>
      <c r="I161" s="236"/>
      <c r="J161" s="239">
        <f>H161/DAY(B2)</f>
        <v>29.973333333335177</v>
      </c>
    </row>
    <row r="162" spans="1:10" ht="29.25" x14ac:dyDescent="0.5">
      <c r="A162" s="242" t="s">
        <v>93</v>
      </c>
      <c r="B162" s="243"/>
      <c r="C162" s="243"/>
      <c r="D162" s="244" t="s">
        <v>180</v>
      </c>
      <c r="E162" s="95">
        <f>'23'!F162</f>
        <v>88256.9</v>
      </c>
      <c r="F162" s="235">
        <v>88291</v>
      </c>
      <c r="G162" s="238">
        <f t="shared" si="13"/>
        <v>34.100000000005821</v>
      </c>
      <c r="H162" s="99">
        <f>G162+'23'!H162</f>
        <v>721</v>
      </c>
      <c r="I162" s="236"/>
      <c r="J162" s="239">
        <f>H162/DAY(B2)</f>
        <v>30.041666666666668</v>
      </c>
    </row>
    <row r="163" spans="1:10" ht="29.25" x14ac:dyDescent="0.5">
      <c r="A163" s="242" t="s">
        <v>197</v>
      </c>
      <c r="B163" s="243"/>
      <c r="C163" s="243"/>
      <c r="D163" s="244" t="s">
        <v>180</v>
      </c>
      <c r="E163" s="95">
        <f>'23'!F163</f>
        <v>78871</v>
      </c>
      <c r="F163" s="235">
        <v>78929</v>
      </c>
      <c r="G163" s="238">
        <f t="shared" si="13"/>
        <v>58</v>
      </c>
      <c r="H163" s="99">
        <f>G163+'23'!H163</f>
        <v>1104</v>
      </c>
      <c r="I163" s="236"/>
      <c r="J163" s="239">
        <f>H163/DAY(B2)</f>
        <v>46</v>
      </c>
    </row>
    <row r="164" spans="1:10" ht="29.25" x14ac:dyDescent="0.5">
      <c r="A164" s="242" t="s">
        <v>197</v>
      </c>
      <c r="B164" s="243"/>
      <c r="C164" s="243"/>
      <c r="D164" s="244" t="s">
        <v>180</v>
      </c>
      <c r="E164" s="95">
        <f>'23'!F164</f>
        <v>4293.3999999999996</v>
      </c>
      <c r="F164" s="235">
        <v>4307</v>
      </c>
      <c r="G164" s="238">
        <f t="shared" si="13"/>
        <v>13.600000000000364</v>
      </c>
      <c r="H164" s="99">
        <f>G164+'23'!H164</f>
        <v>65</v>
      </c>
      <c r="I164" s="236"/>
      <c r="J164" s="239">
        <f>H164/DAY(B2)</f>
        <v>2.7083333333333335</v>
      </c>
    </row>
    <row r="165" spans="1:10" ht="29.25" x14ac:dyDescent="0.5">
      <c r="A165" s="242" t="s">
        <v>309</v>
      </c>
      <c r="B165" s="243"/>
      <c r="C165" s="243"/>
      <c r="D165" s="244" t="s">
        <v>180</v>
      </c>
      <c r="E165" s="95">
        <f>'23'!F165</f>
        <v>29792.66</v>
      </c>
      <c r="F165" s="235">
        <v>29801</v>
      </c>
      <c r="G165" s="238">
        <f t="shared" si="13"/>
        <v>8.3400000000001455</v>
      </c>
      <c r="H165" s="99">
        <f>G165+'23'!H165</f>
        <v>155</v>
      </c>
      <c r="I165" s="236"/>
      <c r="J165" s="239">
        <f>H165/DAY(B2)</f>
        <v>6.458333333333333</v>
      </c>
    </row>
    <row r="166" spans="1:10" ht="29.25" x14ac:dyDescent="0.5">
      <c r="A166" s="882"/>
      <c r="B166" s="882"/>
      <c r="C166" s="246"/>
      <c r="D166" s="244" t="s">
        <v>180</v>
      </c>
      <c r="E166" s="95">
        <f>'23'!F166</f>
        <v>0</v>
      </c>
      <c r="F166" s="165"/>
      <c r="G166" s="165"/>
      <c r="H166" s="99">
        <f>G166+'23'!H166</f>
        <v>0</v>
      </c>
      <c r="I166" s="165"/>
      <c r="J166" s="239">
        <f>H166/DAY(B2)</f>
        <v>0</v>
      </c>
    </row>
    <row r="167" spans="1:10" ht="29.25" x14ac:dyDescent="0.5">
      <c r="A167" s="882"/>
      <c r="B167" s="882"/>
      <c r="C167" s="246"/>
      <c r="D167" s="244" t="s">
        <v>180</v>
      </c>
      <c r="E167" s="95">
        <f>'23'!F167</f>
        <v>0</v>
      </c>
      <c r="F167" s="165"/>
      <c r="G167" s="165"/>
      <c r="H167" s="99">
        <f>G167+'23'!H167</f>
        <v>0</v>
      </c>
      <c r="I167" s="165"/>
      <c r="J167" s="239">
        <f>H167/DAY(B2)</f>
        <v>0</v>
      </c>
    </row>
    <row r="168" spans="1:10" ht="29.25" x14ac:dyDescent="0.5">
      <c r="A168" s="882"/>
      <c r="B168" s="882"/>
      <c r="C168" s="246"/>
      <c r="D168" s="244" t="s">
        <v>180</v>
      </c>
      <c r="E168" s="95">
        <f>'23'!F168</f>
        <v>0</v>
      </c>
      <c r="F168" s="165"/>
      <c r="G168" s="165"/>
      <c r="H168" s="99">
        <f>G168+'23'!H168</f>
        <v>0</v>
      </c>
      <c r="I168" s="165"/>
      <c r="J168" s="239">
        <f>H168/DAY(B2)</f>
        <v>0</v>
      </c>
    </row>
    <row r="169" spans="1:10" ht="29.25" x14ac:dyDescent="0.5"/>
    <row r="170" spans="1:10" ht="21.75" customHeight="1" x14ac:dyDescent="0.5"/>
    <row r="171" spans="1:10" ht="21.75" customHeight="1" x14ac:dyDescent="0.35">
      <c r="A171" s="890" t="s">
        <v>330</v>
      </c>
      <c r="B171" s="891"/>
      <c r="C171" s="891"/>
      <c r="D171" s="891"/>
      <c r="E171" s="891"/>
      <c r="F171" s="891"/>
      <c r="G171" s="891"/>
      <c r="H171" s="891"/>
      <c r="I171" s="891"/>
      <c r="J171" s="892"/>
    </row>
    <row r="172" spans="1:10" ht="21.75" customHeight="1" x14ac:dyDescent="0.5">
      <c r="A172" s="886"/>
      <c r="B172" s="887"/>
      <c r="C172" s="332"/>
      <c r="D172" s="228"/>
      <c r="E172" s="155"/>
      <c r="F172" s="155"/>
      <c r="G172" s="155"/>
      <c r="H172" s="156"/>
      <c r="I172" s="155"/>
      <c r="J172" s="178"/>
    </row>
    <row r="173" spans="1:10" ht="25.5" customHeight="1" x14ac:dyDescent="0.5">
      <c r="A173" s="840" t="s">
        <v>209</v>
      </c>
      <c r="B173" s="841"/>
      <c r="C173" s="333"/>
      <c r="D173" s="228" t="s">
        <v>142</v>
      </c>
      <c r="E173" s="95">
        <f>'23'!F173</f>
        <v>8126</v>
      </c>
      <c r="F173" s="155">
        <v>8126</v>
      </c>
      <c r="G173" s="155">
        <f>F173-E173</f>
        <v>0</v>
      </c>
      <c r="H173" s="99">
        <f>G173+'23'!H173</f>
        <v>0</v>
      </c>
      <c r="I173" s="155"/>
      <c r="J173" s="178">
        <f>H173/DAY(B2)</f>
        <v>0</v>
      </c>
    </row>
    <row r="174" spans="1:10" ht="27" customHeight="1" x14ac:dyDescent="0.5">
      <c r="A174" s="840" t="s">
        <v>75</v>
      </c>
      <c r="B174" s="841"/>
      <c r="C174" s="333"/>
      <c r="D174" s="228" t="s">
        <v>142</v>
      </c>
      <c r="E174" s="95">
        <f>'23'!F174</f>
        <v>38514</v>
      </c>
      <c r="F174" s="157">
        <v>38528</v>
      </c>
      <c r="G174" s="155">
        <f t="shared" ref="G174:G175" si="14">F174-E174</f>
        <v>14</v>
      </c>
      <c r="H174" s="99">
        <f>G174+'23'!H174</f>
        <v>235</v>
      </c>
      <c r="I174" s="155"/>
      <c r="J174" s="178">
        <f>H174/DAY(B2)</f>
        <v>9.7916666666666661</v>
      </c>
    </row>
    <row r="175" spans="1:10" ht="27" customHeight="1" x14ac:dyDescent="0.5">
      <c r="A175" s="840" t="s">
        <v>76</v>
      </c>
      <c r="B175" s="845"/>
      <c r="C175" s="841"/>
      <c r="D175" s="228" t="s">
        <v>142</v>
      </c>
      <c r="E175" s="95">
        <f>'23'!F175</f>
        <v>21735</v>
      </c>
      <c r="F175" s="155">
        <v>21745</v>
      </c>
      <c r="G175" s="155">
        <f t="shared" si="14"/>
        <v>10</v>
      </c>
      <c r="H175" s="99">
        <f>G175+'23'!H175</f>
        <v>227</v>
      </c>
      <c r="I175" s="155"/>
      <c r="J175" s="178">
        <f>H175/DAY(B2)</f>
        <v>9.4583333333333339</v>
      </c>
    </row>
    <row r="176" spans="1:10" ht="21.75" customHeight="1" x14ac:dyDescent="0.5">
      <c r="A176" s="879" t="s">
        <v>196</v>
      </c>
      <c r="B176" s="880"/>
      <c r="C176" s="485"/>
      <c r="D176" s="228" t="s">
        <v>142</v>
      </c>
      <c r="E176" s="95"/>
      <c r="F176" s="155"/>
      <c r="G176" s="155">
        <f>SUM(G173:G175)</f>
        <v>24</v>
      </c>
      <c r="H176" s="99">
        <f>G176+'23'!H176</f>
        <v>462</v>
      </c>
      <c r="I176" s="155"/>
      <c r="J176" s="178">
        <f>H176/DAY(B2)</f>
        <v>19.25</v>
      </c>
    </row>
    <row r="177" spans="1:10" ht="21.75" customHeight="1" x14ac:dyDescent="0.5">
      <c r="A177" s="840" t="s">
        <v>77</v>
      </c>
      <c r="B177" s="841"/>
      <c r="C177" s="333"/>
      <c r="D177" s="228" t="s">
        <v>142</v>
      </c>
      <c r="E177" s="95"/>
      <c r="F177" s="155"/>
      <c r="G177" s="155"/>
      <c r="H177" s="99">
        <f>G177+'23'!H177</f>
        <v>0</v>
      </c>
      <c r="I177" s="155"/>
      <c r="J177" s="178">
        <f>H177/DAY(B2)</f>
        <v>0</v>
      </c>
    </row>
    <row r="178" spans="1:10" ht="27.75" x14ac:dyDescent="0.5">
      <c r="A178" s="840" t="s">
        <v>210</v>
      </c>
      <c r="B178" s="841"/>
      <c r="C178" s="333"/>
      <c r="D178" s="228" t="s">
        <v>142</v>
      </c>
      <c r="E178" s="95">
        <f>'23'!F178</f>
        <v>80894</v>
      </c>
      <c r="F178" s="155">
        <v>80936</v>
      </c>
      <c r="G178" s="155">
        <f>F178-E178</f>
        <v>42</v>
      </c>
      <c r="H178" s="99">
        <f>G178+'23'!H178</f>
        <v>1322</v>
      </c>
      <c r="I178" s="155"/>
      <c r="J178" s="178">
        <f>H178/DAY(B2)</f>
        <v>55.083333333333336</v>
      </c>
    </row>
    <row r="179" spans="1:10" ht="24" customHeight="1" x14ac:dyDescent="0.5">
      <c r="A179" s="840" t="s">
        <v>211</v>
      </c>
      <c r="B179" s="841"/>
      <c r="C179" s="333"/>
      <c r="D179" s="228" t="s">
        <v>142</v>
      </c>
      <c r="E179" s="95">
        <f>'23'!F179</f>
        <v>34422</v>
      </c>
      <c r="F179" s="155">
        <v>34452</v>
      </c>
      <c r="G179" s="155">
        <f t="shared" ref="G179:G180" si="15">F179-E179</f>
        <v>30</v>
      </c>
      <c r="H179" s="99">
        <f>G179+'23'!H179</f>
        <v>537</v>
      </c>
      <c r="I179" s="155"/>
      <c r="J179" s="178">
        <f>H179/DAY(B2)</f>
        <v>22.375</v>
      </c>
    </row>
    <row r="180" spans="1:10" ht="27.75" x14ac:dyDescent="0.5">
      <c r="A180" s="840" t="s">
        <v>212</v>
      </c>
      <c r="B180" s="841"/>
      <c r="C180" s="333"/>
      <c r="D180" s="228" t="s">
        <v>142</v>
      </c>
      <c r="E180" s="95">
        <f>'23'!F180</f>
        <v>5644</v>
      </c>
      <c r="F180" s="155">
        <v>5651</v>
      </c>
      <c r="G180" s="155">
        <f t="shared" si="15"/>
        <v>7</v>
      </c>
      <c r="H180" s="99">
        <f>G180+'23'!H180</f>
        <v>174</v>
      </c>
      <c r="I180" s="155"/>
      <c r="J180" s="178">
        <f>H180/DAY(B2)</f>
        <v>7.25</v>
      </c>
    </row>
    <row r="181" spans="1:10" ht="27.75" x14ac:dyDescent="0.5">
      <c r="A181" s="884" t="s">
        <v>108</v>
      </c>
      <c r="B181" s="885"/>
      <c r="C181" s="485"/>
      <c r="D181" s="228" t="s">
        <v>142</v>
      </c>
      <c r="E181" s="95"/>
      <c r="F181" s="155"/>
      <c r="G181" s="155">
        <f>SUM(G178:G180)</f>
        <v>79</v>
      </c>
      <c r="H181" s="99">
        <f>G181+'23'!H181</f>
        <v>2033</v>
      </c>
      <c r="I181" s="155"/>
      <c r="J181" s="178">
        <f>H181/DAY(B2)</f>
        <v>84.708333333333329</v>
      </c>
    </row>
    <row r="182" spans="1:10" ht="27.75" x14ac:dyDescent="0.5">
      <c r="A182" s="840" t="s">
        <v>213</v>
      </c>
      <c r="B182" s="841"/>
      <c r="C182" s="333"/>
      <c r="D182" s="228" t="s">
        <v>142</v>
      </c>
      <c r="E182" s="95"/>
      <c r="F182" s="155"/>
      <c r="G182" s="155"/>
      <c r="H182" s="99">
        <f>G182+'23'!H182</f>
        <v>0</v>
      </c>
      <c r="I182" s="155"/>
      <c r="J182" s="178">
        <f>H182/DAY(B2)</f>
        <v>0</v>
      </c>
    </row>
    <row r="183" spans="1:10" ht="27.75" x14ac:dyDescent="0.5">
      <c r="A183" s="840" t="s">
        <v>214</v>
      </c>
      <c r="B183" s="841"/>
      <c r="C183" s="334"/>
      <c r="D183" s="228" t="s">
        <v>142</v>
      </c>
      <c r="E183" s="95">
        <f>'23'!F183</f>
        <v>15244</v>
      </c>
      <c r="F183" s="157">
        <v>15279</v>
      </c>
      <c r="G183" s="157">
        <f>F183-E183</f>
        <v>35</v>
      </c>
      <c r="H183" s="99">
        <f>G183+'23'!H183</f>
        <v>332</v>
      </c>
      <c r="I183" s="155"/>
      <c r="J183" s="178">
        <f>H183/DAY(B2)</f>
        <v>13.833333333333334</v>
      </c>
    </row>
    <row r="184" spans="1:10" ht="27.75" x14ac:dyDescent="0.5">
      <c r="A184" s="840" t="s">
        <v>215</v>
      </c>
      <c r="B184" s="841"/>
      <c r="C184" s="334"/>
      <c r="D184" s="228" t="s">
        <v>142</v>
      </c>
      <c r="E184" s="95">
        <f>'23'!F184</f>
        <v>10439</v>
      </c>
      <c r="F184" s="157">
        <v>10442</v>
      </c>
      <c r="G184" s="157">
        <f t="shared" ref="G184:G185" si="16">F184-E184</f>
        <v>3</v>
      </c>
      <c r="H184" s="99">
        <f>G184+'23'!H184</f>
        <v>141</v>
      </c>
      <c r="I184" s="155"/>
      <c r="J184" s="178">
        <f>H184/DAY(B2)</f>
        <v>5.875</v>
      </c>
    </row>
    <row r="185" spans="1:10" ht="26.25" customHeight="1" x14ac:dyDescent="0.5">
      <c r="A185" s="840" t="s">
        <v>216</v>
      </c>
      <c r="B185" s="841"/>
      <c r="C185" s="334"/>
      <c r="D185" s="228" t="s">
        <v>142</v>
      </c>
      <c r="E185" s="95">
        <f>'23'!F185</f>
        <v>0</v>
      </c>
      <c r="F185" s="157"/>
      <c r="G185" s="157">
        <f t="shared" si="16"/>
        <v>0</v>
      </c>
      <c r="H185" s="99">
        <f>G185+'23'!H185</f>
        <v>0</v>
      </c>
      <c r="I185" s="155"/>
      <c r="J185" s="178">
        <f>H185/DAY(B2)</f>
        <v>0</v>
      </c>
    </row>
    <row r="186" spans="1:10" ht="27.75" x14ac:dyDescent="0.5">
      <c r="A186" s="879" t="s">
        <v>196</v>
      </c>
      <c r="B186" s="880"/>
      <c r="C186" s="484"/>
      <c r="D186" s="228" t="s">
        <v>142</v>
      </c>
      <c r="E186" s="95"/>
      <c r="F186" s="157"/>
      <c r="G186" s="157">
        <f>SUM(G183:G185)</f>
        <v>38</v>
      </c>
      <c r="H186" s="99">
        <f>G186+'23'!H186</f>
        <v>473</v>
      </c>
      <c r="I186" s="157"/>
      <c r="J186" s="178">
        <f>H186/DAY(B2)</f>
        <v>19.708333333333332</v>
      </c>
    </row>
    <row r="187" spans="1:10" ht="27.75" x14ac:dyDescent="0.5">
      <c r="A187" s="888" t="s">
        <v>217</v>
      </c>
      <c r="B187" s="889"/>
      <c r="C187" s="333"/>
      <c r="D187" s="230" t="s">
        <v>142</v>
      </c>
      <c r="E187" s="95">
        <f>'23'!F187</f>
        <v>0</v>
      </c>
      <c r="F187" s="159"/>
      <c r="G187" s="462">
        <f>G62+G19</f>
        <v>176</v>
      </c>
      <c r="H187" s="99">
        <f>G187+'23'!H187</f>
        <v>2887</v>
      </c>
      <c r="I187" s="158"/>
      <c r="J187" s="179">
        <f>H187/DAY(B2)</f>
        <v>120.29166666666667</v>
      </c>
    </row>
    <row r="188" spans="1:10" ht="27.75" x14ac:dyDescent="0.5">
      <c r="A188" s="888" t="s">
        <v>218</v>
      </c>
      <c r="B188" s="889"/>
      <c r="C188" s="333"/>
      <c r="D188" s="230" t="s">
        <v>142</v>
      </c>
      <c r="E188" s="95">
        <f>'23'!F188</f>
        <v>0</v>
      </c>
      <c r="F188" s="159"/>
      <c r="G188" s="462">
        <f>G65+G66+G67+G69+G70</f>
        <v>181</v>
      </c>
      <c r="H188" s="99">
        <f>G188+'23'!H188</f>
        <v>1309</v>
      </c>
      <c r="I188" s="158"/>
      <c r="J188" s="179">
        <f>H188/DAY(B2)</f>
        <v>54.541666666666664</v>
      </c>
    </row>
    <row r="189" spans="1:10" ht="27.75" x14ac:dyDescent="0.5">
      <c r="A189" s="888" t="s">
        <v>219</v>
      </c>
      <c r="B189" s="889"/>
      <c r="C189" s="333"/>
      <c r="D189" s="230" t="s">
        <v>142</v>
      </c>
      <c r="E189" s="95">
        <f>'23'!F189</f>
        <v>0</v>
      </c>
      <c r="F189" s="157"/>
      <c r="G189" s="459">
        <f>G181</f>
        <v>79</v>
      </c>
      <c r="H189" s="99">
        <f>G189+'23'!H189</f>
        <v>443</v>
      </c>
      <c r="I189" s="158"/>
      <c r="J189" s="179">
        <f>H189/DAY(B2)</f>
        <v>18.458333333333332</v>
      </c>
    </row>
    <row r="190" spans="1:10" ht="27.75" x14ac:dyDescent="0.5">
      <c r="A190" s="811"/>
      <c r="B190" s="812"/>
      <c r="C190" s="483"/>
      <c r="D190" s="480"/>
      <c r="E190" s="480" t="s">
        <v>207</v>
      </c>
      <c r="F190" s="480"/>
      <c r="G190" s="480"/>
      <c r="H190" s="481"/>
      <c r="I190" s="480"/>
      <c r="J190" s="482"/>
    </row>
    <row r="191" spans="1:10" ht="29.25" x14ac:dyDescent="0.5"/>
    <row r="192" spans="1:10" ht="29.25" x14ac:dyDescent="0.5"/>
    <row r="193" ht="29.25" x14ac:dyDescent="0.5"/>
    <row r="194" ht="29.25" x14ac:dyDescent="0.5"/>
    <row r="195" ht="29.25" x14ac:dyDescent="0.5"/>
    <row r="196" ht="29.25" x14ac:dyDescent="0.5"/>
    <row r="197" ht="29.25" x14ac:dyDescent="0.5"/>
    <row r="198" ht="29.25" x14ac:dyDescent="0.5"/>
    <row r="199" ht="29.25" x14ac:dyDescent="0.5"/>
    <row r="200" ht="29.25" x14ac:dyDescent="0.5"/>
    <row r="201" ht="29.25" x14ac:dyDescent="0.5"/>
    <row r="202" ht="29.25" x14ac:dyDescent="0.5"/>
    <row r="203" ht="29.25" x14ac:dyDescent="0.5"/>
    <row r="204" ht="29.25" x14ac:dyDescent="0.5"/>
    <row r="205" ht="29.25" x14ac:dyDescent="0.5"/>
    <row r="206" ht="29.25" x14ac:dyDescent="0.5"/>
    <row r="207" ht="29.25" x14ac:dyDescent="0.5"/>
    <row r="208" ht="29.25" x14ac:dyDescent="0.5"/>
    <row r="209" ht="29.25" x14ac:dyDescent="0.5"/>
    <row r="210" ht="29.25" x14ac:dyDescent="0.5"/>
    <row r="211" ht="29.25" x14ac:dyDescent="0.5"/>
    <row r="212" ht="29.25" x14ac:dyDescent="0.5"/>
    <row r="213" ht="29.25" x14ac:dyDescent="0.5"/>
    <row r="214" ht="29.25" x14ac:dyDescent="0.5"/>
    <row r="215" ht="29.25" x14ac:dyDescent="0.5"/>
    <row r="216" ht="29.25" x14ac:dyDescent="0.5"/>
    <row r="217" ht="29.25" x14ac:dyDescent="0.5"/>
    <row r="218" ht="29.25" x14ac:dyDescent="0.5"/>
    <row r="219" ht="29.25" x14ac:dyDescent="0.5"/>
    <row r="220" ht="29.25" x14ac:dyDescent="0.5"/>
    <row r="221" ht="29.25" x14ac:dyDescent="0.5"/>
    <row r="222" ht="29.25" x14ac:dyDescent="0.5"/>
    <row r="223" ht="29.25" x14ac:dyDescent="0.5"/>
    <row r="224" ht="29.25" x14ac:dyDescent="0.5"/>
    <row r="225" ht="29.25" x14ac:dyDescent="0.5"/>
    <row r="226" ht="29.25" x14ac:dyDescent="0.5"/>
    <row r="227" ht="29.25" x14ac:dyDescent="0.5"/>
    <row r="228" ht="29.25" x14ac:dyDescent="0.5"/>
    <row r="229" ht="29.25" x14ac:dyDescent="0.5"/>
    <row r="230" ht="29.25" x14ac:dyDescent="0.5"/>
    <row r="231" ht="29.25" x14ac:dyDescent="0.5"/>
    <row r="232" ht="29.25" x14ac:dyDescent="0.5"/>
    <row r="233" ht="29.25" x14ac:dyDescent="0.5"/>
    <row r="234" ht="29.25" x14ac:dyDescent="0.5"/>
    <row r="235" ht="29.25" x14ac:dyDescent="0.5"/>
    <row r="236" ht="29.25" x14ac:dyDescent="0.5"/>
    <row r="237" ht="29.25" x14ac:dyDescent="0.5"/>
    <row r="238" ht="29.25" x14ac:dyDescent="0.5"/>
    <row r="239" ht="29.25" x14ac:dyDescent="0.5"/>
    <row r="240" ht="29.25" x14ac:dyDescent="0.5"/>
    <row r="241" ht="29.25" x14ac:dyDescent="0.5"/>
    <row r="242" ht="29.25" x14ac:dyDescent="0.5"/>
    <row r="243" ht="29.25" x14ac:dyDescent="0.5"/>
    <row r="244" ht="29.25" x14ac:dyDescent="0.5"/>
    <row r="245" ht="29.25" x14ac:dyDescent="0.5"/>
    <row r="246" ht="29.25" x14ac:dyDescent="0.5"/>
    <row r="247" ht="29.25" x14ac:dyDescent="0.5"/>
    <row r="248" ht="29.25" x14ac:dyDescent="0.5"/>
    <row r="249" ht="29.25" x14ac:dyDescent="0.5"/>
    <row r="250" ht="29.25" x14ac:dyDescent="0.5"/>
    <row r="251" ht="29.25" x14ac:dyDescent="0.5"/>
    <row r="252" ht="29.25" x14ac:dyDescent="0.5"/>
    <row r="253" ht="29.25" x14ac:dyDescent="0.5"/>
    <row r="254" ht="29.25" x14ac:dyDescent="0.5"/>
    <row r="255" ht="29.25" x14ac:dyDescent="0.5"/>
    <row r="256" ht="29.25" x14ac:dyDescent="0.5"/>
    <row r="257" ht="29.25" x14ac:dyDescent="0.5"/>
    <row r="258" ht="29.25" x14ac:dyDescent="0.5"/>
    <row r="259" ht="29.25" x14ac:dyDescent="0.5"/>
    <row r="260" ht="29.25" x14ac:dyDescent="0.5"/>
    <row r="261" ht="29.25" x14ac:dyDescent="0.5"/>
    <row r="262" ht="29.25" x14ac:dyDescent="0.5"/>
    <row r="263" ht="29.25" x14ac:dyDescent="0.5"/>
    <row r="264" ht="29.25" x14ac:dyDescent="0.5"/>
    <row r="265" ht="29.25" x14ac:dyDescent="0.5"/>
    <row r="266" ht="29.25" x14ac:dyDescent="0.5"/>
    <row r="267" ht="29.25" x14ac:dyDescent="0.5"/>
    <row r="268" ht="29.25" x14ac:dyDescent="0.5"/>
    <row r="269" ht="29.25" x14ac:dyDescent="0.5"/>
    <row r="270" ht="29.25" x14ac:dyDescent="0.5"/>
    <row r="313" ht="29.25" x14ac:dyDescent="0.5"/>
    <row r="314" ht="29.25" x14ac:dyDescent="0.5"/>
    <row r="315" ht="29.25" x14ac:dyDescent="0.5"/>
    <row r="316" ht="29.25" x14ac:dyDescent="0.5"/>
    <row r="317" ht="29.25" x14ac:dyDescent="0.5"/>
    <row r="318" ht="29.25" x14ac:dyDescent="0.5"/>
    <row r="319" ht="29.25" x14ac:dyDescent="0.5"/>
    <row r="320" ht="29.25" x14ac:dyDescent="0.5"/>
    <row r="321" ht="29.25" x14ac:dyDescent="0.5"/>
    <row r="322" ht="29.25" x14ac:dyDescent="0.5"/>
    <row r="323" ht="29.25" x14ac:dyDescent="0.5"/>
    <row r="324" ht="29.25" x14ac:dyDescent="0.5"/>
    <row r="325" ht="29.25" x14ac:dyDescent="0.5"/>
    <row r="326" ht="29.25" x14ac:dyDescent="0.5"/>
    <row r="327" ht="29.25" x14ac:dyDescent="0.5"/>
    <row r="328" ht="29.25" x14ac:dyDescent="0.5"/>
    <row r="329" ht="29.25" x14ac:dyDescent="0.5"/>
    <row r="330" ht="29.25" x14ac:dyDescent="0.5"/>
    <row r="331" ht="29.25" x14ac:dyDescent="0.5"/>
    <row r="332" ht="29.25" x14ac:dyDescent="0.5"/>
    <row r="333" ht="29.25" x14ac:dyDescent="0.5"/>
    <row r="334" ht="29.25" x14ac:dyDescent="0.5"/>
    <row r="335" ht="29.25" x14ac:dyDescent="0.5"/>
    <row r="336" ht="29.25" x14ac:dyDescent="0.5"/>
    <row r="337" ht="29.25" x14ac:dyDescent="0.5"/>
    <row r="338" ht="29.25" x14ac:dyDescent="0.5"/>
    <row r="339" ht="29.25" x14ac:dyDescent="0.5"/>
    <row r="340" ht="29.25" x14ac:dyDescent="0.5"/>
    <row r="341" ht="29.25" x14ac:dyDescent="0.5"/>
    <row r="342" ht="29.25" x14ac:dyDescent="0.5"/>
    <row r="343" ht="29.25" x14ac:dyDescent="0.5"/>
    <row r="344" ht="29.25" x14ac:dyDescent="0.5"/>
    <row r="345" ht="29.25" x14ac:dyDescent="0.5"/>
    <row r="346" ht="29.25" x14ac:dyDescent="0.5"/>
    <row r="347" ht="29.25" x14ac:dyDescent="0.5"/>
    <row r="348" ht="29.25" x14ac:dyDescent="0.5"/>
    <row r="349" ht="29.25" x14ac:dyDescent="0.5"/>
    <row r="350" ht="29.25" x14ac:dyDescent="0.5"/>
    <row r="351" ht="29.25" x14ac:dyDescent="0.5"/>
    <row r="352" ht="29.25" x14ac:dyDescent="0.5"/>
    <row r="353" ht="29.25" x14ac:dyDescent="0.5"/>
    <row r="354" ht="29.25" x14ac:dyDescent="0.5"/>
    <row r="355" ht="29.25" x14ac:dyDescent="0.5"/>
    <row r="356" ht="29.25" x14ac:dyDescent="0.5"/>
    <row r="357" ht="29.25" x14ac:dyDescent="0.5"/>
    <row r="358" ht="29.25" x14ac:dyDescent="0.5"/>
    <row r="359" ht="29.25" x14ac:dyDescent="0.5"/>
    <row r="360" ht="29.25" x14ac:dyDescent="0.5"/>
    <row r="361" ht="29.25" x14ac:dyDescent="0.5"/>
    <row r="362" ht="29.25" x14ac:dyDescent="0.5"/>
    <row r="363" ht="29.25" x14ac:dyDescent="0.5"/>
    <row r="364" ht="29.25" x14ac:dyDescent="0.5"/>
    <row r="365" ht="29.25" x14ac:dyDescent="0.5"/>
    <row r="366" ht="29.25" x14ac:dyDescent="0.5"/>
    <row r="367" ht="29.25" x14ac:dyDescent="0.5"/>
    <row r="368" ht="29.25" x14ac:dyDescent="0.5"/>
    <row r="369" ht="29.25" x14ac:dyDescent="0.5"/>
    <row r="370" ht="29.25" x14ac:dyDescent="0.5"/>
    <row r="371" ht="29.25" x14ac:dyDescent="0.5"/>
    <row r="372" ht="29.25" x14ac:dyDescent="0.5"/>
    <row r="373" ht="29.25" x14ac:dyDescent="0.5"/>
    <row r="374" ht="29.25" x14ac:dyDescent="0.5"/>
    <row r="375" ht="29.25" x14ac:dyDescent="0.5"/>
    <row r="376" ht="29.25" x14ac:dyDescent="0.5"/>
    <row r="377" ht="29.25" x14ac:dyDescent="0.5"/>
    <row r="378" ht="29.25" x14ac:dyDescent="0.5"/>
    <row r="379" ht="29.25" x14ac:dyDescent="0.5"/>
    <row r="380" ht="29.25" x14ac:dyDescent="0.5"/>
    <row r="381" ht="29.25" x14ac:dyDescent="0.5"/>
    <row r="382" ht="29.25" x14ac:dyDescent="0.5"/>
    <row r="383" ht="29.25" x14ac:dyDescent="0.5"/>
    <row r="384" ht="29.25" x14ac:dyDescent="0.5"/>
    <row r="385" ht="29.25" x14ac:dyDescent="0.5"/>
    <row r="386" ht="29.25" x14ac:dyDescent="0.5"/>
    <row r="387" ht="29.25" x14ac:dyDescent="0.5"/>
    <row r="388" ht="29.25" x14ac:dyDescent="0.5"/>
    <row r="389" ht="29.25" x14ac:dyDescent="0.5"/>
    <row r="390" ht="29.25" x14ac:dyDescent="0.5"/>
    <row r="391" ht="29.25" x14ac:dyDescent="0.5"/>
    <row r="392" ht="29.25" x14ac:dyDescent="0.5"/>
    <row r="393" ht="29.25" x14ac:dyDescent="0.5"/>
    <row r="394" ht="29.25" x14ac:dyDescent="0.5"/>
    <row r="395" ht="29.25" x14ac:dyDescent="0.5"/>
    <row r="396" ht="29.25" x14ac:dyDescent="0.5"/>
    <row r="397" ht="29.25" x14ac:dyDescent="0.5"/>
    <row r="398" ht="29.25" x14ac:dyDescent="0.5"/>
    <row r="399" ht="29.25" x14ac:dyDescent="0.5"/>
    <row r="400" ht="29.25" x14ac:dyDescent="0.5"/>
    <row r="401" ht="29.25" x14ac:dyDescent="0.5"/>
    <row r="402" ht="29.25" x14ac:dyDescent="0.5"/>
    <row r="403" ht="29.25" x14ac:dyDescent="0.5"/>
    <row r="404" ht="29.25" x14ac:dyDescent="0.5"/>
    <row r="405" ht="29.25" x14ac:dyDescent="0.5"/>
    <row r="406" ht="29.25" x14ac:dyDescent="0.5"/>
    <row r="407" ht="29.25" x14ac:dyDescent="0.5"/>
    <row r="408" ht="29.25" x14ac:dyDescent="0.5"/>
    <row r="409" ht="29.25" x14ac:dyDescent="0.5"/>
    <row r="410" ht="29.25" x14ac:dyDescent="0.5"/>
    <row r="411" ht="29.25" x14ac:dyDescent="0.5"/>
    <row r="412" ht="29.25" x14ac:dyDescent="0.5"/>
    <row r="413" ht="29.25" x14ac:dyDescent="0.5"/>
    <row r="414" ht="29.25" x14ac:dyDescent="0.5"/>
    <row r="415" ht="29.25" x14ac:dyDescent="0.5"/>
    <row r="416" ht="29.25" x14ac:dyDescent="0.5"/>
    <row r="417" ht="29.25" x14ac:dyDescent="0.5"/>
    <row r="418" ht="29.25" x14ac:dyDescent="0.5"/>
    <row r="419" ht="29.25" x14ac:dyDescent="0.5"/>
    <row r="420" ht="29.25" x14ac:dyDescent="0.5"/>
    <row r="421" ht="29.25" x14ac:dyDescent="0.5"/>
    <row r="422" ht="29.25" x14ac:dyDescent="0.5"/>
    <row r="423" ht="29.25" x14ac:dyDescent="0.5"/>
    <row r="424" ht="29.25" x14ac:dyDescent="0.5"/>
    <row r="425" ht="29.25" x14ac:dyDescent="0.5"/>
    <row r="426" ht="29.25" x14ac:dyDescent="0.5"/>
    <row r="427" ht="29.25" x14ac:dyDescent="0.5"/>
    <row r="428" ht="29.25" x14ac:dyDescent="0.5"/>
    <row r="429" ht="29.25" x14ac:dyDescent="0.5"/>
    <row r="430" ht="29.25" x14ac:dyDescent="0.5"/>
    <row r="431" ht="29.25" x14ac:dyDescent="0.5"/>
    <row r="432" ht="29.25" x14ac:dyDescent="0.5"/>
    <row r="433" ht="29.25" x14ac:dyDescent="0.5"/>
    <row r="434" ht="29.25" x14ac:dyDescent="0.5"/>
    <row r="435" ht="29.25" x14ac:dyDescent="0.5"/>
    <row r="436" ht="29.25" x14ac:dyDescent="0.5"/>
    <row r="437" ht="29.25" x14ac:dyDescent="0.5"/>
    <row r="438" ht="29.25" x14ac:dyDescent="0.5"/>
    <row r="439" ht="29.25" x14ac:dyDescent="0.5"/>
    <row r="440" ht="29.25" x14ac:dyDescent="0.5"/>
    <row r="441" ht="29.25" x14ac:dyDescent="0.5"/>
    <row r="442" ht="29.25" x14ac:dyDescent="0.5"/>
    <row r="443" ht="29.25" x14ac:dyDescent="0.5"/>
    <row r="444" ht="29.25" x14ac:dyDescent="0.5"/>
    <row r="445" ht="29.25" x14ac:dyDescent="0.5"/>
    <row r="446" ht="29.25" x14ac:dyDescent="0.5"/>
    <row r="447" ht="29.25" x14ac:dyDescent="0.5"/>
    <row r="448" ht="29.25" x14ac:dyDescent="0.5"/>
    <row r="449" ht="29.25" x14ac:dyDescent="0.5"/>
    <row r="450" ht="29.25" x14ac:dyDescent="0.5"/>
    <row r="451" ht="29.25" x14ac:dyDescent="0.5"/>
    <row r="452" ht="29.25" x14ac:dyDescent="0.5"/>
    <row r="453" ht="29.25" x14ac:dyDescent="0.5"/>
    <row r="454" ht="29.25" x14ac:dyDescent="0.5"/>
    <row r="455" ht="29.25" x14ac:dyDescent="0.5"/>
    <row r="456" ht="29.25" x14ac:dyDescent="0.5"/>
    <row r="457" ht="29.25" x14ac:dyDescent="0.5"/>
    <row r="458" ht="29.25" x14ac:dyDescent="0.5"/>
    <row r="459" ht="29.25" x14ac:dyDescent="0.5"/>
    <row r="460" ht="29.25" x14ac:dyDescent="0.5"/>
    <row r="461" ht="29.25" x14ac:dyDescent="0.5"/>
    <row r="462" ht="29.25" x14ac:dyDescent="0.5"/>
    <row r="463" ht="29.25" x14ac:dyDescent="0.5"/>
    <row r="464" ht="29.25" x14ac:dyDescent="0.5"/>
    <row r="465" ht="29.25" x14ac:dyDescent="0.5"/>
    <row r="466" ht="29.25" x14ac:dyDescent="0.5"/>
    <row r="467" ht="29.25" x14ac:dyDescent="0.5"/>
    <row r="468" ht="29.25" x14ac:dyDescent="0.5"/>
    <row r="469" ht="29.25" x14ac:dyDescent="0.5"/>
    <row r="470" ht="29.25" x14ac:dyDescent="0.5"/>
    <row r="471" ht="29.25" x14ac:dyDescent="0.5"/>
    <row r="472" ht="29.25" x14ac:dyDescent="0.5"/>
    <row r="473" ht="29.25" x14ac:dyDescent="0.5"/>
    <row r="474" ht="29.25" x14ac:dyDescent="0.5"/>
    <row r="475" ht="29.25" x14ac:dyDescent="0.5"/>
    <row r="476" ht="29.25" x14ac:dyDescent="0.5"/>
    <row r="477" ht="29.25" x14ac:dyDescent="0.5"/>
    <row r="478" ht="29.25" x14ac:dyDescent="0.5"/>
    <row r="479" ht="29.25" x14ac:dyDescent="0.5"/>
    <row r="480" ht="29.25" x14ac:dyDescent="0.5"/>
    <row r="481" ht="29.25" x14ac:dyDescent="0.5"/>
    <row r="482" ht="29.25" x14ac:dyDescent="0.5"/>
    <row r="483" ht="29.25" x14ac:dyDescent="0.5"/>
    <row r="484" ht="29.25" x14ac:dyDescent="0.5"/>
    <row r="485" ht="29.25" x14ac:dyDescent="0.5"/>
    <row r="486" ht="29.25" x14ac:dyDescent="0.5"/>
    <row r="487" ht="29.25" x14ac:dyDescent="0.5"/>
    <row r="488" ht="29.25" x14ac:dyDescent="0.5"/>
    <row r="489" ht="29.25" x14ac:dyDescent="0.5"/>
    <row r="490" ht="29.25" x14ac:dyDescent="0.5"/>
    <row r="491" ht="29.25" x14ac:dyDescent="0.5"/>
    <row r="492" ht="29.25" x14ac:dyDescent="0.5"/>
    <row r="493" ht="29.25" x14ac:dyDescent="0.5"/>
    <row r="494" ht="29.25" x14ac:dyDescent="0.5"/>
    <row r="495" ht="29.25" x14ac:dyDescent="0.5"/>
    <row r="496" ht="29.25" x14ac:dyDescent="0.5"/>
    <row r="497" ht="29.25" x14ac:dyDescent="0.5"/>
    <row r="498" ht="29.25" x14ac:dyDescent="0.5"/>
    <row r="499" ht="29.25" x14ac:dyDescent="0.5"/>
    <row r="500" ht="29.25" x14ac:dyDescent="0.5"/>
    <row r="501" ht="29.25" x14ac:dyDescent="0.5"/>
    <row r="502" ht="29.25" x14ac:dyDescent="0.5"/>
    <row r="503" ht="29.25" x14ac:dyDescent="0.5"/>
    <row r="504" ht="29.25" x14ac:dyDescent="0.5"/>
    <row r="505" ht="29.25" x14ac:dyDescent="0.5"/>
    <row r="506" ht="29.25" x14ac:dyDescent="0.5"/>
    <row r="507" ht="29.25" x14ac:dyDescent="0.5"/>
    <row r="508" ht="29.25" x14ac:dyDescent="0.5"/>
    <row r="509" ht="29.25" x14ac:dyDescent="0.5"/>
    <row r="510" ht="29.25" x14ac:dyDescent="0.5"/>
    <row r="511" ht="29.25" x14ac:dyDescent="0.5"/>
    <row r="512" ht="29.25" x14ac:dyDescent="0.5"/>
    <row r="513" ht="29.25" x14ac:dyDescent="0.5"/>
    <row r="514" ht="29.25" x14ac:dyDescent="0.5"/>
    <row r="515" ht="29.25" x14ac:dyDescent="0.5"/>
    <row r="516" ht="29.25" x14ac:dyDescent="0.5"/>
    <row r="517" ht="29.25" x14ac:dyDescent="0.5"/>
    <row r="518" ht="29.25" x14ac:dyDescent="0.5"/>
    <row r="519" ht="29.25" x14ac:dyDescent="0.5"/>
    <row r="520" ht="29.25" x14ac:dyDescent="0.5"/>
    <row r="521" ht="29.25" x14ac:dyDescent="0.5"/>
    <row r="522" ht="29.25" x14ac:dyDescent="0.5"/>
    <row r="523" ht="29.25" x14ac:dyDescent="0.5"/>
    <row r="524" ht="29.25" x14ac:dyDescent="0.5"/>
    <row r="525" ht="29.25" x14ac:dyDescent="0.5"/>
    <row r="526" ht="29.25" x14ac:dyDescent="0.5"/>
    <row r="527" ht="29.25" x14ac:dyDescent="0.5"/>
    <row r="528" ht="29.25" x14ac:dyDescent="0.5"/>
    <row r="529" ht="29.25" x14ac:dyDescent="0.5"/>
    <row r="530" ht="29.25" x14ac:dyDescent="0.5"/>
    <row r="531" ht="29.25" x14ac:dyDescent="0.5"/>
    <row r="532" ht="29.25" x14ac:dyDescent="0.5"/>
    <row r="533" ht="29.25" x14ac:dyDescent="0.5"/>
    <row r="534" ht="29.25" x14ac:dyDescent="0.5"/>
    <row r="535" ht="29.25" x14ac:dyDescent="0.5"/>
    <row r="536" ht="29.25" x14ac:dyDescent="0.5"/>
    <row r="537" ht="29.25" x14ac:dyDescent="0.5"/>
    <row r="538" ht="29.25" x14ac:dyDescent="0.5"/>
    <row r="539" ht="29.25" x14ac:dyDescent="0.5"/>
    <row r="540" ht="29.25" x14ac:dyDescent="0.5"/>
    <row r="541" ht="29.25" x14ac:dyDescent="0.5"/>
    <row r="542" ht="29.25" x14ac:dyDescent="0.5"/>
    <row r="543" ht="29.25" x14ac:dyDescent="0.5"/>
    <row r="544" ht="29.25" x14ac:dyDescent="0.5"/>
    <row r="545" ht="29.25" x14ac:dyDescent="0.5"/>
    <row r="546" ht="29.25" x14ac:dyDescent="0.5"/>
    <row r="547" ht="29.25" x14ac:dyDescent="0.5"/>
    <row r="548" ht="29.25" x14ac:dyDescent="0.5"/>
    <row r="549" ht="29.25" x14ac:dyDescent="0.5"/>
    <row r="550" ht="29.25" x14ac:dyDescent="0.5"/>
    <row r="551" ht="29.25" x14ac:dyDescent="0.5"/>
    <row r="552" ht="29.25" x14ac:dyDescent="0.5"/>
    <row r="553" ht="29.25" x14ac:dyDescent="0.5"/>
    <row r="554" ht="29.25" x14ac:dyDescent="0.5"/>
    <row r="555" ht="29.25" x14ac:dyDescent="0.5"/>
    <row r="556" ht="29.25" x14ac:dyDescent="0.5"/>
    <row r="557" ht="29.25" x14ac:dyDescent="0.5"/>
    <row r="558" ht="29.25" x14ac:dyDescent="0.5"/>
    <row r="559" ht="29.25" x14ac:dyDescent="0.5"/>
    <row r="560" ht="29.25" x14ac:dyDescent="0.5"/>
    <row r="561" ht="29.25" x14ac:dyDescent="0.5"/>
    <row r="562" ht="29.25" x14ac:dyDescent="0.5"/>
    <row r="563" ht="29.25" x14ac:dyDescent="0.5"/>
    <row r="564" ht="29.25" x14ac:dyDescent="0.5"/>
    <row r="565" ht="29.25" x14ac:dyDescent="0.5"/>
    <row r="566" ht="29.25" x14ac:dyDescent="0.5"/>
    <row r="567" ht="29.25" x14ac:dyDescent="0.5"/>
    <row r="568" ht="29.25" x14ac:dyDescent="0.5"/>
    <row r="569" ht="29.25" x14ac:dyDescent="0.5"/>
    <row r="570" ht="29.25" x14ac:dyDescent="0.5"/>
    <row r="571" ht="29.25" x14ac:dyDescent="0.5"/>
    <row r="572" ht="29.25" x14ac:dyDescent="0.5"/>
    <row r="573" ht="29.25" x14ac:dyDescent="0.5"/>
    <row r="574" ht="29.25" x14ac:dyDescent="0.5"/>
    <row r="575" ht="29.25" x14ac:dyDescent="0.5"/>
    <row r="576" ht="29.25" x14ac:dyDescent="0.5"/>
    <row r="577" ht="29.25" x14ac:dyDescent="0.5"/>
    <row r="578" ht="29.25" x14ac:dyDescent="0.5"/>
    <row r="579" ht="29.25" x14ac:dyDescent="0.5"/>
    <row r="580" ht="29.25" x14ac:dyDescent="0.5"/>
    <row r="581" ht="29.25" x14ac:dyDescent="0.5"/>
    <row r="582" ht="29.25" x14ac:dyDescent="0.5"/>
    <row r="583" ht="29.25" x14ac:dyDescent="0.5"/>
    <row r="584" ht="29.25" x14ac:dyDescent="0.5"/>
    <row r="585" ht="29.25" x14ac:dyDescent="0.5"/>
    <row r="586" ht="29.25" x14ac:dyDescent="0.5"/>
    <row r="587" ht="29.25" x14ac:dyDescent="0.5"/>
    <row r="588" ht="29.25" x14ac:dyDescent="0.5"/>
    <row r="589" ht="29.25" x14ac:dyDescent="0.5"/>
    <row r="590" ht="29.25" x14ac:dyDescent="0.5"/>
    <row r="591" ht="29.25" x14ac:dyDescent="0.5"/>
    <row r="592" ht="29.25" x14ac:dyDescent="0.5"/>
    <row r="593" ht="29.25" x14ac:dyDescent="0.5"/>
    <row r="594" ht="29.25" x14ac:dyDescent="0.5"/>
    <row r="595" ht="29.25" x14ac:dyDescent="0.5"/>
    <row r="596" ht="29.25" x14ac:dyDescent="0.5"/>
    <row r="597" ht="29.25" x14ac:dyDescent="0.5"/>
    <row r="598" ht="29.25" x14ac:dyDescent="0.5"/>
    <row r="599" ht="29.25" x14ac:dyDescent="0.5"/>
    <row r="600" ht="29.25" x14ac:dyDescent="0.5"/>
    <row r="601" ht="29.25" x14ac:dyDescent="0.5"/>
    <row r="602" ht="29.25" x14ac:dyDescent="0.5"/>
    <row r="603" ht="29.25" x14ac:dyDescent="0.5"/>
    <row r="604" ht="29.25" x14ac:dyDescent="0.5"/>
    <row r="605" ht="29.25" x14ac:dyDescent="0.5"/>
    <row r="606" ht="29.25" x14ac:dyDescent="0.5"/>
    <row r="607" ht="29.25" x14ac:dyDescent="0.5"/>
    <row r="608" ht="29.25" x14ac:dyDescent="0.5"/>
    <row r="609" ht="29.25" x14ac:dyDescent="0.5"/>
    <row r="610" ht="29.25" x14ac:dyDescent="0.5"/>
    <row r="611" ht="29.25" x14ac:dyDescent="0.5"/>
    <row r="612" ht="29.25" x14ac:dyDescent="0.5"/>
    <row r="613" ht="29.25" x14ac:dyDescent="0.5"/>
    <row r="614" ht="29.25" x14ac:dyDescent="0.5"/>
    <row r="615" ht="29.25" x14ac:dyDescent="0.5"/>
    <row r="616" ht="29.25" x14ac:dyDescent="0.5"/>
    <row r="617" ht="29.25" x14ac:dyDescent="0.5"/>
    <row r="618" ht="29.25" x14ac:dyDescent="0.5"/>
    <row r="619" ht="29.25" x14ac:dyDescent="0.5"/>
    <row r="620" ht="29.25" x14ac:dyDescent="0.5"/>
    <row r="621" ht="29.25" x14ac:dyDescent="0.5"/>
    <row r="622" ht="29.25" x14ac:dyDescent="0.5"/>
    <row r="623" ht="29.25" x14ac:dyDescent="0.5"/>
    <row r="624" ht="29.25" x14ac:dyDescent="0.5"/>
    <row r="625" ht="29.25" x14ac:dyDescent="0.5"/>
    <row r="626" ht="29.25" x14ac:dyDescent="0.5"/>
    <row r="627" ht="29.25" x14ac:dyDescent="0.5"/>
    <row r="628" ht="29.25" x14ac:dyDescent="0.5"/>
    <row r="629" ht="29.25" x14ac:dyDescent="0.5"/>
    <row r="630" ht="29.25" x14ac:dyDescent="0.5"/>
    <row r="631" ht="29.25" x14ac:dyDescent="0.5"/>
    <row r="632" ht="29.25" x14ac:dyDescent="0.5"/>
    <row r="633" ht="29.25" x14ac:dyDescent="0.5"/>
    <row r="634" ht="29.25" x14ac:dyDescent="0.5"/>
    <row r="635" ht="29.25" x14ac:dyDescent="0.5"/>
    <row r="636" ht="29.25" x14ac:dyDescent="0.5"/>
    <row r="637" ht="29.25" x14ac:dyDescent="0.5"/>
    <row r="638" ht="29.25" x14ac:dyDescent="0.5"/>
    <row r="639" ht="29.25" x14ac:dyDescent="0.5"/>
    <row r="640" ht="29.25" x14ac:dyDescent="0.5"/>
    <row r="641" ht="29.25" x14ac:dyDescent="0.5"/>
    <row r="642" ht="29.25" x14ac:dyDescent="0.5"/>
    <row r="643" ht="29.25" x14ac:dyDescent="0.5"/>
    <row r="644" ht="29.25" x14ac:dyDescent="0.5"/>
    <row r="645" ht="29.25" x14ac:dyDescent="0.5"/>
    <row r="646" ht="29.25" x14ac:dyDescent="0.5"/>
    <row r="647" ht="29.25" x14ac:dyDescent="0.5"/>
    <row r="648" ht="29.25" x14ac:dyDescent="0.5"/>
    <row r="649" ht="29.25" x14ac:dyDescent="0.5"/>
    <row r="650" ht="29.25" x14ac:dyDescent="0.5"/>
    <row r="651" ht="29.25" x14ac:dyDescent="0.5"/>
    <row r="652" ht="29.25" x14ac:dyDescent="0.5"/>
    <row r="653" ht="29.25" x14ac:dyDescent="0.5"/>
    <row r="654" ht="29.25" x14ac:dyDescent="0.5"/>
    <row r="655" ht="29.25" x14ac:dyDescent="0.5"/>
    <row r="656" ht="29.25" x14ac:dyDescent="0.5"/>
    <row r="657" ht="29.25" x14ac:dyDescent="0.5"/>
    <row r="658" ht="29.25" x14ac:dyDescent="0.5"/>
    <row r="659" ht="29.25" x14ac:dyDescent="0.5"/>
    <row r="660" ht="29.25" x14ac:dyDescent="0.5"/>
    <row r="661" ht="29.25" x14ac:dyDescent="0.5"/>
    <row r="662" ht="29.25" x14ac:dyDescent="0.5"/>
    <row r="663" ht="29.25" x14ac:dyDescent="0.5"/>
    <row r="664" ht="29.25" x14ac:dyDescent="0.5"/>
    <row r="665" ht="29.25" x14ac:dyDescent="0.5"/>
    <row r="666" ht="29.25" x14ac:dyDescent="0.5"/>
    <row r="667" ht="29.25" x14ac:dyDescent="0.5"/>
    <row r="668" ht="29.25" x14ac:dyDescent="0.5"/>
    <row r="669" ht="29.25" x14ac:dyDescent="0.5"/>
    <row r="670" ht="29.25" x14ac:dyDescent="0.5"/>
    <row r="671" ht="29.25" x14ac:dyDescent="0.5"/>
    <row r="672" ht="29.25" x14ac:dyDescent="0.5"/>
    <row r="673" ht="29.25" x14ac:dyDescent="0.5"/>
    <row r="674" ht="29.25" x14ac:dyDescent="0.5"/>
    <row r="675" ht="29.25" x14ac:dyDescent="0.5"/>
    <row r="676" ht="29.25" x14ac:dyDescent="0.5"/>
    <row r="677" ht="29.25" x14ac:dyDescent="0.5"/>
    <row r="678" ht="29.25" x14ac:dyDescent="0.5"/>
    <row r="679" ht="29.25" x14ac:dyDescent="0.5"/>
    <row r="680" ht="29.25" x14ac:dyDescent="0.5"/>
    <row r="681" ht="29.25" x14ac:dyDescent="0.5"/>
    <row r="682" ht="29.25" x14ac:dyDescent="0.5"/>
    <row r="683" ht="29.25" x14ac:dyDescent="0.5"/>
    <row r="684" ht="29.25" x14ac:dyDescent="0.5"/>
    <row r="685" ht="29.25" x14ac:dyDescent="0.5"/>
    <row r="686" ht="29.25" x14ac:dyDescent="0.5"/>
    <row r="687" ht="29.25" x14ac:dyDescent="0.5"/>
    <row r="688" ht="29.25" x14ac:dyDescent="0.5"/>
    <row r="689" ht="29.25" x14ac:dyDescent="0.5"/>
    <row r="690" ht="29.25" x14ac:dyDescent="0.5"/>
    <row r="691" ht="29.25" x14ac:dyDescent="0.5"/>
    <row r="692" ht="29.25" x14ac:dyDescent="0.5"/>
    <row r="693" ht="29.25" x14ac:dyDescent="0.5"/>
    <row r="694" ht="29.25" x14ac:dyDescent="0.5"/>
    <row r="695" ht="29.25" x14ac:dyDescent="0.5"/>
    <row r="696" ht="29.25" x14ac:dyDescent="0.5"/>
    <row r="697" ht="29.25" x14ac:dyDescent="0.5"/>
    <row r="698" ht="29.25" x14ac:dyDescent="0.5"/>
    <row r="699" ht="29.25" x14ac:dyDescent="0.5"/>
    <row r="700" ht="29.25" x14ac:dyDescent="0.5"/>
    <row r="701" ht="29.25" x14ac:dyDescent="0.5"/>
    <row r="702" ht="29.25" x14ac:dyDescent="0.5"/>
    <row r="703" ht="29.25" x14ac:dyDescent="0.5"/>
    <row r="704" ht="29.25" x14ac:dyDescent="0.5"/>
    <row r="705" ht="29.25" x14ac:dyDescent="0.5"/>
    <row r="706" ht="29.25" x14ac:dyDescent="0.5"/>
    <row r="707" ht="29.25" x14ac:dyDescent="0.5"/>
    <row r="708" ht="29.25" x14ac:dyDescent="0.5"/>
    <row r="709" ht="29.25" x14ac:dyDescent="0.5"/>
    <row r="710" ht="29.25" x14ac:dyDescent="0.5"/>
    <row r="711" ht="29.25" x14ac:dyDescent="0.5"/>
    <row r="712" ht="29.25" x14ac:dyDescent="0.5"/>
    <row r="713" ht="29.25" x14ac:dyDescent="0.5"/>
    <row r="714" ht="29.25" x14ac:dyDescent="0.5"/>
    <row r="715" ht="29.25" x14ac:dyDescent="0.5"/>
    <row r="716" ht="29.25" x14ac:dyDescent="0.5"/>
    <row r="717" ht="29.25" x14ac:dyDescent="0.5"/>
    <row r="718" ht="29.25" x14ac:dyDescent="0.5"/>
    <row r="719" ht="29.25" x14ac:dyDescent="0.5"/>
    <row r="720" ht="29.25" x14ac:dyDescent="0.5"/>
    <row r="721" ht="29.25" x14ac:dyDescent="0.5"/>
    <row r="722" ht="29.25" x14ac:dyDescent="0.5"/>
    <row r="723" ht="29.25" x14ac:dyDescent="0.5"/>
    <row r="724" ht="29.25" x14ac:dyDescent="0.5"/>
    <row r="725" ht="29.25" x14ac:dyDescent="0.5"/>
    <row r="726" ht="29.25" x14ac:dyDescent="0.5"/>
    <row r="727" ht="29.25" x14ac:dyDescent="0.5"/>
    <row r="728" ht="29.25" x14ac:dyDescent="0.5"/>
    <row r="729" ht="29.25" x14ac:dyDescent="0.5"/>
    <row r="730" ht="29.25" x14ac:dyDescent="0.5"/>
    <row r="731" ht="29.25" x14ac:dyDescent="0.5"/>
    <row r="732" ht="29.25" x14ac:dyDescent="0.5"/>
    <row r="733" ht="29.25" x14ac:dyDescent="0.5"/>
    <row r="734" ht="29.25" x14ac:dyDescent="0.5"/>
    <row r="735" ht="29.25" x14ac:dyDescent="0.5"/>
    <row r="736" ht="29.25" x14ac:dyDescent="0.5"/>
    <row r="737" ht="29.25" x14ac:dyDescent="0.5"/>
    <row r="738" ht="29.25" x14ac:dyDescent="0.5"/>
    <row r="739" ht="29.25" x14ac:dyDescent="0.5"/>
    <row r="740" ht="29.25" x14ac:dyDescent="0.5"/>
    <row r="741" ht="29.25" x14ac:dyDescent="0.5"/>
    <row r="742" ht="29.25" x14ac:dyDescent="0.5"/>
    <row r="743" ht="29.25" x14ac:dyDescent="0.5"/>
    <row r="744" ht="29.25" x14ac:dyDescent="0.5"/>
    <row r="745" ht="29.25" x14ac:dyDescent="0.5"/>
    <row r="746" ht="29.25" x14ac:dyDescent="0.5"/>
    <row r="747" ht="29.25" x14ac:dyDescent="0.5"/>
    <row r="748" ht="29.25" x14ac:dyDescent="0.5"/>
    <row r="749" ht="29.25" x14ac:dyDescent="0.5"/>
    <row r="750" ht="29.25" x14ac:dyDescent="0.5"/>
    <row r="751" ht="29.25" x14ac:dyDescent="0.5"/>
    <row r="752" ht="29.25" x14ac:dyDescent="0.5"/>
    <row r="753" ht="29.25" x14ac:dyDescent="0.5"/>
    <row r="754" ht="29.25" x14ac:dyDescent="0.5"/>
    <row r="755" ht="29.25" x14ac:dyDescent="0.5"/>
    <row r="756" ht="29.25" x14ac:dyDescent="0.5"/>
    <row r="757" ht="29.25" x14ac:dyDescent="0.5"/>
    <row r="758" ht="29.25" x14ac:dyDescent="0.5"/>
    <row r="759" ht="29.25" x14ac:dyDescent="0.5"/>
    <row r="760" ht="29.25" x14ac:dyDescent="0.5"/>
    <row r="761" ht="29.25" x14ac:dyDescent="0.5"/>
    <row r="762" ht="29.25" x14ac:dyDescent="0.5"/>
    <row r="763" ht="29.25" x14ac:dyDescent="0.5"/>
    <row r="764" ht="29.25" x14ac:dyDescent="0.5"/>
    <row r="765" ht="29.25" x14ac:dyDescent="0.5"/>
    <row r="766" ht="29.25" x14ac:dyDescent="0.5"/>
    <row r="767" ht="29.25" x14ac:dyDescent="0.5"/>
    <row r="768" ht="29.25" x14ac:dyDescent="0.5"/>
    <row r="769" ht="29.25" x14ac:dyDescent="0.5"/>
    <row r="770" ht="29.25" x14ac:dyDescent="0.5"/>
    <row r="771" ht="29.25" x14ac:dyDescent="0.5"/>
    <row r="772" ht="29.25" x14ac:dyDescent="0.5"/>
    <row r="773" ht="29.25" x14ac:dyDescent="0.5"/>
    <row r="774" ht="29.25" x14ac:dyDescent="0.5"/>
    <row r="775" ht="29.25" x14ac:dyDescent="0.5"/>
    <row r="776" ht="29.25" x14ac:dyDescent="0.5"/>
    <row r="777" ht="29.25" x14ac:dyDescent="0.5"/>
    <row r="778" ht="29.25" x14ac:dyDescent="0.5"/>
    <row r="779" ht="29.25" x14ac:dyDescent="0.5"/>
    <row r="780" ht="29.25" x14ac:dyDescent="0.5"/>
    <row r="781" ht="29.25" x14ac:dyDescent="0.5"/>
    <row r="782" ht="29.25" x14ac:dyDescent="0.5"/>
    <row r="783" ht="29.25" x14ac:dyDescent="0.5"/>
    <row r="784" ht="29.25" x14ac:dyDescent="0.5"/>
    <row r="785" ht="29.25" x14ac:dyDescent="0.5"/>
    <row r="786" ht="29.25" x14ac:dyDescent="0.5"/>
    <row r="787" ht="29.25" x14ac:dyDescent="0.5"/>
    <row r="788" ht="29.25" x14ac:dyDescent="0.5"/>
    <row r="789" ht="29.25" x14ac:dyDescent="0.5"/>
    <row r="790" ht="29.25" x14ac:dyDescent="0.5"/>
    <row r="791" ht="29.25" x14ac:dyDescent="0.5"/>
    <row r="792" ht="29.25" x14ac:dyDescent="0.5"/>
    <row r="793" ht="29.25" x14ac:dyDescent="0.5"/>
    <row r="794" ht="29.25" x14ac:dyDescent="0.5"/>
    <row r="795" ht="29.25" x14ac:dyDescent="0.5"/>
    <row r="796" ht="29.25" x14ac:dyDescent="0.5"/>
    <row r="797" ht="29.25" x14ac:dyDescent="0.5"/>
    <row r="798" ht="29.25" x14ac:dyDescent="0.5"/>
    <row r="799" ht="29.25" x14ac:dyDescent="0.5"/>
    <row r="800" ht="29.25" x14ac:dyDescent="0.5"/>
    <row r="801" ht="29.25" x14ac:dyDescent="0.5"/>
    <row r="802" ht="29.25" x14ac:dyDescent="0.5"/>
    <row r="803" ht="29.25" x14ac:dyDescent="0.5"/>
    <row r="804" ht="29.25" x14ac:dyDescent="0.5"/>
    <row r="805" ht="29.25" x14ac:dyDescent="0.5"/>
    <row r="806" ht="29.25" x14ac:dyDescent="0.5"/>
    <row r="807" ht="29.25" x14ac:dyDescent="0.5"/>
    <row r="808" ht="29.25" x14ac:dyDescent="0.5"/>
    <row r="809" ht="29.25" x14ac:dyDescent="0.5"/>
    <row r="810" ht="29.25" x14ac:dyDescent="0.5"/>
    <row r="811" ht="29.25" x14ac:dyDescent="0.5"/>
    <row r="812" ht="29.25" x14ac:dyDescent="0.5"/>
    <row r="813" ht="29.25" x14ac:dyDescent="0.5"/>
    <row r="814" ht="29.25" x14ac:dyDescent="0.5"/>
    <row r="815" ht="29.25" x14ac:dyDescent="0.5"/>
    <row r="816" ht="29.25" x14ac:dyDescent="0.5"/>
    <row r="817" ht="29.25" x14ac:dyDescent="0.5"/>
    <row r="818" ht="29.25" x14ac:dyDescent="0.5"/>
    <row r="819" ht="29.25" x14ac:dyDescent="0.5"/>
    <row r="820" ht="29.25" x14ac:dyDescent="0.5"/>
    <row r="821" ht="29.25" x14ac:dyDescent="0.5"/>
    <row r="822" ht="29.25" x14ac:dyDescent="0.5"/>
    <row r="823" ht="29.25" x14ac:dyDescent="0.5"/>
    <row r="824" ht="29.25" x14ac:dyDescent="0.5"/>
    <row r="825" ht="29.25" x14ac:dyDescent="0.5"/>
    <row r="826" ht="29.25" x14ac:dyDescent="0.5"/>
    <row r="827" ht="29.25" x14ac:dyDescent="0.5"/>
    <row r="828" ht="29.25" x14ac:dyDescent="0.5"/>
    <row r="829" ht="29.25" x14ac:dyDescent="0.5"/>
    <row r="830" ht="29.25" x14ac:dyDescent="0.5"/>
    <row r="831" ht="29.25" x14ac:dyDescent="0.5"/>
    <row r="832" ht="29.25" x14ac:dyDescent="0.5"/>
    <row r="833" ht="29.25" x14ac:dyDescent="0.5"/>
    <row r="834" ht="29.25" x14ac:dyDescent="0.5"/>
    <row r="835" ht="29.25" x14ac:dyDescent="0.5"/>
    <row r="836" ht="29.25" x14ac:dyDescent="0.5"/>
    <row r="837" ht="29.25" x14ac:dyDescent="0.5"/>
    <row r="838" ht="29.25" x14ac:dyDescent="0.5"/>
    <row r="839" ht="29.25" x14ac:dyDescent="0.5"/>
    <row r="840" ht="29.25" x14ac:dyDescent="0.5"/>
    <row r="841" ht="29.25" x14ac:dyDescent="0.5"/>
    <row r="842" ht="29.25" x14ac:dyDescent="0.5"/>
    <row r="843" ht="29.25" x14ac:dyDescent="0.5"/>
    <row r="844" ht="29.25" x14ac:dyDescent="0.5"/>
    <row r="845" ht="29.25" x14ac:dyDescent="0.5"/>
    <row r="846" ht="29.25" x14ac:dyDescent="0.5"/>
    <row r="847" ht="29.25" x14ac:dyDescent="0.5"/>
    <row r="848" ht="29.25" x14ac:dyDescent="0.5"/>
    <row r="849" ht="29.25" x14ac:dyDescent="0.5"/>
    <row r="850" ht="29.25" x14ac:dyDescent="0.5"/>
    <row r="851" ht="29.25" x14ac:dyDescent="0.5"/>
    <row r="852" ht="29.25" x14ac:dyDescent="0.5"/>
    <row r="853" ht="29.25" x14ac:dyDescent="0.5"/>
    <row r="854" ht="29.25" x14ac:dyDescent="0.5"/>
    <row r="855" ht="29.25" x14ac:dyDescent="0.5"/>
    <row r="856" ht="29.25" x14ac:dyDescent="0.5"/>
    <row r="857" ht="29.25" x14ac:dyDescent="0.5"/>
    <row r="858" ht="29.25" x14ac:dyDescent="0.5"/>
    <row r="859" ht="29.25" x14ac:dyDescent="0.5"/>
    <row r="860" ht="29.25" x14ac:dyDescent="0.5"/>
    <row r="861" ht="29.25" x14ac:dyDescent="0.5"/>
    <row r="862" ht="29.25" x14ac:dyDescent="0.5"/>
    <row r="863" ht="29.25" x14ac:dyDescent="0.5"/>
    <row r="864" ht="29.25" x14ac:dyDescent="0.5"/>
    <row r="865" ht="29.25" x14ac:dyDescent="0.5"/>
    <row r="866" ht="29.25" x14ac:dyDescent="0.5"/>
    <row r="867" ht="29.25" x14ac:dyDescent="0.5"/>
    <row r="868" ht="29.25" x14ac:dyDescent="0.5"/>
    <row r="869" ht="29.25" x14ac:dyDescent="0.5"/>
    <row r="870" ht="29.25" x14ac:dyDescent="0.5"/>
    <row r="871" ht="29.25" x14ac:dyDescent="0.5"/>
    <row r="872" ht="29.25" x14ac:dyDescent="0.5"/>
    <row r="873" ht="29.25" x14ac:dyDescent="0.5"/>
    <row r="874" ht="29.25" x14ac:dyDescent="0.5"/>
    <row r="875" ht="29.25" x14ac:dyDescent="0.5"/>
    <row r="876" ht="29.25" x14ac:dyDescent="0.5"/>
    <row r="877" ht="29.25" x14ac:dyDescent="0.5"/>
    <row r="878" ht="29.25" x14ac:dyDescent="0.5"/>
    <row r="879" ht="29.25" x14ac:dyDescent="0.5"/>
    <row r="880" ht="29.25" x14ac:dyDescent="0.5"/>
    <row r="881" ht="29.25" x14ac:dyDescent="0.5"/>
    <row r="882" ht="29.25" x14ac:dyDescent="0.5"/>
    <row r="883" ht="29.25" x14ac:dyDescent="0.5"/>
    <row r="884" ht="29.25" x14ac:dyDescent="0.5"/>
    <row r="885" ht="29.25" x14ac:dyDescent="0.5"/>
    <row r="886" ht="29.25" x14ac:dyDescent="0.5"/>
    <row r="887" ht="29.25" x14ac:dyDescent="0.5"/>
    <row r="888" ht="29.25" x14ac:dyDescent="0.5"/>
    <row r="889" ht="29.25" x14ac:dyDescent="0.5"/>
    <row r="890" ht="29.25" x14ac:dyDescent="0.5"/>
    <row r="891" ht="29.25" x14ac:dyDescent="0.5"/>
    <row r="892" ht="29.25" x14ac:dyDescent="0.5"/>
    <row r="893" ht="29.25" x14ac:dyDescent="0.5"/>
    <row r="894" ht="29.25" x14ac:dyDescent="0.5"/>
    <row r="895" ht="29.25" x14ac:dyDescent="0.5"/>
    <row r="896" ht="29.25" x14ac:dyDescent="0.5"/>
    <row r="897" ht="29.25" x14ac:dyDescent="0.5"/>
    <row r="898" ht="29.25" x14ac:dyDescent="0.5"/>
    <row r="899" ht="29.25" x14ac:dyDescent="0.5"/>
    <row r="900" ht="29.25" x14ac:dyDescent="0.5"/>
    <row r="901" ht="29.25" x14ac:dyDescent="0.5"/>
    <row r="902" ht="29.25" x14ac:dyDescent="0.5"/>
    <row r="903" ht="29.25" x14ac:dyDescent="0.5"/>
    <row r="904" ht="29.25" x14ac:dyDescent="0.5"/>
    <row r="905" ht="29.25" x14ac:dyDescent="0.5"/>
    <row r="906" ht="29.25" x14ac:dyDescent="0.5"/>
    <row r="907" ht="29.25" x14ac:dyDescent="0.5"/>
    <row r="908" ht="29.25" x14ac:dyDescent="0.5"/>
    <row r="909" ht="29.25" x14ac:dyDescent="0.5"/>
    <row r="910" ht="29.25" x14ac:dyDescent="0.5"/>
    <row r="911" ht="29.25" x14ac:dyDescent="0.5"/>
    <row r="912" ht="29.25" x14ac:dyDescent="0.5"/>
    <row r="913" ht="29.25" x14ac:dyDescent="0.5"/>
    <row r="914" ht="29.25" x14ac:dyDescent="0.5"/>
    <row r="915" ht="29.25" x14ac:dyDescent="0.5"/>
    <row r="916" ht="29.25" x14ac:dyDescent="0.5"/>
    <row r="917" ht="29.25" x14ac:dyDescent="0.5"/>
    <row r="918" ht="29.25" x14ac:dyDescent="0.5"/>
    <row r="919" ht="29.25" x14ac:dyDescent="0.5"/>
    <row r="920" ht="29.25" x14ac:dyDescent="0.5"/>
    <row r="921" ht="29.25" x14ac:dyDescent="0.5"/>
    <row r="922" ht="29.25" x14ac:dyDescent="0.5"/>
    <row r="923" ht="29.25" x14ac:dyDescent="0.5"/>
    <row r="924" ht="29.25" x14ac:dyDescent="0.5"/>
    <row r="925" ht="29.25" x14ac:dyDescent="0.5"/>
    <row r="926" ht="29.25" x14ac:dyDescent="0.5"/>
    <row r="927" ht="29.25" x14ac:dyDescent="0.5"/>
    <row r="928" ht="29.25" x14ac:dyDescent="0.5"/>
    <row r="929" ht="29.25" x14ac:dyDescent="0.5"/>
    <row r="930" ht="29.25" x14ac:dyDescent="0.5"/>
    <row r="931" ht="29.25" x14ac:dyDescent="0.5"/>
    <row r="932" ht="29.25" x14ac:dyDescent="0.5"/>
    <row r="933" ht="29.25" x14ac:dyDescent="0.5"/>
    <row r="934" ht="29.25" x14ac:dyDescent="0.5"/>
    <row r="935" ht="29.25" x14ac:dyDescent="0.5"/>
    <row r="936" ht="29.25" x14ac:dyDescent="0.5"/>
    <row r="937" ht="29.25" x14ac:dyDescent="0.5"/>
    <row r="938" ht="29.25" x14ac:dyDescent="0.5"/>
    <row r="939" ht="29.25" x14ac:dyDescent="0.5"/>
    <row r="940" ht="29.25" x14ac:dyDescent="0.5"/>
    <row r="941" ht="29.25" x14ac:dyDescent="0.5"/>
    <row r="942" ht="29.25" x14ac:dyDescent="0.5"/>
    <row r="943" ht="29.25" x14ac:dyDescent="0.5"/>
    <row r="944" ht="29.25" x14ac:dyDescent="0.5"/>
    <row r="945" ht="29.25" x14ac:dyDescent="0.5"/>
    <row r="946" ht="29.25" x14ac:dyDescent="0.5"/>
    <row r="947" ht="29.25" x14ac:dyDescent="0.5"/>
    <row r="948" ht="29.25" x14ac:dyDescent="0.5"/>
    <row r="949" ht="29.25" x14ac:dyDescent="0.5"/>
    <row r="950" ht="29.25" x14ac:dyDescent="0.5"/>
    <row r="951" ht="29.25" x14ac:dyDescent="0.5"/>
    <row r="952" ht="29.25" x14ac:dyDescent="0.5"/>
    <row r="953" ht="29.25" x14ac:dyDescent="0.5"/>
    <row r="954" ht="29.25" x14ac:dyDescent="0.5"/>
    <row r="955" ht="29.25" x14ac:dyDescent="0.5"/>
    <row r="956" ht="29.25" x14ac:dyDescent="0.5"/>
    <row r="957" ht="29.25" x14ac:dyDescent="0.5"/>
    <row r="958" ht="29.25" x14ac:dyDescent="0.5"/>
    <row r="959" ht="29.25" x14ac:dyDescent="0.5"/>
    <row r="960" ht="29.25" x14ac:dyDescent="0.5"/>
    <row r="961" ht="29.25" x14ac:dyDescent="0.5"/>
    <row r="962" ht="29.25" x14ac:dyDescent="0.5"/>
    <row r="963" ht="29.25" x14ac:dyDescent="0.5"/>
    <row r="964" ht="29.25" x14ac:dyDescent="0.5"/>
    <row r="965" ht="29.25" x14ac:dyDescent="0.5"/>
    <row r="966" ht="29.25" x14ac:dyDescent="0.5"/>
    <row r="967" ht="29.25" x14ac:dyDescent="0.5"/>
    <row r="968" ht="29.25" x14ac:dyDescent="0.5"/>
    <row r="969" ht="29.25" x14ac:dyDescent="0.5"/>
    <row r="970" ht="29.25" x14ac:dyDescent="0.5"/>
    <row r="971" ht="29.25" x14ac:dyDescent="0.5"/>
    <row r="972" ht="29.25" x14ac:dyDescent="0.5"/>
    <row r="973" ht="29.25" x14ac:dyDescent="0.5"/>
    <row r="974" ht="29.25" x14ac:dyDescent="0.5"/>
    <row r="975" ht="29.25" x14ac:dyDescent="0.5"/>
    <row r="976" ht="29.25" x14ac:dyDescent="0.5"/>
    <row r="977" ht="29.25" x14ac:dyDescent="0.5"/>
    <row r="978" ht="29.25" x14ac:dyDescent="0.5"/>
    <row r="979" ht="29.25" x14ac:dyDescent="0.5"/>
    <row r="980" ht="29.25" x14ac:dyDescent="0.5"/>
    <row r="981" ht="29.25" x14ac:dyDescent="0.5"/>
    <row r="982" ht="29.25" x14ac:dyDescent="0.5"/>
    <row r="983" ht="29.25" x14ac:dyDescent="0.5"/>
    <row r="984" ht="29.25" x14ac:dyDescent="0.5"/>
    <row r="985" ht="29.25" x14ac:dyDescent="0.5"/>
    <row r="986" ht="29.25" x14ac:dyDescent="0.5"/>
    <row r="987" ht="29.25" x14ac:dyDescent="0.5"/>
    <row r="988" ht="29.25" x14ac:dyDescent="0.5"/>
    <row r="989" ht="29.25" x14ac:dyDescent="0.5"/>
    <row r="990" ht="29.25" x14ac:dyDescent="0.5"/>
    <row r="991" ht="29.25" x14ac:dyDescent="0.5"/>
    <row r="992" ht="29.25" x14ac:dyDescent="0.5"/>
    <row r="993" ht="29.25" x14ac:dyDescent="0.5"/>
    <row r="994" ht="29.25" x14ac:dyDescent="0.5"/>
    <row r="995" ht="29.25" x14ac:dyDescent="0.5"/>
    <row r="996" ht="29.25" x14ac:dyDescent="0.5"/>
    <row r="997" ht="29.25" x14ac:dyDescent="0.5"/>
    <row r="998" ht="29.25" x14ac:dyDescent="0.5"/>
    <row r="999" ht="29.25" x14ac:dyDescent="0.5"/>
    <row r="1000" ht="29.25" x14ac:dyDescent="0.5"/>
    <row r="1001" ht="29.25" x14ac:dyDescent="0.5"/>
    <row r="1002" ht="29.25" x14ac:dyDescent="0.5"/>
    <row r="1003" ht="29.25" x14ac:dyDescent="0.5"/>
    <row r="1004" ht="29.25" x14ac:dyDescent="0.5"/>
    <row r="1005" ht="29.25" x14ac:dyDescent="0.5"/>
    <row r="1006" ht="29.25" x14ac:dyDescent="0.5"/>
    <row r="1007" ht="29.25" x14ac:dyDescent="0.5"/>
    <row r="1008" ht="29.25" x14ac:dyDescent="0.5"/>
    <row r="1009" ht="29.25" x14ac:dyDescent="0.5"/>
    <row r="1010" ht="29.25" x14ac:dyDescent="0.5"/>
    <row r="1011" ht="29.25" x14ac:dyDescent="0.5"/>
    <row r="1012" ht="29.25" x14ac:dyDescent="0.5"/>
    <row r="1013" ht="29.25" x14ac:dyDescent="0.5"/>
    <row r="1014" ht="29.25" x14ac:dyDescent="0.5"/>
    <row r="1015" ht="29.25" x14ac:dyDescent="0.5"/>
    <row r="1016" ht="29.25" x14ac:dyDescent="0.5"/>
    <row r="1017" ht="29.25" x14ac:dyDescent="0.5"/>
    <row r="1018" ht="29.25" x14ac:dyDescent="0.5"/>
    <row r="1019" ht="29.25" x14ac:dyDescent="0.5"/>
    <row r="1020" ht="29.25" x14ac:dyDescent="0.5"/>
    <row r="1021" ht="29.25" x14ac:dyDescent="0.5"/>
    <row r="1022" ht="29.25" x14ac:dyDescent="0.5"/>
    <row r="1023" ht="29.25" x14ac:dyDescent="0.5"/>
    <row r="1024" ht="29.25" x14ac:dyDescent="0.5"/>
    <row r="1025" ht="29.25" x14ac:dyDescent="0.5"/>
    <row r="1026" ht="29.25" x14ac:dyDescent="0.5"/>
    <row r="1027" ht="29.25" x14ac:dyDescent="0.5"/>
    <row r="1028" ht="29.25" x14ac:dyDescent="0.5"/>
    <row r="1029" ht="29.25" x14ac:dyDescent="0.5"/>
    <row r="1030" ht="29.25" x14ac:dyDescent="0.5"/>
    <row r="1031" ht="29.25" x14ac:dyDescent="0.5"/>
    <row r="1032" ht="29.25" x14ac:dyDescent="0.5"/>
    <row r="1033" ht="29.25" x14ac:dyDescent="0.5"/>
    <row r="1034" ht="29.25" x14ac:dyDescent="0.5"/>
    <row r="1035" ht="29.25" x14ac:dyDescent="0.5"/>
    <row r="1036" ht="29.25" x14ac:dyDescent="0.5"/>
    <row r="1037" ht="29.25" x14ac:dyDescent="0.5"/>
    <row r="1038" ht="29.25" x14ac:dyDescent="0.5"/>
    <row r="1039" ht="29.25" x14ac:dyDescent="0.5"/>
    <row r="1040" ht="29.25" x14ac:dyDescent="0.5"/>
    <row r="1041" ht="29.25" x14ac:dyDescent="0.5"/>
    <row r="1042" ht="29.25" x14ac:dyDescent="0.5"/>
    <row r="1043" ht="29.25" x14ac:dyDescent="0.5"/>
    <row r="1044" ht="29.25" x14ac:dyDescent="0.5"/>
    <row r="1045" ht="29.25" x14ac:dyDescent="0.5"/>
    <row r="1046" ht="29.25" x14ac:dyDescent="0.5"/>
    <row r="1047" ht="29.25" x14ac:dyDescent="0.5"/>
    <row r="1048" ht="29.25" x14ac:dyDescent="0.5"/>
    <row r="1049" ht="29.25" x14ac:dyDescent="0.5"/>
    <row r="1050" ht="29.25" x14ac:dyDescent="0.5"/>
    <row r="1051" ht="29.25" x14ac:dyDescent="0.5"/>
    <row r="1052" ht="29.25" x14ac:dyDescent="0.5"/>
    <row r="1053" ht="29.25" x14ac:dyDescent="0.5"/>
    <row r="1054" ht="29.25" x14ac:dyDescent="0.5"/>
    <row r="1055" ht="29.25" x14ac:dyDescent="0.5"/>
    <row r="1056" ht="29.25" x14ac:dyDescent="0.5"/>
    <row r="1057" ht="29.25" x14ac:dyDescent="0.5"/>
    <row r="1058" ht="29.25" x14ac:dyDescent="0.5"/>
    <row r="1059" ht="29.25" x14ac:dyDescent="0.5"/>
    <row r="1060" ht="29.25" x14ac:dyDescent="0.5"/>
    <row r="1061" ht="29.25" x14ac:dyDescent="0.5"/>
    <row r="1062" ht="29.25" x14ac:dyDescent="0.5"/>
    <row r="1063" ht="29.25" x14ac:dyDescent="0.5"/>
    <row r="1064" ht="29.25" x14ac:dyDescent="0.5"/>
    <row r="1065" ht="29.25" x14ac:dyDescent="0.5"/>
    <row r="1066" ht="29.25" x14ac:dyDescent="0.5"/>
    <row r="1067" ht="29.25" x14ac:dyDescent="0.5"/>
    <row r="1068" ht="29.25" x14ac:dyDescent="0.5"/>
    <row r="1069" ht="29.25" x14ac:dyDescent="0.5"/>
    <row r="1070" ht="29.25" x14ac:dyDescent="0.5"/>
    <row r="1071" ht="29.25" x14ac:dyDescent="0.5"/>
    <row r="1072" ht="29.25" x14ac:dyDescent="0.5"/>
    <row r="1073" ht="29.25" x14ac:dyDescent="0.5"/>
    <row r="1074" ht="29.25" x14ac:dyDescent="0.5"/>
    <row r="1075" ht="29.25" x14ac:dyDescent="0.5"/>
    <row r="1076" ht="29.25" x14ac:dyDescent="0.5"/>
    <row r="1077" ht="29.25" x14ac:dyDescent="0.5"/>
    <row r="1078" ht="29.25" x14ac:dyDescent="0.5"/>
    <row r="1079" ht="29.25" x14ac:dyDescent="0.5"/>
    <row r="1080" ht="29.25" x14ac:dyDescent="0.5"/>
    <row r="1081" ht="29.25" x14ac:dyDescent="0.5"/>
    <row r="1082" ht="29.25" x14ac:dyDescent="0.5"/>
    <row r="1083" ht="29.25" x14ac:dyDescent="0.5"/>
    <row r="1084" ht="29.25" x14ac:dyDescent="0.5"/>
    <row r="1085" ht="29.25" x14ac:dyDescent="0.5"/>
    <row r="1086" ht="29.25" x14ac:dyDescent="0.5"/>
    <row r="1087" ht="29.25" x14ac:dyDescent="0.5"/>
    <row r="1088" ht="29.25" x14ac:dyDescent="0.5"/>
    <row r="1089" ht="29.25" x14ac:dyDescent="0.5"/>
    <row r="1090" ht="29.25" x14ac:dyDescent="0.5"/>
    <row r="1091" ht="29.25" x14ac:dyDescent="0.5"/>
    <row r="1092" ht="29.25" x14ac:dyDescent="0.5"/>
    <row r="1093" ht="29.25" x14ac:dyDescent="0.5"/>
    <row r="1094" ht="29.25" x14ac:dyDescent="0.5"/>
    <row r="1095" ht="29.25" x14ac:dyDescent="0.5"/>
    <row r="1096" ht="29.25" x14ac:dyDescent="0.5"/>
    <row r="1097" ht="29.25" x14ac:dyDescent="0.5"/>
    <row r="1098" ht="29.25" x14ac:dyDescent="0.5"/>
    <row r="1099" ht="29.25" x14ac:dyDescent="0.5"/>
    <row r="1100" ht="29.25" x14ac:dyDescent="0.5"/>
    <row r="1101" ht="29.25" x14ac:dyDescent="0.5"/>
    <row r="1102" ht="29.25" x14ac:dyDescent="0.5"/>
    <row r="1103" ht="29.25" x14ac:dyDescent="0.5"/>
    <row r="1104" ht="29.25" x14ac:dyDescent="0.5"/>
    <row r="1105" ht="29.25" x14ac:dyDescent="0.5"/>
    <row r="1106" ht="29.25" x14ac:dyDescent="0.5"/>
    <row r="1107" ht="29.25" x14ac:dyDescent="0.5"/>
    <row r="1108" ht="29.25" x14ac:dyDescent="0.5"/>
    <row r="1109" ht="29.25" x14ac:dyDescent="0.5"/>
    <row r="1110" ht="29.25" x14ac:dyDescent="0.5"/>
    <row r="1111" ht="29.25" x14ac:dyDescent="0.5"/>
    <row r="1112" ht="29.25" x14ac:dyDescent="0.5"/>
    <row r="1113" ht="29.25" x14ac:dyDescent="0.5"/>
    <row r="1114" ht="29.25" x14ac:dyDescent="0.5"/>
    <row r="1115" ht="29.25" x14ac:dyDescent="0.5"/>
    <row r="1116" ht="29.25" x14ac:dyDescent="0.5"/>
    <row r="1117" ht="29.25" x14ac:dyDescent="0.5"/>
    <row r="1118" ht="29.25" x14ac:dyDescent="0.5"/>
    <row r="1119" ht="29.25" x14ac:dyDescent="0.5"/>
    <row r="1120" ht="29.25" x14ac:dyDescent="0.5"/>
    <row r="1121" ht="29.25" x14ac:dyDescent="0.5"/>
    <row r="1122" ht="29.25" x14ac:dyDescent="0.5"/>
    <row r="1123" ht="29.25" x14ac:dyDescent="0.5"/>
    <row r="1124" ht="29.25" x14ac:dyDescent="0.5"/>
    <row r="1125" ht="29.25" x14ac:dyDescent="0.5"/>
    <row r="1126" ht="29.25" x14ac:dyDescent="0.5"/>
    <row r="1127" ht="29.25" x14ac:dyDescent="0.5"/>
    <row r="1128" ht="29.25" x14ac:dyDescent="0.5"/>
    <row r="1129" ht="29.25" x14ac:dyDescent="0.5"/>
    <row r="1130" ht="29.25" x14ac:dyDescent="0.5"/>
    <row r="1131" ht="29.25" x14ac:dyDescent="0.5"/>
    <row r="1132" ht="29.25" x14ac:dyDescent="0.5"/>
    <row r="1133" ht="29.25" x14ac:dyDescent="0.5"/>
    <row r="1134" ht="29.25" x14ac:dyDescent="0.5"/>
    <row r="1135" ht="29.25" x14ac:dyDescent="0.5"/>
    <row r="1136" ht="29.25" x14ac:dyDescent="0.5"/>
    <row r="1137" ht="29.25" x14ac:dyDescent="0.5"/>
    <row r="1138" ht="29.25" x14ac:dyDescent="0.5"/>
    <row r="1139" ht="29.25" x14ac:dyDescent="0.5"/>
    <row r="1140" ht="29.25" x14ac:dyDescent="0.5"/>
    <row r="1141" ht="29.25" x14ac:dyDescent="0.5"/>
    <row r="1142" ht="29.25" x14ac:dyDescent="0.5"/>
    <row r="1143" ht="29.25" x14ac:dyDescent="0.5"/>
    <row r="1144" ht="29.25" x14ac:dyDescent="0.5"/>
    <row r="1145" ht="29.25" x14ac:dyDescent="0.5"/>
    <row r="1146" ht="29.25" x14ac:dyDescent="0.5"/>
    <row r="1147" ht="29.25" x14ac:dyDescent="0.5"/>
    <row r="1148" ht="29.25" x14ac:dyDescent="0.5"/>
    <row r="1149" ht="29.25" x14ac:dyDescent="0.5"/>
    <row r="1150" ht="29.25" x14ac:dyDescent="0.5"/>
    <row r="1151" ht="29.25" x14ac:dyDescent="0.5"/>
    <row r="1152" ht="29.25" x14ac:dyDescent="0.5"/>
    <row r="1153" ht="29.25" x14ac:dyDescent="0.5"/>
    <row r="1154" ht="29.25" x14ac:dyDescent="0.5"/>
    <row r="1155" ht="29.25" x14ac:dyDescent="0.5"/>
    <row r="1156" ht="29.25" x14ac:dyDescent="0.5"/>
    <row r="1157" ht="29.25" x14ac:dyDescent="0.5"/>
    <row r="1158" ht="29.25" x14ac:dyDescent="0.5"/>
    <row r="1159" ht="29.25" x14ac:dyDescent="0.5"/>
    <row r="1160" ht="29.25" x14ac:dyDescent="0.5"/>
    <row r="1161" ht="29.25" x14ac:dyDescent="0.5"/>
    <row r="1162" ht="29.25" x14ac:dyDescent="0.5"/>
    <row r="1163" ht="29.25" x14ac:dyDescent="0.5"/>
    <row r="1164" ht="29.25" x14ac:dyDescent="0.5"/>
    <row r="1165" ht="29.25" x14ac:dyDescent="0.5"/>
    <row r="1166" ht="29.25" x14ac:dyDescent="0.5"/>
    <row r="1167" ht="29.25" x14ac:dyDescent="0.5"/>
    <row r="1168" ht="29.25" x14ac:dyDescent="0.5"/>
    <row r="1169" ht="29.25" x14ac:dyDescent="0.5"/>
    <row r="1170" ht="29.25" x14ac:dyDescent="0.5"/>
    <row r="1171" ht="29.25" x14ac:dyDescent="0.5"/>
    <row r="1172" ht="29.25" x14ac:dyDescent="0.5"/>
    <row r="1173" ht="29.25" x14ac:dyDescent="0.5"/>
    <row r="1174" ht="29.25" x14ac:dyDescent="0.5"/>
    <row r="1175" ht="29.25" x14ac:dyDescent="0.5"/>
    <row r="1176" ht="29.25" x14ac:dyDescent="0.5"/>
    <row r="1177" ht="29.25" x14ac:dyDescent="0.5"/>
    <row r="1178" ht="29.25" x14ac:dyDescent="0.5"/>
    <row r="1179" ht="29.25" x14ac:dyDescent="0.5"/>
    <row r="1180" ht="29.25" x14ac:dyDescent="0.5"/>
    <row r="1181" ht="29.25" x14ac:dyDescent="0.5"/>
    <row r="1182" ht="29.25" x14ac:dyDescent="0.5"/>
    <row r="1183" ht="29.25" x14ac:dyDescent="0.5"/>
    <row r="1184" ht="29.25" x14ac:dyDescent="0.5"/>
    <row r="1185" ht="29.25" x14ac:dyDescent="0.5"/>
    <row r="1186" ht="29.25" x14ac:dyDescent="0.5"/>
    <row r="1187" ht="29.25" x14ac:dyDescent="0.5"/>
    <row r="1188" ht="29.25" x14ac:dyDescent="0.5"/>
    <row r="1189" ht="29.25" x14ac:dyDescent="0.5"/>
    <row r="1190" ht="29.25" x14ac:dyDescent="0.5"/>
    <row r="1191" ht="29.25" x14ac:dyDescent="0.5"/>
    <row r="1192" ht="29.25" x14ac:dyDescent="0.5"/>
    <row r="1193" ht="29.25" x14ac:dyDescent="0.5"/>
    <row r="1194" ht="29.25" x14ac:dyDescent="0.5"/>
    <row r="1195" ht="29.25" x14ac:dyDescent="0.5"/>
    <row r="1196" ht="29.25" x14ac:dyDescent="0.5"/>
    <row r="1197" ht="29.25" x14ac:dyDescent="0.5"/>
    <row r="1198" ht="29.25" x14ac:dyDescent="0.5"/>
    <row r="1199" ht="29.25" x14ac:dyDescent="0.5"/>
    <row r="1200" ht="29.25" x14ac:dyDescent="0.5"/>
    <row r="1201" ht="29.25" x14ac:dyDescent="0.5"/>
    <row r="1202" ht="29.25" x14ac:dyDescent="0.5"/>
    <row r="1203" ht="29.25" x14ac:dyDescent="0.5"/>
    <row r="1204" ht="29.25" x14ac:dyDescent="0.5"/>
    <row r="1205" ht="29.25" x14ac:dyDescent="0.5"/>
    <row r="1206" ht="29.25" x14ac:dyDescent="0.5"/>
    <row r="1207" ht="29.25" x14ac:dyDescent="0.5"/>
    <row r="1208" ht="29.25" x14ac:dyDescent="0.5"/>
    <row r="1209" ht="29.25" x14ac:dyDescent="0.5"/>
    <row r="1210" ht="29.25" x14ac:dyDescent="0.5"/>
    <row r="1211" ht="29.25" x14ac:dyDescent="0.5"/>
    <row r="1212" ht="29.25" x14ac:dyDescent="0.5"/>
    <row r="1213" ht="29.25" x14ac:dyDescent="0.5"/>
    <row r="1214" ht="29.25" x14ac:dyDescent="0.5"/>
    <row r="1215" ht="29.25" x14ac:dyDescent="0.5"/>
    <row r="1216" ht="29.25" x14ac:dyDescent="0.5"/>
    <row r="1217" ht="29.25" x14ac:dyDescent="0.5"/>
    <row r="1218" ht="29.25" x14ac:dyDescent="0.5"/>
    <row r="1219" ht="29.25" x14ac:dyDescent="0.5"/>
    <row r="1220" ht="29.25" x14ac:dyDescent="0.5"/>
    <row r="1221" ht="29.25" x14ac:dyDescent="0.5"/>
    <row r="1222" ht="29.25" x14ac:dyDescent="0.5"/>
    <row r="1223" ht="29.25" x14ac:dyDescent="0.5"/>
    <row r="1224" ht="29.25" x14ac:dyDescent="0.5"/>
    <row r="1225" ht="29.25" x14ac:dyDescent="0.5"/>
    <row r="1226" ht="29.25" x14ac:dyDescent="0.5"/>
    <row r="1227" ht="29.25" x14ac:dyDescent="0.5"/>
    <row r="1228" ht="29.25" x14ac:dyDescent="0.5"/>
    <row r="1229" ht="29.25" x14ac:dyDescent="0.5"/>
    <row r="1230" ht="29.25" x14ac:dyDescent="0.5"/>
    <row r="1231" ht="29.25" x14ac:dyDescent="0.5"/>
    <row r="1232" ht="29.25" x14ac:dyDescent="0.5"/>
    <row r="1233" ht="29.25" x14ac:dyDescent="0.5"/>
    <row r="1234" ht="29.25" x14ac:dyDescent="0.5"/>
    <row r="1235" ht="29.25" x14ac:dyDescent="0.5"/>
    <row r="1236" ht="29.25" x14ac:dyDescent="0.5"/>
    <row r="1237" ht="29.25" x14ac:dyDescent="0.5"/>
    <row r="1238" ht="29.25" x14ac:dyDescent="0.5"/>
    <row r="1239" ht="29.25" x14ac:dyDescent="0.5"/>
    <row r="1240" ht="29.25" x14ac:dyDescent="0.5"/>
    <row r="1241" ht="29.25" x14ac:dyDescent="0.5"/>
    <row r="1242" ht="29.25" x14ac:dyDescent="0.5"/>
    <row r="1243" ht="29.25" x14ac:dyDescent="0.5"/>
    <row r="1244" ht="29.25" x14ac:dyDescent="0.5"/>
    <row r="1245" ht="29.25" x14ac:dyDescent="0.5"/>
    <row r="1246" ht="29.25" x14ac:dyDescent="0.5"/>
    <row r="1247" ht="29.25" x14ac:dyDescent="0.5"/>
    <row r="1248" ht="29.25" x14ac:dyDescent="0.5"/>
    <row r="1249" ht="29.25" x14ac:dyDescent="0.5"/>
    <row r="1250" ht="29.25" x14ac:dyDescent="0.5"/>
    <row r="1251" ht="29.25" x14ac:dyDescent="0.5"/>
    <row r="1252" ht="29.25" x14ac:dyDescent="0.5"/>
    <row r="1253" ht="29.25" x14ac:dyDescent="0.5"/>
    <row r="1254" ht="29.25" x14ac:dyDescent="0.5"/>
    <row r="1255" ht="29.25" x14ac:dyDescent="0.5"/>
    <row r="1256" ht="29.25" x14ac:dyDescent="0.5"/>
    <row r="1257" ht="29.25" x14ac:dyDescent="0.5"/>
    <row r="1258" ht="29.25" x14ac:dyDescent="0.5"/>
    <row r="1259" ht="29.25" x14ac:dyDescent="0.5"/>
    <row r="1260" ht="29.25" x14ac:dyDescent="0.5"/>
    <row r="1261" ht="29.25" x14ac:dyDescent="0.5"/>
    <row r="1262" ht="29.25" x14ac:dyDescent="0.5"/>
    <row r="1263" ht="29.25" x14ac:dyDescent="0.5"/>
    <row r="1264" ht="29.25" x14ac:dyDescent="0.5"/>
    <row r="1265" ht="29.25" x14ac:dyDescent="0.5"/>
    <row r="1266" ht="29.25" x14ac:dyDescent="0.5"/>
    <row r="1267" ht="29.25" x14ac:dyDescent="0.5"/>
    <row r="1268" ht="29.25" x14ac:dyDescent="0.5"/>
    <row r="1269" ht="29.25" x14ac:dyDescent="0.5"/>
    <row r="1270" ht="29.25" x14ac:dyDescent="0.5"/>
    <row r="1271" ht="29.25" x14ac:dyDescent="0.5"/>
    <row r="1272" ht="29.25" x14ac:dyDescent="0.5"/>
    <row r="1273" ht="29.25" x14ac:dyDescent="0.5"/>
    <row r="1274" ht="29.25" x14ac:dyDescent="0.5"/>
    <row r="1275" ht="29.25" x14ac:dyDescent="0.5"/>
    <row r="1276" ht="29.25" x14ac:dyDescent="0.5"/>
    <row r="1277" ht="29.25" x14ac:dyDescent="0.5"/>
    <row r="1278" ht="29.25" x14ac:dyDescent="0.5"/>
    <row r="1279" ht="29.25" x14ac:dyDescent="0.5"/>
    <row r="1280" ht="29.25" x14ac:dyDescent="0.5"/>
    <row r="1281" ht="29.25" x14ac:dyDescent="0.5"/>
    <row r="1282" ht="29.25" x14ac:dyDescent="0.5"/>
    <row r="1283" ht="29.25" x14ac:dyDescent="0.5"/>
    <row r="1284" ht="29.25" x14ac:dyDescent="0.5"/>
    <row r="1285" ht="29.25" x14ac:dyDescent="0.5"/>
    <row r="1286" ht="29.25" x14ac:dyDescent="0.5"/>
    <row r="1287" ht="29.25" x14ac:dyDescent="0.5"/>
    <row r="1288" ht="29.25" x14ac:dyDescent="0.5"/>
    <row r="1289" ht="29.25" x14ac:dyDescent="0.5"/>
    <row r="1290" ht="29.25" x14ac:dyDescent="0.5"/>
    <row r="1291" ht="29.25" x14ac:dyDescent="0.5"/>
    <row r="1292" ht="29.25" x14ac:dyDescent="0.5"/>
    <row r="1293" ht="29.25" x14ac:dyDescent="0.5"/>
    <row r="1294" ht="29.25" x14ac:dyDescent="0.5"/>
    <row r="1295" ht="29.25" x14ac:dyDescent="0.5"/>
    <row r="1296" ht="29.25" x14ac:dyDescent="0.5"/>
    <row r="1297" ht="29.25" x14ac:dyDescent="0.5"/>
    <row r="1298" ht="29.25" x14ac:dyDescent="0.5"/>
    <row r="1299" ht="29.25" x14ac:dyDescent="0.5"/>
    <row r="1300" ht="29.25" x14ac:dyDescent="0.5"/>
    <row r="1301" ht="29.25" x14ac:dyDescent="0.5"/>
    <row r="1302" ht="29.25" x14ac:dyDescent="0.5"/>
    <row r="1303" ht="29.25" x14ac:dyDescent="0.5"/>
    <row r="1304" ht="29.25" x14ac:dyDescent="0.5"/>
    <row r="1305" ht="29.25" x14ac:dyDescent="0.5"/>
    <row r="1306" ht="29.25" x14ac:dyDescent="0.5"/>
    <row r="1307" ht="29.25" x14ac:dyDescent="0.5"/>
    <row r="1308" ht="29.25" x14ac:dyDescent="0.5"/>
    <row r="1309" ht="29.25" x14ac:dyDescent="0.5"/>
    <row r="1310" ht="29.25" x14ac:dyDescent="0.5"/>
    <row r="1311" ht="29.25" x14ac:dyDescent="0.5"/>
    <row r="1312" ht="29.25" x14ac:dyDescent="0.5"/>
    <row r="1313" ht="29.25" x14ac:dyDescent="0.5"/>
    <row r="1314" ht="29.25" x14ac:dyDescent="0.5"/>
    <row r="1315" ht="29.25" x14ac:dyDescent="0.5"/>
    <row r="1316" ht="29.25" x14ac:dyDescent="0.5"/>
    <row r="1317" ht="29.25" x14ac:dyDescent="0.5"/>
    <row r="1318" ht="29.25" x14ac:dyDescent="0.5"/>
    <row r="1319" ht="29.25" x14ac:dyDescent="0.5"/>
    <row r="1320" ht="29.25" x14ac:dyDescent="0.5"/>
    <row r="1321" ht="29.25" x14ac:dyDescent="0.5"/>
    <row r="1322" ht="29.25" x14ac:dyDescent="0.5"/>
    <row r="1323" ht="29.25" x14ac:dyDescent="0.5"/>
    <row r="1324" ht="29.25" x14ac:dyDescent="0.5"/>
    <row r="1325" ht="29.25" x14ac:dyDescent="0.5"/>
    <row r="1326" ht="29.25" x14ac:dyDescent="0.5"/>
    <row r="1327" ht="29.25" x14ac:dyDescent="0.5"/>
    <row r="1328" ht="29.25" x14ac:dyDescent="0.5"/>
    <row r="1329" ht="29.25" x14ac:dyDescent="0.5"/>
    <row r="1330" ht="29.25" x14ac:dyDescent="0.5"/>
    <row r="1331" ht="29.25" x14ac:dyDescent="0.5"/>
    <row r="1332" ht="29.25" x14ac:dyDescent="0.5"/>
    <row r="1333" ht="29.25" x14ac:dyDescent="0.5"/>
    <row r="1334" ht="29.25" x14ac:dyDescent="0.5"/>
    <row r="1335" ht="29.25" x14ac:dyDescent="0.5"/>
    <row r="1336" ht="29.25" x14ac:dyDescent="0.5"/>
    <row r="1337" ht="29.25" x14ac:dyDescent="0.5"/>
    <row r="1338" ht="29.25" x14ac:dyDescent="0.5"/>
    <row r="1339" ht="29.25" x14ac:dyDescent="0.5"/>
    <row r="1340" ht="29.25" x14ac:dyDescent="0.5"/>
    <row r="1341" ht="29.25" x14ac:dyDescent="0.5"/>
    <row r="1342" ht="29.25" x14ac:dyDescent="0.5"/>
    <row r="1343" ht="29.25" x14ac:dyDescent="0.5"/>
    <row r="1344" ht="29.25" x14ac:dyDescent="0.5"/>
    <row r="1345" ht="29.25" x14ac:dyDescent="0.5"/>
    <row r="1346" ht="29.25" x14ac:dyDescent="0.5"/>
    <row r="1347" ht="29.25" x14ac:dyDescent="0.5"/>
    <row r="1348" ht="29.25" x14ac:dyDescent="0.5"/>
    <row r="1349" ht="29.25" x14ac:dyDescent="0.5"/>
    <row r="1350" ht="29.25" x14ac:dyDescent="0.5"/>
    <row r="1351" ht="29.25" x14ac:dyDescent="0.5"/>
    <row r="1352" ht="29.25" x14ac:dyDescent="0.5"/>
    <row r="1353" ht="29.25" x14ac:dyDescent="0.5"/>
    <row r="1354" ht="29.25" x14ac:dyDescent="0.5"/>
    <row r="1355" ht="29.25" x14ac:dyDescent="0.5"/>
    <row r="1356" ht="29.25" x14ac:dyDescent="0.5"/>
    <row r="1357" ht="29.25" x14ac:dyDescent="0.5"/>
    <row r="1358" ht="29.25" x14ac:dyDescent="0.5"/>
    <row r="1359" ht="29.25" x14ac:dyDescent="0.5"/>
    <row r="1360" ht="29.25" x14ac:dyDescent="0.5"/>
    <row r="1361" ht="29.25" x14ac:dyDescent="0.5"/>
    <row r="1362" ht="29.25" x14ac:dyDescent="0.5"/>
    <row r="1363" ht="29.25" x14ac:dyDescent="0.5"/>
    <row r="1364" ht="29.25" x14ac:dyDescent="0.5"/>
    <row r="1365" ht="29.25" x14ac:dyDescent="0.5"/>
    <row r="1366" ht="29.25" x14ac:dyDescent="0.5"/>
    <row r="1367" ht="29.25" x14ac:dyDescent="0.5"/>
    <row r="1368" ht="29.25" x14ac:dyDescent="0.5"/>
    <row r="1369" ht="29.25" x14ac:dyDescent="0.5"/>
    <row r="1370" ht="29.25" x14ac:dyDescent="0.5"/>
    <row r="1371" ht="29.25" x14ac:dyDescent="0.5"/>
    <row r="1372" ht="29.25" x14ac:dyDescent="0.5"/>
    <row r="1373" ht="29.25" x14ac:dyDescent="0.5"/>
    <row r="1374" ht="29.25" x14ac:dyDescent="0.5"/>
    <row r="1375" ht="29.25" x14ac:dyDescent="0.5"/>
    <row r="1376" ht="29.25" x14ac:dyDescent="0.5"/>
    <row r="1377" ht="29.25" x14ac:dyDescent="0.5"/>
    <row r="1378" ht="29.25" x14ac:dyDescent="0.5"/>
    <row r="1379" ht="29.25" x14ac:dyDescent="0.5"/>
    <row r="1380" ht="29.25" x14ac:dyDescent="0.5"/>
    <row r="1381" ht="29.25" x14ac:dyDescent="0.5"/>
    <row r="1382" ht="29.25" x14ac:dyDescent="0.5"/>
    <row r="1383" ht="29.25" x14ac:dyDescent="0.5"/>
    <row r="1384" ht="29.25" x14ac:dyDescent="0.5"/>
    <row r="1385" ht="29.25" x14ac:dyDescent="0.5"/>
    <row r="1386" ht="29.25" x14ac:dyDescent="0.5"/>
    <row r="1387" ht="29.25" x14ac:dyDescent="0.5"/>
    <row r="1388" ht="29.25" x14ac:dyDescent="0.5"/>
    <row r="1389" ht="29.25" x14ac:dyDescent="0.5"/>
    <row r="1390" ht="29.25" x14ac:dyDescent="0.5"/>
    <row r="1391" ht="29.25" x14ac:dyDescent="0.5"/>
    <row r="1392" ht="29.25" x14ac:dyDescent="0.5"/>
    <row r="1393" ht="29.25" x14ac:dyDescent="0.5"/>
    <row r="1394" ht="29.25" x14ac:dyDescent="0.5"/>
    <row r="1395" ht="29.25" x14ac:dyDescent="0.5"/>
    <row r="1396" ht="29.25" x14ac:dyDescent="0.5"/>
    <row r="1397" ht="29.25" x14ac:dyDescent="0.5"/>
    <row r="1398" ht="29.25" x14ac:dyDescent="0.5"/>
    <row r="1399" ht="29.25" x14ac:dyDescent="0.5"/>
    <row r="1400" ht="29.25" x14ac:dyDescent="0.5"/>
    <row r="1401" ht="29.25" x14ac:dyDescent="0.5"/>
    <row r="1402" ht="29.25" x14ac:dyDescent="0.5"/>
    <row r="1403" ht="29.25" x14ac:dyDescent="0.5"/>
    <row r="1404" ht="29.25" x14ac:dyDescent="0.5"/>
    <row r="1405" ht="29.25" x14ac:dyDescent="0.5"/>
    <row r="1406" ht="29.25" x14ac:dyDescent="0.5"/>
    <row r="1407" ht="29.25" x14ac:dyDescent="0.5"/>
    <row r="1408" ht="29.25" x14ac:dyDescent="0.5"/>
    <row r="1409" ht="29.25" x14ac:dyDescent="0.5"/>
    <row r="1410" ht="29.25" x14ac:dyDescent="0.5"/>
    <row r="1411" ht="29.25" x14ac:dyDescent="0.5"/>
    <row r="1412" ht="29.25" x14ac:dyDescent="0.5"/>
    <row r="1413" ht="29.25" x14ac:dyDescent="0.5"/>
    <row r="1414" ht="29.25" x14ac:dyDescent="0.5"/>
    <row r="1415" ht="29.25" x14ac:dyDescent="0.5"/>
    <row r="1416" ht="29.25" x14ac:dyDescent="0.5"/>
    <row r="1417" ht="29.25" x14ac:dyDescent="0.5"/>
    <row r="1418" ht="29.25" x14ac:dyDescent="0.5"/>
    <row r="1419" ht="29.25" x14ac:dyDescent="0.5"/>
    <row r="1420" ht="29.25" x14ac:dyDescent="0.5"/>
    <row r="1421" ht="29.25" x14ac:dyDescent="0.5"/>
    <row r="1422" ht="29.25" x14ac:dyDescent="0.5"/>
    <row r="1423" ht="29.25" x14ac:dyDescent="0.5"/>
    <row r="1424" ht="29.25" x14ac:dyDescent="0.5"/>
    <row r="1425" ht="29.25" x14ac:dyDescent="0.5"/>
    <row r="1426" ht="29.25" x14ac:dyDescent="0.5"/>
    <row r="1427" ht="29.25" x14ac:dyDescent="0.5"/>
    <row r="1428" ht="29.25" x14ac:dyDescent="0.5"/>
    <row r="1429" ht="29.25" x14ac:dyDescent="0.5"/>
    <row r="1430" ht="29.25" x14ac:dyDescent="0.5"/>
    <row r="1431" ht="29.25" x14ac:dyDescent="0.5"/>
    <row r="1432" ht="29.25" x14ac:dyDescent="0.5"/>
    <row r="1433" ht="29.25" x14ac:dyDescent="0.5"/>
    <row r="1434" ht="29.25" x14ac:dyDescent="0.5"/>
    <row r="1435" ht="29.25" x14ac:dyDescent="0.5"/>
    <row r="1436" ht="29.25" x14ac:dyDescent="0.5"/>
    <row r="1437" ht="29.25" x14ac:dyDescent="0.5"/>
    <row r="1438" ht="29.25" x14ac:dyDescent="0.5"/>
    <row r="1439" ht="29.25" x14ac:dyDescent="0.5"/>
    <row r="1440" ht="29.25" x14ac:dyDescent="0.5"/>
    <row r="1441" ht="29.25" x14ac:dyDescent="0.5"/>
    <row r="1442" ht="29.25" x14ac:dyDescent="0.5"/>
    <row r="1443" ht="29.25" x14ac:dyDescent="0.5"/>
    <row r="1444" ht="29.25" x14ac:dyDescent="0.5"/>
    <row r="1445" ht="29.25" x14ac:dyDescent="0.5"/>
    <row r="1446" ht="29.25" x14ac:dyDescent="0.5"/>
    <row r="1447" ht="29.25" x14ac:dyDescent="0.5"/>
    <row r="1448" ht="29.25" x14ac:dyDescent="0.5"/>
    <row r="1449" ht="29.25" x14ac:dyDescent="0.5"/>
    <row r="1450" ht="29.25" x14ac:dyDescent="0.5"/>
    <row r="1451" ht="29.25" x14ac:dyDescent="0.5"/>
    <row r="1452" ht="29.25" x14ac:dyDescent="0.5"/>
    <row r="1453" ht="29.25" x14ac:dyDescent="0.5"/>
    <row r="1454" ht="29.25" x14ac:dyDescent="0.5"/>
    <row r="1455" ht="29.25" x14ac:dyDescent="0.5"/>
    <row r="1456" ht="29.25" x14ac:dyDescent="0.5"/>
    <row r="1457" ht="29.25" x14ac:dyDescent="0.5"/>
    <row r="1458" ht="29.25" x14ac:dyDescent="0.5"/>
    <row r="1459" ht="29.25" x14ac:dyDescent="0.5"/>
    <row r="1460" ht="29.25" x14ac:dyDescent="0.5"/>
    <row r="1461" ht="29.25" x14ac:dyDescent="0.5"/>
    <row r="1462" ht="29.25" x14ac:dyDescent="0.5"/>
    <row r="1463" ht="29.25" x14ac:dyDescent="0.5"/>
    <row r="1464" ht="29.25" x14ac:dyDescent="0.5"/>
    <row r="1465" ht="29.25" x14ac:dyDescent="0.5"/>
    <row r="1466" ht="29.25" x14ac:dyDescent="0.5"/>
    <row r="1467" ht="29.25" x14ac:dyDescent="0.5"/>
    <row r="1468" ht="29.25" x14ac:dyDescent="0.5"/>
    <row r="1469" ht="29.25" x14ac:dyDescent="0.5"/>
    <row r="1470" ht="29.25" x14ac:dyDescent="0.5"/>
    <row r="1471" ht="29.25" x14ac:dyDescent="0.5"/>
    <row r="1472" ht="29.25" x14ac:dyDescent="0.5"/>
    <row r="1473" ht="29.25" x14ac:dyDescent="0.5"/>
    <row r="1474" ht="29.25" x14ac:dyDescent="0.5"/>
    <row r="1475" ht="29.25" x14ac:dyDescent="0.5"/>
    <row r="1476" ht="29.25" x14ac:dyDescent="0.5"/>
    <row r="1477" ht="29.25" x14ac:dyDescent="0.5"/>
    <row r="1478" ht="29.25" x14ac:dyDescent="0.5"/>
    <row r="1479" ht="29.25" x14ac:dyDescent="0.5"/>
    <row r="1480" ht="29.25" x14ac:dyDescent="0.5"/>
    <row r="1481" ht="29.25" x14ac:dyDescent="0.5"/>
    <row r="1482" ht="29.25" x14ac:dyDescent="0.5"/>
    <row r="1483" ht="29.25" x14ac:dyDescent="0.5"/>
    <row r="1484" ht="29.25" x14ac:dyDescent="0.5"/>
    <row r="1485" ht="29.25" x14ac:dyDescent="0.5"/>
    <row r="1486" ht="29.25" x14ac:dyDescent="0.5"/>
    <row r="1487" ht="29.25" x14ac:dyDescent="0.5"/>
    <row r="1488" ht="29.25" x14ac:dyDescent="0.5"/>
    <row r="1489" ht="29.25" x14ac:dyDescent="0.5"/>
    <row r="1490" ht="29.25" x14ac:dyDescent="0.5"/>
    <row r="1491" ht="29.25" x14ac:dyDescent="0.5"/>
    <row r="1492" ht="29.25" x14ac:dyDescent="0.5"/>
    <row r="1493" ht="29.25" x14ac:dyDescent="0.5"/>
    <row r="1494" ht="29.25" x14ac:dyDescent="0.5"/>
    <row r="1495" ht="29.25" x14ac:dyDescent="0.5"/>
    <row r="1496" ht="29.25" x14ac:dyDescent="0.5"/>
    <row r="1497" ht="29.25" x14ac:dyDescent="0.5"/>
    <row r="1498" ht="29.25" x14ac:dyDescent="0.5"/>
    <row r="1499" ht="29.25" x14ac:dyDescent="0.5"/>
    <row r="1500" ht="29.25" x14ac:dyDescent="0.5"/>
    <row r="1501" ht="29.25" x14ac:dyDescent="0.5"/>
    <row r="1502" ht="29.25" x14ac:dyDescent="0.5"/>
    <row r="1503" ht="29.25" x14ac:dyDescent="0.5"/>
    <row r="1504" ht="29.25" x14ac:dyDescent="0.5"/>
    <row r="1505" ht="29.25" x14ac:dyDescent="0.5"/>
    <row r="1506" ht="29.25" x14ac:dyDescent="0.5"/>
    <row r="1507" ht="29.25" x14ac:dyDescent="0.5"/>
    <row r="1508" ht="29.25" x14ac:dyDescent="0.5"/>
    <row r="1509" ht="29.25" x14ac:dyDescent="0.5"/>
    <row r="1510" ht="29.25" x14ac:dyDescent="0.5"/>
    <row r="1511" ht="29.25" x14ac:dyDescent="0.5"/>
    <row r="1512" ht="29.25" x14ac:dyDescent="0.5"/>
    <row r="1513" ht="29.25" x14ac:dyDescent="0.5"/>
    <row r="1514" ht="29.25" x14ac:dyDescent="0.5"/>
    <row r="1515" ht="29.25" x14ac:dyDescent="0.5"/>
    <row r="1516" ht="29.25" x14ac:dyDescent="0.5"/>
    <row r="1517" ht="29.25" x14ac:dyDescent="0.5"/>
    <row r="1518" ht="29.25" x14ac:dyDescent="0.5"/>
    <row r="1519" ht="29.25" x14ac:dyDescent="0.5"/>
    <row r="1520" ht="29.25" x14ac:dyDescent="0.5"/>
    <row r="1521" ht="29.25" x14ac:dyDescent="0.5"/>
    <row r="1522" ht="29.25" x14ac:dyDescent="0.5"/>
    <row r="1523" ht="29.25" x14ac:dyDescent="0.5"/>
    <row r="1524" ht="29.25" x14ac:dyDescent="0.5"/>
    <row r="1525" ht="29.25" x14ac:dyDescent="0.5"/>
    <row r="1526" ht="29.25" x14ac:dyDescent="0.5"/>
    <row r="1527" ht="29.25" x14ac:dyDescent="0.5"/>
    <row r="1528" ht="29.25" x14ac:dyDescent="0.5"/>
    <row r="1529" ht="29.25" x14ac:dyDescent="0.5"/>
    <row r="1530" ht="29.25" x14ac:dyDescent="0.5"/>
    <row r="1531" ht="29.25" x14ac:dyDescent="0.5"/>
    <row r="1532" ht="29.25" x14ac:dyDescent="0.5"/>
    <row r="1533" ht="29.25" x14ac:dyDescent="0.5"/>
    <row r="1534" ht="29.25" x14ac:dyDescent="0.5"/>
    <row r="1535" ht="29.25" x14ac:dyDescent="0.5"/>
    <row r="1536" ht="29.25" x14ac:dyDescent="0.5"/>
    <row r="1537" ht="29.25" x14ac:dyDescent="0.5"/>
    <row r="1538" ht="29.25" x14ac:dyDescent="0.5"/>
    <row r="1539" ht="29.25" x14ac:dyDescent="0.5"/>
    <row r="1540" ht="29.25" x14ac:dyDescent="0.5"/>
    <row r="1541" ht="29.25" x14ac:dyDescent="0.5"/>
    <row r="1542" ht="29.25" x14ac:dyDescent="0.5"/>
    <row r="1543" ht="29.25" x14ac:dyDescent="0.5"/>
    <row r="1544" ht="29.25" x14ac:dyDescent="0.5"/>
    <row r="1545" ht="29.25" x14ac:dyDescent="0.5"/>
    <row r="1546" ht="29.25" x14ac:dyDescent="0.5"/>
    <row r="1547" ht="29.25" x14ac:dyDescent="0.5"/>
    <row r="1548" ht="29.25" x14ac:dyDescent="0.5"/>
    <row r="1549" ht="29.25" x14ac:dyDescent="0.5"/>
    <row r="1550" ht="29.25" x14ac:dyDescent="0.5"/>
    <row r="1551" ht="29.25" x14ac:dyDescent="0.5"/>
    <row r="1552" ht="29.25" x14ac:dyDescent="0.5"/>
    <row r="1553" ht="29.25" x14ac:dyDescent="0.5"/>
    <row r="1554" ht="29.25" x14ac:dyDescent="0.5"/>
    <row r="1555" ht="29.25" x14ac:dyDescent="0.5"/>
    <row r="1556" ht="29.25" x14ac:dyDescent="0.5"/>
    <row r="1557" ht="29.25" x14ac:dyDescent="0.5"/>
    <row r="1558" ht="29.25" x14ac:dyDescent="0.5"/>
    <row r="1559" ht="29.25" x14ac:dyDescent="0.5"/>
    <row r="1560" ht="29.25" x14ac:dyDescent="0.5"/>
    <row r="1561" ht="29.25" x14ac:dyDescent="0.5"/>
    <row r="1562" ht="29.25" x14ac:dyDescent="0.5"/>
    <row r="1563" ht="29.25" x14ac:dyDescent="0.5"/>
    <row r="1564" ht="29.25" x14ac:dyDescent="0.5"/>
    <row r="1565" ht="29.25" x14ac:dyDescent="0.5"/>
    <row r="1566" ht="29.25" x14ac:dyDescent="0.5"/>
    <row r="1567" ht="29.25" x14ac:dyDescent="0.5"/>
    <row r="1568" ht="29.25" x14ac:dyDescent="0.5"/>
    <row r="1569" ht="29.25" x14ac:dyDescent="0.5"/>
    <row r="1570" ht="29.25" x14ac:dyDescent="0.5"/>
    <row r="1571" ht="29.25" x14ac:dyDescent="0.5"/>
    <row r="1572" ht="29.25" x14ac:dyDescent="0.5"/>
    <row r="1573" ht="29.25" x14ac:dyDescent="0.5"/>
    <row r="1574" ht="29.25" x14ac:dyDescent="0.5"/>
    <row r="1575" ht="29.25" x14ac:dyDescent="0.5"/>
    <row r="1576" ht="29.25" x14ac:dyDescent="0.5"/>
    <row r="1577" ht="29.25" x14ac:dyDescent="0.5"/>
    <row r="1578" ht="29.25" x14ac:dyDescent="0.5"/>
    <row r="1579" ht="29.25" x14ac:dyDescent="0.5"/>
    <row r="1580" ht="29.25" x14ac:dyDescent="0.5"/>
    <row r="1581" ht="29.25" x14ac:dyDescent="0.5"/>
    <row r="1582" ht="29.25" x14ac:dyDescent="0.5"/>
    <row r="1583" ht="29.25" x14ac:dyDescent="0.5"/>
    <row r="1584" ht="29.25" x14ac:dyDescent="0.5"/>
    <row r="1585" ht="29.25" x14ac:dyDescent="0.5"/>
    <row r="1586" ht="29.25" x14ac:dyDescent="0.5"/>
    <row r="1587" ht="29.25" x14ac:dyDescent="0.5"/>
    <row r="1588" ht="29.25" x14ac:dyDescent="0.5"/>
    <row r="1589" ht="29.25" x14ac:dyDescent="0.5"/>
    <row r="1590" ht="29.25" x14ac:dyDescent="0.5"/>
    <row r="1591" ht="29.25" x14ac:dyDescent="0.5"/>
    <row r="1592" ht="29.25" x14ac:dyDescent="0.5"/>
    <row r="1593" ht="29.25" x14ac:dyDescent="0.5"/>
    <row r="1594" ht="29.25" x14ac:dyDescent="0.5"/>
    <row r="1595" ht="29.25" x14ac:dyDescent="0.5"/>
    <row r="1596" ht="29.25" x14ac:dyDescent="0.5"/>
    <row r="1597" ht="29.25" x14ac:dyDescent="0.5"/>
    <row r="1598" ht="29.25" x14ac:dyDescent="0.5"/>
    <row r="1599" ht="29.25" x14ac:dyDescent="0.5"/>
    <row r="1600" ht="29.25" x14ac:dyDescent="0.5"/>
    <row r="1601" ht="29.25" x14ac:dyDescent="0.5"/>
    <row r="1602" ht="29.25" x14ac:dyDescent="0.5"/>
    <row r="1603" ht="29.25" x14ac:dyDescent="0.5"/>
    <row r="1604" ht="29.25" x14ac:dyDescent="0.5"/>
    <row r="1605" ht="29.25" x14ac:dyDescent="0.5"/>
    <row r="1606" ht="29.25" x14ac:dyDescent="0.5"/>
    <row r="1607" ht="29.25" x14ac:dyDescent="0.5"/>
    <row r="1608" ht="29.25" x14ac:dyDescent="0.5"/>
    <row r="1609" ht="29.25" x14ac:dyDescent="0.5"/>
    <row r="1610" ht="29.25" x14ac:dyDescent="0.5"/>
    <row r="1611" ht="29.25" x14ac:dyDescent="0.5"/>
    <row r="1612" ht="29.25" x14ac:dyDescent="0.5"/>
    <row r="1613" ht="29.25" x14ac:dyDescent="0.5"/>
    <row r="1614" ht="29.25" x14ac:dyDescent="0.5"/>
    <row r="1615" ht="29.25" x14ac:dyDescent="0.5"/>
    <row r="1616" ht="29.25" x14ac:dyDescent="0.5"/>
    <row r="1617" ht="29.25" x14ac:dyDescent="0.5"/>
    <row r="1618" ht="29.25" x14ac:dyDescent="0.5"/>
    <row r="1619" ht="29.25" x14ac:dyDescent="0.5"/>
    <row r="1620" ht="29.25" x14ac:dyDescent="0.5"/>
    <row r="1621" ht="29.25" x14ac:dyDescent="0.5"/>
    <row r="1622" ht="29.25" x14ac:dyDescent="0.5"/>
    <row r="1623" ht="29.25" x14ac:dyDescent="0.5"/>
    <row r="1624" ht="29.25" x14ac:dyDescent="0.5"/>
    <row r="1625" ht="29.25" x14ac:dyDescent="0.5"/>
    <row r="1626" ht="29.25" x14ac:dyDescent="0.5"/>
    <row r="1627" ht="29.25" x14ac:dyDescent="0.5"/>
    <row r="1628" ht="29.25" x14ac:dyDescent="0.5"/>
    <row r="1629" ht="29.25" x14ac:dyDescent="0.5"/>
    <row r="1630" ht="29.25" x14ac:dyDescent="0.5"/>
    <row r="1631" ht="29.25" x14ac:dyDescent="0.5"/>
    <row r="1632" ht="29.25" x14ac:dyDescent="0.5"/>
    <row r="1633" ht="29.25" x14ac:dyDescent="0.5"/>
    <row r="1634" ht="29.25" x14ac:dyDescent="0.5"/>
    <row r="1635" ht="29.25" x14ac:dyDescent="0.5"/>
    <row r="1636" ht="29.25" x14ac:dyDescent="0.5"/>
    <row r="1637" ht="29.25" x14ac:dyDescent="0.5"/>
    <row r="1638" ht="29.25" x14ac:dyDescent="0.5"/>
    <row r="1639" ht="29.25" x14ac:dyDescent="0.5"/>
    <row r="1640" ht="29.25" x14ac:dyDescent="0.5"/>
    <row r="1641" ht="29.25" x14ac:dyDescent="0.5"/>
    <row r="1642" ht="29.25" x14ac:dyDescent="0.5"/>
    <row r="1643" ht="29.25" x14ac:dyDescent="0.5"/>
    <row r="1644" ht="29.25" x14ac:dyDescent="0.5"/>
    <row r="1645" ht="29.25" x14ac:dyDescent="0.5"/>
    <row r="1646" ht="29.25" x14ac:dyDescent="0.5"/>
    <row r="1647" ht="29.25" x14ac:dyDescent="0.5"/>
    <row r="1648" ht="29.25" x14ac:dyDescent="0.5"/>
    <row r="1649" ht="29.25" x14ac:dyDescent="0.5"/>
    <row r="1650" ht="29.25" x14ac:dyDescent="0.5"/>
    <row r="1651" ht="29.25" x14ac:dyDescent="0.5"/>
    <row r="1652" ht="29.25" x14ac:dyDescent="0.5"/>
    <row r="1653" ht="29.25" x14ac:dyDescent="0.5"/>
    <row r="1654" ht="29.25" x14ac:dyDescent="0.5"/>
    <row r="1655" ht="29.25" x14ac:dyDescent="0.5"/>
    <row r="1656" ht="29.25" x14ac:dyDescent="0.5"/>
    <row r="1657" ht="29.25" x14ac:dyDescent="0.5"/>
    <row r="1658" ht="29.25" x14ac:dyDescent="0.5"/>
    <row r="1659" ht="29.25" x14ac:dyDescent="0.5"/>
    <row r="1660" ht="29.25" x14ac:dyDescent="0.5"/>
    <row r="1661" ht="29.25" x14ac:dyDescent="0.5"/>
    <row r="1662" ht="29.25" x14ac:dyDescent="0.5"/>
    <row r="1663" ht="29.25" x14ac:dyDescent="0.5"/>
    <row r="1664" ht="29.25" x14ac:dyDescent="0.5"/>
    <row r="1665" ht="29.25" x14ac:dyDescent="0.5"/>
    <row r="1666" ht="29.25" x14ac:dyDescent="0.5"/>
    <row r="1667" ht="29.25" x14ac:dyDescent="0.5"/>
    <row r="1668" ht="29.25" x14ac:dyDescent="0.5"/>
    <row r="1669" ht="29.25" x14ac:dyDescent="0.5"/>
    <row r="1670" ht="29.25" x14ac:dyDescent="0.5"/>
    <row r="1671" ht="29.25" x14ac:dyDescent="0.5"/>
    <row r="1672" ht="29.25" x14ac:dyDescent="0.5"/>
    <row r="1673" ht="29.25" x14ac:dyDescent="0.5"/>
    <row r="1674" ht="29.25" x14ac:dyDescent="0.5"/>
    <row r="1675" ht="29.25" x14ac:dyDescent="0.5"/>
    <row r="1676" ht="29.25" x14ac:dyDescent="0.5"/>
    <row r="1677" ht="29.25" x14ac:dyDescent="0.5"/>
    <row r="1678" ht="29.25" x14ac:dyDescent="0.5"/>
    <row r="1679" ht="29.25" x14ac:dyDescent="0.5"/>
    <row r="1680" ht="29.25" x14ac:dyDescent="0.5"/>
    <row r="1681" ht="29.25" x14ac:dyDescent="0.5"/>
    <row r="1682" ht="29.25" x14ac:dyDescent="0.5"/>
    <row r="1683" ht="29.25" x14ac:dyDescent="0.5"/>
    <row r="1684" ht="29.25" x14ac:dyDescent="0.5"/>
    <row r="1685" ht="29.25" x14ac:dyDescent="0.5"/>
    <row r="1686" ht="29.25" x14ac:dyDescent="0.5"/>
    <row r="1687" ht="29.25" x14ac:dyDescent="0.5"/>
    <row r="1688" ht="29.25" x14ac:dyDescent="0.5"/>
    <row r="1689" ht="29.25" x14ac:dyDescent="0.5"/>
    <row r="1690" ht="29.25" x14ac:dyDescent="0.5"/>
    <row r="1691" ht="29.25" x14ac:dyDescent="0.5"/>
    <row r="1692" ht="29.25" x14ac:dyDescent="0.5"/>
    <row r="1693" ht="29.25" x14ac:dyDescent="0.5"/>
    <row r="1694" ht="29.25" x14ac:dyDescent="0.5"/>
    <row r="1695" ht="29.25" x14ac:dyDescent="0.5"/>
    <row r="1696" ht="29.25" x14ac:dyDescent="0.5"/>
    <row r="1697" ht="29.25" x14ac:dyDescent="0.5"/>
    <row r="1698" ht="29.25" x14ac:dyDescent="0.5"/>
    <row r="1699" ht="29.25" x14ac:dyDescent="0.5"/>
    <row r="1700" ht="29.25" x14ac:dyDescent="0.5"/>
    <row r="1701" ht="29.25" x14ac:dyDescent="0.5"/>
  </sheetData>
  <mergeCells count="115">
    <mergeCell ref="A186:B186"/>
    <mergeCell ref="A187:B187"/>
    <mergeCell ref="A188:B188"/>
    <mergeCell ref="A189:B189"/>
    <mergeCell ref="A190:B190"/>
    <mergeCell ref="A171:J171"/>
    <mergeCell ref="A172:B172"/>
    <mergeCell ref="A173:B173"/>
    <mergeCell ref="A174:B174"/>
    <mergeCell ref="A176:B176"/>
    <mergeCell ref="A175:C175"/>
    <mergeCell ref="A177:B177"/>
    <mergeCell ref="A178:B178"/>
    <mergeCell ref="A179:B179"/>
    <mergeCell ref="A180:B180"/>
    <mergeCell ref="A183:B183"/>
    <mergeCell ref="A184:B184"/>
    <mergeCell ref="A181:B181"/>
    <mergeCell ref="A182:B182"/>
    <mergeCell ref="A185:B185"/>
    <mergeCell ref="A135:B135"/>
    <mergeCell ref="A142:C142"/>
    <mergeCell ref="A160:J160"/>
    <mergeCell ref="A166:B166"/>
    <mergeCell ref="A167:B167"/>
    <mergeCell ref="A168:B168"/>
    <mergeCell ref="A136:J136"/>
    <mergeCell ref="A138:C138"/>
    <mergeCell ref="A139:C139"/>
    <mergeCell ref="A140:C140"/>
    <mergeCell ref="A141:C141"/>
    <mergeCell ref="A150:C150"/>
    <mergeCell ref="A151:C151"/>
    <mergeCell ref="A152:C152"/>
    <mergeCell ref="A154:J154"/>
    <mergeCell ref="A155:C155"/>
    <mergeCell ref="A156:C156"/>
    <mergeCell ref="A153:B153"/>
    <mergeCell ref="A157:C157"/>
    <mergeCell ref="A158:C158"/>
    <mergeCell ref="A159:C159"/>
    <mergeCell ref="A131:C131"/>
    <mergeCell ref="A132:C132"/>
    <mergeCell ref="A133:C133"/>
    <mergeCell ref="A134:C134"/>
    <mergeCell ref="A124:C124"/>
    <mergeCell ref="A125:B125"/>
    <mergeCell ref="A126:J126"/>
    <mergeCell ref="A127:B127"/>
    <mergeCell ref="A128:C128"/>
    <mergeCell ref="Q116:R116"/>
    <mergeCell ref="A117:C117"/>
    <mergeCell ref="Q117:R117"/>
    <mergeCell ref="A118:C118"/>
    <mergeCell ref="Q118:R118"/>
    <mergeCell ref="A103:C103"/>
    <mergeCell ref="A104:C104"/>
    <mergeCell ref="A105:C105"/>
    <mergeCell ref="A108:J108"/>
    <mergeCell ref="A110:J110"/>
    <mergeCell ref="A114:C114"/>
    <mergeCell ref="A115:C115"/>
    <mergeCell ref="A116:C116"/>
    <mergeCell ref="A61:C61"/>
    <mergeCell ref="A62:C62"/>
    <mergeCell ref="A63:C63"/>
    <mergeCell ref="A71:C71"/>
    <mergeCell ref="A72:B72"/>
    <mergeCell ref="A93:C93"/>
    <mergeCell ref="A94:C94"/>
    <mergeCell ref="A76:C76"/>
    <mergeCell ref="A77:C77"/>
    <mergeCell ref="A79:C79"/>
    <mergeCell ref="A80:C80"/>
    <mergeCell ref="A81:C81"/>
    <mergeCell ref="A78:C78"/>
    <mergeCell ref="A73:C73"/>
    <mergeCell ref="A74:C74"/>
    <mergeCell ref="A75:C75"/>
    <mergeCell ref="A64:C64"/>
    <mergeCell ref="A65:C65"/>
    <mergeCell ref="A123:C123"/>
    <mergeCell ref="A145:C145"/>
    <mergeCell ref="A146:C146"/>
    <mergeCell ref="A147:C147"/>
    <mergeCell ref="A148:C148"/>
    <mergeCell ref="A149:C149"/>
    <mergeCell ref="A143:C143"/>
    <mergeCell ref="A144:C144"/>
    <mergeCell ref="A95:C95"/>
    <mergeCell ref="A96:C96"/>
    <mergeCell ref="A119:C119"/>
    <mergeCell ref="A120:C120"/>
    <mergeCell ref="A121:C121"/>
    <mergeCell ref="A122:C122"/>
    <mergeCell ref="A109:B109"/>
    <mergeCell ref="A111:C111"/>
    <mergeCell ref="A112:C112"/>
    <mergeCell ref="A113:C113"/>
    <mergeCell ref="A102:C102"/>
    <mergeCell ref="A97:C97"/>
    <mergeCell ref="A98:C98"/>
    <mergeCell ref="A99:C99"/>
    <mergeCell ref="A100:C100"/>
    <mergeCell ref="A101:C101"/>
    <mergeCell ref="A18:C18"/>
    <mergeCell ref="A19:C19"/>
    <mergeCell ref="A21:C21"/>
    <mergeCell ref="A25:C25"/>
    <mergeCell ref="A33:C33"/>
    <mergeCell ref="A1:J1"/>
    <mergeCell ref="A6:C6"/>
    <mergeCell ref="A14:C14"/>
    <mergeCell ref="A17:C17"/>
    <mergeCell ref="E3:F3"/>
  </mergeCells>
  <pageMargins left="0.22" right="0.17" top="0.14000000000000001" bottom="0.2" header="0.2" footer="0.2"/>
  <pageSetup paperSize="5" scale="18" orientation="portrait" r:id="rId1"/>
  <colBreaks count="1" manualBreakCount="1">
    <brk id="10" max="1048575" man="1"/>
  </colBreaks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1:R1701"/>
  <sheetViews>
    <sheetView view="pageBreakPreview" topLeftCell="A139" zoomScale="55" zoomScaleNormal="49" zoomScaleSheetLayoutView="55" workbookViewId="0">
      <selection activeCell="G68" sqref="G68"/>
    </sheetView>
  </sheetViews>
  <sheetFormatPr defaultColWidth="22.33203125" defaultRowHeight="21.95" customHeight="1" x14ac:dyDescent="0.5"/>
  <cols>
    <col min="1" max="1" width="40.5546875" style="94" customWidth="1"/>
    <col min="2" max="2" width="24.88671875" style="97" customWidth="1"/>
    <col min="3" max="3" width="15.88671875" style="97" customWidth="1"/>
    <col min="4" max="4" width="13.6640625" style="160" customWidth="1"/>
    <col min="5" max="6" width="30" style="160" customWidth="1"/>
    <col min="7" max="7" width="28.88671875" style="160" customWidth="1"/>
    <col min="8" max="8" width="29" style="161" customWidth="1"/>
    <col min="9" max="9" width="23.5546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33.75" x14ac:dyDescent="0.65">
      <c r="A1" s="821" t="s">
        <v>115</v>
      </c>
      <c r="B1" s="822"/>
      <c r="C1" s="822"/>
      <c r="D1" s="822"/>
      <c r="E1" s="822"/>
      <c r="F1" s="822"/>
      <c r="G1" s="822"/>
      <c r="H1" s="822"/>
      <c r="I1" s="822"/>
      <c r="J1" s="823"/>
    </row>
    <row r="2" spans="1:15" s="57" customFormat="1" ht="27" x14ac:dyDescent="0.5">
      <c r="A2" s="191" t="s">
        <v>357</v>
      </c>
      <c r="B2" s="262">
        <v>44586</v>
      </c>
      <c r="C2" s="348" t="s">
        <v>67</v>
      </c>
      <c r="D2" s="218">
        <v>0.92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27" x14ac:dyDescent="0.5">
      <c r="A3" s="189"/>
      <c r="B3" s="221"/>
      <c r="C3" s="348" t="s">
        <v>118</v>
      </c>
      <c r="D3" s="219">
        <v>22</v>
      </c>
      <c r="E3" s="830" t="s">
        <v>119</v>
      </c>
      <c r="F3" s="831"/>
      <c r="G3" s="101"/>
      <c r="H3" s="102"/>
      <c r="I3" s="102"/>
      <c r="J3" s="222"/>
      <c r="K3" s="61"/>
      <c r="L3" s="58"/>
    </row>
    <row r="4" spans="1:15" s="57" customFormat="1" ht="27" x14ac:dyDescent="0.5">
      <c r="A4" s="192"/>
      <c r="B4" s="223"/>
      <c r="C4" s="348" t="s">
        <v>120</v>
      </c>
      <c r="D4" s="218">
        <v>0.78</v>
      </c>
      <c r="E4" s="103"/>
      <c r="F4" s="103"/>
      <c r="G4" s="103"/>
      <c r="H4" s="103"/>
      <c r="I4" s="104"/>
      <c r="J4" s="222"/>
      <c r="K4" s="62"/>
      <c r="L4" s="58"/>
    </row>
    <row r="5" spans="1:15" ht="29.25" x14ac:dyDescent="0.4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5" ht="29.25" x14ac:dyDescent="0.4">
      <c r="A6" s="824" t="s">
        <v>128</v>
      </c>
      <c r="B6" s="825"/>
      <c r="C6" s="826"/>
      <c r="D6" s="110"/>
      <c r="E6" s="110"/>
      <c r="F6" s="110"/>
      <c r="G6" s="110"/>
      <c r="H6" s="111"/>
      <c r="I6" s="111"/>
      <c r="J6" s="174"/>
      <c r="K6" s="78"/>
      <c r="L6" s="66"/>
    </row>
    <row r="7" spans="1:15" ht="30" thickBot="1" x14ac:dyDescent="0.45">
      <c r="A7" s="194" t="s">
        <v>129</v>
      </c>
      <c r="B7" s="195"/>
      <c r="C7" s="195"/>
      <c r="D7" s="151" t="s">
        <v>130</v>
      </c>
      <c r="E7" s="95">
        <f>'24'!F7</f>
        <v>531080</v>
      </c>
      <c r="F7" s="95">
        <v>547409</v>
      </c>
      <c r="G7" s="112">
        <f>F7-E7</f>
        <v>16329</v>
      </c>
      <c r="H7" s="99">
        <f>G7+'24'!H7</f>
        <v>452848</v>
      </c>
      <c r="I7" s="113">
        <f>'1'!I7</f>
        <v>12000</v>
      </c>
      <c r="J7" s="175">
        <f>H7/DAY(B2)</f>
        <v>18113.919999999998</v>
      </c>
      <c r="K7" s="172">
        <v>1375467</v>
      </c>
      <c r="L7" s="66"/>
      <c r="N7" s="87"/>
      <c r="O7" s="71"/>
    </row>
    <row r="8" spans="1:15" ht="27.75" thickBot="1" x14ac:dyDescent="0.45">
      <c r="A8" s="196" t="s">
        <v>131</v>
      </c>
      <c r="B8" s="197"/>
      <c r="C8" s="198"/>
      <c r="D8" s="224" t="s">
        <v>24</v>
      </c>
      <c r="E8" s="95">
        <f>'24'!F8</f>
        <v>586591</v>
      </c>
      <c r="F8" s="604">
        <v>603218</v>
      </c>
      <c r="G8" s="115">
        <f>F8-E8</f>
        <v>16627</v>
      </c>
      <c r="H8" s="99">
        <f>G8+'24'!H8</f>
        <v>462333</v>
      </c>
      <c r="I8" s="116"/>
      <c r="J8" s="175">
        <f>H8/DAY(B2)</f>
        <v>18493.32</v>
      </c>
      <c r="K8" s="172">
        <v>1715917</v>
      </c>
      <c r="L8" s="76">
        <v>1728480</v>
      </c>
      <c r="M8" s="87">
        <f>L8-K8</f>
        <v>12563</v>
      </c>
      <c r="N8" s="87"/>
      <c r="O8" s="71"/>
    </row>
    <row r="9" spans="1:15" ht="29.25" x14ac:dyDescent="0.4">
      <c r="A9" s="199" t="s">
        <v>132</v>
      </c>
      <c r="B9" s="200"/>
      <c r="C9" s="200"/>
      <c r="D9" s="151" t="s">
        <v>130</v>
      </c>
      <c r="E9" s="95">
        <f>'24'!F9</f>
        <v>179760</v>
      </c>
      <c r="F9" s="601">
        <v>193704</v>
      </c>
      <c r="G9" s="112">
        <f>F9-E9</f>
        <v>13944</v>
      </c>
      <c r="H9" s="99">
        <f>G9+'24'!H9</f>
        <v>292209</v>
      </c>
      <c r="I9" s="124">
        <f>I7-J7</f>
        <v>-6113.9199999999983</v>
      </c>
      <c r="J9" s="175">
        <f>H9/DAY(B2)</f>
        <v>11688.36</v>
      </c>
      <c r="K9" s="79">
        <f>K8-100</f>
        <v>1715817</v>
      </c>
      <c r="L9" s="66"/>
      <c r="N9" s="87"/>
      <c r="O9" s="71"/>
    </row>
    <row r="10" spans="1:15" ht="29.25" x14ac:dyDescent="0.4">
      <c r="A10" s="194" t="s">
        <v>133</v>
      </c>
      <c r="B10" s="195"/>
      <c r="C10" s="195"/>
      <c r="D10" s="151" t="s">
        <v>130</v>
      </c>
      <c r="E10" s="95">
        <f>'24'!F10</f>
        <v>91182</v>
      </c>
      <c r="F10" s="353">
        <v>93083</v>
      </c>
      <c r="G10" s="112">
        <f t="shared" ref="G10:G12" si="0">F10-E10</f>
        <v>1901</v>
      </c>
      <c r="H10" s="99">
        <f>G10+'24'!H10</f>
        <v>147989</v>
      </c>
      <c r="I10" s="282"/>
      <c r="J10" s="175">
        <f>H10/DAY(B2)</f>
        <v>5919.56</v>
      </c>
      <c r="K10" s="79"/>
      <c r="L10" s="66"/>
      <c r="N10" s="87"/>
      <c r="O10" s="71"/>
    </row>
    <row r="11" spans="1:15" ht="29.25" x14ac:dyDescent="0.4">
      <c r="A11" s="194" t="s">
        <v>134</v>
      </c>
      <c r="B11" s="195"/>
      <c r="C11" s="195"/>
      <c r="D11" s="151" t="s">
        <v>130</v>
      </c>
      <c r="E11" s="95">
        <f>'24'!F11</f>
        <v>37170</v>
      </c>
      <c r="F11" s="95">
        <v>37170</v>
      </c>
      <c r="G11" s="112">
        <f t="shared" si="0"/>
        <v>0</v>
      </c>
      <c r="H11" s="99">
        <f>G11+'24'!H11</f>
        <v>170</v>
      </c>
      <c r="I11" s="282"/>
      <c r="J11" s="175">
        <f>H11/DAY(B2)</f>
        <v>6.8</v>
      </c>
      <c r="K11" s="79"/>
      <c r="L11" s="66"/>
      <c r="N11" s="87"/>
      <c r="O11" s="71"/>
    </row>
    <row r="12" spans="1:15" ht="29.25" x14ac:dyDescent="0.4">
      <c r="A12" s="194" t="s">
        <v>135</v>
      </c>
      <c r="B12" s="195"/>
      <c r="C12" s="195"/>
      <c r="D12" s="151" t="s">
        <v>130</v>
      </c>
      <c r="E12" s="95">
        <f>'24'!F12</f>
        <v>40010</v>
      </c>
      <c r="F12" s="117">
        <v>40010</v>
      </c>
      <c r="G12" s="112">
        <f t="shared" si="0"/>
        <v>0</v>
      </c>
      <c r="H12" s="99">
        <f>G12+'24'!H12</f>
        <v>0</v>
      </c>
      <c r="I12" s="282"/>
      <c r="J12" s="175">
        <f>H12/DAY(B2)</f>
        <v>0</v>
      </c>
      <c r="K12" s="79"/>
      <c r="L12" s="66"/>
      <c r="N12" s="87"/>
      <c r="O12" s="71"/>
    </row>
    <row r="13" spans="1:15" ht="29.25" x14ac:dyDescent="0.5">
      <c r="A13" s="201" t="s">
        <v>136</v>
      </c>
      <c r="B13" s="202"/>
      <c r="C13" s="202"/>
      <c r="D13" s="151"/>
      <c r="E13" s="95"/>
      <c r="F13" s="95"/>
      <c r="G13" s="119">
        <f>G9+G10+G11+G12</f>
        <v>15845</v>
      </c>
      <c r="H13" s="99">
        <f>G13+'24'!H13</f>
        <v>420902.74999999988</v>
      </c>
      <c r="I13" s="120">
        <f>G7-G13</f>
        <v>484</v>
      </c>
      <c r="J13" s="175">
        <f>H13/DAY(B2)</f>
        <v>16836.109999999997</v>
      </c>
      <c r="K13" s="79"/>
      <c r="L13" s="66"/>
      <c r="N13" s="87"/>
      <c r="O13" s="71"/>
    </row>
    <row r="14" spans="1:15" ht="29.25" x14ac:dyDescent="0.5">
      <c r="A14" s="827" t="s">
        <v>137</v>
      </c>
      <c r="B14" s="828"/>
      <c r="C14" s="829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5" ht="29.25" x14ac:dyDescent="0.5">
      <c r="A15" s="345" t="s">
        <v>138</v>
      </c>
      <c r="B15" s="205"/>
      <c r="C15" s="205"/>
      <c r="D15" s="151" t="s">
        <v>139</v>
      </c>
      <c r="E15" s="95">
        <f>'24'!F15</f>
        <v>1900114</v>
      </c>
      <c r="F15" s="123">
        <v>1900929</v>
      </c>
      <c r="G15" s="112">
        <f>(F15-E15)</f>
        <v>815</v>
      </c>
      <c r="H15" s="99">
        <f>G15+'24'!H15</f>
        <v>22499</v>
      </c>
      <c r="I15" s="113">
        <f>'1'!I15</f>
        <v>800</v>
      </c>
      <c r="J15" s="175">
        <f>H15/DAY(B2)</f>
        <v>899.96</v>
      </c>
      <c r="K15" s="79"/>
      <c r="L15" s="66"/>
      <c r="N15" s="87"/>
      <c r="O15" s="71"/>
    </row>
    <row r="16" spans="1:15" ht="29.25" x14ac:dyDescent="0.4">
      <c r="A16" s="203"/>
      <c r="B16" s="204"/>
      <c r="C16" s="204"/>
      <c r="D16" s="152"/>
      <c r="E16" s="123"/>
      <c r="F16" s="123"/>
      <c r="G16" s="112"/>
      <c r="H16" s="124"/>
      <c r="I16" s="120">
        <f>I15-J15</f>
        <v>-99.960000000000036</v>
      </c>
      <c r="J16" s="176"/>
      <c r="K16" s="79"/>
      <c r="L16" s="66"/>
      <c r="N16" s="87"/>
      <c r="O16" s="71"/>
    </row>
    <row r="17" spans="1:15" ht="29.25" x14ac:dyDescent="0.5">
      <c r="A17" s="827" t="s">
        <v>140</v>
      </c>
      <c r="B17" s="828"/>
      <c r="C17" s="829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5" ht="27.75" x14ac:dyDescent="0.5">
      <c r="A18" s="818" t="s">
        <v>141</v>
      </c>
      <c r="B18" s="819"/>
      <c r="C18" s="820"/>
      <c r="D18" s="151" t="s">
        <v>142</v>
      </c>
      <c r="E18" s="95">
        <f>'24'!F18</f>
        <v>16</v>
      </c>
      <c r="F18" s="122">
        <v>14</v>
      </c>
      <c r="G18" s="119">
        <f>F18*10</f>
        <v>140</v>
      </c>
      <c r="H18" s="99">
        <f>G18+'24'!H18</f>
        <v>2870</v>
      </c>
      <c r="I18" s="113">
        <f>'1'!I18</f>
        <v>65</v>
      </c>
      <c r="J18" s="175">
        <f>H18/DAY(B2)</f>
        <v>114.8</v>
      </c>
      <c r="K18" s="79"/>
      <c r="L18" s="66"/>
      <c r="N18" s="87"/>
      <c r="O18" s="71"/>
    </row>
    <row r="19" spans="1:15" ht="27.75" x14ac:dyDescent="0.5">
      <c r="A19" s="818" t="s">
        <v>69</v>
      </c>
      <c r="B19" s="819"/>
      <c r="C19" s="820"/>
      <c r="D19" s="151" t="s">
        <v>142</v>
      </c>
      <c r="E19" s="95">
        <f>'24'!F19</f>
        <v>153513</v>
      </c>
      <c r="F19" s="122">
        <v>153563</v>
      </c>
      <c r="G19" s="112">
        <f t="shared" ref="G19" si="1">F19-E19</f>
        <v>50</v>
      </c>
      <c r="H19" s="99">
        <f>G19+'24'!H19</f>
        <v>1338</v>
      </c>
      <c r="I19" s="335"/>
      <c r="J19" s="175">
        <f>H19/DAY(B2)</f>
        <v>53.52</v>
      </c>
      <c r="K19" s="79"/>
      <c r="L19" s="66"/>
      <c r="N19" s="87"/>
      <c r="O19" s="71"/>
    </row>
    <row r="20" spans="1:15" ht="29.25" x14ac:dyDescent="0.5">
      <c r="A20" s="201" t="s">
        <v>143</v>
      </c>
      <c r="B20" s="202"/>
      <c r="C20" s="202"/>
      <c r="D20" s="126"/>
      <c r="E20" s="126"/>
      <c r="F20" s="126"/>
      <c r="G20" s="127">
        <f>G18+G19</f>
        <v>190</v>
      </c>
      <c r="H20" s="99">
        <f>G20+'24'!H20</f>
        <v>4208</v>
      </c>
      <c r="I20" s="336">
        <f>I18-J20</f>
        <v>-103.32</v>
      </c>
      <c r="J20" s="175">
        <f>H20/DAY(B2)</f>
        <v>168.32</v>
      </c>
      <c r="K20" s="79"/>
      <c r="L20" s="66"/>
      <c r="N20" s="87"/>
      <c r="O20" s="71"/>
    </row>
    <row r="21" spans="1:15" ht="29.25" x14ac:dyDescent="0.5">
      <c r="A21" s="827" t="s">
        <v>144</v>
      </c>
      <c r="B21" s="828"/>
      <c r="C21" s="829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5" ht="29.25" x14ac:dyDescent="0.5">
      <c r="A22" s="345" t="s">
        <v>145</v>
      </c>
      <c r="B22" s="205"/>
      <c r="C22" s="205"/>
      <c r="D22" s="151" t="s">
        <v>146</v>
      </c>
      <c r="E22" s="95">
        <f>'24'!F22</f>
        <v>2970</v>
      </c>
      <c r="F22" s="122">
        <v>2970</v>
      </c>
      <c r="G22" s="119">
        <f t="shared" ref="G22" si="2">(F22-E22)</f>
        <v>0</v>
      </c>
      <c r="H22" s="99">
        <f>G22+'24'!H22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29.25" x14ac:dyDescent="0.5">
      <c r="A23" s="345" t="s">
        <v>147</v>
      </c>
      <c r="B23" s="205"/>
      <c r="C23" s="205"/>
      <c r="D23" s="151" t="s">
        <v>146</v>
      </c>
      <c r="E23" s="95">
        <f>'24'!F23</f>
        <v>2000</v>
      </c>
      <c r="F23" s="122">
        <v>2000</v>
      </c>
      <c r="G23" s="119">
        <v>0</v>
      </c>
      <c r="H23" s="99">
        <f>G23+'24'!H23</f>
        <v>110</v>
      </c>
      <c r="I23" s="118"/>
      <c r="J23" s="175">
        <f>H23/DAY(B2)</f>
        <v>4.4000000000000004</v>
      </c>
      <c r="K23" s="79"/>
      <c r="L23" s="66"/>
      <c r="N23" s="87"/>
      <c r="O23" s="71"/>
    </row>
    <row r="24" spans="1:15" ht="29.25" x14ac:dyDescent="0.4">
      <c r="A24" s="206" t="s">
        <v>148</v>
      </c>
      <c r="B24" s="207"/>
      <c r="C24" s="207"/>
      <c r="D24" s="146" t="s">
        <v>146</v>
      </c>
      <c r="E24" s="95">
        <f>'24'!F24</f>
        <v>4970</v>
      </c>
      <c r="F24" s="128">
        <v>4970</v>
      </c>
      <c r="G24" s="119">
        <v>0</v>
      </c>
      <c r="H24" s="99">
        <f>G24+'24'!H24</f>
        <v>110</v>
      </c>
      <c r="I24" s="118"/>
      <c r="J24" s="175">
        <f>H24/DAY(B2)</f>
        <v>4.4000000000000004</v>
      </c>
      <c r="K24" s="79"/>
      <c r="L24" s="66"/>
      <c r="N24" s="87"/>
      <c r="O24" s="71"/>
    </row>
    <row r="25" spans="1:15" s="88" customFormat="1" ht="27" x14ac:dyDescent="0.35">
      <c r="A25" s="832" t="s">
        <v>149</v>
      </c>
      <c r="B25" s="833"/>
      <c r="C25" s="834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5" s="88" customFormat="1" ht="27.75" x14ac:dyDescent="0.5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/>
      <c r="I26" s="134"/>
      <c r="J26" s="175"/>
      <c r="K26" s="64"/>
      <c r="L26" s="89"/>
      <c r="N26" s="87"/>
      <c r="O26" s="71"/>
    </row>
    <row r="27" spans="1:15" s="88" customFormat="1" ht="27.75" x14ac:dyDescent="0.5">
      <c r="A27" s="208" t="s">
        <v>5</v>
      </c>
      <c r="B27" s="209"/>
      <c r="C27" s="210"/>
      <c r="D27" s="226" t="s">
        <v>24</v>
      </c>
      <c r="E27" s="135">
        <f>G8</f>
        <v>16627</v>
      </c>
      <c r="F27" s="136">
        <v>9</v>
      </c>
      <c r="G27" s="137">
        <f>E27*F27</f>
        <v>149643</v>
      </c>
      <c r="H27" s="99">
        <f>G27+'24'!H27</f>
        <v>4160996.9999999995</v>
      </c>
      <c r="I27" s="138"/>
      <c r="J27" s="175">
        <f>H27/DAY(B2)</f>
        <v>166439.87999999998</v>
      </c>
      <c r="K27" s="63"/>
      <c r="L27" s="89"/>
      <c r="N27" s="87"/>
      <c r="O27" s="71"/>
    </row>
    <row r="28" spans="1:15" s="88" customFormat="1" ht="27.75" x14ac:dyDescent="0.5">
      <c r="A28" s="208" t="s">
        <v>152</v>
      </c>
      <c r="B28" s="209"/>
      <c r="C28" s="210"/>
      <c r="D28" s="226" t="s">
        <v>153</v>
      </c>
      <c r="E28" s="139">
        <f>G15</f>
        <v>815</v>
      </c>
      <c r="F28" s="136">
        <v>52</v>
      </c>
      <c r="G28" s="137">
        <f>E28*F28</f>
        <v>42380</v>
      </c>
      <c r="H28" s="99">
        <f>G28+'24'!H28</f>
        <v>1169948</v>
      </c>
      <c r="I28" s="140"/>
      <c r="J28" s="175">
        <f>H28/DAY(B2)</f>
        <v>46797.919999999998</v>
      </c>
      <c r="K28" s="63"/>
      <c r="L28" s="89"/>
      <c r="N28" s="87"/>
      <c r="O28" s="71"/>
    </row>
    <row r="29" spans="1:15" s="88" customFormat="1" ht="27.75" x14ac:dyDescent="0.5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>E29*F29</f>
        <v>0</v>
      </c>
      <c r="H29" s="99">
        <f>G29+'24'!H29</f>
        <v>7590</v>
      </c>
      <c r="I29" s="140"/>
      <c r="J29" s="175">
        <f>H29/DAY(B2)</f>
        <v>303.60000000000002</v>
      </c>
      <c r="K29" s="63"/>
      <c r="L29" s="89"/>
      <c r="N29" s="87"/>
      <c r="O29" s="71"/>
    </row>
    <row r="30" spans="1:15" s="88" customFormat="1" ht="27.75" x14ac:dyDescent="0.5">
      <c r="A30" s="208" t="s">
        <v>156</v>
      </c>
      <c r="B30" s="209"/>
      <c r="C30" s="210"/>
      <c r="D30" s="226" t="s">
        <v>157</v>
      </c>
      <c r="E30" s="141">
        <f>G19</f>
        <v>50</v>
      </c>
      <c r="F30" s="136">
        <v>146</v>
      </c>
      <c r="G30" s="137">
        <f>E30*F30</f>
        <v>7300</v>
      </c>
      <c r="H30" s="99">
        <f>G30+'24'!H30</f>
        <v>195348</v>
      </c>
      <c r="I30" s="140"/>
      <c r="J30" s="175">
        <f>H30/DAY(B2)</f>
        <v>7813.92</v>
      </c>
      <c r="K30" s="63"/>
      <c r="L30" s="89"/>
      <c r="N30" s="87"/>
      <c r="O30" s="71"/>
    </row>
    <row r="31" spans="1:15" s="88" customFormat="1" ht="27.75" x14ac:dyDescent="0.5">
      <c r="A31" s="208" t="s">
        <v>158</v>
      </c>
      <c r="B31" s="209"/>
      <c r="C31" s="210"/>
      <c r="D31" s="226" t="s">
        <v>142</v>
      </c>
      <c r="E31" s="141">
        <f>G18</f>
        <v>140</v>
      </c>
      <c r="F31" s="136">
        <v>80</v>
      </c>
      <c r="G31" s="137">
        <f>E31*F31</f>
        <v>11200</v>
      </c>
      <c r="H31" s="99">
        <f>G31+'24'!H31</f>
        <v>229600</v>
      </c>
      <c r="I31" s="140"/>
      <c r="J31" s="175">
        <f>H31/DAY(B2)</f>
        <v>9184</v>
      </c>
      <c r="K31" s="63"/>
      <c r="L31" s="89"/>
      <c r="N31" s="87"/>
      <c r="O31" s="71"/>
    </row>
    <row r="32" spans="1:15" s="88" customFormat="1" ht="27.75" x14ac:dyDescent="0.5">
      <c r="A32" s="211" t="s">
        <v>159</v>
      </c>
      <c r="B32" s="212"/>
      <c r="C32" s="213"/>
      <c r="D32" s="142"/>
      <c r="E32" s="142"/>
      <c r="F32" s="142"/>
      <c r="G32" s="143">
        <f>G27+G28+G29+G30+G31</f>
        <v>210523</v>
      </c>
      <c r="H32" s="99">
        <f>G32+'24'!H32</f>
        <v>5763483</v>
      </c>
      <c r="I32" s="144"/>
      <c r="J32" s="175">
        <f>H32/DAY(B2)</f>
        <v>230539.32</v>
      </c>
      <c r="K32" s="63"/>
      <c r="L32" s="89"/>
      <c r="N32" s="87"/>
      <c r="O32" s="71"/>
    </row>
    <row r="33" spans="1:15" ht="25.5" x14ac:dyDescent="0.35">
      <c r="A33" s="835" t="s">
        <v>331</v>
      </c>
      <c r="B33" s="836"/>
      <c r="C33" s="836"/>
      <c r="D33" s="337"/>
      <c r="E33" s="337"/>
      <c r="F33" s="337"/>
      <c r="G33" s="337"/>
      <c r="H33" s="337"/>
      <c r="I33" s="337"/>
      <c r="J33" s="338"/>
      <c r="K33" s="79"/>
      <c r="L33" s="66"/>
      <c r="N33" s="87"/>
      <c r="O33" s="71"/>
    </row>
    <row r="34" spans="1:15" ht="29.25" x14ac:dyDescent="0.5">
      <c r="A34" s="214" t="s">
        <v>160</v>
      </c>
      <c r="B34" s="349"/>
      <c r="C34" s="349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29.25" x14ac:dyDescent="0.4">
      <c r="A35" s="194" t="s">
        <v>161</v>
      </c>
      <c r="B35" s="195"/>
      <c r="C35" s="195"/>
      <c r="D35" s="151" t="s">
        <v>130</v>
      </c>
      <c r="E35" s="95">
        <f>'24'!F35</f>
        <v>23208</v>
      </c>
      <c r="F35" s="145">
        <v>24516</v>
      </c>
      <c r="G35" s="112">
        <f t="shared" ref="G35:G46" si="3">F35-E35</f>
        <v>1308</v>
      </c>
      <c r="H35" s="99">
        <f>G35+'24'!H35</f>
        <v>39716</v>
      </c>
      <c r="I35" s="95"/>
      <c r="J35" s="175">
        <f>H35/DAY(B2)</f>
        <v>1588.64</v>
      </c>
      <c r="K35" s="79"/>
      <c r="L35" s="66"/>
      <c r="N35" s="87"/>
      <c r="O35" s="71"/>
    </row>
    <row r="36" spans="1:15" ht="29.25" x14ac:dyDescent="0.4">
      <c r="A36" s="194" t="s">
        <v>162</v>
      </c>
      <c r="B36" s="195"/>
      <c r="C36" s="195"/>
      <c r="D36" s="151" t="s">
        <v>130</v>
      </c>
      <c r="E36" s="95">
        <f>'24'!F36</f>
        <v>38640</v>
      </c>
      <c r="F36" s="145">
        <v>39240</v>
      </c>
      <c r="G36" s="112">
        <f t="shared" si="3"/>
        <v>600</v>
      </c>
      <c r="H36" s="99">
        <f>G36+'24'!H36</f>
        <v>17713</v>
      </c>
      <c r="I36" s="95"/>
      <c r="J36" s="175">
        <f>H36/DAY(B2)</f>
        <v>708.52</v>
      </c>
      <c r="K36" s="79"/>
      <c r="L36" s="66"/>
      <c r="N36" s="87"/>
      <c r="O36" s="344"/>
    </row>
    <row r="37" spans="1:15" ht="29.25" x14ac:dyDescent="0.4">
      <c r="A37" s="194" t="s">
        <v>163</v>
      </c>
      <c r="B37" s="195"/>
      <c r="C37" s="195"/>
      <c r="D37" s="151" t="s">
        <v>130</v>
      </c>
      <c r="E37" s="95">
        <f>'24'!F37</f>
        <v>24388</v>
      </c>
      <c r="F37" s="145">
        <v>25996</v>
      </c>
      <c r="G37" s="112">
        <f t="shared" si="3"/>
        <v>1608</v>
      </c>
      <c r="H37" s="99">
        <f>G37+'24'!H37</f>
        <v>38208</v>
      </c>
      <c r="I37" s="95"/>
      <c r="J37" s="175">
        <f>H37/DAY(B2)</f>
        <v>1528.32</v>
      </c>
      <c r="K37" s="79"/>
      <c r="L37" s="66"/>
      <c r="N37" s="87"/>
      <c r="O37" s="234"/>
    </row>
    <row r="38" spans="1:15" ht="29.25" x14ac:dyDescent="0.4">
      <c r="A38" s="194" t="s">
        <v>164</v>
      </c>
      <c r="B38" s="195"/>
      <c r="C38" s="195"/>
      <c r="D38" s="151" t="s">
        <v>130</v>
      </c>
      <c r="E38" s="95">
        <f>'24'!F38</f>
        <v>26318</v>
      </c>
      <c r="F38" s="108">
        <v>28079</v>
      </c>
      <c r="G38" s="112">
        <f t="shared" si="3"/>
        <v>1761</v>
      </c>
      <c r="H38" s="99">
        <f>G38+'24'!H38</f>
        <v>41279.000000000007</v>
      </c>
      <c r="I38" s="95"/>
      <c r="J38" s="175">
        <f>H38/DAY(B2)</f>
        <v>1651.1600000000003</v>
      </c>
      <c r="K38" s="79"/>
      <c r="L38" s="66"/>
      <c r="N38" s="87"/>
      <c r="O38" s="71"/>
    </row>
    <row r="39" spans="1:15" ht="29.25" x14ac:dyDescent="0.4">
      <c r="A39" s="194" t="s">
        <v>165</v>
      </c>
      <c r="B39" s="195"/>
      <c r="C39" s="195"/>
      <c r="D39" s="151" t="s">
        <v>130</v>
      </c>
      <c r="E39" s="95">
        <f>'24'!F39</f>
        <v>40938</v>
      </c>
      <c r="F39" s="145">
        <v>43529</v>
      </c>
      <c r="G39" s="112">
        <f t="shared" si="3"/>
        <v>2591</v>
      </c>
      <c r="H39" s="99">
        <f>G39+'24'!H39</f>
        <v>65211</v>
      </c>
      <c r="I39" s="95"/>
      <c r="J39" s="175">
        <f>H39/DAY(B2)</f>
        <v>2608.44</v>
      </c>
      <c r="K39" s="79"/>
      <c r="L39" s="66"/>
      <c r="N39" s="87"/>
      <c r="O39" s="71"/>
    </row>
    <row r="40" spans="1:15" ht="29.25" x14ac:dyDescent="0.4">
      <c r="A40" s="215" t="s">
        <v>166</v>
      </c>
      <c r="B40" s="216"/>
      <c r="C40" s="216"/>
      <c r="D40" s="151" t="s">
        <v>130</v>
      </c>
      <c r="E40" s="95">
        <f>'24'!F40</f>
        <v>16184</v>
      </c>
      <c r="F40" s="145">
        <v>16777</v>
      </c>
      <c r="G40" s="112">
        <f t="shared" si="3"/>
        <v>593</v>
      </c>
      <c r="H40" s="99">
        <f>G40+'24'!H40</f>
        <v>11167</v>
      </c>
      <c r="I40" s="95"/>
      <c r="J40" s="175">
        <f>H40/DAY(B2)</f>
        <v>446.68</v>
      </c>
      <c r="K40" s="80"/>
      <c r="L40" s="66"/>
      <c r="N40" s="87"/>
      <c r="O40" s="71"/>
    </row>
    <row r="41" spans="1:15" ht="29.25" x14ac:dyDescent="0.4">
      <c r="A41" s="194" t="s">
        <v>167</v>
      </c>
      <c r="B41" s="195"/>
      <c r="C41" s="195"/>
      <c r="D41" s="151" t="s">
        <v>130</v>
      </c>
      <c r="E41" s="95">
        <f>'24'!F41</f>
        <v>0</v>
      </c>
      <c r="F41" s="145">
        <v>0</v>
      </c>
      <c r="G41" s="112">
        <f t="shared" si="3"/>
        <v>0</v>
      </c>
      <c r="H41" s="99">
        <f>G41+'24'!H41</f>
        <v>0</v>
      </c>
      <c r="I41" s="95"/>
      <c r="J41" s="175">
        <f>H41/DAY(B2)</f>
        <v>0</v>
      </c>
      <c r="K41" s="79"/>
      <c r="L41" s="66"/>
      <c r="N41" s="87"/>
      <c r="O41" s="71"/>
    </row>
    <row r="42" spans="1:15" ht="29.25" x14ac:dyDescent="0.4">
      <c r="A42" s="194" t="s">
        <v>168</v>
      </c>
      <c r="B42" s="195"/>
      <c r="C42" s="195"/>
      <c r="D42" s="151" t="s">
        <v>130</v>
      </c>
      <c r="E42" s="95">
        <f>'24'!F42</f>
        <v>73808.600000000006</v>
      </c>
      <c r="F42" s="145">
        <v>76837</v>
      </c>
      <c r="G42" s="112">
        <f t="shared" si="3"/>
        <v>3028.3999999999942</v>
      </c>
      <c r="H42" s="99">
        <f>G42+'24'!H42</f>
        <v>3028</v>
      </c>
      <c r="I42" s="95"/>
      <c r="J42" s="175">
        <f>H42/DAY(B2)</f>
        <v>121.12</v>
      </c>
      <c r="K42" s="79"/>
      <c r="L42" s="66"/>
      <c r="N42" s="87"/>
      <c r="O42" s="71"/>
    </row>
    <row r="43" spans="1:15" ht="29.25" x14ac:dyDescent="0.4">
      <c r="A43" s="194" t="s">
        <v>169</v>
      </c>
      <c r="B43" s="195"/>
      <c r="C43" s="195"/>
      <c r="D43" s="151" t="s">
        <v>130</v>
      </c>
      <c r="E43" s="95">
        <f>'24'!F43</f>
        <v>101167</v>
      </c>
      <c r="F43" s="145">
        <v>103125</v>
      </c>
      <c r="G43" s="112">
        <f t="shared" si="3"/>
        <v>1958</v>
      </c>
      <c r="H43" s="99">
        <f>G43+'24'!H43</f>
        <v>55864</v>
      </c>
      <c r="I43" s="95"/>
      <c r="J43" s="175">
        <f>H43/DAY(B2)</f>
        <v>2234.56</v>
      </c>
      <c r="K43" s="79"/>
      <c r="L43" s="66"/>
      <c r="N43" s="87"/>
      <c r="O43" s="71"/>
    </row>
    <row r="44" spans="1:15" ht="29.25" x14ac:dyDescent="0.4">
      <c r="A44" s="194" t="s">
        <v>170</v>
      </c>
      <c r="B44" s="195"/>
      <c r="C44" s="195"/>
      <c r="D44" s="151" t="s">
        <v>130</v>
      </c>
      <c r="E44" s="95">
        <f>'24'!F44</f>
        <v>0</v>
      </c>
      <c r="F44" s="145">
        <v>0</v>
      </c>
      <c r="G44" s="112">
        <f t="shared" si="3"/>
        <v>0</v>
      </c>
      <c r="H44" s="99">
        <f>G44+'24'!H44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29.25" x14ac:dyDescent="0.4">
      <c r="A45" s="194" t="s">
        <v>171</v>
      </c>
      <c r="B45" s="195"/>
      <c r="C45" s="195"/>
      <c r="D45" s="151" t="s">
        <v>130</v>
      </c>
      <c r="E45" s="95">
        <f>'24'!F45</f>
        <v>0</v>
      </c>
      <c r="F45" s="145">
        <v>0</v>
      </c>
      <c r="G45" s="112">
        <f t="shared" si="3"/>
        <v>0</v>
      </c>
      <c r="H45" s="99">
        <f>G45+'24'!H45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29.25" x14ac:dyDescent="0.4">
      <c r="A46" s="194" t="s">
        <v>172</v>
      </c>
      <c r="B46" s="195"/>
      <c r="C46" s="195"/>
      <c r="D46" s="151" t="s">
        <v>130</v>
      </c>
      <c r="E46" s="95">
        <f>'24'!F46</f>
        <v>0</v>
      </c>
      <c r="F46" s="145">
        <v>0</v>
      </c>
      <c r="G46" s="112">
        <f t="shared" si="3"/>
        <v>0</v>
      </c>
      <c r="H46" s="99">
        <f>G46+'24'!H46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29.25" x14ac:dyDescent="0.5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13447.399999999994</v>
      </c>
      <c r="H47" s="99">
        <f>G47+'24'!H47</f>
        <v>272186.00000000006</v>
      </c>
      <c r="I47" s="95"/>
      <c r="J47" s="175">
        <f>H47/DAY(B2)</f>
        <v>10887.440000000002</v>
      </c>
      <c r="K47" s="79"/>
      <c r="L47" s="66"/>
      <c r="N47" s="87"/>
      <c r="O47" s="71"/>
    </row>
    <row r="48" spans="1:15" ht="29.25" x14ac:dyDescent="0.5">
      <c r="A48" s="214" t="s">
        <v>174</v>
      </c>
      <c r="B48" s="349"/>
      <c r="C48" s="349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29.25" x14ac:dyDescent="0.4">
      <c r="A49" s="194" t="s">
        <v>161</v>
      </c>
      <c r="B49" s="217"/>
      <c r="C49" s="217"/>
      <c r="D49" s="151" t="s">
        <v>130</v>
      </c>
      <c r="E49" s="95">
        <f>'24'!F49</f>
        <v>19015</v>
      </c>
      <c r="F49" s="145">
        <v>19847</v>
      </c>
      <c r="G49" s="112">
        <f t="shared" ref="G49:G58" si="4">F49-E49</f>
        <v>832</v>
      </c>
      <c r="H49" s="99">
        <f>G49+'24'!H49</f>
        <v>32968</v>
      </c>
      <c r="I49" s="95"/>
      <c r="J49" s="175">
        <f>H49/DAY(B2)</f>
        <v>1318.72</v>
      </c>
      <c r="K49" s="79"/>
      <c r="L49" s="66"/>
      <c r="N49" s="87"/>
      <c r="O49" s="71"/>
    </row>
    <row r="50" spans="1:15" ht="29.25" x14ac:dyDescent="0.4">
      <c r="A50" s="194" t="s">
        <v>175</v>
      </c>
      <c r="B50" s="217"/>
      <c r="C50" s="217"/>
      <c r="D50" s="151" t="s">
        <v>130</v>
      </c>
      <c r="E50" s="95">
        <f>'24'!F50</f>
        <v>49249</v>
      </c>
      <c r="F50" s="145">
        <v>50260</v>
      </c>
      <c r="G50" s="112">
        <f t="shared" si="4"/>
        <v>1011</v>
      </c>
      <c r="H50" s="99">
        <f>G50+'24'!H50</f>
        <v>25610</v>
      </c>
      <c r="I50" s="95"/>
      <c r="J50" s="175">
        <f>H50/DAY(B2)</f>
        <v>1024.4000000000001</v>
      </c>
      <c r="K50" s="79"/>
      <c r="L50" s="66"/>
      <c r="N50" s="87"/>
      <c r="O50" s="71"/>
    </row>
    <row r="51" spans="1:15" ht="29.25" x14ac:dyDescent="0.4">
      <c r="A51" s="194" t="s">
        <v>163</v>
      </c>
      <c r="B51" s="217"/>
      <c r="C51" s="217"/>
      <c r="D51" s="151" t="s">
        <v>130</v>
      </c>
      <c r="E51" s="95">
        <f>'24'!F51</f>
        <v>0</v>
      </c>
      <c r="F51" s="145">
        <v>0</v>
      </c>
      <c r="G51" s="112">
        <f t="shared" si="4"/>
        <v>0</v>
      </c>
      <c r="H51" s="99">
        <f>G51+'24'!H51</f>
        <v>0</v>
      </c>
      <c r="I51" s="95"/>
      <c r="J51" s="175">
        <f>H51/DAY(B2)</f>
        <v>0</v>
      </c>
      <c r="K51" s="79"/>
      <c r="L51" s="66"/>
      <c r="N51" s="87"/>
      <c r="O51" s="71"/>
    </row>
    <row r="52" spans="1:15" ht="29.25" x14ac:dyDescent="0.4">
      <c r="A52" s="194" t="s">
        <v>176</v>
      </c>
      <c r="B52" s="217"/>
      <c r="C52" s="217"/>
      <c r="D52" s="151" t="s">
        <v>130</v>
      </c>
      <c r="E52" s="95">
        <f>'24'!F52</f>
        <v>0</v>
      </c>
      <c r="F52" s="145">
        <v>0</v>
      </c>
      <c r="G52" s="112">
        <f t="shared" si="4"/>
        <v>0</v>
      </c>
      <c r="H52" s="99">
        <f>G52+'24'!H52</f>
        <v>0</v>
      </c>
      <c r="I52" s="95"/>
      <c r="J52" s="175">
        <f>H52/DAY(B2)</f>
        <v>0</v>
      </c>
      <c r="K52" s="79"/>
      <c r="L52" s="66"/>
      <c r="N52" s="87"/>
      <c r="O52" s="71"/>
    </row>
    <row r="53" spans="1:15" ht="29.25" x14ac:dyDescent="0.4">
      <c r="A53" s="194" t="s">
        <v>165</v>
      </c>
      <c r="B53" s="217"/>
      <c r="C53" s="217"/>
      <c r="D53" s="151" t="s">
        <v>130</v>
      </c>
      <c r="E53" s="95">
        <f>'24'!F53</f>
        <v>0</v>
      </c>
      <c r="F53" s="145">
        <v>0</v>
      </c>
      <c r="G53" s="112">
        <f t="shared" si="4"/>
        <v>0</v>
      </c>
      <c r="H53" s="99">
        <f>G53+'24'!H53</f>
        <v>0</v>
      </c>
      <c r="I53" s="95"/>
      <c r="J53" s="175">
        <f>H53/DAY(B2)</f>
        <v>0</v>
      </c>
      <c r="K53" s="79"/>
      <c r="L53" s="66"/>
      <c r="N53" s="87"/>
      <c r="O53" s="71"/>
    </row>
    <row r="54" spans="1:15" ht="29.25" x14ac:dyDescent="0.4">
      <c r="A54" s="194" t="s">
        <v>177</v>
      </c>
      <c r="B54" s="217"/>
      <c r="C54" s="217"/>
      <c r="D54" s="151" t="s">
        <v>130</v>
      </c>
      <c r="E54" s="95">
        <f>'24'!F54</f>
        <v>5147</v>
      </c>
      <c r="F54" s="145">
        <v>5147</v>
      </c>
      <c r="G54" s="112">
        <f t="shared" si="4"/>
        <v>0</v>
      </c>
      <c r="H54" s="99">
        <f>G54+'24'!H54</f>
        <v>6914.08</v>
      </c>
      <c r="I54" s="95"/>
      <c r="J54" s="175">
        <f>H54/DAY(B2)</f>
        <v>276.56319999999999</v>
      </c>
      <c r="K54" s="79"/>
      <c r="L54" s="66"/>
      <c r="N54" s="87"/>
      <c r="O54" s="71"/>
    </row>
    <row r="55" spans="1:15" ht="29.25" x14ac:dyDescent="0.4">
      <c r="A55" s="194" t="s">
        <v>178</v>
      </c>
      <c r="B55" s="217"/>
      <c r="C55" s="217"/>
      <c r="D55" s="151" t="s">
        <v>130</v>
      </c>
      <c r="E55" s="95">
        <f>'24'!F55</f>
        <v>74366</v>
      </c>
      <c r="F55" s="145">
        <v>74366</v>
      </c>
      <c r="G55" s="112">
        <f t="shared" si="4"/>
        <v>0</v>
      </c>
      <c r="H55" s="99">
        <f>G55+'24'!H55</f>
        <v>70855</v>
      </c>
      <c r="I55" s="95"/>
      <c r="J55" s="175">
        <f>H55/DAY(B2)</f>
        <v>2834.2</v>
      </c>
      <c r="K55" s="79"/>
      <c r="L55" s="66"/>
      <c r="N55" s="87"/>
      <c r="O55" s="71"/>
    </row>
    <row r="56" spans="1:15" ht="29.25" x14ac:dyDescent="0.4">
      <c r="A56" s="194" t="s">
        <v>179</v>
      </c>
      <c r="B56" s="217"/>
      <c r="C56" s="217"/>
      <c r="D56" s="151" t="s">
        <v>180</v>
      </c>
      <c r="E56" s="95">
        <f>'24'!F56</f>
        <v>8610.5400000000009</v>
      </c>
      <c r="F56" s="145">
        <v>8610.5400000000009</v>
      </c>
      <c r="G56" s="112">
        <f t="shared" si="4"/>
        <v>0</v>
      </c>
      <c r="H56" s="99">
        <f>G56+'24'!H56</f>
        <v>0</v>
      </c>
      <c r="I56" s="95"/>
      <c r="J56" s="175">
        <f>H56/DAY(B2)</f>
        <v>0</v>
      </c>
      <c r="K56" s="78"/>
      <c r="L56" s="66"/>
      <c r="N56" s="87"/>
      <c r="O56" s="71"/>
    </row>
    <row r="57" spans="1:15" ht="29.25" x14ac:dyDescent="0.4">
      <c r="A57" s="194" t="s">
        <v>169</v>
      </c>
      <c r="B57" s="217"/>
      <c r="C57" s="217"/>
      <c r="D57" s="151" t="s">
        <v>130</v>
      </c>
      <c r="E57" s="95">
        <f>'24'!F57</f>
        <v>0</v>
      </c>
      <c r="F57" s="145">
        <v>0</v>
      </c>
      <c r="G57" s="112">
        <f t="shared" si="4"/>
        <v>0</v>
      </c>
      <c r="H57" s="99">
        <f>G57+'24'!H57</f>
        <v>0</v>
      </c>
      <c r="I57" s="95"/>
      <c r="J57" s="175">
        <f>H57/DAY(B2)</f>
        <v>0</v>
      </c>
      <c r="K57" s="79"/>
      <c r="L57" s="66"/>
      <c r="N57" s="87"/>
      <c r="O57" s="71"/>
    </row>
    <row r="58" spans="1:15" ht="29.25" x14ac:dyDescent="0.4">
      <c r="A58" s="194" t="s">
        <v>181</v>
      </c>
      <c r="B58" s="217"/>
      <c r="C58" s="217"/>
      <c r="D58" s="151" t="s">
        <v>130</v>
      </c>
      <c r="E58" s="95">
        <f>'24'!F58</f>
        <v>3485</v>
      </c>
      <c r="F58" s="145">
        <v>3595</v>
      </c>
      <c r="G58" s="112">
        <f t="shared" si="4"/>
        <v>110</v>
      </c>
      <c r="H58" s="99">
        <f>G58+'24'!H58</f>
        <v>3935.6300000000047</v>
      </c>
      <c r="I58" s="95"/>
      <c r="J58" s="175">
        <f>H58/DAY(B2)</f>
        <v>157.42520000000019</v>
      </c>
      <c r="K58" s="79"/>
      <c r="L58" s="66"/>
      <c r="N58" s="87"/>
      <c r="O58" s="71"/>
    </row>
    <row r="59" spans="1:15" ht="29.25" x14ac:dyDescent="0.5">
      <c r="A59" s="201" t="s">
        <v>173</v>
      </c>
      <c r="B59" s="202"/>
      <c r="C59" s="202"/>
      <c r="D59" s="146"/>
      <c r="E59" s="146"/>
      <c r="F59" s="146"/>
      <c r="G59" s="119">
        <f>G49+G50+G51+G52+G53+G54+G55+G56+G57+G58</f>
        <v>1953</v>
      </c>
      <c r="H59" s="99">
        <f>G59+'24'!H59</f>
        <v>140282.71000000005</v>
      </c>
      <c r="I59" s="95">
        <f>G7-G60</f>
        <v>928.60000000000582</v>
      </c>
      <c r="J59" s="175">
        <f>H59/DAY(B2)</f>
        <v>5611.3084000000017</v>
      </c>
      <c r="K59" s="79"/>
      <c r="L59" s="66"/>
      <c r="N59" s="87"/>
      <c r="O59" s="71"/>
    </row>
    <row r="60" spans="1:15" ht="29.25" x14ac:dyDescent="0.4">
      <c r="A60" s="194"/>
      <c r="B60" s="195"/>
      <c r="C60" s="195"/>
      <c r="D60" s="146" t="s">
        <v>182</v>
      </c>
      <c r="E60" s="146"/>
      <c r="F60" s="146"/>
      <c r="G60" s="119">
        <f>G47+G59</f>
        <v>15400.399999999994</v>
      </c>
      <c r="H60" s="99">
        <f>G60+'24'!H60</f>
        <v>412468.70999999996</v>
      </c>
      <c r="I60" s="95">
        <f>G13-G60</f>
        <v>444.60000000000582</v>
      </c>
      <c r="J60" s="175">
        <f>H60/DAY(B2)</f>
        <v>16498.748399999997</v>
      </c>
      <c r="K60" s="79"/>
      <c r="L60" s="66"/>
      <c r="N60" s="87"/>
      <c r="O60" s="71"/>
    </row>
    <row r="61" spans="1:15" s="68" customFormat="1" ht="27.75" x14ac:dyDescent="0.5">
      <c r="A61" s="837" t="s">
        <v>332</v>
      </c>
      <c r="B61" s="838"/>
      <c r="C61" s="839"/>
      <c r="D61" s="339"/>
      <c r="E61" s="339"/>
      <c r="F61" s="339"/>
      <c r="G61" s="340"/>
      <c r="H61" s="339"/>
      <c r="I61" s="339"/>
      <c r="J61" s="341"/>
      <c r="K61" s="69"/>
      <c r="L61" s="67"/>
      <c r="N61" s="87"/>
      <c r="O61" s="71"/>
    </row>
    <row r="62" spans="1:15" ht="27.75" x14ac:dyDescent="0.5">
      <c r="A62" s="818" t="s">
        <v>198</v>
      </c>
      <c r="B62" s="819"/>
      <c r="C62" s="820"/>
      <c r="D62" s="151" t="s">
        <v>142</v>
      </c>
      <c r="E62" s="95">
        <f>'24'!F62</f>
        <v>268812</v>
      </c>
      <c r="F62" s="122">
        <v>268914</v>
      </c>
      <c r="G62" s="112">
        <f t="shared" ref="G62:G63" si="5">F62-E62</f>
        <v>102</v>
      </c>
      <c r="H62" s="99">
        <f>G62+'24'!H62</f>
        <v>1701</v>
      </c>
      <c r="I62" s="118"/>
      <c r="J62" s="175">
        <f>H62/DAY(B2)</f>
        <v>68.040000000000006</v>
      </c>
      <c r="K62" s="80"/>
      <c r="L62" s="66"/>
      <c r="N62" s="87"/>
      <c r="O62" s="71"/>
    </row>
    <row r="63" spans="1:15" ht="27.75" x14ac:dyDescent="0.5">
      <c r="A63" s="818" t="s">
        <v>199</v>
      </c>
      <c r="B63" s="819"/>
      <c r="C63" s="820"/>
      <c r="D63" s="151" t="s">
        <v>142</v>
      </c>
      <c r="E63" s="95">
        <f>'24'!F63</f>
        <v>214838</v>
      </c>
      <c r="F63" s="122">
        <v>215002</v>
      </c>
      <c r="G63" s="112">
        <f t="shared" si="5"/>
        <v>164</v>
      </c>
      <c r="H63" s="99">
        <f>G63+'24'!H63</f>
        <v>2577</v>
      </c>
      <c r="I63" s="118"/>
      <c r="J63" s="175">
        <f>H63/DAY(B2)</f>
        <v>103.08</v>
      </c>
      <c r="K63" s="69"/>
      <c r="L63" s="66"/>
      <c r="N63" s="87"/>
      <c r="O63" s="71"/>
    </row>
    <row r="64" spans="1:15" ht="29.25" x14ac:dyDescent="0.5">
      <c r="A64" s="815" t="s">
        <v>200</v>
      </c>
      <c r="B64" s="816"/>
      <c r="C64" s="817"/>
      <c r="D64" s="151"/>
      <c r="E64" s="95">
        <f>'24'!F64</f>
        <v>0</v>
      </c>
      <c r="F64" s="122"/>
      <c r="G64" s="112">
        <f>G62+G63</f>
        <v>266</v>
      </c>
      <c r="H64" s="99">
        <f>G64+'24'!H64</f>
        <v>4278</v>
      </c>
      <c r="I64" s="118"/>
      <c r="J64" s="175">
        <f>H64/DAY(B2)</f>
        <v>171.12</v>
      </c>
      <c r="K64" s="69"/>
      <c r="L64" s="66"/>
      <c r="N64" s="87"/>
      <c r="O64" s="71"/>
    </row>
    <row r="65" spans="1:15" ht="27.75" x14ac:dyDescent="0.5">
      <c r="A65" s="818" t="s">
        <v>201</v>
      </c>
      <c r="B65" s="819"/>
      <c r="C65" s="820"/>
      <c r="D65" s="151" t="s">
        <v>142</v>
      </c>
      <c r="E65" s="95">
        <f>'24'!F65</f>
        <v>434329</v>
      </c>
      <c r="F65" s="122">
        <v>434415</v>
      </c>
      <c r="G65" s="112">
        <f t="shared" ref="G65:G70" si="6">F65-E65</f>
        <v>86</v>
      </c>
      <c r="H65" s="99">
        <f>G65+'24'!H65</f>
        <v>1801</v>
      </c>
      <c r="I65" s="118"/>
      <c r="J65" s="175">
        <f>H65/DAY(B2)</f>
        <v>72.040000000000006</v>
      </c>
      <c r="K65" s="69"/>
      <c r="L65" s="66"/>
      <c r="N65" s="87"/>
      <c r="O65" s="71"/>
    </row>
    <row r="66" spans="1:15" ht="27.75" x14ac:dyDescent="0.5">
      <c r="A66" s="345" t="s">
        <v>202</v>
      </c>
      <c r="B66" s="346"/>
      <c r="C66" s="346"/>
      <c r="D66" s="151" t="s">
        <v>142</v>
      </c>
      <c r="E66" s="95">
        <f>'24'!F66</f>
        <v>107607</v>
      </c>
      <c r="F66" s="122">
        <v>107618</v>
      </c>
      <c r="G66" s="112">
        <f t="shared" si="6"/>
        <v>11</v>
      </c>
      <c r="H66" s="99">
        <f>G66+'24'!H66</f>
        <v>404</v>
      </c>
      <c r="I66" s="118"/>
      <c r="J66" s="175">
        <f>H66/DAY(B2)</f>
        <v>16.16</v>
      </c>
      <c r="K66" s="78"/>
      <c r="L66" s="66"/>
      <c r="N66" s="87"/>
      <c r="O66" s="71"/>
    </row>
    <row r="67" spans="1:15" ht="27.75" x14ac:dyDescent="0.5">
      <c r="A67" s="345" t="s">
        <v>203</v>
      </c>
      <c r="B67" s="346"/>
      <c r="C67" s="346"/>
      <c r="D67" s="151" t="s">
        <v>142</v>
      </c>
      <c r="E67" s="95">
        <f>'24'!F67</f>
        <v>104480</v>
      </c>
      <c r="F67" s="122">
        <v>104500</v>
      </c>
      <c r="G67" s="112">
        <f t="shared" si="6"/>
        <v>20</v>
      </c>
      <c r="H67" s="99">
        <f>G67+'24'!H67</f>
        <v>572</v>
      </c>
      <c r="I67" s="118"/>
      <c r="J67" s="175">
        <f>H67/DAY(B2)</f>
        <v>22.88</v>
      </c>
      <c r="K67" s="81"/>
      <c r="L67" s="66"/>
      <c r="N67" s="87"/>
      <c r="O67" s="71"/>
    </row>
    <row r="68" spans="1:15" ht="27.75" x14ac:dyDescent="0.5">
      <c r="A68" s="345" t="s">
        <v>204</v>
      </c>
      <c r="B68" s="346"/>
      <c r="C68" s="346"/>
      <c r="D68" s="151" t="s">
        <v>142</v>
      </c>
      <c r="E68" s="95">
        <f>'24'!F68</f>
        <v>157347</v>
      </c>
      <c r="F68" s="122">
        <v>157420</v>
      </c>
      <c r="G68" s="112" t="s">
        <v>373</v>
      </c>
      <c r="H68" s="99" t="e">
        <f>G68+'24'!H68</f>
        <v>#VALUE!</v>
      </c>
      <c r="I68" s="118"/>
      <c r="J68" s="175" t="e">
        <f>H68/DAY(B2)</f>
        <v>#VALUE!</v>
      </c>
      <c r="K68" s="69"/>
      <c r="L68" s="66"/>
      <c r="N68" s="87"/>
      <c r="O68" s="71"/>
    </row>
    <row r="69" spans="1:15" ht="27.75" x14ac:dyDescent="0.5">
      <c r="A69" s="345" t="s">
        <v>205</v>
      </c>
      <c r="B69" s="346"/>
      <c r="C69" s="346"/>
      <c r="D69" s="151" t="s">
        <v>142</v>
      </c>
      <c r="E69" s="95">
        <f>'24'!F69</f>
        <v>10489</v>
      </c>
      <c r="F69" s="122">
        <v>10494</v>
      </c>
      <c r="G69" s="112">
        <f t="shared" si="6"/>
        <v>5</v>
      </c>
      <c r="H69" s="99">
        <f>G69+'24'!H69</f>
        <v>280</v>
      </c>
      <c r="I69" s="118"/>
      <c r="J69" s="175">
        <f>H69/DAY(B2)</f>
        <v>11.2</v>
      </c>
      <c r="K69" s="69"/>
      <c r="L69" s="66"/>
      <c r="N69" s="87"/>
      <c r="O69" s="71"/>
    </row>
    <row r="70" spans="1:15" ht="27.75" x14ac:dyDescent="0.5">
      <c r="A70" s="345" t="s">
        <v>206</v>
      </c>
      <c r="B70" s="346"/>
      <c r="C70" s="346"/>
      <c r="D70" s="151" t="s">
        <v>142</v>
      </c>
      <c r="E70" s="95">
        <f>'24'!F70</f>
        <v>8030</v>
      </c>
      <c r="F70" s="122">
        <v>8042</v>
      </c>
      <c r="G70" s="112">
        <f t="shared" si="6"/>
        <v>12</v>
      </c>
      <c r="H70" s="99">
        <f>G70+'24'!H70</f>
        <v>180</v>
      </c>
      <c r="I70" s="118"/>
      <c r="J70" s="175">
        <f>H70/DAY(B2)</f>
        <v>7.2</v>
      </c>
      <c r="K70" s="69"/>
      <c r="L70" s="66"/>
      <c r="N70" s="87"/>
      <c r="O70" s="71"/>
    </row>
    <row r="71" spans="1:15" ht="29.25" x14ac:dyDescent="0.5">
      <c r="A71" s="815" t="s">
        <v>208</v>
      </c>
      <c r="B71" s="816"/>
      <c r="C71" s="817"/>
      <c r="D71" s="152"/>
      <c r="E71" s="152"/>
      <c r="F71" s="152"/>
      <c r="G71" s="153">
        <f>SUM(G65:G70)</f>
        <v>134</v>
      </c>
      <c r="H71" s="99">
        <f>G71+'24'!H71</f>
        <v>3964</v>
      </c>
      <c r="I71" s="154"/>
      <c r="J71" s="175">
        <f>H71/DAY(B2)</f>
        <v>158.56</v>
      </c>
      <c r="K71" s="69"/>
      <c r="L71" s="66"/>
      <c r="N71" s="87"/>
      <c r="O71" s="71"/>
    </row>
    <row r="72" spans="1:15" s="88" customFormat="1" ht="27.75" x14ac:dyDescent="0.5">
      <c r="A72" s="861"/>
      <c r="B72" s="853"/>
      <c r="C72" s="347"/>
      <c r="D72" s="180"/>
      <c r="E72" s="180" t="s">
        <v>207</v>
      </c>
      <c r="F72" s="180"/>
      <c r="G72" s="180"/>
      <c r="H72" s="181"/>
      <c r="I72" s="180"/>
      <c r="J72" s="182"/>
      <c r="N72" s="87"/>
      <c r="O72" s="71"/>
    </row>
    <row r="73" spans="1:15" ht="29.25" x14ac:dyDescent="0.5">
      <c r="A73" s="866" t="s">
        <v>333</v>
      </c>
      <c r="B73" s="867"/>
      <c r="C73" s="868"/>
      <c r="D73" s="339"/>
      <c r="E73" s="339"/>
      <c r="F73" s="339"/>
      <c r="G73" s="342"/>
      <c r="H73" s="342"/>
      <c r="I73" s="342"/>
      <c r="J73" s="343"/>
      <c r="K73" s="69"/>
      <c r="L73" s="66"/>
      <c r="N73" s="87"/>
      <c r="O73" s="71"/>
    </row>
    <row r="74" spans="1:15" ht="27.75" x14ac:dyDescent="0.5">
      <c r="A74" s="818" t="s">
        <v>220</v>
      </c>
      <c r="B74" s="819"/>
      <c r="C74" s="820"/>
      <c r="D74" s="151" t="s">
        <v>139</v>
      </c>
      <c r="E74" s="95">
        <f>'24'!F74</f>
        <v>899174</v>
      </c>
      <c r="F74" s="123">
        <v>899470</v>
      </c>
      <c r="G74" s="112">
        <f t="shared" ref="G74:G78" si="7">F74-E74</f>
        <v>296</v>
      </c>
      <c r="H74" s="99">
        <f>G74+'24'!H74</f>
        <v>7438</v>
      </c>
      <c r="I74" s="154"/>
      <c r="J74" s="175">
        <f>H74/DAY(B2)</f>
        <v>297.52</v>
      </c>
      <c r="K74" s="69"/>
      <c r="L74" s="66"/>
      <c r="N74" s="87"/>
      <c r="O74" s="71"/>
    </row>
    <row r="75" spans="1:15" ht="27.75" x14ac:dyDescent="0.5">
      <c r="A75" s="818" t="s">
        <v>221</v>
      </c>
      <c r="B75" s="819"/>
      <c r="C75" s="820"/>
      <c r="D75" s="151" t="s">
        <v>139</v>
      </c>
      <c r="E75" s="95">
        <f>'24'!F75</f>
        <v>73586.8</v>
      </c>
      <c r="F75" s="123">
        <v>73586.8</v>
      </c>
      <c r="G75" s="112">
        <f t="shared" si="7"/>
        <v>0</v>
      </c>
      <c r="H75" s="99">
        <f>G75+'24'!H75</f>
        <v>0</v>
      </c>
      <c r="I75" s="154"/>
      <c r="J75" s="175">
        <f>H75/DAY(B2)</f>
        <v>0</v>
      </c>
      <c r="K75" s="69"/>
      <c r="L75" s="66"/>
      <c r="N75" s="87"/>
      <c r="O75" s="71"/>
    </row>
    <row r="76" spans="1:15" ht="27.75" x14ac:dyDescent="0.5">
      <c r="A76" s="862" t="s">
        <v>222</v>
      </c>
      <c r="B76" s="848"/>
      <c r="C76" s="849"/>
      <c r="D76" s="151" t="s">
        <v>139</v>
      </c>
      <c r="E76" s="95">
        <f>'24'!F76</f>
        <v>169318</v>
      </c>
      <c r="F76" s="123">
        <v>169420</v>
      </c>
      <c r="G76" s="112">
        <f t="shared" si="7"/>
        <v>102</v>
      </c>
      <c r="H76" s="99">
        <f>G76+'24'!H76</f>
        <v>2213</v>
      </c>
      <c r="I76" s="154"/>
      <c r="J76" s="175">
        <f>H76/DAY(B2)</f>
        <v>88.52</v>
      </c>
      <c r="K76" s="69"/>
      <c r="L76" s="66"/>
      <c r="N76" s="87"/>
      <c r="O76" s="71"/>
    </row>
    <row r="77" spans="1:15" ht="27.75" x14ac:dyDescent="0.5">
      <c r="A77" s="862" t="s">
        <v>223</v>
      </c>
      <c r="B77" s="848"/>
      <c r="C77" s="849"/>
      <c r="D77" s="151" t="s">
        <v>139</v>
      </c>
      <c r="E77" s="95">
        <f>'24'!F77</f>
        <v>41057</v>
      </c>
      <c r="F77" s="232">
        <v>41085</v>
      </c>
      <c r="G77" s="112">
        <f t="shared" si="7"/>
        <v>28</v>
      </c>
      <c r="H77" s="99">
        <f>G77+'24'!H77</f>
        <v>769</v>
      </c>
      <c r="I77" s="154"/>
      <c r="J77" s="175">
        <f>H77/DAY(B2)</f>
        <v>30.76</v>
      </c>
      <c r="K77" s="69"/>
      <c r="L77" s="66"/>
      <c r="N77" s="87"/>
      <c r="O77" s="71"/>
    </row>
    <row r="78" spans="1:15" ht="27.75" x14ac:dyDescent="0.5">
      <c r="A78" s="862" t="s">
        <v>224</v>
      </c>
      <c r="B78" s="848"/>
      <c r="C78" s="849"/>
      <c r="D78" s="151" t="s">
        <v>139</v>
      </c>
      <c r="E78" s="95">
        <f>'24'!F78</f>
        <v>9508</v>
      </c>
      <c r="F78" s="123">
        <v>9508</v>
      </c>
      <c r="G78" s="112">
        <f t="shared" si="7"/>
        <v>0</v>
      </c>
      <c r="H78" s="99">
        <f>G78+'24'!H78</f>
        <v>22</v>
      </c>
      <c r="I78" s="118"/>
      <c r="J78" s="175">
        <f>H78/DAY(B2)</f>
        <v>0.88</v>
      </c>
      <c r="K78" s="69"/>
      <c r="L78" s="66"/>
      <c r="N78" s="87"/>
      <c r="O78" s="71"/>
    </row>
    <row r="79" spans="1:15" s="57" customFormat="1" ht="27.75" x14ac:dyDescent="0.5">
      <c r="A79" s="862" t="s">
        <v>225</v>
      </c>
      <c r="B79" s="848"/>
      <c r="C79" s="849"/>
      <c r="D79" s="151"/>
      <c r="E79" s="95">
        <f>'24'!F79</f>
        <v>0</v>
      </c>
      <c r="F79" s="117"/>
      <c r="G79" s="112">
        <f>G15-SUM(G74:G78)</f>
        <v>389</v>
      </c>
      <c r="H79" s="99">
        <f>G79+'24'!H79</f>
        <v>12057</v>
      </c>
      <c r="I79" s="118"/>
      <c r="J79" s="175"/>
      <c r="K79" s="59"/>
      <c r="L79" s="58"/>
      <c r="N79" s="87"/>
      <c r="O79" s="71"/>
    </row>
    <row r="80" spans="1:15" s="57" customFormat="1" ht="29.25" x14ac:dyDescent="0.5">
      <c r="A80" s="815" t="s">
        <v>329</v>
      </c>
      <c r="B80" s="816"/>
      <c r="C80" s="817"/>
      <c r="D80" s="151"/>
      <c r="E80" s="117"/>
      <c r="F80" s="117"/>
      <c r="G80" s="112">
        <f>SUM(G74:G79)</f>
        <v>815</v>
      </c>
      <c r="H80" s="99"/>
      <c r="I80" s="118"/>
      <c r="J80" s="175"/>
      <c r="K80" s="59"/>
      <c r="L80" s="58"/>
      <c r="N80" s="87"/>
      <c r="O80" s="71"/>
    </row>
    <row r="81" spans="1:15" ht="27" x14ac:dyDescent="0.4">
      <c r="A81" s="854" t="s">
        <v>226</v>
      </c>
      <c r="B81" s="855"/>
      <c r="C81" s="856"/>
      <c r="D81" s="110"/>
      <c r="E81" s="110"/>
      <c r="F81" s="110"/>
      <c r="G81" s="163"/>
      <c r="H81" s="163"/>
      <c r="I81" s="163"/>
      <c r="J81" s="184"/>
      <c r="O81" s="71"/>
    </row>
    <row r="82" spans="1:15" ht="27.75" x14ac:dyDescent="0.5">
      <c r="A82" s="345" t="s">
        <v>227</v>
      </c>
      <c r="B82" s="346"/>
      <c r="C82" s="346"/>
      <c r="D82" s="151" t="s">
        <v>228</v>
      </c>
      <c r="E82" s="95">
        <f>'24'!F82</f>
        <v>0</v>
      </c>
      <c r="F82" s="122">
        <v>0</v>
      </c>
      <c r="G82" s="112">
        <f t="shared" ref="G82:G92" si="8">F82-E82</f>
        <v>0</v>
      </c>
      <c r="H82" s="99">
        <f>G82+'24'!H82</f>
        <v>0</v>
      </c>
      <c r="I82" s="118"/>
      <c r="J82" s="175">
        <f>H82/DAY(B2)</f>
        <v>0</v>
      </c>
      <c r="O82" s="71"/>
    </row>
    <row r="83" spans="1:15" ht="27.75" x14ac:dyDescent="0.5">
      <c r="A83" s="345" t="s">
        <v>229</v>
      </c>
      <c r="B83" s="346"/>
      <c r="C83" s="346"/>
      <c r="D83" s="151" t="s">
        <v>228</v>
      </c>
      <c r="E83" s="95">
        <f>'24'!F83</f>
        <v>0</v>
      </c>
      <c r="F83" s="122">
        <v>0</v>
      </c>
      <c r="G83" s="112">
        <f t="shared" si="8"/>
        <v>0</v>
      </c>
      <c r="H83" s="99">
        <f>G83+'24'!H83</f>
        <v>0</v>
      </c>
      <c r="I83" s="118"/>
      <c r="J83" s="175">
        <f>H83/DAY(B2)</f>
        <v>0</v>
      </c>
      <c r="O83" s="71"/>
    </row>
    <row r="84" spans="1:15" ht="27.75" x14ac:dyDescent="0.5">
      <c r="A84" s="345" t="s">
        <v>230</v>
      </c>
      <c r="B84" s="346"/>
      <c r="C84" s="346"/>
      <c r="D84" s="151" t="s">
        <v>228</v>
      </c>
      <c r="E84" s="95">
        <f>'24'!F84</f>
        <v>41675</v>
      </c>
      <c r="F84" s="164">
        <v>41675.4</v>
      </c>
      <c r="G84" s="112">
        <f t="shared" si="8"/>
        <v>0.40000000000145519</v>
      </c>
      <c r="H84" s="99">
        <f>G84+'24'!H84</f>
        <v>0.40000000000145519</v>
      </c>
      <c r="I84" s="118"/>
      <c r="J84" s="175">
        <f>H84/DAY(B2)</f>
        <v>1.6000000000058207E-2</v>
      </c>
      <c r="O84" s="71"/>
    </row>
    <row r="85" spans="1:15" ht="27.75" x14ac:dyDescent="0.5">
      <c r="A85" s="345" t="s">
        <v>231</v>
      </c>
      <c r="B85" s="346"/>
      <c r="C85" s="346"/>
      <c r="D85" s="151" t="s">
        <v>228</v>
      </c>
      <c r="E85" s="95">
        <f>'24'!F85</f>
        <v>2096.56</v>
      </c>
      <c r="F85" s="164">
        <v>2118</v>
      </c>
      <c r="G85" s="112">
        <f t="shared" si="8"/>
        <v>21.440000000000055</v>
      </c>
      <c r="H85" s="99">
        <f>G85+'24'!H85</f>
        <v>21.440000000000055</v>
      </c>
      <c r="I85" s="118">
        <f>G82+G83+G84+G85</f>
        <v>21.84000000000151</v>
      </c>
      <c r="J85" s="175">
        <f>H85/DAY(B2)</f>
        <v>0.85760000000000214</v>
      </c>
      <c r="O85" s="71"/>
    </row>
    <row r="86" spans="1:15" ht="27.75" x14ac:dyDescent="0.5">
      <c r="A86" s="345" t="s">
        <v>232</v>
      </c>
      <c r="B86" s="346"/>
      <c r="C86" s="346"/>
      <c r="D86" s="151" t="s">
        <v>228</v>
      </c>
      <c r="E86" s="95">
        <f>'24'!F86</f>
        <v>43442</v>
      </c>
      <c r="F86" s="164">
        <v>43442</v>
      </c>
      <c r="G86" s="112">
        <f t="shared" si="8"/>
        <v>0</v>
      </c>
      <c r="H86" s="99">
        <f>G86+'24'!H86</f>
        <v>579</v>
      </c>
      <c r="I86" s="118"/>
      <c r="J86" s="175">
        <f>H86/DAY(B2)</f>
        <v>23.16</v>
      </c>
      <c r="O86" s="71"/>
    </row>
    <row r="87" spans="1:15" ht="27.75" x14ac:dyDescent="0.5">
      <c r="A87" s="345" t="s">
        <v>233</v>
      </c>
      <c r="B87" s="346"/>
      <c r="C87" s="346"/>
      <c r="D87" s="151" t="s">
        <v>228</v>
      </c>
      <c r="E87" s="95">
        <f>'24'!F87</f>
        <v>34598.550000000003</v>
      </c>
      <c r="F87" s="164">
        <v>34598.550000000003</v>
      </c>
      <c r="G87" s="112">
        <f t="shared" si="8"/>
        <v>0</v>
      </c>
      <c r="H87" s="99">
        <f>G87+'24'!H87</f>
        <v>0</v>
      </c>
      <c r="I87" s="118"/>
      <c r="J87" s="175">
        <f>H87/DAY(B2)</f>
        <v>0</v>
      </c>
      <c r="O87" s="71"/>
    </row>
    <row r="88" spans="1:15" ht="27.75" x14ac:dyDescent="0.5">
      <c r="A88" s="345" t="s">
        <v>234</v>
      </c>
      <c r="B88" s="346"/>
      <c r="C88" s="346"/>
      <c r="D88" s="151" t="s">
        <v>228</v>
      </c>
      <c r="E88" s="95">
        <f>'24'!F88</f>
        <v>24063</v>
      </c>
      <c r="F88" s="164">
        <v>24063</v>
      </c>
      <c r="G88" s="112">
        <f t="shared" si="8"/>
        <v>0</v>
      </c>
      <c r="H88" s="99">
        <f>G88+'24'!H88</f>
        <v>16</v>
      </c>
      <c r="I88" s="118">
        <f>G86+G87+G88</f>
        <v>0</v>
      </c>
      <c r="J88" s="175">
        <f>H88/DAY(B2)</f>
        <v>0.64</v>
      </c>
      <c r="O88" s="71"/>
    </row>
    <row r="89" spans="1:15" ht="27.75" x14ac:dyDescent="0.5">
      <c r="A89" s="345" t="s">
        <v>235</v>
      </c>
      <c r="B89" s="346"/>
      <c r="C89" s="346"/>
      <c r="D89" s="151" t="s">
        <v>228</v>
      </c>
      <c r="E89" s="95">
        <f>'24'!F89</f>
        <v>25829</v>
      </c>
      <c r="F89" s="164">
        <v>25833.98</v>
      </c>
      <c r="G89" s="112">
        <f t="shared" si="8"/>
        <v>4.9799999999995634</v>
      </c>
      <c r="H89" s="99">
        <f>G89+'24'!H89</f>
        <v>170.97999999999956</v>
      </c>
      <c r="I89" s="118"/>
      <c r="J89" s="175">
        <f>H89/DAY(B2)</f>
        <v>6.8391999999999822</v>
      </c>
      <c r="O89" s="71"/>
    </row>
    <row r="90" spans="1:15" ht="27.75" x14ac:dyDescent="0.5">
      <c r="A90" s="345" t="s">
        <v>236</v>
      </c>
      <c r="B90" s="346"/>
      <c r="C90" s="346"/>
      <c r="D90" s="151" t="s">
        <v>228</v>
      </c>
      <c r="E90" s="95">
        <f>'24'!F90</f>
        <v>71146</v>
      </c>
      <c r="F90" s="164">
        <v>71150</v>
      </c>
      <c r="G90" s="112">
        <f t="shared" si="8"/>
        <v>4</v>
      </c>
      <c r="H90" s="99">
        <f>G90+'24'!H90</f>
        <v>116</v>
      </c>
      <c r="I90" s="118">
        <f>G89+G90</f>
        <v>8.9799999999995634</v>
      </c>
      <c r="J90" s="175">
        <f>H90/DAY(B2)</f>
        <v>4.6399999999999997</v>
      </c>
      <c r="O90" s="71"/>
    </row>
    <row r="91" spans="1:15" ht="27.75" x14ac:dyDescent="0.5">
      <c r="A91" s="345" t="s">
        <v>237</v>
      </c>
      <c r="B91" s="346"/>
      <c r="C91" s="346"/>
      <c r="D91" s="151" t="s">
        <v>228</v>
      </c>
      <c r="E91" s="95">
        <f>'24'!F91</f>
        <v>3226.32</v>
      </c>
      <c r="F91" s="122">
        <v>3226</v>
      </c>
      <c r="G91" s="112">
        <f t="shared" si="8"/>
        <v>-0.32000000000016371</v>
      </c>
      <c r="H91" s="99">
        <f>G91+'24'!H91</f>
        <v>-0.32000000000016371</v>
      </c>
      <c r="I91" s="165"/>
      <c r="J91" s="175">
        <f>H91/DAY(B2)</f>
        <v>-1.2800000000006549E-2</v>
      </c>
      <c r="O91" s="71"/>
    </row>
    <row r="92" spans="1:15" ht="27.75" x14ac:dyDescent="0.5">
      <c r="A92" s="345" t="s">
        <v>238</v>
      </c>
      <c r="B92" s="346"/>
      <c r="C92" s="346"/>
      <c r="D92" s="151" t="s">
        <v>228</v>
      </c>
      <c r="E92" s="95">
        <f>'24'!F92</f>
        <v>5689</v>
      </c>
      <c r="F92" s="122">
        <v>5699</v>
      </c>
      <c r="G92" s="112">
        <f t="shared" si="8"/>
        <v>10</v>
      </c>
      <c r="H92" s="99">
        <f>G92+'24'!H92</f>
        <v>261</v>
      </c>
      <c r="I92" s="165"/>
      <c r="J92" s="175">
        <f>H92/DAY(B2)</f>
        <v>10.44</v>
      </c>
      <c r="O92" s="71"/>
    </row>
    <row r="93" spans="1:15" ht="29.25" x14ac:dyDescent="0.5">
      <c r="A93" s="863" t="s">
        <v>239</v>
      </c>
      <c r="B93" s="864"/>
      <c r="C93" s="865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27.75" x14ac:dyDescent="0.5">
      <c r="A94" s="818" t="s">
        <v>240</v>
      </c>
      <c r="B94" s="819"/>
      <c r="C94" s="820"/>
      <c r="D94" s="151" t="s">
        <v>130</v>
      </c>
      <c r="E94" s="151"/>
      <c r="F94" s="151"/>
      <c r="G94" s="99">
        <f>G35+G43+G49+G57</f>
        <v>4098</v>
      </c>
      <c r="H94" s="99">
        <f>G94+'24'!H94</f>
        <v>128547.99999999999</v>
      </c>
      <c r="I94" s="118"/>
      <c r="J94" s="175">
        <f>H94/DAY(B2)</f>
        <v>5141.9199999999992</v>
      </c>
      <c r="K94" s="69"/>
      <c r="L94" s="66"/>
      <c r="O94" s="71"/>
    </row>
    <row r="95" spans="1:15" ht="27.75" x14ac:dyDescent="0.5">
      <c r="A95" s="818" t="s">
        <v>241</v>
      </c>
      <c r="B95" s="819"/>
      <c r="C95" s="820"/>
      <c r="D95" s="151" t="s">
        <v>23</v>
      </c>
      <c r="E95" s="146"/>
      <c r="F95" s="146"/>
      <c r="G95" s="166">
        <f>G94/G7</f>
        <v>0.25096454161308102</v>
      </c>
      <c r="H95" s="99">
        <f>G95+'24'!H95</f>
        <v>7.0802048271277274</v>
      </c>
      <c r="I95" s="167"/>
      <c r="J95" s="175">
        <f>H95/DAY(B2)</f>
        <v>0.28320819308510908</v>
      </c>
      <c r="K95" s="69"/>
      <c r="L95" s="66"/>
      <c r="O95" s="71"/>
    </row>
    <row r="96" spans="1:15" ht="27.75" x14ac:dyDescent="0.5">
      <c r="A96" s="818" t="s">
        <v>242</v>
      </c>
      <c r="B96" s="819"/>
      <c r="C96" s="820"/>
      <c r="D96" s="151" t="s">
        <v>130</v>
      </c>
      <c r="E96" s="95"/>
      <c r="F96" s="95"/>
      <c r="G96" s="99">
        <f>G41+G42+G55+G56</f>
        <v>3028.3999999999942</v>
      </c>
      <c r="H96" s="99">
        <f>G96+'24'!H96</f>
        <v>73883</v>
      </c>
      <c r="I96" s="118"/>
      <c r="J96" s="175">
        <f>H96/DAY(B2)</f>
        <v>2955.32</v>
      </c>
      <c r="K96" s="69"/>
      <c r="L96" s="66"/>
      <c r="O96" s="71"/>
    </row>
    <row r="97" spans="1:15" ht="27.75" x14ac:dyDescent="0.5">
      <c r="A97" s="818" t="s">
        <v>243</v>
      </c>
      <c r="B97" s="819"/>
      <c r="C97" s="820"/>
      <c r="D97" s="151" t="s">
        <v>23</v>
      </c>
      <c r="E97" s="95"/>
      <c r="F97" s="95"/>
      <c r="G97" s="166">
        <f>G96/G7</f>
        <v>0.18546144895584507</v>
      </c>
      <c r="H97" s="99">
        <f>G97+'24'!H97</f>
        <v>4.0879871218155133</v>
      </c>
      <c r="I97" s="167"/>
      <c r="J97" s="175">
        <f>H97/DAY(B2)</f>
        <v>0.16351948487262052</v>
      </c>
      <c r="K97" s="69"/>
      <c r="L97" s="66"/>
      <c r="O97" s="71"/>
    </row>
    <row r="98" spans="1:15" ht="27.75" x14ac:dyDescent="0.5">
      <c r="A98" s="818" t="s">
        <v>244</v>
      </c>
      <c r="B98" s="819"/>
      <c r="C98" s="820"/>
      <c r="D98" s="151" t="s">
        <v>130</v>
      </c>
      <c r="E98" s="95"/>
      <c r="F98" s="95"/>
      <c r="G98" s="99">
        <f>G39+G53</f>
        <v>2591</v>
      </c>
      <c r="H98" s="99">
        <f>G98+'24'!H98</f>
        <v>65211</v>
      </c>
      <c r="I98" s="168"/>
      <c r="J98" s="175">
        <f>H98/DAY(B2)</f>
        <v>2608.44</v>
      </c>
      <c r="K98" s="69"/>
      <c r="L98" s="66"/>
      <c r="O98" s="71"/>
    </row>
    <row r="99" spans="1:15" ht="27.75" x14ac:dyDescent="0.5">
      <c r="A99" s="818" t="s">
        <v>245</v>
      </c>
      <c r="B99" s="819"/>
      <c r="C99" s="820"/>
      <c r="D99" s="151" t="s">
        <v>23</v>
      </c>
      <c r="E99" s="95"/>
      <c r="F99" s="95"/>
      <c r="G99" s="166">
        <f>G98/G7</f>
        <v>0.15867475044399534</v>
      </c>
      <c r="H99" s="99">
        <f>G99+'24'!H99</f>
        <v>3.6108932147959107</v>
      </c>
      <c r="I99" s="168"/>
      <c r="J99" s="175">
        <f>H99/DAY(B2)</f>
        <v>0.14443572859183643</v>
      </c>
      <c r="O99" s="71"/>
    </row>
    <row r="100" spans="1:15" ht="27.75" x14ac:dyDescent="0.5">
      <c r="A100" s="818" t="s">
        <v>246</v>
      </c>
      <c r="B100" s="819"/>
      <c r="C100" s="820"/>
      <c r="D100" s="151" t="s">
        <v>180</v>
      </c>
      <c r="E100" s="95"/>
      <c r="F100" s="95"/>
      <c r="G100" s="99">
        <f>G38+G52</f>
        <v>1761</v>
      </c>
      <c r="H100" s="99">
        <f>G100+'24'!H100</f>
        <v>41279.000000000007</v>
      </c>
      <c r="I100" s="118"/>
      <c r="J100" s="175">
        <f>H100/DAY(B2)</f>
        <v>1651.1600000000003</v>
      </c>
      <c r="K100" s="70"/>
      <c r="O100" s="71"/>
    </row>
    <row r="101" spans="1:15" ht="27.75" x14ac:dyDescent="0.5">
      <c r="A101" s="818" t="s">
        <v>247</v>
      </c>
      <c r="B101" s="819"/>
      <c r="C101" s="820"/>
      <c r="D101" s="151" t="s">
        <v>23</v>
      </c>
      <c r="E101" s="95"/>
      <c r="F101" s="95"/>
      <c r="G101" s="166">
        <f>G100/G7</f>
        <v>0.10784493845305898</v>
      </c>
      <c r="H101" s="99">
        <f>G101+'24'!H101</f>
        <v>2.2878248415966129</v>
      </c>
      <c r="I101" s="168"/>
      <c r="J101" s="175">
        <f>H101/DAY(B2)</f>
        <v>9.151299366386452E-2</v>
      </c>
      <c r="O101" s="71"/>
    </row>
    <row r="102" spans="1:15" ht="27.75" x14ac:dyDescent="0.5">
      <c r="A102" s="818" t="s">
        <v>248</v>
      </c>
      <c r="B102" s="819"/>
      <c r="C102" s="820"/>
      <c r="D102" s="151" t="s">
        <v>180</v>
      </c>
      <c r="E102" s="95"/>
      <c r="F102" s="95"/>
      <c r="G102" s="99">
        <f>G36+G50</f>
        <v>1611</v>
      </c>
      <c r="H102" s="99">
        <f>G102+'24'!H102</f>
        <v>43323</v>
      </c>
      <c r="I102" s="168"/>
      <c r="J102" s="175">
        <f>H102/DAY(B2)</f>
        <v>1732.92</v>
      </c>
      <c r="O102" s="71"/>
    </row>
    <row r="103" spans="1:15" ht="27.75" x14ac:dyDescent="0.5">
      <c r="A103" s="818" t="s">
        <v>249</v>
      </c>
      <c r="B103" s="819"/>
      <c r="C103" s="820"/>
      <c r="D103" s="151" t="s">
        <v>23</v>
      </c>
      <c r="E103" s="95"/>
      <c r="F103" s="95"/>
      <c r="G103" s="166">
        <f>G102/G7</f>
        <v>9.8658827852287342E-2</v>
      </c>
      <c r="H103" s="99">
        <f>G103+'24'!H103</f>
        <v>2.3854533032087679</v>
      </c>
      <c r="I103" s="118"/>
      <c r="J103" s="175">
        <f>H103/DAY(B2)</f>
        <v>9.5418132128350722E-2</v>
      </c>
      <c r="O103" s="71"/>
    </row>
    <row r="104" spans="1:15" ht="27.75" x14ac:dyDescent="0.5">
      <c r="A104" s="818" t="s">
        <v>250</v>
      </c>
      <c r="B104" s="819"/>
      <c r="C104" s="820"/>
      <c r="D104" s="151" t="s">
        <v>180</v>
      </c>
      <c r="E104" s="95"/>
      <c r="F104" s="95"/>
      <c r="G104" s="99">
        <f>G37+G51</f>
        <v>1608</v>
      </c>
      <c r="H104" s="99">
        <f>G104+'24'!H104</f>
        <v>38208</v>
      </c>
      <c r="I104" s="118"/>
      <c r="J104" s="175">
        <f>H104/DAY(B2)</f>
        <v>1528.32</v>
      </c>
      <c r="O104" s="71"/>
    </row>
    <row r="105" spans="1:15" ht="28.5" thickBot="1" x14ac:dyDescent="0.55000000000000004">
      <c r="A105" s="858" t="s">
        <v>251</v>
      </c>
      <c r="B105" s="859"/>
      <c r="C105" s="860"/>
      <c r="D105" s="231" t="s">
        <v>23</v>
      </c>
      <c r="E105" s="185"/>
      <c r="F105" s="185"/>
      <c r="G105" s="186">
        <f>G104/G7</f>
        <v>9.8475105640271912E-2</v>
      </c>
      <c r="H105" s="99">
        <f>G105+'24'!H105</f>
        <v>2.1194056930452168</v>
      </c>
      <c r="I105" s="187"/>
      <c r="J105" s="188">
        <f>H105/DAY(B2)</f>
        <v>8.4776227721808664E-2</v>
      </c>
      <c r="O105" s="71"/>
    </row>
    <row r="106" spans="1:15" ht="29.25" x14ac:dyDescent="0.5">
      <c r="A106" s="105"/>
      <c r="B106" s="96"/>
      <c r="C106" s="96"/>
      <c r="D106" s="169"/>
      <c r="E106" s="169"/>
      <c r="F106" s="169"/>
      <c r="G106" s="169"/>
      <c r="H106" s="170"/>
      <c r="I106" s="169"/>
      <c r="J106" s="171"/>
      <c r="O106" s="71"/>
    </row>
    <row r="107" spans="1:15" ht="29.25" x14ac:dyDescent="0.5"/>
    <row r="108" spans="1:15" ht="31.5" x14ac:dyDescent="0.55000000000000004">
      <c r="A108" s="872" t="s">
        <v>324</v>
      </c>
      <c r="B108" s="872"/>
      <c r="C108" s="872"/>
      <c r="D108" s="872"/>
      <c r="E108" s="872"/>
      <c r="F108" s="872"/>
      <c r="G108" s="872"/>
      <c r="H108" s="872"/>
      <c r="I108" s="872"/>
      <c r="J108" s="872"/>
    </row>
    <row r="109" spans="1:15" ht="29.25" x14ac:dyDescent="0.5">
      <c r="A109" s="857"/>
      <c r="B109" s="857"/>
    </row>
    <row r="110" spans="1:15" ht="29.25" x14ac:dyDescent="0.5">
      <c r="A110" s="873" t="s">
        <v>165</v>
      </c>
      <c r="B110" s="874"/>
      <c r="C110" s="874"/>
      <c r="D110" s="874"/>
      <c r="E110" s="874"/>
      <c r="F110" s="874"/>
      <c r="G110" s="874"/>
      <c r="H110" s="874"/>
      <c r="I110" s="874"/>
      <c r="J110" s="875"/>
    </row>
    <row r="111" spans="1:15" ht="27.75" x14ac:dyDescent="0.5">
      <c r="A111" s="876"/>
      <c r="B111" s="877"/>
      <c r="C111" s="878"/>
      <c r="D111" s="165"/>
      <c r="E111" s="165"/>
      <c r="F111" s="165"/>
      <c r="G111" s="165"/>
      <c r="H111" s="156"/>
      <c r="I111" s="165"/>
      <c r="J111" s="327"/>
    </row>
    <row r="112" spans="1:15" ht="27.75" x14ac:dyDescent="0.5">
      <c r="A112" s="851" t="s">
        <v>252</v>
      </c>
      <c r="B112" s="852"/>
      <c r="C112" s="853"/>
      <c r="D112" s="146" t="s">
        <v>183</v>
      </c>
      <c r="E112" s="95">
        <f>'24'!F112</f>
        <v>57510</v>
      </c>
      <c r="F112" s="237">
        <v>57588</v>
      </c>
      <c r="G112" s="112">
        <f t="shared" ref="G112:G123" si="9">F112-E112</f>
        <v>78</v>
      </c>
      <c r="H112" s="99">
        <f>G112+'24'!H112</f>
        <v>1907</v>
      </c>
      <c r="I112" s="165"/>
      <c r="J112" s="328">
        <f>H112/DAY(B2)</f>
        <v>76.28</v>
      </c>
    </row>
    <row r="113" spans="1:18" ht="29.25" customHeight="1" x14ac:dyDescent="0.5">
      <c r="A113" s="851" t="s">
        <v>253</v>
      </c>
      <c r="B113" s="852"/>
      <c r="C113" s="853"/>
      <c r="D113" s="146" t="s">
        <v>183</v>
      </c>
      <c r="E113" s="95">
        <f>'24'!F113</f>
        <v>43154</v>
      </c>
      <c r="F113" s="237">
        <v>43624</v>
      </c>
      <c r="G113" s="112">
        <f t="shared" si="9"/>
        <v>470</v>
      </c>
      <c r="H113" s="99">
        <f>G113+'24'!H113</f>
        <v>11429</v>
      </c>
      <c r="I113" s="165"/>
      <c r="J113" s="328">
        <f>H113/DAY(B2)</f>
        <v>457.16</v>
      </c>
    </row>
    <row r="114" spans="1:18" ht="29.25" customHeight="1" x14ac:dyDescent="0.5">
      <c r="A114" s="851" t="s">
        <v>254</v>
      </c>
      <c r="B114" s="852"/>
      <c r="C114" s="853"/>
      <c r="D114" s="146" t="s">
        <v>183</v>
      </c>
      <c r="E114" s="95">
        <f>'24'!F114</f>
        <v>31346</v>
      </c>
      <c r="F114" s="237">
        <v>31608</v>
      </c>
      <c r="G114" s="112">
        <f t="shared" si="9"/>
        <v>262</v>
      </c>
      <c r="H114" s="99">
        <f>G114+'24'!H114</f>
        <v>6603.4</v>
      </c>
      <c r="I114" s="165"/>
      <c r="J114" s="328">
        <f>H114/DAY(B2)</f>
        <v>264.13599999999997</v>
      </c>
    </row>
    <row r="115" spans="1:18" ht="29.25" customHeight="1" x14ac:dyDescent="0.5">
      <c r="A115" s="851" t="s">
        <v>255</v>
      </c>
      <c r="B115" s="852"/>
      <c r="C115" s="853"/>
      <c r="D115" s="146" t="s">
        <v>183</v>
      </c>
      <c r="E115" s="95">
        <f>'24'!F115</f>
        <v>9029</v>
      </c>
      <c r="F115" s="237">
        <v>9038</v>
      </c>
      <c r="G115" s="112">
        <f t="shared" si="9"/>
        <v>9</v>
      </c>
      <c r="H115" s="99">
        <f>G115+'24'!H115</f>
        <v>253</v>
      </c>
      <c r="I115" s="165"/>
      <c r="J115" s="328">
        <f>H115/DAY(B2)</f>
        <v>10.119999999999999</v>
      </c>
    </row>
    <row r="116" spans="1:18" ht="29.25" customHeight="1" x14ac:dyDescent="0.5">
      <c r="A116" s="869" t="s">
        <v>96</v>
      </c>
      <c r="B116" s="870"/>
      <c r="C116" s="871"/>
      <c r="D116" s="146" t="s">
        <v>183</v>
      </c>
      <c r="E116" s="95">
        <f>'24'!F116</f>
        <v>0</v>
      </c>
      <c r="F116" s="237">
        <v>0</v>
      </c>
      <c r="G116" s="112">
        <f t="shared" si="9"/>
        <v>0</v>
      </c>
      <c r="H116" s="99">
        <f>G116+'24'!H116</f>
        <v>0</v>
      </c>
      <c r="I116" s="165"/>
      <c r="J116" s="328">
        <f>H116/DAY(B2)</f>
        <v>0</v>
      </c>
      <c r="Q116" s="851"/>
      <c r="R116" s="853"/>
    </row>
    <row r="117" spans="1:18" ht="29.25" customHeight="1" x14ac:dyDescent="0.5">
      <c r="A117" s="869" t="s">
        <v>184</v>
      </c>
      <c r="B117" s="870"/>
      <c r="C117" s="871"/>
      <c r="D117" s="146" t="s">
        <v>183</v>
      </c>
      <c r="E117" s="95">
        <f>'24'!F117</f>
        <v>3161</v>
      </c>
      <c r="F117" s="237">
        <v>3184</v>
      </c>
      <c r="G117" s="112">
        <f t="shared" si="9"/>
        <v>23</v>
      </c>
      <c r="H117" s="99">
        <f>G117+'24'!H117</f>
        <v>594</v>
      </c>
      <c r="I117" s="165"/>
      <c r="J117" s="328">
        <f>H117/DAY(B2)</f>
        <v>23.76</v>
      </c>
      <c r="Q117" s="851"/>
      <c r="R117" s="853"/>
    </row>
    <row r="118" spans="1:18" ht="27.75" x14ac:dyDescent="0.5">
      <c r="A118" s="846" t="s">
        <v>97</v>
      </c>
      <c r="B118" s="846"/>
      <c r="C118" s="846"/>
      <c r="D118" s="151" t="s">
        <v>183</v>
      </c>
      <c r="E118" s="95">
        <f>'24'!F118</f>
        <v>250107</v>
      </c>
      <c r="F118" s="237">
        <v>250445</v>
      </c>
      <c r="G118" s="112">
        <f t="shared" si="9"/>
        <v>338</v>
      </c>
      <c r="H118" s="99">
        <f>G118+'24'!H118</f>
        <v>8798</v>
      </c>
      <c r="I118" s="165"/>
      <c r="J118" s="328">
        <f>H118/DAY(B2)</f>
        <v>351.92</v>
      </c>
      <c r="Q118" s="851"/>
      <c r="R118" s="853"/>
    </row>
    <row r="119" spans="1:18" ht="27.75" x14ac:dyDescent="0.5">
      <c r="A119" s="846" t="s">
        <v>98</v>
      </c>
      <c r="B119" s="846"/>
      <c r="C119" s="846"/>
      <c r="D119" s="151" t="s">
        <v>183</v>
      </c>
      <c r="E119" s="95">
        <f>'24'!F119</f>
        <v>255232</v>
      </c>
      <c r="F119" s="237">
        <v>255651</v>
      </c>
      <c r="G119" s="112">
        <f t="shared" si="9"/>
        <v>419</v>
      </c>
      <c r="H119" s="99">
        <f>G119+'24'!H119</f>
        <v>10525</v>
      </c>
      <c r="I119" s="165"/>
      <c r="J119" s="328">
        <f>H119/DAY(B2)</f>
        <v>421</v>
      </c>
    </row>
    <row r="120" spans="1:18" ht="27.75" x14ac:dyDescent="0.5">
      <c r="A120" s="846" t="s">
        <v>99</v>
      </c>
      <c r="B120" s="846"/>
      <c r="C120" s="846"/>
      <c r="D120" s="151" t="s">
        <v>183</v>
      </c>
      <c r="E120" s="95">
        <f>'24'!F120</f>
        <v>40045.769999999997</v>
      </c>
      <c r="F120" s="237">
        <v>40452</v>
      </c>
      <c r="G120" s="112">
        <f t="shared" si="9"/>
        <v>406.2300000000032</v>
      </c>
      <c r="H120" s="99">
        <f>G120+'24'!H120</f>
        <v>10374</v>
      </c>
      <c r="I120" s="165"/>
      <c r="J120" s="328">
        <f>H120/DAY(B2)</f>
        <v>414.96</v>
      </c>
    </row>
    <row r="121" spans="1:18" ht="27.75" x14ac:dyDescent="0.5">
      <c r="A121" s="846" t="s">
        <v>100</v>
      </c>
      <c r="B121" s="846"/>
      <c r="C121" s="846"/>
      <c r="D121" s="151" t="s">
        <v>183</v>
      </c>
      <c r="E121" s="95">
        <f>'24'!F121</f>
        <v>393054</v>
      </c>
      <c r="F121" s="237">
        <v>393764</v>
      </c>
      <c r="G121" s="112">
        <f t="shared" si="9"/>
        <v>710</v>
      </c>
      <c r="H121" s="99">
        <f>G121+'24'!H121</f>
        <v>17235</v>
      </c>
      <c r="I121" s="165"/>
      <c r="J121" s="328">
        <f>H121/DAY(B2)</f>
        <v>689.4</v>
      </c>
    </row>
    <row r="122" spans="1:18" ht="27.75" x14ac:dyDescent="0.5">
      <c r="A122" s="846" t="s">
        <v>101</v>
      </c>
      <c r="B122" s="846"/>
      <c r="C122" s="846"/>
      <c r="D122" s="151" t="s">
        <v>183</v>
      </c>
      <c r="E122" s="95">
        <f>'24'!F122</f>
        <v>124853</v>
      </c>
      <c r="F122" s="237">
        <v>125032</v>
      </c>
      <c r="G122" s="112">
        <f t="shared" si="9"/>
        <v>179</v>
      </c>
      <c r="H122" s="99">
        <f>G122+'24'!H122</f>
        <v>4982</v>
      </c>
      <c r="I122" s="165"/>
      <c r="J122" s="328">
        <f>H122/DAY(B2)</f>
        <v>199.28</v>
      </c>
    </row>
    <row r="123" spans="1:18" ht="27.75" x14ac:dyDescent="0.5">
      <c r="A123" s="846" t="s">
        <v>102</v>
      </c>
      <c r="B123" s="846"/>
      <c r="C123" s="846"/>
      <c r="D123" s="151" t="s">
        <v>183</v>
      </c>
      <c r="E123" s="95">
        <f>'24'!F123</f>
        <v>152131</v>
      </c>
      <c r="F123" s="237">
        <v>152394</v>
      </c>
      <c r="G123" s="112">
        <f t="shared" si="9"/>
        <v>263</v>
      </c>
      <c r="H123" s="99">
        <f>G123+'24'!H123</f>
        <v>7269</v>
      </c>
      <c r="I123" s="165"/>
      <c r="J123" s="328">
        <f>H123/DAY(B2)</f>
        <v>290.76</v>
      </c>
    </row>
    <row r="124" spans="1:18" ht="29.25" customHeight="1" x14ac:dyDescent="0.5">
      <c r="A124" s="876"/>
      <c r="B124" s="877"/>
      <c r="C124" s="878"/>
      <c r="D124" s="165"/>
      <c r="E124" s="165"/>
      <c r="F124" s="165"/>
      <c r="G124" s="327"/>
      <c r="H124" s="156"/>
      <c r="I124" s="165"/>
      <c r="J124" s="327"/>
    </row>
    <row r="125" spans="1:18" ht="27.75" x14ac:dyDescent="0.5">
      <c r="A125" s="879" t="s">
        <v>196</v>
      </c>
      <c r="B125" s="880"/>
      <c r="C125" s="245"/>
      <c r="D125" s="307"/>
      <c r="E125" s="308"/>
      <c r="F125" s="308"/>
      <c r="G125" s="309">
        <f>SUM(G112:G124)</f>
        <v>3157.2300000000032</v>
      </c>
      <c r="H125" s="156"/>
      <c r="I125" s="327">
        <f>G125-(G39+G53)</f>
        <v>566.2300000000032</v>
      </c>
      <c r="J125" s="327"/>
    </row>
    <row r="126" spans="1:18" ht="27.75" x14ac:dyDescent="0.5">
      <c r="A126" s="881" t="s">
        <v>317</v>
      </c>
      <c r="B126" s="881"/>
      <c r="C126" s="881"/>
      <c r="D126" s="881"/>
      <c r="E126" s="881"/>
      <c r="F126" s="881"/>
      <c r="G126" s="881"/>
      <c r="H126" s="881"/>
      <c r="I126" s="881"/>
      <c r="J126" s="881"/>
    </row>
    <row r="127" spans="1:18" ht="27.75" x14ac:dyDescent="0.5">
      <c r="A127" s="882"/>
      <c r="B127" s="882"/>
      <c r="C127" s="245"/>
      <c r="D127" s="307"/>
      <c r="E127" s="308"/>
      <c r="F127" s="308"/>
      <c r="G127" s="309"/>
      <c r="H127" s="99">
        <f>G127+'24'!H127</f>
        <v>0</v>
      </c>
      <c r="I127" s="165"/>
      <c r="J127" s="328">
        <f>H127/DAY(B2)</f>
        <v>0</v>
      </c>
    </row>
    <row r="128" spans="1:18" ht="29.25" customHeight="1" x14ac:dyDescent="0.5">
      <c r="A128" s="851" t="s">
        <v>318</v>
      </c>
      <c r="B128" s="852"/>
      <c r="C128" s="853"/>
      <c r="D128" s="151" t="s">
        <v>183</v>
      </c>
      <c r="E128" s="95">
        <f>'24'!F128</f>
        <v>45611</v>
      </c>
      <c r="F128" s="155">
        <v>45920</v>
      </c>
      <c r="G128" s="112">
        <f t="shared" ref="G128:G134" si="10">F128-E128</f>
        <v>309</v>
      </c>
      <c r="H128" s="99">
        <f>G128+'24'!H128</f>
        <v>7916</v>
      </c>
      <c r="I128" s="165"/>
      <c r="J128" s="328">
        <f>H128/DAY(B2)</f>
        <v>316.64</v>
      </c>
    </row>
    <row r="129" spans="1:15" ht="27.75" x14ac:dyDescent="0.5">
      <c r="A129" s="329" t="s">
        <v>319</v>
      </c>
      <c r="B129" s="330"/>
      <c r="C129" s="331"/>
      <c r="D129" s="151" t="s">
        <v>183</v>
      </c>
      <c r="E129" s="95">
        <f>'24'!F129</f>
        <v>25528</v>
      </c>
      <c r="F129" s="155">
        <v>25739</v>
      </c>
      <c r="G129" s="112">
        <f t="shared" si="10"/>
        <v>211</v>
      </c>
      <c r="H129" s="99">
        <f>G129+'24'!H129</f>
        <v>5418</v>
      </c>
      <c r="I129" s="165"/>
      <c r="J129" s="328">
        <f>H129/DAY(B2)</f>
        <v>216.72</v>
      </c>
      <c r="N129" s="240"/>
      <c r="O129" s="241"/>
    </row>
    <row r="130" spans="1:15" ht="27.75" x14ac:dyDescent="0.5">
      <c r="A130" s="329" t="s">
        <v>320</v>
      </c>
      <c r="B130" s="330"/>
      <c r="C130" s="331"/>
      <c r="D130" s="151" t="s">
        <v>183</v>
      </c>
      <c r="E130" s="95">
        <f>'24'!F130</f>
        <v>32314</v>
      </c>
      <c r="F130" s="155">
        <v>32848</v>
      </c>
      <c r="G130" s="112">
        <f t="shared" si="10"/>
        <v>534</v>
      </c>
      <c r="H130" s="99">
        <f>G130+'24'!H130</f>
        <v>14466</v>
      </c>
      <c r="I130" s="165"/>
      <c r="J130" s="328">
        <f>H130/DAY(B2)</f>
        <v>578.64</v>
      </c>
      <c r="N130" s="240"/>
      <c r="O130" s="241"/>
    </row>
    <row r="131" spans="1:15" ht="27.75" x14ac:dyDescent="0.5">
      <c r="A131" s="851" t="s">
        <v>321</v>
      </c>
      <c r="B131" s="852"/>
      <c r="C131" s="853"/>
      <c r="D131" s="151" t="s">
        <v>183</v>
      </c>
      <c r="E131" s="95">
        <f>'24'!F131</f>
        <v>14903</v>
      </c>
      <c r="F131" s="155">
        <v>14961</v>
      </c>
      <c r="G131" s="112">
        <f t="shared" si="10"/>
        <v>58</v>
      </c>
      <c r="H131" s="99">
        <f>G131+'24'!H131</f>
        <v>1808</v>
      </c>
      <c r="I131" s="165"/>
      <c r="J131" s="328">
        <f>H131/DAY(B2)</f>
        <v>72.319999999999993</v>
      </c>
      <c r="N131" s="240"/>
      <c r="O131" s="241"/>
    </row>
    <row r="132" spans="1:15" ht="27.75" x14ac:dyDescent="0.5">
      <c r="A132" s="851" t="s">
        <v>322</v>
      </c>
      <c r="B132" s="852"/>
      <c r="C132" s="853"/>
      <c r="D132" s="151" t="s">
        <v>183</v>
      </c>
      <c r="E132" s="95">
        <f>'24'!F132</f>
        <v>50682</v>
      </c>
      <c r="F132" s="155">
        <v>50849</v>
      </c>
      <c r="G132" s="112">
        <f t="shared" si="10"/>
        <v>167</v>
      </c>
      <c r="H132" s="99">
        <f>G132+'24'!H132</f>
        <v>9826</v>
      </c>
      <c r="I132" s="165"/>
      <c r="J132" s="328">
        <f>H132/DAY(B2)</f>
        <v>393.04</v>
      </c>
    </row>
    <row r="133" spans="1:15" ht="27.75" x14ac:dyDescent="0.5">
      <c r="A133" s="851" t="s">
        <v>362</v>
      </c>
      <c r="B133" s="852"/>
      <c r="C133" s="853"/>
      <c r="D133" s="151" t="s">
        <v>183</v>
      </c>
      <c r="E133" s="95">
        <f>'24'!F133</f>
        <v>102315</v>
      </c>
      <c r="F133" s="155">
        <v>102712</v>
      </c>
      <c r="G133" s="112">
        <f t="shared" si="10"/>
        <v>397</v>
      </c>
      <c r="H133" s="99">
        <f>G133+'24'!H133</f>
        <v>15009</v>
      </c>
      <c r="I133" s="165"/>
      <c r="J133" s="328">
        <f>H133/DAY(B2)</f>
        <v>600.36</v>
      </c>
    </row>
    <row r="134" spans="1:15" ht="27.75" x14ac:dyDescent="0.5">
      <c r="A134" s="851" t="s">
        <v>340</v>
      </c>
      <c r="B134" s="852"/>
      <c r="C134" s="853"/>
      <c r="D134" s="151" t="s">
        <v>183</v>
      </c>
      <c r="E134" s="95">
        <f>'24'!F134</f>
        <v>7550</v>
      </c>
      <c r="F134" s="554">
        <v>7700</v>
      </c>
      <c r="G134" s="112">
        <f t="shared" si="10"/>
        <v>150</v>
      </c>
      <c r="H134" s="99">
        <f>G134+'24'!H134</f>
        <v>9993.9999999999982</v>
      </c>
      <c r="I134" s="165"/>
      <c r="J134" s="328">
        <f>H134/DAY(B2)</f>
        <v>399.75999999999993</v>
      </c>
    </row>
    <row r="135" spans="1:15" ht="27.75" x14ac:dyDescent="0.5">
      <c r="A135" s="879" t="s">
        <v>196</v>
      </c>
      <c r="B135" s="880"/>
      <c r="C135" s="331"/>
      <c r="D135" s="151"/>
      <c r="E135" s="95"/>
      <c r="F135" s="165"/>
      <c r="G135" s="112">
        <f>SUM(G128:G134)</f>
        <v>1826</v>
      </c>
      <c r="H135" s="99">
        <f>G135+'23'!H135</f>
        <v>35186.169999999984</v>
      </c>
      <c r="I135" s="327">
        <f>G135-(G35+G49)</f>
        <v>-314</v>
      </c>
      <c r="J135" s="328"/>
    </row>
    <row r="136" spans="1:15" ht="31.5" x14ac:dyDescent="0.55000000000000004">
      <c r="A136" s="883" t="s">
        <v>325</v>
      </c>
      <c r="B136" s="883"/>
      <c r="C136" s="883"/>
      <c r="D136" s="883"/>
      <c r="E136" s="883"/>
      <c r="F136" s="883"/>
      <c r="G136" s="883"/>
      <c r="H136" s="883"/>
      <c r="I136" s="883"/>
      <c r="J136" s="883"/>
    </row>
    <row r="137" spans="1:15" ht="29.25" x14ac:dyDescent="0.5">
      <c r="A137" s="245"/>
      <c r="B137" s="246"/>
      <c r="C137" s="246"/>
      <c r="D137" s="165"/>
      <c r="E137" s="165"/>
      <c r="F137" s="165"/>
      <c r="G137" s="165"/>
      <c r="H137" s="156"/>
      <c r="I137" s="165"/>
      <c r="J137" s="327"/>
    </row>
    <row r="138" spans="1:15" ht="27.75" x14ac:dyDescent="0.5">
      <c r="A138" s="846" t="s">
        <v>185</v>
      </c>
      <c r="B138" s="846"/>
      <c r="C138" s="846"/>
      <c r="D138" s="151" t="s">
        <v>183</v>
      </c>
      <c r="E138" s="95">
        <f>'24'!F138</f>
        <v>865753</v>
      </c>
      <c r="F138" s="147">
        <v>865829</v>
      </c>
      <c r="G138" s="112">
        <f t="shared" ref="G138:G152" si="11">F138-E138</f>
        <v>76</v>
      </c>
      <c r="H138" s="99">
        <f>G138+'24'!H138</f>
        <v>1658</v>
      </c>
      <c r="I138" s="118"/>
      <c r="J138" s="328">
        <f>H138/DAY(B2)</f>
        <v>66.319999999999993</v>
      </c>
    </row>
    <row r="139" spans="1:15" ht="27.75" x14ac:dyDescent="0.5">
      <c r="A139" s="846" t="s">
        <v>186</v>
      </c>
      <c r="B139" s="846"/>
      <c r="C139" s="846"/>
      <c r="D139" s="151" t="s">
        <v>183</v>
      </c>
      <c r="E139" s="95">
        <f>'24'!F139</f>
        <v>886568</v>
      </c>
      <c r="F139" s="148">
        <v>886569</v>
      </c>
      <c r="G139" s="112">
        <f t="shared" si="11"/>
        <v>1</v>
      </c>
      <c r="H139" s="99">
        <f>G139+'24'!H139</f>
        <v>23</v>
      </c>
      <c r="I139" s="118"/>
      <c r="J139" s="328">
        <f>H139/DAY(B2)</f>
        <v>0.92</v>
      </c>
    </row>
    <row r="140" spans="1:15" ht="27.75" x14ac:dyDescent="0.5">
      <c r="A140" s="846" t="s">
        <v>187</v>
      </c>
      <c r="B140" s="846"/>
      <c r="C140" s="846"/>
      <c r="D140" s="151" t="s">
        <v>183</v>
      </c>
      <c r="E140" s="95">
        <f>'24'!F140</f>
        <v>88922</v>
      </c>
      <c r="F140" s="149">
        <v>88922</v>
      </c>
      <c r="G140" s="112">
        <f t="shared" si="11"/>
        <v>0</v>
      </c>
      <c r="H140" s="99">
        <f>G140+'24'!H140</f>
        <v>40</v>
      </c>
      <c r="I140" s="118"/>
      <c r="J140" s="328">
        <f>H140/DAY(B2)</f>
        <v>1.6</v>
      </c>
    </row>
    <row r="141" spans="1:15" ht="27.75" x14ac:dyDescent="0.5">
      <c r="A141" s="850" t="s">
        <v>188</v>
      </c>
      <c r="B141" s="850"/>
      <c r="C141" s="850"/>
      <c r="D141" s="151" t="s">
        <v>183</v>
      </c>
      <c r="E141" s="95">
        <f>'24'!F141</f>
        <v>53475</v>
      </c>
      <c r="F141" s="149">
        <v>53648</v>
      </c>
      <c r="G141" s="112">
        <f t="shared" si="11"/>
        <v>173</v>
      </c>
      <c r="H141" s="99">
        <f>G141+'24'!H141</f>
        <v>4342</v>
      </c>
      <c r="I141" s="118"/>
      <c r="J141" s="328">
        <f>H141/DAY(B2)</f>
        <v>173.68</v>
      </c>
    </row>
    <row r="142" spans="1:15" ht="27.75" x14ac:dyDescent="0.5">
      <c r="A142" s="850" t="s">
        <v>189</v>
      </c>
      <c r="B142" s="850"/>
      <c r="C142" s="850"/>
      <c r="D142" s="151" t="s">
        <v>183</v>
      </c>
      <c r="E142" s="95">
        <f>'24'!F142</f>
        <v>20742</v>
      </c>
      <c r="F142" s="148">
        <v>20807</v>
      </c>
      <c r="G142" s="112">
        <f t="shared" si="11"/>
        <v>65</v>
      </c>
      <c r="H142" s="99">
        <f>G142+'24'!H142</f>
        <v>1798</v>
      </c>
      <c r="I142" s="140"/>
      <c r="J142" s="328">
        <f>H142/DAY(B2)</f>
        <v>71.92</v>
      </c>
    </row>
    <row r="143" spans="1:15" ht="27.75" x14ac:dyDescent="0.5">
      <c r="A143" s="846" t="s">
        <v>91</v>
      </c>
      <c r="B143" s="846"/>
      <c r="C143" s="846"/>
      <c r="D143" s="151" t="s">
        <v>183</v>
      </c>
      <c r="E143" s="95">
        <f>'24'!F143</f>
        <v>3655</v>
      </c>
      <c r="F143" s="149">
        <v>3681</v>
      </c>
      <c r="G143" s="112">
        <f t="shared" si="11"/>
        <v>26</v>
      </c>
      <c r="H143" s="99">
        <f>G143+'24'!H143</f>
        <v>620</v>
      </c>
      <c r="I143" s="140"/>
      <c r="J143" s="328">
        <f>H143/DAY(B2)</f>
        <v>24.8</v>
      </c>
    </row>
    <row r="144" spans="1:15" ht="27.75" x14ac:dyDescent="0.5">
      <c r="A144" s="850" t="s">
        <v>90</v>
      </c>
      <c r="B144" s="850"/>
      <c r="C144" s="850"/>
      <c r="D144" s="151" t="s">
        <v>183</v>
      </c>
      <c r="E144" s="95">
        <f>'24'!F144</f>
        <v>875079</v>
      </c>
      <c r="F144" s="149">
        <v>875283</v>
      </c>
      <c r="G144" s="112">
        <f t="shared" si="11"/>
        <v>204</v>
      </c>
      <c r="H144" s="99">
        <f>G144+'24'!H144</f>
        <v>5613</v>
      </c>
      <c r="I144" s="140"/>
      <c r="J144" s="328">
        <f>H144/DAY(B2)</f>
        <v>224.52</v>
      </c>
    </row>
    <row r="145" spans="1:10" ht="27.75" x14ac:dyDescent="0.5">
      <c r="A145" s="846" t="s">
        <v>190</v>
      </c>
      <c r="B145" s="846"/>
      <c r="C145" s="846"/>
      <c r="D145" s="152" t="s">
        <v>183</v>
      </c>
      <c r="E145" s="95">
        <f>'24'!F145</f>
        <v>4909</v>
      </c>
      <c r="F145" s="149">
        <v>4915</v>
      </c>
      <c r="G145" s="112">
        <f t="shared" si="11"/>
        <v>6</v>
      </c>
      <c r="H145" s="99">
        <f>G145+'24'!H145</f>
        <v>357</v>
      </c>
      <c r="I145" s="140"/>
      <c r="J145" s="328">
        <f>H145/DAY(B2)</f>
        <v>14.28</v>
      </c>
    </row>
    <row r="146" spans="1:10" ht="27.75" x14ac:dyDescent="0.5">
      <c r="A146" s="847" t="s">
        <v>191</v>
      </c>
      <c r="B146" s="848"/>
      <c r="C146" s="849"/>
      <c r="D146" s="152" t="s">
        <v>183</v>
      </c>
      <c r="E146" s="95">
        <f>'24'!F146</f>
        <v>734505</v>
      </c>
      <c r="F146" s="148">
        <v>734907</v>
      </c>
      <c r="G146" s="112">
        <f t="shared" si="11"/>
        <v>402</v>
      </c>
      <c r="H146" s="99">
        <f>G146+'24'!H146</f>
        <v>10049</v>
      </c>
      <c r="I146" s="140"/>
      <c r="J146" s="328">
        <f>H146/DAY(B2)</f>
        <v>401.96</v>
      </c>
    </row>
    <row r="147" spans="1:10" ht="27.75" x14ac:dyDescent="0.5">
      <c r="A147" s="850" t="s">
        <v>192</v>
      </c>
      <c r="B147" s="850"/>
      <c r="C147" s="850"/>
      <c r="D147" s="152" t="s">
        <v>183</v>
      </c>
      <c r="E147" s="95">
        <f>'24'!F147</f>
        <v>624120</v>
      </c>
      <c r="F147" s="148">
        <v>624485</v>
      </c>
      <c r="G147" s="112">
        <f t="shared" si="11"/>
        <v>365</v>
      </c>
      <c r="H147" s="99">
        <f>G147+'24'!H147</f>
        <v>9203</v>
      </c>
      <c r="I147" s="140"/>
      <c r="J147" s="328">
        <f>H147/DAY(B2)</f>
        <v>368.12</v>
      </c>
    </row>
    <row r="148" spans="1:10" ht="27.75" x14ac:dyDescent="0.5">
      <c r="A148" s="842" t="s">
        <v>193</v>
      </c>
      <c r="B148" s="843"/>
      <c r="C148" s="844"/>
      <c r="D148" s="123" t="s">
        <v>130</v>
      </c>
      <c r="E148" s="95">
        <f>'24'!F148</f>
        <v>688121</v>
      </c>
      <c r="F148" s="488">
        <v>688279</v>
      </c>
      <c r="G148" s="112">
        <f t="shared" si="11"/>
        <v>158</v>
      </c>
      <c r="H148" s="99">
        <f>G148+'24'!H148</f>
        <v>5245.8800000000047</v>
      </c>
      <c r="I148" s="124"/>
      <c r="J148" s="328">
        <f>H148/DAY(B2)</f>
        <v>209.83520000000019</v>
      </c>
    </row>
    <row r="149" spans="1:10" ht="27.75" x14ac:dyDescent="0.5">
      <c r="A149" s="842" t="s">
        <v>336</v>
      </c>
      <c r="B149" s="843"/>
      <c r="C149" s="844"/>
      <c r="D149" s="227" t="s">
        <v>130</v>
      </c>
      <c r="E149" s="95">
        <f>'24'!F149</f>
        <v>21180</v>
      </c>
      <c r="F149" s="146">
        <v>21699</v>
      </c>
      <c r="G149" s="112">
        <f t="shared" si="11"/>
        <v>519</v>
      </c>
      <c r="H149" s="99">
        <f>G149+'24'!H149</f>
        <v>10950</v>
      </c>
      <c r="I149" s="119"/>
      <c r="J149" s="328">
        <f>H149/DAY(B2)</f>
        <v>438</v>
      </c>
    </row>
    <row r="150" spans="1:10" ht="27.75" x14ac:dyDescent="0.5">
      <c r="A150" s="842" t="s">
        <v>337</v>
      </c>
      <c r="B150" s="843"/>
      <c r="C150" s="844"/>
      <c r="D150" s="117" t="s">
        <v>130</v>
      </c>
      <c r="E150" s="95">
        <f>'24'!F150</f>
        <v>9307</v>
      </c>
      <c r="F150" s="233">
        <v>9524</v>
      </c>
      <c r="G150" s="112">
        <f t="shared" si="11"/>
        <v>217</v>
      </c>
      <c r="H150" s="99">
        <f>G150+'24'!H150</f>
        <v>5472</v>
      </c>
      <c r="I150" s="119"/>
      <c r="J150" s="328">
        <f>H150/DAY(B2)</f>
        <v>218.88</v>
      </c>
    </row>
    <row r="151" spans="1:10" ht="27.75" x14ac:dyDescent="0.5">
      <c r="A151" s="842" t="s">
        <v>338</v>
      </c>
      <c r="B151" s="843"/>
      <c r="C151" s="844"/>
      <c r="D151" s="117" t="s">
        <v>130</v>
      </c>
      <c r="E151" s="95">
        <f>'24'!F151</f>
        <v>83702</v>
      </c>
      <c r="F151" s="233">
        <v>83952</v>
      </c>
      <c r="G151" s="112">
        <f t="shared" si="11"/>
        <v>250</v>
      </c>
      <c r="H151" s="99">
        <f>G151+'24'!H151</f>
        <v>5735</v>
      </c>
      <c r="I151" s="119"/>
      <c r="J151" s="328">
        <f>H151/DAY(B2)</f>
        <v>229.4</v>
      </c>
    </row>
    <row r="152" spans="1:10" ht="27.75" x14ac:dyDescent="0.5">
      <c r="A152" s="842" t="s">
        <v>339</v>
      </c>
      <c r="B152" s="843"/>
      <c r="C152" s="844"/>
      <c r="D152" s="117" t="s">
        <v>130</v>
      </c>
      <c r="E152" s="95">
        <f>'24'!F152</f>
        <v>1531</v>
      </c>
      <c r="F152" s="233">
        <v>1547</v>
      </c>
      <c r="G152" s="112">
        <f t="shared" si="11"/>
        <v>16</v>
      </c>
      <c r="H152" s="99">
        <f>G152+'24'!H152</f>
        <v>420</v>
      </c>
      <c r="I152" s="119"/>
      <c r="J152" s="328">
        <f>H152/DAY(B2)</f>
        <v>16.8</v>
      </c>
    </row>
    <row r="153" spans="1:10" ht="27.75" x14ac:dyDescent="0.5">
      <c r="A153" s="879" t="s">
        <v>196</v>
      </c>
      <c r="B153" s="880"/>
      <c r="C153" s="365"/>
      <c r="D153" s="358"/>
      <c r="E153" s="360"/>
      <c r="F153" s="361"/>
      <c r="G153" s="362">
        <f>SUM(G138:G152)</f>
        <v>2478</v>
      </c>
      <c r="H153" s="363"/>
      <c r="I153" s="119">
        <f>G153-(G38+G52)</f>
        <v>717</v>
      </c>
      <c r="J153" s="366"/>
    </row>
    <row r="154" spans="1:10" ht="31.5" x14ac:dyDescent="0.55000000000000004">
      <c r="A154" s="883" t="s">
        <v>344</v>
      </c>
      <c r="B154" s="883"/>
      <c r="C154" s="883"/>
      <c r="D154" s="883"/>
      <c r="E154" s="883"/>
      <c r="F154" s="883"/>
      <c r="G154" s="883"/>
      <c r="H154" s="883"/>
      <c r="I154" s="883"/>
      <c r="J154" s="883"/>
    </row>
    <row r="155" spans="1:10" ht="31.5" x14ac:dyDescent="0.55000000000000004">
      <c r="A155" s="850" t="s">
        <v>345</v>
      </c>
      <c r="B155" s="850"/>
      <c r="C155" s="850"/>
      <c r="D155" s="117" t="s">
        <v>130</v>
      </c>
      <c r="E155" s="95">
        <f>'24'!F155</f>
        <v>27719</v>
      </c>
      <c r="F155" s="364">
        <v>28381</v>
      </c>
      <c r="G155" s="112">
        <f t="shared" ref="G155:G158" si="12">F155-E155</f>
        <v>662</v>
      </c>
      <c r="H155" s="99">
        <f>G155+'24'!H155</f>
        <v>14909</v>
      </c>
      <c r="I155" s="364"/>
      <c r="J155" s="328">
        <f>H155/DAY(B2)</f>
        <v>596.36</v>
      </c>
    </row>
    <row r="156" spans="1:10" ht="27.75" x14ac:dyDescent="0.5">
      <c r="A156" s="850" t="s">
        <v>347</v>
      </c>
      <c r="B156" s="850"/>
      <c r="C156" s="850"/>
      <c r="D156" s="117" t="s">
        <v>130</v>
      </c>
      <c r="E156" s="95">
        <f>'24'!F156</f>
        <v>2333</v>
      </c>
      <c r="F156" s="155">
        <v>2391</v>
      </c>
      <c r="G156" s="112">
        <f t="shared" si="12"/>
        <v>58</v>
      </c>
      <c r="H156" s="99">
        <f>G156+'24'!H156</f>
        <v>1303</v>
      </c>
      <c r="I156" s="165"/>
      <c r="J156" s="328">
        <f>H156/DAY(B2)</f>
        <v>52.12</v>
      </c>
    </row>
    <row r="157" spans="1:10" ht="27.75" x14ac:dyDescent="0.5">
      <c r="A157" s="842" t="s">
        <v>364</v>
      </c>
      <c r="B157" s="843"/>
      <c r="C157" s="844"/>
      <c r="D157" s="117" t="s">
        <v>130</v>
      </c>
      <c r="E157" s="95">
        <f>'24'!F157</f>
        <v>3292</v>
      </c>
      <c r="F157" s="155">
        <v>3410</v>
      </c>
      <c r="G157" s="112">
        <f t="shared" si="12"/>
        <v>118</v>
      </c>
      <c r="H157" s="99">
        <f>G157+'24'!H157</f>
        <v>689.84000000000015</v>
      </c>
      <c r="I157" s="165"/>
      <c r="J157" s="328"/>
    </row>
    <row r="158" spans="1:10" ht="27.75" x14ac:dyDescent="0.5">
      <c r="A158" s="842" t="s">
        <v>365</v>
      </c>
      <c r="B158" s="843"/>
      <c r="C158" s="844"/>
      <c r="D158" s="117" t="s">
        <v>130</v>
      </c>
      <c r="E158" s="95">
        <f>'24'!F158</f>
        <v>43</v>
      </c>
      <c r="F158" s="155">
        <v>43.75</v>
      </c>
      <c r="G158" s="112">
        <f t="shared" si="12"/>
        <v>0.75</v>
      </c>
      <c r="H158" s="99">
        <f>G158+'24'!H158</f>
        <v>19.41</v>
      </c>
      <c r="I158" s="165"/>
      <c r="J158" s="328"/>
    </row>
    <row r="159" spans="1:10" ht="27.75" x14ac:dyDescent="0.5">
      <c r="A159" s="899"/>
      <c r="B159" s="900"/>
      <c r="C159" s="901"/>
      <c r="D159" s="117"/>
      <c r="E159" s="95"/>
      <c r="F159" s="165"/>
      <c r="G159" s="112"/>
      <c r="H159" s="99"/>
      <c r="I159" s="165"/>
      <c r="J159" s="328"/>
    </row>
    <row r="160" spans="1:10" ht="31.5" x14ac:dyDescent="0.55000000000000004">
      <c r="A160" s="883" t="s">
        <v>326</v>
      </c>
      <c r="B160" s="883"/>
      <c r="C160" s="883"/>
      <c r="D160" s="883"/>
      <c r="E160" s="883"/>
      <c r="F160" s="883"/>
      <c r="G160" s="883"/>
      <c r="H160" s="883"/>
      <c r="I160" s="883"/>
      <c r="J160" s="883"/>
    </row>
    <row r="161" spans="1:10" ht="29.25" x14ac:dyDescent="0.5">
      <c r="A161" s="242" t="s">
        <v>92</v>
      </c>
      <c r="B161" s="243"/>
      <c r="C161" s="243"/>
      <c r="D161" s="244" t="s">
        <v>180</v>
      </c>
      <c r="E161" s="95">
        <f>'24'!F161</f>
        <v>471872.52</v>
      </c>
      <c r="F161" s="235">
        <v>471893</v>
      </c>
      <c r="G161" s="238">
        <f t="shared" ref="G161:G165" si="13">F161-E161</f>
        <v>20.479999999981374</v>
      </c>
      <c r="H161" s="99">
        <f>G161+'24'!H161</f>
        <v>739.84000000002561</v>
      </c>
      <c r="I161" s="236"/>
      <c r="J161" s="239">
        <f>H161/DAY(B2)</f>
        <v>29.593600000001025</v>
      </c>
    </row>
    <row r="162" spans="1:10" ht="29.25" x14ac:dyDescent="0.5">
      <c r="A162" s="242" t="s">
        <v>93</v>
      </c>
      <c r="B162" s="243"/>
      <c r="C162" s="243"/>
      <c r="D162" s="244" t="s">
        <v>180</v>
      </c>
      <c r="E162" s="95">
        <f>'24'!F162</f>
        <v>88291</v>
      </c>
      <c r="F162" s="235">
        <v>88329</v>
      </c>
      <c r="G162" s="238">
        <f t="shared" si="13"/>
        <v>38</v>
      </c>
      <c r="H162" s="99">
        <f>G162+'24'!H162</f>
        <v>759</v>
      </c>
      <c r="I162" s="236"/>
      <c r="J162" s="239">
        <f>H162/DAY(B2)</f>
        <v>30.36</v>
      </c>
    </row>
    <row r="163" spans="1:10" ht="29.25" x14ac:dyDescent="0.5">
      <c r="A163" s="242" t="s">
        <v>197</v>
      </c>
      <c r="B163" s="243"/>
      <c r="C163" s="243"/>
      <c r="D163" s="244" t="s">
        <v>180</v>
      </c>
      <c r="E163" s="95">
        <f>'24'!F163</f>
        <v>78929</v>
      </c>
      <c r="F163" s="235">
        <v>78964</v>
      </c>
      <c r="G163" s="238">
        <f t="shared" si="13"/>
        <v>35</v>
      </c>
      <c r="H163" s="99">
        <f>G163+'24'!H163</f>
        <v>1139</v>
      </c>
      <c r="I163" s="236"/>
      <c r="J163" s="239">
        <f>H163/DAY(B2)</f>
        <v>45.56</v>
      </c>
    </row>
    <row r="164" spans="1:10" ht="29.25" x14ac:dyDescent="0.5">
      <c r="A164" s="242" t="s">
        <v>197</v>
      </c>
      <c r="B164" s="243"/>
      <c r="C164" s="243"/>
      <c r="D164" s="244" t="s">
        <v>180</v>
      </c>
      <c r="E164" s="95">
        <f>'24'!F164</f>
        <v>4307</v>
      </c>
      <c r="F164" s="235">
        <v>4308</v>
      </c>
      <c r="G164" s="238">
        <f t="shared" si="13"/>
        <v>1</v>
      </c>
      <c r="H164" s="99">
        <f>G164+'24'!H164</f>
        <v>66</v>
      </c>
      <c r="I164" s="236"/>
      <c r="J164" s="239">
        <f>H164/DAY(B2)</f>
        <v>2.64</v>
      </c>
    </row>
    <row r="165" spans="1:10" ht="29.25" x14ac:dyDescent="0.5">
      <c r="A165" s="242" t="s">
        <v>309</v>
      </c>
      <c r="B165" s="243"/>
      <c r="C165" s="243"/>
      <c r="D165" s="244" t="s">
        <v>180</v>
      </c>
      <c r="E165" s="95">
        <f>'24'!F165</f>
        <v>29801</v>
      </c>
      <c r="F165" s="235">
        <v>29809</v>
      </c>
      <c r="G165" s="238">
        <f t="shared" si="13"/>
        <v>8</v>
      </c>
      <c r="H165" s="99">
        <f>G165+'24'!H165</f>
        <v>163</v>
      </c>
      <c r="I165" s="236"/>
      <c r="J165" s="239">
        <f>H165/DAY(B2)</f>
        <v>6.52</v>
      </c>
    </row>
    <row r="166" spans="1:10" ht="29.25" x14ac:dyDescent="0.5">
      <c r="A166" s="882"/>
      <c r="B166" s="882"/>
      <c r="C166" s="246"/>
      <c r="D166" s="244" t="s">
        <v>180</v>
      </c>
      <c r="E166" s="95">
        <f>'24'!F166</f>
        <v>0</v>
      </c>
      <c r="F166" s="165"/>
      <c r="G166" s="165"/>
      <c r="H166" s="99">
        <f>G166+'24'!H166</f>
        <v>0</v>
      </c>
      <c r="I166" s="165"/>
      <c r="J166" s="239">
        <f>H166/DAY(B2)</f>
        <v>0</v>
      </c>
    </row>
    <row r="167" spans="1:10" ht="29.25" x14ac:dyDescent="0.5">
      <c r="A167" s="882"/>
      <c r="B167" s="882"/>
      <c r="C167" s="246"/>
      <c r="D167" s="244" t="s">
        <v>180</v>
      </c>
      <c r="E167" s="95">
        <f>'24'!F167</f>
        <v>0</v>
      </c>
      <c r="F167" s="165"/>
      <c r="G167" s="165"/>
      <c r="H167" s="99">
        <f>G167+'24'!H167</f>
        <v>0</v>
      </c>
      <c r="I167" s="165"/>
      <c r="J167" s="239">
        <f>H167/DAY(B2)</f>
        <v>0</v>
      </c>
    </row>
    <row r="168" spans="1:10" ht="29.25" x14ac:dyDescent="0.5">
      <c r="A168" s="882"/>
      <c r="B168" s="882"/>
      <c r="C168" s="246"/>
      <c r="D168" s="244" t="s">
        <v>180</v>
      </c>
      <c r="E168" s="95">
        <f>'24'!F168</f>
        <v>0</v>
      </c>
      <c r="F168" s="165"/>
      <c r="G168" s="165"/>
      <c r="H168" s="99">
        <f>G168+'24'!H168</f>
        <v>0</v>
      </c>
      <c r="I168" s="165"/>
      <c r="J168" s="239">
        <f>H168/DAY(B2)</f>
        <v>0</v>
      </c>
    </row>
    <row r="169" spans="1:10" ht="29.25" x14ac:dyDescent="0.5">
      <c r="A169" s="245"/>
      <c r="B169" s="246"/>
      <c r="C169" s="246"/>
      <c r="D169" s="165"/>
      <c r="E169" s="165"/>
      <c r="F169" s="165"/>
      <c r="G169" s="165"/>
      <c r="H169" s="156"/>
      <c r="I169" s="165"/>
      <c r="J169" s="327"/>
    </row>
    <row r="170" spans="1:10" ht="21.75" customHeight="1" x14ac:dyDescent="0.5">
      <c r="A170" s="245"/>
      <c r="B170" s="246"/>
      <c r="C170" s="246"/>
      <c r="D170" s="165"/>
      <c r="E170" s="165"/>
      <c r="F170" s="165"/>
      <c r="G170" s="165"/>
      <c r="H170" s="156"/>
      <c r="I170" s="165"/>
      <c r="J170" s="327"/>
    </row>
    <row r="171" spans="1:10" ht="21.75" customHeight="1" x14ac:dyDescent="0.35">
      <c r="A171" s="890" t="s">
        <v>330</v>
      </c>
      <c r="B171" s="891"/>
      <c r="C171" s="891"/>
      <c r="D171" s="891"/>
      <c r="E171" s="891"/>
      <c r="F171" s="891"/>
      <c r="G171" s="891"/>
      <c r="H171" s="891"/>
      <c r="I171" s="891"/>
      <c r="J171" s="892"/>
    </row>
    <row r="172" spans="1:10" ht="21.75" customHeight="1" x14ac:dyDescent="0.5">
      <c r="A172" s="886"/>
      <c r="B172" s="887"/>
      <c r="C172" s="332"/>
      <c r="D172" s="228"/>
      <c r="E172" s="155"/>
      <c r="F172" s="155"/>
      <c r="G172" s="155"/>
      <c r="H172" s="156"/>
      <c r="I172" s="155"/>
      <c r="J172" s="178"/>
    </row>
    <row r="173" spans="1:10" ht="24.75" customHeight="1" x14ac:dyDescent="0.5">
      <c r="A173" s="840" t="s">
        <v>209</v>
      </c>
      <c r="B173" s="841"/>
      <c r="C173" s="333"/>
      <c r="D173" s="228" t="s">
        <v>142</v>
      </c>
      <c r="E173" s="95">
        <f>'24'!F173</f>
        <v>8126</v>
      </c>
      <c r="F173" s="155">
        <v>8126</v>
      </c>
      <c r="G173" s="155">
        <f>F173-E173</f>
        <v>0</v>
      </c>
      <c r="H173" s="99">
        <f>G173+'24'!H173</f>
        <v>0</v>
      </c>
      <c r="I173" s="155"/>
      <c r="J173" s="178">
        <f>H173/DAY(B2)</f>
        <v>0</v>
      </c>
    </row>
    <row r="174" spans="1:10" ht="27.75" customHeight="1" x14ac:dyDescent="0.5">
      <c r="A174" s="840" t="s">
        <v>75</v>
      </c>
      <c r="B174" s="841"/>
      <c r="C174" s="333"/>
      <c r="D174" s="228" t="s">
        <v>142</v>
      </c>
      <c r="E174" s="95">
        <f>'24'!F174</f>
        <v>38528</v>
      </c>
      <c r="F174" s="157">
        <v>38536</v>
      </c>
      <c r="G174" s="155">
        <f t="shared" ref="G174:G175" si="14">F174-E174</f>
        <v>8</v>
      </c>
      <c r="H174" s="99">
        <f>G174+'24'!H174</f>
        <v>243</v>
      </c>
      <c r="I174" s="155"/>
      <c r="J174" s="178">
        <f>H174/DAY(B2)</f>
        <v>9.7200000000000006</v>
      </c>
    </row>
    <row r="175" spans="1:10" ht="21.75" customHeight="1" x14ac:dyDescent="0.5">
      <c r="A175" s="840" t="s">
        <v>76</v>
      </c>
      <c r="B175" s="845"/>
      <c r="C175" s="841"/>
      <c r="D175" s="228" t="s">
        <v>142</v>
      </c>
      <c r="E175" s="95">
        <f>'24'!F175</f>
        <v>21745</v>
      </c>
      <c r="F175" s="155">
        <v>21753</v>
      </c>
      <c r="G175" s="155">
        <f t="shared" si="14"/>
        <v>8</v>
      </c>
      <c r="H175" s="99">
        <f>G175+'24'!H175</f>
        <v>235</v>
      </c>
      <c r="I175" s="155"/>
      <c r="J175" s="178">
        <f>H175/DAY(B2)</f>
        <v>9.4</v>
      </c>
    </row>
    <row r="176" spans="1:10" ht="23.25" customHeight="1" x14ac:dyDescent="0.5">
      <c r="A176" s="879" t="s">
        <v>196</v>
      </c>
      <c r="B176" s="880"/>
      <c r="C176" s="485"/>
      <c r="D176" s="228" t="s">
        <v>142</v>
      </c>
      <c r="E176" s="95"/>
      <c r="F176" s="155"/>
      <c r="G176" s="155">
        <f>SUM(G173:G175)</f>
        <v>16</v>
      </c>
      <c r="H176" s="99">
        <f>G176+'24'!H176</f>
        <v>478</v>
      </c>
      <c r="I176" s="155"/>
      <c r="J176" s="178">
        <f>H176/DAY(B2)</f>
        <v>19.12</v>
      </c>
    </row>
    <row r="177" spans="1:10" ht="21.75" customHeight="1" x14ac:dyDescent="0.5">
      <c r="A177" s="840" t="s">
        <v>77</v>
      </c>
      <c r="B177" s="841"/>
      <c r="C177" s="333"/>
      <c r="D177" s="228" t="s">
        <v>142</v>
      </c>
      <c r="E177" s="95"/>
      <c r="F177" s="155"/>
      <c r="G177" s="155"/>
      <c r="H177" s="99">
        <f>G177+'24'!H177</f>
        <v>0</v>
      </c>
      <c r="I177" s="155"/>
      <c r="J177" s="178">
        <f>H177/DAY(B2)</f>
        <v>0</v>
      </c>
    </row>
    <row r="178" spans="1:10" ht="27.75" x14ac:dyDescent="0.5">
      <c r="A178" s="840" t="s">
        <v>210</v>
      </c>
      <c r="B178" s="841"/>
      <c r="C178" s="333"/>
      <c r="D178" s="228" t="s">
        <v>142</v>
      </c>
      <c r="E178" s="95">
        <f>'24'!F178</f>
        <v>80936</v>
      </c>
      <c r="F178" s="155">
        <v>80957</v>
      </c>
      <c r="G178" s="155">
        <f>F178-E178</f>
        <v>21</v>
      </c>
      <c r="H178" s="99">
        <f>G178+'24'!H178</f>
        <v>1343</v>
      </c>
      <c r="I178" s="155"/>
      <c r="J178" s="178">
        <f>H178/DAY(B2)</f>
        <v>53.72</v>
      </c>
    </row>
    <row r="179" spans="1:10" ht="24" customHeight="1" x14ac:dyDescent="0.5">
      <c r="A179" s="840" t="s">
        <v>211</v>
      </c>
      <c r="B179" s="841"/>
      <c r="C179" s="333"/>
      <c r="D179" s="228" t="s">
        <v>142</v>
      </c>
      <c r="E179" s="95">
        <f>'24'!F179</f>
        <v>34452</v>
      </c>
      <c r="F179" s="155">
        <v>34532</v>
      </c>
      <c r="G179" s="155">
        <f t="shared" ref="G179:G180" si="15">F179-E179</f>
        <v>80</v>
      </c>
      <c r="H179" s="99">
        <f>G179+'24'!H179</f>
        <v>617</v>
      </c>
      <c r="I179" s="155"/>
      <c r="J179" s="178">
        <f>H179/DAY(B2)</f>
        <v>24.68</v>
      </c>
    </row>
    <row r="180" spans="1:10" ht="27.75" x14ac:dyDescent="0.5">
      <c r="A180" s="840" t="s">
        <v>212</v>
      </c>
      <c r="B180" s="841"/>
      <c r="C180" s="333"/>
      <c r="D180" s="228" t="s">
        <v>142</v>
      </c>
      <c r="E180" s="95">
        <f>'24'!F180</f>
        <v>5651</v>
      </c>
      <c r="F180" s="155">
        <v>5658</v>
      </c>
      <c r="G180" s="155">
        <f t="shared" si="15"/>
        <v>7</v>
      </c>
      <c r="H180" s="99">
        <f>G180+'24'!H180</f>
        <v>181</v>
      </c>
      <c r="I180" s="155"/>
      <c r="J180" s="178">
        <f>H180/DAY(B2)</f>
        <v>7.24</v>
      </c>
    </row>
    <row r="181" spans="1:10" ht="27.75" x14ac:dyDescent="0.5">
      <c r="A181" s="884" t="s">
        <v>108</v>
      </c>
      <c r="B181" s="885"/>
      <c r="C181" s="485"/>
      <c r="D181" s="228" t="s">
        <v>142</v>
      </c>
      <c r="E181" s="95"/>
      <c r="F181" s="155"/>
      <c r="G181" s="155">
        <f>SUM(G178:G180)</f>
        <v>108</v>
      </c>
      <c r="H181" s="99">
        <f>G181+'24'!H181</f>
        <v>2141</v>
      </c>
      <c r="I181" s="155"/>
      <c r="J181" s="178">
        <f>H181/DAY(B2)</f>
        <v>85.64</v>
      </c>
    </row>
    <row r="182" spans="1:10" ht="27.75" x14ac:dyDescent="0.5">
      <c r="A182" s="840" t="s">
        <v>213</v>
      </c>
      <c r="B182" s="841"/>
      <c r="C182" s="333"/>
      <c r="D182" s="228" t="s">
        <v>142</v>
      </c>
      <c r="E182" s="95"/>
      <c r="F182" s="155"/>
      <c r="G182" s="155"/>
      <c r="H182" s="99">
        <f>G182+'24'!H182</f>
        <v>0</v>
      </c>
      <c r="I182" s="155"/>
      <c r="J182" s="178">
        <f>H182/DAY(B2)</f>
        <v>0</v>
      </c>
    </row>
    <row r="183" spans="1:10" ht="27.75" x14ac:dyDescent="0.5">
      <c r="A183" s="840" t="s">
        <v>214</v>
      </c>
      <c r="B183" s="841"/>
      <c r="C183" s="334"/>
      <c r="D183" s="228" t="s">
        <v>142</v>
      </c>
      <c r="E183" s="95">
        <f>'24'!F183</f>
        <v>15279</v>
      </c>
      <c r="F183" s="157">
        <v>15286</v>
      </c>
      <c r="G183" s="157">
        <f>F183-E183</f>
        <v>7</v>
      </c>
      <c r="H183" s="99">
        <f>G183+'24'!H183</f>
        <v>339</v>
      </c>
      <c r="I183" s="155"/>
      <c r="J183" s="178">
        <f>H183/DAY(B2)</f>
        <v>13.56</v>
      </c>
    </row>
    <row r="184" spans="1:10" ht="30.75" customHeight="1" x14ac:dyDescent="0.5">
      <c r="A184" s="840" t="s">
        <v>215</v>
      </c>
      <c r="B184" s="841"/>
      <c r="C184" s="334"/>
      <c r="D184" s="228" t="s">
        <v>142</v>
      </c>
      <c r="E184" s="95">
        <f>'24'!F184</f>
        <v>10442</v>
      </c>
      <c r="F184" s="157">
        <v>10454</v>
      </c>
      <c r="G184" s="157">
        <f t="shared" ref="G184:G185" si="16">F184-E184</f>
        <v>12</v>
      </c>
      <c r="H184" s="99">
        <f>G184+'24'!H184</f>
        <v>153</v>
      </c>
      <c r="I184" s="155"/>
      <c r="J184" s="178">
        <f>H184/DAY(B2)</f>
        <v>6.12</v>
      </c>
    </row>
    <row r="185" spans="1:10" ht="23.25" customHeight="1" x14ac:dyDescent="0.5">
      <c r="A185" s="840" t="s">
        <v>216</v>
      </c>
      <c r="B185" s="841"/>
      <c r="C185" s="334"/>
      <c r="D185" s="228" t="s">
        <v>142</v>
      </c>
      <c r="E185" s="95">
        <f>'24'!F185</f>
        <v>0</v>
      </c>
      <c r="F185" s="157">
        <v>0</v>
      </c>
      <c r="G185" s="157">
        <f t="shared" si="16"/>
        <v>0</v>
      </c>
      <c r="H185" s="99">
        <f>G185+'24'!H185</f>
        <v>0</v>
      </c>
      <c r="I185" s="155"/>
      <c r="J185" s="178">
        <f>H185/DAY(B2)</f>
        <v>0</v>
      </c>
    </row>
    <row r="186" spans="1:10" ht="27.75" x14ac:dyDescent="0.5">
      <c r="A186" s="879" t="s">
        <v>196</v>
      </c>
      <c r="B186" s="880"/>
      <c r="C186" s="484"/>
      <c r="D186" s="228" t="s">
        <v>142</v>
      </c>
      <c r="E186" s="95"/>
      <c r="F186" s="157">
        <v>0</v>
      </c>
      <c r="G186" s="157">
        <f>SUM(G183:G185)</f>
        <v>19</v>
      </c>
      <c r="H186" s="99">
        <f>G186+'24'!H186</f>
        <v>492</v>
      </c>
      <c r="I186" s="157"/>
      <c r="J186" s="178">
        <f>H186/DAY(B2)</f>
        <v>19.68</v>
      </c>
    </row>
    <row r="187" spans="1:10" ht="27.75" x14ac:dyDescent="0.5">
      <c r="A187" s="888" t="s">
        <v>217</v>
      </c>
      <c r="B187" s="889"/>
      <c r="C187" s="333"/>
      <c r="D187" s="228" t="s">
        <v>142</v>
      </c>
      <c r="E187" s="95">
        <f>'24'!F187</f>
        <v>0</v>
      </c>
      <c r="F187" s="159"/>
      <c r="G187" s="462">
        <f>G62+G19</f>
        <v>152</v>
      </c>
      <c r="H187" s="99">
        <f>G187+'24'!H187</f>
        <v>3039</v>
      </c>
      <c r="I187" s="158"/>
      <c r="J187" s="179">
        <f>H187/DAY(B2)</f>
        <v>121.56</v>
      </c>
    </row>
    <row r="188" spans="1:10" ht="27.75" x14ac:dyDescent="0.5">
      <c r="A188" s="888" t="s">
        <v>218</v>
      </c>
      <c r="B188" s="889"/>
      <c r="C188" s="333"/>
      <c r="D188" s="230" t="s">
        <v>142</v>
      </c>
      <c r="E188" s="95">
        <f>'24'!F188</f>
        <v>0</v>
      </c>
      <c r="F188" s="159"/>
      <c r="G188" s="462">
        <f>G65+G66+G67+G69+G70</f>
        <v>134</v>
      </c>
      <c r="H188" s="99">
        <f>G188+'24'!H188</f>
        <v>1443</v>
      </c>
      <c r="I188" s="158"/>
      <c r="J188" s="179">
        <f>H188/DAY(B2)</f>
        <v>57.72</v>
      </c>
    </row>
    <row r="189" spans="1:10" ht="27.75" x14ac:dyDescent="0.5">
      <c r="A189" s="888" t="s">
        <v>219</v>
      </c>
      <c r="B189" s="889"/>
      <c r="C189" s="333"/>
      <c r="D189" s="230" t="s">
        <v>142</v>
      </c>
      <c r="E189" s="95">
        <f>'24'!F189</f>
        <v>0</v>
      </c>
      <c r="F189" s="157"/>
      <c r="G189" s="459">
        <f>G181</f>
        <v>108</v>
      </c>
      <c r="H189" s="99">
        <f>G189+'24'!H189</f>
        <v>551</v>
      </c>
      <c r="I189" s="158"/>
      <c r="J189" s="179">
        <f>H189/DAY(B2)</f>
        <v>22.04</v>
      </c>
    </row>
    <row r="190" spans="1:10" ht="27.75" x14ac:dyDescent="0.5">
      <c r="A190" s="811"/>
      <c r="B190" s="812"/>
      <c r="C190" s="483"/>
      <c r="D190" s="480"/>
      <c r="E190" s="480" t="s">
        <v>207</v>
      </c>
      <c r="F190" s="480"/>
      <c r="G190" s="480"/>
      <c r="H190" s="481"/>
      <c r="I190" s="480"/>
      <c r="J190" s="482"/>
    </row>
    <row r="191" spans="1:10" ht="29.25" x14ac:dyDescent="0.5"/>
    <row r="192" spans="1:10" ht="29.25" x14ac:dyDescent="0.5"/>
    <row r="193" ht="29.25" x14ac:dyDescent="0.5"/>
    <row r="194" ht="29.25" x14ac:dyDescent="0.5"/>
    <row r="195" ht="29.25" x14ac:dyDescent="0.5"/>
    <row r="196" ht="29.25" x14ac:dyDescent="0.5"/>
    <row r="197" ht="29.25" x14ac:dyDescent="0.5"/>
    <row r="198" ht="29.25" x14ac:dyDescent="0.5"/>
    <row r="199" ht="29.25" x14ac:dyDescent="0.5"/>
    <row r="200" ht="29.25" x14ac:dyDescent="0.5"/>
    <row r="201" ht="29.25" x14ac:dyDescent="0.5"/>
    <row r="202" ht="29.25" x14ac:dyDescent="0.5"/>
    <row r="203" ht="29.25" x14ac:dyDescent="0.5"/>
    <row r="204" ht="29.25" x14ac:dyDescent="0.5"/>
    <row r="205" ht="29.25" x14ac:dyDescent="0.5"/>
    <row r="206" ht="29.25" x14ac:dyDescent="0.5"/>
    <row r="207" ht="29.25" x14ac:dyDescent="0.5"/>
    <row r="208" ht="29.25" x14ac:dyDescent="0.5"/>
    <row r="209" ht="29.25" x14ac:dyDescent="0.5"/>
    <row r="210" ht="29.25" x14ac:dyDescent="0.5"/>
    <row r="211" ht="29.25" x14ac:dyDescent="0.5"/>
    <row r="212" ht="29.25" x14ac:dyDescent="0.5"/>
    <row r="213" ht="29.25" x14ac:dyDescent="0.5"/>
    <row r="214" ht="29.25" x14ac:dyDescent="0.5"/>
    <row r="215" ht="29.25" x14ac:dyDescent="0.5"/>
    <row r="216" ht="29.25" x14ac:dyDescent="0.5"/>
    <row r="217" ht="29.25" x14ac:dyDescent="0.5"/>
    <row r="218" ht="29.25" x14ac:dyDescent="0.5"/>
    <row r="219" ht="29.25" x14ac:dyDescent="0.5"/>
    <row r="220" ht="29.25" x14ac:dyDescent="0.5"/>
    <row r="221" ht="29.25" x14ac:dyDescent="0.5"/>
    <row r="222" ht="29.25" x14ac:dyDescent="0.5"/>
    <row r="223" ht="29.25" x14ac:dyDescent="0.5"/>
    <row r="224" ht="29.25" x14ac:dyDescent="0.5"/>
    <row r="225" ht="29.25" x14ac:dyDescent="0.5"/>
    <row r="226" ht="29.25" x14ac:dyDescent="0.5"/>
    <row r="227" ht="29.25" x14ac:dyDescent="0.5"/>
    <row r="228" ht="29.25" x14ac:dyDescent="0.5"/>
    <row r="229" ht="29.25" x14ac:dyDescent="0.5"/>
    <row r="230" ht="29.25" x14ac:dyDescent="0.5"/>
    <row r="231" ht="29.25" x14ac:dyDescent="0.5"/>
    <row r="232" ht="29.25" x14ac:dyDescent="0.5"/>
    <row r="233" ht="29.25" x14ac:dyDescent="0.5"/>
    <row r="234" ht="29.25" x14ac:dyDescent="0.5"/>
    <row r="235" ht="29.25" x14ac:dyDescent="0.5"/>
    <row r="236" ht="29.25" x14ac:dyDescent="0.5"/>
    <row r="237" ht="29.25" x14ac:dyDescent="0.5"/>
    <row r="238" ht="29.25" x14ac:dyDescent="0.5"/>
    <row r="239" ht="29.25" x14ac:dyDescent="0.5"/>
    <row r="240" ht="29.25" x14ac:dyDescent="0.5"/>
    <row r="241" ht="29.25" x14ac:dyDescent="0.5"/>
    <row r="242" ht="29.25" x14ac:dyDescent="0.5"/>
    <row r="243" ht="29.25" x14ac:dyDescent="0.5"/>
    <row r="244" ht="29.25" x14ac:dyDescent="0.5"/>
    <row r="245" ht="29.25" x14ac:dyDescent="0.5"/>
    <row r="246" ht="29.25" x14ac:dyDescent="0.5"/>
    <row r="247" ht="29.25" x14ac:dyDescent="0.5"/>
    <row r="248" ht="29.25" x14ac:dyDescent="0.5"/>
    <row r="249" ht="29.25" x14ac:dyDescent="0.5"/>
    <row r="250" ht="29.25" x14ac:dyDescent="0.5"/>
    <row r="251" ht="29.25" x14ac:dyDescent="0.5"/>
    <row r="252" ht="29.25" x14ac:dyDescent="0.5"/>
    <row r="253" ht="29.25" x14ac:dyDescent="0.5"/>
    <row r="254" ht="29.25" x14ac:dyDescent="0.5"/>
    <row r="255" ht="29.25" x14ac:dyDescent="0.5"/>
    <row r="256" ht="29.25" x14ac:dyDescent="0.5"/>
    <row r="257" ht="29.25" x14ac:dyDescent="0.5"/>
    <row r="258" ht="29.25" x14ac:dyDescent="0.5"/>
    <row r="259" ht="29.25" x14ac:dyDescent="0.5"/>
    <row r="260" ht="29.25" x14ac:dyDescent="0.5"/>
    <row r="261" ht="29.25" x14ac:dyDescent="0.5"/>
    <row r="262" ht="29.25" x14ac:dyDescent="0.5"/>
    <row r="263" ht="29.25" x14ac:dyDescent="0.5"/>
    <row r="264" ht="29.25" x14ac:dyDescent="0.5"/>
    <row r="265" ht="29.25" x14ac:dyDescent="0.5"/>
    <row r="266" ht="29.25" x14ac:dyDescent="0.5"/>
    <row r="267" ht="29.25" x14ac:dyDescent="0.5"/>
    <row r="268" ht="29.25" x14ac:dyDescent="0.5"/>
    <row r="269" ht="29.25" x14ac:dyDescent="0.5"/>
    <row r="270" ht="29.25" x14ac:dyDescent="0.5"/>
    <row r="313" ht="29.25" x14ac:dyDescent="0.5"/>
    <row r="314" ht="29.25" x14ac:dyDescent="0.5"/>
    <row r="315" ht="29.25" x14ac:dyDescent="0.5"/>
    <row r="316" ht="29.25" x14ac:dyDescent="0.5"/>
    <row r="317" ht="29.25" x14ac:dyDescent="0.5"/>
    <row r="318" ht="29.25" x14ac:dyDescent="0.5"/>
    <row r="319" ht="29.25" x14ac:dyDescent="0.5"/>
    <row r="320" ht="29.25" x14ac:dyDescent="0.5"/>
    <row r="321" ht="29.25" x14ac:dyDescent="0.5"/>
    <row r="322" ht="29.25" x14ac:dyDescent="0.5"/>
    <row r="323" ht="29.25" x14ac:dyDescent="0.5"/>
    <row r="324" ht="29.25" x14ac:dyDescent="0.5"/>
    <row r="325" ht="29.25" x14ac:dyDescent="0.5"/>
    <row r="326" ht="29.25" x14ac:dyDescent="0.5"/>
    <row r="327" ht="29.25" x14ac:dyDescent="0.5"/>
    <row r="328" ht="29.25" x14ac:dyDescent="0.5"/>
    <row r="329" ht="29.25" x14ac:dyDescent="0.5"/>
    <row r="330" ht="29.25" x14ac:dyDescent="0.5"/>
    <row r="331" ht="29.25" x14ac:dyDescent="0.5"/>
    <row r="332" ht="29.25" x14ac:dyDescent="0.5"/>
    <row r="333" ht="29.25" x14ac:dyDescent="0.5"/>
    <row r="334" ht="29.25" x14ac:dyDescent="0.5"/>
    <row r="335" ht="29.25" x14ac:dyDescent="0.5"/>
    <row r="336" ht="29.25" x14ac:dyDescent="0.5"/>
    <row r="337" ht="29.25" x14ac:dyDescent="0.5"/>
    <row r="338" ht="29.25" x14ac:dyDescent="0.5"/>
    <row r="339" ht="29.25" x14ac:dyDescent="0.5"/>
    <row r="340" ht="29.25" x14ac:dyDescent="0.5"/>
    <row r="341" ht="29.25" x14ac:dyDescent="0.5"/>
    <row r="342" ht="29.25" x14ac:dyDescent="0.5"/>
    <row r="343" ht="29.25" x14ac:dyDescent="0.5"/>
    <row r="344" ht="29.25" x14ac:dyDescent="0.5"/>
    <row r="345" ht="29.25" x14ac:dyDescent="0.5"/>
    <row r="346" ht="29.25" x14ac:dyDescent="0.5"/>
    <row r="347" ht="29.25" x14ac:dyDescent="0.5"/>
    <row r="348" ht="29.25" x14ac:dyDescent="0.5"/>
    <row r="349" ht="29.25" x14ac:dyDescent="0.5"/>
    <row r="350" ht="29.25" x14ac:dyDescent="0.5"/>
    <row r="351" ht="29.25" x14ac:dyDescent="0.5"/>
    <row r="352" ht="29.25" x14ac:dyDescent="0.5"/>
    <row r="353" ht="29.25" x14ac:dyDescent="0.5"/>
    <row r="354" ht="29.25" x14ac:dyDescent="0.5"/>
    <row r="355" ht="29.25" x14ac:dyDescent="0.5"/>
    <row r="356" ht="29.25" x14ac:dyDescent="0.5"/>
    <row r="357" ht="29.25" x14ac:dyDescent="0.5"/>
    <row r="358" ht="29.25" x14ac:dyDescent="0.5"/>
    <row r="359" ht="29.25" x14ac:dyDescent="0.5"/>
    <row r="360" ht="29.25" x14ac:dyDescent="0.5"/>
    <row r="361" ht="29.25" x14ac:dyDescent="0.5"/>
    <row r="362" ht="29.25" x14ac:dyDescent="0.5"/>
    <row r="363" ht="29.25" x14ac:dyDescent="0.5"/>
    <row r="364" ht="29.25" x14ac:dyDescent="0.5"/>
    <row r="365" ht="29.25" x14ac:dyDescent="0.5"/>
    <row r="366" ht="29.25" x14ac:dyDescent="0.5"/>
    <row r="367" ht="29.25" x14ac:dyDescent="0.5"/>
    <row r="368" ht="29.25" x14ac:dyDescent="0.5"/>
    <row r="369" ht="29.25" x14ac:dyDescent="0.5"/>
    <row r="370" ht="29.25" x14ac:dyDescent="0.5"/>
    <row r="371" ht="29.25" x14ac:dyDescent="0.5"/>
    <row r="372" ht="29.25" x14ac:dyDescent="0.5"/>
    <row r="373" ht="29.25" x14ac:dyDescent="0.5"/>
    <row r="374" ht="29.25" x14ac:dyDescent="0.5"/>
    <row r="375" ht="29.25" x14ac:dyDescent="0.5"/>
    <row r="376" ht="29.25" x14ac:dyDescent="0.5"/>
    <row r="377" ht="29.25" x14ac:dyDescent="0.5"/>
    <row r="378" ht="29.25" x14ac:dyDescent="0.5"/>
    <row r="379" ht="29.25" x14ac:dyDescent="0.5"/>
    <row r="380" ht="29.25" x14ac:dyDescent="0.5"/>
    <row r="381" ht="29.25" x14ac:dyDescent="0.5"/>
    <row r="382" ht="29.25" x14ac:dyDescent="0.5"/>
    <row r="383" ht="29.25" x14ac:dyDescent="0.5"/>
    <row r="384" ht="29.25" x14ac:dyDescent="0.5"/>
    <row r="385" ht="29.25" x14ac:dyDescent="0.5"/>
    <row r="386" ht="29.25" x14ac:dyDescent="0.5"/>
    <row r="387" ht="29.25" x14ac:dyDescent="0.5"/>
    <row r="388" ht="29.25" x14ac:dyDescent="0.5"/>
    <row r="389" ht="29.25" x14ac:dyDescent="0.5"/>
    <row r="390" ht="29.25" x14ac:dyDescent="0.5"/>
    <row r="391" ht="29.25" x14ac:dyDescent="0.5"/>
    <row r="392" ht="29.25" x14ac:dyDescent="0.5"/>
    <row r="393" ht="29.25" x14ac:dyDescent="0.5"/>
    <row r="394" ht="29.25" x14ac:dyDescent="0.5"/>
    <row r="395" ht="29.25" x14ac:dyDescent="0.5"/>
    <row r="396" ht="29.25" x14ac:dyDescent="0.5"/>
    <row r="397" ht="29.25" x14ac:dyDescent="0.5"/>
    <row r="398" ht="29.25" x14ac:dyDescent="0.5"/>
    <row r="399" ht="29.25" x14ac:dyDescent="0.5"/>
    <row r="400" ht="29.25" x14ac:dyDescent="0.5"/>
    <row r="401" ht="29.25" x14ac:dyDescent="0.5"/>
    <row r="402" ht="29.25" x14ac:dyDescent="0.5"/>
    <row r="403" ht="29.25" x14ac:dyDescent="0.5"/>
    <row r="404" ht="29.25" x14ac:dyDescent="0.5"/>
    <row r="405" ht="29.25" x14ac:dyDescent="0.5"/>
    <row r="406" ht="29.25" x14ac:dyDescent="0.5"/>
    <row r="407" ht="29.25" x14ac:dyDescent="0.5"/>
    <row r="408" ht="29.25" x14ac:dyDescent="0.5"/>
    <row r="409" ht="29.25" x14ac:dyDescent="0.5"/>
    <row r="410" ht="29.25" x14ac:dyDescent="0.5"/>
    <row r="411" ht="29.25" x14ac:dyDescent="0.5"/>
    <row r="412" ht="29.25" x14ac:dyDescent="0.5"/>
    <row r="413" ht="29.25" x14ac:dyDescent="0.5"/>
    <row r="414" ht="29.25" x14ac:dyDescent="0.5"/>
    <row r="415" ht="29.25" x14ac:dyDescent="0.5"/>
    <row r="416" ht="29.25" x14ac:dyDescent="0.5"/>
    <row r="417" ht="29.25" x14ac:dyDescent="0.5"/>
    <row r="418" ht="29.25" x14ac:dyDescent="0.5"/>
    <row r="419" ht="29.25" x14ac:dyDescent="0.5"/>
    <row r="420" ht="29.25" x14ac:dyDescent="0.5"/>
    <row r="421" ht="29.25" x14ac:dyDescent="0.5"/>
    <row r="422" ht="29.25" x14ac:dyDescent="0.5"/>
    <row r="423" ht="29.25" x14ac:dyDescent="0.5"/>
    <row r="424" ht="29.25" x14ac:dyDescent="0.5"/>
    <row r="425" ht="29.25" x14ac:dyDescent="0.5"/>
    <row r="426" ht="29.25" x14ac:dyDescent="0.5"/>
    <row r="427" ht="29.25" x14ac:dyDescent="0.5"/>
    <row r="428" ht="29.25" x14ac:dyDescent="0.5"/>
    <row r="429" ht="29.25" x14ac:dyDescent="0.5"/>
    <row r="430" ht="29.25" x14ac:dyDescent="0.5"/>
    <row r="431" ht="29.25" x14ac:dyDescent="0.5"/>
    <row r="432" ht="29.25" x14ac:dyDescent="0.5"/>
    <row r="433" ht="29.25" x14ac:dyDescent="0.5"/>
    <row r="434" ht="29.25" x14ac:dyDescent="0.5"/>
    <row r="435" ht="29.25" x14ac:dyDescent="0.5"/>
    <row r="436" ht="29.25" x14ac:dyDescent="0.5"/>
    <row r="437" ht="29.25" x14ac:dyDescent="0.5"/>
    <row r="438" ht="29.25" x14ac:dyDescent="0.5"/>
    <row r="439" ht="29.25" x14ac:dyDescent="0.5"/>
    <row r="440" ht="29.25" x14ac:dyDescent="0.5"/>
    <row r="441" ht="29.25" x14ac:dyDescent="0.5"/>
    <row r="442" ht="29.25" x14ac:dyDescent="0.5"/>
    <row r="443" ht="29.25" x14ac:dyDescent="0.5"/>
    <row r="444" ht="29.25" x14ac:dyDescent="0.5"/>
    <row r="445" ht="29.25" x14ac:dyDescent="0.5"/>
    <row r="446" ht="29.25" x14ac:dyDescent="0.5"/>
    <row r="447" ht="29.25" x14ac:dyDescent="0.5"/>
    <row r="448" ht="29.25" x14ac:dyDescent="0.5"/>
    <row r="449" ht="29.25" x14ac:dyDescent="0.5"/>
    <row r="450" ht="29.25" x14ac:dyDescent="0.5"/>
    <row r="451" ht="29.25" x14ac:dyDescent="0.5"/>
    <row r="452" ht="29.25" x14ac:dyDescent="0.5"/>
    <row r="453" ht="29.25" x14ac:dyDescent="0.5"/>
    <row r="454" ht="29.25" x14ac:dyDescent="0.5"/>
    <row r="455" ht="29.25" x14ac:dyDescent="0.5"/>
    <row r="456" ht="29.25" x14ac:dyDescent="0.5"/>
    <row r="457" ht="29.25" x14ac:dyDescent="0.5"/>
    <row r="458" ht="29.25" x14ac:dyDescent="0.5"/>
    <row r="459" ht="29.25" x14ac:dyDescent="0.5"/>
    <row r="460" ht="29.25" x14ac:dyDescent="0.5"/>
    <row r="461" ht="29.25" x14ac:dyDescent="0.5"/>
    <row r="462" ht="29.25" x14ac:dyDescent="0.5"/>
    <row r="463" ht="29.25" x14ac:dyDescent="0.5"/>
    <row r="464" ht="29.25" x14ac:dyDescent="0.5"/>
    <row r="465" ht="29.25" x14ac:dyDescent="0.5"/>
    <row r="466" ht="29.25" x14ac:dyDescent="0.5"/>
    <row r="467" ht="29.25" x14ac:dyDescent="0.5"/>
    <row r="468" ht="29.25" x14ac:dyDescent="0.5"/>
    <row r="469" ht="29.25" x14ac:dyDescent="0.5"/>
    <row r="470" ht="29.25" x14ac:dyDescent="0.5"/>
    <row r="471" ht="29.25" x14ac:dyDescent="0.5"/>
    <row r="472" ht="29.25" x14ac:dyDescent="0.5"/>
    <row r="473" ht="29.25" x14ac:dyDescent="0.5"/>
    <row r="474" ht="29.25" x14ac:dyDescent="0.5"/>
    <row r="475" ht="29.25" x14ac:dyDescent="0.5"/>
    <row r="476" ht="29.25" x14ac:dyDescent="0.5"/>
    <row r="477" ht="29.25" x14ac:dyDescent="0.5"/>
    <row r="478" ht="29.25" x14ac:dyDescent="0.5"/>
    <row r="479" ht="29.25" x14ac:dyDescent="0.5"/>
    <row r="480" ht="29.25" x14ac:dyDescent="0.5"/>
    <row r="481" ht="29.25" x14ac:dyDescent="0.5"/>
    <row r="482" ht="29.25" x14ac:dyDescent="0.5"/>
    <row r="483" ht="29.25" x14ac:dyDescent="0.5"/>
    <row r="484" ht="29.25" x14ac:dyDescent="0.5"/>
    <row r="485" ht="29.25" x14ac:dyDescent="0.5"/>
    <row r="486" ht="29.25" x14ac:dyDescent="0.5"/>
    <row r="487" ht="29.25" x14ac:dyDescent="0.5"/>
    <row r="488" ht="29.25" x14ac:dyDescent="0.5"/>
    <row r="489" ht="29.25" x14ac:dyDescent="0.5"/>
    <row r="490" ht="29.25" x14ac:dyDescent="0.5"/>
    <row r="491" ht="29.25" x14ac:dyDescent="0.5"/>
    <row r="492" ht="29.25" x14ac:dyDescent="0.5"/>
    <row r="493" ht="29.25" x14ac:dyDescent="0.5"/>
    <row r="494" ht="29.25" x14ac:dyDescent="0.5"/>
    <row r="495" ht="29.25" x14ac:dyDescent="0.5"/>
    <row r="496" ht="29.25" x14ac:dyDescent="0.5"/>
    <row r="497" ht="29.25" x14ac:dyDescent="0.5"/>
    <row r="498" ht="29.25" x14ac:dyDescent="0.5"/>
    <row r="499" ht="29.25" x14ac:dyDescent="0.5"/>
    <row r="500" ht="29.25" x14ac:dyDescent="0.5"/>
    <row r="501" ht="29.25" x14ac:dyDescent="0.5"/>
    <row r="502" ht="29.25" x14ac:dyDescent="0.5"/>
    <row r="503" ht="29.25" x14ac:dyDescent="0.5"/>
    <row r="504" ht="29.25" x14ac:dyDescent="0.5"/>
    <row r="505" ht="29.25" x14ac:dyDescent="0.5"/>
    <row r="506" ht="29.25" x14ac:dyDescent="0.5"/>
    <row r="507" ht="29.25" x14ac:dyDescent="0.5"/>
    <row r="508" ht="29.25" x14ac:dyDescent="0.5"/>
    <row r="509" ht="29.25" x14ac:dyDescent="0.5"/>
    <row r="510" ht="29.25" x14ac:dyDescent="0.5"/>
    <row r="511" ht="29.25" x14ac:dyDescent="0.5"/>
    <row r="512" ht="29.25" x14ac:dyDescent="0.5"/>
    <row r="513" ht="29.25" x14ac:dyDescent="0.5"/>
    <row r="514" ht="29.25" x14ac:dyDescent="0.5"/>
    <row r="515" ht="29.25" x14ac:dyDescent="0.5"/>
    <row r="516" ht="29.25" x14ac:dyDescent="0.5"/>
    <row r="517" ht="29.25" x14ac:dyDescent="0.5"/>
    <row r="518" ht="29.25" x14ac:dyDescent="0.5"/>
    <row r="519" ht="29.25" x14ac:dyDescent="0.5"/>
    <row r="520" ht="29.25" x14ac:dyDescent="0.5"/>
    <row r="521" ht="29.25" x14ac:dyDescent="0.5"/>
    <row r="522" ht="29.25" x14ac:dyDescent="0.5"/>
    <row r="523" ht="29.25" x14ac:dyDescent="0.5"/>
    <row r="524" ht="29.25" x14ac:dyDescent="0.5"/>
    <row r="525" ht="29.25" x14ac:dyDescent="0.5"/>
    <row r="526" ht="29.25" x14ac:dyDescent="0.5"/>
    <row r="527" ht="29.25" x14ac:dyDescent="0.5"/>
    <row r="528" ht="29.25" x14ac:dyDescent="0.5"/>
    <row r="529" ht="29.25" x14ac:dyDescent="0.5"/>
    <row r="530" ht="29.25" x14ac:dyDescent="0.5"/>
    <row r="531" ht="29.25" x14ac:dyDescent="0.5"/>
    <row r="532" ht="29.25" x14ac:dyDescent="0.5"/>
    <row r="533" ht="29.25" x14ac:dyDescent="0.5"/>
    <row r="534" ht="29.25" x14ac:dyDescent="0.5"/>
    <row r="535" ht="29.25" x14ac:dyDescent="0.5"/>
    <row r="536" ht="29.25" x14ac:dyDescent="0.5"/>
    <row r="537" ht="29.25" x14ac:dyDescent="0.5"/>
    <row r="538" ht="29.25" x14ac:dyDescent="0.5"/>
    <row r="539" ht="29.25" x14ac:dyDescent="0.5"/>
    <row r="540" ht="29.25" x14ac:dyDescent="0.5"/>
    <row r="541" ht="29.25" x14ac:dyDescent="0.5"/>
    <row r="542" ht="29.25" x14ac:dyDescent="0.5"/>
    <row r="543" ht="29.25" x14ac:dyDescent="0.5"/>
    <row r="544" ht="29.25" x14ac:dyDescent="0.5"/>
    <row r="545" ht="29.25" x14ac:dyDescent="0.5"/>
    <row r="546" ht="29.25" x14ac:dyDescent="0.5"/>
    <row r="547" ht="29.25" x14ac:dyDescent="0.5"/>
    <row r="548" ht="29.25" x14ac:dyDescent="0.5"/>
    <row r="549" ht="29.25" x14ac:dyDescent="0.5"/>
    <row r="550" ht="29.25" x14ac:dyDescent="0.5"/>
    <row r="551" ht="29.25" x14ac:dyDescent="0.5"/>
    <row r="552" ht="29.25" x14ac:dyDescent="0.5"/>
    <row r="553" ht="29.25" x14ac:dyDescent="0.5"/>
    <row r="554" ht="29.25" x14ac:dyDescent="0.5"/>
    <row r="555" ht="29.25" x14ac:dyDescent="0.5"/>
    <row r="556" ht="29.25" x14ac:dyDescent="0.5"/>
    <row r="557" ht="29.25" x14ac:dyDescent="0.5"/>
    <row r="558" ht="29.25" x14ac:dyDescent="0.5"/>
    <row r="559" ht="29.25" x14ac:dyDescent="0.5"/>
    <row r="560" ht="29.25" x14ac:dyDescent="0.5"/>
    <row r="561" ht="29.25" x14ac:dyDescent="0.5"/>
    <row r="562" ht="29.25" x14ac:dyDescent="0.5"/>
    <row r="563" ht="29.25" x14ac:dyDescent="0.5"/>
    <row r="564" ht="29.25" x14ac:dyDescent="0.5"/>
    <row r="565" ht="29.25" x14ac:dyDescent="0.5"/>
    <row r="566" ht="29.25" x14ac:dyDescent="0.5"/>
    <row r="567" ht="29.25" x14ac:dyDescent="0.5"/>
    <row r="568" ht="29.25" x14ac:dyDescent="0.5"/>
    <row r="569" ht="29.25" x14ac:dyDescent="0.5"/>
    <row r="570" ht="29.25" x14ac:dyDescent="0.5"/>
    <row r="571" ht="29.25" x14ac:dyDescent="0.5"/>
    <row r="572" ht="29.25" x14ac:dyDescent="0.5"/>
    <row r="573" ht="29.25" x14ac:dyDescent="0.5"/>
    <row r="574" ht="29.25" x14ac:dyDescent="0.5"/>
    <row r="575" ht="29.25" x14ac:dyDescent="0.5"/>
    <row r="576" ht="29.25" x14ac:dyDescent="0.5"/>
    <row r="577" ht="29.25" x14ac:dyDescent="0.5"/>
    <row r="578" ht="29.25" x14ac:dyDescent="0.5"/>
    <row r="579" ht="29.25" x14ac:dyDescent="0.5"/>
    <row r="580" ht="29.25" x14ac:dyDescent="0.5"/>
    <row r="581" ht="29.25" x14ac:dyDescent="0.5"/>
    <row r="582" ht="29.25" x14ac:dyDescent="0.5"/>
    <row r="583" ht="29.25" x14ac:dyDescent="0.5"/>
    <row r="584" ht="29.25" x14ac:dyDescent="0.5"/>
    <row r="585" ht="29.25" x14ac:dyDescent="0.5"/>
    <row r="586" ht="29.25" x14ac:dyDescent="0.5"/>
    <row r="587" ht="29.25" x14ac:dyDescent="0.5"/>
    <row r="588" ht="29.25" x14ac:dyDescent="0.5"/>
    <row r="589" ht="29.25" x14ac:dyDescent="0.5"/>
    <row r="590" ht="29.25" x14ac:dyDescent="0.5"/>
    <row r="591" ht="29.25" x14ac:dyDescent="0.5"/>
    <row r="592" ht="29.25" x14ac:dyDescent="0.5"/>
    <row r="593" ht="29.25" x14ac:dyDescent="0.5"/>
    <row r="594" ht="29.25" x14ac:dyDescent="0.5"/>
    <row r="595" ht="29.25" x14ac:dyDescent="0.5"/>
    <row r="596" ht="29.25" x14ac:dyDescent="0.5"/>
    <row r="597" ht="29.25" x14ac:dyDescent="0.5"/>
    <row r="598" ht="29.25" x14ac:dyDescent="0.5"/>
    <row r="599" ht="29.25" x14ac:dyDescent="0.5"/>
    <row r="600" ht="29.25" x14ac:dyDescent="0.5"/>
    <row r="601" ht="29.25" x14ac:dyDescent="0.5"/>
    <row r="602" ht="29.25" x14ac:dyDescent="0.5"/>
    <row r="603" ht="29.25" x14ac:dyDescent="0.5"/>
    <row r="604" ht="29.25" x14ac:dyDescent="0.5"/>
    <row r="605" ht="29.25" x14ac:dyDescent="0.5"/>
    <row r="606" ht="29.25" x14ac:dyDescent="0.5"/>
    <row r="607" ht="29.25" x14ac:dyDescent="0.5"/>
    <row r="608" ht="29.25" x14ac:dyDescent="0.5"/>
    <row r="609" ht="29.25" x14ac:dyDescent="0.5"/>
    <row r="610" ht="29.25" x14ac:dyDescent="0.5"/>
    <row r="611" ht="29.25" x14ac:dyDescent="0.5"/>
    <row r="612" ht="29.25" x14ac:dyDescent="0.5"/>
    <row r="613" ht="29.25" x14ac:dyDescent="0.5"/>
    <row r="614" ht="29.25" x14ac:dyDescent="0.5"/>
    <row r="615" ht="29.25" x14ac:dyDescent="0.5"/>
    <row r="616" ht="29.25" x14ac:dyDescent="0.5"/>
    <row r="617" ht="29.25" x14ac:dyDescent="0.5"/>
    <row r="618" ht="29.25" x14ac:dyDescent="0.5"/>
    <row r="619" ht="29.25" x14ac:dyDescent="0.5"/>
    <row r="620" ht="29.25" x14ac:dyDescent="0.5"/>
    <row r="621" ht="29.25" x14ac:dyDescent="0.5"/>
    <row r="622" ht="29.25" x14ac:dyDescent="0.5"/>
    <row r="623" ht="29.25" x14ac:dyDescent="0.5"/>
    <row r="624" ht="29.25" x14ac:dyDescent="0.5"/>
    <row r="625" ht="29.25" x14ac:dyDescent="0.5"/>
    <row r="626" ht="29.25" x14ac:dyDescent="0.5"/>
    <row r="627" ht="29.25" x14ac:dyDescent="0.5"/>
    <row r="628" ht="29.25" x14ac:dyDescent="0.5"/>
    <row r="629" ht="29.25" x14ac:dyDescent="0.5"/>
    <row r="630" ht="29.25" x14ac:dyDescent="0.5"/>
    <row r="631" ht="29.25" x14ac:dyDescent="0.5"/>
    <row r="632" ht="29.25" x14ac:dyDescent="0.5"/>
    <row r="633" ht="29.25" x14ac:dyDescent="0.5"/>
    <row r="634" ht="29.25" x14ac:dyDescent="0.5"/>
    <row r="635" ht="29.25" x14ac:dyDescent="0.5"/>
    <row r="636" ht="29.25" x14ac:dyDescent="0.5"/>
    <row r="637" ht="29.25" x14ac:dyDescent="0.5"/>
    <row r="638" ht="29.25" x14ac:dyDescent="0.5"/>
    <row r="639" ht="29.25" x14ac:dyDescent="0.5"/>
    <row r="640" ht="29.25" x14ac:dyDescent="0.5"/>
    <row r="641" ht="29.25" x14ac:dyDescent="0.5"/>
    <row r="642" ht="29.25" x14ac:dyDescent="0.5"/>
    <row r="643" ht="29.25" x14ac:dyDescent="0.5"/>
    <row r="644" ht="29.25" x14ac:dyDescent="0.5"/>
    <row r="645" ht="29.25" x14ac:dyDescent="0.5"/>
    <row r="646" ht="29.25" x14ac:dyDescent="0.5"/>
    <row r="647" ht="29.25" x14ac:dyDescent="0.5"/>
    <row r="648" ht="29.25" x14ac:dyDescent="0.5"/>
    <row r="649" ht="29.25" x14ac:dyDescent="0.5"/>
    <row r="650" ht="29.25" x14ac:dyDescent="0.5"/>
    <row r="651" ht="29.25" x14ac:dyDescent="0.5"/>
    <row r="652" ht="29.25" x14ac:dyDescent="0.5"/>
    <row r="653" ht="29.25" x14ac:dyDescent="0.5"/>
    <row r="654" ht="29.25" x14ac:dyDescent="0.5"/>
    <row r="655" ht="29.25" x14ac:dyDescent="0.5"/>
    <row r="656" ht="29.25" x14ac:dyDescent="0.5"/>
    <row r="657" ht="29.25" x14ac:dyDescent="0.5"/>
    <row r="658" ht="29.25" x14ac:dyDescent="0.5"/>
    <row r="659" ht="29.25" x14ac:dyDescent="0.5"/>
    <row r="660" ht="29.25" x14ac:dyDescent="0.5"/>
    <row r="661" ht="29.25" x14ac:dyDescent="0.5"/>
    <row r="662" ht="29.25" x14ac:dyDescent="0.5"/>
    <row r="663" ht="29.25" x14ac:dyDescent="0.5"/>
    <row r="664" ht="29.25" x14ac:dyDescent="0.5"/>
    <row r="665" ht="29.25" x14ac:dyDescent="0.5"/>
    <row r="666" ht="29.25" x14ac:dyDescent="0.5"/>
    <row r="667" ht="29.25" x14ac:dyDescent="0.5"/>
    <row r="668" ht="29.25" x14ac:dyDescent="0.5"/>
    <row r="669" ht="29.25" x14ac:dyDescent="0.5"/>
    <row r="670" ht="29.25" x14ac:dyDescent="0.5"/>
    <row r="671" ht="29.25" x14ac:dyDescent="0.5"/>
    <row r="672" ht="29.25" x14ac:dyDescent="0.5"/>
    <row r="673" ht="29.25" x14ac:dyDescent="0.5"/>
    <row r="674" ht="29.25" x14ac:dyDescent="0.5"/>
    <row r="675" ht="29.25" x14ac:dyDescent="0.5"/>
    <row r="676" ht="29.25" x14ac:dyDescent="0.5"/>
    <row r="677" ht="29.25" x14ac:dyDescent="0.5"/>
    <row r="678" ht="29.25" x14ac:dyDescent="0.5"/>
    <row r="679" ht="29.25" x14ac:dyDescent="0.5"/>
    <row r="680" ht="29.25" x14ac:dyDescent="0.5"/>
    <row r="681" ht="29.25" x14ac:dyDescent="0.5"/>
    <row r="682" ht="29.25" x14ac:dyDescent="0.5"/>
    <row r="683" ht="29.25" x14ac:dyDescent="0.5"/>
    <row r="684" ht="29.25" x14ac:dyDescent="0.5"/>
    <row r="685" ht="29.25" x14ac:dyDescent="0.5"/>
    <row r="686" ht="29.25" x14ac:dyDescent="0.5"/>
    <row r="687" ht="29.25" x14ac:dyDescent="0.5"/>
    <row r="688" ht="29.25" x14ac:dyDescent="0.5"/>
    <row r="689" ht="29.25" x14ac:dyDescent="0.5"/>
    <row r="690" ht="29.25" x14ac:dyDescent="0.5"/>
    <row r="691" ht="29.25" x14ac:dyDescent="0.5"/>
    <row r="692" ht="29.25" x14ac:dyDescent="0.5"/>
    <row r="693" ht="29.25" x14ac:dyDescent="0.5"/>
    <row r="694" ht="29.25" x14ac:dyDescent="0.5"/>
    <row r="695" ht="29.25" x14ac:dyDescent="0.5"/>
    <row r="696" ht="29.25" x14ac:dyDescent="0.5"/>
    <row r="697" ht="29.25" x14ac:dyDescent="0.5"/>
    <row r="698" ht="29.25" x14ac:dyDescent="0.5"/>
    <row r="699" ht="29.25" x14ac:dyDescent="0.5"/>
    <row r="700" ht="29.25" x14ac:dyDescent="0.5"/>
    <row r="701" ht="29.25" x14ac:dyDescent="0.5"/>
    <row r="702" ht="29.25" x14ac:dyDescent="0.5"/>
    <row r="703" ht="29.25" x14ac:dyDescent="0.5"/>
    <row r="704" ht="29.25" x14ac:dyDescent="0.5"/>
    <row r="705" ht="29.25" x14ac:dyDescent="0.5"/>
    <row r="706" ht="29.25" x14ac:dyDescent="0.5"/>
    <row r="707" ht="29.25" x14ac:dyDescent="0.5"/>
    <row r="708" ht="29.25" x14ac:dyDescent="0.5"/>
    <row r="709" ht="29.25" x14ac:dyDescent="0.5"/>
    <row r="710" ht="29.25" x14ac:dyDescent="0.5"/>
    <row r="711" ht="29.25" x14ac:dyDescent="0.5"/>
    <row r="712" ht="29.25" x14ac:dyDescent="0.5"/>
    <row r="713" ht="29.25" x14ac:dyDescent="0.5"/>
    <row r="714" ht="29.25" x14ac:dyDescent="0.5"/>
    <row r="715" ht="29.25" x14ac:dyDescent="0.5"/>
    <row r="716" ht="29.25" x14ac:dyDescent="0.5"/>
    <row r="717" ht="29.25" x14ac:dyDescent="0.5"/>
    <row r="718" ht="29.25" x14ac:dyDescent="0.5"/>
    <row r="719" ht="29.25" x14ac:dyDescent="0.5"/>
    <row r="720" ht="29.25" x14ac:dyDescent="0.5"/>
    <row r="721" ht="29.25" x14ac:dyDescent="0.5"/>
    <row r="722" ht="29.25" x14ac:dyDescent="0.5"/>
    <row r="723" ht="29.25" x14ac:dyDescent="0.5"/>
    <row r="724" ht="29.25" x14ac:dyDescent="0.5"/>
    <row r="725" ht="29.25" x14ac:dyDescent="0.5"/>
    <row r="726" ht="29.25" x14ac:dyDescent="0.5"/>
    <row r="727" ht="29.25" x14ac:dyDescent="0.5"/>
    <row r="728" ht="29.25" x14ac:dyDescent="0.5"/>
    <row r="729" ht="29.25" x14ac:dyDescent="0.5"/>
    <row r="730" ht="29.25" x14ac:dyDescent="0.5"/>
    <row r="731" ht="29.25" x14ac:dyDescent="0.5"/>
    <row r="732" ht="29.25" x14ac:dyDescent="0.5"/>
    <row r="733" ht="29.25" x14ac:dyDescent="0.5"/>
    <row r="734" ht="29.25" x14ac:dyDescent="0.5"/>
    <row r="735" ht="29.25" x14ac:dyDescent="0.5"/>
    <row r="736" ht="29.25" x14ac:dyDescent="0.5"/>
    <row r="737" ht="29.25" x14ac:dyDescent="0.5"/>
    <row r="738" ht="29.25" x14ac:dyDescent="0.5"/>
    <row r="739" ht="29.25" x14ac:dyDescent="0.5"/>
    <row r="740" ht="29.25" x14ac:dyDescent="0.5"/>
    <row r="741" ht="29.25" x14ac:dyDescent="0.5"/>
    <row r="742" ht="29.25" x14ac:dyDescent="0.5"/>
    <row r="743" ht="29.25" x14ac:dyDescent="0.5"/>
    <row r="744" ht="29.25" x14ac:dyDescent="0.5"/>
    <row r="745" ht="29.25" x14ac:dyDescent="0.5"/>
    <row r="746" ht="29.25" x14ac:dyDescent="0.5"/>
    <row r="747" ht="29.25" x14ac:dyDescent="0.5"/>
    <row r="748" ht="29.25" x14ac:dyDescent="0.5"/>
    <row r="749" ht="29.25" x14ac:dyDescent="0.5"/>
    <row r="750" ht="29.25" x14ac:dyDescent="0.5"/>
    <row r="751" ht="29.25" x14ac:dyDescent="0.5"/>
    <row r="752" ht="29.25" x14ac:dyDescent="0.5"/>
    <row r="753" ht="29.25" x14ac:dyDescent="0.5"/>
    <row r="754" ht="29.25" x14ac:dyDescent="0.5"/>
    <row r="755" ht="29.25" x14ac:dyDescent="0.5"/>
    <row r="756" ht="29.25" x14ac:dyDescent="0.5"/>
    <row r="757" ht="29.25" x14ac:dyDescent="0.5"/>
    <row r="758" ht="29.25" x14ac:dyDescent="0.5"/>
    <row r="759" ht="29.25" x14ac:dyDescent="0.5"/>
    <row r="760" ht="29.25" x14ac:dyDescent="0.5"/>
    <row r="761" ht="29.25" x14ac:dyDescent="0.5"/>
    <row r="762" ht="29.25" x14ac:dyDescent="0.5"/>
    <row r="763" ht="29.25" x14ac:dyDescent="0.5"/>
    <row r="764" ht="29.25" x14ac:dyDescent="0.5"/>
    <row r="765" ht="29.25" x14ac:dyDescent="0.5"/>
    <row r="766" ht="29.25" x14ac:dyDescent="0.5"/>
    <row r="767" ht="29.25" x14ac:dyDescent="0.5"/>
    <row r="768" ht="29.25" x14ac:dyDescent="0.5"/>
    <row r="769" ht="29.25" x14ac:dyDescent="0.5"/>
    <row r="770" ht="29.25" x14ac:dyDescent="0.5"/>
    <row r="771" ht="29.25" x14ac:dyDescent="0.5"/>
    <row r="772" ht="29.25" x14ac:dyDescent="0.5"/>
    <row r="773" ht="29.25" x14ac:dyDescent="0.5"/>
    <row r="774" ht="29.25" x14ac:dyDescent="0.5"/>
    <row r="775" ht="29.25" x14ac:dyDescent="0.5"/>
    <row r="776" ht="29.25" x14ac:dyDescent="0.5"/>
    <row r="777" ht="29.25" x14ac:dyDescent="0.5"/>
    <row r="778" ht="29.25" x14ac:dyDescent="0.5"/>
    <row r="779" ht="29.25" x14ac:dyDescent="0.5"/>
    <row r="780" ht="29.25" x14ac:dyDescent="0.5"/>
    <row r="781" ht="29.25" x14ac:dyDescent="0.5"/>
    <row r="782" ht="29.25" x14ac:dyDescent="0.5"/>
    <row r="783" ht="29.25" x14ac:dyDescent="0.5"/>
    <row r="784" ht="29.25" x14ac:dyDescent="0.5"/>
    <row r="785" ht="29.25" x14ac:dyDescent="0.5"/>
    <row r="786" ht="29.25" x14ac:dyDescent="0.5"/>
    <row r="787" ht="29.25" x14ac:dyDescent="0.5"/>
    <row r="788" ht="29.25" x14ac:dyDescent="0.5"/>
    <row r="789" ht="29.25" x14ac:dyDescent="0.5"/>
    <row r="790" ht="29.25" x14ac:dyDescent="0.5"/>
    <row r="791" ht="29.25" x14ac:dyDescent="0.5"/>
    <row r="792" ht="29.25" x14ac:dyDescent="0.5"/>
    <row r="793" ht="29.25" x14ac:dyDescent="0.5"/>
    <row r="794" ht="29.25" x14ac:dyDescent="0.5"/>
    <row r="795" ht="29.25" x14ac:dyDescent="0.5"/>
    <row r="796" ht="29.25" x14ac:dyDescent="0.5"/>
    <row r="797" ht="29.25" x14ac:dyDescent="0.5"/>
    <row r="798" ht="29.25" x14ac:dyDescent="0.5"/>
    <row r="799" ht="29.25" x14ac:dyDescent="0.5"/>
    <row r="800" ht="29.25" x14ac:dyDescent="0.5"/>
    <row r="801" ht="29.25" x14ac:dyDescent="0.5"/>
    <row r="802" ht="29.25" x14ac:dyDescent="0.5"/>
    <row r="803" ht="29.25" x14ac:dyDescent="0.5"/>
    <row r="804" ht="29.25" x14ac:dyDescent="0.5"/>
    <row r="805" ht="29.25" x14ac:dyDescent="0.5"/>
    <row r="806" ht="29.25" x14ac:dyDescent="0.5"/>
    <row r="807" ht="29.25" x14ac:dyDescent="0.5"/>
    <row r="808" ht="29.25" x14ac:dyDescent="0.5"/>
    <row r="809" ht="29.25" x14ac:dyDescent="0.5"/>
    <row r="810" ht="29.25" x14ac:dyDescent="0.5"/>
    <row r="811" ht="29.25" x14ac:dyDescent="0.5"/>
    <row r="812" ht="29.25" x14ac:dyDescent="0.5"/>
    <row r="813" ht="29.25" x14ac:dyDescent="0.5"/>
    <row r="814" ht="29.25" x14ac:dyDescent="0.5"/>
    <row r="815" ht="29.25" x14ac:dyDescent="0.5"/>
    <row r="816" ht="29.25" x14ac:dyDescent="0.5"/>
    <row r="817" ht="29.25" x14ac:dyDescent="0.5"/>
    <row r="818" ht="29.25" x14ac:dyDescent="0.5"/>
    <row r="819" ht="29.25" x14ac:dyDescent="0.5"/>
    <row r="820" ht="29.25" x14ac:dyDescent="0.5"/>
    <row r="821" ht="29.25" x14ac:dyDescent="0.5"/>
    <row r="822" ht="29.25" x14ac:dyDescent="0.5"/>
    <row r="823" ht="29.25" x14ac:dyDescent="0.5"/>
    <row r="824" ht="29.25" x14ac:dyDescent="0.5"/>
    <row r="825" ht="29.25" x14ac:dyDescent="0.5"/>
    <row r="826" ht="29.25" x14ac:dyDescent="0.5"/>
    <row r="827" ht="29.25" x14ac:dyDescent="0.5"/>
    <row r="828" ht="29.25" x14ac:dyDescent="0.5"/>
    <row r="829" ht="29.25" x14ac:dyDescent="0.5"/>
    <row r="830" ht="29.25" x14ac:dyDescent="0.5"/>
    <row r="831" ht="29.25" x14ac:dyDescent="0.5"/>
    <row r="832" ht="29.25" x14ac:dyDescent="0.5"/>
    <row r="833" ht="29.25" x14ac:dyDescent="0.5"/>
    <row r="834" ht="29.25" x14ac:dyDescent="0.5"/>
    <row r="835" ht="29.25" x14ac:dyDescent="0.5"/>
    <row r="836" ht="29.25" x14ac:dyDescent="0.5"/>
    <row r="837" ht="29.25" x14ac:dyDescent="0.5"/>
    <row r="838" ht="29.25" x14ac:dyDescent="0.5"/>
    <row r="839" ht="29.25" x14ac:dyDescent="0.5"/>
    <row r="840" ht="29.25" x14ac:dyDescent="0.5"/>
    <row r="841" ht="29.25" x14ac:dyDescent="0.5"/>
    <row r="842" ht="29.25" x14ac:dyDescent="0.5"/>
    <row r="843" ht="29.25" x14ac:dyDescent="0.5"/>
    <row r="844" ht="29.25" x14ac:dyDescent="0.5"/>
    <row r="845" ht="29.25" x14ac:dyDescent="0.5"/>
    <row r="846" ht="29.25" x14ac:dyDescent="0.5"/>
    <row r="847" ht="29.25" x14ac:dyDescent="0.5"/>
    <row r="848" ht="29.25" x14ac:dyDescent="0.5"/>
    <row r="849" ht="29.25" x14ac:dyDescent="0.5"/>
    <row r="850" ht="29.25" x14ac:dyDescent="0.5"/>
    <row r="851" ht="29.25" x14ac:dyDescent="0.5"/>
    <row r="852" ht="29.25" x14ac:dyDescent="0.5"/>
    <row r="853" ht="29.25" x14ac:dyDescent="0.5"/>
    <row r="854" ht="29.25" x14ac:dyDescent="0.5"/>
    <row r="855" ht="29.25" x14ac:dyDescent="0.5"/>
    <row r="856" ht="29.25" x14ac:dyDescent="0.5"/>
    <row r="857" ht="29.25" x14ac:dyDescent="0.5"/>
    <row r="858" ht="29.25" x14ac:dyDescent="0.5"/>
    <row r="859" ht="29.25" x14ac:dyDescent="0.5"/>
    <row r="860" ht="29.25" x14ac:dyDescent="0.5"/>
    <row r="861" ht="29.25" x14ac:dyDescent="0.5"/>
    <row r="862" ht="29.25" x14ac:dyDescent="0.5"/>
    <row r="863" ht="29.25" x14ac:dyDescent="0.5"/>
    <row r="864" ht="29.25" x14ac:dyDescent="0.5"/>
    <row r="865" ht="29.25" x14ac:dyDescent="0.5"/>
    <row r="866" ht="29.25" x14ac:dyDescent="0.5"/>
    <row r="867" ht="29.25" x14ac:dyDescent="0.5"/>
    <row r="868" ht="29.25" x14ac:dyDescent="0.5"/>
    <row r="869" ht="29.25" x14ac:dyDescent="0.5"/>
    <row r="870" ht="29.25" x14ac:dyDescent="0.5"/>
    <row r="871" ht="29.25" x14ac:dyDescent="0.5"/>
    <row r="872" ht="29.25" x14ac:dyDescent="0.5"/>
    <row r="873" ht="29.25" x14ac:dyDescent="0.5"/>
    <row r="874" ht="29.25" x14ac:dyDescent="0.5"/>
    <row r="875" ht="29.25" x14ac:dyDescent="0.5"/>
    <row r="876" ht="29.25" x14ac:dyDescent="0.5"/>
    <row r="877" ht="29.25" x14ac:dyDescent="0.5"/>
    <row r="878" ht="29.25" x14ac:dyDescent="0.5"/>
    <row r="879" ht="29.25" x14ac:dyDescent="0.5"/>
    <row r="880" ht="29.25" x14ac:dyDescent="0.5"/>
    <row r="881" ht="29.25" x14ac:dyDescent="0.5"/>
    <row r="882" ht="29.25" x14ac:dyDescent="0.5"/>
    <row r="883" ht="29.25" x14ac:dyDescent="0.5"/>
    <row r="884" ht="29.25" x14ac:dyDescent="0.5"/>
    <row r="885" ht="29.25" x14ac:dyDescent="0.5"/>
    <row r="886" ht="29.25" x14ac:dyDescent="0.5"/>
    <row r="887" ht="29.25" x14ac:dyDescent="0.5"/>
    <row r="888" ht="29.25" x14ac:dyDescent="0.5"/>
    <row r="889" ht="29.25" x14ac:dyDescent="0.5"/>
    <row r="890" ht="29.25" x14ac:dyDescent="0.5"/>
    <row r="891" ht="29.25" x14ac:dyDescent="0.5"/>
    <row r="892" ht="29.25" x14ac:dyDescent="0.5"/>
    <row r="893" ht="29.25" x14ac:dyDescent="0.5"/>
    <row r="894" ht="29.25" x14ac:dyDescent="0.5"/>
    <row r="895" ht="29.25" x14ac:dyDescent="0.5"/>
    <row r="896" ht="29.25" x14ac:dyDescent="0.5"/>
    <row r="897" ht="29.25" x14ac:dyDescent="0.5"/>
    <row r="898" ht="29.25" x14ac:dyDescent="0.5"/>
    <row r="899" ht="29.25" x14ac:dyDescent="0.5"/>
    <row r="900" ht="29.25" x14ac:dyDescent="0.5"/>
    <row r="901" ht="29.25" x14ac:dyDescent="0.5"/>
    <row r="902" ht="29.25" x14ac:dyDescent="0.5"/>
    <row r="903" ht="29.25" x14ac:dyDescent="0.5"/>
    <row r="904" ht="29.25" x14ac:dyDescent="0.5"/>
    <row r="905" ht="29.25" x14ac:dyDescent="0.5"/>
    <row r="906" ht="29.25" x14ac:dyDescent="0.5"/>
    <row r="907" ht="29.25" x14ac:dyDescent="0.5"/>
    <row r="908" ht="29.25" x14ac:dyDescent="0.5"/>
    <row r="909" ht="29.25" x14ac:dyDescent="0.5"/>
    <row r="910" ht="29.25" x14ac:dyDescent="0.5"/>
    <row r="911" ht="29.25" x14ac:dyDescent="0.5"/>
    <row r="912" ht="29.25" x14ac:dyDescent="0.5"/>
    <row r="913" ht="29.25" x14ac:dyDescent="0.5"/>
    <row r="914" ht="29.25" x14ac:dyDescent="0.5"/>
    <row r="915" ht="29.25" x14ac:dyDescent="0.5"/>
    <row r="916" ht="29.25" x14ac:dyDescent="0.5"/>
    <row r="917" ht="29.25" x14ac:dyDescent="0.5"/>
    <row r="918" ht="29.25" x14ac:dyDescent="0.5"/>
    <row r="919" ht="29.25" x14ac:dyDescent="0.5"/>
    <row r="920" ht="29.25" x14ac:dyDescent="0.5"/>
    <row r="921" ht="29.25" x14ac:dyDescent="0.5"/>
    <row r="922" ht="29.25" x14ac:dyDescent="0.5"/>
    <row r="923" ht="29.25" x14ac:dyDescent="0.5"/>
    <row r="924" ht="29.25" x14ac:dyDescent="0.5"/>
    <row r="925" ht="29.25" x14ac:dyDescent="0.5"/>
    <row r="926" ht="29.25" x14ac:dyDescent="0.5"/>
    <row r="927" ht="29.25" x14ac:dyDescent="0.5"/>
    <row r="928" ht="29.25" x14ac:dyDescent="0.5"/>
    <row r="929" ht="29.25" x14ac:dyDescent="0.5"/>
    <row r="930" ht="29.25" x14ac:dyDescent="0.5"/>
    <row r="931" ht="29.25" x14ac:dyDescent="0.5"/>
    <row r="932" ht="29.25" x14ac:dyDescent="0.5"/>
    <row r="933" ht="29.25" x14ac:dyDescent="0.5"/>
    <row r="934" ht="29.25" x14ac:dyDescent="0.5"/>
    <row r="935" ht="29.25" x14ac:dyDescent="0.5"/>
    <row r="936" ht="29.25" x14ac:dyDescent="0.5"/>
    <row r="937" ht="29.25" x14ac:dyDescent="0.5"/>
    <row r="938" ht="29.25" x14ac:dyDescent="0.5"/>
    <row r="939" ht="29.25" x14ac:dyDescent="0.5"/>
    <row r="940" ht="29.25" x14ac:dyDescent="0.5"/>
    <row r="941" ht="29.25" x14ac:dyDescent="0.5"/>
    <row r="942" ht="29.25" x14ac:dyDescent="0.5"/>
    <row r="943" ht="29.25" x14ac:dyDescent="0.5"/>
    <row r="944" ht="29.25" x14ac:dyDescent="0.5"/>
    <row r="945" ht="29.25" x14ac:dyDescent="0.5"/>
    <row r="946" ht="29.25" x14ac:dyDescent="0.5"/>
    <row r="947" ht="29.25" x14ac:dyDescent="0.5"/>
    <row r="948" ht="29.25" x14ac:dyDescent="0.5"/>
    <row r="949" ht="29.25" x14ac:dyDescent="0.5"/>
    <row r="950" ht="29.25" x14ac:dyDescent="0.5"/>
    <row r="951" ht="29.25" x14ac:dyDescent="0.5"/>
    <row r="952" ht="29.25" x14ac:dyDescent="0.5"/>
    <row r="953" ht="29.25" x14ac:dyDescent="0.5"/>
    <row r="954" ht="29.25" x14ac:dyDescent="0.5"/>
    <row r="955" ht="29.25" x14ac:dyDescent="0.5"/>
    <row r="956" ht="29.25" x14ac:dyDescent="0.5"/>
    <row r="957" ht="29.25" x14ac:dyDescent="0.5"/>
    <row r="958" ht="29.25" x14ac:dyDescent="0.5"/>
    <row r="959" ht="29.25" x14ac:dyDescent="0.5"/>
    <row r="960" ht="29.25" x14ac:dyDescent="0.5"/>
    <row r="961" ht="29.25" x14ac:dyDescent="0.5"/>
    <row r="962" ht="29.25" x14ac:dyDescent="0.5"/>
    <row r="963" ht="29.25" x14ac:dyDescent="0.5"/>
    <row r="964" ht="29.25" x14ac:dyDescent="0.5"/>
    <row r="965" ht="29.25" x14ac:dyDescent="0.5"/>
    <row r="966" ht="29.25" x14ac:dyDescent="0.5"/>
    <row r="967" ht="29.25" x14ac:dyDescent="0.5"/>
    <row r="968" ht="29.25" x14ac:dyDescent="0.5"/>
    <row r="969" ht="29.25" x14ac:dyDescent="0.5"/>
    <row r="970" ht="29.25" x14ac:dyDescent="0.5"/>
    <row r="971" ht="29.25" x14ac:dyDescent="0.5"/>
    <row r="972" ht="29.25" x14ac:dyDescent="0.5"/>
    <row r="973" ht="29.25" x14ac:dyDescent="0.5"/>
    <row r="974" ht="29.25" x14ac:dyDescent="0.5"/>
    <row r="975" ht="29.25" x14ac:dyDescent="0.5"/>
    <row r="976" ht="29.25" x14ac:dyDescent="0.5"/>
    <row r="977" ht="29.25" x14ac:dyDescent="0.5"/>
    <row r="978" ht="29.25" x14ac:dyDescent="0.5"/>
    <row r="979" ht="29.25" x14ac:dyDescent="0.5"/>
    <row r="980" ht="29.25" x14ac:dyDescent="0.5"/>
    <row r="981" ht="29.25" x14ac:dyDescent="0.5"/>
    <row r="982" ht="29.25" x14ac:dyDescent="0.5"/>
    <row r="983" ht="29.25" x14ac:dyDescent="0.5"/>
    <row r="984" ht="29.25" x14ac:dyDescent="0.5"/>
    <row r="985" ht="29.25" x14ac:dyDescent="0.5"/>
    <row r="986" ht="29.25" x14ac:dyDescent="0.5"/>
    <row r="987" ht="29.25" x14ac:dyDescent="0.5"/>
    <row r="988" ht="29.25" x14ac:dyDescent="0.5"/>
    <row r="989" ht="29.25" x14ac:dyDescent="0.5"/>
    <row r="990" ht="29.25" x14ac:dyDescent="0.5"/>
    <row r="991" ht="29.25" x14ac:dyDescent="0.5"/>
    <row r="992" ht="29.25" x14ac:dyDescent="0.5"/>
    <row r="993" ht="29.25" x14ac:dyDescent="0.5"/>
    <row r="994" ht="29.25" x14ac:dyDescent="0.5"/>
    <row r="995" ht="29.25" x14ac:dyDescent="0.5"/>
    <row r="996" ht="29.25" x14ac:dyDescent="0.5"/>
    <row r="997" ht="29.25" x14ac:dyDescent="0.5"/>
    <row r="998" ht="29.25" x14ac:dyDescent="0.5"/>
    <row r="999" ht="29.25" x14ac:dyDescent="0.5"/>
    <row r="1000" ht="29.25" x14ac:dyDescent="0.5"/>
    <row r="1001" ht="29.25" x14ac:dyDescent="0.5"/>
    <row r="1002" ht="29.25" x14ac:dyDescent="0.5"/>
    <row r="1003" ht="29.25" x14ac:dyDescent="0.5"/>
    <row r="1004" ht="29.25" x14ac:dyDescent="0.5"/>
    <row r="1005" ht="29.25" x14ac:dyDescent="0.5"/>
    <row r="1006" ht="29.25" x14ac:dyDescent="0.5"/>
    <row r="1007" ht="29.25" x14ac:dyDescent="0.5"/>
    <row r="1008" ht="29.25" x14ac:dyDescent="0.5"/>
    <row r="1009" ht="29.25" x14ac:dyDescent="0.5"/>
    <row r="1010" ht="29.25" x14ac:dyDescent="0.5"/>
    <row r="1011" ht="29.25" x14ac:dyDescent="0.5"/>
    <row r="1012" ht="29.25" x14ac:dyDescent="0.5"/>
    <row r="1013" ht="29.25" x14ac:dyDescent="0.5"/>
    <row r="1014" ht="29.25" x14ac:dyDescent="0.5"/>
    <row r="1015" ht="29.25" x14ac:dyDescent="0.5"/>
    <row r="1016" ht="29.25" x14ac:dyDescent="0.5"/>
    <row r="1017" ht="29.25" x14ac:dyDescent="0.5"/>
    <row r="1018" ht="29.25" x14ac:dyDescent="0.5"/>
    <row r="1019" ht="29.25" x14ac:dyDescent="0.5"/>
    <row r="1020" ht="29.25" x14ac:dyDescent="0.5"/>
    <row r="1021" ht="29.25" x14ac:dyDescent="0.5"/>
    <row r="1022" ht="29.25" x14ac:dyDescent="0.5"/>
    <row r="1023" ht="29.25" x14ac:dyDescent="0.5"/>
    <row r="1024" ht="29.25" x14ac:dyDescent="0.5"/>
    <row r="1025" ht="29.25" x14ac:dyDescent="0.5"/>
    <row r="1026" ht="29.25" x14ac:dyDescent="0.5"/>
    <row r="1027" ht="29.25" x14ac:dyDescent="0.5"/>
    <row r="1028" ht="29.25" x14ac:dyDescent="0.5"/>
    <row r="1029" ht="29.25" x14ac:dyDescent="0.5"/>
    <row r="1030" ht="29.25" x14ac:dyDescent="0.5"/>
    <row r="1031" ht="29.25" x14ac:dyDescent="0.5"/>
    <row r="1032" ht="29.25" x14ac:dyDescent="0.5"/>
    <row r="1033" ht="29.25" x14ac:dyDescent="0.5"/>
    <row r="1034" ht="29.25" x14ac:dyDescent="0.5"/>
    <row r="1035" ht="29.25" x14ac:dyDescent="0.5"/>
    <row r="1036" ht="29.25" x14ac:dyDescent="0.5"/>
    <row r="1037" ht="29.25" x14ac:dyDescent="0.5"/>
    <row r="1038" ht="29.25" x14ac:dyDescent="0.5"/>
    <row r="1039" ht="29.25" x14ac:dyDescent="0.5"/>
    <row r="1040" ht="29.25" x14ac:dyDescent="0.5"/>
    <row r="1041" ht="29.25" x14ac:dyDescent="0.5"/>
    <row r="1042" ht="29.25" x14ac:dyDescent="0.5"/>
    <row r="1043" ht="29.25" x14ac:dyDescent="0.5"/>
    <row r="1044" ht="29.25" x14ac:dyDescent="0.5"/>
    <row r="1045" ht="29.25" x14ac:dyDescent="0.5"/>
    <row r="1046" ht="29.25" x14ac:dyDescent="0.5"/>
    <row r="1047" ht="29.25" x14ac:dyDescent="0.5"/>
    <row r="1048" ht="29.25" x14ac:dyDescent="0.5"/>
    <row r="1049" ht="29.25" x14ac:dyDescent="0.5"/>
    <row r="1050" ht="29.25" x14ac:dyDescent="0.5"/>
    <row r="1051" ht="29.25" x14ac:dyDescent="0.5"/>
    <row r="1052" ht="29.25" x14ac:dyDescent="0.5"/>
    <row r="1053" ht="29.25" x14ac:dyDescent="0.5"/>
    <row r="1054" ht="29.25" x14ac:dyDescent="0.5"/>
    <row r="1055" ht="29.25" x14ac:dyDescent="0.5"/>
    <row r="1056" ht="29.25" x14ac:dyDescent="0.5"/>
    <row r="1057" ht="29.25" x14ac:dyDescent="0.5"/>
    <row r="1058" ht="29.25" x14ac:dyDescent="0.5"/>
    <row r="1059" ht="29.25" x14ac:dyDescent="0.5"/>
    <row r="1060" ht="29.25" x14ac:dyDescent="0.5"/>
    <row r="1061" ht="29.25" x14ac:dyDescent="0.5"/>
    <row r="1062" ht="29.25" x14ac:dyDescent="0.5"/>
    <row r="1063" ht="29.25" x14ac:dyDescent="0.5"/>
    <row r="1064" ht="29.25" x14ac:dyDescent="0.5"/>
    <row r="1065" ht="29.25" x14ac:dyDescent="0.5"/>
    <row r="1066" ht="29.25" x14ac:dyDescent="0.5"/>
    <row r="1067" ht="29.25" x14ac:dyDescent="0.5"/>
    <row r="1068" ht="29.25" x14ac:dyDescent="0.5"/>
    <row r="1069" ht="29.25" x14ac:dyDescent="0.5"/>
    <row r="1070" ht="29.25" x14ac:dyDescent="0.5"/>
    <row r="1071" ht="29.25" x14ac:dyDescent="0.5"/>
    <row r="1072" ht="29.25" x14ac:dyDescent="0.5"/>
    <row r="1073" ht="29.25" x14ac:dyDescent="0.5"/>
    <row r="1074" ht="29.25" x14ac:dyDescent="0.5"/>
    <row r="1075" ht="29.25" x14ac:dyDescent="0.5"/>
    <row r="1076" ht="29.25" x14ac:dyDescent="0.5"/>
    <row r="1077" ht="29.25" x14ac:dyDescent="0.5"/>
    <row r="1078" ht="29.25" x14ac:dyDescent="0.5"/>
    <row r="1079" ht="29.25" x14ac:dyDescent="0.5"/>
    <row r="1080" ht="29.25" x14ac:dyDescent="0.5"/>
    <row r="1081" ht="29.25" x14ac:dyDescent="0.5"/>
    <row r="1082" ht="29.25" x14ac:dyDescent="0.5"/>
    <row r="1083" ht="29.25" x14ac:dyDescent="0.5"/>
    <row r="1084" ht="29.25" x14ac:dyDescent="0.5"/>
    <row r="1085" ht="29.25" x14ac:dyDescent="0.5"/>
    <row r="1086" ht="29.25" x14ac:dyDescent="0.5"/>
    <row r="1087" ht="29.25" x14ac:dyDescent="0.5"/>
    <row r="1088" ht="29.25" x14ac:dyDescent="0.5"/>
    <row r="1089" ht="29.25" x14ac:dyDescent="0.5"/>
    <row r="1090" ht="29.25" x14ac:dyDescent="0.5"/>
    <row r="1091" ht="29.25" x14ac:dyDescent="0.5"/>
    <row r="1092" ht="29.25" x14ac:dyDescent="0.5"/>
    <row r="1093" ht="29.25" x14ac:dyDescent="0.5"/>
    <row r="1094" ht="29.25" x14ac:dyDescent="0.5"/>
    <row r="1095" ht="29.25" x14ac:dyDescent="0.5"/>
    <row r="1096" ht="29.25" x14ac:dyDescent="0.5"/>
    <row r="1097" ht="29.25" x14ac:dyDescent="0.5"/>
    <row r="1098" ht="29.25" x14ac:dyDescent="0.5"/>
    <row r="1099" ht="29.25" x14ac:dyDescent="0.5"/>
    <row r="1100" ht="29.25" x14ac:dyDescent="0.5"/>
    <row r="1101" ht="29.25" x14ac:dyDescent="0.5"/>
    <row r="1102" ht="29.25" x14ac:dyDescent="0.5"/>
    <row r="1103" ht="29.25" x14ac:dyDescent="0.5"/>
    <row r="1104" ht="29.25" x14ac:dyDescent="0.5"/>
    <row r="1105" ht="29.25" x14ac:dyDescent="0.5"/>
    <row r="1106" ht="29.25" x14ac:dyDescent="0.5"/>
    <row r="1107" ht="29.25" x14ac:dyDescent="0.5"/>
    <row r="1108" ht="29.25" x14ac:dyDescent="0.5"/>
    <row r="1109" ht="29.25" x14ac:dyDescent="0.5"/>
    <row r="1110" ht="29.25" x14ac:dyDescent="0.5"/>
    <row r="1111" ht="29.25" x14ac:dyDescent="0.5"/>
    <row r="1112" ht="29.25" x14ac:dyDescent="0.5"/>
    <row r="1113" ht="29.25" x14ac:dyDescent="0.5"/>
    <row r="1114" ht="29.25" x14ac:dyDescent="0.5"/>
    <row r="1115" ht="29.25" x14ac:dyDescent="0.5"/>
    <row r="1116" ht="29.25" x14ac:dyDescent="0.5"/>
    <row r="1117" ht="29.25" x14ac:dyDescent="0.5"/>
    <row r="1118" ht="29.25" x14ac:dyDescent="0.5"/>
    <row r="1119" ht="29.25" x14ac:dyDescent="0.5"/>
    <row r="1120" ht="29.25" x14ac:dyDescent="0.5"/>
    <row r="1121" ht="29.25" x14ac:dyDescent="0.5"/>
    <row r="1122" ht="29.25" x14ac:dyDescent="0.5"/>
    <row r="1123" ht="29.25" x14ac:dyDescent="0.5"/>
    <row r="1124" ht="29.25" x14ac:dyDescent="0.5"/>
    <row r="1125" ht="29.25" x14ac:dyDescent="0.5"/>
    <row r="1126" ht="29.25" x14ac:dyDescent="0.5"/>
    <row r="1127" ht="29.25" x14ac:dyDescent="0.5"/>
    <row r="1128" ht="29.25" x14ac:dyDescent="0.5"/>
    <row r="1129" ht="29.25" x14ac:dyDescent="0.5"/>
    <row r="1130" ht="29.25" x14ac:dyDescent="0.5"/>
    <row r="1131" ht="29.25" x14ac:dyDescent="0.5"/>
    <row r="1132" ht="29.25" x14ac:dyDescent="0.5"/>
    <row r="1133" ht="29.25" x14ac:dyDescent="0.5"/>
    <row r="1134" ht="29.25" x14ac:dyDescent="0.5"/>
    <row r="1135" ht="29.25" x14ac:dyDescent="0.5"/>
    <row r="1136" ht="29.25" x14ac:dyDescent="0.5"/>
    <row r="1137" ht="29.25" x14ac:dyDescent="0.5"/>
    <row r="1138" ht="29.25" x14ac:dyDescent="0.5"/>
    <row r="1139" ht="29.25" x14ac:dyDescent="0.5"/>
    <row r="1140" ht="29.25" x14ac:dyDescent="0.5"/>
    <row r="1141" ht="29.25" x14ac:dyDescent="0.5"/>
    <row r="1142" ht="29.25" x14ac:dyDescent="0.5"/>
    <row r="1143" ht="29.25" x14ac:dyDescent="0.5"/>
    <row r="1144" ht="29.25" x14ac:dyDescent="0.5"/>
    <row r="1145" ht="29.25" x14ac:dyDescent="0.5"/>
    <row r="1146" ht="29.25" x14ac:dyDescent="0.5"/>
    <row r="1147" ht="29.25" x14ac:dyDescent="0.5"/>
    <row r="1148" ht="29.25" x14ac:dyDescent="0.5"/>
    <row r="1149" ht="29.25" x14ac:dyDescent="0.5"/>
    <row r="1150" ht="29.25" x14ac:dyDescent="0.5"/>
    <row r="1151" ht="29.25" x14ac:dyDescent="0.5"/>
    <row r="1152" ht="29.25" x14ac:dyDescent="0.5"/>
    <row r="1153" ht="29.25" x14ac:dyDescent="0.5"/>
    <row r="1154" ht="29.25" x14ac:dyDescent="0.5"/>
    <row r="1155" ht="29.25" x14ac:dyDescent="0.5"/>
    <row r="1156" ht="29.25" x14ac:dyDescent="0.5"/>
    <row r="1157" ht="29.25" x14ac:dyDescent="0.5"/>
    <row r="1158" ht="29.25" x14ac:dyDescent="0.5"/>
    <row r="1159" ht="29.25" x14ac:dyDescent="0.5"/>
    <row r="1160" ht="29.25" x14ac:dyDescent="0.5"/>
    <row r="1161" ht="29.25" x14ac:dyDescent="0.5"/>
    <row r="1162" ht="29.25" x14ac:dyDescent="0.5"/>
    <row r="1163" ht="29.25" x14ac:dyDescent="0.5"/>
    <row r="1164" ht="29.25" x14ac:dyDescent="0.5"/>
    <row r="1165" ht="29.25" x14ac:dyDescent="0.5"/>
    <row r="1166" ht="29.25" x14ac:dyDescent="0.5"/>
    <row r="1167" ht="29.25" x14ac:dyDescent="0.5"/>
    <row r="1168" ht="29.25" x14ac:dyDescent="0.5"/>
    <row r="1169" ht="29.25" x14ac:dyDescent="0.5"/>
    <row r="1170" ht="29.25" x14ac:dyDescent="0.5"/>
    <row r="1171" ht="29.25" x14ac:dyDescent="0.5"/>
    <row r="1172" ht="29.25" x14ac:dyDescent="0.5"/>
    <row r="1173" ht="29.25" x14ac:dyDescent="0.5"/>
    <row r="1174" ht="29.25" x14ac:dyDescent="0.5"/>
    <row r="1175" ht="29.25" x14ac:dyDescent="0.5"/>
    <row r="1176" ht="29.25" x14ac:dyDescent="0.5"/>
    <row r="1177" ht="29.25" x14ac:dyDescent="0.5"/>
    <row r="1178" ht="29.25" x14ac:dyDescent="0.5"/>
    <row r="1179" ht="29.25" x14ac:dyDescent="0.5"/>
    <row r="1180" ht="29.25" x14ac:dyDescent="0.5"/>
    <row r="1181" ht="29.25" x14ac:dyDescent="0.5"/>
    <row r="1182" ht="29.25" x14ac:dyDescent="0.5"/>
    <row r="1183" ht="29.25" x14ac:dyDescent="0.5"/>
    <row r="1184" ht="29.25" x14ac:dyDescent="0.5"/>
    <row r="1185" ht="29.25" x14ac:dyDescent="0.5"/>
    <row r="1186" ht="29.25" x14ac:dyDescent="0.5"/>
    <row r="1187" ht="29.25" x14ac:dyDescent="0.5"/>
    <row r="1188" ht="29.25" x14ac:dyDescent="0.5"/>
    <row r="1189" ht="29.25" x14ac:dyDescent="0.5"/>
    <row r="1190" ht="29.25" x14ac:dyDescent="0.5"/>
    <row r="1191" ht="29.25" x14ac:dyDescent="0.5"/>
    <row r="1192" ht="29.25" x14ac:dyDescent="0.5"/>
    <row r="1193" ht="29.25" x14ac:dyDescent="0.5"/>
    <row r="1194" ht="29.25" x14ac:dyDescent="0.5"/>
    <row r="1195" ht="29.25" x14ac:dyDescent="0.5"/>
    <row r="1196" ht="29.25" x14ac:dyDescent="0.5"/>
    <row r="1197" ht="29.25" x14ac:dyDescent="0.5"/>
    <row r="1198" ht="29.25" x14ac:dyDescent="0.5"/>
    <row r="1199" ht="29.25" x14ac:dyDescent="0.5"/>
    <row r="1200" ht="29.25" x14ac:dyDescent="0.5"/>
    <row r="1201" ht="29.25" x14ac:dyDescent="0.5"/>
    <row r="1202" ht="29.25" x14ac:dyDescent="0.5"/>
    <row r="1203" ht="29.25" x14ac:dyDescent="0.5"/>
    <row r="1204" ht="29.25" x14ac:dyDescent="0.5"/>
    <row r="1205" ht="29.25" x14ac:dyDescent="0.5"/>
    <row r="1206" ht="29.25" x14ac:dyDescent="0.5"/>
    <row r="1207" ht="29.25" x14ac:dyDescent="0.5"/>
    <row r="1208" ht="29.25" x14ac:dyDescent="0.5"/>
    <row r="1209" ht="29.25" x14ac:dyDescent="0.5"/>
    <row r="1210" ht="29.25" x14ac:dyDescent="0.5"/>
    <row r="1211" ht="29.25" x14ac:dyDescent="0.5"/>
    <row r="1212" ht="29.25" x14ac:dyDescent="0.5"/>
    <row r="1213" ht="29.25" x14ac:dyDescent="0.5"/>
    <row r="1214" ht="29.25" x14ac:dyDescent="0.5"/>
    <row r="1215" ht="29.25" x14ac:dyDescent="0.5"/>
    <row r="1216" ht="29.25" x14ac:dyDescent="0.5"/>
    <row r="1217" ht="29.25" x14ac:dyDescent="0.5"/>
    <row r="1218" ht="29.25" x14ac:dyDescent="0.5"/>
    <row r="1219" ht="29.25" x14ac:dyDescent="0.5"/>
    <row r="1220" ht="29.25" x14ac:dyDescent="0.5"/>
    <row r="1221" ht="29.25" x14ac:dyDescent="0.5"/>
    <row r="1222" ht="29.25" x14ac:dyDescent="0.5"/>
    <row r="1223" ht="29.25" x14ac:dyDescent="0.5"/>
    <row r="1224" ht="29.25" x14ac:dyDescent="0.5"/>
    <row r="1225" ht="29.25" x14ac:dyDescent="0.5"/>
    <row r="1226" ht="29.25" x14ac:dyDescent="0.5"/>
    <row r="1227" ht="29.25" x14ac:dyDescent="0.5"/>
    <row r="1228" ht="29.25" x14ac:dyDescent="0.5"/>
    <row r="1229" ht="29.25" x14ac:dyDescent="0.5"/>
    <row r="1230" ht="29.25" x14ac:dyDescent="0.5"/>
    <row r="1231" ht="29.25" x14ac:dyDescent="0.5"/>
    <row r="1232" ht="29.25" x14ac:dyDescent="0.5"/>
    <row r="1233" ht="29.25" x14ac:dyDescent="0.5"/>
    <row r="1234" ht="29.25" x14ac:dyDescent="0.5"/>
    <row r="1235" ht="29.25" x14ac:dyDescent="0.5"/>
    <row r="1236" ht="29.25" x14ac:dyDescent="0.5"/>
    <row r="1237" ht="29.25" x14ac:dyDescent="0.5"/>
    <row r="1238" ht="29.25" x14ac:dyDescent="0.5"/>
    <row r="1239" ht="29.25" x14ac:dyDescent="0.5"/>
    <row r="1240" ht="29.25" x14ac:dyDescent="0.5"/>
    <row r="1241" ht="29.25" x14ac:dyDescent="0.5"/>
    <row r="1242" ht="29.25" x14ac:dyDescent="0.5"/>
    <row r="1243" ht="29.25" x14ac:dyDescent="0.5"/>
    <row r="1244" ht="29.25" x14ac:dyDescent="0.5"/>
    <row r="1245" ht="29.25" x14ac:dyDescent="0.5"/>
    <row r="1246" ht="29.25" x14ac:dyDescent="0.5"/>
    <row r="1247" ht="29.25" x14ac:dyDescent="0.5"/>
    <row r="1248" ht="29.25" x14ac:dyDescent="0.5"/>
    <row r="1249" ht="29.25" x14ac:dyDescent="0.5"/>
    <row r="1250" ht="29.25" x14ac:dyDescent="0.5"/>
    <row r="1251" ht="29.25" x14ac:dyDescent="0.5"/>
    <row r="1252" ht="29.25" x14ac:dyDescent="0.5"/>
    <row r="1253" ht="29.25" x14ac:dyDescent="0.5"/>
    <row r="1254" ht="29.25" x14ac:dyDescent="0.5"/>
    <row r="1255" ht="29.25" x14ac:dyDescent="0.5"/>
    <row r="1256" ht="29.25" x14ac:dyDescent="0.5"/>
    <row r="1257" ht="29.25" x14ac:dyDescent="0.5"/>
    <row r="1258" ht="29.25" x14ac:dyDescent="0.5"/>
    <row r="1259" ht="29.25" x14ac:dyDescent="0.5"/>
    <row r="1260" ht="29.25" x14ac:dyDescent="0.5"/>
    <row r="1261" ht="29.25" x14ac:dyDescent="0.5"/>
    <row r="1262" ht="29.25" x14ac:dyDescent="0.5"/>
    <row r="1263" ht="29.25" x14ac:dyDescent="0.5"/>
    <row r="1264" ht="29.25" x14ac:dyDescent="0.5"/>
    <row r="1265" ht="29.25" x14ac:dyDescent="0.5"/>
    <row r="1266" ht="29.25" x14ac:dyDescent="0.5"/>
    <row r="1267" ht="29.25" x14ac:dyDescent="0.5"/>
    <row r="1268" ht="29.25" x14ac:dyDescent="0.5"/>
    <row r="1269" ht="29.25" x14ac:dyDescent="0.5"/>
    <row r="1270" ht="29.25" x14ac:dyDescent="0.5"/>
    <row r="1271" ht="29.25" x14ac:dyDescent="0.5"/>
    <row r="1272" ht="29.25" x14ac:dyDescent="0.5"/>
    <row r="1273" ht="29.25" x14ac:dyDescent="0.5"/>
    <row r="1274" ht="29.25" x14ac:dyDescent="0.5"/>
    <row r="1275" ht="29.25" x14ac:dyDescent="0.5"/>
    <row r="1276" ht="29.25" x14ac:dyDescent="0.5"/>
    <row r="1277" ht="29.25" x14ac:dyDescent="0.5"/>
    <row r="1278" ht="29.25" x14ac:dyDescent="0.5"/>
    <row r="1279" ht="29.25" x14ac:dyDescent="0.5"/>
    <row r="1280" ht="29.25" x14ac:dyDescent="0.5"/>
    <row r="1281" ht="29.25" x14ac:dyDescent="0.5"/>
    <row r="1282" ht="29.25" x14ac:dyDescent="0.5"/>
    <row r="1283" ht="29.25" x14ac:dyDescent="0.5"/>
    <row r="1284" ht="29.25" x14ac:dyDescent="0.5"/>
    <row r="1285" ht="29.25" x14ac:dyDescent="0.5"/>
    <row r="1286" ht="29.25" x14ac:dyDescent="0.5"/>
    <row r="1287" ht="29.25" x14ac:dyDescent="0.5"/>
    <row r="1288" ht="29.25" x14ac:dyDescent="0.5"/>
    <row r="1289" ht="29.25" x14ac:dyDescent="0.5"/>
    <row r="1290" ht="29.25" x14ac:dyDescent="0.5"/>
    <row r="1291" ht="29.25" x14ac:dyDescent="0.5"/>
    <row r="1292" ht="29.25" x14ac:dyDescent="0.5"/>
    <row r="1293" ht="29.25" x14ac:dyDescent="0.5"/>
    <row r="1294" ht="29.25" x14ac:dyDescent="0.5"/>
    <row r="1295" ht="29.25" x14ac:dyDescent="0.5"/>
    <row r="1296" ht="29.25" x14ac:dyDescent="0.5"/>
    <row r="1297" ht="29.25" x14ac:dyDescent="0.5"/>
    <row r="1298" ht="29.25" x14ac:dyDescent="0.5"/>
    <row r="1299" ht="29.25" x14ac:dyDescent="0.5"/>
    <row r="1300" ht="29.25" x14ac:dyDescent="0.5"/>
    <row r="1301" ht="29.25" x14ac:dyDescent="0.5"/>
    <row r="1302" ht="29.25" x14ac:dyDescent="0.5"/>
    <row r="1303" ht="29.25" x14ac:dyDescent="0.5"/>
    <row r="1304" ht="29.25" x14ac:dyDescent="0.5"/>
    <row r="1305" ht="29.25" x14ac:dyDescent="0.5"/>
    <row r="1306" ht="29.25" x14ac:dyDescent="0.5"/>
    <row r="1307" ht="29.25" x14ac:dyDescent="0.5"/>
    <row r="1308" ht="29.25" x14ac:dyDescent="0.5"/>
    <row r="1309" ht="29.25" x14ac:dyDescent="0.5"/>
    <row r="1310" ht="29.25" x14ac:dyDescent="0.5"/>
    <row r="1311" ht="29.25" x14ac:dyDescent="0.5"/>
    <row r="1312" ht="29.25" x14ac:dyDescent="0.5"/>
    <row r="1313" ht="29.25" x14ac:dyDescent="0.5"/>
    <row r="1314" ht="29.25" x14ac:dyDescent="0.5"/>
    <row r="1315" ht="29.25" x14ac:dyDescent="0.5"/>
    <row r="1316" ht="29.25" x14ac:dyDescent="0.5"/>
    <row r="1317" ht="29.25" x14ac:dyDescent="0.5"/>
    <row r="1318" ht="29.25" x14ac:dyDescent="0.5"/>
    <row r="1319" ht="29.25" x14ac:dyDescent="0.5"/>
    <row r="1320" ht="29.25" x14ac:dyDescent="0.5"/>
    <row r="1321" ht="29.25" x14ac:dyDescent="0.5"/>
    <row r="1322" ht="29.25" x14ac:dyDescent="0.5"/>
    <row r="1323" ht="29.25" x14ac:dyDescent="0.5"/>
    <row r="1324" ht="29.25" x14ac:dyDescent="0.5"/>
    <row r="1325" ht="29.25" x14ac:dyDescent="0.5"/>
    <row r="1326" ht="29.25" x14ac:dyDescent="0.5"/>
    <row r="1327" ht="29.25" x14ac:dyDescent="0.5"/>
    <row r="1328" ht="29.25" x14ac:dyDescent="0.5"/>
    <row r="1329" ht="29.25" x14ac:dyDescent="0.5"/>
    <row r="1330" ht="29.25" x14ac:dyDescent="0.5"/>
    <row r="1331" ht="29.25" x14ac:dyDescent="0.5"/>
    <row r="1332" ht="29.25" x14ac:dyDescent="0.5"/>
    <row r="1333" ht="29.25" x14ac:dyDescent="0.5"/>
    <row r="1334" ht="29.25" x14ac:dyDescent="0.5"/>
    <row r="1335" ht="29.25" x14ac:dyDescent="0.5"/>
    <row r="1336" ht="29.25" x14ac:dyDescent="0.5"/>
    <row r="1337" ht="29.25" x14ac:dyDescent="0.5"/>
    <row r="1338" ht="29.25" x14ac:dyDescent="0.5"/>
    <row r="1339" ht="29.25" x14ac:dyDescent="0.5"/>
    <row r="1340" ht="29.25" x14ac:dyDescent="0.5"/>
    <row r="1341" ht="29.25" x14ac:dyDescent="0.5"/>
    <row r="1342" ht="29.25" x14ac:dyDescent="0.5"/>
    <row r="1343" ht="29.25" x14ac:dyDescent="0.5"/>
    <row r="1344" ht="29.25" x14ac:dyDescent="0.5"/>
    <row r="1345" ht="29.25" x14ac:dyDescent="0.5"/>
    <row r="1346" ht="29.25" x14ac:dyDescent="0.5"/>
    <row r="1347" ht="29.25" x14ac:dyDescent="0.5"/>
    <row r="1348" ht="29.25" x14ac:dyDescent="0.5"/>
    <row r="1349" ht="29.25" x14ac:dyDescent="0.5"/>
    <row r="1350" ht="29.25" x14ac:dyDescent="0.5"/>
    <row r="1351" ht="29.25" x14ac:dyDescent="0.5"/>
    <row r="1352" ht="29.25" x14ac:dyDescent="0.5"/>
    <row r="1353" ht="29.25" x14ac:dyDescent="0.5"/>
    <row r="1354" ht="29.25" x14ac:dyDescent="0.5"/>
    <row r="1355" ht="29.25" x14ac:dyDescent="0.5"/>
    <row r="1356" ht="29.25" x14ac:dyDescent="0.5"/>
    <row r="1357" ht="29.25" x14ac:dyDescent="0.5"/>
    <row r="1358" ht="29.25" x14ac:dyDescent="0.5"/>
    <row r="1359" ht="29.25" x14ac:dyDescent="0.5"/>
    <row r="1360" ht="29.25" x14ac:dyDescent="0.5"/>
    <row r="1361" ht="29.25" x14ac:dyDescent="0.5"/>
    <row r="1362" ht="29.25" x14ac:dyDescent="0.5"/>
    <row r="1363" ht="29.25" x14ac:dyDescent="0.5"/>
    <row r="1364" ht="29.25" x14ac:dyDescent="0.5"/>
    <row r="1365" ht="29.25" x14ac:dyDescent="0.5"/>
    <row r="1366" ht="29.25" x14ac:dyDescent="0.5"/>
    <row r="1367" ht="29.25" x14ac:dyDescent="0.5"/>
    <row r="1368" ht="29.25" x14ac:dyDescent="0.5"/>
    <row r="1369" ht="29.25" x14ac:dyDescent="0.5"/>
    <row r="1370" ht="29.25" x14ac:dyDescent="0.5"/>
    <row r="1371" ht="29.25" x14ac:dyDescent="0.5"/>
    <row r="1372" ht="29.25" x14ac:dyDescent="0.5"/>
    <row r="1373" ht="29.25" x14ac:dyDescent="0.5"/>
    <row r="1374" ht="29.25" x14ac:dyDescent="0.5"/>
    <row r="1375" ht="29.25" x14ac:dyDescent="0.5"/>
    <row r="1376" ht="29.25" x14ac:dyDescent="0.5"/>
    <row r="1377" ht="29.25" x14ac:dyDescent="0.5"/>
    <row r="1378" ht="29.25" x14ac:dyDescent="0.5"/>
    <row r="1379" ht="29.25" x14ac:dyDescent="0.5"/>
    <row r="1380" ht="29.25" x14ac:dyDescent="0.5"/>
    <row r="1381" ht="29.25" x14ac:dyDescent="0.5"/>
    <row r="1382" ht="29.25" x14ac:dyDescent="0.5"/>
    <row r="1383" ht="29.25" x14ac:dyDescent="0.5"/>
    <row r="1384" ht="29.25" x14ac:dyDescent="0.5"/>
    <row r="1385" ht="29.25" x14ac:dyDescent="0.5"/>
    <row r="1386" ht="29.25" x14ac:dyDescent="0.5"/>
    <row r="1387" ht="29.25" x14ac:dyDescent="0.5"/>
    <row r="1388" ht="29.25" x14ac:dyDescent="0.5"/>
    <row r="1389" ht="29.25" x14ac:dyDescent="0.5"/>
    <row r="1390" ht="29.25" x14ac:dyDescent="0.5"/>
    <row r="1391" ht="29.25" x14ac:dyDescent="0.5"/>
    <row r="1392" ht="29.25" x14ac:dyDescent="0.5"/>
    <row r="1393" ht="29.25" x14ac:dyDescent="0.5"/>
    <row r="1394" ht="29.25" x14ac:dyDescent="0.5"/>
    <row r="1395" ht="29.25" x14ac:dyDescent="0.5"/>
    <row r="1396" ht="29.25" x14ac:dyDescent="0.5"/>
    <row r="1397" ht="29.25" x14ac:dyDescent="0.5"/>
    <row r="1398" ht="29.25" x14ac:dyDescent="0.5"/>
    <row r="1399" ht="29.25" x14ac:dyDescent="0.5"/>
    <row r="1400" ht="29.25" x14ac:dyDescent="0.5"/>
    <row r="1401" ht="29.25" x14ac:dyDescent="0.5"/>
    <row r="1402" ht="29.25" x14ac:dyDescent="0.5"/>
    <row r="1403" ht="29.25" x14ac:dyDescent="0.5"/>
    <row r="1404" ht="29.25" x14ac:dyDescent="0.5"/>
    <row r="1405" ht="29.25" x14ac:dyDescent="0.5"/>
    <row r="1406" ht="29.25" x14ac:dyDescent="0.5"/>
    <row r="1407" ht="29.25" x14ac:dyDescent="0.5"/>
    <row r="1408" ht="29.25" x14ac:dyDescent="0.5"/>
    <row r="1409" ht="29.25" x14ac:dyDescent="0.5"/>
    <row r="1410" ht="29.25" x14ac:dyDescent="0.5"/>
    <row r="1411" ht="29.25" x14ac:dyDescent="0.5"/>
    <row r="1412" ht="29.25" x14ac:dyDescent="0.5"/>
    <row r="1413" ht="29.25" x14ac:dyDescent="0.5"/>
    <row r="1414" ht="29.25" x14ac:dyDescent="0.5"/>
    <row r="1415" ht="29.25" x14ac:dyDescent="0.5"/>
    <row r="1416" ht="29.25" x14ac:dyDescent="0.5"/>
    <row r="1417" ht="29.25" x14ac:dyDescent="0.5"/>
    <row r="1418" ht="29.25" x14ac:dyDescent="0.5"/>
    <row r="1419" ht="29.25" x14ac:dyDescent="0.5"/>
    <row r="1420" ht="29.25" x14ac:dyDescent="0.5"/>
    <row r="1421" ht="29.25" x14ac:dyDescent="0.5"/>
    <row r="1422" ht="29.25" x14ac:dyDescent="0.5"/>
    <row r="1423" ht="29.25" x14ac:dyDescent="0.5"/>
    <row r="1424" ht="29.25" x14ac:dyDescent="0.5"/>
    <row r="1425" ht="29.25" x14ac:dyDescent="0.5"/>
    <row r="1426" ht="29.25" x14ac:dyDescent="0.5"/>
    <row r="1427" ht="29.25" x14ac:dyDescent="0.5"/>
    <row r="1428" ht="29.25" x14ac:dyDescent="0.5"/>
    <row r="1429" ht="29.25" x14ac:dyDescent="0.5"/>
    <row r="1430" ht="29.25" x14ac:dyDescent="0.5"/>
    <row r="1431" ht="29.25" x14ac:dyDescent="0.5"/>
    <row r="1432" ht="29.25" x14ac:dyDescent="0.5"/>
    <row r="1433" ht="29.25" x14ac:dyDescent="0.5"/>
    <row r="1434" ht="29.25" x14ac:dyDescent="0.5"/>
    <row r="1435" ht="29.25" x14ac:dyDescent="0.5"/>
    <row r="1436" ht="29.25" x14ac:dyDescent="0.5"/>
    <row r="1437" ht="29.25" x14ac:dyDescent="0.5"/>
    <row r="1438" ht="29.25" x14ac:dyDescent="0.5"/>
    <row r="1439" ht="29.25" x14ac:dyDescent="0.5"/>
    <row r="1440" ht="29.25" x14ac:dyDescent="0.5"/>
    <row r="1441" ht="29.25" x14ac:dyDescent="0.5"/>
    <row r="1442" ht="29.25" x14ac:dyDescent="0.5"/>
    <row r="1443" ht="29.25" x14ac:dyDescent="0.5"/>
    <row r="1444" ht="29.25" x14ac:dyDescent="0.5"/>
    <row r="1445" ht="29.25" x14ac:dyDescent="0.5"/>
    <row r="1446" ht="29.25" x14ac:dyDescent="0.5"/>
    <row r="1447" ht="29.25" x14ac:dyDescent="0.5"/>
    <row r="1448" ht="29.25" x14ac:dyDescent="0.5"/>
    <row r="1449" ht="29.25" x14ac:dyDescent="0.5"/>
    <row r="1450" ht="29.25" x14ac:dyDescent="0.5"/>
    <row r="1451" ht="29.25" x14ac:dyDescent="0.5"/>
    <row r="1452" ht="29.25" x14ac:dyDescent="0.5"/>
    <row r="1453" ht="29.25" x14ac:dyDescent="0.5"/>
    <row r="1454" ht="29.25" x14ac:dyDescent="0.5"/>
    <row r="1455" ht="29.25" x14ac:dyDescent="0.5"/>
    <row r="1456" ht="29.25" x14ac:dyDescent="0.5"/>
    <row r="1457" ht="29.25" x14ac:dyDescent="0.5"/>
    <row r="1458" ht="29.25" x14ac:dyDescent="0.5"/>
    <row r="1459" ht="29.25" x14ac:dyDescent="0.5"/>
    <row r="1460" ht="29.25" x14ac:dyDescent="0.5"/>
    <row r="1461" ht="29.25" x14ac:dyDescent="0.5"/>
    <row r="1462" ht="29.25" x14ac:dyDescent="0.5"/>
    <row r="1463" ht="29.25" x14ac:dyDescent="0.5"/>
    <row r="1464" ht="29.25" x14ac:dyDescent="0.5"/>
    <row r="1465" ht="29.25" x14ac:dyDescent="0.5"/>
    <row r="1466" ht="29.25" x14ac:dyDescent="0.5"/>
    <row r="1467" ht="29.25" x14ac:dyDescent="0.5"/>
    <row r="1468" ht="29.25" x14ac:dyDescent="0.5"/>
    <row r="1469" ht="29.25" x14ac:dyDescent="0.5"/>
    <row r="1470" ht="29.25" x14ac:dyDescent="0.5"/>
    <row r="1471" ht="29.25" x14ac:dyDescent="0.5"/>
    <row r="1472" ht="29.25" x14ac:dyDescent="0.5"/>
    <row r="1473" ht="29.25" x14ac:dyDescent="0.5"/>
    <row r="1474" ht="29.25" x14ac:dyDescent="0.5"/>
    <row r="1475" ht="29.25" x14ac:dyDescent="0.5"/>
    <row r="1476" ht="29.25" x14ac:dyDescent="0.5"/>
    <row r="1477" ht="29.25" x14ac:dyDescent="0.5"/>
    <row r="1478" ht="29.25" x14ac:dyDescent="0.5"/>
    <row r="1479" ht="29.25" x14ac:dyDescent="0.5"/>
    <row r="1480" ht="29.25" x14ac:dyDescent="0.5"/>
    <row r="1481" ht="29.25" x14ac:dyDescent="0.5"/>
    <row r="1482" ht="29.25" x14ac:dyDescent="0.5"/>
    <row r="1483" ht="29.25" x14ac:dyDescent="0.5"/>
    <row r="1484" ht="29.25" x14ac:dyDescent="0.5"/>
    <row r="1485" ht="29.25" x14ac:dyDescent="0.5"/>
    <row r="1486" ht="29.25" x14ac:dyDescent="0.5"/>
    <row r="1487" ht="29.25" x14ac:dyDescent="0.5"/>
    <row r="1488" ht="29.25" x14ac:dyDescent="0.5"/>
    <row r="1489" ht="29.25" x14ac:dyDescent="0.5"/>
    <row r="1490" ht="29.25" x14ac:dyDescent="0.5"/>
    <row r="1491" ht="29.25" x14ac:dyDescent="0.5"/>
    <row r="1492" ht="29.25" x14ac:dyDescent="0.5"/>
    <row r="1493" ht="29.25" x14ac:dyDescent="0.5"/>
    <row r="1494" ht="29.25" x14ac:dyDescent="0.5"/>
    <row r="1495" ht="29.25" x14ac:dyDescent="0.5"/>
    <row r="1496" ht="29.25" x14ac:dyDescent="0.5"/>
    <row r="1497" ht="29.25" x14ac:dyDescent="0.5"/>
    <row r="1498" ht="29.25" x14ac:dyDescent="0.5"/>
    <row r="1499" ht="29.25" x14ac:dyDescent="0.5"/>
    <row r="1500" ht="29.25" x14ac:dyDescent="0.5"/>
    <row r="1501" ht="29.25" x14ac:dyDescent="0.5"/>
    <row r="1502" ht="29.25" x14ac:dyDescent="0.5"/>
    <row r="1503" ht="29.25" x14ac:dyDescent="0.5"/>
    <row r="1504" ht="29.25" x14ac:dyDescent="0.5"/>
    <row r="1505" ht="29.25" x14ac:dyDescent="0.5"/>
    <row r="1506" ht="29.25" x14ac:dyDescent="0.5"/>
    <row r="1507" ht="29.25" x14ac:dyDescent="0.5"/>
    <row r="1508" ht="29.25" x14ac:dyDescent="0.5"/>
    <row r="1509" ht="29.25" x14ac:dyDescent="0.5"/>
    <row r="1510" ht="29.25" x14ac:dyDescent="0.5"/>
    <row r="1511" ht="29.25" x14ac:dyDescent="0.5"/>
    <row r="1512" ht="29.25" x14ac:dyDescent="0.5"/>
    <row r="1513" ht="29.25" x14ac:dyDescent="0.5"/>
    <row r="1514" ht="29.25" x14ac:dyDescent="0.5"/>
    <row r="1515" ht="29.25" x14ac:dyDescent="0.5"/>
    <row r="1516" ht="29.25" x14ac:dyDescent="0.5"/>
    <row r="1517" ht="29.25" x14ac:dyDescent="0.5"/>
    <row r="1518" ht="29.25" x14ac:dyDescent="0.5"/>
    <row r="1519" ht="29.25" x14ac:dyDescent="0.5"/>
    <row r="1520" ht="29.25" x14ac:dyDescent="0.5"/>
    <row r="1521" ht="29.25" x14ac:dyDescent="0.5"/>
    <row r="1522" ht="29.25" x14ac:dyDescent="0.5"/>
    <row r="1523" ht="29.25" x14ac:dyDescent="0.5"/>
    <row r="1524" ht="29.25" x14ac:dyDescent="0.5"/>
    <row r="1525" ht="29.25" x14ac:dyDescent="0.5"/>
    <row r="1526" ht="29.25" x14ac:dyDescent="0.5"/>
    <row r="1527" ht="29.25" x14ac:dyDescent="0.5"/>
    <row r="1528" ht="29.25" x14ac:dyDescent="0.5"/>
    <row r="1529" ht="29.25" x14ac:dyDescent="0.5"/>
    <row r="1530" ht="29.25" x14ac:dyDescent="0.5"/>
    <row r="1531" ht="29.25" x14ac:dyDescent="0.5"/>
    <row r="1532" ht="29.25" x14ac:dyDescent="0.5"/>
    <row r="1533" ht="29.25" x14ac:dyDescent="0.5"/>
    <row r="1534" ht="29.25" x14ac:dyDescent="0.5"/>
    <row r="1535" ht="29.25" x14ac:dyDescent="0.5"/>
    <row r="1536" ht="29.25" x14ac:dyDescent="0.5"/>
    <row r="1537" ht="29.25" x14ac:dyDescent="0.5"/>
    <row r="1538" ht="29.25" x14ac:dyDescent="0.5"/>
    <row r="1539" ht="29.25" x14ac:dyDescent="0.5"/>
    <row r="1540" ht="29.25" x14ac:dyDescent="0.5"/>
    <row r="1541" ht="29.25" x14ac:dyDescent="0.5"/>
    <row r="1542" ht="29.25" x14ac:dyDescent="0.5"/>
    <row r="1543" ht="29.25" x14ac:dyDescent="0.5"/>
    <row r="1544" ht="29.25" x14ac:dyDescent="0.5"/>
    <row r="1545" ht="29.25" x14ac:dyDescent="0.5"/>
    <row r="1546" ht="29.25" x14ac:dyDescent="0.5"/>
    <row r="1547" ht="29.25" x14ac:dyDescent="0.5"/>
    <row r="1548" ht="29.25" x14ac:dyDescent="0.5"/>
    <row r="1549" ht="29.25" x14ac:dyDescent="0.5"/>
    <row r="1550" ht="29.25" x14ac:dyDescent="0.5"/>
    <row r="1551" ht="29.25" x14ac:dyDescent="0.5"/>
    <row r="1552" ht="29.25" x14ac:dyDescent="0.5"/>
    <row r="1553" ht="29.25" x14ac:dyDescent="0.5"/>
    <row r="1554" ht="29.25" x14ac:dyDescent="0.5"/>
    <row r="1555" ht="29.25" x14ac:dyDescent="0.5"/>
    <row r="1556" ht="29.25" x14ac:dyDescent="0.5"/>
    <row r="1557" ht="29.25" x14ac:dyDescent="0.5"/>
    <row r="1558" ht="29.25" x14ac:dyDescent="0.5"/>
    <row r="1559" ht="29.25" x14ac:dyDescent="0.5"/>
    <row r="1560" ht="29.25" x14ac:dyDescent="0.5"/>
    <row r="1561" ht="29.25" x14ac:dyDescent="0.5"/>
    <row r="1562" ht="29.25" x14ac:dyDescent="0.5"/>
    <row r="1563" ht="29.25" x14ac:dyDescent="0.5"/>
    <row r="1564" ht="29.25" x14ac:dyDescent="0.5"/>
    <row r="1565" ht="29.25" x14ac:dyDescent="0.5"/>
    <row r="1566" ht="29.25" x14ac:dyDescent="0.5"/>
    <row r="1567" ht="29.25" x14ac:dyDescent="0.5"/>
    <row r="1568" ht="29.25" x14ac:dyDescent="0.5"/>
    <row r="1569" ht="29.25" x14ac:dyDescent="0.5"/>
    <row r="1570" ht="29.25" x14ac:dyDescent="0.5"/>
    <row r="1571" ht="29.25" x14ac:dyDescent="0.5"/>
    <row r="1572" ht="29.25" x14ac:dyDescent="0.5"/>
    <row r="1573" ht="29.25" x14ac:dyDescent="0.5"/>
    <row r="1574" ht="29.25" x14ac:dyDescent="0.5"/>
    <row r="1575" ht="29.25" x14ac:dyDescent="0.5"/>
    <row r="1576" ht="29.25" x14ac:dyDescent="0.5"/>
    <row r="1577" ht="29.25" x14ac:dyDescent="0.5"/>
    <row r="1578" ht="29.25" x14ac:dyDescent="0.5"/>
    <row r="1579" ht="29.25" x14ac:dyDescent="0.5"/>
    <row r="1580" ht="29.25" x14ac:dyDescent="0.5"/>
    <row r="1581" ht="29.25" x14ac:dyDescent="0.5"/>
    <row r="1582" ht="29.25" x14ac:dyDescent="0.5"/>
    <row r="1583" ht="29.25" x14ac:dyDescent="0.5"/>
    <row r="1584" ht="29.25" x14ac:dyDescent="0.5"/>
    <row r="1585" ht="29.25" x14ac:dyDescent="0.5"/>
    <row r="1586" ht="29.25" x14ac:dyDescent="0.5"/>
    <row r="1587" ht="29.25" x14ac:dyDescent="0.5"/>
    <row r="1588" ht="29.25" x14ac:dyDescent="0.5"/>
    <row r="1589" ht="29.25" x14ac:dyDescent="0.5"/>
    <row r="1590" ht="29.25" x14ac:dyDescent="0.5"/>
    <row r="1591" ht="29.25" x14ac:dyDescent="0.5"/>
    <row r="1592" ht="29.25" x14ac:dyDescent="0.5"/>
    <row r="1593" ht="29.25" x14ac:dyDescent="0.5"/>
    <row r="1594" ht="29.25" x14ac:dyDescent="0.5"/>
    <row r="1595" ht="29.25" x14ac:dyDescent="0.5"/>
    <row r="1596" ht="29.25" x14ac:dyDescent="0.5"/>
    <row r="1597" ht="29.25" x14ac:dyDescent="0.5"/>
    <row r="1598" ht="29.25" x14ac:dyDescent="0.5"/>
    <row r="1599" ht="29.25" x14ac:dyDescent="0.5"/>
    <row r="1600" ht="29.25" x14ac:dyDescent="0.5"/>
    <row r="1601" ht="29.25" x14ac:dyDescent="0.5"/>
    <row r="1602" ht="29.25" x14ac:dyDescent="0.5"/>
    <row r="1603" ht="29.25" x14ac:dyDescent="0.5"/>
    <row r="1604" ht="29.25" x14ac:dyDescent="0.5"/>
    <row r="1605" ht="29.25" x14ac:dyDescent="0.5"/>
    <row r="1606" ht="29.25" x14ac:dyDescent="0.5"/>
    <row r="1607" ht="29.25" x14ac:dyDescent="0.5"/>
    <row r="1608" ht="29.25" x14ac:dyDescent="0.5"/>
    <row r="1609" ht="29.25" x14ac:dyDescent="0.5"/>
    <row r="1610" ht="29.25" x14ac:dyDescent="0.5"/>
    <row r="1611" ht="29.25" x14ac:dyDescent="0.5"/>
    <row r="1612" ht="29.25" x14ac:dyDescent="0.5"/>
    <row r="1613" ht="29.25" x14ac:dyDescent="0.5"/>
    <row r="1614" ht="29.25" x14ac:dyDescent="0.5"/>
    <row r="1615" ht="29.25" x14ac:dyDescent="0.5"/>
    <row r="1616" ht="29.25" x14ac:dyDescent="0.5"/>
    <row r="1617" ht="29.25" x14ac:dyDescent="0.5"/>
    <row r="1618" ht="29.25" x14ac:dyDescent="0.5"/>
    <row r="1619" ht="29.25" x14ac:dyDescent="0.5"/>
    <row r="1620" ht="29.25" x14ac:dyDescent="0.5"/>
    <row r="1621" ht="29.25" x14ac:dyDescent="0.5"/>
    <row r="1622" ht="29.25" x14ac:dyDescent="0.5"/>
    <row r="1623" ht="29.25" x14ac:dyDescent="0.5"/>
    <row r="1624" ht="29.25" x14ac:dyDescent="0.5"/>
    <row r="1625" ht="29.25" x14ac:dyDescent="0.5"/>
    <row r="1626" ht="29.25" x14ac:dyDescent="0.5"/>
    <row r="1627" ht="29.25" x14ac:dyDescent="0.5"/>
    <row r="1628" ht="29.25" x14ac:dyDescent="0.5"/>
    <row r="1629" ht="29.25" x14ac:dyDescent="0.5"/>
    <row r="1630" ht="29.25" x14ac:dyDescent="0.5"/>
    <row r="1631" ht="29.25" x14ac:dyDescent="0.5"/>
    <row r="1632" ht="29.25" x14ac:dyDescent="0.5"/>
    <row r="1633" ht="29.25" x14ac:dyDescent="0.5"/>
    <row r="1634" ht="29.25" x14ac:dyDescent="0.5"/>
    <row r="1635" ht="29.25" x14ac:dyDescent="0.5"/>
    <row r="1636" ht="29.25" x14ac:dyDescent="0.5"/>
    <row r="1637" ht="29.25" x14ac:dyDescent="0.5"/>
    <row r="1638" ht="29.25" x14ac:dyDescent="0.5"/>
    <row r="1639" ht="29.25" x14ac:dyDescent="0.5"/>
    <row r="1640" ht="29.25" x14ac:dyDescent="0.5"/>
    <row r="1641" ht="29.25" x14ac:dyDescent="0.5"/>
    <row r="1642" ht="29.25" x14ac:dyDescent="0.5"/>
    <row r="1643" ht="29.25" x14ac:dyDescent="0.5"/>
    <row r="1644" ht="29.25" x14ac:dyDescent="0.5"/>
    <row r="1645" ht="29.25" x14ac:dyDescent="0.5"/>
    <row r="1646" ht="29.25" x14ac:dyDescent="0.5"/>
    <row r="1647" ht="29.25" x14ac:dyDescent="0.5"/>
    <row r="1648" ht="29.25" x14ac:dyDescent="0.5"/>
    <row r="1649" ht="29.25" x14ac:dyDescent="0.5"/>
    <row r="1650" ht="29.25" x14ac:dyDescent="0.5"/>
    <row r="1651" ht="29.25" x14ac:dyDescent="0.5"/>
    <row r="1652" ht="29.25" x14ac:dyDescent="0.5"/>
    <row r="1653" ht="29.25" x14ac:dyDescent="0.5"/>
    <row r="1654" ht="29.25" x14ac:dyDescent="0.5"/>
    <row r="1655" ht="29.25" x14ac:dyDescent="0.5"/>
    <row r="1656" ht="29.25" x14ac:dyDescent="0.5"/>
    <row r="1657" ht="29.25" x14ac:dyDescent="0.5"/>
    <row r="1658" ht="29.25" x14ac:dyDescent="0.5"/>
    <row r="1659" ht="29.25" x14ac:dyDescent="0.5"/>
    <row r="1660" ht="29.25" x14ac:dyDescent="0.5"/>
    <row r="1661" ht="29.25" x14ac:dyDescent="0.5"/>
    <row r="1662" ht="29.25" x14ac:dyDescent="0.5"/>
    <row r="1663" ht="29.25" x14ac:dyDescent="0.5"/>
    <row r="1664" ht="29.25" x14ac:dyDescent="0.5"/>
    <row r="1665" ht="29.25" x14ac:dyDescent="0.5"/>
    <row r="1666" ht="29.25" x14ac:dyDescent="0.5"/>
    <row r="1667" ht="29.25" x14ac:dyDescent="0.5"/>
    <row r="1668" ht="29.25" x14ac:dyDescent="0.5"/>
    <row r="1669" ht="29.25" x14ac:dyDescent="0.5"/>
    <row r="1670" ht="29.25" x14ac:dyDescent="0.5"/>
    <row r="1671" ht="29.25" x14ac:dyDescent="0.5"/>
    <row r="1672" ht="29.25" x14ac:dyDescent="0.5"/>
    <row r="1673" ht="29.25" x14ac:dyDescent="0.5"/>
    <row r="1674" ht="29.25" x14ac:dyDescent="0.5"/>
    <row r="1675" ht="29.25" x14ac:dyDescent="0.5"/>
    <row r="1676" ht="29.25" x14ac:dyDescent="0.5"/>
    <row r="1677" ht="29.25" x14ac:dyDescent="0.5"/>
    <row r="1678" ht="29.25" x14ac:dyDescent="0.5"/>
    <row r="1679" ht="29.25" x14ac:dyDescent="0.5"/>
    <row r="1680" ht="29.25" x14ac:dyDescent="0.5"/>
    <row r="1681" ht="29.25" x14ac:dyDescent="0.5"/>
    <row r="1682" ht="29.25" x14ac:dyDescent="0.5"/>
    <row r="1683" ht="29.25" x14ac:dyDescent="0.5"/>
    <row r="1684" ht="29.25" x14ac:dyDescent="0.5"/>
    <row r="1685" ht="29.25" x14ac:dyDescent="0.5"/>
    <row r="1686" ht="29.25" x14ac:dyDescent="0.5"/>
    <row r="1687" ht="29.25" x14ac:dyDescent="0.5"/>
    <row r="1688" ht="29.25" x14ac:dyDescent="0.5"/>
    <row r="1689" ht="29.25" x14ac:dyDescent="0.5"/>
    <row r="1690" ht="29.25" x14ac:dyDescent="0.5"/>
    <row r="1691" ht="29.25" x14ac:dyDescent="0.5"/>
    <row r="1692" ht="29.25" x14ac:dyDescent="0.5"/>
    <row r="1693" ht="29.25" x14ac:dyDescent="0.5"/>
    <row r="1694" ht="29.25" x14ac:dyDescent="0.5"/>
    <row r="1695" ht="29.25" x14ac:dyDescent="0.5"/>
    <row r="1696" ht="29.25" x14ac:dyDescent="0.5"/>
    <row r="1697" ht="29.25" x14ac:dyDescent="0.5"/>
    <row r="1698" ht="29.25" x14ac:dyDescent="0.5"/>
    <row r="1699" ht="29.25" x14ac:dyDescent="0.5"/>
    <row r="1700" ht="29.25" x14ac:dyDescent="0.5"/>
    <row r="1701" ht="29.25" x14ac:dyDescent="0.5"/>
  </sheetData>
  <mergeCells count="115">
    <mergeCell ref="A186:B186"/>
    <mergeCell ref="A187:B187"/>
    <mergeCell ref="A188:B188"/>
    <mergeCell ref="A189:B189"/>
    <mergeCell ref="A190:B190"/>
    <mergeCell ref="A171:J171"/>
    <mergeCell ref="A172:B172"/>
    <mergeCell ref="A173:B173"/>
    <mergeCell ref="A174:B174"/>
    <mergeCell ref="A176:B176"/>
    <mergeCell ref="A175:C175"/>
    <mergeCell ref="A177:B177"/>
    <mergeCell ref="A178:B178"/>
    <mergeCell ref="A179:B179"/>
    <mergeCell ref="A180:B180"/>
    <mergeCell ref="A184:B184"/>
    <mergeCell ref="A181:B181"/>
    <mergeCell ref="A183:B183"/>
    <mergeCell ref="A182:B182"/>
    <mergeCell ref="A185:B185"/>
    <mergeCell ref="A160:J160"/>
    <mergeCell ref="A166:B166"/>
    <mergeCell ref="A167:B167"/>
    <mergeCell ref="A168:B168"/>
    <mergeCell ref="A136:J136"/>
    <mergeCell ref="A138:C138"/>
    <mergeCell ref="A139:C139"/>
    <mergeCell ref="A140:C140"/>
    <mergeCell ref="A141:C141"/>
    <mergeCell ref="A150:C150"/>
    <mergeCell ref="A151:C151"/>
    <mergeCell ref="A152:C152"/>
    <mergeCell ref="A154:J154"/>
    <mergeCell ref="A155:C155"/>
    <mergeCell ref="A156:C156"/>
    <mergeCell ref="A153:B153"/>
    <mergeCell ref="A157:C157"/>
    <mergeCell ref="A158:C158"/>
    <mergeCell ref="A159:C159"/>
    <mergeCell ref="Q116:R116"/>
    <mergeCell ref="A117:C117"/>
    <mergeCell ref="Q117:R117"/>
    <mergeCell ref="A118:C118"/>
    <mergeCell ref="Q118:R118"/>
    <mergeCell ref="A110:J110"/>
    <mergeCell ref="A111:C111"/>
    <mergeCell ref="A112:C112"/>
    <mergeCell ref="A113:C113"/>
    <mergeCell ref="A114:C114"/>
    <mergeCell ref="A115:C115"/>
    <mergeCell ref="A116:C116"/>
    <mergeCell ref="A119:C119"/>
    <mergeCell ref="A120:C120"/>
    <mergeCell ref="A121:C121"/>
    <mergeCell ref="A122:C122"/>
    <mergeCell ref="A149:C149"/>
    <mergeCell ref="A144:C144"/>
    <mergeCell ref="A145:C145"/>
    <mergeCell ref="A146:C146"/>
    <mergeCell ref="A147:C147"/>
    <mergeCell ref="A148:C148"/>
    <mergeCell ref="A143:C143"/>
    <mergeCell ref="A123:C123"/>
    <mergeCell ref="A131:C131"/>
    <mergeCell ref="A132:C132"/>
    <mergeCell ref="A133:C133"/>
    <mergeCell ref="A134:C134"/>
    <mergeCell ref="A124:C124"/>
    <mergeCell ref="A125:B125"/>
    <mergeCell ref="A126:J126"/>
    <mergeCell ref="A127:B127"/>
    <mergeCell ref="A128:C128"/>
    <mergeCell ref="A142:C142"/>
    <mergeCell ref="A135:B135"/>
    <mergeCell ref="A109:B109"/>
    <mergeCell ref="A94:C94"/>
    <mergeCell ref="A95:C95"/>
    <mergeCell ref="A96:C96"/>
    <mergeCell ref="A81:C81"/>
    <mergeCell ref="A93:C93"/>
    <mergeCell ref="A79:C79"/>
    <mergeCell ref="A80:C80"/>
    <mergeCell ref="A75:C75"/>
    <mergeCell ref="A76:C76"/>
    <mergeCell ref="A77:C77"/>
    <mergeCell ref="A101:C101"/>
    <mergeCell ref="A103:C103"/>
    <mergeCell ref="A104:C104"/>
    <mergeCell ref="A105:C105"/>
    <mergeCell ref="A108:J108"/>
    <mergeCell ref="A78:C78"/>
    <mergeCell ref="A97:C97"/>
    <mergeCell ref="A98:C98"/>
    <mergeCell ref="A99:C99"/>
    <mergeCell ref="A100:C100"/>
    <mergeCell ref="A102:C102"/>
    <mergeCell ref="A73:C73"/>
    <mergeCell ref="A74:C74"/>
    <mergeCell ref="A71:C71"/>
    <mergeCell ref="A72:B72"/>
    <mergeCell ref="A64:C64"/>
    <mergeCell ref="A65:C65"/>
    <mergeCell ref="A1:J1"/>
    <mergeCell ref="A6:C6"/>
    <mergeCell ref="A14:C14"/>
    <mergeCell ref="A17:C17"/>
    <mergeCell ref="E3:F3"/>
    <mergeCell ref="A18:C18"/>
    <mergeCell ref="A19:C19"/>
    <mergeCell ref="A21:C21"/>
    <mergeCell ref="A25:C25"/>
    <mergeCell ref="A33:C33"/>
    <mergeCell ref="A61:C61"/>
    <mergeCell ref="A62:C62"/>
    <mergeCell ref="A63:C63"/>
  </mergeCells>
  <pageMargins left="0.22" right="0.17" top="0.14000000000000001" bottom="0.2" header="0.2" footer="0.2"/>
  <pageSetup paperSize="5" scale="18" orientation="portrait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1:R1701"/>
  <sheetViews>
    <sheetView view="pageBreakPreview" zoomScale="60" workbookViewId="0">
      <selection activeCell="G11" sqref="G11"/>
    </sheetView>
  </sheetViews>
  <sheetFormatPr defaultColWidth="22.33203125" defaultRowHeight="21.95" customHeight="1" x14ac:dyDescent="0.5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5" width="30" style="160" customWidth="1"/>
    <col min="6" max="6" width="27" style="160" customWidth="1"/>
    <col min="7" max="7" width="27.33203125" style="160" customWidth="1"/>
    <col min="8" max="8" width="27" style="161" customWidth="1"/>
    <col min="9" max="9" width="21.664062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37.5" customHeight="1" x14ac:dyDescent="0.65">
      <c r="A1" s="821" t="s">
        <v>115</v>
      </c>
      <c r="B1" s="822"/>
      <c r="C1" s="822"/>
      <c r="D1" s="822"/>
      <c r="E1" s="822"/>
      <c r="F1" s="822"/>
      <c r="G1" s="822"/>
      <c r="H1" s="822"/>
      <c r="I1" s="822"/>
      <c r="J1" s="823"/>
    </row>
    <row r="2" spans="1:15" s="57" customFormat="1" ht="27" x14ac:dyDescent="0.5">
      <c r="A2" s="191" t="s">
        <v>357</v>
      </c>
      <c r="B2" s="262">
        <v>44587</v>
      </c>
      <c r="C2" s="348" t="s">
        <v>67</v>
      </c>
      <c r="D2" s="218">
        <v>0.87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27" x14ac:dyDescent="0.5">
      <c r="A3" s="189"/>
      <c r="B3" s="221"/>
      <c r="C3" s="348" t="s">
        <v>118</v>
      </c>
      <c r="D3" s="219">
        <v>22</v>
      </c>
      <c r="E3" s="830" t="s">
        <v>119</v>
      </c>
      <c r="F3" s="831"/>
      <c r="G3" s="101"/>
      <c r="H3" s="102"/>
      <c r="I3" s="102"/>
      <c r="J3" s="222"/>
      <c r="K3" s="61"/>
      <c r="L3" s="58"/>
    </row>
    <row r="4" spans="1:15" s="57" customFormat="1" ht="27" x14ac:dyDescent="0.5">
      <c r="A4" s="192"/>
      <c r="B4" s="223"/>
      <c r="C4" s="348" t="s">
        <v>120</v>
      </c>
      <c r="D4" s="218">
        <v>0.78</v>
      </c>
      <c r="E4" s="103"/>
      <c r="F4" s="103"/>
      <c r="G4" s="103"/>
      <c r="H4" s="103"/>
      <c r="I4" s="104"/>
      <c r="J4" s="222"/>
      <c r="K4" s="62"/>
      <c r="L4" s="58"/>
    </row>
    <row r="5" spans="1:15" ht="29.25" x14ac:dyDescent="0.4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5" ht="29.25" x14ac:dyDescent="0.4">
      <c r="A6" s="824" t="s">
        <v>128</v>
      </c>
      <c r="B6" s="825"/>
      <c r="C6" s="826"/>
      <c r="D6" s="110"/>
      <c r="E6" s="110"/>
      <c r="F6" s="110"/>
      <c r="G6" s="110"/>
      <c r="H6" s="111"/>
      <c r="I6" s="111"/>
      <c r="J6" s="174"/>
      <c r="K6" s="78"/>
      <c r="L6" s="66"/>
    </row>
    <row r="7" spans="1:15" ht="30" thickBot="1" x14ac:dyDescent="0.45">
      <c r="A7" s="194" t="s">
        <v>129</v>
      </c>
      <c r="B7" s="195"/>
      <c r="C7" s="195"/>
      <c r="D7" s="151" t="s">
        <v>130</v>
      </c>
      <c r="E7" s="95">
        <f>'25'!F7</f>
        <v>547409</v>
      </c>
      <c r="F7" s="95">
        <v>563863</v>
      </c>
      <c r="G7" s="112">
        <f>F7-E7</f>
        <v>16454</v>
      </c>
      <c r="H7" s="99">
        <f>G7+'25'!H7</f>
        <v>469302</v>
      </c>
      <c r="I7" s="113">
        <f>'1'!I7</f>
        <v>12000</v>
      </c>
      <c r="J7" s="175">
        <f>H7/DAY(B2)</f>
        <v>18050.076923076922</v>
      </c>
      <c r="K7" s="172">
        <v>1375467</v>
      </c>
      <c r="L7" s="66"/>
      <c r="N7" s="87"/>
      <c r="O7" s="71"/>
    </row>
    <row r="8" spans="1:15" ht="27.75" thickBot="1" x14ac:dyDescent="0.45">
      <c r="A8" s="196" t="s">
        <v>131</v>
      </c>
      <c r="B8" s="197"/>
      <c r="C8" s="198"/>
      <c r="D8" s="224" t="s">
        <v>24</v>
      </c>
      <c r="E8" s="95">
        <f>'25'!F8</f>
        <v>603218</v>
      </c>
      <c r="F8" s="95">
        <v>620110</v>
      </c>
      <c r="G8" s="115">
        <f>F8-E8</f>
        <v>16892</v>
      </c>
      <c r="H8" s="99">
        <f>G8+'25'!H8</f>
        <v>479225</v>
      </c>
      <c r="I8" s="116"/>
      <c r="J8" s="175">
        <f>H8/DAY(B2)</f>
        <v>18431.73076923077</v>
      </c>
      <c r="K8" s="172">
        <v>1715917</v>
      </c>
      <c r="L8" s="76">
        <v>1728480</v>
      </c>
      <c r="M8" s="87">
        <f>L8-K8</f>
        <v>12563</v>
      </c>
      <c r="N8" s="87"/>
      <c r="O8" s="71"/>
    </row>
    <row r="9" spans="1:15" ht="29.25" x14ac:dyDescent="0.4">
      <c r="A9" s="199" t="s">
        <v>132</v>
      </c>
      <c r="B9" s="200"/>
      <c r="C9" s="200"/>
      <c r="D9" s="151" t="s">
        <v>130</v>
      </c>
      <c r="E9" s="95">
        <f>'25'!F9</f>
        <v>193704</v>
      </c>
      <c r="F9" s="601">
        <v>207852</v>
      </c>
      <c r="G9" s="112">
        <f>F9-E9</f>
        <v>14148</v>
      </c>
      <c r="H9" s="99">
        <f>G9+'25'!H9</f>
        <v>306357</v>
      </c>
      <c r="I9" s="124">
        <f>I7-J7</f>
        <v>-6050.076923076922</v>
      </c>
      <c r="J9" s="175">
        <f>H9/DAY(B2)</f>
        <v>11782.961538461539</v>
      </c>
      <c r="K9" s="79">
        <f>K8-100</f>
        <v>1715817</v>
      </c>
      <c r="L9" s="66"/>
      <c r="N9" s="87"/>
      <c r="O9" s="71"/>
    </row>
    <row r="10" spans="1:15" ht="29.25" x14ac:dyDescent="0.4">
      <c r="A10" s="194" t="s">
        <v>133</v>
      </c>
      <c r="B10" s="195"/>
      <c r="C10" s="195"/>
      <c r="D10" s="151" t="s">
        <v>130</v>
      </c>
      <c r="E10" s="95">
        <f>'25'!F10</f>
        <v>93083</v>
      </c>
      <c r="F10" s="353">
        <v>95081</v>
      </c>
      <c r="G10" s="112">
        <f t="shared" ref="G10:G12" si="0">F10-E10</f>
        <v>1998</v>
      </c>
      <c r="H10" s="99">
        <f>G10+'25'!H10</f>
        <v>149987</v>
      </c>
      <c r="I10" s="282"/>
      <c r="J10" s="175">
        <f>H10/DAY(B2)</f>
        <v>5768.7307692307695</v>
      </c>
      <c r="K10" s="79"/>
      <c r="L10" s="66"/>
      <c r="N10" s="87"/>
      <c r="O10" s="71"/>
    </row>
    <row r="11" spans="1:15" ht="29.25" x14ac:dyDescent="0.4">
      <c r="A11" s="194" t="s">
        <v>134</v>
      </c>
      <c r="B11" s="195"/>
      <c r="C11" s="195"/>
      <c r="D11" s="151" t="s">
        <v>130</v>
      </c>
      <c r="E11" s="95">
        <f>'25'!F11</f>
        <v>37170</v>
      </c>
      <c r="F11" s="95">
        <v>37170</v>
      </c>
      <c r="G11" s="112">
        <f t="shared" si="0"/>
        <v>0</v>
      </c>
      <c r="H11" s="99">
        <f>G11+'25'!H11</f>
        <v>170</v>
      </c>
      <c r="I11" s="282"/>
      <c r="J11" s="175">
        <f>H11/DAY(B2)</f>
        <v>6.5384615384615383</v>
      </c>
      <c r="K11" s="79"/>
      <c r="L11" s="66"/>
      <c r="N11" s="87"/>
      <c r="O11" s="71"/>
    </row>
    <row r="12" spans="1:15" ht="29.25" x14ac:dyDescent="0.4">
      <c r="A12" s="194" t="s">
        <v>135</v>
      </c>
      <c r="B12" s="195"/>
      <c r="C12" s="195"/>
      <c r="D12" s="151" t="s">
        <v>130</v>
      </c>
      <c r="E12" s="95">
        <f>'25'!F12</f>
        <v>40010</v>
      </c>
      <c r="F12" s="117">
        <v>40010</v>
      </c>
      <c r="G12" s="112">
        <f t="shared" si="0"/>
        <v>0</v>
      </c>
      <c r="H12" s="99">
        <f>G12+'25'!H12</f>
        <v>0</v>
      </c>
      <c r="I12" s="282"/>
      <c r="J12" s="175">
        <f>H12/DAY(B2)</f>
        <v>0</v>
      </c>
      <c r="K12" s="79"/>
      <c r="L12" s="66"/>
      <c r="N12" s="87"/>
      <c r="O12" s="71"/>
    </row>
    <row r="13" spans="1:15" ht="29.25" x14ac:dyDescent="0.5">
      <c r="A13" s="201" t="s">
        <v>136</v>
      </c>
      <c r="B13" s="202"/>
      <c r="C13" s="202"/>
      <c r="D13" s="151"/>
      <c r="E13" s="95"/>
      <c r="F13" s="95"/>
      <c r="G13" s="119">
        <f>G9+G10+G11+G12</f>
        <v>16146</v>
      </c>
      <c r="H13" s="99">
        <f>G13+'25'!H13</f>
        <v>437048.74999999988</v>
      </c>
      <c r="I13" s="120">
        <f>G7-G13</f>
        <v>308</v>
      </c>
      <c r="J13" s="175">
        <f>H13/DAY(B2)</f>
        <v>16809.567307692305</v>
      </c>
      <c r="K13" s="79"/>
      <c r="L13" s="66"/>
      <c r="N13" s="87"/>
      <c r="O13" s="71"/>
    </row>
    <row r="14" spans="1:15" ht="29.25" x14ac:dyDescent="0.5">
      <c r="A14" s="827" t="s">
        <v>137</v>
      </c>
      <c r="B14" s="828"/>
      <c r="C14" s="829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5" ht="29.25" x14ac:dyDescent="0.5">
      <c r="A15" s="345" t="s">
        <v>138</v>
      </c>
      <c r="B15" s="205"/>
      <c r="C15" s="205"/>
      <c r="D15" s="151" t="s">
        <v>139</v>
      </c>
      <c r="E15" s="95">
        <f>'25'!F15</f>
        <v>1900929</v>
      </c>
      <c r="F15" s="123">
        <v>1901865</v>
      </c>
      <c r="G15" s="112">
        <f>(F15-E15)</f>
        <v>936</v>
      </c>
      <c r="H15" s="99">
        <f>G15+'25'!H15</f>
        <v>23435</v>
      </c>
      <c r="I15" s="113">
        <f>'1'!I15</f>
        <v>800</v>
      </c>
      <c r="J15" s="175">
        <f>H15/DAY(B2)</f>
        <v>901.34615384615381</v>
      </c>
      <c r="K15" s="79"/>
      <c r="L15" s="66"/>
      <c r="N15" s="87"/>
      <c r="O15" s="71"/>
    </row>
    <row r="16" spans="1:15" ht="29.25" x14ac:dyDescent="0.4">
      <c r="A16" s="203"/>
      <c r="B16" s="204"/>
      <c r="C16" s="204"/>
      <c r="D16" s="152"/>
      <c r="E16" s="123"/>
      <c r="F16" s="123"/>
      <c r="G16" s="112"/>
      <c r="H16" s="124"/>
      <c r="I16" s="120">
        <f>I15-J15</f>
        <v>-101.34615384615381</v>
      </c>
      <c r="J16" s="176"/>
      <c r="K16" s="79"/>
      <c r="L16" s="66"/>
      <c r="N16" s="87"/>
      <c r="O16" s="71"/>
    </row>
    <row r="17" spans="1:15" ht="29.25" x14ac:dyDescent="0.5">
      <c r="A17" s="827" t="s">
        <v>140</v>
      </c>
      <c r="B17" s="828"/>
      <c r="C17" s="829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5" ht="27.75" x14ac:dyDescent="0.5">
      <c r="A18" s="818" t="s">
        <v>141</v>
      </c>
      <c r="B18" s="819"/>
      <c r="C18" s="820"/>
      <c r="D18" s="151" t="s">
        <v>142</v>
      </c>
      <c r="E18" s="95">
        <f>'25'!F18</f>
        <v>14</v>
      </c>
      <c r="F18" s="122">
        <v>12</v>
      </c>
      <c r="G18" s="119">
        <f>F18*10</f>
        <v>120</v>
      </c>
      <c r="H18" s="99">
        <f>G18+'25'!H18</f>
        <v>2990</v>
      </c>
      <c r="I18" s="113">
        <f>'1'!I18</f>
        <v>65</v>
      </c>
      <c r="J18" s="175">
        <f>H18/DAY(B2)</f>
        <v>115</v>
      </c>
      <c r="K18" s="79"/>
      <c r="L18" s="66"/>
      <c r="N18" s="87"/>
      <c r="O18" s="71"/>
    </row>
    <row r="19" spans="1:15" ht="27.75" x14ac:dyDescent="0.5">
      <c r="A19" s="818" t="s">
        <v>69</v>
      </c>
      <c r="B19" s="819"/>
      <c r="C19" s="820"/>
      <c r="D19" s="151" t="s">
        <v>142</v>
      </c>
      <c r="E19" s="95">
        <f>'25'!F19</f>
        <v>153563</v>
      </c>
      <c r="F19" s="122">
        <v>153618</v>
      </c>
      <c r="G19" s="112">
        <f t="shared" ref="G19" si="1">F19-E19</f>
        <v>55</v>
      </c>
      <c r="H19" s="99">
        <f>G19+'25'!H19</f>
        <v>1393</v>
      </c>
      <c r="I19" s="335"/>
      <c r="J19" s="175">
        <f>H19/DAY(B2)</f>
        <v>53.57692307692308</v>
      </c>
      <c r="K19" s="79"/>
      <c r="L19" s="66"/>
      <c r="N19" s="87"/>
      <c r="O19" s="71"/>
    </row>
    <row r="20" spans="1:15" ht="29.25" x14ac:dyDescent="0.5">
      <c r="A20" s="201" t="s">
        <v>143</v>
      </c>
      <c r="B20" s="202"/>
      <c r="C20" s="202"/>
      <c r="D20" s="126"/>
      <c r="E20" s="126"/>
      <c r="F20" s="126"/>
      <c r="G20" s="127">
        <f>G18+G19</f>
        <v>175</v>
      </c>
      <c r="H20" s="99">
        <f>G20+'25'!H20</f>
        <v>4383</v>
      </c>
      <c r="I20" s="336">
        <f>I18-J20</f>
        <v>-103.57692307692307</v>
      </c>
      <c r="J20" s="175">
        <f>H20/DAY(B2)</f>
        <v>168.57692307692307</v>
      </c>
      <c r="K20" s="79"/>
      <c r="L20" s="66"/>
      <c r="N20" s="87"/>
      <c r="O20" s="71"/>
    </row>
    <row r="21" spans="1:15" ht="29.25" x14ac:dyDescent="0.5">
      <c r="A21" s="827" t="s">
        <v>144</v>
      </c>
      <c r="B21" s="828"/>
      <c r="C21" s="829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5" ht="29.25" x14ac:dyDescent="0.5">
      <c r="A22" s="345" t="s">
        <v>145</v>
      </c>
      <c r="B22" s="205"/>
      <c r="C22" s="205"/>
      <c r="D22" s="151" t="s">
        <v>146</v>
      </c>
      <c r="E22" s="95">
        <f>'25'!F22</f>
        <v>2970</v>
      </c>
      <c r="F22" s="122">
        <v>2970</v>
      </c>
      <c r="G22" s="119">
        <f t="shared" ref="G22" si="2">(F22-E22)</f>
        <v>0</v>
      </c>
      <c r="H22" s="99">
        <f>G22+'25'!H22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29.25" x14ac:dyDescent="0.5">
      <c r="A23" s="345" t="s">
        <v>147</v>
      </c>
      <c r="B23" s="205"/>
      <c r="C23" s="205"/>
      <c r="D23" s="151" t="s">
        <v>146</v>
      </c>
      <c r="E23" s="95">
        <f>'25'!F23</f>
        <v>2000</v>
      </c>
      <c r="F23" s="122">
        <v>2000</v>
      </c>
      <c r="G23" s="119">
        <v>0</v>
      </c>
      <c r="H23" s="99">
        <f>G23+'25'!H23</f>
        <v>110</v>
      </c>
      <c r="I23" s="118"/>
      <c r="J23" s="175">
        <f>H23/DAY(B2)</f>
        <v>4.2307692307692308</v>
      </c>
      <c r="K23" s="79"/>
      <c r="L23" s="66"/>
      <c r="N23" s="87"/>
      <c r="O23" s="71"/>
    </row>
    <row r="24" spans="1:15" ht="29.25" x14ac:dyDescent="0.4">
      <c r="A24" s="206" t="s">
        <v>148</v>
      </c>
      <c r="B24" s="207"/>
      <c r="C24" s="207"/>
      <c r="D24" s="146" t="s">
        <v>146</v>
      </c>
      <c r="E24" s="95">
        <f>'25'!F24</f>
        <v>4970</v>
      </c>
      <c r="F24" s="128">
        <v>4970</v>
      </c>
      <c r="G24" s="119">
        <v>0</v>
      </c>
      <c r="H24" s="99">
        <f>G24+'25'!H24</f>
        <v>110</v>
      </c>
      <c r="I24" s="118"/>
      <c r="J24" s="175">
        <f>H24/DAY(B2)</f>
        <v>4.2307692307692308</v>
      </c>
      <c r="K24" s="79"/>
      <c r="L24" s="66"/>
      <c r="N24" s="87"/>
      <c r="O24" s="71"/>
    </row>
    <row r="25" spans="1:15" s="88" customFormat="1" ht="27" x14ac:dyDescent="0.35">
      <c r="A25" s="832" t="s">
        <v>149</v>
      </c>
      <c r="B25" s="833"/>
      <c r="C25" s="834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5" s="88" customFormat="1" ht="27.75" x14ac:dyDescent="0.5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/>
      <c r="I26" s="134"/>
      <c r="J26" s="175"/>
      <c r="K26" s="64"/>
      <c r="L26" s="89"/>
      <c r="N26" s="87"/>
      <c r="O26" s="71"/>
    </row>
    <row r="27" spans="1:15" s="88" customFormat="1" ht="27.75" x14ac:dyDescent="0.5">
      <c r="A27" s="208" t="s">
        <v>5</v>
      </c>
      <c r="B27" s="209"/>
      <c r="C27" s="210"/>
      <c r="D27" s="226" t="s">
        <v>24</v>
      </c>
      <c r="E27" s="135">
        <f>G8</f>
        <v>16892</v>
      </c>
      <c r="F27" s="136">
        <v>9</v>
      </c>
      <c r="G27" s="137">
        <f>E27*F27</f>
        <v>152028</v>
      </c>
      <c r="H27" s="99">
        <f>G27+'25'!H27</f>
        <v>4313025</v>
      </c>
      <c r="I27" s="138"/>
      <c r="J27" s="175">
        <f>H27/DAY(B2)</f>
        <v>165885.57692307694</v>
      </c>
      <c r="K27" s="63"/>
      <c r="L27" s="89"/>
      <c r="N27" s="87"/>
      <c r="O27" s="71"/>
    </row>
    <row r="28" spans="1:15" s="88" customFormat="1" ht="27.75" x14ac:dyDescent="0.5">
      <c r="A28" s="208" t="s">
        <v>152</v>
      </c>
      <c r="B28" s="209"/>
      <c r="C28" s="210"/>
      <c r="D28" s="226" t="s">
        <v>153</v>
      </c>
      <c r="E28" s="139">
        <f>G15</f>
        <v>936</v>
      </c>
      <c r="F28" s="136">
        <v>52</v>
      </c>
      <c r="G28" s="137">
        <f>E28*F28</f>
        <v>48672</v>
      </c>
      <c r="H28" s="99">
        <f>G28+'25'!H28</f>
        <v>1218620</v>
      </c>
      <c r="I28" s="140"/>
      <c r="J28" s="175">
        <f>H28/DAY(B2)</f>
        <v>46870</v>
      </c>
      <c r="K28" s="63"/>
      <c r="L28" s="89"/>
      <c r="N28" s="87"/>
      <c r="O28" s="71"/>
    </row>
    <row r="29" spans="1:15" s="88" customFormat="1" ht="27.75" x14ac:dyDescent="0.5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>E29*F29</f>
        <v>0</v>
      </c>
      <c r="H29" s="99">
        <f>G29+'25'!H29</f>
        <v>7590</v>
      </c>
      <c r="I29" s="140"/>
      <c r="J29" s="175">
        <f>H29/DAY(B2)</f>
        <v>291.92307692307691</v>
      </c>
      <c r="K29" s="63"/>
      <c r="L29" s="89"/>
      <c r="N29" s="87"/>
      <c r="O29" s="71"/>
    </row>
    <row r="30" spans="1:15" s="88" customFormat="1" ht="27.75" x14ac:dyDescent="0.5">
      <c r="A30" s="208" t="s">
        <v>156</v>
      </c>
      <c r="B30" s="209"/>
      <c r="C30" s="210"/>
      <c r="D30" s="226" t="s">
        <v>157</v>
      </c>
      <c r="E30" s="141">
        <f>G19</f>
        <v>55</v>
      </c>
      <c r="F30" s="136">
        <v>146</v>
      </c>
      <c r="G30" s="137">
        <f>E30*F30</f>
        <v>8030</v>
      </c>
      <c r="H30" s="99">
        <f>G30+'25'!H30</f>
        <v>203378</v>
      </c>
      <c r="I30" s="140"/>
      <c r="J30" s="175">
        <f>H30/DAY(B2)</f>
        <v>7822.2307692307695</v>
      </c>
      <c r="K30" s="63"/>
      <c r="L30" s="89"/>
      <c r="N30" s="87"/>
      <c r="O30" s="71"/>
    </row>
    <row r="31" spans="1:15" s="88" customFormat="1" ht="27.75" x14ac:dyDescent="0.5">
      <c r="A31" s="208" t="s">
        <v>158</v>
      </c>
      <c r="B31" s="209"/>
      <c r="C31" s="210"/>
      <c r="D31" s="226" t="s">
        <v>142</v>
      </c>
      <c r="E31" s="141">
        <f>G18</f>
        <v>120</v>
      </c>
      <c r="F31" s="136">
        <v>80</v>
      </c>
      <c r="G31" s="137">
        <f>E31*F31</f>
        <v>9600</v>
      </c>
      <c r="H31" s="99">
        <f>G31+'25'!H31</f>
        <v>239200</v>
      </c>
      <c r="I31" s="140"/>
      <c r="J31" s="175">
        <f>H31/DAY(B2)</f>
        <v>9200</v>
      </c>
      <c r="K31" s="63"/>
      <c r="L31" s="89"/>
      <c r="N31" s="87"/>
      <c r="O31" s="71"/>
    </row>
    <row r="32" spans="1:15" s="88" customFormat="1" ht="27.75" x14ac:dyDescent="0.5">
      <c r="A32" s="211" t="s">
        <v>159</v>
      </c>
      <c r="B32" s="212"/>
      <c r="C32" s="213"/>
      <c r="D32" s="142"/>
      <c r="E32" s="142"/>
      <c r="F32" s="142"/>
      <c r="G32" s="143">
        <f>G27+G28+G29+G30+G31</f>
        <v>218330</v>
      </c>
      <c r="H32" s="99">
        <f>G32+'25'!H32</f>
        <v>5981813</v>
      </c>
      <c r="I32" s="144"/>
      <c r="J32" s="175">
        <f>H32/DAY(B2)</f>
        <v>230069.73076923078</v>
      </c>
      <c r="K32" s="63"/>
      <c r="L32" s="89"/>
      <c r="N32" s="87"/>
      <c r="O32" s="71"/>
    </row>
    <row r="33" spans="1:15" ht="25.5" x14ac:dyDescent="0.35">
      <c r="A33" s="835" t="s">
        <v>331</v>
      </c>
      <c r="B33" s="836"/>
      <c r="C33" s="836"/>
      <c r="D33" s="337"/>
      <c r="E33" s="337"/>
      <c r="F33" s="337"/>
      <c r="G33" s="337"/>
      <c r="H33" s="337"/>
      <c r="I33" s="337"/>
      <c r="J33" s="338"/>
      <c r="K33" s="79"/>
      <c r="L33" s="66"/>
      <c r="N33" s="87"/>
      <c r="O33" s="71"/>
    </row>
    <row r="34" spans="1:15" ht="29.25" x14ac:dyDescent="0.5">
      <c r="A34" s="214" t="s">
        <v>160</v>
      </c>
      <c r="B34" s="349"/>
      <c r="C34" s="349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29.25" x14ac:dyDescent="0.4">
      <c r="A35" s="194" t="s">
        <v>161</v>
      </c>
      <c r="B35" s="195"/>
      <c r="C35" s="195"/>
      <c r="D35" s="151" t="s">
        <v>130</v>
      </c>
      <c r="E35" s="95">
        <f>'25'!F35</f>
        <v>24516</v>
      </c>
      <c r="F35" s="145">
        <v>25764</v>
      </c>
      <c r="G35" s="112">
        <f t="shared" ref="G35:G46" si="3">F35-E35</f>
        <v>1248</v>
      </c>
      <c r="H35" s="99">
        <f>G35+'25'!H35</f>
        <v>40964</v>
      </c>
      <c r="I35" s="95"/>
      <c r="J35" s="175">
        <f>H35/DAY(B2)</f>
        <v>1575.5384615384614</v>
      </c>
      <c r="K35" s="79"/>
      <c r="L35" s="66"/>
      <c r="N35" s="87"/>
      <c r="O35" s="71"/>
    </row>
    <row r="36" spans="1:15" ht="29.25" x14ac:dyDescent="0.4">
      <c r="A36" s="194" t="s">
        <v>162</v>
      </c>
      <c r="B36" s="195"/>
      <c r="C36" s="195"/>
      <c r="D36" s="151" t="s">
        <v>130</v>
      </c>
      <c r="E36" s="95">
        <f>'25'!F36</f>
        <v>39240</v>
      </c>
      <c r="F36" s="145">
        <v>39883</v>
      </c>
      <c r="G36" s="112">
        <f t="shared" si="3"/>
        <v>643</v>
      </c>
      <c r="H36" s="99">
        <f>G36+'25'!H36</f>
        <v>18356</v>
      </c>
      <c r="I36" s="95"/>
      <c r="J36" s="175">
        <f>H36/DAY(B2)</f>
        <v>706</v>
      </c>
      <c r="K36" s="79"/>
      <c r="L36" s="66"/>
      <c r="N36" s="87"/>
      <c r="O36" s="344"/>
    </row>
    <row r="37" spans="1:15" ht="29.25" x14ac:dyDescent="0.4">
      <c r="A37" s="194" t="s">
        <v>163</v>
      </c>
      <c r="B37" s="195"/>
      <c r="C37" s="195"/>
      <c r="D37" s="151" t="s">
        <v>130</v>
      </c>
      <c r="E37" s="95">
        <f>'25'!F37</f>
        <v>25996</v>
      </c>
      <c r="F37" s="145">
        <v>27515</v>
      </c>
      <c r="G37" s="112">
        <f t="shared" si="3"/>
        <v>1519</v>
      </c>
      <c r="H37" s="99">
        <f>G37+'25'!H37</f>
        <v>39727</v>
      </c>
      <c r="I37" s="95"/>
      <c r="J37" s="175">
        <f>H37/DAY(B2)</f>
        <v>1527.9615384615386</v>
      </c>
      <c r="K37" s="79"/>
      <c r="L37" s="66"/>
      <c r="N37" s="87"/>
      <c r="O37" s="234"/>
    </row>
    <row r="38" spans="1:15" ht="29.25" x14ac:dyDescent="0.4">
      <c r="A38" s="194" t="s">
        <v>164</v>
      </c>
      <c r="B38" s="195"/>
      <c r="C38" s="195"/>
      <c r="D38" s="151" t="s">
        <v>130</v>
      </c>
      <c r="E38" s="95">
        <f>'25'!F38</f>
        <v>28079</v>
      </c>
      <c r="F38" s="108">
        <v>29825</v>
      </c>
      <c r="G38" s="112">
        <f t="shared" si="3"/>
        <v>1746</v>
      </c>
      <c r="H38" s="99">
        <f>G38+'25'!H38</f>
        <v>43025.000000000007</v>
      </c>
      <c r="I38" s="95"/>
      <c r="J38" s="175">
        <f>H38/DAY(B2)</f>
        <v>1654.8076923076926</v>
      </c>
      <c r="K38" s="79"/>
      <c r="L38" s="66"/>
      <c r="N38" s="87"/>
      <c r="O38" s="71"/>
    </row>
    <row r="39" spans="1:15" ht="29.25" x14ac:dyDescent="0.4">
      <c r="A39" s="194" t="s">
        <v>165</v>
      </c>
      <c r="B39" s="195"/>
      <c r="C39" s="195"/>
      <c r="D39" s="151" t="s">
        <v>130</v>
      </c>
      <c r="E39" s="95">
        <f>'25'!F39</f>
        <v>43529</v>
      </c>
      <c r="F39" s="145">
        <v>46086</v>
      </c>
      <c r="G39" s="112">
        <f t="shared" si="3"/>
        <v>2557</v>
      </c>
      <c r="H39" s="99">
        <f>G39+'25'!H39</f>
        <v>67768</v>
      </c>
      <c r="I39" s="95"/>
      <c r="J39" s="175">
        <f>H39/DAY(B2)</f>
        <v>2606.4615384615386</v>
      </c>
      <c r="K39" s="79"/>
      <c r="L39" s="66"/>
      <c r="N39" s="87"/>
      <c r="O39" s="71"/>
    </row>
    <row r="40" spans="1:15" ht="29.25" x14ac:dyDescent="0.4">
      <c r="A40" s="215" t="s">
        <v>166</v>
      </c>
      <c r="B40" s="216"/>
      <c r="C40" s="216"/>
      <c r="D40" s="151" t="s">
        <v>130</v>
      </c>
      <c r="E40" s="95">
        <f>'25'!F40</f>
        <v>16777</v>
      </c>
      <c r="F40" s="145">
        <v>17469</v>
      </c>
      <c r="G40" s="112">
        <f t="shared" si="3"/>
        <v>692</v>
      </c>
      <c r="H40" s="99">
        <f>G40+'25'!H40</f>
        <v>11859</v>
      </c>
      <c r="I40" s="95"/>
      <c r="J40" s="175">
        <f>H40/DAY(B2)</f>
        <v>456.11538461538464</v>
      </c>
      <c r="K40" s="80"/>
      <c r="L40" s="66"/>
      <c r="N40" s="87"/>
      <c r="O40" s="71"/>
    </row>
    <row r="41" spans="1:15" ht="29.25" x14ac:dyDescent="0.4">
      <c r="A41" s="194" t="s">
        <v>167</v>
      </c>
      <c r="B41" s="195"/>
      <c r="C41" s="195"/>
      <c r="D41" s="151" t="s">
        <v>130</v>
      </c>
      <c r="E41" s="95">
        <f>'25'!F41</f>
        <v>0</v>
      </c>
      <c r="F41" s="145">
        <v>0</v>
      </c>
      <c r="G41" s="112">
        <f t="shared" si="3"/>
        <v>0</v>
      </c>
      <c r="H41" s="99">
        <f>G41+'25'!H41</f>
        <v>0</v>
      </c>
      <c r="I41" s="95"/>
      <c r="J41" s="175">
        <f>H41/DAY(B2)</f>
        <v>0</v>
      </c>
      <c r="K41" s="79"/>
      <c r="L41" s="66"/>
      <c r="N41" s="87"/>
      <c r="O41" s="71"/>
    </row>
    <row r="42" spans="1:15" ht="29.25" x14ac:dyDescent="0.4">
      <c r="A42" s="194" t="s">
        <v>168</v>
      </c>
      <c r="B42" s="195"/>
      <c r="C42" s="195"/>
      <c r="D42" s="151" t="s">
        <v>130</v>
      </c>
      <c r="E42" s="95">
        <f>'25'!F42</f>
        <v>76837</v>
      </c>
      <c r="F42" s="145">
        <v>80285</v>
      </c>
      <c r="G42" s="112">
        <f t="shared" si="3"/>
        <v>3448</v>
      </c>
      <c r="H42" s="99">
        <f>G42+'25'!H42</f>
        <v>6476</v>
      </c>
      <c r="I42" s="95"/>
      <c r="J42" s="175">
        <f>H42/DAY(B2)</f>
        <v>249.07692307692307</v>
      </c>
      <c r="K42" s="79"/>
      <c r="L42" s="66"/>
      <c r="N42" s="87"/>
      <c r="O42" s="71"/>
    </row>
    <row r="43" spans="1:15" ht="29.25" x14ac:dyDescent="0.4">
      <c r="A43" s="194" t="s">
        <v>169</v>
      </c>
      <c r="B43" s="195"/>
      <c r="C43" s="195"/>
      <c r="D43" s="151" t="s">
        <v>130</v>
      </c>
      <c r="E43" s="95">
        <f>'25'!F43</f>
        <v>103125</v>
      </c>
      <c r="F43" s="145">
        <v>105073</v>
      </c>
      <c r="G43" s="112">
        <f t="shared" si="3"/>
        <v>1948</v>
      </c>
      <c r="H43" s="99">
        <f>G43+'25'!H43</f>
        <v>57812</v>
      </c>
      <c r="I43" s="95"/>
      <c r="J43" s="175">
        <f>H43/DAY(B2)</f>
        <v>2223.5384615384614</v>
      </c>
      <c r="K43" s="79"/>
      <c r="L43" s="66"/>
      <c r="N43" s="87"/>
      <c r="O43" s="71"/>
    </row>
    <row r="44" spans="1:15" ht="29.25" x14ac:dyDescent="0.4">
      <c r="A44" s="194" t="s">
        <v>170</v>
      </c>
      <c r="B44" s="195"/>
      <c r="C44" s="195"/>
      <c r="D44" s="151" t="s">
        <v>130</v>
      </c>
      <c r="E44" s="95">
        <f>'25'!F44</f>
        <v>0</v>
      </c>
      <c r="F44" s="145">
        <v>0</v>
      </c>
      <c r="G44" s="112">
        <f t="shared" si="3"/>
        <v>0</v>
      </c>
      <c r="H44" s="99">
        <f>G44+'25'!H44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29.25" x14ac:dyDescent="0.4">
      <c r="A45" s="194" t="s">
        <v>171</v>
      </c>
      <c r="B45" s="195"/>
      <c r="C45" s="195"/>
      <c r="D45" s="151" t="s">
        <v>130</v>
      </c>
      <c r="E45" s="95">
        <f>'25'!F45</f>
        <v>0</v>
      </c>
      <c r="F45" s="145">
        <v>0</v>
      </c>
      <c r="G45" s="112">
        <f t="shared" si="3"/>
        <v>0</v>
      </c>
      <c r="H45" s="99">
        <f>G45+'25'!H45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29.25" x14ac:dyDescent="0.4">
      <c r="A46" s="194" t="s">
        <v>172</v>
      </c>
      <c r="B46" s="195"/>
      <c r="C46" s="195"/>
      <c r="D46" s="151" t="s">
        <v>130</v>
      </c>
      <c r="E46" s="95">
        <f>'25'!F46</f>
        <v>0</v>
      </c>
      <c r="F46" s="145">
        <v>0</v>
      </c>
      <c r="G46" s="112">
        <f t="shared" si="3"/>
        <v>0</v>
      </c>
      <c r="H46" s="99">
        <f>G46+'25'!H46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29.25" x14ac:dyDescent="0.5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13801</v>
      </c>
      <c r="H47" s="99">
        <f>G47+'25'!H47</f>
        <v>285987.00000000006</v>
      </c>
      <c r="I47" s="95"/>
      <c r="J47" s="175">
        <f>H47/DAY(B2)</f>
        <v>10999.500000000002</v>
      </c>
      <c r="K47" s="79"/>
      <c r="L47" s="66"/>
      <c r="N47" s="87"/>
      <c r="O47" s="71"/>
    </row>
    <row r="48" spans="1:15" ht="29.25" x14ac:dyDescent="0.5">
      <c r="A48" s="214" t="s">
        <v>174</v>
      </c>
      <c r="B48" s="349"/>
      <c r="C48" s="349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29.25" x14ac:dyDescent="0.4">
      <c r="A49" s="194" t="s">
        <v>161</v>
      </c>
      <c r="B49" s="217"/>
      <c r="C49" s="217"/>
      <c r="D49" s="151" t="s">
        <v>130</v>
      </c>
      <c r="E49" s="95">
        <f>'25'!F49</f>
        <v>19847</v>
      </c>
      <c r="F49" s="145">
        <v>20678</v>
      </c>
      <c r="G49" s="112">
        <f t="shared" ref="G49:G58" si="4">F49-E49</f>
        <v>831</v>
      </c>
      <c r="H49" s="99">
        <f>G49+'25'!H49</f>
        <v>33799</v>
      </c>
      <c r="I49" s="95"/>
      <c r="J49" s="175">
        <f>H49/DAY(B2)</f>
        <v>1299.9615384615386</v>
      </c>
      <c r="K49" s="79"/>
      <c r="L49" s="66"/>
      <c r="N49" s="87"/>
      <c r="O49" s="71"/>
    </row>
    <row r="50" spans="1:15" ht="29.25" x14ac:dyDescent="0.4">
      <c r="A50" s="194" t="s">
        <v>175</v>
      </c>
      <c r="B50" s="217"/>
      <c r="C50" s="217"/>
      <c r="D50" s="151" t="s">
        <v>130</v>
      </c>
      <c r="E50" s="95">
        <f>'25'!F50</f>
        <v>50260</v>
      </c>
      <c r="F50" s="145">
        <v>51269</v>
      </c>
      <c r="G50" s="112">
        <f t="shared" si="4"/>
        <v>1009</v>
      </c>
      <c r="H50" s="99">
        <f>G50+'25'!H50</f>
        <v>26619</v>
      </c>
      <c r="I50" s="95"/>
      <c r="J50" s="175">
        <f>H50/DAY(B2)</f>
        <v>1023.8076923076923</v>
      </c>
      <c r="K50" s="79"/>
      <c r="L50" s="66"/>
      <c r="N50" s="87"/>
      <c r="O50" s="71"/>
    </row>
    <row r="51" spans="1:15" ht="29.25" x14ac:dyDescent="0.4">
      <c r="A51" s="194" t="s">
        <v>163</v>
      </c>
      <c r="B51" s="217"/>
      <c r="C51" s="217"/>
      <c r="D51" s="151" t="s">
        <v>130</v>
      </c>
      <c r="E51" s="95">
        <f>'25'!F51</f>
        <v>0</v>
      </c>
      <c r="F51" s="145">
        <v>0</v>
      </c>
      <c r="G51" s="112">
        <f t="shared" si="4"/>
        <v>0</v>
      </c>
      <c r="H51" s="99">
        <f>G51+'25'!H51</f>
        <v>0</v>
      </c>
      <c r="I51" s="95"/>
      <c r="J51" s="175">
        <f>H51/DAY(B2)</f>
        <v>0</v>
      </c>
      <c r="K51" s="79"/>
      <c r="L51" s="66"/>
      <c r="N51" s="87"/>
      <c r="O51" s="71"/>
    </row>
    <row r="52" spans="1:15" ht="29.25" x14ac:dyDescent="0.4">
      <c r="A52" s="194" t="s">
        <v>176</v>
      </c>
      <c r="B52" s="217"/>
      <c r="C52" s="217"/>
      <c r="D52" s="151" t="s">
        <v>130</v>
      </c>
      <c r="E52" s="95">
        <f>'25'!F52</f>
        <v>0</v>
      </c>
      <c r="F52" s="145">
        <v>0</v>
      </c>
      <c r="G52" s="112">
        <f t="shared" si="4"/>
        <v>0</v>
      </c>
      <c r="H52" s="99">
        <f>G52+'25'!H52</f>
        <v>0</v>
      </c>
      <c r="I52" s="95"/>
      <c r="J52" s="175">
        <f>H52/DAY(B2)</f>
        <v>0</v>
      </c>
      <c r="K52" s="79"/>
      <c r="L52" s="66"/>
      <c r="N52" s="87"/>
      <c r="O52" s="71"/>
    </row>
    <row r="53" spans="1:15" ht="29.25" x14ac:dyDescent="0.4">
      <c r="A53" s="194" t="s">
        <v>165</v>
      </c>
      <c r="B53" s="217"/>
      <c r="C53" s="217"/>
      <c r="D53" s="151" t="s">
        <v>130</v>
      </c>
      <c r="E53" s="95">
        <f>'25'!F53</f>
        <v>0</v>
      </c>
      <c r="F53" s="145">
        <v>0</v>
      </c>
      <c r="G53" s="112">
        <f t="shared" si="4"/>
        <v>0</v>
      </c>
      <c r="H53" s="99">
        <f>G53+'25'!H53</f>
        <v>0</v>
      </c>
      <c r="I53" s="95"/>
      <c r="J53" s="175">
        <f>H53/DAY(B2)</f>
        <v>0</v>
      </c>
      <c r="K53" s="79"/>
      <c r="L53" s="66"/>
      <c r="N53" s="87"/>
      <c r="O53" s="71"/>
    </row>
    <row r="54" spans="1:15" ht="29.25" x14ac:dyDescent="0.4">
      <c r="A54" s="194" t="s">
        <v>177</v>
      </c>
      <c r="B54" s="217"/>
      <c r="C54" s="217"/>
      <c r="D54" s="151" t="s">
        <v>130</v>
      </c>
      <c r="E54" s="95">
        <f>'25'!F54</f>
        <v>5147</v>
      </c>
      <c r="F54" s="145">
        <v>5147</v>
      </c>
      <c r="G54" s="112">
        <f t="shared" si="4"/>
        <v>0</v>
      </c>
      <c r="H54" s="99">
        <f>G54+'25'!H54</f>
        <v>6914.08</v>
      </c>
      <c r="I54" s="95"/>
      <c r="J54" s="175">
        <f>H54/DAY(B2)</f>
        <v>265.92615384615385</v>
      </c>
      <c r="K54" s="79"/>
      <c r="L54" s="66"/>
      <c r="N54" s="87"/>
      <c r="O54" s="71"/>
    </row>
    <row r="55" spans="1:15" ht="29.25" x14ac:dyDescent="0.4">
      <c r="A55" s="194" t="s">
        <v>178</v>
      </c>
      <c r="B55" s="217"/>
      <c r="C55" s="217"/>
      <c r="D55" s="151" t="s">
        <v>130</v>
      </c>
      <c r="E55" s="95">
        <f>'25'!F55</f>
        <v>74366</v>
      </c>
      <c r="F55" s="145">
        <v>74366</v>
      </c>
      <c r="G55" s="112">
        <f t="shared" si="4"/>
        <v>0</v>
      </c>
      <c r="H55" s="99">
        <f>G55+'25'!H55</f>
        <v>70855</v>
      </c>
      <c r="I55" s="95"/>
      <c r="J55" s="175">
        <f>H55/DAY(B2)</f>
        <v>2725.1923076923076</v>
      </c>
      <c r="K55" s="79"/>
      <c r="L55" s="66"/>
      <c r="N55" s="87"/>
      <c r="O55" s="71"/>
    </row>
    <row r="56" spans="1:15" ht="29.25" x14ac:dyDescent="0.4">
      <c r="A56" s="194" t="s">
        <v>179</v>
      </c>
      <c r="B56" s="217"/>
      <c r="C56" s="217"/>
      <c r="D56" s="151" t="s">
        <v>180</v>
      </c>
      <c r="E56" s="95">
        <f>'25'!F56</f>
        <v>8610.5400000000009</v>
      </c>
      <c r="F56" s="145">
        <v>8610.5400000000009</v>
      </c>
      <c r="G56" s="112">
        <f t="shared" si="4"/>
        <v>0</v>
      </c>
      <c r="H56" s="99">
        <f>G56+'25'!H56</f>
        <v>0</v>
      </c>
      <c r="I56" s="95"/>
      <c r="J56" s="175">
        <f>H56/DAY(B2)</f>
        <v>0</v>
      </c>
      <c r="K56" s="78"/>
      <c r="L56" s="66"/>
      <c r="N56" s="87"/>
      <c r="O56" s="71"/>
    </row>
    <row r="57" spans="1:15" ht="29.25" x14ac:dyDescent="0.4">
      <c r="A57" s="194" t="s">
        <v>169</v>
      </c>
      <c r="B57" s="217"/>
      <c r="C57" s="217"/>
      <c r="D57" s="151" t="s">
        <v>130</v>
      </c>
      <c r="E57" s="95">
        <f>'25'!F57</f>
        <v>0</v>
      </c>
      <c r="F57" s="145">
        <v>0</v>
      </c>
      <c r="G57" s="112">
        <f t="shared" si="4"/>
        <v>0</v>
      </c>
      <c r="H57" s="99">
        <f>G57+'25'!H57</f>
        <v>0</v>
      </c>
      <c r="I57" s="95"/>
      <c r="J57" s="175">
        <f>H57/DAY(B2)</f>
        <v>0</v>
      </c>
      <c r="K57" s="79"/>
      <c r="L57" s="66"/>
      <c r="N57" s="87"/>
      <c r="O57" s="71"/>
    </row>
    <row r="58" spans="1:15" ht="29.25" x14ac:dyDescent="0.4">
      <c r="A58" s="194" t="s">
        <v>181</v>
      </c>
      <c r="B58" s="217"/>
      <c r="C58" s="217"/>
      <c r="D58" s="151" t="s">
        <v>130</v>
      </c>
      <c r="E58" s="95">
        <f>'25'!F58</f>
        <v>3595</v>
      </c>
      <c r="F58" s="145">
        <v>3797</v>
      </c>
      <c r="G58" s="112">
        <f t="shared" si="4"/>
        <v>202</v>
      </c>
      <c r="H58" s="99">
        <f>G58+'25'!H58</f>
        <v>4137.6300000000047</v>
      </c>
      <c r="I58" s="95"/>
      <c r="J58" s="175">
        <f>H58/DAY(B2)</f>
        <v>159.13961538461555</v>
      </c>
      <c r="K58" s="79"/>
      <c r="L58" s="66"/>
      <c r="N58" s="87"/>
      <c r="O58" s="71"/>
    </row>
    <row r="59" spans="1:15" ht="29.25" x14ac:dyDescent="0.5">
      <c r="A59" s="201" t="s">
        <v>173</v>
      </c>
      <c r="B59" s="202"/>
      <c r="C59" s="202"/>
      <c r="D59" s="146"/>
      <c r="E59" s="146"/>
      <c r="F59" s="146"/>
      <c r="G59" s="119">
        <f>G49+G50+G51+G52+G53+G54+G55+G56+G57+G58</f>
        <v>2042</v>
      </c>
      <c r="H59" s="99">
        <f>G59+'25'!H59</f>
        <v>142324.71000000005</v>
      </c>
      <c r="I59" s="95">
        <f>G7-G60</f>
        <v>611</v>
      </c>
      <c r="J59" s="175">
        <f>H59/DAY(B2)</f>
        <v>5474.0273076923095</v>
      </c>
      <c r="K59" s="79"/>
      <c r="L59" s="66"/>
      <c r="N59" s="87"/>
      <c r="O59" s="71"/>
    </row>
    <row r="60" spans="1:15" ht="29.25" x14ac:dyDescent="0.4">
      <c r="A60" s="194"/>
      <c r="B60" s="195"/>
      <c r="C60" s="195"/>
      <c r="D60" s="146" t="s">
        <v>182</v>
      </c>
      <c r="E60" s="146"/>
      <c r="F60" s="146"/>
      <c r="G60" s="119">
        <f>G47+G59</f>
        <v>15843</v>
      </c>
      <c r="H60" s="99">
        <f>G60+'25'!H60</f>
        <v>428311.70999999996</v>
      </c>
      <c r="I60" s="95">
        <f>G13-G60</f>
        <v>303</v>
      </c>
      <c r="J60" s="175">
        <f>H60/DAY(B2)</f>
        <v>16473.527307692308</v>
      </c>
      <c r="K60" s="79"/>
      <c r="L60" s="66"/>
      <c r="N60" s="87"/>
      <c r="O60" s="71"/>
    </row>
    <row r="61" spans="1:15" s="68" customFormat="1" ht="27.75" x14ac:dyDescent="0.5">
      <c r="A61" s="837" t="s">
        <v>332</v>
      </c>
      <c r="B61" s="838"/>
      <c r="C61" s="839"/>
      <c r="D61" s="339"/>
      <c r="E61" s="339"/>
      <c r="F61" s="339"/>
      <c r="G61" s="340"/>
      <c r="H61" s="339"/>
      <c r="I61" s="339"/>
      <c r="J61" s="341"/>
      <c r="K61" s="69"/>
      <c r="L61" s="67"/>
      <c r="N61" s="87"/>
      <c r="O61" s="71"/>
    </row>
    <row r="62" spans="1:15" ht="27.75" x14ac:dyDescent="0.5">
      <c r="A62" s="818" t="s">
        <v>198</v>
      </c>
      <c r="B62" s="819"/>
      <c r="C62" s="820"/>
      <c r="D62" s="151" t="s">
        <v>142</v>
      </c>
      <c r="E62" s="95">
        <f>'25'!F62</f>
        <v>268914</v>
      </c>
      <c r="F62" s="122">
        <v>269007</v>
      </c>
      <c r="G62" s="112">
        <f t="shared" ref="G62:G63" si="5">F62-E62</f>
        <v>93</v>
      </c>
      <c r="H62" s="99">
        <f>G62+'25'!H62</f>
        <v>1794</v>
      </c>
      <c r="I62" s="118"/>
      <c r="J62" s="175">
        <f>H62/DAY(B2)</f>
        <v>69</v>
      </c>
      <c r="K62" s="80"/>
      <c r="L62" s="66"/>
      <c r="N62" s="87"/>
      <c r="O62" s="71"/>
    </row>
    <row r="63" spans="1:15" ht="27.75" x14ac:dyDescent="0.5">
      <c r="A63" s="818" t="s">
        <v>199</v>
      </c>
      <c r="B63" s="819"/>
      <c r="C63" s="820"/>
      <c r="D63" s="151" t="s">
        <v>142</v>
      </c>
      <c r="E63" s="95">
        <f>'25'!F63</f>
        <v>215002</v>
      </c>
      <c r="F63" s="122">
        <v>215129</v>
      </c>
      <c r="G63" s="112">
        <f t="shared" si="5"/>
        <v>127</v>
      </c>
      <c r="H63" s="99">
        <f>G63+'25'!H63</f>
        <v>2704</v>
      </c>
      <c r="I63" s="118"/>
      <c r="J63" s="175">
        <f>H63/DAY(B2)</f>
        <v>104</v>
      </c>
      <c r="K63" s="69"/>
      <c r="L63" s="66"/>
      <c r="N63" s="87"/>
      <c r="O63" s="71"/>
    </row>
    <row r="64" spans="1:15" ht="29.25" x14ac:dyDescent="0.5">
      <c r="A64" s="815" t="s">
        <v>200</v>
      </c>
      <c r="B64" s="816"/>
      <c r="C64" s="817"/>
      <c r="D64" s="151"/>
      <c r="E64" s="95">
        <f>'25'!F64</f>
        <v>0</v>
      </c>
      <c r="F64" s="122"/>
      <c r="G64" s="112">
        <f>G62+G63</f>
        <v>220</v>
      </c>
      <c r="H64" s="99">
        <f>G64+'25'!H64</f>
        <v>4498</v>
      </c>
      <c r="I64" s="118"/>
      <c r="J64" s="175">
        <f>H64/DAY(B2)</f>
        <v>173</v>
      </c>
      <c r="K64" s="69"/>
      <c r="L64" s="66"/>
      <c r="N64" s="87"/>
      <c r="O64" s="71"/>
    </row>
    <row r="65" spans="1:15" ht="27.75" x14ac:dyDescent="0.5">
      <c r="A65" s="818" t="s">
        <v>201</v>
      </c>
      <c r="B65" s="819"/>
      <c r="C65" s="820"/>
      <c r="D65" s="151" t="s">
        <v>142</v>
      </c>
      <c r="E65" s="95">
        <f>'25'!F65</f>
        <v>434415</v>
      </c>
      <c r="F65" s="122">
        <v>434499</v>
      </c>
      <c r="G65" s="112">
        <f t="shared" ref="G65:G70" si="6">F65-E65</f>
        <v>84</v>
      </c>
      <c r="H65" s="99">
        <f>G65+'25'!H65</f>
        <v>1885</v>
      </c>
      <c r="I65" s="118"/>
      <c r="J65" s="175">
        <f>H65/DAY(B2)</f>
        <v>72.5</v>
      </c>
      <c r="K65" s="69"/>
      <c r="L65" s="66"/>
      <c r="N65" s="87"/>
      <c r="O65" s="71"/>
    </row>
    <row r="66" spans="1:15" ht="27.75" x14ac:dyDescent="0.5">
      <c r="A66" s="345" t="s">
        <v>202</v>
      </c>
      <c r="B66" s="346"/>
      <c r="C66" s="346"/>
      <c r="D66" s="151" t="s">
        <v>142</v>
      </c>
      <c r="E66" s="95">
        <f>'25'!F66</f>
        <v>107618</v>
      </c>
      <c r="F66" s="122">
        <v>107637</v>
      </c>
      <c r="G66" s="112">
        <f t="shared" si="6"/>
        <v>19</v>
      </c>
      <c r="H66" s="99">
        <f>G66+'25'!H66</f>
        <v>423</v>
      </c>
      <c r="I66" s="118"/>
      <c r="J66" s="175">
        <f>H66/DAY(B2)</f>
        <v>16.26923076923077</v>
      </c>
      <c r="K66" s="78"/>
      <c r="L66" s="66"/>
      <c r="N66" s="87"/>
      <c r="O66" s="71"/>
    </row>
    <row r="67" spans="1:15" ht="27.75" x14ac:dyDescent="0.5">
      <c r="A67" s="345" t="s">
        <v>203</v>
      </c>
      <c r="B67" s="346"/>
      <c r="C67" s="346"/>
      <c r="D67" s="151" t="s">
        <v>142</v>
      </c>
      <c r="E67" s="95">
        <f>'25'!F67</f>
        <v>104500</v>
      </c>
      <c r="F67" s="122">
        <v>104526</v>
      </c>
      <c r="G67" s="112">
        <f t="shared" si="6"/>
        <v>26</v>
      </c>
      <c r="H67" s="99">
        <f>G67+'25'!H67</f>
        <v>598</v>
      </c>
      <c r="I67" s="118"/>
      <c r="J67" s="175">
        <f>H67/DAY(B2)</f>
        <v>23</v>
      </c>
      <c r="K67" s="81"/>
      <c r="L67" s="66"/>
      <c r="N67" s="87"/>
      <c r="O67" s="71"/>
    </row>
    <row r="68" spans="1:15" ht="27.75" x14ac:dyDescent="0.5">
      <c r="A68" s="345" t="s">
        <v>204</v>
      </c>
      <c r="B68" s="346"/>
      <c r="C68" s="346"/>
      <c r="D68" s="151" t="s">
        <v>142</v>
      </c>
      <c r="E68" s="95">
        <f>'25'!F68</f>
        <v>157420</v>
      </c>
      <c r="F68" s="122">
        <v>157470</v>
      </c>
      <c r="G68" s="112">
        <f t="shared" si="6"/>
        <v>50</v>
      </c>
      <c r="H68" s="99" t="e">
        <f>G68+'25'!H68</f>
        <v>#VALUE!</v>
      </c>
      <c r="I68" s="118"/>
      <c r="J68" s="175" t="e">
        <f>H68/DAY(B2)</f>
        <v>#VALUE!</v>
      </c>
      <c r="K68" s="69"/>
      <c r="L68" s="66"/>
      <c r="N68" s="87"/>
      <c r="O68" s="71"/>
    </row>
    <row r="69" spans="1:15" ht="27.75" x14ac:dyDescent="0.5">
      <c r="A69" s="345" t="s">
        <v>205</v>
      </c>
      <c r="B69" s="346"/>
      <c r="C69" s="346"/>
      <c r="D69" s="151" t="s">
        <v>142</v>
      </c>
      <c r="E69" s="95">
        <f>'25'!F69</f>
        <v>10494</v>
      </c>
      <c r="F69" s="122">
        <v>10502</v>
      </c>
      <c r="G69" s="112">
        <f t="shared" si="6"/>
        <v>8</v>
      </c>
      <c r="H69" s="99">
        <f>G69+'25'!H69</f>
        <v>288</v>
      </c>
      <c r="I69" s="118"/>
      <c r="J69" s="175">
        <f>H69/DAY(B2)</f>
        <v>11.076923076923077</v>
      </c>
      <c r="K69" s="69"/>
      <c r="L69" s="66"/>
      <c r="N69" s="87"/>
      <c r="O69" s="71"/>
    </row>
    <row r="70" spans="1:15" ht="27.75" x14ac:dyDescent="0.5">
      <c r="A70" s="345" t="s">
        <v>206</v>
      </c>
      <c r="B70" s="346"/>
      <c r="C70" s="346"/>
      <c r="D70" s="151" t="s">
        <v>142</v>
      </c>
      <c r="E70" s="95">
        <f>'25'!F70</f>
        <v>8042</v>
      </c>
      <c r="F70" s="122">
        <v>8055</v>
      </c>
      <c r="G70" s="112">
        <f t="shared" si="6"/>
        <v>13</v>
      </c>
      <c r="H70" s="99">
        <f>G70+'25'!H70</f>
        <v>193</v>
      </c>
      <c r="I70" s="118"/>
      <c r="J70" s="175">
        <f>H70/DAY(B2)</f>
        <v>7.4230769230769234</v>
      </c>
      <c r="K70" s="69"/>
      <c r="L70" s="66"/>
      <c r="N70" s="87"/>
      <c r="O70" s="71"/>
    </row>
    <row r="71" spans="1:15" ht="29.25" x14ac:dyDescent="0.5">
      <c r="A71" s="815" t="s">
        <v>208</v>
      </c>
      <c r="B71" s="816"/>
      <c r="C71" s="817"/>
      <c r="D71" s="152"/>
      <c r="E71" s="152"/>
      <c r="F71" s="152"/>
      <c r="G71" s="153">
        <f>SUM(G65:G70)</f>
        <v>200</v>
      </c>
      <c r="H71" s="99">
        <f>G71+'25'!H71</f>
        <v>4164</v>
      </c>
      <c r="I71" s="154"/>
      <c r="J71" s="175">
        <f>H71/DAY(B2)</f>
        <v>160.15384615384616</v>
      </c>
      <c r="K71" s="69"/>
      <c r="L71" s="66"/>
      <c r="N71" s="87"/>
      <c r="O71" s="71"/>
    </row>
    <row r="72" spans="1:15" s="88" customFormat="1" ht="27.75" x14ac:dyDescent="0.5">
      <c r="A72" s="861"/>
      <c r="B72" s="853"/>
      <c r="C72" s="347"/>
      <c r="D72" s="180"/>
      <c r="E72" s="180" t="s">
        <v>207</v>
      </c>
      <c r="F72" s="180"/>
      <c r="G72" s="180"/>
      <c r="H72" s="181"/>
      <c r="I72" s="180"/>
      <c r="J72" s="182"/>
      <c r="N72" s="87"/>
      <c r="O72" s="71"/>
    </row>
    <row r="73" spans="1:15" ht="29.25" x14ac:dyDescent="0.5">
      <c r="A73" s="866" t="s">
        <v>333</v>
      </c>
      <c r="B73" s="867"/>
      <c r="C73" s="868"/>
      <c r="D73" s="339"/>
      <c r="E73" s="339"/>
      <c r="F73" s="339"/>
      <c r="G73" s="342"/>
      <c r="H73" s="342"/>
      <c r="I73" s="342"/>
      <c r="J73" s="343"/>
      <c r="K73" s="69"/>
      <c r="L73" s="66"/>
      <c r="N73" s="87"/>
      <c r="O73" s="71"/>
    </row>
    <row r="74" spans="1:15" ht="27.75" x14ac:dyDescent="0.5">
      <c r="A74" s="818" t="s">
        <v>220</v>
      </c>
      <c r="B74" s="819"/>
      <c r="C74" s="820"/>
      <c r="D74" s="151" t="s">
        <v>139</v>
      </c>
      <c r="E74" s="95">
        <f>'25'!F74</f>
        <v>899470</v>
      </c>
      <c r="F74" s="123">
        <v>899756</v>
      </c>
      <c r="G74" s="112">
        <f t="shared" ref="G74:G78" si="7">F74-E74</f>
        <v>286</v>
      </c>
      <c r="H74" s="99">
        <f>G74+'25'!H74</f>
        <v>7724</v>
      </c>
      <c r="I74" s="154"/>
      <c r="J74" s="175">
        <f>H74/DAY(B2)</f>
        <v>297.07692307692309</v>
      </c>
      <c r="K74" s="69"/>
      <c r="L74" s="66"/>
      <c r="N74" s="87"/>
      <c r="O74" s="71"/>
    </row>
    <row r="75" spans="1:15" ht="27.75" x14ac:dyDescent="0.5">
      <c r="A75" s="818" t="s">
        <v>221</v>
      </c>
      <c r="B75" s="819"/>
      <c r="C75" s="820"/>
      <c r="D75" s="151" t="s">
        <v>139</v>
      </c>
      <c r="E75" s="95">
        <f>'25'!F75</f>
        <v>73586.8</v>
      </c>
      <c r="F75" s="123">
        <v>73586.8</v>
      </c>
      <c r="G75" s="112">
        <f t="shared" si="7"/>
        <v>0</v>
      </c>
      <c r="H75" s="99">
        <f>G75+'25'!H75</f>
        <v>0</v>
      </c>
      <c r="I75" s="154"/>
      <c r="J75" s="175">
        <f>H75/DAY(B2)</f>
        <v>0</v>
      </c>
      <c r="K75" s="69"/>
      <c r="L75" s="66"/>
      <c r="N75" s="87"/>
      <c r="O75" s="71"/>
    </row>
    <row r="76" spans="1:15" ht="27.75" x14ac:dyDescent="0.5">
      <c r="A76" s="862" t="s">
        <v>222</v>
      </c>
      <c r="B76" s="848"/>
      <c r="C76" s="849"/>
      <c r="D76" s="151" t="s">
        <v>139</v>
      </c>
      <c r="E76" s="95">
        <f>'25'!F76</f>
        <v>169420</v>
      </c>
      <c r="F76" s="123">
        <v>169525</v>
      </c>
      <c r="G76" s="112">
        <f t="shared" si="7"/>
        <v>105</v>
      </c>
      <c r="H76" s="99">
        <f>G76+'25'!H76</f>
        <v>2318</v>
      </c>
      <c r="I76" s="154"/>
      <c r="J76" s="175">
        <f>H76/DAY(B2)</f>
        <v>89.15384615384616</v>
      </c>
      <c r="K76" s="69"/>
      <c r="L76" s="66"/>
      <c r="N76" s="87"/>
      <c r="O76" s="71"/>
    </row>
    <row r="77" spans="1:15" ht="27.75" x14ac:dyDescent="0.5">
      <c r="A77" s="862" t="s">
        <v>223</v>
      </c>
      <c r="B77" s="848"/>
      <c r="C77" s="849"/>
      <c r="D77" s="151" t="s">
        <v>139</v>
      </c>
      <c r="E77" s="95">
        <f>'25'!F77</f>
        <v>41085</v>
      </c>
      <c r="F77" s="123">
        <v>41116</v>
      </c>
      <c r="G77" s="112">
        <f t="shared" si="7"/>
        <v>31</v>
      </c>
      <c r="H77" s="99">
        <f>G77+'25'!H77</f>
        <v>800</v>
      </c>
      <c r="I77" s="154"/>
      <c r="J77" s="175">
        <f>H77/DAY(B2)</f>
        <v>30.76923076923077</v>
      </c>
      <c r="K77" s="69"/>
      <c r="L77" s="66"/>
      <c r="N77" s="87"/>
      <c r="O77" s="71"/>
    </row>
    <row r="78" spans="1:15" ht="27.75" x14ac:dyDescent="0.5">
      <c r="A78" s="862" t="s">
        <v>224</v>
      </c>
      <c r="B78" s="848"/>
      <c r="C78" s="849"/>
      <c r="D78" s="151" t="s">
        <v>139</v>
      </c>
      <c r="E78" s="95">
        <f>'25'!F78</f>
        <v>9508</v>
      </c>
      <c r="F78" s="123">
        <v>9509</v>
      </c>
      <c r="G78" s="112">
        <f t="shared" si="7"/>
        <v>1</v>
      </c>
      <c r="H78" s="99">
        <f>G78+'25'!H78</f>
        <v>23</v>
      </c>
      <c r="I78" s="118"/>
      <c r="J78" s="175">
        <f>H78/DAY(B2)</f>
        <v>0.88461538461538458</v>
      </c>
      <c r="K78" s="69"/>
      <c r="L78" s="66"/>
      <c r="N78" s="87"/>
      <c r="O78" s="71"/>
    </row>
    <row r="79" spans="1:15" s="57" customFormat="1" ht="27.75" x14ac:dyDescent="0.5">
      <c r="A79" s="862" t="s">
        <v>225</v>
      </c>
      <c r="B79" s="848"/>
      <c r="C79" s="849"/>
      <c r="D79" s="151"/>
      <c r="E79" s="95">
        <f>'25'!F79</f>
        <v>0</v>
      </c>
      <c r="F79" s="117"/>
      <c r="G79" s="112">
        <f>G15-SUM(G74:G78)</f>
        <v>513</v>
      </c>
      <c r="H79" s="99">
        <f>G79+'25'!H79</f>
        <v>12570</v>
      </c>
      <c r="I79" s="118"/>
      <c r="J79" s="175"/>
      <c r="K79" s="59"/>
      <c r="L79" s="58"/>
      <c r="N79" s="87"/>
      <c r="O79" s="71"/>
    </row>
    <row r="80" spans="1:15" s="57" customFormat="1" ht="29.25" x14ac:dyDescent="0.5">
      <c r="A80" s="815" t="s">
        <v>329</v>
      </c>
      <c r="B80" s="816"/>
      <c r="C80" s="817"/>
      <c r="D80" s="151"/>
      <c r="E80" s="117"/>
      <c r="F80" s="117"/>
      <c r="G80" s="112">
        <f>SUM(G74:G79)</f>
        <v>936</v>
      </c>
      <c r="H80" s="99"/>
      <c r="I80" s="118"/>
      <c r="J80" s="175"/>
      <c r="K80" s="59"/>
      <c r="L80" s="58"/>
      <c r="N80" s="87"/>
      <c r="O80" s="71"/>
    </row>
    <row r="81" spans="1:15" ht="27" x14ac:dyDescent="0.4">
      <c r="A81" s="854" t="s">
        <v>226</v>
      </c>
      <c r="B81" s="855"/>
      <c r="C81" s="856"/>
      <c r="D81" s="110"/>
      <c r="E81" s="110"/>
      <c r="F81" s="110"/>
      <c r="G81" s="163"/>
      <c r="H81" s="163"/>
      <c r="I81" s="163"/>
      <c r="J81" s="184"/>
      <c r="O81" s="71"/>
    </row>
    <row r="82" spans="1:15" ht="27.75" x14ac:dyDescent="0.5">
      <c r="A82" s="345" t="s">
        <v>227</v>
      </c>
      <c r="B82" s="346"/>
      <c r="C82" s="346"/>
      <c r="D82" s="151" t="s">
        <v>228</v>
      </c>
      <c r="E82" s="95">
        <f>'25'!F82</f>
        <v>0</v>
      </c>
      <c r="F82" s="122">
        <v>0</v>
      </c>
      <c r="G82" s="112">
        <f t="shared" ref="G82:G92" si="8">F82-E82</f>
        <v>0</v>
      </c>
      <c r="H82" s="99">
        <f>G82+'25'!H82</f>
        <v>0</v>
      </c>
      <c r="I82" s="118"/>
      <c r="J82" s="175">
        <f>H82/DAY(B2)</f>
        <v>0</v>
      </c>
      <c r="O82" s="71"/>
    </row>
    <row r="83" spans="1:15" ht="27.75" x14ac:dyDescent="0.5">
      <c r="A83" s="345" t="s">
        <v>229</v>
      </c>
      <c r="B83" s="346"/>
      <c r="C83" s="346"/>
      <c r="D83" s="151" t="s">
        <v>228</v>
      </c>
      <c r="E83" s="95">
        <f>'25'!F83</f>
        <v>0</v>
      </c>
      <c r="F83" s="122">
        <v>0</v>
      </c>
      <c r="G83" s="112">
        <f t="shared" si="8"/>
        <v>0</v>
      </c>
      <c r="H83" s="99">
        <f>G83+'25'!H83</f>
        <v>0</v>
      </c>
      <c r="I83" s="118"/>
      <c r="J83" s="175">
        <f>H83/DAY(B2)</f>
        <v>0</v>
      </c>
      <c r="O83" s="71"/>
    </row>
    <row r="84" spans="1:15" ht="27.75" x14ac:dyDescent="0.5">
      <c r="A84" s="345" t="s">
        <v>230</v>
      </c>
      <c r="B84" s="346"/>
      <c r="C84" s="346"/>
      <c r="D84" s="151" t="s">
        <v>228</v>
      </c>
      <c r="E84" s="95">
        <f>'25'!F84</f>
        <v>41675.4</v>
      </c>
      <c r="F84" s="164">
        <v>41675.4</v>
      </c>
      <c r="G84" s="112">
        <f t="shared" si="8"/>
        <v>0</v>
      </c>
      <c r="H84" s="99">
        <f>G84+'25'!H84</f>
        <v>0.40000000000145519</v>
      </c>
      <c r="I84" s="118"/>
      <c r="J84" s="175">
        <f>H84/DAY(B2)</f>
        <v>1.5384615384671353E-2</v>
      </c>
      <c r="O84" s="71"/>
    </row>
    <row r="85" spans="1:15" ht="27.75" x14ac:dyDescent="0.5">
      <c r="A85" s="345" t="s">
        <v>231</v>
      </c>
      <c r="B85" s="346"/>
      <c r="C85" s="346"/>
      <c r="D85" s="151" t="s">
        <v>228</v>
      </c>
      <c r="E85" s="95">
        <f>'25'!F85</f>
        <v>2118</v>
      </c>
      <c r="F85" s="164">
        <v>2142</v>
      </c>
      <c r="G85" s="112">
        <f t="shared" si="8"/>
        <v>24</v>
      </c>
      <c r="H85" s="99">
        <f>G85+'25'!H85</f>
        <v>45.440000000000055</v>
      </c>
      <c r="I85" s="118">
        <f>G82+G83+G84+G85</f>
        <v>24</v>
      </c>
      <c r="J85" s="175">
        <f>H85/DAY(B2)</f>
        <v>1.7476923076923099</v>
      </c>
      <c r="O85" s="71"/>
    </row>
    <row r="86" spans="1:15" ht="27.75" x14ac:dyDescent="0.5">
      <c r="A86" s="345" t="s">
        <v>232</v>
      </c>
      <c r="B86" s="346"/>
      <c r="C86" s="346"/>
      <c r="D86" s="151" t="s">
        <v>228</v>
      </c>
      <c r="E86" s="95">
        <f>'25'!F86</f>
        <v>43442</v>
      </c>
      <c r="F86" s="164">
        <v>43442</v>
      </c>
      <c r="G86" s="112">
        <f t="shared" si="8"/>
        <v>0</v>
      </c>
      <c r="H86" s="99">
        <f>G86+'25'!H86</f>
        <v>579</v>
      </c>
      <c r="I86" s="118"/>
      <c r="J86" s="175">
        <f>H86/DAY(B2)</f>
        <v>22.26923076923077</v>
      </c>
      <c r="O86" s="71"/>
    </row>
    <row r="87" spans="1:15" ht="27.75" x14ac:dyDescent="0.5">
      <c r="A87" s="345" t="s">
        <v>233</v>
      </c>
      <c r="B87" s="346"/>
      <c r="C87" s="346"/>
      <c r="D87" s="151" t="s">
        <v>228</v>
      </c>
      <c r="E87" s="95">
        <f>'25'!F87</f>
        <v>34598.550000000003</v>
      </c>
      <c r="F87" s="164">
        <v>34598.550000000003</v>
      </c>
      <c r="G87" s="112">
        <f t="shared" si="8"/>
        <v>0</v>
      </c>
      <c r="H87" s="99">
        <f>G87+'25'!H87</f>
        <v>0</v>
      </c>
      <c r="I87" s="118"/>
      <c r="J87" s="175">
        <f>H87/DAY(B2)</f>
        <v>0</v>
      </c>
      <c r="O87" s="71"/>
    </row>
    <row r="88" spans="1:15" ht="27.75" x14ac:dyDescent="0.5">
      <c r="A88" s="345" t="s">
        <v>234</v>
      </c>
      <c r="B88" s="346"/>
      <c r="C88" s="346"/>
      <c r="D88" s="151" t="s">
        <v>228</v>
      </c>
      <c r="E88" s="95">
        <f>'25'!F88</f>
        <v>24063</v>
      </c>
      <c r="F88" s="164">
        <v>24063</v>
      </c>
      <c r="G88" s="112">
        <f t="shared" si="8"/>
        <v>0</v>
      </c>
      <c r="H88" s="99">
        <f>G88+'25'!H88</f>
        <v>16</v>
      </c>
      <c r="I88" s="118">
        <f>G86+G87+G88</f>
        <v>0</v>
      </c>
      <c r="J88" s="175">
        <f>H88/DAY(B2)</f>
        <v>0.61538461538461542</v>
      </c>
      <c r="O88" s="71"/>
    </row>
    <row r="89" spans="1:15" ht="27.75" x14ac:dyDescent="0.5">
      <c r="A89" s="345" t="s">
        <v>235</v>
      </c>
      <c r="B89" s="346"/>
      <c r="C89" s="346"/>
      <c r="D89" s="151" t="s">
        <v>228</v>
      </c>
      <c r="E89" s="95">
        <f>'25'!F89</f>
        <v>25833.98</v>
      </c>
      <c r="F89" s="164">
        <v>25843</v>
      </c>
      <c r="G89" s="112">
        <f t="shared" si="8"/>
        <v>9.0200000000004366</v>
      </c>
      <c r="H89" s="99">
        <f>G89+'25'!H89</f>
        <v>180</v>
      </c>
      <c r="I89" s="118"/>
      <c r="J89" s="175">
        <f>H89/DAY(B2)</f>
        <v>6.9230769230769234</v>
      </c>
      <c r="O89" s="71"/>
    </row>
    <row r="90" spans="1:15" ht="27.75" x14ac:dyDescent="0.5">
      <c r="A90" s="345" t="s">
        <v>236</v>
      </c>
      <c r="B90" s="346"/>
      <c r="C90" s="346"/>
      <c r="D90" s="151" t="s">
        <v>228</v>
      </c>
      <c r="E90" s="95">
        <f>'25'!F90</f>
        <v>71150</v>
      </c>
      <c r="F90" s="164">
        <v>71153</v>
      </c>
      <c r="G90" s="112">
        <f t="shared" si="8"/>
        <v>3</v>
      </c>
      <c r="H90" s="99">
        <f>G90+'25'!H90</f>
        <v>119</v>
      </c>
      <c r="I90" s="118">
        <f>G89+G90</f>
        <v>12.020000000000437</v>
      </c>
      <c r="J90" s="175">
        <f>H90/DAY(B2)</f>
        <v>4.5769230769230766</v>
      </c>
      <c r="O90" s="71"/>
    </row>
    <row r="91" spans="1:15" ht="27.75" x14ac:dyDescent="0.5">
      <c r="A91" s="345" t="s">
        <v>237</v>
      </c>
      <c r="B91" s="346"/>
      <c r="C91" s="346"/>
      <c r="D91" s="151" t="s">
        <v>228</v>
      </c>
      <c r="E91" s="95">
        <f>'25'!F91</f>
        <v>3226</v>
      </c>
      <c r="F91" s="122">
        <v>3226</v>
      </c>
      <c r="G91" s="112">
        <f t="shared" si="8"/>
        <v>0</v>
      </c>
      <c r="H91" s="99">
        <f>G91+'25'!H91</f>
        <v>-0.32000000000016371</v>
      </c>
      <c r="I91" s="165"/>
      <c r="J91" s="175">
        <f>H91/DAY(B2)</f>
        <v>-1.2307692307698605E-2</v>
      </c>
      <c r="O91" s="71"/>
    </row>
    <row r="92" spans="1:15" ht="27.75" x14ac:dyDescent="0.5">
      <c r="A92" s="345" t="s">
        <v>238</v>
      </c>
      <c r="B92" s="346"/>
      <c r="C92" s="346"/>
      <c r="D92" s="151" t="s">
        <v>228</v>
      </c>
      <c r="E92" s="95">
        <f>'25'!F92</f>
        <v>5699</v>
      </c>
      <c r="F92" s="122">
        <v>5710</v>
      </c>
      <c r="G92" s="112">
        <f t="shared" si="8"/>
        <v>11</v>
      </c>
      <c r="H92" s="99">
        <f>G92+'25'!H92</f>
        <v>272</v>
      </c>
      <c r="I92" s="165"/>
      <c r="J92" s="175">
        <f>H92/DAY(B2)</f>
        <v>10.461538461538462</v>
      </c>
      <c r="O92" s="71"/>
    </row>
    <row r="93" spans="1:15" ht="29.25" x14ac:dyDescent="0.5">
      <c r="A93" s="863" t="s">
        <v>239</v>
      </c>
      <c r="B93" s="864"/>
      <c r="C93" s="865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27.75" x14ac:dyDescent="0.5">
      <c r="A94" s="818" t="s">
        <v>240</v>
      </c>
      <c r="B94" s="819"/>
      <c r="C94" s="820"/>
      <c r="D94" s="151" t="s">
        <v>130</v>
      </c>
      <c r="E94" s="151"/>
      <c r="F94" s="151"/>
      <c r="G94" s="99">
        <f>G35+G43+G49+G57</f>
        <v>4027</v>
      </c>
      <c r="H94" s="99">
        <f>G94+'25'!H94</f>
        <v>132575</v>
      </c>
      <c r="I94" s="118"/>
      <c r="J94" s="175">
        <f>H94/DAY(B2)</f>
        <v>5099.0384615384619</v>
      </c>
      <c r="K94" s="69"/>
      <c r="L94" s="66"/>
      <c r="O94" s="71"/>
    </row>
    <row r="95" spans="1:15" ht="27.75" x14ac:dyDescent="0.5">
      <c r="A95" s="818" t="s">
        <v>241</v>
      </c>
      <c r="B95" s="819"/>
      <c r="C95" s="820"/>
      <c r="D95" s="151" t="s">
        <v>23</v>
      </c>
      <c r="E95" s="146"/>
      <c r="F95" s="146"/>
      <c r="G95" s="166">
        <f>G94/G7</f>
        <v>0.24474291965479519</v>
      </c>
      <c r="H95" s="99">
        <f>G95+'25'!H95</f>
        <v>7.3249477467825228</v>
      </c>
      <c r="I95" s="167"/>
      <c r="J95" s="175">
        <f>H95/DAY(B2)</f>
        <v>0.28172875949163551</v>
      </c>
      <c r="K95" s="69"/>
      <c r="L95" s="66"/>
      <c r="O95" s="71"/>
    </row>
    <row r="96" spans="1:15" ht="27.75" x14ac:dyDescent="0.5">
      <c r="A96" s="818" t="s">
        <v>242</v>
      </c>
      <c r="B96" s="819"/>
      <c r="C96" s="820"/>
      <c r="D96" s="151" t="s">
        <v>130</v>
      </c>
      <c r="E96" s="95"/>
      <c r="F96" s="95"/>
      <c r="G96" s="99">
        <f>G41+G42+G55+G56</f>
        <v>3448</v>
      </c>
      <c r="H96" s="99">
        <f>G96+'25'!H96</f>
        <v>77331</v>
      </c>
      <c r="I96" s="118"/>
      <c r="J96" s="175">
        <f>H96/DAY(B2)</f>
        <v>2974.2692307692309</v>
      </c>
      <c r="K96" s="69"/>
      <c r="L96" s="66"/>
      <c r="O96" s="71"/>
    </row>
    <row r="97" spans="1:15" ht="27.75" x14ac:dyDescent="0.5">
      <c r="A97" s="818" t="s">
        <v>243</v>
      </c>
      <c r="B97" s="819"/>
      <c r="C97" s="820"/>
      <c r="D97" s="151" t="s">
        <v>23</v>
      </c>
      <c r="E97" s="95"/>
      <c r="F97" s="95"/>
      <c r="G97" s="166">
        <f>G96/G7</f>
        <v>0.2095539078643491</v>
      </c>
      <c r="H97" s="99">
        <f>G97+'25'!H97</f>
        <v>4.297541029679862</v>
      </c>
      <c r="I97" s="167"/>
      <c r="J97" s="175">
        <f>H97/DAY(B2)</f>
        <v>0.16529003960307162</v>
      </c>
      <c r="K97" s="69"/>
      <c r="L97" s="66"/>
      <c r="O97" s="71"/>
    </row>
    <row r="98" spans="1:15" ht="27.75" x14ac:dyDescent="0.5">
      <c r="A98" s="818" t="s">
        <v>244</v>
      </c>
      <c r="B98" s="819"/>
      <c r="C98" s="820"/>
      <c r="D98" s="151" t="s">
        <v>130</v>
      </c>
      <c r="E98" s="95"/>
      <c r="F98" s="95"/>
      <c r="G98" s="99">
        <f>G39+G53</f>
        <v>2557</v>
      </c>
      <c r="H98" s="99">
        <f>G98+'25'!H98</f>
        <v>67768</v>
      </c>
      <c r="I98" s="168"/>
      <c r="J98" s="175">
        <f>H98/DAY(B2)</f>
        <v>2606.4615384615386</v>
      </c>
      <c r="K98" s="69"/>
      <c r="L98" s="66"/>
      <c r="O98" s="71"/>
    </row>
    <row r="99" spans="1:15" ht="27.75" x14ac:dyDescent="0.5">
      <c r="A99" s="818" t="s">
        <v>245</v>
      </c>
      <c r="B99" s="819"/>
      <c r="C99" s="820"/>
      <c r="D99" s="151" t="s">
        <v>23</v>
      </c>
      <c r="E99" s="95"/>
      <c r="F99" s="95"/>
      <c r="G99" s="166">
        <f>G98/G7</f>
        <v>0.15540294153397349</v>
      </c>
      <c r="H99" s="99">
        <f>G99+'25'!H99</f>
        <v>3.7662961563298842</v>
      </c>
      <c r="I99" s="168"/>
      <c r="J99" s="175">
        <f>H99/DAY(B2)</f>
        <v>0.14485754447422633</v>
      </c>
      <c r="O99" s="71"/>
    </row>
    <row r="100" spans="1:15" ht="27.75" x14ac:dyDescent="0.5">
      <c r="A100" s="818" t="s">
        <v>246</v>
      </c>
      <c r="B100" s="819"/>
      <c r="C100" s="820"/>
      <c r="D100" s="151" t="s">
        <v>180</v>
      </c>
      <c r="E100" s="95"/>
      <c r="F100" s="95"/>
      <c r="G100" s="99">
        <f>G38+G52</f>
        <v>1746</v>
      </c>
      <c r="H100" s="99">
        <f>G100+'25'!H100</f>
        <v>43025.000000000007</v>
      </c>
      <c r="I100" s="118"/>
      <c r="J100" s="175">
        <f>H100/DAY(B2)</f>
        <v>1654.8076923076926</v>
      </c>
      <c r="K100" s="70"/>
      <c r="O100" s="71"/>
    </row>
    <row r="101" spans="1:15" ht="27.75" x14ac:dyDescent="0.5">
      <c r="A101" s="818" t="s">
        <v>247</v>
      </c>
      <c r="B101" s="819"/>
      <c r="C101" s="820"/>
      <c r="D101" s="151" t="s">
        <v>23</v>
      </c>
      <c r="E101" s="95"/>
      <c r="F101" s="95"/>
      <c r="G101" s="166">
        <f>G100/G7</f>
        <v>0.10611401482922085</v>
      </c>
      <c r="H101" s="99">
        <f>G101+'25'!H101</f>
        <v>2.3939388564258337</v>
      </c>
      <c r="I101" s="168"/>
      <c r="J101" s="175">
        <f>H101/DAY(B2)</f>
        <v>9.2074571400993607E-2</v>
      </c>
      <c r="O101" s="71"/>
    </row>
    <row r="102" spans="1:15" ht="27.75" x14ac:dyDescent="0.5">
      <c r="A102" s="818" t="s">
        <v>248</v>
      </c>
      <c r="B102" s="819"/>
      <c r="C102" s="820"/>
      <c r="D102" s="151" t="s">
        <v>180</v>
      </c>
      <c r="E102" s="95"/>
      <c r="F102" s="95"/>
      <c r="G102" s="99">
        <f>G36+G50</f>
        <v>1652</v>
      </c>
      <c r="H102" s="99">
        <f>G102+'25'!H102</f>
        <v>44975</v>
      </c>
      <c r="I102" s="168"/>
      <c r="J102" s="175">
        <f>H102/DAY(B2)</f>
        <v>1729.8076923076924</v>
      </c>
      <c r="O102" s="71"/>
    </row>
    <row r="103" spans="1:15" ht="27.75" x14ac:dyDescent="0.5">
      <c r="A103" s="818" t="s">
        <v>249</v>
      </c>
      <c r="B103" s="819"/>
      <c r="C103" s="820"/>
      <c r="D103" s="151" t="s">
        <v>23</v>
      </c>
      <c r="E103" s="95"/>
      <c r="F103" s="95"/>
      <c r="G103" s="166">
        <f>G102/G7</f>
        <v>0.1004011182691139</v>
      </c>
      <c r="H103" s="99">
        <f>G103+'25'!H103</f>
        <v>2.4858544214778817</v>
      </c>
      <c r="I103" s="118"/>
      <c r="J103" s="175">
        <f>H103/DAY(B2)</f>
        <v>9.5609785441456985E-2</v>
      </c>
      <c r="O103" s="71"/>
    </row>
    <row r="104" spans="1:15" ht="27.75" x14ac:dyDescent="0.5">
      <c r="A104" s="818" t="s">
        <v>250</v>
      </c>
      <c r="B104" s="819"/>
      <c r="C104" s="820"/>
      <c r="D104" s="151" t="s">
        <v>180</v>
      </c>
      <c r="E104" s="95"/>
      <c r="F104" s="95"/>
      <c r="G104" s="99">
        <f>G37+G51</f>
        <v>1519</v>
      </c>
      <c r="H104" s="99">
        <f>G104+'25'!H104</f>
        <v>39727</v>
      </c>
      <c r="I104" s="118"/>
      <c r="J104" s="175">
        <f>H104/DAY(B2)</f>
        <v>1527.9615384615386</v>
      </c>
      <c r="O104" s="71"/>
    </row>
    <row r="105" spans="1:15" ht="28.5" thickBot="1" x14ac:dyDescent="0.55000000000000004">
      <c r="A105" s="858" t="s">
        <v>251</v>
      </c>
      <c r="B105" s="859"/>
      <c r="C105" s="860"/>
      <c r="D105" s="231" t="s">
        <v>23</v>
      </c>
      <c r="E105" s="185"/>
      <c r="F105" s="185"/>
      <c r="G105" s="186">
        <f>G104/G7</f>
        <v>9.2317977391515746E-2</v>
      </c>
      <c r="H105" s="99">
        <f>G105+'25'!H105</f>
        <v>2.2117236704367325</v>
      </c>
      <c r="I105" s="187"/>
      <c r="J105" s="188">
        <f>H105/DAY(B2)</f>
        <v>8.5066295016797397E-2</v>
      </c>
      <c r="O105" s="71"/>
    </row>
    <row r="106" spans="1:15" ht="29.25" x14ac:dyDescent="0.5">
      <c r="A106" s="105"/>
      <c r="B106" s="96"/>
      <c r="C106" s="96"/>
      <c r="D106" s="169"/>
      <c r="E106" s="169"/>
      <c r="F106" s="169"/>
      <c r="G106" s="169"/>
      <c r="H106" s="170"/>
      <c r="I106" s="169"/>
      <c r="J106" s="171"/>
      <c r="O106" s="71"/>
    </row>
    <row r="107" spans="1:15" ht="29.25" x14ac:dyDescent="0.5"/>
    <row r="108" spans="1:15" ht="31.5" x14ac:dyDescent="0.55000000000000004">
      <c r="A108" s="872" t="s">
        <v>324</v>
      </c>
      <c r="B108" s="872"/>
      <c r="C108" s="872"/>
      <c r="D108" s="872"/>
      <c r="E108" s="872"/>
      <c r="F108" s="872"/>
      <c r="G108" s="872"/>
      <c r="H108" s="872"/>
      <c r="I108" s="872"/>
      <c r="J108" s="872"/>
    </row>
    <row r="109" spans="1:15" ht="29.25" x14ac:dyDescent="0.5">
      <c r="A109" s="857"/>
      <c r="B109" s="857"/>
    </row>
    <row r="110" spans="1:15" ht="29.25" x14ac:dyDescent="0.5">
      <c r="A110" s="873" t="s">
        <v>165</v>
      </c>
      <c r="B110" s="874"/>
      <c r="C110" s="874"/>
      <c r="D110" s="874"/>
      <c r="E110" s="874"/>
      <c r="F110" s="874"/>
      <c r="G110" s="874"/>
      <c r="H110" s="874"/>
      <c r="I110" s="874"/>
      <c r="J110" s="875"/>
    </row>
    <row r="111" spans="1:15" ht="27.75" x14ac:dyDescent="0.5">
      <c r="A111" s="876"/>
      <c r="B111" s="877"/>
      <c r="C111" s="878"/>
      <c r="D111" s="165"/>
      <c r="E111" s="165"/>
      <c r="F111" s="165"/>
      <c r="G111" s="165"/>
      <c r="H111" s="156"/>
      <c r="I111" s="165"/>
      <c r="J111" s="327"/>
    </row>
    <row r="112" spans="1:15" ht="27.75" x14ac:dyDescent="0.5">
      <c r="A112" s="851" t="s">
        <v>252</v>
      </c>
      <c r="B112" s="852"/>
      <c r="C112" s="853"/>
      <c r="D112" s="146" t="s">
        <v>183</v>
      </c>
      <c r="E112" s="95">
        <f>'25'!F112</f>
        <v>57588</v>
      </c>
      <c r="F112" s="237">
        <v>57672</v>
      </c>
      <c r="G112" s="112">
        <f t="shared" ref="G112:G123" si="9">F112-E112</f>
        <v>84</v>
      </c>
      <c r="H112" s="99">
        <f>G112+'25'!H112</f>
        <v>1991</v>
      </c>
      <c r="I112" s="165"/>
      <c r="J112" s="328">
        <f>H112/DAY(B2)</f>
        <v>76.57692307692308</v>
      </c>
    </row>
    <row r="113" spans="1:18" ht="27.75" x14ac:dyDescent="0.5">
      <c r="A113" s="851" t="s">
        <v>253</v>
      </c>
      <c r="B113" s="852"/>
      <c r="C113" s="853"/>
      <c r="D113" s="146" t="s">
        <v>183</v>
      </c>
      <c r="E113" s="95">
        <f>'25'!F113</f>
        <v>43624</v>
      </c>
      <c r="F113" s="237">
        <v>44098</v>
      </c>
      <c r="G113" s="112">
        <f t="shared" si="9"/>
        <v>474</v>
      </c>
      <c r="H113" s="99">
        <f>G113+'25'!H113</f>
        <v>11903</v>
      </c>
      <c r="I113" s="165"/>
      <c r="J113" s="328">
        <f>H113/DAY(B2)</f>
        <v>457.80769230769232</v>
      </c>
    </row>
    <row r="114" spans="1:18" ht="27.75" x14ac:dyDescent="0.5">
      <c r="A114" s="851" t="s">
        <v>254</v>
      </c>
      <c r="B114" s="852"/>
      <c r="C114" s="853"/>
      <c r="D114" s="146" t="s">
        <v>183</v>
      </c>
      <c r="E114" s="95">
        <f>'25'!F114</f>
        <v>31608</v>
      </c>
      <c r="F114" s="237">
        <v>31873</v>
      </c>
      <c r="G114" s="112">
        <f t="shared" si="9"/>
        <v>265</v>
      </c>
      <c r="H114" s="99">
        <f>G114+'25'!H114</f>
        <v>6868.4</v>
      </c>
      <c r="I114" s="165"/>
      <c r="J114" s="328">
        <f>H114/DAY(B2)</f>
        <v>264.16923076923075</v>
      </c>
    </row>
    <row r="115" spans="1:18" ht="27.75" x14ac:dyDescent="0.5">
      <c r="A115" s="851" t="s">
        <v>255</v>
      </c>
      <c r="B115" s="852"/>
      <c r="C115" s="853"/>
      <c r="D115" s="146" t="s">
        <v>183</v>
      </c>
      <c r="E115" s="95">
        <f>'25'!F115</f>
        <v>9038</v>
      </c>
      <c r="F115" s="237">
        <v>9047</v>
      </c>
      <c r="G115" s="112">
        <f t="shared" si="9"/>
        <v>9</v>
      </c>
      <c r="H115" s="99">
        <f>G115+'25'!H115</f>
        <v>262</v>
      </c>
      <c r="I115" s="165"/>
      <c r="J115" s="328">
        <f>H115/DAY(B2)</f>
        <v>10.076923076923077</v>
      </c>
    </row>
    <row r="116" spans="1:18" ht="27.75" x14ac:dyDescent="0.5">
      <c r="A116" s="869" t="s">
        <v>96</v>
      </c>
      <c r="B116" s="870"/>
      <c r="C116" s="871"/>
      <c r="D116" s="146" t="s">
        <v>183</v>
      </c>
      <c r="E116" s="95">
        <f>'25'!F116</f>
        <v>0</v>
      </c>
      <c r="F116" s="237">
        <v>0</v>
      </c>
      <c r="G116" s="112">
        <f t="shared" si="9"/>
        <v>0</v>
      </c>
      <c r="H116" s="99">
        <f>G116+'25'!H116</f>
        <v>0</v>
      </c>
      <c r="I116" s="165"/>
      <c r="J116" s="328">
        <f>H116/DAY(B2)</f>
        <v>0</v>
      </c>
      <c r="Q116" s="851" t="s">
        <v>311</v>
      </c>
      <c r="R116" s="853"/>
    </row>
    <row r="117" spans="1:18" ht="27.75" x14ac:dyDescent="0.5">
      <c r="A117" s="869" t="s">
        <v>184</v>
      </c>
      <c r="B117" s="870"/>
      <c r="C117" s="871"/>
      <c r="D117" s="146" t="s">
        <v>183</v>
      </c>
      <c r="E117" s="95">
        <f>'25'!F117</f>
        <v>3184</v>
      </c>
      <c r="F117" s="237">
        <v>3211</v>
      </c>
      <c r="G117" s="112">
        <f t="shared" si="9"/>
        <v>27</v>
      </c>
      <c r="H117" s="99">
        <f>G117+'25'!H117</f>
        <v>621</v>
      </c>
      <c r="I117" s="165"/>
      <c r="J117" s="328">
        <f>H117/DAY(B2)</f>
        <v>23.884615384615383</v>
      </c>
      <c r="Q117" s="851" t="s">
        <v>312</v>
      </c>
      <c r="R117" s="853"/>
    </row>
    <row r="118" spans="1:18" ht="27.75" x14ac:dyDescent="0.5">
      <c r="A118" s="846" t="s">
        <v>97</v>
      </c>
      <c r="B118" s="846"/>
      <c r="C118" s="846"/>
      <c r="D118" s="151" t="s">
        <v>183</v>
      </c>
      <c r="E118" s="95">
        <f>'25'!F118</f>
        <v>250445</v>
      </c>
      <c r="F118" s="237">
        <v>250782</v>
      </c>
      <c r="G118" s="112">
        <f t="shared" si="9"/>
        <v>337</v>
      </c>
      <c r="H118" s="99">
        <f>G118+'25'!H118</f>
        <v>9135</v>
      </c>
      <c r="I118" s="165"/>
      <c r="J118" s="328">
        <f>H118/DAY(B2)</f>
        <v>351.34615384615387</v>
      </c>
      <c r="Q118" s="851" t="s">
        <v>311</v>
      </c>
      <c r="R118" s="853"/>
    </row>
    <row r="119" spans="1:18" ht="27.75" x14ac:dyDescent="0.5">
      <c r="A119" s="846" t="s">
        <v>98</v>
      </c>
      <c r="B119" s="846"/>
      <c r="C119" s="846"/>
      <c r="D119" s="151" t="s">
        <v>183</v>
      </c>
      <c r="E119" s="95">
        <f>'25'!F119</f>
        <v>255651</v>
      </c>
      <c r="F119" s="237">
        <v>256078</v>
      </c>
      <c r="G119" s="112">
        <f t="shared" si="9"/>
        <v>427</v>
      </c>
      <c r="H119" s="99">
        <f>G119+'25'!H119</f>
        <v>10952</v>
      </c>
      <c r="I119" s="165"/>
      <c r="J119" s="328">
        <f>H119/DAY(B2)</f>
        <v>421.23076923076923</v>
      </c>
    </row>
    <row r="120" spans="1:18" ht="27.75" x14ac:dyDescent="0.5">
      <c r="A120" s="846" t="s">
        <v>99</v>
      </c>
      <c r="B120" s="846"/>
      <c r="C120" s="846"/>
      <c r="D120" s="151" t="s">
        <v>183</v>
      </c>
      <c r="E120" s="95">
        <f>'25'!F120</f>
        <v>40452</v>
      </c>
      <c r="F120" s="237">
        <v>40875</v>
      </c>
      <c r="G120" s="112">
        <f t="shared" si="9"/>
        <v>423</v>
      </c>
      <c r="H120" s="99">
        <f>G120+'25'!H120</f>
        <v>10797</v>
      </c>
      <c r="I120" s="165"/>
      <c r="J120" s="328">
        <f>H120/DAY(B2)</f>
        <v>415.26923076923077</v>
      </c>
    </row>
    <row r="121" spans="1:18" ht="27.75" x14ac:dyDescent="0.5">
      <c r="A121" s="846" t="s">
        <v>100</v>
      </c>
      <c r="B121" s="846"/>
      <c r="C121" s="846"/>
      <c r="D121" s="151" t="s">
        <v>183</v>
      </c>
      <c r="E121" s="95">
        <f>'25'!F121</f>
        <v>393764</v>
      </c>
      <c r="F121" s="237">
        <v>394601</v>
      </c>
      <c r="G121" s="112">
        <f t="shared" si="9"/>
        <v>837</v>
      </c>
      <c r="H121" s="99">
        <f>G121+'25'!H121</f>
        <v>18072</v>
      </c>
      <c r="I121" s="165"/>
      <c r="J121" s="328">
        <f>H121/DAY(B2)</f>
        <v>695.07692307692309</v>
      </c>
    </row>
    <row r="122" spans="1:18" ht="27.75" x14ac:dyDescent="0.5">
      <c r="A122" s="846" t="s">
        <v>101</v>
      </c>
      <c r="B122" s="846"/>
      <c r="C122" s="846"/>
      <c r="D122" s="151" t="s">
        <v>183</v>
      </c>
      <c r="E122" s="95">
        <f>'25'!F122</f>
        <v>125032</v>
      </c>
      <c r="F122" s="237">
        <v>125189</v>
      </c>
      <c r="G122" s="112">
        <f t="shared" si="9"/>
        <v>157</v>
      </c>
      <c r="H122" s="99">
        <f>G122+'25'!H122</f>
        <v>5139</v>
      </c>
      <c r="I122" s="165"/>
      <c r="J122" s="328">
        <f>H122/DAY(B2)</f>
        <v>197.65384615384616</v>
      </c>
    </row>
    <row r="123" spans="1:18" ht="27.75" x14ac:dyDescent="0.5">
      <c r="A123" s="846" t="s">
        <v>102</v>
      </c>
      <c r="B123" s="846"/>
      <c r="C123" s="846"/>
      <c r="D123" s="151" t="s">
        <v>183</v>
      </c>
      <c r="E123" s="95">
        <f>'25'!F123</f>
        <v>152394</v>
      </c>
      <c r="F123" s="237">
        <v>152660</v>
      </c>
      <c r="G123" s="112">
        <f t="shared" si="9"/>
        <v>266</v>
      </c>
      <c r="H123" s="99">
        <f>G123+'25'!H123</f>
        <v>7535</v>
      </c>
      <c r="I123" s="165"/>
      <c r="J123" s="328">
        <f>H123/DAY(B2)</f>
        <v>289.80769230769232</v>
      </c>
    </row>
    <row r="124" spans="1:18" ht="27.75" x14ac:dyDescent="0.5">
      <c r="A124" s="876"/>
      <c r="B124" s="877"/>
      <c r="C124" s="878"/>
      <c r="D124" s="165"/>
      <c r="E124" s="95">
        <f>'25'!F124</f>
        <v>0</v>
      </c>
      <c r="F124" s="165"/>
      <c r="G124" s="327"/>
      <c r="H124" s="156"/>
      <c r="I124" s="165"/>
      <c r="J124" s="327"/>
    </row>
    <row r="125" spans="1:18" ht="27.75" x14ac:dyDescent="0.5">
      <c r="A125" s="879" t="s">
        <v>196</v>
      </c>
      <c r="B125" s="880"/>
      <c r="C125" s="245"/>
      <c r="D125" s="307"/>
      <c r="E125" s="308"/>
      <c r="F125" s="308"/>
      <c r="G125" s="309">
        <f>SUM(G112:G124)</f>
        <v>3306</v>
      </c>
      <c r="H125" s="156"/>
      <c r="I125" s="327">
        <f>G125-(G39+G53)</f>
        <v>749</v>
      </c>
      <c r="J125" s="327"/>
    </row>
    <row r="126" spans="1:18" ht="27.75" x14ac:dyDescent="0.5">
      <c r="A126" s="881" t="s">
        <v>317</v>
      </c>
      <c r="B126" s="881"/>
      <c r="C126" s="881"/>
      <c r="D126" s="881"/>
      <c r="E126" s="881"/>
      <c r="F126" s="881"/>
      <c r="G126" s="881"/>
      <c r="H126" s="881"/>
      <c r="I126" s="881"/>
      <c r="J126" s="881"/>
    </row>
    <row r="127" spans="1:18" ht="27.75" x14ac:dyDescent="0.5">
      <c r="A127" s="882"/>
      <c r="B127" s="882"/>
      <c r="C127" s="245"/>
      <c r="D127" s="307"/>
      <c r="E127" s="308"/>
      <c r="F127" s="308"/>
      <c r="G127" s="309"/>
      <c r="H127" s="99">
        <f>G127+'25'!H127</f>
        <v>0</v>
      </c>
      <c r="I127" s="165"/>
      <c r="J127" s="328">
        <f>H127/DAY(B2)</f>
        <v>0</v>
      </c>
    </row>
    <row r="128" spans="1:18" ht="27.75" x14ac:dyDescent="0.5">
      <c r="A128" s="851" t="s">
        <v>318</v>
      </c>
      <c r="B128" s="852"/>
      <c r="C128" s="853"/>
      <c r="D128" s="151" t="s">
        <v>183</v>
      </c>
      <c r="E128" s="95">
        <f>'25'!F128</f>
        <v>45920</v>
      </c>
      <c r="F128" s="165">
        <v>46244</v>
      </c>
      <c r="G128" s="112">
        <f t="shared" ref="G128:G134" si="10">F128-E128</f>
        <v>324</v>
      </c>
      <c r="H128" s="99">
        <f>G128+'25'!H128</f>
        <v>8240</v>
      </c>
      <c r="I128" s="165"/>
      <c r="J128" s="328">
        <f>H128/DAY(B2)</f>
        <v>316.92307692307691</v>
      </c>
    </row>
    <row r="129" spans="1:15" ht="27.75" x14ac:dyDescent="0.5">
      <c r="A129" s="329" t="s">
        <v>319</v>
      </c>
      <c r="B129" s="330"/>
      <c r="C129" s="331"/>
      <c r="D129" s="151" t="s">
        <v>183</v>
      </c>
      <c r="E129" s="95">
        <f>'25'!F129</f>
        <v>25739</v>
      </c>
      <c r="F129" s="165">
        <v>25957</v>
      </c>
      <c r="G129" s="112">
        <f t="shared" si="10"/>
        <v>218</v>
      </c>
      <c r="H129" s="99">
        <f>G129+'25'!H129</f>
        <v>5636</v>
      </c>
      <c r="I129" s="165"/>
      <c r="J129" s="328">
        <f>H129/DAY(B2)</f>
        <v>216.76923076923077</v>
      </c>
      <c r="N129" s="240"/>
      <c r="O129" s="241"/>
    </row>
    <row r="130" spans="1:15" ht="27.75" x14ac:dyDescent="0.5">
      <c r="A130" s="329" t="s">
        <v>320</v>
      </c>
      <c r="B130" s="330"/>
      <c r="C130" s="331"/>
      <c r="D130" s="151" t="s">
        <v>183</v>
      </c>
      <c r="E130" s="95">
        <f>'25'!F130</f>
        <v>32848</v>
      </c>
      <c r="F130" s="165">
        <v>33360</v>
      </c>
      <c r="G130" s="112">
        <f t="shared" si="10"/>
        <v>512</v>
      </c>
      <c r="H130" s="99">
        <f>G130+'25'!H130</f>
        <v>14978</v>
      </c>
      <c r="I130" s="165"/>
      <c r="J130" s="328">
        <f>H130/DAY(B2)</f>
        <v>576.07692307692309</v>
      </c>
      <c r="N130" s="240"/>
      <c r="O130" s="241"/>
    </row>
    <row r="131" spans="1:15" ht="27.75" x14ac:dyDescent="0.5">
      <c r="A131" s="851" t="s">
        <v>321</v>
      </c>
      <c r="B131" s="852"/>
      <c r="C131" s="853"/>
      <c r="D131" s="151" t="s">
        <v>183</v>
      </c>
      <c r="E131" s="95">
        <f>'25'!F131</f>
        <v>14961</v>
      </c>
      <c r="F131" s="165">
        <v>15020</v>
      </c>
      <c r="G131" s="112">
        <f t="shared" si="10"/>
        <v>59</v>
      </c>
      <c r="H131" s="99">
        <f>G131+'25'!H131</f>
        <v>1867</v>
      </c>
      <c r="I131" s="165"/>
      <c r="J131" s="328">
        <f>H131/DAY(B2)</f>
        <v>71.807692307692307</v>
      </c>
      <c r="N131" s="240"/>
      <c r="O131" s="241"/>
    </row>
    <row r="132" spans="1:15" ht="27.75" x14ac:dyDescent="0.5">
      <c r="A132" s="851" t="s">
        <v>322</v>
      </c>
      <c r="B132" s="852"/>
      <c r="C132" s="853"/>
      <c r="D132" s="151" t="s">
        <v>183</v>
      </c>
      <c r="E132" s="95">
        <f>'25'!F132</f>
        <v>50849</v>
      </c>
      <c r="F132" s="165">
        <v>51045</v>
      </c>
      <c r="G132" s="112">
        <f t="shared" si="10"/>
        <v>196</v>
      </c>
      <c r="H132" s="99">
        <f>G132+'25'!H132</f>
        <v>10022</v>
      </c>
      <c r="I132" s="165"/>
      <c r="J132" s="328">
        <f>H132/DAY(B2)</f>
        <v>385.46153846153845</v>
      </c>
    </row>
    <row r="133" spans="1:15" ht="27.75" x14ac:dyDescent="0.5">
      <c r="A133" s="851" t="s">
        <v>362</v>
      </c>
      <c r="B133" s="852"/>
      <c r="C133" s="853"/>
      <c r="D133" s="151" t="s">
        <v>183</v>
      </c>
      <c r="E133" s="95">
        <f>'25'!F133</f>
        <v>102712</v>
      </c>
      <c r="F133" s="165">
        <v>103140</v>
      </c>
      <c r="G133" s="112">
        <f t="shared" si="10"/>
        <v>428</v>
      </c>
      <c r="H133" s="99">
        <f>G133+'25'!H133</f>
        <v>15437</v>
      </c>
      <c r="I133" s="165"/>
      <c r="J133" s="328">
        <f>H133/DAY(B2)</f>
        <v>593.73076923076928</v>
      </c>
    </row>
    <row r="134" spans="1:15" ht="27.75" x14ac:dyDescent="0.5">
      <c r="A134" s="851" t="s">
        <v>340</v>
      </c>
      <c r="B134" s="852"/>
      <c r="C134" s="853"/>
      <c r="D134" s="151" t="s">
        <v>183</v>
      </c>
      <c r="E134" s="95">
        <f>'25'!F134</f>
        <v>7700</v>
      </c>
      <c r="F134" s="165">
        <v>7872</v>
      </c>
      <c r="G134" s="112">
        <f t="shared" si="10"/>
        <v>172</v>
      </c>
      <c r="H134" s="99">
        <f>G134+'25'!H134</f>
        <v>10165.999999999998</v>
      </c>
      <c r="I134" s="165"/>
      <c r="J134" s="328">
        <f>H134/DAY(B2)</f>
        <v>390.99999999999994</v>
      </c>
    </row>
    <row r="135" spans="1:15" ht="27.75" x14ac:dyDescent="0.5">
      <c r="A135" s="879" t="s">
        <v>196</v>
      </c>
      <c r="B135" s="880"/>
      <c r="C135" s="331"/>
      <c r="D135" s="151"/>
      <c r="E135" s="95"/>
      <c r="F135" s="165"/>
      <c r="G135" s="112">
        <f>SUM(G128:G134)</f>
        <v>1909</v>
      </c>
      <c r="H135" s="99">
        <f>G135+'23'!H135</f>
        <v>35269.169999999984</v>
      </c>
      <c r="I135" s="327">
        <f>G135-(G35+G49)</f>
        <v>-170</v>
      </c>
      <c r="J135" s="328"/>
    </row>
    <row r="136" spans="1:15" ht="31.5" x14ac:dyDescent="0.55000000000000004">
      <c r="A136" s="883" t="s">
        <v>325</v>
      </c>
      <c r="B136" s="883"/>
      <c r="C136" s="883"/>
      <c r="D136" s="883"/>
      <c r="E136" s="883"/>
      <c r="F136" s="883"/>
      <c r="G136" s="883"/>
      <c r="H136" s="883"/>
      <c r="I136" s="883"/>
      <c r="J136" s="883"/>
    </row>
    <row r="137" spans="1:15" ht="29.25" x14ac:dyDescent="0.5">
      <c r="A137" s="245"/>
      <c r="B137" s="246"/>
      <c r="C137" s="246"/>
      <c r="D137" s="165"/>
      <c r="E137" s="165"/>
      <c r="F137" s="165"/>
      <c r="G137" s="165"/>
      <c r="H137" s="156"/>
      <c r="I137" s="165"/>
      <c r="J137" s="327"/>
    </row>
    <row r="138" spans="1:15" ht="27.75" x14ac:dyDescent="0.5">
      <c r="A138" s="846" t="s">
        <v>185</v>
      </c>
      <c r="B138" s="846"/>
      <c r="C138" s="846"/>
      <c r="D138" s="151" t="s">
        <v>183</v>
      </c>
      <c r="E138" s="95">
        <f>'25'!F138</f>
        <v>865829</v>
      </c>
      <c r="F138" s="147">
        <v>865891</v>
      </c>
      <c r="G138" s="112">
        <f t="shared" ref="G138:G152" si="11">F138-E138</f>
        <v>62</v>
      </c>
      <c r="H138" s="99">
        <f>G138+'25'!H138</f>
        <v>1720</v>
      </c>
      <c r="I138" s="118"/>
      <c r="J138" s="328">
        <f>H138/DAY(B2)</f>
        <v>66.15384615384616</v>
      </c>
    </row>
    <row r="139" spans="1:15" ht="27.75" x14ac:dyDescent="0.5">
      <c r="A139" s="846" t="s">
        <v>186</v>
      </c>
      <c r="B139" s="846"/>
      <c r="C139" s="846"/>
      <c r="D139" s="151" t="s">
        <v>183</v>
      </c>
      <c r="E139" s="95">
        <f>'25'!F139</f>
        <v>886569</v>
      </c>
      <c r="F139" s="148">
        <v>886569</v>
      </c>
      <c r="G139" s="112">
        <f t="shared" si="11"/>
        <v>0</v>
      </c>
      <c r="H139" s="99">
        <f>G139+'25'!H139</f>
        <v>23</v>
      </c>
      <c r="I139" s="118"/>
      <c r="J139" s="328">
        <f>H139/DAY(B2)</f>
        <v>0.88461538461538458</v>
      </c>
    </row>
    <row r="140" spans="1:15" ht="27.75" x14ac:dyDescent="0.5">
      <c r="A140" s="846" t="s">
        <v>187</v>
      </c>
      <c r="B140" s="846"/>
      <c r="C140" s="846"/>
      <c r="D140" s="151" t="s">
        <v>183</v>
      </c>
      <c r="E140" s="95">
        <f>'25'!F140</f>
        <v>88922</v>
      </c>
      <c r="F140" s="149">
        <v>88922</v>
      </c>
      <c r="G140" s="112">
        <f t="shared" si="11"/>
        <v>0</v>
      </c>
      <c r="H140" s="99">
        <f>G140+'25'!H140</f>
        <v>40</v>
      </c>
      <c r="I140" s="118"/>
      <c r="J140" s="328">
        <f>H140/DAY(B2)</f>
        <v>1.5384615384615385</v>
      </c>
    </row>
    <row r="141" spans="1:15" ht="27.75" x14ac:dyDescent="0.5">
      <c r="A141" s="850" t="s">
        <v>188</v>
      </c>
      <c r="B141" s="850"/>
      <c r="C141" s="850"/>
      <c r="D141" s="151" t="s">
        <v>183</v>
      </c>
      <c r="E141" s="95">
        <f>'25'!F141</f>
        <v>53648</v>
      </c>
      <c r="F141" s="149">
        <v>53837</v>
      </c>
      <c r="G141" s="112">
        <f t="shared" si="11"/>
        <v>189</v>
      </c>
      <c r="H141" s="99">
        <f>G141+'25'!H141</f>
        <v>4531</v>
      </c>
      <c r="I141" s="118"/>
      <c r="J141" s="328">
        <f>H141/DAY(B2)</f>
        <v>174.26923076923077</v>
      </c>
    </row>
    <row r="142" spans="1:15" ht="27.75" x14ac:dyDescent="0.5">
      <c r="A142" s="850" t="s">
        <v>189</v>
      </c>
      <c r="B142" s="850"/>
      <c r="C142" s="850"/>
      <c r="D142" s="151" t="s">
        <v>183</v>
      </c>
      <c r="E142" s="95">
        <f>'25'!F142</f>
        <v>20807</v>
      </c>
      <c r="F142" s="148">
        <v>20902</v>
      </c>
      <c r="G142" s="112">
        <f t="shared" si="11"/>
        <v>95</v>
      </c>
      <c r="H142" s="99">
        <f>G142+'25'!H142</f>
        <v>1893</v>
      </c>
      <c r="I142" s="140"/>
      <c r="J142" s="328">
        <f>H142/DAY(B2)</f>
        <v>72.807692307692307</v>
      </c>
    </row>
    <row r="143" spans="1:15" ht="27.75" x14ac:dyDescent="0.5">
      <c r="A143" s="846" t="s">
        <v>91</v>
      </c>
      <c r="B143" s="846"/>
      <c r="C143" s="846"/>
      <c r="D143" s="151" t="s">
        <v>183</v>
      </c>
      <c r="E143" s="95">
        <f>'25'!F143</f>
        <v>3681</v>
      </c>
      <c r="F143" s="149">
        <v>3711</v>
      </c>
      <c r="G143" s="112">
        <f t="shared" si="11"/>
        <v>30</v>
      </c>
      <c r="H143" s="99">
        <f>G143+'25'!H143</f>
        <v>650</v>
      </c>
      <c r="I143" s="140"/>
      <c r="J143" s="328">
        <f>H143/DAY(B2)</f>
        <v>25</v>
      </c>
    </row>
    <row r="144" spans="1:15" ht="27.75" x14ac:dyDescent="0.5">
      <c r="A144" s="850" t="s">
        <v>90</v>
      </c>
      <c r="B144" s="850"/>
      <c r="C144" s="850"/>
      <c r="D144" s="151" t="s">
        <v>183</v>
      </c>
      <c r="E144" s="95">
        <f>'25'!F144</f>
        <v>875283</v>
      </c>
      <c r="F144" s="149">
        <v>875477</v>
      </c>
      <c r="G144" s="112">
        <f t="shared" si="11"/>
        <v>194</v>
      </c>
      <c r="H144" s="99">
        <f>G144+'25'!H144</f>
        <v>5807</v>
      </c>
      <c r="I144" s="140"/>
      <c r="J144" s="328">
        <f>H144/DAY(B2)</f>
        <v>223.34615384615384</v>
      </c>
    </row>
    <row r="145" spans="1:10" ht="27.75" x14ac:dyDescent="0.5">
      <c r="A145" s="846" t="s">
        <v>190</v>
      </c>
      <c r="B145" s="846"/>
      <c r="C145" s="846"/>
      <c r="D145" s="152" t="s">
        <v>183</v>
      </c>
      <c r="E145" s="95">
        <f>'25'!F145</f>
        <v>4915</v>
      </c>
      <c r="F145" s="149">
        <v>4921</v>
      </c>
      <c r="G145" s="112">
        <f t="shared" si="11"/>
        <v>6</v>
      </c>
      <c r="H145" s="99">
        <f>G145+'25'!H145</f>
        <v>363</v>
      </c>
      <c r="I145" s="140"/>
      <c r="J145" s="328">
        <f>H145/DAY(B2)</f>
        <v>13.961538461538462</v>
      </c>
    </row>
    <row r="146" spans="1:10" ht="27.75" x14ac:dyDescent="0.5">
      <c r="A146" s="847" t="s">
        <v>191</v>
      </c>
      <c r="B146" s="848"/>
      <c r="C146" s="849"/>
      <c r="D146" s="152" t="s">
        <v>183</v>
      </c>
      <c r="E146" s="95">
        <f>'25'!F146</f>
        <v>734907</v>
      </c>
      <c r="F146" s="148">
        <v>735287</v>
      </c>
      <c r="G146" s="112">
        <f t="shared" si="11"/>
        <v>380</v>
      </c>
      <c r="H146" s="99">
        <f>G146+'25'!H146</f>
        <v>10429</v>
      </c>
      <c r="I146" s="140"/>
      <c r="J146" s="328">
        <f>H146/DAY(B2)</f>
        <v>401.11538461538464</v>
      </c>
    </row>
    <row r="147" spans="1:10" ht="27.75" x14ac:dyDescent="0.5">
      <c r="A147" s="850" t="s">
        <v>192</v>
      </c>
      <c r="B147" s="850"/>
      <c r="C147" s="850"/>
      <c r="D147" s="152" t="s">
        <v>183</v>
      </c>
      <c r="E147" s="95">
        <f>'25'!F147</f>
        <v>624485</v>
      </c>
      <c r="F147" s="148">
        <v>624833</v>
      </c>
      <c r="G147" s="112">
        <f t="shared" si="11"/>
        <v>348</v>
      </c>
      <c r="H147" s="99">
        <f>G147+'25'!H147</f>
        <v>9551</v>
      </c>
      <c r="I147" s="140"/>
      <c r="J147" s="328">
        <f>H147/DAY(B2)</f>
        <v>367.34615384615387</v>
      </c>
    </row>
    <row r="148" spans="1:10" ht="27.75" x14ac:dyDescent="0.5">
      <c r="A148" s="842" t="s">
        <v>193</v>
      </c>
      <c r="B148" s="843"/>
      <c r="C148" s="844"/>
      <c r="D148" s="123" t="s">
        <v>130</v>
      </c>
      <c r="E148" s="95">
        <f>'25'!F148</f>
        <v>688279</v>
      </c>
      <c r="F148" s="150">
        <v>688470</v>
      </c>
      <c r="G148" s="112">
        <f t="shared" si="11"/>
        <v>191</v>
      </c>
      <c r="H148" s="99">
        <f>G148+'25'!H148</f>
        <v>5436.8800000000047</v>
      </c>
      <c r="I148" s="124"/>
      <c r="J148" s="328">
        <f>H148/DAY(B2)</f>
        <v>209.11076923076942</v>
      </c>
    </row>
    <row r="149" spans="1:10" ht="27.75" x14ac:dyDescent="0.5">
      <c r="A149" s="842" t="s">
        <v>336</v>
      </c>
      <c r="B149" s="843"/>
      <c r="C149" s="844"/>
      <c r="D149" s="227" t="s">
        <v>130</v>
      </c>
      <c r="E149" s="95">
        <f>'25'!F149</f>
        <v>21699</v>
      </c>
      <c r="F149" s="146">
        <v>22268</v>
      </c>
      <c r="G149" s="112">
        <f t="shared" si="11"/>
        <v>569</v>
      </c>
      <c r="H149" s="99">
        <f>G149+'25'!H149</f>
        <v>11519</v>
      </c>
      <c r="I149" s="119"/>
      <c r="J149" s="328">
        <f>H149/DAY(B2)</f>
        <v>443.03846153846155</v>
      </c>
    </row>
    <row r="150" spans="1:10" ht="27.75" x14ac:dyDescent="0.5">
      <c r="A150" s="842" t="s">
        <v>337</v>
      </c>
      <c r="B150" s="843"/>
      <c r="C150" s="844"/>
      <c r="D150" s="117" t="s">
        <v>130</v>
      </c>
      <c r="E150" s="95">
        <f>'25'!F150</f>
        <v>9524</v>
      </c>
      <c r="F150" s="233">
        <v>9782</v>
      </c>
      <c r="G150" s="112">
        <f t="shared" si="11"/>
        <v>258</v>
      </c>
      <c r="H150" s="99">
        <f>G150+'25'!H150</f>
        <v>5730</v>
      </c>
      <c r="I150" s="119"/>
      <c r="J150" s="328">
        <f>H150/DAY(B2)</f>
        <v>220.38461538461539</v>
      </c>
    </row>
    <row r="151" spans="1:10" ht="27.75" x14ac:dyDescent="0.5">
      <c r="A151" s="842" t="s">
        <v>338</v>
      </c>
      <c r="B151" s="843"/>
      <c r="C151" s="844"/>
      <c r="D151" s="117" t="s">
        <v>130</v>
      </c>
      <c r="E151" s="95">
        <f>'25'!F151</f>
        <v>83952</v>
      </c>
      <c r="F151" s="233">
        <v>84184</v>
      </c>
      <c r="G151" s="112">
        <f t="shared" si="11"/>
        <v>232</v>
      </c>
      <c r="H151" s="99">
        <f>G151+'25'!H151</f>
        <v>5967</v>
      </c>
      <c r="I151" s="119"/>
      <c r="J151" s="328">
        <f>H151/DAY(B2)</f>
        <v>229.5</v>
      </c>
    </row>
    <row r="152" spans="1:10" ht="27.75" x14ac:dyDescent="0.5">
      <c r="A152" s="842" t="s">
        <v>339</v>
      </c>
      <c r="B152" s="843"/>
      <c r="C152" s="844"/>
      <c r="D152" s="117" t="s">
        <v>130</v>
      </c>
      <c r="E152" s="95">
        <f>'25'!F152</f>
        <v>1547</v>
      </c>
      <c r="F152" s="233">
        <v>1573</v>
      </c>
      <c r="G152" s="112">
        <f t="shared" si="11"/>
        <v>26</v>
      </c>
      <c r="H152" s="99">
        <f>G152+'25'!H152</f>
        <v>446</v>
      </c>
      <c r="I152" s="119"/>
      <c r="J152" s="328">
        <f>H152/DAY(B2)</f>
        <v>17.153846153846153</v>
      </c>
    </row>
    <row r="153" spans="1:10" ht="27.75" x14ac:dyDescent="0.5">
      <c r="A153" s="879" t="s">
        <v>196</v>
      </c>
      <c r="B153" s="880"/>
      <c r="C153" s="365"/>
      <c r="D153" s="358"/>
      <c r="E153" s="360"/>
      <c r="F153" s="361"/>
      <c r="G153" s="362">
        <f>SUM(G138:G152)</f>
        <v>2580</v>
      </c>
      <c r="H153" s="363"/>
      <c r="I153" s="119">
        <f>G153-(G38+G52)</f>
        <v>834</v>
      </c>
      <c r="J153" s="366"/>
    </row>
    <row r="154" spans="1:10" ht="31.5" x14ac:dyDescent="0.55000000000000004">
      <c r="A154" s="883" t="s">
        <v>344</v>
      </c>
      <c r="B154" s="883"/>
      <c r="C154" s="883"/>
      <c r="D154" s="883"/>
      <c r="E154" s="883"/>
      <c r="F154" s="883"/>
      <c r="G154" s="883"/>
      <c r="H154" s="883"/>
      <c r="I154" s="883"/>
      <c r="J154" s="883"/>
    </row>
    <row r="155" spans="1:10" ht="31.5" x14ac:dyDescent="0.55000000000000004">
      <c r="A155" s="850" t="s">
        <v>345</v>
      </c>
      <c r="B155" s="850"/>
      <c r="C155" s="850"/>
      <c r="D155" s="117" t="s">
        <v>130</v>
      </c>
      <c r="E155" s="95">
        <f>'25'!F155</f>
        <v>28381</v>
      </c>
      <c r="F155" s="595">
        <v>28985</v>
      </c>
      <c r="G155" s="112">
        <f t="shared" ref="G155:G158" si="12">F155-E155</f>
        <v>604</v>
      </c>
      <c r="H155" s="99">
        <f>G155+'25'!H155</f>
        <v>15513</v>
      </c>
      <c r="I155" s="364"/>
      <c r="J155" s="328">
        <f>H155/DAY(B2)</f>
        <v>596.65384615384619</v>
      </c>
    </row>
    <row r="156" spans="1:10" ht="27.75" x14ac:dyDescent="0.5">
      <c r="A156" s="850" t="s">
        <v>347</v>
      </c>
      <c r="B156" s="850"/>
      <c r="C156" s="850"/>
      <c r="D156" s="117" t="s">
        <v>130</v>
      </c>
      <c r="E156" s="95">
        <f>'25'!F156</f>
        <v>2391</v>
      </c>
      <c r="F156" s="155">
        <v>2460</v>
      </c>
      <c r="G156" s="112">
        <f t="shared" si="12"/>
        <v>69</v>
      </c>
      <c r="H156" s="99">
        <f>G156+'25'!H156</f>
        <v>1372</v>
      </c>
      <c r="I156" s="165"/>
      <c r="J156" s="328">
        <f>H156/DAY(B2)</f>
        <v>52.769230769230766</v>
      </c>
    </row>
    <row r="157" spans="1:10" ht="27.75" x14ac:dyDescent="0.5">
      <c r="A157" s="842" t="s">
        <v>364</v>
      </c>
      <c r="B157" s="843"/>
      <c r="C157" s="844"/>
      <c r="D157" s="117" t="s">
        <v>130</v>
      </c>
      <c r="E157" s="95">
        <f>'25'!F157</f>
        <v>3410</v>
      </c>
      <c r="F157" s="155">
        <v>3487</v>
      </c>
      <c r="G157" s="112">
        <f t="shared" si="12"/>
        <v>77</v>
      </c>
      <c r="H157" s="99">
        <f>G157+'25'!H157</f>
        <v>766.84000000000015</v>
      </c>
      <c r="I157" s="165"/>
      <c r="J157" s="328"/>
    </row>
    <row r="158" spans="1:10" ht="27.75" x14ac:dyDescent="0.5">
      <c r="A158" s="842" t="s">
        <v>365</v>
      </c>
      <c r="B158" s="843"/>
      <c r="C158" s="844"/>
      <c r="D158" s="117" t="s">
        <v>130</v>
      </c>
      <c r="E158" s="95">
        <f>'25'!F158</f>
        <v>43.75</v>
      </c>
      <c r="F158" s="155">
        <v>44.99</v>
      </c>
      <c r="G158" s="112">
        <f t="shared" si="12"/>
        <v>1.240000000000002</v>
      </c>
      <c r="H158" s="99">
        <f>G158+'25'!H158</f>
        <v>20.650000000000002</v>
      </c>
      <c r="I158" s="165"/>
      <c r="J158" s="328"/>
    </row>
    <row r="159" spans="1:10" ht="27.75" x14ac:dyDescent="0.5">
      <c r="A159" s="899"/>
      <c r="B159" s="900"/>
      <c r="C159" s="901"/>
      <c r="D159" s="117"/>
      <c r="E159" s="95"/>
      <c r="F159" s="165"/>
      <c r="G159" s="112"/>
      <c r="H159" s="99"/>
      <c r="I159" s="165"/>
      <c r="J159" s="328"/>
    </row>
    <row r="160" spans="1:10" ht="31.5" x14ac:dyDescent="0.55000000000000004">
      <c r="A160" s="883" t="s">
        <v>326</v>
      </c>
      <c r="B160" s="883"/>
      <c r="C160" s="883"/>
      <c r="D160" s="883"/>
      <c r="E160" s="883"/>
      <c r="F160" s="883"/>
      <c r="G160" s="883"/>
      <c r="H160" s="883"/>
      <c r="I160" s="883"/>
      <c r="J160" s="883"/>
    </row>
    <row r="161" spans="1:10" ht="29.25" x14ac:dyDescent="0.5">
      <c r="A161" s="242" t="s">
        <v>92</v>
      </c>
      <c r="B161" s="243"/>
      <c r="C161" s="243"/>
      <c r="D161" s="244" t="s">
        <v>180</v>
      </c>
      <c r="E161" s="95">
        <f>'25'!F161</f>
        <v>471893</v>
      </c>
      <c r="F161" s="235">
        <v>471909</v>
      </c>
      <c r="G161" s="238">
        <f t="shared" ref="G161:G165" si="13">F161-E161</f>
        <v>16</v>
      </c>
      <c r="H161" s="99">
        <f>G161+'25'!H161</f>
        <v>755.84000000002561</v>
      </c>
      <c r="I161" s="236"/>
      <c r="J161" s="239">
        <f>H161/DAY(B2)</f>
        <v>29.070769230770217</v>
      </c>
    </row>
    <row r="162" spans="1:10" ht="29.25" x14ac:dyDescent="0.5">
      <c r="A162" s="242" t="s">
        <v>93</v>
      </c>
      <c r="B162" s="243"/>
      <c r="C162" s="243"/>
      <c r="D162" s="244" t="s">
        <v>180</v>
      </c>
      <c r="E162" s="95">
        <f>'25'!F162</f>
        <v>88329</v>
      </c>
      <c r="F162" s="235">
        <v>88359</v>
      </c>
      <c r="G162" s="238">
        <f t="shared" si="13"/>
        <v>30</v>
      </c>
      <c r="H162" s="99">
        <f>G162+'25'!H162</f>
        <v>789</v>
      </c>
      <c r="I162" s="236"/>
      <c r="J162" s="239">
        <f>H162/DAY(B2)</f>
        <v>30.346153846153847</v>
      </c>
    </row>
    <row r="163" spans="1:10" ht="29.25" x14ac:dyDescent="0.5">
      <c r="A163" s="242" t="s">
        <v>197</v>
      </c>
      <c r="B163" s="243"/>
      <c r="C163" s="243"/>
      <c r="D163" s="244" t="s">
        <v>180</v>
      </c>
      <c r="E163" s="95">
        <f>'25'!F163</f>
        <v>78964</v>
      </c>
      <c r="F163" s="235">
        <v>78997</v>
      </c>
      <c r="G163" s="238">
        <f t="shared" si="13"/>
        <v>33</v>
      </c>
      <c r="H163" s="99">
        <f>G163+'25'!H163</f>
        <v>1172</v>
      </c>
      <c r="I163" s="236"/>
      <c r="J163" s="239">
        <f>H163/DAY(B2)</f>
        <v>45.07692307692308</v>
      </c>
    </row>
    <row r="164" spans="1:10" ht="29.25" x14ac:dyDescent="0.5">
      <c r="A164" s="242" t="s">
        <v>197</v>
      </c>
      <c r="B164" s="243"/>
      <c r="C164" s="243"/>
      <c r="D164" s="244" t="s">
        <v>180</v>
      </c>
      <c r="E164" s="95">
        <f>'25'!F164</f>
        <v>4308</v>
      </c>
      <c r="F164" s="235">
        <v>4309</v>
      </c>
      <c r="G164" s="238">
        <f t="shared" si="13"/>
        <v>1</v>
      </c>
      <c r="H164" s="99">
        <f>G164+'25'!H164</f>
        <v>67</v>
      </c>
      <c r="I164" s="236"/>
      <c r="J164" s="239">
        <f>H164/DAY(B2)</f>
        <v>2.5769230769230771</v>
      </c>
    </row>
    <row r="165" spans="1:10" ht="29.25" x14ac:dyDescent="0.5">
      <c r="A165" s="242" t="s">
        <v>309</v>
      </c>
      <c r="B165" s="243"/>
      <c r="C165" s="243"/>
      <c r="D165" s="244" t="s">
        <v>180</v>
      </c>
      <c r="E165" s="95">
        <f>'25'!F165</f>
        <v>29809</v>
      </c>
      <c r="F165" s="235">
        <v>29811</v>
      </c>
      <c r="G165" s="238">
        <f t="shared" si="13"/>
        <v>2</v>
      </c>
      <c r="H165" s="99">
        <f>G165+'25'!H165</f>
        <v>165</v>
      </c>
      <c r="I165" s="236"/>
      <c r="J165" s="239">
        <f>H165/DAY(B2)</f>
        <v>6.3461538461538458</v>
      </c>
    </row>
    <row r="166" spans="1:10" ht="29.25" x14ac:dyDescent="0.5">
      <c r="A166" s="882"/>
      <c r="B166" s="882"/>
      <c r="C166" s="246"/>
      <c r="D166" s="244" t="s">
        <v>180</v>
      </c>
      <c r="E166" s="95">
        <f>'25'!F166</f>
        <v>0</v>
      </c>
      <c r="F166" s="165"/>
      <c r="G166" s="165"/>
      <c r="H166" s="99">
        <f>G166+'25'!H166</f>
        <v>0</v>
      </c>
      <c r="I166" s="165"/>
      <c r="J166" s="239">
        <f>H166/DAY(B2)</f>
        <v>0</v>
      </c>
    </row>
    <row r="167" spans="1:10" ht="29.25" x14ac:dyDescent="0.5">
      <c r="A167" s="882"/>
      <c r="B167" s="882"/>
      <c r="C167" s="246"/>
      <c r="D167" s="244" t="s">
        <v>180</v>
      </c>
      <c r="E167" s="95">
        <f>'25'!F167</f>
        <v>0</v>
      </c>
      <c r="F167" s="165"/>
      <c r="G167" s="165"/>
      <c r="H167" s="99">
        <f>G167+'25'!H167</f>
        <v>0</v>
      </c>
      <c r="I167" s="165"/>
      <c r="J167" s="239">
        <f>H167/DAY(B2)</f>
        <v>0</v>
      </c>
    </row>
    <row r="168" spans="1:10" ht="29.25" x14ac:dyDescent="0.5">
      <c r="A168" s="882"/>
      <c r="B168" s="882"/>
      <c r="C168" s="246"/>
      <c r="D168" s="244" t="s">
        <v>180</v>
      </c>
      <c r="E168" s="95">
        <f>'25'!F168</f>
        <v>0</v>
      </c>
      <c r="F168" s="165"/>
      <c r="G168" s="165"/>
      <c r="H168" s="99">
        <f>G168+'25'!H168</f>
        <v>0</v>
      </c>
      <c r="I168" s="165"/>
      <c r="J168" s="239">
        <f>H168/DAY(B2)</f>
        <v>0</v>
      </c>
    </row>
    <row r="169" spans="1:10" ht="29.25" x14ac:dyDescent="0.5"/>
    <row r="170" spans="1:10" ht="29.25" x14ac:dyDescent="0.5"/>
    <row r="171" spans="1:10" ht="31.5" x14ac:dyDescent="0.35">
      <c r="A171" s="890" t="s">
        <v>330</v>
      </c>
      <c r="B171" s="891"/>
      <c r="C171" s="891"/>
      <c r="D171" s="891"/>
      <c r="E171" s="891"/>
      <c r="F171" s="891"/>
      <c r="G171" s="891"/>
      <c r="H171" s="891"/>
      <c r="I171" s="891"/>
      <c r="J171" s="892"/>
    </row>
    <row r="172" spans="1:10" ht="27.75" x14ac:dyDescent="0.5">
      <c r="A172" s="886"/>
      <c r="B172" s="887"/>
      <c r="C172" s="332"/>
      <c r="D172" s="228"/>
      <c r="E172" s="155"/>
      <c r="F172" s="155"/>
      <c r="G172" s="155"/>
      <c r="H172" s="156"/>
      <c r="I172" s="155"/>
      <c r="J172" s="178"/>
    </row>
    <row r="173" spans="1:10" ht="27.75" x14ac:dyDescent="0.5">
      <c r="A173" s="840" t="s">
        <v>209</v>
      </c>
      <c r="B173" s="841"/>
      <c r="C173" s="333"/>
      <c r="D173" s="228" t="s">
        <v>142</v>
      </c>
      <c r="E173" s="95">
        <f>'25'!F173</f>
        <v>8126</v>
      </c>
      <c r="F173" s="155">
        <v>8126</v>
      </c>
      <c r="G173" s="155">
        <f>F173-E173</f>
        <v>0</v>
      </c>
      <c r="H173" s="99">
        <f>G173+'25'!H173</f>
        <v>0</v>
      </c>
      <c r="I173" s="155"/>
      <c r="J173" s="178">
        <f>H173/DAY(B2)</f>
        <v>0</v>
      </c>
    </row>
    <row r="174" spans="1:10" ht="27.75" x14ac:dyDescent="0.5">
      <c r="A174" s="840" t="s">
        <v>75</v>
      </c>
      <c r="B174" s="841"/>
      <c r="C174" s="333"/>
      <c r="D174" s="228" t="s">
        <v>142</v>
      </c>
      <c r="E174" s="95">
        <f>'25'!F174</f>
        <v>38536</v>
      </c>
      <c r="F174" s="157">
        <v>38548</v>
      </c>
      <c r="G174" s="155">
        <f t="shared" ref="G174:G175" si="14">F174-E174</f>
        <v>12</v>
      </c>
      <c r="H174" s="99">
        <f>G174+'25'!H174</f>
        <v>255</v>
      </c>
      <c r="I174" s="155"/>
      <c r="J174" s="178">
        <f>H174/DAY(B2)</f>
        <v>9.8076923076923084</v>
      </c>
    </row>
    <row r="175" spans="1:10" ht="27.75" x14ac:dyDescent="0.5">
      <c r="A175" s="840" t="s">
        <v>76</v>
      </c>
      <c r="B175" s="845"/>
      <c r="C175" s="841"/>
      <c r="D175" s="228" t="s">
        <v>142</v>
      </c>
      <c r="E175" s="95">
        <f>'25'!F175</f>
        <v>21753</v>
      </c>
      <c r="F175" s="155">
        <v>21763</v>
      </c>
      <c r="G175" s="155">
        <f t="shared" si="14"/>
        <v>10</v>
      </c>
      <c r="H175" s="99">
        <f>G175+'25'!H175</f>
        <v>245</v>
      </c>
      <c r="I175" s="155"/>
      <c r="J175" s="178">
        <f>H175/DAY(B2)</f>
        <v>9.4230769230769234</v>
      </c>
    </row>
    <row r="176" spans="1:10" ht="27.75" x14ac:dyDescent="0.5">
      <c r="A176" s="879" t="s">
        <v>196</v>
      </c>
      <c r="B176" s="880"/>
      <c r="C176" s="485"/>
      <c r="D176" s="228" t="s">
        <v>142</v>
      </c>
      <c r="E176" s="95"/>
      <c r="F176" s="155"/>
      <c r="G176" s="155">
        <f>SUM(G173:G175)</f>
        <v>22</v>
      </c>
      <c r="H176" s="99">
        <f>G176+'25'!H176</f>
        <v>500</v>
      </c>
      <c r="I176" s="155"/>
      <c r="J176" s="178">
        <f>H176/DAY(B2)</f>
        <v>19.23076923076923</v>
      </c>
    </row>
    <row r="177" spans="1:10" ht="27.75" x14ac:dyDescent="0.5">
      <c r="A177" s="840" t="s">
        <v>77</v>
      </c>
      <c r="B177" s="841"/>
      <c r="C177" s="333"/>
      <c r="D177" s="228" t="s">
        <v>142</v>
      </c>
      <c r="E177" s="95"/>
      <c r="F177" s="155"/>
      <c r="G177" s="155"/>
      <c r="H177" s="99">
        <f>G177+'25'!H177</f>
        <v>0</v>
      </c>
      <c r="I177" s="155"/>
      <c r="J177" s="178">
        <f>H177/DAY(B2)</f>
        <v>0</v>
      </c>
    </row>
    <row r="178" spans="1:10" ht="27.75" x14ac:dyDescent="0.5">
      <c r="A178" s="840" t="s">
        <v>210</v>
      </c>
      <c r="B178" s="841"/>
      <c r="C178" s="333"/>
      <c r="D178" s="228" t="s">
        <v>142</v>
      </c>
      <c r="E178" s="95">
        <f>'25'!F178</f>
        <v>80957</v>
      </c>
      <c r="F178" s="155">
        <v>81012</v>
      </c>
      <c r="G178" s="155">
        <f>F178-E178</f>
        <v>55</v>
      </c>
      <c r="H178" s="99">
        <f>G178+'25'!H178</f>
        <v>1398</v>
      </c>
      <c r="I178" s="155"/>
      <c r="J178" s="178">
        <f>H178/DAY(B2)</f>
        <v>53.769230769230766</v>
      </c>
    </row>
    <row r="179" spans="1:10" ht="27.75" x14ac:dyDescent="0.5">
      <c r="A179" s="840" t="s">
        <v>211</v>
      </c>
      <c r="B179" s="841"/>
      <c r="C179" s="333"/>
      <c r="D179" s="228" t="s">
        <v>142</v>
      </c>
      <c r="E179" s="95">
        <f>'25'!F179</f>
        <v>34532</v>
      </c>
      <c r="F179" s="155">
        <v>34580</v>
      </c>
      <c r="G179" s="155">
        <f t="shared" ref="G179:G180" si="15">F179-E179</f>
        <v>48</v>
      </c>
      <c r="H179" s="99">
        <f>G179+'25'!H179</f>
        <v>665</v>
      </c>
      <c r="I179" s="155"/>
      <c r="J179" s="178">
        <f>H179/DAY(B2)</f>
        <v>25.576923076923077</v>
      </c>
    </row>
    <row r="180" spans="1:10" ht="27.75" x14ac:dyDescent="0.5">
      <c r="A180" s="840" t="s">
        <v>212</v>
      </c>
      <c r="B180" s="841"/>
      <c r="C180" s="333"/>
      <c r="D180" s="228" t="s">
        <v>142</v>
      </c>
      <c r="E180" s="95">
        <f>'25'!F180</f>
        <v>5658</v>
      </c>
      <c r="F180" s="155">
        <v>5658</v>
      </c>
      <c r="G180" s="155">
        <f t="shared" si="15"/>
        <v>0</v>
      </c>
      <c r="H180" s="99">
        <f>G180+'25'!H180</f>
        <v>181</v>
      </c>
      <c r="I180" s="155"/>
      <c r="J180" s="178">
        <f>H180/DAY(B2)</f>
        <v>6.9615384615384617</v>
      </c>
    </row>
    <row r="181" spans="1:10" ht="27.75" x14ac:dyDescent="0.5">
      <c r="A181" s="884" t="s">
        <v>108</v>
      </c>
      <c r="B181" s="885"/>
      <c r="C181" s="485"/>
      <c r="D181" s="228" t="s">
        <v>142</v>
      </c>
      <c r="E181" s="95"/>
      <c r="F181" s="155"/>
      <c r="G181" s="155">
        <f>SUM(G178:G180)</f>
        <v>103</v>
      </c>
      <c r="H181" s="99">
        <f>G181+'25'!H181</f>
        <v>2244</v>
      </c>
      <c r="I181" s="155"/>
      <c r="J181" s="178">
        <f>H181/DAY(B2)</f>
        <v>86.307692307692307</v>
      </c>
    </row>
    <row r="182" spans="1:10" ht="27.75" x14ac:dyDescent="0.5">
      <c r="A182" s="840" t="s">
        <v>213</v>
      </c>
      <c r="B182" s="841"/>
      <c r="C182" s="333"/>
      <c r="D182" s="228" t="s">
        <v>142</v>
      </c>
      <c r="E182" s="95"/>
      <c r="F182" s="155"/>
      <c r="G182" s="155"/>
      <c r="H182" s="99">
        <f>G182+'25'!H182</f>
        <v>0</v>
      </c>
      <c r="I182" s="155"/>
      <c r="J182" s="178">
        <f>H182/DAY(B2)</f>
        <v>0</v>
      </c>
    </row>
    <row r="183" spans="1:10" ht="27.75" x14ac:dyDescent="0.5">
      <c r="A183" s="840" t="s">
        <v>214</v>
      </c>
      <c r="B183" s="841"/>
      <c r="C183" s="334"/>
      <c r="D183" s="228" t="s">
        <v>142</v>
      </c>
      <c r="E183" s="95">
        <f>'25'!F183</f>
        <v>15286</v>
      </c>
      <c r="F183" s="157">
        <v>15296</v>
      </c>
      <c r="G183" s="157">
        <f>F183-E183</f>
        <v>10</v>
      </c>
      <c r="H183" s="99">
        <f>G183+'25'!H183</f>
        <v>349</v>
      </c>
      <c r="I183" s="155"/>
      <c r="J183" s="178">
        <f>H183/DAY(B2)</f>
        <v>13.423076923076923</v>
      </c>
    </row>
    <row r="184" spans="1:10" ht="27.75" x14ac:dyDescent="0.5">
      <c r="A184" s="840" t="s">
        <v>215</v>
      </c>
      <c r="B184" s="841"/>
      <c r="C184" s="334"/>
      <c r="D184" s="228" t="s">
        <v>142</v>
      </c>
      <c r="E184" s="95">
        <f>'25'!F184</f>
        <v>10454</v>
      </c>
      <c r="F184" s="157">
        <v>10461</v>
      </c>
      <c r="G184" s="157">
        <f t="shared" ref="G184:G185" si="16">F184-E184</f>
        <v>7</v>
      </c>
      <c r="H184" s="99">
        <f>G184+'25'!H184</f>
        <v>160</v>
      </c>
      <c r="I184" s="155"/>
      <c r="J184" s="178">
        <f>H184/DAY(B2)</f>
        <v>6.1538461538461542</v>
      </c>
    </row>
    <row r="185" spans="1:10" ht="27.75" x14ac:dyDescent="0.5">
      <c r="A185" s="840" t="s">
        <v>216</v>
      </c>
      <c r="B185" s="841"/>
      <c r="C185" s="334"/>
      <c r="D185" s="228" t="s">
        <v>142</v>
      </c>
      <c r="E185" s="95">
        <f>'25'!F185</f>
        <v>0</v>
      </c>
      <c r="F185" s="157"/>
      <c r="G185" s="157">
        <f t="shared" si="16"/>
        <v>0</v>
      </c>
      <c r="H185" s="99">
        <f>G185+'25'!H185</f>
        <v>0</v>
      </c>
      <c r="I185" s="155"/>
      <c r="J185" s="178">
        <f>H185/DAY(B2)</f>
        <v>0</v>
      </c>
    </row>
    <row r="186" spans="1:10" ht="27.75" x14ac:dyDescent="0.5">
      <c r="A186" s="879" t="s">
        <v>196</v>
      </c>
      <c r="B186" s="880"/>
      <c r="C186" s="484"/>
      <c r="D186" s="228" t="s">
        <v>142</v>
      </c>
      <c r="E186" s="95"/>
      <c r="F186" s="157"/>
      <c r="G186" s="157">
        <f>SUM(G183:G185)</f>
        <v>17</v>
      </c>
      <c r="H186" s="99">
        <f>G186+'25'!H186</f>
        <v>509</v>
      </c>
      <c r="I186" s="157"/>
      <c r="J186" s="178">
        <f>H186/DAY(B2)</f>
        <v>19.576923076923077</v>
      </c>
    </row>
    <row r="187" spans="1:10" ht="27.75" x14ac:dyDescent="0.5">
      <c r="A187" s="888" t="s">
        <v>217</v>
      </c>
      <c r="B187" s="889"/>
      <c r="C187" s="333"/>
      <c r="D187" s="228" t="s">
        <v>142</v>
      </c>
      <c r="E187" s="95">
        <f>'25'!F187</f>
        <v>0</v>
      </c>
      <c r="F187" s="159"/>
      <c r="G187" s="462">
        <f>G62+G19</f>
        <v>148</v>
      </c>
      <c r="H187" s="99">
        <f>G187+'25'!H187</f>
        <v>3187</v>
      </c>
      <c r="I187" s="158"/>
      <c r="J187" s="179">
        <f>H187/DAY(B2)</f>
        <v>122.57692307692308</v>
      </c>
    </row>
    <row r="188" spans="1:10" ht="27.75" x14ac:dyDescent="0.5">
      <c r="A188" s="888" t="s">
        <v>218</v>
      </c>
      <c r="B188" s="889"/>
      <c r="C188" s="333"/>
      <c r="D188" s="228" t="s">
        <v>142</v>
      </c>
      <c r="E188" s="95">
        <f>'25'!F188</f>
        <v>0</v>
      </c>
      <c r="F188" s="159"/>
      <c r="G188" s="462">
        <f>G65+G66+G67+G69+G70</f>
        <v>150</v>
      </c>
      <c r="H188" s="99">
        <f>G188+'25'!H188</f>
        <v>1593</v>
      </c>
      <c r="I188" s="158"/>
      <c r="J188" s="179">
        <f>H188/DAY(B2)</f>
        <v>61.269230769230766</v>
      </c>
    </row>
    <row r="189" spans="1:10" ht="27.75" x14ac:dyDescent="0.5">
      <c r="A189" s="888" t="s">
        <v>219</v>
      </c>
      <c r="B189" s="889"/>
      <c r="C189" s="333"/>
      <c r="D189" s="228" t="s">
        <v>142</v>
      </c>
      <c r="E189" s="95">
        <f>'25'!F189</f>
        <v>0</v>
      </c>
      <c r="F189" s="157"/>
      <c r="G189" s="459">
        <f>G181</f>
        <v>103</v>
      </c>
      <c r="H189" s="99">
        <f>G189+'25'!H189</f>
        <v>654</v>
      </c>
      <c r="I189" s="158"/>
      <c r="J189" s="179">
        <f>H189/DAY(B2)</f>
        <v>25.153846153846153</v>
      </c>
    </row>
    <row r="190" spans="1:10" ht="27.75" x14ac:dyDescent="0.5">
      <c r="A190" s="811"/>
      <c r="B190" s="812"/>
      <c r="C190" s="483"/>
      <c r="D190" s="480"/>
      <c r="E190" s="480" t="s">
        <v>207</v>
      </c>
      <c r="F190" s="480"/>
      <c r="G190" s="480"/>
      <c r="H190" s="481"/>
      <c r="I190" s="480"/>
      <c r="J190" s="482"/>
    </row>
    <row r="191" spans="1:10" ht="29.25" x14ac:dyDescent="0.5"/>
    <row r="192" spans="1:10" ht="29.25" x14ac:dyDescent="0.5"/>
    <row r="193" ht="29.25" x14ac:dyDescent="0.5"/>
    <row r="194" ht="29.25" x14ac:dyDescent="0.5"/>
    <row r="195" ht="29.25" x14ac:dyDescent="0.5"/>
    <row r="196" ht="29.25" x14ac:dyDescent="0.5"/>
    <row r="197" ht="29.25" x14ac:dyDescent="0.5"/>
    <row r="198" ht="29.25" x14ac:dyDescent="0.5"/>
    <row r="199" ht="29.25" x14ac:dyDescent="0.5"/>
    <row r="200" ht="29.25" x14ac:dyDescent="0.5"/>
    <row r="201" ht="29.25" x14ac:dyDescent="0.5"/>
    <row r="202" ht="29.25" x14ac:dyDescent="0.5"/>
    <row r="203" ht="29.25" x14ac:dyDescent="0.5"/>
    <row r="204" ht="29.25" x14ac:dyDescent="0.5"/>
    <row r="205" ht="29.25" x14ac:dyDescent="0.5"/>
    <row r="206" ht="29.25" x14ac:dyDescent="0.5"/>
    <row r="207" ht="29.25" x14ac:dyDescent="0.5"/>
    <row r="208" ht="29.25" x14ac:dyDescent="0.5"/>
    <row r="209" ht="29.25" x14ac:dyDescent="0.5"/>
    <row r="210" ht="29.25" x14ac:dyDescent="0.5"/>
    <row r="211" ht="29.25" x14ac:dyDescent="0.5"/>
    <row r="212" ht="29.25" x14ac:dyDescent="0.5"/>
    <row r="213" ht="29.25" x14ac:dyDescent="0.5"/>
    <row r="214" ht="29.25" x14ac:dyDescent="0.5"/>
    <row r="215" ht="29.25" x14ac:dyDescent="0.5"/>
    <row r="216" ht="29.25" x14ac:dyDescent="0.5"/>
    <row r="217" ht="29.25" x14ac:dyDescent="0.5"/>
    <row r="218" ht="29.25" x14ac:dyDescent="0.5"/>
    <row r="219" ht="29.25" x14ac:dyDescent="0.5"/>
    <row r="220" ht="29.25" x14ac:dyDescent="0.5"/>
    <row r="221" ht="29.25" x14ac:dyDescent="0.5"/>
    <row r="222" ht="29.25" x14ac:dyDescent="0.5"/>
    <row r="223" ht="29.25" x14ac:dyDescent="0.5"/>
    <row r="224" ht="29.25" x14ac:dyDescent="0.5"/>
    <row r="225" ht="29.25" x14ac:dyDescent="0.5"/>
    <row r="226" ht="29.25" x14ac:dyDescent="0.5"/>
    <row r="227" ht="29.25" x14ac:dyDescent="0.5"/>
    <row r="228" ht="29.25" x14ac:dyDescent="0.5"/>
    <row r="229" ht="29.25" x14ac:dyDescent="0.5"/>
    <row r="230" ht="29.25" x14ac:dyDescent="0.5"/>
    <row r="231" ht="29.25" x14ac:dyDescent="0.5"/>
    <row r="232" ht="29.25" x14ac:dyDescent="0.5"/>
    <row r="233" ht="29.25" x14ac:dyDescent="0.5"/>
    <row r="234" ht="29.25" x14ac:dyDescent="0.5"/>
    <row r="235" ht="29.25" x14ac:dyDescent="0.5"/>
    <row r="236" ht="29.25" x14ac:dyDescent="0.5"/>
    <row r="237" ht="29.25" x14ac:dyDescent="0.5"/>
    <row r="238" ht="29.25" x14ac:dyDescent="0.5"/>
    <row r="239" ht="29.25" x14ac:dyDescent="0.5"/>
    <row r="240" ht="29.25" x14ac:dyDescent="0.5"/>
    <row r="241" ht="29.25" x14ac:dyDescent="0.5"/>
    <row r="242" ht="29.25" x14ac:dyDescent="0.5"/>
    <row r="243" ht="29.25" x14ac:dyDescent="0.5"/>
    <row r="244" ht="29.25" x14ac:dyDescent="0.5"/>
    <row r="245" ht="29.25" x14ac:dyDescent="0.5"/>
    <row r="246" ht="29.25" x14ac:dyDescent="0.5"/>
    <row r="247" ht="29.25" x14ac:dyDescent="0.5"/>
    <row r="248" ht="29.25" x14ac:dyDescent="0.5"/>
    <row r="249" ht="29.25" x14ac:dyDescent="0.5"/>
    <row r="250" ht="29.25" x14ac:dyDescent="0.5"/>
    <row r="251" ht="29.25" x14ac:dyDescent="0.5"/>
    <row r="252" ht="29.25" x14ac:dyDescent="0.5"/>
    <row r="253" ht="29.25" x14ac:dyDescent="0.5"/>
    <row r="254" ht="29.25" x14ac:dyDescent="0.5"/>
    <row r="255" ht="29.25" x14ac:dyDescent="0.5"/>
    <row r="256" ht="29.25" x14ac:dyDescent="0.5"/>
    <row r="257" ht="29.25" x14ac:dyDescent="0.5"/>
    <row r="258" ht="29.25" x14ac:dyDescent="0.5"/>
    <row r="259" ht="29.25" x14ac:dyDescent="0.5"/>
    <row r="260" ht="29.25" x14ac:dyDescent="0.5"/>
    <row r="261" ht="29.25" x14ac:dyDescent="0.5"/>
    <row r="262" ht="29.25" x14ac:dyDescent="0.5"/>
    <row r="263" ht="29.25" x14ac:dyDescent="0.5"/>
    <row r="264" ht="29.25" x14ac:dyDescent="0.5"/>
    <row r="265" ht="29.25" x14ac:dyDescent="0.5"/>
    <row r="266" ht="29.25" x14ac:dyDescent="0.5"/>
    <row r="267" ht="29.25" x14ac:dyDescent="0.5"/>
    <row r="268" ht="29.25" x14ac:dyDescent="0.5"/>
    <row r="269" ht="29.25" x14ac:dyDescent="0.5"/>
    <row r="270" ht="29.25" x14ac:dyDescent="0.5"/>
    <row r="313" ht="29.25" x14ac:dyDescent="0.5"/>
    <row r="314" ht="29.25" x14ac:dyDescent="0.5"/>
    <row r="315" ht="29.25" x14ac:dyDescent="0.5"/>
    <row r="316" ht="29.25" x14ac:dyDescent="0.5"/>
    <row r="317" ht="29.25" x14ac:dyDescent="0.5"/>
    <row r="318" ht="29.25" x14ac:dyDescent="0.5"/>
    <row r="319" ht="29.25" x14ac:dyDescent="0.5"/>
    <row r="320" ht="29.25" x14ac:dyDescent="0.5"/>
    <row r="321" ht="29.25" x14ac:dyDescent="0.5"/>
    <row r="322" ht="29.25" x14ac:dyDescent="0.5"/>
    <row r="323" ht="29.25" x14ac:dyDescent="0.5"/>
    <row r="324" ht="29.25" x14ac:dyDescent="0.5"/>
    <row r="325" ht="29.25" x14ac:dyDescent="0.5"/>
    <row r="326" ht="29.25" x14ac:dyDescent="0.5"/>
    <row r="327" ht="29.25" x14ac:dyDescent="0.5"/>
    <row r="328" ht="29.25" x14ac:dyDescent="0.5"/>
    <row r="329" ht="29.25" x14ac:dyDescent="0.5"/>
    <row r="330" ht="29.25" x14ac:dyDescent="0.5"/>
    <row r="331" ht="29.25" x14ac:dyDescent="0.5"/>
    <row r="332" ht="29.25" x14ac:dyDescent="0.5"/>
    <row r="333" ht="29.25" x14ac:dyDescent="0.5"/>
    <row r="334" ht="29.25" x14ac:dyDescent="0.5"/>
    <row r="335" ht="29.25" x14ac:dyDescent="0.5"/>
    <row r="336" ht="29.25" x14ac:dyDescent="0.5"/>
    <row r="337" ht="29.25" x14ac:dyDescent="0.5"/>
    <row r="338" ht="29.25" x14ac:dyDescent="0.5"/>
    <row r="339" ht="29.25" x14ac:dyDescent="0.5"/>
    <row r="340" ht="29.25" x14ac:dyDescent="0.5"/>
    <row r="341" ht="29.25" x14ac:dyDescent="0.5"/>
    <row r="342" ht="29.25" x14ac:dyDescent="0.5"/>
    <row r="343" ht="29.25" x14ac:dyDescent="0.5"/>
    <row r="344" ht="29.25" x14ac:dyDescent="0.5"/>
    <row r="345" ht="29.25" x14ac:dyDescent="0.5"/>
    <row r="346" ht="29.25" x14ac:dyDescent="0.5"/>
    <row r="347" ht="29.25" x14ac:dyDescent="0.5"/>
    <row r="348" ht="29.25" x14ac:dyDescent="0.5"/>
    <row r="349" ht="29.25" x14ac:dyDescent="0.5"/>
    <row r="350" ht="29.25" x14ac:dyDescent="0.5"/>
    <row r="351" ht="29.25" x14ac:dyDescent="0.5"/>
    <row r="352" ht="29.25" x14ac:dyDescent="0.5"/>
    <row r="353" ht="29.25" x14ac:dyDescent="0.5"/>
    <row r="354" ht="29.25" x14ac:dyDescent="0.5"/>
    <row r="355" ht="29.25" x14ac:dyDescent="0.5"/>
    <row r="356" ht="29.25" x14ac:dyDescent="0.5"/>
    <row r="357" ht="29.25" x14ac:dyDescent="0.5"/>
    <row r="358" ht="29.25" x14ac:dyDescent="0.5"/>
    <row r="359" ht="29.25" x14ac:dyDescent="0.5"/>
    <row r="360" ht="29.25" x14ac:dyDescent="0.5"/>
    <row r="361" ht="29.25" x14ac:dyDescent="0.5"/>
    <row r="362" ht="29.25" x14ac:dyDescent="0.5"/>
    <row r="363" ht="29.25" x14ac:dyDescent="0.5"/>
    <row r="364" ht="29.25" x14ac:dyDescent="0.5"/>
    <row r="365" ht="29.25" x14ac:dyDescent="0.5"/>
    <row r="366" ht="29.25" x14ac:dyDescent="0.5"/>
    <row r="367" ht="29.25" x14ac:dyDescent="0.5"/>
    <row r="368" ht="29.25" x14ac:dyDescent="0.5"/>
    <row r="369" ht="29.25" x14ac:dyDescent="0.5"/>
    <row r="370" ht="29.25" x14ac:dyDescent="0.5"/>
    <row r="371" ht="29.25" x14ac:dyDescent="0.5"/>
    <row r="372" ht="29.25" x14ac:dyDescent="0.5"/>
    <row r="373" ht="29.25" x14ac:dyDescent="0.5"/>
    <row r="374" ht="29.25" x14ac:dyDescent="0.5"/>
    <row r="375" ht="29.25" x14ac:dyDescent="0.5"/>
    <row r="376" ht="29.25" x14ac:dyDescent="0.5"/>
    <row r="377" ht="29.25" x14ac:dyDescent="0.5"/>
    <row r="378" ht="29.25" x14ac:dyDescent="0.5"/>
    <row r="379" ht="29.25" x14ac:dyDescent="0.5"/>
    <row r="380" ht="29.25" x14ac:dyDescent="0.5"/>
    <row r="381" ht="29.25" x14ac:dyDescent="0.5"/>
    <row r="382" ht="29.25" x14ac:dyDescent="0.5"/>
    <row r="383" ht="29.25" x14ac:dyDescent="0.5"/>
    <row r="384" ht="29.25" x14ac:dyDescent="0.5"/>
    <row r="385" ht="29.25" x14ac:dyDescent="0.5"/>
    <row r="386" ht="29.25" x14ac:dyDescent="0.5"/>
    <row r="387" ht="29.25" x14ac:dyDescent="0.5"/>
    <row r="388" ht="29.25" x14ac:dyDescent="0.5"/>
    <row r="389" ht="29.25" x14ac:dyDescent="0.5"/>
    <row r="390" ht="29.25" x14ac:dyDescent="0.5"/>
    <row r="391" ht="29.25" x14ac:dyDescent="0.5"/>
    <row r="392" ht="29.25" x14ac:dyDescent="0.5"/>
    <row r="393" ht="29.25" x14ac:dyDescent="0.5"/>
    <row r="394" ht="29.25" x14ac:dyDescent="0.5"/>
    <row r="395" ht="29.25" x14ac:dyDescent="0.5"/>
    <row r="396" ht="29.25" x14ac:dyDescent="0.5"/>
    <row r="397" ht="29.25" x14ac:dyDescent="0.5"/>
    <row r="398" ht="29.25" x14ac:dyDescent="0.5"/>
    <row r="399" ht="29.25" x14ac:dyDescent="0.5"/>
    <row r="400" ht="29.25" x14ac:dyDescent="0.5"/>
    <row r="401" ht="29.25" x14ac:dyDescent="0.5"/>
    <row r="402" ht="29.25" x14ac:dyDescent="0.5"/>
    <row r="403" ht="29.25" x14ac:dyDescent="0.5"/>
    <row r="404" ht="29.25" x14ac:dyDescent="0.5"/>
    <row r="405" ht="29.25" x14ac:dyDescent="0.5"/>
    <row r="406" ht="29.25" x14ac:dyDescent="0.5"/>
    <row r="407" ht="29.25" x14ac:dyDescent="0.5"/>
    <row r="408" ht="29.25" x14ac:dyDescent="0.5"/>
    <row r="409" ht="29.25" x14ac:dyDescent="0.5"/>
    <row r="410" ht="29.25" x14ac:dyDescent="0.5"/>
    <row r="411" ht="29.25" x14ac:dyDescent="0.5"/>
    <row r="412" ht="29.25" x14ac:dyDescent="0.5"/>
    <row r="413" ht="29.25" x14ac:dyDescent="0.5"/>
    <row r="414" ht="29.25" x14ac:dyDescent="0.5"/>
    <row r="415" ht="29.25" x14ac:dyDescent="0.5"/>
    <row r="416" ht="29.25" x14ac:dyDescent="0.5"/>
    <row r="417" ht="29.25" x14ac:dyDescent="0.5"/>
    <row r="418" ht="29.25" x14ac:dyDescent="0.5"/>
    <row r="419" ht="29.25" x14ac:dyDescent="0.5"/>
    <row r="420" ht="29.25" x14ac:dyDescent="0.5"/>
    <row r="421" ht="29.25" x14ac:dyDescent="0.5"/>
    <row r="422" ht="29.25" x14ac:dyDescent="0.5"/>
    <row r="423" ht="29.25" x14ac:dyDescent="0.5"/>
    <row r="424" ht="29.25" x14ac:dyDescent="0.5"/>
    <row r="425" ht="29.25" x14ac:dyDescent="0.5"/>
    <row r="426" ht="29.25" x14ac:dyDescent="0.5"/>
    <row r="427" ht="29.25" x14ac:dyDescent="0.5"/>
    <row r="428" ht="29.25" x14ac:dyDescent="0.5"/>
    <row r="429" ht="29.25" x14ac:dyDescent="0.5"/>
    <row r="430" ht="29.25" x14ac:dyDescent="0.5"/>
    <row r="431" ht="29.25" x14ac:dyDescent="0.5"/>
    <row r="432" ht="29.25" x14ac:dyDescent="0.5"/>
    <row r="433" ht="29.25" x14ac:dyDescent="0.5"/>
    <row r="434" ht="29.25" x14ac:dyDescent="0.5"/>
    <row r="435" ht="29.25" x14ac:dyDescent="0.5"/>
    <row r="436" ht="29.25" x14ac:dyDescent="0.5"/>
    <row r="437" ht="29.25" x14ac:dyDescent="0.5"/>
    <row r="438" ht="29.25" x14ac:dyDescent="0.5"/>
    <row r="439" ht="29.25" x14ac:dyDescent="0.5"/>
    <row r="440" ht="29.25" x14ac:dyDescent="0.5"/>
    <row r="441" ht="29.25" x14ac:dyDescent="0.5"/>
    <row r="442" ht="29.25" x14ac:dyDescent="0.5"/>
    <row r="443" ht="29.25" x14ac:dyDescent="0.5"/>
    <row r="444" ht="29.25" x14ac:dyDescent="0.5"/>
    <row r="445" ht="29.25" x14ac:dyDescent="0.5"/>
    <row r="446" ht="29.25" x14ac:dyDescent="0.5"/>
    <row r="447" ht="29.25" x14ac:dyDescent="0.5"/>
    <row r="448" ht="29.25" x14ac:dyDescent="0.5"/>
    <row r="449" ht="29.25" x14ac:dyDescent="0.5"/>
    <row r="450" ht="29.25" x14ac:dyDescent="0.5"/>
    <row r="451" ht="29.25" x14ac:dyDescent="0.5"/>
    <row r="452" ht="29.25" x14ac:dyDescent="0.5"/>
    <row r="453" ht="29.25" x14ac:dyDescent="0.5"/>
    <row r="454" ht="29.25" x14ac:dyDescent="0.5"/>
    <row r="455" ht="29.25" x14ac:dyDescent="0.5"/>
    <row r="456" ht="29.25" x14ac:dyDescent="0.5"/>
    <row r="457" ht="29.25" x14ac:dyDescent="0.5"/>
    <row r="458" ht="29.25" x14ac:dyDescent="0.5"/>
    <row r="459" ht="29.25" x14ac:dyDescent="0.5"/>
    <row r="460" ht="29.25" x14ac:dyDescent="0.5"/>
    <row r="461" ht="29.25" x14ac:dyDescent="0.5"/>
    <row r="462" ht="29.25" x14ac:dyDescent="0.5"/>
    <row r="463" ht="29.25" x14ac:dyDescent="0.5"/>
    <row r="464" ht="29.25" x14ac:dyDescent="0.5"/>
    <row r="465" ht="29.25" x14ac:dyDescent="0.5"/>
    <row r="466" ht="29.25" x14ac:dyDescent="0.5"/>
    <row r="467" ht="29.25" x14ac:dyDescent="0.5"/>
    <row r="468" ht="29.25" x14ac:dyDescent="0.5"/>
    <row r="469" ht="29.25" x14ac:dyDescent="0.5"/>
    <row r="470" ht="29.25" x14ac:dyDescent="0.5"/>
    <row r="471" ht="29.25" x14ac:dyDescent="0.5"/>
    <row r="472" ht="29.25" x14ac:dyDescent="0.5"/>
    <row r="473" ht="29.25" x14ac:dyDescent="0.5"/>
    <row r="474" ht="29.25" x14ac:dyDescent="0.5"/>
    <row r="475" ht="29.25" x14ac:dyDescent="0.5"/>
    <row r="476" ht="29.25" x14ac:dyDescent="0.5"/>
    <row r="477" ht="29.25" x14ac:dyDescent="0.5"/>
    <row r="478" ht="29.25" x14ac:dyDescent="0.5"/>
    <row r="479" ht="29.25" x14ac:dyDescent="0.5"/>
    <row r="480" ht="29.25" x14ac:dyDescent="0.5"/>
    <row r="481" ht="29.25" x14ac:dyDescent="0.5"/>
    <row r="482" ht="29.25" x14ac:dyDescent="0.5"/>
    <row r="483" ht="29.25" x14ac:dyDescent="0.5"/>
    <row r="484" ht="29.25" x14ac:dyDescent="0.5"/>
    <row r="485" ht="29.25" x14ac:dyDescent="0.5"/>
    <row r="486" ht="29.25" x14ac:dyDescent="0.5"/>
    <row r="487" ht="29.25" x14ac:dyDescent="0.5"/>
    <row r="488" ht="29.25" x14ac:dyDescent="0.5"/>
    <row r="489" ht="29.25" x14ac:dyDescent="0.5"/>
    <row r="490" ht="29.25" x14ac:dyDescent="0.5"/>
    <row r="491" ht="29.25" x14ac:dyDescent="0.5"/>
    <row r="492" ht="29.25" x14ac:dyDescent="0.5"/>
    <row r="493" ht="29.25" x14ac:dyDescent="0.5"/>
    <row r="494" ht="29.25" x14ac:dyDescent="0.5"/>
    <row r="495" ht="29.25" x14ac:dyDescent="0.5"/>
    <row r="496" ht="29.25" x14ac:dyDescent="0.5"/>
    <row r="497" ht="29.25" x14ac:dyDescent="0.5"/>
    <row r="498" ht="29.25" x14ac:dyDescent="0.5"/>
    <row r="499" ht="29.25" x14ac:dyDescent="0.5"/>
    <row r="500" ht="29.25" x14ac:dyDescent="0.5"/>
    <row r="501" ht="29.25" x14ac:dyDescent="0.5"/>
    <row r="502" ht="29.25" x14ac:dyDescent="0.5"/>
    <row r="503" ht="29.25" x14ac:dyDescent="0.5"/>
    <row r="504" ht="29.25" x14ac:dyDescent="0.5"/>
    <row r="505" ht="29.25" x14ac:dyDescent="0.5"/>
    <row r="506" ht="29.25" x14ac:dyDescent="0.5"/>
    <row r="507" ht="29.25" x14ac:dyDescent="0.5"/>
    <row r="508" ht="29.25" x14ac:dyDescent="0.5"/>
    <row r="509" ht="29.25" x14ac:dyDescent="0.5"/>
    <row r="510" ht="29.25" x14ac:dyDescent="0.5"/>
    <row r="511" ht="29.25" x14ac:dyDescent="0.5"/>
    <row r="512" ht="29.25" x14ac:dyDescent="0.5"/>
    <row r="513" ht="29.25" x14ac:dyDescent="0.5"/>
    <row r="514" ht="29.25" x14ac:dyDescent="0.5"/>
    <row r="515" ht="29.25" x14ac:dyDescent="0.5"/>
    <row r="516" ht="29.25" x14ac:dyDescent="0.5"/>
    <row r="517" ht="29.25" x14ac:dyDescent="0.5"/>
    <row r="518" ht="29.25" x14ac:dyDescent="0.5"/>
    <row r="519" ht="29.25" x14ac:dyDescent="0.5"/>
    <row r="520" ht="29.25" x14ac:dyDescent="0.5"/>
    <row r="521" ht="29.25" x14ac:dyDescent="0.5"/>
    <row r="522" ht="29.25" x14ac:dyDescent="0.5"/>
    <row r="523" ht="29.25" x14ac:dyDescent="0.5"/>
    <row r="524" ht="29.25" x14ac:dyDescent="0.5"/>
    <row r="525" ht="29.25" x14ac:dyDescent="0.5"/>
    <row r="526" ht="29.25" x14ac:dyDescent="0.5"/>
    <row r="527" ht="29.25" x14ac:dyDescent="0.5"/>
    <row r="528" ht="29.25" x14ac:dyDescent="0.5"/>
    <row r="529" ht="29.25" x14ac:dyDescent="0.5"/>
    <row r="530" ht="29.25" x14ac:dyDescent="0.5"/>
    <row r="531" ht="29.25" x14ac:dyDescent="0.5"/>
    <row r="532" ht="29.25" x14ac:dyDescent="0.5"/>
    <row r="533" ht="29.25" x14ac:dyDescent="0.5"/>
    <row r="534" ht="29.25" x14ac:dyDescent="0.5"/>
    <row r="535" ht="29.25" x14ac:dyDescent="0.5"/>
    <row r="536" ht="29.25" x14ac:dyDescent="0.5"/>
    <row r="537" ht="29.25" x14ac:dyDescent="0.5"/>
    <row r="538" ht="29.25" x14ac:dyDescent="0.5"/>
    <row r="539" ht="29.25" x14ac:dyDescent="0.5"/>
    <row r="540" ht="29.25" x14ac:dyDescent="0.5"/>
    <row r="541" ht="29.25" x14ac:dyDescent="0.5"/>
    <row r="542" ht="29.25" x14ac:dyDescent="0.5"/>
    <row r="543" ht="29.25" x14ac:dyDescent="0.5"/>
    <row r="544" ht="29.25" x14ac:dyDescent="0.5"/>
    <row r="545" ht="29.25" x14ac:dyDescent="0.5"/>
    <row r="546" ht="29.25" x14ac:dyDescent="0.5"/>
    <row r="547" ht="29.25" x14ac:dyDescent="0.5"/>
    <row r="548" ht="29.25" x14ac:dyDescent="0.5"/>
    <row r="549" ht="29.25" x14ac:dyDescent="0.5"/>
    <row r="550" ht="29.25" x14ac:dyDescent="0.5"/>
    <row r="551" ht="29.25" x14ac:dyDescent="0.5"/>
    <row r="552" ht="29.25" x14ac:dyDescent="0.5"/>
    <row r="553" ht="29.25" x14ac:dyDescent="0.5"/>
    <row r="554" ht="29.25" x14ac:dyDescent="0.5"/>
    <row r="555" ht="29.25" x14ac:dyDescent="0.5"/>
    <row r="556" ht="29.25" x14ac:dyDescent="0.5"/>
    <row r="557" ht="29.25" x14ac:dyDescent="0.5"/>
    <row r="558" ht="29.25" x14ac:dyDescent="0.5"/>
    <row r="559" ht="29.25" x14ac:dyDescent="0.5"/>
    <row r="560" ht="29.25" x14ac:dyDescent="0.5"/>
    <row r="561" ht="29.25" x14ac:dyDescent="0.5"/>
    <row r="562" ht="29.25" x14ac:dyDescent="0.5"/>
    <row r="563" ht="29.25" x14ac:dyDescent="0.5"/>
    <row r="564" ht="29.25" x14ac:dyDescent="0.5"/>
    <row r="565" ht="29.25" x14ac:dyDescent="0.5"/>
    <row r="566" ht="29.25" x14ac:dyDescent="0.5"/>
    <row r="567" ht="29.25" x14ac:dyDescent="0.5"/>
    <row r="568" ht="29.25" x14ac:dyDescent="0.5"/>
    <row r="569" ht="29.25" x14ac:dyDescent="0.5"/>
    <row r="570" ht="29.25" x14ac:dyDescent="0.5"/>
    <row r="571" ht="29.25" x14ac:dyDescent="0.5"/>
    <row r="572" ht="29.25" x14ac:dyDescent="0.5"/>
    <row r="573" ht="29.25" x14ac:dyDescent="0.5"/>
    <row r="574" ht="29.25" x14ac:dyDescent="0.5"/>
    <row r="575" ht="29.25" x14ac:dyDescent="0.5"/>
    <row r="576" ht="29.25" x14ac:dyDescent="0.5"/>
    <row r="577" ht="29.25" x14ac:dyDescent="0.5"/>
    <row r="578" ht="29.25" x14ac:dyDescent="0.5"/>
    <row r="579" ht="29.25" x14ac:dyDescent="0.5"/>
    <row r="580" ht="29.25" x14ac:dyDescent="0.5"/>
    <row r="581" ht="29.25" x14ac:dyDescent="0.5"/>
    <row r="582" ht="29.25" x14ac:dyDescent="0.5"/>
    <row r="583" ht="29.25" x14ac:dyDescent="0.5"/>
    <row r="584" ht="29.25" x14ac:dyDescent="0.5"/>
    <row r="585" ht="29.25" x14ac:dyDescent="0.5"/>
    <row r="586" ht="29.25" x14ac:dyDescent="0.5"/>
    <row r="587" ht="29.25" x14ac:dyDescent="0.5"/>
    <row r="588" ht="29.25" x14ac:dyDescent="0.5"/>
    <row r="589" ht="29.25" x14ac:dyDescent="0.5"/>
    <row r="590" ht="29.25" x14ac:dyDescent="0.5"/>
    <row r="591" ht="29.25" x14ac:dyDescent="0.5"/>
    <row r="592" ht="29.25" x14ac:dyDescent="0.5"/>
    <row r="593" ht="29.25" x14ac:dyDescent="0.5"/>
    <row r="594" ht="29.25" x14ac:dyDescent="0.5"/>
    <row r="595" ht="29.25" x14ac:dyDescent="0.5"/>
    <row r="596" ht="29.25" x14ac:dyDescent="0.5"/>
    <row r="597" ht="29.25" x14ac:dyDescent="0.5"/>
    <row r="598" ht="29.25" x14ac:dyDescent="0.5"/>
    <row r="599" ht="29.25" x14ac:dyDescent="0.5"/>
    <row r="600" ht="29.25" x14ac:dyDescent="0.5"/>
    <row r="601" ht="29.25" x14ac:dyDescent="0.5"/>
    <row r="602" ht="29.25" x14ac:dyDescent="0.5"/>
    <row r="603" ht="29.25" x14ac:dyDescent="0.5"/>
    <row r="604" ht="29.25" x14ac:dyDescent="0.5"/>
    <row r="605" ht="29.25" x14ac:dyDescent="0.5"/>
    <row r="606" ht="29.25" x14ac:dyDescent="0.5"/>
    <row r="607" ht="29.25" x14ac:dyDescent="0.5"/>
    <row r="608" ht="29.25" x14ac:dyDescent="0.5"/>
    <row r="609" ht="29.25" x14ac:dyDescent="0.5"/>
    <row r="610" ht="29.25" x14ac:dyDescent="0.5"/>
    <row r="611" ht="29.25" x14ac:dyDescent="0.5"/>
    <row r="612" ht="29.25" x14ac:dyDescent="0.5"/>
    <row r="613" ht="29.25" x14ac:dyDescent="0.5"/>
    <row r="614" ht="29.25" x14ac:dyDescent="0.5"/>
    <row r="615" ht="29.25" x14ac:dyDescent="0.5"/>
    <row r="616" ht="29.25" x14ac:dyDescent="0.5"/>
    <row r="617" ht="29.25" x14ac:dyDescent="0.5"/>
    <row r="618" ht="29.25" x14ac:dyDescent="0.5"/>
    <row r="619" ht="29.25" x14ac:dyDescent="0.5"/>
    <row r="620" ht="29.25" x14ac:dyDescent="0.5"/>
    <row r="621" ht="29.25" x14ac:dyDescent="0.5"/>
    <row r="622" ht="29.25" x14ac:dyDescent="0.5"/>
    <row r="623" ht="29.25" x14ac:dyDescent="0.5"/>
    <row r="624" ht="29.25" x14ac:dyDescent="0.5"/>
    <row r="625" ht="29.25" x14ac:dyDescent="0.5"/>
    <row r="626" ht="29.25" x14ac:dyDescent="0.5"/>
    <row r="627" ht="29.25" x14ac:dyDescent="0.5"/>
    <row r="628" ht="29.25" x14ac:dyDescent="0.5"/>
    <row r="629" ht="29.25" x14ac:dyDescent="0.5"/>
    <row r="630" ht="29.25" x14ac:dyDescent="0.5"/>
    <row r="631" ht="29.25" x14ac:dyDescent="0.5"/>
    <row r="632" ht="29.25" x14ac:dyDescent="0.5"/>
    <row r="633" ht="29.25" x14ac:dyDescent="0.5"/>
    <row r="634" ht="29.25" x14ac:dyDescent="0.5"/>
    <row r="635" ht="29.25" x14ac:dyDescent="0.5"/>
    <row r="636" ht="29.25" x14ac:dyDescent="0.5"/>
    <row r="637" ht="29.25" x14ac:dyDescent="0.5"/>
    <row r="638" ht="29.25" x14ac:dyDescent="0.5"/>
    <row r="639" ht="29.25" x14ac:dyDescent="0.5"/>
    <row r="640" ht="29.25" x14ac:dyDescent="0.5"/>
    <row r="641" ht="29.25" x14ac:dyDescent="0.5"/>
    <row r="642" ht="29.25" x14ac:dyDescent="0.5"/>
    <row r="643" ht="29.25" x14ac:dyDescent="0.5"/>
    <row r="644" ht="29.25" x14ac:dyDescent="0.5"/>
    <row r="645" ht="29.25" x14ac:dyDescent="0.5"/>
    <row r="646" ht="29.25" x14ac:dyDescent="0.5"/>
    <row r="647" ht="29.25" x14ac:dyDescent="0.5"/>
    <row r="648" ht="29.25" x14ac:dyDescent="0.5"/>
    <row r="649" ht="29.25" x14ac:dyDescent="0.5"/>
    <row r="650" ht="29.25" x14ac:dyDescent="0.5"/>
    <row r="651" ht="29.25" x14ac:dyDescent="0.5"/>
    <row r="652" ht="29.25" x14ac:dyDescent="0.5"/>
    <row r="653" ht="29.25" x14ac:dyDescent="0.5"/>
    <row r="654" ht="29.25" x14ac:dyDescent="0.5"/>
    <row r="655" ht="29.25" x14ac:dyDescent="0.5"/>
    <row r="656" ht="29.25" x14ac:dyDescent="0.5"/>
    <row r="657" ht="29.25" x14ac:dyDescent="0.5"/>
    <row r="658" ht="29.25" x14ac:dyDescent="0.5"/>
    <row r="659" ht="29.25" x14ac:dyDescent="0.5"/>
    <row r="660" ht="29.25" x14ac:dyDescent="0.5"/>
    <row r="661" ht="29.25" x14ac:dyDescent="0.5"/>
    <row r="662" ht="29.25" x14ac:dyDescent="0.5"/>
    <row r="663" ht="29.25" x14ac:dyDescent="0.5"/>
    <row r="664" ht="29.25" x14ac:dyDescent="0.5"/>
    <row r="665" ht="29.25" x14ac:dyDescent="0.5"/>
    <row r="666" ht="29.25" x14ac:dyDescent="0.5"/>
    <row r="667" ht="29.25" x14ac:dyDescent="0.5"/>
    <row r="668" ht="29.25" x14ac:dyDescent="0.5"/>
    <row r="669" ht="29.25" x14ac:dyDescent="0.5"/>
    <row r="670" ht="29.25" x14ac:dyDescent="0.5"/>
    <row r="671" ht="29.25" x14ac:dyDescent="0.5"/>
    <row r="672" ht="29.25" x14ac:dyDescent="0.5"/>
    <row r="673" ht="29.25" x14ac:dyDescent="0.5"/>
    <row r="674" ht="29.25" x14ac:dyDescent="0.5"/>
    <row r="675" ht="29.25" x14ac:dyDescent="0.5"/>
    <row r="676" ht="29.25" x14ac:dyDescent="0.5"/>
    <row r="677" ht="29.25" x14ac:dyDescent="0.5"/>
    <row r="678" ht="29.25" x14ac:dyDescent="0.5"/>
    <row r="679" ht="29.25" x14ac:dyDescent="0.5"/>
    <row r="680" ht="29.25" x14ac:dyDescent="0.5"/>
    <row r="681" ht="29.25" x14ac:dyDescent="0.5"/>
    <row r="682" ht="29.25" x14ac:dyDescent="0.5"/>
    <row r="683" ht="29.25" x14ac:dyDescent="0.5"/>
    <row r="684" ht="29.25" x14ac:dyDescent="0.5"/>
    <row r="685" ht="29.25" x14ac:dyDescent="0.5"/>
    <row r="686" ht="29.25" x14ac:dyDescent="0.5"/>
    <row r="687" ht="29.25" x14ac:dyDescent="0.5"/>
    <row r="688" ht="29.25" x14ac:dyDescent="0.5"/>
    <row r="689" ht="29.25" x14ac:dyDescent="0.5"/>
    <row r="690" ht="29.25" x14ac:dyDescent="0.5"/>
    <row r="691" ht="29.25" x14ac:dyDescent="0.5"/>
    <row r="692" ht="29.25" x14ac:dyDescent="0.5"/>
    <row r="693" ht="29.25" x14ac:dyDescent="0.5"/>
    <row r="694" ht="29.25" x14ac:dyDescent="0.5"/>
    <row r="695" ht="29.25" x14ac:dyDescent="0.5"/>
    <row r="696" ht="29.25" x14ac:dyDescent="0.5"/>
    <row r="697" ht="29.25" x14ac:dyDescent="0.5"/>
    <row r="698" ht="29.25" x14ac:dyDescent="0.5"/>
    <row r="699" ht="29.25" x14ac:dyDescent="0.5"/>
    <row r="700" ht="29.25" x14ac:dyDescent="0.5"/>
    <row r="701" ht="29.25" x14ac:dyDescent="0.5"/>
    <row r="702" ht="29.25" x14ac:dyDescent="0.5"/>
    <row r="703" ht="29.25" x14ac:dyDescent="0.5"/>
    <row r="704" ht="29.25" x14ac:dyDescent="0.5"/>
    <row r="705" ht="29.25" x14ac:dyDescent="0.5"/>
    <row r="706" ht="29.25" x14ac:dyDescent="0.5"/>
    <row r="707" ht="29.25" x14ac:dyDescent="0.5"/>
    <row r="708" ht="29.25" x14ac:dyDescent="0.5"/>
    <row r="709" ht="29.25" x14ac:dyDescent="0.5"/>
    <row r="710" ht="29.25" x14ac:dyDescent="0.5"/>
    <row r="711" ht="29.25" x14ac:dyDescent="0.5"/>
    <row r="712" ht="29.25" x14ac:dyDescent="0.5"/>
    <row r="713" ht="29.25" x14ac:dyDescent="0.5"/>
    <row r="714" ht="29.25" x14ac:dyDescent="0.5"/>
    <row r="715" ht="29.25" x14ac:dyDescent="0.5"/>
    <row r="716" ht="29.25" x14ac:dyDescent="0.5"/>
    <row r="717" ht="29.25" x14ac:dyDescent="0.5"/>
    <row r="718" ht="29.25" x14ac:dyDescent="0.5"/>
    <row r="719" ht="29.25" x14ac:dyDescent="0.5"/>
    <row r="720" ht="29.25" x14ac:dyDescent="0.5"/>
    <row r="721" ht="29.25" x14ac:dyDescent="0.5"/>
    <row r="722" ht="29.25" x14ac:dyDescent="0.5"/>
    <row r="723" ht="29.25" x14ac:dyDescent="0.5"/>
    <row r="724" ht="29.25" x14ac:dyDescent="0.5"/>
    <row r="725" ht="29.25" x14ac:dyDescent="0.5"/>
    <row r="726" ht="29.25" x14ac:dyDescent="0.5"/>
    <row r="727" ht="29.25" x14ac:dyDescent="0.5"/>
    <row r="728" ht="29.25" x14ac:dyDescent="0.5"/>
    <row r="729" ht="29.25" x14ac:dyDescent="0.5"/>
    <row r="730" ht="29.25" x14ac:dyDescent="0.5"/>
    <row r="731" ht="29.25" x14ac:dyDescent="0.5"/>
    <row r="732" ht="29.25" x14ac:dyDescent="0.5"/>
    <row r="733" ht="29.25" x14ac:dyDescent="0.5"/>
    <row r="734" ht="29.25" x14ac:dyDescent="0.5"/>
    <row r="735" ht="29.25" x14ac:dyDescent="0.5"/>
    <row r="736" ht="29.25" x14ac:dyDescent="0.5"/>
    <row r="737" ht="29.25" x14ac:dyDescent="0.5"/>
    <row r="738" ht="29.25" x14ac:dyDescent="0.5"/>
    <row r="739" ht="29.25" x14ac:dyDescent="0.5"/>
    <row r="740" ht="29.25" x14ac:dyDescent="0.5"/>
    <row r="741" ht="29.25" x14ac:dyDescent="0.5"/>
    <row r="742" ht="29.25" x14ac:dyDescent="0.5"/>
    <row r="743" ht="29.25" x14ac:dyDescent="0.5"/>
    <row r="744" ht="29.25" x14ac:dyDescent="0.5"/>
    <row r="745" ht="29.25" x14ac:dyDescent="0.5"/>
    <row r="746" ht="29.25" x14ac:dyDescent="0.5"/>
    <row r="747" ht="29.25" x14ac:dyDescent="0.5"/>
    <row r="748" ht="29.25" x14ac:dyDescent="0.5"/>
    <row r="749" ht="29.25" x14ac:dyDescent="0.5"/>
    <row r="750" ht="29.25" x14ac:dyDescent="0.5"/>
    <row r="751" ht="29.25" x14ac:dyDescent="0.5"/>
    <row r="752" ht="29.25" x14ac:dyDescent="0.5"/>
    <row r="753" ht="29.25" x14ac:dyDescent="0.5"/>
    <row r="754" ht="29.25" x14ac:dyDescent="0.5"/>
    <row r="755" ht="29.25" x14ac:dyDescent="0.5"/>
    <row r="756" ht="29.25" x14ac:dyDescent="0.5"/>
    <row r="757" ht="29.25" x14ac:dyDescent="0.5"/>
    <row r="758" ht="29.25" x14ac:dyDescent="0.5"/>
    <row r="759" ht="29.25" x14ac:dyDescent="0.5"/>
    <row r="760" ht="29.25" x14ac:dyDescent="0.5"/>
    <row r="761" ht="29.25" x14ac:dyDescent="0.5"/>
    <row r="762" ht="29.25" x14ac:dyDescent="0.5"/>
    <row r="763" ht="29.25" x14ac:dyDescent="0.5"/>
    <row r="764" ht="29.25" x14ac:dyDescent="0.5"/>
    <row r="765" ht="29.25" x14ac:dyDescent="0.5"/>
    <row r="766" ht="29.25" x14ac:dyDescent="0.5"/>
    <row r="767" ht="29.25" x14ac:dyDescent="0.5"/>
    <row r="768" ht="29.25" x14ac:dyDescent="0.5"/>
    <row r="769" ht="29.25" x14ac:dyDescent="0.5"/>
    <row r="770" ht="29.25" x14ac:dyDescent="0.5"/>
    <row r="771" ht="29.25" x14ac:dyDescent="0.5"/>
    <row r="772" ht="29.25" x14ac:dyDescent="0.5"/>
    <row r="773" ht="29.25" x14ac:dyDescent="0.5"/>
    <row r="774" ht="29.25" x14ac:dyDescent="0.5"/>
    <row r="775" ht="29.25" x14ac:dyDescent="0.5"/>
    <row r="776" ht="29.25" x14ac:dyDescent="0.5"/>
    <row r="777" ht="29.25" x14ac:dyDescent="0.5"/>
    <row r="778" ht="29.25" x14ac:dyDescent="0.5"/>
    <row r="779" ht="29.25" x14ac:dyDescent="0.5"/>
    <row r="780" ht="29.25" x14ac:dyDescent="0.5"/>
    <row r="781" ht="29.25" x14ac:dyDescent="0.5"/>
    <row r="782" ht="29.25" x14ac:dyDescent="0.5"/>
    <row r="783" ht="29.25" x14ac:dyDescent="0.5"/>
    <row r="784" ht="29.25" x14ac:dyDescent="0.5"/>
    <row r="785" ht="29.25" x14ac:dyDescent="0.5"/>
    <row r="786" ht="29.25" x14ac:dyDescent="0.5"/>
    <row r="787" ht="29.25" x14ac:dyDescent="0.5"/>
    <row r="788" ht="29.25" x14ac:dyDescent="0.5"/>
    <row r="789" ht="29.25" x14ac:dyDescent="0.5"/>
    <row r="790" ht="29.25" x14ac:dyDescent="0.5"/>
    <row r="791" ht="29.25" x14ac:dyDescent="0.5"/>
    <row r="792" ht="29.25" x14ac:dyDescent="0.5"/>
    <row r="793" ht="29.25" x14ac:dyDescent="0.5"/>
    <row r="794" ht="29.25" x14ac:dyDescent="0.5"/>
    <row r="795" ht="29.25" x14ac:dyDescent="0.5"/>
    <row r="796" ht="29.25" x14ac:dyDescent="0.5"/>
    <row r="797" ht="29.25" x14ac:dyDescent="0.5"/>
    <row r="798" ht="29.25" x14ac:dyDescent="0.5"/>
    <row r="799" ht="29.25" x14ac:dyDescent="0.5"/>
    <row r="800" ht="29.25" x14ac:dyDescent="0.5"/>
    <row r="801" ht="29.25" x14ac:dyDescent="0.5"/>
    <row r="802" ht="29.25" x14ac:dyDescent="0.5"/>
    <row r="803" ht="29.25" x14ac:dyDescent="0.5"/>
    <row r="804" ht="29.25" x14ac:dyDescent="0.5"/>
    <row r="805" ht="29.25" x14ac:dyDescent="0.5"/>
    <row r="806" ht="29.25" x14ac:dyDescent="0.5"/>
    <row r="807" ht="29.25" x14ac:dyDescent="0.5"/>
    <row r="808" ht="29.25" x14ac:dyDescent="0.5"/>
    <row r="809" ht="29.25" x14ac:dyDescent="0.5"/>
    <row r="810" ht="29.25" x14ac:dyDescent="0.5"/>
    <row r="811" ht="29.25" x14ac:dyDescent="0.5"/>
    <row r="812" ht="29.25" x14ac:dyDescent="0.5"/>
    <row r="813" ht="29.25" x14ac:dyDescent="0.5"/>
    <row r="814" ht="29.25" x14ac:dyDescent="0.5"/>
    <row r="815" ht="29.25" x14ac:dyDescent="0.5"/>
    <row r="816" ht="29.25" x14ac:dyDescent="0.5"/>
    <row r="817" ht="29.25" x14ac:dyDescent="0.5"/>
    <row r="818" ht="29.25" x14ac:dyDescent="0.5"/>
    <row r="819" ht="29.25" x14ac:dyDescent="0.5"/>
    <row r="820" ht="29.25" x14ac:dyDescent="0.5"/>
    <row r="821" ht="29.25" x14ac:dyDescent="0.5"/>
    <row r="822" ht="29.25" x14ac:dyDescent="0.5"/>
    <row r="823" ht="29.25" x14ac:dyDescent="0.5"/>
    <row r="824" ht="29.25" x14ac:dyDescent="0.5"/>
    <row r="825" ht="29.25" x14ac:dyDescent="0.5"/>
    <row r="826" ht="29.25" x14ac:dyDescent="0.5"/>
    <row r="827" ht="29.25" x14ac:dyDescent="0.5"/>
    <row r="828" ht="29.25" x14ac:dyDescent="0.5"/>
    <row r="829" ht="29.25" x14ac:dyDescent="0.5"/>
    <row r="830" ht="29.25" x14ac:dyDescent="0.5"/>
    <row r="831" ht="29.25" x14ac:dyDescent="0.5"/>
    <row r="832" ht="29.25" x14ac:dyDescent="0.5"/>
    <row r="833" ht="29.25" x14ac:dyDescent="0.5"/>
    <row r="834" ht="29.25" x14ac:dyDescent="0.5"/>
    <row r="835" ht="29.25" x14ac:dyDescent="0.5"/>
    <row r="836" ht="29.25" x14ac:dyDescent="0.5"/>
    <row r="837" ht="29.25" x14ac:dyDescent="0.5"/>
    <row r="838" ht="29.25" x14ac:dyDescent="0.5"/>
    <row r="839" ht="29.25" x14ac:dyDescent="0.5"/>
    <row r="840" ht="29.25" x14ac:dyDescent="0.5"/>
    <row r="841" ht="29.25" x14ac:dyDescent="0.5"/>
    <row r="842" ht="29.25" x14ac:dyDescent="0.5"/>
    <row r="843" ht="29.25" x14ac:dyDescent="0.5"/>
    <row r="844" ht="29.25" x14ac:dyDescent="0.5"/>
    <row r="845" ht="29.25" x14ac:dyDescent="0.5"/>
    <row r="846" ht="29.25" x14ac:dyDescent="0.5"/>
    <row r="847" ht="29.25" x14ac:dyDescent="0.5"/>
    <row r="848" ht="29.25" x14ac:dyDescent="0.5"/>
    <row r="849" ht="29.25" x14ac:dyDescent="0.5"/>
    <row r="850" ht="29.25" x14ac:dyDescent="0.5"/>
    <row r="851" ht="29.25" x14ac:dyDescent="0.5"/>
    <row r="852" ht="29.25" x14ac:dyDescent="0.5"/>
    <row r="853" ht="29.25" x14ac:dyDescent="0.5"/>
    <row r="854" ht="29.25" x14ac:dyDescent="0.5"/>
    <row r="855" ht="29.25" x14ac:dyDescent="0.5"/>
    <row r="856" ht="29.25" x14ac:dyDescent="0.5"/>
    <row r="857" ht="29.25" x14ac:dyDescent="0.5"/>
    <row r="858" ht="29.25" x14ac:dyDescent="0.5"/>
    <row r="859" ht="29.25" x14ac:dyDescent="0.5"/>
    <row r="860" ht="29.25" x14ac:dyDescent="0.5"/>
    <row r="861" ht="29.25" x14ac:dyDescent="0.5"/>
    <row r="862" ht="29.25" x14ac:dyDescent="0.5"/>
    <row r="863" ht="29.25" x14ac:dyDescent="0.5"/>
    <row r="864" ht="29.25" x14ac:dyDescent="0.5"/>
    <row r="865" ht="29.25" x14ac:dyDescent="0.5"/>
    <row r="866" ht="29.25" x14ac:dyDescent="0.5"/>
    <row r="867" ht="29.25" x14ac:dyDescent="0.5"/>
    <row r="868" ht="29.25" x14ac:dyDescent="0.5"/>
    <row r="869" ht="29.25" x14ac:dyDescent="0.5"/>
    <row r="870" ht="29.25" x14ac:dyDescent="0.5"/>
    <row r="871" ht="29.25" x14ac:dyDescent="0.5"/>
    <row r="872" ht="29.25" x14ac:dyDescent="0.5"/>
    <row r="873" ht="29.25" x14ac:dyDescent="0.5"/>
    <row r="874" ht="29.25" x14ac:dyDescent="0.5"/>
    <row r="875" ht="29.25" x14ac:dyDescent="0.5"/>
    <row r="876" ht="29.25" x14ac:dyDescent="0.5"/>
    <row r="877" ht="29.25" x14ac:dyDescent="0.5"/>
    <row r="878" ht="29.25" x14ac:dyDescent="0.5"/>
    <row r="879" ht="29.25" x14ac:dyDescent="0.5"/>
    <row r="880" ht="29.25" x14ac:dyDescent="0.5"/>
    <row r="881" ht="29.25" x14ac:dyDescent="0.5"/>
    <row r="882" ht="29.25" x14ac:dyDescent="0.5"/>
    <row r="883" ht="29.25" x14ac:dyDescent="0.5"/>
    <row r="884" ht="29.25" x14ac:dyDescent="0.5"/>
    <row r="885" ht="29.25" x14ac:dyDescent="0.5"/>
    <row r="886" ht="29.25" x14ac:dyDescent="0.5"/>
    <row r="887" ht="29.25" x14ac:dyDescent="0.5"/>
    <row r="888" ht="29.25" x14ac:dyDescent="0.5"/>
    <row r="889" ht="29.25" x14ac:dyDescent="0.5"/>
    <row r="890" ht="29.25" x14ac:dyDescent="0.5"/>
    <row r="891" ht="29.25" x14ac:dyDescent="0.5"/>
    <row r="892" ht="29.25" x14ac:dyDescent="0.5"/>
    <row r="893" ht="29.25" x14ac:dyDescent="0.5"/>
    <row r="894" ht="29.25" x14ac:dyDescent="0.5"/>
    <row r="895" ht="29.25" x14ac:dyDescent="0.5"/>
    <row r="896" ht="29.25" x14ac:dyDescent="0.5"/>
    <row r="897" ht="29.25" x14ac:dyDescent="0.5"/>
    <row r="898" ht="29.25" x14ac:dyDescent="0.5"/>
    <row r="899" ht="29.25" x14ac:dyDescent="0.5"/>
    <row r="900" ht="29.25" x14ac:dyDescent="0.5"/>
    <row r="901" ht="29.25" x14ac:dyDescent="0.5"/>
    <row r="902" ht="29.25" x14ac:dyDescent="0.5"/>
    <row r="903" ht="29.25" x14ac:dyDescent="0.5"/>
    <row r="904" ht="29.25" x14ac:dyDescent="0.5"/>
    <row r="905" ht="29.25" x14ac:dyDescent="0.5"/>
    <row r="906" ht="29.25" x14ac:dyDescent="0.5"/>
    <row r="907" ht="29.25" x14ac:dyDescent="0.5"/>
    <row r="908" ht="29.25" x14ac:dyDescent="0.5"/>
    <row r="909" ht="29.25" x14ac:dyDescent="0.5"/>
    <row r="910" ht="29.25" x14ac:dyDescent="0.5"/>
    <row r="911" ht="29.25" x14ac:dyDescent="0.5"/>
    <row r="912" ht="29.25" x14ac:dyDescent="0.5"/>
    <row r="913" ht="29.25" x14ac:dyDescent="0.5"/>
    <row r="914" ht="29.25" x14ac:dyDescent="0.5"/>
    <row r="915" ht="29.25" x14ac:dyDescent="0.5"/>
    <row r="916" ht="29.25" x14ac:dyDescent="0.5"/>
    <row r="917" ht="29.25" x14ac:dyDescent="0.5"/>
    <row r="918" ht="29.25" x14ac:dyDescent="0.5"/>
    <row r="919" ht="29.25" x14ac:dyDescent="0.5"/>
    <row r="920" ht="29.25" x14ac:dyDescent="0.5"/>
    <row r="921" ht="29.25" x14ac:dyDescent="0.5"/>
    <row r="922" ht="29.25" x14ac:dyDescent="0.5"/>
    <row r="923" ht="29.25" x14ac:dyDescent="0.5"/>
    <row r="924" ht="29.25" x14ac:dyDescent="0.5"/>
    <row r="925" ht="29.25" x14ac:dyDescent="0.5"/>
    <row r="926" ht="29.25" x14ac:dyDescent="0.5"/>
    <row r="927" ht="29.25" x14ac:dyDescent="0.5"/>
    <row r="928" ht="29.25" x14ac:dyDescent="0.5"/>
    <row r="929" ht="29.25" x14ac:dyDescent="0.5"/>
    <row r="930" ht="29.25" x14ac:dyDescent="0.5"/>
    <row r="931" ht="29.25" x14ac:dyDescent="0.5"/>
    <row r="932" ht="29.25" x14ac:dyDescent="0.5"/>
    <row r="933" ht="29.25" x14ac:dyDescent="0.5"/>
    <row r="934" ht="29.25" x14ac:dyDescent="0.5"/>
    <row r="935" ht="29.25" x14ac:dyDescent="0.5"/>
    <row r="936" ht="29.25" x14ac:dyDescent="0.5"/>
    <row r="937" ht="29.25" x14ac:dyDescent="0.5"/>
    <row r="938" ht="29.25" x14ac:dyDescent="0.5"/>
    <row r="939" ht="29.25" x14ac:dyDescent="0.5"/>
    <row r="940" ht="29.25" x14ac:dyDescent="0.5"/>
    <row r="941" ht="29.25" x14ac:dyDescent="0.5"/>
    <row r="942" ht="29.25" x14ac:dyDescent="0.5"/>
    <row r="943" ht="29.25" x14ac:dyDescent="0.5"/>
    <row r="944" ht="29.25" x14ac:dyDescent="0.5"/>
    <row r="945" ht="29.25" x14ac:dyDescent="0.5"/>
    <row r="946" ht="29.25" x14ac:dyDescent="0.5"/>
    <row r="947" ht="29.25" x14ac:dyDescent="0.5"/>
    <row r="948" ht="29.25" x14ac:dyDescent="0.5"/>
    <row r="949" ht="29.25" x14ac:dyDescent="0.5"/>
    <row r="950" ht="29.25" x14ac:dyDescent="0.5"/>
    <row r="951" ht="29.25" x14ac:dyDescent="0.5"/>
    <row r="952" ht="29.25" x14ac:dyDescent="0.5"/>
    <row r="953" ht="29.25" x14ac:dyDescent="0.5"/>
    <row r="954" ht="29.25" x14ac:dyDescent="0.5"/>
    <row r="955" ht="29.25" x14ac:dyDescent="0.5"/>
    <row r="956" ht="29.25" x14ac:dyDescent="0.5"/>
    <row r="957" ht="29.25" x14ac:dyDescent="0.5"/>
    <row r="958" ht="29.25" x14ac:dyDescent="0.5"/>
    <row r="959" ht="29.25" x14ac:dyDescent="0.5"/>
    <row r="960" ht="29.25" x14ac:dyDescent="0.5"/>
    <row r="961" ht="29.25" x14ac:dyDescent="0.5"/>
    <row r="962" ht="29.25" x14ac:dyDescent="0.5"/>
    <row r="963" ht="29.25" x14ac:dyDescent="0.5"/>
    <row r="964" ht="29.25" x14ac:dyDescent="0.5"/>
    <row r="965" ht="29.25" x14ac:dyDescent="0.5"/>
    <row r="966" ht="29.25" x14ac:dyDescent="0.5"/>
    <row r="967" ht="29.25" x14ac:dyDescent="0.5"/>
    <row r="968" ht="29.25" x14ac:dyDescent="0.5"/>
    <row r="969" ht="29.25" x14ac:dyDescent="0.5"/>
    <row r="970" ht="29.25" x14ac:dyDescent="0.5"/>
    <row r="971" ht="29.25" x14ac:dyDescent="0.5"/>
    <row r="972" ht="29.25" x14ac:dyDescent="0.5"/>
    <row r="973" ht="29.25" x14ac:dyDescent="0.5"/>
    <row r="974" ht="29.25" x14ac:dyDescent="0.5"/>
    <row r="975" ht="29.25" x14ac:dyDescent="0.5"/>
    <row r="976" ht="29.25" x14ac:dyDescent="0.5"/>
    <row r="977" ht="29.25" x14ac:dyDescent="0.5"/>
    <row r="978" ht="29.25" x14ac:dyDescent="0.5"/>
    <row r="979" ht="29.25" x14ac:dyDescent="0.5"/>
    <row r="980" ht="29.25" x14ac:dyDescent="0.5"/>
    <row r="981" ht="29.25" x14ac:dyDescent="0.5"/>
    <row r="982" ht="29.25" x14ac:dyDescent="0.5"/>
    <row r="983" ht="29.25" x14ac:dyDescent="0.5"/>
    <row r="984" ht="29.25" x14ac:dyDescent="0.5"/>
    <row r="985" ht="29.25" x14ac:dyDescent="0.5"/>
    <row r="986" ht="29.25" x14ac:dyDescent="0.5"/>
    <row r="987" ht="29.25" x14ac:dyDescent="0.5"/>
    <row r="988" ht="29.25" x14ac:dyDescent="0.5"/>
    <row r="989" ht="29.25" x14ac:dyDescent="0.5"/>
    <row r="990" ht="29.25" x14ac:dyDescent="0.5"/>
    <row r="991" ht="29.25" x14ac:dyDescent="0.5"/>
    <row r="992" ht="29.25" x14ac:dyDescent="0.5"/>
    <row r="993" ht="29.25" x14ac:dyDescent="0.5"/>
    <row r="994" ht="29.25" x14ac:dyDescent="0.5"/>
    <row r="995" ht="29.25" x14ac:dyDescent="0.5"/>
    <row r="996" ht="29.25" x14ac:dyDescent="0.5"/>
    <row r="997" ht="29.25" x14ac:dyDescent="0.5"/>
    <row r="998" ht="29.25" x14ac:dyDescent="0.5"/>
    <row r="999" ht="29.25" x14ac:dyDescent="0.5"/>
    <row r="1000" ht="29.25" x14ac:dyDescent="0.5"/>
    <row r="1001" ht="29.25" x14ac:dyDescent="0.5"/>
    <row r="1002" ht="29.25" x14ac:dyDescent="0.5"/>
    <row r="1003" ht="29.25" x14ac:dyDescent="0.5"/>
    <row r="1004" ht="29.25" x14ac:dyDescent="0.5"/>
    <row r="1005" ht="29.25" x14ac:dyDescent="0.5"/>
    <row r="1006" ht="29.25" x14ac:dyDescent="0.5"/>
    <row r="1007" ht="29.25" x14ac:dyDescent="0.5"/>
    <row r="1008" ht="29.25" x14ac:dyDescent="0.5"/>
    <row r="1009" ht="29.25" x14ac:dyDescent="0.5"/>
    <row r="1010" ht="29.25" x14ac:dyDescent="0.5"/>
    <row r="1011" ht="29.25" x14ac:dyDescent="0.5"/>
    <row r="1012" ht="29.25" x14ac:dyDescent="0.5"/>
    <row r="1013" ht="29.25" x14ac:dyDescent="0.5"/>
    <row r="1014" ht="29.25" x14ac:dyDescent="0.5"/>
    <row r="1015" ht="29.25" x14ac:dyDescent="0.5"/>
    <row r="1016" ht="29.25" x14ac:dyDescent="0.5"/>
    <row r="1017" ht="29.25" x14ac:dyDescent="0.5"/>
    <row r="1018" ht="29.25" x14ac:dyDescent="0.5"/>
    <row r="1019" ht="29.25" x14ac:dyDescent="0.5"/>
    <row r="1020" ht="29.25" x14ac:dyDescent="0.5"/>
    <row r="1021" ht="29.25" x14ac:dyDescent="0.5"/>
    <row r="1022" ht="29.25" x14ac:dyDescent="0.5"/>
    <row r="1023" ht="29.25" x14ac:dyDescent="0.5"/>
    <row r="1024" ht="29.25" x14ac:dyDescent="0.5"/>
    <row r="1025" ht="29.25" x14ac:dyDescent="0.5"/>
    <row r="1026" ht="29.25" x14ac:dyDescent="0.5"/>
    <row r="1027" ht="29.25" x14ac:dyDescent="0.5"/>
    <row r="1028" ht="29.25" x14ac:dyDescent="0.5"/>
    <row r="1029" ht="29.25" x14ac:dyDescent="0.5"/>
    <row r="1030" ht="29.25" x14ac:dyDescent="0.5"/>
    <row r="1031" ht="29.25" x14ac:dyDescent="0.5"/>
    <row r="1032" ht="29.25" x14ac:dyDescent="0.5"/>
    <row r="1033" ht="29.25" x14ac:dyDescent="0.5"/>
    <row r="1034" ht="29.25" x14ac:dyDescent="0.5"/>
    <row r="1035" ht="29.25" x14ac:dyDescent="0.5"/>
    <row r="1036" ht="29.25" x14ac:dyDescent="0.5"/>
    <row r="1037" ht="29.25" x14ac:dyDescent="0.5"/>
    <row r="1038" ht="29.25" x14ac:dyDescent="0.5"/>
    <row r="1039" ht="29.25" x14ac:dyDescent="0.5"/>
    <row r="1040" ht="29.25" x14ac:dyDescent="0.5"/>
    <row r="1041" ht="29.25" x14ac:dyDescent="0.5"/>
    <row r="1042" ht="29.25" x14ac:dyDescent="0.5"/>
    <row r="1043" ht="29.25" x14ac:dyDescent="0.5"/>
    <row r="1044" ht="29.25" x14ac:dyDescent="0.5"/>
    <row r="1045" ht="29.25" x14ac:dyDescent="0.5"/>
    <row r="1046" ht="29.25" x14ac:dyDescent="0.5"/>
    <row r="1047" ht="29.25" x14ac:dyDescent="0.5"/>
    <row r="1048" ht="29.25" x14ac:dyDescent="0.5"/>
    <row r="1049" ht="29.25" x14ac:dyDescent="0.5"/>
    <row r="1050" ht="29.25" x14ac:dyDescent="0.5"/>
    <row r="1051" ht="29.25" x14ac:dyDescent="0.5"/>
    <row r="1052" ht="29.25" x14ac:dyDescent="0.5"/>
    <row r="1053" ht="29.25" x14ac:dyDescent="0.5"/>
    <row r="1054" ht="29.25" x14ac:dyDescent="0.5"/>
    <row r="1055" ht="29.25" x14ac:dyDescent="0.5"/>
    <row r="1056" ht="29.25" x14ac:dyDescent="0.5"/>
    <row r="1057" ht="29.25" x14ac:dyDescent="0.5"/>
    <row r="1058" ht="29.25" x14ac:dyDescent="0.5"/>
    <row r="1059" ht="29.25" x14ac:dyDescent="0.5"/>
    <row r="1060" ht="29.25" x14ac:dyDescent="0.5"/>
    <row r="1061" ht="29.25" x14ac:dyDescent="0.5"/>
    <row r="1062" ht="29.25" x14ac:dyDescent="0.5"/>
    <row r="1063" ht="29.25" x14ac:dyDescent="0.5"/>
    <row r="1064" ht="29.25" x14ac:dyDescent="0.5"/>
    <row r="1065" ht="29.25" x14ac:dyDescent="0.5"/>
    <row r="1066" ht="29.25" x14ac:dyDescent="0.5"/>
    <row r="1067" ht="29.25" x14ac:dyDescent="0.5"/>
    <row r="1068" ht="29.25" x14ac:dyDescent="0.5"/>
    <row r="1069" ht="29.25" x14ac:dyDescent="0.5"/>
    <row r="1070" ht="29.25" x14ac:dyDescent="0.5"/>
    <row r="1071" ht="29.25" x14ac:dyDescent="0.5"/>
    <row r="1072" ht="29.25" x14ac:dyDescent="0.5"/>
    <row r="1073" ht="29.25" x14ac:dyDescent="0.5"/>
    <row r="1074" ht="29.25" x14ac:dyDescent="0.5"/>
    <row r="1075" ht="29.25" x14ac:dyDescent="0.5"/>
    <row r="1076" ht="29.25" x14ac:dyDescent="0.5"/>
    <row r="1077" ht="29.25" x14ac:dyDescent="0.5"/>
    <row r="1078" ht="29.25" x14ac:dyDescent="0.5"/>
    <row r="1079" ht="29.25" x14ac:dyDescent="0.5"/>
    <row r="1080" ht="29.25" x14ac:dyDescent="0.5"/>
    <row r="1081" ht="29.25" x14ac:dyDescent="0.5"/>
    <row r="1082" ht="29.25" x14ac:dyDescent="0.5"/>
    <row r="1083" ht="29.25" x14ac:dyDescent="0.5"/>
    <row r="1084" ht="29.25" x14ac:dyDescent="0.5"/>
    <row r="1085" ht="29.25" x14ac:dyDescent="0.5"/>
    <row r="1086" ht="29.25" x14ac:dyDescent="0.5"/>
    <row r="1087" ht="29.25" x14ac:dyDescent="0.5"/>
    <row r="1088" ht="29.25" x14ac:dyDescent="0.5"/>
    <row r="1089" ht="29.25" x14ac:dyDescent="0.5"/>
    <row r="1090" ht="29.25" x14ac:dyDescent="0.5"/>
    <row r="1091" ht="29.25" x14ac:dyDescent="0.5"/>
    <row r="1092" ht="29.25" x14ac:dyDescent="0.5"/>
    <row r="1093" ht="29.25" x14ac:dyDescent="0.5"/>
    <row r="1094" ht="29.25" x14ac:dyDescent="0.5"/>
    <row r="1095" ht="29.25" x14ac:dyDescent="0.5"/>
    <row r="1096" ht="29.25" x14ac:dyDescent="0.5"/>
    <row r="1097" ht="29.25" x14ac:dyDescent="0.5"/>
    <row r="1098" ht="29.25" x14ac:dyDescent="0.5"/>
    <row r="1099" ht="29.25" x14ac:dyDescent="0.5"/>
    <row r="1100" ht="29.25" x14ac:dyDescent="0.5"/>
    <row r="1101" ht="29.25" x14ac:dyDescent="0.5"/>
    <row r="1102" ht="29.25" x14ac:dyDescent="0.5"/>
    <row r="1103" ht="29.25" x14ac:dyDescent="0.5"/>
    <row r="1104" ht="29.25" x14ac:dyDescent="0.5"/>
    <row r="1105" ht="29.25" x14ac:dyDescent="0.5"/>
    <row r="1106" ht="29.25" x14ac:dyDescent="0.5"/>
    <row r="1107" ht="29.25" x14ac:dyDescent="0.5"/>
    <row r="1108" ht="29.25" x14ac:dyDescent="0.5"/>
    <row r="1109" ht="29.25" x14ac:dyDescent="0.5"/>
    <row r="1110" ht="29.25" x14ac:dyDescent="0.5"/>
    <row r="1111" ht="29.25" x14ac:dyDescent="0.5"/>
    <row r="1112" ht="29.25" x14ac:dyDescent="0.5"/>
    <row r="1113" ht="29.25" x14ac:dyDescent="0.5"/>
    <row r="1114" ht="29.25" x14ac:dyDescent="0.5"/>
    <row r="1115" ht="29.25" x14ac:dyDescent="0.5"/>
    <row r="1116" ht="29.25" x14ac:dyDescent="0.5"/>
    <row r="1117" ht="29.25" x14ac:dyDescent="0.5"/>
    <row r="1118" ht="29.25" x14ac:dyDescent="0.5"/>
    <row r="1119" ht="29.25" x14ac:dyDescent="0.5"/>
    <row r="1120" ht="29.25" x14ac:dyDescent="0.5"/>
    <row r="1121" ht="29.25" x14ac:dyDescent="0.5"/>
    <row r="1122" ht="29.25" x14ac:dyDescent="0.5"/>
    <row r="1123" ht="29.25" x14ac:dyDescent="0.5"/>
    <row r="1124" ht="29.25" x14ac:dyDescent="0.5"/>
    <row r="1125" ht="29.25" x14ac:dyDescent="0.5"/>
    <row r="1126" ht="29.25" x14ac:dyDescent="0.5"/>
    <row r="1127" ht="29.25" x14ac:dyDescent="0.5"/>
    <row r="1128" ht="29.25" x14ac:dyDescent="0.5"/>
    <row r="1129" ht="29.25" x14ac:dyDescent="0.5"/>
    <row r="1130" ht="29.25" x14ac:dyDescent="0.5"/>
    <row r="1131" ht="29.25" x14ac:dyDescent="0.5"/>
    <row r="1132" ht="29.25" x14ac:dyDescent="0.5"/>
    <row r="1133" ht="29.25" x14ac:dyDescent="0.5"/>
    <row r="1134" ht="29.25" x14ac:dyDescent="0.5"/>
    <row r="1135" ht="29.25" x14ac:dyDescent="0.5"/>
    <row r="1136" ht="29.25" x14ac:dyDescent="0.5"/>
    <row r="1137" ht="29.25" x14ac:dyDescent="0.5"/>
    <row r="1138" ht="29.25" x14ac:dyDescent="0.5"/>
    <row r="1139" ht="29.25" x14ac:dyDescent="0.5"/>
    <row r="1140" ht="29.25" x14ac:dyDescent="0.5"/>
    <row r="1141" ht="29.25" x14ac:dyDescent="0.5"/>
    <row r="1142" ht="29.25" x14ac:dyDescent="0.5"/>
    <row r="1143" ht="29.25" x14ac:dyDescent="0.5"/>
    <row r="1144" ht="29.25" x14ac:dyDescent="0.5"/>
    <row r="1145" ht="29.25" x14ac:dyDescent="0.5"/>
    <row r="1146" ht="29.25" x14ac:dyDescent="0.5"/>
    <row r="1147" ht="29.25" x14ac:dyDescent="0.5"/>
    <row r="1148" ht="29.25" x14ac:dyDescent="0.5"/>
    <row r="1149" ht="29.25" x14ac:dyDescent="0.5"/>
    <row r="1150" ht="29.25" x14ac:dyDescent="0.5"/>
    <row r="1151" ht="29.25" x14ac:dyDescent="0.5"/>
    <row r="1152" ht="29.25" x14ac:dyDescent="0.5"/>
    <row r="1153" ht="29.25" x14ac:dyDescent="0.5"/>
    <row r="1154" ht="29.25" x14ac:dyDescent="0.5"/>
    <row r="1155" ht="29.25" x14ac:dyDescent="0.5"/>
    <row r="1156" ht="29.25" x14ac:dyDescent="0.5"/>
    <row r="1157" ht="29.25" x14ac:dyDescent="0.5"/>
    <row r="1158" ht="29.25" x14ac:dyDescent="0.5"/>
    <row r="1159" ht="29.25" x14ac:dyDescent="0.5"/>
    <row r="1160" ht="29.25" x14ac:dyDescent="0.5"/>
    <row r="1161" ht="29.25" x14ac:dyDescent="0.5"/>
    <row r="1162" ht="29.25" x14ac:dyDescent="0.5"/>
    <row r="1163" ht="29.25" x14ac:dyDescent="0.5"/>
    <row r="1164" ht="29.25" x14ac:dyDescent="0.5"/>
    <row r="1165" ht="29.25" x14ac:dyDescent="0.5"/>
    <row r="1166" ht="29.25" x14ac:dyDescent="0.5"/>
    <row r="1167" ht="29.25" x14ac:dyDescent="0.5"/>
    <row r="1168" ht="29.25" x14ac:dyDescent="0.5"/>
    <row r="1169" ht="29.25" x14ac:dyDescent="0.5"/>
    <row r="1170" ht="29.25" x14ac:dyDescent="0.5"/>
    <row r="1171" ht="29.25" x14ac:dyDescent="0.5"/>
    <row r="1172" ht="29.25" x14ac:dyDescent="0.5"/>
    <row r="1173" ht="29.25" x14ac:dyDescent="0.5"/>
    <row r="1174" ht="29.25" x14ac:dyDescent="0.5"/>
    <row r="1175" ht="29.25" x14ac:dyDescent="0.5"/>
    <row r="1176" ht="29.25" x14ac:dyDescent="0.5"/>
    <row r="1177" ht="29.25" x14ac:dyDescent="0.5"/>
    <row r="1178" ht="29.25" x14ac:dyDescent="0.5"/>
    <row r="1179" ht="29.25" x14ac:dyDescent="0.5"/>
    <row r="1180" ht="29.25" x14ac:dyDescent="0.5"/>
    <row r="1181" ht="29.25" x14ac:dyDescent="0.5"/>
    <row r="1182" ht="29.25" x14ac:dyDescent="0.5"/>
    <row r="1183" ht="29.25" x14ac:dyDescent="0.5"/>
    <row r="1184" ht="29.25" x14ac:dyDescent="0.5"/>
    <row r="1185" ht="29.25" x14ac:dyDescent="0.5"/>
    <row r="1186" ht="29.25" x14ac:dyDescent="0.5"/>
    <row r="1187" ht="29.25" x14ac:dyDescent="0.5"/>
    <row r="1188" ht="29.25" x14ac:dyDescent="0.5"/>
    <row r="1189" ht="29.25" x14ac:dyDescent="0.5"/>
    <row r="1190" ht="29.25" x14ac:dyDescent="0.5"/>
    <row r="1191" ht="29.25" x14ac:dyDescent="0.5"/>
    <row r="1192" ht="29.25" x14ac:dyDescent="0.5"/>
    <row r="1193" ht="29.25" x14ac:dyDescent="0.5"/>
    <row r="1194" ht="29.25" x14ac:dyDescent="0.5"/>
    <row r="1195" ht="29.25" x14ac:dyDescent="0.5"/>
    <row r="1196" ht="29.25" x14ac:dyDescent="0.5"/>
    <row r="1197" ht="29.25" x14ac:dyDescent="0.5"/>
    <row r="1198" ht="29.25" x14ac:dyDescent="0.5"/>
    <row r="1199" ht="29.25" x14ac:dyDescent="0.5"/>
    <row r="1200" ht="29.25" x14ac:dyDescent="0.5"/>
    <row r="1201" ht="29.25" x14ac:dyDescent="0.5"/>
    <row r="1202" ht="29.25" x14ac:dyDescent="0.5"/>
    <row r="1203" ht="29.25" x14ac:dyDescent="0.5"/>
    <row r="1204" ht="29.25" x14ac:dyDescent="0.5"/>
    <row r="1205" ht="29.25" x14ac:dyDescent="0.5"/>
    <row r="1206" ht="29.25" x14ac:dyDescent="0.5"/>
    <row r="1207" ht="29.25" x14ac:dyDescent="0.5"/>
    <row r="1208" ht="29.25" x14ac:dyDescent="0.5"/>
    <row r="1209" ht="29.25" x14ac:dyDescent="0.5"/>
    <row r="1210" ht="29.25" x14ac:dyDescent="0.5"/>
    <row r="1211" ht="29.25" x14ac:dyDescent="0.5"/>
    <row r="1212" ht="29.25" x14ac:dyDescent="0.5"/>
    <row r="1213" ht="29.25" x14ac:dyDescent="0.5"/>
    <row r="1214" ht="29.25" x14ac:dyDescent="0.5"/>
    <row r="1215" ht="29.25" x14ac:dyDescent="0.5"/>
    <row r="1216" ht="29.25" x14ac:dyDescent="0.5"/>
    <row r="1217" ht="29.25" x14ac:dyDescent="0.5"/>
    <row r="1218" ht="29.25" x14ac:dyDescent="0.5"/>
    <row r="1219" ht="29.25" x14ac:dyDescent="0.5"/>
    <row r="1220" ht="29.25" x14ac:dyDescent="0.5"/>
    <row r="1221" ht="29.25" x14ac:dyDescent="0.5"/>
    <row r="1222" ht="29.25" x14ac:dyDescent="0.5"/>
    <row r="1223" ht="29.25" x14ac:dyDescent="0.5"/>
    <row r="1224" ht="29.25" x14ac:dyDescent="0.5"/>
    <row r="1225" ht="29.25" x14ac:dyDescent="0.5"/>
    <row r="1226" ht="29.25" x14ac:dyDescent="0.5"/>
    <row r="1227" ht="29.25" x14ac:dyDescent="0.5"/>
    <row r="1228" ht="29.25" x14ac:dyDescent="0.5"/>
    <row r="1229" ht="29.25" x14ac:dyDescent="0.5"/>
    <row r="1230" ht="29.25" x14ac:dyDescent="0.5"/>
    <row r="1231" ht="29.25" x14ac:dyDescent="0.5"/>
    <row r="1232" ht="29.25" x14ac:dyDescent="0.5"/>
    <row r="1233" ht="29.25" x14ac:dyDescent="0.5"/>
    <row r="1234" ht="29.25" x14ac:dyDescent="0.5"/>
    <row r="1235" ht="29.25" x14ac:dyDescent="0.5"/>
    <row r="1236" ht="29.25" x14ac:dyDescent="0.5"/>
    <row r="1237" ht="29.25" x14ac:dyDescent="0.5"/>
    <row r="1238" ht="29.25" x14ac:dyDescent="0.5"/>
    <row r="1239" ht="29.25" x14ac:dyDescent="0.5"/>
    <row r="1240" ht="29.25" x14ac:dyDescent="0.5"/>
    <row r="1241" ht="29.25" x14ac:dyDescent="0.5"/>
    <row r="1242" ht="29.25" x14ac:dyDescent="0.5"/>
    <row r="1243" ht="29.25" x14ac:dyDescent="0.5"/>
    <row r="1244" ht="29.25" x14ac:dyDescent="0.5"/>
    <row r="1245" ht="29.25" x14ac:dyDescent="0.5"/>
    <row r="1246" ht="29.25" x14ac:dyDescent="0.5"/>
    <row r="1247" ht="29.25" x14ac:dyDescent="0.5"/>
    <row r="1248" ht="29.25" x14ac:dyDescent="0.5"/>
    <row r="1249" ht="29.25" x14ac:dyDescent="0.5"/>
    <row r="1250" ht="29.25" x14ac:dyDescent="0.5"/>
    <row r="1251" ht="29.25" x14ac:dyDescent="0.5"/>
    <row r="1252" ht="29.25" x14ac:dyDescent="0.5"/>
    <row r="1253" ht="29.25" x14ac:dyDescent="0.5"/>
    <row r="1254" ht="29.25" x14ac:dyDescent="0.5"/>
    <row r="1255" ht="29.25" x14ac:dyDescent="0.5"/>
    <row r="1256" ht="29.25" x14ac:dyDescent="0.5"/>
    <row r="1257" ht="29.25" x14ac:dyDescent="0.5"/>
    <row r="1258" ht="29.25" x14ac:dyDescent="0.5"/>
    <row r="1259" ht="29.25" x14ac:dyDescent="0.5"/>
    <row r="1260" ht="29.25" x14ac:dyDescent="0.5"/>
    <row r="1261" ht="29.25" x14ac:dyDescent="0.5"/>
    <row r="1262" ht="29.25" x14ac:dyDescent="0.5"/>
    <row r="1263" ht="29.25" x14ac:dyDescent="0.5"/>
    <row r="1264" ht="29.25" x14ac:dyDescent="0.5"/>
    <row r="1265" ht="29.25" x14ac:dyDescent="0.5"/>
    <row r="1266" ht="29.25" x14ac:dyDescent="0.5"/>
    <row r="1267" ht="29.25" x14ac:dyDescent="0.5"/>
    <row r="1268" ht="29.25" x14ac:dyDescent="0.5"/>
    <row r="1269" ht="29.25" x14ac:dyDescent="0.5"/>
    <row r="1270" ht="29.25" x14ac:dyDescent="0.5"/>
    <row r="1271" ht="29.25" x14ac:dyDescent="0.5"/>
    <row r="1272" ht="29.25" x14ac:dyDescent="0.5"/>
    <row r="1273" ht="29.25" x14ac:dyDescent="0.5"/>
    <row r="1274" ht="29.25" x14ac:dyDescent="0.5"/>
    <row r="1275" ht="29.25" x14ac:dyDescent="0.5"/>
    <row r="1276" ht="29.25" x14ac:dyDescent="0.5"/>
    <row r="1277" ht="29.25" x14ac:dyDescent="0.5"/>
    <row r="1278" ht="29.25" x14ac:dyDescent="0.5"/>
    <row r="1279" ht="29.25" x14ac:dyDescent="0.5"/>
    <row r="1280" ht="29.25" x14ac:dyDescent="0.5"/>
    <row r="1281" ht="29.25" x14ac:dyDescent="0.5"/>
    <row r="1282" ht="29.25" x14ac:dyDescent="0.5"/>
    <row r="1283" ht="29.25" x14ac:dyDescent="0.5"/>
    <row r="1284" ht="29.25" x14ac:dyDescent="0.5"/>
    <row r="1285" ht="29.25" x14ac:dyDescent="0.5"/>
    <row r="1286" ht="29.25" x14ac:dyDescent="0.5"/>
    <row r="1287" ht="29.25" x14ac:dyDescent="0.5"/>
    <row r="1288" ht="29.25" x14ac:dyDescent="0.5"/>
    <row r="1289" ht="29.25" x14ac:dyDescent="0.5"/>
    <row r="1290" ht="29.25" x14ac:dyDescent="0.5"/>
    <row r="1291" ht="29.25" x14ac:dyDescent="0.5"/>
    <row r="1292" ht="29.25" x14ac:dyDescent="0.5"/>
    <row r="1293" ht="29.25" x14ac:dyDescent="0.5"/>
    <row r="1294" ht="29.25" x14ac:dyDescent="0.5"/>
    <row r="1295" ht="29.25" x14ac:dyDescent="0.5"/>
    <row r="1296" ht="29.25" x14ac:dyDescent="0.5"/>
    <row r="1297" ht="29.25" x14ac:dyDescent="0.5"/>
    <row r="1298" ht="29.25" x14ac:dyDescent="0.5"/>
    <row r="1299" ht="29.25" x14ac:dyDescent="0.5"/>
    <row r="1300" ht="29.25" x14ac:dyDescent="0.5"/>
    <row r="1301" ht="29.25" x14ac:dyDescent="0.5"/>
    <row r="1302" ht="29.25" x14ac:dyDescent="0.5"/>
    <row r="1303" ht="29.25" x14ac:dyDescent="0.5"/>
    <row r="1304" ht="29.25" x14ac:dyDescent="0.5"/>
    <row r="1305" ht="29.25" x14ac:dyDescent="0.5"/>
    <row r="1306" ht="29.25" x14ac:dyDescent="0.5"/>
    <row r="1307" ht="29.25" x14ac:dyDescent="0.5"/>
    <row r="1308" ht="29.25" x14ac:dyDescent="0.5"/>
    <row r="1309" ht="29.25" x14ac:dyDescent="0.5"/>
    <row r="1310" ht="29.25" x14ac:dyDescent="0.5"/>
    <row r="1311" ht="29.25" x14ac:dyDescent="0.5"/>
    <row r="1312" ht="29.25" x14ac:dyDescent="0.5"/>
    <row r="1313" ht="29.25" x14ac:dyDescent="0.5"/>
    <row r="1314" ht="29.25" x14ac:dyDescent="0.5"/>
    <row r="1315" ht="29.25" x14ac:dyDescent="0.5"/>
    <row r="1316" ht="29.25" x14ac:dyDescent="0.5"/>
    <row r="1317" ht="29.25" x14ac:dyDescent="0.5"/>
    <row r="1318" ht="29.25" x14ac:dyDescent="0.5"/>
    <row r="1319" ht="29.25" x14ac:dyDescent="0.5"/>
    <row r="1320" ht="29.25" x14ac:dyDescent="0.5"/>
    <row r="1321" ht="29.25" x14ac:dyDescent="0.5"/>
    <row r="1322" ht="29.25" x14ac:dyDescent="0.5"/>
    <row r="1323" ht="29.25" x14ac:dyDescent="0.5"/>
    <row r="1324" ht="29.25" x14ac:dyDescent="0.5"/>
    <row r="1325" ht="29.25" x14ac:dyDescent="0.5"/>
    <row r="1326" ht="29.25" x14ac:dyDescent="0.5"/>
    <row r="1327" ht="29.25" x14ac:dyDescent="0.5"/>
    <row r="1328" ht="29.25" x14ac:dyDescent="0.5"/>
    <row r="1329" ht="29.25" x14ac:dyDescent="0.5"/>
    <row r="1330" ht="29.25" x14ac:dyDescent="0.5"/>
    <row r="1331" ht="29.25" x14ac:dyDescent="0.5"/>
    <row r="1332" ht="29.25" x14ac:dyDescent="0.5"/>
    <row r="1333" ht="29.25" x14ac:dyDescent="0.5"/>
    <row r="1334" ht="29.25" x14ac:dyDescent="0.5"/>
    <row r="1335" ht="29.25" x14ac:dyDescent="0.5"/>
    <row r="1336" ht="29.25" x14ac:dyDescent="0.5"/>
    <row r="1337" ht="29.25" x14ac:dyDescent="0.5"/>
    <row r="1338" ht="29.25" x14ac:dyDescent="0.5"/>
    <row r="1339" ht="29.25" x14ac:dyDescent="0.5"/>
    <row r="1340" ht="29.25" x14ac:dyDescent="0.5"/>
    <row r="1341" ht="29.25" x14ac:dyDescent="0.5"/>
    <row r="1342" ht="29.25" x14ac:dyDescent="0.5"/>
    <row r="1343" ht="29.25" x14ac:dyDescent="0.5"/>
    <row r="1344" ht="29.25" x14ac:dyDescent="0.5"/>
    <row r="1345" ht="29.25" x14ac:dyDescent="0.5"/>
    <row r="1346" ht="29.25" x14ac:dyDescent="0.5"/>
    <row r="1347" ht="29.25" x14ac:dyDescent="0.5"/>
    <row r="1348" ht="29.25" x14ac:dyDescent="0.5"/>
    <row r="1349" ht="29.25" x14ac:dyDescent="0.5"/>
    <row r="1350" ht="29.25" x14ac:dyDescent="0.5"/>
    <row r="1351" ht="29.25" x14ac:dyDescent="0.5"/>
    <row r="1352" ht="29.25" x14ac:dyDescent="0.5"/>
    <row r="1353" ht="29.25" x14ac:dyDescent="0.5"/>
    <row r="1354" ht="29.25" x14ac:dyDescent="0.5"/>
    <row r="1355" ht="29.25" x14ac:dyDescent="0.5"/>
    <row r="1356" ht="29.25" x14ac:dyDescent="0.5"/>
    <row r="1357" ht="29.25" x14ac:dyDescent="0.5"/>
    <row r="1358" ht="29.25" x14ac:dyDescent="0.5"/>
    <row r="1359" ht="29.25" x14ac:dyDescent="0.5"/>
    <row r="1360" ht="29.25" x14ac:dyDescent="0.5"/>
    <row r="1361" ht="29.25" x14ac:dyDescent="0.5"/>
    <row r="1362" ht="29.25" x14ac:dyDescent="0.5"/>
    <row r="1363" ht="29.25" x14ac:dyDescent="0.5"/>
    <row r="1364" ht="29.25" x14ac:dyDescent="0.5"/>
    <row r="1365" ht="29.25" x14ac:dyDescent="0.5"/>
    <row r="1366" ht="29.25" x14ac:dyDescent="0.5"/>
    <row r="1367" ht="29.25" x14ac:dyDescent="0.5"/>
    <row r="1368" ht="29.25" x14ac:dyDescent="0.5"/>
    <row r="1369" ht="29.25" x14ac:dyDescent="0.5"/>
    <row r="1370" ht="29.25" x14ac:dyDescent="0.5"/>
    <row r="1371" ht="29.25" x14ac:dyDescent="0.5"/>
    <row r="1372" ht="29.25" x14ac:dyDescent="0.5"/>
    <row r="1373" ht="29.25" x14ac:dyDescent="0.5"/>
    <row r="1374" ht="29.25" x14ac:dyDescent="0.5"/>
    <row r="1375" ht="29.25" x14ac:dyDescent="0.5"/>
    <row r="1376" ht="29.25" x14ac:dyDescent="0.5"/>
    <row r="1377" ht="29.25" x14ac:dyDescent="0.5"/>
    <row r="1378" ht="29.25" x14ac:dyDescent="0.5"/>
    <row r="1379" ht="29.25" x14ac:dyDescent="0.5"/>
    <row r="1380" ht="29.25" x14ac:dyDescent="0.5"/>
    <row r="1381" ht="29.25" x14ac:dyDescent="0.5"/>
    <row r="1382" ht="29.25" x14ac:dyDescent="0.5"/>
    <row r="1383" ht="29.25" x14ac:dyDescent="0.5"/>
    <row r="1384" ht="29.25" x14ac:dyDescent="0.5"/>
    <row r="1385" ht="29.25" x14ac:dyDescent="0.5"/>
    <row r="1386" ht="29.25" x14ac:dyDescent="0.5"/>
    <row r="1387" ht="29.25" x14ac:dyDescent="0.5"/>
    <row r="1388" ht="29.25" x14ac:dyDescent="0.5"/>
    <row r="1389" ht="29.25" x14ac:dyDescent="0.5"/>
    <row r="1390" ht="29.25" x14ac:dyDescent="0.5"/>
    <row r="1391" ht="29.25" x14ac:dyDescent="0.5"/>
    <row r="1392" ht="29.25" x14ac:dyDescent="0.5"/>
    <row r="1393" ht="29.25" x14ac:dyDescent="0.5"/>
    <row r="1394" ht="29.25" x14ac:dyDescent="0.5"/>
    <row r="1395" ht="29.25" x14ac:dyDescent="0.5"/>
    <row r="1396" ht="29.25" x14ac:dyDescent="0.5"/>
    <row r="1397" ht="29.25" x14ac:dyDescent="0.5"/>
    <row r="1398" ht="29.25" x14ac:dyDescent="0.5"/>
    <row r="1399" ht="29.25" x14ac:dyDescent="0.5"/>
    <row r="1400" ht="29.25" x14ac:dyDescent="0.5"/>
    <row r="1401" ht="29.25" x14ac:dyDescent="0.5"/>
    <row r="1402" ht="29.25" x14ac:dyDescent="0.5"/>
    <row r="1403" ht="29.25" x14ac:dyDescent="0.5"/>
    <row r="1404" ht="29.25" x14ac:dyDescent="0.5"/>
    <row r="1405" ht="29.25" x14ac:dyDescent="0.5"/>
    <row r="1406" ht="29.25" x14ac:dyDescent="0.5"/>
    <row r="1407" ht="29.25" x14ac:dyDescent="0.5"/>
    <row r="1408" ht="29.25" x14ac:dyDescent="0.5"/>
    <row r="1409" ht="29.25" x14ac:dyDescent="0.5"/>
    <row r="1410" ht="29.25" x14ac:dyDescent="0.5"/>
    <row r="1411" ht="29.25" x14ac:dyDescent="0.5"/>
    <row r="1412" ht="29.25" x14ac:dyDescent="0.5"/>
    <row r="1413" ht="29.25" x14ac:dyDescent="0.5"/>
    <row r="1414" ht="29.25" x14ac:dyDescent="0.5"/>
    <row r="1415" ht="29.25" x14ac:dyDescent="0.5"/>
    <row r="1416" ht="29.25" x14ac:dyDescent="0.5"/>
    <row r="1417" ht="29.25" x14ac:dyDescent="0.5"/>
    <row r="1418" ht="29.25" x14ac:dyDescent="0.5"/>
    <row r="1419" ht="29.25" x14ac:dyDescent="0.5"/>
    <row r="1420" ht="29.25" x14ac:dyDescent="0.5"/>
    <row r="1421" ht="29.25" x14ac:dyDescent="0.5"/>
    <row r="1422" ht="29.25" x14ac:dyDescent="0.5"/>
    <row r="1423" ht="29.25" x14ac:dyDescent="0.5"/>
    <row r="1424" ht="29.25" x14ac:dyDescent="0.5"/>
    <row r="1425" ht="29.25" x14ac:dyDescent="0.5"/>
    <row r="1426" ht="29.25" x14ac:dyDescent="0.5"/>
    <row r="1427" ht="29.25" x14ac:dyDescent="0.5"/>
    <row r="1428" ht="29.25" x14ac:dyDescent="0.5"/>
    <row r="1429" ht="29.25" x14ac:dyDescent="0.5"/>
    <row r="1430" ht="29.25" x14ac:dyDescent="0.5"/>
    <row r="1431" ht="29.25" x14ac:dyDescent="0.5"/>
    <row r="1432" ht="29.25" x14ac:dyDescent="0.5"/>
    <row r="1433" ht="29.25" x14ac:dyDescent="0.5"/>
    <row r="1434" ht="29.25" x14ac:dyDescent="0.5"/>
    <row r="1435" ht="29.25" x14ac:dyDescent="0.5"/>
    <row r="1436" ht="29.25" x14ac:dyDescent="0.5"/>
    <row r="1437" ht="29.25" x14ac:dyDescent="0.5"/>
    <row r="1438" ht="29.25" x14ac:dyDescent="0.5"/>
    <row r="1439" ht="29.25" x14ac:dyDescent="0.5"/>
    <row r="1440" ht="29.25" x14ac:dyDescent="0.5"/>
    <row r="1441" ht="29.25" x14ac:dyDescent="0.5"/>
    <row r="1442" ht="29.25" x14ac:dyDescent="0.5"/>
    <row r="1443" ht="29.25" x14ac:dyDescent="0.5"/>
    <row r="1444" ht="29.25" x14ac:dyDescent="0.5"/>
    <row r="1445" ht="29.25" x14ac:dyDescent="0.5"/>
    <row r="1446" ht="29.25" x14ac:dyDescent="0.5"/>
    <row r="1447" ht="29.25" x14ac:dyDescent="0.5"/>
    <row r="1448" ht="29.25" x14ac:dyDescent="0.5"/>
    <row r="1449" ht="29.25" x14ac:dyDescent="0.5"/>
    <row r="1450" ht="29.25" x14ac:dyDescent="0.5"/>
    <row r="1451" ht="29.25" x14ac:dyDescent="0.5"/>
    <row r="1452" ht="29.25" x14ac:dyDescent="0.5"/>
    <row r="1453" ht="29.25" x14ac:dyDescent="0.5"/>
    <row r="1454" ht="29.25" x14ac:dyDescent="0.5"/>
    <row r="1455" ht="29.25" x14ac:dyDescent="0.5"/>
    <row r="1456" ht="29.25" x14ac:dyDescent="0.5"/>
    <row r="1457" ht="29.25" x14ac:dyDescent="0.5"/>
    <row r="1458" ht="29.25" x14ac:dyDescent="0.5"/>
    <row r="1459" ht="29.25" x14ac:dyDescent="0.5"/>
    <row r="1460" ht="29.25" x14ac:dyDescent="0.5"/>
    <row r="1461" ht="29.25" x14ac:dyDescent="0.5"/>
    <row r="1462" ht="29.25" x14ac:dyDescent="0.5"/>
    <row r="1463" ht="29.25" x14ac:dyDescent="0.5"/>
    <row r="1464" ht="29.25" x14ac:dyDescent="0.5"/>
    <row r="1465" ht="29.25" x14ac:dyDescent="0.5"/>
    <row r="1466" ht="29.25" x14ac:dyDescent="0.5"/>
    <row r="1467" ht="29.25" x14ac:dyDescent="0.5"/>
    <row r="1468" ht="29.25" x14ac:dyDescent="0.5"/>
    <row r="1469" ht="29.25" x14ac:dyDescent="0.5"/>
    <row r="1470" ht="29.25" x14ac:dyDescent="0.5"/>
    <row r="1471" ht="29.25" x14ac:dyDescent="0.5"/>
    <row r="1472" ht="29.25" x14ac:dyDescent="0.5"/>
    <row r="1473" ht="29.25" x14ac:dyDescent="0.5"/>
    <row r="1474" ht="29.25" x14ac:dyDescent="0.5"/>
    <row r="1475" ht="29.25" x14ac:dyDescent="0.5"/>
    <row r="1476" ht="29.25" x14ac:dyDescent="0.5"/>
    <row r="1477" ht="29.25" x14ac:dyDescent="0.5"/>
    <row r="1478" ht="29.25" x14ac:dyDescent="0.5"/>
    <row r="1479" ht="29.25" x14ac:dyDescent="0.5"/>
    <row r="1480" ht="29.25" x14ac:dyDescent="0.5"/>
    <row r="1481" ht="29.25" x14ac:dyDescent="0.5"/>
    <row r="1482" ht="29.25" x14ac:dyDescent="0.5"/>
    <row r="1483" ht="29.25" x14ac:dyDescent="0.5"/>
    <row r="1484" ht="29.25" x14ac:dyDescent="0.5"/>
    <row r="1485" ht="29.25" x14ac:dyDescent="0.5"/>
    <row r="1486" ht="29.25" x14ac:dyDescent="0.5"/>
    <row r="1487" ht="29.25" x14ac:dyDescent="0.5"/>
    <row r="1488" ht="29.25" x14ac:dyDescent="0.5"/>
    <row r="1489" ht="29.25" x14ac:dyDescent="0.5"/>
    <row r="1490" ht="29.25" x14ac:dyDescent="0.5"/>
    <row r="1491" ht="29.25" x14ac:dyDescent="0.5"/>
    <row r="1492" ht="29.25" x14ac:dyDescent="0.5"/>
    <row r="1493" ht="29.25" x14ac:dyDescent="0.5"/>
    <row r="1494" ht="29.25" x14ac:dyDescent="0.5"/>
    <row r="1495" ht="29.25" x14ac:dyDescent="0.5"/>
    <row r="1496" ht="29.25" x14ac:dyDescent="0.5"/>
    <row r="1497" ht="29.25" x14ac:dyDescent="0.5"/>
    <row r="1498" ht="29.25" x14ac:dyDescent="0.5"/>
    <row r="1499" ht="29.25" x14ac:dyDescent="0.5"/>
    <row r="1500" ht="29.25" x14ac:dyDescent="0.5"/>
    <row r="1501" ht="29.25" x14ac:dyDescent="0.5"/>
    <row r="1502" ht="29.25" x14ac:dyDescent="0.5"/>
    <row r="1503" ht="29.25" x14ac:dyDescent="0.5"/>
    <row r="1504" ht="29.25" x14ac:dyDescent="0.5"/>
    <row r="1505" ht="29.25" x14ac:dyDescent="0.5"/>
    <row r="1506" ht="29.25" x14ac:dyDescent="0.5"/>
    <row r="1507" ht="29.25" x14ac:dyDescent="0.5"/>
    <row r="1508" ht="29.25" x14ac:dyDescent="0.5"/>
    <row r="1509" ht="29.25" x14ac:dyDescent="0.5"/>
    <row r="1510" ht="29.25" x14ac:dyDescent="0.5"/>
    <row r="1511" ht="29.25" x14ac:dyDescent="0.5"/>
    <row r="1512" ht="29.25" x14ac:dyDescent="0.5"/>
    <row r="1513" ht="29.25" x14ac:dyDescent="0.5"/>
    <row r="1514" ht="29.25" x14ac:dyDescent="0.5"/>
    <row r="1515" ht="29.25" x14ac:dyDescent="0.5"/>
    <row r="1516" ht="29.25" x14ac:dyDescent="0.5"/>
    <row r="1517" ht="29.25" x14ac:dyDescent="0.5"/>
    <row r="1518" ht="29.25" x14ac:dyDescent="0.5"/>
    <row r="1519" ht="29.25" x14ac:dyDescent="0.5"/>
    <row r="1520" ht="29.25" x14ac:dyDescent="0.5"/>
    <row r="1521" ht="29.25" x14ac:dyDescent="0.5"/>
    <row r="1522" ht="29.25" x14ac:dyDescent="0.5"/>
    <row r="1523" ht="29.25" x14ac:dyDescent="0.5"/>
    <row r="1524" ht="29.25" x14ac:dyDescent="0.5"/>
    <row r="1525" ht="29.25" x14ac:dyDescent="0.5"/>
    <row r="1526" ht="29.25" x14ac:dyDescent="0.5"/>
    <row r="1527" ht="29.25" x14ac:dyDescent="0.5"/>
    <row r="1528" ht="29.25" x14ac:dyDescent="0.5"/>
    <row r="1529" ht="29.25" x14ac:dyDescent="0.5"/>
    <row r="1530" ht="29.25" x14ac:dyDescent="0.5"/>
    <row r="1531" ht="29.25" x14ac:dyDescent="0.5"/>
    <row r="1532" ht="29.25" x14ac:dyDescent="0.5"/>
    <row r="1533" ht="29.25" x14ac:dyDescent="0.5"/>
    <row r="1534" ht="29.25" x14ac:dyDescent="0.5"/>
    <row r="1535" ht="29.25" x14ac:dyDescent="0.5"/>
    <row r="1536" ht="29.25" x14ac:dyDescent="0.5"/>
    <row r="1537" ht="29.25" x14ac:dyDescent="0.5"/>
    <row r="1538" ht="29.25" x14ac:dyDescent="0.5"/>
    <row r="1539" ht="29.25" x14ac:dyDescent="0.5"/>
    <row r="1540" ht="29.25" x14ac:dyDescent="0.5"/>
    <row r="1541" ht="29.25" x14ac:dyDescent="0.5"/>
    <row r="1542" ht="29.25" x14ac:dyDescent="0.5"/>
    <row r="1543" ht="29.25" x14ac:dyDescent="0.5"/>
    <row r="1544" ht="29.25" x14ac:dyDescent="0.5"/>
    <row r="1545" ht="29.25" x14ac:dyDescent="0.5"/>
    <row r="1546" ht="29.25" x14ac:dyDescent="0.5"/>
    <row r="1547" ht="29.25" x14ac:dyDescent="0.5"/>
    <row r="1548" ht="29.25" x14ac:dyDescent="0.5"/>
    <row r="1549" ht="29.25" x14ac:dyDescent="0.5"/>
    <row r="1550" ht="29.25" x14ac:dyDescent="0.5"/>
    <row r="1551" ht="29.25" x14ac:dyDescent="0.5"/>
    <row r="1552" ht="29.25" x14ac:dyDescent="0.5"/>
    <row r="1553" ht="29.25" x14ac:dyDescent="0.5"/>
    <row r="1554" ht="29.25" x14ac:dyDescent="0.5"/>
    <row r="1555" ht="29.25" x14ac:dyDescent="0.5"/>
    <row r="1556" ht="29.25" x14ac:dyDescent="0.5"/>
    <row r="1557" ht="29.25" x14ac:dyDescent="0.5"/>
    <row r="1558" ht="29.25" x14ac:dyDescent="0.5"/>
    <row r="1559" ht="29.25" x14ac:dyDescent="0.5"/>
    <row r="1560" ht="29.25" x14ac:dyDescent="0.5"/>
    <row r="1561" ht="29.25" x14ac:dyDescent="0.5"/>
    <row r="1562" ht="29.25" x14ac:dyDescent="0.5"/>
    <row r="1563" ht="29.25" x14ac:dyDescent="0.5"/>
    <row r="1564" ht="29.25" x14ac:dyDescent="0.5"/>
    <row r="1565" ht="29.25" x14ac:dyDescent="0.5"/>
    <row r="1566" ht="29.25" x14ac:dyDescent="0.5"/>
    <row r="1567" ht="29.25" x14ac:dyDescent="0.5"/>
    <row r="1568" ht="29.25" x14ac:dyDescent="0.5"/>
    <row r="1569" ht="29.25" x14ac:dyDescent="0.5"/>
    <row r="1570" ht="29.25" x14ac:dyDescent="0.5"/>
    <row r="1571" ht="29.25" x14ac:dyDescent="0.5"/>
    <row r="1572" ht="29.25" x14ac:dyDescent="0.5"/>
    <row r="1573" ht="29.25" x14ac:dyDescent="0.5"/>
    <row r="1574" ht="29.25" x14ac:dyDescent="0.5"/>
    <row r="1575" ht="29.25" x14ac:dyDescent="0.5"/>
    <row r="1576" ht="29.25" x14ac:dyDescent="0.5"/>
    <row r="1577" ht="29.25" x14ac:dyDescent="0.5"/>
    <row r="1578" ht="29.25" x14ac:dyDescent="0.5"/>
    <row r="1579" ht="29.25" x14ac:dyDescent="0.5"/>
    <row r="1580" ht="29.25" x14ac:dyDescent="0.5"/>
    <row r="1581" ht="29.25" x14ac:dyDescent="0.5"/>
    <row r="1582" ht="29.25" x14ac:dyDescent="0.5"/>
    <row r="1583" ht="29.25" x14ac:dyDescent="0.5"/>
    <row r="1584" ht="29.25" x14ac:dyDescent="0.5"/>
    <row r="1585" ht="29.25" x14ac:dyDescent="0.5"/>
    <row r="1586" ht="29.25" x14ac:dyDescent="0.5"/>
    <row r="1587" ht="29.25" x14ac:dyDescent="0.5"/>
    <row r="1588" ht="29.25" x14ac:dyDescent="0.5"/>
    <row r="1589" ht="29.25" x14ac:dyDescent="0.5"/>
    <row r="1590" ht="29.25" x14ac:dyDescent="0.5"/>
    <row r="1591" ht="29.25" x14ac:dyDescent="0.5"/>
    <row r="1592" ht="29.25" x14ac:dyDescent="0.5"/>
    <row r="1593" ht="29.25" x14ac:dyDescent="0.5"/>
    <row r="1594" ht="29.25" x14ac:dyDescent="0.5"/>
    <row r="1595" ht="29.25" x14ac:dyDescent="0.5"/>
    <row r="1596" ht="29.25" x14ac:dyDescent="0.5"/>
    <row r="1597" ht="29.25" x14ac:dyDescent="0.5"/>
    <row r="1598" ht="29.25" x14ac:dyDescent="0.5"/>
    <row r="1599" ht="29.25" x14ac:dyDescent="0.5"/>
    <row r="1600" ht="29.25" x14ac:dyDescent="0.5"/>
    <row r="1601" ht="29.25" x14ac:dyDescent="0.5"/>
    <row r="1602" ht="29.25" x14ac:dyDescent="0.5"/>
    <row r="1603" ht="29.25" x14ac:dyDescent="0.5"/>
    <row r="1604" ht="29.25" x14ac:dyDescent="0.5"/>
    <row r="1605" ht="29.25" x14ac:dyDescent="0.5"/>
    <row r="1606" ht="29.25" x14ac:dyDescent="0.5"/>
    <row r="1607" ht="29.25" x14ac:dyDescent="0.5"/>
    <row r="1608" ht="29.25" x14ac:dyDescent="0.5"/>
    <row r="1609" ht="29.25" x14ac:dyDescent="0.5"/>
    <row r="1610" ht="29.25" x14ac:dyDescent="0.5"/>
    <row r="1611" ht="29.25" x14ac:dyDescent="0.5"/>
    <row r="1612" ht="29.25" x14ac:dyDescent="0.5"/>
    <row r="1613" ht="29.25" x14ac:dyDescent="0.5"/>
    <row r="1614" ht="29.25" x14ac:dyDescent="0.5"/>
    <row r="1615" ht="29.25" x14ac:dyDescent="0.5"/>
    <row r="1616" ht="29.25" x14ac:dyDescent="0.5"/>
    <row r="1617" ht="29.25" x14ac:dyDescent="0.5"/>
    <row r="1618" ht="29.25" x14ac:dyDescent="0.5"/>
    <row r="1619" ht="29.25" x14ac:dyDescent="0.5"/>
    <row r="1620" ht="29.25" x14ac:dyDescent="0.5"/>
    <row r="1621" ht="29.25" x14ac:dyDescent="0.5"/>
    <row r="1622" ht="29.25" x14ac:dyDescent="0.5"/>
    <row r="1623" ht="29.25" x14ac:dyDescent="0.5"/>
    <row r="1624" ht="29.25" x14ac:dyDescent="0.5"/>
    <row r="1625" ht="29.25" x14ac:dyDescent="0.5"/>
    <row r="1626" ht="29.25" x14ac:dyDescent="0.5"/>
    <row r="1627" ht="29.25" x14ac:dyDescent="0.5"/>
    <row r="1628" ht="29.25" x14ac:dyDescent="0.5"/>
    <row r="1629" ht="29.25" x14ac:dyDescent="0.5"/>
    <row r="1630" ht="29.25" x14ac:dyDescent="0.5"/>
    <row r="1631" ht="29.25" x14ac:dyDescent="0.5"/>
    <row r="1632" ht="29.25" x14ac:dyDescent="0.5"/>
    <row r="1633" ht="29.25" x14ac:dyDescent="0.5"/>
    <row r="1634" ht="29.25" x14ac:dyDescent="0.5"/>
    <row r="1635" ht="29.25" x14ac:dyDescent="0.5"/>
    <row r="1636" ht="29.25" x14ac:dyDescent="0.5"/>
    <row r="1637" ht="29.25" x14ac:dyDescent="0.5"/>
    <row r="1638" ht="29.25" x14ac:dyDescent="0.5"/>
    <row r="1639" ht="29.25" x14ac:dyDescent="0.5"/>
    <row r="1640" ht="29.25" x14ac:dyDescent="0.5"/>
    <row r="1641" ht="29.25" x14ac:dyDescent="0.5"/>
    <row r="1642" ht="29.25" x14ac:dyDescent="0.5"/>
    <row r="1643" ht="29.25" x14ac:dyDescent="0.5"/>
    <row r="1644" ht="29.25" x14ac:dyDescent="0.5"/>
    <row r="1645" ht="29.25" x14ac:dyDescent="0.5"/>
    <row r="1646" ht="29.25" x14ac:dyDescent="0.5"/>
    <row r="1647" ht="29.25" x14ac:dyDescent="0.5"/>
    <row r="1648" ht="29.25" x14ac:dyDescent="0.5"/>
    <row r="1649" ht="29.25" x14ac:dyDescent="0.5"/>
    <row r="1650" ht="29.25" x14ac:dyDescent="0.5"/>
    <row r="1651" ht="29.25" x14ac:dyDescent="0.5"/>
    <row r="1652" ht="29.25" x14ac:dyDescent="0.5"/>
    <row r="1653" ht="29.25" x14ac:dyDescent="0.5"/>
    <row r="1654" ht="29.25" x14ac:dyDescent="0.5"/>
    <row r="1655" ht="29.25" x14ac:dyDescent="0.5"/>
    <row r="1656" ht="29.25" x14ac:dyDescent="0.5"/>
    <row r="1657" ht="29.25" x14ac:dyDescent="0.5"/>
    <row r="1658" ht="29.25" x14ac:dyDescent="0.5"/>
    <row r="1659" ht="29.25" x14ac:dyDescent="0.5"/>
    <row r="1660" ht="29.25" x14ac:dyDescent="0.5"/>
    <row r="1661" ht="29.25" x14ac:dyDescent="0.5"/>
    <row r="1662" ht="29.25" x14ac:dyDescent="0.5"/>
    <row r="1663" ht="29.25" x14ac:dyDescent="0.5"/>
    <row r="1664" ht="29.25" x14ac:dyDescent="0.5"/>
    <row r="1665" ht="29.25" x14ac:dyDescent="0.5"/>
    <row r="1666" ht="29.25" x14ac:dyDescent="0.5"/>
    <row r="1667" ht="29.25" x14ac:dyDescent="0.5"/>
    <row r="1668" ht="29.25" x14ac:dyDescent="0.5"/>
    <row r="1669" ht="29.25" x14ac:dyDescent="0.5"/>
    <row r="1670" ht="29.25" x14ac:dyDescent="0.5"/>
    <row r="1671" ht="29.25" x14ac:dyDescent="0.5"/>
    <row r="1672" ht="29.25" x14ac:dyDescent="0.5"/>
    <row r="1673" ht="29.25" x14ac:dyDescent="0.5"/>
    <row r="1674" ht="29.25" x14ac:dyDescent="0.5"/>
    <row r="1675" ht="29.25" x14ac:dyDescent="0.5"/>
    <row r="1676" ht="29.25" x14ac:dyDescent="0.5"/>
    <row r="1677" ht="29.25" x14ac:dyDescent="0.5"/>
    <row r="1678" ht="29.25" x14ac:dyDescent="0.5"/>
    <row r="1679" ht="29.25" x14ac:dyDescent="0.5"/>
    <row r="1680" ht="29.25" x14ac:dyDescent="0.5"/>
    <row r="1681" ht="29.25" x14ac:dyDescent="0.5"/>
    <row r="1682" ht="29.25" x14ac:dyDescent="0.5"/>
    <row r="1683" ht="29.25" x14ac:dyDescent="0.5"/>
    <row r="1684" ht="29.25" x14ac:dyDescent="0.5"/>
    <row r="1685" ht="29.25" x14ac:dyDescent="0.5"/>
    <row r="1686" ht="29.25" x14ac:dyDescent="0.5"/>
    <row r="1687" ht="29.25" x14ac:dyDescent="0.5"/>
    <row r="1688" ht="29.25" x14ac:dyDescent="0.5"/>
    <row r="1689" ht="29.25" x14ac:dyDescent="0.5"/>
    <row r="1690" ht="29.25" x14ac:dyDescent="0.5"/>
    <row r="1691" ht="29.25" x14ac:dyDescent="0.5"/>
    <row r="1692" ht="29.25" x14ac:dyDescent="0.5"/>
    <row r="1693" ht="29.25" x14ac:dyDescent="0.5"/>
    <row r="1694" ht="29.25" x14ac:dyDescent="0.5"/>
    <row r="1695" ht="29.25" x14ac:dyDescent="0.5"/>
    <row r="1696" ht="29.25" x14ac:dyDescent="0.5"/>
    <row r="1697" ht="29.25" x14ac:dyDescent="0.5"/>
    <row r="1698" ht="29.25" x14ac:dyDescent="0.5"/>
    <row r="1699" ht="29.25" x14ac:dyDescent="0.5"/>
    <row r="1700" ht="29.25" x14ac:dyDescent="0.5"/>
    <row r="1701" ht="29.25" x14ac:dyDescent="0.5"/>
  </sheetData>
  <mergeCells count="115">
    <mergeCell ref="A157:C157"/>
    <mergeCell ref="A158:C158"/>
    <mergeCell ref="A159:C159"/>
    <mergeCell ref="A135:B135"/>
    <mergeCell ref="A186:B186"/>
    <mergeCell ref="A187:B187"/>
    <mergeCell ref="A188:B188"/>
    <mergeCell ref="A189:B189"/>
    <mergeCell ref="A190:B190"/>
    <mergeCell ref="A171:J171"/>
    <mergeCell ref="A172:B172"/>
    <mergeCell ref="A173:B173"/>
    <mergeCell ref="A174:B174"/>
    <mergeCell ref="A176:B176"/>
    <mergeCell ref="A185:B185"/>
    <mergeCell ref="A142:C142"/>
    <mergeCell ref="A160:J160"/>
    <mergeCell ref="A166:B166"/>
    <mergeCell ref="A167:B167"/>
    <mergeCell ref="A168:B168"/>
    <mergeCell ref="A136:J136"/>
    <mergeCell ref="A138:C138"/>
    <mergeCell ref="A139:C139"/>
    <mergeCell ref="A140:C140"/>
    <mergeCell ref="A141:C141"/>
    <mergeCell ref="A150:C150"/>
    <mergeCell ref="A151:C151"/>
    <mergeCell ref="A152:C152"/>
    <mergeCell ref="A154:J154"/>
    <mergeCell ref="A155:C155"/>
    <mergeCell ref="A156:C156"/>
    <mergeCell ref="A153:B153"/>
    <mergeCell ref="Q116:R116"/>
    <mergeCell ref="A117:C117"/>
    <mergeCell ref="Q117:R117"/>
    <mergeCell ref="A118:C118"/>
    <mergeCell ref="Q118:R118"/>
    <mergeCell ref="A123:C123"/>
    <mergeCell ref="A145:C145"/>
    <mergeCell ref="A146:C146"/>
    <mergeCell ref="A147:C147"/>
    <mergeCell ref="A148:C148"/>
    <mergeCell ref="A149:C149"/>
    <mergeCell ref="A143:C143"/>
    <mergeCell ref="A144:C144"/>
    <mergeCell ref="A131:C131"/>
    <mergeCell ref="A132:C132"/>
    <mergeCell ref="A133:C133"/>
    <mergeCell ref="A134:C134"/>
    <mergeCell ref="A124:C124"/>
    <mergeCell ref="A125:B125"/>
    <mergeCell ref="A108:J108"/>
    <mergeCell ref="A112:C112"/>
    <mergeCell ref="A113:C113"/>
    <mergeCell ref="A102:C102"/>
    <mergeCell ref="A78:C78"/>
    <mergeCell ref="A97:C97"/>
    <mergeCell ref="A98:C98"/>
    <mergeCell ref="A99:C99"/>
    <mergeCell ref="A100:C100"/>
    <mergeCell ref="A79:C79"/>
    <mergeCell ref="A80:C80"/>
    <mergeCell ref="A81:C81"/>
    <mergeCell ref="A95:C95"/>
    <mergeCell ref="A96:C96"/>
    <mergeCell ref="A93:C93"/>
    <mergeCell ref="A94:C94"/>
    <mergeCell ref="A126:J126"/>
    <mergeCell ref="A127:B127"/>
    <mergeCell ref="A128:C128"/>
    <mergeCell ref="A116:C116"/>
    <mergeCell ref="A119:C119"/>
    <mergeCell ref="A184:B184"/>
    <mergeCell ref="A183:B183"/>
    <mergeCell ref="A180:B180"/>
    <mergeCell ref="A181:B181"/>
    <mergeCell ref="A182:B182"/>
    <mergeCell ref="A175:C175"/>
    <mergeCell ref="A177:B177"/>
    <mergeCell ref="A178:B178"/>
    <mergeCell ref="A179:B179"/>
    <mergeCell ref="A75:C75"/>
    <mergeCell ref="A76:C76"/>
    <mergeCell ref="A77:C77"/>
    <mergeCell ref="A71:C71"/>
    <mergeCell ref="A72:B72"/>
    <mergeCell ref="A73:C73"/>
    <mergeCell ref="A74:C74"/>
    <mergeCell ref="A114:C114"/>
    <mergeCell ref="A115:C115"/>
    <mergeCell ref="A120:C120"/>
    <mergeCell ref="A121:C121"/>
    <mergeCell ref="A122:C122"/>
    <mergeCell ref="A109:B109"/>
    <mergeCell ref="A110:J110"/>
    <mergeCell ref="A111:C111"/>
    <mergeCell ref="A101:C101"/>
    <mergeCell ref="A103:C103"/>
    <mergeCell ref="A104:C104"/>
    <mergeCell ref="A105:C105"/>
    <mergeCell ref="A1:J1"/>
    <mergeCell ref="A6:C6"/>
    <mergeCell ref="A14:C14"/>
    <mergeCell ref="A17:C17"/>
    <mergeCell ref="E3:F3"/>
    <mergeCell ref="A64:C64"/>
    <mergeCell ref="A65:C65"/>
    <mergeCell ref="A18:C18"/>
    <mergeCell ref="A19:C19"/>
    <mergeCell ref="A21:C21"/>
    <mergeCell ref="A25:C25"/>
    <mergeCell ref="A33:C33"/>
    <mergeCell ref="A61:C61"/>
    <mergeCell ref="A62:C62"/>
    <mergeCell ref="A63:C63"/>
  </mergeCells>
  <pageMargins left="0.22" right="0.17" top="0.14000000000000001" bottom="0.2" header="0.2" footer="0.2"/>
  <pageSetup paperSize="5" scale="18" orientation="portrait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tabColor rgb="FF00B050"/>
    <pageSetUpPr fitToPage="1"/>
  </sheetPr>
  <dimension ref="A1:R1701"/>
  <sheetViews>
    <sheetView view="pageBreakPreview" zoomScale="55" zoomScaleSheetLayoutView="55" workbookViewId="0">
      <selection activeCell="F18" sqref="F18:F19"/>
    </sheetView>
  </sheetViews>
  <sheetFormatPr defaultColWidth="22.33203125" defaultRowHeight="21.95" customHeight="1" x14ac:dyDescent="0.5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6" width="30" style="160" customWidth="1"/>
    <col min="7" max="7" width="28.88671875" style="160" customWidth="1"/>
    <col min="8" max="8" width="39.21875" style="161" customWidth="1"/>
    <col min="9" max="9" width="23.5546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33.75" x14ac:dyDescent="0.65">
      <c r="A1" s="821" t="s">
        <v>115</v>
      </c>
      <c r="B1" s="822"/>
      <c r="C1" s="822"/>
      <c r="D1" s="822"/>
      <c r="E1" s="822"/>
      <c r="F1" s="822"/>
      <c r="G1" s="822"/>
      <c r="H1" s="822"/>
      <c r="I1" s="822"/>
      <c r="J1" s="823"/>
    </row>
    <row r="2" spans="1:15" s="57" customFormat="1" ht="27" x14ac:dyDescent="0.5">
      <c r="A2" s="191" t="s">
        <v>357</v>
      </c>
      <c r="B2" s="262">
        <v>44557</v>
      </c>
      <c r="C2" s="348" t="s">
        <v>67</v>
      </c>
      <c r="D2" s="218">
        <v>0.76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27" x14ac:dyDescent="0.5">
      <c r="A3" s="189"/>
      <c r="B3" s="221"/>
      <c r="C3" s="348" t="s">
        <v>118</v>
      </c>
      <c r="D3" s="219">
        <v>25</v>
      </c>
      <c r="E3" s="830" t="s">
        <v>119</v>
      </c>
      <c r="F3" s="831"/>
      <c r="G3" s="101"/>
      <c r="H3" s="102"/>
      <c r="I3" s="102"/>
      <c r="J3" s="222"/>
      <c r="K3" s="61"/>
      <c r="L3" s="58"/>
    </row>
    <row r="4" spans="1:15" s="57" customFormat="1" ht="27" x14ac:dyDescent="0.5">
      <c r="A4" s="192"/>
      <c r="B4" s="223"/>
      <c r="C4" s="348" t="s">
        <v>120</v>
      </c>
      <c r="D4" s="218">
        <v>0.77</v>
      </c>
      <c r="E4" s="103"/>
      <c r="F4" s="103"/>
      <c r="G4" s="103"/>
      <c r="H4" s="103"/>
      <c r="I4" s="104"/>
      <c r="J4" s="222"/>
      <c r="K4" s="62"/>
      <c r="L4" s="58"/>
    </row>
    <row r="5" spans="1:15" ht="29.25" x14ac:dyDescent="0.4">
      <c r="A5" s="193" t="s">
        <v>121</v>
      </c>
      <c r="B5" s="98"/>
      <c r="C5" s="98"/>
      <c r="D5" s="146"/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5" ht="29.25" x14ac:dyDescent="0.4">
      <c r="A6" s="824" t="s">
        <v>128</v>
      </c>
      <c r="B6" s="825"/>
      <c r="C6" s="826"/>
      <c r="D6" s="110"/>
      <c r="E6" s="110"/>
      <c r="F6" s="110"/>
      <c r="G6" s="110"/>
      <c r="H6" s="111"/>
      <c r="I6" s="111"/>
      <c r="J6" s="174"/>
      <c r="K6" s="78"/>
      <c r="L6" s="66"/>
    </row>
    <row r="7" spans="1:15" ht="30" thickBot="1" x14ac:dyDescent="0.45">
      <c r="A7" s="194" t="s">
        <v>129</v>
      </c>
      <c r="B7" s="195"/>
      <c r="C7" s="195"/>
      <c r="D7" s="151" t="s">
        <v>130</v>
      </c>
      <c r="E7" s="95">
        <v>0</v>
      </c>
      <c r="F7" s="95">
        <f>E7+23500</f>
        <v>23500</v>
      </c>
      <c r="G7" s="112">
        <f>F7-E7</f>
        <v>23500</v>
      </c>
      <c r="H7" s="99">
        <f>G7+'26'!H7</f>
        <v>492802</v>
      </c>
      <c r="I7" s="113">
        <f>'1'!I7</f>
        <v>12000</v>
      </c>
      <c r="J7" s="175">
        <f>H7/DAY(B2)</f>
        <v>18251.925925925927</v>
      </c>
      <c r="K7" s="172">
        <v>1375467</v>
      </c>
      <c r="L7" s="66"/>
      <c r="N7" s="87"/>
      <c r="O7" s="71"/>
    </row>
    <row r="8" spans="1:15" ht="27.75" thickBot="1" x14ac:dyDescent="0.45">
      <c r="A8" s="196" t="s">
        <v>131</v>
      </c>
      <c r="B8" s="197"/>
      <c r="C8" s="198"/>
      <c r="D8" s="224" t="s">
        <v>24</v>
      </c>
      <c r="E8" s="95">
        <f>'26'!F8</f>
        <v>620110</v>
      </c>
      <c r="F8" s="95">
        <f>E8+23500</f>
        <v>643610</v>
      </c>
      <c r="G8" s="115">
        <f>F8-E8</f>
        <v>23500</v>
      </c>
      <c r="H8" s="99">
        <f>G8+'26'!H8</f>
        <v>502725</v>
      </c>
      <c r="I8" s="116"/>
      <c r="J8" s="175">
        <f>H8/DAY(B2)</f>
        <v>18619.444444444445</v>
      </c>
      <c r="K8" s="172">
        <v>1715917</v>
      </c>
      <c r="L8" s="76">
        <v>1728480</v>
      </c>
      <c r="M8" s="87">
        <f>L8-K8</f>
        <v>12563</v>
      </c>
      <c r="N8" s="87"/>
      <c r="O8" s="71"/>
    </row>
    <row r="9" spans="1:15" ht="29.25" x14ac:dyDescent="0.4">
      <c r="A9" s="199" t="s">
        <v>132</v>
      </c>
      <c r="B9" s="200"/>
      <c r="C9" s="200"/>
      <c r="D9" s="151" t="s">
        <v>130</v>
      </c>
      <c r="E9" s="95">
        <f>'26'!F9</f>
        <v>207852</v>
      </c>
      <c r="F9" s="601">
        <f>E9+14000</f>
        <v>221852</v>
      </c>
      <c r="G9" s="112">
        <f>F9-E9</f>
        <v>14000</v>
      </c>
      <c r="H9" s="99">
        <f>G9+'26'!H9</f>
        <v>320357</v>
      </c>
      <c r="I9" s="124">
        <f>I7-J7</f>
        <v>-6251.925925925927</v>
      </c>
      <c r="J9" s="175">
        <f>H9/DAY(B2)</f>
        <v>11865.074074074075</v>
      </c>
      <c r="K9" s="79">
        <f>K8-100</f>
        <v>1715817</v>
      </c>
      <c r="L9" s="66"/>
      <c r="N9" s="87"/>
      <c r="O9" s="71">
        <f>G8-G7</f>
        <v>0</v>
      </c>
    </row>
    <row r="10" spans="1:15" ht="29.25" x14ac:dyDescent="0.4">
      <c r="A10" s="194" t="s">
        <v>133</v>
      </c>
      <c r="B10" s="195"/>
      <c r="C10" s="195"/>
      <c r="D10" s="151" t="s">
        <v>130</v>
      </c>
      <c r="E10" s="95">
        <f>'26'!F10</f>
        <v>95081</v>
      </c>
      <c r="F10" s="353">
        <f>E10+4500</f>
        <v>99581</v>
      </c>
      <c r="G10" s="112">
        <f t="shared" ref="G10:G12" si="0">F10-E10</f>
        <v>4500</v>
      </c>
      <c r="H10" s="99">
        <f>G10+'26'!H10</f>
        <v>154487</v>
      </c>
      <c r="I10" s="282"/>
      <c r="J10" s="175">
        <f>H10/DAY(B2)</f>
        <v>5721.7407407407409</v>
      </c>
      <c r="K10" s="79"/>
      <c r="L10" s="66"/>
      <c r="N10" s="87"/>
      <c r="O10" s="71"/>
    </row>
    <row r="11" spans="1:15" ht="29.25" x14ac:dyDescent="0.4">
      <c r="A11" s="194" t="s">
        <v>134</v>
      </c>
      <c r="B11" s="195"/>
      <c r="C11" s="195"/>
      <c r="D11" s="151" t="s">
        <v>130</v>
      </c>
      <c r="E11" s="95">
        <f>'26'!F11</f>
        <v>37170</v>
      </c>
      <c r="F11" s="95">
        <v>37000</v>
      </c>
      <c r="G11" s="112">
        <f t="shared" si="0"/>
        <v>-170</v>
      </c>
      <c r="H11" s="99">
        <f>G11+'26'!H11</f>
        <v>0</v>
      </c>
      <c r="I11" s="282"/>
      <c r="J11" s="175">
        <f>H11/DAY(B2)</f>
        <v>0</v>
      </c>
      <c r="K11" s="79"/>
      <c r="L11" s="66"/>
      <c r="N11" s="87"/>
      <c r="O11" s="71"/>
    </row>
    <row r="12" spans="1:15" ht="29.25" x14ac:dyDescent="0.4">
      <c r="A12" s="194" t="s">
        <v>135</v>
      </c>
      <c r="B12" s="195"/>
      <c r="C12" s="195"/>
      <c r="D12" s="151" t="s">
        <v>130</v>
      </c>
      <c r="E12" s="95">
        <f>'26'!F12</f>
        <v>40010</v>
      </c>
      <c r="F12" s="117">
        <v>40010</v>
      </c>
      <c r="G12" s="112">
        <f t="shared" si="0"/>
        <v>0</v>
      </c>
      <c r="H12" s="99">
        <f>G12+'26'!H12</f>
        <v>0</v>
      </c>
      <c r="I12" s="282"/>
      <c r="J12" s="175">
        <f>H12/DAY(B2)</f>
        <v>0</v>
      </c>
      <c r="K12" s="79"/>
      <c r="L12" s="66"/>
      <c r="N12" s="87"/>
      <c r="O12" s="71"/>
    </row>
    <row r="13" spans="1:15" ht="29.25" x14ac:dyDescent="0.5">
      <c r="A13" s="201" t="s">
        <v>136</v>
      </c>
      <c r="B13" s="202"/>
      <c r="C13" s="202"/>
      <c r="D13" s="151"/>
      <c r="E13" s="95"/>
      <c r="F13" s="95"/>
      <c r="G13" s="119">
        <f>G9+G10+G11+G12</f>
        <v>18330</v>
      </c>
      <c r="H13" s="99">
        <f>G13+'26'!H13</f>
        <v>455378.74999999988</v>
      </c>
      <c r="I13" s="120">
        <f>G7-G13</f>
        <v>5170</v>
      </c>
      <c r="J13" s="175">
        <f>H13/DAY(B2)</f>
        <v>16865.879629629624</v>
      </c>
      <c r="K13" s="79"/>
      <c r="L13" s="66"/>
      <c r="N13" s="87"/>
      <c r="O13" s="71"/>
    </row>
    <row r="14" spans="1:15" ht="29.25" x14ac:dyDescent="0.5">
      <c r="A14" s="827" t="s">
        <v>137</v>
      </c>
      <c r="B14" s="828"/>
      <c r="C14" s="829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5" ht="29.25" x14ac:dyDescent="0.5">
      <c r="A15" s="345" t="s">
        <v>138</v>
      </c>
      <c r="B15" s="205"/>
      <c r="C15" s="205"/>
      <c r="D15" s="151" t="s">
        <v>139</v>
      </c>
      <c r="E15" s="95">
        <f>'26'!F15</f>
        <v>1901865</v>
      </c>
      <c r="F15" s="123">
        <f>E15+1100</f>
        <v>1902965</v>
      </c>
      <c r="G15" s="112">
        <f>(F15-E15)</f>
        <v>1100</v>
      </c>
      <c r="H15" s="99">
        <f>G15+'26'!H15</f>
        <v>24535</v>
      </c>
      <c r="I15" s="113">
        <f>'1'!I15</f>
        <v>800</v>
      </c>
      <c r="J15" s="175">
        <f>H15/DAY(B2)</f>
        <v>908.7037037037037</v>
      </c>
      <c r="K15" s="79"/>
      <c r="L15" s="66"/>
      <c r="N15" s="87"/>
      <c r="O15" s="71"/>
    </row>
    <row r="16" spans="1:15" ht="29.25" x14ac:dyDescent="0.4">
      <c r="A16" s="203"/>
      <c r="B16" s="204"/>
      <c r="C16" s="204"/>
      <c r="D16" s="152"/>
      <c r="E16" s="123"/>
      <c r="F16" s="123"/>
      <c r="G16" s="112"/>
      <c r="H16" s="124"/>
      <c r="I16" s="120">
        <f>I15-J15</f>
        <v>-108.7037037037037</v>
      </c>
      <c r="J16" s="176"/>
      <c r="K16" s="79"/>
      <c r="L16" s="66"/>
      <c r="N16" s="87"/>
      <c r="O16" s="71"/>
    </row>
    <row r="17" spans="1:15" ht="29.25" x14ac:dyDescent="0.5">
      <c r="A17" s="827" t="s">
        <v>140</v>
      </c>
      <c r="B17" s="828"/>
      <c r="C17" s="829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5" ht="27.75" x14ac:dyDescent="0.5">
      <c r="A18" s="818" t="s">
        <v>141</v>
      </c>
      <c r="B18" s="819"/>
      <c r="C18" s="820"/>
      <c r="D18" s="151" t="s">
        <v>142</v>
      </c>
      <c r="E18" s="95">
        <f>'26'!F18</f>
        <v>12</v>
      </c>
      <c r="F18" s="122">
        <f>E18+12</f>
        <v>24</v>
      </c>
      <c r="G18" s="119">
        <f>F18*10</f>
        <v>240</v>
      </c>
      <c r="H18" s="99">
        <f>G18+'26'!H18</f>
        <v>3230</v>
      </c>
      <c r="I18" s="113">
        <f>'1'!I18</f>
        <v>65</v>
      </c>
      <c r="J18" s="175">
        <f>H18/DAY(B2)</f>
        <v>119.62962962962963</v>
      </c>
      <c r="K18" s="79"/>
      <c r="L18" s="66"/>
      <c r="N18" s="87"/>
      <c r="O18" s="71"/>
    </row>
    <row r="19" spans="1:15" ht="27.75" x14ac:dyDescent="0.5">
      <c r="A19" s="818" t="s">
        <v>69</v>
      </c>
      <c r="B19" s="819"/>
      <c r="C19" s="820"/>
      <c r="D19" s="151" t="s">
        <v>142</v>
      </c>
      <c r="E19" s="95">
        <f>'26'!F19</f>
        <v>153618</v>
      </c>
      <c r="F19" s="122">
        <f>E19+55</f>
        <v>153673</v>
      </c>
      <c r="G19" s="112">
        <f t="shared" ref="G19" si="1">F19-E19</f>
        <v>55</v>
      </c>
      <c r="H19" s="99">
        <f>G19+'26'!H19</f>
        <v>1448</v>
      </c>
      <c r="I19" s="335"/>
      <c r="J19" s="175">
        <f>H19/DAY(B2)</f>
        <v>53.629629629629626</v>
      </c>
      <c r="K19" s="79"/>
      <c r="L19" s="66"/>
      <c r="N19" s="87"/>
      <c r="O19" s="71"/>
    </row>
    <row r="20" spans="1:15" ht="29.25" x14ac:dyDescent="0.5">
      <c r="A20" s="201" t="s">
        <v>143</v>
      </c>
      <c r="B20" s="202"/>
      <c r="C20" s="202"/>
      <c r="D20" s="126"/>
      <c r="E20" s="126"/>
      <c r="F20" s="126"/>
      <c r="G20" s="127">
        <f>G18+G19</f>
        <v>295</v>
      </c>
      <c r="H20" s="99">
        <f>G20+'26'!H20</f>
        <v>4678</v>
      </c>
      <c r="I20" s="336">
        <f>I18-J20</f>
        <v>-108.25925925925927</v>
      </c>
      <c r="J20" s="175">
        <f>H20/DAY(B2)</f>
        <v>173.25925925925927</v>
      </c>
      <c r="K20" s="79"/>
      <c r="L20" s="66"/>
      <c r="N20" s="87"/>
      <c r="O20" s="71"/>
    </row>
    <row r="21" spans="1:15" ht="29.25" x14ac:dyDescent="0.5">
      <c r="A21" s="827" t="s">
        <v>144</v>
      </c>
      <c r="B21" s="828"/>
      <c r="C21" s="829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5" ht="29.25" x14ac:dyDescent="0.5">
      <c r="A22" s="345" t="s">
        <v>145</v>
      </c>
      <c r="B22" s="205"/>
      <c r="C22" s="205"/>
      <c r="D22" s="151" t="s">
        <v>146</v>
      </c>
      <c r="E22" s="95">
        <f>'26'!F22</f>
        <v>2970</v>
      </c>
      <c r="F22" s="122">
        <v>2970</v>
      </c>
      <c r="G22" s="119">
        <f t="shared" ref="G22" si="2">(F22-E22)</f>
        <v>0</v>
      </c>
      <c r="H22" s="99">
        <f>G22+'26'!H22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29.25" x14ac:dyDescent="0.5">
      <c r="A23" s="345" t="s">
        <v>147</v>
      </c>
      <c r="B23" s="205"/>
      <c r="C23" s="205"/>
      <c r="D23" s="151" t="s">
        <v>146</v>
      </c>
      <c r="E23" s="95">
        <f>'26'!F23</f>
        <v>2000</v>
      </c>
      <c r="F23" s="122">
        <v>2000</v>
      </c>
      <c r="G23" s="119">
        <v>0</v>
      </c>
      <c r="H23" s="99">
        <f>G23+'26'!H23</f>
        <v>110</v>
      </c>
      <c r="I23" s="118"/>
      <c r="J23" s="175">
        <f>H23/DAY(B2)</f>
        <v>4.0740740740740744</v>
      </c>
      <c r="K23" s="79"/>
      <c r="L23" s="66"/>
      <c r="N23" s="87"/>
      <c r="O23" s="71"/>
    </row>
    <row r="24" spans="1:15" ht="29.25" x14ac:dyDescent="0.4">
      <c r="A24" s="206" t="s">
        <v>148</v>
      </c>
      <c r="B24" s="207"/>
      <c r="C24" s="207"/>
      <c r="D24" s="146" t="s">
        <v>146</v>
      </c>
      <c r="E24" s="95">
        <f>'26'!F24</f>
        <v>4970</v>
      </c>
      <c r="F24" s="128">
        <v>4970</v>
      </c>
      <c r="G24" s="119">
        <v>0</v>
      </c>
      <c r="H24" s="99">
        <f>G24+'26'!H24</f>
        <v>110</v>
      </c>
      <c r="I24" s="118"/>
      <c r="J24" s="175">
        <f>H24/DAY(B2)</f>
        <v>4.0740740740740744</v>
      </c>
      <c r="K24" s="79"/>
      <c r="L24" s="66"/>
      <c r="N24" s="87"/>
      <c r="O24" s="71"/>
    </row>
    <row r="25" spans="1:15" s="88" customFormat="1" ht="27" x14ac:dyDescent="0.35">
      <c r="A25" s="832" t="s">
        <v>149</v>
      </c>
      <c r="B25" s="833"/>
      <c r="C25" s="834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5" s="88" customFormat="1" ht="27.75" x14ac:dyDescent="0.5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/>
      <c r="I26" s="134"/>
      <c r="J26" s="175"/>
      <c r="K26" s="64"/>
      <c r="L26" s="89"/>
      <c r="N26" s="87"/>
      <c r="O26" s="71"/>
    </row>
    <row r="27" spans="1:15" s="88" customFormat="1" ht="27.75" x14ac:dyDescent="0.5">
      <c r="A27" s="208" t="s">
        <v>5</v>
      </c>
      <c r="B27" s="209"/>
      <c r="C27" s="210"/>
      <c r="D27" s="226" t="s">
        <v>24</v>
      </c>
      <c r="E27" s="135">
        <f>G8</f>
        <v>23500</v>
      </c>
      <c r="F27" s="136">
        <v>9</v>
      </c>
      <c r="G27" s="137">
        <f>E27*F27</f>
        <v>211500</v>
      </c>
      <c r="H27" s="99">
        <f>G27+'26'!H27</f>
        <v>4524525</v>
      </c>
      <c r="I27" s="138"/>
      <c r="J27" s="175">
        <f>H27/DAY(B2)</f>
        <v>167575</v>
      </c>
      <c r="K27" s="63"/>
      <c r="L27" s="89"/>
      <c r="N27" s="87"/>
      <c r="O27" s="71"/>
    </row>
    <row r="28" spans="1:15" s="88" customFormat="1" ht="27.75" x14ac:dyDescent="0.5">
      <c r="A28" s="208" t="s">
        <v>152</v>
      </c>
      <c r="B28" s="209"/>
      <c r="C28" s="210"/>
      <c r="D28" s="226" t="s">
        <v>153</v>
      </c>
      <c r="E28" s="139">
        <f>G15</f>
        <v>1100</v>
      </c>
      <c r="F28" s="136">
        <v>52</v>
      </c>
      <c r="G28" s="137">
        <f>E28*F28</f>
        <v>57200</v>
      </c>
      <c r="H28" s="99">
        <f>G28+'26'!H28</f>
        <v>1275820</v>
      </c>
      <c r="I28" s="140"/>
      <c r="J28" s="175">
        <f>H28/DAY(B2)</f>
        <v>47252.592592592591</v>
      </c>
      <c r="K28" s="63"/>
      <c r="L28" s="89"/>
      <c r="N28" s="87"/>
      <c r="O28" s="71"/>
    </row>
    <row r="29" spans="1:15" s="88" customFormat="1" ht="27.75" x14ac:dyDescent="0.5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>E29*F29</f>
        <v>0</v>
      </c>
      <c r="H29" s="99">
        <f>G29+'26'!H29</f>
        <v>7590</v>
      </c>
      <c r="I29" s="140"/>
      <c r="J29" s="175">
        <f>H29/DAY(B2)</f>
        <v>281.11111111111109</v>
      </c>
      <c r="K29" s="63"/>
      <c r="L29" s="89"/>
      <c r="N29" s="87"/>
      <c r="O29" s="71"/>
    </row>
    <row r="30" spans="1:15" s="88" customFormat="1" ht="27.75" x14ac:dyDescent="0.5">
      <c r="A30" s="208" t="s">
        <v>156</v>
      </c>
      <c r="B30" s="209"/>
      <c r="C30" s="210"/>
      <c r="D30" s="226" t="s">
        <v>157</v>
      </c>
      <c r="E30" s="141">
        <f>G19</f>
        <v>55</v>
      </c>
      <c r="F30" s="136">
        <v>146</v>
      </c>
      <c r="G30" s="137">
        <f>E30*F30</f>
        <v>8030</v>
      </c>
      <c r="H30" s="99">
        <f>G30+'26'!H30</f>
        <v>211408</v>
      </c>
      <c r="I30" s="140"/>
      <c r="J30" s="175">
        <f>H30/DAY(B2)</f>
        <v>7829.9259259259261</v>
      </c>
      <c r="K30" s="63"/>
      <c r="L30" s="89"/>
      <c r="N30" s="87"/>
      <c r="O30" s="71"/>
    </row>
    <row r="31" spans="1:15" s="88" customFormat="1" ht="27.75" x14ac:dyDescent="0.5">
      <c r="A31" s="208" t="s">
        <v>158</v>
      </c>
      <c r="B31" s="209"/>
      <c r="C31" s="210"/>
      <c r="D31" s="226" t="s">
        <v>142</v>
      </c>
      <c r="E31" s="141">
        <f>G18</f>
        <v>240</v>
      </c>
      <c r="F31" s="136">
        <v>80</v>
      </c>
      <c r="G31" s="137">
        <f>E31*F31</f>
        <v>19200</v>
      </c>
      <c r="H31" s="99">
        <f>G31+'26'!H31</f>
        <v>258400</v>
      </c>
      <c r="I31" s="140"/>
      <c r="J31" s="175">
        <f>H31/DAY(B2)</f>
        <v>9570.3703703703704</v>
      </c>
      <c r="K31" s="63"/>
      <c r="L31" s="89"/>
      <c r="N31" s="87"/>
      <c r="O31" s="71"/>
    </row>
    <row r="32" spans="1:15" s="88" customFormat="1" ht="27.75" x14ac:dyDescent="0.5">
      <c r="A32" s="211" t="s">
        <v>159</v>
      </c>
      <c r="B32" s="212"/>
      <c r="C32" s="213"/>
      <c r="D32" s="142"/>
      <c r="E32" s="142"/>
      <c r="F32" s="142"/>
      <c r="G32" s="143">
        <f>G27+G28+G29+G30+G31</f>
        <v>295930</v>
      </c>
      <c r="H32" s="99">
        <f>G32+'26'!H32</f>
        <v>6277743</v>
      </c>
      <c r="I32" s="144"/>
      <c r="J32" s="175">
        <f>H32/DAY(B2)</f>
        <v>232509</v>
      </c>
      <c r="K32" s="63"/>
      <c r="L32" s="89"/>
      <c r="N32" s="87"/>
      <c r="O32" s="71"/>
    </row>
    <row r="33" spans="1:15" ht="25.5" customHeight="1" x14ac:dyDescent="0.35">
      <c r="A33" s="835" t="s">
        <v>331</v>
      </c>
      <c r="B33" s="836"/>
      <c r="C33" s="836"/>
      <c r="D33" s="337"/>
      <c r="E33" s="337"/>
      <c r="F33" s="337"/>
      <c r="G33" s="337"/>
      <c r="H33" s="337"/>
      <c r="I33" s="337"/>
      <c r="J33" s="338"/>
      <c r="K33" s="79"/>
      <c r="L33" s="66"/>
      <c r="N33" s="87"/>
      <c r="O33" s="71"/>
    </row>
    <row r="34" spans="1:15" ht="29.25" x14ac:dyDescent="0.5">
      <c r="A34" s="214" t="s">
        <v>160</v>
      </c>
      <c r="B34" s="349"/>
      <c r="C34" s="349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29.25" x14ac:dyDescent="0.4">
      <c r="A35" s="194" t="s">
        <v>161</v>
      </c>
      <c r="B35" s="195"/>
      <c r="C35" s="195"/>
      <c r="D35" s="151" t="s">
        <v>130</v>
      </c>
      <c r="E35" s="95">
        <f>'26'!F35</f>
        <v>25764</v>
      </c>
      <c r="F35" s="145">
        <v>145179</v>
      </c>
      <c r="G35" s="112">
        <f t="shared" ref="G35:G46" si="3">F35-E35</f>
        <v>119415</v>
      </c>
      <c r="H35" s="99">
        <f>G35+'26'!H35</f>
        <v>160379</v>
      </c>
      <c r="I35" s="95"/>
      <c r="J35" s="175">
        <f>H35/DAY(B2)</f>
        <v>5939.9629629629626</v>
      </c>
      <c r="K35" s="79"/>
      <c r="L35" s="66"/>
      <c r="N35" s="87"/>
      <c r="O35" s="71"/>
    </row>
    <row r="36" spans="1:15" ht="29.25" x14ac:dyDescent="0.4">
      <c r="A36" s="194" t="s">
        <v>162</v>
      </c>
      <c r="B36" s="195"/>
      <c r="C36" s="195"/>
      <c r="D36" s="151" t="s">
        <v>130</v>
      </c>
      <c r="E36" s="95">
        <f>'26'!F36</f>
        <v>39883</v>
      </c>
      <c r="F36" s="145">
        <v>18238</v>
      </c>
      <c r="G36" s="112">
        <f t="shared" si="3"/>
        <v>-21645</v>
      </c>
      <c r="H36" s="99">
        <f>G36+'26'!H36</f>
        <v>-3289</v>
      </c>
      <c r="I36" s="95"/>
      <c r="J36" s="175">
        <f>H36/DAY(B2)</f>
        <v>-121.81481481481481</v>
      </c>
      <c r="K36" s="79"/>
      <c r="L36" s="66"/>
      <c r="N36" s="87"/>
      <c r="O36" s="344"/>
    </row>
    <row r="37" spans="1:15" ht="29.25" x14ac:dyDescent="0.4">
      <c r="A37" s="194" t="s">
        <v>163</v>
      </c>
      <c r="B37" s="195"/>
      <c r="C37" s="195"/>
      <c r="D37" s="151" t="s">
        <v>130</v>
      </c>
      <c r="E37" s="95">
        <f>'26'!F37</f>
        <v>27515</v>
      </c>
      <c r="F37" s="145">
        <v>189109</v>
      </c>
      <c r="G37" s="112">
        <f t="shared" si="3"/>
        <v>161594</v>
      </c>
      <c r="H37" s="99">
        <f>G37+'26'!H37</f>
        <v>201321</v>
      </c>
      <c r="I37" s="95"/>
      <c r="J37" s="175">
        <f>H37/DAY(B2)</f>
        <v>7456.333333333333</v>
      </c>
      <c r="K37" s="79"/>
      <c r="L37" s="66"/>
      <c r="N37" s="87"/>
      <c r="O37" s="234"/>
    </row>
    <row r="38" spans="1:15" ht="29.25" x14ac:dyDescent="0.4">
      <c r="A38" s="194" t="s">
        <v>164</v>
      </c>
      <c r="B38" s="195"/>
      <c r="C38" s="195"/>
      <c r="D38" s="151" t="s">
        <v>130</v>
      </c>
      <c r="E38" s="95">
        <f>'26'!F38</f>
        <v>29825</v>
      </c>
      <c r="F38" s="108">
        <v>224984</v>
      </c>
      <c r="G38" s="112">
        <f t="shared" si="3"/>
        <v>195159</v>
      </c>
      <c r="H38" s="99">
        <f>G38+'26'!H38</f>
        <v>238184</v>
      </c>
      <c r="I38" s="95"/>
      <c r="J38" s="175">
        <f>H38/DAY(B2)</f>
        <v>8821.6296296296296</v>
      </c>
      <c r="K38" s="79"/>
      <c r="L38" s="66"/>
      <c r="N38" s="87"/>
      <c r="O38" s="71"/>
    </row>
    <row r="39" spans="1:15" ht="29.25" x14ac:dyDescent="0.4">
      <c r="A39" s="194" t="s">
        <v>165</v>
      </c>
      <c r="B39" s="195"/>
      <c r="C39" s="195"/>
      <c r="D39" s="151" t="s">
        <v>130</v>
      </c>
      <c r="E39" s="95">
        <f>'26'!F39</f>
        <v>46086</v>
      </c>
      <c r="F39" s="145">
        <v>400137</v>
      </c>
      <c r="G39" s="112">
        <f t="shared" si="3"/>
        <v>354051</v>
      </c>
      <c r="H39" s="99">
        <f>G39+'26'!H39</f>
        <v>421819</v>
      </c>
      <c r="I39" s="95"/>
      <c r="J39" s="175">
        <f>H39/DAY(B2)</f>
        <v>15622.925925925925</v>
      </c>
      <c r="K39" s="79"/>
      <c r="L39" s="66"/>
      <c r="N39" s="87"/>
      <c r="O39" s="71"/>
    </row>
    <row r="40" spans="1:15" ht="29.25" x14ac:dyDescent="0.4">
      <c r="A40" s="215" t="s">
        <v>166</v>
      </c>
      <c r="B40" s="216"/>
      <c r="C40" s="216"/>
      <c r="D40" s="151" t="s">
        <v>130</v>
      </c>
      <c r="E40" s="95">
        <f>'26'!F40</f>
        <v>17469</v>
      </c>
      <c r="F40" s="145">
        <v>4084</v>
      </c>
      <c r="G40" s="112">
        <f t="shared" si="3"/>
        <v>-13385</v>
      </c>
      <c r="H40" s="99">
        <f>G40+'26'!H40</f>
        <v>-1526</v>
      </c>
      <c r="I40" s="95"/>
      <c r="J40" s="175">
        <f>H40/DAY(B2)</f>
        <v>-56.518518518518519</v>
      </c>
      <c r="K40" s="80"/>
      <c r="L40" s="66"/>
      <c r="N40" s="87"/>
      <c r="O40" s="71"/>
    </row>
    <row r="41" spans="1:15" ht="29.25" x14ac:dyDescent="0.4">
      <c r="A41" s="194" t="s">
        <v>167</v>
      </c>
      <c r="B41" s="195"/>
      <c r="C41" s="195"/>
      <c r="D41" s="151" t="s">
        <v>130</v>
      </c>
      <c r="E41" s="95">
        <f>'26'!F41</f>
        <v>0</v>
      </c>
      <c r="F41" s="145">
        <v>0</v>
      </c>
      <c r="G41" s="112">
        <f t="shared" si="3"/>
        <v>0</v>
      </c>
      <c r="H41" s="99">
        <f>G41+'26'!H41</f>
        <v>0</v>
      </c>
      <c r="I41" s="95"/>
      <c r="J41" s="175">
        <f>H41/DAY(B2)</f>
        <v>0</v>
      </c>
      <c r="K41" s="79"/>
      <c r="L41" s="66"/>
      <c r="N41" s="87"/>
      <c r="O41" s="71"/>
    </row>
    <row r="42" spans="1:15" ht="29.25" x14ac:dyDescent="0.4">
      <c r="A42" s="194" t="s">
        <v>168</v>
      </c>
      <c r="B42" s="195"/>
      <c r="C42" s="195"/>
      <c r="D42" s="151" t="s">
        <v>130</v>
      </c>
      <c r="E42" s="95">
        <f>'26'!F42</f>
        <v>80285</v>
      </c>
      <c r="F42" s="145">
        <v>63114</v>
      </c>
      <c r="G42" s="112">
        <f t="shared" si="3"/>
        <v>-17171</v>
      </c>
      <c r="H42" s="99">
        <f>G42+'26'!H42</f>
        <v>-10695</v>
      </c>
      <c r="I42" s="95"/>
      <c r="J42" s="175">
        <f>H42/DAY(B2)</f>
        <v>-396.11111111111109</v>
      </c>
      <c r="K42" s="79"/>
      <c r="L42" s="66"/>
      <c r="N42" s="87"/>
      <c r="O42" s="71"/>
    </row>
    <row r="43" spans="1:15" ht="29.25" x14ac:dyDescent="0.4">
      <c r="A43" s="194" t="s">
        <v>169</v>
      </c>
      <c r="B43" s="195"/>
      <c r="C43" s="195"/>
      <c r="D43" s="151" t="s">
        <v>130</v>
      </c>
      <c r="E43" s="95">
        <f>'26'!F43</f>
        <v>105073</v>
      </c>
      <c r="F43" s="145">
        <v>37050</v>
      </c>
      <c r="G43" s="112">
        <f t="shared" si="3"/>
        <v>-68023</v>
      </c>
      <c r="H43" s="99">
        <f>G43+'26'!H43</f>
        <v>-10211</v>
      </c>
      <c r="I43" s="95"/>
      <c r="J43" s="175">
        <f>H43/DAY(B2)</f>
        <v>-378.18518518518516</v>
      </c>
      <c r="K43" s="79"/>
      <c r="L43" s="66"/>
      <c r="N43" s="87"/>
      <c r="O43" s="71"/>
    </row>
    <row r="44" spans="1:15" ht="29.25" x14ac:dyDescent="0.4">
      <c r="A44" s="194" t="s">
        <v>170</v>
      </c>
      <c r="B44" s="195"/>
      <c r="C44" s="195"/>
      <c r="D44" s="151" t="s">
        <v>130</v>
      </c>
      <c r="E44" s="95">
        <f>'26'!F44</f>
        <v>0</v>
      </c>
      <c r="F44" s="145">
        <v>0</v>
      </c>
      <c r="G44" s="112">
        <f t="shared" si="3"/>
        <v>0</v>
      </c>
      <c r="H44" s="99">
        <f>G44+'26'!H44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29.25" x14ac:dyDescent="0.4">
      <c r="A45" s="194" t="s">
        <v>171</v>
      </c>
      <c r="B45" s="195"/>
      <c r="C45" s="195"/>
      <c r="D45" s="151" t="s">
        <v>130</v>
      </c>
      <c r="E45" s="95">
        <f>'26'!F45</f>
        <v>0</v>
      </c>
      <c r="F45" s="145">
        <v>0</v>
      </c>
      <c r="G45" s="112">
        <f t="shared" si="3"/>
        <v>0</v>
      </c>
      <c r="H45" s="99">
        <f>G45+'26'!H45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29.25" x14ac:dyDescent="0.4">
      <c r="A46" s="194" t="s">
        <v>172</v>
      </c>
      <c r="B46" s="195"/>
      <c r="C46" s="195"/>
      <c r="D46" s="151" t="s">
        <v>130</v>
      </c>
      <c r="E46" s="95">
        <f>'26'!F46</f>
        <v>0</v>
      </c>
      <c r="F46" s="145">
        <v>0</v>
      </c>
      <c r="G46" s="112">
        <f t="shared" si="3"/>
        <v>0</v>
      </c>
      <c r="H46" s="99">
        <f>G46+'26'!H46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29.25" x14ac:dyDescent="0.5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709995</v>
      </c>
      <c r="H47" s="99">
        <f>G47+'26'!H47</f>
        <v>995982</v>
      </c>
      <c r="I47" s="95"/>
      <c r="J47" s="175">
        <f>H47/DAY(B2)</f>
        <v>36888.222222222219</v>
      </c>
      <c r="K47" s="79"/>
      <c r="L47" s="66"/>
      <c r="N47" s="87"/>
      <c r="O47" s="71"/>
    </row>
    <row r="48" spans="1:15" ht="29.25" x14ac:dyDescent="0.5">
      <c r="A48" s="214" t="s">
        <v>174</v>
      </c>
      <c r="B48" s="349"/>
      <c r="C48" s="349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29.25" x14ac:dyDescent="0.4">
      <c r="A49" s="194" t="s">
        <v>161</v>
      </c>
      <c r="B49" s="217"/>
      <c r="C49" s="217"/>
      <c r="D49" s="151" t="s">
        <v>130</v>
      </c>
      <c r="E49" s="95">
        <f>'26'!F49</f>
        <v>20678</v>
      </c>
      <c r="F49" s="145">
        <v>266456</v>
      </c>
      <c r="G49" s="112">
        <f t="shared" ref="G49:G58" si="4">F49-E49</f>
        <v>245778</v>
      </c>
      <c r="H49" s="99">
        <f>G49+'26'!H49</f>
        <v>279577</v>
      </c>
      <c r="I49" s="95"/>
      <c r="J49" s="175">
        <f>H49/DAY(B2)</f>
        <v>10354.703703703704</v>
      </c>
      <c r="K49" s="79"/>
      <c r="L49" s="66"/>
      <c r="N49" s="87"/>
      <c r="O49" s="71"/>
    </row>
    <row r="50" spans="1:15" ht="29.25" x14ac:dyDescent="0.4">
      <c r="A50" s="194" t="s">
        <v>175</v>
      </c>
      <c r="B50" s="217"/>
      <c r="C50" s="217"/>
      <c r="D50" s="151" t="s">
        <v>130</v>
      </c>
      <c r="E50" s="95">
        <f>'26'!F50</f>
        <v>51269</v>
      </c>
      <c r="F50" s="145">
        <v>20426</v>
      </c>
      <c r="G50" s="112">
        <f t="shared" si="4"/>
        <v>-30843</v>
      </c>
      <c r="H50" s="99">
        <f>G50+'26'!H50</f>
        <v>-4224</v>
      </c>
      <c r="I50" s="95"/>
      <c r="J50" s="175">
        <f>H50/DAY(B2)</f>
        <v>-156.44444444444446</v>
      </c>
      <c r="K50" s="79"/>
      <c r="L50" s="66"/>
      <c r="N50" s="87"/>
      <c r="O50" s="71"/>
    </row>
    <row r="51" spans="1:15" ht="29.25" x14ac:dyDescent="0.4">
      <c r="A51" s="194" t="s">
        <v>163</v>
      </c>
      <c r="B51" s="217"/>
      <c r="C51" s="217"/>
      <c r="D51" s="151" t="s">
        <v>130</v>
      </c>
      <c r="E51" s="95">
        <f>'26'!F51</f>
        <v>0</v>
      </c>
      <c r="F51" s="145">
        <v>0</v>
      </c>
      <c r="G51" s="112">
        <f t="shared" si="4"/>
        <v>0</v>
      </c>
      <c r="H51" s="99">
        <f>G51+'26'!H51</f>
        <v>0</v>
      </c>
      <c r="I51" s="95"/>
      <c r="J51" s="175">
        <f>H51/DAY(B2)</f>
        <v>0</v>
      </c>
      <c r="K51" s="79"/>
      <c r="L51" s="66"/>
      <c r="N51" s="87"/>
      <c r="O51" s="71"/>
    </row>
    <row r="52" spans="1:15" ht="29.25" x14ac:dyDescent="0.4">
      <c r="A52" s="194" t="s">
        <v>176</v>
      </c>
      <c r="B52" s="217"/>
      <c r="C52" s="217"/>
      <c r="D52" s="151" t="s">
        <v>130</v>
      </c>
      <c r="E52" s="95">
        <f>'26'!F52</f>
        <v>0</v>
      </c>
      <c r="F52" s="145">
        <v>0</v>
      </c>
      <c r="G52" s="112">
        <f t="shared" si="4"/>
        <v>0</v>
      </c>
      <c r="H52" s="99">
        <f>G52+'26'!H52</f>
        <v>0</v>
      </c>
      <c r="I52" s="95"/>
      <c r="J52" s="175">
        <f>H52/DAY(B2)</f>
        <v>0</v>
      </c>
      <c r="K52" s="79"/>
      <c r="L52" s="66"/>
      <c r="N52" s="87"/>
      <c r="O52" s="71"/>
    </row>
    <row r="53" spans="1:15" ht="29.25" x14ac:dyDescent="0.4">
      <c r="A53" s="194" t="s">
        <v>165</v>
      </c>
      <c r="B53" s="217"/>
      <c r="C53" s="217"/>
      <c r="D53" s="151" t="s">
        <v>130</v>
      </c>
      <c r="E53" s="95">
        <f>'26'!F53</f>
        <v>0</v>
      </c>
      <c r="F53" s="145">
        <v>0</v>
      </c>
      <c r="G53" s="112">
        <f t="shared" si="4"/>
        <v>0</v>
      </c>
      <c r="H53" s="99">
        <f>G53+'26'!H53</f>
        <v>0</v>
      </c>
      <c r="I53" s="95"/>
      <c r="J53" s="175">
        <f>H53/DAY(B2)</f>
        <v>0</v>
      </c>
      <c r="K53" s="79"/>
      <c r="L53" s="66"/>
      <c r="N53" s="87"/>
      <c r="O53" s="71"/>
    </row>
    <row r="54" spans="1:15" ht="29.25" x14ac:dyDescent="0.4">
      <c r="A54" s="194" t="s">
        <v>177</v>
      </c>
      <c r="B54" s="217"/>
      <c r="C54" s="217"/>
      <c r="D54" s="151" t="s">
        <v>130</v>
      </c>
      <c r="E54" s="95">
        <f>'26'!F54</f>
        <v>5147</v>
      </c>
      <c r="F54" s="145">
        <v>3166</v>
      </c>
      <c r="G54" s="112">
        <f t="shared" si="4"/>
        <v>-1981</v>
      </c>
      <c r="H54" s="99">
        <f>G54+'26'!H54</f>
        <v>4933.08</v>
      </c>
      <c r="I54" s="95"/>
      <c r="J54" s="175">
        <f>H54/DAY(B2)</f>
        <v>182.70666666666668</v>
      </c>
      <c r="K54" s="79"/>
      <c r="L54" s="66"/>
      <c r="N54" s="87"/>
      <c r="O54" s="71"/>
    </row>
    <row r="55" spans="1:15" ht="29.25" x14ac:dyDescent="0.4">
      <c r="A55" s="194" t="s">
        <v>178</v>
      </c>
      <c r="B55" s="217"/>
      <c r="C55" s="217"/>
      <c r="D55" s="151" t="s">
        <v>130</v>
      </c>
      <c r="E55" s="95">
        <f>'26'!F55</f>
        <v>74366</v>
      </c>
      <c r="F55" s="145">
        <v>0</v>
      </c>
      <c r="G55" s="112">
        <f t="shared" si="4"/>
        <v>-74366</v>
      </c>
      <c r="H55" s="99">
        <f>G55+'26'!H55</f>
        <v>-3511</v>
      </c>
      <c r="I55" s="95"/>
      <c r="J55" s="175">
        <f>H55/DAY(B2)</f>
        <v>-130.03703703703704</v>
      </c>
      <c r="K55" s="79"/>
      <c r="L55" s="66"/>
      <c r="N55" s="87"/>
      <c r="O55" s="71"/>
    </row>
    <row r="56" spans="1:15" ht="29.25" x14ac:dyDescent="0.4">
      <c r="A56" s="194" t="s">
        <v>179</v>
      </c>
      <c r="B56" s="217"/>
      <c r="C56" s="217"/>
      <c r="D56" s="151" t="s">
        <v>180</v>
      </c>
      <c r="E56" s="95">
        <f>'26'!F56</f>
        <v>8610.5400000000009</v>
      </c>
      <c r="F56" s="145">
        <v>8610.5400000000009</v>
      </c>
      <c r="G56" s="112">
        <f t="shared" si="4"/>
        <v>0</v>
      </c>
      <c r="H56" s="99">
        <f>G56+'26'!H56</f>
        <v>0</v>
      </c>
      <c r="I56" s="95"/>
      <c r="J56" s="175">
        <f>H56/DAY(B2)</f>
        <v>0</v>
      </c>
      <c r="K56" s="78"/>
      <c r="L56" s="66"/>
      <c r="N56" s="87"/>
      <c r="O56" s="71"/>
    </row>
    <row r="57" spans="1:15" ht="29.25" x14ac:dyDescent="0.4">
      <c r="A57" s="194" t="s">
        <v>169</v>
      </c>
      <c r="B57" s="217"/>
      <c r="C57" s="217"/>
      <c r="D57" s="151" t="s">
        <v>130</v>
      </c>
      <c r="E57" s="95">
        <f>'26'!F57</f>
        <v>0</v>
      </c>
      <c r="F57" s="145">
        <v>0</v>
      </c>
      <c r="G57" s="112">
        <f t="shared" si="4"/>
        <v>0</v>
      </c>
      <c r="H57" s="99">
        <f>G57+'26'!H57</f>
        <v>0</v>
      </c>
      <c r="I57" s="95"/>
      <c r="J57" s="175">
        <f>H57/DAY(B2)</f>
        <v>0</v>
      </c>
      <c r="K57" s="79"/>
      <c r="L57" s="66"/>
      <c r="N57" s="87"/>
      <c r="O57" s="71"/>
    </row>
    <row r="58" spans="1:15" ht="29.25" x14ac:dyDescent="0.4">
      <c r="A58" s="194" t="s">
        <v>181</v>
      </c>
      <c r="B58" s="217"/>
      <c r="C58" s="217"/>
      <c r="D58" s="151" t="s">
        <v>130</v>
      </c>
      <c r="E58" s="95">
        <f>'26'!F58</f>
        <v>3797</v>
      </c>
      <c r="F58" s="145">
        <v>91484</v>
      </c>
      <c r="G58" s="112">
        <f t="shared" si="4"/>
        <v>87687</v>
      </c>
      <c r="H58" s="99">
        <f>G58+'26'!H58</f>
        <v>91824.63</v>
      </c>
      <c r="I58" s="95"/>
      <c r="J58" s="175">
        <f>H58/DAY(B2)</f>
        <v>3400.9122222222222</v>
      </c>
      <c r="K58" s="79"/>
      <c r="L58" s="66"/>
      <c r="N58" s="87"/>
      <c r="O58" s="71"/>
    </row>
    <row r="59" spans="1:15" ht="29.25" x14ac:dyDescent="0.5">
      <c r="A59" s="201" t="s">
        <v>173</v>
      </c>
      <c r="B59" s="202"/>
      <c r="C59" s="202"/>
      <c r="D59" s="146"/>
      <c r="E59" s="146"/>
      <c r="F59" s="146"/>
      <c r="G59" s="119">
        <f>G49+G50+G51+G52+G53+G54+G55+G56+G57+G58</f>
        <v>226275</v>
      </c>
      <c r="H59" s="99">
        <f>G59+'26'!H59</f>
        <v>368599.71000000008</v>
      </c>
      <c r="I59" s="95">
        <f>G7-G60</f>
        <v>-912770</v>
      </c>
      <c r="J59" s="175">
        <f>H59/DAY(B2)</f>
        <v>13651.841111111115</v>
      </c>
      <c r="K59" s="79"/>
      <c r="L59" s="66"/>
      <c r="N59" s="87"/>
      <c r="O59" s="71"/>
    </row>
    <row r="60" spans="1:15" ht="29.25" x14ac:dyDescent="0.4">
      <c r="A60" s="194"/>
      <c r="B60" s="195"/>
      <c r="C60" s="195"/>
      <c r="D60" s="146" t="s">
        <v>182</v>
      </c>
      <c r="E60" s="146"/>
      <c r="F60" s="146"/>
      <c r="G60" s="119">
        <f>G47+G59</f>
        <v>936270</v>
      </c>
      <c r="H60" s="99">
        <f>G60+'26'!H60</f>
        <v>1364581.71</v>
      </c>
      <c r="I60" s="95">
        <f>G13-G60</f>
        <v>-917940</v>
      </c>
      <c r="J60" s="175">
        <f>H60/DAY(B2)</f>
        <v>50540.063333333332</v>
      </c>
      <c r="K60" s="79"/>
      <c r="L60" s="66"/>
      <c r="N60" s="87"/>
      <c r="O60" s="71"/>
    </row>
    <row r="61" spans="1:15" s="68" customFormat="1" ht="27.75" x14ac:dyDescent="0.5">
      <c r="A61" s="837" t="s">
        <v>332</v>
      </c>
      <c r="B61" s="838"/>
      <c r="C61" s="839"/>
      <c r="D61" s="339"/>
      <c r="E61" s="339"/>
      <c r="F61" s="339"/>
      <c r="G61" s="340"/>
      <c r="H61" s="339"/>
      <c r="I61" s="339"/>
      <c r="J61" s="341"/>
      <c r="K61" s="69"/>
      <c r="L61" s="67"/>
      <c r="N61" s="87"/>
      <c r="O61" s="71"/>
    </row>
    <row r="62" spans="1:15" ht="27.75" x14ac:dyDescent="0.5">
      <c r="A62" s="818" t="s">
        <v>198</v>
      </c>
      <c r="B62" s="819"/>
      <c r="C62" s="820"/>
      <c r="D62" s="151" t="s">
        <v>142</v>
      </c>
      <c r="E62" s="95">
        <f>'26'!F62</f>
        <v>269007</v>
      </c>
      <c r="F62" s="122">
        <v>266818</v>
      </c>
      <c r="G62" s="112">
        <f t="shared" ref="G62:G63" si="5">F62-E62</f>
        <v>-2189</v>
      </c>
      <c r="H62" s="99">
        <f>G62+'26'!H62</f>
        <v>-395</v>
      </c>
      <c r="I62" s="118"/>
      <c r="J62" s="175">
        <f>H62/DAY(B2)</f>
        <v>-14.62962962962963</v>
      </c>
      <c r="K62" s="80"/>
      <c r="L62" s="66"/>
      <c r="N62" s="87"/>
      <c r="O62" s="71"/>
    </row>
    <row r="63" spans="1:15" ht="27.75" x14ac:dyDescent="0.5">
      <c r="A63" s="818" t="s">
        <v>199</v>
      </c>
      <c r="B63" s="819"/>
      <c r="C63" s="820"/>
      <c r="D63" s="151" t="s">
        <v>142</v>
      </c>
      <c r="E63" s="95">
        <f>'26'!F63</f>
        <v>215129</v>
      </c>
      <c r="F63" s="122">
        <v>212062</v>
      </c>
      <c r="G63" s="112">
        <f t="shared" si="5"/>
        <v>-3067</v>
      </c>
      <c r="H63" s="99">
        <f>G63+'26'!H63</f>
        <v>-363</v>
      </c>
      <c r="I63" s="118"/>
      <c r="J63" s="175">
        <f>H63/DAY(B2)</f>
        <v>-13.444444444444445</v>
      </c>
      <c r="K63" s="69"/>
      <c r="L63" s="66"/>
      <c r="N63" s="87"/>
      <c r="O63" s="71"/>
    </row>
    <row r="64" spans="1:15" ht="29.25" x14ac:dyDescent="0.5">
      <c r="A64" s="815" t="s">
        <v>200</v>
      </c>
      <c r="B64" s="816"/>
      <c r="C64" s="817"/>
      <c r="D64" s="151"/>
      <c r="E64" s="95">
        <f>'26'!F64</f>
        <v>0</v>
      </c>
      <c r="F64" s="122"/>
      <c r="G64" s="112">
        <f>G62+G63</f>
        <v>-5256</v>
      </c>
      <c r="H64" s="99">
        <f>G64+'26'!H64</f>
        <v>-758</v>
      </c>
      <c r="I64" s="118"/>
      <c r="J64" s="175">
        <f>H64/DAY(B2)</f>
        <v>-28.074074074074073</v>
      </c>
      <c r="K64" s="69"/>
      <c r="L64" s="66"/>
      <c r="N64" s="87"/>
      <c r="O64" s="71"/>
    </row>
    <row r="65" spans="1:15" ht="27.75" x14ac:dyDescent="0.5">
      <c r="A65" s="818" t="s">
        <v>201</v>
      </c>
      <c r="B65" s="819"/>
      <c r="C65" s="820"/>
      <c r="D65" s="151" t="s">
        <v>142</v>
      </c>
      <c r="E65" s="95">
        <f>'26'!F65</f>
        <v>434499</v>
      </c>
      <c r="F65" s="122">
        <v>432179</v>
      </c>
      <c r="G65" s="112">
        <f t="shared" ref="G65:G70" si="6">F65-E65</f>
        <v>-2320</v>
      </c>
      <c r="H65" s="99">
        <f>G65+'26'!H65</f>
        <v>-435</v>
      </c>
      <c r="I65" s="118"/>
      <c r="J65" s="175">
        <f>H65/DAY(B2)</f>
        <v>-16.111111111111111</v>
      </c>
      <c r="K65" s="69"/>
      <c r="L65" s="66"/>
      <c r="N65" s="87"/>
      <c r="O65" s="71"/>
    </row>
    <row r="66" spans="1:15" ht="27.75" x14ac:dyDescent="0.5">
      <c r="A66" s="345" t="s">
        <v>202</v>
      </c>
      <c r="B66" s="346"/>
      <c r="C66" s="346"/>
      <c r="D66" s="151" t="s">
        <v>142</v>
      </c>
      <c r="E66" s="95">
        <f>'26'!F66</f>
        <v>107637</v>
      </c>
      <c r="F66" s="122">
        <v>107141</v>
      </c>
      <c r="G66" s="112">
        <f t="shared" si="6"/>
        <v>-496</v>
      </c>
      <c r="H66" s="99">
        <f>G66+'26'!H66</f>
        <v>-73</v>
      </c>
      <c r="I66" s="118"/>
      <c r="J66" s="175">
        <f>H66/DAY(B2)</f>
        <v>-2.7037037037037037</v>
      </c>
      <c r="K66" s="78"/>
      <c r="L66" s="66"/>
      <c r="N66" s="87"/>
      <c r="O66" s="71"/>
    </row>
    <row r="67" spans="1:15" ht="27.75" x14ac:dyDescent="0.5">
      <c r="A67" s="345" t="s">
        <v>203</v>
      </c>
      <c r="B67" s="346"/>
      <c r="C67" s="346"/>
      <c r="D67" s="151" t="s">
        <v>142</v>
      </c>
      <c r="E67" s="95">
        <f>'26'!F67</f>
        <v>104526</v>
      </c>
      <c r="F67" s="122">
        <v>103808</v>
      </c>
      <c r="G67" s="112">
        <f t="shared" si="6"/>
        <v>-718</v>
      </c>
      <c r="H67" s="99">
        <f>G67+'26'!H67</f>
        <v>-120</v>
      </c>
      <c r="I67" s="118"/>
      <c r="J67" s="175">
        <f>H67/DAY(B2)</f>
        <v>-4.4444444444444446</v>
      </c>
      <c r="K67" s="81"/>
      <c r="L67" s="66"/>
      <c r="N67" s="87"/>
      <c r="O67" s="71"/>
    </row>
    <row r="68" spans="1:15" ht="27.75" x14ac:dyDescent="0.5">
      <c r="A68" s="345" t="s">
        <v>204</v>
      </c>
      <c r="B68" s="346"/>
      <c r="C68" s="346"/>
      <c r="D68" s="151" t="s">
        <v>142</v>
      </c>
      <c r="E68" s="95">
        <f>'26'!F68</f>
        <v>157470</v>
      </c>
      <c r="F68" s="122">
        <v>156480</v>
      </c>
      <c r="G68" s="112">
        <f t="shared" si="6"/>
        <v>-990</v>
      </c>
      <c r="H68" s="99" t="e">
        <f>G68+'26'!H68</f>
        <v>#VALUE!</v>
      </c>
      <c r="I68" s="118"/>
      <c r="J68" s="175" t="e">
        <f>H68/DAY(B2)</f>
        <v>#VALUE!</v>
      </c>
      <c r="K68" s="69"/>
      <c r="L68" s="66"/>
      <c r="N68" s="87"/>
      <c r="O68" s="71"/>
    </row>
    <row r="69" spans="1:15" ht="27.75" x14ac:dyDescent="0.5">
      <c r="A69" s="345" t="s">
        <v>205</v>
      </c>
      <c r="B69" s="346"/>
      <c r="C69" s="346"/>
      <c r="D69" s="151" t="s">
        <v>142</v>
      </c>
      <c r="E69" s="95">
        <f>'26'!F69</f>
        <v>10502</v>
      </c>
      <c r="F69" s="122">
        <v>10159</v>
      </c>
      <c r="G69" s="112">
        <f t="shared" si="6"/>
        <v>-343</v>
      </c>
      <c r="H69" s="99">
        <f>G69+'26'!H69</f>
        <v>-55</v>
      </c>
      <c r="I69" s="118"/>
      <c r="J69" s="175">
        <f>H69/DAY(B2)</f>
        <v>-2.0370370370370372</v>
      </c>
      <c r="K69" s="69"/>
      <c r="L69" s="66"/>
      <c r="N69" s="87"/>
      <c r="O69" s="71"/>
    </row>
    <row r="70" spans="1:15" ht="27.75" x14ac:dyDescent="0.5">
      <c r="A70" s="345" t="s">
        <v>206</v>
      </c>
      <c r="B70" s="346"/>
      <c r="C70" s="346"/>
      <c r="D70" s="151" t="s">
        <v>142</v>
      </c>
      <c r="E70" s="95">
        <f>'26'!F70</f>
        <v>8055</v>
      </c>
      <c r="F70" s="122">
        <v>7837</v>
      </c>
      <c r="G70" s="112">
        <f t="shared" si="6"/>
        <v>-218</v>
      </c>
      <c r="H70" s="99">
        <f>G70+'26'!H70</f>
        <v>-25</v>
      </c>
      <c r="I70" s="118"/>
      <c r="J70" s="175">
        <f>H70/DAY(B2)</f>
        <v>-0.92592592592592593</v>
      </c>
      <c r="K70" s="69"/>
      <c r="L70" s="66"/>
      <c r="N70" s="87"/>
      <c r="O70" s="71"/>
    </row>
    <row r="71" spans="1:15" ht="29.25" x14ac:dyDescent="0.5">
      <c r="A71" s="815" t="s">
        <v>208</v>
      </c>
      <c r="B71" s="816"/>
      <c r="C71" s="817"/>
      <c r="D71" s="152"/>
      <c r="E71" s="152"/>
      <c r="F71" s="152"/>
      <c r="G71" s="153">
        <f>SUM(G65:G70)</f>
        <v>-5085</v>
      </c>
      <c r="H71" s="99">
        <f>G71+'26'!H71</f>
        <v>-921</v>
      </c>
      <c r="I71" s="154"/>
      <c r="J71" s="175">
        <f>H71/DAY(B2)</f>
        <v>-34.111111111111114</v>
      </c>
      <c r="K71" s="69"/>
      <c r="L71" s="66"/>
      <c r="N71" s="87"/>
      <c r="O71" s="71"/>
    </row>
    <row r="72" spans="1:15" s="88" customFormat="1" ht="27.75" x14ac:dyDescent="0.5">
      <c r="A72" s="861"/>
      <c r="B72" s="853"/>
      <c r="C72" s="347"/>
      <c r="D72" s="180"/>
      <c r="E72" s="180" t="s">
        <v>207</v>
      </c>
      <c r="F72" s="180"/>
      <c r="G72" s="180"/>
      <c r="H72" s="181"/>
      <c r="I72" s="180"/>
      <c r="J72" s="182"/>
      <c r="N72" s="87"/>
      <c r="O72" s="71"/>
    </row>
    <row r="73" spans="1:15" ht="29.25" x14ac:dyDescent="0.5">
      <c r="A73" s="866" t="s">
        <v>333</v>
      </c>
      <c r="B73" s="867"/>
      <c r="C73" s="868"/>
      <c r="D73" s="339"/>
      <c r="E73" s="339"/>
      <c r="F73" s="339"/>
      <c r="G73" s="342"/>
      <c r="H73" s="342"/>
      <c r="I73" s="342"/>
      <c r="J73" s="343"/>
      <c r="K73" s="69"/>
      <c r="L73" s="66"/>
      <c r="N73" s="87"/>
      <c r="O73" s="71"/>
    </row>
    <row r="74" spans="1:15" ht="27.75" x14ac:dyDescent="0.5">
      <c r="A74" s="818" t="s">
        <v>220</v>
      </c>
      <c r="B74" s="819"/>
      <c r="C74" s="820"/>
      <c r="D74" s="151" t="s">
        <v>139</v>
      </c>
      <c r="E74" s="95">
        <f>'26'!F74</f>
        <v>899756</v>
      </c>
      <c r="F74" s="117">
        <v>890804</v>
      </c>
      <c r="G74" s="112">
        <f t="shared" ref="G74:G78" si="7">F74-E74</f>
        <v>-8952</v>
      </c>
      <c r="H74" s="99">
        <f>G74+'26'!H74</f>
        <v>-1228</v>
      </c>
      <c r="I74" s="154"/>
      <c r="J74" s="175">
        <f>H74/DAY(B2)</f>
        <v>-45.481481481481481</v>
      </c>
      <c r="K74" s="69"/>
      <c r="L74" s="66"/>
      <c r="N74" s="87"/>
      <c r="O74" s="71"/>
    </row>
    <row r="75" spans="1:15" ht="27.75" x14ac:dyDescent="0.5">
      <c r="A75" s="818" t="s">
        <v>221</v>
      </c>
      <c r="B75" s="819"/>
      <c r="C75" s="820"/>
      <c r="D75" s="151" t="s">
        <v>139</v>
      </c>
      <c r="E75" s="95">
        <f>'26'!F75</f>
        <v>73586.8</v>
      </c>
      <c r="F75" s="123">
        <v>73586.8</v>
      </c>
      <c r="G75" s="112">
        <f t="shared" si="7"/>
        <v>0</v>
      </c>
      <c r="H75" s="99">
        <f>G75+'26'!H75</f>
        <v>0</v>
      </c>
      <c r="I75" s="154"/>
      <c r="J75" s="175">
        <f>H75/DAY(B2)</f>
        <v>0</v>
      </c>
      <c r="K75" s="69"/>
      <c r="L75" s="66"/>
      <c r="N75" s="87"/>
      <c r="O75" s="71"/>
    </row>
    <row r="76" spans="1:15" ht="27.75" x14ac:dyDescent="0.5">
      <c r="A76" s="862" t="s">
        <v>222</v>
      </c>
      <c r="B76" s="848"/>
      <c r="C76" s="849"/>
      <c r="D76" s="151" t="s">
        <v>139</v>
      </c>
      <c r="E76" s="95">
        <f>'26'!F76</f>
        <v>169525</v>
      </c>
      <c r="F76" s="123">
        <v>166821</v>
      </c>
      <c r="G76" s="112">
        <f t="shared" si="7"/>
        <v>-2704</v>
      </c>
      <c r="H76" s="99">
        <f>G76+'26'!H76</f>
        <v>-386</v>
      </c>
      <c r="I76" s="154"/>
      <c r="J76" s="175">
        <f>H76/DAY(B2)</f>
        <v>-14.296296296296296</v>
      </c>
      <c r="K76" s="69"/>
      <c r="L76" s="66"/>
      <c r="N76" s="87"/>
      <c r="O76" s="71"/>
    </row>
    <row r="77" spans="1:15" ht="27.75" x14ac:dyDescent="0.5">
      <c r="A77" s="862" t="s">
        <v>223</v>
      </c>
      <c r="B77" s="848"/>
      <c r="C77" s="849"/>
      <c r="D77" s="151" t="s">
        <v>139</v>
      </c>
      <c r="E77" s="95">
        <f>'26'!F77</f>
        <v>41116</v>
      </c>
      <c r="F77" s="123">
        <v>40160</v>
      </c>
      <c r="G77" s="112">
        <f t="shared" si="7"/>
        <v>-956</v>
      </c>
      <c r="H77" s="99">
        <f>G77+'26'!H77</f>
        <v>-156</v>
      </c>
      <c r="I77" s="154"/>
      <c r="J77" s="175">
        <f>H77/DAY(B2)</f>
        <v>-5.7777777777777777</v>
      </c>
      <c r="K77" s="69"/>
      <c r="L77" s="66"/>
      <c r="N77" s="87"/>
      <c r="O77" s="71"/>
    </row>
    <row r="78" spans="1:15" ht="27.75" x14ac:dyDescent="0.5">
      <c r="A78" s="862" t="s">
        <v>224</v>
      </c>
      <c r="B78" s="848"/>
      <c r="C78" s="849"/>
      <c r="D78" s="151" t="s">
        <v>139</v>
      </c>
      <c r="E78" s="95">
        <f>'26'!F78</f>
        <v>9509</v>
      </c>
      <c r="F78" s="123">
        <v>9479</v>
      </c>
      <c r="G78" s="112">
        <f t="shared" si="7"/>
        <v>-30</v>
      </c>
      <c r="H78" s="99">
        <f>G78+'26'!H78</f>
        <v>-7</v>
      </c>
      <c r="I78" s="118"/>
      <c r="J78" s="175">
        <f>H78/DAY(B2)</f>
        <v>-0.25925925925925924</v>
      </c>
      <c r="K78" s="69"/>
      <c r="L78" s="66"/>
      <c r="N78" s="87"/>
      <c r="O78" s="71"/>
    </row>
    <row r="79" spans="1:15" s="57" customFormat="1" ht="27.75" x14ac:dyDescent="0.5">
      <c r="A79" s="862" t="s">
        <v>225</v>
      </c>
      <c r="B79" s="848"/>
      <c r="C79" s="849"/>
      <c r="D79" s="151"/>
      <c r="E79" s="95">
        <f>'26'!F79</f>
        <v>0</v>
      </c>
      <c r="F79" s="123"/>
      <c r="G79" s="112">
        <f>G15-SUM(G74:G78)</f>
        <v>13742</v>
      </c>
      <c r="H79" s="99">
        <f>G79+'26'!H79</f>
        <v>26312</v>
      </c>
      <c r="I79" s="118"/>
      <c r="J79" s="175"/>
      <c r="K79" s="59"/>
      <c r="L79" s="58"/>
      <c r="N79" s="87"/>
      <c r="O79" s="71"/>
    </row>
    <row r="80" spans="1:15" s="57" customFormat="1" ht="29.25" x14ac:dyDescent="0.5">
      <c r="A80" s="815" t="s">
        <v>329</v>
      </c>
      <c r="B80" s="816"/>
      <c r="C80" s="817"/>
      <c r="D80" s="151"/>
      <c r="E80" s="117"/>
      <c r="F80" s="117"/>
      <c r="G80" s="112">
        <f>SUM(G74:G79)</f>
        <v>1100</v>
      </c>
      <c r="H80" s="99"/>
      <c r="I80" s="118"/>
      <c r="J80" s="175"/>
      <c r="K80" s="59"/>
      <c r="L80" s="58"/>
      <c r="N80" s="87"/>
      <c r="O80" s="71"/>
    </row>
    <row r="81" spans="1:15" ht="27" x14ac:dyDescent="0.4">
      <c r="A81" s="854" t="s">
        <v>226</v>
      </c>
      <c r="B81" s="855"/>
      <c r="C81" s="856"/>
      <c r="D81" s="110"/>
      <c r="E81" s="110"/>
      <c r="F81" s="110"/>
      <c r="G81" s="163"/>
      <c r="H81" s="163"/>
      <c r="I81" s="163"/>
      <c r="J81" s="184"/>
      <c r="O81" s="71"/>
    </row>
    <row r="82" spans="1:15" ht="27.75" x14ac:dyDescent="0.5">
      <c r="A82" s="345" t="s">
        <v>227</v>
      </c>
      <c r="B82" s="346"/>
      <c r="C82" s="346"/>
      <c r="D82" s="151" t="s">
        <v>228</v>
      </c>
      <c r="E82" s="95">
        <f>'26'!F82</f>
        <v>0</v>
      </c>
      <c r="F82" s="122">
        <v>0</v>
      </c>
      <c r="G82" s="112">
        <f t="shared" ref="G82:G92" si="8">F82-E82</f>
        <v>0</v>
      </c>
      <c r="H82" s="99">
        <f>G82+'26'!H82</f>
        <v>0</v>
      </c>
      <c r="I82" s="118"/>
      <c r="J82" s="175">
        <f>H82/DAY(B2)</f>
        <v>0</v>
      </c>
      <c r="O82" s="71"/>
    </row>
    <row r="83" spans="1:15" ht="27.75" x14ac:dyDescent="0.5">
      <c r="A83" s="345" t="s">
        <v>229</v>
      </c>
      <c r="B83" s="346"/>
      <c r="C83" s="346"/>
      <c r="D83" s="151" t="s">
        <v>228</v>
      </c>
      <c r="E83" s="95">
        <f>'26'!F83</f>
        <v>0</v>
      </c>
      <c r="F83" s="122">
        <v>0</v>
      </c>
      <c r="G83" s="112">
        <f t="shared" si="8"/>
        <v>0</v>
      </c>
      <c r="H83" s="99">
        <f>G83+'26'!H83</f>
        <v>0</v>
      </c>
      <c r="I83" s="118"/>
      <c r="J83" s="175">
        <f>H83/DAY(B2)</f>
        <v>0</v>
      </c>
      <c r="O83" s="71"/>
    </row>
    <row r="84" spans="1:15" ht="27.75" x14ac:dyDescent="0.5">
      <c r="A84" s="345" t="s">
        <v>230</v>
      </c>
      <c r="B84" s="346"/>
      <c r="C84" s="346"/>
      <c r="D84" s="151" t="s">
        <v>228</v>
      </c>
      <c r="E84" s="95">
        <f>'26'!F84</f>
        <v>41675.4</v>
      </c>
      <c r="F84" s="164">
        <v>41675.4</v>
      </c>
      <c r="G84" s="112">
        <f t="shared" si="8"/>
        <v>0</v>
      </c>
      <c r="H84" s="99">
        <f>G84+'26'!H84</f>
        <v>0.40000000000145519</v>
      </c>
      <c r="I84" s="118"/>
      <c r="J84" s="175">
        <f>H84/DAY(B2)</f>
        <v>1.4814814814868712E-2</v>
      </c>
      <c r="O84" s="71"/>
    </row>
    <row r="85" spans="1:15" ht="27.75" x14ac:dyDescent="0.5">
      <c r="A85" s="345" t="s">
        <v>231</v>
      </c>
      <c r="B85" s="346"/>
      <c r="C85" s="346"/>
      <c r="D85" s="151" t="s">
        <v>228</v>
      </c>
      <c r="E85" s="95">
        <f>'26'!F85</f>
        <v>2142</v>
      </c>
      <c r="F85" s="164">
        <v>2036</v>
      </c>
      <c r="G85" s="112">
        <f t="shared" si="8"/>
        <v>-106</v>
      </c>
      <c r="H85" s="99">
        <f>G85+'26'!H85</f>
        <v>-60.559999999999945</v>
      </c>
      <c r="I85" s="118">
        <f>G82+G83+G84+G85</f>
        <v>-106</v>
      </c>
      <c r="J85" s="175">
        <f>H85/DAY(B2)</f>
        <v>-2.2429629629629608</v>
      </c>
      <c r="O85" s="71"/>
    </row>
    <row r="86" spans="1:15" ht="27.75" x14ac:dyDescent="0.5">
      <c r="A86" s="345" t="s">
        <v>232</v>
      </c>
      <c r="B86" s="346"/>
      <c r="C86" s="346"/>
      <c r="D86" s="151" t="s">
        <v>228</v>
      </c>
      <c r="E86" s="95">
        <f>'26'!F86</f>
        <v>43442</v>
      </c>
      <c r="F86" s="164">
        <v>42826.47</v>
      </c>
      <c r="G86" s="112">
        <f t="shared" si="8"/>
        <v>-615.52999999999884</v>
      </c>
      <c r="H86" s="99">
        <f>G86+'26'!H86</f>
        <v>-36.529999999998836</v>
      </c>
      <c r="I86" s="118"/>
      <c r="J86" s="175">
        <f>H86/DAY(B2)</f>
        <v>-1.3529629629629198</v>
      </c>
      <c r="O86" s="71"/>
    </row>
    <row r="87" spans="1:15" ht="27.75" x14ac:dyDescent="0.5">
      <c r="A87" s="345" t="s">
        <v>233</v>
      </c>
      <c r="B87" s="346"/>
      <c r="C87" s="346"/>
      <c r="D87" s="151" t="s">
        <v>228</v>
      </c>
      <c r="E87" s="95">
        <f>'26'!F87</f>
        <v>34598.550000000003</v>
      </c>
      <c r="F87" s="164">
        <v>34598.550000000003</v>
      </c>
      <c r="G87" s="112">
        <f t="shared" si="8"/>
        <v>0</v>
      </c>
      <c r="H87" s="99">
        <f>G87+'26'!H87</f>
        <v>0</v>
      </c>
      <c r="I87" s="118"/>
      <c r="J87" s="175">
        <f>H87/DAY(B2)</f>
        <v>0</v>
      </c>
      <c r="O87" s="71"/>
    </row>
    <row r="88" spans="1:15" ht="27.75" x14ac:dyDescent="0.5">
      <c r="A88" s="345" t="s">
        <v>234</v>
      </c>
      <c r="B88" s="346"/>
      <c r="C88" s="346"/>
      <c r="D88" s="151" t="s">
        <v>228</v>
      </c>
      <c r="E88" s="95">
        <f>'26'!F88</f>
        <v>24063</v>
      </c>
      <c r="F88" s="164">
        <v>24039</v>
      </c>
      <c r="G88" s="112">
        <f t="shared" si="8"/>
        <v>-24</v>
      </c>
      <c r="H88" s="99">
        <f>G88+'26'!H88</f>
        <v>-8</v>
      </c>
      <c r="I88" s="118">
        <f>G86+G87+G88</f>
        <v>-639.52999999999884</v>
      </c>
      <c r="J88" s="175">
        <f>H88/DAY(B2)</f>
        <v>-0.29629629629629628</v>
      </c>
      <c r="O88" s="71"/>
    </row>
    <row r="89" spans="1:15" ht="27.75" x14ac:dyDescent="0.5">
      <c r="A89" s="345" t="s">
        <v>235</v>
      </c>
      <c r="B89" s="346"/>
      <c r="C89" s="346"/>
      <c r="D89" s="151" t="s">
        <v>228</v>
      </c>
      <c r="E89" s="95">
        <f>'26'!F89</f>
        <v>25843</v>
      </c>
      <c r="F89" s="164">
        <v>25634</v>
      </c>
      <c r="G89" s="112">
        <f t="shared" si="8"/>
        <v>-209</v>
      </c>
      <c r="H89" s="99">
        <f>G89+'26'!H89</f>
        <v>-29</v>
      </c>
      <c r="I89" s="118"/>
      <c r="J89" s="175">
        <f>H89/DAY(B2)</f>
        <v>-1.0740740740740742</v>
      </c>
      <c r="O89" s="71"/>
    </row>
    <row r="90" spans="1:15" ht="27.75" x14ac:dyDescent="0.5">
      <c r="A90" s="345" t="s">
        <v>236</v>
      </c>
      <c r="B90" s="346"/>
      <c r="C90" s="346"/>
      <c r="D90" s="151" t="s">
        <v>228</v>
      </c>
      <c r="E90" s="95">
        <f>'26'!F90</f>
        <v>71153</v>
      </c>
      <c r="F90" s="164">
        <v>71011</v>
      </c>
      <c r="G90" s="112">
        <f t="shared" si="8"/>
        <v>-142</v>
      </c>
      <c r="H90" s="99">
        <v>23</v>
      </c>
      <c r="I90" s="118">
        <f>G89+G90</f>
        <v>-351</v>
      </c>
      <c r="J90" s="175">
        <f>H90/DAY(B2)</f>
        <v>0.85185185185185186</v>
      </c>
      <c r="O90" s="71"/>
    </row>
    <row r="91" spans="1:15" ht="27.75" x14ac:dyDescent="0.5">
      <c r="A91" s="345" t="s">
        <v>237</v>
      </c>
      <c r="B91" s="346"/>
      <c r="C91" s="346"/>
      <c r="D91" s="151" t="s">
        <v>228</v>
      </c>
      <c r="E91" s="95">
        <f>'26'!F91</f>
        <v>3226</v>
      </c>
      <c r="F91" s="122">
        <v>3226</v>
      </c>
      <c r="G91" s="112">
        <f t="shared" si="8"/>
        <v>0</v>
      </c>
      <c r="H91" s="99">
        <f>G91+'26'!H91</f>
        <v>-0.32000000000016371</v>
      </c>
      <c r="I91" s="165"/>
      <c r="J91" s="175">
        <f>H91/DAY(B2)</f>
        <v>-1.1851851851857916E-2</v>
      </c>
      <c r="O91" s="71"/>
    </row>
    <row r="92" spans="1:15" ht="27.75" x14ac:dyDescent="0.5">
      <c r="A92" s="345" t="s">
        <v>238</v>
      </c>
      <c r="B92" s="346"/>
      <c r="C92" s="346"/>
      <c r="D92" s="151" t="s">
        <v>228</v>
      </c>
      <c r="E92" s="95">
        <f>'26'!F92</f>
        <v>5710</v>
      </c>
      <c r="F92" s="122">
        <v>5395</v>
      </c>
      <c r="G92" s="112">
        <f t="shared" si="8"/>
        <v>-315</v>
      </c>
      <c r="H92" s="99">
        <f>G92+'26'!H92</f>
        <v>-43</v>
      </c>
      <c r="I92" s="165"/>
      <c r="J92" s="175">
        <f>H92/DAY(B2)</f>
        <v>-1.5925925925925926</v>
      </c>
      <c r="O92" s="71"/>
    </row>
    <row r="93" spans="1:15" ht="29.25" x14ac:dyDescent="0.5">
      <c r="A93" s="863" t="s">
        <v>239</v>
      </c>
      <c r="B93" s="864"/>
      <c r="C93" s="865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27.75" x14ac:dyDescent="0.5">
      <c r="A94" s="818" t="s">
        <v>240</v>
      </c>
      <c r="B94" s="819"/>
      <c r="C94" s="820"/>
      <c r="D94" s="151" t="s">
        <v>130</v>
      </c>
      <c r="E94" s="151"/>
      <c r="F94" s="151"/>
      <c r="G94" s="99">
        <f>G35+G43+G49+G57</f>
        <v>297170</v>
      </c>
      <c r="H94" s="99">
        <f>G94+'26'!H94</f>
        <v>429745</v>
      </c>
      <c r="I94" s="118"/>
      <c r="J94" s="175">
        <f>H94/DAY(B2)</f>
        <v>15916.481481481482</v>
      </c>
      <c r="K94" s="69"/>
      <c r="L94" s="66"/>
      <c r="O94" s="71"/>
    </row>
    <row r="95" spans="1:15" ht="27.75" x14ac:dyDescent="0.5">
      <c r="A95" s="818" t="s">
        <v>241</v>
      </c>
      <c r="B95" s="819"/>
      <c r="C95" s="820"/>
      <c r="D95" s="151" t="s">
        <v>23</v>
      </c>
      <c r="E95" s="146"/>
      <c r="F95" s="146"/>
      <c r="G95" s="166">
        <f>G94/G7</f>
        <v>12.645531914893617</v>
      </c>
      <c r="H95" s="99">
        <f>G95+'26'!H95</f>
        <v>19.970479661676141</v>
      </c>
      <c r="I95" s="167"/>
      <c r="J95" s="175">
        <f>H95/DAY(B2)</f>
        <v>0.73964739487689413</v>
      </c>
      <c r="K95" s="69"/>
      <c r="L95" s="66"/>
      <c r="O95" s="71"/>
    </row>
    <row r="96" spans="1:15" ht="27.75" x14ac:dyDescent="0.5">
      <c r="A96" s="818" t="s">
        <v>242</v>
      </c>
      <c r="B96" s="819"/>
      <c r="C96" s="820"/>
      <c r="D96" s="151" t="s">
        <v>130</v>
      </c>
      <c r="E96" s="95"/>
      <c r="F96" s="95"/>
      <c r="G96" s="99">
        <f>G41+G42+G55+G56</f>
        <v>-91537</v>
      </c>
      <c r="H96" s="99">
        <f>G96+'26'!H96</f>
        <v>-14206</v>
      </c>
      <c r="I96" s="118"/>
      <c r="J96" s="175">
        <f>H96/DAY(B2)</f>
        <v>-526.14814814814815</v>
      </c>
      <c r="K96" s="69"/>
      <c r="L96" s="66"/>
      <c r="O96" s="71"/>
    </row>
    <row r="97" spans="1:15" ht="27.75" x14ac:dyDescent="0.5">
      <c r="A97" s="818" t="s">
        <v>243</v>
      </c>
      <c r="B97" s="819"/>
      <c r="C97" s="820"/>
      <c r="D97" s="151" t="s">
        <v>23</v>
      </c>
      <c r="E97" s="95"/>
      <c r="F97" s="95"/>
      <c r="G97" s="166">
        <f>G96/G7</f>
        <v>-3.8951914893617023</v>
      </c>
      <c r="H97" s="99">
        <f>G97+'26'!H97</f>
        <v>0.40234954031815962</v>
      </c>
      <c r="I97" s="167"/>
      <c r="J97" s="175">
        <f>H97/DAY(B2)</f>
        <v>1.4901834826598504E-2</v>
      </c>
      <c r="K97" s="69"/>
      <c r="L97" s="66"/>
      <c r="O97" s="71"/>
    </row>
    <row r="98" spans="1:15" ht="27.75" x14ac:dyDescent="0.5">
      <c r="A98" s="818" t="s">
        <v>244</v>
      </c>
      <c r="B98" s="819"/>
      <c r="C98" s="820"/>
      <c r="D98" s="151" t="s">
        <v>130</v>
      </c>
      <c r="E98" s="95"/>
      <c r="F98" s="95"/>
      <c r="G98" s="99">
        <f>G39+G53</f>
        <v>354051</v>
      </c>
      <c r="H98" s="99">
        <f>G98+'26'!H98</f>
        <v>421819</v>
      </c>
      <c r="I98" s="168"/>
      <c r="J98" s="175">
        <f>H98/DAY(B2)</f>
        <v>15622.925925925925</v>
      </c>
      <c r="K98" s="69"/>
      <c r="L98" s="66"/>
      <c r="O98" s="71"/>
    </row>
    <row r="99" spans="1:15" ht="27.75" x14ac:dyDescent="0.5">
      <c r="A99" s="818" t="s">
        <v>245</v>
      </c>
      <c r="B99" s="819"/>
      <c r="C99" s="820"/>
      <c r="D99" s="151" t="s">
        <v>23</v>
      </c>
      <c r="E99" s="95"/>
      <c r="F99" s="95"/>
      <c r="G99" s="166">
        <f>G98/G7</f>
        <v>15.066000000000001</v>
      </c>
      <c r="H99" s="99">
        <f>G99+'26'!H99</f>
        <v>18.832296156329885</v>
      </c>
      <c r="I99" s="168"/>
      <c r="J99" s="175">
        <f>H99/DAY(B2)</f>
        <v>0.69749245023444018</v>
      </c>
      <c r="O99" s="71"/>
    </row>
    <row r="100" spans="1:15" ht="27.75" x14ac:dyDescent="0.5">
      <c r="A100" s="818" t="s">
        <v>246</v>
      </c>
      <c r="B100" s="819"/>
      <c r="C100" s="820"/>
      <c r="D100" s="151" t="s">
        <v>180</v>
      </c>
      <c r="E100" s="95"/>
      <c r="F100" s="95"/>
      <c r="G100" s="99">
        <f>G38+G52</f>
        <v>195159</v>
      </c>
      <c r="H100" s="99">
        <f>G100+'26'!H100</f>
        <v>238184</v>
      </c>
      <c r="I100" s="118"/>
      <c r="J100" s="175">
        <f>H100/DAY(B2)</f>
        <v>8821.6296296296296</v>
      </c>
      <c r="K100" s="70"/>
      <c r="O100" s="71"/>
    </row>
    <row r="101" spans="1:15" ht="27.75" x14ac:dyDescent="0.5">
      <c r="A101" s="818" t="s">
        <v>247</v>
      </c>
      <c r="B101" s="819"/>
      <c r="C101" s="820"/>
      <c r="D101" s="151" t="s">
        <v>23</v>
      </c>
      <c r="E101" s="95"/>
      <c r="F101" s="95"/>
      <c r="G101" s="166">
        <f>G100/G7</f>
        <v>8.3046382978723408</v>
      </c>
      <c r="H101" s="99">
        <f>G101+'26'!H101</f>
        <v>10.698577154298174</v>
      </c>
      <c r="I101" s="168"/>
      <c r="J101" s="175">
        <f>H101/DAY(B2)</f>
        <v>0.39624359830733979</v>
      </c>
      <c r="O101" s="71"/>
    </row>
    <row r="102" spans="1:15" ht="27.75" x14ac:dyDescent="0.5">
      <c r="A102" s="818" t="s">
        <v>248</v>
      </c>
      <c r="B102" s="819"/>
      <c r="C102" s="820"/>
      <c r="D102" s="151" t="s">
        <v>180</v>
      </c>
      <c r="E102" s="95"/>
      <c r="F102" s="95"/>
      <c r="G102" s="99">
        <f>G36+G50</f>
        <v>-52488</v>
      </c>
      <c r="H102" s="99">
        <f>G102+'26'!H102</f>
        <v>-7513</v>
      </c>
      <c r="I102" s="168"/>
      <c r="J102" s="175">
        <f>H102/DAY(B2)</f>
        <v>-278.25925925925924</v>
      </c>
      <c r="O102" s="71"/>
    </row>
    <row r="103" spans="1:15" ht="27.75" x14ac:dyDescent="0.5">
      <c r="A103" s="818" t="s">
        <v>249</v>
      </c>
      <c r="B103" s="819"/>
      <c r="C103" s="820"/>
      <c r="D103" s="151" t="s">
        <v>23</v>
      </c>
      <c r="E103" s="95"/>
      <c r="F103" s="95"/>
      <c r="G103" s="166">
        <f>G102/G7</f>
        <v>-2.233531914893617</v>
      </c>
      <c r="H103" s="99">
        <f>G103+'26'!H103</f>
        <v>0.25232250658426469</v>
      </c>
      <c r="I103" s="118"/>
      <c r="J103" s="175">
        <f>H103/DAY(B2)</f>
        <v>9.3452780216394336E-3</v>
      </c>
      <c r="O103" s="71"/>
    </row>
    <row r="104" spans="1:15" ht="27.75" x14ac:dyDescent="0.5">
      <c r="A104" s="818" t="s">
        <v>250</v>
      </c>
      <c r="B104" s="819"/>
      <c r="C104" s="820"/>
      <c r="D104" s="151" t="s">
        <v>180</v>
      </c>
      <c r="E104" s="95"/>
      <c r="F104" s="95"/>
      <c r="G104" s="99">
        <f>G37+G51</f>
        <v>161594</v>
      </c>
      <c r="H104" s="99">
        <f>G104+'26'!H104</f>
        <v>201321</v>
      </c>
      <c r="I104" s="118"/>
      <c r="J104" s="175">
        <f>H104/DAY(B2)</f>
        <v>7456.333333333333</v>
      </c>
      <c r="O104" s="71"/>
    </row>
    <row r="105" spans="1:15" ht="28.5" thickBot="1" x14ac:dyDescent="0.55000000000000004">
      <c r="A105" s="858" t="s">
        <v>251</v>
      </c>
      <c r="B105" s="859"/>
      <c r="C105" s="860"/>
      <c r="D105" s="231" t="s">
        <v>23</v>
      </c>
      <c r="E105" s="185"/>
      <c r="F105" s="185"/>
      <c r="G105" s="186">
        <f>G104/G7</f>
        <v>6.8763404255319145</v>
      </c>
      <c r="H105" s="99">
        <f>G105+'26'!H105</f>
        <v>9.0880640959686474</v>
      </c>
      <c r="I105" s="187"/>
      <c r="J105" s="188">
        <f>H105/DAY(B2)</f>
        <v>0.33659496651735732</v>
      </c>
      <c r="O105" s="71"/>
    </row>
    <row r="106" spans="1:15" ht="29.25" x14ac:dyDescent="0.5">
      <c r="A106" s="105"/>
      <c r="B106" s="96"/>
      <c r="C106" s="96"/>
      <c r="D106" s="169"/>
      <c r="E106" s="169"/>
      <c r="F106" s="169"/>
      <c r="G106" s="169"/>
      <c r="H106" s="170"/>
      <c r="I106" s="169"/>
      <c r="J106" s="171"/>
      <c r="O106" s="71"/>
    </row>
    <row r="107" spans="1:15" ht="29.25" x14ac:dyDescent="0.5"/>
    <row r="108" spans="1:15" ht="31.5" x14ac:dyDescent="0.55000000000000004">
      <c r="A108" s="872" t="s">
        <v>324</v>
      </c>
      <c r="B108" s="872"/>
      <c r="C108" s="872"/>
      <c r="D108" s="872"/>
      <c r="E108" s="872"/>
      <c r="F108" s="872"/>
      <c r="G108" s="872"/>
      <c r="H108" s="872"/>
      <c r="I108" s="872"/>
      <c r="J108" s="872"/>
    </row>
    <row r="109" spans="1:15" ht="29.25" x14ac:dyDescent="0.5">
      <c r="A109" s="857"/>
      <c r="B109" s="857"/>
    </row>
    <row r="110" spans="1:15" ht="29.25" x14ac:dyDescent="0.5">
      <c r="A110" s="873" t="s">
        <v>165</v>
      </c>
      <c r="B110" s="874"/>
      <c r="C110" s="874"/>
      <c r="D110" s="874"/>
      <c r="E110" s="874"/>
      <c r="F110" s="874"/>
      <c r="G110" s="874"/>
      <c r="H110" s="874"/>
      <c r="I110" s="874"/>
      <c r="J110" s="875"/>
    </row>
    <row r="111" spans="1:15" ht="27.75" x14ac:dyDescent="0.5">
      <c r="A111" s="876"/>
      <c r="B111" s="877"/>
      <c r="C111" s="878"/>
      <c r="D111" s="165"/>
      <c r="E111" s="165"/>
      <c r="F111" s="165"/>
      <c r="G111" s="165"/>
      <c r="H111" s="156"/>
      <c r="I111" s="165"/>
      <c r="J111" s="327"/>
    </row>
    <row r="112" spans="1:15" ht="27.75" x14ac:dyDescent="0.5">
      <c r="A112" s="851" t="s">
        <v>252</v>
      </c>
      <c r="B112" s="852"/>
      <c r="C112" s="853"/>
      <c r="D112" s="146" t="s">
        <v>183</v>
      </c>
      <c r="E112" s="95">
        <f>'26'!F112</f>
        <v>57672</v>
      </c>
      <c r="F112" s="237">
        <v>55401</v>
      </c>
      <c r="G112" s="112">
        <f t="shared" ref="G112:G123" si="9">F112-E112</f>
        <v>-2271</v>
      </c>
      <c r="H112" s="99">
        <f>G112+'26'!H112</f>
        <v>-280</v>
      </c>
      <c r="I112" s="165"/>
      <c r="J112" s="328">
        <f>H112/DAY(B2)</f>
        <v>-10.37037037037037</v>
      </c>
    </row>
    <row r="113" spans="1:18" ht="29.25" customHeight="1" x14ac:dyDescent="0.5">
      <c r="A113" s="851" t="s">
        <v>253</v>
      </c>
      <c r="B113" s="852"/>
      <c r="C113" s="853"/>
      <c r="D113" s="146" t="s">
        <v>183</v>
      </c>
      <c r="E113" s="95">
        <f>'26'!F113</f>
        <v>44098</v>
      </c>
      <c r="F113" s="237">
        <v>30408</v>
      </c>
      <c r="G113" s="112">
        <f t="shared" si="9"/>
        <v>-13690</v>
      </c>
      <c r="H113" s="99">
        <f>G113+'26'!H113</f>
        <v>-1787</v>
      </c>
      <c r="I113" s="165"/>
      <c r="J113" s="328">
        <f>H113/DAY(B2)</f>
        <v>-66.18518518518519</v>
      </c>
    </row>
    <row r="114" spans="1:18" ht="29.25" customHeight="1" x14ac:dyDescent="0.5">
      <c r="A114" s="851" t="s">
        <v>254</v>
      </c>
      <c r="B114" s="852"/>
      <c r="C114" s="853"/>
      <c r="D114" s="146" t="s">
        <v>183</v>
      </c>
      <c r="E114" s="95">
        <f>'26'!F114</f>
        <v>31873</v>
      </c>
      <c r="F114" s="237">
        <v>23479</v>
      </c>
      <c r="G114" s="112">
        <f t="shared" si="9"/>
        <v>-8394</v>
      </c>
      <c r="H114" s="99">
        <f>G114+'26'!H114</f>
        <v>-1525.6000000000004</v>
      </c>
      <c r="I114" s="165"/>
      <c r="J114" s="328">
        <f>H114/DAY(B2)</f>
        <v>-56.503703703703714</v>
      </c>
    </row>
    <row r="115" spans="1:18" ht="29.25" customHeight="1" x14ac:dyDescent="0.5">
      <c r="A115" s="851" t="s">
        <v>255</v>
      </c>
      <c r="B115" s="852"/>
      <c r="C115" s="853"/>
      <c r="D115" s="146" t="s">
        <v>183</v>
      </c>
      <c r="E115" s="95">
        <f>'26'!F115</f>
        <v>9047</v>
      </c>
      <c r="F115" s="237">
        <v>8749</v>
      </c>
      <c r="G115" s="112">
        <f t="shared" si="9"/>
        <v>-298</v>
      </c>
      <c r="H115" s="99">
        <f>G115+'26'!H115</f>
        <v>-36</v>
      </c>
      <c r="I115" s="165"/>
      <c r="J115" s="328">
        <f>H115/DAY(B2)</f>
        <v>-1.3333333333333333</v>
      </c>
    </row>
    <row r="116" spans="1:18" ht="29.25" customHeight="1" x14ac:dyDescent="0.5">
      <c r="A116" s="869" t="s">
        <v>96</v>
      </c>
      <c r="B116" s="870"/>
      <c r="C116" s="871"/>
      <c r="D116" s="146" t="s">
        <v>183</v>
      </c>
      <c r="E116" s="95">
        <f>'26'!F116</f>
        <v>0</v>
      </c>
      <c r="F116" s="237">
        <v>0</v>
      </c>
      <c r="G116" s="112">
        <f t="shared" si="9"/>
        <v>0</v>
      </c>
      <c r="H116" s="99">
        <f>G116+'26'!H116</f>
        <v>0</v>
      </c>
      <c r="I116" s="165"/>
      <c r="J116" s="328">
        <f>H116/DAY(B2)</f>
        <v>0</v>
      </c>
      <c r="Q116" s="851" t="s">
        <v>311</v>
      </c>
      <c r="R116" s="853"/>
    </row>
    <row r="117" spans="1:18" ht="29.25" customHeight="1" x14ac:dyDescent="0.5">
      <c r="A117" s="869" t="s">
        <v>184</v>
      </c>
      <c r="B117" s="870"/>
      <c r="C117" s="871"/>
      <c r="D117" s="146" t="s">
        <v>183</v>
      </c>
      <c r="E117" s="95">
        <f>'26'!F117</f>
        <v>3211</v>
      </c>
      <c r="F117" s="237">
        <v>2505</v>
      </c>
      <c r="G117" s="112">
        <f t="shared" si="9"/>
        <v>-706</v>
      </c>
      <c r="H117" s="99">
        <f>G117+'26'!H117</f>
        <v>-85</v>
      </c>
      <c r="I117" s="165"/>
      <c r="J117" s="328">
        <f>H117/DAY(B2)</f>
        <v>-3.1481481481481484</v>
      </c>
      <c r="Q117" s="851" t="s">
        <v>312</v>
      </c>
      <c r="R117" s="853"/>
    </row>
    <row r="118" spans="1:18" ht="27.75" x14ac:dyDescent="0.5">
      <c r="A118" s="846" t="s">
        <v>97</v>
      </c>
      <c r="B118" s="846"/>
      <c r="C118" s="846"/>
      <c r="D118" s="151" t="s">
        <v>183</v>
      </c>
      <c r="E118" s="95">
        <f>'26'!F118</f>
        <v>250782</v>
      </c>
      <c r="F118" s="237">
        <v>240064</v>
      </c>
      <c r="G118" s="112">
        <f t="shared" si="9"/>
        <v>-10718</v>
      </c>
      <c r="H118" s="99">
        <f>G118+'26'!H118</f>
        <v>-1583</v>
      </c>
      <c r="I118" s="165"/>
      <c r="J118" s="328">
        <f>H118/DAY(B2)</f>
        <v>-58.629629629629626</v>
      </c>
      <c r="Q118" s="851" t="s">
        <v>311</v>
      </c>
      <c r="R118" s="853"/>
    </row>
    <row r="119" spans="1:18" ht="27.75" x14ac:dyDescent="0.5">
      <c r="A119" s="846" t="s">
        <v>98</v>
      </c>
      <c r="B119" s="846"/>
      <c r="C119" s="846"/>
      <c r="D119" s="151" t="s">
        <v>183</v>
      </c>
      <c r="E119" s="95">
        <f>'26'!F119</f>
        <v>256078</v>
      </c>
      <c r="F119" s="237">
        <v>243480</v>
      </c>
      <c r="G119" s="112">
        <f t="shared" si="9"/>
        <v>-12598</v>
      </c>
      <c r="H119" s="99">
        <f>G119+'26'!H119</f>
        <v>-1646</v>
      </c>
      <c r="I119" s="165"/>
      <c r="J119" s="328">
        <f>H119/DAY(B2)</f>
        <v>-60.962962962962962</v>
      </c>
    </row>
    <row r="120" spans="1:18" ht="27.75" x14ac:dyDescent="0.5">
      <c r="A120" s="846" t="s">
        <v>99</v>
      </c>
      <c r="B120" s="846"/>
      <c r="C120" s="846"/>
      <c r="D120" s="151" t="s">
        <v>183</v>
      </c>
      <c r="E120" s="95">
        <f>'26'!F120</f>
        <v>40875</v>
      </c>
      <c r="F120" s="237">
        <v>28427</v>
      </c>
      <c r="G120" s="112">
        <f t="shared" si="9"/>
        <v>-12448</v>
      </c>
      <c r="H120" s="99">
        <f>G120+'26'!H120</f>
        <v>-1651</v>
      </c>
      <c r="I120" s="165"/>
      <c r="J120" s="328">
        <f>H120/DAY(B2)</f>
        <v>-61.148148148148145</v>
      </c>
    </row>
    <row r="121" spans="1:18" ht="27.75" x14ac:dyDescent="0.5">
      <c r="A121" s="846" t="s">
        <v>100</v>
      </c>
      <c r="B121" s="846"/>
      <c r="C121" s="846"/>
      <c r="D121" s="151" t="s">
        <v>183</v>
      </c>
      <c r="E121" s="95">
        <f>'26'!F121</f>
        <v>394601</v>
      </c>
      <c r="F121" s="237">
        <v>373420</v>
      </c>
      <c r="G121" s="112">
        <f t="shared" si="9"/>
        <v>-21181</v>
      </c>
      <c r="H121" s="99">
        <f>G121+'26'!H121</f>
        <v>-3109</v>
      </c>
      <c r="I121" s="165"/>
      <c r="J121" s="328">
        <f>H121/DAY(B2)</f>
        <v>-115.14814814814815</v>
      </c>
    </row>
    <row r="122" spans="1:18" ht="27.75" x14ac:dyDescent="0.5">
      <c r="A122" s="846" t="s">
        <v>101</v>
      </c>
      <c r="B122" s="846"/>
      <c r="C122" s="846"/>
      <c r="D122" s="151" t="s">
        <v>183</v>
      </c>
      <c r="E122" s="95">
        <f>'26'!F122</f>
        <v>125189</v>
      </c>
      <c r="F122" s="237">
        <v>119141</v>
      </c>
      <c r="G122" s="112">
        <f t="shared" si="9"/>
        <v>-6048</v>
      </c>
      <c r="H122" s="99">
        <f>G122+'26'!H122</f>
        <v>-909</v>
      </c>
      <c r="I122" s="165"/>
      <c r="J122" s="328">
        <f>H122/DAY(B2)</f>
        <v>-33.666666666666664</v>
      </c>
    </row>
    <row r="123" spans="1:18" ht="27.75" x14ac:dyDescent="0.5">
      <c r="A123" s="846" t="s">
        <v>102</v>
      </c>
      <c r="B123" s="846"/>
      <c r="C123" s="846"/>
      <c r="D123" s="151" t="s">
        <v>183</v>
      </c>
      <c r="E123" s="95">
        <f>'26'!F123</f>
        <v>152660</v>
      </c>
      <c r="F123" s="237">
        <v>143766</v>
      </c>
      <c r="G123" s="112">
        <f t="shared" si="9"/>
        <v>-8894</v>
      </c>
      <c r="H123" s="99">
        <f>G123+'26'!H123</f>
        <v>-1359</v>
      </c>
      <c r="I123" s="165"/>
      <c r="J123" s="328">
        <f>H123/DAY(B2)</f>
        <v>-50.333333333333336</v>
      </c>
    </row>
    <row r="124" spans="1:18" ht="29.25" customHeight="1" x14ac:dyDescent="0.5">
      <c r="A124" s="876"/>
      <c r="B124" s="877"/>
      <c r="C124" s="878"/>
      <c r="D124" s="165"/>
      <c r="E124" s="95">
        <f>'26'!F124</f>
        <v>0</v>
      </c>
      <c r="F124" s="165"/>
      <c r="G124" s="327"/>
      <c r="H124" s="99">
        <f>G124+'26'!H124</f>
        <v>0</v>
      </c>
      <c r="I124" s="165"/>
      <c r="J124" s="327"/>
    </row>
    <row r="125" spans="1:18" ht="27.75" x14ac:dyDescent="0.5">
      <c r="A125" s="879" t="s">
        <v>196</v>
      </c>
      <c r="B125" s="880"/>
      <c r="C125" s="245"/>
      <c r="D125" s="307"/>
      <c r="E125" s="308"/>
      <c r="F125" s="308"/>
      <c r="G125" s="309">
        <f>SUM(G112:G124)</f>
        <v>-97246</v>
      </c>
      <c r="H125" s="156"/>
      <c r="I125" s="327">
        <f>G125-(G39+G53)</f>
        <v>-451297</v>
      </c>
      <c r="J125" s="327"/>
    </row>
    <row r="126" spans="1:18" ht="27.75" x14ac:dyDescent="0.5">
      <c r="A126" s="881" t="s">
        <v>317</v>
      </c>
      <c r="B126" s="881"/>
      <c r="C126" s="881"/>
      <c r="D126" s="881"/>
      <c r="E126" s="881"/>
      <c r="F126" s="881"/>
      <c r="G126" s="881"/>
      <c r="H126" s="881"/>
      <c r="I126" s="881"/>
      <c r="J126" s="881"/>
    </row>
    <row r="127" spans="1:18" ht="27.75" x14ac:dyDescent="0.5">
      <c r="A127" s="882"/>
      <c r="B127" s="882"/>
      <c r="C127" s="245"/>
      <c r="D127" s="307"/>
      <c r="E127" s="308"/>
      <c r="F127" s="308"/>
      <c r="G127" s="309"/>
      <c r="H127" s="99">
        <f>G127+'26'!H127</f>
        <v>0</v>
      </c>
      <c r="I127" s="165"/>
      <c r="J127" s="328">
        <f>H127/DAY(B2)</f>
        <v>0</v>
      </c>
    </row>
    <row r="128" spans="1:18" ht="29.25" customHeight="1" x14ac:dyDescent="0.5">
      <c r="A128" s="851" t="s">
        <v>318</v>
      </c>
      <c r="B128" s="852"/>
      <c r="C128" s="853"/>
      <c r="D128" s="151" t="s">
        <v>183</v>
      </c>
      <c r="E128" s="95">
        <f>'26'!F128</f>
        <v>46244</v>
      </c>
      <c r="F128" s="155">
        <v>36625</v>
      </c>
      <c r="G128" s="112">
        <f t="shared" ref="G128:G134" si="10">F128-E128</f>
        <v>-9619</v>
      </c>
      <c r="H128" s="99">
        <f>G128+'26'!H128</f>
        <v>-1379</v>
      </c>
      <c r="I128" s="165"/>
      <c r="J128" s="328">
        <f>H128/DAY(B2)</f>
        <v>-51.074074074074076</v>
      </c>
    </row>
    <row r="129" spans="1:15" ht="27.75" x14ac:dyDescent="0.5">
      <c r="A129" s="329" t="s">
        <v>319</v>
      </c>
      <c r="B129" s="330"/>
      <c r="C129" s="331"/>
      <c r="D129" s="151" t="s">
        <v>183</v>
      </c>
      <c r="E129" s="95">
        <f>'26'!F129</f>
        <v>25957</v>
      </c>
      <c r="F129" s="155">
        <v>19441</v>
      </c>
      <c r="G129" s="112">
        <f t="shared" si="10"/>
        <v>-6516</v>
      </c>
      <c r="H129" s="99">
        <f>G129+'26'!H129</f>
        <v>-880</v>
      </c>
      <c r="I129" s="165"/>
      <c r="J129" s="328">
        <f>H129/DAY(B2)</f>
        <v>-32.592592592592595</v>
      </c>
      <c r="N129" s="240"/>
      <c r="O129" s="241"/>
    </row>
    <row r="130" spans="1:15" ht="27.75" x14ac:dyDescent="0.5">
      <c r="A130" s="329" t="s">
        <v>320</v>
      </c>
      <c r="B130" s="330"/>
      <c r="C130" s="331"/>
      <c r="D130" s="151" t="s">
        <v>183</v>
      </c>
      <c r="E130" s="95">
        <f>'26'!F130</f>
        <v>33360</v>
      </c>
      <c r="F130" s="155">
        <v>15070</v>
      </c>
      <c r="G130" s="112">
        <f t="shared" si="10"/>
        <v>-18290</v>
      </c>
      <c r="H130" s="99">
        <f>G130+'26'!H130</f>
        <v>-3312</v>
      </c>
      <c r="I130" s="165"/>
      <c r="J130" s="328">
        <f>H130/DAY(B2)</f>
        <v>-122.66666666666667</v>
      </c>
      <c r="N130" s="240"/>
      <c r="O130" s="241"/>
    </row>
    <row r="131" spans="1:15" ht="27.75" x14ac:dyDescent="0.5">
      <c r="A131" s="851" t="s">
        <v>321</v>
      </c>
      <c r="B131" s="852"/>
      <c r="C131" s="853"/>
      <c r="D131" s="151" t="s">
        <v>183</v>
      </c>
      <c r="E131" s="95">
        <f>'26'!F131</f>
        <v>15020</v>
      </c>
      <c r="F131" s="155">
        <v>12802</v>
      </c>
      <c r="G131" s="112">
        <f t="shared" si="10"/>
        <v>-2218</v>
      </c>
      <c r="H131" s="99">
        <f>G131+'26'!H131</f>
        <v>-351</v>
      </c>
      <c r="I131" s="165"/>
      <c r="J131" s="328">
        <f>H131/DAY(B2)</f>
        <v>-13</v>
      </c>
      <c r="N131" s="240"/>
      <c r="O131" s="241"/>
    </row>
    <row r="132" spans="1:15" ht="27.75" x14ac:dyDescent="0.5">
      <c r="A132" s="851" t="s">
        <v>322</v>
      </c>
      <c r="B132" s="852"/>
      <c r="C132" s="853"/>
      <c r="D132" s="151" t="s">
        <v>183</v>
      </c>
      <c r="E132" s="95">
        <f>'26'!F132</f>
        <v>51045</v>
      </c>
      <c r="F132" s="155">
        <v>39228</v>
      </c>
      <c r="G132" s="112">
        <f t="shared" si="10"/>
        <v>-11817</v>
      </c>
      <c r="H132" s="99">
        <f>G132+'26'!H132</f>
        <v>-1795</v>
      </c>
      <c r="I132" s="165"/>
      <c r="J132" s="328">
        <f>H132/DAY(B2)</f>
        <v>-66.481481481481481</v>
      </c>
    </row>
    <row r="133" spans="1:15" ht="27.75" x14ac:dyDescent="0.5">
      <c r="A133" s="851" t="s">
        <v>362</v>
      </c>
      <c r="B133" s="852"/>
      <c r="C133" s="853"/>
      <c r="D133" s="151" t="s">
        <v>183</v>
      </c>
      <c r="E133" s="95">
        <f>'26'!F133</f>
        <v>103140</v>
      </c>
      <c r="F133" s="155">
        <v>85102</v>
      </c>
      <c r="G133" s="112">
        <f t="shared" si="10"/>
        <v>-18038</v>
      </c>
      <c r="H133" s="99">
        <f>G133+'26'!H133</f>
        <v>-2601</v>
      </c>
      <c r="I133" s="165"/>
      <c r="J133" s="328">
        <f>H133/DAY(B2)</f>
        <v>-96.333333333333329</v>
      </c>
    </row>
    <row r="134" spans="1:15" ht="27.75" x14ac:dyDescent="0.5">
      <c r="A134" s="851" t="s">
        <v>340</v>
      </c>
      <c r="B134" s="852"/>
      <c r="C134" s="853"/>
      <c r="D134" s="151" t="s">
        <v>183</v>
      </c>
      <c r="E134" s="95">
        <f>'26'!F134</f>
        <v>7872</v>
      </c>
      <c r="F134" s="155">
        <v>666384</v>
      </c>
      <c r="G134" s="112">
        <f t="shared" si="10"/>
        <v>658512</v>
      </c>
      <c r="H134" s="99">
        <f>G134+'26'!H134</f>
        <v>668678</v>
      </c>
      <c r="I134" s="165"/>
      <c r="J134" s="328">
        <f>H134/DAY(B2)</f>
        <v>24765.85185185185</v>
      </c>
    </row>
    <row r="135" spans="1:15" ht="27.75" x14ac:dyDescent="0.5">
      <c r="A135" s="879" t="s">
        <v>196</v>
      </c>
      <c r="B135" s="880"/>
      <c r="C135" s="331"/>
      <c r="D135" s="151"/>
      <c r="E135" s="95"/>
      <c r="F135" s="165"/>
      <c r="G135" s="112">
        <f>SUM(G128:G134)</f>
        <v>592014</v>
      </c>
      <c r="H135" s="99">
        <f>G135+'23'!H135</f>
        <v>625374.16999999993</v>
      </c>
      <c r="I135" s="327">
        <f>G135-(G35+G49)</f>
        <v>226821</v>
      </c>
      <c r="J135" s="328"/>
    </row>
    <row r="136" spans="1:15" ht="31.5" x14ac:dyDescent="0.55000000000000004">
      <c r="A136" s="883" t="s">
        <v>325</v>
      </c>
      <c r="B136" s="883"/>
      <c r="C136" s="883"/>
      <c r="D136" s="883"/>
      <c r="E136" s="883"/>
      <c r="F136" s="883"/>
      <c r="G136" s="883"/>
      <c r="H136" s="883"/>
      <c r="I136" s="883"/>
      <c r="J136" s="883"/>
    </row>
    <row r="137" spans="1:15" ht="29.25" x14ac:dyDescent="0.5">
      <c r="A137" s="245"/>
      <c r="B137" s="246"/>
      <c r="C137" s="246"/>
      <c r="D137" s="165"/>
      <c r="E137" s="165"/>
      <c r="F137" s="165"/>
      <c r="G137" s="165"/>
      <c r="H137" s="156"/>
      <c r="I137" s="165"/>
      <c r="J137" s="327"/>
    </row>
    <row r="138" spans="1:15" ht="27.75" x14ac:dyDescent="0.5">
      <c r="A138" s="846" t="s">
        <v>185</v>
      </c>
      <c r="B138" s="846"/>
      <c r="C138" s="846"/>
      <c r="D138" s="151" t="s">
        <v>183</v>
      </c>
      <c r="E138" s="95">
        <f>'26'!F138</f>
        <v>865891</v>
      </c>
      <c r="F138" s="147">
        <v>863742</v>
      </c>
      <c r="G138" s="112">
        <f t="shared" ref="G138:G152" si="11">F138-E138</f>
        <v>-2149</v>
      </c>
      <c r="H138" s="99">
        <f>G138+'26'!H138</f>
        <v>-429</v>
      </c>
      <c r="I138" s="118"/>
      <c r="J138" s="328">
        <f>H138/DAY(B2)</f>
        <v>-15.888888888888889</v>
      </c>
    </row>
    <row r="139" spans="1:15" ht="27.75" x14ac:dyDescent="0.5">
      <c r="A139" s="846" t="s">
        <v>186</v>
      </c>
      <c r="B139" s="846"/>
      <c r="C139" s="846"/>
      <c r="D139" s="151" t="s">
        <v>183</v>
      </c>
      <c r="E139" s="95">
        <f>'26'!F139</f>
        <v>886569</v>
      </c>
      <c r="F139" s="148">
        <v>886542</v>
      </c>
      <c r="G139" s="112">
        <f t="shared" si="11"/>
        <v>-27</v>
      </c>
      <c r="H139" s="99">
        <f>G139+'26'!H139</f>
        <v>-4</v>
      </c>
      <c r="I139" s="118"/>
      <c r="J139" s="328">
        <f>H139/DAY(B2)</f>
        <v>-0.14814814814814814</v>
      </c>
    </row>
    <row r="140" spans="1:15" ht="27.75" x14ac:dyDescent="0.5">
      <c r="A140" s="846" t="s">
        <v>187</v>
      </c>
      <c r="B140" s="846"/>
      <c r="C140" s="846"/>
      <c r="D140" s="151" t="s">
        <v>183</v>
      </c>
      <c r="E140" s="95">
        <f>'26'!F140</f>
        <v>88922</v>
      </c>
      <c r="F140" s="149">
        <v>88882</v>
      </c>
      <c r="G140" s="112">
        <f t="shared" si="11"/>
        <v>-40</v>
      </c>
      <c r="H140" s="99">
        <f>G140+'26'!H140</f>
        <v>0</v>
      </c>
      <c r="I140" s="118"/>
      <c r="J140" s="328">
        <f>H140/DAY(B2)</f>
        <v>0</v>
      </c>
    </row>
    <row r="141" spans="1:15" ht="27.75" x14ac:dyDescent="0.5">
      <c r="A141" s="850" t="s">
        <v>188</v>
      </c>
      <c r="B141" s="850"/>
      <c r="C141" s="850"/>
      <c r="D141" s="151" t="s">
        <v>183</v>
      </c>
      <c r="E141" s="95">
        <f>'26'!F141</f>
        <v>53837</v>
      </c>
      <c r="F141" s="149">
        <v>48555</v>
      </c>
      <c r="G141" s="112">
        <f t="shared" si="11"/>
        <v>-5282</v>
      </c>
      <c r="H141" s="99">
        <f>G141+'26'!H141</f>
        <v>-751</v>
      </c>
      <c r="I141" s="118"/>
      <c r="J141" s="328">
        <f>H141/DAY(B2)</f>
        <v>-27.814814814814813</v>
      </c>
    </row>
    <row r="142" spans="1:15" ht="27.75" x14ac:dyDescent="0.5">
      <c r="A142" s="850" t="s">
        <v>189</v>
      </c>
      <c r="B142" s="850"/>
      <c r="C142" s="850"/>
      <c r="D142" s="151" t="s">
        <v>183</v>
      </c>
      <c r="E142" s="95">
        <f>'26'!F142</f>
        <v>20902</v>
      </c>
      <c r="F142" s="148">
        <v>18702</v>
      </c>
      <c r="G142" s="112">
        <f t="shared" si="11"/>
        <v>-2200</v>
      </c>
      <c r="H142" s="99">
        <f>G142+'26'!H142</f>
        <v>-307</v>
      </c>
      <c r="I142" s="140"/>
      <c r="J142" s="328">
        <f>H142/DAY(B2)</f>
        <v>-11.37037037037037</v>
      </c>
    </row>
    <row r="143" spans="1:15" ht="27.75" x14ac:dyDescent="0.5">
      <c r="A143" s="846" t="s">
        <v>91</v>
      </c>
      <c r="B143" s="846"/>
      <c r="C143" s="846"/>
      <c r="D143" s="151" t="s">
        <v>183</v>
      </c>
      <c r="E143" s="95">
        <f>'26'!F143</f>
        <v>3711</v>
      </c>
      <c r="F143" s="149">
        <v>2968</v>
      </c>
      <c r="G143" s="112">
        <f t="shared" si="11"/>
        <v>-743</v>
      </c>
      <c r="H143" s="99">
        <f>G143+'26'!H143</f>
        <v>-93</v>
      </c>
      <c r="I143" s="140"/>
      <c r="J143" s="328">
        <f>H143/DAY(B2)</f>
        <v>-3.4444444444444446</v>
      </c>
    </row>
    <row r="144" spans="1:15" ht="27.75" x14ac:dyDescent="0.5">
      <c r="A144" s="850" t="s">
        <v>90</v>
      </c>
      <c r="B144" s="850"/>
      <c r="C144" s="850"/>
      <c r="D144" s="151" t="s">
        <v>183</v>
      </c>
      <c r="E144" s="95">
        <f>'26'!F144</f>
        <v>875477</v>
      </c>
      <c r="F144" s="149">
        <v>868722</v>
      </c>
      <c r="G144" s="112">
        <f t="shared" si="11"/>
        <v>-6755</v>
      </c>
      <c r="H144" s="99">
        <f>G144+'26'!H144</f>
        <v>-948</v>
      </c>
      <c r="I144" s="140"/>
      <c r="J144" s="328">
        <f>H144/DAY(B2)</f>
        <v>-35.111111111111114</v>
      </c>
    </row>
    <row r="145" spans="1:10" ht="27.75" x14ac:dyDescent="0.5">
      <c r="A145" s="846" t="s">
        <v>190</v>
      </c>
      <c r="B145" s="846"/>
      <c r="C145" s="846"/>
      <c r="D145" s="152" t="s">
        <v>183</v>
      </c>
      <c r="E145" s="95">
        <f>'26'!F145</f>
        <v>4921</v>
      </c>
      <c r="F145" s="149">
        <v>4506</v>
      </c>
      <c r="G145" s="112">
        <f t="shared" si="11"/>
        <v>-415</v>
      </c>
      <c r="H145" s="99">
        <f>G145+'26'!H145</f>
        <v>-52</v>
      </c>
      <c r="I145" s="140"/>
      <c r="J145" s="328">
        <f>H145/DAY(B2)</f>
        <v>-1.9259259259259258</v>
      </c>
    </row>
    <row r="146" spans="1:10" ht="27.75" x14ac:dyDescent="0.5">
      <c r="A146" s="847" t="s">
        <v>191</v>
      </c>
      <c r="B146" s="848"/>
      <c r="C146" s="849"/>
      <c r="D146" s="152" t="s">
        <v>183</v>
      </c>
      <c r="E146" s="95">
        <f>'26'!F146</f>
        <v>735287</v>
      </c>
      <c r="F146" s="148">
        <v>722992</v>
      </c>
      <c r="G146" s="112">
        <f t="shared" si="11"/>
        <v>-12295</v>
      </c>
      <c r="H146" s="99">
        <f>G146+'26'!H146</f>
        <v>-1866</v>
      </c>
      <c r="I146" s="140"/>
      <c r="J146" s="328">
        <f>H146/DAY(B2)</f>
        <v>-69.111111111111114</v>
      </c>
    </row>
    <row r="147" spans="1:10" ht="27.75" x14ac:dyDescent="0.5">
      <c r="A147" s="850" t="s">
        <v>192</v>
      </c>
      <c r="B147" s="850"/>
      <c r="C147" s="850"/>
      <c r="D147" s="152" t="s">
        <v>183</v>
      </c>
      <c r="E147" s="95">
        <f>'26'!F147</f>
        <v>624833</v>
      </c>
      <c r="F147" s="148">
        <v>613648</v>
      </c>
      <c r="G147" s="112">
        <f t="shared" si="11"/>
        <v>-11185</v>
      </c>
      <c r="H147" s="99">
        <f>G147+'26'!H147</f>
        <v>-1634</v>
      </c>
      <c r="I147" s="140"/>
      <c r="J147" s="328">
        <f>H147/DAY(B2)</f>
        <v>-60.518518518518519</v>
      </c>
    </row>
    <row r="148" spans="1:10" ht="27.75" x14ac:dyDescent="0.5">
      <c r="A148" s="842" t="s">
        <v>193</v>
      </c>
      <c r="B148" s="843"/>
      <c r="C148" s="844"/>
      <c r="D148" s="123" t="s">
        <v>130</v>
      </c>
      <c r="E148" s="95">
        <f>'26'!F148</f>
        <v>688470</v>
      </c>
      <c r="F148" s="150">
        <v>681948</v>
      </c>
      <c r="G148" s="112">
        <f t="shared" si="11"/>
        <v>-6522</v>
      </c>
      <c r="H148" s="99">
        <f>G148+'26'!H148</f>
        <v>-1085.1199999999953</v>
      </c>
      <c r="I148" s="124"/>
      <c r="J148" s="328">
        <f>H148/DAY(B2)</f>
        <v>-40.189629629629458</v>
      </c>
    </row>
    <row r="149" spans="1:10" ht="27.75" x14ac:dyDescent="0.5">
      <c r="A149" s="842" t="s">
        <v>336</v>
      </c>
      <c r="B149" s="843"/>
      <c r="C149" s="844"/>
      <c r="D149" s="227" t="s">
        <v>130</v>
      </c>
      <c r="E149" s="95">
        <f>'26'!F149</f>
        <v>22268</v>
      </c>
      <c r="F149" s="146">
        <v>8605</v>
      </c>
      <c r="G149" s="112">
        <f t="shared" si="11"/>
        <v>-13663</v>
      </c>
      <c r="H149" s="99">
        <f>G149+'26'!H149</f>
        <v>-2144</v>
      </c>
      <c r="I149" s="119"/>
      <c r="J149" s="328">
        <f>H149/DAY(B2)</f>
        <v>-79.407407407407405</v>
      </c>
    </row>
    <row r="150" spans="1:10" ht="27.75" x14ac:dyDescent="0.5">
      <c r="A150" s="842" t="s">
        <v>337</v>
      </c>
      <c r="B150" s="843"/>
      <c r="C150" s="844"/>
      <c r="D150" s="117" t="s">
        <v>130</v>
      </c>
      <c r="E150" s="95">
        <f>'26'!F150</f>
        <v>9782</v>
      </c>
      <c r="F150" s="233">
        <v>3160</v>
      </c>
      <c r="G150" s="112">
        <f t="shared" si="11"/>
        <v>-6622</v>
      </c>
      <c r="H150" s="99">
        <f>G150+'26'!H150</f>
        <v>-892</v>
      </c>
      <c r="I150" s="119"/>
      <c r="J150" s="328">
        <f>H150/DAY(B2)</f>
        <v>-33.037037037037038</v>
      </c>
    </row>
    <row r="151" spans="1:10" ht="27.75" x14ac:dyDescent="0.5">
      <c r="A151" s="842" t="s">
        <v>338</v>
      </c>
      <c r="B151" s="843"/>
      <c r="C151" s="844"/>
      <c r="D151" s="117" t="s">
        <v>130</v>
      </c>
      <c r="E151" s="95">
        <f>'26'!F151</f>
        <v>84184</v>
      </c>
      <c r="F151" s="233">
        <v>77224</v>
      </c>
      <c r="G151" s="112">
        <f t="shared" si="11"/>
        <v>-6960</v>
      </c>
      <c r="H151" s="99">
        <f>G151+'26'!H151</f>
        <v>-993</v>
      </c>
      <c r="I151" s="119"/>
      <c r="J151" s="328">
        <f>H151/DAY(B2)</f>
        <v>-36.777777777777779</v>
      </c>
    </row>
    <row r="152" spans="1:10" ht="27.75" x14ac:dyDescent="0.5">
      <c r="A152" s="842" t="s">
        <v>339</v>
      </c>
      <c r="B152" s="843"/>
      <c r="C152" s="844"/>
      <c r="D152" s="117" t="s">
        <v>130</v>
      </c>
      <c r="E152" s="95">
        <f>'26'!F152</f>
        <v>1573</v>
      </c>
      <c r="F152" s="233">
        <v>934</v>
      </c>
      <c r="G152" s="112">
        <f t="shared" si="11"/>
        <v>-639</v>
      </c>
      <c r="H152" s="99">
        <f>G152+'26'!H152</f>
        <v>-193</v>
      </c>
      <c r="I152" s="119"/>
      <c r="J152" s="328">
        <f>H152/DAY(B2)</f>
        <v>-7.1481481481481479</v>
      </c>
    </row>
    <row r="153" spans="1:10" ht="27.75" x14ac:dyDescent="0.5">
      <c r="A153" s="879" t="s">
        <v>196</v>
      </c>
      <c r="B153" s="880"/>
      <c r="C153" s="365"/>
      <c r="D153" s="358"/>
      <c r="E153" s="360"/>
      <c r="F153" s="361"/>
      <c r="G153" s="362">
        <f>SUM(G138:G152)</f>
        <v>-75497</v>
      </c>
      <c r="H153" s="363"/>
      <c r="I153" s="119">
        <f>G153-(G38+G52)</f>
        <v>-270656</v>
      </c>
      <c r="J153" s="366"/>
    </row>
    <row r="154" spans="1:10" ht="31.5" x14ac:dyDescent="0.55000000000000004">
      <c r="A154" s="883" t="s">
        <v>344</v>
      </c>
      <c r="B154" s="883"/>
      <c r="C154" s="883"/>
      <c r="D154" s="883"/>
      <c r="E154" s="883"/>
      <c r="F154" s="883"/>
      <c r="G154" s="883"/>
      <c r="H154" s="883"/>
      <c r="I154" s="883"/>
      <c r="J154" s="883"/>
    </row>
    <row r="155" spans="1:10" ht="31.5" x14ac:dyDescent="0.55000000000000004">
      <c r="A155" s="850" t="s">
        <v>345</v>
      </c>
      <c r="B155" s="850"/>
      <c r="C155" s="850"/>
      <c r="D155" s="117" t="s">
        <v>130</v>
      </c>
      <c r="E155" s="95">
        <f>'26'!F155</f>
        <v>28985</v>
      </c>
      <c r="F155" s="473">
        <v>10144</v>
      </c>
      <c r="G155" s="112">
        <f t="shared" ref="G155:G158" si="12">F155-E155</f>
        <v>-18841</v>
      </c>
      <c r="H155" s="99">
        <f>G155+'26'!H155</f>
        <v>-3328</v>
      </c>
      <c r="I155" s="364"/>
      <c r="J155" s="328">
        <f>H155/DAY(B2)</f>
        <v>-123.25925925925925</v>
      </c>
    </row>
    <row r="156" spans="1:10" ht="27.75" x14ac:dyDescent="0.5">
      <c r="A156" s="850" t="s">
        <v>347</v>
      </c>
      <c r="B156" s="850"/>
      <c r="C156" s="850"/>
      <c r="D156" s="117" t="s">
        <v>130</v>
      </c>
      <c r="E156" s="95">
        <f>'26'!F156</f>
        <v>2460</v>
      </c>
      <c r="F156" s="155">
        <v>812</v>
      </c>
      <c r="G156" s="112">
        <f t="shared" si="12"/>
        <v>-1648</v>
      </c>
      <c r="H156" s="99">
        <f>G156+'26'!H156</f>
        <v>-276</v>
      </c>
      <c r="I156" s="165"/>
      <c r="J156" s="328">
        <f>H156/DAY(B2)</f>
        <v>-10.222222222222221</v>
      </c>
    </row>
    <row r="157" spans="1:10" ht="27.75" x14ac:dyDescent="0.5">
      <c r="A157" s="842" t="s">
        <v>364</v>
      </c>
      <c r="B157" s="843"/>
      <c r="C157" s="844"/>
      <c r="D157" s="117" t="s">
        <v>130</v>
      </c>
      <c r="E157" s="95">
        <f>'26'!F157</f>
        <v>3487</v>
      </c>
      <c r="F157" s="155">
        <v>942</v>
      </c>
      <c r="G157" s="112">
        <f t="shared" si="12"/>
        <v>-2545</v>
      </c>
      <c r="H157" s="99">
        <f>G157+'26'!H157</f>
        <v>-1778.1599999999999</v>
      </c>
      <c r="I157" s="165"/>
      <c r="J157" s="328"/>
    </row>
    <row r="158" spans="1:10" ht="27.75" x14ac:dyDescent="0.5">
      <c r="A158" s="842" t="s">
        <v>365</v>
      </c>
      <c r="B158" s="843"/>
      <c r="C158" s="844"/>
      <c r="D158" s="117" t="s">
        <v>130</v>
      </c>
      <c r="E158" s="95">
        <f>'26'!F158</f>
        <v>44.99</v>
      </c>
      <c r="F158" s="155">
        <v>1.43</v>
      </c>
      <c r="G158" s="112">
        <f t="shared" si="12"/>
        <v>-43.56</v>
      </c>
      <c r="H158" s="99">
        <f>G158+'26'!H158</f>
        <v>-22.91</v>
      </c>
      <c r="I158" s="165"/>
      <c r="J158" s="328"/>
    </row>
    <row r="159" spans="1:10" ht="27.75" x14ac:dyDescent="0.5">
      <c r="A159" s="899"/>
      <c r="B159" s="900"/>
      <c r="C159" s="901"/>
      <c r="D159" s="117"/>
      <c r="E159" s="95"/>
      <c r="F159" s="155"/>
      <c r="G159" s="112"/>
      <c r="H159" s="99"/>
      <c r="I159" s="165"/>
      <c r="J159" s="328"/>
    </row>
    <row r="160" spans="1:10" ht="31.5" x14ac:dyDescent="0.55000000000000004">
      <c r="A160" s="883" t="s">
        <v>326</v>
      </c>
      <c r="B160" s="883"/>
      <c r="C160" s="883"/>
      <c r="D160" s="883"/>
      <c r="E160" s="883"/>
      <c r="F160" s="883"/>
      <c r="G160" s="883"/>
      <c r="H160" s="883"/>
      <c r="I160" s="883"/>
      <c r="J160" s="883"/>
    </row>
    <row r="161" spans="1:10" ht="29.25" x14ac:dyDescent="0.5">
      <c r="A161" s="242" t="s">
        <v>92</v>
      </c>
      <c r="B161" s="243"/>
      <c r="C161" s="243"/>
      <c r="D161" s="244" t="s">
        <v>180</v>
      </c>
      <c r="E161" s="95">
        <f>'26'!F161</f>
        <v>471909</v>
      </c>
      <c r="F161" s="235">
        <v>471151</v>
      </c>
      <c r="G161" s="238">
        <f t="shared" ref="G161:G165" si="13">F161-E161</f>
        <v>-758</v>
      </c>
      <c r="H161" s="99">
        <f>G161+'26'!H161</f>
        <v>-2.1599999999743886</v>
      </c>
      <c r="I161" s="236"/>
      <c r="J161" s="239">
        <f>H161/DAY(B2)</f>
        <v>-7.9999999999051427E-2</v>
      </c>
    </row>
    <row r="162" spans="1:10" ht="29.25" x14ac:dyDescent="0.5">
      <c r="A162" s="242" t="s">
        <v>93</v>
      </c>
      <c r="B162" s="243"/>
      <c r="C162" s="243"/>
      <c r="D162" s="244" t="s">
        <v>180</v>
      </c>
      <c r="E162" s="95">
        <f>'26'!F162</f>
        <v>88359</v>
      </c>
      <c r="F162" s="235">
        <v>87454</v>
      </c>
      <c r="G162" s="238">
        <f t="shared" si="13"/>
        <v>-905</v>
      </c>
      <c r="H162" s="99">
        <f>G162+'26'!H162</f>
        <v>-116</v>
      </c>
      <c r="I162" s="236"/>
      <c r="J162" s="239">
        <f>H162/DAY(B2)</f>
        <v>-4.2962962962962967</v>
      </c>
    </row>
    <row r="163" spans="1:10" ht="29.25" x14ac:dyDescent="0.5">
      <c r="A163" s="242" t="s">
        <v>197</v>
      </c>
      <c r="B163" s="243"/>
      <c r="C163" s="243"/>
      <c r="D163" s="244" t="s">
        <v>180</v>
      </c>
      <c r="E163" s="95">
        <f>'26'!F163</f>
        <v>78997</v>
      </c>
      <c r="F163" s="235">
        <v>77551</v>
      </c>
      <c r="G163" s="238">
        <f t="shared" si="13"/>
        <v>-1446</v>
      </c>
      <c r="H163" s="99">
        <f>G163+'26'!H163</f>
        <v>-274</v>
      </c>
      <c r="I163" s="236"/>
      <c r="J163" s="239">
        <f>H163/DAY(B2)</f>
        <v>-10.148148148148149</v>
      </c>
    </row>
    <row r="164" spans="1:10" ht="29.25" x14ac:dyDescent="0.5">
      <c r="A164" s="242" t="s">
        <v>197</v>
      </c>
      <c r="B164" s="243"/>
      <c r="C164" s="243"/>
      <c r="D164" s="244" t="s">
        <v>180</v>
      </c>
      <c r="E164" s="95">
        <f>'26'!F164</f>
        <v>4309</v>
      </c>
      <c r="F164" s="235">
        <v>4230</v>
      </c>
      <c r="G164" s="238">
        <f t="shared" si="13"/>
        <v>-79</v>
      </c>
      <c r="H164" s="99">
        <f>G164+'26'!H164</f>
        <v>-12</v>
      </c>
      <c r="I164" s="236"/>
      <c r="J164" s="239">
        <f>H164/DAY(B2)</f>
        <v>-0.44444444444444442</v>
      </c>
    </row>
    <row r="165" spans="1:10" ht="29.25" x14ac:dyDescent="0.5">
      <c r="A165" s="242" t="s">
        <v>309</v>
      </c>
      <c r="B165" s="243"/>
      <c r="C165" s="243"/>
      <c r="D165" s="244" t="s">
        <v>180</v>
      </c>
      <c r="E165" s="95">
        <f>'26'!F165</f>
        <v>29811</v>
      </c>
      <c r="F165" s="235">
        <v>29619</v>
      </c>
      <c r="G165" s="238">
        <f t="shared" si="13"/>
        <v>-192</v>
      </c>
      <c r="H165" s="99">
        <f>G165+'26'!H165</f>
        <v>-27</v>
      </c>
      <c r="I165" s="236"/>
      <c r="J165" s="239">
        <f>H165/DAY(B2)</f>
        <v>-1</v>
      </c>
    </row>
    <row r="166" spans="1:10" ht="29.25" x14ac:dyDescent="0.5">
      <c r="A166" s="882"/>
      <c r="B166" s="882"/>
      <c r="C166" s="246"/>
      <c r="D166" s="244" t="s">
        <v>180</v>
      </c>
      <c r="E166" s="95">
        <f>'26'!F166</f>
        <v>0</v>
      </c>
      <c r="F166" s="165"/>
      <c r="G166" s="165"/>
      <c r="H166" s="99">
        <f>G166+'26'!H166</f>
        <v>0</v>
      </c>
      <c r="I166" s="165"/>
      <c r="J166" s="239">
        <f>H166/DAY(B2)</f>
        <v>0</v>
      </c>
    </row>
    <row r="167" spans="1:10" ht="29.25" x14ac:dyDescent="0.5">
      <c r="A167" s="882"/>
      <c r="B167" s="882"/>
      <c r="C167" s="246"/>
      <c r="D167" s="244" t="s">
        <v>180</v>
      </c>
      <c r="E167" s="95">
        <f>'26'!F167</f>
        <v>0</v>
      </c>
      <c r="F167" s="165"/>
      <c r="G167" s="165"/>
      <c r="H167" s="99">
        <f>G167+'26'!H167</f>
        <v>0</v>
      </c>
      <c r="I167" s="165"/>
      <c r="J167" s="239">
        <f>H167/DAY(B2)</f>
        <v>0</v>
      </c>
    </row>
    <row r="168" spans="1:10" ht="29.25" x14ac:dyDescent="0.5">
      <c r="A168" s="882"/>
      <c r="B168" s="882"/>
      <c r="C168" s="246"/>
      <c r="D168" s="244" t="s">
        <v>180</v>
      </c>
      <c r="E168" s="95">
        <f>'26'!F168</f>
        <v>0</v>
      </c>
      <c r="F168" s="165"/>
      <c r="G168" s="165"/>
      <c r="H168" s="99">
        <f>G168+'26'!H168</f>
        <v>0</v>
      </c>
      <c r="I168" s="165"/>
      <c r="J168" s="239">
        <f>H168/DAY(B2)</f>
        <v>0</v>
      </c>
    </row>
    <row r="169" spans="1:10" ht="29.25" x14ac:dyDescent="0.5"/>
    <row r="170" spans="1:10" ht="29.25" x14ac:dyDescent="0.5"/>
    <row r="171" spans="1:10" ht="31.5" x14ac:dyDescent="0.35">
      <c r="A171" s="890" t="s">
        <v>330</v>
      </c>
      <c r="B171" s="891"/>
      <c r="C171" s="891"/>
      <c r="D171" s="891"/>
      <c r="E171" s="891"/>
      <c r="F171" s="891"/>
      <c r="G171" s="891"/>
      <c r="H171" s="891"/>
      <c r="I171" s="891"/>
      <c r="J171" s="892"/>
    </row>
    <row r="172" spans="1:10" ht="27.75" x14ac:dyDescent="0.5">
      <c r="A172" s="886"/>
      <c r="B172" s="887"/>
      <c r="C172" s="332"/>
      <c r="D172" s="228"/>
      <c r="E172" s="155"/>
      <c r="F172" s="155"/>
      <c r="G172" s="155"/>
      <c r="H172" s="156"/>
      <c r="I172" s="155"/>
      <c r="J172" s="178"/>
    </row>
    <row r="173" spans="1:10" ht="27.75" x14ac:dyDescent="0.5">
      <c r="A173" s="840" t="s">
        <v>209</v>
      </c>
      <c r="B173" s="841"/>
      <c r="C173" s="333"/>
      <c r="D173" s="228" t="s">
        <v>142</v>
      </c>
      <c r="E173" s="95">
        <f>'26'!F173</f>
        <v>8126</v>
      </c>
      <c r="F173" s="155">
        <v>8126</v>
      </c>
      <c r="G173" s="155">
        <f>F173-E173</f>
        <v>0</v>
      </c>
      <c r="H173" s="99">
        <f>G173+'26'!H173</f>
        <v>0</v>
      </c>
      <c r="I173" s="155"/>
      <c r="J173" s="178">
        <f>H173/DAY(B2)</f>
        <v>0</v>
      </c>
    </row>
    <row r="174" spans="1:10" ht="27.75" x14ac:dyDescent="0.5">
      <c r="A174" s="840" t="s">
        <v>75</v>
      </c>
      <c r="B174" s="841"/>
      <c r="C174" s="333"/>
      <c r="D174" s="228" t="s">
        <v>142</v>
      </c>
      <c r="E174" s="95">
        <f>'26'!F174</f>
        <v>38548</v>
      </c>
      <c r="F174" s="157">
        <v>38236</v>
      </c>
      <c r="G174" s="155">
        <f t="shared" ref="G174:G175" si="14">F174-E174</f>
        <v>-312</v>
      </c>
      <c r="H174" s="99">
        <f>G174+'26'!H174</f>
        <v>-57</v>
      </c>
      <c r="I174" s="155"/>
      <c r="J174" s="178">
        <f>H174/DAY(B2)</f>
        <v>-2.1111111111111112</v>
      </c>
    </row>
    <row r="175" spans="1:10" ht="27.75" x14ac:dyDescent="0.5">
      <c r="A175" s="840" t="s">
        <v>76</v>
      </c>
      <c r="B175" s="845"/>
      <c r="C175" s="841"/>
      <c r="D175" s="228" t="s">
        <v>142</v>
      </c>
      <c r="E175" s="95">
        <f>'26'!F175</f>
        <v>21763</v>
      </c>
      <c r="F175" s="155">
        <v>21475</v>
      </c>
      <c r="G175" s="155">
        <f t="shared" si="14"/>
        <v>-288</v>
      </c>
      <c r="H175" s="99">
        <f>G175+'26'!H175</f>
        <v>-43</v>
      </c>
      <c r="I175" s="155"/>
      <c r="J175" s="178">
        <f>H175/DAY(B2)</f>
        <v>-1.5925925925925926</v>
      </c>
    </row>
    <row r="176" spans="1:10" ht="27.75" x14ac:dyDescent="0.5">
      <c r="A176" s="879" t="s">
        <v>196</v>
      </c>
      <c r="B176" s="880"/>
      <c r="C176" s="485"/>
      <c r="D176" s="228" t="s">
        <v>142</v>
      </c>
      <c r="E176" s="95"/>
      <c r="F176" s="155"/>
      <c r="G176" s="155">
        <f>SUM(G173:G175)</f>
        <v>-600</v>
      </c>
      <c r="H176" s="99">
        <f>G176+'26'!H176</f>
        <v>-100</v>
      </c>
      <c r="I176" s="155"/>
      <c r="J176" s="178">
        <f>H176/DAY(B2)</f>
        <v>-3.7037037037037037</v>
      </c>
    </row>
    <row r="177" spans="1:10" ht="27.75" x14ac:dyDescent="0.5">
      <c r="A177" s="840" t="s">
        <v>77</v>
      </c>
      <c r="B177" s="841"/>
      <c r="C177" s="333"/>
      <c r="D177" s="228" t="s">
        <v>142</v>
      </c>
      <c r="E177" s="95"/>
      <c r="F177" s="155"/>
      <c r="G177" s="155"/>
      <c r="H177" s="99">
        <f>G177+'26'!H177</f>
        <v>0</v>
      </c>
      <c r="I177" s="155"/>
      <c r="J177" s="178">
        <f>H177/DAY(B2)</f>
        <v>0</v>
      </c>
    </row>
    <row r="178" spans="1:10" ht="27.75" x14ac:dyDescent="0.5">
      <c r="A178" s="840" t="s">
        <v>210</v>
      </c>
      <c r="B178" s="841"/>
      <c r="C178" s="333"/>
      <c r="D178" s="228" t="s">
        <v>142</v>
      </c>
      <c r="E178" s="95">
        <f>'26'!F178</f>
        <v>81012</v>
      </c>
      <c r="F178" s="155">
        <v>79338</v>
      </c>
      <c r="G178" s="155">
        <f>F178-E178</f>
        <v>-1674</v>
      </c>
      <c r="H178" s="99">
        <f>G178+'26'!H178</f>
        <v>-276</v>
      </c>
      <c r="I178" s="155"/>
      <c r="J178" s="178">
        <f>H178/DAY(B2)</f>
        <v>-10.222222222222221</v>
      </c>
    </row>
    <row r="179" spans="1:10" ht="27.75" x14ac:dyDescent="0.5">
      <c r="A179" s="840" t="s">
        <v>211</v>
      </c>
      <c r="B179" s="841"/>
      <c r="C179" s="333"/>
      <c r="D179" s="228" t="s">
        <v>142</v>
      </c>
      <c r="E179" s="95">
        <f>'26'!F179</f>
        <v>34580</v>
      </c>
      <c r="F179" s="155">
        <v>33915</v>
      </c>
      <c r="G179" s="155">
        <f t="shared" ref="G179:G180" si="15">F179-E179</f>
        <v>-665</v>
      </c>
      <c r="H179" s="99">
        <f>G179+'26'!H179</f>
        <v>0</v>
      </c>
      <c r="I179" s="155"/>
      <c r="J179" s="178">
        <f>H179/DAY(B2)</f>
        <v>0</v>
      </c>
    </row>
    <row r="180" spans="1:10" ht="27.75" x14ac:dyDescent="0.5">
      <c r="A180" s="840" t="s">
        <v>212</v>
      </c>
      <c r="B180" s="841"/>
      <c r="C180" s="333"/>
      <c r="D180" s="228" t="s">
        <v>142</v>
      </c>
      <c r="E180" s="95">
        <f>'26'!F180</f>
        <v>5658</v>
      </c>
      <c r="F180" s="155">
        <v>5457</v>
      </c>
      <c r="G180" s="155">
        <f t="shared" si="15"/>
        <v>-201</v>
      </c>
      <c r="H180" s="99">
        <f>G180+'26'!H180</f>
        <v>-20</v>
      </c>
      <c r="I180" s="155"/>
      <c r="J180" s="178">
        <f>H180/DAY(B2)</f>
        <v>-0.7407407407407407</v>
      </c>
    </row>
    <row r="181" spans="1:10" ht="27.75" x14ac:dyDescent="0.5">
      <c r="A181" s="884" t="s">
        <v>108</v>
      </c>
      <c r="B181" s="885"/>
      <c r="C181" s="485"/>
      <c r="D181" s="228" t="s">
        <v>142</v>
      </c>
      <c r="E181" s="95"/>
      <c r="F181" s="155"/>
      <c r="G181" s="155">
        <f>SUM(G178:G180)</f>
        <v>-2540</v>
      </c>
      <c r="H181" s="99">
        <f>G181+'26'!H181</f>
        <v>-296</v>
      </c>
      <c r="I181" s="155"/>
      <c r="J181" s="178">
        <f>H181/DAY(B2)</f>
        <v>-10.962962962962964</v>
      </c>
    </row>
    <row r="182" spans="1:10" ht="27.75" x14ac:dyDescent="0.5">
      <c r="A182" s="840" t="s">
        <v>213</v>
      </c>
      <c r="B182" s="841"/>
      <c r="C182" s="333"/>
      <c r="D182" s="228" t="s">
        <v>142</v>
      </c>
      <c r="E182" s="95"/>
      <c r="F182" s="155"/>
      <c r="G182" s="155"/>
      <c r="H182" s="99">
        <f>G182+'26'!H182</f>
        <v>0</v>
      </c>
      <c r="I182" s="155"/>
      <c r="J182" s="178">
        <f>H182/DAY(B2)</f>
        <v>0</v>
      </c>
    </row>
    <row r="183" spans="1:10" ht="27.75" x14ac:dyDescent="0.5">
      <c r="A183" s="840" t="s">
        <v>214</v>
      </c>
      <c r="B183" s="841"/>
      <c r="C183" s="334"/>
      <c r="D183" s="228" t="s">
        <v>142</v>
      </c>
      <c r="E183" s="95">
        <f>'26'!F183</f>
        <v>15296</v>
      </c>
      <c r="F183" s="157">
        <v>14881</v>
      </c>
      <c r="G183" s="157">
        <f>F183-E183</f>
        <v>-415</v>
      </c>
      <c r="H183" s="99">
        <f>G183+'26'!H183</f>
        <v>-66</v>
      </c>
      <c r="I183" s="155"/>
      <c r="J183" s="178">
        <f>H183/DAY(B2)</f>
        <v>-2.4444444444444446</v>
      </c>
    </row>
    <row r="184" spans="1:10" ht="27.75" x14ac:dyDescent="0.5">
      <c r="A184" s="840" t="s">
        <v>215</v>
      </c>
      <c r="B184" s="841"/>
      <c r="C184" s="334"/>
      <c r="D184" s="228" t="s">
        <v>142</v>
      </c>
      <c r="E184" s="95">
        <f>'26'!F184</f>
        <v>10461</v>
      </c>
      <c r="F184" s="157">
        <v>10279</v>
      </c>
      <c r="G184" s="157">
        <f t="shared" ref="G184:G185" si="16">F184-E184</f>
        <v>-182</v>
      </c>
      <c r="H184" s="99">
        <f>G184+'26'!H184</f>
        <v>-22</v>
      </c>
      <c r="I184" s="155"/>
      <c r="J184" s="178">
        <f>H184/DAY(B2)</f>
        <v>-0.81481481481481477</v>
      </c>
    </row>
    <row r="185" spans="1:10" ht="25.5" customHeight="1" x14ac:dyDescent="0.5">
      <c r="A185" s="840" t="s">
        <v>216</v>
      </c>
      <c r="B185" s="841"/>
      <c r="C185" s="334"/>
      <c r="D185" s="228" t="s">
        <v>142</v>
      </c>
      <c r="E185" s="95">
        <f>'26'!F185</f>
        <v>0</v>
      </c>
      <c r="F185" s="157"/>
      <c r="G185" s="157">
        <f t="shared" si="16"/>
        <v>0</v>
      </c>
      <c r="H185" s="99">
        <f>G185+'26'!H185</f>
        <v>0</v>
      </c>
      <c r="I185" s="155"/>
      <c r="J185" s="178">
        <f>H185/DAY(B2)</f>
        <v>0</v>
      </c>
    </row>
    <row r="186" spans="1:10" ht="27.75" x14ac:dyDescent="0.5">
      <c r="A186" s="879" t="s">
        <v>196</v>
      </c>
      <c r="B186" s="880"/>
      <c r="C186" s="484"/>
      <c r="D186" s="228" t="s">
        <v>142</v>
      </c>
      <c r="E186" s="95"/>
      <c r="F186" s="157"/>
      <c r="G186" s="157">
        <f>SUM(G183:G185)</f>
        <v>-597</v>
      </c>
      <c r="H186" s="99">
        <f>G186+'26'!H186</f>
        <v>-88</v>
      </c>
      <c r="I186" s="157"/>
      <c r="J186" s="178">
        <f>H186/DAY(B2)</f>
        <v>-3.2592592592592591</v>
      </c>
    </row>
    <row r="187" spans="1:10" ht="27.75" x14ac:dyDescent="0.5">
      <c r="A187" s="888" t="s">
        <v>217</v>
      </c>
      <c r="B187" s="889"/>
      <c r="C187" s="333"/>
      <c r="D187" s="228" t="s">
        <v>142</v>
      </c>
      <c r="E187" s="95">
        <f>'26'!F187</f>
        <v>0</v>
      </c>
      <c r="F187" s="159"/>
      <c r="G187" s="462">
        <f>G62+G19</f>
        <v>-2134</v>
      </c>
      <c r="H187" s="99">
        <f>G187+'26'!H187</f>
        <v>1053</v>
      </c>
      <c r="I187" s="158"/>
      <c r="J187" s="179">
        <f>H187/DAY(B2)</f>
        <v>39</v>
      </c>
    </row>
    <row r="188" spans="1:10" ht="27.75" x14ac:dyDescent="0.5">
      <c r="A188" s="888" t="s">
        <v>218</v>
      </c>
      <c r="B188" s="889"/>
      <c r="C188" s="333"/>
      <c r="D188" s="228" t="s">
        <v>142</v>
      </c>
      <c r="E188" s="95">
        <f>'26'!F188</f>
        <v>0</v>
      </c>
      <c r="F188" s="159"/>
      <c r="G188" s="462">
        <f>G65+G66+G67+G69+G70</f>
        <v>-4095</v>
      </c>
      <c r="H188" s="99">
        <f>G188+'26'!H188</f>
        <v>-2502</v>
      </c>
      <c r="I188" s="158"/>
      <c r="J188" s="179">
        <f>H188/DAY(B2)</f>
        <v>-92.666666666666671</v>
      </c>
    </row>
    <row r="189" spans="1:10" ht="27.75" x14ac:dyDescent="0.5">
      <c r="A189" s="888" t="s">
        <v>219</v>
      </c>
      <c r="B189" s="889"/>
      <c r="C189" s="333"/>
      <c r="D189" s="230" t="s">
        <v>142</v>
      </c>
      <c r="E189" s="95">
        <f>'26'!F189</f>
        <v>0</v>
      </c>
      <c r="F189" s="157"/>
      <c r="G189" s="459">
        <f>G181</f>
        <v>-2540</v>
      </c>
      <c r="H189" s="99">
        <f>G189+'26'!H189</f>
        <v>-1886</v>
      </c>
      <c r="I189" s="158"/>
      <c r="J189" s="179">
        <f>H189/DAY(B2)</f>
        <v>-69.851851851851848</v>
      </c>
    </row>
    <row r="190" spans="1:10" ht="27.75" x14ac:dyDescent="0.5">
      <c r="A190" s="811"/>
      <c r="B190" s="812"/>
      <c r="C190" s="483"/>
      <c r="D190" s="480"/>
      <c r="E190" s="480" t="s">
        <v>207</v>
      </c>
      <c r="F190" s="480"/>
      <c r="G190" s="480"/>
      <c r="H190" s="481"/>
      <c r="I190" s="480"/>
      <c r="J190" s="482"/>
    </row>
    <row r="191" spans="1:10" ht="29.25" x14ac:dyDescent="0.5"/>
    <row r="192" spans="1:10" ht="29.25" x14ac:dyDescent="0.5"/>
    <row r="193" ht="29.25" x14ac:dyDescent="0.5"/>
    <row r="194" ht="29.25" x14ac:dyDescent="0.5"/>
    <row r="195" ht="29.25" x14ac:dyDescent="0.5"/>
    <row r="196" ht="29.25" x14ac:dyDescent="0.5"/>
    <row r="197" ht="29.25" x14ac:dyDescent="0.5"/>
    <row r="198" ht="29.25" x14ac:dyDescent="0.5"/>
    <row r="199" ht="29.25" x14ac:dyDescent="0.5"/>
    <row r="200" ht="29.25" x14ac:dyDescent="0.5"/>
    <row r="201" ht="29.25" x14ac:dyDescent="0.5"/>
    <row r="202" ht="29.25" x14ac:dyDescent="0.5"/>
    <row r="203" ht="29.25" x14ac:dyDescent="0.5"/>
    <row r="204" ht="29.25" x14ac:dyDescent="0.5"/>
    <row r="205" ht="29.25" x14ac:dyDescent="0.5"/>
    <row r="206" ht="29.25" x14ac:dyDescent="0.5"/>
    <row r="207" ht="29.25" x14ac:dyDescent="0.5"/>
    <row r="208" ht="29.25" x14ac:dyDescent="0.5"/>
    <row r="209" ht="29.25" x14ac:dyDescent="0.5"/>
    <row r="210" ht="29.25" x14ac:dyDescent="0.5"/>
    <row r="211" ht="29.25" x14ac:dyDescent="0.5"/>
    <row r="212" ht="29.25" x14ac:dyDescent="0.5"/>
    <row r="213" ht="29.25" x14ac:dyDescent="0.5"/>
    <row r="214" ht="29.25" x14ac:dyDescent="0.5"/>
    <row r="215" ht="29.25" x14ac:dyDescent="0.5"/>
    <row r="216" ht="29.25" x14ac:dyDescent="0.5"/>
    <row r="217" ht="29.25" x14ac:dyDescent="0.5"/>
    <row r="218" ht="29.25" x14ac:dyDescent="0.5"/>
    <row r="219" ht="29.25" x14ac:dyDescent="0.5"/>
    <row r="220" ht="29.25" x14ac:dyDescent="0.5"/>
    <row r="221" ht="29.25" x14ac:dyDescent="0.5"/>
    <row r="222" ht="29.25" x14ac:dyDescent="0.5"/>
    <row r="223" ht="29.25" x14ac:dyDescent="0.5"/>
    <row r="224" ht="29.25" x14ac:dyDescent="0.5"/>
    <row r="225" ht="29.25" x14ac:dyDescent="0.5"/>
    <row r="226" ht="29.25" x14ac:dyDescent="0.5"/>
    <row r="227" ht="29.25" x14ac:dyDescent="0.5"/>
    <row r="228" ht="29.25" x14ac:dyDescent="0.5"/>
    <row r="229" ht="29.25" x14ac:dyDescent="0.5"/>
    <row r="230" ht="29.25" x14ac:dyDescent="0.5"/>
    <row r="231" ht="29.25" x14ac:dyDescent="0.5"/>
    <row r="232" ht="29.25" x14ac:dyDescent="0.5"/>
    <row r="233" ht="29.25" x14ac:dyDescent="0.5"/>
    <row r="234" ht="29.25" x14ac:dyDescent="0.5"/>
    <row r="235" ht="29.25" x14ac:dyDescent="0.5"/>
    <row r="236" ht="29.25" x14ac:dyDescent="0.5"/>
    <row r="237" ht="29.25" x14ac:dyDescent="0.5"/>
    <row r="238" ht="29.25" x14ac:dyDescent="0.5"/>
    <row r="239" ht="29.25" x14ac:dyDescent="0.5"/>
    <row r="240" ht="29.25" x14ac:dyDescent="0.5"/>
    <row r="241" ht="29.25" x14ac:dyDescent="0.5"/>
    <row r="242" ht="29.25" x14ac:dyDescent="0.5"/>
    <row r="243" ht="29.25" x14ac:dyDescent="0.5"/>
    <row r="244" ht="29.25" x14ac:dyDescent="0.5"/>
    <row r="245" ht="29.25" x14ac:dyDescent="0.5"/>
    <row r="246" ht="29.25" x14ac:dyDescent="0.5"/>
    <row r="247" ht="29.25" x14ac:dyDescent="0.5"/>
    <row r="248" ht="29.25" x14ac:dyDescent="0.5"/>
    <row r="249" ht="29.25" x14ac:dyDescent="0.5"/>
    <row r="250" ht="29.25" x14ac:dyDescent="0.5"/>
    <row r="251" ht="29.25" x14ac:dyDescent="0.5"/>
    <row r="252" ht="29.25" x14ac:dyDescent="0.5"/>
    <row r="253" ht="29.25" x14ac:dyDescent="0.5"/>
    <row r="254" ht="29.25" x14ac:dyDescent="0.5"/>
    <row r="255" ht="29.25" x14ac:dyDescent="0.5"/>
    <row r="256" ht="29.25" x14ac:dyDescent="0.5"/>
    <row r="257" ht="29.25" x14ac:dyDescent="0.5"/>
    <row r="258" ht="29.25" x14ac:dyDescent="0.5"/>
    <row r="259" ht="29.25" x14ac:dyDescent="0.5"/>
    <row r="260" ht="29.25" x14ac:dyDescent="0.5"/>
    <row r="261" ht="29.25" x14ac:dyDescent="0.5"/>
    <row r="262" ht="29.25" x14ac:dyDescent="0.5"/>
    <row r="263" ht="29.25" x14ac:dyDescent="0.5"/>
    <row r="264" ht="29.25" x14ac:dyDescent="0.5"/>
    <row r="265" ht="29.25" x14ac:dyDescent="0.5"/>
    <row r="266" ht="29.25" x14ac:dyDescent="0.5"/>
    <row r="267" ht="29.25" x14ac:dyDescent="0.5"/>
    <row r="268" ht="29.25" x14ac:dyDescent="0.5"/>
    <row r="269" ht="29.25" x14ac:dyDescent="0.5"/>
    <row r="270" ht="29.25" x14ac:dyDescent="0.5"/>
    <row r="313" ht="29.25" x14ac:dyDescent="0.5"/>
    <row r="314" ht="29.25" x14ac:dyDescent="0.5"/>
    <row r="315" ht="29.25" x14ac:dyDescent="0.5"/>
    <row r="316" ht="29.25" x14ac:dyDescent="0.5"/>
    <row r="317" ht="29.25" x14ac:dyDescent="0.5"/>
    <row r="318" ht="29.25" x14ac:dyDescent="0.5"/>
    <row r="319" ht="29.25" x14ac:dyDescent="0.5"/>
    <row r="320" ht="29.25" x14ac:dyDescent="0.5"/>
    <row r="321" ht="29.25" x14ac:dyDescent="0.5"/>
    <row r="322" ht="29.25" x14ac:dyDescent="0.5"/>
    <row r="323" ht="29.25" x14ac:dyDescent="0.5"/>
    <row r="324" ht="29.25" x14ac:dyDescent="0.5"/>
    <row r="325" ht="29.25" x14ac:dyDescent="0.5"/>
    <row r="326" ht="29.25" x14ac:dyDescent="0.5"/>
    <row r="327" ht="29.25" x14ac:dyDescent="0.5"/>
    <row r="328" ht="29.25" x14ac:dyDescent="0.5"/>
    <row r="329" ht="29.25" x14ac:dyDescent="0.5"/>
    <row r="330" ht="29.25" x14ac:dyDescent="0.5"/>
    <row r="331" ht="29.25" x14ac:dyDescent="0.5"/>
    <row r="332" ht="29.25" x14ac:dyDescent="0.5"/>
    <row r="333" ht="29.25" x14ac:dyDescent="0.5"/>
    <row r="334" ht="29.25" x14ac:dyDescent="0.5"/>
    <row r="335" ht="29.25" x14ac:dyDescent="0.5"/>
    <row r="336" ht="29.25" x14ac:dyDescent="0.5"/>
    <row r="337" ht="29.25" x14ac:dyDescent="0.5"/>
    <row r="338" ht="29.25" x14ac:dyDescent="0.5"/>
    <row r="339" ht="29.25" x14ac:dyDescent="0.5"/>
    <row r="340" ht="29.25" x14ac:dyDescent="0.5"/>
    <row r="341" ht="29.25" x14ac:dyDescent="0.5"/>
    <row r="342" ht="29.25" x14ac:dyDescent="0.5"/>
    <row r="343" ht="29.25" x14ac:dyDescent="0.5"/>
    <row r="344" ht="29.25" x14ac:dyDescent="0.5"/>
    <row r="345" ht="29.25" x14ac:dyDescent="0.5"/>
    <row r="346" ht="29.25" x14ac:dyDescent="0.5"/>
    <row r="347" ht="29.25" x14ac:dyDescent="0.5"/>
    <row r="348" ht="29.25" x14ac:dyDescent="0.5"/>
    <row r="349" ht="29.25" x14ac:dyDescent="0.5"/>
    <row r="350" ht="29.25" x14ac:dyDescent="0.5"/>
    <row r="351" ht="29.25" x14ac:dyDescent="0.5"/>
    <row r="352" ht="29.25" x14ac:dyDescent="0.5"/>
    <row r="353" ht="29.25" x14ac:dyDescent="0.5"/>
    <row r="354" ht="29.25" x14ac:dyDescent="0.5"/>
    <row r="355" ht="29.25" x14ac:dyDescent="0.5"/>
    <row r="356" ht="29.25" x14ac:dyDescent="0.5"/>
    <row r="357" ht="29.25" x14ac:dyDescent="0.5"/>
    <row r="358" ht="29.25" x14ac:dyDescent="0.5"/>
    <row r="359" ht="29.25" x14ac:dyDescent="0.5"/>
    <row r="360" ht="29.25" x14ac:dyDescent="0.5"/>
    <row r="361" ht="29.25" x14ac:dyDescent="0.5"/>
    <row r="362" ht="29.25" x14ac:dyDescent="0.5"/>
    <row r="363" ht="29.25" x14ac:dyDescent="0.5"/>
    <row r="364" ht="29.25" x14ac:dyDescent="0.5"/>
    <row r="365" ht="29.25" x14ac:dyDescent="0.5"/>
    <row r="366" ht="29.25" x14ac:dyDescent="0.5"/>
    <row r="367" ht="29.25" x14ac:dyDescent="0.5"/>
    <row r="368" ht="29.25" x14ac:dyDescent="0.5"/>
    <row r="369" ht="29.25" x14ac:dyDescent="0.5"/>
    <row r="370" ht="29.25" x14ac:dyDescent="0.5"/>
    <row r="371" ht="29.25" x14ac:dyDescent="0.5"/>
    <row r="372" ht="29.25" x14ac:dyDescent="0.5"/>
    <row r="373" ht="29.25" x14ac:dyDescent="0.5"/>
    <row r="374" ht="29.25" x14ac:dyDescent="0.5"/>
    <row r="375" ht="29.25" x14ac:dyDescent="0.5"/>
    <row r="376" ht="29.25" x14ac:dyDescent="0.5"/>
    <row r="377" ht="29.25" x14ac:dyDescent="0.5"/>
    <row r="378" ht="29.25" x14ac:dyDescent="0.5"/>
    <row r="379" ht="29.25" x14ac:dyDescent="0.5"/>
    <row r="380" ht="29.25" x14ac:dyDescent="0.5"/>
    <row r="381" ht="29.25" x14ac:dyDescent="0.5"/>
    <row r="382" ht="29.25" x14ac:dyDescent="0.5"/>
    <row r="383" ht="29.25" x14ac:dyDescent="0.5"/>
    <row r="384" ht="29.25" x14ac:dyDescent="0.5"/>
    <row r="385" ht="29.25" x14ac:dyDescent="0.5"/>
    <row r="386" ht="29.25" x14ac:dyDescent="0.5"/>
    <row r="387" ht="29.25" x14ac:dyDescent="0.5"/>
    <row r="388" ht="29.25" x14ac:dyDescent="0.5"/>
    <row r="389" ht="29.25" x14ac:dyDescent="0.5"/>
    <row r="390" ht="29.25" x14ac:dyDescent="0.5"/>
    <row r="391" ht="29.25" x14ac:dyDescent="0.5"/>
    <row r="392" ht="29.25" x14ac:dyDescent="0.5"/>
    <row r="393" ht="29.25" x14ac:dyDescent="0.5"/>
    <row r="394" ht="29.25" x14ac:dyDescent="0.5"/>
    <row r="395" ht="29.25" x14ac:dyDescent="0.5"/>
    <row r="396" ht="29.25" x14ac:dyDescent="0.5"/>
    <row r="397" ht="29.25" x14ac:dyDescent="0.5"/>
    <row r="398" ht="29.25" x14ac:dyDescent="0.5"/>
    <row r="399" ht="29.25" x14ac:dyDescent="0.5"/>
    <row r="400" ht="29.25" x14ac:dyDescent="0.5"/>
    <row r="401" ht="29.25" x14ac:dyDescent="0.5"/>
    <row r="402" ht="29.25" x14ac:dyDescent="0.5"/>
    <row r="403" ht="29.25" x14ac:dyDescent="0.5"/>
    <row r="404" ht="29.25" x14ac:dyDescent="0.5"/>
    <row r="405" ht="29.25" x14ac:dyDescent="0.5"/>
    <row r="406" ht="29.25" x14ac:dyDescent="0.5"/>
    <row r="407" ht="29.25" x14ac:dyDescent="0.5"/>
    <row r="408" ht="29.25" x14ac:dyDescent="0.5"/>
    <row r="409" ht="29.25" x14ac:dyDescent="0.5"/>
    <row r="410" ht="29.25" x14ac:dyDescent="0.5"/>
    <row r="411" ht="29.25" x14ac:dyDescent="0.5"/>
    <row r="412" ht="29.25" x14ac:dyDescent="0.5"/>
    <row r="413" ht="29.25" x14ac:dyDescent="0.5"/>
    <row r="414" ht="29.25" x14ac:dyDescent="0.5"/>
    <row r="415" ht="29.25" x14ac:dyDescent="0.5"/>
    <row r="416" ht="29.25" x14ac:dyDescent="0.5"/>
    <row r="417" ht="29.25" x14ac:dyDescent="0.5"/>
    <row r="418" ht="29.25" x14ac:dyDescent="0.5"/>
    <row r="419" ht="29.25" x14ac:dyDescent="0.5"/>
    <row r="420" ht="29.25" x14ac:dyDescent="0.5"/>
    <row r="421" ht="29.25" x14ac:dyDescent="0.5"/>
    <row r="422" ht="29.25" x14ac:dyDescent="0.5"/>
    <row r="423" ht="29.25" x14ac:dyDescent="0.5"/>
    <row r="424" ht="29.25" x14ac:dyDescent="0.5"/>
    <row r="425" ht="29.25" x14ac:dyDescent="0.5"/>
    <row r="426" ht="29.25" x14ac:dyDescent="0.5"/>
    <row r="427" ht="29.25" x14ac:dyDescent="0.5"/>
    <row r="428" ht="29.25" x14ac:dyDescent="0.5"/>
    <row r="429" ht="29.25" x14ac:dyDescent="0.5"/>
    <row r="430" ht="29.25" x14ac:dyDescent="0.5"/>
    <row r="431" ht="29.25" x14ac:dyDescent="0.5"/>
    <row r="432" ht="29.25" x14ac:dyDescent="0.5"/>
    <row r="433" ht="29.25" x14ac:dyDescent="0.5"/>
    <row r="434" ht="29.25" x14ac:dyDescent="0.5"/>
    <row r="435" ht="29.25" x14ac:dyDescent="0.5"/>
    <row r="436" ht="29.25" x14ac:dyDescent="0.5"/>
    <row r="437" ht="29.25" x14ac:dyDescent="0.5"/>
    <row r="438" ht="29.25" x14ac:dyDescent="0.5"/>
    <row r="439" ht="29.25" x14ac:dyDescent="0.5"/>
    <row r="440" ht="29.25" x14ac:dyDescent="0.5"/>
    <row r="441" ht="29.25" x14ac:dyDescent="0.5"/>
    <row r="442" ht="29.25" x14ac:dyDescent="0.5"/>
    <row r="443" ht="29.25" x14ac:dyDescent="0.5"/>
    <row r="444" ht="29.25" x14ac:dyDescent="0.5"/>
    <row r="445" ht="29.25" x14ac:dyDescent="0.5"/>
    <row r="446" ht="29.25" x14ac:dyDescent="0.5"/>
    <row r="447" ht="29.25" x14ac:dyDescent="0.5"/>
    <row r="448" ht="29.25" x14ac:dyDescent="0.5"/>
    <row r="449" ht="29.25" x14ac:dyDescent="0.5"/>
    <row r="450" ht="29.25" x14ac:dyDescent="0.5"/>
    <row r="451" ht="29.25" x14ac:dyDescent="0.5"/>
    <row r="452" ht="29.25" x14ac:dyDescent="0.5"/>
    <row r="453" ht="29.25" x14ac:dyDescent="0.5"/>
    <row r="454" ht="29.25" x14ac:dyDescent="0.5"/>
    <row r="455" ht="29.25" x14ac:dyDescent="0.5"/>
    <row r="456" ht="29.25" x14ac:dyDescent="0.5"/>
    <row r="457" ht="29.25" x14ac:dyDescent="0.5"/>
    <row r="458" ht="29.25" x14ac:dyDescent="0.5"/>
    <row r="459" ht="29.25" x14ac:dyDescent="0.5"/>
    <row r="460" ht="29.25" x14ac:dyDescent="0.5"/>
    <row r="461" ht="29.25" x14ac:dyDescent="0.5"/>
    <row r="462" ht="29.25" x14ac:dyDescent="0.5"/>
    <row r="463" ht="29.25" x14ac:dyDescent="0.5"/>
    <row r="464" ht="29.25" x14ac:dyDescent="0.5"/>
    <row r="465" ht="29.25" x14ac:dyDescent="0.5"/>
    <row r="466" ht="29.25" x14ac:dyDescent="0.5"/>
    <row r="467" ht="29.25" x14ac:dyDescent="0.5"/>
    <row r="468" ht="29.25" x14ac:dyDescent="0.5"/>
    <row r="469" ht="29.25" x14ac:dyDescent="0.5"/>
    <row r="470" ht="29.25" x14ac:dyDescent="0.5"/>
    <row r="471" ht="29.25" x14ac:dyDescent="0.5"/>
    <row r="472" ht="29.25" x14ac:dyDescent="0.5"/>
    <row r="473" ht="29.25" x14ac:dyDescent="0.5"/>
    <row r="474" ht="29.25" x14ac:dyDescent="0.5"/>
    <row r="475" ht="29.25" x14ac:dyDescent="0.5"/>
    <row r="476" ht="29.25" x14ac:dyDescent="0.5"/>
    <row r="477" ht="29.25" x14ac:dyDescent="0.5"/>
    <row r="478" ht="29.25" x14ac:dyDescent="0.5"/>
    <row r="479" ht="29.25" x14ac:dyDescent="0.5"/>
    <row r="480" ht="29.25" x14ac:dyDescent="0.5"/>
    <row r="481" ht="29.25" x14ac:dyDescent="0.5"/>
    <row r="482" ht="29.25" x14ac:dyDescent="0.5"/>
    <row r="483" ht="29.25" x14ac:dyDescent="0.5"/>
    <row r="484" ht="29.25" x14ac:dyDescent="0.5"/>
    <row r="485" ht="29.25" x14ac:dyDescent="0.5"/>
    <row r="486" ht="29.25" x14ac:dyDescent="0.5"/>
    <row r="487" ht="29.25" x14ac:dyDescent="0.5"/>
    <row r="488" ht="29.25" x14ac:dyDescent="0.5"/>
    <row r="489" ht="29.25" x14ac:dyDescent="0.5"/>
    <row r="490" ht="29.25" x14ac:dyDescent="0.5"/>
    <row r="491" ht="29.25" x14ac:dyDescent="0.5"/>
    <row r="492" ht="29.25" x14ac:dyDescent="0.5"/>
    <row r="493" ht="29.25" x14ac:dyDescent="0.5"/>
    <row r="494" ht="29.25" x14ac:dyDescent="0.5"/>
    <row r="495" ht="29.25" x14ac:dyDescent="0.5"/>
    <row r="496" ht="29.25" x14ac:dyDescent="0.5"/>
    <row r="497" ht="29.25" x14ac:dyDescent="0.5"/>
    <row r="498" ht="29.25" x14ac:dyDescent="0.5"/>
    <row r="499" ht="29.25" x14ac:dyDescent="0.5"/>
    <row r="500" ht="29.25" x14ac:dyDescent="0.5"/>
    <row r="501" ht="29.25" x14ac:dyDescent="0.5"/>
    <row r="502" ht="29.25" x14ac:dyDescent="0.5"/>
    <row r="503" ht="29.25" x14ac:dyDescent="0.5"/>
    <row r="504" ht="29.25" x14ac:dyDescent="0.5"/>
    <row r="505" ht="29.25" x14ac:dyDescent="0.5"/>
    <row r="506" ht="29.25" x14ac:dyDescent="0.5"/>
    <row r="507" ht="29.25" x14ac:dyDescent="0.5"/>
    <row r="508" ht="29.25" x14ac:dyDescent="0.5"/>
    <row r="509" ht="29.25" x14ac:dyDescent="0.5"/>
    <row r="510" ht="29.25" x14ac:dyDescent="0.5"/>
    <row r="511" ht="29.25" x14ac:dyDescent="0.5"/>
    <row r="512" ht="29.25" x14ac:dyDescent="0.5"/>
    <row r="513" ht="29.25" x14ac:dyDescent="0.5"/>
    <row r="514" ht="29.25" x14ac:dyDescent="0.5"/>
    <row r="515" ht="29.25" x14ac:dyDescent="0.5"/>
    <row r="516" ht="29.25" x14ac:dyDescent="0.5"/>
    <row r="517" ht="29.25" x14ac:dyDescent="0.5"/>
    <row r="518" ht="29.25" x14ac:dyDescent="0.5"/>
    <row r="519" ht="29.25" x14ac:dyDescent="0.5"/>
    <row r="520" ht="29.25" x14ac:dyDescent="0.5"/>
    <row r="521" ht="29.25" x14ac:dyDescent="0.5"/>
    <row r="522" ht="29.25" x14ac:dyDescent="0.5"/>
    <row r="523" ht="29.25" x14ac:dyDescent="0.5"/>
    <row r="524" ht="29.25" x14ac:dyDescent="0.5"/>
    <row r="525" ht="29.25" x14ac:dyDescent="0.5"/>
    <row r="526" ht="29.25" x14ac:dyDescent="0.5"/>
    <row r="527" ht="29.25" x14ac:dyDescent="0.5"/>
    <row r="528" ht="29.25" x14ac:dyDescent="0.5"/>
    <row r="529" ht="29.25" x14ac:dyDescent="0.5"/>
    <row r="530" ht="29.25" x14ac:dyDescent="0.5"/>
    <row r="531" ht="29.25" x14ac:dyDescent="0.5"/>
    <row r="532" ht="29.25" x14ac:dyDescent="0.5"/>
    <row r="533" ht="29.25" x14ac:dyDescent="0.5"/>
    <row r="534" ht="29.25" x14ac:dyDescent="0.5"/>
    <row r="535" ht="29.25" x14ac:dyDescent="0.5"/>
    <row r="536" ht="29.25" x14ac:dyDescent="0.5"/>
    <row r="537" ht="29.25" x14ac:dyDescent="0.5"/>
    <row r="538" ht="29.25" x14ac:dyDescent="0.5"/>
    <row r="539" ht="29.25" x14ac:dyDescent="0.5"/>
    <row r="540" ht="29.25" x14ac:dyDescent="0.5"/>
    <row r="541" ht="29.25" x14ac:dyDescent="0.5"/>
    <row r="542" ht="29.25" x14ac:dyDescent="0.5"/>
    <row r="543" ht="29.25" x14ac:dyDescent="0.5"/>
    <row r="544" ht="29.25" x14ac:dyDescent="0.5"/>
    <row r="545" ht="29.25" x14ac:dyDescent="0.5"/>
    <row r="546" ht="29.25" x14ac:dyDescent="0.5"/>
    <row r="547" ht="29.25" x14ac:dyDescent="0.5"/>
    <row r="548" ht="29.25" x14ac:dyDescent="0.5"/>
    <row r="549" ht="29.25" x14ac:dyDescent="0.5"/>
    <row r="550" ht="29.25" x14ac:dyDescent="0.5"/>
    <row r="551" ht="29.25" x14ac:dyDescent="0.5"/>
    <row r="552" ht="29.25" x14ac:dyDescent="0.5"/>
    <row r="553" ht="29.25" x14ac:dyDescent="0.5"/>
    <row r="554" ht="29.25" x14ac:dyDescent="0.5"/>
    <row r="555" ht="29.25" x14ac:dyDescent="0.5"/>
    <row r="556" ht="29.25" x14ac:dyDescent="0.5"/>
    <row r="557" ht="29.25" x14ac:dyDescent="0.5"/>
    <row r="558" ht="29.25" x14ac:dyDescent="0.5"/>
    <row r="559" ht="29.25" x14ac:dyDescent="0.5"/>
    <row r="560" ht="29.25" x14ac:dyDescent="0.5"/>
    <row r="561" ht="29.25" x14ac:dyDescent="0.5"/>
    <row r="562" ht="29.25" x14ac:dyDescent="0.5"/>
    <row r="563" ht="29.25" x14ac:dyDescent="0.5"/>
    <row r="564" ht="29.25" x14ac:dyDescent="0.5"/>
    <row r="565" ht="29.25" x14ac:dyDescent="0.5"/>
    <row r="566" ht="29.25" x14ac:dyDescent="0.5"/>
    <row r="567" ht="29.25" x14ac:dyDescent="0.5"/>
    <row r="568" ht="29.25" x14ac:dyDescent="0.5"/>
    <row r="569" ht="29.25" x14ac:dyDescent="0.5"/>
    <row r="570" ht="29.25" x14ac:dyDescent="0.5"/>
    <row r="571" ht="29.25" x14ac:dyDescent="0.5"/>
    <row r="572" ht="29.25" x14ac:dyDescent="0.5"/>
    <row r="573" ht="29.25" x14ac:dyDescent="0.5"/>
    <row r="574" ht="29.25" x14ac:dyDescent="0.5"/>
    <row r="575" ht="29.25" x14ac:dyDescent="0.5"/>
    <row r="576" ht="29.25" x14ac:dyDescent="0.5"/>
    <row r="577" ht="29.25" x14ac:dyDescent="0.5"/>
    <row r="578" ht="29.25" x14ac:dyDescent="0.5"/>
    <row r="579" ht="29.25" x14ac:dyDescent="0.5"/>
    <row r="580" ht="29.25" x14ac:dyDescent="0.5"/>
    <row r="581" ht="29.25" x14ac:dyDescent="0.5"/>
    <row r="582" ht="29.25" x14ac:dyDescent="0.5"/>
    <row r="583" ht="29.25" x14ac:dyDescent="0.5"/>
    <row r="584" ht="29.25" x14ac:dyDescent="0.5"/>
    <row r="585" ht="29.25" x14ac:dyDescent="0.5"/>
    <row r="586" ht="29.25" x14ac:dyDescent="0.5"/>
    <row r="587" ht="29.25" x14ac:dyDescent="0.5"/>
    <row r="588" ht="29.25" x14ac:dyDescent="0.5"/>
    <row r="589" ht="29.25" x14ac:dyDescent="0.5"/>
    <row r="590" ht="29.25" x14ac:dyDescent="0.5"/>
    <row r="591" ht="29.25" x14ac:dyDescent="0.5"/>
    <row r="592" ht="29.25" x14ac:dyDescent="0.5"/>
    <row r="593" ht="29.25" x14ac:dyDescent="0.5"/>
    <row r="594" ht="29.25" x14ac:dyDescent="0.5"/>
    <row r="595" ht="29.25" x14ac:dyDescent="0.5"/>
    <row r="596" ht="29.25" x14ac:dyDescent="0.5"/>
    <row r="597" ht="29.25" x14ac:dyDescent="0.5"/>
    <row r="598" ht="29.25" x14ac:dyDescent="0.5"/>
    <row r="599" ht="29.25" x14ac:dyDescent="0.5"/>
    <row r="600" ht="29.25" x14ac:dyDescent="0.5"/>
    <row r="601" ht="29.25" x14ac:dyDescent="0.5"/>
    <row r="602" ht="29.25" x14ac:dyDescent="0.5"/>
    <row r="603" ht="29.25" x14ac:dyDescent="0.5"/>
    <row r="604" ht="29.25" x14ac:dyDescent="0.5"/>
    <row r="605" ht="29.25" x14ac:dyDescent="0.5"/>
    <row r="606" ht="29.25" x14ac:dyDescent="0.5"/>
    <row r="607" ht="29.25" x14ac:dyDescent="0.5"/>
    <row r="608" ht="29.25" x14ac:dyDescent="0.5"/>
    <row r="609" ht="29.25" x14ac:dyDescent="0.5"/>
    <row r="610" ht="29.25" x14ac:dyDescent="0.5"/>
    <row r="611" ht="29.25" x14ac:dyDescent="0.5"/>
    <row r="612" ht="29.25" x14ac:dyDescent="0.5"/>
    <row r="613" ht="29.25" x14ac:dyDescent="0.5"/>
    <row r="614" ht="29.25" x14ac:dyDescent="0.5"/>
    <row r="615" ht="29.25" x14ac:dyDescent="0.5"/>
    <row r="616" ht="29.25" x14ac:dyDescent="0.5"/>
    <row r="617" ht="29.25" x14ac:dyDescent="0.5"/>
    <row r="618" ht="29.25" x14ac:dyDescent="0.5"/>
    <row r="619" ht="29.25" x14ac:dyDescent="0.5"/>
    <row r="620" ht="29.25" x14ac:dyDescent="0.5"/>
    <row r="621" ht="29.25" x14ac:dyDescent="0.5"/>
    <row r="622" ht="29.25" x14ac:dyDescent="0.5"/>
    <row r="623" ht="29.25" x14ac:dyDescent="0.5"/>
    <row r="624" ht="29.25" x14ac:dyDescent="0.5"/>
    <row r="625" ht="29.25" x14ac:dyDescent="0.5"/>
    <row r="626" ht="29.25" x14ac:dyDescent="0.5"/>
    <row r="627" ht="29.25" x14ac:dyDescent="0.5"/>
    <row r="628" ht="29.25" x14ac:dyDescent="0.5"/>
    <row r="629" ht="29.25" x14ac:dyDescent="0.5"/>
    <row r="630" ht="29.25" x14ac:dyDescent="0.5"/>
    <row r="631" ht="29.25" x14ac:dyDescent="0.5"/>
    <row r="632" ht="29.25" x14ac:dyDescent="0.5"/>
    <row r="633" ht="29.25" x14ac:dyDescent="0.5"/>
    <row r="634" ht="29.25" x14ac:dyDescent="0.5"/>
    <row r="635" ht="29.25" x14ac:dyDescent="0.5"/>
    <row r="636" ht="29.25" x14ac:dyDescent="0.5"/>
    <row r="637" ht="29.25" x14ac:dyDescent="0.5"/>
    <row r="638" ht="29.25" x14ac:dyDescent="0.5"/>
    <row r="639" ht="29.25" x14ac:dyDescent="0.5"/>
    <row r="640" ht="29.25" x14ac:dyDescent="0.5"/>
    <row r="641" ht="29.25" x14ac:dyDescent="0.5"/>
    <row r="642" ht="29.25" x14ac:dyDescent="0.5"/>
    <row r="643" ht="29.25" x14ac:dyDescent="0.5"/>
    <row r="644" ht="29.25" x14ac:dyDescent="0.5"/>
    <row r="645" ht="29.25" x14ac:dyDescent="0.5"/>
    <row r="646" ht="29.25" x14ac:dyDescent="0.5"/>
    <row r="647" ht="29.25" x14ac:dyDescent="0.5"/>
    <row r="648" ht="29.25" x14ac:dyDescent="0.5"/>
    <row r="649" ht="29.25" x14ac:dyDescent="0.5"/>
    <row r="650" ht="29.25" x14ac:dyDescent="0.5"/>
    <row r="651" ht="29.25" x14ac:dyDescent="0.5"/>
    <row r="652" ht="29.25" x14ac:dyDescent="0.5"/>
    <row r="653" ht="29.25" x14ac:dyDescent="0.5"/>
    <row r="654" ht="29.25" x14ac:dyDescent="0.5"/>
    <row r="655" ht="29.25" x14ac:dyDescent="0.5"/>
    <row r="656" ht="29.25" x14ac:dyDescent="0.5"/>
    <row r="657" ht="29.25" x14ac:dyDescent="0.5"/>
    <row r="658" ht="29.25" x14ac:dyDescent="0.5"/>
    <row r="659" ht="29.25" x14ac:dyDescent="0.5"/>
    <row r="660" ht="29.25" x14ac:dyDescent="0.5"/>
    <row r="661" ht="29.25" x14ac:dyDescent="0.5"/>
    <row r="662" ht="29.25" x14ac:dyDescent="0.5"/>
    <row r="663" ht="29.25" x14ac:dyDescent="0.5"/>
    <row r="664" ht="29.25" x14ac:dyDescent="0.5"/>
    <row r="665" ht="29.25" x14ac:dyDescent="0.5"/>
    <row r="666" ht="29.25" x14ac:dyDescent="0.5"/>
    <row r="667" ht="29.25" x14ac:dyDescent="0.5"/>
    <row r="668" ht="29.25" x14ac:dyDescent="0.5"/>
    <row r="669" ht="29.25" x14ac:dyDescent="0.5"/>
    <row r="670" ht="29.25" x14ac:dyDescent="0.5"/>
    <row r="671" ht="29.25" x14ac:dyDescent="0.5"/>
    <row r="672" ht="29.25" x14ac:dyDescent="0.5"/>
    <row r="673" ht="29.25" x14ac:dyDescent="0.5"/>
    <row r="674" ht="29.25" x14ac:dyDescent="0.5"/>
    <row r="675" ht="29.25" x14ac:dyDescent="0.5"/>
    <row r="676" ht="29.25" x14ac:dyDescent="0.5"/>
    <row r="677" ht="29.25" x14ac:dyDescent="0.5"/>
    <row r="678" ht="29.25" x14ac:dyDescent="0.5"/>
    <row r="679" ht="29.25" x14ac:dyDescent="0.5"/>
    <row r="680" ht="29.25" x14ac:dyDescent="0.5"/>
    <row r="681" ht="29.25" x14ac:dyDescent="0.5"/>
    <row r="682" ht="29.25" x14ac:dyDescent="0.5"/>
    <row r="683" ht="29.25" x14ac:dyDescent="0.5"/>
    <row r="684" ht="29.25" x14ac:dyDescent="0.5"/>
    <row r="685" ht="29.25" x14ac:dyDescent="0.5"/>
    <row r="686" ht="29.25" x14ac:dyDescent="0.5"/>
    <row r="687" ht="29.25" x14ac:dyDescent="0.5"/>
    <row r="688" ht="29.25" x14ac:dyDescent="0.5"/>
    <row r="689" ht="29.25" x14ac:dyDescent="0.5"/>
    <row r="690" ht="29.25" x14ac:dyDescent="0.5"/>
    <row r="691" ht="29.25" x14ac:dyDescent="0.5"/>
    <row r="692" ht="29.25" x14ac:dyDescent="0.5"/>
    <row r="693" ht="29.25" x14ac:dyDescent="0.5"/>
    <row r="694" ht="29.25" x14ac:dyDescent="0.5"/>
    <row r="695" ht="29.25" x14ac:dyDescent="0.5"/>
    <row r="696" ht="29.25" x14ac:dyDescent="0.5"/>
    <row r="697" ht="29.25" x14ac:dyDescent="0.5"/>
    <row r="698" ht="29.25" x14ac:dyDescent="0.5"/>
    <row r="699" ht="29.25" x14ac:dyDescent="0.5"/>
    <row r="700" ht="29.25" x14ac:dyDescent="0.5"/>
    <row r="701" ht="29.25" x14ac:dyDescent="0.5"/>
    <row r="702" ht="29.25" x14ac:dyDescent="0.5"/>
    <row r="703" ht="29.25" x14ac:dyDescent="0.5"/>
    <row r="704" ht="29.25" x14ac:dyDescent="0.5"/>
    <row r="705" ht="29.25" x14ac:dyDescent="0.5"/>
    <row r="706" ht="29.25" x14ac:dyDescent="0.5"/>
    <row r="707" ht="29.25" x14ac:dyDescent="0.5"/>
    <row r="708" ht="29.25" x14ac:dyDescent="0.5"/>
    <row r="709" ht="29.25" x14ac:dyDescent="0.5"/>
    <row r="710" ht="29.25" x14ac:dyDescent="0.5"/>
    <row r="711" ht="29.25" x14ac:dyDescent="0.5"/>
    <row r="712" ht="29.25" x14ac:dyDescent="0.5"/>
    <row r="713" ht="29.25" x14ac:dyDescent="0.5"/>
    <row r="714" ht="29.25" x14ac:dyDescent="0.5"/>
    <row r="715" ht="29.25" x14ac:dyDescent="0.5"/>
    <row r="716" ht="29.25" x14ac:dyDescent="0.5"/>
    <row r="717" ht="29.25" x14ac:dyDescent="0.5"/>
    <row r="718" ht="29.25" x14ac:dyDescent="0.5"/>
    <row r="719" ht="29.25" x14ac:dyDescent="0.5"/>
    <row r="720" ht="29.25" x14ac:dyDescent="0.5"/>
    <row r="721" ht="29.25" x14ac:dyDescent="0.5"/>
    <row r="722" ht="29.25" x14ac:dyDescent="0.5"/>
    <row r="723" ht="29.25" x14ac:dyDescent="0.5"/>
    <row r="724" ht="29.25" x14ac:dyDescent="0.5"/>
    <row r="725" ht="29.25" x14ac:dyDescent="0.5"/>
    <row r="726" ht="29.25" x14ac:dyDescent="0.5"/>
    <row r="727" ht="29.25" x14ac:dyDescent="0.5"/>
    <row r="728" ht="29.25" x14ac:dyDescent="0.5"/>
    <row r="729" ht="29.25" x14ac:dyDescent="0.5"/>
    <row r="730" ht="29.25" x14ac:dyDescent="0.5"/>
    <row r="731" ht="29.25" x14ac:dyDescent="0.5"/>
    <row r="732" ht="29.25" x14ac:dyDescent="0.5"/>
    <row r="733" ht="29.25" x14ac:dyDescent="0.5"/>
    <row r="734" ht="29.25" x14ac:dyDescent="0.5"/>
    <row r="735" ht="29.25" x14ac:dyDescent="0.5"/>
    <row r="736" ht="29.25" x14ac:dyDescent="0.5"/>
    <row r="737" ht="29.25" x14ac:dyDescent="0.5"/>
    <row r="738" ht="29.25" x14ac:dyDescent="0.5"/>
    <row r="739" ht="29.25" x14ac:dyDescent="0.5"/>
    <row r="740" ht="29.25" x14ac:dyDescent="0.5"/>
    <row r="741" ht="29.25" x14ac:dyDescent="0.5"/>
    <row r="742" ht="29.25" x14ac:dyDescent="0.5"/>
    <row r="743" ht="29.25" x14ac:dyDescent="0.5"/>
    <row r="744" ht="29.25" x14ac:dyDescent="0.5"/>
    <row r="745" ht="29.25" x14ac:dyDescent="0.5"/>
    <row r="746" ht="29.25" x14ac:dyDescent="0.5"/>
    <row r="747" ht="29.25" x14ac:dyDescent="0.5"/>
    <row r="748" ht="29.25" x14ac:dyDescent="0.5"/>
    <row r="749" ht="29.25" x14ac:dyDescent="0.5"/>
    <row r="750" ht="29.25" x14ac:dyDescent="0.5"/>
    <row r="751" ht="29.25" x14ac:dyDescent="0.5"/>
    <row r="752" ht="29.25" x14ac:dyDescent="0.5"/>
    <row r="753" ht="29.25" x14ac:dyDescent="0.5"/>
    <row r="754" ht="29.25" x14ac:dyDescent="0.5"/>
    <row r="755" ht="29.25" x14ac:dyDescent="0.5"/>
    <row r="756" ht="29.25" x14ac:dyDescent="0.5"/>
    <row r="757" ht="29.25" x14ac:dyDescent="0.5"/>
    <row r="758" ht="29.25" x14ac:dyDescent="0.5"/>
    <row r="759" ht="29.25" x14ac:dyDescent="0.5"/>
    <row r="760" ht="29.25" x14ac:dyDescent="0.5"/>
    <row r="761" ht="29.25" x14ac:dyDescent="0.5"/>
    <row r="762" ht="29.25" x14ac:dyDescent="0.5"/>
    <row r="763" ht="29.25" x14ac:dyDescent="0.5"/>
    <row r="764" ht="29.25" x14ac:dyDescent="0.5"/>
    <row r="765" ht="29.25" x14ac:dyDescent="0.5"/>
    <row r="766" ht="29.25" x14ac:dyDescent="0.5"/>
    <row r="767" ht="29.25" x14ac:dyDescent="0.5"/>
    <row r="768" ht="29.25" x14ac:dyDescent="0.5"/>
    <row r="769" ht="29.25" x14ac:dyDescent="0.5"/>
    <row r="770" ht="29.25" x14ac:dyDescent="0.5"/>
    <row r="771" ht="29.25" x14ac:dyDescent="0.5"/>
    <row r="772" ht="29.25" x14ac:dyDescent="0.5"/>
    <row r="773" ht="29.25" x14ac:dyDescent="0.5"/>
    <row r="774" ht="29.25" x14ac:dyDescent="0.5"/>
    <row r="775" ht="29.25" x14ac:dyDescent="0.5"/>
    <row r="776" ht="29.25" x14ac:dyDescent="0.5"/>
    <row r="777" ht="29.25" x14ac:dyDescent="0.5"/>
    <row r="778" ht="29.25" x14ac:dyDescent="0.5"/>
    <row r="779" ht="29.25" x14ac:dyDescent="0.5"/>
    <row r="780" ht="29.25" x14ac:dyDescent="0.5"/>
    <row r="781" ht="29.25" x14ac:dyDescent="0.5"/>
    <row r="782" ht="29.25" x14ac:dyDescent="0.5"/>
    <row r="783" ht="29.25" x14ac:dyDescent="0.5"/>
    <row r="784" ht="29.25" x14ac:dyDescent="0.5"/>
    <row r="785" ht="29.25" x14ac:dyDescent="0.5"/>
    <row r="786" ht="29.25" x14ac:dyDescent="0.5"/>
    <row r="787" ht="29.25" x14ac:dyDescent="0.5"/>
    <row r="788" ht="29.25" x14ac:dyDescent="0.5"/>
    <row r="789" ht="29.25" x14ac:dyDescent="0.5"/>
    <row r="790" ht="29.25" x14ac:dyDescent="0.5"/>
    <row r="791" ht="29.25" x14ac:dyDescent="0.5"/>
    <row r="792" ht="29.25" x14ac:dyDescent="0.5"/>
    <row r="793" ht="29.25" x14ac:dyDescent="0.5"/>
    <row r="794" ht="29.25" x14ac:dyDescent="0.5"/>
    <row r="795" ht="29.25" x14ac:dyDescent="0.5"/>
    <row r="796" ht="29.25" x14ac:dyDescent="0.5"/>
    <row r="797" ht="29.25" x14ac:dyDescent="0.5"/>
    <row r="798" ht="29.25" x14ac:dyDescent="0.5"/>
    <row r="799" ht="29.25" x14ac:dyDescent="0.5"/>
    <row r="800" ht="29.25" x14ac:dyDescent="0.5"/>
    <row r="801" ht="29.25" x14ac:dyDescent="0.5"/>
    <row r="802" ht="29.25" x14ac:dyDescent="0.5"/>
    <row r="803" ht="29.25" x14ac:dyDescent="0.5"/>
    <row r="804" ht="29.25" x14ac:dyDescent="0.5"/>
    <row r="805" ht="29.25" x14ac:dyDescent="0.5"/>
    <row r="806" ht="29.25" x14ac:dyDescent="0.5"/>
    <row r="807" ht="29.25" x14ac:dyDescent="0.5"/>
    <row r="808" ht="29.25" x14ac:dyDescent="0.5"/>
    <row r="809" ht="29.25" x14ac:dyDescent="0.5"/>
    <row r="810" ht="29.25" x14ac:dyDescent="0.5"/>
    <row r="811" ht="29.25" x14ac:dyDescent="0.5"/>
    <row r="812" ht="29.25" x14ac:dyDescent="0.5"/>
    <row r="813" ht="29.25" x14ac:dyDescent="0.5"/>
    <row r="814" ht="29.25" x14ac:dyDescent="0.5"/>
    <row r="815" ht="29.25" x14ac:dyDescent="0.5"/>
    <row r="816" ht="29.25" x14ac:dyDescent="0.5"/>
    <row r="817" ht="29.25" x14ac:dyDescent="0.5"/>
    <row r="818" ht="29.25" x14ac:dyDescent="0.5"/>
    <row r="819" ht="29.25" x14ac:dyDescent="0.5"/>
    <row r="820" ht="29.25" x14ac:dyDescent="0.5"/>
    <row r="821" ht="29.25" x14ac:dyDescent="0.5"/>
    <row r="822" ht="29.25" x14ac:dyDescent="0.5"/>
    <row r="823" ht="29.25" x14ac:dyDescent="0.5"/>
    <row r="824" ht="29.25" x14ac:dyDescent="0.5"/>
    <row r="825" ht="29.25" x14ac:dyDescent="0.5"/>
    <row r="826" ht="29.25" x14ac:dyDescent="0.5"/>
    <row r="827" ht="29.25" x14ac:dyDescent="0.5"/>
    <row r="828" ht="29.25" x14ac:dyDescent="0.5"/>
    <row r="829" ht="29.25" x14ac:dyDescent="0.5"/>
    <row r="830" ht="29.25" x14ac:dyDescent="0.5"/>
    <row r="831" ht="29.25" x14ac:dyDescent="0.5"/>
    <row r="832" ht="29.25" x14ac:dyDescent="0.5"/>
    <row r="833" ht="29.25" x14ac:dyDescent="0.5"/>
    <row r="834" ht="29.25" x14ac:dyDescent="0.5"/>
    <row r="835" ht="29.25" x14ac:dyDescent="0.5"/>
    <row r="836" ht="29.25" x14ac:dyDescent="0.5"/>
    <row r="837" ht="29.25" x14ac:dyDescent="0.5"/>
    <row r="838" ht="29.25" x14ac:dyDescent="0.5"/>
    <row r="839" ht="29.25" x14ac:dyDescent="0.5"/>
    <row r="840" ht="29.25" x14ac:dyDescent="0.5"/>
    <row r="841" ht="29.25" x14ac:dyDescent="0.5"/>
    <row r="842" ht="29.25" x14ac:dyDescent="0.5"/>
    <row r="843" ht="29.25" x14ac:dyDescent="0.5"/>
    <row r="844" ht="29.25" x14ac:dyDescent="0.5"/>
    <row r="845" ht="29.25" x14ac:dyDescent="0.5"/>
    <row r="846" ht="29.25" x14ac:dyDescent="0.5"/>
    <row r="847" ht="29.25" x14ac:dyDescent="0.5"/>
    <row r="848" ht="29.25" x14ac:dyDescent="0.5"/>
    <row r="849" ht="29.25" x14ac:dyDescent="0.5"/>
    <row r="850" ht="29.25" x14ac:dyDescent="0.5"/>
    <row r="851" ht="29.25" x14ac:dyDescent="0.5"/>
    <row r="852" ht="29.25" x14ac:dyDescent="0.5"/>
    <row r="853" ht="29.25" x14ac:dyDescent="0.5"/>
    <row r="854" ht="29.25" x14ac:dyDescent="0.5"/>
    <row r="855" ht="29.25" x14ac:dyDescent="0.5"/>
    <row r="856" ht="29.25" x14ac:dyDescent="0.5"/>
    <row r="857" ht="29.25" x14ac:dyDescent="0.5"/>
    <row r="858" ht="29.25" x14ac:dyDescent="0.5"/>
    <row r="859" ht="29.25" x14ac:dyDescent="0.5"/>
    <row r="860" ht="29.25" x14ac:dyDescent="0.5"/>
    <row r="861" ht="29.25" x14ac:dyDescent="0.5"/>
    <row r="862" ht="29.25" x14ac:dyDescent="0.5"/>
    <row r="863" ht="29.25" x14ac:dyDescent="0.5"/>
    <row r="864" ht="29.25" x14ac:dyDescent="0.5"/>
    <row r="865" ht="29.25" x14ac:dyDescent="0.5"/>
    <row r="866" ht="29.25" x14ac:dyDescent="0.5"/>
    <row r="867" ht="29.25" x14ac:dyDescent="0.5"/>
    <row r="868" ht="29.25" x14ac:dyDescent="0.5"/>
    <row r="869" ht="29.25" x14ac:dyDescent="0.5"/>
    <row r="870" ht="29.25" x14ac:dyDescent="0.5"/>
    <row r="871" ht="29.25" x14ac:dyDescent="0.5"/>
    <row r="872" ht="29.25" x14ac:dyDescent="0.5"/>
    <row r="873" ht="29.25" x14ac:dyDescent="0.5"/>
    <row r="874" ht="29.25" x14ac:dyDescent="0.5"/>
    <row r="875" ht="29.25" x14ac:dyDescent="0.5"/>
    <row r="876" ht="29.25" x14ac:dyDescent="0.5"/>
    <row r="877" ht="29.25" x14ac:dyDescent="0.5"/>
    <row r="878" ht="29.25" x14ac:dyDescent="0.5"/>
    <row r="879" ht="29.25" x14ac:dyDescent="0.5"/>
    <row r="880" ht="29.25" x14ac:dyDescent="0.5"/>
    <row r="881" ht="29.25" x14ac:dyDescent="0.5"/>
    <row r="882" ht="29.25" x14ac:dyDescent="0.5"/>
    <row r="883" ht="29.25" x14ac:dyDescent="0.5"/>
    <row r="884" ht="29.25" x14ac:dyDescent="0.5"/>
    <row r="885" ht="29.25" x14ac:dyDescent="0.5"/>
    <row r="886" ht="29.25" x14ac:dyDescent="0.5"/>
    <row r="887" ht="29.25" x14ac:dyDescent="0.5"/>
    <row r="888" ht="29.25" x14ac:dyDescent="0.5"/>
    <row r="889" ht="29.25" x14ac:dyDescent="0.5"/>
    <row r="890" ht="29.25" x14ac:dyDescent="0.5"/>
    <row r="891" ht="29.25" x14ac:dyDescent="0.5"/>
    <row r="892" ht="29.25" x14ac:dyDescent="0.5"/>
    <row r="893" ht="29.25" x14ac:dyDescent="0.5"/>
    <row r="894" ht="29.25" x14ac:dyDescent="0.5"/>
    <row r="895" ht="29.25" x14ac:dyDescent="0.5"/>
    <row r="896" ht="29.25" x14ac:dyDescent="0.5"/>
    <row r="897" ht="29.25" x14ac:dyDescent="0.5"/>
    <row r="898" ht="29.25" x14ac:dyDescent="0.5"/>
    <row r="899" ht="29.25" x14ac:dyDescent="0.5"/>
    <row r="900" ht="29.25" x14ac:dyDescent="0.5"/>
    <row r="901" ht="29.25" x14ac:dyDescent="0.5"/>
    <row r="902" ht="29.25" x14ac:dyDescent="0.5"/>
    <row r="903" ht="29.25" x14ac:dyDescent="0.5"/>
    <row r="904" ht="29.25" x14ac:dyDescent="0.5"/>
    <row r="905" ht="29.25" x14ac:dyDescent="0.5"/>
    <row r="906" ht="29.25" x14ac:dyDescent="0.5"/>
    <row r="907" ht="29.25" x14ac:dyDescent="0.5"/>
    <row r="908" ht="29.25" x14ac:dyDescent="0.5"/>
    <row r="909" ht="29.25" x14ac:dyDescent="0.5"/>
    <row r="910" ht="29.25" x14ac:dyDescent="0.5"/>
    <row r="911" ht="29.25" x14ac:dyDescent="0.5"/>
    <row r="912" ht="29.25" x14ac:dyDescent="0.5"/>
    <row r="913" ht="29.25" x14ac:dyDescent="0.5"/>
    <row r="914" ht="29.25" x14ac:dyDescent="0.5"/>
    <row r="915" ht="29.25" x14ac:dyDescent="0.5"/>
    <row r="916" ht="29.25" x14ac:dyDescent="0.5"/>
    <row r="917" ht="29.25" x14ac:dyDescent="0.5"/>
    <row r="918" ht="29.25" x14ac:dyDescent="0.5"/>
    <row r="919" ht="29.25" x14ac:dyDescent="0.5"/>
    <row r="920" ht="29.25" x14ac:dyDescent="0.5"/>
    <row r="921" ht="29.25" x14ac:dyDescent="0.5"/>
    <row r="922" ht="29.25" x14ac:dyDescent="0.5"/>
    <row r="923" ht="29.25" x14ac:dyDescent="0.5"/>
    <row r="924" ht="29.25" x14ac:dyDescent="0.5"/>
    <row r="925" ht="29.25" x14ac:dyDescent="0.5"/>
    <row r="926" ht="29.25" x14ac:dyDescent="0.5"/>
    <row r="927" ht="29.25" x14ac:dyDescent="0.5"/>
    <row r="928" ht="29.25" x14ac:dyDescent="0.5"/>
    <row r="929" ht="29.25" x14ac:dyDescent="0.5"/>
    <row r="930" ht="29.25" x14ac:dyDescent="0.5"/>
    <row r="931" ht="29.25" x14ac:dyDescent="0.5"/>
    <row r="932" ht="29.25" x14ac:dyDescent="0.5"/>
    <row r="933" ht="29.25" x14ac:dyDescent="0.5"/>
    <row r="934" ht="29.25" x14ac:dyDescent="0.5"/>
    <row r="935" ht="29.25" x14ac:dyDescent="0.5"/>
    <row r="936" ht="29.25" x14ac:dyDescent="0.5"/>
    <row r="937" ht="29.25" x14ac:dyDescent="0.5"/>
    <row r="938" ht="29.25" x14ac:dyDescent="0.5"/>
    <row r="939" ht="29.25" x14ac:dyDescent="0.5"/>
    <row r="940" ht="29.25" x14ac:dyDescent="0.5"/>
    <row r="941" ht="29.25" x14ac:dyDescent="0.5"/>
    <row r="942" ht="29.25" x14ac:dyDescent="0.5"/>
    <row r="943" ht="29.25" x14ac:dyDescent="0.5"/>
    <row r="944" ht="29.25" x14ac:dyDescent="0.5"/>
    <row r="945" ht="29.25" x14ac:dyDescent="0.5"/>
    <row r="946" ht="29.25" x14ac:dyDescent="0.5"/>
    <row r="947" ht="29.25" x14ac:dyDescent="0.5"/>
    <row r="948" ht="29.25" x14ac:dyDescent="0.5"/>
    <row r="949" ht="29.25" x14ac:dyDescent="0.5"/>
    <row r="950" ht="29.25" x14ac:dyDescent="0.5"/>
    <row r="951" ht="29.25" x14ac:dyDescent="0.5"/>
    <row r="952" ht="29.25" x14ac:dyDescent="0.5"/>
    <row r="953" ht="29.25" x14ac:dyDescent="0.5"/>
    <row r="954" ht="29.25" x14ac:dyDescent="0.5"/>
    <row r="955" ht="29.25" x14ac:dyDescent="0.5"/>
    <row r="956" ht="29.25" x14ac:dyDescent="0.5"/>
    <row r="957" ht="29.25" x14ac:dyDescent="0.5"/>
    <row r="958" ht="29.25" x14ac:dyDescent="0.5"/>
    <row r="959" ht="29.25" x14ac:dyDescent="0.5"/>
    <row r="960" ht="29.25" x14ac:dyDescent="0.5"/>
    <row r="961" ht="29.25" x14ac:dyDescent="0.5"/>
    <row r="962" ht="29.25" x14ac:dyDescent="0.5"/>
    <row r="963" ht="29.25" x14ac:dyDescent="0.5"/>
    <row r="964" ht="29.25" x14ac:dyDescent="0.5"/>
    <row r="965" ht="29.25" x14ac:dyDescent="0.5"/>
    <row r="966" ht="29.25" x14ac:dyDescent="0.5"/>
    <row r="967" ht="29.25" x14ac:dyDescent="0.5"/>
    <row r="968" ht="29.25" x14ac:dyDescent="0.5"/>
    <row r="969" ht="29.25" x14ac:dyDescent="0.5"/>
    <row r="970" ht="29.25" x14ac:dyDescent="0.5"/>
    <row r="971" ht="29.25" x14ac:dyDescent="0.5"/>
    <row r="972" ht="29.25" x14ac:dyDescent="0.5"/>
    <row r="973" ht="29.25" x14ac:dyDescent="0.5"/>
    <row r="974" ht="29.25" x14ac:dyDescent="0.5"/>
    <row r="975" ht="29.25" x14ac:dyDescent="0.5"/>
    <row r="976" ht="29.25" x14ac:dyDescent="0.5"/>
    <row r="977" ht="29.25" x14ac:dyDescent="0.5"/>
    <row r="978" ht="29.25" x14ac:dyDescent="0.5"/>
    <row r="979" ht="29.25" x14ac:dyDescent="0.5"/>
    <row r="980" ht="29.25" x14ac:dyDescent="0.5"/>
    <row r="981" ht="29.25" x14ac:dyDescent="0.5"/>
    <row r="982" ht="29.25" x14ac:dyDescent="0.5"/>
    <row r="983" ht="29.25" x14ac:dyDescent="0.5"/>
    <row r="984" ht="29.25" x14ac:dyDescent="0.5"/>
    <row r="985" ht="29.25" x14ac:dyDescent="0.5"/>
    <row r="986" ht="29.25" x14ac:dyDescent="0.5"/>
    <row r="987" ht="29.25" x14ac:dyDescent="0.5"/>
    <row r="988" ht="29.25" x14ac:dyDescent="0.5"/>
    <row r="989" ht="29.25" x14ac:dyDescent="0.5"/>
    <row r="990" ht="29.25" x14ac:dyDescent="0.5"/>
    <row r="991" ht="29.25" x14ac:dyDescent="0.5"/>
    <row r="992" ht="29.25" x14ac:dyDescent="0.5"/>
    <row r="993" ht="29.25" x14ac:dyDescent="0.5"/>
    <row r="994" ht="29.25" x14ac:dyDescent="0.5"/>
    <row r="995" ht="29.25" x14ac:dyDescent="0.5"/>
    <row r="996" ht="29.25" x14ac:dyDescent="0.5"/>
    <row r="997" ht="29.25" x14ac:dyDescent="0.5"/>
    <row r="998" ht="29.25" x14ac:dyDescent="0.5"/>
    <row r="999" ht="29.25" x14ac:dyDescent="0.5"/>
    <row r="1000" ht="29.25" x14ac:dyDescent="0.5"/>
    <row r="1001" ht="29.25" x14ac:dyDescent="0.5"/>
    <row r="1002" ht="29.25" x14ac:dyDescent="0.5"/>
    <row r="1003" ht="29.25" x14ac:dyDescent="0.5"/>
    <row r="1004" ht="29.25" x14ac:dyDescent="0.5"/>
    <row r="1005" ht="29.25" x14ac:dyDescent="0.5"/>
    <row r="1006" ht="29.25" x14ac:dyDescent="0.5"/>
    <row r="1007" ht="29.25" x14ac:dyDescent="0.5"/>
    <row r="1008" ht="29.25" x14ac:dyDescent="0.5"/>
    <row r="1009" ht="29.25" x14ac:dyDescent="0.5"/>
    <row r="1010" ht="29.25" x14ac:dyDescent="0.5"/>
    <row r="1011" ht="29.25" x14ac:dyDescent="0.5"/>
    <row r="1012" ht="29.25" x14ac:dyDescent="0.5"/>
    <row r="1013" ht="29.25" x14ac:dyDescent="0.5"/>
    <row r="1014" ht="29.25" x14ac:dyDescent="0.5"/>
    <row r="1015" ht="29.25" x14ac:dyDescent="0.5"/>
    <row r="1016" ht="29.25" x14ac:dyDescent="0.5"/>
    <row r="1017" ht="29.25" x14ac:dyDescent="0.5"/>
    <row r="1018" ht="29.25" x14ac:dyDescent="0.5"/>
    <row r="1019" ht="29.25" x14ac:dyDescent="0.5"/>
    <row r="1020" ht="29.25" x14ac:dyDescent="0.5"/>
    <row r="1021" ht="29.25" x14ac:dyDescent="0.5"/>
    <row r="1022" ht="29.25" x14ac:dyDescent="0.5"/>
    <row r="1023" ht="29.25" x14ac:dyDescent="0.5"/>
    <row r="1024" ht="29.25" x14ac:dyDescent="0.5"/>
    <row r="1025" ht="29.25" x14ac:dyDescent="0.5"/>
    <row r="1026" ht="29.25" x14ac:dyDescent="0.5"/>
    <row r="1027" ht="29.25" x14ac:dyDescent="0.5"/>
    <row r="1028" ht="29.25" x14ac:dyDescent="0.5"/>
    <row r="1029" ht="29.25" x14ac:dyDescent="0.5"/>
    <row r="1030" ht="29.25" x14ac:dyDescent="0.5"/>
    <row r="1031" ht="29.25" x14ac:dyDescent="0.5"/>
    <row r="1032" ht="29.25" x14ac:dyDescent="0.5"/>
    <row r="1033" ht="29.25" x14ac:dyDescent="0.5"/>
    <row r="1034" ht="29.25" x14ac:dyDescent="0.5"/>
    <row r="1035" ht="29.25" x14ac:dyDescent="0.5"/>
    <row r="1036" ht="29.25" x14ac:dyDescent="0.5"/>
    <row r="1037" ht="29.25" x14ac:dyDescent="0.5"/>
    <row r="1038" ht="29.25" x14ac:dyDescent="0.5"/>
    <row r="1039" ht="29.25" x14ac:dyDescent="0.5"/>
    <row r="1040" ht="29.25" x14ac:dyDescent="0.5"/>
    <row r="1041" ht="29.25" x14ac:dyDescent="0.5"/>
    <row r="1042" ht="29.25" x14ac:dyDescent="0.5"/>
    <row r="1043" ht="29.25" x14ac:dyDescent="0.5"/>
    <row r="1044" ht="29.25" x14ac:dyDescent="0.5"/>
    <row r="1045" ht="29.25" x14ac:dyDescent="0.5"/>
    <row r="1046" ht="29.25" x14ac:dyDescent="0.5"/>
    <row r="1047" ht="29.25" x14ac:dyDescent="0.5"/>
    <row r="1048" ht="29.25" x14ac:dyDescent="0.5"/>
    <row r="1049" ht="29.25" x14ac:dyDescent="0.5"/>
    <row r="1050" ht="29.25" x14ac:dyDescent="0.5"/>
    <row r="1051" ht="29.25" x14ac:dyDescent="0.5"/>
    <row r="1052" ht="29.25" x14ac:dyDescent="0.5"/>
    <row r="1053" ht="29.25" x14ac:dyDescent="0.5"/>
    <row r="1054" ht="29.25" x14ac:dyDescent="0.5"/>
    <row r="1055" ht="29.25" x14ac:dyDescent="0.5"/>
    <row r="1056" ht="29.25" x14ac:dyDescent="0.5"/>
    <row r="1057" ht="29.25" x14ac:dyDescent="0.5"/>
    <row r="1058" ht="29.25" x14ac:dyDescent="0.5"/>
    <row r="1059" ht="29.25" x14ac:dyDescent="0.5"/>
    <row r="1060" ht="29.25" x14ac:dyDescent="0.5"/>
    <row r="1061" ht="29.25" x14ac:dyDescent="0.5"/>
    <row r="1062" ht="29.25" x14ac:dyDescent="0.5"/>
    <row r="1063" ht="29.25" x14ac:dyDescent="0.5"/>
    <row r="1064" ht="29.25" x14ac:dyDescent="0.5"/>
    <row r="1065" ht="29.25" x14ac:dyDescent="0.5"/>
    <row r="1066" ht="29.25" x14ac:dyDescent="0.5"/>
    <row r="1067" ht="29.25" x14ac:dyDescent="0.5"/>
    <row r="1068" ht="29.25" x14ac:dyDescent="0.5"/>
    <row r="1069" ht="29.25" x14ac:dyDescent="0.5"/>
    <row r="1070" ht="29.25" x14ac:dyDescent="0.5"/>
    <row r="1071" ht="29.25" x14ac:dyDescent="0.5"/>
    <row r="1072" ht="29.25" x14ac:dyDescent="0.5"/>
    <row r="1073" ht="29.25" x14ac:dyDescent="0.5"/>
    <row r="1074" ht="29.25" x14ac:dyDescent="0.5"/>
    <row r="1075" ht="29.25" x14ac:dyDescent="0.5"/>
    <row r="1076" ht="29.25" x14ac:dyDescent="0.5"/>
    <row r="1077" ht="29.25" x14ac:dyDescent="0.5"/>
    <row r="1078" ht="29.25" x14ac:dyDescent="0.5"/>
    <row r="1079" ht="29.25" x14ac:dyDescent="0.5"/>
    <row r="1080" ht="29.25" x14ac:dyDescent="0.5"/>
    <row r="1081" ht="29.25" x14ac:dyDescent="0.5"/>
    <row r="1082" ht="29.25" x14ac:dyDescent="0.5"/>
    <row r="1083" ht="29.25" x14ac:dyDescent="0.5"/>
    <row r="1084" ht="29.25" x14ac:dyDescent="0.5"/>
    <row r="1085" ht="29.25" x14ac:dyDescent="0.5"/>
    <row r="1086" ht="29.25" x14ac:dyDescent="0.5"/>
    <row r="1087" ht="29.25" x14ac:dyDescent="0.5"/>
    <row r="1088" ht="29.25" x14ac:dyDescent="0.5"/>
    <row r="1089" ht="29.25" x14ac:dyDescent="0.5"/>
    <row r="1090" ht="29.25" x14ac:dyDescent="0.5"/>
    <row r="1091" ht="29.25" x14ac:dyDescent="0.5"/>
    <row r="1092" ht="29.25" x14ac:dyDescent="0.5"/>
    <row r="1093" ht="29.25" x14ac:dyDescent="0.5"/>
    <row r="1094" ht="29.25" x14ac:dyDescent="0.5"/>
    <row r="1095" ht="29.25" x14ac:dyDescent="0.5"/>
    <row r="1096" ht="29.25" x14ac:dyDescent="0.5"/>
    <row r="1097" ht="29.25" x14ac:dyDescent="0.5"/>
    <row r="1098" ht="29.25" x14ac:dyDescent="0.5"/>
    <row r="1099" ht="29.25" x14ac:dyDescent="0.5"/>
    <row r="1100" ht="29.25" x14ac:dyDescent="0.5"/>
    <row r="1101" ht="29.25" x14ac:dyDescent="0.5"/>
    <row r="1102" ht="29.25" x14ac:dyDescent="0.5"/>
    <row r="1103" ht="29.25" x14ac:dyDescent="0.5"/>
    <row r="1104" ht="29.25" x14ac:dyDescent="0.5"/>
    <row r="1105" ht="29.25" x14ac:dyDescent="0.5"/>
    <row r="1106" ht="29.25" x14ac:dyDescent="0.5"/>
    <row r="1107" ht="29.25" x14ac:dyDescent="0.5"/>
    <row r="1108" ht="29.25" x14ac:dyDescent="0.5"/>
    <row r="1109" ht="29.25" x14ac:dyDescent="0.5"/>
    <row r="1110" ht="29.25" x14ac:dyDescent="0.5"/>
    <row r="1111" ht="29.25" x14ac:dyDescent="0.5"/>
    <row r="1112" ht="29.25" x14ac:dyDescent="0.5"/>
    <row r="1113" ht="29.25" x14ac:dyDescent="0.5"/>
    <row r="1114" ht="29.25" x14ac:dyDescent="0.5"/>
    <row r="1115" ht="29.25" x14ac:dyDescent="0.5"/>
    <row r="1116" ht="29.25" x14ac:dyDescent="0.5"/>
    <row r="1117" ht="29.25" x14ac:dyDescent="0.5"/>
    <row r="1118" ht="29.25" x14ac:dyDescent="0.5"/>
    <row r="1119" ht="29.25" x14ac:dyDescent="0.5"/>
    <row r="1120" ht="29.25" x14ac:dyDescent="0.5"/>
    <row r="1121" ht="29.25" x14ac:dyDescent="0.5"/>
    <row r="1122" ht="29.25" x14ac:dyDescent="0.5"/>
    <row r="1123" ht="29.25" x14ac:dyDescent="0.5"/>
    <row r="1124" ht="29.25" x14ac:dyDescent="0.5"/>
    <row r="1125" ht="29.25" x14ac:dyDescent="0.5"/>
    <row r="1126" ht="29.25" x14ac:dyDescent="0.5"/>
    <row r="1127" ht="29.25" x14ac:dyDescent="0.5"/>
    <row r="1128" ht="29.25" x14ac:dyDescent="0.5"/>
    <row r="1129" ht="29.25" x14ac:dyDescent="0.5"/>
    <row r="1130" ht="29.25" x14ac:dyDescent="0.5"/>
    <row r="1131" ht="29.25" x14ac:dyDescent="0.5"/>
    <row r="1132" ht="29.25" x14ac:dyDescent="0.5"/>
    <row r="1133" ht="29.25" x14ac:dyDescent="0.5"/>
    <row r="1134" ht="29.25" x14ac:dyDescent="0.5"/>
    <row r="1135" ht="29.25" x14ac:dyDescent="0.5"/>
    <row r="1136" ht="29.25" x14ac:dyDescent="0.5"/>
    <row r="1137" ht="29.25" x14ac:dyDescent="0.5"/>
    <row r="1138" ht="29.25" x14ac:dyDescent="0.5"/>
    <row r="1139" ht="29.25" x14ac:dyDescent="0.5"/>
    <row r="1140" ht="29.25" x14ac:dyDescent="0.5"/>
    <row r="1141" ht="29.25" x14ac:dyDescent="0.5"/>
    <row r="1142" ht="29.25" x14ac:dyDescent="0.5"/>
    <row r="1143" ht="29.25" x14ac:dyDescent="0.5"/>
    <row r="1144" ht="29.25" x14ac:dyDescent="0.5"/>
    <row r="1145" ht="29.25" x14ac:dyDescent="0.5"/>
    <row r="1146" ht="29.25" x14ac:dyDescent="0.5"/>
    <row r="1147" ht="29.25" x14ac:dyDescent="0.5"/>
    <row r="1148" ht="29.25" x14ac:dyDescent="0.5"/>
    <row r="1149" ht="29.25" x14ac:dyDescent="0.5"/>
    <row r="1150" ht="29.25" x14ac:dyDescent="0.5"/>
    <row r="1151" ht="29.25" x14ac:dyDescent="0.5"/>
    <row r="1152" ht="29.25" x14ac:dyDescent="0.5"/>
    <row r="1153" ht="29.25" x14ac:dyDescent="0.5"/>
    <row r="1154" ht="29.25" x14ac:dyDescent="0.5"/>
    <row r="1155" ht="29.25" x14ac:dyDescent="0.5"/>
    <row r="1156" ht="29.25" x14ac:dyDescent="0.5"/>
    <row r="1157" ht="29.25" x14ac:dyDescent="0.5"/>
    <row r="1158" ht="29.25" x14ac:dyDescent="0.5"/>
    <row r="1159" ht="29.25" x14ac:dyDescent="0.5"/>
    <row r="1160" ht="29.25" x14ac:dyDescent="0.5"/>
    <row r="1161" ht="29.25" x14ac:dyDescent="0.5"/>
    <row r="1162" ht="29.25" x14ac:dyDescent="0.5"/>
    <row r="1163" ht="29.25" x14ac:dyDescent="0.5"/>
    <row r="1164" ht="29.25" x14ac:dyDescent="0.5"/>
    <row r="1165" ht="29.25" x14ac:dyDescent="0.5"/>
    <row r="1166" ht="29.25" x14ac:dyDescent="0.5"/>
    <row r="1167" ht="29.25" x14ac:dyDescent="0.5"/>
    <row r="1168" ht="29.25" x14ac:dyDescent="0.5"/>
    <row r="1169" ht="29.25" x14ac:dyDescent="0.5"/>
    <row r="1170" ht="29.25" x14ac:dyDescent="0.5"/>
    <row r="1171" ht="29.25" x14ac:dyDescent="0.5"/>
    <row r="1172" ht="29.25" x14ac:dyDescent="0.5"/>
    <row r="1173" ht="29.25" x14ac:dyDescent="0.5"/>
    <row r="1174" ht="29.25" x14ac:dyDescent="0.5"/>
    <row r="1175" ht="29.25" x14ac:dyDescent="0.5"/>
    <row r="1176" ht="29.25" x14ac:dyDescent="0.5"/>
    <row r="1177" ht="29.25" x14ac:dyDescent="0.5"/>
    <row r="1178" ht="29.25" x14ac:dyDescent="0.5"/>
    <row r="1179" ht="29.25" x14ac:dyDescent="0.5"/>
    <row r="1180" ht="29.25" x14ac:dyDescent="0.5"/>
    <row r="1181" ht="29.25" x14ac:dyDescent="0.5"/>
    <row r="1182" ht="29.25" x14ac:dyDescent="0.5"/>
    <row r="1183" ht="29.25" x14ac:dyDescent="0.5"/>
    <row r="1184" ht="29.25" x14ac:dyDescent="0.5"/>
    <row r="1185" ht="29.25" x14ac:dyDescent="0.5"/>
    <row r="1186" ht="29.25" x14ac:dyDescent="0.5"/>
    <row r="1187" ht="29.25" x14ac:dyDescent="0.5"/>
    <row r="1188" ht="29.25" x14ac:dyDescent="0.5"/>
    <row r="1189" ht="29.25" x14ac:dyDescent="0.5"/>
    <row r="1190" ht="29.25" x14ac:dyDescent="0.5"/>
    <row r="1191" ht="29.25" x14ac:dyDescent="0.5"/>
    <row r="1192" ht="29.25" x14ac:dyDescent="0.5"/>
    <row r="1193" ht="29.25" x14ac:dyDescent="0.5"/>
    <row r="1194" ht="29.25" x14ac:dyDescent="0.5"/>
    <row r="1195" ht="29.25" x14ac:dyDescent="0.5"/>
    <row r="1196" ht="29.25" x14ac:dyDescent="0.5"/>
    <row r="1197" ht="29.25" x14ac:dyDescent="0.5"/>
    <row r="1198" ht="29.25" x14ac:dyDescent="0.5"/>
    <row r="1199" ht="29.25" x14ac:dyDescent="0.5"/>
    <row r="1200" ht="29.25" x14ac:dyDescent="0.5"/>
    <row r="1201" ht="29.25" x14ac:dyDescent="0.5"/>
    <row r="1202" ht="29.25" x14ac:dyDescent="0.5"/>
    <row r="1203" ht="29.25" x14ac:dyDescent="0.5"/>
    <row r="1204" ht="29.25" x14ac:dyDescent="0.5"/>
    <row r="1205" ht="29.25" x14ac:dyDescent="0.5"/>
    <row r="1206" ht="29.25" x14ac:dyDescent="0.5"/>
    <row r="1207" ht="29.25" x14ac:dyDescent="0.5"/>
    <row r="1208" ht="29.25" x14ac:dyDescent="0.5"/>
    <row r="1209" ht="29.25" x14ac:dyDescent="0.5"/>
    <row r="1210" ht="29.25" x14ac:dyDescent="0.5"/>
    <row r="1211" ht="29.25" x14ac:dyDescent="0.5"/>
    <row r="1212" ht="29.25" x14ac:dyDescent="0.5"/>
    <row r="1213" ht="29.25" x14ac:dyDescent="0.5"/>
    <row r="1214" ht="29.25" x14ac:dyDescent="0.5"/>
    <row r="1215" ht="29.25" x14ac:dyDescent="0.5"/>
    <row r="1216" ht="29.25" x14ac:dyDescent="0.5"/>
    <row r="1217" ht="29.25" x14ac:dyDescent="0.5"/>
    <row r="1218" ht="29.25" x14ac:dyDescent="0.5"/>
    <row r="1219" ht="29.25" x14ac:dyDescent="0.5"/>
    <row r="1220" ht="29.25" x14ac:dyDescent="0.5"/>
    <row r="1221" ht="29.25" x14ac:dyDescent="0.5"/>
    <row r="1222" ht="29.25" x14ac:dyDescent="0.5"/>
    <row r="1223" ht="29.25" x14ac:dyDescent="0.5"/>
    <row r="1224" ht="29.25" x14ac:dyDescent="0.5"/>
    <row r="1225" ht="29.25" x14ac:dyDescent="0.5"/>
    <row r="1226" ht="29.25" x14ac:dyDescent="0.5"/>
    <row r="1227" ht="29.25" x14ac:dyDescent="0.5"/>
    <row r="1228" ht="29.25" x14ac:dyDescent="0.5"/>
    <row r="1229" ht="29.25" x14ac:dyDescent="0.5"/>
    <row r="1230" ht="29.25" x14ac:dyDescent="0.5"/>
    <row r="1231" ht="29.25" x14ac:dyDescent="0.5"/>
    <row r="1232" ht="29.25" x14ac:dyDescent="0.5"/>
    <row r="1233" ht="29.25" x14ac:dyDescent="0.5"/>
    <row r="1234" ht="29.25" x14ac:dyDescent="0.5"/>
    <row r="1235" ht="29.25" x14ac:dyDescent="0.5"/>
    <row r="1236" ht="29.25" x14ac:dyDescent="0.5"/>
    <row r="1237" ht="29.25" x14ac:dyDescent="0.5"/>
    <row r="1238" ht="29.25" x14ac:dyDescent="0.5"/>
    <row r="1239" ht="29.25" x14ac:dyDescent="0.5"/>
    <row r="1240" ht="29.25" x14ac:dyDescent="0.5"/>
    <row r="1241" ht="29.25" x14ac:dyDescent="0.5"/>
    <row r="1242" ht="29.25" x14ac:dyDescent="0.5"/>
    <row r="1243" ht="29.25" x14ac:dyDescent="0.5"/>
    <row r="1244" ht="29.25" x14ac:dyDescent="0.5"/>
    <row r="1245" ht="29.25" x14ac:dyDescent="0.5"/>
    <row r="1246" ht="29.25" x14ac:dyDescent="0.5"/>
    <row r="1247" ht="29.25" x14ac:dyDescent="0.5"/>
    <row r="1248" ht="29.25" x14ac:dyDescent="0.5"/>
    <row r="1249" ht="29.25" x14ac:dyDescent="0.5"/>
    <row r="1250" ht="29.25" x14ac:dyDescent="0.5"/>
    <row r="1251" ht="29.25" x14ac:dyDescent="0.5"/>
    <row r="1252" ht="29.25" x14ac:dyDescent="0.5"/>
    <row r="1253" ht="29.25" x14ac:dyDescent="0.5"/>
    <row r="1254" ht="29.25" x14ac:dyDescent="0.5"/>
    <row r="1255" ht="29.25" x14ac:dyDescent="0.5"/>
    <row r="1256" ht="29.25" x14ac:dyDescent="0.5"/>
    <row r="1257" ht="29.25" x14ac:dyDescent="0.5"/>
    <row r="1258" ht="29.25" x14ac:dyDescent="0.5"/>
    <row r="1259" ht="29.25" x14ac:dyDescent="0.5"/>
    <row r="1260" ht="29.25" x14ac:dyDescent="0.5"/>
    <row r="1261" ht="29.25" x14ac:dyDescent="0.5"/>
    <row r="1262" ht="29.25" x14ac:dyDescent="0.5"/>
    <row r="1263" ht="29.25" x14ac:dyDescent="0.5"/>
    <row r="1264" ht="29.25" x14ac:dyDescent="0.5"/>
    <row r="1265" ht="29.25" x14ac:dyDescent="0.5"/>
    <row r="1266" ht="29.25" x14ac:dyDescent="0.5"/>
    <row r="1267" ht="29.25" x14ac:dyDescent="0.5"/>
    <row r="1268" ht="29.25" x14ac:dyDescent="0.5"/>
    <row r="1269" ht="29.25" x14ac:dyDescent="0.5"/>
    <row r="1270" ht="29.25" x14ac:dyDescent="0.5"/>
    <row r="1271" ht="29.25" x14ac:dyDescent="0.5"/>
    <row r="1272" ht="29.25" x14ac:dyDescent="0.5"/>
    <row r="1273" ht="29.25" x14ac:dyDescent="0.5"/>
    <row r="1274" ht="29.25" x14ac:dyDescent="0.5"/>
    <row r="1275" ht="29.25" x14ac:dyDescent="0.5"/>
    <row r="1276" ht="29.25" x14ac:dyDescent="0.5"/>
    <row r="1277" ht="29.25" x14ac:dyDescent="0.5"/>
    <row r="1278" ht="29.25" x14ac:dyDescent="0.5"/>
    <row r="1279" ht="29.25" x14ac:dyDescent="0.5"/>
    <row r="1280" ht="29.25" x14ac:dyDescent="0.5"/>
    <row r="1281" ht="29.25" x14ac:dyDescent="0.5"/>
    <row r="1282" ht="29.25" x14ac:dyDescent="0.5"/>
    <row r="1283" ht="29.25" x14ac:dyDescent="0.5"/>
    <row r="1284" ht="29.25" x14ac:dyDescent="0.5"/>
    <row r="1285" ht="29.25" x14ac:dyDescent="0.5"/>
    <row r="1286" ht="29.25" x14ac:dyDescent="0.5"/>
    <row r="1287" ht="29.25" x14ac:dyDescent="0.5"/>
    <row r="1288" ht="29.25" x14ac:dyDescent="0.5"/>
    <row r="1289" ht="29.25" x14ac:dyDescent="0.5"/>
    <row r="1290" ht="29.25" x14ac:dyDescent="0.5"/>
    <row r="1291" ht="29.25" x14ac:dyDescent="0.5"/>
    <row r="1292" ht="29.25" x14ac:dyDescent="0.5"/>
    <row r="1293" ht="29.25" x14ac:dyDescent="0.5"/>
    <row r="1294" ht="29.25" x14ac:dyDescent="0.5"/>
    <row r="1295" ht="29.25" x14ac:dyDescent="0.5"/>
    <row r="1296" ht="29.25" x14ac:dyDescent="0.5"/>
    <row r="1297" ht="29.25" x14ac:dyDescent="0.5"/>
    <row r="1298" ht="29.25" x14ac:dyDescent="0.5"/>
    <row r="1299" ht="29.25" x14ac:dyDescent="0.5"/>
    <row r="1300" ht="29.25" x14ac:dyDescent="0.5"/>
    <row r="1301" ht="29.25" x14ac:dyDescent="0.5"/>
    <row r="1302" ht="29.25" x14ac:dyDescent="0.5"/>
    <row r="1303" ht="29.25" x14ac:dyDescent="0.5"/>
    <row r="1304" ht="29.25" x14ac:dyDescent="0.5"/>
    <row r="1305" ht="29.25" x14ac:dyDescent="0.5"/>
    <row r="1306" ht="29.25" x14ac:dyDescent="0.5"/>
    <row r="1307" ht="29.25" x14ac:dyDescent="0.5"/>
    <row r="1308" ht="29.25" x14ac:dyDescent="0.5"/>
    <row r="1309" ht="29.25" x14ac:dyDescent="0.5"/>
    <row r="1310" ht="29.25" x14ac:dyDescent="0.5"/>
    <row r="1311" ht="29.25" x14ac:dyDescent="0.5"/>
    <row r="1312" ht="29.25" x14ac:dyDescent="0.5"/>
    <row r="1313" ht="29.25" x14ac:dyDescent="0.5"/>
    <row r="1314" ht="29.25" x14ac:dyDescent="0.5"/>
    <row r="1315" ht="29.25" x14ac:dyDescent="0.5"/>
    <row r="1316" ht="29.25" x14ac:dyDescent="0.5"/>
    <row r="1317" ht="29.25" x14ac:dyDescent="0.5"/>
    <row r="1318" ht="29.25" x14ac:dyDescent="0.5"/>
    <row r="1319" ht="29.25" x14ac:dyDescent="0.5"/>
    <row r="1320" ht="29.25" x14ac:dyDescent="0.5"/>
    <row r="1321" ht="29.25" x14ac:dyDescent="0.5"/>
    <row r="1322" ht="29.25" x14ac:dyDescent="0.5"/>
    <row r="1323" ht="29.25" x14ac:dyDescent="0.5"/>
    <row r="1324" ht="29.25" x14ac:dyDescent="0.5"/>
    <row r="1325" ht="29.25" x14ac:dyDescent="0.5"/>
    <row r="1326" ht="29.25" x14ac:dyDescent="0.5"/>
    <row r="1327" ht="29.25" x14ac:dyDescent="0.5"/>
    <row r="1328" ht="29.25" x14ac:dyDescent="0.5"/>
    <row r="1329" ht="29.25" x14ac:dyDescent="0.5"/>
    <row r="1330" ht="29.25" x14ac:dyDescent="0.5"/>
    <row r="1331" ht="29.25" x14ac:dyDescent="0.5"/>
    <row r="1332" ht="29.25" x14ac:dyDescent="0.5"/>
    <row r="1333" ht="29.25" x14ac:dyDescent="0.5"/>
    <row r="1334" ht="29.25" x14ac:dyDescent="0.5"/>
    <row r="1335" ht="29.25" x14ac:dyDescent="0.5"/>
    <row r="1336" ht="29.25" x14ac:dyDescent="0.5"/>
    <row r="1337" ht="29.25" x14ac:dyDescent="0.5"/>
    <row r="1338" ht="29.25" x14ac:dyDescent="0.5"/>
    <row r="1339" ht="29.25" x14ac:dyDescent="0.5"/>
    <row r="1340" ht="29.25" x14ac:dyDescent="0.5"/>
    <row r="1341" ht="29.25" x14ac:dyDescent="0.5"/>
    <row r="1342" ht="29.25" x14ac:dyDescent="0.5"/>
    <row r="1343" ht="29.25" x14ac:dyDescent="0.5"/>
    <row r="1344" ht="29.25" x14ac:dyDescent="0.5"/>
    <row r="1345" ht="29.25" x14ac:dyDescent="0.5"/>
    <row r="1346" ht="29.25" x14ac:dyDescent="0.5"/>
    <row r="1347" ht="29.25" x14ac:dyDescent="0.5"/>
    <row r="1348" ht="29.25" x14ac:dyDescent="0.5"/>
    <row r="1349" ht="29.25" x14ac:dyDescent="0.5"/>
    <row r="1350" ht="29.25" x14ac:dyDescent="0.5"/>
    <row r="1351" ht="29.25" x14ac:dyDescent="0.5"/>
    <row r="1352" ht="29.25" x14ac:dyDescent="0.5"/>
    <row r="1353" ht="29.25" x14ac:dyDescent="0.5"/>
    <row r="1354" ht="29.25" x14ac:dyDescent="0.5"/>
    <row r="1355" ht="29.25" x14ac:dyDescent="0.5"/>
    <row r="1356" ht="29.25" x14ac:dyDescent="0.5"/>
    <row r="1357" ht="29.25" x14ac:dyDescent="0.5"/>
    <row r="1358" ht="29.25" x14ac:dyDescent="0.5"/>
    <row r="1359" ht="29.25" x14ac:dyDescent="0.5"/>
    <row r="1360" ht="29.25" x14ac:dyDescent="0.5"/>
    <row r="1361" ht="29.25" x14ac:dyDescent="0.5"/>
    <row r="1362" ht="29.25" x14ac:dyDescent="0.5"/>
    <row r="1363" ht="29.25" x14ac:dyDescent="0.5"/>
    <row r="1364" ht="29.25" x14ac:dyDescent="0.5"/>
    <row r="1365" ht="29.25" x14ac:dyDescent="0.5"/>
    <row r="1366" ht="29.25" x14ac:dyDescent="0.5"/>
    <row r="1367" ht="29.25" x14ac:dyDescent="0.5"/>
    <row r="1368" ht="29.25" x14ac:dyDescent="0.5"/>
    <row r="1369" ht="29.25" x14ac:dyDescent="0.5"/>
    <row r="1370" ht="29.25" x14ac:dyDescent="0.5"/>
    <row r="1371" ht="29.25" x14ac:dyDescent="0.5"/>
    <row r="1372" ht="29.25" x14ac:dyDescent="0.5"/>
    <row r="1373" ht="29.25" x14ac:dyDescent="0.5"/>
    <row r="1374" ht="29.25" x14ac:dyDescent="0.5"/>
    <row r="1375" ht="29.25" x14ac:dyDescent="0.5"/>
    <row r="1376" ht="29.25" x14ac:dyDescent="0.5"/>
    <row r="1377" ht="29.25" x14ac:dyDescent="0.5"/>
    <row r="1378" ht="29.25" x14ac:dyDescent="0.5"/>
    <row r="1379" ht="29.25" x14ac:dyDescent="0.5"/>
    <row r="1380" ht="29.25" x14ac:dyDescent="0.5"/>
    <row r="1381" ht="29.25" x14ac:dyDescent="0.5"/>
    <row r="1382" ht="29.25" x14ac:dyDescent="0.5"/>
    <row r="1383" ht="29.25" x14ac:dyDescent="0.5"/>
    <row r="1384" ht="29.25" x14ac:dyDescent="0.5"/>
    <row r="1385" ht="29.25" x14ac:dyDescent="0.5"/>
    <row r="1386" ht="29.25" x14ac:dyDescent="0.5"/>
    <row r="1387" ht="29.25" x14ac:dyDescent="0.5"/>
    <row r="1388" ht="29.25" x14ac:dyDescent="0.5"/>
    <row r="1389" ht="29.25" x14ac:dyDescent="0.5"/>
    <row r="1390" ht="29.25" x14ac:dyDescent="0.5"/>
    <row r="1391" ht="29.25" x14ac:dyDescent="0.5"/>
    <row r="1392" ht="29.25" x14ac:dyDescent="0.5"/>
    <row r="1393" ht="29.25" x14ac:dyDescent="0.5"/>
    <row r="1394" ht="29.25" x14ac:dyDescent="0.5"/>
    <row r="1395" ht="29.25" x14ac:dyDescent="0.5"/>
    <row r="1396" ht="29.25" x14ac:dyDescent="0.5"/>
    <row r="1397" ht="29.25" x14ac:dyDescent="0.5"/>
    <row r="1398" ht="29.25" x14ac:dyDescent="0.5"/>
    <row r="1399" ht="29.25" x14ac:dyDescent="0.5"/>
    <row r="1400" ht="29.25" x14ac:dyDescent="0.5"/>
    <row r="1401" ht="29.25" x14ac:dyDescent="0.5"/>
    <row r="1402" ht="29.25" x14ac:dyDescent="0.5"/>
    <row r="1403" ht="29.25" x14ac:dyDescent="0.5"/>
    <row r="1404" ht="29.25" x14ac:dyDescent="0.5"/>
    <row r="1405" ht="29.25" x14ac:dyDescent="0.5"/>
    <row r="1406" ht="29.25" x14ac:dyDescent="0.5"/>
    <row r="1407" ht="29.25" x14ac:dyDescent="0.5"/>
    <row r="1408" ht="29.25" x14ac:dyDescent="0.5"/>
    <row r="1409" ht="29.25" x14ac:dyDescent="0.5"/>
    <row r="1410" ht="29.25" x14ac:dyDescent="0.5"/>
    <row r="1411" ht="29.25" x14ac:dyDescent="0.5"/>
    <row r="1412" ht="29.25" x14ac:dyDescent="0.5"/>
    <row r="1413" ht="29.25" x14ac:dyDescent="0.5"/>
    <row r="1414" ht="29.25" x14ac:dyDescent="0.5"/>
    <row r="1415" ht="29.25" x14ac:dyDescent="0.5"/>
    <row r="1416" ht="29.25" x14ac:dyDescent="0.5"/>
    <row r="1417" ht="29.25" x14ac:dyDescent="0.5"/>
    <row r="1418" ht="29.25" x14ac:dyDescent="0.5"/>
    <row r="1419" ht="29.25" x14ac:dyDescent="0.5"/>
    <row r="1420" ht="29.25" x14ac:dyDescent="0.5"/>
    <row r="1421" ht="29.25" x14ac:dyDescent="0.5"/>
    <row r="1422" ht="29.25" x14ac:dyDescent="0.5"/>
    <row r="1423" ht="29.25" x14ac:dyDescent="0.5"/>
    <row r="1424" ht="29.25" x14ac:dyDescent="0.5"/>
    <row r="1425" ht="29.25" x14ac:dyDescent="0.5"/>
    <row r="1426" ht="29.25" x14ac:dyDescent="0.5"/>
    <row r="1427" ht="29.25" x14ac:dyDescent="0.5"/>
    <row r="1428" ht="29.25" x14ac:dyDescent="0.5"/>
    <row r="1429" ht="29.25" x14ac:dyDescent="0.5"/>
    <row r="1430" ht="29.25" x14ac:dyDescent="0.5"/>
    <row r="1431" ht="29.25" x14ac:dyDescent="0.5"/>
    <row r="1432" ht="29.25" x14ac:dyDescent="0.5"/>
    <row r="1433" ht="29.25" x14ac:dyDescent="0.5"/>
    <row r="1434" ht="29.25" x14ac:dyDescent="0.5"/>
    <row r="1435" ht="29.25" x14ac:dyDescent="0.5"/>
    <row r="1436" ht="29.25" x14ac:dyDescent="0.5"/>
    <row r="1437" ht="29.25" x14ac:dyDescent="0.5"/>
    <row r="1438" ht="29.25" x14ac:dyDescent="0.5"/>
    <row r="1439" ht="29.25" x14ac:dyDescent="0.5"/>
    <row r="1440" ht="29.25" x14ac:dyDescent="0.5"/>
    <row r="1441" ht="29.25" x14ac:dyDescent="0.5"/>
    <row r="1442" ht="29.25" x14ac:dyDescent="0.5"/>
    <row r="1443" ht="29.25" x14ac:dyDescent="0.5"/>
    <row r="1444" ht="29.25" x14ac:dyDescent="0.5"/>
    <row r="1445" ht="29.25" x14ac:dyDescent="0.5"/>
    <row r="1446" ht="29.25" x14ac:dyDescent="0.5"/>
    <row r="1447" ht="29.25" x14ac:dyDescent="0.5"/>
    <row r="1448" ht="29.25" x14ac:dyDescent="0.5"/>
    <row r="1449" ht="29.25" x14ac:dyDescent="0.5"/>
    <row r="1450" ht="29.25" x14ac:dyDescent="0.5"/>
    <row r="1451" ht="29.25" x14ac:dyDescent="0.5"/>
    <row r="1452" ht="29.25" x14ac:dyDescent="0.5"/>
    <row r="1453" ht="29.25" x14ac:dyDescent="0.5"/>
    <row r="1454" ht="29.25" x14ac:dyDescent="0.5"/>
    <row r="1455" ht="29.25" x14ac:dyDescent="0.5"/>
    <row r="1456" ht="29.25" x14ac:dyDescent="0.5"/>
    <row r="1457" ht="29.25" x14ac:dyDescent="0.5"/>
    <row r="1458" ht="29.25" x14ac:dyDescent="0.5"/>
    <row r="1459" ht="29.25" x14ac:dyDescent="0.5"/>
    <row r="1460" ht="29.25" x14ac:dyDescent="0.5"/>
    <row r="1461" ht="29.25" x14ac:dyDescent="0.5"/>
    <row r="1462" ht="29.25" x14ac:dyDescent="0.5"/>
    <row r="1463" ht="29.25" x14ac:dyDescent="0.5"/>
    <row r="1464" ht="29.25" x14ac:dyDescent="0.5"/>
    <row r="1465" ht="29.25" x14ac:dyDescent="0.5"/>
    <row r="1466" ht="29.25" x14ac:dyDescent="0.5"/>
    <row r="1467" ht="29.25" x14ac:dyDescent="0.5"/>
    <row r="1468" ht="29.25" x14ac:dyDescent="0.5"/>
    <row r="1469" ht="29.25" x14ac:dyDescent="0.5"/>
    <row r="1470" ht="29.25" x14ac:dyDescent="0.5"/>
    <row r="1471" ht="29.25" x14ac:dyDescent="0.5"/>
    <row r="1472" ht="29.25" x14ac:dyDescent="0.5"/>
    <row r="1473" ht="29.25" x14ac:dyDescent="0.5"/>
    <row r="1474" ht="29.25" x14ac:dyDescent="0.5"/>
    <row r="1475" ht="29.25" x14ac:dyDescent="0.5"/>
    <row r="1476" ht="29.25" x14ac:dyDescent="0.5"/>
    <row r="1477" ht="29.25" x14ac:dyDescent="0.5"/>
    <row r="1478" ht="29.25" x14ac:dyDescent="0.5"/>
    <row r="1479" ht="29.25" x14ac:dyDescent="0.5"/>
    <row r="1480" ht="29.25" x14ac:dyDescent="0.5"/>
    <row r="1481" ht="29.25" x14ac:dyDescent="0.5"/>
    <row r="1482" ht="29.25" x14ac:dyDescent="0.5"/>
    <row r="1483" ht="29.25" x14ac:dyDescent="0.5"/>
    <row r="1484" ht="29.25" x14ac:dyDescent="0.5"/>
    <row r="1485" ht="29.25" x14ac:dyDescent="0.5"/>
    <row r="1486" ht="29.25" x14ac:dyDescent="0.5"/>
    <row r="1487" ht="29.25" x14ac:dyDescent="0.5"/>
    <row r="1488" ht="29.25" x14ac:dyDescent="0.5"/>
    <row r="1489" ht="29.25" x14ac:dyDescent="0.5"/>
    <row r="1490" ht="29.25" x14ac:dyDescent="0.5"/>
    <row r="1491" ht="29.25" x14ac:dyDescent="0.5"/>
    <row r="1492" ht="29.25" x14ac:dyDescent="0.5"/>
    <row r="1493" ht="29.25" x14ac:dyDescent="0.5"/>
    <row r="1494" ht="29.25" x14ac:dyDescent="0.5"/>
    <row r="1495" ht="29.25" x14ac:dyDescent="0.5"/>
    <row r="1496" ht="29.25" x14ac:dyDescent="0.5"/>
    <row r="1497" ht="29.25" x14ac:dyDescent="0.5"/>
    <row r="1498" ht="29.25" x14ac:dyDescent="0.5"/>
    <row r="1499" ht="29.25" x14ac:dyDescent="0.5"/>
    <row r="1500" ht="29.25" x14ac:dyDescent="0.5"/>
    <row r="1501" ht="29.25" x14ac:dyDescent="0.5"/>
    <row r="1502" ht="29.25" x14ac:dyDescent="0.5"/>
    <row r="1503" ht="29.25" x14ac:dyDescent="0.5"/>
    <row r="1504" ht="29.25" x14ac:dyDescent="0.5"/>
    <row r="1505" ht="29.25" x14ac:dyDescent="0.5"/>
    <row r="1506" ht="29.25" x14ac:dyDescent="0.5"/>
    <row r="1507" ht="29.25" x14ac:dyDescent="0.5"/>
    <row r="1508" ht="29.25" x14ac:dyDescent="0.5"/>
    <row r="1509" ht="29.25" x14ac:dyDescent="0.5"/>
    <row r="1510" ht="29.25" x14ac:dyDescent="0.5"/>
    <row r="1511" ht="29.25" x14ac:dyDescent="0.5"/>
    <row r="1512" ht="29.25" x14ac:dyDescent="0.5"/>
    <row r="1513" ht="29.25" x14ac:dyDescent="0.5"/>
    <row r="1514" ht="29.25" x14ac:dyDescent="0.5"/>
    <row r="1515" ht="29.25" x14ac:dyDescent="0.5"/>
    <row r="1516" ht="29.25" x14ac:dyDescent="0.5"/>
    <row r="1517" ht="29.25" x14ac:dyDescent="0.5"/>
    <row r="1518" ht="29.25" x14ac:dyDescent="0.5"/>
    <row r="1519" ht="29.25" x14ac:dyDescent="0.5"/>
    <row r="1520" ht="29.25" x14ac:dyDescent="0.5"/>
    <row r="1521" ht="29.25" x14ac:dyDescent="0.5"/>
    <row r="1522" ht="29.25" x14ac:dyDescent="0.5"/>
    <row r="1523" ht="29.25" x14ac:dyDescent="0.5"/>
    <row r="1524" ht="29.25" x14ac:dyDescent="0.5"/>
    <row r="1525" ht="29.25" x14ac:dyDescent="0.5"/>
    <row r="1526" ht="29.25" x14ac:dyDescent="0.5"/>
    <row r="1527" ht="29.25" x14ac:dyDescent="0.5"/>
    <row r="1528" ht="29.25" x14ac:dyDescent="0.5"/>
    <row r="1529" ht="29.25" x14ac:dyDescent="0.5"/>
    <row r="1530" ht="29.25" x14ac:dyDescent="0.5"/>
    <row r="1531" ht="29.25" x14ac:dyDescent="0.5"/>
    <row r="1532" ht="29.25" x14ac:dyDescent="0.5"/>
    <row r="1533" ht="29.25" x14ac:dyDescent="0.5"/>
    <row r="1534" ht="29.25" x14ac:dyDescent="0.5"/>
    <row r="1535" ht="29.25" x14ac:dyDescent="0.5"/>
    <row r="1536" ht="29.25" x14ac:dyDescent="0.5"/>
    <row r="1537" ht="29.25" x14ac:dyDescent="0.5"/>
    <row r="1538" ht="29.25" x14ac:dyDescent="0.5"/>
    <row r="1539" ht="29.25" x14ac:dyDescent="0.5"/>
    <row r="1540" ht="29.25" x14ac:dyDescent="0.5"/>
    <row r="1541" ht="29.25" x14ac:dyDescent="0.5"/>
    <row r="1542" ht="29.25" x14ac:dyDescent="0.5"/>
    <row r="1543" ht="29.25" x14ac:dyDescent="0.5"/>
    <row r="1544" ht="29.25" x14ac:dyDescent="0.5"/>
    <row r="1545" ht="29.25" x14ac:dyDescent="0.5"/>
    <row r="1546" ht="29.25" x14ac:dyDescent="0.5"/>
    <row r="1547" ht="29.25" x14ac:dyDescent="0.5"/>
    <row r="1548" ht="29.25" x14ac:dyDescent="0.5"/>
    <row r="1549" ht="29.25" x14ac:dyDescent="0.5"/>
    <row r="1550" ht="29.25" x14ac:dyDescent="0.5"/>
    <row r="1551" ht="29.25" x14ac:dyDescent="0.5"/>
    <row r="1552" ht="29.25" x14ac:dyDescent="0.5"/>
    <row r="1553" ht="29.25" x14ac:dyDescent="0.5"/>
    <row r="1554" ht="29.25" x14ac:dyDescent="0.5"/>
    <row r="1555" ht="29.25" x14ac:dyDescent="0.5"/>
    <row r="1556" ht="29.25" x14ac:dyDescent="0.5"/>
    <row r="1557" ht="29.25" x14ac:dyDescent="0.5"/>
    <row r="1558" ht="29.25" x14ac:dyDescent="0.5"/>
    <row r="1559" ht="29.25" x14ac:dyDescent="0.5"/>
    <row r="1560" ht="29.25" x14ac:dyDescent="0.5"/>
    <row r="1561" ht="29.25" x14ac:dyDescent="0.5"/>
    <row r="1562" ht="29.25" x14ac:dyDescent="0.5"/>
    <row r="1563" ht="29.25" x14ac:dyDescent="0.5"/>
    <row r="1564" ht="29.25" x14ac:dyDescent="0.5"/>
    <row r="1565" ht="29.25" x14ac:dyDescent="0.5"/>
    <row r="1566" ht="29.25" x14ac:dyDescent="0.5"/>
    <row r="1567" ht="29.25" x14ac:dyDescent="0.5"/>
    <row r="1568" ht="29.25" x14ac:dyDescent="0.5"/>
    <row r="1569" ht="29.25" x14ac:dyDescent="0.5"/>
    <row r="1570" ht="29.25" x14ac:dyDescent="0.5"/>
    <row r="1571" ht="29.25" x14ac:dyDescent="0.5"/>
    <row r="1572" ht="29.25" x14ac:dyDescent="0.5"/>
    <row r="1573" ht="29.25" x14ac:dyDescent="0.5"/>
    <row r="1574" ht="29.25" x14ac:dyDescent="0.5"/>
    <row r="1575" ht="29.25" x14ac:dyDescent="0.5"/>
    <row r="1576" ht="29.25" x14ac:dyDescent="0.5"/>
    <row r="1577" ht="29.25" x14ac:dyDescent="0.5"/>
    <row r="1578" ht="29.25" x14ac:dyDescent="0.5"/>
    <row r="1579" ht="29.25" x14ac:dyDescent="0.5"/>
    <row r="1580" ht="29.25" x14ac:dyDescent="0.5"/>
    <row r="1581" ht="29.25" x14ac:dyDescent="0.5"/>
    <row r="1582" ht="29.25" x14ac:dyDescent="0.5"/>
    <row r="1583" ht="29.25" x14ac:dyDescent="0.5"/>
    <row r="1584" ht="29.25" x14ac:dyDescent="0.5"/>
    <row r="1585" ht="29.25" x14ac:dyDescent="0.5"/>
    <row r="1586" ht="29.25" x14ac:dyDescent="0.5"/>
    <row r="1587" ht="29.25" x14ac:dyDescent="0.5"/>
    <row r="1588" ht="29.25" x14ac:dyDescent="0.5"/>
    <row r="1589" ht="29.25" x14ac:dyDescent="0.5"/>
    <row r="1590" ht="29.25" x14ac:dyDescent="0.5"/>
    <row r="1591" ht="29.25" x14ac:dyDescent="0.5"/>
    <row r="1592" ht="29.25" x14ac:dyDescent="0.5"/>
    <row r="1593" ht="29.25" x14ac:dyDescent="0.5"/>
    <row r="1594" ht="29.25" x14ac:dyDescent="0.5"/>
    <row r="1595" ht="29.25" x14ac:dyDescent="0.5"/>
    <row r="1596" ht="29.25" x14ac:dyDescent="0.5"/>
    <row r="1597" ht="29.25" x14ac:dyDescent="0.5"/>
    <row r="1598" ht="29.25" x14ac:dyDescent="0.5"/>
    <row r="1599" ht="29.25" x14ac:dyDescent="0.5"/>
    <row r="1600" ht="29.25" x14ac:dyDescent="0.5"/>
    <row r="1601" ht="29.25" x14ac:dyDescent="0.5"/>
    <row r="1602" ht="29.25" x14ac:dyDescent="0.5"/>
    <row r="1603" ht="29.25" x14ac:dyDescent="0.5"/>
    <row r="1604" ht="29.25" x14ac:dyDescent="0.5"/>
    <row r="1605" ht="29.25" x14ac:dyDescent="0.5"/>
    <row r="1606" ht="29.25" x14ac:dyDescent="0.5"/>
    <row r="1607" ht="29.25" x14ac:dyDescent="0.5"/>
    <row r="1608" ht="29.25" x14ac:dyDescent="0.5"/>
    <row r="1609" ht="29.25" x14ac:dyDescent="0.5"/>
    <row r="1610" ht="29.25" x14ac:dyDescent="0.5"/>
    <row r="1611" ht="29.25" x14ac:dyDescent="0.5"/>
    <row r="1612" ht="29.25" x14ac:dyDescent="0.5"/>
    <row r="1613" ht="29.25" x14ac:dyDescent="0.5"/>
    <row r="1614" ht="29.25" x14ac:dyDescent="0.5"/>
    <row r="1615" ht="29.25" x14ac:dyDescent="0.5"/>
    <row r="1616" ht="29.25" x14ac:dyDescent="0.5"/>
    <row r="1617" ht="29.25" x14ac:dyDescent="0.5"/>
    <row r="1618" ht="29.25" x14ac:dyDescent="0.5"/>
    <row r="1619" ht="29.25" x14ac:dyDescent="0.5"/>
    <row r="1620" ht="29.25" x14ac:dyDescent="0.5"/>
    <row r="1621" ht="29.25" x14ac:dyDescent="0.5"/>
    <row r="1622" ht="29.25" x14ac:dyDescent="0.5"/>
    <row r="1623" ht="29.25" x14ac:dyDescent="0.5"/>
    <row r="1624" ht="29.25" x14ac:dyDescent="0.5"/>
    <row r="1625" ht="29.25" x14ac:dyDescent="0.5"/>
    <row r="1626" ht="29.25" x14ac:dyDescent="0.5"/>
    <row r="1627" ht="29.25" x14ac:dyDescent="0.5"/>
    <row r="1628" ht="29.25" x14ac:dyDescent="0.5"/>
    <row r="1629" ht="29.25" x14ac:dyDescent="0.5"/>
    <row r="1630" ht="29.25" x14ac:dyDescent="0.5"/>
    <row r="1631" ht="29.25" x14ac:dyDescent="0.5"/>
    <row r="1632" ht="29.25" x14ac:dyDescent="0.5"/>
    <row r="1633" ht="29.25" x14ac:dyDescent="0.5"/>
    <row r="1634" ht="29.25" x14ac:dyDescent="0.5"/>
    <row r="1635" ht="29.25" x14ac:dyDescent="0.5"/>
    <row r="1636" ht="29.25" x14ac:dyDescent="0.5"/>
    <row r="1637" ht="29.25" x14ac:dyDescent="0.5"/>
    <row r="1638" ht="29.25" x14ac:dyDescent="0.5"/>
    <row r="1639" ht="29.25" x14ac:dyDescent="0.5"/>
    <row r="1640" ht="29.25" x14ac:dyDescent="0.5"/>
    <row r="1641" ht="29.25" x14ac:dyDescent="0.5"/>
    <row r="1642" ht="29.25" x14ac:dyDescent="0.5"/>
    <row r="1643" ht="29.25" x14ac:dyDescent="0.5"/>
    <row r="1644" ht="29.25" x14ac:dyDescent="0.5"/>
    <row r="1645" ht="29.25" x14ac:dyDescent="0.5"/>
    <row r="1646" ht="29.25" x14ac:dyDescent="0.5"/>
    <row r="1647" ht="29.25" x14ac:dyDescent="0.5"/>
    <row r="1648" ht="29.25" x14ac:dyDescent="0.5"/>
    <row r="1649" ht="29.25" x14ac:dyDescent="0.5"/>
    <row r="1650" ht="29.25" x14ac:dyDescent="0.5"/>
    <row r="1651" ht="29.25" x14ac:dyDescent="0.5"/>
    <row r="1652" ht="29.25" x14ac:dyDescent="0.5"/>
    <row r="1653" ht="29.25" x14ac:dyDescent="0.5"/>
    <row r="1654" ht="29.25" x14ac:dyDescent="0.5"/>
    <row r="1655" ht="29.25" x14ac:dyDescent="0.5"/>
    <row r="1656" ht="29.25" x14ac:dyDescent="0.5"/>
    <row r="1657" ht="29.25" x14ac:dyDescent="0.5"/>
    <row r="1658" ht="29.25" x14ac:dyDescent="0.5"/>
    <row r="1659" ht="29.25" x14ac:dyDescent="0.5"/>
    <row r="1660" ht="29.25" x14ac:dyDescent="0.5"/>
    <row r="1661" ht="29.25" x14ac:dyDescent="0.5"/>
    <row r="1662" ht="29.25" x14ac:dyDescent="0.5"/>
    <row r="1663" ht="29.25" x14ac:dyDescent="0.5"/>
    <row r="1664" ht="29.25" x14ac:dyDescent="0.5"/>
    <row r="1665" ht="29.25" x14ac:dyDescent="0.5"/>
    <row r="1666" ht="29.25" x14ac:dyDescent="0.5"/>
    <row r="1667" ht="29.25" x14ac:dyDescent="0.5"/>
    <row r="1668" ht="29.25" x14ac:dyDescent="0.5"/>
    <row r="1669" ht="29.25" x14ac:dyDescent="0.5"/>
    <row r="1670" ht="29.25" x14ac:dyDescent="0.5"/>
    <row r="1671" ht="29.25" x14ac:dyDescent="0.5"/>
    <row r="1672" ht="29.25" x14ac:dyDescent="0.5"/>
    <row r="1673" ht="29.25" x14ac:dyDescent="0.5"/>
    <row r="1674" ht="29.25" x14ac:dyDescent="0.5"/>
    <row r="1675" ht="29.25" x14ac:dyDescent="0.5"/>
    <row r="1676" ht="29.25" x14ac:dyDescent="0.5"/>
    <row r="1677" ht="29.25" x14ac:dyDescent="0.5"/>
    <row r="1678" ht="29.25" x14ac:dyDescent="0.5"/>
    <row r="1679" ht="29.25" x14ac:dyDescent="0.5"/>
    <row r="1680" ht="29.25" x14ac:dyDescent="0.5"/>
    <row r="1681" ht="29.25" x14ac:dyDescent="0.5"/>
    <row r="1682" ht="29.25" x14ac:dyDescent="0.5"/>
    <row r="1683" ht="29.25" x14ac:dyDescent="0.5"/>
    <row r="1684" ht="29.25" x14ac:dyDescent="0.5"/>
    <row r="1685" ht="29.25" x14ac:dyDescent="0.5"/>
    <row r="1686" ht="29.25" x14ac:dyDescent="0.5"/>
    <row r="1687" ht="29.25" x14ac:dyDescent="0.5"/>
    <row r="1688" ht="29.25" x14ac:dyDescent="0.5"/>
    <row r="1689" ht="29.25" x14ac:dyDescent="0.5"/>
    <row r="1690" ht="29.25" x14ac:dyDescent="0.5"/>
    <row r="1691" ht="29.25" x14ac:dyDescent="0.5"/>
    <row r="1692" ht="29.25" x14ac:dyDescent="0.5"/>
    <row r="1693" ht="29.25" x14ac:dyDescent="0.5"/>
    <row r="1694" ht="29.25" x14ac:dyDescent="0.5"/>
    <row r="1695" ht="29.25" x14ac:dyDescent="0.5"/>
    <row r="1696" ht="29.25" x14ac:dyDescent="0.5"/>
    <row r="1697" ht="29.25" x14ac:dyDescent="0.5"/>
    <row r="1698" ht="29.25" x14ac:dyDescent="0.5"/>
    <row r="1699" ht="29.25" x14ac:dyDescent="0.5"/>
    <row r="1700" ht="29.25" x14ac:dyDescent="0.5"/>
    <row r="1701" ht="29.25" x14ac:dyDescent="0.5"/>
  </sheetData>
  <mergeCells count="115">
    <mergeCell ref="A166:B166"/>
    <mergeCell ref="A167:B167"/>
    <mergeCell ref="A168:B168"/>
    <mergeCell ref="A188:B188"/>
    <mergeCell ref="A189:B189"/>
    <mergeCell ref="A190:B190"/>
    <mergeCell ref="A181:B181"/>
    <mergeCell ref="A182:B182"/>
    <mergeCell ref="A185:B185"/>
    <mergeCell ref="A186:B186"/>
    <mergeCell ref="A187:B187"/>
    <mergeCell ref="A173:B173"/>
    <mergeCell ref="A174:B174"/>
    <mergeCell ref="A176:B176"/>
    <mergeCell ref="A177:B177"/>
    <mergeCell ref="A178:B178"/>
    <mergeCell ref="A175:C175"/>
    <mergeCell ref="A179:B179"/>
    <mergeCell ref="A180:B180"/>
    <mergeCell ref="A184:B184"/>
    <mergeCell ref="A183:B183"/>
    <mergeCell ref="A171:J171"/>
    <mergeCell ref="A172:B172"/>
    <mergeCell ref="A139:C139"/>
    <mergeCell ref="A140:C140"/>
    <mergeCell ref="A141:C141"/>
    <mergeCell ref="A142:C142"/>
    <mergeCell ref="A160:J160"/>
    <mergeCell ref="A144:C144"/>
    <mergeCell ref="A145:C145"/>
    <mergeCell ref="A146:C146"/>
    <mergeCell ref="A147:C147"/>
    <mergeCell ref="A148:C148"/>
    <mergeCell ref="A149:C149"/>
    <mergeCell ref="A143:C143"/>
    <mergeCell ref="A150:C150"/>
    <mergeCell ref="A151:C151"/>
    <mergeCell ref="A152:C152"/>
    <mergeCell ref="A154:J154"/>
    <mergeCell ref="A155:C155"/>
    <mergeCell ref="A156:C156"/>
    <mergeCell ref="A153:B153"/>
    <mergeCell ref="A157:C157"/>
    <mergeCell ref="A158:C158"/>
    <mergeCell ref="A159:C159"/>
    <mergeCell ref="A133:C133"/>
    <mergeCell ref="A134:C134"/>
    <mergeCell ref="A136:J136"/>
    <mergeCell ref="A138:C138"/>
    <mergeCell ref="A126:J126"/>
    <mergeCell ref="A127:B127"/>
    <mergeCell ref="A128:C128"/>
    <mergeCell ref="A131:C131"/>
    <mergeCell ref="A132:C132"/>
    <mergeCell ref="A135:B135"/>
    <mergeCell ref="A120:C120"/>
    <mergeCell ref="A121:C121"/>
    <mergeCell ref="A122:C122"/>
    <mergeCell ref="A124:C124"/>
    <mergeCell ref="A125:B125"/>
    <mergeCell ref="Q116:R116"/>
    <mergeCell ref="A117:C117"/>
    <mergeCell ref="Q117:R117"/>
    <mergeCell ref="A118:C118"/>
    <mergeCell ref="Q118:R118"/>
    <mergeCell ref="A119:C119"/>
    <mergeCell ref="A123:C123"/>
    <mergeCell ref="A112:C112"/>
    <mergeCell ref="A113:C113"/>
    <mergeCell ref="A114:C114"/>
    <mergeCell ref="A115:C115"/>
    <mergeCell ref="A116:C116"/>
    <mergeCell ref="A62:C62"/>
    <mergeCell ref="A63:C63"/>
    <mergeCell ref="A71:C71"/>
    <mergeCell ref="A72:B72"/>
    <mergeCell ref="A78:C78"/>
    <mergeCell ref="A102:C102"/>
    <mergeCell ref="A109:B109"/>
    <mergeCell ref="A94:C94"/>
    <mergeCell ref="A95:C95"/>
    <mergeCell ref="A96:C96"/>
    <mergeCell ref="A97:C97"/>
    <mergeCell ref="A98:C98"/>
    <mergeCell ref="A99:C99"/>
    <mergeCell ref="A100:C100"/>
    <mergeCell ref="A101:C101"/>
    <mergeCell ref="A103:C103"/>
    <mergeCell ref="A104:C104"/>
    <mergeCell ref="A105:C105"/>
    <mergeCell ref="A108:J108"/>
    <mergeCell ref="A110:J110"/>
    <mergeCell ref="A111:C111"/>
    <mergeCell ref="A81:C81"/>
    <mergeCell ref="A93:C93"/>
    <mergeCell ref="A18:C18"/>
    <mergeCell ref="A19:C19"/>
    <mergeCell ref="A79:C79"/>
    <mergeCell ref="A80:C80"/>
    <mergeCell ref="A75:C75"/>
    <mergeCell ref="A76:C76"/>
    <mergeCell ref="A77:C77"/>
    <mergeCell ref="A21:C21"/>
    <mergeCell ref="A25:C25"/>
    <mergeCell ref="A73:C73"/>
    <mergeCell ref="A74:C74"/>
    <mergeCell ref="A1:J1"/>
    <mergeCell ref="A6:C6"/>
    <mergeCell ref="A14:C14"/>
    <mergeCell ref="A17:C17"/>
    <mergeCell ref="E3:F3"/>
    <mergeCell ref="A64:C64"/>
    <mergeCell ref="A65:C65"/>
    <mergeCell ref="A33:C33"/>
    <mergeCell ref="A61:C61"/>
  </mergeCells>
  <pageMargins left="0.23622047244094491" right="0.15748031496062992" top="0.15748031496062992" bottom="0.19685039370078741" header="0.19685039370078741" footer="0.19685039370078741"/>
  <pageSetup paperSize="5" scale="18" orientation="portrait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1:R1701"/>
  <sheetViews>
    <sheetView view="pageBreakPreview" topLeftCell="A34" zoomScale="55" zoomScaleNormal="80" zoomScaleSheetLayoutView="55" workbookViewId="0">
      <selection activeCell="F18" sqref="F18:F19"/>
    </sheetView>
  </sheetViews>
  <sheetFormatPr defaultColWidth="22.33203125" defaultRowHeight="21.95" customHeight="1" x14ac:dyDescent="0.5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6" width="30" style="160" customWidth="1"/>
    <col min="7" max="7" width="28.88671875" style="160" customWidth="1"/>
    <col min="8" max="8" width="39.21875" style="161" customWidth="1"/>
    <col min="9" max="9" width="23.5546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33.75" x14ac:dyDescent="0.65">
      <c r="A1" s="821" t="s">
        <v>115</v>
      </c>
      <c r="B1" s="822"/>
      <c r="C1" s="822"/>
      <c r="D1" s="822"/>
      <c r="E1" s="822"/>
      <c r="F1" s="822"/>
      <c r="G1" s="822"/>
      <c r="H1" s="822"/>
      <c r="I1" s="822"/>
      <c r="J1" s="823"/>
    </row>
    <row r="2" spans="1:15" s="57" customFormat="1" ht="27" x14ac:dyDescent="0.5">
      <c r="A2" s="191" t="s">
        <v>350</v>
      </c>
      <c r="B2" s="262">
        <v>44528</v>
      </c>
      <c r="C2" s="348" t="s">
        <v>67</v>
      </c>
      <c r="D2" s="218">
        <v>0.92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27" x14ac:dyDescent="0.5">
      <c r="A3" s="189"/>
      <c r="B3" s="221"/>
      <c r="C3" s="348" t="s">
        <v>118</v>
      </c>
      <c r="D3" s="219">
        <v>28</v>
      </c>
      <c r="E3" s="830" t="s">
        <v>119</v>
      </c>
      <c r="F3" s="831"/>
      <c r="G3" s="101"/>
      <c r="H3" s="102"/>
      <c r="I3" s="102"/>
      <c r="J3" s="222"/>
      <c r="K3" s="61"/>
      <c r="L3" s="58"/>
    </row>
    <row r="4" spans="1:15" s="57" customFormat="1" ht="27" x14ac:dyDescent="0.5">
      <c r="A4" s="192"/>
      <c r="B4" s="223"/>
      <c r="C4" s="348" t="s">
        <v>120</v>
      </c>
      <c r="D4" s="218">
        <v>0.78</v>
      </c>
      <c r="E4" s="103"/>
      <c r="F4" s="103"/>
      <c r="G4" s="103"/>
      <c r="H4" s="103"/>
      <c r="I4" s="104"/>
      <c r="J4" s="222"/>
      <c r="K4" s="62"/>
      <c r="L4" s="58"/>
    </row>
    <row r="5" spans="1:15" ht="29.25" x14ac:dyDescent="0.4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5" ht="29.25" x14ac:dyDescent="0.4">
      <c r="A6" s="824" t="s">
        <v>128</v>
      </c>
      <c r="B6" s="825"/>
      <c r="C6" s="826"/>
      <c r="D6" s="110"/>
      <c r="E6" s="110"/>
      <c r="F6" s="110"/>
      <c r="G6" s="110"/>
      <c r="H6" s="111"/>
      <c r="I6" s="111"/>
      <c r="J6" s="174"/>
      <c r="K6" s="78"/>
      <c r="L6" s="66"/>
    </row>
    <row r="7" spans="1:15" ht="30" thickBot="1" x14ac:dyDescent="0.45">
      <c r="A7" s="194" t="s">
        <v>129</v>
      </c>
      <c r="B7" s="195"/>
      <c r="C7" s="195"/>
      <c r="D7" s="151" t="s">
        <v>130</v>
      </c>
      <c r="E7" s="95">
        <f>'27'!F7</f>
        <v>23500</v>
      </c>
      <c r="F7" s="95">
        <f>E7+23500</f>
        <v>47000</v>
      </c>
      <c r="G7" s="112">
        <f>F7-E7+7214</f>
        <v>30714</v>
      </c>
      <c r="H7" s="99">
        <f>G7+'27'!H7</f>
        <v>523516</v>
      </c>
      <c r="I7" s="113">
        <f>'1'!I7</f>
        <v>12000</v>
      </c>
      <c r="J7" s="175">
        <f>H7/DAY(B2)</f>
        <v>18697</v>
      </c>
      <c r="K7" s="172">
        <v>1375467</v>
      </c>
      <c r="L7" s="66"/>
      <c r="N7" s="87"/>
      <c r="O7" s="71"/>
    </row>
    <row r="8" spans="1:15" ht="27.75" thickBot="1" x14ac:dyDescent="0.45">
      <c r="A8" s="196" t="s">
        <v>131</v>
      </c>
      <c r="B8" s="197"/>
      <c r="C8" s="198"/>
      <c r="D8" s="224" t="s">
        <v>24</v>
      </c>
      <c r="E8" s="95">
        <f>'27'!F8</f>
        <v>643610</v>
      </c>
      <c r="F8" s="95">
        <f>E8+23500</f>
        <v>667110</v>
      </c>
      <c r="G8" s="115">
        <f>F8-E8</f>
        <v>23500</v>
      </c>
      <c r="H8" s="99">
        <f>G8+'27'!H8</f>
        <v>526225</v>
      </c>
      <c r="I8" s="116"/>
      <c r="J8" s="175">
        <f>H8/DAY(B2)</f>
        <v>18793.75</v>
      </c>
      <c r="K8" s="172">
        <v>1715917</v>
      </c>
      <c r="L8" s="76">
        <v>1728480</v>
      </c>
      <c r="M8" s="87">
        <f>L8-K8</f>
        <v>12563</v>
      </c>
      <c r="N8" s="87"/>
      <c r="O8" s="71">
        <f>G8-200</f>
        <v>23300</v>
      </c>
    </row>
    <row r="9" spans="1:15" ht="29.25" x14ac:dyDescent="0.4">
      <c r="A9" s="199" t="s">
        <v>132</v>
      </c>
      <c r="B9" s="200"/>
      <c r="C9" s="200"/>
      <c r="D9" s="151" t="s">
        <v>130</v>
      </c>
      <c r="E9" s="95">
        <f>'27'!F9</f>
        <v>221852</v>
      </c>
      <c r="F9" s="601">
        <f>E9+14000</f>
        <v>235852</v>
      </c>
      <c r="G9" s="112">
        <f>F9-E9</f>
        <v>14000</v>
      </c>
      <c r="H9" s="99">
        <f>G9+'27'!H9</f>
        <v>334357</v>
      </c>
      <c r="I9" s="124">
        <f>I7-J7</f>
        <v>-6697</v>
      </c>
      <c r="J9" s="175">
        <f>H9/DAY(B2)</f>
        <v>11941.321428571429</v>
      </c>
      <c r="K9" s="79">
        <f>K8-100</f>
        <v>1715817</v>
      </c>
      <c r="L9" s="66"/>
      <c r="N9" s="87"/>
      <c r="O9" s="71"/>
    </row>
    <row r="10" spans="1:15" ht="29.25" x14ac:dyDescent="0.4">
      <c r="A10" s="194" t="s">
        <v>133</v>
      </c>
      <c r="B10" s="195"/>
      <c r="C10" s="195"/>
      <c r="D10" s="151" t="s">
        <v>130</v>
      </c>
      <c r="E10" s="95">
        <f>'27'!F10</f>
        <v>99581</v>
      </c>
      <c r="F10" s="353">
        <f>E10+4500</f>
        <v>104081</v>
      </c>
      <c r="G10" s="112">
        <f t="shared" ref="G10:G12" si="0">F10-E10</f>
        <v>4500</v>
      </c>
      <c r="H10" s="99">
        <f>G10+'27'!H10</f>
        <v>158987</v>
      </c>
      <c r="I10" s="282"/>
      <c r="J10" s="175">
        <f>H10/DAY(B2)</f>
        <v>5678.1071428571431</v>
      </c>
      <c r="K10" s="79"/>
      <c r="L10" s="66"/>
      <c r="N10" s="87"/>
      <c r="O10" s="71">
        <f>F7-O8</f>
        <v>23700</v>
      </c>
    </row>
    <row r="11" spans="1:15" ht="29.25" x14ac:dyDescent="0.4">
      <c r="A11" s="194" t="s">
        <v>134</v>
      </c>
      <c r="B11" s="195"/>
      <c r="C11" s="195"/>
      <c r="D11" s="151" t="s">
        <v>130</v>
      </c>
      <c r="E11" s="95">
        <f>'27'!F11</f>
        <v>37000</v>
      </c>
      <c r="F11" s="95">
        <v>37000</v>
      </c>
      <c r="G11" s="112">
        <f t="shared" si="0"/>
        <v>0</v>
      </c>
      <c r="H11" s="99">
        <f>G11+'27'!H11</f>
        <v>0</v>
      </c>
      <c r="I11" s="282"/>
      <c r="J11" s="175">
        <f>H11/DAY(B2)</f>
        <v>0</v>
      </c>
      <c r="K11" s="79"/>
      <c r="L11" s="66"/>
      <c r="N11" s="87"/>
      <c r="O11" s="71"/>
    </row>
    <row r="12" spans="1:15" ht="29.25" x14ac:dyDescent="0.4">
      <c r="A12" s="194" t="s">
        <v>135</v>
      </c>
      <c r="B12" s="195"/>
      <c r="C12" s="195"/>
      <c r="D12" s="151" t="s">
        <v>130</v>
      </c>
      <c r="E12" s="95">
        <f>'27'!F12</f>
        <v>40010</v>
      </c>
      <c r="F12" s="117">
        <v>40010</v>
      </c>
      <c r="G12" s="112">
        <f t="shared" si="0"/>
        <v>0</v>
      </c>
      <c r="H12" s="99">
        <f>G12+'27'!H12</f>
        <v>0</v>
      </c>
      <c r="I12" s="282"/>
      <c r="J12" s="175">
        <f>H12/DAY(B2)</f>
        <v>0</v>
      </c>
      <c r="K12" s="79"/>
      <c r="L12" s="66"/>
      <c r="N12" s="87"/>
      <c r="O12" s="71">
        <f>G7-O8</f>
        <v>7414</v>
      </c>
    </row>
    <row r="13" spans="1:15" ht="29.25" x14ac:dyDescent="0.5">
      <c r="A13" s="201" t="s">
        <v>136</v>
      </c>
      <c r="B13" s="202"/>
      <c r="C13" s="202"/>
      <c r="D13" s="151"/>
      <c r="E13" s="95"/>
      <c r="F13" s="95"/>
      <c r="G13" s="119">
        <f>G9+G10+G11+G12</f>
        <v>18500</v>
      </c>
      <c r="H13" s="99">
        <f>G13+'27'!H13</f>
        <v>473878.74999999988</v>
      </c>
      <c r="I13" s="120">
        <f>G7-G13</f>
        <v>12214</v>
      </c>
      <c r="J13" s="175">
        <f>H13/DAY(B2)</f>
        <v>16924.241071428569</v>
      </c>
      <c r="K13" s="79"/>
      <c r="L13" s="66"/>
      <c r="N13" s="87"/>
      <c r="O13" s="71"/>
    </row>
    <row r="14" spans="1:15" ht="29.25" x14ac:dyDescent="0.5">
      <c r="A14" s="827" t="s">
        <v>137</v>
      </c>
      <c r="B14" s="828"/>
      <c r="C14" s="829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5" ht="29.25" x14ac:dyDescent="0.5">
      <c r="A15" s="345" t="s">
        <v>138</v>
      </c>
      <c r="B15" s="205"/>
      <c r="C15" s="205"/>
      <c r="D15" s="151" t="s">
        <v>139</v>
      </c>
      <c r="E15" s="95">
        <f>'27'!F15</f>
        <v>1902965</v>
      </c>
      <c r="F15" s="123">
        <f>E15+1100</f>
        <v>1904065</v>
      </c>
      <c r="G15" s="112">
        <f>(F15-E15)</f>
        <v>1100</v>
      </c>
      <c r="H15" s="99">
        <f>G15+'27'!H15</f>
        <v>25635</v>
      </c>
      <c r="I15" s="113">
        <f>'1'!I15</f>
        <v>800</v>
      </c>
      <c r="J15" s="175">
        <f>H15/DAY(B2)</f>
        <v>915.53571428571433</v>
      </c>
      <c r="K15" s="79"/>
      <c r="L15" s="66"/>
      <c r="N15" s="87"/>
      <c r="O15" s="71">
        <f>G8-200</f>
        <v>23300</v>
      </c>
    </row>
    <row r="16" spans="1:15" ht="29.25" x14ac:dyDescent="0.4">
      <c r="A16" s="203"/>
      <c r="B16" s="204"/>
      <c r="C16" s="204"/>
      <c r="D16" s="152"/>
      <c r="E16" s="123"/>
      <c r="F16" s="123"/>
      <c r="G16" s="112"/>
      <c r="H16" s="124"/>
      <c r="I16" s="120">
        <f>I15-J15</f>
        <v>-115.53571428571433</v>
      </c>
      <c r="J16" s="176"/>
      <c r="K16" s="79"/>
      <c r="L16" s="66"/>
      <c r="N16" s="87"/>
      <c r="O16" s="71"/>
    </row>
    <row r="17" spans="1:16" ht="29.25" x14ac:dyDescent="0.5">
      <c r="A17" s="827" t="s">
        <v>140</v>
      </c>
      <c r="B17" s="828"/>
      <c r="C17" s="829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6" ht="27.75" x14ac:dyDescent="0.5">
      <c r="A18" s="818" t="s">
        <v>141</v>
      </c>
      <c r="B18" s="819"/>
      <c r="C18" s="820"/>
      <c r="D18" s="151" t="s">
        <v>142</v>
      </c>
      <c r="E18" s="95">
        <f>'27'!F18</f>
        <v>24</v>
      </c>
      <c r="F18" s="122">
        <f>E18+12</f>
        <v>36</v>
      </c>
      <c r="G18" s="119">
        <f>F18*10</f>
        <v>360</v>
      </c>
      <c r="H18" s="99">
        <f>G18+'27'!H18</f>
        <v>3590</v>
      </c>
      <c r="I18" s="113">
        <f>'1'!I18</f>
        <v>65</v>
      </c>
      <c r="J18" s="175">
        <f>H18/DAY(B2)</f>
        <v>128.21428571428572</v>
      </c>
      <c r="K18" s="79"/>
      <c r="L18" s="66"/>
      <c r="N18" s="87"/>
      <c r="O18" s="71"/>
    </row>
    <row r="19" spans="1:16" ht="27.75" x14ac:dyDescent="0.5">
      <c r="A19" s="818" t="s">
        <v>69</v>
      </c>
      <c r="B19" s="819"/>
      <c r="C19" s="820"/>
      <c r="D19" s="151" t="s">
        <v>142</v>
      </c>
      <c r="E19" s="95">
        <f>'27'!F19</f>
        <v>153673</v>
      </c>
      <c r="F19" s="122">
        <f>E19+55</f>
        <v>153728</v>
      </c>
      <c r="G19" s="112">
        <f t="shared" ref="G19" si="1">F19-E19</f>
        <v>55</v>
      </c>
      <c r="H19" s="99">
        <f>G19+'27'!H19</f>
        <v>1503</v>
      </c>
      <c r="I19" s="335"/>
      <c r="J19" s="175">
        <f>H19/DAY(B2)</f>
        <v>53.678571428571431</v>
      </c>
      <c r="K19" s="79"/>
      <c r="L19" s="66"/>
      <c r="N19" s="87"/>
      <c r="O19" s="71"/>
    </row>
    <row r="20" spans="1:16" ht="29.25" x14ac:dyDescent="0.5">
      <c r="A20" s="201" t="s">
        <v>143</v>
      </c>
      <c r="B20" s="202"/>
      <c r="C20" s="202"/>
      <c r="D20" s="126"/>
      <c r="E20" s="126"/>
      <c r="F20" s="126"/>
      <c r="G20" s="127">
        <f>G18+G19</f>
        <v>415</v>
      </c>
      <c r="H20" s="99">
        <f>G20+'27'!H20</f>
        <v>5093</v>
      </c>
      <c r="I20" s="336">
        <f>I18-J20</f>
        <v>-116.89285714285714</v>
      </c>
      <c r="J20" s="175">
        <f>H20/DAY(B2)</f>
        <v>181.89285714285714</v>
      </c>
      <c r="K20" s="79"/>
      <c r="L20" s="66"/>
      <c r="N20" s="87"/>
      <c r="O20" s="71"/>
    </row>
    <row r="21" spans="1:16" ht="29.25" x14ac:dyDescent="0.5">
      <c r="A21" s="827" t="s">
        <v>144</v>
      </c>
      <c r="B21" s="828"/>
      <c r="C21" s="829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  <c r="P21" s="65">
        <v>35529</v>
      </c>
    </row>
    <row r="22" spans="1:16" ht="29.25" x14ac:dyDescent="0.5">
      <c r="A22" s="345" t="s">
        <v>145</v>
      </c>
      <c r="B22" s="205"/>
      <c r="C22" s="205"/>
      <c r="D22" s="151" t="s">
        <v>146</v>
      </c>
      <c r="E22" s="95">
        <f>'27'!F22</f>
        <v>2970</v>
      </c>
      <c r="F22" s="122">
        <v>2970</v>
      </c>
      <c r="G22" s="119">
        <f t="shared" ref="G22" si="2">(F22-E22)</f>
        <v>0</v>
      </c>
      <c r="H22" s="99">
        <f>G22+'27'!H22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6" ht="29.25" x14ac:dyDescent="0.5">
      <c r="A23" s="345" t="s">
        <v>147</v>
      </c>
      <c r="B23" s="205"/>
      <c r="C23" s="205"/>
      <c r="D23" s="151" t="s">
        <v>146</v>
      </c>
      <c r="E23" s="95">
        <f>'27'!F23</f>
        <v>2000</v>
      </c>
      <c r="F23" s="122">
        <v>2000</v>
      </c>
      <c r="G23" s="119">
        <v>0</v>
      </c>
      <c r="H23" s="99">
        <f>G23+'27'!H23</f>
        <v>110</v>
      </c>
      <c r="I23" s="118"/>
      <c r="J23" s="175">
        <f>H23/DAY(B2)</f>
        <v>3.9285714285714284</v>
      </c>
      <c r="K23" s="79"/>
      <c r="L23" s="66"/>
      <c r="N23" s="87"/>
      <c r="O23" s="71"/>
    </row>
    <row r="24" spans="1:16" ht="29.25" x14ac:dyDescent="0.4">
      <c r="A24" s="206" t="s">
        <v>148</v>
      </c>
      <c r="B24" s="207"/>
      <c r="C24" s="207"/>
      <c r="D24" s="146" t="s">
        <v>146</v>
      </c>
      <c r="E24" s="95">
        <f>'27'!F24</f>
        <v>4970</v>
      </c>
      <c r="F24" s="128">
        <v>4970</v>
      </c>
      <c r="G24" s="119">
        <v>0</v>
      </c>
      <c r="H24" s="99">
        <f>G24+'27'!H24</f>
        <v>110</v>
      </c>
      <c r="I24" s="118"/>
      <c r="J24" s="175">
        <f>H24/DAY(B2)</f>
        <v>3.9285714285714284</v>
      </c>
      <c r="K24" s="79"/>
      <c r="L24" s="66"/>
      <c r="N24" s="87"/>
      <c r="O24" s="71"/>
    </row>
    <row r="25" spans="1:16" s="88" customFormat="1" ht="27" x14ac:dyDescent="0.35">
      <c r="A25" s="832" t="s">
        <v>149</v>
      </c>
      <c r="B25" s="833"/>
      <c r="C25" s="834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6" s="88" customFormat="1" ht="27.75" x14ac:dyDescent="0.5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>
        <f>G26+'27'!H26</f>
        <v>0</v>
      </c>
      <c r="I26" s="134"/>
      <c r="J26" s="175"/>
      <c r="K26" s="64"/>
      <c r="L26" s="89"/>
      <c r="N26" s="87"/>
      <c r="O26" s="71"/>
    </row>
    <row r="27" spans="1:16" s="88" customFormat="1" ht="27.75" x14ac:dyDescent="0.5">
      <c r="A27" s="208" t="s">
        <v>5</v>
      </c>
      <c r="B27" s="209"/>
      <c r="C27" s="210"/>
      <c r="D27" s="226" t="s">
        <v>24</v>
      </c>
      <c r="E27" s="135">
        <f>G8</f>
        <v>23500</v>
      </c>
      <c r="F27" s="136">
        <v>9</v>
      </c>
      <c r="G27" s="137">
        <f>E27*F27</f>
        <v>211500</v>
      </c>
      <c r="H27" s="99">
        <f>G27+'27'!H27</f>
        <v>4736025</v>
      </c>
      <c r="I27" s="138"/>
      <c r="J27" s="175">
        <f>H27/DAY(B2)</f>
        <v>169143.75</v>
      </c>
      <c r="K27" s="63"/>
      <c r="L27" s="89"/>
      <c r="N27" s="87"/>
      <c r="O27" s="71"/>
    </row>
    <row r="28" spans="1:16" s="88" customFormat="1" ht="27.75" x14ac:dyDescent="0.5">
      <c r="A28" s="208" t="s">
        <v>152</v>
      </c>
      <c r="B28" s="209"/>
      <c r="C28" s="210"/>
      <c r="D28" s="226" t="s">
        <v>153</v>
      </c>
      <c r="E28" s="139">
        <f>G15</f>
        <v>1100</v>
      </c>
      <c r="F28" s="136">
        <v>52</v>
      </c>
      <c r="G28" s="137">
        <f>E28*F28</f>
        <v>57200</v>
      </c>
      <c r="H28" s="99">
        <f>G28+'27'!H28</f>
        <v>1333020</v>
      </c>
      <c r="I28" s="140"/>
      <c r="J28" s="175">
        <f>H28/DAY(B2)</f>
        <v>47607.857142857145</v>
      </c>
      <c r="K28" s="63"/>
      <c r="L28" s="89"/>
      <c r="N28" s="87"/>
      <c r="O28" s="71"/>
    </row>
    <row r="29" spans="1:16" s="88" customFormat="1" ht="27.75" x14ac:dyDescent="0.5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>E29*F29</f>
        <v>0</v>
      </c>
      <c r="H29" s="99">
        <f>G29+'27'!H29</f>
        <v>7590</v>
      </c>
      <c r="I29" s="140"/>
      <c r="J29" s="175">
        <f>H29/DAY(B2)</f>
        <v>271.07142857142856</v>
      </c>
      <c r="K29" s="63"/>
      <c r="L29" s="89"/>
      <c r="N29" s="87"/>
      <c r="O29" s="71"/>
    </row>
    <row r="30" spans="1:16" s="88" customFormat="1" ht="27.75" x14ac:dyDescent="0.5">
      <c r="A30" s="208" t="s">
        <v>156</v>
      </c>
      <c r="B30" s="209"/>
      <c r="C30" s="210"/>
      <c r="D30" s="226" t="s">
        <v>157</v>
      </c>
      <c r="E30" s="141">
        <f>G19</f>
        <v>55</v>
      </c>
      <c r="F30" s="136">
        <v>146</v>
      </c>
      <c r="G30" s="137">
        <f>E30*F30</f>
        <v>8030</v>
      </c>
      <c r="H30" s="99">
        <f>G30+'27'!H30</f>
        <v>219438</v>
      </c>
      <c r="I30" s="140"/>
      <c r="J30" s="175">
        <f>H30/DAY(B2)</f>
        <v>7837.0714285714284</v>
      </c>
      <c r="K30" s="63"/>
      <c r="L30" s="89"/>
      <c r="N30" s="87"/>
      <c r="O30" s="71"/>
    </row>
    <row r="31" spans="1:16" s="88" customFormat="1" ht="27.75" x14ac:dyDescent="0.5">
      <c r="A31" s="208" t="s">
        <v>158</v>
      </c>
      <c r="B31" s="209"/>
      <c r="C31" s="210"/>
      <c r="D31" s="226" t="s">
        <v>142</v>
      </c>
      <c r="E31" s="141">
        <f>G18</f>
        <v>360</v>
      </c>
      <c r="F31" s="136">
        <v>80</v>
      </c>
      <c r="G31" s="137">
        <f>E31*F31</f>
        <v>28800</v>
      </c>
      <c r="H31" s="99">
        <f>G31+'27'!H31</f>
        <v>287200</v>
      </c>
      <c r="I31" s="140"/>
      <c r="J31" s="175">
        <f>H31/DAY(B2)</f>
        <v>10257.142857142857</v>
      </c>
      <c r="K31" s="63"/>
      <c r="L31" s="89"/>
      <c r="N31" s="87"/>
      <c r="O31" s="71"/>
    </row>
    <row r="32" spans="1:16" s="88" customFormat="1" ht="27.75" x14ac:dyDescent="0.5">
      <c r="A32" s="211" t="s">
        <v>159</v>
      </c>
      <c r="B32" s="212"/>
      <c r="C32" s="213"/>
      <c r="D32" s="142"/>
      <c r="E32" s="142"/>
      <c r="F32" s="142"/>
      <c r="G32" s="143">
        <f>G27+G28+G29+G30+G31</f>
        <v>305530</v>
      </c>
      <c r="H32" s="99">
        <f>G32+'27'!H32</f>
        <v>6583273</v>
      </c>
      <c r="I32" s="144"/>
      <c r="J32" s="175">
        <f>H32/DAY(B2)</f>
        <v>235116.89285714287</v>
      </c>
      <c r="K32" s="63"/>
      <c r="L32" s="89"/>
      <c r="N32" s="87"/>
      <c r="O32" s="71"/>
    </row>
    <row r="33" spans="1:15" ht="25.5" customHeight="1" x14ac:dyDescent="0.35">
      <c r="A33" s="835" t="s">
        <v>331</v>
      </c>
      <c r="B33" s="836"/>
      <c r="C33" s="836"/>
      <c r="D33" s="337"/>
      <c r="E33" s="337"/>
      <c r="F33" s="337"/>
      <c r="G33" s="337"/>
      <c r="H33" s="337"/>
      <c r="I33" s="337"/>
      <c r="J33" s="338"/>
      <c r="K33" s="79"/>
      <c r="L33" s="66"/>
      <c r="N33" s="87"/>
      <c r="O33" s="71"/>
    </row>
    <row r="34" spans="1:15" ht="29.25" x14ac:dyDescent="0.5">
      <c r="A34" s="214" t="s">
        <v>160</v>
      </c>
      <c r="B34" s="349"/>
      <c r="C34" s="349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29.25" x14ac:dyDescent="0.4">
      <c r="A35" s="194" t="s">
        <v>161</v>
      </c>
      <c r="B35" s="195"/>
      <c r="C35" s="195"/>
      <c r="D35" s="151" t="s">
        <v>130</v>
      </c>
      <c r="E35" s="95">
        <f>'27'!F35</f>
        <v>145179</v>
      </c>
      <c r="F35" s="145">
        <v>147015.26999999999</v>
      </c>
      <c r="G35" s="112">
        <f t="shared" ref="G35:G46" si="3">F35-E35</f>
        <v>1836.2699999999895</v>
      </c>
      <c r="H35" s="99">
        <f>G35+'27'!H35</f>
        <v>162215.26999999999</v>
      </c>
      <c r="I35" s="95"/>
      <c r="J35" s="175">
        <f>H35/DAY(B2)</f>
        <v>5793.4024999999992</v>
      </c>
      <c r="K35" s="79"/>
      <c r="L35" s="66"/>
      <c r="N35" s="87"/>
      <c r="O35" s="71"/>
    </row>
    <row r="36" spans="1:15" ht="29.25" x14ac:dyDescent="0.4">
      <c r="A36" s="194" t="s">
        <v>162</v>
      </c>
      <c r="B36" s="195"/>
      <c r="C36" s="195"/>
      <c r="D36" s="151" t="s">
        <v>130</v>
      </c>
      <c r="E36" s="95">
        <f>'27'!F36</f>
        <v>18238</v>
      </c>
      <c r="F36" s="145">
        <v>19004.939999999999</v>
      </c>
      <c r="G36" s="112">
        <f t="shared" si="3"/>
        <v>766.93999999999869</v>
      </c>
      <c r="H36" s="99">
        <f>G36+'27'!H36</f>
        <v>-2522.0600000000013</v>
      </c>
      <c r="I36" s="95"/>
      <c r="J36" s="175">
        <f>H36/DAY(B2)</f>
        <v>-90.073571428571469</v>
      </c>
      <c r="K36" s="79"/>
      <c r="L36" s="66"/>
      <c r="N36" s="87"/>
      <c r="O36" s="344"/>
    </row>
    <row r="37" spans="1:15" ht="29.25" x14ac:dyDescent="0.4">
      <c r="A37" s="194" t="s">
        <v>163</v>
      </c>
      <c r="B37" s="195"/>
      <c r="C37" s="195"/>
      <c r="D37" s="151" t="s">
        <v>130</v>
      </c>
      <c r="E37" s="95">
        <f>'27'!F37</f>
        <v>189109</v>
      </c>
      <c r="F37" s="145">
        <v>190645.23</v>
      </c>
      <c r="G37" s="112">
        <f t="shared" si="3"/>
        <v>1536.2300000000105</v>
      </c>
      <c r="H37" s="99">
        <f>G37+'27'!H37</f>
        <v>202857.23</v>
      </c>
      <c r="I37" s="95"/>
      <c r="J37" s="175">
        <f>H37/DAY(B2)</f>
        <v>7244.9010714285714</v>
      </c>
      <c r="K37" s="79"/>
      <c r="L37" s="66"/>
      <c r="N37" s="87"/>
      <c r="O37" s="234"/>
    </row>
    <row r="38" spans="1:15" ht="29.25" x14ac:dyDescent="0.4">
      <c r="A38" s="194" t="s">
        <v>164</v>
      </c>
      <c r="B38" s="195"/>
      <c r="C38" s="195"/>
      <c r="D38" s="151" t="s">
        <v>130</v>
      </c>
      <c r="E38" s="95">
        <f>'27'!F38</f>
        <v>224984</v>
      </c>
      <c r="F38" s="108">
        <v>226951.49</v>
      </c>
      <c r="G38" s="112">
        <f t="shared" si="3"/>
        <v>1967.4899999999907</v>
      </c>
      <c r="H38" s="99">
        <f>G38+'27'!H38</f>
        <v>240151.49</v>
      </c>
      <c r="I38" s="95"/>
      <c r="J38" s="175">
        <f>H38/DAY(B2)</f>
        <v>8576.8389285714275</v>
      </c>
      <c r="K38" s="79"/>
      <c r="L38" s="66"/>
      <c r="N38" s="87"/>
      <c r="O38" s="71"/>
    </row>
    <row r="39" spans="1:15" ht="29.25" x14ac:dyDescent="0.4">
      <c r="A39" s="194" t="s">
        <v>165</v>
      </c>
      <c r="B39" s="195"/>
      <c r="C39" s="195"/>
      <c r="D39" s="151" t="s">
        <v>130</v>
      </c>
      <c r="E39" s="95">
        <f>'27'!F39</f>
        <v>400137</v>
      </c>
      <c r="F39" s="145">
        <v>402877.43</v>
      </c>
      <c r="G39" s="112">
        <f t="shared" si="3"/>
        <v>2740.429999999993</v>
      </c>
      <c r="H39" s="99">
        <f>G39+'27'!H39</f>
        <v>424559.43</v>
      </c>
      <c r="I39" s="95"/>
      <c r="J39" s="175">
        <f>H39/DAY(B2)</f>
        <v>15162.836785714286</v>
      </c>
      <c r="K39" s="79"/>
      <c r="L39" s="66"/>
      <c r="N39" s="87"/>
      <c r="O39" s="71"/>
    </row>
    <row r="40" spans="1:15" ht="29.25" x14ac:dyDescent="0.4">
      <c r="A40" s="215" t="s">
        <v>166</v>
      </c>
      <c r="B40" s="216"/>
      <c r="C40" s="216"/>
      <c r="D40" s="151" t="s">
        <v>130</v>
      </c>
      <c r="E40" s="95">
        <f>'27'!F40</f>
        <v>4084</v>
      </c>
      <c r="F40" s="145">
        <v>5066.7700000000004</v>
      </c>
      <c r="G40" s="112">
        <f t="shared" si="3"/>
        <v>982.77000000000044</v>
      </c>
      <c r="H40" s="99">
        <f>G40+'27'!H40</f>
        <v>-543.22999999999956</v>
      </c>
      <c r="I40" s="95"/>
      <c r="J40" s="175">
        <f>H40/DAY(B2)</f>
        <v>-19.401071428571413</v>
      </c>
      <c r="K40" s="80"/>
      <c r="L40" s="66"/>
      <c r="N40" s="87"/>
      <c r="O40" s="71"/>
    </row>
    <row r="41" spans="1:15" ht="29.25" x14ac:dyDescent="0.4">
      <c r="A41" s="194" t="s">
        <v>167</v>
      </c>
      <c r="B41" s="195"/>
      <c r="C41" s="195"/>
      <c r="D41" s="151" t="s">
        <v>130</v>
      </c>
      <c r="E41" s="95">
        <f>'27'!F41</f>
        <v>0</v>
      </c>
      <c r="F41" s="145">
        <v>0</v>
      </c>
      <c r="G41" s="112">
        <f t="shared" si="3"/>
        <v>0</v>
      </c>
      <c r="H41" s="99">
        <f>G41+'27'!H41</f>
        <v>0</v>
      </c>
      <c r="I41" s="95"/>
      <c r="J41" s="175">
        <f>H41/DAY(B2)</f>
        <v>0</v>
      </c>
      <c r="K41" s="79"/>
      <c r="L41" s="66"/>
      <c r="N41" s="87"/>
      <c r="O41" s="71"/>
    </row>
    <row r="42" spans="1:15" ht="29.25" x14ac:dyDescent="0.4">
      <c r="A42" s="194" t="s">
        <v>168</v>
      </c>
      <c r="B42" s="195"/>
      <c r="C42" s="195"/>
      <c r="D42" s="151" t="s">
        <v>130</v>
      </c>
      <c r="E42" s="95">
        <f>'27'!F42</f>
        <v>63114</v>
      </c>
      <c r="F42" s="145">
        <v>67675.429999999993</v>
      </c>
      <c r="G42" s="112">
        <f t="shared" si="3"/>
        <v>4561.429999999993</v>
      </c>
      <c r="H42" s="99">
        <f>G42+'27'!H42</f>
        <v>-6133.570000000007</v>
      </c>
      <c r="I42" s="95"/>
      <c r="J42" s="175">
        <f>H42/DAY(B2)</f>
        <v>-219.05607142857167</v>
      </c>
      <c r="K42" s="79"/>
      <c r="L42" s="66"/>
      <c r="N42" s="87"/>
      <c r="O42" s="71"/>
    </row>
    <row r="43" spans="1:15" ht="29.25" x14ac:dyDescent="0.4">
      <c r="A43" s="194" t="s">
        <v>169</v>
      </c>
      <c r="B43" s="195"/>
      <c r="C43" s="195"/>
      <c r="D43" s="151" t="s">
        <v>130</v>
      </c>
      <c r="E43" s="95">
        <f>'27'!F43</f>
        <v>37050</v>
      </c>
      <c r="F43" s="145">
        <v>39532.07</v>
      </c>
      <c r="G43" s="112">
        <f t="shared" si="3"/>
        <v>2482.0699999999997</v>
      </c>
      <c r="H43" s="99">
        <f>G43+'27'!H43</f>
        <v>-7728.93</v>
      </c>
      <c r="I43" s="95"/>
      <c r="J43" s="175">
        <f>H43/DAY(B2)</f>
        <v>-276.03321428571428</v>
      </c>
      <c r="K43" s="79"/>
      <c r="L43" s="66"/>
      <c r="N43" s="87"/>
      <c r="O43" s="71"/>
    </row>
    <row r="44" spans="1:15" ht="29.25" x14ac:dyDescent="0.4">
      <c r="A44" s="194" t="s">
        <v>170</v>
      </c>
      <c r="B44" s="195"/>
      <c r="C44" s="195"/>
      <c r="D44" s="151" t="s">
        <v>130</v>
      </c>
      <c r="E44" s="95">
        <f>'27'!F44</f>
        <v>0</v>
      </c>
      <c r="F44" s="145">
        <v>0</v>
      </c>
      <c r="G44" s="112">
        <f t="shared" si="3"/>
        <v>0</v>
      </c>
      <c r="H44" s="99">
        <f>G44+'27'!H44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29.25" x14ac:dyDescent="0.4">
      <c r="A45" s="194" t="s">
        <v>171</v>
      </c>
      <c r="B45" s="195"/>
      <c r="C45" s="195"/>
      <c r="D45" s="151" t="s">
        <v>130</v>
      </c>
      <c r="E45" s="95">
        <f>'27'!F45</f>
        <v>0</v>
      </c>
      <c r="F45" s="145">
        <v>0</v>
      </c>
      <c r="G45" s="112">
        <f t="shared" si="3"/>
        <v>0</v>
      </c>
      <c r="H45" s="99">
        <f>G45+'27'!H45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29.25" x14ac:dyDescent="0.4">
      <c r="A46" s="194" t="s">
        <v>172</v>
      </c>
      <c r="B46" s="195"/>
      <c r="C46" s="195"/>
      <c r="D46" s="151" t="s">
        <v>130</v>
      </c>
      <c r="E46" s="95">
        <f>'27'!F46</f>
        <v>0</v>
      </c>
      <c r="F46" s="145">
        <v>0</v>
      </c>
      <c r="G46" s="112">
        <f t="shared" si="3"/>
        <v>0</v>
      </c>
      <c r="H46" s="99">
        <f>G46+'27'!H46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29.25" x14ac:dyDescent="0.5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16873.629999999976</v>
      </c>
      <c r="H47" s="99">
        <f>G47+'27'!H47</f>
        <v>1012855.63</v>
      </c>
      <c r="I47" s="95"/>
      <c r="J47" s="175">
        <f>H47/DAY(B2)</f>
        <v>36173.415357142854</v>
      </c>
      <c r="K47" s="79"/>
      <c r="L47" s="66"/>
      <c r="N47" s="87"/>
      <c r="O47" s="71"/>
    </row>
    <row r="48" spans="1:15" ht="29.25" x14ac:dyDescent="0.5">
      <c r="A48" s="214" t="s">
        <v>174</v>
      </c>
      <c r="B48" s="349"/>
      <c r="C48" s="349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29.25" x14ac:dyDescent="0.4">
      <c r="A49" s="194" t="s">
        <v>161</v>
      </c>
      <c r="B49" s="217"/>
      <c r="C49" s="217"/>
      <c r="D49" s="151" t="s">
        <v>130</v>
      </c>
      <c r="E49" s="95">
        <f>'27'!F49</f>
        <v>266456</v>
      </c>
      <c r="F49" s="145">
        <v>267940.40999999997</v>
      </c>
      <c r="G49" s="112">
        <f t="shared" ref="G49:G58" si="4">F49-E49</f>
        <v>1484.4099999999744</v>
      </c>
      <c r="H49" s="99">
        <f>G49+'27'!H49</f>
        <v>281061.40999999997</v>
      </c>
      <c r="I49" s="95"/>
      <c r="J49" s="175">
        <f>H49/DAY(B2)</f>
        <v>10037.907499999999</v>
      </c>
      <c r="K49" s="79"/>
      <c r="L49" s="66"/>
      <c r="N49" s="87"/>
      <c r="O49" s="71"/>
    </row>
    <row r="50" spans="1:15" ht="29.25" x14ac:dyDescent="0.4">
      <c r="A50" s="194" t="s">
        <v>175</v>
      </c>
      <c r="B50" s="217"/>
      <c r="C50" s="217"/>
      <c r="D50" s="151" t="s">
        <v>130</v>
      </c>
      <c r="E50" s="95">
        <f>'27'!F50</f>
        <v>20426</v>
      </c>
      <c r="F50" s="145">
        <v>21574.2</v>
      </c>
      <c r="G50" s="112">
        <f t="shared" si="4"/>
        <v>1148.2000000000007</v>
      </c>
      <c r="H50" s="99">
        <f>G50+'27'!H50</f>
        <v>-3075.7999999999993</v>
      </c>
      <c r="I50" s="95"/>
      <c r="J50" s="175">
        <f>H50/DAY(B2)</f>
        <v>-109.84999999999998</v>
      </c>
      <c r="K50" s="79"/>
      <c r="L50" s="66"/>
      <c r="N50" s="87"/>
      <c r="O50" s="71"/>
    </row>
    <row r="51" spans="1:15" ht="29.25" x14ac:dyDescent="0.4">
      <c r="A51" s="194" t="s">
        <v>163</v>
      </c>
      <c r="B51" s="217"/>
      <c r="C51" s="217"/>
      <c r="D51" s="151" t="s">
        <v>130</v>
      </c>
      <c r="E51" s="95">
        <f>'27'!F51</f>
        <v>0</v>
      </c>
      <c r="F51" s="145">
        <v>0</v>
      </c>
      <c r="G51" s="112">
        <f t="shared" si="4"/>
        <v>0</v>
      </c>
      <c r="H51" s="99">
        <f>G51+'27'!H51</f>
        <v>0</v>
      </c>
      <c r="I51" s="95"/>
      <c r="J51" s="175">
        <f>H51/DAY(B2)</f>
        <v>0</v>
      </c>
      <c r="K51" s="79"/>
      <c r="L51" s="66"/>
      <c r="N51" s="87"/>
      <c r="O51" s="71"/>
    </row>
    <row r="52" spans="1:15" ht="29.25" x14ac:dyDescent="0.4">
      <c r="A52" s="194" t="s">
        <v>176</v>
      </c>
      <c r="B52" s="217"/>
      <c r="C52" s="217"/>
      <c r="D52" s="151" t="s">
        <v>130</v>
      </c>
      <c r="E52" s="95">
        <f>'27'!F52</f>
        <v>0</v>
      </c>
      <c r="F52" s="145">
        <v>0</v>
      </c>
      <c r="G52" s="112">
        <f t="shared" si="4"/>
        <v>0</v>
      </c>
      <c r="H52" s="99">
        <f>G52+'27'!H52</f>
        <v>0</v>
      </c>
      <c r="I52" s="95"/>
      <c r="J52" s="175">
        <f>H52/DAY(B2)</f>
        <v>0</v>
      </c>
      <c r="K52" s="79"/>
      <c r="L52" s="66"/>
      <c r="N52" s="87"/>
      <c r="O52" s="71"/>
    </row>
    <row r="53" spans="1:15" ht="29.25" x14ac:dyDescent="0.4">
      <c r="A53" s="194" t="s">
        <v>165</v>
      </c>
      <c r="B53" s="217"/>
      <c r="C53" s="217"/>
      <c r="D53" s="151" t="s">
        <v>130</v>
      </c>
      <c r="E53" s="95">
        <f>'27'!F53</f>
        <v>0</v>
      </c>
      <c r="F53" s="145">
        <v>0</v>
      </c>
      <c r="G53" s="112">
        <f t="shared" si="4"/>
        <v>0</v>
      </c>
      <c r="H53" s="99">
        <f>G53+'27'!H53</f>
        <v>0</v>
      </c>
      <c r="I53" s="95"/>
      <c r="J53" s="175">
        <f>H53/DAY(B2)</f>
        <v>0</v>
      </c>
      <c r="K53" s="79"/>
      <c r="L53" s="66"/>
      <c r="N53" s="87"/>
      <c r="O53" s="71"/>
    </row>
    <row r="54" spans="1:15" ht="29.25" x14ac:dyDescent="0.4">
      <c r="A54" s="194" t="s">
        <v>177</v>
      </c>
      <c r="B54" s="217"/>
      <c r="C54" s="217"/>
      <c r="D54" s="151" t="s">
        <v>130</v>
      </c>
      <c r="E54" s="95">
        <f>'27'!F54</f>
        <v>3166</v>
      </c>
      <c r="F54" s="145">
        <v>3170.4</v>
      </c>
      <c r="G54" s="112">
        <f t="shared" si="4"/>
        <v>4.4000000000000909</v>
      </c>
      <c r="H54" s="99">
        <f>G54+'27'!H54</f>
        <v>4937.4799999999996</v>
      </c>
      <c r="I54" s="95"/>
      <c r="J54" s="175">
        <f>H54/DAY(B2)</f>
        <v>176.33857142857141</v>
      </c>
      <c r="K54" s="79"/>
      <c r="L54" s="66"/>
      <c r="N54" s="87"/>
      <c r="O54" s="71"/>
    </row>
    <row r="55" spans="1:15" ht="29.25" x14ac:dyDescent="0.4">
      <c r="A55" s="194" t="s">
        <v>178</v>
      </c>
      <c r="B55" s="217"/>
      <c r="C55" s="217"/>
      <c r="D55" s="151" t="s">
        <v>130</v>
      </c>
      <c r="E55" s="95">
        <f>'27'!F55</f>
        <v>0</v>
      </c>
      <c r="F55" s="145">
        <v>0</v>
      </c>
      <c r="G55" s="112">
        <f t="shared" si="4"/>
        <v>0</v>
      </c>
      <c r="H55" s="99">
        <f>G55+'27'!H55</f>
        <v>-3511</v>
      </c>
      <c r="I55" s="95"/>
      <c r="J55" s="175">
        <f>H55/DAY(B2)</f>
        <v>-125.39285714285714</v>
      </c>
      <c r="K55" s="79"/>
      <c r="L55" s="66"/>
      <c r="N55" s="87"/>
      <c r="O55" s="71"/>
    </row>
    <row r="56" spans="1:15" ht="29.25" x14ac:dyDescent="0.4">
      <c r="A56" s="194" t="s">
        <v>179</v>
      </c>
      <c r="B56" s="217"/>
      <c r="C56" s="217"/>
      <c r="D56" s="151" t="s">
        <v>180</v>
      </c>
      <c r="E56" s="95">
        <f>'27'!F56</f>
        <v>8610.5400000000009</v>
      </c>
      <c r="F56" s="145">
        <v>8610.5400000000009</v>
      </c>
      <c r="G56" s="112">
        <f t="shared" si="4"/>
        <v>0</v>
      </c>
      <c r="H56" s="99">
        <f>G56+'27'!H56</f>
        <v>0</v>
      </c>
      <c r="I56" s="95"/>
      <c r="J56" s="175">
        <f>H56/DAY(B2)</f>
        <v>0</v>
      </c>
      <c r="K56" s="78"/>
      <c r="L56" s="66"/>
      <c r="N56" s="87"/>
      <c r="O56" s="71"/>
    </row>
    <row r="57" spans="1:15" ht="29.25" x14ac:dyDescent="0.4">
      <c r="A57" s="194" t="s">
        <v>169</v>
      </c>
      <c r="B57" s="217"/>
      <c r="C57" s="217"/>
      <c r="D57" s="151" t="s">
        <v>130</v>
      </c>
      <c r="E57" s="95">
        <f>'27'!F57</f>
        <v>0</v>
      </c>
      <c r="F57" s="145">
        <v>0</v>
      </c>
      <c r="G57" s="112">
        <f t="shared" si="4"/>
        <v>0</v>
      </c>
      <c r="H57" s="99">
        <f>G57+'27'!H57</f>
        <v>0</v>
      </c>
      <c r="I57" s="95"/>
      <c r="J57" s="175">
        <f>H57/DAY(B2)</f>
        <v>0</v>
      </c>
      <c r="K57" s="79"/>
      <c r="L57" s="66"/>
      <c r="N57" s="87"/>
      <c r="O57" s="71"/>
    </row>
    <row r="58" spans="1:15" ht="29.25" x14ac:dyDescent="0.4">
      <c r="A58" s="194" t="s">
        <v>181</v>
      </c>
      <c r="B58" s="217"/>
      <c r="C58" s="217"/>
      <c r="D58" s="151" t="s">
        <v>130</v>
      </c>
      <c r="E58" s="95">
        <f>'27'!F58</f>
        <v>91484</v>
      </c>
      <c r="F58" s="145">
        <v>91702.32</v>
      </c>
      <c r="G58" s="112">
        <f t="shared" si="4"/>
        <v>218.32000000000698</v>
      </c>
      <c r="H58" s="99">
        <f>G58+'27'!H58</f>
        <v>92042.950000000012</v>
      </c>
      <c r="I58" s="95"/>
      <c r="J58" s="175">
        <f>H58/DAY(B2)</f>
        <v>3287.2482142857148</v>
      </c>
      <c r="K58" s="79"/>
      <c r="L58" s="66"/>
      <c r="N58" s="87"/>
      <c r="O58" s="71"/>
    </row>
    <row r="59" spans="1:15" ht="29.25" x14ac:dyDescent="0.5">
      <c r="A59" s="201" t="s">
        <v>173</v>
      </c>
      <c r="B59" s="202"/>
      <c r="C59" s="202"/>
      <c r="D59" s="146"/>
      <c r="E59" s="146"/>
      <c r="F59" s="146"/>
      <c r="G59" s="119">
        <f>G49+G50+G51+G52+G53+G54+G55+G56+G57+G58</f>
        <v>2855.3299999999822</v>
      </c>
      <c r="H59" s="99">
        <f>G59+'27'!H59</f>
        <v>371455.04000000004</v>
      </c>
      <c r="I59" s="95">
        <f>G7-G60</f>
        <v>10985.040000000041</v>
      </c>
      <c r="J59" s="175">
        <f>H59/DAY(B2)</f>
        <v>13266.25142857143</v>
      </c>
      <c r="K59" s="79"/>
      <c r="L59" s="66"/>
      <c r="N59" s="87"/>
      <c r="O59" s="71"/>
    </row>
    <row r="60" spans="1:15" ht="29.25" x14ac:dyDescent="0.4">
      <c r="A60" s="194"/>
      <c r="B60" s="195"/>
      <c r="C60" s="195"/>
      <c r="D60" s="146" t="s">
        <v>182</v>
      </c>
      <c r="E60" s="146"/>
      <c r="F60" s="146"/>
      <c r="G60" s="119">
        <f>G47+G59</f>
        <v>19728.959999999959</v>
      </c>
      <c r="H60" s="99">
        <f>G60+'27'!H60</f>
        <v>1384310.67</v>
      </c>
      <c r="I60" s="95">
        <f>G13-G60</f>
        <v>-1228.9599999999591</v>
      </c>
      <c r="J60" s="175">
        <f>H60/DAY(B2)</f>
        <v>49439.666785714282</v>
      </c>
      <c r="K60" s="79"/>
      <c r="L60" s="66"/>
      <c r="N60" s="87"/>
      <c r="O60" s="71"/>
    </row>
    <row r="61" spans="1:15" s="68" customFormat="1" ht="27.75" x14ac:dyDescent="0.5">
      <c r="A61" s="837" t="s">
        <v>332</v>
      </c>
      <c r="B61" s="838"/>
      <c r="C61" s="839"/>
      <c r="D61" s="339"/>
      <c r="E61" s="339"/>
      <c r="F61" s="339"/>
      <c r="G61" s="340"/>
      <c r="H61" s="339"/>
      <c r="I61" s="339"/>
      <c r="J61" s="341"/>
      <c r="K61" s="69"/>
      <c r="L61" s="67"/>
      <c r="N61" s="87"/>
      <c r="O61" s="71"/>
    </row>
    <row r="62" spans="1:15" ht="27.75" x14ac:dyDescent="0.5">
      <c r="A62" s="818" t="s">
        <v>198</v>
      </c>
      <c r="B62" s="819"/>
      <c r="C62" s="820"/>
      <c r="D62" s="151" t="s">
        <v>142</v>
      </c>
      <c r="E62" s="95">
        <f>'27'!F62</f>
        <v>266818</v>
      </c>
      <c r="F62" s="122">
        <v>266956</v>
      </c>
      <c r="G62" s="112">
        <f t="shared" ref="G62:G63" si="5">F62-E62</f>
        <v>138</v>
      </c>
      <c r="H62" s="99">
        <f>G62+'27'!H62</f>
        <v>-257</v>
      </c>
      <c r="I62" s="118"/>
      <c r="J62" s="175">
        <f>H62/DAY(B2)</f>
        <v>-9.1785714285714288</v>
      </c>
      <c r="K62" s="80"/>
      <c r="L62" s="66"/>
      <c r="N62" s="87"/>
      <c r="O62" s="71"/>
    </row>
    <row r="63" spans="1:15" ht="27.75" x14ac:dyDescent="0.5">
      <c r="A63" s="818" t="s">
        <v>199</v>
      </c>
      <c r="B63" s="819"/>
      <c r="C63" s="820"/>
      <c r="D63" s="151" t="s">
        <v>142</v>
      </c>
      <c r="E63" s="95">
        <f>'27'!F63</f>
        <v>212062</v>
      </c>
      <c r="F63" s="122">
        <v>212166.1</v>
      </c>
      <c r="G63" s="112">
        <f t="shared" si="5"/>
        <v>104.10000000000582</v>
      </c>
      <c r="H63" s="99">
        <f>G63+'27'!H63</f>
        <v>-258.89999999999418</v>
      </c>
      <c r="I63" s="118"/>
      <c r="J63" s="175">
        <f>H63/DAY(B2)</f>
        <v>-9.2464285714283641</v>
      </c>
      <c r="K63" s="69"/>
      <c r="L63" s="66"/>
      <c r="N63" s="87"/>
      <c r="O63" s="71"/>
    </row>
    <row r="64" spans="1:15" ht="29.25" x14ac:dyDescent="0.5">
      <c r="A64" s="815" t="s">
        <v>200</v>
      </c>
      <c r="B64" s="816"/>
      <c r="C64" s="817"/>
      <c r="D64" s="151"/>
      <c r="E64" s="95">
        <f>'27'!F64</f>
        <v>0</v>
      </c>
      <c r="F64" s="122"/>
      <c r="G64" s="112">
        <f>G62+G63</f>
        <v>242.10000000000582</v>
      </c>
      <c r="H64" s="99">
        <f>G64+'27'!H64</f>
        <v>-515.89999999999418</v>
      </c>
      <c r="I64" s="118"/>
      <c r="J64" s="175">
        <f>H64/DAY(B2)</f>
        <v>-18.424999999999791</v>
      </c>
      <c r="K64" s="69"/>
      <c r="L64" s="66"/>
      <c r="N64" s="87"/>
      <c r="O64" s="71"/>
    </row>
    <row r="65" spans="1:15" ht="27.75" x14ac:dyDescent="0.5">
      <c r="A65" s="818" t="s">
        <v>201</v>
      </c>
      <c r="B65" s="819"/>
      <c r="C65" s="820"/>
      <c r="D65" s="151" t="s">
        <v>142</v>
      </c>
      <c r="E65" s="95">
        <f>'27'!F65</f>
        <v>432179</v>
      </c>
      <c r="F65" s="122">
        <v>432313</v>
      </c>
      <c r="G65" s="112">
        <f t="shared" ref="G65:G70" si="6">F65-E65</f>
        <v>134</v>
      </c>
      <c r="H65" s="99">
        <f>G65+'27'!H65</f>
        <v>-301</v>
      </c>
      <c r="I65" s="118"/>
      <c r="J65" s="175">
        <f>H65/DAY(B2)</f>
        <v>-10.75</v>
      </c>
      <c r="K65" s="69"/>
      <c r="L65" s="66"/>
      <c r="N65" s="87"/>
      <c r="O65" s="71"/>
    </row>
    <row r="66" spans="1:15" ht="27.75" x14ac:dyDescent="0.5">
      <c r="A66" s="345" t="s">
        <v>202</v>
      </c>
      <c r="B66" s="346"/>
      <c r="C66" s="346"/>
      <c r="D66" s="151" t="s">
        <v>142</v>
      </c>
      <c r="E66" s="95">
        <f>'27'!F66</f>
        <v>107141</v>
      </c>
      <c r="F66" s="122">
        <v>107157</v>
      </c>
      <c r="G66" s="112">
        <f t="shared" si="6"/>
        <v>16</v>
      </c>
      <c r="H66" s="99">
        <f>G66+'27'!H66</f>
        <v>-57</v>
      </c>
      <c r="I66" s="118"/>
      <c r="J66" s="175">
        <f>H66/DAY(B2)</f>
        <v>-2.0357142857142856</v>
      </c>
      <c r="K66" s="78"/>
      <c r="L66" s="66"/>
      <c r="N66" s="87"/>
      <c r="O66" s="71"/>
    </row>
    <row r="67" spans="1:15" ht="27.75" x14ac:dyDescent="0.5">
      <c r="A67" s="345" t="s">
        <v>203</v>
      </c>
      <c r="B67" s="346"/>
      <c r="C67" s="346"/>
      <c r="D67" s="151" t="s">
        <v>142</v>
      </c>
      <c r="E67" s="95">
        <f>'27'!F67</f>
        <v>103808</v>
      </c>
      <c r="F67" s="122">
        <v>103834</v>
      </c>
      <c r="G67" s="112">
        <f t="shared" si="6"/>
        <v>26</v>
      </c>
      <c r="H67" s="99">
        <f>G67+'27'!H67</f>
        <v>-94</v>
      </c>
      <c r="I67" s="118"/>
      <c r="J67" s="175">
        <f>H67/DAY(B2)</f>
        <v>-3.3571428571428572</v>
      </c>
      <c r="K67" s="81"/>
      <c r="L67" s="66"/>
      <c r="N67" s="87"/>
      <c r="O67" s="71"/>
    </row>
    <row r="68" spans="1:15" ht="27.75" x14ac:dyDescent="0.5">
      <c r="A68" s="345" t="s">
        <v>204</v>
      </c>
      <c r="B68" s="346"/>
      <c r="C68" s="346"/>
      <c r="D68" s="151" t="s">
        <v>142</v>
      </c>
      <c r="E68" s="95">
        <f>'27'!F68</f>
        <v>156480</v>
      </c>
      <c r="F68" s="122">
        <v>156520</v>
      </c>
      <c r="G68" s="112">
        <f t="shared" si="6"/>
        <v>40</v>
      </c>
      <c r="H68" s="99" t="e">
        <f>G68+'27'!H68</f>
        <v>#VALUE!</v>
      </c>
      <c r="I68" s="118"/>
      <c r="J68" s="175" t="e">
        <f>H68/DAY(B2)</f>
        <v>#VALUE!</v>
      </c>
      <c r="K68" s="69"/>
      <c r="L68" s="66"/>
      <c r="N68" s="87"/>
      <c r="O68" s="71"/>
    </row>
    <row r="69" spans="1:15" ht="27.75" x14ac:dyDescent="0.5">
      <c r="A69" s="345" t="s">
        <v>205</v>
      </c>
      <c r="B69" s="346"/>
      <c r="C69" s="346"/>
      <c r="D69" s="151" t="s">
        <v>142</v>
      </c>
      <c r="E69" s="95">
        <f>'27'!F69</f>
        <v>10159</v>
      </c>
      <c r="F69" s="122">
        <v>10176</v>
      </c>
      <c r="G69" s="112">
        <f t="shared" si="6"/>
        <v>17</v>
      </c>
      <c r="H69" s="99">
        <f>G69+'27'!H69</f>
        <v>-38</v>
      </c>
      <c r="I69" s="118"/>
      <c r="J69" s="175">
        <f>H69/DAY(B2)</f>
        <v>-1.3571428571428572</v>
      </c>
      <c r="K69" s="69"/>
      <c r="L69" s="66"/>
      <c r="N69" s="87"/>
      <c r="O69" s="71"/>
    </row>
    <row r="70" spans="1:15" ht="27.75" x14ac:dyDescent="0.5">
      <c r="A70" s="345" t="s">
        <v>206</v>
      </c>
      <c r="B70" s="346"/>
      <c r="C70" s="346"/>
      <c r="D70" s="151" t="s">
        <v>142</v>
      </c>
      <c r="E70" s="95">
        <f>'27'!F70</f>
        <v>7837</v>
      </c>
      <c r="F70" s="122">
        <v>7843</v>
      </c>
      <c r="G70" s="112">
        <f t="shared" si="6"/>
        <v>6</v>
      </c>
      <c r="H70" s="99">
        <f>G70+'27'!H70</f>
        <v>-19</v>
      </c>
      <c r="I70" s="118"/>
      <c r="J70" s="175">
        <f>H70/DAY(B2)</f>
        <v>-0.6785714285714286</v>
      </c>
      <c r="K70" s="69"/>
      <c r="L70" s="66"/>
      <c r="N70" s="87"/>
      <c r="O70" s="71"/>
    </row>
    <row r="71" spans="1:15" ht="29.25" x14ac:dyDescent="0.5">
      <c r="A71" s="815" t="s">
        <v>208</v>
      </c>
      <c r="B71" s="816"/>
      <c r="C71" s="817"/>
      <c r="D71" s="152"/>
      <c r="E71" s="152"/>
      <c r="F71" s="152"/>
      <c r="G71" s="153">
        <f>SUM(G65:G70)</f>
        <v>239</v>
      </c>
      <c r="H71" s="99">
        <f>G71+'27'!H71</f>
        <v>-682</v>
      </c>
      <c r="I71" s="154"/>
      <c r="J71" s="175">
        <f>H71/DAY(B2)</f>
        <v>-24.357142857142858</v>
      </c>
      <c r="K71" s="69"/>
      <c r="L71" s="66"/>
      <c r="N71" s="87"/>
      <c r="O71" s="71"/>
    </row>
    <row r="72" spans="1:15" s="88" customFormat="1" ht="27.75" x14ac:dyDescent="0.5">
      <c r="A72" s="861"/>
      <c r="B72" s="853"/>
      <c r="C72" s="347"/>
      <c r="D72" s="180"/>
      <c r="E72" s="180" t="s">
        <v>207</v>
      </c>
      <c r="F72" s="180"/>
      <c r="G72" s="180"/>
      <c r="H72" s="181"/>
      <c r="I72" s="180"/>
      <c r="J72" s="182"/>
      <c r="N72" s="87"/>
      <c r="O72" s="71"/>
    </row>
    <row r="73" spans="1:15" ht="29.25" x14ac:dyDescent="0.5">
      <c r="A73" s="866" t="s">
        <v>333</v>
      </c>
      <c r="B73" s="867"/>
      <c r="C73" s="868"/>
      <c r="D73" s="339"/>
      <c r="E73" s="339"/>
      <c r="F73" s="339"/>
      <c r="G73" s="342"/>
      <c r="H73" s="342"/>
      <c r="I73" s="342"/>
      <c r="J73" s="343"/>
      <c r="K73" s="69"/>
      <c r="L73" s="66"/>
      <c r="N73" s="87"/>
      <c r="O73" s="71"/>
    </row>
    <row r="74" spans="1:15" ht="27.75" x14ac:dyDescent="0.5">
      <c r="A74" s="818" t="s">
        <v>220</v>
      </c>
      <c r="B74" s="819"/>
      <c r="C74" s="820"/>
      <c r="D74" s="151" t="s">
        <v>139</v>
      </c>
      <c r="E74" s="95">
        <f>'27'!F74</f>
        <v>890804</v>
      </c>
      <c r="F74" s="117">
        <v>891129.92099999997</v>
      </c>
      <c r="G74" s="112">
        <f t="shared" ref="G74:G78" si="7">F74-E74</f>
        <v>325.92099999997299</v>
      </c>
      <c r="H74" s="99">
        <f>G74+'27'!H74</f>
        <v>-902.07900000002701</v>
      </c>
      <c r="I74" s="154"/>
      <c r="J74" s="175">
        <f>H74/DAY(B2)</f>
        <v>-32.217107142858104</v>
      </c>
      <c r="K74" s="69"/>
      <c r="L74" s="66"/>
      <c r="N74" s="87"/>
      <c r="O74" s="71"/>
    </row>
    <row r="75" spans="1:15" ht="27.75" x14ac:dyDescent="0.5">
      <c r="A75" s="818" t="s">
        <v>221</v>
      </c>
      <c r="B75" s="819"/>
      <c r="C75" s="820"/>
      <c r="D75" s="151" t="s">
        <v>139</v>
      </c>
      <c r="E75" s="95">
        <f>'27'!F75</f>
        <v>73586.8</v>
      </c>
      <c r="F75" s="123">
        <v>73586.8</v>
      </c>
      <c r="G75" s="112">
        <f t="shared" si="7"/>
        <v>0</v>
      </c>
      <c r="H75" s="99">
        <f>G75+'27'!H75</f>
        <v>0</v>
      </c>
      <c r="I75" s="154"/>
      <c r="J75" s="175">
        <f>H75/DAY(B2)</f>
        <v>0</v>
      </c>
      <c r="K75" s="69"/>
      <c r="L75" s="66"/>
      <c r="N75" s="87"/>
      <c r="O75" s="71"/>
    </row>
    <row r="76" spans="1:15" ht="27.75" x14ac:dyDescent="0.5">
      <c r="A76" s="862" t="s">
        <v>222</v>
      </c>
      <c r="B76" s="848"/>
      <c r="C76" s="849"/>
      <c r="D76" s="151" t="s">
        <v>139</v>
      </c>
      <c r="E76" s="95">
        <f>'27'!F76</f>
        <v>166821</v>
      </c>
      <c r="F76" s="123">
        <v>166906.94</v>
      </c>
      <c r="G76" s="112">
        <f t="shared" si="7"/>
        <v>85.940000000002328</v>
      </c>
      <c r="H76" s="99">
        <f>G76+'27'!H76</f>
        <v>-300.05999999999767</v>
      </c>
      <c r="I76" s="154"/>
      <c r="J76" s="175">
        <f>H76/DAY(B2)</f>
        <v>-10.716428571428489</v>
      </c>
      <c r="K76" s="69"/>
      <c r="L76" s="66"/>
      <c r="N76" s="87"/>
      <c r="O76" s="71"/>
    </row>
    <row r="77" spans="1:15" ht="27.75" x14ac:dyDescent="0.5">
      <c r="A77" s="862" t="s">
        <v>223</v>
      </c>
      <c r="B77" s="848"/>
      <c r="C77" s="849"/>
      <c r="D77" s="151" t="s">
        <v>139</v>
      </c>
      <c r="E77" s="95">
        <f>'27'!F77</f>
        <v>40160</v>
      </c>
      <c r="F77" s="123">
        <v>40190</v>
      </c>
      <c r="G77" s="112">
        <f t="shared" si="7"/>
        <v>30</v>
      </c>
      <c r="H77" s="99">
        <f>G77+'27'!H77</f>
        <v>-126</v>
      </c>
      <c r="I77" s="154"/>
      <c r="J77" s="175">
        <f>H77/DAY(B2)</f>
        <v>-4.5</v>
      </c>
      <c r="K77" s="69"/>
      <c r="L77" s="66"/>
      <c r="N77" s="87"/>
      <c r="O77" s="71"/>
    </row>
    <row r="78" spans="1:15" ht="27.75" x14ac:dyDescent="0.5">
      <c r="A78" s="862" t="s">
        <v>224</v>
      </c>
      <c r="B78" s="848"/>
      <c r="C78" s="849"/>
      <c r="D78" s="151" t="s">
        <v>139</v>
      </c>
      <c r="E78" s="95">
        <f>'27'!F78</f>
        <v>9479</v>
      </c>
      <c r="F78" s="123">
        <v>9479.9</v>
      </c>
      <c r="G78" s="112">
        <f t="shared" si="7"/>
        <v>0.8999999999996362</v>
      </c>
      <c r="H78" s="99">
        <f>G78+'27'!H78</f>
        <v>-6.1000000000003638</v>
      </c>
      <c r="I78" s="118"/>
      <c r="J78" s="175">
        <f>H78/DAY(B2)</f>
        <v>-0.21785714285715585</v>
      </c>
      <c r="K78" s="69"/>
      <c r="L78" s="66"/>
      <c r="N78" s="87"/>
      <c r="O78" s="71"/>
    </row>
    <row r="79" spans="1:15" s="57" customFormat="1" ht="27.75" x14ac:dyDescent="0.5">
      <c r="A79" s="862" t="s">
        <v>225</v>
      </c>
      <c r="B79" s="848"/>
      <c r="C79" s="849"/>
      <c r="D79" s="151"/>
      <c r="E79" s="95">
        <f>'27'!F79</f>
        <v>0</v>
      </c>
      <c r="F79" s="123"/>
      <c r="G79" s="112">
        <f>G15-SUM(G74:G78)</f>
        <v>657.23900000002504</v>
      </c>
      <c r="H79" s="99">
        <f>G79+'27'!H79</f>
        <v>26969.239000000023</v>
      </c>
      <c r="I79" s="118"/>
      <c r="J79" s="175"/>
      <c r="K79" s="59"/>
      <c r="L79" s="58"/>
      <c r="N79" s="87"/>
      <c r="O79" s="71"/>
    </row>
    <row r="80" spans="1:15" s="57" customFormat="1" ht="29.25" x14ac:dyDescent="0.5">
      <c r="A80" s="815" t="s">
        <v>329</v>
      </c>
      <c r="B80" s="816"/>
      <c r="C80" s="817"/>
      <c r="D80" s="151"/>
      <c r="E80" s="117"/>
      <c r="F80" s="117"/>
      <c r="G80" s="112">
        <f>SUM(G74:G79)</f>
        <v>1100</v>
      </c>
      <c r="H80" s="99"/>
      <c r="I80" s="118"/>
      <c r="J80" s="175"/>
      <c r="K80" s="59"/>
      <c r="L80" s="58"/>
      <c r="N80" s="87"/>
      <c r="O80" s="71"/>
    </row>
    <row r="81" spans="1:15" ht="27" x14ac:dyDescent="0.4">
      <c r="A81" s="854" t="s">
        <v>226</v>
      </c>
      <c r="B81" s="855"/>
      <c r="C81" s="856"/>
      <c r="D81" s="110"/>
      <c r="E81" s="110"/>
      <c r="F81" s="110"/>
      <c r="G81" s="163"/>
      <c r="H81" s="163"/>
      <c r="I81" s="163"/>
      <c r="J81" s="184"/>
      <c r="O81" s="71"/>
    </row>
    <row r="82" spans="1:15" ht="27.75" x14ac:dyDescent="0.5">
      <c r="A82" s="345" t="s">
        <v>227</v>
      </c>
      <c r="B82" s="346"/>
      <c r="C82" s="346"/>
      <c r="D82" s="151" t="s">
        <v>228</v>
      </c>
      <c r="E82" s="95">
        <f>'27'!F82</f>
        <v>0</v>
      </c>
      <c r="F82" s="122">
        <v>0</v>
      </c>
      <c r="G82" s="112">
        <f t="shared" ref="G82:G92" si="8">F82-E82</f>
        <v>0</v>
      </c>
      <c r="H82" s="99">
        <f>G82+'27'!H82</f>
        <v>0</v>
      </c>
      <c r="I82" s="118"/>
      <c r="J82" s="175">
        <f>H82/DAY(B2)</f>
        <v>0</v>
      </c>
      <c r="O82" s="71"/>
    </row>
    <row r="83" spans="1:15" ht="27.75" x14ac:dyDescent="0.5">
      <c r="A83" s="345" t="s">
        <v>229</v>
      </c>
      <c r="B83" s="346"/>
      <c r="C83" s="346"/>
      <c r="D83" s="151" t="s">
        <v>228</v>
      </c>
      <c r="E83" s="95">
        <f>'27'!F83</f>
        <v>0</v>
      </c>
      <c r="F83" s="122">
        <v>0</v>
      </c>
      <c r="G83" s="112">
        <f t="shared" si="8"/>
        <v>0</v>
      </c>
      <c r="H83" s="99">
        <f>G83+'27'!H83</f>
        <v>0</v>
      </c>
      <c r="I83" s="118"/>
      <c r="J83" s="175">
        <f>H83/DAY(B2)</f>
        <v>0</v>
      </c>
      <c r="O83" s="71"/>
    </row>
    <row r="84" spans="1:15" ht="27.75" x14ac:dyDescent="0.5">
      <c r="A84" s="345" t="s">
        <v>230</v>
      </c>
      <c r="B84" s="346"/>
      <c r="C84" s="346"/>
      <c r="D84" s="151" t="s">
        <v>228</v>
      </c>
      <c r="E84" s="95">
        <f>'27'!F84</f>
        <v>41675.4</v>
      </c>
      <c r="F84" s="164">
        <v>41675.25</v>
      </c>
      <c r="G84" s="112">
        <f t="shared" si="8"/>
        <v>-0.15000000000145519</v>
      </c>
      <c r="H84" s="99">
        <f>G84+'27'!H84</f>
        <v>0.25</v>
      </c>
      <c r="I84" s="118"/>
      <c r="J84" s="175">
        <f>H84/DAY(B2)</f>
        <v>8.9285714285714281E-3</v>
      </c>
      <c r="O84" s="71"/>
    </row>
    <row r="85" spans="1:15" ht="27.75" x14ac:dyDescent="0.5">
      <c r="A85" s="345" t="s">
        <v>231</v>
      </c>
      <c r="B85" s="346"/>
      <c r="C85" s="346"/>
      <c r="D85" s="151" t="s">
        <v>228</v>
      </c>
      <c r="E85" s="490">
        <f>'27'!F85</f>
        <v>2036</v>
      </c>
      <c r="F85" s="164">
        <v>2060.0700000000002</v>
      </c>
      <c r="G85" s="236">
        <f t="shared" si="8"/>
        <v>24.070000000000164</v>
      </c>
      <c r="H85" s="99">
        <f>G85+'27'!H85</f>
        <v>-36.489999999999782</v>
      </c>
      <c r="I85" s="118">
        <f>G82+G83+G84+G85</f>
        <v>23.919999999998709</v>
      </c>
      <c r="J85" s="175">
        <f>H85/DAY(B2)</f>
        <v>-1.3032142857142779</v>
      </c>
      <c r="O85" s="71"/>
    </row>
    <row r="86" spans="1:15" ht="27.75" x14ac:dyDescent="0.5">
      <c r="A86" s="345" t="s">
        <v>232</v>
      </c>
      <c r="B86" s="346"/>
      <c r="C86" s="346"/>
      <c r="D86" s="151" t="s">
        <v>228</v>
      </c>
      <c r="E86" s="95">
        <f>'27'!F86</f>
        <v>42826.47</v>
      </c>
      <c r="F86" s="164">
        <v>42826</v>
      </c>
      <c r="G86" s="112">
        <f t="shared" si="8"/>
        <v>-0.47000000000116415</v>
      </c>
      <c r="H86" s="99">
        <f>G86+'27'!H86</f>
        <v>-37</v>
      </c>
      <c r="I86" s="118"/>
      <c r="J86" s="175">
        <f>H86/DAY(B2)</f>
        <v>-1.3214285714285714</v>
      </c>
      <c r="O86" s="71"/>
    </row>
    <row r="87" spans="1:15" ht="27.75" x14ac:dyDescent="0.5">
      <c r="A87" s="345" t="s">
        <v>233</v>
      </c>
      <c r="B87" s="346"/>
      <c r="C87" s="346"/>
      <c r="D87" s="151" t="s">
        <v>228</v>
      </c>
      <c r="E87" s="95">
        <f>'27'!F87</f>
        <v>34598.550000000003</v>
      </c>
      <c r="F87" s="164">
        <v>34598.550000000003</v>
      </c>
      <c r="G87" s="112">
        <f t="shared" si="8"/>
        <v>0</v>
      </c>
      <c r="H87" s="99">
        <f>G87+'27'!H87</f>
        <v>0</v>
      </c>
      <c r="I87" s="118"/>
      <c r="J87" s="175">
        <f>H87/DAY(B2)</f>
        <v>0</v>
      </c>
      <c r="O87" s="71"/>
    </row>
    <row r="88" spans="1:15" ht="27.75" x14ac:dyDescent="0.5">
      <c r="A88" s="345" t="s">
        <v>234</v>
      </c>
      <c r="B88" s="346"/>
      <c r="C88" s="346"/>
      <c r="D88" s="151" t="s">
        <v>228</v>
      </c>
      <c r="E88" s="95">
        <f>'27'!F88</f>
        <v>24039</v>
      </c>
      <c r="F88" s="164">
        <v>24040.87</v>
      </c>
      <c r="G88" s="112">
        <f t="shared" si="8"/>
        <v>1.8699999999989814</v>
      </c>
      <c r="H88" s="99">
        <f>G88+'27'!H88</f>
        <v>-6.1300000000010186</v>
      </c>
      <c r="I88" s="118">
        <f>G86+G87+G88</f>
        <v>1.3999999999978172</v>
      </c>
      <c r="J88" s="175">
        <f>H88/DAY(B2)</f>
        <v>-0.2189285714286078</v>
      </c>
      <c r="O88" s="71"/>
    </row>
    <row r="89" spans="1:15" ht="27.75" x14ac:dyDescent="0.5">
      <c r="A89" s="345" t="s">
        <v>235</v>
      </c>
      <c r="B89" s="346"/>
      <c r="C89" s="346"/>
      <c r="D89" s="151" t="s">
        <v>228</v>
      </c>
      <c r="E89" s="95">
        <f>'27'!F89</f>
        <v>25634</v>
      </c>
      <c r="F89" s="164">
        <v>25641.94</v>
      </c>
      <c r="G89" s="112">
        <f t="shared" si="8"/>
        <v>7.9399999999986903</v>
      </c>
      <c r="H89" s="99">
        <f>G89+'27'!H89</f>
        <v>-21.06000000000131</v>
      </c>
      <c r="I89" s="118"/>
      <c r="J89" s="175">
        <f>H89/DAY(B2)</f>
        <v>-0.75214285714290396</v>
      </c>
      <c r="O89" s="71"/>
    </row>
    <row r="90" spans="1:15" ht="27.75" x14ac:dyDescent="0.5">
      <c r="A90" s="345" t="s">
        <v>236</v>
      </c>
      <c r="B90" s="346"/>
      <c r="C90" s="346"/>
      <c r="D90" s="151" t="s">
        <v>228</v>
      </c>
      <c r="E90" s="95">
        <f>'27'!F90</f>
        <v>71011</v>
      </c>
      <c r="F90" s="164">
        <v>71016.929999999993</v>
      </c>
      <c r="G90" s="112">
        <f t="shared" si="8"/>
        <v>5.9299999999930151</v>
      </c>
      <c r="H90" s="99">
        <f>G90+'27'!H90</f>
        <v>28.929999999993015</v>
      </c>
      <c r="I90" s="118">
        <f>G89+G90</f>
        <v>13.869999999991705</v>
      </c>
      <c r="J90" s="175">
        <f>H90/DAY(B2)</f>
        <v>1.0332142857140363</v>
      </c>
      <c r="O90" s="71"/>
    </row>
    <row r="91" spans="1:15" ht="27.75" x14ac:dyDescent="0.5">
      <c r="A91" s="345" t="s">
        <v>237</v>
      </c>
      <c r="B91" s="346"/>
      <c r="C91" s="346"/>
      <c r="D91" s="151" t="s">
        <v>228</v>
      </c>
      <c r="E91" s="95">
        <f>'27'!F91</f>
        <v>3226</v>
      </c>
      <c r="F91" s="122">
        <v>3226</v>
      </c>
      <c r="G91" s="112">
        <v>0</v>
      </c>
      <c r="H91" s="99">
        <f>G91+'27'!H91</f>
        <v>-0.32000000000016371</v>
      </c>
      <c r="I91" s="165"/>
      <c r="J91" s="175">
        <f>H91/DAY(B2)</f>
        <v>-1.1428571428577275E-2</v>
      </c>
      <c r="O91" s="71"/>
    </row>
    <row r="92" spans="1:15" ht="27.75" x14ac:dyDescent="0.5">
      <c r="A92" s="345" t="s">
        <v>238</v>
      </c>
      <c r="B92" s="346"/>
      <c r="C92" s="346"/>
      <c r="D92" s="151" t="s">
        <v>228</v>
      </c>
      <c r="E92" s="95">
        <f>'27'!F92</f>
        <v>5395</v>
      </c>
      <c r="F92" s="122">
        <v>5406.68</v>
      </c>
      <c r="G92" s="112">
        <f t="shared" si="8"/>
        <v>11.680000000000291</v>
      </c>
      <c r="H92" s="99">
        <f>G92+'27'!H92</f>
        <v>-31.319999999999709</v>
      </c>
      <c r="I92" s="165"/>
      <c r="J92" s="175">
        <f>H92/DAY(B2)</f>
        <v>-1.1185714285714181</v>
      </c>
      <c r="O92" s="71"/>
    </row>
    <row r="93" spans="1:15" ht="29.25" x14ac:dyDescent="0.5">
      <c r="A93" s="863" t="s">
        <v>239</v>
      </c>
      <c r="B93" s="864"/>
      <c r="C93" s="865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27.75" x14ac:dyDescent="0.5">
      <c r="A94" s="818" t="s">
        <v>240</v>
      </c>
      <c r="B94" s="819"/>
      <c r="C94" s="820"/>
      <c r="D94" s="151" t="s">
        <v>130</v>
      </c>
      <c r="E94" s="151"/>
      <c r="F94" s="151"/>
      <c r="G94" s="99">
        <f>G35+G43+G49+G57</f>
        <v>5802.7499999999636</v>
      </c>
      <c r="H94" s="99">
        <f>G94+'27'!H94</f>
        <v>435547.74999999994</v>
      </c>
      <c r="I94" s="118"/>
      <c r="J94" s="175">
        <f>H94/DAY(B2)</f>
        <v>15555.276785714284</v>
      </c>
      <c r="K94" s="69"/>
      <c r="L94" s="66"/>
      <c r="O94" s="71"/>
    </row>
    <row r="95" spans="1:15" ht="27.75" x14ac:dyDescent="0.5">
      <c r="A95" s="818" t="s">
        <v>241</v>
      </c>
      <c r="B95" s="819"/>
      <c r="C95" s="820"/>
      <c r="D95" s="151" t="s">
        <v>23</v>
      </c>
      <c r="E95" s="146"/>
      <c r="F95" s="146"/>
      <c r="G95" s="166">
        <f>G94/G7</f>
        <v>0.18892850166047936</v>
      </c>
      <c r="H95" s="99">
        <f>G95+'27'!H95</f>
        <v>20.159408163336622</v>
      </c>
      <c r="I95" s="167"/>
      <c r="J95" s="175">
        <f>H95/DAY(B2)</f>
        <v>0.71997886297630787</v>
      </c>
      <c r="K95" s="69"/>
      <c r="L95" s="66"/>
      <c r="O95" s="71"/>
    </row>
    <row r="96" spans="1:15" ht="27.75" x14ac:dyDescent="0.5">
      <c r="A96" s="818" t="s">
        <v>242</v>
      </c>
      <c r="B96" s="819"/>
      <c r="C96" s="820"/>
      <c r="D96" s="151" t="s">
        <v>130</v>
      </c>
      <c r="E96" s="95"/>
      <c r="F96" s="95"/>
      <c r="G96" s="99">
        <f>G41+G42+G55+G56</f>
        <v>4561.429999999993</v>
      </c>
      <c r="H96" s="99">
        <f>G96+'27'!H96</f>
        <v>-9644.570000000007</v>
      </c>
      <c r="I96" s="118"/>
      <c r="J96" s="175">
        <f>H96/DAY(B2)</f>
        <v>-344.44892857142884</v>
      </c>
      <c r="K96" s="69"/>
      <c r="L96" s="66"/>
      <c r="O96" s="71"/>
    </row>
    <row r="97" spans="1:15" ht="27.75" x14ac:dyDescent="0.5">
      <c r="A97" s="818" t="s">
        <v>243</v>
      </c>
      <c r="B97" s="819"/>
      <c r="C97" s="820"/>
      <c r="D97" s="151" t="s">
        <v>23</v>
      </c>
      <c r="E97" s="95"/>
      <c r="F97" s="95"/>
      <c r="G97" s="166">
        <f>G96/G7</f>
        <v>0.14851305593540381</v>
      </c>
      <c r="H97" s="99">
        <f>G97+'27'!H97</f>
        <v>0.55086259625356337</v>
      </c>
      <c r="I97" s="167"/>
      <c r="J97" s="175">
        <f>H97/DAY(B2)</f>
        <v>1.9673664151912979E-2</v>
      </c>
      <c r="K97" s="69"/>
      <c r="L97" s="66"/>
      <c r="O97" s="71"/>
    </row>
    <row r="98" spans="1:15" ht="27.75" x14ac:dyDescent="0.5">
      <c r="A98" s="818" t="s">
        <v>244</v>
      </c>
      <c r="B98" s="819"/>
      <c r="C98" s="820"/>
      <c r="D98" s="151" t="s">
        <v>130</v>
      </c>
      <c r="E98" s="95"/>
      <c r="F98" s="95"/>
      <c r="G98" s="99">
        <f>G39+G53</f>
        <v>2740.429999999993</v>
      </c>
      <c r="H98" s="99">
        <f>G98+'27'!H98</f>
        <v>424559.43</v>
      </c>
      <c r="I98" s="168"/>
      <c r="J98" s="175">
        <f>H98/DAY(B2)</f>
        <v>15162.836785714286</v>
      </c>
      <c r="K98" s="69"/>
      <c r="L98" s="66"/>
      <c r="O98" s="71"/>
    </row>
    <row r="99" spans="1:15" ht="27.75" x14ac:dyDescent="0.5">
      <c r="A99" s="818" t="s">
        <v>245</v>
      </c>
      <c r="B99" s="819"/>
      <c r="C99" s="820"/>
      <c r="D99" s="151" t="s">
        <v>23</v>
      </c>
      <c r="E99" s="95"/>
      <c r="F99" s="95"/>
      <c r="G99" s="166">
        <f>G98/G7</f>
        <v>8.9224132317509697E-2</v>
      </c>
      <c r="H99" s="99">
        <f>G99+'27'!H99</f>
        <v>18.921520288647397</v>
      </c>
      <c r="I99" s="168"/>
      <c r="J99" s="175">
        <f>H99/DAY(B2)</f>
        <v>0.67576858173740706</v>
      </c>
      <c r="O99" s="71"/>
    </row>
    <row r="100" spans="1:15" ht="27.75" x14ac:dyDescent="0.5">
      <c r="A100" s="818" t="s">
        <v>246</v>
      </c>
      <c r="B100" s="819"/>
      <c r="C100" s="820"/>
      <c r="D100" s="151" t="s">
        <v>180</v>
      </c>
      <c r="E100" s="95"/>
      <c r="F100" s="95"/>
      <c r="G100" s="99">
        <f>G38+G52</f>
        <v>1967.4899999999907</v>
      </c>
      <c r="H100" s="99">
        <f>G100+'27'!H100</f>
        <v>240151.49</v>
      </c>
      <c r="I100" s="118"/>
      <c r="J100" s="175">
        <f>H100/DAY(B2)</f>
        <v>8576.8389285714275</v>
      </c>
      <c r="K100" s="70"/>
      <c r="O100" s="71"/>
    </row>
    <row r="101" spans="1:15" ht="27.75" x14ac:dyDescent="0.5">
      <c r="A101" s="818" t="s">
        <v>247</v>
      </c>
      <c r="B101" s="819"/>
      <c r="C101" s="820"/>
      <c r="D101" s="151" t="s">
        <v>23</v>
      </c>
      <c r="E101" s="95"/>
      <c r="F101" s="95"/>
      <c r="G101" s="166">
        <f>G100/G7</f>
        <v>6.4058409845672681E-2</v>
      </c>
      <c r="H101" s="99">
        <f>G101+'27'!H101</f>
        <v>10.762635564143848</v>
      </c>
      <c r="I101" s="168"/>
      <c r="J101" s="175">
        <f>H101/DAY(B2)</f>
        <v>0.38437984157656596</v>
      </c>
      <c r="O101" s="71"/>
    </row>
    <row r="102" spans="1:15" ht="27.75" x14ac:dyDescent="0.5">
      <c r="A102" s="818" t="s">
        <v>248</v>
      </c>
      <c r="B102" s="819"/>
      <c r="C102" s="820"/>
      <c r="D102" s="151" t="s">
        <v>180</v>
      </c>
      <c r="E102" s="95"/>
      <c r="F102" s="95"/>
      <c r="G102" s="99">
        <f>G36+G50</f>
        <v>1915.1399999999994</v>
      </c>
      <c r="H102" s="99">
        <f>G102+'27'!H102</f>
        <v>-5597.8600000000006</v>
      </c>
      <c r="I102" s="168"/>
      <c r="J102" s="175">
        <f>H102/DAY(B2)</f>
        <v>-199.92357142857145</v>
      </c>
      <c r="O102" s="71"/>
    </row>
    <row r="103" spans="1:15" ht="27.75" x14ac:dyDescent="0.5">
      <c r="A103" s="818" t="s">
        <v>249</v>
      </c>
      <c r="B103" s="819"/>
      <c r="C103" s="820"/>
      <c r="D103" s="151" t="s">
        <v>23</v>
      </c>
      <c r="E103" s="95"/>
      <c r="F103" s="95"/>
      <c r="G103" s="166">
        <f>G102/G7</f>
        <v>6.2353975385817523E-2</v>
      </c>
      <c r="H103" s="99">
        <f>G103+'27'!H103</f>
        <v>0.31467648197008224</v>
      </c>
      <c r="I103" s="118"/>
      <c r="J103" s="175">
        <f>H103/DAY(B2)</f>
        <v>1.1238445784645794E-2</v>
      </c>
      <c r="O103" s="71"/>
    </row>
    <row r="104" spans="1:15" ht="27.75" x14ac:dyDescent="0.5">
      <c r="A104" s="818" t="s">
        <v>250</v>
      </c>
      <c r="B104" s="819"/>
      <c r="C104" s="820"/>
      <c r="D104" s="151" t="s">
        <v>180</v>
      </c>
      <c r="E104" s="95"/>
      <c r="F104" s="95"/>
      <c r="G104" s="99">
        <f>G37+G51</f>
        <v>1536.2300000000105</v>
      </c>
      <c r="H104" s="99">
        <f>G104+'27'!H104</f>
        <v>202857.23</v>
      </c>
      <c r="I104" s="118"/>
      <c r="J104" s="175">
        <f>H104/DAY(B2)</f>
        <v>7244.9010714285714</v>
      </c>
      <c r="O104" s="71"/>
    </row>
    <row r="105" spans="1:15" ht="28.5" thickBot="1" x14ac:dyDescent="0.55000000000000004">
      <c r="A105" s="858" t="s">
        <v>251</v>
      </c>
      <c r="B105" s="859"/>
      <c r="C105" s="860"/>
      <c r="D105" s="231" t="s">
        <v>23</v>
      </c>
      <c r="E105" s="185"/>
      <c r="F105" s="185"/>
      <c r="G105" s="186">
        <f>G104/G7</f>
        <v>5.0017255974474525E-2</v>
      </c>
      <c r="H105" s="99">
        <f>G105+'27'!H105</f>
        <v>9.1380813519431214</v>
      </c>
      <c r="I105" s="187"/>
      <c r="J105" s="188">
        <f>H105/DAY(B2)</f>
        <v>0.32636004828368292</v>
      </c>
      <c r="O105" s="71"/>
    </row>
    <row r="106" spans="1:15" ht="29.25" x14ac:dyDescent="0.5">
      <c r="A106" s="105"/>
      <c r="B106" s="96"/>
      <c r="C106" s="96"/>
      <c r="D106" s="169"/>
      <c r="E106" s="169"/>
      <c r="F106" s="169"/>
      <c r="G106" s="169"/>
      <c r="H106" s="170"/>
      <c r="I106" s="169"/>
      <c r="J106" s="171"/>
      <c r="O106" s="71"/>
    </row>
    <row r="107" spans="1:15" ht="29.25" x14ac:dyDescent="0.5"/>
    <row r="108" spans="1:15" ht="31.5" x14ac:dyDescent="0.55000000000000004">
      <c r="A108" s="872" t="s">
        <v>324</v>
      </c>
      <c r="B108" s="872"/>
      <c r="C108" s="872"/>
      <c r="D108" s="872"/>
      <c r="E108" s="872"/>
      <c r="F108" s="872"/>
      <c r="G108" s="872"/>
      <c r="H108" s="872"/>
      <c r="I108" s="872"/>
      <c r="J108" s="872"/>
    </row>
    <row r="109" spans="1:15" ht="29.25" x14ac:dyDescent="0.5">
      <c r="A109" s="857"/>
      <c r="B109" s="857"/>
    </row>
    <row r="110" spans="1:15" ht="29.25" x14ac:dyDescent="0.5">
      <c r="A110" s="873" t="s">
        <v>165</v>
      </c>
      <c r="B110" s="874"/>
      <c r="C110" s="874"/>
      <c r="D110" s="874"/>
      <c r="E110" s="874"/>
      <c r="F110" s="874"/>
      <c r="G110" s="874"/>
      <c r="H110" s="874"/>
      <c r="I110" s="874"/>
      <c r="J110" s="875"/>
    </row>
    <row r="111" spans="1:15" ht="27.75" x14ac:dyDescent="0.5">
      <c r="A111" s="876"/>
      <c r="B111" s="877"/>
      <c r="C111" s="878"/>
      <c r="D111" s="165"/>
      <c r="E111" s="165"/>
      <c r="F111" s="165"/>
      <c r="G111" s="165"/>
      <c r="H111" s="156"/>
      <c r="I111" s="165"/>
      <c r="J111" s="327"/>
    </row>
    <row r="112" spans="1:15" ht="27.75" x14ac:dyDescent="0.5">
      <c r="A112" s="851" t="s">
        <v>252</v>
      </c>
      <c r="B112" s="852"/>
      <c r="C112" s="853"/>
      <c r="D112" s="146" t="s">
        <v>183</v>
      </c>
      <c r="E112" s="95">
        <f>'27'!F112</f>
        <v>55401</v>
      </c>
      <c r="F112" s="237">
        <v>55471.73</v>
      </c>
      <c r="G112" s="112">
        <f t="shared" ref="G112:G123" si="9">F112-E112</f>
        <v>70.730000000003201</v>
      </c>
      <c r="H112" s="99">
        <f>G112+'27'!H112</f>
        <v>-209.2699999999968</v>
      </c>
      <c r="I112" s="165"/>
      <c r="J112" s="328">
        <f>H112/DAY(B2)</f>
        <v>-7.4739285714284573</v>
      </c>
    </row>
    <row r="113" spans="1:18" ht="29.25" customHeight="1" x14ac:dyDescent="0.5">
      <c r="A113" s="851" t="s">
        <v>253</v>
      </c>
      <c r="B113" s="852"/>
      <c r="C113" s="853"/>
      <c r="D113" s="146" t="s">
        <v>183</v>
      </c>
      <c r="E113" s="95">
        <f>'27'!F113</f>
        <v>30408</v>
      </c>
      <c r="F113" s="237">
        <v>30853.22</v>
      </c>
      <c r="G113" s="112">
        <f t="shared" si="9"/>
        <v>445.22000000000116</v>
      </c>
      <c r="H113" s="99">
        <f>G113+'27'!H113</f>
        <v>-1341.7799999999988</v>
      </c>
      <c r="I113" s="165"/>
      <c r="J113" s="328">
        <f>H113/DAY(B2)</f>
        <v>-47.920714285714247</v>
      </c>
    </row>
    <row r="114" spans="1:18" ht="29.25" customHeight="1" x14ac:dyDescent="0.5">
      <c r="A114" s="851" t="s">
        <v>254</v>
      </c>
      <c r="B114" s="852"/>
      <c r="C114" s="853"/>
      <c r="D114" s="146" t="s">
        <v>183</v>
      </c>
      <c r="E114" s="95">
        <f>'27'!F114</f>
        <v>23479</v>
      </c>
      <c r="F114" s="237">
        <v>24047.77</v>
      </c>
      <c r="G114" s="112">
        <f t="shared" si="9"/>
        <v>568.77000000000044</v>
      </c>
      <c r="H114" s="99">
        <f>G114+'27'!H114</f>
        <v>-956.82999999999993</v>
      </c>
      <c r="I114" s="165"/>
      <c r="J114" s="328">
        <f>H114/DAY(B2)</f>
        <v>-34.172499999999999</v>
      </c>
    </row>
    <row r="115" spans="1:18" ht="29.25" customHeight="1" x14ac:dyDescent="0.5">
      <c r="A115" s="851" t="s">
        <v>255</v>
      </c>
      <c r="B115" s="852"/>
      <c r="C115" s="853"/>
      <c r="D115" s="146" t="s">
        <v>183</v>
      </c>
      <c r="E115" s="95">
        <f>'27'!F115</f>
        <v>8749</v>
      </c>
      <c r="F115" s="237">
        <v>8758.1299999999992</v>
      </c>
      <c r="G115" s="112">
        <f t="shared" si="9"/>
        <v>9.1299999999991996</v>
      </c>
      <c r="H115" s="99">
        <f>G115+'27'!H115</f>
        <v>-26.8700000000008</v>
      </c>
      <c r="I115" s="165"/>
      <c r="J115" s="328">
        <f>H115/DAY(B2)</f>
        <v>-0.95964285714288577</v>
      </c>
    </row>
    <row r="116" spans="1:18" ht="29.25" customHeight="1" x14ac:dyDescent="0.5">
      <c r="A116" s="869" t="s">
        <v>96</v>
      </c>
      <c r="B116" s="870"/>
      <c r="C116" s="871"/>
      <c r="D116" s="146" t="s">
        <v>183</v>
      </c>
      <c r="E116" s="95">
        <f>'27'!F116</f>
        <v>0</v>
      </c>
      <c r="F116" s="237">
        <v>0</v>
      </c>
      <c r="G116" s="112">
        <f t="shared" si="9"/>
        <v>0</v>
      </c>
      <c r="H116" s="99">
        <f>G116+'27'!H116</f>
        <v>0</v>
      </c>
      <c r="I116" s="165"/>
      <c r="J116" s="328">
        <f>H116/DAY(B2)</f>
        <v>0</v>
      </c>
      <c r="Q116" s="851"/>
      <c r="R116" s="853"/>
    </row>
    <row r="117" spans="1:18" ht="29.25" customHeight="1" x14ac:dyDescent="0.5">
      <c r="A117" s="869" t="s">
        <v>184</v>
      </c>
      <c r="B117" s="870"/>
      <c r="C117" s="871"/>
      <c r="D117" s="146" t="s">
        <v>183</v>
      </c>
      <c r="E117" s="95">
        <f>'27'!F117</f>
        <v>2505</v>
      </c>
      <c r="F117" s="237">
        <v>2526.06</v>
      </c>
      <c r="G117" s="112">
        <f t="shared" si="9"/>
        <v>21.059999999999945</v>
      </c>
      <c r="H117" s="99">
        <f>G117+'27'!H117</f>
        <v>-63.940000000000055</v>
      </c>
      <c r="I117" s="165"/>
      <c r="J117" s="328">
        <f>H117/DAY(B2)</f>
        <v>-2.2835714285714306</v>
      </c>
      <c r="Q117" s="851"/>
      <c r="R117" s="853"/>
    </row>
    <row r="118" spans="1:18" ht="27.75" x14ac:dyDescent="0.5">
      <c r="A118" s="846" t="s">
        <v>97</v>
      </c>
      <c r="B118" s="846"/>
      <c r="C118" s="846"/>
      <c r="D118" s="151" t="s">
        <v>183</v>
      </c>
      <c r="E118" s="95">
        <f>'27'!F118</f>
        <v>240064</v>
      </c>
      <c r="F118" s="237">
        <v>240490.67</v>
      </c>
      <c r="G118" s="112">
        <f t="shared" si="9"/>
        <v>426.67000000001281</v>
      </c>
      <c r="H118" s="99">
        <f>G118+'27'!H118</f>
        <v>-1156.3299999999872</v>
      </c>
      <c r="I118" s="165"/>
      <c r="J118" s="328">
        <f>H118/DAY(B2)</f>
        <v>-41.297499999999545</v>
      </c>
      <c r="Q118" s="851"/>
      <c r="R118" s="853"/>
    </row>
    <row r="119" spans="1:18" ht="27.75" x14ac:dyDescent="0.5">
      <c r="A119" s="846" t="s">
        <v>98</v>
      </c>
      <c r="B119" s="846"/>
      <c r="C119" s="846"/>
      <c r="D119" s="151" t="s">
        <v>183</v>
      </c>
      <c r="E119" s="95">
        <f>'27'!F119</f>
        <v>243480</v>
      </c>
      <c r="F119" s="237">
        <v>243904.25</v>
      </c>
      <c r="G119" s="112">
        <f t="shared" si="9"/>
        <v>424.25</v>
      </c>
      <c r="H119" s="99">
        <f>G119+'27'!H119</f>
        <v>-1221.75</v>
      </c>
      <c r="I119" s="165"/>
      <c r="J119" s="328">
        <f>H119/DAY(B2)</f>
        <v>-43.633928571428569</v>
      </c>
    </row>
    <row r="120" spans="1:18" ht="27.75" x14ac:dyDescent="0.5">
      <c r="A120" s="846" t="s">
        <v>99</v>
      </c>
      <c r="B120" s="846"/>
      <c r="C120" s="846"/>
      <c r="D120" s="151" t="s">
        <v>183</v>
      </c>
      <c r="E120" s="95">
        <f>'27'!F120</f>
        <v>28427</v>
      </c>
      <c r="F120" s="237">
        <v>28841.64</v>
      </c>
      <c r="G120" s="112">
        <f t="shared" si="9"/>
        <v>414.63999999999942</v>
      </c>
      <c r="H120" s="99">
        <f>G120+'27'!H120</f>
        <v>-1236.3600000000006</v>
      </c>
      <c r="I120" s="165"/>
      <c r="J120" s="328">
        <f>H120/DAY(B2)</f>
        <v>-44.155714285714303</v>
      </c>
    </row>
    <row r="121" spans="1:18" ht="27.75" x14ac:dyDescent="0.5">
      <c r="A121" s="846" t="s">
        <v>100</v>
      </c>
      <c r="B121" s="846"/>
      <c r="C121" s="846"/>
      <c r="D121" s="151" t="s">
        <v>183</v>
      </c>
      <c r="E121" s="95">
        <f>'27'!F121</f>
        <v>373420</v>
      </c>
      <c r="F121" s="237">
        <v>374219.141</v>
      </c>
      <c r="G121" s="112">
        <f t="shared" si="9"/>
        <v>799.14100000000326</v>
      </c>
      <c r="H121" s="99">
        <f>G121+'27'!H121</f>
        <v>-2309.8589999999967</v>
      </c>
      <c r="I121" s="165"/>
      <c r="J121" s="328">
        <f>H121/DAY(B2)</f>
        <v>-82.494964285714175</v>
      </c>
    </row>
    <row r="122" spans="1:18" ht="27.75" x14ac:dyDescent="0.5">
      <c r="A122" s="846" t="s">
        <v>101</v>
      </c>
      <c r="B122" s="846"/>
      <c r="C122" s="846"/>
      <c r="D122" s="151" t="s">
        <v>183</v>
      </c>
      <c r="E122" s="95">
        <f>'27'!F122</f>
        <v>119141</v>
      </c>
      <c r="F122" s="237">
        <v>119369.52</v>
      </c>
      <c r="G122" s="112">
        <f t="shared" si="9"/>
        <v>228.52000000000407</v>
      </c>
      <c r="H122" s="99">
        <f>G122+'27'!H122</f>
        <v>-680.47999999999593</v>
      </c>
      <c r="I122" s="165"/>
      <c r="J122" s="328">
        <f>H122/DAY(B2)</f>
        <v>-24.302857142856997</v>
      </c>
    </row>
    <row r="123" spans="1:18" ht="27.75" x14ac:dyDescent="0.5">
      <c r="A123" s="846" t="s">
        <v>102</v>
      </c>
      <c r="B123" s="846"/>
      <c r="C123" s="846"/>
      <c r="D123" s="151" t="s">
        <v>183</v>
      </c>
      <c r="E123" s="95">
        <f>'27'!F123</f>
        <v>143766</v>
      </c>
      <c r="F123" s="237">
        <v>144113.63</v>
      </c>
      <c r="G123" s="112">
        <f t="shared" si="9"/>
        <v>347.63000000000466</v>
      </c>
      <c r="H123" s="99">
        <f>G123+'27'!H123</f>
        <v>-1011.3699999999953</v>
      </c>
      <c r="I123" s="165"/>
      <c r="J123" s="328">
        <f>H123/DAY(B2)</f>
        <v>-36.120357142856975</v>
      </c>
    </row>
    <row r="124" spans="1:18" ht="29.25" customHeight="1" x14ac:dyDescent="0.5">
      <c r="A124" s="876"/>
      <c r="B124" s="877"/>
      <c r="C124" s="878"/>
      <c r="D124" s="165"/>
      <c r="E124" s="95">
        <f>'27'!F124</f>
        <v>0</v>
      </c>
      <c r="F124" s="165"/>
      <c r="G124" s="327"/>
      <c r="H124" s="99">
        <f>G124+'27'!H124</f>
        <v>0</v>
      </c>
      <c r="I124" s="165"/>
      <c r="J124" s="327"/>
    </row>
    <row r="125" spans="1:18" ht="27.75" x14ac:dyDescent="0.5">
      <c r="A125" s="879" t="s">
        <v>196</v>
      </c>
      <c r="B125" s="880"/>
      <c r="C125" s="245"/>
      <c r="D125" s="307"/>
      <c r="E125" s="308"/>
      <c r="F125" s="308"/>
      <c r="G125" s="309">
        <f>SUM(G112:G124)</f>
        <v>3755.7610000000282</v>
      </c>
      <c r="H125" s="156"/>
      <c r="I125" s="327">
        <f>G125-(G39+G53)</f>
        <v>1015.3310000000351</v>
      </c>
      <c r="J125" s="327"/>
    </row>
    <row r="126" spans="1:18" ht="27.75" x14ac:dyDescent="0.5">
      <c r="A126" s="881" t="s">
        <v>317</v>
      </c>
      <c r="B126" s="881"/>
      <c r="C126" s="881"/>
      <c r="D126" s="881"/>
      <c r="E126" s="881"/>
      <c r="F126" s="881"/>
      <c r="G126" s="881"/>
      <c r="H126" s="881"/>
      <c r="I126" s="881"/>
      <c r="J126" s="881"/>
    </row>
    <row r="127" spans="1:18" ht="27.75" x14ac:dyDescent="0.5">
      <c r="A127" s="882"/>
      <c r="B127" s="882"/>
      <c r="C127" s="245"/>
      <c r="D127" s="307"/>
      <c r="E127" s="308"/>
      <c r="F127" s="308"/>
      <c r="G127" s="309"/>
      <c r="H127" s="99">
        <f>G127+'27'!H127</f>
        <v>0</v>
      </c>
      <c r="I127" s="165"/>
      <c r="J127" s="328">
        <f>H127/DAY(B2)</f>
        <v>0</v>
      </c>
    </row>
    <row r="128" spans="1:18" ht="29.25" customHeight="1" x14ac:dyDescent="0.5">
      <c r="A128" s="851" t="s">
        <v>318</v>
      </c>
      <c r="B128" s="852"/>
      <c r="C128" s="853"/>
      <c r="D128" s="151" t="s">
        <v>183</v>
      </c>
      <c r="E128" s="95">
        <f>'27'!F128</f>
        <v>36625</v>
      </c>
      <c r="F128" s="165">
        <v>36930.68</v>
      </c>
      <c r="G128" s="112">
        <f t="shared" ref="G128:G134" si="10">F128-E128</f>
        <v>305.68000000000029</v>
      </c>
      <c r="H128" s="99">
        <f>G128+'27'!H128</f>
        <v>-1073.3199999999997</v>
      </c>
      <c r="I128" s="165"/>
      <c r="J128" s="328">
        <f>H128/DAY(B2)</f>
        <v>-38.332857142857129</v>
      </c>
    </row>
    <row r="129" spans="1:15" ht="27.75" x14ac:dyDescent="0.5">
      <c r="A129" s="329" t="s">
        <v>319</v>
      </c>
      <c r="B129" s="330"/>
      <c r="C129" s="331"/>
      <c r="D129" s="151" t="s">
        <v>183</v>
      </c>
      <c r="E129" s="95">
        <f>'27'!F129</f>
        <v>19441</v>
      </c>
      <c r="F129" s="165">
        <v>19701.93</v>
      </c>
      <c r="G129" s="112">
        <f t="shared" si="10"/>
        <v>260.93000000000029</v>
      </c>
      <c r="H129" s="99">
        <f>G129+'27'!H129</f>
        <v>-619.06999999999971</v>
      </c>
      <c r="I129" s="165"/>
      <c r="J129" s="328">
        <f>H129/DAY(B2)</f>
        <v>-22.109642857142848</v>
      </c>
      <c r="N129" s="240"/>
      <c r="O129" s="241"/>
    </row>
    <row r="130" spans="1:15" ht="27.75" x14ac:dyDescent="0.5">
      <c r="A130" s="329" t="s">
        <v>320</v>
      </c>
      <c r="B130" s="330"/>
      <c r="C130" s="331"/>
      <c r="D130" s="151" t="s">
        <v>183</v>
      </c>
      <c r="E130" s="95">
        <f>'27'!F130</f>
        <v>15070</v>
      </c>
      <c r="F130" s="165">
        <v>15841.03</v>
      </c>
      <c r="G130" s="112">
        <f t="shared" si="10"/>
        <v>771.03000000000065</v>
      </c>
      <c r="H130" s="99">
        <f>G130+'27'!H130</f>
        <v>-2540.9699999999993</v>
      </c>
      <c r="I130" s="165"/>
      <c r="J130" s="328">
        <f>H130/DAY(B2)</f>
        <v>-90.74892857142855</v>
      </c>
      <c r="N130" s="240"/>
      <c r="O130" s="241"/>
    </row>
    <row r="131" spans="1:15" ht="27.75" x14ac:dyDescent="0.5">
      <c r="A131" s="851" t="s">
        <v>321</v>
      </c>
      <c r="B131" s="852"/>
      <c r="C131" s="853"/>
      <c r="D131" s="151" t="s">
        <v>183</v>
      </c>
      <c r="E131" s="95">
        <f>'27'!F131</f>
        <v>12802</v>
      </c>
      <c r="F131" s="165">
        <v>12900.78</v>
      </c>
      <c r="G131" s="112">
        <f t="shared" si="10"/>
        <v>98.780000000000655</v>
      </c>
      <c r="H131" s="99">
        <f>G131+'27'!H131</f>
        <v>-252.21999999999935</v>
      </c>
      <c r="I131" s="165"/>
      <c r="J131" s="328">
        <f>H131/DAY(B2)</f>
        <v>-9.0078571428571195</v>
      </c>
      <c r="N131" s="240"/>
      <c r="O131" s="241"/>
    </row>
    <row r="132" spans="1:15" ht="27.75" x14ac:dyDescent="0.5">
      <c r="A132" s="851" t="s">
        <v>322</v>
      </c>
      <c r="B132" s="852"/>
      <c r="C132" s="853"/>
      <c r="D132" s="151" t="s">
        <v>183</v>
      </c>
      <c r="E132" s="95">
        <f>'27'!F132</f>
        <v>39228</v>
      </c>
      <c r="F132" s="165">
        <v>39678.32</v>
      </c>
      <c r="G132" s="112">
        <f t="shared" si="10"/>
        <v>450.31999999999971</v>
      </c>
      <c r="H132" s="99">
        <f>G132+'27'!H132</f>
        <v>-1344.6800000000003</v>
      </c>
      <c r="I132" s="165"/>
      <c r="J132" s="328">
        <f>H132/DAY(B2)</f>
        <v>-48.024285714285725</v>
      </c>
    </row>
    <row r="133" spans="1:15" ht="27.75" x14ac:dyDescent="0.5">
      <c r="A133" s="851" t="s">
        <v>362</v>
      </c>
      <c r="B133" s="852"/>
      <c r="C133" s="853"/>
      <c r="D133" s="151" t="s">
        <v>183</v>
      </c>
      <c r="E133" s="95">
        <f>'27'!F133</f>
        <v>85102</v>
      </c>
      <c r="F133" s="165">
        <v>85760.93</v>
      </c>
      <c r="G133" s="112">
        <f t="shared" si="10"/>
        <v>658.92999999999302</v>
      </c>
      <c r="H133" s="99">
        <f>G133+'27'!H133</f>
        <v>-1942.070000000007</v>
      </c>
      <c r="I133" s="165"/>
      <c r="J133" s="328">
        <f>H133/DAY(B2)</f>
        <v>-69.359642857143101</v>
      </c>
    </row>
    <row r="134" spans="1:15" ht="27.75" x14ac:dyDescent="0.5">
      <c r="A134" s="851" t="s">
        <v>340</v>
      </c>
      <c r="B134" s="852"/>
      <c r="C134" s="853"/>
      <c r="D134" s="151" t="s">
        <v>183</v>
      </c>
      <c r="E134" s="95">
        <f>'27'!F134</f>
        <v>666384</v>
      </c>
      <c r="F134" s="158">
        <v>666995</v>
      </c>
      <c r="G134" s="112">
        <f t="shared" si="10"/>
        <v>611</v>
      </c>
      <c r="H134" s="99">
        <f>G134+'27'!H134</f>
        <v>669289</v>
      </c>
      <c r="I134" s="165"/>
      <c r="J134" s="328">
        <f>H134/DAY(B2)</f>
        <v>23903.178571428572</v>
      </c>
    </row>
    <row r="135" spans="1:15" ht="27.75" x14ac:dyDescent="0.5">
      <c r="A135" s="879" t="s">
        <v>196</v>
      </c>
      <c r="B135" s="880"/>
      <c r="C135" s="331"/>
      <c r="D135" s="151"/>
      <c r="E135" s="95"/>
      <c r="F135" s="165"/>
      <c r="G135" s="112">
        <f>SUM(G128:G134)</f>
        <v>3156.6699999999946</v>
      </c>
      <c r="H135" s="99">
        <f>G135+'23'!H135</f>
        <v>36516.839999999982</v>
      </c>
      <c r="I135" s="327">
        <f>G135-(G35+G49)</f>
        <v>-164.0099999999693</v>
      </c>
      <c r="J135" s="328"/>
    </row>
    <row r="136" spans="1:15" ht="31.5" x14ac:dyDescent="0.55000000000000004">
      <c r="A136" s="883" t="s">
        <v>325</v>
      </c>
      <c r="B136" s="883"/>
      <c r="C136" s="883"/>
      <c r="D136" s="883"/>
      <c r="E136" s="883"/>
      <c r="F136" s="883"/>
      <c r="G136" s="883"/>
      <c r="H136" s="883"/>
      <c r="I136" s="883"/>
      <c r="J136" s="883"/>
    </row>
    <row r="137" spans="1:15" ht="29.25" x14ac:dyDescent="0.5">
      <c r="A137" s="245"/>
      <c r="B137" s="246"/>
      <c r="C137" s="246"/>
      <c r="D137" s="165"/>
      <c r="E137" s="165"/>
      <c r="F137" s="165"/>
      <c r="G137" s="165"/>
      <c r="H137" s="156"/>
      <c r="I137" s="165"/>
      <c r="J137" s="327"/>
    </row>
    <row r="138" spans="1:15" ht="27.75" x14ac:dyDescent="0.5">
      <c r="A138" s="846" t="s">
        <v>185</v>
      </c>
      <c r="B138" s="846"/>
      <c r="C138" s="846"/>
      <c r="D138" s="151" t="s">
        <v>183</v>
      </c>
      <c r="E138" s="95">
        <f>'27'!F138</f>
        <v>863742</v>
      </c>
      <c r="F138" s="147">
        <v>863869</v>
      </c>
      <c r="G138" s="112">
        <f t="shared" ref="G138:G152" si="11">F138-E138</f>
        <v>127</v>
      </c>
      <c r="H138" s="99">
        <f>G138+'27'!H138</f>
        <v>-302</v>
      </c>
      <c r="I138" s="118"/>
      <c r="J138" s="328">
        <f>H138/DAY(B2)</f>
        <v>-10.785714285714286</v>
      </c>
    </row>
    <row r="139" spans="1:15" ht="27.75" x14ac:dyDescent="0.5">
      <c r="A139" s="846" t="s">
        <v>186</v>
      </c>
      <c r="B139" s="846"/>
      <c r="C139" s="846"/>
      <c r="D139" s="151" t="s">
        <v>183</v>
      </c>
      <c r="E139" s="95">
        <f>'27'!F139</f>
        <v>886542</v>
      </c>
      <c r="F139" s="148">
        <v>886544</v>
      </c>
      <c r="G139" s="112">
        <f t="shared" si="11"/>
        <v>2</v>
      </c>
      <c r="H139" s="99">
        <f>G139+'27'!H139</f>
        <v>-2</v>
      </c>
      <c r="I139" s="118"/>
      <c r="J139" s="328">
        <f>H139/DAY(B2)</f>
        <v>-7.1428571428571425E-2</v>
      </c>
    </row>
    <row r="140" spans="1:15" ht="27.75" x14ac:dyDescent="0.5">
      <c r="A140" s="846" t="s">
        <v>187</v>
      </c>
      <c r="B140" s="846"/>
      <c r="C140" s="846"/>
      <c r="D140" s="151" t="s">
        <v>183</v>
      </c>
      <c r="E140" s="95">
        <f>'27'!F140</f>
        <v>88882</v>
      </c>
      <c r="F140" s="149">
        <v>88882</v>
      </c>
      <c r="G140" s="112">
        <f t="shared" si="11"/>
        <v>0</v>
      </c>
      <c r="H140" s="99">
        <f>G140+'27'!H140</f>
        <v>0</v>
      </c>
      <c r="I140" s="118"/>
      <c r="J140" s="328">
        <f>H140/DAY(B2)</f>
        <v>0</v>
      </c>
    </row>
    <row r="141" spans="1:15" ht="27.75" x14ac:dyDescent="0.5">
      <c r="A141" s="850" t="s">
        <v>188</v>
      </c>
      <c r="B141" s="850"/>
      <c r="C141" s="850"/>
      <c r="D141" s="151" t="s">
        <v>183</v>
      </c>
      <c r="E141" s="95">
        <f>'27'!F141</f>
        <v>48555</v>
      </c>
      <c r="F141" s="149">
        <v>48738.38</v>
      </c>
      <c r="G141" s="112">
        <f t="shared" si="11"/>
        <v>183.37999999999738</v>
      </c>
      <c r="H141" s="99">
        <f>G141+'27'!H141</f>
        <v>-567.62000000000262</v>
      </c>
      <c r="I141" s="118"/>
      <c r="J141" s="328">
        <f>H141/DAY(B2)</f>
        <v>-20.272142857142949</v>
      </c>
    </row>
    <row r="142" spans="1:15" ht="27.75" x14ac:dyDescent="0.5">
      <c r="A142" s="850" t="s">
        <v>189</v>
      </c>
      <c r="B142" s="850"/>
      <c r="C142" s="850"/>
      <c r="D142" s="151" t="s">
        <v>183</v>
      </c>
      <c r="E142" s="95">
        <f>'27'!F142</f>
        <v>18702</v>
      </c>
      <c r="F142" s="148">
        <v>18783.34</v>
      </c>
      <c r="G142" s="112">
        <f t="shared" si="11"/>
        <v>81.340000000000146</v>
      </c>
      <c r="H142" s="99">
        <f>G142+'27'!H142</f>
        <v>-225.65999999999985</v>
      </c>
      <c r="I142" s="140"/>
      <c r="J142" s="328">
        <f>H142/DAY(B2)</f>
        <v>-8.0592857142857088</v>
      </c>
    </row>
    <row r="143" spans="1:15" ht="27.75" x14ac:dyDescent="0.5">
      <c r="A143" s="846" t="s">
        <v>91</v>
      </c>
      <c r="B143" s="846"/>
      <c r="C143" s="846"/>
      <c r="D143" s="151" t="s">
        <v>183</v>
      </c>
      <c r="E143" s="95">
        <f>'27'!F143</f>
        <v>2968</v>
      </c>
      <c r="F143" s="149">
        <v>2992.89</v>
      </c>
      <c r="G143" s="112">
        <f t="shared" si="11"/>
        <v>24.889999999999873</v>
      </c>
      <c r="H143" s="99">
        <f>G143+'27'!H143</f>
        <v>-68.110000000000127</v>
      </c>
      <c r="I143" s="140"/>
      <c r="J143" s="328">
        <f>H143/DAY(B2)</f>
        <v>-2.4325000000000045</v>
      </c>
    </row>
    <row r="144" spans="1:15" ht="27.75" x14ac:dyDescent="0.5">
      <c r="A144" s="850" t="s">
        <v>90</v>
      </c>
      <c r="B144" s="850"/>
      <c r="C144" s="850"/>
      <c r="D144" s="151" t="s">
        <v>183</v>
      </c>
      <c r="E144" s="95">
        <f>'27'!F144</f>
        <v>868722</v>
      </c>
      <c r="F144" s="149">
        <v>868966</v>
      </c>
      <c r="G144" s="112">
        <f t="shared" si="11"/>
        <v>244</v>
      </c>
      <c r="H144" s="99">
        <f>G144+'27'!H144</f>
        <v>-704</v>
      </c>
      <c r="I144" s="140"/>
      <c r="J144" s="328">
        <f>H144/DAY(B2)</f>
        <v>-25.142857142857142</v>
      </c>
    </row>
    <row r="145" spans="1:10" ht="27.75" x14ac:dyDescent="0.5">
      <c r="A145" s="846" t="s">
        <v>190</v>
      </c>
      <c r="B145" s="846"/>
      <c r="C145" s="846"/>
      <c r="D145" s="152" t="s">
        <v>183</v>
      </c>
      <c r="E145" s="95">
        <f>'27'!F145</f>
        <v>4506</v>
      </c>
      <c r="F145" s="149">
        <v>4518.78</v>
      </c>
      <c r="G145" s="112">
        <f t="shared" si="11"/>
        <v>12.779999999999745</v>
      </c>
      <c r="H145" s="99">
        <f>G145+'27'!H145</f>
        <v>-39.220000000000255</v>
      </c>
      <c r="I145" s="140"/>
      <c r="J145" s="328">
        <f>H145/DAY(B2)</f>
        <v>-1.4007142857142949</v>
      </c>
    </row>
    <row r="146" spans="1:10" ht="27.75" x14ac:dyDescent="0.5">
      <c r="A146" s="847" t="s">
        <v>191</v>
      </c>
      <c r="B146" s="848"/>
      <c r="C146" s="849"/>
      <c r="D146" s="152" t="s">
        <v>183</v>
      </c>
      <c r="E146" s="95">
        <f>'27'!F146</f>
        <v>722992</v>
      </c>
      <c r="F146" s="148">
        <v>723472</v>
      </c>
      <c r="G146" s="112">
        <f t="shared" si="11"/>
        <v>480</v>
      </c>
      <c r="H146" s="99">
        <f>G146+'27'!H146</f>
        <v>-1386</v>
      </c>
      <c r="I146" s="140"/>
      <c r="J146" s="328">
        <f>H146/DAY(B2)</f>
        <v>-49.5</v>
      </c>
    </row>
    <row r="147" spans="1:10" ht="27.75" x14ac:dyDescent="0.5">
      <c r="A147" s="850" t="s">
        <v>192</v>
      </c>
      <c r="B147" s="850"/>
      <c r="C147" s="850"/>
      <c r="D147" s="152" t="s">
        <v>183</v>
      </c>
      <c r="E147" s="95">
        <f>'27'!F147</f>
        <v>613648</v>
      </c>
      <c r="F147" s="148">
        <v>614078.76</v>
      </c>
      <c r="G147" s="112">
        <f t="shared" si="11"/>
        <v>430.76000000000931</v>
      </c>
      <c r="H147" s="99">
        <f>G147+'27'!H147</f>
        <v>-1203.2399999999907</v>
      </c>
      <c r="I147" s="140"/>
      <c r="J147" s="328">
        <f>H147/DAY(B2)</f>
        <v>-42.97285714285681</v>
      </c>
    </row>
    <row r="148" spans="1:10" ht="27.75" x14ac:dyDescent="0.5">
      <c r="A148" s="842" t="s">
        <v>193</v>
      </c>
      <c r="B148" s="843"/>
      <c r="C148" s="844"/>
      <c r="D148" s="123" t="s">
        <v>130</v>
      </c>
      <c r="E148" s="95">
        <f>'27'!F148</f>
        <v>681948</v>
      </c>
      <c r="F148" s="150">
        <v>682204.08</v>
      </c>
      <c r="G148" s="112">
        <f t="shared" si="11"/>
        <v>256.07999999995809</v>
      </c>
      <c r="H148" s="99">
        <f>G148+'27'!H148</f>
        <v>-829.04000000003725</v>
      </c>
      <c r="I148" s="124"/>
      <c r="J148" s="328">
        <f>H148/DAY(B2)</f>
        <v>-29.608571428572759</v>
      </c>
    </row>
    <row r="149" spans="1:10" ht="27.75" x14ac:dyDescent="0.5">
      <c r="A149" s="842" t="s">
        <v>336</v>
      </c>
      <c r="B149" s="843"/>
      <c r="C149" s="844"/>
      <c r="D149" s="227" t="s">
        <v>130</v>
      </c>
      <c r="E149" s="95">
        <f>'27'!F149</f>
        <v>8605</v>
      </c>
      <c r="F149" s="146">
        <v>9193.01</v>
      </c>
      <c r="G149" s="112">
        <f t="shared" si="11"/>
        <v>588.01000000000022</v>
      </c>
      <c r="H149" s="99">
        <f>G149+'27'!H149</f>
        <v>-1555.9899999999998</v>
      </c>
      <c r="I149" s="119"/>
      <c r="J149" s="328">
        <f>H149/DAY(B2)</f>
        <v>-55.571071428571422</v>
      </c>
    </row>
    <row r="150" spans="1:10" ht="27.75" x14ac:dyDescent="0.5">
      <c r="A150" s="842" t="s">
        <v>337</v>
      </c>
      <c r="B150" s="843"/>
      <c r="C150" s="844"/>
      <c r="D150" s="117" t="s">
        <v>130</v>
      </c>
      <c r="E150" s="95">
        <f>'27'!F150</f>
        <v>3160</v>
      </c>
      <c r="F150" s="233">
        <v>3385.75</v>
      </c>
      <c r="G150" s="112">
        <f t="shared" si="11"/>
        <v>225.75</v>
      </c>
      <c r="H150" s="99">
        <f>G150+'27'!H150</f>
        <v>-666.25</v>
      </c>
      <c r="I150" s="119"/>
      <c r="J150" s="328">
        <f>H150/DAY(B2)</f>
        <v>-23.794642857142858</v>
      </c>
    </row>
    <row r="151" spans="1:10" ht="27.75" x14ac:dyDescent="0.5">
      <c r="A151" s="842" t="s">
        <v>338</v>
      </c>
      <c r="B151" s="843"/>
      <c r="C151" s="844"/>
      <c r="D151" s="117" t="s">
        <v>130</v>
      </c>
      <c r="E151" s="95">
        <f>'27'!F151</f>
        <v>77224</v>
      </c>
      <c r="F151" s="233">
        <v>77480</v>
      </c>
      <c r="G151" s="112">
        <f t="shared" si="11"/>
        <v>256</v>
      </c>
      <c r="H151" s="99">
        <f>G151+'27'!H151</f>
        <v>-737</v>
      </c>
      <c r="I151" s="119"/>
      <c r="J151" s="328">
        <f>H151/DAY(B2)</f>
        <v>-26.321428571428573</v>
      </c>
    </row>
    <row r="152" spans="1:10" ht="27.75" x14ac:dyDescent="0.5">
      <c r="A152" s="842" t="s">
        <v>339</v>
      </c>
      <c r="B152" s="843"/>
      <c r="C152" s="844"/>
      <c r="D152" s="117" t="s">
        <v>130</v>
      </c>
      <c r="E152" s="95">
        <f>'27'!F152</f>
        <v>934</v>
      </c>
      <c r="F152" s="233">
        <v>983.48</v>
      </c>
      <c r="G152" s="112">
        <f t="shared" si="11"/>
        <v>49.480000000000018</v>
      </c>
      <c r="H152" s="99">
        <f>G152+'27'!H152</f>
        <v>-143.51999999999998</v>
      </c>
      <c r="I152" s="119"/>
      <c r="J152" s="328">
        <f>H152/DAY(B2)</f>
        <v>-5.1257142857142854</v>
      </c>
    </row>
    <row r="153" spans="1:10" ht="27.75" x14ac:dyDescent="0.5">
      <c r="A153" s="879" t="s">
        <v>196</v>
      </c>
      <c r="B153" s="880"/>
      <c r="C153" s="365"/>
      <c r="D153" s="358"/>
      <c r="E153" s="360"/>
      <c r="F153" s="361"/>
      <c r="G153" s="362">
        <f>SUM(G138:G152)</f>
        <v>2961.4699999999648</v>
      </c>
      <c r="H153" s="363"/>
      <c r="I153" s="119">
        <f>G153-(G38+G52)</f>
        <v>993.9799999999741</v>
      </c>
      <c r="J153" s="366"/>
    </row>
    <row r="154" spans="1:10" ht="31.5" x14ac:dyDescent="0.55000000000000004">
      <c r="A154" s="883" t="s">
        <v>344</v>
      </c>
      <c r="B154" s="883"/>
      <c r="C154" s="883"/>
      <c r="D154" s="883"/>
      <c r="E154" s="883"/>
      <c r="F154" s="883"/>
      <c r="G154" s="883"/>
      <c r="H154" s="883"/>
      <c r="I154" s="883"/>
      <c r="J154" s="883"/>
    </row>
    <row r="155" spans="1:10" ht="31.5" x14ac:dyDescent="0.55000000000000004">
      <c r="A155" s="850" t="s">
        <v>345</v>
      </c>
      <c r="B155" s="850"/>
      <c r="C155" s="850"/>
      <c r="D155" s="117" t="s">
        <v>130</v>
      </c>
      <c r="E155" s="638">
        <f>'27'!F155</f>
        <v>10144</v>
      </c>
      <c r="F155" s="639">
        <v>10784</v>
      </c>
      <c r="G155" s="112">
        <f t="shared" ref="G155:G158" si="12">F155-E155</f>
        <v>640</v>
      </c>
      <c r="H155" s="99">
        <f>G155+'27'!H155</f>
        <v>-2688</v>
      </c>
      <c r="I155" s="364"/>
      <c r="J155" s="328">
        <f>H155/DAY(B2)</f>
        <v>-96</v>
      </c>
    </row>
    <row r="156" spans="1:10" ht="27.75" x14ac:dyDescent="0.5">
      <c r="A156" s="850" t="s">
        <v>347</v>
      </c>
      <c r="B156" s="850"/>
      <c r="C156" s="850"/>
      <c r="D156" s="117" t="s">
        <v>130</v>
      </c>
      <c r="E156" s="95">
        <f>'27'!F156</f>
        <v>812</v>
      </c>
      <c r="F156" s="165">
        <v>872</v>
      </c>
      <c r="G156" s="112">
        <f t="shared" si="12"/>
        <v>60</v>
      </c>
      <c r="H156" s="99">
        <f>G156+'27'!H156</f>
        <v>-216</v>
      </c>
      <c r="I156" s="165"/>
      <c r="J156" s="328">
        <f>H156/DAY(B2)</f>
        <v>-7.7142857142857144</v>
      </c>
    </row>
    <row r="157" spans="1:10" ht="27.75" x14ac:dyDescent="0.5">
      <c r="A157" s="842" t="s">
        <v>364</v>
      </c>
      <c r="B157" s="843"/>
      <c r="C157" s="844"/>
      <c r="D157" s="117" t="s">
        <v>130</v>
      </c>
      <c r="E157" s="490">
        <v>0</v>
      </c>
      <c r="F157" s="158">
        <v>0</v>
      </c>
      <c r="G157" s="112">
        <f t="shared" si="12"/>
        <v>0</v>
      </c>
      <c r="H157" s="99"/>
      <c r="I157" s="165"/>
      <c r="J157" s="328"/>
    </row>
    <row r="158" spans="1:10" ht="27.75" x14ac:dyDescent="0.5">
      <c r="A158" s="842" t="s">
        <v>365</v>
      </c>
      <c r="B158" s="843"/>
      <c r="C158" s="844"/>
      <c r="D158" s="117" t="s">
        <v>130</v>
      </c>
      <c r="E158" s="95">
        <f>'27'!F158</f>
        <v>1.43</v>
      </c>
      <c r="F158" s="165">
        <v>1.46</v>
      </c>
      <c r="G158" s="112">
        <f t="shared" si="12"/>
        <v>3.0000000000000027E-2</v>
      </c>
      <c r="H158" s="99"/>
      <c r="I158" s="165"/>
      <c r="J158" s="328"/>
    </row>
    <row r="159" spans="1:10" ht="27.75" x14ac:dyDescent="0.5">
      <c r="A159" s="899"/>
      <c r="B159" s="900"/>
      <c r="C159" s="901"/>
      <c r="D159" s="117"/>
      <c r="E159" s="95"/>
      <c r="F159" s="165"/>
      <c r="G159" s="112"/>
      <c r="H159" s="99"/>
      <c r="I159" s="165"/>
      <c r="J159" s="328"/>
    </row>
    <row r="160" spans="1:10" ht="31.5" x14ac:dyDescent="0.55000000000000004">
      <c r="A160" s="883" t="s">
        <v>326</v>
      </c>
      <c r="B160" s="883"/>
      <c r="C160" s="883"/>
      <c r="D160" s="883"/>
      <c r="E160" s="883"/>
      <c r="F160" s="883"/>
      <c r="G160" s="883"/>
      <c r="H160" s="883"/>
      <c r="I160" s="883"/>
      <c r="J160" s="883"/>
    </row>
    <row r="161" spans="1:10" ht="29.25" x14ac:dyDescent="0.5">
      <c r="A161" s="242" t="s">
        <v>92</v>
      </c>
      <c r="B161" s="243"/>
      <c r="C161" s="243"/>
      <c r="D161" s="244" t="s">
        <v>180</v>
      </c>
      <c r="E161" s="95">
        <f>'27'!F161</f>
        <v>471151</v>
      </c>
      <c r="F161" s="235">
        <v>471152</v>
      </c>
      <c r="G161" s="238">
        <f t="shared" ref="G161:G165" si="13">F161-E161</f>
        <v>1</v>
      </c>
      <c r="H161" s="99">
        <f>G161+'27'!H161</f>
        <v>-1.1599999999743886</v>
      </c>
      <c r="I161" s="236"/>
      <c r="J161" s="239">
        <f>H161/DAY(B2)</f>
        <v>-4.1428571427656734E-2</v>
      </c>
    </row>
    <row r="162" spans="1:10" ht="29.25" x14ac:dyDescent="0.5">
      <c r="A162" s="242" t="s">
        <v>93</v>
      </c>
      <c r="B162" s="243"/>
      <c r="C162" s="243"/>
      <c r="D162" s="244" t="s">
        <v>180</v>
      </c>
      <c r="E162" s="95">
        <f>'27'!F162</f>
        <v>87454</v>
      </c>
      <c r="F162" s="235">
        <v>87481.2</v>
      </c>
      <c r="G162" s="238">
        <f t="shared" si="13"/>
        <v>27.19999999999709</v>
      </c>
      <c r="H162" s="99">
        <f>G162+'27'!H162</f>
        <v>-88.80000000000291</v>
      </c>
      <c r="I162" s="236"/>
      <c r="J162" s="239">
        <f>H162/DAY(B2)</f>
        <v>-3.1714285714286752</v>
      </c>
    </row>
    <row r="163" spans="1:10" ht="29.25" x14ac:dyDescent="0.5">
      <c r="A163" s="242" t="s">
        <v>197</v>
      </c>
      <c r="B163" s="243"/>
      <c r="C163" s="243"/>
      <c r="D163" s="244" t="s">
        <v>180</v>
      </c>
      <c r="E163" s="95">
        <f>'27'!F163</f>
        <v>77551</v>
      </c>
      <c r="F163" s="235">
        <v>77645.399999999994</v>
      </c>
      <c r="G163" s="238">
        <f t="shared" si="13"/>
        <v>94.399999999994179</v>
      </c>
      <c r="H163" s="99">
        <f>G163+'27'!H163</f>
        <v>-179.60000000000582</v>
      </c>
      <c r="I163" s="236"/>
      <c r="J163" s="239">
        <f>H163/DAY(B2)</f>
        <v>-6.4142857142859224</v>
      </c>
    </row>
    <row r="164" spans="1:10" ht="29.25" x14ac:dyDescent="0.5">
      <c r="A164" s="242" t="s">
        <v>197</v>
      </c>
      <c r="B164" s="243"/>
      <c r="C164" s="243"/>
      <c r="D164" s="244" t="s">
        <v>180</v>
      </c>
      <c r="E164" s="95">
        <f>'27'!F164</f>
        <v>4230</v>
      </c>
      <c r="F164" s="235">
        <v>4235.5</v>
      </c>
      <c r="G164" s="238">
        <f t="shared" si="13"/>
        <v>5.5</v>
      </c>
      <c r="H164" s="99">
        <f>G164+'27'!H164</f>
        <v>-6.5</v>
      </c>
      <c r="I164" s="236"/>
      <c r="J164" s="239">
        <f>H164/DAY(B2)</f>
        <v>-0.23214285714285715</v>
      </c>
    </row>
    <row r="165" spans="1:10" ht="29.25" x14ac:dyDescent="0.5">
      <c r="A165" s="242" t="s">
        <v>309</v>
      </c>
      <c r="B165" s="243"/>
      <c r="C165" s="243"/>
      <c r="D165" s="244" t="s">
        <v>180</v>
      </c>
      <c r="E165" s="95">
        <f>'27'!F165</f>
        <v>29619</v>
      </c>
      <c r="F165" s="235">
        <v>29629.22</v>
      </c>
      <c r="G165" s="238">
        <f t="shared" si="13"/>
        <v>10.220000000001164</v>
      </c>
      <c r="H165" s="99">
        <f>G165+'27'!H165</f>
        <v>-16.779999999998836</v>
      </c>
      <c r="I165" s="236"/>
      <c r="J165" s="239">
        <f>H165/DAY(B2)</f>
        <v>-0.59928571428567268</v>
      </c>
    </row>
    <row r="166" spans="1:10" ht="29.25" x14ac:dyDescent="0.5">
      <c r="A166" s="882"/>
      <c r="B166" s="882"/>
      <c r="C166" s="246"/>
      <c r="D166" s="244" t="s">
        <v>180</v>
      </c>
      <c r="E166" s="95">
        <f>'27'!F166</f>
        <v>0</v>
      </c>
      <c r="F166" s="165"/>
      <c r="G166" s="165"/>
      <c r="H166" s="99">
        <f>G166+'27'!H166</f>
        <v>0</v>
      </c>
      <c r="I166" s="165"/>
      <c r="J166" s="239">
        <f>H166/DAY(B2)</f>
        <v>0</v>
      </c>
    </row>
    <row r="167" spans="1:10" ht="29.25" x14ac:dyDescent="0.5">
      <c r="A167" s="882"/>
      <c r="B167" s="882"/>
      <c r="C167" s="246"/>
      <c r="D167" s="244" t="s">
        <v>180</v>
      </c>
      <c r="E167" s="95">
        <f>'27'!F167</f>
        <v>0</v>
      </c>
      <c r="F167" s="165"/>
      <c r="G167" s="165"/>
      <c r="H167" s="99">
        <f>G167+'27'!H167</f>
        <v>0</v>
      </c>
      <c r="I167" s="165"/>
      <c r="J167" s="239">
        <f>H167/DAY(B2)</f>
        <v>0</v>
      </c>
    </row>
    <row r="168" spans="1:10" ht="29.25" x14ac:dyDescent="0.5">
      <c r="A168" s="882"/>
      <c r="B168" s="882"/>
      <c r="C168" s="246"/>
      <c r="D168" s="244" t="s">
        <v>180</v>
      </c>
      <c r="E168" s="95">
        <f>'27'!F168</f>
        <v>0</v>
      </c>
      <c r="F168" s="165"/>
      <c r="G168" s="165"/>
      <c r="H168" s="99">
        <f>G168+'27'!H168</f>
        <v>0</v>
      </c>
      <c r="I168" s="165"/>
      <c r="J168" s="239">
        <f>H168/DAY(B2)</f>
        <v>0</v>
      </c>
    </row>
    <row r="169" spans="1:10" ht="29.25" x14ac:dyDescent="0.5"/>
    <row r="170" spans="1:10" ht="29.25" x14ac:dyDescent="0.5"/>
    <row r="171" spans="1:10" ht="31.5" x14ac:dyDescent="0.35">
      <c r="A171" s="890" t="s">
        <v>330</v>
      </c>
      <c r="B171" s="891"/>
      <c r="C171" s="891"/>
      <c r="D171" s="891"/>
      <c r="E171" s="891"/>
      <c r="F171" s="891"/>
      <c r="G171" s="891"/>
      <c r="H171" s="891"/>
      <c r="I171" s="891"/>
      <c r="J171" s="892"/>
    </row>
    <row r="172" spans="1:10" ht="27.75" x14ac:dyDescent="0.5">
      <c r="A172" s="886"/>
      <c r="B172" s="887"/>
      <c r="C172" s="332"/>
      <c r="D172" s="228"/>
      <c r="E172" s="155"/>
      <c r="F172" s="155"/>
      <c r="G172" s="155"/>
      <c r="H172" s="156"/>
      <c r="I172" s="155"/>
      <c r="J172" s="178"/>
    </row>
    <row r="173" spans="1:10" ht="27.75" x14ac:dyDescent="0.5">
      <c r="A173" s="840" t="s">
        <v>209</v>
      </c>
      <c r="B173" s="841"/>
      <c r="C173" s="333"/>
      <c r="D173" s="228" t="s">
        <v>142</v>
      </c>
      <c r="E173" s="95">
        <f>'27'!F173</f>
        <v>8126</v>
      </c>
      <c r="F173" s="155">
        <v>8126</v>
      </c>
      <c r="G173" s="155">
        <f>F173-E173</f>
        <v>0</v>
      </c>
      <c r="H173" s="99">
        <f>G173+'27'!H173</f>
        <v>0</v>
      </c>
      <c r="I173" s="155"/>
      <c r="J173" s="178">
        <f>H173/DAY(B2)</f>
        <v>0</v>
      </c>
    </row>
    <row r="174" spans="1:10" ht="27.75" x14ac:dyDescent="0.5">
      <c r="A174" s="840" t="s">
        <v>75</v>
      </c>
      <c r="B174" s="841"/>
      <c r="C174" s="333"/>
      <c r="D174" s="228" t="s">
        <v>142</v>
      </c>
      <c r="E174" s="95">
        <f>'27'!F174</f>
        <v>38236</v>
      </c>
      <c r="F174" s="157">
        <v>38252</v>
      </c>
      <c r="G174" s="155">
        <f t="shared" ref="G174:G175" si="14">F174-E174</f>
        <v>16</v>
      </c>
      <c r="H174" s="99">
        <f>G174+'27'!H174</f>
        <v>-41</v>
      </c>
      <c r="I174" s="155"/>
      <c r="J174" s="178">
        <f>H174/DAY(B2)</f>
        <v>-1.4642857142857142</v>
      </c>
    </row>
    <row r="175" spans="1:10" ht="27.75" x14ac:dyDescent="0.5">
      <c r="A175" s="840" t="s">
        <v>76</v>
      </c>
      <c r="B175" s="845"/>
      <c r="C175" s="841"/>
      <c r="D175" s="228" t="s">
        <v>142</v>
      </c>
      <c r="E175" s="95">
        <f>'27'!F175</f>
        <v>21475</v>
      </c>
      <c r="F175" s="155">
        <v>21486</v>
      </c>
      <c r="G175" s="155">
        <f t="shared" si="14"/>
        <v>11</v>
      </c>
      <c r="H175" s="99">
        <f>G175+'27'!H175</f>
        <v>-32</v>
      </c>
      <c r="I175" s="155"/>
      <c r="J175" s="178">
        <f>H175/DAY(B2)</f>
        <v>-1.1428571428571428</v>
      </c>
    </row>
    <row r="176" spans="1:10" ht="27.75" x14ac:dyDescent="0.5">
      <c r="A176" s="879" t="s">
        <v>196</v>
      </c>
      <c r="B176" s="880"/>
      <c r="C176" s="485"/>
      <c r="D176" s="228" t="s">
        <v>142</v>
      </c>
      <c r="E176" s="95"/>
      <c r="F176" s="155"/>
      <c r="G176" s="155">
        <f>SUM(G173:G175)</f>
        <v>27</v>
      </c>
      <c r="H176" s="99">
        <f>G176+'27'!H176</f>
        <v>-73</v>
      </c>
      <c r="I176" s="155"/>
      <c r="J176" s="178">
        <f>H176/DAY(B2)</f>
        <v>-2.6071428571428572</v>
      </c>
    </row>
    <row r="177" spans="1:10" ht="27.75" x14ac:dyDescent="0.5">
      <c r="A177" s="840" t="s">
        <v>77</v>
      </c>
      <c r="B177" s="841"/>
      <c r="C177" s="333"/>
      <c r="D177" s="228" t="s">
        <v>142</v>
      </c>
      <c r="E177" s="95"/>
      <c r="F177" s="155"/>
      <c r="G177" s="155"/>
      <c r="H177" s="99">
        <f>G177+'27'!H177</f>
        <v>0</v>
      </c>
      <c r="I177" s="155"/>
      <c r="J177" s="178">
        <f>H177/DAY(B2)</f>
        <v>0</v>
      </c>
    </row>
    <row r="178" spans="1:10" ht="27.75" x14ac:dyDescent="0.5">
      <c r="A178" s="840" t="s">
        <v>210</v>
      </c>
      <c r="B178" s="841"/>
      <c r="C178" s="333"/>
      <c r="D178" s="228" t="s">
        <v>142</v>
      </c>
      <c r="E178" s="95">
        <f>'27'!F178</f>
        <v>79338</v>
      </c>
      <c r="F178" s="155">
        <v>79402</v>
      </c>
      <c r="G178" s="155">
        <f>F178-E178</f>
        <v>64</v>
      </c>
      <c r="H178" s="99">
        <f>G178+'27'!H178</f>
        <v>-212</v>
      </c>
      <c r="I178" s="155"/>
      <c r="J178" s="178">
        <f>H178/DAY(B2)</f>
        <v>-7.5714285714285712</v>
      </c>
    </row>
    <row r="179" spans="1:10" ht="27.75" x14ac:dyDescent="0.5">
      <c r="A179" s="840" t="s">
        <v>211</v>
      </c>
      <c r="B179" s="841"/>
      <c r="C179" s="333"/>
      <c r="D179" s="228" t="s">
        <v>142</v>
      </c>
      <c r="E179" s="95">
        <f>'27'!F179</f>
        <v>33915</v>
      </c>
      <c r="F179" s="155">
        <v>33915</v>
      </c>
      <c r="G179" s="155">
        <f t="shared" ref="G179:G180" si="15">F179-E179</f>
        <v>0</v>
      </c>
      <c r="H179" s="99">
        <f>G179+'27'!H179</f>
        <v>0</v>
      </c>
      <c r="I179" s="155"/>
      <c r="J179" s="178">
        <f>H179/DAY(B2)</f>
        <v>0</v>
      </c>
    </row>
    <row r="180" spans="1:10" ht="27.75" x14ac:dyDescent="0.5">
      <c r="A180" s="840" t="s">
        <v>212</v>
      </c>
      <c r="B180" s="841"/>
      <c r="C180" s="333"/>
      <c r="D180" s="228" t="s">
        <v>142</v>
      </c>
      <c r="E180" s="95">
        <f>'27'!F180</f>
        <v>5457</v>
      </c>
      <c r="F180" s="155">
        <v>5463</v>
      </c>
      <c r="G180" s="155">
        <f t="shared" si="15"/>
        <v>6</v>
      </c>
      <c r="H180" s="99">
        <f>G180+'27'!H180</f>
        <v>-14</v>
      </c>
      <c r="I180" s="155"/>
      <c r="J180" s="178">
        <f>H180/DAY(B2)</f>
        <v>-0.5</v>
      </c>
    </row>
    <row r="181" spans="1:10" ht="27.75" x14ac:dyDescent="0.5">
      <c r="A181" s="884" t="s">
        <v>108</v>
      </c>
      <c r="B181" s="885"/>
      <c r="C181" s="485"/>
      <c r="D181" s="228" t="s">
        <v>142</v>
      </c>
      <c r="E181" s="95"/>
      <c r="F181" s="155"/>
      <c r="G181" s="155">
        <f>SUM(G178:G180)</f>
        <v>70</v>
      </c>
      <c r="H181" s="99">
        <f>G181+'27'!H181</f>
        <v>-226</v>
      </c>
      <c r="I181" s="155"/>
      <c r="J181" s="178">
        <f>H181/DAY(B2)</f>
        <v>-8.0714285714285712</v>
      </c>
    </row>
    <row r="182" spans="1:10" ht="27.75" x14ac:dyDescent="0.5">
      <c r="A182" s="840" t="s">
        <v>213</v>
      </c>
      <c r="B182" s="841"/>
      <c r="C182" s="333"/>
      <c r="D182" s="228" t="s">
        <v>142</v>
      </c>
      <c r="E182" s="95"/>
      <c r="F182" s="155"/>
      <c r="G182" s="155"/>
      <c r="H182" s="99">
        <f>G182+'27'!H182</f>
        <v>0</v>
      </c>
      <c r="I182" s="155"/>
      <c r="J182" s="178">
        <f>H182/DAY(B2)</f>
        <v>0</v>
      </c>
    </row>
    <row r="183" spans="1:10" ht="27.75" x14ac:dyDescent="0.5">
      <c r="A183" s="840" t="s">
        <v>214</v>
      </c>
      <c r="B183" s="841"/>
      <c r="C183" s="334"/>
      <c r="D183" s="228" t="s">
        <v>142</v>
      </c>
      <c r="E183" s="95">
        <f>'27'!F183</f>
        <v>14881</v>
      </c>
      <c r="F183" s="157">
        <v>14901</v>
      </c>
      <c r="G183" s="157">
        <f>F183-E183</f>
        <v>20</v>
      </c>
      <c r="H183" s="99">
        <f>G183+'27'!H183</f>
        <v>-46</v>
      </c>
      <c r="I183" s="155"/>
      <c r="J183" s="178">
        <f>H183/DAY(B2)</f>
        <v>-1.6428571428571428</v>
      </c>
    </row>
    <row r="184" spans="1:10" ht="27.75" x14ac:dyDescent="0.5">
      <c r="A184" s="840" t="s">
        <v>215</v>
      </c>
      <c r="B184" s="841"/>
      <c r="C184" s="334"/>
      <c r="D184" s="228" t="s">
        <v>142</v>
      </c>
      <c r="E184" s="95">
        <f>'27'!F184</f>
        <v>10279</v>
      </c>
      <c r="F184" s="157">
        <v>10282</v>
      </c>
      <c r="G184" s="157">
        <f t="shared" ref="G184:G185" si="16">F184-E184</f>
        <v>3</v>
      </c>
      <c r="H184" s="99">
        <f>G184+'27'!H184</f>
        <v>-19</v>
      </c>
      <c r="I184" s="155"/>
      <c r="J184" s="178">
        <f>H184/DAY(B2)</f>
        <v>-0.6785714285714286</v>
      </c>
    </row>
    <row r="185" spans="1:10" ht="27.75" x14ac:dyDescent="0.5">
      <c r="A185" s="840" t="s">
        <v>216</v>
      </c>
      <c r="B185" s="841"/>
      <c r="C185" s="334"/>
      <c r="D185" s="228" t="s">
        <v>142</v>
      </c>
      <c r="E185" s="95">
        <f>'27'!F185</f>
        <v>0</v>
      </c>
      <c r="F185" s="157"/>
      <c r="G185" s="157">
        <f t="shared" si="16"/>
        <v>0</v>
      </c>
      <c r="H185" s="99">
        <f>G185+'27'!H185</f>
        <v>0</v>
      </c>
      <c r="I185" s="155"/>
      <c r="J185" s="178">
        <f>H185/DAY(B2)</f>
        <v>0</v>
      </c>
    </row>
    <row r="186" spans="1:10" ht="27.75" x14ac:dyDescent="0.5">
      <c r="A186" s="879" t="s">
        <v>196</v>
      </c>
      <c r="B186" s="880"/>
      <c r="C186" s="484"/>
      <c r="D186" s="228" t="s">
        <v>142</v>
      </c>
      <c r="E186" s="95"/>
      <c r="F186" s="157"/>
      <c r="G186" s="157">
        <f>SUM(G183:G185)</f>
        <v>23</v>
      </c>
      <c r="H186" s="99">
        <f>G186+'27'!H186</f>
        <v>-65</v>
      </c>
      <c r="I186" s="157"/>
      <c r="J186" s="178">
        <f>H186/DAY(B2)</f>
        <v>-2.3214285714285716</v>
      </c>
    </row>
    <row r="187" spans="1:10" ht="27.75" x14ac:dyDescent="0.5">
      <c r="A187" s="888" t="s">
        <v>217</v>
      </c>
      <c r="B187" s="889"/>
      <c r="C187" s="333"/>
      <c r="D187" s="230" t="s">
        <v>142</v>
      </c>
      <c r="E187" s="95">
        <f>'27'!F187</f>
        <v>0</v>
      </c>
      <c r="F187" s="159"/>
      <c r="G187" s="462">
        <f>G62+G19</f>
        <v>193</v>
      </c>
      <c r="H187" s="99">
        <f>G187+'27'!H187</f>
        <v>1246</v>
      </c>
      <c r="I187" s="158"/>
      <c r="J187" s="179">
        <f>H187/DAY(B2)</f>
        <v>44.5</v>
      </c>
    </row>
    <row r="188" spans="1:10" ht="27.75" x14ac:dyDescent="0.5">
      <c r="A188" s="888" t="s">
        <v>218</v>
      </c>
      <c r="B188" s="889"/>
      <c r="C188" s="333"/>
      <c r="D188" s="230" t="s">
        <v>142</v>
      </c>
      <c r="E188" s="95">
        <f>'27'!F188</f>
        <v>0</v>
      </c>
      <c r="F188" s="159"/>
      <c r="G188" s="462">
        <f>G65+G66+G67+G69+G70</f>
        <v>199</v>
      </c>
      <c r="H188" s="99">
        <f>G188+'27'!H188</f>
        <v>-2303</v>
      </c>
      <c r="I188" s="158"/>
      <c r="J188" s="179">
        <f>H188/DAY(B2)</f>
        <v>-82.25</v>
      </c>
    </row>
    <row r="189" spans="1:10" ht="27.75" x14ac:dyDescent="0.5">
      <c r="A189" s="888" t="s">
        <v>219</v>
      </c>
      <c r="B189" s="889"/>
      <c r="C189" s="333"/>
      <c r="D189" s="230" t="s">
        <v>142</v>
      </c>
      <c r="E189" s="95">
        <f>'27'!F189</f>
        <v>0</v>
      </c>
      <c r="F189" s="157"/>
      <c r="G189" s="459">
        <f>G181</f>
        <v>70</v>
      </c>
      <c r="H189" s="99">
        <f>G189+'27'!H189</f>
        <v>-1816</v>
      </c>
      <c r="I189" s="158"/>
      <c r="J189" s="179">
        <f>H189/DAY(B2)</f>
        <v>-64.857142857142861</v>
      </c>
    </row>
    <row r="190" spans="1:10" ht="27.75" x14ac:dyDescent="0.5">
      <c r="A190" s="811"/>
      <c r="B190" s="812"/>
      <c r="C190" s="483"/>
      <c r="D190" s="480"/>
      <c r="E190" s="480" t="s">
        <v>207</v>
      </c>
      <c r="F190" s="480"/>
      <c r="G190" s="480"/>
      <c r="H190" s="481"/>
      <c r="I190" s="480"/>
      <c r="J190" s="482"/>
    </row>
    <row r="191" spans="1:10" ht="29.25" x14ac:dyDescent="0.5"/>
    <row r="192" spans="1:10" ht="29.25" x14ac:dyDescent="0.5"/>
    <row r="193" ht="29.25" x14ac:dyDescent="0.5"/>
    <row r="194" ht="29.25" x14ac:dyDescent="0.5"/>
    <row r="195" ht="29.25" x14ac:dyDescent="0.5"/>
    <row r="196" ht="29.25" x14ac:dyDescent="0.5"/>
    <row r="197" ht="29.25" x14ac:dyDescent="0.5"/>
    <row r="198" ht="29.25" x14ac:dyDescent="0.5"/>
    <row r="199" ht="29.25" x14ac:dyDescent="0.5"/>
    <row r="200" ht="29.25" x14ac:dyDescent="0.5"/>
    <row r="201" ht="29.25" x14ac:dyDescent="0.5"/>
    <row r="202" ht="29.25" x14ac:dyDescent="0.5"/>
    <row r="203" ht="29.25" x14ac:dyDescent="0.5"/>
    <row r="204" ht="29.25" x14ac:dyDescent="0.5"/>
    <row r="205" ht="29.25" x14ac:dyDescent="0.5"/>
    <row r="206" ht="29.25" x14ac:dyDescent="0.5"/>
    <row r="207" ht="29.25" x14ac:dyDescent="0.5"/>
    <row r="208" ht="29.25" x14ac:dyDescent="0.5"/>
    <row r="209" ht="29.25" x14ac:dyDescent="0.5"/>
    <row r="210" ht="29.25" x14ac:dyDescent="0.5"/>
    <row r="211" ht="29.25" x14ac:dyDescent="0.5"/>
    <row r="212" ht="29.25" x14ac:dyDescent="0.5"/>
    <row r="213" ht="29.25" x14ac:dyDescent="0.5"/>
    <row r="214" ht="29.25" x14ac:dyDescent="0.5"/>
    <row r="215" ht="29.25" x14ac:dyDescent="0.5"/>
    <row r="216" ht="29.25" x14ac:dyDescent="0.5"/>
    <row r="217" ht="29.25" x14ac:dyDescent="0.5"/>
    <row r="218" ht="29.25" x14ac:dyDescent="0.5"/>
    <row r="219" ht="29.25" x14ac:dyDescent="0.5"/>
    <row r="220" ht="29.25" x14ac:dyDescent="0.5"/>
    <row r="221" ht="29.25" x14ac:dyDescent="0.5"/>
    <row r="222" ht="29.25" x14ac:dyDescent="0.5"/>
    <row r="223" ht="29.25" x14ac:dyDescent="0.5"/>
    <row r="224" ht="29.25" x14ac:dyDescent="0.5"/>
    <row r="225" ht="29.25" x14ac:dyDescent="0.5"/>
    <row r="226" ht="29.25" x14ac:dyDescent="0.5"/>
    <row r="227" ht="29.25" x14ac:dyDescent="0.5"/>
    <row r="228" ht="29.25" x14ac:dyDescent="0.5"/>
    <row r="229" ht="29.25" x14ac:dyDescent="0.5"/>
    <row r="230" ht="29.25" x14ac:dyDescent="0.5"/>
    <row r="231" ht="29.25" x14ac:dyDescent="0.5"/>
    <row r="232" ht="29.25" x14ac:dyDescent="0.5"/>
    <row r="233" ht="29.25" x14ac:dyDescent="0.5"/>
    <row r="234" ht="29.25" x14ac:dyDescent="0.5"/>
    <row r="235" ht="29.25" x14ac:dyDescent="0.5"/>
    <row r="236" ht="29.25" x14ac:dyDescent="0.5"/>
    <row r="237" ht="29.25" x14ac:dyDescent="0.5"/>
    <row r="238" ht="29.25" x14ac:dyDescent="0.5"/>
    <row r="239" ht="29.25" x14ac:dyDescent="0.5"/>
    <row r="240" ht="29.25" x14ac:dyDescent="0.5"/>
    <row r="241" ht="29.25" x14ac:dyDescent="0.5"/>
    <row r="242" ht="29.25" x14ac:dyDescent="0.5"/>
    <row r="243" ht="29.25" x14ac:dyDescent="0.5"/>
    <row r="244" ht="29.25" x14ac:dyDescent="0.5"/>
    <row r="245" ht="29.25" x14ac:dyDescent="0.5"/>
    <row r="246" ht="29.25" x14ac:dyDescent="0.5"/>
    <row r="247" ht="29.25" x14ac:dyDescent="0.5"/>
    <row r="248" ht="29.25" x14ac:dyDescent="0.5"/>
    <row r="249" ht="29.25" x14ac:dyDescent="0.5"/>
    <row r="250" ht="29.25" x14ac:dyDescent="0.5"/>
    <row r="251" ht="29.25" x14ac:dyDescent="0.5"/>
    <row r="252" ht="29.25" x14ac:dyDescent="0.5"/>
    <row r="253" ht="29.25" x14ac:dyDescent="0.5"/>
    <row r="254" ht="29.25" x14ac:dyDescent="0.5"/>
    <row r="255" ht="29.25" x14ac:dyDescent="0.5"/>
    <row r="256" ht="29.25" x14ac:dyDescent="0.5"/>
    <row r="257" ht="29.25" x14ac:dyDescent="0.5"/>
    <row r="258" ht="29.25" x14ac:dyDescent="0.5"/>
    <row r="259" ht="29.25" x14ac:dyDescent="0.5"/>
    <row r="260" ht="29.25" x14ac:dyDescent="0.5"/>
    <row r="261" ht="29.25" x14ac:dyDescent="0.5"/>
    <row r="262" ht="29.25" x14ac:dyDescent="0.5"/>
    <row r="263" ht="29.25" x14ac:dyDescent="0.5"/>
    <row r="264" ht="29.25" x14ac:dyDescent="0.5"/>
    <row r="265" ht="29.25" x14ac:dyDescent="0.5"/>
    <row r="266" ht="29.25" x14ac:dyDescent="0.5"/>
    <row r="267" ht="29.25" x14ac:dyDescent="0.5"/>
    <row r="268" ht="29.25" x14ac:dyDescent="0.5"/>
    <row r="269" ht="29.25" x14ac:dyDescent="0.5"/>
    <row r="270" ht="29.25" x14ac:dyDescent="0.5"/>
    <row r="313" ht="29.25" x14ac:dyDescent="0.5"/>
    <row r="314" ht="29.25" x14ac:dyDescent="0.5"/>
    <row r="315" ht="29.25" x14ac:dyDescent="0.5"/>
    <row r="316" ht="29.25" x14ac:dyDescent="0.5"/>
    <row r="317" ht="29.25" x14ac:dyDescent="0.5"/>
    <row r="318" ht="29.25" x14ac:dyDescent="0.5"/>
    <row r="319" ht="29.25" x14ac:dyDescent="0.5"/>
    <row r="320" ht="29.25" x14ac:dyDescent="0.5"/>
    <row r="321" ht="29.25" x14ac:dyDescent="0.5"/>
    <row r="322" ht="29.25" x14ac:dyDescent="0.5"/>
    <row r="323" ht="29.25" x14ac:dyDescent="0.5"/>
    <row r="324" ht="29.25" x14ac:dyDescent="0.5"/>
    <row r="325" ht="29.25" x14ac:dyDescent="0.5"/>
    <row r="326" ht="29.25" x14ac:dyDescent="0.5"/>
    <row r="327" ht="29.25" x14ac:dyDescent="0.5"/>
    <row r="328" ht="29.25" x14ac:dyDescent="0.5"/>
    <row r="329" ht="29.25" x14ac:dyDescent="0.5"/>
    <row r="330" ht="29.25" x14ac:dyDescent="0.5"/>
    <row r="331" ht="29.25" x14ac:dyDescent="0.5"/>
    <row r="332" ht="29.25" x14ac:dyDescent="0.5"/>
    <row r="333" ht="29.25" x14ac:dyDescent="0.5"/>
    <row r="334" ht="29.25" x14ac:dyDescent="0.5"/>
    <row r="335" ht="29.25" x14ac:dyDescent="0.5"/>
    <row r="336" ht="29.25" x14ac:dyDescent="0.5"/>
    <row r="337" ht="29.25" x14ac:dyDescent="0.5"/>
    <row r="338" ht="29.25" x14ac:dyDescent="0.5"/>
    <row r="339" ht="29.25" x14ac:dyDescent="0.5"/>
    <row r="340" ht="29.25" x14ac:dyDescent="0.5"/>
    <row r="341" ht="29.25" x14ac:dyDescent="0.5"/>
    <row r="342" ht="29.25" x14ac:dyDescent="0.5"/>
    <row r="343" ht="29.25" x14ac:dyDescent="0.5"/>
    <row r="344" ht="29.25" x14ac:dyDescent="0.5"/>
    <row r="345" ht="29.25" x14ac:dyDescent="0.5"/>
    <row r="346" ht="29.25" x14ac:dyDescent="0.5"/>
    <row r="347" ht="29.25" x14ac:dyDescent="0.5"/>
    <row r="348" ht="29.25" x14ac:dyDescent="0.5"/>
    <row r="349" ht="29.25" x14ac:dyDescent="0.5"/>
    <row r="350" ht="29.25" x14ac:dyDescent="0.5"/>
    <row r="351" ht="29.25" x14ac:dyDescent="0.5"/>
    <row r="352" ht="29.25" x14ac:dyDescent="0.5"/>
    <row r="353" ht="29.25" x14ac:dyDescent="0.5"/>
    <row r="354" ht="29.25" x14ac:dyDescent="0.5"/>
    <row r="355" ht="29.25" x14ac:dyDescent="0.5"/>
    <row r="356" ht="29.25" x14ac:dyDescent="0.5"/>
    <row r="357" ht="29.25" x14ac:dyDescent="0.5"/>
    <row r="358" ht="29.25" x14ac:dyDescent="0.5"/>
    <row r="359" ht="29.25" x14ac:dyDescent="0.5"/>
    <row r="360" ht="29.25" x14ac:dyDescent="0.5"/>
    <row r="361" ht="29.25" x14ac:dyDescent="0.5"/>
    <row r="362" ht="29.25" x14ac:dyDescent="0.5"/>
    <row r="363" ht="29.25" x14ac:dyDescent="0.5"/>
    <row r="364" ht="29.25" x14ac:dyDescent="0.5"/>
    <row r="365" ht="29.25" x14ac:dyDescent="0.5"/>
    <row r="366" ht="29.25" x14ac:dyDescent="0.5"/>
    <row r="367" ht="29.25" x14ac:dyDescent="0.5"/>
    <row r="368" ht="29.25" x14ac:dyDescent="0.5"/>
    <row r="369" ht="29.25" x14ac:dyDescent="0.5"/>
    <row r="370" ht="29.25" x14ac:dyDescent="0.5"/>
    <row r="371" ht="29.25" x14ac:dyDescent="0.5"/>
    <row r="372" ht="29.25" x14ac:dyDescent="0.5"/>
    <row r="373" ht="29.25" x14ac:dyDescent="0.5"/>
    <row r="374" ht="29.25" x14ac:dyDescent="0.5"/>
    <row r="375" ht="29.25" x14ac:dyDescent="0.5"/>
    <row r="376" ht="29.25" x14ac:dyDescent="0.5"/>
    <row r="377" ht="29.25" x14ac:dyDescent="0.5"/>
    <row r="378" ht="29.25" x14ac:dyDescent="0.5"/>
    <row r="379" ht="29.25" x14ac:dyDescent="0.5"/>
    <row r="380" ht="29.25" x14ac:dyDescent="0.5"/>
    <row r="381" ht="29.25" x14ac:dyDescent="0.5"/>
    <row r="382" ht="29.25" x14ac:dyDescent="0.5"/>
    <row r="383" ht="29.25" x14ac:dyDescent="0.5"/>
    <row r="384" ht="29.25" x14ac:dyDescent="0.5"/>
    <row r="385" ht="29.25" x14ac:dyDescent="0.5"/>
    <row r="386" ht="29.25" x14ac:dyDescent="0.5"/>
    <row r="387" ht="29.25" x14ac:dyDescent="0.5"/>
    <row r="388" ht="29.25" x14ac:dyDescent="0.5"/>
    <row r="389" ht="29.25" x14ac:dyDescent="0.5"/>
    <row r="390" ht="29.25" x14ac:dyDescent="0.5"/>
    <row r="391" ht="29.25" x14ac:dyDescent="0.5"/>
    <row r="392" ht="29.25" x14ac:dyDescent="0.5"/>
    <row r="393" ht="29.25" x14ac:dyDescent="0.5"/>
    <row r="394" ht="29.25" x14ac:dyDescent="0.5"/>
    <row r="395" ht="29.25" x14ac:dyDescent="0.5"/>
    <row r="396" ht="29.25" x14ac:dyDescent="0.5"/>
    <row r="397" ht="29.25" x14ac:dyDescent="0.5"/>
    <row r="398" ht="29.25" x14ac:dyDescent="0.5"/>
    <row r="399" ht="29.25" x14ac:dyDescent="0.5"/>
    <row r="400" ht="29.25" x14ac:dyDescent="0.5"/>
    <row r="401" ht="29.25" x14ac:dyDescent="0.5"/>
    <row r="402" ht="29.25" x14ac:dyDescent="0.5"/>
    <row r="403" ht="29.25" x14ac:dyDescent="0.5"/>
    <row r="404" ht="29.25" x14ac:dyDescent="0.5"/>
    <row r="405" ht="29.25" x14ac:dyDescent="0.5"/>
    <row r="406" ht="29.25" x14ac:dyDescent="0.5"/>
    <row r="407" ht="29.25" x14ac:dyDescent="0.5"/>
    <row r="408" ht="29.25" x14ac:dyDescent="0.5"/>
    <row r="409" ht="29.25" x14ac:dyDescent="0.5"/>
    <row r="410" ht="29.25" x14ac:dyDescent="0.5"/>
    <row r="411" ht="29.25" x14ac:dyDescent="0.5"/>
    <row r="412" ht="29.25" x14ac:dyDescent="0.5"/>
    <row r="413" ht="29.25" x14ac:dyDescent="0.5"/>
    <row r="414" ht="29.25" x14ac:dyDescent="0.5"/>
    <row r="415" ht="29.25" x14ac:dyDescent="0.5"/>
    <row r="416" ht="29.25" x14ac:dyDescent="0.5"/>
    <row r="417" ht="29.25" x14ac:dyDescent="0.5"/>
    <row r="418" ht="29.25" x14ac:dyDescent="0.5"/>
    <row r="419" ht="29.25" x14ac:dyDescent="0.5"/>
    <row r="420" ht="29.25" x14ac:dyDescent="0.5"/>
    <row r="421" ht="29.25" x14ac:dyDescent="0.5"/>
    <row r="422" ht="29.25" x14ac:dyDescent="0.5"/>
    <row r="423" ht="29.25" x14ac:dyDescent="0.5"/>
    <row r="424" ht="29.25" x14ac:dyDescent="0.5"/>
    <row r="425" ht="29.25" x14ac:dyDescent="0.5"/>
    <row r="426" ht="29.25" x14ac:dyDescent="0.5"/>
    <row r="427" ht="29.25" x14ac:dyDescent="0.5"/>
    <row r="428" ht="29.25" x14ac:dyDescent="0.5"/>
    <row r="429" ht="29.25" x14ac:dyDescent="0.5"/>
    <row r="430" ht="29.25" x14ac:dyDescent="0.5"/>
    <row r="431" ht="29.25" x14ac:dyDescent="0.5"/>
    <row r="432" ht="29.25" x14ac:dyDescent="0.5"/>
    <row r="433" ht="29.25" x14ac:dyDescent="0.5"/>
    <row r="434" ht="29.25" x14ac:dyDescent="0.5"/>
    <row r="435" ht="29.25" x14ac:dyDescent="0.5"/>
    <row r="436" ht="29.25" x14ac:dyDescent="0.5"/>
    <row r="437" ht="29.25" x14ac:dyDescent="0.5"/>
    <row r="438" ht="29.25" x14ac:dyDescent="0.5"/>
    <row r="439" ht="29.25" x14ac:dyDescent="0.5"/>
    <row r="440" ht="29.25" x14ac:dyDescent="0.5"/>
    <row r="441" ht="29.25" x14ac:dyDescent="0.5"/>
    <row r="442" ht="29.25" x14ac:dyDescent="0.5"/>
    <row r="443" ht="29.25" x14ac:dyDescent="0.5"/>
    <row r="444" ht="29.25" x14ac:dyDescent="0.5"/>
    <row r="445" ht="29.25" x14ac:dyDescent="0.5"/>
    <row r="446" ht="29.25" x14ac:dyDescent="0.5"/>
    <row r="447" ht="29.25" x14ac:dyDescent="0.5"/>
    <row r="448" ht="29.25" x14ac:dyDescent="0.5"/>
    <row r="449" ht="29.25" x14ac:dyDescent="0.5"/>
    <row r="450" ht="29.25" x14ac:dyDescent="0.5"/>
    <row r="451" ht="29.25" x14ac:dyDescent="0.5"/>
    <row r="452" ht="29.25" x14ac:dyDescent="0.5"/>
    <row r="453" ht="29.25" x14ac:dyDescent="0.5"/>
    <row r="454" ht="29.25" x14ac:dyDescent="0.5"/>
    <row r="455" ht="29.25" x14ac:dyDescent="0.5"/>
    <row r="456" ht="29.25" x14ac:dyDescent="0.5"/>
    <row r="457" ht="29.25" x14ac:dyDescent="0.5"/>
    <row r="458" ht="29.25" x14ac:dyDescent="0.5"/>
    <row r="459" ht="29.25" x14ac:dyDescent="0.5"/>
    <row r="460" ht="29.25" x14ac:dyDescent="0.5"/>
    <row r="461" ht="29.25" x14ac:dyDescent="0.5"/>
    <row r="462" ht="29.25" x14ac:dyDescent="0.5"/>
    <row r="463" ht="29.25" x14ac:dyDescent="0.5"/>
    <row r="464" ht="29.25" x14ac:dyDescent="0.5"/>
    <row r="465" ht="29.25" x14ac:dyDescent="0.5"/>
    <row r="466" ht="29.25" x14ac:dyDescent="0.5"/>
    <row r="467" ht="29.25" x14ac:dyDescent="0.5"/>
    <row r="468" ht="29.25" x14ac:dyDescent="0.5"/>
    <row r="469" ht="29.25" x14ac:dyDescent="0.5"/>
    <row r="470" ht="29.25" x14ac:dyDescent="0.5"/>
    <row r="471" ht="29.25" x14ac:dyDescent="0.5"/>
    <row r="472" ht="29.25" x14ac:dyDescent="0.5"/>
    <row r="473" ht="29.25" x14ac:dyDescent="0.5"/>
    <row r="474" ht="29.25" x14ac:dyDescent="0.5"/>
    <row r="475" ht="29.25" x14ac:dyDescent="0.5"/>
    <row r="476" ht="29.25" x14ac:dyDescent="0.5"/>
    <row r="477" ht="29.25" x14ac:dyDescent="0.5"/>
    <row r="478" ht="29.25" x14ac:dyDescent="0.5"/>
    <row r="479" ht="29.25" x14ac:dyDescent="0.5"/>
    <row r="480" ht="29.25" x14ac:dyDescent="0.5"/>
    <row r="481" ht="29.25" x14ac:dyDescent="0.5"/>
    <row r="482" ht="29.25" x14ac:dyDescent="0.5"/>
    <row r="483" ht="29.25" x14ac:dyDescent="0.5"/>
    <row r="484" ht="29.25" x14ac:dyDescent="0.5"/>
    <row r="485" ht="29.25" x14ac:dyDescent="0.5"/>
    <row r="486" ht="29.25" x14ac:dyDescent="0.5"/>
    <row r="487" ht="29.25" x14ac:dyDescent="0.5"/>
    <row r="488" ht="29.25" x14ac:dyDescent="0.5"/>
    <row r="489" ht="29.25" x14ac:dyDescent="0.5"/>
    <row r="490" ht="29.25" x14ac:dyDescent="0.5"/>
    <row r="491" ht="29.25" x14ac:dyDescent="0.5"/>
    <row r="492" ht="29.25" x14ac:dyDescent="0.5"/>
    <row r="493" ht="29.25" x14ac:dyDescent="0.5"/>
    <row r="494" ht="29.25" x14ac:dyDescent="0.5"/>
    <row r="495" ht="29.25" x14ac:dyDescent="0.5"/>
    <row r="496" ht="29.25" x14ac:dyDescent="0.5"/>
    <row r="497" ht="29.25" x14ac:dyDescent="0.5"/>
    <row r="498" ht="29.25" x14ac:dyDescent="0.5"/>
    <row r="499" ht="29.25" x14ac:dyDescent="0.5"/>
    <row r="500" ht="29.25" x14ac:dyDescent="0.5"/>
    <row r="501" ht="29.25" x14ac:dyDescent="0.5"/>
    <row r="502" ht="29.25" x14ac:dyDescent="0.5"/>
    <row r="503" ht="29.25" x14ac:dyDescent="0.5"/>
    <row r="504" ht="29.25" x14ac:dyDescent="0.5"/>
    <row r="505" ht="29.25" x14ac:dyDescent="0.5"/>
    <row r="506" ht="29.25" x14ac:dyDescent="0.5"/>
    <row r="507" ht="29.25" x14ac:dyDescent="0.5"/>
    <row r="508" ht="29.25" x14ac:dyDescent="0.5"/>
    <row r="509" ht="29.25" x14ac:dyDescent="0.5"/>
    <row r="510" ht="29.25" x14ac:dyDescent="0.5"/>
    <row r="511" ht="29.25" x14ac:dyDescent="0.5"/>
    <row r="512" ht="29.25" x14ac:dyDescent="0.5"/>
    <row r="513" ht="29.25" x14ac:dyDescent="0.5"/>
    <row r="514" ht="29.25" x14ac:dyDescent="0.5"/>
    <row r="515" ht="29.25" x14ac:dyDescent="0.5"/>
    <row r="516" ht="29.25" x14ac:dyDescent="0.5"/>
    <row r="517" ht="29.25" x14ac:dyDescent="0.5"/>
    <row r="518" ht="29.25" x14ac:dyDescent="0.5"/>
    <row r="519" ht="29.25" x14ac:dyDescent="0.5"/>
    <row r="520" ht="29.25" x14ac:dyDescent="0.5"/>
    <row r="521" ht="29.25" x14ac:dyDescent="0.5"/>
    <row r="522" ht="29.25" x14ac:dyDescent="0.5"/>
    <row r="523" ht="29.25" x14ac:dyDescent="0.5"/>
    <row r="524" ht="29.25" x14ac:dyDescent="0.5"/>
    <row r="525" ht="29.25" x14ac:dyDescent="0.5"/>
    <row r="526" ht="29.25" x14ac:dyDescent="0.5"/>
    <row r="527" ht="29.25" x14ac:dyDescent="0.5"/>
    <row r="528" ht="29.25" x14ac:dyDescent="0.5"/>
    <row r="529" ht="29.25" x14ac:dyDescent="0.5"/>
    <row r="530" ht="29.25" x14ac:dyDescent="0.5"/>
    <row r="531" ht="29.25" x14ac:dyDescent="0.5"/>
    <row r="532" ht="29.25" x14ac:dyDescent="0.5"/>
    <row r="533" ht="29.25" x14ac:dyDescent="0.5"/>
    <row r="534" ht="29.25" x14ac:dyDescent="0.5"/>
    <row r="535" ht="29.25" x14ac:dyDescent="0.5"/>
    <row r="536" ht="29.25" x14ac:dyDescent="0.5"/>
    <row r="537" ht="29.25" x14ac:dyDescent="0.5"/>
    <row r="538" ht="29.25" x14ac:dyDescent="0.5"/>
    <row r="539" ht="29.25" x14ac:dyDescent="0.5"/>
    <row r="540" ht="29.25" x14ac:dyDescent="0.5"/>
    <row r="541" ht="29.25" x14ac:dyDescent="0.5"/>
    <row r="542" ht="29.25" x14ac:dyDescent="0.5"/>
    <row r="543" ht="29.25" x14ac:dyDescent="0.5"/>
    <row r="544" ht="29.25" x14ac:dyDescent="0.5"/>
    <row r="545" ht="29.25" x14ac:dyDescent="0.5"/>
    <row r="546" ht="29.25" x14ac:dyDescent="0.5"/>
    <row r="547" ht="29.25" x14ac:dyDescent="0.5"/>
    <row r="548" ht="29.25" x14ac:dyDescent="0.5"/>
    <row r="549" ht="29.25" x14ac:dyDescent="0.5"/>
    <row r="550" ht="29.25" x14ac:dyDescent="0.5"/>
    <row r="551" ht="29.25" x14ac:dyDescent="0.5"/>
    <row r="552" ht="29.25" x14ac:dyDescent="0.5"/>
    <row r="553" ht="29.25" x14ac:dyDescent="0.5"/>
    <row r="554" ht="29.25" x14ac:dyDescent="0.5"/>
    <row r="555" ht="29.25" x14ac:dyDescent="0.5"/>
    <row r="556" ht="29.25" x14ac:dyDescent="0.5"/>
    <row r="557" ht="29.25" x14ac:dyDescent="0.5"/>
    <row r="558" ht="29.25" x14ac:dyDescent="0.5"/>
    <row r="559" ht="29.25" x14ac:dyDescent="0.5"/>
    <row r="560" ht="29.25" x14ac:dyDescent="0.5"/>
    <row r="561" ht="29.25" x14ac:dyDescent="0.5"/>
    <row r="562" ht="29.25" x14ac:dyDescent="0.5"/>
    <row r="563" ht="29.25" x14ac:dyDescent="0.5"/>
    <row r="564" ht="29.25" x14ac:dyDescent="0.5"/>
    <row r="565" ht="29.25" x14ac:dyDescent="0.5"/>
    <row r="566" ht="29.25" x14ac:dyDescent="0.5"/>
    <row r="567" ht="29.25" x14ac:dyDescent="0.5"/>
    <row r="568" ht="29.25" x14ac:dyDescent="0.5"/>
    <row r="569" ht="29.25" x14ac:dyDescent="0.5"/>
    <row r="570" ht="29.25" x14ac:dyDescent="0.5"/>
    <row r="571" ht="29.25" x14ac:dyDescent="0.5"/>
    <row r="572" ht="29.25" x14ac:dyDescent="0.5"/>
    <row r="573" ht="29.25" x14ac:dyDescent="0.5"/>
    <row r="574" ht="29.25" x14ac:dyDescent="0.5"/>
    <row r="575" ht="29.25" x14ac:dyDescent="0.5"/>
    <row r="576" ht="29.25" x14ac:dyDescent="0.5"/>
    <row r="577" ht="29.25" x14ac:dyDescent="0.5"/>
    <row r="578" ht="29.25" x14ac:dyDescent="0.5"/>
    <row r="579" ht="29.25" x14ac:dyDescent="0.5"/>
    <row r="580" ht="29.25" x14ac:dyDescent="0.5"/>
    <row r="581" ht="29.25" x14ac:dyDescent="0.5"/>
    <row r="582" ht="29.25" x14ac:dyDescent="0.5"/>
    <row r="583" ht="29.25" x14ac:dyDescent="0.5"/>
    <row r="584" ht="29.25" x14ac:dyDescent="0.5"/>
    <row r="585" ht="29.25" x14ac:dyDescent="0.5"/>
    <row r="586" ht="29.25" x14ac:dyDescent="0.5"/>
    <row r="587" ht="29.25" x14ac:dyDescent="0.5"/>
    <row r="588" ht="29.25" x14ac:dyDescent="0.5"/>
    <row r="589" ht="29.25" x14ac:dyDescent="0.5"/>
    <row r="590" ht="29.25" x14ac:dyDescent="0.5"/>
    <row r="591" ht="29.25" x14ac:dyDescent="0.5"/>
    <row r="592" ht="29.25" x14ac:dyDescent="0.5"/>
    <row r="593" ht="29.25" x14ac:dyDescent="0.5"/>
    <row r="594" ht="29.25" x14ac:dyDescent="0.5"/>
    <row r="595" ht="29.25" x14ac:dyDescent="0.5"/>
    <row r="596" ht="29.25" x14ac:dyDescent="0.5"/>
    <row r="597" ht="29.25" x14ac:dyDescent="0.5"/>
    <row r="598" ht="29.25" x14ac:dyDescent="0.5"/>
    <row r="599" ht="29.25" x14ac:dyDescent="0.5"/>
    <row r="600" ht="29.25" x14ac:dyDescent="0.5"/>
    <row r="601" ht="29.25" x14ac:dyDescent="0.5"/>
    <row r="602" ht="29.25" x14ac:dyDescent="0.5"/>
    <row r="603" ht="29.25" x14ac:dyDescent="0.5"/>
    <row r="604" ht="29.25" x14ac:dyDescent="0.5"/>
    <row r="605" ht="29.25" x14ac:dyDescent="0.5"/>
    <row r="606" ht="29.25" x14ac:dyDescent="0.5"/>
    <row r="607" ht="29.25" x14ac:dyDescent="0.5"/>
    <row r="608" ht="29.25" x14ac:dyDescent="0.5"/>
    <row r="609" ht="29.25" x14ac:dyDescent="0.5"/>
    <row r="610" ht="29.25" x14ac:dyDescent="0.5"/>
    <row r="611" ht="29.25" x14ac:dyDescent="0.5"/>
    <row r="612" ht="29.25" x14ac:dyDescent="0.5"/>
    <row r="613" ht="29.25" x14ac:dyDescent="0.5"/>
    <row r="614" ht="29.25" x14ac:dyDescent="0.5"/>
    <row r="615" ht="29.25" x14ac:dyDescent="0.5"/>
    <row r="616" ht="29.25" x14ac:dyDescent="0.5"/>
    <row r="617" ht="29.25" x14ac:dyDescent="0.5"/>
    <row r="618" ht="29.25" x14ac:dyDescent="0.5"/>
    <row r="619" ht="29.25" x14ac:dyDescent="0.5"/>
    <row r="620" ht="29.25" x14ac:dyDescent="0.5"/>
    <row r="621" ht="29.25" x14ac:dyDescent="0.5"/>
    <row r="622" ht="29.25" x14ac:dyDescent="0.5"/>
    <row r="623" ht="29.25" x14ac:dyDescent="0.5"/>
    <row r="624" ht="29.25" x14ac:dyDescent="0.5"/>
    <row r="625" ht="29.25" x14ac:dyDescent="0.5"/>
    <row r="626" ht="29.25" x14ac:dyDescent="0.5"/>
    <row r="627" ht="29.25" x14ac:dyDescent="0.5"/>
    <row r="628" ht="29.25" x14ac:dyDescent="0.5"/>
    <row r="629" ht="29.25" x14ac:dyDescent="0.5"/>
    <row r="630" ht="29.25" x14ac:dyDescent="0.5"/>
    <row r="631" ht="29.25" x14ac:dyDescent="0.5"/>
    <row r="632" ht="29.25" x14ac:dyDescent="0.5"/>
    <row r="633" ht="29.25" x14ac:dyDescent="0.5"/>
    <row r="634" ht="29.25" x14ac:dyDescent="0.5"/>
    <row r="635" ht="29.25" x14ac:dyDescent="0.5"/>
    <row r="636" ht="29.25" x14ac:dyDescent="0.5"/>
    <row r="637" ht="29.25" x14ac:dyDescent="0.5"/>
    <row r="638" ht="29.25" x14ac:dyDescent="0.5"/>
    <row r="639" ht="29.25" x14ac:dyDescent="0.5"/>
    <row r="640" ht="29.25" x14ac:dyDescent="0.5"/>
    <row r="641" ht="29.25" x14ac:dyDescent="0.5"/>
    <row r="642" ht="29.25" x14ac:dyDescent="0.5"/>
    <row r="643" ht="29.25" x14ac:dyDescent="0.5"/>
    <row r="644" ht="29.25" x14ac:dyDescent="0.5"/>
    <row r="645" ht="29.25" x14ac:dyDescent="0.5"/>
    <row r="646" ht="29.25" x14ac:dyDescent="0.5"/>
    <row r="647" ht="29.25" x14ac:dyDescent="0.5"/>
    <row r="648" ht="29.25" x14ac:dyDescent="0.5"/>
    <row r="649" ht="29.25" x14ac:dyDescent="0.5"/>
    <row r="650" ht="29.25" x14ac:dyDescent="0.5"/>
    <row r="651" ht="29.25" x14ac:dyDescent="0.5"/>
    <row r="652" ht="29.25" x14ac:dyDescent="0.5"/>
    <row r="653" ht="29.25" x14ac:dyDescent="0.5"/>
    <row r="654" ht="29.25" x14ac:dyDescent="0.5"/>
    <row r="655" ht="29.25" x14ac:dyDescent="0.5"/>
    <row r="656" ht="29.25" x14ac:dyDescent="0.5"/>
    <row r="657" ht="29.25" x14ac:dyDescent="0.5"/>
    <row r="658" ht="29.25" x14ac:dyDescent="0.5"/>
    <row r="659" ht="29.25" x14ac:dyDescent="0.5"/>
    <row r="660" ht="29.25" x14ac:dyDescent="0.5"/>
    <row r="661" ht="29.25" x14ac:dyDescent="0.5"/>
    <row r="662" ht="29.25" x14ac:dyDescent="0.5"/>
    <row r="663" ht="29.25" x14ac:dyDescent="0.5"/>
    <row r="664" ht="29.25" x14ac:dyDescent="0.5"/>
    <row r="665" ht="29.25" x14ac:dyDescent="0.5"/>
    <row r="666" ht="29.25" x14ac:dyDescent="0.5"/>
    <row r="667" ht="29.25" x14ac:dyDescent="0.5"/>
    <row r="668" ht="29.25" x14ac:dyDescent="0.5"/>
    <row r="669" ht="29.25" x14ac:dyDescent="0.5"/>
    <row r="670" ht="29.25" x14ac:dyDescent="0.5"/>
    <row r="671" ht="29.25" x14ac:dyDescent="0.5"/>
    <row r="672" ht="29.25" x14ac:dyDescent="0.5"/>
    <row r="673" ht="29.25" x14ac:dyDescent="0.5"/>
    <row r="674" ht="29.25" x14ac:dyDescent="0.5"/>
    <row r="675" ht="29.25" x14ac:dyDescent="0.5"/>
    <row r="676" ht="29.25" x14ac:dyDescent="0.5"/>
    <row r="677" ht="29.25" x14ac:dyDescent="0.5"/>
    <row r="678" ht="29.25" x14ac:dyDescent="0.5"/>
    <row r="679" ht="29.25" x14ac:dyDescent="0.5"/>
    <row r="680" ht="29.25" x14ac:dyDescent="0.5"/>
    <row r="681" ht="29.25" x14ac:dyDescent="0.5"/>
    <row r="682" ht="29.25" x14ac:dyDescent="0.5"/>
    <row r="683" ht="29.25" x14ac:dyDescent="0.5"/>
    <row r="684" ht="29.25" x14ac:dyDescent="0.5"/>
    <row r="685" ht="29.25" x14ac:dyDescent="0.5"/>
    <row r="686" ht="29.25" x14ac:dyDescent="0.5"/>
    <row r="687" ht="29.25" x14ac:dyDescent="0.5"/>
    <row r="688" ht="29.25" x14ac:dyDescent="0.5"/>
    <row r="689" ht="29.25" x14ac:dyDescent="0.5"/>
    <row r="690" ht="29.25" x14ac:dyDescent="0.5"/>
    <row r="691" ht="29.25" x14ac:dyDescent="0.5"/>
    <row r="692" ht="29.25" x14ac:dyDescent="0.5"/>
    <row r="693" ht="29.25" x14ac:dyDescent="0.5"/>
    <row r="694" ht="29.25" x14ac:dyDescent="0.5"/>
    <row r="695" ht="29.25" x14ac:dyDescent="0.5"/>
    <row r="696" ht="29.25" x14ac:dyDescent="0.5"/>
    <row r="697" ht="29.25" x14ac:dyDescent="0.5"/>
    <row r="698" ht="29.25" x14ac:dyDescent="0.5"/>
    <row r="699" ht="29.25" x14ac:dyDescent="0.5"/>
    <row r="700" ht="29.25" x14ac:dyDescent="0.5"/>
    <row r="701" ht="29.25" x14ac:dyDescent="0.5"/>
    <row r="702" ht="29.25" x14ac:dyDescent="0.5"/>
    <row r="703" ht="29.25" x14ac:dyDescent="0.5"/>
    <row r="704" ht="29.25" x14ac:dyDescent="0.5"/>
    <row r="705" ht="29.25" x14ac:dyDescent="0.5"/>
    <row r="706" ht="29.25" x14ac:dyDescent="0.5"/>
    <row r="707" ht="29.25" x14ac:dyDescent="0.5"/>
    <row r="708" ht="29.25" x14ac:dyDescent="0.5"/>
    <row r="709" ht="29.25" x14ac:dyDescent="0.5"/>
    <row r="710" ht="29.25" x14ac:dyDescent="0.5"/>
    <row r="711" ht="29.25" x14ac:dyDescent="0.5"/>
    <row r="712" ht="29.25" x14ac:dyDescent="0.5"/>
    <row r="713" ht="29.25" x14ac:dyDescent="0.5"/>
    <row r="714" ht="29.25" x14ac:dyDescent="0.5"/>
    <row r="715" ht="29.25" x14ac:dyDescent="0.5"/>
    <row r="716" ht="29.25" x14ac:dyDescent="0.5"/>
    <row r="717" ht="29.25" x14ac:dyDescent="0.5"/>
    <row r="718" ht="29.25" x14ac:dyDescent="0.5"/>
    <row r="719" ht="29.25" x14ac:dyDescent="0.5"/>
    <row r="720" ht="29.25" x14ac:dyDescent="0.5"/>
    <row r="721" ht="29.25" x14ac:dyDescent="0.5"/>
    <row r="722" ht="29.25" x14ac:dyDescent="0.5"/>
    <row r="723" ht="29.25" x14ac:dyDescent="0.5"/>
    <row r="724" ht="29.25" x14ac:dyDescent="0.5"/>
    <row r="725" ht="29.25" x14ac:dyDescent="0.5"/>
    <row r="726" ht="29.25" x14ac:dyDescent="0.5"/>
    <row r="727" ht="29.25" x14ac:dyDescent="0.5"/>
    <row r="728" ht="29.25" x14ac:dyDescent="0.5"/>
    <row r="729" ht="29.25" x14ac:dyDescent="0.5"/>
    <row r="730" ht="29.25" x14ac:dyDescent="0.5"/>
    <row r="731" ht="29.25" x14ac:dyDescent="0.5"/>
    <row r="732" ht="29.25" x14ac:dyDescent="0.5"/>
    <row r="733" ht="29.25" x14ac:dyDescent="0.5"/>
    <row r="734" ht="29.25" x14ac:dyDescent="0.5"/>
    <row r="735" ht="29.25" x14ac:dyDescent="0.5"/>
    <row r="736" ht="29.25" x14ac:dyDescent="0.5"/>
    <row r="737" ht="29.25" x14ac:dyDescent="0.5"/>
    <row r="738" ht="29.25" x14ac:dyDescent="0.5"/>
    <row r="739" ht="29.25" x14ac:dyDescent="0.5"/>
    <row r="740" ht="29.25" x14ac:dyDescent="0.5"/>
    <row r="741" ht="29.25" x14ac:dyDescent="0.5"/>
    <row r="742" ht="29.25" x14ac:dyDescent="0.5"/>
    <row r="743" ht="29.25" x14ac:dyDescent="0.5"/>
    <row r="744" ht="29.25" x14ac:dyDescent="0.5"/>
    <row r="745" ht="29.25" x14ac:dyDescent="0.5"/>
    <row r="746" ht="29.25" x14ac:dyDescent="0.5"/>
    <row r="747" ht="29.25" x14ac:dyDescent="0.5"/>
    <row r="748" ht="29.25" x14ac:dyDescent="0.5"/>
    <row r="749" ht="29.25" x14ac:dyDescent="0.5"/>
    <row r="750" ht="29.25" x14ac:dyDescent="0.5"/>
    <row r="751" ht="29.25" x14ac:dyDescent="0.5"/>
    <row r="752" ht="29.25" x14ac:dyDescent="0.5"/>
    <row r="753" ht="29.25" x14ac:dyDescent="0.5"/>
    <row r="754" ht="29.25" x14ac:dyDescent="0.5"/>
    <row r="755" ht="29.25" x14ac:dyDescent="0.5"/>
    <row r="756" ht="29.25" x14ac:dyDescent="0.5"/>
    <row r="757" ht="29.25" x14ac:dyDescent="0.5"/>
    <row r="758" ht="29.25" x14ac:dyDescent="0.5"/>
    <row r="759" ht="29.25" x14ac:dyDescent="0.5"/>
    <row r="760" ht="29.25" x14ac:dyDescent="0.5"/>
    <row r="761" ht="29.25" x14ac:dyDescent="0.5"/>
    <row r="762" ht="29.25" x14ac:dyDescent="0.5"/>
    <row r="763" ht="29.25" x14ac:dyDescent="0.5"/>
    <row r="764" ht="29.25" x14ac:dyDescent="0.5"/>
    <row r="765" ht="29.25" x14ac:dyDescent="0.5"/>
    <row r="766" ht="29.25" x14ac:dyDescent="0.5"/>
    <row r="767" ht="29.25" x14ac:dyDescent="0.5"/>
    <row r="768" ht="29.25" x14ac:dyDescent="0.5"/>
    <row r="769" ht="29.25" x14ac:dyDescent="0.5"/>
    <row r="770" ht="29.25" x14ac:dyDescent="0.5"/>
    <row r="771" ht="29.25" x14ac:dyDescent="0.5"/>
    <row r="772" ht="29.25" x14ac:dyDescent="0.5"/>
    <row r="773" ht="29.25" x14ac:dyDescent="0.5"/>
    <row r="774" ht="29.25" x14ac:dyDescent="0.5"/>
    <row r="775" ht="29.25" x14ac:dyDescent="0.5"/>
    <row r="776" ht="29.25" x14ac:dyDescent="0.5"/>
    <row r="777" ht="29.25" x14ac:dyDescent="0.5"/>
    <row r="778" ht="29.25" x14ac:dyDescent="0.5"/>
    <row r="779" ht="29.25" x14ac:dyDescent="0.5"/>
    <row r="780" ht="29.25" x14ac:dyDescent="0.5"/>
    <row r="781" ht="29.25" x14ac:dyDescent="0.5"/>
    <row r="782" ht="29.25" x14ac:dyDescent="0.5"/>
    <row r="783" ht="29.25" x14ac:dyDescent="0.5"/>
    <row r="784" ht="29.25" x14ac:dyDescent="0.5"/>
    <row r="785" ht="29.25" x14ac:dyDescent="0.5"/>
    <row r="786" ht="29.25" x14ac:dyDescent="0.5"/>
    <row r="787" ht="29.25" x14ac:dyDescent="0.5"/>
    <row r="788" ht="29.25" x14ac:dyDescent="0.5"/>
    <row r="789" ht="29.25" x14ac:dyDescent="0.5"/>
    <row r="790" ht="29.25" x14ac:dyDescent="0.5"/>
    <row r="791" ht="29.25" x14ac:dyDescent="0.5"/>
    <row r="792" ht="29.25" x14ac:dyDescent="0.5"/>
    <row r="793" ht="29.25" x14ac:dyDescent="0.5"/>
    <row r="794" ht="29.25" x14ac:dyDescent="0.5"/>
    <row r="795" ht="29.25" x14ac:dyDescent="0.5"/>
    <row r="796" ht="29.25" x14ac:dyDescent="0.5"/>
    <row r="797" ht="29.25" x14ac:dyDescent="0.5"/>
    <row r="798" ht="29.25" x14ac:dyDescent="0.5"/>
    <row r="799" ht="29.25" x14ac:dyDescent="0.5"/>
    <row r="800" ht="29.25" x14ac:dyDescent="0.5"/>
    <row r="801" ht="29.25" x14ac:dyDescent="0.5"/>
    <row r="802" ht="29.25" x14ac:dyDescent="0.5"/>
    <row r="803" ht="29.25" x14ac:dyDescent="0.5"/>
    <row r="804" ht="29.25" x14ac:dyDescent="0.5"/>
    <row r="805" ht="29.25" x14ac:dyDescent="0.5"/>
    <row r="806" ht="29.25" x14ac:dyDescent="0.5"/>
    <row r="807" ht="29.25" x14ac:dyDescent="0.5"/>
    <row r="808" ht="29.25" x14ac:dyDescent="0.5"/>
    <row r="809" ht="29.25" x14ac:dyDescent="0.5"/>
    <row r="810" ht="29.25" x14ac:dyDescent="0.5"/>
    <row r="811" ht="29.25" x14ac:dyDescent="0.5"/>
    <row r="812" ht="29.25" x14ac:dyDescent="0.5"/>
    <row r="813" ht="29.25" x14ac:dyDescent="0.5"/>
    <row r="814" ht="29.25" x14ac:dyDescent="0.5"/>
    <row r="815" ht="29.25" x14ac:dyDescent="0.5"/>
    <row r="816" ht="29.25" x14ac:dyDescent="0.5"/>
    <row r="817" ht="29.25" x14ac:dyDescent="0.5"/>
    <row r="818" ht="29.25" x14ac:dyDescent="0.5"/>
    <row r="819" ht="29.25" x14ac:dyDescent="0.5"/>
    <row r="820" ht="29.25" x14ac:dyDescent="0.5"/>
    <row r="821" ht="29.25" x14ac:dyDescent="0.5"/>
    <row r="822" ht="29.25" x14ac:dyDescent="0.5"/>
    <row r="823" ht="29.25" x14ac:dyDescent="0.5"/>
    <row r="824" ht="29.25" x14ac:dyDescent="0.5"/>
    <row r="825" ht="29.25" x14ac:dyDescent="0.5"/>
    <row r="826" ht="29.25" x14ac:dyDescent="0.5"/>
    <row r="827" ht="29.25" x14ac:dyDescent="0.5"/>
    <row r="828" ht="29.25" x14ac:dyDescent="0.5"/>
    <row r="829" ht="29.25" x14ac:dyDescent="0.5"/>
    <row r="830" ht="29.25" x14ac:dyDescent="0.5"/>
    <row r="831" ht="29.25" x14ac:dyDescent="0.5"/>
    <row r="832" ht="29.25" x14ac:dyDescent="0.5"/>
    <row r="833" ht="29.25" x14ac:dyDescent="0.5"/>
    <row r="834" ht="29.25" x14ac:dyDescent="0.5"/>
    <row r="835" ht="29.25" x14ac:dyDescent="0.5"/>
    <row r="836" ht="29.25" x14ac:dyDescent="0.5"/>
    <row r="837" ht="29.25" x14ac:dyDescent="0.5"/>
    <row r="838" ht="29.25" x14ac:dyDescent="0.5"/>
    <row r="839" ht="29.25" x14ac:dyDescent="0.5"/>
    <row r="840" ht="29.25" x14ac:dyDescent="0.5"/>
    <row r="841" ht="29.25" x14ac:dyDescent="0.5"/>
    <row r="842" ht="29.25" x14ac:dyDescent="0.5"/>
    <row r="843" ht="29.25" x14ac:dyDescent="0.5"/>
    <row r="844" ht="29.25" x14ac:dyDescent="0.5"/>
    <row r="845" ht="29.25" x14ac:dyDescent="0.5"/>
    <row r="846" ht="29.25" x14ac:dyDescent="0.5"/>
    <row r="847" ht="29.25" x14ac:dyDescent="0.5"/>
    <row r="848" ht="29.25" x14ac:dyDescent="0.5"/>
    <row r="849" ht="29.25" x14ac:dyDescent="0.5"/>
    <row r="850" ht="29.25" x14ac:dyDescent="0.5"/>
    <row r="851" ht="29.25" x14ac:dyDescent="0.5"/>
    <row r="852" ht="29.25" x14ac:dyDescent="0.5"/>
    <row r="853" ht="29.25" x14ac:dyDescent="0.5"/>
    <row r="854" ht="29.25" x14ac:dyDescent="0.5"/>
    <row r="855" ht="29.25" x14ac:dyDescent="0.5"/>
    <row r="856" ht="29.25" x14ac:dyDescent="0.5"/>
    <row r="857" ht="29.25" x14ac:dyDescent="0.5"/>
    <row r="858" ht="29.25" x14ac:dyDescent="0.5"/>
    <row r="859" ht="29.25" x14ac:dyDescent="0.5"/>
    <row r="860" ht="29.25" x14ac:dyDescent="0.5"/>
    <row r="861" ht="29.25" x14ac:dyDescent="0.5"/>
    <row r="862" ht="29.25" x14ac:dyDescent="0.5"/>
    <row r="863" ht="29.25" x14ac:dyDescent="0.5"/>
    <row r="864" ht="29.25" x14ac:dyDescent="0.5"/>
    <row r="865" ht="29.25" x14ac:dyDescent="0.5"/>
    <row r="866" ht="29.25" x14ac:dyDescent="0.5"/>
    <row r="867" ht="29.25" x14ac:dyDescent="0.5"/>
    <row r="868" ht="29.25" x14ac:dyDescent="0.5"/>
    <row r="869" ht="29.25" x14ac:dyDescent="0.5"/>
    <row r="870" ht="29.25" x14ac:dyDescent="0.5"/>
    <row r="871" ht="29.25" x14ac:dyDescent="0.5"/>
    <row r="872" ht="29.25" x14ac:dyDescent="0.5"/>
    <row r="873" ht="29.25" x14ac:dyDescent="0.5"/>
    <row r="874" ht="29.25" x14ac:dyDescent="0.5"/>
    <row r="875" ht="29.25" x14ac:dyDescent="0.5"/>
    <row r="876" ht="29.25" x14ac:dyDescent="0.5"/>
    <row r="877" ht="29.25" x14ac:dyDescent="0.5"/>
    <row r="878" ht="29.25" x14ac:dyDescent="0.5"/>
    <row r="879" ht="29.25" x14ac:dyDescent="0.5"/>
    <row r="880" ht="29.25" x14ac:dyDescent="0.5"/>
    <row r="881" ht="29.25" x14ac:dyDescent="0.5"/>
    <row r="882" ht="29.25" x14ac:dyDescent="0.5"/>
    <row r="883" ht="29.25" x14ac:dyDescent="0.5"/>
    <row r="884" ht="29.25" x14ac:dyDescent="0.5"/>
    <row r="885" ht="29.25" x14ac:dyDescent="0.5"/>
    <row r="886" ht="29.25" x14ac:dyDescent="0.5"/>
    <row r="887" ht="29.25" x14ac:dyDescent="0.5"/>
    <row r="888" ht="29.25" x14ac:dyDescent="0.5"/>
    <row r="889" ht="29.25" x14ac:dyDescent="0.5"/>
    <row r="890" ht="29.25" x14ac:dyDescent="0.5"/>
    <row r="891" ht="29.25" x14ac:dyDescent="0.5"/>
    <row r="892" ht="29.25" x14ac:dyDescent="0.5"/>
    <row r="893" ht="29.25" x14ac:dyDescent="0.5"/>
    <row r="894" ht="29.25" x14ac:dyDescent="0.5"/>
    <row r="895" ht="29.25" x14ac:dyDescent="0.5"/>
    <row r="896" ht="29.25" x14ac:dyDescent="0.5"/>
    <row r="897" ht="29.25" x14ac:dyDescent="0.5"/>
    <row r="898" ht="29.25" x14ac:dyDescent="0.5"/>
    <row r="899" ht="29.25" x14ac:dyDescent="0.5"/>
    <row r="900" ht="29.25" x14ac:dyDescent="0.5"/>
    <row r="901" ht="29.25" x14ac:dyDescent="0.5"/>
    <row r="902" ht="29.25" x14ac:dyDescent="0.5"/>
    <row r="903" ht="29.25" x14ac:dyDescent="0.5"/>
    <row r="904" ht="29.25" x14ac:dyDescent="0.5"/>
    <row r="905" ht="29.25" x14ac:dyDescent="0.5"/>
    <row r="906" ht="29.25" x14ac:dyDescent="0.5"/>
    <row r="907" ht="29.25" x14ac:dyDescent="0.5"/>
    <row r="908" ht="29.25" x14ac:dyDescent="0.5"/>
    <row r="909" ht="29.25" x14ac:dyDescent="0.5"/>
    <row r="910" ht="29.25" x14ac:dyDescent="0.5"/>
    <row r="911" ht="29.25" x14ac:dyDescent="0.5"/>
    <row r="912" ht="29.25" x14ac:dyDescent="0.5"/>
    <row r="913" ht="29.25" x14ac:dyDescent="0.5"/>
    <row r="914" ht="29.25" x14ac:dyDescent="0.5"/>
    <row r="915" ht="29.25" x14ac:dyDescent="0.5"/>
    <row r="916" ht="29.25" x14ac:dyDescent="0.5"/>
    <row r="917" ht="29.25" x14ac:dyDescent="0.5"/>
    <row r="918" ht="29.25" x14ac:dyDescent="0.5"/>
    <row r="919" ht="29.25" x14ac:dyDescent="0.5"/>
    <row r="920" ht="29.25" x14ac:dyDescent="0.5"/>
    <row r="921" ht="29.25" x14ac:dyDescent="0.5"/>
    <row r="922" ht="29.25" x14ac:dyDescent="0.5"/>
    <row r="923" ht="29.25" x14ac:dyDescent="0.5"/>
    <row r="924" ht="29.25" x14ac:dyDescent="0.5"/>
    <row r="925" ht="29.25" x14ac:dyDescent="0.5"/>
    <row r="926" ht="29.25" x14ac:dyDescent="0.5"/>
    <row r="927" ht="29.25" x14ac:dyDescent="0.5"/>
    <row r="928" ht="29.25" x14ac:dyDescent="0.5"/>
    <row r="929" ht="29.25" x14ac:dyDescent="0.5"/>
    <row r="930" ht="29.25" x14ac:dyDescent="0.5"/>
    <row r="931" ht="29.25" x14ac:dyDescent="0.5"/>
    <row r="932" ht="29.25" x14ac:dyDescent="0.5"/>
    <row r="933" ht="29.25" x14ac:dyDescent="0.5"/>
    <row r="934" ht="29.25" x14ac:dyDescent="0.5"/>
    <row r="935" ht="29.25" x14ac:dyDescent="0.5"/>
    <row r="936" ht="29.25" x14ac:dyDescent="0.5"/>
    <row r="937" ht="29.25" x14ac:dyDescent="0.5"/>
    <row r="938" ht="29.25" x14ac:dyDescent="0.5"/>
    <row r="939" ht="29.25" x14ac:dyDescent="0.5"/>
    <row r="940" ht="29.25" x14ac:dyDescent="0.5"/>
    <row r="941" ht="29.25" x14ac:dyDescent="0.5"/>
    <row r="942" ht="29.25" x14ac:dyDescent="0.5"/>
    <row r="943" ht="29.25" x14ac:dyDescent="0.5"/>
    <row r="944" ht="29.25" x14ac:dyDescent="0.5"/>
    <row r="945" ht="29.25" x14ac:dyDescent="0.5"/>
    <row r="946" ht="29.25" x14ac:dyDescent="0.5"/>
    <row r="947" ht="29.25" x14ac:dyDescent="0.5"/>
    <row r="948" ht="29.25" x14ac:dyDescent="0.5"/>
    <row r="949" ht="29.25" x14ac:dyDescent="0.5"/>
    <row r="950" ht="29.25" x14ac:dyDescent="0.5"/>
    <row r="951" ht="29.25" x14ac:dyDescent="0.5"/>
    <row r="952" ht="29.25" x14ac:dyDescent="0.5"/>
    <row r="953" ht="29.25" x14ac:dyDescent="0.5"/>
    <row r="954" ht="29.25" x14ac:dyDescent="0.5"/>
    <row r="955" ht="29.25" x14ac:dyDescent="0.5"/>
    <row r="956" ht="29.25" x14ac:dyDescent="0.5"/>
    <row r="957" ht="29.25" x14ac:dyDescent="0.5"/>
    <row r="958" ht="29.25" x14ac:dyDescent="0.5"/>
    <row r="959" ht="29.25" x14ac:dyDescent="0.5"/>
    <row r="960" ht="29.25" x14ac:dyDescent="0.5"/>
    <row r="961" ht="29.25" x14ac:dyDescent="0.5"/>
    <row r="962" ht="29.25" x14ac:dyDescent="0.5"/>
    <row r="963" ht="29.25" x14ac:dyDescent="0.5"/>
    <row r="964" ht="29.25" x14ac:dyDescent="0.5"/>
    <row r="965" ht="29.25" x14ac:dyDescent="0.5"/>
    <row r="966" ht="29.25" x14ac:dyDescent="0.5"/>
    <row r="967" ht="29.25" x14ac:dyDescent="0.5"/>
    <row r="968" ht="29.25" x14ac:dyDescent="0.5"/>
    <row r="969" ht="29.25" x14ac:dyDescent="0.5"/>
    <row r="970" ht="29.25" x14ac:dyDescent="0.5"/>
    <row r="971" ht="29.25" x14ac:dyDescent="0.5"/>
    <row r="972" ht="29.25" x14ac:dyDescent="0.5"/>
    <row r="973" ht="29.25" x14ac:dyDescent="0.5"/>
    <row r="974" ht="29.25" x14ac:dyDescent="0.5"/>
    <row r="975" ht="29.25" x14ac:dyDescent="0.5"/>
    <row r="976" ht="29.25" x14ac:dyDescent="0.5"/>
    <row r="977" ht="29.25" x14ac:dyDescent="0.5"/>
    <row r="978" ht="29.25" x14ac:dyDescent="0.5"/>
    <row r="979" ht="29.25" x14ac:dyDescent="0.5"/>
    <row r="980" ht="29.25" x14ac:dyDescent="0.5"/>
    <row r="981" ht="29.25" x14ac:dyDescent="0.5"/>
    <row r="982" ht="29.25" x14ac:dyDescent="0.5"/>
    <row r="983" ht="29.25" x14ac:dyDescent="0.5"/>
    <row r="984" ht="29.25" x14ac:dyDescent="0.5"/>
    <row r="985" ht="29.25" x14ac:dyDescent="0.5"/>
    <row r="986" ht="29.25" x14ac:dyDescent="0.5"/>
    <row r="987" ht="29.25" x14ac:dyDescent="0.5"/>
    <row r="988" ht="29.25" x14ac:dyDescent="0.5"/>
    <row r="989" ht="29.25" x14ac:dyDescent="0.5"/>
    <row r="990" ht="29.25" x14ac:dyDescent="0.5"/>
    <row r="991" ht="29.25" x14ac:dyDescent="0.5"/>
    <row r="992" ht="29.25" x14ac:dyDescent="0.5"/>
    <row r="993" ht="29.25" x14ac:dyDescent="0.5"/>
    <row r="994" ht="29.25" x14ac:dyDescent="0.5"/>
    <row r="995" ht="29.25" x14ac:dyDescent="0.5"/>
    <row r="996" ht="29.25" x14ac:dyDescent="0.5"/>
    <row r="997" ht="29.25" x14ac:dyDescent="0.5"/>
    <row r="998" ht="29.25" x14ac:dyDescent="0.5"/>
    <row r="999" ht="29.25" x14ac:dyDescent="0.5"/>
    <row r="1000" ht="29.25" x14ac:dyDescent="0.5"/>
    <row r="1001" ht="29.25" x14ac:dyDescent="0.5"/>
    <row r="1002" ht="29.25" x14ac:dyDescent="0.5"/>
    <row r="1003" ht="29.25" x14ac:dyDescent="0.5"/>
    <row r="1004" ht="29.25" x14ac:dyDescent="0.5"/>
    <row r="1005" ht="29.25" x14ac:dyDescent="0.5"/>
    <row r="1006" ht="29.25" x14ac:dyDescent="0.5"/>
    <row r="1007" ht="29.25" x14ac:dyDescent="0.5"/>
    <row r="1008" ht="29.25" x14ac:dyDescent="0.5"/>
    <row r="1009" ht="29.25" x14ac:dyDescent="0.5"/>
    <row r="1010" ht="29.25" x14ac:dyDescent="0.5"/>
    <row r="1011" ht="29.25" x14ac:dyDescent="0.5"/>
    <row r="1012" ht="29.25" x14ac:dyDescent="0.5"/>
    <row r="1013" ht="29.25" x14ac:dyDescent="0.5"/>
    <row r="1014" ht="29.25" x14ac:dyDescent="0.5"/>
    <row r="1015" ht="29.25" x14ac:dyDescent="0.5"/>
    <row r="1016" ht="29.25" x14ac:dyDescent="0.5"/>
    <row r="1017" ht="29.25" x14ac:dyDescent="0.5"/>
    <row r="1018" ht="29.25" x14ac:dyDescent="0.5"/>
    <row r="1019" ht="29.25" x14ac:dyDescent="0.5"/>
    <row r="1020" ht="29.25" x14ac:dyDescent="0.5"/>
    <row r="1021" ht="29.25" x14ac:dyDescent="0.5"/>
    <row r="1022" ht="29.25" x14ac:dyDescent="0.5"/>
    <row r="1023" ht="29.25" x14ac:dyDescent="0.5"/>
    <row r="1024" ht="29.25" x14ac:dyDescent="0.5"/>
    <row r="1025" ht="29.25" x14ac:dyDescent="0.5"/>
    <row r="1026" ht="29.25" x14ac:dyDescent="0.5"/>
    <row r="1027" ht="29.25" x14ac:dyDescent="0.5"/>
    <row r="1028" ht="29.25" x14ac:dyDescent="0.5"/>
    <row r="1029" ht="29.25" x14ac:dyDescent="0.5"/>
    <row r="1030" ht="29.25" x14ac:dyDescent="0.5"/>
    <row r="1031" ht="29.25" x14ac:dyDescent="0.5"/>
    <row r="1032" ht="29.25" x14ac:dyDescent="0.5"/>
    <row r="1033" ht="29.25" x14ac:dyDescent="0.5"/>
    <row r="1034" ht="29.25" x14ac:dyDescent="0.5"/>
    <row r="1035" ht="29.25" x14ac:dyDescent="0.5"/>
    <row r="1036" ht="29.25" x14ac:dyDescent="0.5"/>
    <row r="1037" ht="29.25" x14ac:dyDescent="0.5"/>
    <row r="1038" ht="29.25" x14ac:dyDescent="0.5"/>
    <row r="1039" ht="29.25" x14ac:dyDescent="0.5"/>
    <row r="1040" ht="29.25" x14ac:dyDescent="0.5"/>
    <row r="1041" ht="29.25" x14ac:dyDescent="0.5"/>
    <row r="1042" ht="29.25" x14ac:dyDescent="0.5"/>
    <row r="1043" ht="29.25" x14ac:dyDescent="0.5"/>
    <row r="1044" ht="29.25" x14ac:dyDescent="0.5"/>
    <row r="1045" ht="29.25" x14ac:dyDescent="0.5"/>
    <row r="1046" ht="29.25" x14ac:dyDescent="0.5"/>
    <row r="1047" ht="29.25" x14ac:dyDescent="0.5"/>
    <row r="1048" ht="29.25" x14ac:dyDescent="0.5"/>
    <row r="1049" ht="29.25" x14ac:dyDescent="0.5"/>
    <row r="1050" ht="29.25" x14ac:dyDescent="0.5"/>
    <row r="1051" ht="29.25" x14ac:dyDescent="0.5"/>
    <row r="1052" ht="29.25" x14ac:dyDescent="0.5"/>
    <row r="1053" ht="29.25" x14ac:dyDescent="0.5"/>
    <row r="1054" ht="29.25" x14ac:dyDescent="0.5"/>
    <row r="1055" ht="29.25" x14ac:dyDescent="0.5"/>
    <row r="1056" ht="29.25" x14ac:dyDescent="0.5"/>
    <row r="1057" ht="29.25" x14ac:dyDescent="0.5"/>
    <row r="1058" ht="29.25" x14ac:dyDescent="0.5"/>
    <row r="1059" ht="29.25" x14ac:dyDescent="0.5"/>
    <row r="1060" ht="29.25" x14ac:dyDescent="0.5"/>
    <row r="1061" ht="29.25" x14ac:dyDescent="0.5"/>
    <row r="1062" ht="29.25" x14ac:dyDescent="0.5"/>
    <row r="1063" ht="29.25" x14ac:dyDescent="0.5"/>
    <row r="1064" ht="29.25" x14ac:dyDescent="0.5"/>
    <row r="1065" ht="29.25" x14ac:dyDescent="0.5"/>
    <row r="1066" ht="29.25" x14ac:dyDescent="0.5"/>
    <row r="1067" ht="29.25" x14ac:dyDescent="0.5"/>
    <row r="1068" ht="29.25" x14ac:dyDescent="0.5"/>
    <row r="1069" ht="29.25" x14ac:dyDescent="0.5"/>
    <row r="1070" ht="29.25" x14ac:dyDescent="0.5"/>
    <row r="1071" ht="29.25" x14ac:dyDescent="0.5"/>
    <row r="1072" ht="29.25" x14ac:dyDescent="0.5"/>
    <row r="1073" ht="29.25" x14ac:dyDescent="0.5"/>
    <row r="1074" ht="29.25" x14ac:dyDescent="0.5"/>
    <row r="1075" ht="29.25" x14ac:dyDescent="0.5"/>
    <row r="1076" ht="29.25" x14ac:dyDescent="0.5"/>
    <row r="1077" ht="29.25" x14ac:dyDescent="0.5"/>
    <row r="1078" ht="29.25" x14ac:dyDescent="0.5"/>
    <row r="1079" ht="29.25" x14ac:dyDescent="0.5"/>
    <row r="1080" ht="29.25" x14ac:dyDescent="0.5"/>
    <row r="1081" ht="29.25" x14ac:dyDescent="0.5"/>
    <row r="1082" ht="29.25" x14ac:dyDescent="0.5"/>
    <row r="1083" ht="29.25" x14ac:dyDescent="0.5"/>
    <row r="1084" ht="29.25" x14ac:dyDescent="0.5"/>
    <row r="1085" ht="29.25" x14ac:dyDescent="0.5"/>
    <row r="1086" ht="29.25" x14ac:dyDescent="0.5"/>
    <row r="1087" ht="29.25" x14ac:dyDescent="0.5"/>
    <row r="1088" ht="29.25" x14ac:dyDescent="0.5"/>
    <row r="1089" ht="29.25" x14ac:dyDescent="0.5"/>
    <row r="1090" ht="29.25" x14ac:dyDescent="0.5"/>
    <row r="1091" ht="29.25" x14ac:dyDescent="0.5"/>
    <row r="1092" ht="29.25" x14ac:dyDescent="0.5"/>
    <row r="1093" ht="29.25" x14ac:dyDescent="0.5"/>
    <row r="1094" ht="29.25" x14ac:dyDescent="0.5"/>
    <row r="1095" ht="29.25" x14ac:dyDescent="0.5"/>
    <row r="1096" ht="29.25" x14ac:dyDescent="0.5"/>
    <row r="1097" ht="29.25" x14ac:dyDescent="0.5"/>
    <row r="1098" ht="29.25" x14ac:dyDescent="0.5"/>
    <row r="1099" ht="29.25" x14ac:dyDescent="0.5"/>
    <row r="1100" ht="29.25" x14ac:dyDescent="0.5"/>
    <row r="1101" ht="29.25" x14ac:dyDescent="0.5"/>
    <row r="1102" ht="29.25" x14ac:dyDescent="0.5"/>
    <row r="1103" ht="29.25" x14ac:dyDescent="0.5"/>
    <row r="1104" ht="29.25" x14ac:dyDescent="0.5"/>
    <row r="1105" ht="29.25" x14ac:dyDescent="0.5"/>
    <row r="1106" ht="29.25" x14ac:dyDescent="0.5"/>
    <row r="1107" ht="29.25" x14ac:dyDescent="0.5"/>
    <row r="1108" ht="29.25" x14ac:dyDescent="0.5"/>
    <row r="1109" ht="29.25" x14ac:dyDescent="0.5"/>
    <row r="1110" ht="29.25" x14ac:dyDescent="0.5"/>
    <row r="1111" ht="29.25" x14ac:dyDescent="0.5"/>
    <row r="1112" ht="29.25" x14ac:dyDescent="0.5"/>
    <row r="1113" ht="29.25" x14ac:dyDescent="0.5"/>
    <row r="1114" ht="29.25" x14ac:dyDescent="0.5"/>
    <row r="1115" ht="29.25" x14ac:dyDescent="0.5"/>
    <row r="1116" ht="29.25" x14ac:dyDescent="0.5"/>
    <row r="1117" ht="29.25" x14ac:dyDescent="0.5"/>
    <row r="1118" ht="29.25" x14ac:dyDescent="0.5"/>
    <row r="1119" ht="29.25" x14ac:dyDescent="0.5"/>
    <row r="1120" ht="29.25" x14ac:dyDescent="0.5"/>
    <row r="1121" ht="29.25" x14ac:dyDescent="0.5"/>
    <row r="1122" ht="29.25" x14ac:dyDescent="0.5"/>
    <row r="1123" ht="29.25" x14ac:dyDescent="0.5"/>
    <row r="1124" ht="29.25" x14ac:dyDescent="0.5"/>
    <row r="1125" ht="29.25" x14ac:dyDescent="0.5"/>
    <row r="1126" ht="29.25" x14ac:dyDescent="0.5"/>
    <row r="1127" ht="29.25" x14ac:dyDescent="0.5"/>
    <row r="1128" ht="29.25" x14ac:dyDescent="0.5"/>
    <row r="1129" ht="29.25" x14ac:dyDescent="0.5"/>
    <row r="1130" ht="29.25" x14ac:dyDescent="0.5"/>
    <row r="1131" ht="29.25" x14ac:dyDescent="0.5"/>
    <row r="1132" ht="29.25" x14ac:dyDescent="0.5"/>
    <row r="1133" ht="29.25" x14ac:dyDescent="0.5"/>
    <row r="1134" ht="29.25" x14ac:dyDescent="0.5"/>
    <row r="1135" ht="29.25" x14ac:dyDescent="0.5"/>
    <row r="1136" ht="29.25" x14ac:dyDescent="0.5"/>
    <row r="1137" ht="29.25" x14ac:dyDescent="0.5"/>
    <row r="1138" ht="29.25" x14ac:dyDescent="0.5"/>
    <row r="1139" ht="29.25" x14ac:dyDescent="0.5"/>
    <row r="1140" ht="29.25" x14ac:dyDescent="0.5"/>
    <row r="1141" ht="29.25" x14ac:dyDescent="0.5"/>
    <row r="1142" ht="29.25" x14ac:dyDescent="0.5"/>
    <row r="1143" ht="29.25" x14ac:dyDescent="0.5"/>
    <row r="1144" ht="29.25" x14ac:dyDescent="0.5"/>
    <row r="1145" ht="29.25" x14ac:dyDescent="0.5"/>
    <row r="1146" ht="29.25" x14ac:dyDescent="0.5"/>
    <row r="1147" ht="29.25" x14ac:dyDescent="0.5"/>
    <row r="1148" ht="29.25" x14ac:dyDescent="0.5"/>
    <row r="1149" ht="29.25" x14ac:dyDescent="0.5"/>
    <row r="1150" ht="29.25" x14ac:dyDescent="0.5"/>
    <row r="1151" ht="29.25" x14ac:dyDescent="0.5"/>
    <row r="1152" ht="29.25" x14ac:dyDescent="0.5"/>
    <row r="1153" ht="29.25" x14ac:dyDescent="0.5"/>
    <row r="1154" ht="29.25" x14ac:dyDescent="0.5"/>
    <row r="1155" ht="29.25" x14ac:dyDescent="0.5"/>
    <row r="1156" ht="29.25" x14ac:dyDescent="0.5"/>
    <row r="1157" ht="29.25" x14ac:dyDescent="0.5"/>
    <row r="1158" ht="29.25" x14ac:dyDescent="0.5"/>
    <row r="1159" ht="29.25" x14ac:dyDescent="0.5"/>
    <row r="1160" ht="29.25" x14ac:dyDescent="0.5"/>
    <row r="1161" ht="29.25" x14ac:dyDescent="0.5"/>
    <row r="1162" ht="29.25" x14ac:dyDescent="0.5"/>
    <row r="1163" ht="29.25" x14ac:dyDescent="0.5"/>
    <row r="1164" ht="29.25" x14ac:dyDescent="0.5"/>
    <row r="1165" ht="29.25" x14ac:dyDescent="0.5"/>
    <row r="1166" ht="29.25" x14ac:dyDescent="0.5"/>
    <row r="1167" ht="29.25" x14ac:dyDescent="0.5"/>
    <row r="1168" ht="29.25" x14ac:dyDescent="0.5"/>
    <row r="1169" ht="29.25" x14ac:dyDescent="0.5"/>
    <row r="1170" ht="29.25" x14ac:dyDescent="0.5"/>
    <row r="1171" ht="29.25" x14ac:dyDescent="0.5"/>
    <row r="1172" ht="29.25" x14ac:dyDescent="0.5"/>
    <row r="1173" ht="29.25" x14ac:dyDescent="0.5"/>
    <row r="1174" ht="29.25" x14ac:dyDescent="0.5"/>
    <row r="1175" ht="29.25" x14ac:dyDescent="0.5"/>
    <row r="1176" ht="29.25" x14ac:dyDescent="0.5"/>
    <row r="1177" ht="29.25" x14ac:dyDescent="0.5"/>
    <row r="1178" ht="29.25" x14ac:dyDescent="0.5"/>
    <row r="1179" ht="29.25" x14ac:dyDescent="0.5"/>
    <row r="1180" ht="29.25" x14ac:dyDescent="0.5"/>
    <row r="1181" ht="29.25" x14ac:dyDescent="0.5"/>
    <row r="1182" ht="29.25" x14ac:dyDescent="0.5"/>
    <row r="1183" ht="29.25" x14ac:dyDescent="0.5"/>
    <row r="1184" ht="29.25" x14ac:dyDescent="0.5"/>
    <row r="1185" ht="29.25" x14ac:dyDescent="0.5"/>
    <row r="1186" ht="29.25" x14ac:dyDescent="0.5"/>
    <row r="1187" ht="29.25" x14ac:dyDescent="0.5"/>
    <row r="1188" ht="29.25" x14ac:dyDescent="0.5"/>
    <row r="1189" ht="29.25" x14ac:dyDescent="0.5"/>
    <row r="1190" ht="29.25" x14ac:dyDescent="0.5"/>
    <row r="1191" ht="29.25" x14ac:dyDescent="0.5"/>
    <row r="1192" ht="29.25" x14ac:dyDescent="0.5"/>
    <row r="1193" ht="29.25" x14ac:dyDescent="0.5"/>
    <row r="1194" ht="29.25" x14ac:dyDescent="0.5"/>
    <row r="1195" ht="29.25" x14ac:dyDescent="0.5"/>
    <row r="1196" ht="29.25" x14ac:dyDescent="0.5"/>
    <row r="1197" ht="29.25" x14ac:dyDescent="0.5"/>
    <row r="1198" ht="29.25" x14ac:dyDescent="0.5"/>
    <row r="1199" ht="29.25" x14ac:dyDescent="0.5"/>
    <row r="1200" ht="29.25" x14ac:dyDescent="0.5"/>
    <row r="1201" ht="29.25" x14ac:dyDescent="0.5"/>
    <row r="1202" ht="29.25" x14ac:dyDescent="0.5"/>
    <row r="1203" ht="29.25" x14ac:dyDescent="0.5"/>
    <row r="1204" ht="29.25" x14ac:dyDescent="0.5"/>
    <row r="1205" ht="29.25" x14ac:dyDescent="0.5"/>
    <row r="1206" ht="29.25" x14ac:dyDescent="0.5"/>
    <row r="1207" ht="29.25" x14ac:dyDescent="0.5"/>
    <row r="1208" ht="29.25" x14ac:dyDescent="0.5"/>
    <row r="1209" ht="29.25" x14ac:dyDescent="0.5"/>
    <row r="1210" ht="29.25" x14ac:dyDescent="0.5"/>
    <row r="1211" ht="29.25" x14ac:dyDescent="0.5"/>
    <row r="1212" ht="29.25" x14ac:dyDescent="0.5"/>
    <row r="1213" ht="29.25" x14ac:dyDescent="0.5"/>
    <row r="1214" ht="29.25" x14ac:dyDescent="0.5"/>
    <row r="1215" ht="29.25" x14ac:dyDescent="0.5"/>
    <row r="1216" ht="29.25" x14ac:dyDescent="0.5"/>
    <row r="1217" ht="29.25" x14ac:dyDescent="0.5"/>
    <row r="1218" ht="29.25" x14ac:dyDescent="0.5"/>
    <row r="1219" ht="29.25" x14ac:dyDescent="0.5"/>
    <row r="1220" ht="29.25" x14ac:dyDescent="0.5"/>
    <row r="1221" ht="29.25" x14ac:dyDescent="0.5"/>
    <row r="1222" ht="29.25" x14ac:dyDescent="0.5"/>
    <row r="1223" ht="29.25" x14ac:dyDescent="0.5"/>
    <row r="1224" ht="29.25" x14ac:dyDescent="0.5"/>
    <row r="1225" ht="29.25" x14ac:dyDescent="0.5"/>
    <row r="1226" ht="29.25" x14ac:dyDescent="0.5"/>
    <row r="1227" ht="29.25" x14ac:dyDescent="0.5"/>
    <row r="1228" ht="29.25" x14ac:dyDescent="0.5"/>
    <row r="1229" ht="29.25" x14ac:dyDescent="0.5"/>
    <row r="1230" ht="29.25" x14ac:dyDescent="0.5"/>
    <row r="1231" ht="29.25" x14ac:dyDescent="0.5"/>
    <row r="1232" ht="29.25" x14ac:dyDescent="0.5"/>
    <row r="1233" ht="29.25" x14ac:dyDescent="0.5"/>
    <row r="1234" ht="29.25" x14ac:dyDescent="0.5"/>
    <row r="1235" ht="29.25" x14ac:dyDescent="0.5"/>
    <row r="1236" ht="29.25" x14ac:dyDescent="0.5"/>
    <row r="1237" ht="29.25" x14ac:dyDescent="0.5"/>
    <row r="1238" ht="29.25" x14ac:dyDescent="0.5"/>
    <row r="1239" ht="29.25" x14ac:dyDescent="0.5"/>
    <row r="1240" ht="29.25" x14ac:dyDescent="0.5"/>
    <row r="1241" ht="29.25" x14ac:dyDescent="0.5"/>
    <row r="1242" ht="29.25" x14ac:dyDescent="0.5"/>
    <row r="1243" ht="29.25" x14ac:dyDescent="0.5"/>
    <row r="1244" ht="29.25" x14ac:dyDescent="0.5"/>
    <row r="1245" ht="29.25" x14ac:dyDescent="0.5"/>
    <row r="1246" ht="29.25" x14ac:dyDescent="0.5"/>
    <row r="1247" ht="29.25" x14ac:dyDescent="0.5"/>
    <row r="1248" ht="29.25" x14ac:dyDescent="0.5"/>
    <row r="1249" ht="29.25" x14ac:dyDescent="0.5"/>
    <row r="1250" ht="29.25" x14ac:dyDescent="0.5"/>
    <row r="1251" ht="29.25" x14ac:dyDescent="0.5"/>
    <row r="1252" ht="29.25" x14ac:dyDescent="0.5"/>
    <row r="1253" ht="29.25" x14ac:dyDescent="0.5"/>
    <row r="1254" ht="29.25" x14ac:dyDescent="0.5"/>
    <row r="1255" ht="29.25" x14ac:dyDescent="0.5"/>
    <row r="1256" ht="29.25" x14ac:dyDescent="0.5"/>
    <row r="1257" ht="29.25" x14ac:dyDescent="0.5"/>
    <row r="1258" ht="29.25" x14ac:dyDescent="0.5"/>
    <row r="1259" ht="29.25" x14ac:dyDescent="0.5"/>
    <row r="1260" ht="29.25" x14ac:dyDescent="0.5"/>
    <row r="1261" ht="29.25" x14ac:dyDescent="0.5"/>
    <row r="1262" ht="29.25" x14ac:dyDescent="0.5"/>
    <row r="1263" ht="29.25" x14ac:dyDescent="0.5"/>
    <row r="1264" ht="29.25" x14ac:dyDescent="0.5"/>
    <row r="1265" ht="29.25" x14ac:dyDescent="0.5"/>
    <row r="1266" ht="29.25" x14ac:dyDescent="0.5"/>
    <row r="1267" ht="29.25" x14ac:dyDescent="0.5"/>
    <row r="1268" ht="29.25" x14ac:dyDescent="0.5"/>
    <row r="1269" ht="29.25" x14ac:dyDescent="0.5"/>
    <row r="1270" ht="29.25" x14ac:dyDescent="0.5"/>
    <row r="1271" ht="29.25" x14ac:dyDescent="0.5"/>
    <row r="1272" ht="29.25" x14ac:dyDescent="0.5"/>
    <row r="1273" ht="29.25" x14ac:dyDescent="0.5"/>
    <row r="1274" ht="29.25" x14ac:dyDescent="0.5"/>
    <row r="1275" ht="29.25" x14ac:dyDescent="0.5"/>
    <row r="1276" ht="29.25" x14ac:dyDescent="0.5"/>
    <row r="1277" ht="29.25" x14ac:dyDescent="0.5"/>
    <row r="1278" ht="29.25" x14ac:dyDescent="0.5"/>
    <row r="1279" ht="29.25" x14ac:dyDescent="0.5"/>
    <row r="1280" ht="29.25" x14ac:dyDescent="0.5"/>
    <row r="1281" ht="29.25" x14ac:dyDescent="0.5"/>
    <row r="1282" ht="29.25" x14ac:dyDescent="0.5"/>
    <row r="1283" ht="29.25" x14ac:dyDescent="0.5"/>
    <row r="1284" ht="29.25" x14ac:dyDescent="0.5"/>
    <row r="1285" ht="29.25" x14ac:dyDescent="0.5"/>
    <row r="1286" ht="29.25" x14ac:dyDescent="0.5"/>
    <row r="1287" ht="29.25" x14ac:dyDescent="0.5"/>
    <row r="1288" ht="29.25" x14ac:dyDescent="0.5"/>
    <row r="1289" ht="29.25" x14ac:dyDescent="0.5"/>
    <row r="1290" ht="29.25" x14ac:dyDescent="0.5"/>
    <row r="1291" ht="29.25" x14ac:dyDescent="0.5"/>
    <row r="1292" ht="29.25" x14ac:dyDescent="0.5"/>
    <row r="1293" ht="29.25" x14ac:dyDescent="0.5"/>
    <row r="1294" ht="29.25" x14ac:dyDescent="0.5"/>
    <row r="1295" ht="29.25" x14ac:dyDescent="0.5"/>
    <row r="1296" ht="29.25" x14ac:dyDescent="0.5"/>
    <row r="1297" ht="29.25" x14ac:dyDescent="0.5"/>
    <row r="1298" ht="29.25" x14ac:dyDescent="0.5"/>
    <row r="1299" ht="29.25" x14ac:dyDescent="0.5"/>
    <row r="1300" ht="29.25" x14ac:dyDescent="0.5"/>
    <row r="1301" ht="29.25" x14ac:dyDescent="0.5"/>
    <row r="1302" ht="29.25" x14ac:dyDescent="0.5"/>
    <row r="1303" ht="29.25" x14ac:dyDescent="0.5"/>
    <row r="1304" ht="29.25" x14ac:dyDescent="0.5"/>
    <row r="1305" ht="29.25" x14ac:dyDescent="0.5"/>
    <row r="1306" ht="29.25" x14ac:dyDescent="0.5"/>
    <row r="1307" ht="29.25" x14ac:dyDescent="0.5"/>
    <row r="1308" ht="29.25" x14ac:dyDescent="0.5"/>
    <row r="1309" ht="29.25" x14ac:dyDescent="0.5"/>
    <row r="1310" ht="29.25" x14ac:dyDescent="0.5"/>
    <row r="1311" ht="29.25" x14ac:dyDescent="0.5"/>
    <row r="1312" ht="29.25" x14ac:dyDescent="0.5"/>
    <row r="1313" ht="29.25" x14ac:dyDescent="0.5"/>
    <row r="1314" ht="29.25" x14ac:dyDescent="0.5"/>
    <row r="1315" ht="29.25" x14ac:dyDescent="0.5"/>
    <row r="1316" ht="29.25" x14ac:dyDescent="0.5"/>
    <row r="1317" ht="29.25" x14ac:dyDescent="0.5"/>
    <row r="1318" ht="29.25" x14ac:dyDescent="0.5"/>
    <row r="1319" ht="29.25" x14ac:dyDescent="0.5"/>
    <row r="1320" ht="29.25" x14ac:dyDescent="0.5"/>
    <row r="1321" ht="29.25" x14ac:dyDescent="0.5"/>
    <row r="1322" ht="29.25" x14ac:dyDescent="0.5"/>
    <row r="1323" ht="29.25" x14ac:dyDescent="0.5"/>
    <row r="1324" ht="29.25" x14ac:dyDescent="0.5"/>
    <row r="1325" ht="29.25" x14ac:dyDescent="0.5"/>
    <row r="1326" ht="29.25" x14ac:dyDescent="0.5"/>
    <row r="1327" ht="29.25" x14ac:dyDescent="0.5"/>
    <row r="1328" ht="29.25" x14ac:dyDescent="0.5"/>
    <row r="1329" ht="29.25" x14ac:dyDescent="0.5"/>
    <row r="1330" ht="29.25" x14ac:dyDescent="0.5"/>
    <row r="1331" ht="29.25" x14ac:dyDescent="0.5"/>
    <row r="1332" ht="29.25" x14ac:dyDescent="0.5"/>
    <row r="1333" ht="29.25" x14ac:dyDescent="0.5"/>
    <row r="1334" ht="29.25" x14ac:dyDescent="0.5"/>
    <row r="1335" ht="29.25" x14ac:dyDescent="0.5"/>
    <row r="1336" ht="29.25" x14ac:dyDescent="0.5"/>
    <row r="1337" ht="29.25" x14ac:dyDescent="0.5"/>
    <row r="1338" ht="29.25" x14ac:dyDescent="0.5"/>
    <row r="1339" ht="29.25" x14ac:dyDescent="0.5"/>
    <row r="1340" ht="29.25" x14ac:dyDescent="0.5"/>
    <row r="1341" ht="29.25" x14ac:dyDescent="0.5"/>
    <row r="1342" ht="29.25" x14ac:dyDescent="0.5"/>
    <row r="1343" ht="29.25" x14ac:dyDescent="0.5"/>
    <row r="1344" ht="29.25" x14ac:dyDescent="0.5"/>
    <row r="1345" ht="29.25" x14ac:dyDescent="0.5"/>
    <row r="1346" ht="29.25" x14ac:dyDescent="0.5"/>
    <row r="1347" ht="29.25" x14ac:dyDescent="0.5"/>
    <row r="1348" ht="29.25" x14ac:dyDescent="0.5"/>
    <row r="1349" ht="29.25" x14ac:dyDescent="0.5"/>
    <row r="1350" ht="29.25" x14ac:dyDescent="0.5"/>
    <row r="1351" ht="29.25" x14ac:dyDescent="0.5"/>
    <row r="1352" ht="29.25" x14ac:dyDescent="0.5"/>
    <row r="1353" ht="29.25" x14ac:dyDescent="0.5"/>
    <row r="1354" ht="29.25" x14ac:dyDescent="0.5"/>
    <row r="1355" ht="29.25" x14ac:dyDescent="0.5"/>
    <row r="1356" ht="29.25" x14ac:dyDescent="0.5"/>
    <row r="1357" ht="29.25" x14ac:dyDescent="0.5"/>
    <row r="1358" ht="29.25" x14ac:dyDescent="0.5"/>
    <row r="1359" ht="29.25" x14ac:dyDescent="0.5"/>
    <row r="1360" ht="29.25" x14ac:dyDescent="0.5"/>
    <row r="1361" ht="29.25" x14ac:dyDescent="0.5"/>
    <row r="1362" ht="29.25" x14ac:dyDescent="0.5"/>
    <row r="1363" ht="29.25" x14ac:dyDescent="0.5"/>
    <row r="1364" ht="29.25" x14ac:dyDescent="0.5"/>
    <row r="1365" ht="29.25" x14ac:dyDescent="0.5"/>
    <row r="1366" ht="29.25" x14ac:dyDescent="0.5"/>
    <row r="1367" ht="29.25" x14ac:dyDescent="0.5"/>
    <row r="1368" ht="29.25" x14ac:dyDescent="0.5"/>
    <row r="1369" ht="29.25" x14ac:dyDescent="0.5"/>
    <row r="1370" ht="29.25" x14ac:dyDescent="0.5"/>
    <row r="1371" ht="29.25" x14ac:dyDescent="0.5"/>
    <row r="1372" ht="29.25" x14ac:dyDescent="0.5"/>
    <row r="1373" ht="29.25" x14ac:dyDescent="0.5"/>
    <row r="1374" ht="29.25" x14ac:dyDescent="0.5"/>
    <row r="1375" ht="29.25" x14ac:dyDescent="0.5"/>
    <row r="1376" ht="29.25" x14ac:dyDescent="0.5"/>
    <row r="1377" ht="29.25" x14ac:dyDescent="0.5"/>
    <row r="1378" ht="29.25" x14ac:dyDescent="0.5"/>
    <row r="1379" ht="29.25" x14ac:dyDescent="0.5"/>
    <row r="1380" ht="29.25" x14ac:dyDescent="0.5"/>
    <row r="1381" ht="29.25" x14ac:dyDescent="0.5"/>
    <row r="1382" ht="29.25" x14ac:dyDescent="0.5"/>
    <row r="1383" ht="29.25" x14ac:dyDescent="0.5"/>
    <row r="1384" ht="29.25" x14ac:dyDescent="0.5"/>
    <row r="1385" ht="29.25" x14ac:dyDescent="0.5"/>
    <row r="1386" ht="29.25" x14ac:dyDescent="0.5"/>
    <row r="1387" ht="29.25" x14ac:dyDescent="0.5"/>
    <row r="1388" ht="29.25" x14ac:dyDescent="0.5"/>
    <row r="1389" ht="29.25" x14ac:dyDescent="0.5"/>
    <row r="1390" ht="29.25" x14ac:dyDescent="0.5"/>
    <row r="1391" ht="29.25" x14ac:dyDescent="0.5"/>
    <row r="1392" ht="29.25" x14ac:dyDescent="0.5"/>
    <row r="1393" ht="29.25" x14ac:dyDescent="0.5"/>
    <row r="1394" ht="29.25" x14ac:dyDescent="0.5"/>
    <row r="1395" ht="29.25" x14ac:dyDescent="0.5"/>
    <row r="1396" ht="29.25" x14ac:dyDescent="0.5"/>
    <row r="1397" ht="29.25" x14ac:dyDescent="0.5"/>
    <row r="1398" ht="29.25" x14ac:dyDescent="0.5"/>
    <row r="1399" ht="29.25" x14ac:dyDescent="0.5"/>
    <row r="1400" ht="29.25" x14ac:dyDescent="0.5"/>
    <row r="1401" ht="29.25" x14ac:dyDescent="0.5"/>
    <row r="1402" ht="29.25" x14ac:dyDescent="0.5"/>
    <row r="1403" ht="29.25" x14ac:dyDescent="0.5"/>
    <row r="1404" ht="29.25" x14ac:dyDescent="0.5"/>
    <row r="1405" ht="29.25" x14ac:dyDescent="0.5"/>
    <row r="1406" ht="29.25" x14ac:dyDescent="0.5"/>
    <row r="1407" ht="29.25" x14ac:dyDescent="0.5"/>
    <row r="1408" ht="29.25" x14ac:dyDescent="0.5"/>
    <row r="1409" ht="29.25" x14ac:dyDescent="0.5"/>
    <row r="1410" ht="29.25" x14ac:dyDescent="0.5"/>
    <row r="1411" ht="29.25" x14ac:dyDescent="0.5"/>
    <row r="1412" ht="29.25" x14ac:dyDescent="0.5"/>
    <row r="1413" ht="29.25" x14ac:dyDescent="0.5"/>
    <row r="1414" ht="29.25" x14ac:dyDescent="0.5"/>
    <row r="1415" ht="29.25" x14ac:dyDescent="0.5"/>
    <row r="1416" ht="29.25" x14ac:dyDescent="0.5"/>
    <row r="1417" ht="29.25" x14ac:dyDescent="0.5"/>
    <row r="1418" ht="29.25" x14ac:dyDescent="0.5"/>
    <row r="1419" ht="29.25" x14ac:dyDescent="0.5"/>
    <row r="1420" ht="29.25" x14ac:dyDescent="0.5"/>
    <row r="1421" ht="29.25" x14ac:dyDescent="0.5"/>
    <row r="1422" ht="29.25" x14ac:dyDescent="0.5"/>
    <row r="1423" ht="29.25" x14ac:dyDescent="0.5"/>
    <row r="1424" ht="29.25" x14ac:dyDescent="0.5"/>
    <row r="1425" ht="29.25" x14ac:dyDescent="0.5"/>
    <row r="1426" ht="29.25" x14ac:dyDescent="0.5"/>
    <row r="1427" ht="29.25" x14ac:dyDescent="0.5"/>
    <row r="1428" ht="29.25" x14ac:dyDescent="0.5"/>
    <row r="1429" ht="29.25" x14ac:dyDescent="0.5"/>
    <row r="1430" ht="29.25" x14ac:dyDescent="0.5"/>
    <row r="1431" ht="29.25" x14ac:dyDescent="0.5"/>
    <row r="1432" ht="29.25" x14ac:dyDescent="0.5"/>
    <row r="1433" ht="29.25" x14ac:dyDescent="0.5"/>
    <row r="1434" ht="29.25" x14ac:dyDescent="0.5"/>
    <row r="1435" ht="29.25" x14ac:dyDescent="0.5"/>
    <row r="1436" ht="29.25" x14ac:dyDescent="0.5"/>
    <row r="1437" ht="29.25" x14ac:dyDescent="0.5"/>
    <row r="1438" ht="29.25" x14ac:dyDescent="0.5"/>
    <row r="1439" ht="29.25" x14ac:dyDescent="0.5"/>
    <row r="1440" ht="29.25" x14ac:dyDescent="0.5"/>
    <row r="1441" ht="29.25" x14ac:dyDescent="0.5"/>
    <row r="1442" ht="29.25" x14ac:dyDescent="0.5"/>
    <row r="1443" ht="29.25" x14ac:dyDescent="0.5"/>
    <row r="1444" ht="29.25" x14ac:dyDescent="0.5"/>
    <row r="1445" ht="29.25" x14ac:dyDescent="0.5"/>
    <row r="1446" ht="29.25" x14ac:dyDescent="0.5"/>
    <row r="1447" ht="29.25" x14ac:dyDescent="0.5"/>
    <row r="1448" ht="29.25" x14ac:dyDescent="0.5"/>
    <row r="1449" ht="29.25" x14ac:dyDescent="0.5"/>
    <row r="1450" ht="29.25" x14ac:dyDescent="0.5"/>
    <row r="1451" ht="29.25" x14ac:dyDescent="0.5"/>
    <row r="1452" ht="29.25" x14ac:dyDescent="0.5"/>
    <row r="1453" ht="29.25" x14ac:dyDescent="0.5"/>
    <row r="1454" ht="29.25" x14ac:dyDescent="0.5"/>
    <row r="1455" ht="29.25" x14ac:dyDescent="0.5"/>
    <row r="1456" ht="29.25" x14ac:dyDescent="0.5"/>
    <row r="1457" ht="29.25" x14ac:dyDescent="0.5"/>
    <row r="1458" ht="29.25" x14ac:dyDescent="0.5"/>
    <row r="1459" ht="29.25" x14ac:dyDescent="0.5"/>
    <row r="1460" ht="29.25" x14ac:dyDescent="0.5"/>
    <row r="1461" ht="29.25" x14ac:dyDescent="0.5"/>
    <row r="1462" ht="29.25" x14ac:dyDescent="0.5"/>
    <row r="1463" ht="29.25" x14ac:dyDescent="0.5"/>
    <row r="1464" ht="29.25" x14ac:dyDescent="0.5"/>
    <row r="1465" ht="29.25" x14ac:dyDescent="0.5"/>
    <row r="1466" ht="29.25" x14ac:dyDescent="0.5"/>
    <row r="1467" ht="29.25" x14ac:dyDescent="0.5"/>
    <row r="1468" ht="29.25" x14ac:dyDescent="0.5"/>
    <row r="1469" ht="29.25" x14ac:dyDescent="0.5"/>
    <row r="1470" ht="29.25" x14ac:dyDescent="0.5"/>
    <row r="1471" ht="29.25" x14ac:dyDescent="0.5"/>
    <row r="1472" ht="29.25" x14ac:dyDescent="0.5"/>
    <row r="1473" ht="29.25" x14ac:dyDescent="0.5"/>
    <row r="1474" ht="29.25" x14ac:dyDescent="0.5"/>
    <row r="1475" ht="29.25" x14ac:dyDescent="0.5"/>
    <row r="1476" ht="29.25" x14ac:dyDescent="0.5"/>
    <row r="1477" ht="29.25" x14ac:dyDescent="0.5"/>
    <row r="1478" ht="29.25" x14ac:dyDescent="0.5"/>
    <row r="1479" ht="29.25" x14ac:dyDescent="0.5"/>
    <row r="1480" ht="29.25" x14ac:dyDescent="0.5"/>
    <row r="1481" ht="29.25" x14ac:dyDescent="0.5"/>
    <row r="1482" ht="29.25" x14ac:dyDescent="0.5"/>
    <row r="1483" ht="29.25" x14ac:dyDescent="0.5"/>
    <row r="1484" ht="29.25" x14ac:dyDescent="0.5"/>
    <row r="1485" ht="29.25" x14ac:dyDescent="0.5"/>
    <row r="1486" ht="29.25" x14ac:dyDescent="0.5"/>
    <row r="1487" ht="29.25" x14ac:dyDescent="0.5"/>
    <row r="1488" ht="29.25" x14ac:dyDescent="0.5"/>
    <row r="1489" ht="29.25" x14ac:dyDescent="0.5"/>
    <row r="1490" ht="29.25" x14ac:dyDescent="0.5"/>
    <row r="1491" ht="29.25" x14ac:dyDescent="0.5"/>
    <row r="1492" ht="29.25" x14ac:dyDescent="0.5"/>
    <row r="1493" ht="29.25" x14ac:dyDescent="0.5"/>
    <row r="1494" ht="29.25" x14ac:dyDescent="0.5"/>
    <row r="1495" ht="29.25" x14ac:dyDescent="0.5"/>
    <row r="1496" ht="29.25" x14ac:dyDescent="0.5"/>
    <row r="1497" ht="29.25" x14ac:dyDescent="0.5"/>
    <row r="1498" ht="29.25" x14ac:dyDescent="0.5"/>
    <row r="1499" ht="29.25" x14ac:dyDescent="0.5"/>
    <row r="1500" ht="29.25" x14ac:dyDescent="0.5"/>
    <row r="1501" ht="29.25" x14ac:dyDescent="0.5"/>
    <row r="1502" ht="29.25" x14ac:dyDescent="0.5"/>
    <row r="1503" ht="29.25" x14ac:dyDescent="0.5"/>
    <row r="1504" ht="29.25" x14ac:dyDescent="0.5"/>
    <row r="1505" ht="29.25" x14ac:dyDescent="0.5"/>
    <row r="1506" ht="29.25" x14ac:dyDescent="0.5"/>
    <row r="1507" ht="29.25" x14ac:dyDescent="0.5"/>
    <row r="1508" ht="29.25" x14ac:dyDescent="0.5"/>
    <row r="1509" ht="29.25" x14ac:dyDescent="0.5"/>
    <row r="1510" ht="29.25" x14ac:dyDescent="0.5"/>
    <row r="1511" ht="29.25" x14ac:dyDescent="0.5"/>
    <row r="1512" ht="29.25" x14ac:dyDescent="0.5"/>
    <row r="1513" ht="29.25" x14ac:dyDescent="0.5"/>
    <row r="1514" ht="29.25" x14ac:dyDescent="0.5"/>
    <row r="1515" ht="29.25" x14ac:dyDescent="0.5"/>
    <row r="1516" ht="29.25" x14ac:dyDescent="0.5"/>
    <row r="1517" ht="29.25" x14ac:dyDescent="0.5"/>
    <row r="1518" ht="29.25" x14ac:dyDescent="0.5"/>
    <row r="1519" ht="29.25" x14ac:dyDescent="0.5"/>
    <row r="1520" ht="29.25" x14ac:dyDescent="0.5"/>
    <row r="1521" ht="29.25" x14ac:dyDescent="0.5"/>
    <row r="1522" ht="29.25" x14ac:dyDescent="0.5"/>
    <row r="1523" ht="29.25" x14ac:dyDescent="0.5"/>
    <row r="1524" ht="29.25" x14ac:dyDescent="0.5"/>
    <row r="1525" ht="29.25" x14ac:dyDescent="0.5"/>
    <row r="1526" ht="29.25" x14ac:dyDescent="0.5"/>
    <row r="1527" ht="29.25" x14ac:dyDescent="0.5"/>
    <row r="1528" ht="29.25" x14ac:dyDescent="0.5"/>
    <row r="1529" ht="29.25" x14ac:dyDescent="0.5"/>
    <row r="1530" ht="29.25" x14ac:dyDescent="0.5"/>
    <row r="1531" ht="29.25" x14ac:dyDescent="0.5"/>
    <row r="1532" ht="29.25" x14ac:dyDescent="0.5"/>
    <row r="1533" ht="29.25" x14ac:dyDescent="0.5"/>
    <row r="1534" ht="29.25" x14ac:dyDescent="0.5"/>
    <row r="1535" ht="29.25" x14ac:dyDescent="0.5"/>
    <row r="1536" ht="29.25" x14ac:dyDescent="0.5"/>
    <row r="1537" ht="29.25" x14ac:dyDescent="0.5"/>
    <row r="1538" ht="29.25" x14ac:dyDescent="0.5"/>
    <row r="1539" ht="29.25" x14ac:dyDescent="0.5"/>
    <row r="1540" ht="29.25" x14ac:dyDescent="0.5"/>
    <row r="1541" ht="29.25" x14ac:dyDescent="0.5"/>
    <row r="1542" ht="29.25" x14ac:dyDescent="0.5"/>
    <row r="1543" ht="29.25" x14ac:dyDescent="0.5"/>
    <row r="1544" ht="29.25" x14ac:dyDescent="0.5"/>
    <row r="1545" ht="29.25" x14ac:dyDescent="0.5"/>
    <row r="1546" ht="29.25" x14ac:dyDescent="0.5"/>
    <row r="1547" ht="29.25" x14ac:dyDescent="0.5"/>
    <row r="1548" ht="29.25" x14ac:dyDescent="0.5"/>
    <row r="1549" ht="29.25" x14ac:dyDescent="0.5"/>
    <row r="1550" ht="29.25" x14ac:dyDescent="0.5"/>
    <row r="1551" ht="29.25" x14ac:dyDescent="0.5"/>
    <row r="1552" ht="29.25" x14ac:dyDescent="0.5"/>
    <row r="1553" ht="29.25" x14ac:dyDescent="0.5"/>
    <row r="1554" ht="29.25" x14ac:dyDescent="0.5"/>
    <row r="1555" ht="29.25" x14ac:dyDescent="0.5"/>
    <row r="1556" ht="29.25" x14ac:dyDescent="0.5"/>
    <row r="1557" ht="29.25" x14ac:dyDescent="0.5"/>
    <row r="1558" ht="29.25" x14ac:dyDescent="0.5"/>
    <row r="1559" ht="29.25" x14ac:dyDescent="0.5"/>
    <row r="1560" ht="29.25" x14ac:dyDescent="0.5"/>
    <row r="1561" ht="29.25" x14ac:dyDescent="0.5"/>
    <row r="1562" ht="29.25" x14ac:dyDescent="0.5"/>
    <row r="1563" ht="29.25" x14ac:dyDescent="0.5"/>
    <row r="1564" ht="29.25" x14ac:dyDescent="0.5"/>
    <row r="1565" ht="29.25" x14ac:dyDescent="0.5"/>
    <row r="1566" ht="29.25" x14ac:dyDescent="0.5"/>
    <row r="1567" ht="29.25" x14ac:dyDescent="0.5"/>
    <row r="1568" ht="29.25" x14ac:dyDescent="0.5"/>
    <row r="1569" ht="29.25" x14ac:dyDescent="0.5"/>
    <row r="1570" ht="29.25" x14ac:dyDescent="0.5"/>
    <row r="1571" ht="29.25" x14ac:dyDescent="0.5"/>
    <row r="1572" ht="29.25" x14ac:dyDescent="0.5"/>
    <row r="1573" ht="29.25" x14ac:dyDescent="0.5"/>
    <row r="1574" ht="29.25" x14ac:dyDescent="0.5"/>
    <row r="1575" ht="29.25" x14ac:dyDescent="0.5"/>
    <row r="1576" ht="29.25" x14ac:dyDescent="0.5"/>
    <row r="1577" ht="29.25" x14ac:dyDescent="0.5"/>
    <row r="1578" ht="29.25" x14ac:dyDescent="0.5"/>
    <row r="1579" ht="29.25" x14ac:dyDescent="0.5"/>
    <row r="1580" ht="29.25" x14ac:dyDescent="0.5"/>
    <row r="1581" ht="29.25" x14ac:dyDescent="0.5"/>
    <row r="1582" ht="29.25" x14ac:dyDescent="0.5"/>
    <row r="1583" ht="29.25" x14ac:dyDescent="0.5"/>
    <row r="1584" ht="29.25" x14ac:dyDescent="0.5"/>
    <row r="1585" ht="29.25" x14ac:dyDescent="0.5"/>
    <row r="1586" ht="29.25" x14ac:dyDescent="0.5"/>
    <row r="1587" ht="29.25" x14ac:dyDescent="0.5"/>
    <row r="1588" ht="29.25" x14ac:dyDescent="0.5"/>
    <row r="1589" ht="29.25" x14ac:dyDescent="0.5"/>
    <row r="1590" ht="29.25" x14ac:dyDescent="0.5"/>
    <row r="1591" ht="29.25" x14ac:dyDescent="0.5"/>
    <row r="1592" ht="29.25" x14ac:dyDescent="0.5"/>
    <row r="1593" ht="29.25" x14ac:dyDescent="0.5"/>
    <row r="1594" ht="29.25" x14ac:dyDescent="0.5"/>
    <row r="1595" ht="29.25" x14ac:dyDescent="0.5"/>
    <row r="1596" ht="29.25" x14ac:dyDescent="0.5"/>
    <row r="1597" ht="29.25" x14ac:dyDescent="0.5"/>
    <row r="1598" ht="29.25" x14ac:dyDescent="0.5"/>
    <row r="1599" ht="29.25" x14ac:dyDescent="0.5"/>
    <row r="1600" ht="29.25" x14ac:dyDescent="0.5"/>
    <row r="1601" ht="29.25" x14ac:dyDescent="0.5"/>
    <row r="1602" ht="29.25" x14ac:dyDescent="0.5"/>
    <row r="1603" ht="29.25" x14ac:dyDescent="0.5"/>
    <row r="1604" ht="29.25" x14ac:dyDescent="0.5"/>
    <row r="1605" ht="29.25" x14ac:dyDescent="0.5"/>
    <row r="1606" ht="29.25" x14ac:dyDescent="0.5"/>
    <row r="1607" ht="29.25" x14ac:dyDescent="0.5"/>
    <row r="1608" ht="29.25" x14ac:dyDescent="0.5"/>
    <row r="1609" ht="29.25" x14ac:dyDescent="0.5"/>
    <row r="1610" ht="29.25" x14ac:dyDescent="0.5"/>
    <row r="1611" ht="29.25" x14ac:dyDescent="0.5"/>
    <row r="1612" ht="29.25" x14ac:dyDescent="0.5"/>
    <row r="1613" ht="29.25" x14ac:dyDescent="0.5"/>
    <row r="1614" ht="29.25" x14ac:dyDescent="0.5"/>
    <row r="1615" ht="29.25" x14ac:dyDescent="0.5"/>
    <row r="1616" ht="29.25" x14ac:dyDescent="0.5"/>
    <row r="1617" ht="29.25" x14ac:dyDescent="0.5"/>
    <row r="1618" ht="29.25" x14ac:dyDescent="0.5"/>
    <row r="1619" ht="29.25" x14ac:dyDescent="0.5"/>
    <row r="1620" ht="29.25" x14ac:dyDescent="0.5"/>
    <row r="1621" ht="29.25" x14ac:dyDescent="0.5"/>
    <row r="1622" ht="29.25" x14ac:dyDescent="0.5"/>
    <row r="1623" ht="29.25" x14ac:dyDescent="0.5"/>
    <row r="1624" ht="29.25" x14ac:dyDescent="0.5"/>
    <row r="1625" ht="29.25" x14ac:dyDescent="0.5"/>
    <row r="1626" ht="29.25" x14ac:dyDescent="0.5"/>
    <row r="1627" ht="29.25" x14ac:dyDescent="0.5"/>
    <row r="1628" ht="29.25" x14ac:dyDescent="0.5"/>
    <row r="1629" ht="29.25" x14ac:dyDescent="0.5"/>
    <row r="1630" ht="29.25" x14ac:dyDescent="0.5"/>
    <row r="1631" ht="29.25" x14ac:dyDescent="0.5"/>
    <row r="1632" ht="29.25" x14ac:dyDescent="0.5"/>
    <row r="1633" ht="29.25" x14ac:dyDescent="0.5"/>
    <row r="1634" ht="29.25" x14ac:dyDescent="0.5"/>
    <row r="1635" ht="29.25" x14ac:dyDescent="0.5"/>
    <row r="1636" ht="29.25" x14ac:dyDescent="0.5"/>
    <row r="1637" ht="29.25" x14ac:dyDescent="0.5"/>
    <row r="1638" ht="29.25" x14ac:dyDescent="0.5"/>
    <row r="1639" ht="29.25" x14ac:dyDescent="0.5"/>
    <row r="1640" ht="29.25" x14ac:dyDescent="0.5"/>
    <row r="1641" ht="29.25" x14ac:dyDescent="0.5"/>
    <row r="1642" ht="29.25" x14ac:dyDescent="0.5"/>
    <row r="1643" ht="29.25" x14ac:dyDescent="0.5"/>
    <row r="1644" ht="29.25" x14ac:dyDescent="0.5"/>
    <row r="1645" ht="29.25" x14ac:dyDescent="0.5"/>
    <row r="1646" ht="29.25" x14ac:dyDescent="0.5"/>
    <row r="1647" ht="29.25" x14ac:dyDescent="0.5"/>
    <row r="1648" ht="29.25" x14ac:dyDescent="0.5"/>
    <row r="1649" ht="29.25" x14ac:dyDescent="0.5"/>
    <row r="1650" ht="29.25" x14ac:dyDescent="0.5"/>
    <row r="1651" ht="29.25" x14ac:dyDescent="0.5"/>
    <row r="1652" ht="29.25" x14ac:dyDescent="0.5"/>
    <row r="1653" ht="29.25" x14ac:dyDescent="0.5"/>
    <row r="1654" ht="29.25" x14ac:dyDescent="0.5"/>
    <row r="1655" ht="29.25" x14ac:dyDescent="0.5"/>
    <row r="1656" ht="29.25" x14ac:dyDescent="0.5"/>
    <row r="1657" ht="29.25" x14ac:dyDescent="0.5"/>
    <row r="1658" ht="29.25" x14ac:dyDescent="0.5"/>
    <row r="1659" ht="29.25" x14ac:dyDescent="0.5"/>
    <row r="1660" ht="29.25" x14ac:dyDescent="0.5"/>
    <row r="1661" ht="29.25" x14ac:dyDescent="0.5"/>
    <row r="1662" ht="29.25" x14ac:dyDescent="0.5"/>
    <row r="1663" ht="29.25" x14ac:dyDescent="0.5"/>
    <row r="1664" ht="29.25" x14ac:dyDescent="0.5"/>
    <row r="1665" ht="29.25" x14ac:dyDescent="0.5"/>
    <row r="1666" ht="29.25" x14ac:dyDescent="0.5"/>
    <row r="1667" ht="29.25" x14ac:dyDescent="0.5"/>
    <row r="1668" ht="29.25" x14ac:dyDescent="0.5"/>
    <row r="1669" ht="29.25" x14ac:dyDescent="0.5"/>
    <row r="1670" ht="29.25" x14ac:dyDescent="0.5"/>
    <row r="1671" ht="29.25" x14ac:dyDescent="0.5"/>
    <row r="1672" ht="29.25" x14ac:dyDescent="0.5"/>
    <row r="1673" ht="29.25" x14ac:dyDescent="0.5"/>
    <row r="1674" ht="29.25" x14ac:dyDescent="0.5"/>
    <row r="1675" ht="29.25" x14ac:dyDescent="0.5"/>
    <row r="1676" ht="29.25" x14ac:dyDescent="0.5"/>
    <row r="1677" ht="29.25" x14ac:dyDescent="0.5"/>
    <row r="1678" ht="29.25" x14ac:dyDescent="0.5"/>
    <row r="1679" ht="29.25" x14ac:dyDescent="0.5"/>
    <row r="1680" ht="29.25" x14ac:dyDescent="0.5"/>
    <row r="1681" ht="29.25" x14ac:dyDescent="0.5"/>
    <row r="1682" ht="29.25" x14ac:dyDescent="0.5"/>
    <row r="1683" ht="29.25" x14ac:dyDescent="0.5"/>
    <row r="1684" ht="29.25" x14ac:dyDescent="0.5"/>
    <row r="1685" ht="29.25" x14ac:dyDescent="0.5"/>
    <row r="1686" ht="29.25" x14ac:dyDescent="0.5"/>
    <row r="1687" ht="29.25" x14ac:dyDescent="0.5"/>
    <row r="1688" ht="29.25" x14ac:dyDescent="0.5"/>
    <row r="1689" ht="29.25" x14ac:dyDescent="0.5"/>
    <row r="1690" ht="29.25" x14ac:dyDescent="0.5"/>
    <row r="1691" ht="29.25" x14ac:dyDescent="0.5"/>
    <row r="1692" ht="29.25" x14ac:dyDescent="0.5"/>
    <row r="1693" ht="29.25" x14ac:dyDescent="0.5"/>
    <row r="1694" ht="29.25" x14ac:dyDescent="0.5"/>
    <row r="1695" ht="29.25" x14ac:dyDescent="0.5"/>
    <row r="1696" ht="29.25" x14ac:dyDescent="0.5"/>
    <row r="1697" ht="29.25" x14ac:dyDescent="0.5"/>
    <row r="1698" ht="29.25" x14ac:dyDescent="0.5"/>
    <row r="1699" ht="29.25" x14ac:dyDescent="0.5"/>
    <row r="1700" ht="29.25" x14ac:dyDescent="0.5"/>
    <row r="1701" ht="29.25" x14ac:dyDescent="0.5"/>
  </sheetData>
  <mergeCells count="115">
    <mergeCell ref="A186:B186"/>
    <mergeCell ref="A187:B187"/>
    <mergeCell ref="A188:B188"/>
    <mergeCell ref="A189:B189"/>
    <mergeCell ref="A190:B190"/>
    <mergeCell ref="A171:J171"/>
    <mergeCell ref="A172:B172"/>
    <mergeCell ref="A173:B173"/>
    <mergeCell ref="A174:B174"/>
    <mergeCell ref="A176:B176"/>
    <mergeCell ref="A185:B185"/>
    <mergeCell ref="A184:B184"/>
    <mergeCell ref="A182:B182"/>
    <mergeCell ref="A183:B183"/>
    <mergeCell ref="A180:B180"/>
    <mergeCell ref="A181:B181"/>
    <mergeCell ref="A175:C175"/>
    <mergeCell ref="A177:B177"/>
    <mergeCell ref="A178:B178"/>
    <mergeCell ref="A179:B179"/>
    <mergeCell ref="Q118:R118"/>
    <mergeCell ref="A110:J110"/>
    <mergeCell ref="A111:C111"/>
    <mergeCell ref="A112:C112"/>
    <mergeCell ref="A113:C113"/>
    <mergeCell ref="A114:C114"/>
    <mergeCell ref="A131:C131"/>
    <mergeCell ref="A132:C132"/>
    <mergeCell ref="A133:C133"/>
    <mergeCell ref="A124:C124"/>
    <mergeCell ref="A125:B125"/>
    <mergeCell ref="A126:J126"/>
    <mergeCell ref="A127:B127"/>
    <mergeCell ref="A128:C128"/>
    <mergeCell ref="A118:C118"/>
    <mergeCell ref="A123:C123"/>
    <mergeCell ref="A119:C119"/>
    <mergeCell ref="A120:C120"/>
    <mergeCell ref="A121:C121"/>
    <mergeCell ref="A122:C122"/>
    <mergeCell ref="Q116:R116"/>
    <mergeCell ref="A117:C117"/>
    <mergeCell ref="Q117:R117"/>
    <mergeCell ref="A101:C101"/>
    <mergeCell ref="A103:C103"/>
    <mergeCell ref="A104:C104"/>
    <mergeCell ref="A105:C105"/>
    <mergeCell ref="A108:J108"/>
    <mergeCell ref="A109:B109"/>
    <mergeCell ref="A115:C115"/>
    <mergeCell ref="A116:C116"/>
    <mergeCell ref="A136:J136"/>
    <mergeCell ref="A135:B135"/>
    <mergeCell ref="A134:C134"/>
    <mergeCell ref="A138:C138"/>
    <mergeCell ref="A139:C139"/>
    <mergeCell ref="A140:C140"/>
    <mergeCell ref="A141:C141"/>
    <mergeCell ref="A147:C147"/>
    <mergeCell ref="A148:C148"/>
    <mergeCell ref="A143:C143"/>
    <mergeCell ref="A78:C78"/>
    <mergeCell ref="A97:C97"/>
    <mergeCell ref="A98:C98"/>
    <mergeCell ref="A99:C99"/>
    <mergeCell ref="A100:C100"/>
    <mergeCell ref="A102:C102"/>
    <mergeCell ref="A79:C79"/>
    <mergeCell ref="A80:C80"/>
    <mergeCell ref="A94:C94"/>
    <mergeCell ref="A95:C95"/>
    <mergeCell ref="A96:C96"/>
    <mergeCell ref="A81:C81"/>
    <mergeCell ref="A93:C93"/>
    <mergeCell ref="A144:C144"/>
    <mergeCell ref="A145:C145"/>
    <mergeCell ref="A146:C146"/>
    <mergeCell ref="A142:C142"/>
    <mergeCell ref="A160:J160"/>
    <mergeCell ref="A166:B166"/>
    <mergeCell ref="A167:B167"/>
    <mergeCell ref="A168:B168"/>
    <mergeCell ref="A149:C149"/>
    <mergeCell ref="A150:C150"/>
    <mergeCell ref="A151:C151"/>
    <mergeCell ref="A152:C152"/>
    <mergeCell ref="A154:J154"/>
    <mergeCell ref="A155:C155"/>
    <mergeCell ref="A156:C156"/>
    <mergeCell ref="A153:B153"/>
    <mergeCell ref="A157:C157"/>
    <mergeCell ref="A158:C158"/>
    <mergeCell ref="A159:C159"/>
    <mergeCell ref="A1:J1"/>
    <mergeCell ref="A6:C6"/>
    <mergeCell ref="A14:C14"/>
    <mergeCell ref="A17:C17"/>
    <mergeCell ref="E3:F3"/>
    <mergeCell ref="A18:C18"/>
    <mergeCell ref="A19:C19"/>
    <mergeCell ref="A21:C21"/>
    <mergeCell ref="A25:C25"/>
    <mergeCell ref="A33:C33"/>
    <mergeCell ref="A64:C64"/>
    <mergeCell ref="A65:C65"/>
    <mergeCell ref="A75:C75"/>
    <mergeCell ref="A76:C76"/>
    <mergeCell ref="A77:C77"/>
    <mergeCell ref="A73:C73"/>
    <mergeCell ref="A74:C74"/>
    <mergeCell ref="A61:C61"/>
    <mergeCell ref="A62:C62"/>
    <mergeCell ref="A63:C63"/>
    <mergeCell ref="A71:C71"/>
    <mergeCell ref="A72:B72"/>
  </mergeCells>
  <pageMargins left="0.22" right="0.17" top="0.14000000000000001" bottom="0.2" header="0.2" footer="0.2"/>
  <pageSetup paperSize="5" scale="19" orientation="portrait" r:id="rId1"/>
  <colBreaks count="1" manualBreakCount="1">
    <brk id="10" max="1048575" man="1"/>
  </colBreaks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sheetPr>
    <pageSetUpPr fitToPage="1"/>
  </sheetPr>
  <dimension ref="A1:R1701"/>
  <sheetViews>
    <sheetView view="pageBreakPreview" topLeftCell="A25" zoomScale="55" zoomScaleNormal="78" zoomScaleSheetLayoutView="55" workbookViewId="0">
      <selection activeCell="F18" sqref="F18:F19"/>
    </sheetView>
  </sheetViews>
  <sheetFormatPr defaultColWidth="22.33203125" defaultRowHeight="21.95" customHeight="1" x14ac:dyDescent="0.5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6" width="30" style="160" customWidth="1"/>
    <col min="7" max="7" width="28.88671875" style="160" customWidth="1"/>
    <col min="8" max="8" width="39.21875" style="161" customWidth="1"/>
    <col min="9" max="9" width="23.5546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33.75" x14ac:dyDescent="0.65">
      <c r="A1" s="821" t="s">
        <v>115</v>
      </c>
      <c r="B1" s="822"/>
      <c r="C1" s="822"/>
      <c r="D1" s="822"/>
      <c r="E1" s="822"/>
      <c r="F1" s="822"/>
      <c r="G1" s="822"/>
      <c r="H1" s="822"/>
      <c r="I1" s="822"/>
      <c r="J1" s="823"/>
    </row>
    <row r="2" spans="1:15" s="57" customFormat="1" ht="27" x14ac:dyDescent="0.5">
      <c r="A2" s="191" t="s">
        <v>350</v>
      </c>
      <c r="B2" s="262">
        <v>44529</v>
      </c>
      <c r="C2" s="348" t="s">
        <v>67</v>
      </c>
      <c r="D2" s="218">
        <v>0.45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27" x14ac:dyDescent="0.5">
      <c r="A3" s="189"/>
      <c r="B3" s="221"/>
      <c r="C3" s="348" t="s">
        <v>118</v>
      </c>
      <c r="D3" s="219">
        <v>28</v>
      </c>
      <c r="E3" s="830" t="s">
        <v>119</v>
      </c>
      <c r="F3" s="831"/>
      <c r="G3" s="101"/>
      <c r="H3" s="102"/>
      <c r="I3" s="102"/>
      <c r="J3" s="222"/>
      <c r="K3" s="61"/>
      <c r="L3" s="58"/>
    </row>
    <row r="4" spans="1:15" s="57" customFormat="1" ht="27" x14ac:dyDescent="0.5">
      <c r="A4" s="192"/>
      <c r="B4" s="223"/>
      <c r="C4" s="348" t="s">
        <v>120</v>
      </c>
      <c r="D4" s="218">
        <v>0.8</v>
      </c>
      <c r="E4" s="103"/>
      <c r="F4" s="103"/>
      <c r="G4" s="103"/>
      <c r="H4" s="103"/>
      <c r="I4" s="104"/>
      <c r="J4" s="222"/>
      <c r="K4" s="62"/>
      <c r="L4" s="58"/>
    </row>
    <row r="5" spans="1:15" ht="21.95" customHeight="1" x14ac:dyDescent="0.4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5" ht="26.25" customHeight="1" x14ac:dyDescent="0.4">
      <c r="A6" s="824" t="s">
        <v>128</v>
      </c>
      <c r="B6" s="825"/>
      <c r="C6" s="826"/>
      <c r="D6" s="110"/>
      <c r="E6" s="110"/>
      <c r="F6" s="110"/>
      <c r="G6" s="110"/>
      <c r="H6" s="111"/>
      <c r="I6" s="111"/>
      <c r="J6" s="174"/>
      <c r="K6" s="78"/>
      <c r="L6" s="66"/>
    </row>
    <row r="7" spans="1:15" ht="21.95" customHeight="1" thickBot="1" x14ac:dyDescent="0.45">
      <c r="A7" s="194" t="s">
        <v>129</v>
      </c>
      <c r="B7" s="195"/>
      <c r="C7" s="195"/>
      <c r="D7" s="151" t="s">
        <v>130</v>
      </c>
      <c r="E7" s="95">
        <f>'28'!F7</f>
        <v>47000</v>
      </c>
      <c r="F7" s="95">
        <f>E7+23500</f>
        <v>70500</v>
      </c>
      <c r="G7" s="112">
        <f>F7-E7</f>
        <v>23500</v>
      </c>
      <c r="H7" s="99">
        <f>G7+'28'!H7</f>
        <v>547016</v>
      </c>
      <c r="I7" s="113">
        <f>'1'!I7</f>
        <v>12000</v>
      </c>
      <c r="J7" s="175">
        <f>H7/DAY(B2)</f>
        <v>18862.620689655174</v>
      </c>
      <c r="K7" s="172">
        <v>1375467</v>
      </c>
      <c r="L7" s="66"/>
      <c r="N7" s="87"/>
      <c r="O7" s="71"/>
    </row>
    <row r="8" spans="1:15" ht="21.95" customHeight="1" thickBot="1" x14ac:dyDescent="0.45">
      <c r="A8" s="196" t="s">
        <v>131</v>
      </c>
      <c r="B8" s="197"/>
      <c r="C8" s="198"/>
      <c r="D8" s="224" t="s">
        <v>24</v>
      </c>
      <c r="E8" s="95">
        <f>'28'!F8</f>
        <v>667110</v>
      </c>
      <c r="F8" s="95">
        <f>E8+23500</f>
        <v>690610</v>
      </c>
      <c r="G8" s="115">
        <f>F8-E8</f>
        <v>23500</v>
      </c>
      <c r="H8" s="99">
        <f>G8+'28'!H8</f>
        <v>549725</v>
      </c>
      <c r="I8" s="116"/>
      <c r="J8" s="175">
        <f>H8/DAY(B2)</f>
        <v>18956.03448275862</v>
      </c>
      <c r="K8" s="172">
        <v>1715917</v>
      </c>
      <c r="L8" s="76">
        <v>1728480</v>
      </c>
      <c r="M8" s="87">
        <f>L8-K8</f>
        <v>12563</v>
      </c>
      <c r="N8" s="87"/>
      <c r="O8" s="71"/>
    </row>
    <row r="9" spans="1:15" ht="21.95" customHeight="1" x14ac:dyDescent="0.4">
      <c r="A9" s="199" t="s">
        <v>132</v>
      </c>
      <c r="B9" s="200"/>
      <c r="C9" s="200"/>
      <c r="D9" s="151" t="s">
        <v>130</v>
      </c>
      <c r="E9" s="95">
        <f>'28'!F9</f>
        <v>235852</v>
      </c>
      <c r="F9" s="601">
        <f>E9+14000</f>
        <v>249852</v>
      </c>
      <c r="G9" s="112">
        <f>F9-E9</f>
        <v>14000</v>
      </c>
      <c r="H9" s="99">
        <f>G9+'28'!H9</f>
        <v>348357</v>
      </c>
      <c r="I9" s="124">
        <f>I7-J7</f>
        <v>-6862.6206896551739</v>
      </c>
      <c r="J9" s="175">
        <f>H9/DAY(B2)</f>
        <v>12012.310344827587</v>
      </c>
      <c r="K9" s="79">
        <f>K8-100</f>
        <v>1715817</v>
      </c>
      <c r="L9" s="66"/>
      <c r="N9" s="87"/>
      <c r="O9" s="71"/>
    </row>
    <row r="10" spans="1:15" ht="21.95" customHeight="1" x14ac:dyDescent="0.4">
      <c r="A10" s="194" t="s">
        <v>133</v>
      </c>
      <c r="B10" s="195"/>
      <c r="C10" s="195"/>
      <c r="D10" s="151" t="s">
        <v>130</v>
      </c>
      <c r="E10" s="95">
        <f>'28'!F10</f>
        <v>104081</v>
      </c>
      <c r="F10" s="353">
        <f>E10+4500</f>
        <v>108581</v>
      </c>
      <c r="G10" s="112">
        <f t="shared" ref="G10:G12" si="0">F10-E10</f>
        <v>4500</v>
      </c>
      <c r="H10" s="99">
        <f>G10+'28'!H10</f>
        <v>163487</v>
      </c>
      <c r="I10" s="282"/>
      <c r="J10" s="175">
        <f>H10/DAY(B2)</f>
        <v>5637.4827586206893</v>
      </c>
      <c r="K10" s="79"/>
      <c r="L10" s="66"/>
      <c r="N10" s="87"/>
      <c r="O10" s="71"/>
    </row>
    <row r="11" spans="1:15" ht="21.95" customHeight="1" x14ac:dyDescent="0.4">
      <c r="A11" s="194" t="s">
        <v>134</v>
      </c>
      <c r="B11" s="195"/>
      <c r="C11" s="195"/>
      <c r="D11" s="151" t="s">
        <v>130</v>
      </c>
      <c r="E11" s="95">
        <f>'28'!F11</f>
        <v>37000</v>
      </c>
      <c r="F11" s="95">
        <v>37000</v>
      </c>
      <c r="G11" s="112">
        <f t="shared" si="0"/>
        <v>0</v>
      </c>
      <c r="H11" s="99">
        <f>G11+'28'!H11</f>
        <v>0</v>
      </c>
      <c r="I11" s="282"/>
      <c r="J11" s="175">
        <f>H11/DAY(B2)</f>
        <v>0</v>
      </c>
      <c r="K11" s="79"/>
      <c r="L11" s="66"/>
      <c r="N11" s="87"/>
      <c r="O11" s="71"/>
    </row>
    <row r="12" spans="1:15" ht="21.95" customHeight="1" x14ac:dyDescent="0.4">
      <c r="A12" s="194" t="s">
        <v>135</v>
      </c>
      <c r="B12" s="195"/>
      <c r="C12" s="195"/>
      <c r="D12" s="151" t="s">
        <v>130</v>
      </c>
      <c r="E12" s="95">
        <f>'28'!F12</f>
        <v>40010</v>
      </c>
      <c r="F12" s="117">
        <v>40010</v>
      </c>
      <c r="G12" s="112">
        <f t="shared" si="0"/>
        <v>0</v>
      </c>
      <c r="H12" s="99">
        <f>G12+'28'!H12</f>
        <v>0</v>
      </c>
      <c r="I12" s="282"/>
      <c r="J12" s="175">
        <f>H12/DAY(B2)</f>
        <v>0</v>
      </c>
      <c r="K12" s="79"/>
      <c r="L12" s="66"/>
      <c r="N12" s="87"/>
      <c r="O12" s="71"/>
    </row>
    <row r="13" spans="1:15" ht="21.95" customHeight="1" x14ac:dyDescent="0.5">
      <c r="A13" s="201" t="s">
        <v>136</v>
      </c>
      <c r="B13" s="202"/>
      <c r="C13" s="202"/>
      <c r="D13" s="151"/>
      <c r="E13" s="95"/>
      <c r="F13" s="95"/>
      <c r="G13" s="119">
        <f>G9+G10+G11+G12</f>
        <v>18500</v>
      </c>
      <c r="H13" s="99">
        <f>G13+'28'!H13</f>
        <v>492378.74999999988</v>
      </c>
      <c r="I13" s="120">
        <f>G7-G13</f>
        <v>5000</v>
      </c>
      <c r="J13" s="175">
        <f>H13/DAY(B2)</f>
        <v>16978.577586206891</v>
      </c>
      <c r="K13" s="79"/>
      <c r="L13" s="66"/>
      <c r="N13" s="87"/>
      <c r="O13" s="71"/>
    </row>
    <row r="14" spans="1:15" ht="29.25" x14ac:dyDescent="0.5">
      <c r="A14" s="827" t="s">
        <v>137</v>
      </c>
      <c r="B14" s="828"/>
      <c r="C14" s="829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5" ht="21.95" customHeight="1" x14ac:dyDescent="0.5">
      <c r="A15" s="345" t="s">
        <v>138</v>
      </c>
      <c r="B15" s="205"/>
      <c r="C15" s="205"/>
      <c r="D15" s="151" t="s">
        <v>139</v>
      </c>
      <c r="E15" s="95">
        <f>'28'!F15</f>
        <v>1904065</v>
      </c>
      <c r="F15" s="123">
        <f>E15+1100</f>
        <v>1905165</v>
      </c>
      <c r="G15" s="112">
        <f>(F15-E15)</f>
        <v>1100</v>
      </c>
      <c r="H15" s="99">
        <f>G15+'28'!H15</f>
        <v>26735</v>
      </c>
      <c r="I15" s="113">
        <f>'1'!I15</f>
        <v>800</v>
      </c>
      <c r="J15" s="175">
        <f>H15/DAY(B2)</f>
        <v>921.89655172413791</v>
      </c>
      <c r="K15" s="79"/>
      <c r="L15" s="66"/>
      <c r="N15" s="87"/>
      <c r="O15" s="71"/>
    </row>
    <row r="16" spans="1:15" ht="21.95" customHeight="1" x14ac:dyDescent="0.4">
      <c r="A16" s="203"/>
      <c r="B16" s="204"/>
      <c r="C16" s="204"/>
      <c r="D16" s="152"/>
      <c r="E16" s="123"/>
      <c r="F16" s="123"/>
      <c r="G16" s="112"/>
      <c r="H16" s="124"/>
      <c r="I16" s="120">
        <f>I15-J15</f>
        <v>-121.89655172413791</v>
      </c>
      <c r="J16" s="176"/>
      <c r="K16" s="79"/>
      <c r="L16" s="66"/>
      <c r="N16" s="87"/>
      <c r="O16" s="71"/>
    </row>
    <row r="17" spans="1:15" ht="29.25" x14ac:dyDescent="0.5">
      <c r="A17" s="827" t="s">
        <v>140</v>
      </c>
      <c r="B17" s="828"/>
      <c r="C17" s="829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5" ht="27.75" x14ac:dyDescent="0.5">
      <c r="A18" s="818" t="s">
        <v>141</v>
      </c>
      <c r="B18" s="819"/>
      <c r="C18" s="820"/>
      <c r="D18" s="151" t="s">
        <v>142</v>
      </c>
      <c r="E18" s="95">
        <f>'28'!F18</f>
        <v>36</v>
      </c>
      <c r="F18" s="122">
        <f>E18+12</f>
        <v>48</v>
      </c>
      <c r="G18" s="119">
        <f>F18*10</f>
        <v>480</v>
      </c>
      <c r="H18" s="99">
        <f>G18+'28'!H18</f>
        <v>4070</v>
      </c>
      <c r="I18" s="113">
        <f>'1'!I18</f>
        <v>65</v>
      </c>
      <c r="J18" s="175">
        <f>H18/DAY(B2)</f>
        <v>140.34482758620689</v>
      </c>
      <c r="K18" s="79"/>
      <c r="L18" s="66"/>
      <c r="N18" s="87"/>
      <c r="O18" s="71"/>
    </row>
    <row r="19" spans="1:15" ht="27.75" x14ac:dyDescent="0.5">
      <c r="A19" s="818" t="s">
        <v>69</v>
      </c>
      <c r="B19" s="819"/>
      <c r="C19" s="820"/>
      <c r="D19" s="151" t="s">
        <v>142</v>
      </c>
      <c r="E19" s="95">
        <f>'28'!F19</f>
        <v>153728</v>
      </c>
      <c r="F19" s="122">
        <f>E19+55</f>
        <v>153783</v>
      </c>
      <c r="G19" s="112">
        <f t="shared" ref="G19" si="1">F19-E19</f>
        <v>55</v>
      </c>
      <c r="H19" s="99">
        <f>G19+'28'!H19</f>
        <v>1558</v>
      </c>
      <c r="I19" s="335"/>
      <c r="J19" s="175">
        <f>H19/DAY(B2)</f>
        <v>53.724137931034484</v>
      </c>
      <c r="K19" s="79"/>
      <c r="L19" s="66"/>
      <c r="N19" s="87"/>
      <c r="O19" s="71"/>
    </row>
    <row r="20" spans="1:15" ht="29.25" x14ac:dyDescent="0.5">
      <c r="A20" s="201" t="s">
        <v>143</v>
      </c>
      <c r="B20" s="202"/>
      <c r="C20" s="202"/>
      <c r="D20" s="126"/>
      <c r="E20" s="126"/>
      <c r="F20" s="126"/>
      <c r="G20" s="127">
        <f>G18+G19</f>
        <v>535</v>
      </c>
      <c r="H20" s="99">
        <f>G20+'28'!H20</f>
        <v>5628</v>
      </c>
      <c r="I20" s="336">
        <f>I18-J20</f>
        <v>-129.06896551724137</v>
      </c>
      <c r="J20" s="175">
        <f>H20/DAY(B2)</f>
        <v>194.06896551724137</v>
      </c>
      <c r="K20" s="79"/>
      <c r="L20" s="66"/>
      <c r="N20" s="87"/>
      <c r="O20" s="71"/>
    </row>
    <row r="21" spans="1:15" ht="29.25" x14ac:dyDescent="0.5">
      <c r="A21" s="827" t="s">
        <v>144</v>
      </c>
      <c r="B21" s="828"/>
      <c r="C21" s="829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5" ht="29.25" x14ac:dyDescent="0.5">
      <c r="A22" s="345" t="s">
        <v>145</v>
      </c>
      <c r="B22" s="205"/>
      <c r="C22" s="205"/>
      <c r="D22" s="151" t="s">
        <v>146</v>
      </c>
      <c r="E22" s="95">
        <f>'28'!F22</f>
        <v>2970</v>
      </c>
      <c r="F22" s="122">
        <v>2970</v>
      </c>
      <c r="G22" s="119">
        <f t="shared" ref="G22" si="2">(F22-E22)</f>
        <v>0</v>
      </c>
      <c r="H22" s="99">
        <f>G22+'28'!H22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29.25" x14ac:dyDescent="0.5">
      <c r="A23" s="345" t="s">
        <v>147</v>
      </c>
      <c r="B23" s="205"/>
      <c r="C23" s="205"/>
      <c r="D23" s="151" t="s">
        <v>146</v>
      </c>
      <c r="E23" s="95">
        <f>'28'!F23</f>
        <v>2000</v>
      </c>
      <c r="F23" s="122">
        <v>2000</v>
      </c>
      <c r="G23" s="119">
        <v>0</v>
      </c>
      <c r="H23" s="99">
        <f>G23+'28'!H23</f>
        <v>110</v>
      </c>
      <c r="I23" s="118"/>
      <c r="J23" s="175">
        <f>H23/DAY(B2)</f>
        <v>3.7931034482758621</v>
      </c>
      <c r="K23" s="79"/>
      <c r="L23" s="66"/>
      <c r="N23" s="87"/>
      <c r="O23" s="71"/>
    </row>
    <row r="24" spans="1:15" ht="29.25" x14ac:dyDescent="0.4">
      <c r="A24" s="206" t="s">
        <v>148</v>
      </c>
      <c r="B24" s="207"/>
      <c r="C24" s="207"/>
      <c r="D24" s="146" t="s">
        <v>146</v>
      </c>
      <c r="E24" s="95">
        <f>'28'!F24</f>
        <v>4970</v>
      </c>
      <c r="F24" s="128">
        <v>4970</v>
      </c>
      <c r="G24" s="119">
        <v>0</v>
      </c>
      <c r="H24" s="99">
        <f>G24+'28'!H24</f>
        <v>110</v>
      </c>
      <c r="I24" s="118"/>
      <c r="J24" s="175">
        <f>H24/DAY(B2)</f>
        <v>3.7931034482758621</v>
      </c>
      <c r="K24" s="79"/>
      <c r="L24" s="66"/>
      <c r="N24" s="87"/>
      <c r="O24" s="71"/>
    </row>
    <row r="25" spans="1:15" s="88" customFormat="1" ht="27" x14ac:dyDescent="0.35">
      <c r="A25" s="832" t="s">
        <v>149</v>
      </c>
      <c r="B25" s="833"/>
      <c r="C25" s="834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5" s="88" customFormat="1" ht="27.75" x14ac:dyDescent="0.5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/>
      <c r="I26" s="134"/>
      <c r="J26" s="175"/>
      <c r="K26" s="64"/>
      <c r="L26" s="89"/>
      <c r="N26" s="87"/>
      <c r="O26" s="71"/>
    </row>
    <row r="27" spans="1:15" s="88" customFormat="1" ht="27.75" x14ac:dyDescent="0.5">
      <c r="A27" s="208" t="s">
        <v>5</v>
      </c>
      <c r="B27" s="209"/>
      <c r="C27" s="210"/>
      <c r="D27" s="226" t="s">
        <v>24</v>
      </c>
      <c r="E27" s="135">
        <f>G8</f>
        <v>23500</v>
      </c>
      <c r="F27" s="136">
        <v>9</v>
      </c>
      <c r="G27" s="137">
        <f>E27*F27</f>
        <v>211500</v>
      </c>
      <c r="H27" s="99">
        <f>G27+'28'!H27</f>
        <v>4947525</v>
      </c>
      <c r="I27" s="138"/>
      <c r="J27" s="175">
        <f>H27/DAY(B2)</f>
        <v>170604.31034482759</v>
      </c>
      <c r="K27" s="63"/>
      <c r="L27" s="89"/>
      <c r="N27" s="87"/>
      <c r="O27" s="71"/>
    </row>
    <row r="28" spans="1:15" s="88" customFormat="1" ht="27.75" x14ac:dyDescent="0.5">
      <c r="A28" s="208" t="s">
        <v>152</v>
      </c>
      <c r="B28" s="209"/>
      <c r="C28" s="210"/>
      <c r="D28" s="226" t="s">
        <v>153</v>
      </c>
      <c r="E28" s="139">
        <f>G15</f>
        <v>1100</v>
      </c>
      <c r="F28" s="136">
        <v>52</v>
      </c>
      <c r="G28" s="137">
        <f>E28*F28</f>
        <v>57200</v>
      </c>
      <c r="H28" s="99">
        <f>G28+'28'!H28</f>
        <v>1390220</v>
      </c>
      <c r="I28" s="140"/>
      <c r="J28" s="175">
        <f>H28/DAY(B2)</f>
        <v>47938.620689655174</v>
      </c>
      <c r="K28" s="63"/>
      <c r="L28" s="89"/>
      <c r="N28" s="87"/>
      <c r="O28" s="71"/>
    </row>
    <row r="29" spans="1:15" s="88" customFormat="1" ht="27.75" x14ac:dyDescent="0.5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>E29*F29</f>
        <v>0</v>
      </c>
      <c r="H29" s="99">
        <f>G29+'28'!H29</f>
        <v>7590</v>
      </c>
      <c r="I29" s="140"/>
      <c r="J29" s="175">
        <f>H29/DAY(B2)</f>
        <v>261.72413793103448</v>
      </c>
      <c r="K29" s="63"/>
      <c r="L29" s="89"/>
      <c r="N29" s="87"/>
      <c r="O29" s="71"/>
    </row>
    <row r="30" spans="1:15" s="88" customFormat="1" ht="27.75" x14ac:dyDescent="0.5">
      <c r="A30" s="208" t="s">
        <v>156</v>
      </c>
      <c r="B30" s="209"/>
      <c r="C30" s="210"/>
      <c r="D30" s="226" t="s">
        <v>157</v>
      </c>
      <c r="E30" s="141">
        <f>G19</f>
        <v>55</v>
      </c>
      <c r="F30" s="136">
        <v>146</v>
      </c>
      <c r="G30" s="137">
        <f>E30*F30</f>
        <v>8030</v>
      </c>
      <c r="H30" s="99">
        <f>G30+'28'!H30</f>
        <v>227468</v>
      </c>
      <c r="I30" s="140"/>
      <c r="J30" s="175">
        <f>H30/DAY(B2)</f>
        <v>7843.7241379310344</v>
      </c>
      <c r="K30" s="63"/>
      <c r="L30" s="89"/>
      <c r="N30" s="87"/>
      <c r="O30" s="71"/>
    </row>
    <row r="31" spans="1:15" s="88" customFormat="1" ht="27.75" x14ac:dyDescent="0.5">
      <c r="A31" s="208" t="s">
        <v>158</v>
      </c>
      <c r="B31" s="209"/>
      <c r="C31" s="210"/>
      <c r="D31" s="226" t="s">
        <v>142</v>
      </c>
      <c r="E31" s="141">
        <f>G18</f>
        <v>480</v>
      </c>
      <c r="F31" s="136">
        <v>80</v>
      </c>
      <c r="G31" s="137">
        <f>E31*F31</f>
        <v>38400</v>
      </c>
      <c r="H31" s="99">
        <f>G31+'28'!H31</f>
        <v>325600</v>
      </c>
      <c r="I31" s="140"/>
      <c r="J31" s="175">
        <f>H31/DAY(B2)</f>
        <v>11227.586206896553</v>
      </c>
      <c r="K31" s="63"/>
      <c r="L31" s="89"/>
      <c r="N31" s="87"/>
      <c r="O31" s="71"/>
    </row>
    <row r="32" spans="1:15" s="88" customFormat="1" ht="27.75" x14ac:dyDescent="0.5">
      <c r="A32" s="211" t="s">
        <v>159</v>
      </c>
      <c r="B32" s="212"/>
      <c r="C32" s="213"/>
      <c r="D32" s="142"/>
      <c r="E32" s="142"/>
      <c r="F32" s="142"/>
      <c r="G32" s="143">
        <f>G27+G28+G29+G30+G31</f>
        <v>315130</v>
      </c>
      <c r="H32" s="99">
        <f>G32+'28'!H32</f>
        <v>6898403</v>
      </c>
      <c r="I32" s="144"/>
      <c r="J32" s="175">
        <f>H32/DAY(B2)</f>
        <v>237875.96551724139</v>
      </c>
      <c r="K32" s="63"/>
      <c r="L32" s="89"/>
      <c r="N32" s="87"/>
      <c r="O32" s="71"/>
    </row>
    <row r="33" spans="1:15" ht="25.5" customHeight="1" x14ac:dyDescent="0.35">
      <c r="A33" s="835" t="s">
        <v>331</v>
      </c>
      <c r="B33" s="836"/>
      <c r="C33" s="836"/>
      <c r="D33" s="337"/>
      <c r="E33" s="337"/>
      <c r="F33" s="337"/>
      <c r="G33" s="337"/>
      <c r="H33" s="337"/>
      <c r="I33" s="337"/>
      <c r="J33" s="338"/>
      <c r="K33" s="79"/>
      <c r="L33" s="66"/>
      <c r="N33" s="87"/>
      <c r="O33" s="71"/>
    </row>
    <row r="34" spans="1:15" ht="29.25" x14ac:dyDescent="0.5">
      <c r="A34" s="214" t="s">
        <v>160</v>
      </c>
      <c r="B34" s="349"/>
      <c r="C34" s="349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29.25" x14ac:dyDescent="0.4">
      <c r="A35" s="194" t="s">
        <v>161</v>
      </c>
      <c r="B35" s="195"/>
      <c r="C35" s="195"/>
      <c r="D35" s="151" t="s">
        <v>130</v>
      </c>
      <c r="E35" s="95">
        <f>'28'!F35</f>
        <v>147015.26999999999</v>
      </c>
      <c r="F35" s="145">
        <v>148886.99</v>
      </c>
      <c r="G35" s="112">
        <f t="shared" ref="G35:G46" si="3">F35-E35</f>
        <v>1871.7200000000012</v>
      </c>
      <c r="H35" s="99">
        <f>G35+'28'!H35</f>
        <v>164086.99</v>
      </c>
      <c r="I35" s="95"/>
      <c r="J35" s="175">
        <f>H35/DAY(B2)</f>
        <v>5658.1720689655167</v>
      </c>
      <c r="K35" s="79"/>
      <c r="L35" s="66"/>
      <c r="N35" s="87"/>
      <c r="O35" s="71"/>
    </row>
    <row r="36" spans="1:15" ht="29.25" x14ac:dyDescent="0.4">
      <c r="A36" s="194" t="s">
        <v>162</v>
      </c>
      <c r="B36" s="195"/>
      <c r="C36" s="195"/>
      <c r="D36" s="151" t="s">
        <v>130</v>
      </c>
      <c r="E36" s="95">
        <f>'28'!F36</f>
        <v>19004.939999999999</v>
      </c>
      <c r="F36" s="145">
        <v>19822.169999999998</v>
      </c>
      <c r="G36" s="112">
        <f t="shared" si="3"/>
        <v>817.22999999999956</v>
      </c>
      <c r="H36" s="99">
        <f>G36+'28'!H36</f>
        <v>-1704.8300000000017</v>
      </c>
      <c r="I36" s="95"/>
      <c r="J36" s="175">
        <f>H36/DAY(B2)</f>
        <v>-58.787241379310402</v>
      </c>
      <c r="K36" s="79"/>
      <c r="L36" s="66"/>
      <c r="N36" s="87"/>
      <c r="O36" s="344"/>
    </row>
    <row r="37" spans="1:15" ht="29.25" x14ac:dyDescent="0.4">
      <c r="A37" s="194" t="s">
        <v>163</v>
      </c>
      <c r="B37" s="195"/>
      <c r="C37" s="195"/>
      <c r="D37" s="151" t="s">
        <v>130</v>
      </c>
      <c r="E37" s="95">
        <f>'28'!F37</f>
        <v>190645.23</v>
      </c>
      <c r="F37" s="145">
        <v>192189.71</v>
      </c>
      <c r="G37" s="112">
        <f t="shared" si="3"/>
        <v>1544.4799999999814</v>
      </c>
      <c r="H37" s="99">
        <f>G37+'28'!H37</f>
        <v>204401.71</v>
      </c>
      <c r="I37" s="95"/>
      <c r="J37" s="175">
        <f>H37/DAY(B2)</f>
        <v>7048.3348275862063</v>
      </c>
      <c r="K37" s="79"/>
      <c r="L37" s="66"/>
      <c r="N37" s="87"/>
      <c r="O37" s="234"/>
    </row>
    <row r="38" spans="1:15" ht="29.25" x14ac:dyDescent="0.4">
      <c r="A38" s="194" t="s">
        <v>164</v>
      </c>
      <c r="B38" s="195"/>
      <c r="C38" s="195"/>
      <c r="D38" s="151" t="s">
        <v>130</v>
      </c>
      <c r="E38" s="95">
        <f>'28'!F38</f>
        <v>226951.49</v>
      </c>
      <c r="F38" s="108">
        <v>228822.07</v>
      </c>
      <c r="G38" s="112">
        <f t="shared" si="3"/>
        <v>1870.5800000000163</v>
      </c>
      <c r="H38" s="99">
        <f>G38+'28'!H38</f>
        <v>242022.07</v>
      </c>
      <c r="I38" s="95"/>
      <c r="J38" s="175">
        <f>H38/DAY(B2)</f>
        <v>8345.5886206896557</v>
      </c>
      <c r="K38" s="79"/>
      <c r="L38" s="66"/>
      <c r="N38" s="87"/>
      <c r="O38" s="71"/>
    </row>
    <row r="39" spans="1:15" ht="29.25" x14ac:dyDescent="0.4">
      <c r="A39" s="194" t="s">
        <v>165</v>
      </c>
      <c r="B39" s="195"/>
      <c r="C39" s="195"/>
      <c r="D39" s="151" t="s">
        <v>130</v>
      </c>
      <c r="E39" s="95">
        <f>'28'!F39</f>
        <v>402877.43</v>
      </c>
      <c r="F39" s="145">
        <v>405604.75</v>
      </c>
      <c r="G39" s="112">
        <f t="shared" si="3"/>
        <v>2727.320000000007</v>
      </c>
      <c r="H39" s="99">
        <f>G39+'28'!H39</f>
        <v>427286.75</v>
      </c>
      <c r="I39" s="95"/>
      <c r="J39" s="175">
        <f>H39/DAY(B2)</f>
        <v>14734.025862068966</v>
      </c>
      <c r="K39" s="79"/>
      <c r="L39" s="66"/>
      <c r="N39" s="87"/>
      <c r="O39" s="71"/>
    </row>
    <row r="40" spans="1:15" ht="29.25" x14ac:dyDescent="0.4">
      <c r="A40" s="215" t="s">
        <v>166</v>
      </c>
      <c r="B40" s="216"/>
      <c r="C40" s="216"/>
      <c r="D40" s="151" t="s">
        <v>130</v>
      </c>
      <c r="E40" s="95">
        <f>'28'!F40</f>
        <v>5066.7700000000004</v>
      </c>
      <c r="F40" s="145">
        <v>5448.67</v>
      </c>
      <c r="G40" s="112">
        <f t="shared" si="3"/>
        <v>381.89999999999964</v>
      </c>
      <c r="H40" s="99">
        <f>G40+'28'!H40</f>
        <v>-161.32999999999993</v>
      </c>
      <c r="I40" s="95"/>
      <c r="J40" s="175">
        <f>H40/DAY(B2)</f>
        <v>-5.5631034482758599</v>
      </c>
      <c r="K40" s="80"/>
      <c r="L40" s="66"/>
      <c r="N40" s="87"/>
      <c r="O40" s="71"/>
    </row>
    <row r="41" spans="1:15" ht="29.25" x14ac:dyDescent="0.4">
      <c r="A41" s="194" t="s">
        <v>167</v>
      </c>
      <c r="B41" s="195"/>
      <c r="C41" s="195"/>
      <c r="D41" s="151" t="s">
        <v>130</v>
      </c>
      <c r="E41" s="95">
        <f>'28'!F41</f>
        <v>0</v>
      </c>
      <c r="F41" s="145">
        <v>0</v>
      </c>
      <c r="G41" s="112">
        <f t="shared" si="3"/>
        <v>0</v>
      </c>
      <c r="H41" s="99">
        <f>G41+'28'!H41</f>
        <v>0</v>
      </c>
      <c r="I41" s="95"/>
      <c r="J41" s="175">
        <f>H41/DAY(B2)</f>
        <v>0</v>
      </c>
      <c r="K41" s="79"/>
      <c r="L41" s="66"/>
      <c r="N41" s="87"/>
      <c r="O41" s="71"/>
    </row>
    <row r="42" spans="1:15" ht="29.25" x14ac:dyDescent="0.4">
      <c r="A42" s="194" t="s">
        <v>168</v>
      </c>
      <c r="B42" s="195"/>
      <c r="C42" s="195"/>
      <c r="D42" s="151" t="s">
        <v>130</v>
      </c>
      <c r="E42" s="95">
        <f>'28'!F42</f>
        <v>67675.429999999993</v>
      </c>
      <c r="F42" s="145">
        <v>71900.37</v>
      </c>
      <c r="G42" s="112">
        <f t="shared" si="3"/>
        <v>4224.9400000000023</v>
      </c>
      <c r="H42" s="99">
        <f>G42+'28'!H42</f>
        <v>-1908.6300000000047</v>
      </c>
      <c r="I42" s="95"/>
      <c r="J42" s="175">
        <f>H42/DAY(B2)</f>
        <v>-65.814827586207059</v>
      </c>
      <c r="K42" s="79"/>
      <c r="L42" s="66"/>
      <c r="N42" s="87"/>
      <c r="O42" s="71"/>
    </row>
    <row r="43" spans="1:15" ht="29.25" x14ac:dyDescent="0.4">
      <c r="A43" s="194" t="s">
        <v>169</v>
      </c>
      <c r="B43" s="195"/>
      <c r="C43" s="195"/>
      <c r="D43" s="151" t="s">
        <v>130</v>
      </c>
      <c r="E43" s="95">
        <f>'28'!F43</f>
        <v>39532.07</v>
      </c>
      <c r="F43" s="145">
        <v>41991.99</v>
      </c>
      <c r="G43" s="112">
        <f t="shared" si="3"/>
        <v>2459.9199999999983</v>
      </c>
      <c r="H43" s="99">
        <f>G43+'28'!H43</f>
        <v>-5269.010000000002</v>
      </c>
      <c r="I43" s="95"/>
      <c r="J43" s="175">
        <f>H43/DAY(B2)</f>
        <v>-181.69000000000008</v>
      </c>
      <c r="K43" s="79"/>
      <c r="L43" s="66"/>
      <c r="N43" s="87"/>
      <c r="O43" s="71"/>
    </row>
    <row r="44" spans="1:15" ht="29.25" x14ac:dyDescent="0.4">
      <c r="A44" s="194" t="s">
        <v>170</v>
      </c>
      <c r="B44" s="195"/>
      <c r="C44" s="195"/>
      <c r="D44" s="151" t="s">
        <v>130</v>
      </c>
      <c r="E44" s="95">
        <f>'28'!F44</f>
        <v>0</v>
      </c>
      <c r="F44" s="145">
        <v>0</v>
      </c>
      <c r="G44" s="112">
        <f t="shared" si="3"/>
        <v>0</v>
      </c>
      <c r="H44" s="99">
        <f>G44+'28'!H44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29.25" x14ac:dyDescent="0.4">
      <c r="A45" s="194" t="s">
        <v>171</v>
      </c>
      <c r="B45" s="195"/>
      <c r="C45" s="195"/>
      <c r="D45" s="151" t="s">
        <v>130</v>
      </c>
      <c r="E45" s="95">
        <f>'28'!F45</f>
        <v>0</v>
      </c>
      <c r="F45" s="145">
        <v>0</v>
      </c>
      <c r="G45" s="112">
        <f t="shared" si="3"/>
        <v>0</v>
      </c>
      <c r="H45" s="99">
        <f>G45+'28'!H45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29.25" x14ac:dyDescent="0.4">
      <c r="A46" s="194" t="s">
        <v>172</v>
      </c>
      <c r="B46" s="195"/>
      <c r="C46" s="195"/>
      <c r="D46" s="151" t="s">
        <v>130</v>
      </c>
      <c r="E46" s="95">
        <f>'28'!F46</f>
        <v>0</v>
      </c>
      <c r="F46" s="145">
        <v>0</v>
      </c>
      <c r="G46" s="112">
        <f t="shared" si="3"/>
        <v>0</v>
      </c>
      <c r="H46" s="99">
        <f>G46+'28'!H46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29.25" x14ac:dyDescent="0.5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15898.090000000006</v>
      </c>
      <c r="H47" s="99">
        <f>G47+'28'!H47</f>
        <v>1028753.72</v>
      </c>
      <c r="I47" s="95"/>
      <c r="J47" s="175">
        <f>H47/DAY(B2)</f>
        <v>35474.266206896551</v>
      </c>
      <c r="K47" s="79"/>
      <c r="L47" s="66"/>
      <c r="N47" s="87"/>
      <c r="O47" s="71"/>
    </row>
    <row r="48" spans="1:15" ht="29.25" x14ac:dyDescent="0.5">
      <c r="A48" s="214" t="s">
        <v>174</v>
      </c>
      <c r="B48" s="349"/>
      <c r="C48" s="349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29.25" x14ac:dyDescent="0.4">
      <c r="A49" s="194" t="s">
        <v>161</v>
      </c>
      <c r="B49" s="217"/>
      <c r="C49" s="217"/>
      <c r="D49" s="151" t="s">
        <v>130</v>
      </c>
      <c r="E49" s="95">
        <f>'28'!F49</f>
        <v>267940.40999999997</v>
      </c>
      <c r="F49" s="145">
        <v>269374.25</v>
      </c>
      <c r="G49" s="112">
        <f t="shared" ref="G49:G58" si="4">F49-E49</f>
        <v>1433.8400000000256</v>
      </c>
      <c r="H49" s="99">
        <f>G49+'28'!H49</f>
        <v>282495.25</v>
      </c>
      <c r="I49" s="95"/>
      <c r="J49" s="175">
        <f>H49/DAY(B2)</f>
        <v>9741.2155172413786</v>
      </c>
      <c r="K49" s="79"/>
      <c r="L49" s="66"/>
      <c r="N49" s="87"/>
      <c r="O49" s="71"/>
    </row>
    <row r="50" spans="1:15" ht="29.25" x14ac:dyDescent="0.4">
      <c r="A50" s="194" t="s">
        <v>175</v>
      </c>
      <c r="B50" s="217"/>
      <c r="C50" s="217"/>
      <c r="D50" s="151" t="s">
        <v>130</v>
      </c>
      <c r="E50" s="95">
        <f>'28'!F50</f>
        <v>21574.2</v>
      </c>
      <c r="F50" s="145">
        <v>22524.6</v>
      </c>
      <c r="G50" s="112">
        <f t="shared" si="4"/>
        <v>950.39999999999782</v>
      </c>
      <c r="H50" s="99">
        <f>G50+'28'!H50</f>
        <v>-2125.4000000000015</v>
      </c>
      <c r="I50" s="95"/>
      <c r="J50" s="175">
        <f>H50/DAY(B2)</f>
        <v>-73.289655172413845</v>
      </c>
      <c r="K50" s="79"/>
      <c r="L50" s="66"/>
      <c r="N50" s="87"/>
      <c r="O50" s="71"/>
    </row>
    <row r="51" spans="1:15" ht="29.25" x14ac:dyDescent="0.4">
      <c r="A51" s="194" t="s">
        <v>163</v>
      </c>
      <c r="B51" s="217"/>
      <c r="C51" s="217"/>
      <c r="D51" s="151" t="s">
        <v>130</v>
      </c>
      <c r="E51" s="95">
        <f>'28'!F51</f>
        <v>0</v>
      </c>
      <c r="F51" s="145">
        <v>0</v>
      </c>
      <c r="G51" s="112">
        <f t="shared" si="4"/>
        <v>0</v>
      </c>
      <c r="H51" s="99">
        <f>G51+'28'!H51</f>
        <v>0</v>
      </c>
      <c r="I51" s="95"/>
      <c r="J51" s="175">
        <f>H51/DAY(B2)</f>
        <v>0</v>
      </c>
      <c r="K51" s="79"/>
      <c r="L51" s="66"/>
      <c r="N51" s="87"/>
      <c r="O51" s="71"/>
    </row>
    <row r="52" spans="1:15" ht="29.25" x14ac:dyDescent="0.4">
      <c r="A52" s="194" t="s">
        <v>176</v>
      </c>
      <c r="B52" s="217"/>
      <c r="C52" s="217"/>
      <c r="D52" s="151" t="s">
        <v>130</v>
      </c>
      <c r="E52" s="95">
        <f>'28'!F52</f>
        <v>0</v>
      </c>
      <c r="F52" s="145">
        <v>0</v>
      </c>
      <c r="G52" s="112">
        <f t="shared" si="4"/>
        <v>0</v>
      </c>
      <c r="H52" s="99">
        <f>G52+'28'!H52</f>
        <v>0</v>
      </c>
      <c r="I52" s="95"/>
      <c r="J52" s="175">
        <f>H52/DAY(B2)</f>
        <v>0</v>
      </c>
      <c r="K52" s="79"/>
      <c r="L52" s="66"/>
      <c r="N52" s="87"/>
      <c r="O52" s="71"/>
    </row>
    <row r="53" spans="1:15" ht="29.25" x14ac:dyDescent="0.4">
      <c r="A53" s="194" t="s">
        <v>165</v>
      </c>
      <c r="B53" s="217"/>
      <c r="C53" s="217"/>
      <c r="D53" s="151" t="s">
        <v>130</v>
      </c>
      <c r="E53" s="95">
        <f>'28'!F53</f>
        <v>0</v>
      </c>
      <c r="F53" s="145">
        <v>0</v>
      </c>
      <c r="G53" s="112">
        <f t="shared" si="4"/>
        <v>0</v>
      </c>
      <c r="H53" s="99">
        <f>G53+'28'!H53</f>
        <v>0</v>
      </c>
      <c r="I53" s="95"/>
      <c r="J53" s="175">
        <f>H53/DAY(B2)</f>
        <v>0</v>
      </c>
      <c r="K53" s="79"/>
      <c r="L53" s="66"/>
      <c r="N53" s="87"/>
      <c r="O53" s="71"/>
    </row>
    <row r="54" spans="1:15" ht="29.25" x14ac:dyDescent="0.4">
      <c r="A54" s="194" t="s">
        <v>177</v>
      </c>
      <c r="B54" s="217"/>
      <c r="C54" s="217"/>
      <c r="D54" s="151" t="s">
        <v>130</v>
      </c>
      <c r="E54" s="95">
        <f>'28'!F54</f>
        <v>3170.4</v>
      </c>
      <c r="F54" s="145">
        <v>3174.76</v>
      </c>
      <c r="G54" s="112">
        <f t="shared" si="4"/>
        <v>4.3600000000001273</v>
      </c>
      <c r="H54" s="99">
        <f>G54+'28'!H54</f>
        <v>4941.84</v>
      </c>
      <c r="I54" s="95"/>
      <c r="J54" s="175">
        <f>H54/DAY(B2)</f>
        <v>170.40827586206896</v>
      </c>
      <c r="K54" s="79"/>
      <c r="L54" s="66"/>
      <c r="N54" s="87"/>
      <c r="O54" s="71"/>
    </row>
    <row r="55" spans="1:15" ht="29.25" x14ac:dyDescent="0.4">
      <c r="A55" s="194" t="s">
        <v>178</v>
      </c>
      <c r="B55" s="217"/>
      <c r="C55" s="217"/>
      <c r="D55" s="151" t="s">
        <v>130</v>
      </c>
      <c r="E55" s="95">
        <f>'28'!F55</f>
        <v>0</v>
      </c>
      <c r="F55" s="145">
        <v>0</v>
      </c>
      <c r="G55" s="112">
        <f t="shared" si="4"/>
        <v>0</v>
      </c>
      <c r="H55" s="99">
        <f>G55+'28'!H55</f>
        <v>-3511</v>
      </c>
      <c r="I55" s="95"/>
      <c r="J55" s="175">
        <f>H55/DAY(B2)</f>
        <v>-121.06896551724138</v>
      </c>
      <c r="K55" s="79"/>
      <c r="L55" s="66"/>
      <c r="N55" s="87"/>
      <c r="O55" s="71"/>
    </row>
    <row r="56" spans="1:15" ht="29.25" x14ac:dyDescent="0.4">
      <c r="A56" s="194" t="s">
        <v>179</v>
      </c>
      <c r="B56" s="217"/>
      <c r="C56" s="217"/>
      <c r="D56" s="151" t="s">
        <v>180</v>
      </c>
      <c r="E56" s="95">
        <f>'28'!F56</f>
        <v>8610.5400000000009</v>
      </c>
      <c r="F56" s="145">
        <v>8610.5400000000009</v>
      </c>
      <c r="G56" s="112">
        <f t="shared" si="4"/>
        <v>0</v>
      </c>
      <c r="H56" s="99">
        <f>G56+'28'!H56</f>
        <v>0</v>
      </c>
      <c r="I56" s="95"/>
      <c r="J56" s="175">
        <f>H56/DAY(B2)</f>
        <v>0</v>
      </c>
      <c r="K56" s="78"/>
      <c r="L56" s="66"/>
      <c r="N56" s="87"/>
      <c r="O56" s="71"/>
    </row>
    <row r="57" spans="1:15" ht="29.25" x14ac:dyDescent="0.4">
      <c r="A57" s="194" t="s">
        <v>169</v>
      </c>
      <c r="B57" s="217"/>
      <c r="C57" s="217"/>
      <c r="D57" s="151" t="s">
        <v>130</v>
      </c>
      <c r="E57" s="95">
        <f>'28'!F57</f>
        <v>0</v>
      </c>
      <c r="F57" s="145">
        <v>0</v>
      </c>
      <c r="G57" s="112">
        <f t="shared" si="4"/>
        <v>0</v>
      </c>
      <c r="H57" s="99">
        <f>G57+'28'!H57</f>
        <v>0</v>
      </c>
      <c r="I57" s="95"/>
      <c r="J57" s="175">
        <f>H57/DAY(B2)</f>
        <v>0</v>
      </c>
      <c r="K57" s="79"/>
      <c r="L57" s="66"/>
      <c r="N57" s="87"/>
      <c r="O57" s="71"/>
    </row>
    <row r="58" spans="1:15" ht="29.25" x14ac:dyDescent="0.4">
      <c r="A58" s="194" t="s">
        <v>181</v>
      </c>
      <c r="B58" s="217"/>
      <c r="C58" s="217"/>
      <c r="D58" s="151" t="s">
        <v>130</v>
      </c>
      <c r="E58" s="95">
        <f>'28'!F58</f>
        <v>91702.32</v>
      </c>
      <c r="F58" s="145">
        <v>91883.6</v>
      </c>
      <c r="G58" s="112">
        <f t="shared" si="4"/>
        <v>181.27999999999884</v>
      </c>
      <c r="H58" s="99">
        <f>G58+'28'!H58</f>
        <v>92224.23000000001</v>
      </c>
      <c r="I58" s="95"/>
      <c r="J58" s="175">
        <f>H58/DAY(B2)</f>
        <v>3180.1458620689659</v>
      </c>
      <c r="K58" s="79"/>
      <c r="L58" s="66"/>
      <c r="N58" s="87"/>
      <c r="O58" s="71"/>
    </row>
    <row r="59" spans="1:15" ht="29.25" x14ac:dyDescent="0.5">
      <c r="A59" s="201" t="s">
        <v>173</v>
      </c>
      <c r="B59" s="202"/>
      <c r="C59" s="202"/>
      <c r="D59" s="146"/>
      <c r="E59" s="146"/>
      <c r="F59" s="146"/>
      <c r="G59" s="119">
        <f>G49+G50+G51+G52+G53+G54+G55+G56+G57+G58</f>
        <v>2569.8800000000224</v>
      </c>
      <c r="H59" s="99">
        <f>G59+'28'!H59</f>
        <v>374024.92000000004</v>
      </c>
      <c r="I59" s="95">
        <f>G7-G60</f>
        <v>5032.0299999999734</v>
      </c>
      <c r="J59" s="175">
        <f>H59/DAY(B2)</f>
        <v>12897.41103448276</v>
      </c>
      <c r="K59" s="79"/>
      <c r="L59" s="66"/>
      <c r="N59" s="87"/>
      <c r="O59" s="71"/>
    </row>
    <row r="60" spans="1:15" ht="29.25" x14ac:dyDescent="0.4">
      <c r="A60" s="194"/>
      <c r="B60" s="195"/>
      <c r="C60" s="195"/>
      <c r="D60" s="146" t="s">
        <v>182</v>
      </c>
      <c r="E60" s="146"/>
      <c r="F60" s="146"/>
      <c r="G60" s="119">
        <f>G47+G59</f>
        <v>18467.970000000027</v>
      </c>
      <c r="H60" s="99">
        <f>G60+'28'!H60</f>
        <v>1402778.64</v>
      </c>
      <c r="I60" s="95">
        <f>G13-G60</f>
        <v>32.02999999997337</v>
      </c>
      <c r="J60" s="175">
        <f>H60/DAY(B2)</f>
        <v>48371.677241379308</v>
      </c>
      <c r="K60" s="79"/>
      <c r="L60" s="66"/>
      <c r="N60" s="87"/>
      <c r="O60" s="71"/>
    </row>
    <row r="61" spans="1:15" s="68" customFormat="1" ht="27.75" x14ac:dyDescent="0.5">
      <c r="A61" s="837" t="s">
        <v>332</v>
      </c>
      <c r="B61" s="838"/>
      <c r="C61" s="839"/>
      <c r="D61" s="339"/>
      <c r="E61" s="339"/>
      <c r="F61" s="339"/>
      <c r="G61" s="340"/>
      <c r="H61" s="339"/>
      <c r="I61" s="339"/>
      <c r="J61" s="341"/>
      <c r="K61" s="69"/>
      <c r="L61" s="67"/>
      <c r="N61" s="87"/>
      <c r="O61" s="71"/>
    </row>
    <row r="62" spans="1:15" ht="27.75" x14ac:dyDescent="0.5">
      <c r="A62" s="818" t="s">
        <v>198</v>
      </c>
      <c r="B62" s="819"/>
      <c r="C62" s="820"/>
      <c r="D62" s="151" t="s">
        <v>142</v>
      </c>
      <c r="E62" s="95">
        <f>'28'!F62</f>
        <v>266956</v>
      </c>
      <c r="F62" s="122">
        <v>267087</v>
      </c>
      <c r="G62" s="112">
        <f t="shared" ref="G62:G63" si="5">F62-E62</f>
        <v>131</v>
      </c>
      <c r="H62" s="99">
        <f>G62+'28'!H62</f>
        <v>-126</v>
      </c>
      <c r="I62" s="118"/>
      <c r="J62" s="175">
        <f>H62/DAY(B2)</f>
        <v>-4.3448275862068968</v>
      </c>
      <c r="K62" s="80"/>
      <c r="L62" s="66"/>
      <c r="N62" s="87"/>
      <c r="O62" s="71"/>
    </row>
    <row r="63" spans="1:15" ht="27.75" x14ac:dyDescent="0.5">
      <c r="A63" s="818" t="s">
        <v>199</v>
      </c>
      <c r="B63" s="819"/>
      <c r="C63" s="820"/>
      <c r="D63" s="151" t="s">
        <v>142</v>
      </c>
      <c r="E63" s="95">
        <f>'28'!F63</f>
        <v>212166.1</v>
      </c>
      <c r="F63" s="122">
        <v>212242</v>
      </c>
      <c r="G63" s="112">
        <f t="shared" si="5"/>
        <v>75.899999999994179</v>
      </c>
      <c r="H63" s="99">
        <f>G63+'28'!H63</f>
        <v>-183</v>
      </c>
      <c r="I63" s="118"/>
      <c r="J63" s="175">
        <f>H63/DAY(B2)</f>
        <v>-6.3103448275862073</v>
      </c>
      <c r="K63" s="69"/>
      <c r="L63" s="66"/>
      <c r="N63" s="87"/>
      <c r="O63" s="71"/>
    </row>
    <row r="64" spans="1:15" ht="29.25" x14ac:dyDescent="0.5">
      <c r="A64" s="815" t="s">
        <v>200</v>
      </c>
      <c r="B64" s="816"/>
      <c r="C64" s="817"/>
      <c r="D64" s="151"/>
      <c r="E64" s="95">
        <f>'28'!F64</f>
        <v>0</v>
      </c>
      <c r="F64" s="122"/>
      <c r="G64" s="112">
        <f>G62+G63</f>
        <v>206.89999999999418</v>
      </c>
      <c r="H64" s="99">
        <f>G64+'28'!H64</f>
        <v>-309</v>
      </c>
      <c r="I64" s="118"/>
      <c r="J64" s="175">
        <f>H64/DAY(B2)</f>
        <v>-10.655172413793103</v>
      </c>
      <c r="K64" s="69"/>
      <c r="L64" s="66"/>
      <c r="N64" s="87"/>
      <c r="O64" s="71"/>
    </row>
    <row r="65" spans="1:15" ht="27.75" x14ac:dyDescent="0.5">
      <c r="A65" s="818" t="s">
        <v>201</v>
      </c>
      <c r="B65" s="819"/>
      <c r="C65" s="820"/>
      <c r="D65" s="151" t="s">
        <v>142</v>
      </c>
      <c r="E65" s="95">
        <f>'28'!F65</f>
        <v>432313</v>
      </c>
      <c r="F65" s="122">
        <v>432417</v>
      </c>
      <c r="G65" s="112">
        <f t="shared" ref="G65:G70" si="6">F65-E65</f>
        <v>104</v>
      </c>
      <c r="H65" s="99">
        <f>G65+'28'!H65</f>
        <v>-197</v>
      </c>
      <c r="I65" s="118"/>
      <c r="J65" s="175">
        <f>H65/DAY(B2)</f>
        <v>-6.7931034482758621</v>
      </c>
      <c r="K65" s="69"/>
      <c r="L65" s="66"/>
      <c r="N65" s="87"/>
      <c r="O65" s="71"/>
    </row>
    <row r="66" spans="1:15" ht="27.75" x14ac:dyDescent="0.5">
      <c r="A66" s="345" t="s">
        <v>202</v>
      </c>
      <c r="B66" s="346"/>
      <c r="C66" s="346"/>
      <c r="D66" s="151" t="s">
        <v>142</v>
      </c>
      <c r="E66" s="95">
        <f>'28'!F66</f>
        <v>107157</v>
      </c>
      <c r="F66" s="122">
        <v>107177</v>
      </c>
      <c r="G66" s="112">
        <f t="shared" si="6"/>
        <v>20</v>
      </c>
      <c r="H66" s="99">
        <f>G66+'28'!H66</f>
        <v>-37</v>
      </c>
      <c r="I66" s="118"/>
      <c r="J66" s="175">
        <f>H66/DAY(B2)</f>
        <v>-1.2758620689655173</v>
      </c>
      <c r="K66" s="78"/>
      <c r="L66" s="66"/>
      <c r="N66" s="87"/>
      <c r="O66" s="71"/>
    </row>
    <row r="67" spans="1:15" ht="27.75" x14ac:dyDescent="0.5">
      <c r="A67" s="345" t="s">
        <v>203</v>
      </c>
      <c r="B67" s="346"/>
      <c r="C67" s="346"/>
      <c r="D67" s="151" t="s">
        <v>142</v>
      </c>
      <c r="E67" s="95">
        <f>'28'!F67</f>
        <v>103834</v>
      </c>
      <c r="F67" s="122">
        <v>103862</v>
      </c>
      <c r="G67" s="112">
        <f t="shared" si="6"/>
        <v>28</v>
      </c>
      <c r="H67" s="99">
        <f>G67+'28'!H67</f>
        <v>-66</v>
      </c>
      <c r="I67" s="118"/>
      <c r="J67" s="175">
        <f>H67/DAY(B2)</f>
        <v>-2.2758620689655173</v>
      </c>
      <c r="K67" s="81"/>
      <c r="L67" s="66"/>
      <c r="N67" s="87"/>
      <c r="O67" s="71"/>
    </row>
    <row r="68" spans="1:15" ht="27.75" x14ac:dyDescent="0.5">
      <c r="A68" s="345" t="s">
        <v>204</v>
      </c>
      <c r="B68" s="346"/>
      <c r="C68" s="346"/>
      <c r="D68" s="151" t="s">
        <v>142</v>
      </c>
      <c r="E68" s="95">
        <f>'28'!F68</f>
        <v>156520</v>
      </c>
      <c r="F68" s="122">
        <v>156560</v>
      </c>
      <c r="G68" s="112">
        <f t="shared" si="6"/>
        <v>40</v>
      </c>
      <c r="H68" s="99" t="e">
        <f>G68+'28'!H68</f>
        <v>#VALUE!</v>
      </c>
      <c r="I68" s="118"/>
      <c r="J68" s="175" t="e">
        <f>H68/DAY(B2)</f>
        <v>#VALUE!</v>
      </c>
      <c r="K68" s="69"/>
      <c r="L68" s="66"/>
      <c r="N68" s="87"/>
      <c r="O68" s="71"/>
    </row>
    <row r="69" spans="1:15" ht="27.75" x14ac:dyDescent="0.5">
      <c r="A69" s="345" t="s">
        <v>205</v>
      </c>
      <c r="B69" s="346"/>
      <c r="C69" s="346"/>
      <c r="D69" s="151" t="s">
        <v>142</v>
      </c>
      <c r="E69" s="95">
        <f>'28'!F69</f>
        <v>10176</v>
      </c>
      <c r="F69" s="122">
        <v>10194</v>
      </c>
      <c r="G69" s="112">
        <f t="shared" si="6"/>
        <v>18</v>
      </c>
      <c r="H69" s="99">
        <f>G69+'28'!H69</f>
        <v>-20</v>
      </c>
      <c r="I69" s="118"/>
      <c r="J69" s="175">
        <f>H69/DAY(B2)</f>
        <v>-0.68965517241379315</v>
      </c>
      <c r="K69" s="69"/>
      <c r="L69" s="66"/>
      <c r="N69" s="87"/>
      <c r="O69" s="71"/>
    </row>
    <row r="70" spans="1:15" ht="27.75" x14ac:dyDescent="0.5">
      <c r="A70" s="345" t="s">
        <v>206</v>
      </c>
      <c r="B70" s="346"/>
      <c r="C70" s="346"/>
      <c r="D70" s="151" t="s">
        <v>142</v>
      </c>
      <c r="E70" s="95">
        <f>'28'!F70</f>
        <v>7843</v>
      </c>
      <c r="F70" s="122">
        <v>7849</v>
      </c>
      <c r="G70" s="112">
        <f t="shared" si="6"/>
        <v>6</v>
      </c>
      <c r="H70" s="99">
        <f>G70+'28'!H70</f>
        <v>-13</v>
      </c>
      <c r="I70" s="118"/>
      <c r="J70" s="175">
        <f>H70/DAY(B2)</f>
        <v>-0.44827586206896552</v>
      </c>
      <c r="K70" s="69"/>
      <c r="L70" s="66"/>
      <c r="N70" s="87"/>
      <c r="O70" s="71"/>
    </row>
    <row r="71" spans="1:15" ht="29.25" x14ac:dyDescent="0.5">
      <c r="A71" s="815" t="s">
        <v>208</v>
      </c>
      <c r="B71" s="816"/>
      <c r="C71" s="817"/>
      <c r="D71" s="152"/>
      <c r="E71" s="95">
        <f>'28'!F71</f>
        <v>0</v>
      </c>
      <c r="F71" s="152"/>
      <c r="G71" s="153">
        <f>SUM(G65:G70)</f>
        <v>216</v>
      </c>
      <c r="H71" s="99">
        <f>G71+'28'!H71</f>
        <v>-466</v>
      </c>
      <c r="I71" s="154"/>
      <c r="J71" s="175">
        <f>H71/DAY(B2)</f>
        <v>-16.068965517241381</v>
      </c>
      <c r="K71" s="69"/>
      <c r="L71" s="66"/>
      <c r="N71" s="87"/>
      <c r="O71" s="71"/>
    </row>
    <row r="72" spans="1:15" s="88" customFormat="1" ht="27.75" x14ac:dyDescent="0.5">
      <c r="A72" s="861"/>
      <c r="B72" s="853"/>
      <c r="C72" s="347"/>
      <c r="D72" s="180"/>
      <c r="E72" s="180" t="s">
        <v>207</v>
      </c>
      <c r="F72" s="180"/>
      <c r="G72" s="180"/>
      <c r="H72" s="181"/>
      <c r="I72" s="180"/>
      <c r="J72" s="182"/>
      <c r="N72" s="87"/>
      <c r="O72" s="71"/>
    </row>
    <row r="73" spans="1:15" ht="29.25" x14ac:dyDescent="0.5">
      <c r="A73" s="866" t="s">
        <v>333</v>
      </c>
      <c r="B73" s="867"/>
      <c r="C73" s="868"/>
      <c r="D73" s="339"/>
      <c r="E73" s="339"/>
      <c r="F73" s="339"/>
      <c r="G73" s="342"/>
      <c r="H73" s="342"/>
      <c r="I73" s="342"/>
      <c r="J73" s="343"/>
      <c r="K73" s="69"/>
      <c r="L73" s="66"/>
      <c r="N73" s="87"/>
      <c r="O73" s="71"/>
    </row>
    <row r="74" spans="1:15" ht="27.75" x14ac:dyDescent="0.5">
      <c r="A74" s="818" t="s">
        <v>220</v>
      </c>
      <c r="B74" s="819"/>
      <c r="C74" s="820"/>
      <c r="D74" s="151" t="s">
        <v>139</v>
      </c>
      <c r="E74" s="95">
        <f>'28'!F74</f>
        <v>891129.92099999997</v>
      </c>
      <c r="F74" s="117">
        <v>891456.32</v>
      </c>
      <c r="G74" s="112">
        <f t="shared" ref="G74:G78" si="7">F74-E74</f>
        <v>326.39899999997579</v>
      </c>
      <c r="H74" s="99">
        <f>G74+'28'!H74</f>
        <v>-575.68000000005122</v>
      </c>
      <c r="I74" s="154"/>
      <c r="J74" s="175">
        <f>H74/DAY(B2)</f>
        <v>-19.851034482760387</v>
      </c>
      <c r="K74" s="69"/>
      <c r="L74" s="66"/>
      <c r="N74" s="87"/>
      <c r="O74" s="71"/>
    </row>
    <row r="75" spans="1:15" ht="27.75" x14ac:dyDescent="0.5">
      <c r="A75" s="818" t="s">
        <v>221</v>
      </c>
      <c r="B75" s="819"/>
      <c r="C75" s="820"/>
      <c r="D75" s="151" t="s">
        <v>139</v>
      </c>
      <c r="E75" s="95">
        <f>'28'!F75</f>
        <v>73586.8</v>
      </c>
      <c r="F75" s="123">
        <v>73586.8</v>
      </c>
      <c r="G75" s="112">
        <f t="shared" si="7"/>
        <v>0</v>
      </c>
      <c r="H75" s="99">
        <f>G75+'28'!H75</f>
        <v>0</v>
      </c>
      <c r="I75" s="154"/>
      <c r="J75" s="175">
        <f>H75/DAY(B2)</f>
        <v>0</v>
      </c>
      <c r="K75" s="69"/>
      <c r="L75" s="66"/>
      <c r="N75" s="87"/>
      <c r="O75" s="71"/>
    </row>
    <row r="76" spans="1:15" ht="27.75" x14ac:dyDescent="0.5">
      <c r="A76" s="862" t="s">
        <v>222</v>
      </c>
      <c r="B76" s="848"/>
      <c r="C76" s="849"/>
      <c r="D76" s="151" t="s">
        <v>139</v>
      </c>
      <c r="E76" s="95">
        <f>'28'!F76</f>
        <v>166906.94</v>
      </c>
      <c r="F76" s="123">
        <v>167000.53</v>
      </c>
      <c r="G76" s="112">
        <f t="shared" si="7"/>
        <v>93.589999999996508</v>
      </c>
      <c r="H76" s="99">
        <f>G76+'28'!H76</f>
        <v>-206.47000000000116</v>
      </c>
      <c r="I76" s="154"/>
      <c r="J76" s="175">
        <f>H76/DAY(B2)</f>
        <v>-7.1196551724138333</v>
      </c>
      <c r="K76" s="69"/>
      <c r="L76" s="66"/>
      <c r="N76" s="87"/>
      <c r="O76" s="71"/>
    </row>
    <row r="77" spans="1:15" ht="27.75" x14ac:dyDescent="0.5">
      <c r="A77" s="862" t="s">
        <v>223</v>
      </c>
      <c r="B77" s="848"/>
      <c r="C77" s="849"/>
      <c r="D77" s="151" t="s">
        <v>139</v>
      </c>
      <c r="E77" s="95">
        <f>'28'!F77</f>
        <v>40190</v>
      </c>
      <c r="F77" s="123">
        <v>40226</v>
      </c>
      <c r="G77" s="112">
        <f t="shared" si="7"/>
        <v>36</v>
      </c>
      <c r="H77" s="99">
        <f>G77+'28'!H77</f>
        <v>-90</v>
      </c>
      <c r="I77" s="154"/>
      <c r="J77" s="175">
        <f>H77/DAY(B2)</f>
        <v>-3.103448275862069</v>
      </c>
      <c r="K77" s="69"/>
      <c r="L77" s="66"/>
      <c r="N77" s="87"/>
      <c r="O77" s="71"/>
    </row>
    <row r="78" spans="1:15" ht="27.75" x14ac:dyDescent="0.5">
      <c r="A78" s="862" t="s">
        <v>224</v>
      </c>
      <c r="B78" s="848"/>
      <c r="C78" s="849"/>
      <c r="D78" s="151" t="s">
        <v>139</v>
      </c>
      <c r="E78" s="95">
        <f>'28'!F78</f>
        <v>9479.9</v>
      </c>
      <c r="F78" s="123">
        <v>9481.2000000000007</v>
      </c>
      <c r="G78" s="112">
        <f t="shared" si="7"/>
        <v>1.3000000000010914</v>
      </c>
      <c r="H78" s="99">
        <f>G78+'28'!H78</f>
        <v>-4.7999999999992724</v>
      </c>
      <c r="I78" s="118"/>
      <c r="J78" s="175">
        <f>H78/DAY(B2)</f>
        <v>-0.16551724137928525</v>
      </c>
      <c r="K78" s="69"/>
      <c r="L78" s="66"/>
      <c r="N78" s="87"/>
      <c r="O78" s="71"/>
    </row>
    <row r="79" spans="1:15" s="57" customFormat="1" ht="27.75" x14ac:dyDescent="0.5">
      <c r="A79" s="862" t="s">
        <v>225</v>
      </c>
      <c r="B79" s="848"/>
      <c r="C79" s="849"/>
      <c r="D79" s="151"/>
      <c r="E79" s="95">
        <f>'28'!F79</f>
        <v>0</v>
      </c>
      <c r="F79" s="117"/>
      <c r="G79" s="112">
        <f>G15-SUM(G74:G78)</f>
        <v>642.71100000002662</v>
      </c>
      <c r="H79" s="99">
        <f>G79+'28'!H79</f>
        <v>27611.950000000048</v>
      </c>
      <c r="I79" s="118"/>
      <c r="J79" s="175"/>
      <c r="K79" s="59"/>
      <c r="L79" s="58"/>
      <c r="N79" s="87"/>
      <c r="O79" s="71"/>
    </row>
    <row r="80" spans="1:15" s="57" customFormat="1" ht="29.25" x14ac:dyDescent="0.5">
      <c r="A80" s="815" t="s">
        <v>329</v>
      </c>
      <c r="B80" s="816"/>
      <c r="C80" s="817"/>
      <c r="D80" s="151"/>
      <c r="E80" s="117"/>
      <c r="F80" s="117"/>
      <c r="G80" s="112">
        <f>SUM(G74:G79)</f>
        <v>1100</v>
      </c>
      <c r="H80" s="99"/>
      <c r="I80" s="118"/>
      <c r="J80" s="175"/>
      <c r="K80" s="59"/>
      <c r="L80" s="58"/>
      <c r="N80" s="87"/>
      <c r="O80" s="71"/>
    </row>
    <row r="81" spans="1:15" ht="27" x14ac:dyDescent="0.4">
      <c r="A81" s="854" t="s">
        <v>226</v>
      </c>
      <c r="B81" s="855"/>
      <c r="C81" s="856"/>
      <c r="D81" s="110"/>
      <c r="E81" s="110"/>
      <c r="F81" s="110"/>
      <c r="G81" s="163"/>
      <c r="H81" s="163"/>
      <c r="I81" s="163"/>
      <c r="J81" s="184"/>
      <c r="O81" s="71"/>
    </row>
    <row r="82" spans="1:15" ht="27.75" x14ac:dyDescent="0.5">
      <c r="A82" s="345" t="s">
        <v>227</v>
      </c>
      <c r="B82" s="346"/>
      <c r="C82" s="346"/>
      <c r="D82" s="151" t="s">
        <v>228</v>
      </c>
      <c r="E82" s="95">
        <f>'28'!F82</f>
        <v>0</v>
      </c>
      <c r="F82" s="122">
        <v>0</v>
      </c>
      <c r="G82" s="112">
        <f t="shared" ref="G82:G92" si="8">F82-E82</f>
        <v>0</v>
      </c>
      <c r="H82" s="99">
        <f>G82+'28'!H82</f>
        <v>0</v>
      </c>
      <c r="I82" s="118"/>
      <c r="J82" s="175">
        <f>H82/DAY(B2)</f>
        <v>0</v>
      </c>
      <c r="O82" s="71"/>
    </row>
    <row r="83" spans="1:15" ht="27.75" x14ac:dyDescent="0.5">
      <c r="A83" s="345" t="s">
        <v>229</v>
      </c>
      <c r="B83" s="346"/>
      <c r="C83" s="346"/>
      <c r="D83" s="151" t="s">
        <v>228</v>
      </c>
      <c r="E83" s="95">
        <f>'28'!F83</f>
        <v>0</v>
      </c>
      <c r="F83" s="122">
        <v>0</v>
      </c>
      <c r="G83" s="112">
        <f t="shared" si="8"/>
        <v>0</v>
      </c>
      <c r="H83" s="99">
        <f>G83+'28'!H83</f>
        <v>0</v>
      </c>
      <c r="I83" s="118"/>
      <c r="J83" s="175">
        <f>H83/DAY(B2)</f>
        <v>0</v>
      </c>
      <c r="O83" s="71"/>
    </row>
    <row r="84" spans="1:15" ht="27.75" x14ac:dyDescent="0.5">
      <c r="A84" s="345" t="s">
        <v>230</v>
      </c>
      <c r="B84" s="346"/>
      <c r="C84" s="346"/>
      <c r="D84" s="151" t="s">
        <v>228</v>
      </c>
      <c r="E84" s="95">
        <f>'28'!F84</f>
        <v>41675.25</v>
      </c>
      <c r="F84" s="164">
        <v>41675.26</v>
      </c>
      <c r="G84" s="112">
        <f t="shared" si="8"/>
        <v>1.0000000002037268E-2</v>
      </c>
      <c r="H84" s="99">
        <f>G84+'28'!H84</f>
        <v>0.26000000000203727</v>
      </c>
      <c r="I84" s="118"/>
      <c r="J84" s="175">
        <f>H84/DAY(B2)</f>
        <v>8.965517241449561E-3</v>
      </c>
      <c r="O84" s="71"/>
    </row>
    <row r="85" spans="1:15" ht="27.75" x14ac:dyDescent="0.5">
      <c r="A85" s="345" t="s">
        <v>231</v>
      </c>
      <c r="B85" s="346"/>
      <c r="C85" s="346"/>
      <c r="D85" s="151" t="s">
        <v>228</v>
      </c>
      <c r="E85" s="95">
        <f>'28'!F85</f>
        <v>2060.0700000000002</v>
      </c>
      <c r="F85" s="164">
        <v>2083.59</v>
      </c>
      <c r="G85" s="112">
        <f t="shared" si="8"/>
        <v>23.519999999999982</v>
      </c>
      <c r="H85" s="99">
        <f>G85+'28'!H85</f>
        <v>-12.9699999999998</v>
      </c>
      <c r="I85" s="118">
        <f>G82+G83+G84+G85</f>
        <v>23.530000000002019</v>
      </c>
      <c r="J85" s="175">
        <f>H85/DAY(B2)</f>
        <v>-0.44724137931033792</v>
      </c>
      <c r="O85" s="71"/>
    </row>
    <row r="86" spans="1:15" ht="27.75" x14ac:dyDescent="0.5">
      <c r="A86" s="345" t="s">
        <v>232</v>
      </c>
      <c r="B86" s="346"/>
      <c r="C86" s="346"/>
      <c r="D86" s="151" t="s">
        <v>228</v>
      </c>
      <c r="E86" s="95">
        <f>'28'!F86</f>
        <v>42826</v>
      </c>
      <c r="F86" s="164">
        <v>42826.07</v>
      </c>
      <c r="G86" s="112">
        <f t="shared" si="8"/>
        <v>6.9999999999708962E-2</v>
      </c>
      <c r="H86" s="99">
        <f>G86+'28'!H86</f>
        <v>-36.930000000000291</v>
      </c>
      <c r="I86" s="118"/>
      <c r="J86" s="175">
        <f>H86/DAY(B2)</f>
        <v>-1.2734482758620791</v>
      </c>
      <c r="O86" s="71"/>
    </row>
    <row r="87" spans="1:15" ht="27.75" x14ac:dyDescent="0.5">
      <c r="A87" s="345" t="s">
        <v>233</v>
      </c>
      <c r="B87" s="346"/>
      <c r="C87" s="346"/>
      <c r="D87" s="151" t="s">
        <v>228</v>
      </c>
      <c r="E87" s="95">
        <f>'28'!F87</f>
        <v>34598.550000000003</v>
      </c>
      <c r="F87" s="164">
        <v>34598.550000000003</v>
      </c>
      <c r="G87" s="112">
        <f t="shared" si="8"/>
        <v>0</v>
      </c>
      <c r="H87" s="99">
        <f>G87+'28'!H87</f>
        <v>0</v>
      </c>
      <c r="I87" s="118"/>
      <c r="J87" s="175">
        <f>H87/DAY(B2)</f>
        <v>0</v>
      </c>
      <c r="O87" s="71"/>
    </row>
    <row r="88" spans="1:15" ht="27.75" x14ac:dyDescent="0.5">
      <c r="A88" s="345" t="s">
        <v>234</v>
      </c>
      <c r="B88" s="346"/>
      <c r="C88" s="346"/>
      <c r="D88" s="151" t="s">
        <v>228</v>
      </c>
      <c r="E88" s="95">
        <f>'28'!F88</f>
        <v>24040.87</v>
      </c>
      <c r="F88" s="164">
        <v>24041.06</v>
      </c>
      <c r="G88" s="112">
        <f t="shared" si="8"/>
        <v>0.19000000000232831</v>
      </c>
      <c r="H88" s="99">
        <f>G88+'28'!H88</f>
        <v>-5.9399999999986903</v>
      </c>
      <c r="I88" s="118">
        <f>G86+G87+G88</f>
        <v>0.26000000000203727</v>
      </c>
      <c r="J88" s="175">
        <f>H88/DAY(B2)</f>
        <v>-0.2048275862068514</v>
      </c>
      <c r="O88" s="71"/>
    </row>
    <row r="89" spans="1:15" ht="27.75" x14ac:dyDescent="0.5">
      <c r="A89" s="345" t="s">
        <v>235</v>
      </c>
      <c r="B89" s="346"/>
      <c r="C89" s="346"/>
      <c r="D89" s="151" t="s">
        <v>228</v>
      </c>
      <c r="E89" s="95">
        <f>'28'!F89</f>
        <v>25641.94</v>
      </c>
      <c r="F89" s="164">
        <v>25651.26</v>
      </c>
      <c r="G89" s="112">
        <f t="shared" si="8"/>
        <v>9.319999999999709</v>
      </c>
      <c r="H89" s="99">
        <f>G89+'28'!H89</f>
        <v>-11.740000000001601</v>
      </c>
      <c r="I89" s="118"/>
      <c r="J89" s="175">
        <f>H89/DAY(B2)</f>
        <v>-0.40482758620695175</v>
      </c>
      <c r="O89" s="71"/>
    </row>
    <row r="90" spans="1:15" ht="27.75" x14ac:dyDescent="0.5">
      <c r="A90" s="345" t="s">
        <v>236</v>
      </c>
      <c r="B90" s="346"/>
      <c r="C90" s="346"/>
      <c r="D90" s="151" t="s">
        <v>228</v>
      </c>
      <c r="E90" s="95">
        <f>'28'!F90</f>
        <v>71016.929999999993</v>
      </c>
      <c r="F90" s="164">
        <v>71022.03</v>
      </c>
      <c r="G90" s="112">
        <f t="shared" si="8"/>
        <v>5.1000000000058208</v>
      </c>
      <c r="H90" s="99">
        <f>G90+'28'!H90</f>
        <v>34.029999999998836</v>
      </c>
      <c r="I90" s="118">
        <f>G89+G90</f>
        <v>14.42000000000553</v>
      </c>
      <c r="J90" s="175">
        <f>H90/DAY(B2)</f>
        <v>1.1734482758620288</v>
      </c>
      <c r="O90" s="71"/>
    </row>
    <row r="91" spans="1:15" ht="27.75" x14ac:dyDescent="0.5">
      <c r="A91" s="345" t="s">
        <v>237</v>
      </c>
      <c r="B91" s="346"/>
      <c r="C91" s="346"/>
      <c r="D91" s="151" t="s">
        <v>228</v>
      </c>
      <c r="E91" s="95">
        <f>'28'!F91</f>
        <v>3226</v>
      </c>
      <c r="F91" s="122">
        <v>3226</v>
      </c>
      <c r="G91" s="112">
        <f t="shared" si="8"/>
        <v>0</v>
      </c>
      <c r="H91" s="99">
        <f>G91+'28'!H91</f>
        <v>-0.32000000000016371</v>
      </c>
      <c r="I91" s="165"/>
      <c r="J91" s="175">
        <f>H91/DAY(B2)</f>
        <v>-1.1034482758626335E-2</v>
      </c>
      <c r="O91" s="71"/>
    </row>
    <row r="92" spans="1:15" ht="27.75" x14ac:dyDescent="0.5">
      <c r="A92" s="345" t="s">
        <v>238</v>
      </c>
      <c r="B92" s="346"/>
      <c r="C92" s="346"/>
      <c r="D92" s="151" t="s">
        <v>228</v>
      </c>
      <c r="E92" s="95">
        <f>'28'!F92</f>
        <v>5406.68</v>
      </c>
      <c r="F92" s="122">
        <v>5418.13</v>
      </c>
      <c r="G92" s="112">
        <f t="shared" si="8"/>
        <v>11.449999999999818</v>
      </c>
      <c r="H92" s="99">
        <f>G92+'28'!H92</f>
        <v>-19.869999999999891</v>
      </c>
      <c r="I92" s="165"/>
      <c r="J92" s="175">
        <f>H92/DAY(B2)</f>
        <v>-0.68517241379309968</v>
      </c>
      <c r="O92" s="71"/>
    </row>
    <row r="93" spans="1:15" ht="29.25" x14ac:dyDescent="0.5">
      <c r="A93" s="863" t="s">
        <v>239</v>
      </c>
      <c r="B93" s="864"/>
      <c r="C93" s="865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27.75" x14ac:dyDescent="0.5">
      <c r="A94" s="818" t="s">
        <v>240</v>
      </c>
      <c r="B94" s="819"/>
      <c r="C94" s="820"/>
      <c r="D94" s="151" t="s">
        <v>130</v>
      </c>
      <c r="E94" s="151"/>
      <c r="F94" s="151"/>
      <c r="G94" s="99">
        <f>G35+G43+G49+G57</f>
        <v>5765.480000000025</v>
      </c>
      <c r="H94" s="99">
        <f>G94+'28'!H94</f>
        <v>441313.23</v>
      </c>
      <c r="I94" s="118"/>
      <c r="J94" s="175">
        <f>H94/DAY(B2)</f>
        <v>15217.697586206896</v>
      </c>
      <c r="K94" s="69"/>
      <c r="L94" s="66"/>
      <c r="O94" s="71"/>
    </row>
    <row r="95" spans="1:15" ht="27.75" x14ac:dyDescent="0.5">
      <c r="A95" s="818" t="s">
        <v>241</v>
      </c>
      <c r="B95" s="819"/>
      <c r="C95" s="820"/>
      <c r="D95" s="151" t="s">
        <v>23</v>
      </c>
      <c r="E95" s="146"/>
      <c r="F95" s="146"/>
      <c r="G95" s="166">
        <f>G94/G7</f>
        <v>0.24533957446808616</v>
      </c>
      <c r="H95" s="99">
        <f>G95+'28'!H95</f>
        <v>20.404747737804708</v>
      </c>
      <c r="I95" s="167"/>
      <c r="J95" s="175">
        <f>H95/DAY(B2)</f>
        <v>0.70361199095878302</v>
      </c>
      <c r="K95" s="69"/>
      <c r="L95" s="66"/>
      <c r="O95" s="71"/>
    </row>
    <row r="96" spans="1:15" ht="27.75" x14ac:dyDescent="0.5">
      <c r="A96" s="818" t="s">
        <v>242</v>
      </c>
      <c r="B96" s="819"/>
      <c r="C96" s="820"/>
      <c r="D96" s="151" t="s">
        <v>130</v>
      </c>
      <c r="E96" s="95"/>
      <c r="F96" s="95"/>
      <c r="G96" s="99">
        <f>G41+G42+G55+G56</f>
        <v>4224.9400000000023</v>
      </c>
      <c r="H96" s="99">
        <f>G96+'28'!H96</f>
        <v>-5419.6300000000047</v>
      </c>
      <c r="I96" s="118"/>
      <c r="J96" s="175">
        <f>H96/DAY(B2)</f>
        <v>-186.88379310344843</v>
      </c>
      <c r="K96" s="69"/>
      <c r="L96" s="66"/>
      <c r="O96" s="71"/>
    </row>
    <row r="97" spans="1:15" ht="27.75" x14ac:dyDescent="0.5">
      <c r="A97" s="818" t="s">
        <v>243</v>
      </c>
      <c r="B97" s="819"/>
      <c r="C97" s="820"/>
      <c r="D97" s="151" t="s">
        <v>23</v>
      </c>
      <c r="E97" s="95"/>
      <c r="F97" s="95"/>
      <c r="G97" s="166">
        <f>G96/G7</f>
        <v>0.17978468085106392</v>
      </c>
      <c r="H97" s="99">
        <f>G97+'28'!H97</f>
        <v>0.73064727710462729</v>
      </c>
      <c r="I97" s="167"/>
      <c r="J97" s="175">
        <f>H97/DAY(B2)</f>
        <v>2.519473369326301E-2</v>
      </c>
      <c r="K97" s="69"/>
      <c r="L97" s="66"/>
      <c r="O97" s="71"/>
    </row>
    <row r="98" spans="1:15" ht="27.75" x14ac:dyDescent="0.5">
      <c r="A98" s="818" t="s">
        <v>244</v>
      </c>
      <c r="B98" s="819"/>
      <c r="C98" s="820"/>
      <c r="D98" s="151" t="s">
        <v>130</v>
      </c>
      <c r="E98" s="95"/>
      <c r="F98" s="95"/>
      <c r="G98" s="99">
        <f>G39+G53</f>
        <v>2727.320000000007</v>
      </c>
      <c r="H98" s="99">
        <f>G98+'28'!H98</f>
        <v>427286.75</v>
      </c>
      <c r="I98" s="168"/>
      <c r="J98" s="175">
        <f>H98/DAY(B2)</f>
        <v>14734.025862068966</v>
      </c>
      <c r="K98" s="69"/>
      <c r="L98" s="66"/>
      <c r="O98" s="71"/>
    </row>
    <row r="99" spans="1:15" ht="27.75" x14ac:dyDescent="0.5">
      <c r="A99" s="818" t="s">
        <v>245</v>
      </c>
      <c r="B99" s="819"/>
      <c r="C99" s="820"/>
      <c r="D99" s="151" t="s">
        <v>23</v>
      </c>
      <c r="E99" s="95"/>
      <c r="F99" s="95"/>
      <c r="G99" s="166">
        <f>G98/G7</f>
        <v>0.11605617021276625</v>
      </c>
      <c r="H99" s="99">
        <f>G99+'28'!H99</f>
        <v>19.037576458860162</v>
      </c>
      <c r="I99" s="168"/>
      <c r="J99" s="175">
        <f>H99/DAY(B2)</f>
        <v>0.65646815375379863</v>
      </c>
      <c r="O99" s="71"/>
    </row>
    <row r="100" spans="1:15" ht="27.75" x14ac:dyDescent="0.5">
      <c r="A100" s="818" t="s">
        <v>246</v>
      </c>
      <c r="B100" s="819"/>
      <c r="C100" s="820"/>
      <c r="D100" s="151" t="s">
        <v>180</v>
      </c>
      <c r="E100" s="95"/>
      <c r="F100" s="95"/>
      <c r="G100" s="99">
        <f>G38+G52</f>
        <v>1870.5800000000163</v>
      </c>
      <c r="H100" s="99">
        <f>G100+'28'!H100</f>
        <v>242022.07</v>
      </c>
      <c r="I100" s="118"/>
      <c r="J100" s="175">
        <f>H100/DAY(B2)</f>
        <v>8345.5886206896557</v>
      </c>
      <c r="K100" s="70"/>
      <c r="O100" s="71"/>
    </row>
    <row r="101" spans="1:15" ht="27.75" x14ac:dyDescent="0.5">
      <c r="A101" s="818" t="s">
        <v>247</v>
      </c>
      <c r="B101" s="819"/>
      <c r="C101" s="820"/>
      <c r="D101" s="151" t="s">
        <v>23</v>
      </c>
      <c r="E101" s="95"/>
      <c r="F101" s="95"/>
      <c r="G101" s="166">
        <f>G100/G7</f>
        <v>7.9599148936170913E-2</v>
      </c>
      <c r="H101" s="99">
        <f>G101+'28'!H101</f>
        <v>10.842234713080018</v>
      </c>
      <c r="I101" s="168"/>
      <c r="J101" s="175">
        <f>H101/DAY(B2)</f>
        <v>0.3738701625200006</v>
      </c>
      <c r="O101" s="71"/>
    </row>
    <row r="102" spans="1:15" ht="27.75" x14ac:dyDescent="0.5">
      <c r="A102" s="818" t="s">
        <v>248</v>
      </c>
      <c r="B102" s="819"/>
      <c r="C102" s="820"/>
      <c r="D102" s="151" t="s">
        <v>180</v>
      </c>
      <c r="E102" s="95"/>
      <c r="F102" s="95"/>
      <c r="G102" s="99">
        <f>G36+G50</f>
        <v>1767.6299999999974</v>
      </c>
      <c r="H102" s="99">
        <f>G102+'28'!H102</f>
        <v>-3830.2300000000032</v>
      </c>
      <c r="I102" s="168"/>
      <c r="J102" s="175">
        <f>H102/DAY(B2)</f>
        <v>-132.07689655172425</v>
      </c>
      <c r="O102" s="71"/>
    </row>
    <row r="103" spans="1:15" ht="27.75" x14ac:dyDescent="0.5">
      <c r="A103" s="818" t="s">
        <v>249</v>
      </c>
      <c r="B103" s="819"/>
      <c r="C103" s="820"/>
      <c r="D103" s="151" t="s">
        <v>23</v>
      </c>
      <c r="E103" s="95"/>
      <c r="F103" s="95"/>
      <c r="G103" s="166">
        <f>G102/G7</f>
        <v>7.5218297872340315E-2</v>
      </c>
      <c r="H103" s="99">
        <f>G103+'28'!H103</f>
        <v>0.38989477984242255</v>
      </c>
      <c r="I103" s="118"/>
      <c r="J103" s="175">
        <f>H103/DAY(B2)</f>
        <v>1.344464758077319E-2</v>
      </c>
      <c r="O103" s="71"/>
    </row>
    <row r="104" spans="1:15" ht="27.75" x14ac:dyDescent="0.5">
      <c r="A104" s="818" t="s">
        <v>250</v>
      </c>
      <c r="B104" s="819"/>
      <c r="C104" s="820"/>
      <c r="D104" s="151" t="s">
        <v>180</v>
      </c>
      <c r="E104" s="95"/>
      <c r="F104" s="95"/>
      <c r="G104" s="99">
        <f>G37+G51</f>
        <v>1544.4799999999814</v>
      </c>
      <c r="H104" s="99">
        <f>G104+'28'!H104</f>
        <v>204401.71</v>
      </c>
      <c r="I104" s="118"/>
      <c r="J104" s="175">
        <f>H104/DAY(B2)</f>
        <v>7048.3348275862063</v>
      </c>
      <c r="O104" s="71"/>
    </row>
    <row r="105" spans="1:15" ht="28.5" thickBot="1" x14ac:dyDescent="0.55000000000000004">
      <c r="A105" s="858" t="s">
        <v>251</v>
      </c>
      <c r="B105" s="859"/>
      <c r="C105" s="860"/>
      <c r="D105" s="231" t="s">
        <v>23</v>
      </c>
      <c r="E105" s="185"/>
      <c r="F105" s="185"/>
      <c r="G105" s="186">
        <f>G104/G7</f>
        <v>6.5722553191488564E-2</v>
      </c>
      <c r="H105" s="99">
        <f>G105+'28'!H105</f>
        <v>9.2038039051346097</v>
      </c>
      <c r="I105" s="187"/>
      <c r="J105" s="188">
        <f>H105/DAY(B2)</f>
        <v>0.31737254845291757</v>
      </c>
      <c r="O105" s="71"/>
    </row>
    <row r="106" spans="1:15" ht="29.25" x14ac:dyDescent="0.5">
      <c r="A106" s="105"/>
      <c r="B106" s="96"/>
      <c r="C106" s="96"/>
      <c r="D106" s="169"/>
      <c r="E106" s="169"/>
      <c r="F106" s="169"/>
      <c r="G106" s="169"/>
      <c r="H106" s="170"/>
      <c r="I106" s="169"/>
      <c r="J106" s="171"/>
      <c r="O106" s="71"/>
    </row>
    <row r="107" spans="1:15" ht="29.25" x14ac:dyDescent="0.5"/>
    <row r="108" spans="1:15" ht="31.5" x14ac:dyDescent="0.55000000000000004">
      <c r="A108" s="872" t="s">
        <v>324</v>
      </c>
      <c r="B108" s="872"/>
      <c r="C108" s="872"/>
      <c r="D108" s="872"/>
      <c r="E108" s="872"/>
      <c r="F108" s="872"/>
      <c r="G108" s="872"/>
      <c r="H108" s="872"/>
      <c r="I108" s="872"/>
      <c r="J108" s="872"/>
    </row>
    <row r="109" spans="1:15" ht="29.25" x14ac:dyDescent="0.5">
      <c r="A109" s="857"/>
      <c r="B109" s="857"/>
    </row>
    <row r="110" spans="1:15" ht="29.25" x14ac:dyDescent="0.5">
      <c r="A110" s="873" t="s">
        <v>165</v>
      </c>
      <c r="B110" s="874"/>
      <c r="C110" s="874"/>
      <c r="D110" s="874"/>
      <c r="E110" s="874"/>
      <c r="F110" s="874"/>
      <c r="G110" s="874"/>
      <c r="H110" s="874"/>
      <c r="I110" s="874"/>
      <c r="J110" s="875"/>
    </row>
    <row r="111" spans="1:15" ht="27.75" x14ac:dyDescent="0.5">
      <c r="A111" s="876"/>
      <c r="B111" s="877"/>
      <c r="C111" s="878"/>
      <c r="D111" s="165"/>
      <c r="E111" s="165"/>
      <c r="F111" s="165"/>
      <c r="G111" s="165"/>
      <c r="H111" s="156"/>
      <c r="I111" s="165"/>
      <c r="J111" s="327"/>
    </row>
    <row r="112" spans="1:15" ht="27.75" x14ac:dyDescent="0.5">
      <c r="A112" s="851" t="s">
        <v>252</v>
      </c>
      <c r="B112" s="852"/>
      <c r="C112" s="853"/>
      <c r="D112" s="146" t="s">
        <v>183</v>
      </c>
      <c r="E112" s="95">
        <f>'28'!F112</f>
        <v>55471.73</v>
      </c>
      <c r="F112" s="237">
        <v>53273.53</v>
      </c>
      <c r="G112" s="112">
        <v>5541.25</v>
      </c>
      <c r="H112" s="99">
        <f>G112+'28'!H112</f>
        <v>5331.9800000000032</v>
      </c>
      <c r="I112" s="165"/>
      <c r="J112" s="328">
        <f>H112/DAY(B2)</f>
        <v>183.86137931034494</v>
      </c>
    </row>
    <row r="113" spans="1:18" ht="27.75" x14ac:dyDescent="0.5">
      <c r="A113" s="851" t="s">
        <v>253</v>
      </c>
      <c r="B113" s="852"/>
      <c r="C113" s="853"/>
      <c r="D113" s="146" t="s">
        <v>183</v>
      </c>
      <c r="E113" s="95">
        <f>'28'!F113</f>
        <v>30853.22</v>
      </c>
      <c r="F113" s="237">
        <v>31290.99</v>
      </c>
      <c r="G113" s="112">
        <f t="shared" ref="G113:G123" si="9">F113-E113</f>
        <v>437.77000000000044</v>
      </c>
      <c r="H113" s="99">
        <f>G113+'28'!H113</f>
        <v>-904.0099999999984</v>
      </c>
      <c r="I113" s="165"/>
      <c r="J113" s="328">
        <f>H113/DAY(B2)</f>
        <v>-31.172758620689599</v>
      </c>
    </row>
    <row r="114" spans="1:18" ht="27.75" x14ac:dyDescent="0.5">
      <c r="A114" s="851" t="s">
        <v>254</v>
      </c>
      <c r="B114" s="852"/>
      <c r="C114" s="853"/>
      <c r="D114" s="146" t="s">
        <v>183</v>
      </c>
      <c r="E114" s="95">
        <f>'28'!F114</f>
        <v>24047.77</v>
      </c>
      <c r="F114" s="237">
        <v>24321.7</v>
      </c>
      <c r="G114" s="112">
        <f t="shared" si="9"/>
        <v>273.93000000000029</v>
      </c>
      <c r="H114" s="99">
        <f>G114+'28'!H114</f>
        <v>-682.89999999999964</v>
      </c>
      <c r="I114" s="165"/>
      <c r="J114" s="328">
        <f>H114/DAY(B2)</f>
        <v>-23.548275862068952</v>
      </c>
    </row>
    <row r="115" spans="1:18" ht="27.75" x14ac:dyDescent="0.5">
      <c r="A115" s="851" t="s">
        <v>255</v>
      </c>
      <c r="B115" s="852"/>
      <c r="C115" s="853"/>
      <c r="D115" s="146" t="s">
        <v>183</v>
      </c>
      <c r="E115" s="95">
        <f>'28'!F115</f>
        <v>8758.1299999999992</v>
      </c>
      <c r="F115" s="237">
        <v>8765.64</v>
      </c>
      <c r="G115" s="112">
        <f t="shared" si="9"/>
        <v>7.5100000000002183</v>
      </c>
      <c r="H115" s="99">
        <f>G115+'28'!H115</f>
        <v>-19.360000000000582</v>
      </c>
      <c r="I115" s="165"/>
      <c r="J115" s="328">
        <f>H115/DAY(B2)</f>
        <v>-0.66758620689657178</v>
      </c>
    </row>
    <row r="116" spans="1:18" ht="27.75" x14ac:dyDescent="0.5">
      <c r="A116" s="869" t="s">
        <v>96</v>
      </c>
      <c r="B116" s="870"/>
      <c r="C116" s="871"/>
      <c r="D116" s="146" t="s">
        <v>183</v>
      </c>
      <c r="E116" s="95">
        <f>'28'!F116</f>
        <v>0</v>
      </c>
      <c r="F116" s="237">
        <v>0</v>
      </c>
      <c r="G116" s="112">
        <f t="shared" si="9"/>
        <v>0</v>
      </c>
      <c r="H116" s="99">
        <f>G116+'28'!H116</f>
        <v>0</v>
      </c>
      <c r="I116" s="165"/>
      <c r="J116" s="328">
        <f>H116/DAY(B2)</f>
        <v>0</v>
      </c>
      <c r="Q116" s="851" t="s">
        <v>311</v>
      </c>
      <c r="R116" s="853"/>
    </row>
    <row r="117" spans="1:18" ht="27.75" x14ac:dyDescent="0.5">
      <c r="A117" s="869" t="s">
        <v>184</v>
      </c>
      <c r="B117" s="870"/>
      <c r="C117" s="871"/>
      <c r="D117" s="146" t="s">
        <v>183</v>
      </c>
      <c r="E117" s="95">
        <f>'28'!F117</f>
        <v>2526.06</v>
      </c>
      <c r="F117" s="237">
        <v>2547.0100000000002</v>
      </c>
      <c r="G117" s="112">
        <f t="shared" si="9"/>
        <v>20.950000000000273</v>
      </c>
      <c r="H117" s="99">
        <f>G117+'28'!H117</f>
        <v>-42.989999999999782</v>
      </c>
      <c r="I117" s="165"/>
      <c r="J117" s="328">
        <f>H117/DAY(B2)</f>
        <v>-1.4824137931034407</v>
      </c>
      <c r="Q117" s="851" t="s">
        <v>312</v>
      </c>
      <c r="R117" s="853"/>
    </row>
    <row r="118" spans="1:18" ht="27.75" x14ac:dyDescent="0.5">
      <c r="A118" s="846" t="s">
        <v>97</v>
      </c>
      <c r="B118" s="846"/>
      <c r="C118" s="846"/>
      <c r="D118" s="151" t="s">
        <v>183</v>
      </c>
      <c r="E118" s="95">
        <f>'28'!F118</f>
        <v>240490.67</v>
      </c>
      <c r="F118" s="237">
        <v>240930.71</v>
      </c>
      <c r="G118" s="112">
        <f t="shared" si="9"/>
        <v>440.03999999997905</v>
      </c>
      <c r="H118" s="99">
        <f>G118+'28'!H118</f>
        <v>-716.29000000000815</v>
      </c>
      <c r="I118" s="165"/>
      <c r="J118" s="328">
        <f>H118/DAY(B2)</f>
        <v>-24.699655172414076</v>
      </c>
      <c r="Q118" s="851" t="s">
        <v>311</v>
      </c>
      <c r="R118" s="853"/>
    </row>
    <row r="119" spans="1:18" ht="27.75" x14ac:dyDescent="0.5">
      <c r="A119" s="846" t="s">
        <v>98</v>
      </c>
      <c r="B119" s="846"/>
      <c r="C119" s="846"/>
      <c r="D119" s="151" t="s">
        <v>183</v>
      </c>
      <c r="E119" s="95">
        <f>'28'!F119</f>
        <v>243904.25</v>
      </c>
      <c r="F119" s="237">
        <v>244293.29</v>
      </c>
      <c r="G119" s="112">
        <f t="shared" si="9"/>
        <v>389.04000000000815</v>
      </c>
      <c r="H119" s="99">
        <f>G119+'28'!H119</f>
        <v>-832.70999999999185</v>
      </c>
      <c r="I119" s="165"/>
      <c r="J119" s="328">
        <f>H119/DAY(B2)</f>
        <v>-28.714137931034202</v>
      </c>
    </row>
    <row r="120" spans="1:18" ht="27.75" x14ac:dyDescent="0.5">
      <c r="A120" s="846" t="s">
        <v>99</v>
      </c>
      <c r="B120" s="846"/>
      <c r="C120" s="846"/>
      <c r="D120" s="151" t="s">
        <v>183</v>
      </c>
      <c r="E120" s="95">
        <f>'28'!F120</f>
        <v>28841.64</v>
      </c>
      <c r="F120" s="237">
        <v>29243.51</v>
      </c>
      <c r="G120" s="112">
        <f t="shared" si="9"/>
        <v>401.86999999999898</v>
      </c>
      <c r="H120" s="99">
        <f>G120+'28'!H120</f>
        <v>-834.4900000000016</v>
      </c>
      <c r="I120" s="165"/>
      <c r="J120" s="328">
        <f>H120/DAY(B2)</f>
        <v>-28.775517241379365</v>
      </c>
    </row>
    <row r="121" spans="1:18" ht="27.75" x14ac:dyDescent="0.5">
      <c r="A121" s="846" t="s">
        <v>100</v>
      </c>
      <c r="B121" s="846"/>
      <c r="C121" s="846"/>
      <c r="D121" s="151" t="s">
        <v>183</v>
      </c>
      <c r="E121" s="95">
        <f>'28'!F121</f>
        <v>374219.141</v>
      </c>
      <c r="F121" s="237">
        <v>374958.61</v>
      </c>
      <c r="G121" s="112">
        <f t="shared" si="9"/>
        <v>739.46899999998277</v>
      </c>
      <c r="H121" s="99">
        <f>G121+'28'!H121</f>
        <v>-1570.390000000014</v>
      </c>
      <c r="I121" s="165"/>
      <c r="J121" s="328">
        <f>H121/DAY(B2)</f>
        <v>-54.151379310345312</v>
      </c>
    </row>
    <row r="122" spans="1:18" ht="27.75" x14ac:dyDescent="0.5">
      <c r="A122" s="846" t="s">
        <v>101</v>
      </c>
      <c r="B122" s="846"/>
      <c r="C122" s="846"/>
      <c r="D122" s="151" t="s">
        <v>183</v>
      </c>
      <c r="E122" s="95">
        <f>'28'!F122</f>
        <v>119369.52</v>
      </c>
      <c r="F122" s="237">
        <v>119588.07</v>
      </c>
      <c r="G122" s="112">
        <f t="shared" si="9"/>
        <v>218.55000000000291</v>
      </c>
      <c r="H122" s="99">
        <f>G122+'28'!H122</f>
        <v>-461.92999999999302</v>
      </c>
      <c r="I122" s="165"/>
      <c r="J122" s="328">
        <f>H122/DAY(B2)</f>
        <v>-15.928620689654931</v>
      </c>
    </row>
    <row r="123" spans="1:18" ht="27.75" x14ac:dyDescent="0.5">
      <c r="A123" s="846" t="s">
        <v>102</v>
      </c>
      <c r="B123" s="846"/>
      <c r="C123" s="846"/>
      <c r="D123" s="151" t="s">
        <v>183</v>
      </c>
      <c r="E123" s="95">
        <f>'28'!F123</f>
        <v>144113.63</v>
      </c>
      <c r="F123" s="237">
        <v>144462.63</v>
      </c>
      <c r="G123" s="112">
        <f t="shared" si="9"/>
        <v>349</v>
      </c>
      <c r="H123" s="99">
        <f>G123+'28'!H123</f>
        <v>-662.36999999999534</v>
      </c>
      <c r="I123" s="165"/>
      <c r="J123" s="328">
        <f>H123/DAY(B2)</f>
        <v>-22.840344827586048</v>
      </c>
    </row>
    <row r="124" spans="1:18" ht="27.75" x14ac:dyDescent="0.5">
      <c r="A124" s="876"/>
      <c r="B124" s="877"/>
      <c r="C124" s="878"/>
      <c r="D124" s="165"/>
      <c r="E124" s="95">
        <f>'28'!F124</f>
        <v>0</v>
      </c>
      <c r="F124" s="165"/>
      <c r="G124" s="327"/>
      <c r="H124" s="99">
        <f>G124+'28'!H124</f>
        <v>0</v>
      </c>
      <c r="I124" s="165"/>
      <c r="J124" s="327"/>
    </row>
    <row r="125" spans="1:18" ht="27.75" x14ac:dyDescent="0.5">
      <c r="A125" s="879" t="s">
        <v>196</v>
      </c>
      <c r="B125" s="880"/>
      <c r="C125" s="245"/>
      <c r="D125" s="307"/>
      <c r="E125" s="308"/>
      <c r="F125" s="308"/>
      <c r="G125" s="309">
        <f>SUM(G112:G124)</f>
        <v>8819.3789999999735</v>
      </c>
      <c r="H125" s="156"/>
      <c r="I125" s="327">
        <f>G125-(G39+G53)</f>
        <v>6092.0589999999665</v>
      </c>
      <c r="J125" s="327"/>
    </row>
    <row r="126" spans="1:18" ht="27.75" x14ac:dyDescent="0.5">
      <c r="A126" s="881" t="s">
        <v>317</v>
      </c>
      <c r="B126" s="881"/>
      <c r="C126" s="881"/>
      <c r="D126" s="881"/>
      <c r="E126" s="881"/>
      <c r="F126" s="881"/>
      <c r="G126" s="881"/>
      <c r="H126" s="881"/>
      <c r="I126" s="881"/>
      <c r="J126" s="881"/>
    </row>
    <row r="127" spans="1:18" ht="27.75" x14ac:dyDescent="0.5">
      <c r="A127" s="882"/>
      <c r="B127" s="882"/>
      <c r="C127" s="245"/>
      <c r="D127" s="307"/>
      <c r="E127" s="308"/>
      <c r="F127" s="308"/>
      <c r="G127" s="309"/>
      <c r="H127" s="99">
        <f>G127+'28'!H127</f>
        <v>0</v>
      </c>
      <c r="I127" s="165"/>
      <c r="J127" s="328">
        <f>H127/DAY(B2)</f>
        <v>0</v>
      </c>
    </row>
    <row r="128" spans="1:18" ht="27.75" x14ac:dyDescent="0.5">
      <c r="A128" s="851" t="s">
        <v>318</v>
      </c>
      <c r="B128" s="852"/>
      <c r="C128" s="853"/>
      <c r="D128" s="151" t="s">
        <v>183</v>
      </c>
      <c r="E128" s="95">
        <f>'28'!F128</f>
        <v>36930.68</v>
      </c>
      <c r="F128" s="165">
        <v>37254.01</v>
      </c>
      <c r="G128" s="112">
        <f t="shared" ref="G128:G134" si="10">F128-E128</f>
        <v>323.33000000000175</v>
      </c>
      <c r="H128" s="99">
        <f>G128+'28'!H128</f>
        <v>-749.98999999999796</v>
      </c>
      <c r="I128" s="165"/>
      <c r="J128" s="328">
        <f>H128/DAY(B2)</f>
        <v>-25.861724137930963</v>
      </c>
    </row>
    <row r="129" spans="1:15" ht="27.75" x14ac:dyDescent="0.5">
      <c r="A129" s="329" t="s">
        <v>319</v>
      </c>
      <c r="B129" s="330"/>
      <c r="C129" s="331"/>
      <c r="D129" s="151" t="s">
        <v>183</v>
      </c>
      <c r="E129" s="95">
        <f>'28'!F129</f>
        <v>19701.93</v>
      </c>
      <c r="F129" s="165">
        <v>19911.98</v>
      </c>
      <c r="G129" s="112">
        <f t="shared" si="10"/>
        <v>210.04999999999927</v>
      </c>
      <c r="H129" s="99">
        <f>G129+'28'!H129</f>
        <v>-409.02000000000044</v>
      </c>
      <c r="I129" s="165"/>
      <c r="J129" s="328">
        <f>H129/DAY(B2)</f>
        <v>-14.104137931034497</v>
      </c>
      <c r="N129" s="240"/>
      <c r="O129" s="241"/>
    </row>
    <row r="130" spans="1:15" ht="27.75" x14ac:dyDescent="0.5">
      <c r="A130" s="329" t="s">
        <v>320</v>
      </c>
      <c r="B130" s="330"/>
      <c r="C130" s="331"/>
      <c r="D130" s="151" t="s">
        <v>183</v>
      </c>
      <c r="E130" s="95">
        <f>'28'!F130</f>
        <v>15841.03</v>
      </c>
      <c r="F130" s="165">
        <v>16637.02</v>
      </c>
      <c r="G130" s="112">
        <f t="shared" si="10"/>
        <v>795.98999999999978</v>
      </c>
      <c r="H130" s="99">
        <f>G130+'28'!H130</f>
        <v>-1744.9799999999996</v>
      </c>
      <c r="I130" s="165"/>
      <c r="J130" s="328">
        <f>H130/DAY(B2)</f>
        <v>-60.171724137931022</v>
      </c>
      <c r="N130" s="240"/>
      <c r="O130" s="241"/>
    </row>
    <row r="131" spans="1:15" ht="27.75" x14ac:dyDescent="0.5">
      <c r="A131" s="851" t="s">
        <v>321</v>
      </c>
      <c r="B131" s="852"/>
      <c r="C131" s="853"/>
      <c r="D131" s="151" t="s">
        <v>183</v>
      </c>
      <c r="E131" s="95">
        <f>'28'!F131</f>
        <v>12900.78</v>
      </c>
      <c r="F131" s="165">
        <v>13006.7</v>
      </c>
      <c r="G131" s="112">
        <f t="shared" si="10"/>
        <v>105.92000000000007</v>
      </c>
      <c r="H131" s="99">
        <f>G131+'28'!H131</f>
        <v>-146.29999999999927</v>
      </c>
      <c r="I131" s="165"/>
      <c r="J131" s="328">
        <f>H131/DAY(B2)</f>
        <v>-5.0448275862068712</v>
      </c>
      <c r="N131" s="240"/>
      <c r="O131" s="241"/>
    </row>
    <row r="132" spans="1:15" ht="27.75" x14ac:dyDescent="0.5">
      <c r="A132" s="851" t="s">
        <v>322</v>
      </c>
      <c r="B132" s="852"/>
      <c r="C132" s="853"/>
      <c r="D132" s="151" t="s">
        <v>183</v>
      </c>
      <c r="E132" s="95">
        <f>'28'!F132</f>
        <v>39678.32</v>
      </c>
      <c r="F132" s="165">
        <v>40127.279999999999</v>
      </c>
      <c r="G132" s="112">
        <f t="shared" si="10"/>
        <v>448.95999999999913</v>
      </c>
      <c r="H132" s="99">
        <f>G132+'28'!H132</f>
        <v>-895.72000000000116</v>
      </c>
      <c r="I132" s="165"/>
      <c r="J132" s="328">
        <f>H132/DAY(B2)</f>
        <v>-30.886896551724178</v>
      </c>
    </row>
    <row r="133" spans="1:15" ht="27.75" x14ac:dyDescent="0.5">
      <c r="A133" s="851" t="s">
        <v>362</v>
      </c>
      <c r="B133" s="852"/>
      <c r="C133" s="853"/>
      <c r="D133" s="151" t="s">
        <v>183</v>
      </c>
      <c r="E133" s="95">
        <f>'28'!F133</f>
        <v>85760.93</v>
      </c>
      <c r="F133" s="165">
        <v>86468.29</v>
      </c>
      <c r="G133" s="112">
        <f t="shared" si="10"/>
        <v>707.36000000000058</v>
      </c>
      <c r="H133" s="99">
        <f>G133+'28'!H133</f>
        <v>-1234.7100000000064</v>
      </c>
      <c r="I133" s="165"/>
      <c r="J133" s="328">
        <f>H133/DAY(B2)</f>
        <v>-42.576206896551945</v>
      </c>
    </row>
    <row r="134" spans="1:15" ht="27.75" x14ac:dyDescent="0.5">
      <c r="A134" s="851" t="s">
        <v>340</v>
      </c>
      <c r="B134" s="852"/>
      <c r="C134" s="853"/>
      <c r="D134" s="151" t="s">
        <v>183</v>
      </c>
      <c r="E134" s="95">
        <f>'28'!F134</f>
        <v>666995</v>
      </c>
      <c r="F134" s="165">
        <v>667634</v>
      </c>
      <c r="G134" s="112">
        <f t="shared" si="10"/>
        <v>639</v>
      </c>
      <c r="H134" s="99">
        <f>G134+'28'!H134</f>
        <v>669928</v>
      </c>
      <c r="I134" s="165"/>
      <c r="J134" s="328">
        <f>H134/DAY(B2)</f>
        <v>23100.96551724138</v>
      </c>
    </row>
    <row r="135" spans="1:15" ht="27.75" x14ac:dyDescent="0.5">
      <c r="A135" s="879" t="s">
        <v>196</v>
      </c>
      <c r="B135" s="880"/>
      <c r="C135" s="331"/>
      <c r="D135" s="151"/>
      <c r="E135" s="95"/>
      <c r="F135" s="165"/>
      <c r="G135" s="112">
        <f>SUM(G127:G134)</f>
        <v>3230.6100000000006</v>
      </c>
      <c r="H135" s="99">
        <f>G135+'23'!H135</f>
        <v>36590.779999999984</v>
      </c>
      <c r="I135" s="327">
        <f>G135-(G35+G49)</f>
        <v>-74.950000000026193</v>
      </c>
      <c r="J135" s="328"/>
    </row>
    <row r="136" spans="1:15" ht="31.5" x14ac:dyDescent="0.55000000000000004">
      <c r="A136" s="883" t="s">
        <v>325</v>
      </c>
      <c r="B136" s="883"/>
      <c r="C136" s="883"/>
      <c r="D136" s="883"/>
      <c r="E136" s="883"/>
      <c r="F136" s="883"/>
      <c r="G136" s="883"/>
      <c r="H136" s="883"/>
      <c r="I136" s="883"/>
      <c r="J136" s="883"/>
    </row>
    <row r="137" spans="1:15" ht="29.25" x14ac:dyDescent="0.5">
      <c r="A137" s="245"/>
      <c r="B137" s="246"/>
      <c r="C137" s="246"/>
      <c r="D137" s="165"/>
      <c r="E137" s="165"/>
      <c r="F137" s="165"/>
      <c r="G137" s="165"/>
      <c r="H137" s="156"/>
      <c r="I137" s="165"/>
      <c r="J137" s="327"/>
    </row>
    <row r="138" spans="1:15" ht="27.75" x14ac:dyDescent="0.5">
      <c r="A138" s="846" t="s">
        <v>185</v>
      </c>
      <c r="B138" s="846"/>
      <c r="C138" s="846"/>
      <c r="D138" s="151" t="s">
        <v>183</v>
      </c>
      <c r="E138" s="95">
        <f>'28'!F138</f>
        <v>863869</v>
      </c>
      <c r="F138" s="147">
        <v>863973</v>
      </c>
      <c r="G138" s="112">
        <f t="shared" ref="G138:G152" si="11">F138-E138</f>
        <v>104</v>
      </c>
      <c r="H138" s="99">
        <f>G138+'28'!H138</f>
        <v>-198</v>
      </c>
      <c r="I138" s="118"/>
      <c r="J138" s="328">
        <f>H138/DAY(B2)</f>
        <v>-6.8275862068965516</v>
      </c>
    </row>
    <row r="139" spans="1:15" ht="27.75" x14ac:dyDescent="0.5">
      <c r="A139" s="846" t="s">
        <v>186</v>
      </c>
      <c r="B139" s="846"/>
      <c r="C139" s="846"/>
      <c r="D139" s="151" t="s">
        <v>183</v>
      </c>
      <c r="E139" s="95">
        <f>'28'!F139</f>
        <v>886544</v>
      </c>
      <c r="F139" s="148">
        <v>886545</v>
      </c>
      <c r="G139" s="112">
        <f t="shared" si="11"/>
        <v>1</v>
      </c>
      <c r="H139" s="99">
        <f>G139+'28'!H139</f>
        <v>-1</v>
      </c>
      <c r="I139" s="118"/>
      <c r="J139" s="328">
        <f>H139/DAY(B2)</f>
        <v>-3.4482758620689655E-2</v>
      </c>
    </row>
    <row r="140" spans="1:15" ht="27.75" x14ac:dyDescent="0.5">
      <c r="A140" s="846" t="s">
        <v>187</v>
      </c>
      <c r="B140" s="846"/>
      <c r="C140" s="846"/>
      <c r="D140" s="151" t="s">
        <v>183</v>
      </c>
      <c r="E140" s="95">
        <f>'28'!F140</f>
        <v>88882</v>
      </c>
      <c r="F140" s="149">
        <v>88882</v>
      </c>
      <c r="G140" s="112">
        <f t="shared" si="11"/>
        <v>0</v>
      </c>
      <c r="H140" s="99">
        <f>G140+'28'!H140</f>
        <v>0</v>
      </c>
      <c r="I140" s="118"/>
      <c r="J140" s="328">
        <f>H140/DAY(B2)</f>
        <v>0</v>
      </c>
    </row>
    <row r="141" spans="1:15" ht="27.75" x14ac:dyDescent="0.5">
      <c r="A141" s="850" t="s">
        <v>188</v>
      </c>
      <c r="B141" s="850"/>
      <c r="C141" s="850"/>
      <c r="D141" s="151" t="s">
        <v>183</v>
      </c>
      <c r="E141" s="95">
        <f>'28'!F141</f>
        <v>48738.38</v>
      </c>
      <c r="F141" s="149">
        <v>48918.58</v>
      </c>
      <c r="G141" s="112">
        <f t="shared" si="11"/>
        <v>180.20000000000437</v>
      </c>
      <c r="H141" s="99">
        <f>G141+'28'!H141</f>
        <v>-387.41999999999825</v>
      </c>
      <c r="I141" s="118"/>
      <c r="J141" s="328">
        <f>H141/DAY(B2)</f>
        <v>-13.359310344827525</v>
      </c>
    </row>
    <row r="142" spans="1:15" ht="27.75" x14ac:dyDescent="0.5">
      <c r="A142" s="850" t="s">
        <v>189</v>
      </c>
      <c r="B142" s="850"/>
      <c r="C142" s="850"/>
      <c r="D142" s="151" t="s">
        <v>183</v>
      </c>
      <c r="E142" s="95">
        <f>'28'!F142</f>
        <v>18783.34</v>
      </c>
      <c r="F142" s="148">
        <v>18855.740000000002</v>
      </c>
      <c r="G142" s="112">
        <f t="shared" si="11"/>
        <v>72.400000000001455</v>
      </c>
      <c r="H142" s="99">
        <f>G142+'28'!H142</f>
        <v>-153.2599999999984</v>
      </c>
      <c r="I142" s="140"/>
      <c r="J142" s="328">
        <f>H142/DAY(B2)</f>
        <v>-5.2848275862068412</v>
      </c>
    </row>
    <row r="143" spans="1:15" ht="27.75" x14ac:dyDescent="0.5">
      <c r="A143" s="846" t="s">
        <v>91</v>
      </c>
      <c r="B143" s="846"/>
      <c r="C143" s="846"/>
      <c r="D143" s="151" t="s">
        <v>183</v>
      </c>
      <c r="E143" s="95">
        <f>'28'!F143</f>
        <v>2992.89</v>
      </c>
      <c r="F143" s="149">
        <v>3016.9</v>
      </c>
      <c r="G143" s="112">
        <f t="shared" si="11"/>
        <v>24.010000000000218</v>
      </c>
      <c r="H143" s="99">
        <f>G143+'28'!H143</f>
        <v>-44.099999999999909</v>
      </c>
      <c r="I143" s="140"/>
      <c r="J143" s="328">
        <f>H143/DAY(B2)</f>
        <v>-1.5206896551724107</v>
      </c>
    </row>
    <row r="144" spans="1:15" ht="27.75" x14ac:dyDescent="0.5">
      <c r="A144" s="850" t="s">
        <v>90</v>
      </c>
      <c r="B144" s="850"/>
      <c r="C144" s="850"/>
      <c r="D144" s="151" t="s">
        <v>183</v>
      </c>
      <c r="E144" s="95">
        <f>'28'!F144</f>
        <v>868966</v>
      </c>
      <c r="F144" s="149">
        <v>869213</v>
      </c>
      <c r="G144" s="112">
        <f t="shared" si="11"/>
        <v>247</v>
      </c>
      <c r="H144" s="99">
        <f>G144+'28'!H144</f>
        <v>-457</v>
      </c>
      <c r="I144" s="140"/>
      <c r="J144" s="328">
        <f>H144/DAY(B2)</f>
        <v>-15.758620689655173</v>
      </c>
    </row>
    <row r="145" spans="1:10" ht="27.75" x14ac:dyDescent="0.5">
      <c r="A145" s="846" t="s">
        <v>190</v>
      </c>
      <c r="B145" s="846"/>
      <c r="C145" s="846"/>
      <c r="D145" s="152" t="s">
        <v>183</v>
      </c>
      <c r="E145" s="95">
        <f>'28'!F145</f>
        <v>4518.78</v>
      </c>
      <c r="F145" s="149">
        <v>4530</v>
      </c>
      <c r="G145" s="112">
        <f t="shared" si="11"/>
        <v>11.220000000000255</v>
      </c>
      <c r="H145" s="99">
        <f>G145+'28'!H145</f>
        <v>-28</v>
      </c>
      <c r="I145" s="140"/>
      <c r="J145" s="328">
        <f>H145/DAY(B2)</f>
        <v>-0.96551724137931039</v>
      </c>
    </row>
    <row r="146" spans="1:10" ht="27.75" x14ac:dyDescent="0.5">
      <c r="A146" s="847" t="s">
        <v>191</v>
      </c>
      <c r="B146" s="848"/>
      <c r="C146" s="849"/>
      <c r="D146" s="152" t="s">
        <v>183</v>
      </c>
      <c r="E146" s="95">
        <f>'28'!F146</f>
        <v>723472</v>
      </c>
      <c r="F146" s="148">
        <v>723915</v>
      </c>
      <c r="G146" s="112">
        <f t="shared" si="11"/>
        <v>443</v>
      </c>
      <c r="H146" s="99">
        <f>G146+'28'!H146</f>
        <v>-943</v>
      </c>
      <c r="I146" s="140"/>
      <c r="J146" s="328">
        <f>H146/DAY(B2)</f>
        <v>-32.517241379310342</v>
      </c>
    </row>
    <row r="147" spans="1:10" ht="27.75" x14ac:dyDescent="0.5">
      <c r="A147" s="850" t="s">
        <v>192</v>
      </c>
      <c r="B147" s="850"/>
      <c r="C147" s="850"/>
      <c r="D147" s="152" t="s">
        <v>183</v>
      </c>
      <c r="E147" s="95">
        <f>'28'!F147</f>
        <v>614078.76</v>
      </c>
      <c r="F147" s="148">
        <v>614450.28</v>
      </c>
      <c r="G147" s="112">
        <f t="shared" si="11"/>
        <v>371.52000000001863</v>
      </c>
      <c r="H147" s="99">
        <f>G147+'28'!H147</f>
        <v>-831.71999999997206</v>
      </c>
      <c r="I147" s="140"/>
      <c r="J147" s="328">
        <f>H147/DAY(B2)</f>
        <v>-28.679999999999037</v>
      </c>
    </row>
    <row r="148" spans="1:10" ht="27.75" x14ac:dyDescent="0.5">
      <c r="A148" s="842" t="s">
        <v>193</v>
      </c>
      <c r="B148" s="843"/>
      <c r="C148" s="844"/>
      <c r="D148" s="123" t="s">
        <v>130</v>
      </c>
      <c r="E148" s="95">
        <f>'28'!F148</f>
        <v>682204.08</v>
      </c>
      <c r="F148" s="150">
        <v>682450.96</v>
      </c>
      <c r="G148" s="112">
        <f t="shared" si="11"/>
        <v>246.88000000000466</v>
      </c>
      <c r="H148" s="99">
        <f>G148+'28'!H148</f>
        <v>-582.1600000000326</v>
      </c>
      <c r="I148" s="124"/>
      <c r="J148" s="328">
        <f>H148/DAY(B2)</f>
        <v>-20.074482758621812</v>
      </c>
    </row>
    <row r="149" spans="1:10" ht="27.75" x14ac:dyDescent="0.5">
      <c r="A149" s="842" t="s">
        <v>336</v>
      </c>
      <c r="B149" s="843"/>
      <c r="C149" s="844"/>
      <c r="D149" s="227" t="s">
        <v>130</v>
      </c>
      <c r="E149" s="95">
        <f>'28'!F149</f>
        <v>9193.01</v>
      </c>
      <c r="F149" s="146">
        <v>9770.5</v>
      </c>
      <c r="G149" s="112">
        <f t="shared" si="11"/>
        <v>577.48999999999978</v>
      </c>
      <c r="H149" s="99">
        <f>G149+'28'!H149</f>
        <v>-978.5</v>
      </c>
      <c r="I149" s="119"/>
      <c r="J149" s="328">
        <f>H149/DAY(B2)</f>
        <v>-33.741379310344826</v>
      </c>
    </row>
    <row r="150" spans="1:10" ht="27.75" x14ac:dyDescent="0.5">
      <c r="A150" s="842" t="s">
        <v>337</v>
      </c>
      <c r="B150" s="843"/>
      <c r="C150" s="844"/>
      <c r="D150" s="117" t="s">
        <v>130</v>
      </c>
      <c r="E150" s="95">
        <f>'28'!F150</f>
        <v>3385.75</v>
      </c>
      <c r="F150" s="233">
        <v>3603.3</v>
      </c>
      <c r="G150" s="112">
        <f t="shared" si="11"/>
        <v>217.55000000000018</v>
      </c>
      <c r="H150" s="99">
        <f>G150+'28'!H150</f>
        <v>-448.69999999999982</v>
      </c>
      <c r="I150" s="119"/>
      <c r="J150" s="328">
        <f>H150/DAY(B2)</f>
        <v>-15.472413793103442</v>
      </c>
    </row>
    <row r="151" spans="1:10" ht="27.75" x14ac:dyDescent="0.5">
      <c r="A151" s="842" t="s">
        <v>338</v>
      </c>
      <c r="B151" s="843"/>
      <c r="C151" s="844"/>
      <c r="D151" s="117" t="s">
        <v>130</v>
      </c>
      <c r="E151" s="95">
        <f>'28'!F151</f>
        <v>77480</v>
      </c>
      <c r="F151" s="233">
        <v>77703</v>
      </c>
      <c r="G151" s="112">
        <f t="shared" si="11"/>
        <v>223</v>
      </c>
      <c r="H151" s="99">
        <f>G151+'28'!H151</f>
        <v>-514</v>
      </c>
      <c r="I151" s="119"/>
      <c r="J151" s="328">
        <f>H151/DAY(B2)</f>
        <v>-17.724137931034484</v>
      </c>
    </row>
    <row r="152" spans="1:10" ht="27.75" x14ac:dyDescent="0.5">
      <c r="A152" s="842" t="s">
        <v>339</v>
      </c>
      <c r="B152" s="843"/>
      <c r="C152" s="844"/>
      <c r="D152" s="117" t="s">
        <v>130</v>
      </c>
      <c r="E152" s="95">
        <f>'28'!F152</f>
        <v>983.48</v>
      </c>
      <c r="F152" s="233">
        <v>1030</v>
      </c>
      <c r="G152" s="112">
        <f t="shared" si="11"/>
        <v>46.519999999999982</v>
      </c>
      <c r="H152" s="99">
        <f>G152+'28'!H152</f>
        <v>-97</v>
      </c>
      <c r="I152" s="119"/>
      <c r="J152" s="328">
        <f>H152/DAY(B2)</f>
        <v>-3.3448275862068964</v>
      </c>
    </row>
    <row r="153" spans="1:10" ht="27.75" x14ac:dyDescent="0.5">
      <c r="A153" s="879" t="s">
        <v>196</v>
      </c>
      <c r="B153" s="880"/>
      <c r="C153" s="365"/>
      <c r="D153" s="358"/>
      <c r="E153" s="360"/>
      <c r="F153" s="361"/>
      <c r="G153" s="362">
        <f>SUM(G138:G152)</f>
        <v>2765.7900000000295</v>
      </c>
      <c r="H153" s="363"/>
      <c r="I153" s="119">
        <f>G153-(G38+G52)</f>
        <v>895.21000000001322</v>
      </c>
      <c r="J153" s="366"/>
    </row>
    <row r="154" spans="1:10" ht="31.5" x14ac:dyDescent="0.55000000000000004">
      <c r="A154" s="883" t="s">
        <v>344</v>
      </c>
      <c r="B154" s="883"/>
      <c r="C154" s="883"/>
      <c r="D154" s="883"/>
      <c r="E154" s="883"/>
      <c r="F154" s="883"/>
      <c r="G154" s="883"/>
      <c r="H154" s="883"/>
      <c r="I154" s="883"/>
      <c r="J154" s="883"/>
    </row>
    <row r="155" spans="1:10" ht="31.5" x14ac:dyDescent="0.55000000000000004">
      <c r="A155" s="850" t="s">
        <v>345</v>
      </c>
      <c r="B155" s="850"/>
      <c r="C155" s="850"/>
      <c r="D155" s="117" t="s">
        <v>130</v>
      </c>
      <c r="E155" s="95">
        <f>'28'!F155</f>
        <v>10784</v>
      </c>
      <c r="F155" s="364">
        <v>11473</v>
      </c>
      <c r="G155" s="112">
        <f t="shared" ref="G155:G158" si="12">F155-E155</f>
        <v>689</v>
      </c>
      <c r="H155" s="99">
        <f>G155+'28'!H155</f>
        <v>-1999</v>
      </c>
      <c r="I155" s="364"/>
      <c r="J155" s="328">
        <f>H155/DAY(B2)</f>
        <v>-68.931034482758619</v>
      </c>
    </row>
    <row r="156" spans="1:10" ht="27.75" x14ac:dyDescent="0.5">
      <c r="A156" s="850" t="s">
        <v>347</v>
      </c>
      <c r="B156" s="850"/>
      <c r="C156" s="850"/>
      <c r="D156" s="117" t="s">
        <v>130</v>
      </c>
      <c r="E156" s="95">
        <f>'28'!F156</f>
        <v>872</v>
      </c>
      <c r="F156" s="165">
        <f>872+61</f>
        <v>933</v>
      </c>
      <c r="G156" s="112">
        <f t="shared" si="12"/>
        <v>61</v>
      </c>
      <c r="H156" s="99">
        <f>G156+'28'!H156</f>
        <v>-155</v>
      </c>
      <c r="I156" s="165"/>
      <c r="J156" s="328">
        <f>H156/DAY(B2)</f>
        <v>-5.3448275862068968</v>
      </c>
    </row>
    <row r="157" spans="1:10" ht="27.75" x14ac:dyDescent="0.5">
      <c r="A157" s="842" t="s">
        <v>364</v>
      </c>
      <c r="B157" s="843"/>
      <c r="C157" s="844"/>
      <c r="D157" s="117" t="s">
        <v>130</v>
      </c>
      <c r="E157" s="95">
        <f>'28'!F157</f>
        <v>0</v>
      </c>
      <c r="F157" s="165">
        <v>0</v>
      </c>
      <c r="G157" s="112">
        <f t="shared" si="12"/>
        <v>0</v>
      </c>
      <c r="H157" s="99"/>
      <c r="I157" s="165"/>
      <c r="J157" s="328"/>
    </row>
    <row r="158" spans="1:10" ht="27.75" x14ac:dyDescent="0.5">
      <c r="A158" s="842" t="s">
        <v>365</v>
      </c>
      <c r="B158" s="843"/>
      <c r="C158" s="844"/>
      <c r="D158" s="117" t="s">
        <v>130</v>
      </c>
      <c r="E158" s="95">
        <f>'28'!F158</f>
        <v>1.46</v>
      </c>
      <c r="F158" s="165">
        <v>1.5</v>
      </c>
      <c r="G158" s="112">
        <f t="shared" si="12"/>
        <v>4.0000000000000036E-2</v>
      </c>
      <c r="H158" s="99"/>
      <c r="I158" s="165"/>
      <c r="J158" s="328"/>
    </row>
    <row r="159" spans="1:10" ht="27.75" x14ac:dyDescent="0.5">
      <c r="A159" s="899"/>
      <c r="B159" s="900"/>
      <c r="C159" s="901"/>
      <c r="D159" s="117"/>
      <c r="E159" s="95"/>
      <c r="F159" s="165"/>
      <c r="G159" s="112"/>
      <c r="H159" s="99"/>
      <c r="I159" s="165"/>
      <c r="J159" s="328"/>
    </row>
    <row r="160" spans="1:10" ht="31.5" x14ac:dyDescent="0.55000000000000004">
      <c r="A160" s="883" t="s">
        <v>326</v>
      </c>
      <c r="B160" s="883"/>
      <c r="C160" s="883"/>
      <c r="D160" s="883"/>
      <c r="E160" s="883"/>
      <c r="F160" s="883"/>
      <c r="G160" s="883"/>
      <c r="H160" s="883"/>
      <c r="I160" s="883"/>
      <c r="J160" s="883"/>
    </row>
    <row r="161" spans="1:10" ht="29.25" x14ac:dyDescent="0.5">
      <c r="A161" s="242" t="s">
        <v>92</v>
      </c>
      <c r="B161" s="243"/>
      <c r="C161" s="243"/>
      <c r="D161" s="244" t="s">
        <v>180</v>
      </c>
      <c r="E161" s="95">
        <f>'28'!F161</f>
        <v>471152</v>
      </c>
      <c r="F161" s="235">
        <v>471152.04</v>
      </c>
      <c r="G161" s="238">
        <f t="shared" ref="G161:G165" si="13">F161-E161</f>
        <v>3.9999999979045242E-2</v>
      </c>
      <c r="H161" s="99">
        <f>G161+'28'!H161</f>
        <v>-1.1199999999953434</v>
      </c>
      <c r="I161" s="236"/>
      <c r="J161" s="239">
        <f>H161/DAY(B2)</f>
        <v>-3.8620689655011843E-2</v>
      </c>
    </row>
    <row r="162" spans="1:10" ht="29.25" x14ac:dyDescent="0.5">
      <c r="A162" s="242" t="s">
        <v>93</v>
      </c>
      <c r="B162" s="243"/>
      <c r="C162" s="243"/>
      <c r="D162" s="244" t="s">
        <v>180</v>
      </c>
      <c r="E162" s="95">
        <f>'28'!F162</f>
        <v>87481.2</v>
      </c>
      <c r="F162" s="235">
        <v>87511.6</v>
      </c>
      <c r="G162" s="238">
        <f t="shared" si="13"/>
        <v>30.400000000008731</v>
      </c>
      <c r="H162" s="99">
        <f>G162+'28'!H162</f>
        <v>-58.399999999994179</v>
      </c>
      <c r="I162" s="236"/>
      <c r="J162" s="239">
        <f>H162/DAY(B2)</f>
        <v>-2.0137931034480752</v>
      </c>
    </row>
    <row r="163" spans="1:10" ht="29.25" x14ac:dyDescent="0.5">
      <c r="A163" s="242" t="s">
        <v>197</v>
      </c>
      <c r="B163" s="243"/>
      <c r="C163" s="243"/>
      <c r="D163" s="244" t="s">
        <v>180</v>
      </c>
      <c r="E163" s="95">
        <f>'28'!F163</f>
        <v>77645.399999999994</v>
      </c>
      <c r="F163" s="235">
        <v>77753.8</v>
      </c>
      <c r="G163" s="238">
        <f t="shared" si="13"/>
        <v>108.40000000000873</v>
      </c>
      <c r="H163" s="99">
        <f>G163+'28'!H163</f>
        <v>-71.19999999999709</v>
      </c>
      <c r="I163" s="236"/>
      <c r="J163" s="239">
        <f>H163/DAY(B2)</f>
        <v>-2.4551724137930031</v>
      </c>
    </row>
    <row r="164" spans="1:10" ht="29.25" x14ac:dyDescent="0.5">
      <c r="A164" s="242" t="s">
        <v>197</v>
      </c>
      <c r="B164" s="243"/>
      <c r="C164" s="243"/>
      <c r="D164" s="244" t="s">
        <v>180</v>
      </c>
      <c r="E164" s="95">
        <f>'28'!F164</f>
        <v>4235.5</v>
      </c>
      <c r="F164" s="235">
        <v>4241.2</v>
      </c>
      <c r="G164" s="238">
        <f t="shared" si="13"/>
        <v>5.6999999999998181</v>
      </c>
      <c r="H164" s="99">
        <f>G164+'28'!H164</f>
        <v>-0.8000000000001819</v>
      </c>
      <c r="I164" s="236"/>
      <c r="J164" s="239">
        <f>H164/DAY(B2)</f>
        <v>-2.7586206896557997E-2</v>
      </c>
    </row>
    <row r="165" spans="1:10" ht="29.25" x14ac:dyDescent="0.5">
      <c r="A165" s="242" t="s">
        <v>309</v>
      </c>
      <c r="B165" s="243"/>
      <c r="C165" s="243"/>
      <c r="D165" s="244" t="s">
        <v>180</v>
      </c>
      <c r="E165" s="95">
        <f>'28'!F165</f>
        <v>29629.22</v>
      </c>
      <c r="F165" s="235">
        <v>29635.200000000001</v>
      </c>
      <c r="G165" s="238">
        <f t="shared" si="13"/>
        <v>5.9799999999995634</v>
      </c>
      <c r="H165" s="99">
        <f>G165+'28'!H165</f>
        <v>-10.799999999999272</v>
      </c>
      <c r="I165" s="236"/>
      <c r="J165" s="239">
        <f>H165/DAY(B2)</f>
        <v>-0.37241379310342321</v>
      </c>
    </row>
    <row r="166" spans="1:10" ht="29.25" x14ac:dyDescent="0.5">
      <c r="A166" s="882"/>
      <c r="B166" s="882"/>
      <c r="C166" s="246"/>
      <c r="D166" s="244" t="s">
        <v>180</v>
      </c>
      <c r="E166" s="95">
        <f>'28'!F166</f>
        <v>0</v>
      </c>
      <c r="F166" s="165"/>
      <c r="G166" s="165"/>
      <c r="H166" s="99">
        <f>G166+'28'!H166</f>
        <v>0</v>
      </c>
      <c r="I166" s="165"/>
      <c r="J166" s="239">
        <f>H166/DAY(B2)</f>
        <v>0</v>
      </c>
    </row>
    <row r="167" spans="1:10" ht="29.25" x14ac:dyDescent="0.5">
      <c r="A167" s="882"/>
      <c r="B167" s="882"/>
      <c r="C167" s="246"/>
      <c r="D167" s="244" t="s">
        <v>180</v>
      </c>
      <c r="E167" s="95">
        <f>'28'!F167</f>
        <v>0</v>
      </c>
      <c r="F167" s="165"/>
      <c r="G167" s="165"/>
      <c r="H167" s="99">
        <f>G167+'28'!H167</f>
        <v>0</v>
      </c>
      <c r="I167" s="165"/>
      <c r="J167" s="239">
        <f>H167/DAY(B2)</f>
        <v>0</v>
      </c>
    </row>
    <row r="168" spans="1:10" ht="29.25" x14ac:dyDescent="0.5">
      <c r="A168" s="882"/>
      <c r="B168" s="882"/>
      <c r="C168" s="246"/>
      <c r="D168" s="244" t="s">
        <v>180</v>
      </c>
      <c r="E168" s="95">
        <f>'28'!F168</f>
        <v>0</v>
      </c>
      <c r="F168" s="165"/>
      <c r="G168" s="165"/>
      <c r="H168" s="99">
        <f>G168+'28'!H168</f>
        <v>0</v>
      </c>
      <c r="I168" s="165"/>
      <c r="J168" s="239">
        <f>H168/DAY(B2)</f>
        <v>0</v>
      </c>
    </row>
    <row r="169" spans="1:10" ht="29.25" x14ac:dyDescent="0.5"/>
    <row r="170" spans="1:10" ht="29.25" x14ac:dyDescent="0.5"/>
    <row r="171" spans="1:10" ht="31.5" x14ac:dyDescent="0.35">
      <c r="A171" s="890" t="s">
        <v>330</v>
      </c>
      <c r="B171" s="891"/>
      <c r="C171" s="891"/>
      <c r="D171" s="891"/>
      <c r="E171" s="891"/>
      <c r="F171" s="891"/>
      <c r="G171" s="891"/>
      <c r="H171" s="891"/>
      <c r="I171" s="891"/>
      <c r="J171" s="892"/>
    </row>
    <row r="172" spans="1:10" ht="27.75" x14ac:dyDescent="0.5">
      <c r="A172" s="886"/>
      <c r="B172" s="887"/>
      <c r="C172" s="332"/>
      <c r="D172" s="228"/>
      <c r="E172" s="155"/>
      <c r="F172" s="155"/>
      <c r="G172" s="155"/>
      <c r="H172" s="156"/>
      <c r="I172" s="155"/>
      <c r="J172" s="178"/>
    </row>
    <row r="173" spans="1:10" ht="27.75" x14ac:dyDescent="0.5">
      <c r="A173" s="840" t="s">
        <v>209</v>
      </c>
      <c r="B173" s="841"/>
      <c r="C173" s="333"/>
      <c r="D173" s="228" t="s">
        <v>142</v>
      </c>
      <c r="E173" s="95">
        <f>'28'!F173</f>
        <v>8126</v>
      </c>
      <c r="F173" s="155">
        <v>8126</v>
      </c>
      <c r="G173" s="155">
        <f>F173-E173</f>
        <v>0</v>
      </c>
      <c r="H173" s="99">
        <f>G173+'28'!H173</f>
        <v>0</v>
      </c>
      <c r="I173" s="155"/>
      <c r="J173" s="178">
        <f>H173/DAY(B2)</f>
        <v>0</v>
      </c>
    </row>
    <row r="174" spans="1:10" ht="27.75" x14ac:dyDescent="0.5">
      <c r="A174" s="840" t="s">
        <v>75</v>
      </c>
      <c r="B174" s="841"/>
      <c r="C174" s="333"/>
      <c r="D174" s="228" t="s">
        <v>142</v>
      </c>
      <c r="E174" s="95">
        <f>'28'!F174</f>
        <v>38252</v>
      </c>
      <c r="F174" s="157">
        <v>38262</v>
      </c>
      <c r="G174" s="155">
        <f t="shared" ref="G174:G175" si="14">F174-E174</f>
        <v>10</v>
      </c>
      <c r="H174" s="99">
        <f>G174+'28'!H174</f>
        <v>-31</v>
      </c>
      <c r="I174" s="155"/>
      <c r="J174" s="178">
        <f>H174/DAY(B2)</f>
        <v>-1.0689655172413792</v>
      </c>
    </row>
    <row r="175" spans="1:10" ht="27.75" x14ac:dyDescent="0.5">
      <c r="A175" s="840" t="s">
        <v>76</v>
      </c>
      <c r="B175" s="845"/>
      <c r="C175" s="841"/>
      <c r="D175" s="228" t="s">
        <v>142</v>
      </c>
      <c r="E175" s="95">
        <f>'28'!F175</f>
        <v>21486</v>
      </c>
      <c r="F175" s="155">
        <v>21498</v>
      </c>
      <c r="G175" s="155">
        <f t="shared" si="14"/>
        <v>12</v>
      </c>
      <c r="H175" s="99">
        <f>G175+'28'!H175</f>
        <v>-20</v>
      </c>
      <c r="I175" s="155"/>
      <c r="J175" s="178">
        <f>H175/DAY(B2)</f>
        <v>-0.68965517241379315</v>
      </c>
    </row>
    <row r="176" spans="1:10" ht="27.75" x14ac:dyDescent="0.5">
      <c r="A176" s="879" t="s">
        <v>196</v>
      </c>
      <c r="B176" s="880"/>
      <c r="C176" s="485"/>
      <c r="D176" s="228"/>
      <c r="E176" s="95"/>
      <c r="F176" s="155"/>
      <c r="G176" s="155">
        <f>SUM(G173:G175)</f>
        <v>22</v>
      </c>
      <c r="H176" s="99">
        <f>G176+'28'!H176</f>
        <v>-51</v>
      </c>
      <c r="I176" s="155"/>
      <c r="J176" s="178">
        <f>H176/DAY(B2)</f>
        <v>-1.7586206896551724</v>
      </c>
    </row>
    <row r="177" spans="1:10" ht="27.75" x14ac:dyDescent="0.5">
      <c r="A177" s="840" t="s">
        <v>77</v>
      </c>
      <c r="B177" s="841"/>
      <c r="C177" s="333"/>
      <c r="D177" s="228" t="s">
        <v>142</v>
      </c>
      <c r="E177" s="95"/>
      <c r="F177" s="155"/>
      <c r="G177" s="155"/>
      <c r="H177" s="99">
        <f>G177+'28'!H177</f>
        <v>0</v>
      </c>
      <c r="I177" s="155"/>
      <c r="J177" s="178">
        <f>H177/DAY(B2)</f>
        <v>0</v>
      </c>
    </row>
    <row r="178" spans="1:10" ht="27.75" x14ac:dyDescent="0.5">
      <c r="A178" s="840" t="s">
        <v>210</v>
      </c>
      <c r="B178" s="841"/>
      <c r="C178" s="333"/>
      <c r="D178" s="228" t="s">
        <v>142</v>
      </c>
      <c r="E178" s="95">
        <f>'28'!F178</f>
        <v>79402</v>
      </c>
      <c r="F178" s="155">
        <v>79497</v>
      </c>
      <c r="G178" s="155">
        <f>F178-E178</f>
        <v>95</v>
      </c>
      <c r="H178" s="99">
        <f>G178+'28'!H178</f>
        <v>-117</v>
      </c>
      <c r="I178" s="155"/>
      <c r="J178" s="178">
        <f>H178/DAY(B2)</f>
        <v>-4.0344827586206895</v>
      </c>
    </row>
    <row r="179" spans="1:10" ht="27.75" x14ac:dyDescent="0.5">
      <c r="A179" s="840" t="s">
        <v>211</v>
      </c>
      <c r="B179" s="841"/>
      <c r="C179" s="333"/>
      <c r="D179" s="228" t="s">
        <v>142</v>
      </c>
      <c r="E179" s="95">
        <f>'28'!F179</f>
        <v>33915</v>
      </c>
      <c r="F179" s="155">
        <v>33915</v>
      </c>
      <c r="G179" s="155">
        <f t="shared" ref="G179:G180" si="15">F179-E179</f>
        <v>0</v>
      </c>
      <c r="H179" s="99">
        <f>G179+'28'!H179</f>
        <v>0</v>
      </c>
      <c r="I179" s="155"/>
      <c r="J179" s="178">
        <f>H179/DAY(B2)</f>
        <v>0</v>
      </c>
    </row>
    <row r="180" spans="1:10" ht="27.75" x14ac:dyDescent="0.5">
      <c r="A180" s="840" t="s">
        <v>212</v>
      </c>
      <c r="B180" s="841"/>
      <c r="C180" s="333"/>
      <c r="D180" s="228" t="s">
        <v>142</v>
      </c>
      <c r="E180" s="95">
        <f>'28'!F180</f>
        <v>5463</v>
      </c>
      <c r="F180" s="155">
        <v>5471</v>
      </c>
      <c r="G180" s="155">
        <f t="shared" si="15"/>
        <v>8</v>
      </c>
      <c r="H180" s="99">
        <f>G180+'28'!H180</f>
        <v>-6</v>
      </c>
      <c r="I180" s="155"/>
      <c r="J180" s="178">
        <f>H180/DAY(B2)</f>
        <v>-0.20689655172413793</v>
      </c>
    </row>
    <row r="181" spans="1:10" ht="27.75" x14ac:dyDescent="0.5">
      <c r="A181" s="884" t="s">
        <v>108</v>
      </c>
      <c r="B181" s="885"/>
      <c r="C181" s="485"/>
      <c r="D181" s="228"/>
      <c r="E181" s="95"/>
      <c r="F181" s="155"/>
      <c r="G181" s="155">
        <f>SUM(G178:G180)</f>
        <v>103</v>
      </c>
      <c r="H181" s="99">
        <f>G181+'28'!H181</f>
        <v>-123</v>
      </c>
      <c r="I181" s="155"/>
      <c r="J181" s="178">
        <f>H181/DAY(B2)</f>
        <v>-4.2413793103448274</v>
      </c>
    </row>
    <row r="182" spans="1:10" ht="27.75" x14ac:dyDescent="0.5">
      <c r="A182" s="840" t="s">
        <v>213</v>
      </c>
      <c r="B182" s="841"/>
      <c r="C182" s="333"/>
      <c r="D182" s="228"/>
      <c r="E182" s="95"/>
      <c r="F182" s="155"/>
      <c r="G182" s="155"/>
      <c r="H182" s="99">
        <f>G182+'28'!H182</f>
        <v>0</v>
      </c>
      <c r="I182" s="155"/>
      <c r="J182" s="178">
        <f>H182/DAY(B2)</f>
        <v>0</v>
      </c>
    </row>
    <row r="183" spans="1:10" ht="27.75" x14ac:dyDescent="0.5">
      <c r="A183" s="840" t="s">
        <v>214</v>
      </c>
      <c r="B183" s="841"/>
      <c r="C183" s="334"/>
      <c r="D183" s="228" t="s">
        <v>142</v>
      </c>
      <c r="E183" s="95">
        <f>'28'!F183</f>
        <v>14901</v>
      </c>
      <c r="F183" s="157">
        <v>14923</v>
      </c>
      <c r="G183" s="157">
        <f>F183-E183</f>
        <v>22</v>
      </c>
      <c r="H183" s="99">
        <f>G183+'28'!H183</f>
        <v>-24</v>
      </c>
      <c r="I183" s="155"/>
      <c r="J183" s="178">
        <f>H183/DAY(B2)</f>
        <v>-0.82758620689655171</v>
      </c>
    </row>
    <row r="184" spans="1:10" ht="27.75" x14ac:dyDescent="0.5">
      <c r="A184" s="840" t="s">
        <v>215</v>
      </c>
      <c r="B184" s="841"/>
      <c r="C184" s="334"/>
      <c r="D184" s="228" t="s">
        <v>142</v>
      </c>
      <c r="E184" s="95">
        <f>'28'!F184</f>
        <v>10282</v>
      </c>
      <c r="F184" s="157">
        <v>10289</v>
      </c>
      <c r="G184" s="157">
        <f t="shared" ref="G184:G185" si="16">F184-E184</f>
        <v>7</v>
      </c>
      <c r="H184" s="99">
        <f>G184+'28'!H184</f>
        <v>-12</v>
      </c>
      <c r="I184" s="155"/>
      <c r="J184" s="178">
        <f>H184/DAY(B2)</f>
        <v>-0.41379310344827586</v>
      </c>
    </row>
    <row r="185" spans="1:10" ht="27.75" x14ac:dyDescent="0.5">
      <c r="A185" s="840" t="s">
        <v>216</v>
      </c>
      <c r="B185" s="841"/>
      <c r="C185" s="334"/>
      <c r="D185" s="228" t="s">
        <v>142</v>
      </c>
      <c r="E185" s="95">
        <f>'28'!F185</f>
        <v>0</v>
      </c>
      <c r="F185" s="157"/>
      <c r="G185" s="157">
        <f t="shared" si="16"/>
        <v>0</v>
      </c>
      <c r="H185" s="99">
        <f>G185+'28'!H185</f>
        <v>0</v>
      </c>
      <c r="I185" s="155"/>
      <c r="J185" s="178">
        <f>H185/DAY(B2)</f>
        <v>0</v>
      </c>
    </row>
    <row r="186" spans="1:10" ht="27.75" x14ac:dyDescent="0.5">
      <c r="A186" s="879" t="s">
        <v>196</v>
      </c>
      <c r="B186" s="880"/>
      <c r="C186" s="484"/>
      <c r="D186" s="229"/>
      <c r="E186" s="95"/>
      <c r="F186" s="157"/>
      <c r="G186" s="157">
        <f>SUM(G183:G185)</f>
        <v>29</v>
      </c>
      <c r="H186" s="99">
        <f>G186+'28'!H186</f>
        <v>-36</v>
      </c>
      <c r="I186" s="157"/>
      <c r="J186" s="178">
        <f>H186/DAY(B2)</f>
        <v>-1.2413793103448276</v>
      </c>
    </row>
    <row r="187" spans="1:10" ht="27.75" x14ac:dyDescent="0.5">
      <c r="A187" s="888" t="s">
        <v>217</v>
      </c>
      <c r="B187" s="889"/>
      <c r="C187" s="333"/>
      <c r="D187" s="230" t="s">
        <v>142</v>
      </c>
      <c r="E187" s="95">
        <f>'28'!F187</f>
        <v>0</v>
      </c>
      <c r="F187" s="159"/>
      <c r="G187" s="596">
        <f>G62+G19</f>
        <v>186</v>
      </c>
      <c r="H187" s="99">
        <f>G187+'28'!H187</f>
        <v>1432</v>
      </c>
      <c r="I187" s="158"/>
      <c r="J187" s="179">
        <f>H187/DAY(B2)</f>
        <v>49.379310344827587</v>
      </c>
    </row>
    <row r="188" spans="1:10" ht="27.75" x14ac:dyDescent="0.5">
      <c r="A188" s="888" t="s">
        <v>218</v>
      </c>
      <c r="B188" s="889"/>
      <c r="C188" s="333"/>
      <c r="D188" s="230" t="s">
        <v>142</v>
      </c>
      <c r="E188" s="95">
        <f>'28'!F188</f>
        <v>0</v>
      </c>
      <c r="F188" s="159"/>
      <c r="G188" s="596">
        <f>G65+G66+G67+G69+G70</f>
        <v>176</v>
      </c>
      <c r="H188" s="99">
        <f>G188+'28'!H188</f>
        <v>-2127</v>
      </c>
      <c r="I188" s="158"/>
      <c r="J188" s="179">
        <f>H188/DAY(B2)</f>
        <v>-73.34482758620689</v>
      </c>
    </row>
    <row r="189" spans="1:10" ht="27.75" x14ac:dyDescent="0.5">
      <c r="A189" s="888" t="s">
        <v>219</v>
      </c>
      <c r="B189" s="889"/>
      <c r="C189" s="333"/>
      <c r="D189" s="230" t="s">
        <v>142</v>
      </c>
      <c r="E189" s="95">
        <f>'28'!F189</f>
        <v>0</v>
      </c>
      <c r="F189" s="157"/>
      <c r="G189" s="501">
        <f>G181</f>
        <v>103</v>
      </c>
      <c r="H189" s="99">
        <f>G189+'28'!H189</f>
        <v>-1713</v>
      </c>
      <c r="I189" s="158"/>
      <c r="J189" s="179">
        <f>H189/DAY(B2)</f>
        <v>-59.068965517241381</v>
      </c>
    </row>
    <row r="190" spans="1:10" ht="27.75" x14ac:dyDescent="0.5">
      <c r="A190" s="811"/>
      <c r="B190" s="812"/>
      <c r="C190" s="483"/>
      <c r="D190" s="480"/>
      <c r="E190" s="480" t="s">
        <v>207</v>
      </c>
      <c r="F190" s="480"/>
      <c r="G190" s="480"/>
      <c r="H190" s="481"/>
      <c r="I190" s="480"/>
      <c r="J190" s="482"/>
    </row>
    <row r="191" spans="1:10" ht="29.25" x14ac:dyDescent="0.5"/>
    <row r="192" spans="1:10" ht="29.25" x14ac:dyDescent="0.5"/>
    <row r="193" ht="29.25" x14ac:dyDescent="0.5"/>
    <row r="194" ht="29.25" x14ac:dyDescent="0.5"/>
    <row r="195" ht="29.25" x14ac:dyDescent="0.5"/>
    <row r="196" ht="29.25" x14ac:dyDescent="0.5"/>
    <row r="197" ht="29.25" x14ac:dyDescent="0.5"/>
    <row r="198" ht="29.25" x14ac:dyDescent="0.5"/>
    <row r="199" ht="29.25" x14ac:dyDescent="0.5"/>
    <row r="200" ht="29.25" x14ac:dyDescent="0.5"/>
    <row r="201" ht="29.25" x14ac:dyDescent="0.5"/>
    <row r="202" ht="29.25" x14ac:dyDescent="0.5"/>
    <row r="203" ht="29.25" x14ac:dyDescent="0.5"/>
    <row r="204" ht="29.25" x14ac:dyDescent="0.5"/>
    <row r="205" ht="29.25" x14ac:dyDescent="0.5"/>
    <row r="206" ht="29.25" x14ac:dyDescent="0.5"/>
    <row r="207" ht="29.25" x14ac:dyDescent="0.5"/>
    <row r="208" ht="29.25" x14ac:dyDescent="0.5"/>
    <row r="209" ht="29.25" x14ac:dyDescent="0.5"/>
    <row r="210" ht="29.25" x14ac:dyDescent="0.5"/>
    <row r="211" ht="29.25" x14ac:dyDescent="0.5"/>
    <row r="212" ht="29.25" x14ac:dyDescent="0.5"/>
    <row r="213" ht="29.25" x14ac:dyDescent="0.5"/>
    <row r="214" ht="29.25" x14ac:dyDescent="0.5"/>
    <row r="215" ht="29.25" x14ac:dyDescent="0.5"/>
    <row r="216" ht="29.25" x14ac:dyDescent="0.5"/>
    <row r="217" ht="29.25" x14ac:dyDescent="0.5"/>
    <row r="218" ht="29.25" x14ac:dyDescent="0.5"/>
    <row r="219" ht="29.25" x14ac:dyDescent="0.5"/>
    <row r="220" ht="29.25" x14ac:dyDescent="0.5"/>
    <row r="221" ht="29.25" x14ac:dyDescent="0.5"/>
    <row r="222" ht="29.25" x14ac:dyDescent="0.5"/>
    <row r="223" ht="29.25" x14ac:dyDescent="0.5"/>
    <row r="224" ht="29.25" x14ac:dyDescent="0.5"/>
    <row r="225" ht="29.25" x14ac:dyDescent="0.5"/>
    <row r="226" ht="29.25" x14ac:dyDescent="0.5"/>
    <row r="227" ht="29.25" x14ac:dyDescent="0.5"/>
    <row r="228" ht="29.25" x14ac:dyDescent="0.5"/>
    <row r="229" ht="29.25" x14ac:dyDescent="0.5"/>
    <row r="230" ht="29.25" x14ac:dyDescent="0.5"/>
    <row r="231" ht="29.25" x14ac:dyDescent="0.5"/>
    <row r="232" ht="29.25" x14ac:dyDescent="0.5"/>
    <row r="233" ht="29.25" x14ac:dyDescent="0.5"/>
    <row r="234" ht="29.25" x14ac:dyDescent="0.5"/>
    <row r="235" ht="29.25" x14ac:dyDescent="0.5"/>
    <row r="236" ht="29.25" x14ac:dyDescent="0.5"/>
    <row r="237" ht="29.25" x14ac:dyDescent="0.5"/>
    <row r="238" ht="29.25" x14ac:dyDescent="0.5"/>
    <row r="239" ht="29.25" x14ac:dyDescent="0.5"/>
    <row r="240" ht="29.25" x14ac:dyDescent="0.5"/>
    <row r="241" ht="29.25" x14ac:dyDescent="0.5"/>
    <row r="242" ht="29.25" x14ac:dyDescent="0.5"/>
    <row r="243" ht="29.25" x14ac:dyDescent="0.5"/>
    <row r="244" ht="29.25" x14ac:dyDescent="0.5"/>
    <row r="245" ht="29.25" x14ac:dyDescent="0.5"/>
    <row r="246" ht="29.25" x14ac:dyDescent="0.5"/>
    <row r="247" ht="29.25" x14ac:dyDescent="0.5"/>
    <row r="248" ht="29.25" x14ac:dyDescent="0.5"/>
    <row r="249" ht="29.25" x14ac:dyDescent="0.5"/>
    <row r="250" ht="29.25" x14ac:dyDescent="0.5"/>
    <row r="251" ht="29.25" x14ac:dyDescent="0.5"/>
    <row r="252" ht="29.25" x14ac:dyDescent="0.5"/>
    <row r="253" ht="29.25" x14ac:dyDescent="0.5"/>
    <row r="254" ht="29.25" x14ac:dyDescent="0.5"/>
    <row r="255" ht="29.25" x14ac:dyDescent="0.5"/>
    <row r="256" ht="29.25" x14ac:dyDescent="0.5"/>
    <row r="257" ht="29.25" x14ac:dyDescent="0.5"/>
    <row r="258" ht="29.25" x14ac:dyDescent="0.5"/>
    <row r="259" ht="29.25" x14ac:dyDescent="0.5"/>
    <row r="260" ht="29.25" x14ac:dyDescent="0.5"/>
    <row r="261" ht="29.25" x14ac:dyDescent="0.5"/>
    <row r="262" ht="29.25" x14ac:dyDescent="0.5"/>
    <row r="263" ht="29.25" x14ac:dyDescent="0.5"/>
    <row r="264" ht="29.25" x14ac:dyDescent="0.5"/>
    <row r="265" ht="29.25" x14ac:dyDescent="0.5"/>
    <row r="266" ht="29.25" x14ac:dyDescent="0.5"/>
    <row r="267" ht="29.25" x14ac:dyDescent="0.5"/>
    <row r="268" ht="29.25" x14ac:dyDescent="0.5"/>
    <row r="269" ht="29.25" x14ac:dyDescent="0.5"/>
    <row r="270" ht="29.25" x14ac:dyDescent="0.5"/>
    <row r="313" ht="29.25" x14ac:dyDescent="0.5"/>
    <row r="314" ht="29.25" x14ac:dyDescent="0.5"/>
    <row r="315" ht="29.25" x14ac:dyDescent="0.5"/>
    <row r="316" ht="29.25" x14ac:dyDescent="0.5"/>
    <row r="317" ht="29.25" x14ac:dyDescent="0.5"/>
    <row r="318" ht="29.25" x14ac:dyDescent="0.5"/>
    <row r="319" ht="29.25" x14ac:dyDescent="0.5"/>
    <row r="320" ht="29.25" x14ac:dyDescent="0.5"/>
    <row r="321" ht="29.25" x14ac:dyDescent="0.5"/>
    <row r="322" ht="29.25" x14ac:dyDescent="0.5"/>
    <row r="323" ht="29.25" x14ac:dyDescent="0.5"/>
    <row r="324" ht="29.25" x14ac:dyDescent="0.5"/>
    <row r="325" ht="29.25" x14ac:dyDescent="0.5"/>
    <row r="326" ht="29.25" x14ac:dyDescent="0.5"/>
    <row r="327" ht="29.25" x14ac:dyDescent="0.5"/>
    <row r="328" ht="29.25" x14ac:dyDescent="0.5"/>
    <row r="329" ht="29.25" x14ac:dyDescent="0.5"/>
    <row r="330" ht="29.25" x14ac:dyDescent="0.5"/>
    <row r="331" ht="29.25" x14ac:dyDescent="0.5"/>
    <row r="332" ht="29.25" x14ac:dyDescent="0.5"/>
    <row r="333" ht="29.25" x14ac:dyDescent="0.5"/>
    <row r="334" ht="29.25" x14ac:dyDescent="0.5"/>
    <row r="335" ht="29.25" x14ac:dyDescent="0.5"/>
    <row r="336" ht="29.25" x14ac:dyDescent="0.5"/>
    <row r="337" ht="29.25" x14ac:dyDescent="0.5"/>
    <row r="338" ht="29.25" x14ac:dyDescent="0.5"/>
    <row r="339" ht="29.25" x14ac:dyDescent="0.5"/>
    <row r="340" ht="29.25" x14ac:dyDescent="0.5"/>
    <row r="341" ht="29.25" x14ac:dyDescent="0.5"/>
    <row r="342" ht="29.25" x14ac:dyDescent="0.5"/>
    <row r="343" ht="29.25" x14ac:dyDescent="0.5"/>
    <row r="344" ht="29.25" x14ac:dyDescent="0.5"/>
    <row r="345" ht="29.25" x14ac:dyDescent="0.5"/>
    <row r="346" ht="29.25" x14ac:dyDescent="0.5"/>
    <row r="347" ht="29.25" x14ac:dyDescent="0.5"/>
    <row r="348" ht="29.25" x14ac:dyDescent="0.5"/>
    <row r="349" ht="29.25" x14ac:dyDescent="0.5"/>
    <row r="350" ht="29.25" x14ac:dyDescent="0.5"/>
    <row r="351" ht="29.25" x14ac:dyDescent="0.5"/>
    <row r="352" ht="29.25" x14ac:dyDescent="0.5"/>
    <row r="353" ht="29.25" x14ac:dyDescent="0.5"/>
    <row r="354" ht="29.25" x14ac:dyDescent="0.5"/>
    <row r="355" ht="29.25" x14ac:dyDescent="0.5"/>
    <row r="356" ht="29.25" x14ac:dyDescent="0.5"/>
    <row r="357" ht="29.25" x14ac:dyDescent="0.5"/>
    <row r="358" ht="29.25" x14ac:dyDescent="0.5"/>
    <row r="359" ht="29.25" x14ac:dyDescent="0.5"/>
    <row r="360" ht="29.25" x14ac:dyDescent="0.5"/>
    <row r="361" ht="29.25" x14ac:dyDescent="0.5"/>
    <row r="362" ht="29.25" x14ac:dyDescent="0.5"/>
    <row r="363" ht="29.25" x14ac:dyDescent="0.5"/>
    <row r="364" ht="29.25" x14ac:dyDescent="0.5"/>
    <row r="365" ht="29.25" x14ac:dyDescent="0.5"/>
    <row r="366" ht="29.25" x14ac:dyDescent="0.5"/>
    <row r="367" ht="29.25" x14ac:dyDescent="0.5"/>
    <row r="368" ht="29.25" x14ac:dyDescent="0.5"/>
    <row r="369" ht="29.25" x14ac:dyDescent="0.5"/>
    <row r="370" ht="29.25" x14ac:dyDescent="0.5"/>
    <row r="371" ht="29.25" x14ac:dyDescent="0.5"/>
    <row r="372" ht="29.25" x14ac:dyDescent="0.5"/>
    <row r="373" ht="29.25" x14ac:dyDescent="0.5"/>
    <row r="374" ht="29.25" x14ac:dyDescent="0.5"/>
    <row r="375" ht="29.25" x14ac:dyDescent="0.5"/>
    <row r="376" ht="29.25" x14ac:dyDescent="0.5"/>
    <row r="377" ht="29.25" x14ac:dyDescent="0.5"/>
    <row r="378" ht="29.25" x14ac:dyDescent="0.5"/>
    <row r="379" ht="29.25" x14ac:dyDescent="0.5"/>
    <row r="380" ht="29.25" x14ac:dyDescent="0.5"/>
    <row r="381" ht="29.25" x14ac:dyDescent="0.5"/>
    <row r="382" ht="29.25" x14ac:dyDescent="0.5"/>
    <row r="383" ht="29.25" x14ac:dyDescent="0.5"/>
    <row r="384" ht="29.25" x14ac:dyDescent="0.5"/>
    <row r="385" ht="29.25" x14ac:dyDescent="0.5"/>
    <row r="386" ht="29.25" x14ac:dyDescent="0.5"/>
    <row r="387" ht="29.25" x14ac:dyDescent="0.5"/>
    <row r="388" ht="29.25" x14ac:dyDescent="0.5"/>
    <row r="389" ht="29.25" x14ac:dyDescent="0.5"/>
    <row r="390" ht="29.25" x14ac:dyDescent="0.5"/>
    <row r="391" ht="29.25" x14ac:dyDescent="0.5"/>
    <row r="392" ht="29.25" x14ac:dyDescent="0.5"/>
    <row r="393" ht="29.25" x14ac:dyDescent="0.5"/>
    <row r="394" ht="29.25" x14ac:dyDescent="0.5"/>
    <row r="395" ht="29.25" x14ac:dyDescent="0.5"/>
    <row r="396" ht="29.25" x14ac:dyDescent="0.5"/>
    <row r="397" ht="29.25" x14ac:dyDescent="0.5"/>
    <row r="398" ht="29.25" x14ac:dyDescent="0.5"/>
    <row r="399" ht="29.25" x14ac:dyDescent="0.5"/>
    <row r="400" ht="29.25" x14ac:dyDescent="0.5"/>
    <row r="401" ht="29.25" x14ac:dyDescent="0.5"/>
    <row r="402" ht="29.25" x14ac:dyDescent="0.5"/>
    <row r="403" ht="29.25" x14ac:dyDescent="0.5"/>
    <row r="404" ht="29.25" x14ac:dyDescent="0.5"/>
    <row r="405" ht="29.25" x14ac:dyDescent="0.5"/>
    <row r="406" ht="29.25" x14ac:dyDescent="0.5"/>
    <row r="407" ht="29.25" x14ac:dyDescent="0.5"/>
    <row r="408" ht="29.25" x14ac:dyDescent="0.5"/>
    <row r="409" ht="29.25" x14ac:dyDescent="0.5"/>
    <row r="410" ht="29.25" x14ac:dyDescent="0.5"/>
    <row r="411" ht="29.25" x14ac:dyDescent="0.5"/>
    <row r="412" ht="29.25" x14ac:dyDescent="0.5"/>
    <row r="413" ht="29.25" x14ac:dyDescent="0.5"/>
    <row r="414" ht="29.25" x14ac:dyDescent="0.5"/>
    <row r="415" ht="29.25" x14ac:dyDescent="0.5"/>
    <row r="416" ht="29.25" x14ac:dyDescent="0.5"/>
    <row r="417" ht="29.25" x14ac:dyDescent="0.5"/>
    <row r="418" ht="29.25" x14ac:dyDescent="0.5"/>
    <row r="419" ht="29.25" x14ac:dyDescent="0.5"/>
    <row r="420" ht="29.25" x14ac:dyDescent="0.5"/>
    <row r="421" ht="29.25" x14ac:dyDescent="0.5"/>
    <row r="422" ht="29.25" x14ac:dyDescent="0.5"/>
    <row r="423" ht="29.25" x14ac:dyDescent="0.5"/>
    <row r="424" ht="29.25" x14ac:dyDescent="0.5"/>
    <row r="425" ht="29.25" x14ac:dyDescent="0.5"/>
    <row r="426" ht="29.25" x14ac:dyDescent="0.5"/>
    <row r="427" ht="29.25" x14ac:dyDescent="0.5"/>
    <row r="428" ht="29.25" x14ac:dyDescent="0.5"/>
    <row r="429" ht="29.25" x14ac:dyDescent="0.5"/>
    <row r="430" ht="29.25" x14ac:dyDescent="0.5"/>
    <row r="431" ht="29.25" x14ac:dyDescent="0.5"/>
    <row r="432" ht="29.25" x14ac:dyDescent="0.5"/>
    <row r="433" ht="29.25" x14ac:dyDescent="0.5"/>
    <row r="434" ht="29.25" x14ac:dyDescent="0.5"/>
    <row r="435" ht="29.25" x14ac:dyDescent="0.5"/>
    <row r="436" ht="29.25" x14ac:dyDescent="0.5"/>
    <row r="437" ht="29.25" x14ac:dyDescent="0.5"/>
    <row r="438" ht="29.25" x14ac:dyDescent="0.5"/>
    <row r="439" ht="29.25" x14ac:dyDescent="0.5"/>
    <row r="440" ht="29.25" x14ac:dyDescent="0.5"/>
    <row r="441" ht="29.25" x14ac:dyDescent="0.5"/>
    <row r="442" ht="29.25" x14ac:dyDescent="0.5"/>
    <row r="443" ht="29.25" x14ac:dyDescent="0.5"/>
    <row r="444" ht="29.25" x14ac:dyDescent="0.5"/>
    <row r="445" ht="29.25" x14ac:dyDescent="0.5"/>
    <row r="446" ht="29.25" x14ac:dyDescent="0.5"/>
    <row r="447" ht="29.25" x14ac:dyDescent="0.5"/>
    <row r="448" ht="29.25" x14ac:dyDescent="0.5"/>
    <row r="449" ht="29.25" x14ac:dyDescent="0.5"/>
    <row r="450" ht="29.25" x14ac:dyDescent="0.5"/>
    <row r="451" ht="29.25" x14ac:dyDescent="0.5"/>
    <row r="452" ht="29.25" x14ac:dyDescent="0.5"/>
    <row r="453" ht="29.25" x14ac:dyDescent="0.5"/>
    <row r="454" ht="29.25" x14ac:dyDescent="0.5"/>
    <row r="455" ht="29.25" x14ac:dyDescent="0.5"/>
    <row r="456" ht="29.25" x14ac:dyDescent="0.5"/>
    <row r="457" ht="29.25" x14ac:dyDescent="0.5"/>
    <row r="458" ht="29.25" x14ac:dyDescent="0.5"/>
    <row r="459" ht="29.25" x14ac:dyDescent="0.5"/>
    <row r="460" ht="29.25" x14ac:dyDescent="0.5"/>
    <row r="461" ht="29.25" x14ac:dyDescent="0.5"/>
    <row r="462" ht="29.25" x14ac:dyDescent="0.5"/>
    <row r="463" ht="29.25" x14ac:dyDescent="0.5"/>
    <row r="464" ht="29.25" x14ac:dyDescent="0.5"/>
    <row r="465" ht="29.25" x14ac:dyDescent="0.5"/>
    <row r="466" ht="29.25" x14ac:dyDescent="0.5"/>
    <row r="467" ht="29.25" x14ac:dyDescent="0.5"/>
    <row r="468" ht="29.25" x14ac:dyDescent="0.5"/>
    <row r="469" ht="29.25" x14ac:dyDescent="0.5"/>
    <row r="470" ht="29.25" x14ac:dyDescent="0.5"/>
    <row r="471" ht="29.25" x14ac:dyDescent="0.5"/>
    <row r="472" ht="29.25" x14ac:dyDescent="0.5"/>
    <row r="473" ht="29.25" x14ac:dyDescent="0.5"/>
    <row r="474" ht="29.25" x14ac:dyDescent="0.5"/>
    <row r="475" ht="29.25" x14ac:dyDescent="0.5"/>
    <row r="476" ht="29.25" x14ac:dyDescent="0.5"/>
    <row r="477" ht="29.25" x14ac:dyDescent="0.5"/>
    <row r="478" ht="29.25" x14ac:dyDescent="0.5"/>
    <row r="479" ht="29.25" x14ac:dyDescent="0.5"/>
    <row r="480" ht="29.25" x14ac:dyDescent="0.5"/>
    <row r="481" ht="29.25" x14ac:dyDescent="0.5"/>
    <row r="482" ht="29.25" x14ac:dyDescent="0.5"/>
    <row r="483" ht="29.25" x14ac:dyDescent="0.5"/>
    <row r="484" ht="29.25" x14ac:dyDescent="0.5"/>
    <row r="485" ht="29.25" x14ac:dyDescent="0.5"/>
    <row r="486" ht="29.25" x14ac:dyDescent="0.5"/>
    <row r="487" ht="29.25" x14ac:dyDescent="0.5"/>
    <row r="488" ht="29.25" x14ac:dyDescent="0.5"/>
    <row r="489" ht="29.25" x14ac:dyDescent="0.5"/>
    <row r="490" ht="29.25" x14ac:dyDescent="0.5"/>
    <row r="491" ht="29.25" x14ac:dyDescent="0.5"/>
    <row r="492" ht="29.25" x14ac:dyDescent="0.5"/>
    <row r="493" ht="29.25" x14ac:dyDescent="0.5"/>
    <row r="494" ht="29.25" x14ac:dyDescent="0.5"/>
    <row r="495" ht="29.25" x14ac:dyDescent="0.5"/>
    <row r="496" ht="29.25" x14ac:dyDescent="0.5"/>
    <row r="497" ht="29.25" x14ac:dyDescent="0.5"/>
    <row r="498" ht="29.25" x14ac:dyDescent="0.5"/>
    <row r="499" ht="29.25" x14ac:dyDescent="0.5"/>
    <row r="500" ht="29.25" x14ac:dyDescent="0.5"/>
    <row r="501" ht="29.25" x14ac:dyDescent="0.5"/>
    <row r="502" ht="29.25" x14ac:dyDescent="0.5"/>
    <row r="503" ht="29.25" x14ac:dyDescent="0.5"/>
    <row r="504" ht="29.25" x14ac:dyDescent="0.5"/>
    <row r="505" ht="29.25" x14ac:dyDescent="0.5"/>
    <row r="506" ht="29.25" x14ac:dyDescent="0.5"/>
    <row r="507" ht="29.25" x14ac:dyDescent="0.5"/>
    <row r="508" ht="29.25" x14ac:dyDescent="0.5"/>
    <row r="509" ht="29.25" x14ac:dyDescent="0.5"/>
    <row r="510" ht="29.25" x14ac:dyDescent="0.5"/>
    <row r="511" ht="29.25" x14ac:dyDescent="0.5"/>
    <row r="512" ht="29.25" x14ac:dyDescent="0.5"/>
    <row r="513" ht="29.25" x14ac:dyDescent="0.5"/>
    <row r="514" ht="29.25" x14ac:dyDescent="0.5"/>
    <row r="515" ht="29.25" x14ac:dyDescent="0.5"/>
    <row r="516" ht="29.25" x14ac:dyDescent="0.5"/>
    <row r="517" ht="29.25" x14ac:dyDescent="0.5"/>
    <row r="518" ht="29.25" x14ac:dyDescent="0.5"/>
    <row r="519" ht="29.25" x14ac:dyDescent="0.5"/>
    <row r="520" ht="29.25" x14ac:dyDescent="0.5"/>
    <row r="521" ht="29.25" x14ac:dyDescent="0.5"/>
    <row r="522" ht="29.25" x14ac:dyDescent="0.5"/>
    <row r="523" ht="29.25" x14ac:dyDescent="0.5"/>
    <row r="524" ht="29.25" x14ac:dyDescent="0.5"/>
    <row r="525" ht="29.25" x14ac:dyDescent="0.5"/>
    <row r="526" ht="29.25" x14ac:dyDescent="0.5"/>
    <row r="527" ht="29.25" x14ac:dyDescent="0.5"/>
    <row r="528" ht="29.25" x14ac:dyDescent="0.5"/>
    <row r="529" ht="29.25" x14ac:dyDescent="0.5"/>
    <row r="530" ht="29.25" x14ac:dyDescent="0.5"/>
    <row r="531" ht="29.25" x14ac:dyDescent="0.5"/>
    <row r="532" ht="29.25" x14ac:dyDescent="0.5"/>
    <row r="533" ht="29.25" x14ac:dyDescent="0.5"/>
    <row r="534" ht="29.25" x14ac:dyDescent="0.5"/>
    <row r="535" ht="29.25" x14ac:dyDescent="0.5"/>
    <row r="536" ht="29.25" x14ac:dyDescent="0.5"/>
    <row r="537" ht="29.25" x14ac:dyDescent="0.5"/>
    <row r="538" ht="29.25" x14ac:dyDescent="0.5"/>
    <row r="539" ht="29.25" x14ac:dyDescent="0.5"/>
    <row r="540" ht="29.25" x14ac:dyDescent="0.5"/>
    <row r="541" ht="29.25" x14ac:dyDescent="0.5"/>
    <row r="542" ht="29.25" x14ac:dyDescent="0.5"/>
    <row r="543" ht="29.25" x14ac:dyDescent="0.5"/>
    <row r="544" ht="29.25" x14ac:dyDescent="0.5"/>
    <row r="545" ht="29.25" x14ac:dyDescent="0.5"/>
    <row r="546" ht="29.25" x14ac:dyDescent="0.5"/>
    <row r="547" ht="29.25" x14ac:dyDescent="0.5"/>
    <row r="548" ht="29.25" x14ac:dyDescent="0.5"/>
    <row r="549" ht="29.25" x14ac:dyDescent="0.5"/>
    <row r="550" ht="29.25" x14ac:dyDescent="0.5"/>
    <row r="551" ht="29.25" x14ac:dyDescent="0.5"/>
    <row r="552" ht="29.25" x14ac:dyDescent="0.5"/>
    <row r="553" ht="29.25" x14ac:dyDescent="0.5"/>
    <row r="554" ht="29.25" x14ac:dyDescent="0.5"/>
    <row r="555" ht="29.25" x14ac:dyDescent="0.5"/>
    <row r="556" ht="29.25" x14ac:dyDescent="0.5"/>
    <row r="557" ht="29.25" x14ac:dyDescent="0.5"/>
    <row r="558" ht="29.25" x14ac:dyDescent="0.5"/>
    <row r="559" ht="29.25" x14ac:dyDescent="0.5"/>
    <row r="560" ht="29.25" x14ac:dyDescent="0.5"/>
    <row r="561" ht="29.25" x14ac:dyDescent="0.5"/>
    <row r="562" ht="29.25" x14ac:dyDescent="0.5"/>
    <row r="563" ht="29.25" x14ac:dyDescent="0.5"/>
    <row r="564" ht="29.25" x14ac:dyDescent="0.5"/>
    <row r="565" ht="29.25" x14ac:dyDescent="0.5"/>
    <row r="566" ht="29.25" x14ac:dyDescent="0.5"/>
    <row r="567" ht="29.25" x14ac:dyDescent="0.5"/>
    <row r="568" ht="29.25" x14ac:dyDescent="0.5"/>
    <row r="569" ht="29.25" x14ac:dyDescent="0.5"/>
    <row r="570" ht="29.25" x14ac:dyDescent="0.5"/>
    <row r="571" ht="29.25" x14ac:dyDescent="0.5"/>
    <row r="572" ht="29.25" x14ac:dyDescent="0.5"/>
    <row r="573" ht="29.25" x14ac:dyDescent="0.5"/>
    <row r="574" ht="29.25" x14ac:dyDescent="0.5"/>
    <row r="575" ht="29.25" x14ac:dyDescent="0.5"/>
    <row r="576" ht="29.25" x14ac:dyDescent="0.5"/>
    <row r="577" ht="29.25" x14ac:dyDescent="0.5"/>
    <row r="578" ht="29.25" x14ac:dyDescent="0.5"/>
    <row r="579" ht="29.25" x14ac:dyDescent="0.5"/>
    <row r="580" ht="29.25" x14ac:dyDescent="0.5"/>
    <row r="581" ht="29.25" x14ac:dyDescent="0.5"/>
    <row r="582" ht="29.25" x14ac:dyDescent="0.5"/>
    <row r="583" ht="29.25" x14ac:dyDescent="0.5"/>
    <row r="584" ht="29.25" x14ac:dyDescent="0.5"/>
    <row r="585" ht="29.25" x14ac:dyDescent="0.5"/>
    <row r="586" ht="29.25" x14ac:dyDescent="0.5"/>
    <row r="587" ht="29.25" x14ac:dyDescent="0.5"/>
    <row r="588" ht="29.25" x14ac:dyDescent="0.5"/>
    <row r="589" ht="29.25" x14ac:dyDescent="0.5"/>
    <row r="590" ht="29.25" x14ac:dyDescent="0.5"/>
    <row r="591" ht="29.25" x14ac:dyDescent="0.5"/>
    <row r="592" ht="29.25" x14ac:dyDescent="0.5"/>
    <row r="593" ht="29.25" x14ac:dyDescent="0.5"/>
    <row r="594" ht="29.25" x14ac:dyDescent="0.5"/>
    <row r="595" ht="29.25" x14ac:dyDescent="0.5"/>
    <row r="596" ht="29.25" x14ac:dyDescent="0.5"/>
    <row r="597" ht="29.25" x14ac:dyDescent="0.5"/>
    <row r="598" ht="29.25" x14ac:dyDescent="0.5"/>
    <row r="599" ht="29.25" x14ac:dyDescent="0.5"/>
    <row r="600" ht="29.25" x14ac:dyDescent="0.5"/>
    <row r="601" ht="29.25" x14ac:dyDescent="0.5"/>
    <row r="602" ht="29.25" x14ac:dyDescent="0.5"/>
    <row r="603" ht="29.25" x14ac:dyDescent="0.5"/>
    <row r="604" ht="29.25" x14ac:dyDescent="0.5"/>
    <row r="605" ht="29.25" x14ac:dyDescent="0.5"/>
    <row r="606" ht="29.25" x14ac:dyDescent="0.5"/>
    <row r="607" ht="29.25" x14ac:dyDescent="0.5"/>
    <row r="608" ht="29.25" x14ac:dyDescent="0.5"/>
    <row r="609" ht="29.25" x14ac:dyDescent="0.5"/>
    <row r="610" ht="29.25" x14ac:dyDescent="0.5"/>
    <row r="611" ht="29.25" x14ac:dyDescent="0.5"/>
    <row r="612" ht="29.25" x14ac:dyDescent="0.5"/>
    <row r="613" ht="29.25" x14ac:dyDescent="0.5"/>
    <row r="614" ht="29.25" x14ac:dyDescent="0.5"/>
    <row r="615" ht="29.25" x14ac:dyDescent="0.5"/>
    <row r="616" ht="29.25" x14ac:dyDescent="0.5"/>
    <row r="617" ht="29.25" x14ac:dyDescent="0.5"/>
    <row r="618" ht="29.25" x14ac:dyDescent="0.5"/>
    <row r="619" ht="29.25" x14ac:dyDescent="0.5"/>
    <row r="620" ht="29.25" x14ac:dyDescent="0.5"/>
    <row r="621" ht="29.25" x14ac:dyDescent="0.5"/>
    <row r="622" ht="29.25" x14ac:dyDescent="0.5"/>
    <row r="623" ht="29.25" x14ac:dyDescent="0.5"/>
    <row r="624" ht="29.25" x14ac:dyDescent="0.5"/>
    <row r="625" ht="29.25" x14ac:dyDescent="0.5"/>
    <row r="626" ht="29.25" x14ac:dyDescent="0.5"/>
    <row r="627" ht="29.25" x14ac:dyDescent="0.5"/>
    <row r="628" ht="29.25" x14ac:dyDescent="0.5"/>
    <row r="629" ht="29.25" x14ac:dyDescent="0.5"/>
    <row r="630" ht="29.25" x14ac:dyDescent="0.5"/>
    <row r="631" ht="29.25" x14ac:dyDescent="0.5"/>
    <row r="632" ht="29.25" x14ac:dyDescent="0.5"/>
    <row r="633" ht="29.25" x14ac:dyDescent="0.5"/>
    <row r="634" ht="29.25" x14ac:dyDescent="0.5"/>
    <row r="635" ht="29.25" x14ac:dyDescent="0.5"/>
    <row r="636" ht="29.25" x14ac:dyDescent="0.5"/>
    <row r="637" ht="29.25" x14ac:dyDescent="0.5"/>
    <row r="638" ht="29.25" x14ac:dyDescent="0.5"/>
    <row r="639" ht="29.25" x14ac:dyDescent="0.5"/>
    <row r="640" ht="29.25" x14ac:dyDescent="0.5"/>
    <row r="641" ht="29.25" x14ac:dyDescent="0.5"/>
    <row r="642" ht="29.25" x14ac:dyDescent="0.5"/>
    <row r="643" ht="29.25" x14ac:dyDescent="0.5"/>
    <row r="644" ht="29.25" x14ac:dyDescent="0.5"/>
    <row r="645" ht="29.25" x14ac:dyDescent="0.5"/>
    <row r="646" ht="29.25" x14ac:dyDescent="0.5"/>
    <row r="647" ht="29.25" x14ac:dyDescent="0.5"/>
    <row r="648" ht="29.25" x14ac:dyDescent="0.5"/>
    <row r="649" ht="29.25" x14ac:dyDescent="0.5"/>
    <row r="650" ht="29.25" x14ac:dyDescent="0.5"/>
    <row r="651" ht="29.25" x14ac:dyDescent="0.5"/>
    <row r="652" ht="29.25" x14ac:dyDescent="0.5"/>
    <row r="653" ht="29.25" x14ac:dyDescent="0.5"/>
    <row r="654" ht="29.25" x14ac:dyDescent="0.5"/>
    <row r="655" ht="29.25" x14ac:dyDescent="0.5"/>
    <row r="656" ht="29.25" x14ac:dyDescent="0.5"/>
    <row r="657" ht="29.25" x14ac:dyDescent="0.5"/>
    <row r="658" ht="29.25" x14ac:dyDescent="0.5"/>
    <row r="659" ht="29.25" x14ac:dyDescent="0.5"/>
    <row r="660" ht="29.25" x14ac:dyDescent="0.5"/>
    <row r="661" ht="29.25" x14ac:dyDescent="0.5"/>
    <row r="662" ht="29.25" x14ac:dyDescent="0.5"/>
    <row r="663" ht="29.25" x14ac:dyDescent="0.5"/>
    <row r="664" ht="29.25" x14ac:dyDescent="0.5"/>
    <row r="665" ht="29.25" x14ac:dyDescent="0.5"/>
    <row r="666" ht="29.25" x14ac:dyDescent="0.5"/>
    <row r="667" ht="29.25" x14ac:dyDescent="0.5"/>
    <row r="668" ht="29.25" x14ac:dyDescent="0.5"/>
    <row r="669" ht="29.25" x14ac:dyDescent="0.5"/>
    <row r="670" ht="29.25" x14ac:dyDescent="0.5"/>
    <row r="671" ht="29.25" x14ac:dyDescent="0.5"/>
    <row r="672" ht="29.25" x14ac:dyDescent="0.5"/>
    <row r="673" ht="29.25" x14ac:dyDescent="0.5"/>
    <row r="674" ht="29.25" x14ac:dyDescent="0.5"/>
    <row r="675" ht="29.25" x14ac:dyDescent="0.5"/>
    <row r="676" ht="29.25" x14ac:dyDescent="0.5"/>
    <row r="677" ht="29.25" x14ac:dyDescent="0.5"/>
    <row r="678" ht="29.25" x14ac:dyDescent="0.5"/>
    <row r="679" ht="29.25" x14ac:dyDescent="0.5"/>
    <row r="680" ht="29.25" x14ac:dyDescent="0.5"/>
    <row r="681" ht="29.25" x14ac:dyDescent="0.5"/>
    <row r="682" ht="29.25" x14ac:dyDescent="0.5"/>
    <row r="683" ht="29.25" x14ac:dyDescent="0.5"/>
    <row r="684" ht="29.25" x14ac:dyDescent="0.5"/>
    <row r="685" ht="29.25" x14ac:dyDescent="0.5"/>
    <row r="686" ht="29.25" x14ac:dyDescent="0.5"/>
    <row r="687" ht="29.25" x14ac:dyDescent="0.5"/>
    <row r="688" ht="29.25" x14ac:dyDescent="0.5"/>
    <row r="689" ht="29.25" x14ac:dyDescent="0.5"/>
    <row r="690" ht="29.25" x14ac:dyDescent="0.5"/>
    <row r="691" ht="29.25" x14ac:dyDescent="0.5"/>
    <row r="692" ht="29.25" x14ac:dyDescent="0.5"/>
    <row r="693" ht="29.25" x14ac:dyDescent="0.5"/>
    <row r="694" ht="29.25" x14ac:dyDescent="0.5"/>
    <row r="695" ht="29.25" x14ac:dyDescent="0.5"/>
    <row r="696" ht="29.25" x14ac:dyDescent="0.5"/>
    <row r="697" ht="29.25" x14ac:dyDescent="0.5"/>
    <row r="698" ht="29.25" x14ac:dyDescent="0.5"/>
    <row r="699" ht="29.25" x14ac:dyDescent="0.5"/>
    <row r="700" ht="29.25" x14ac:dyDescent="0.5"/>
    <row r="701" ht="29.25" x14ac:dyDescent="0.5"/>
    <row r="702" ht="29.25" x14ac:dyDescent="0.5"/>
    <row r="703" ht="29.25" x14ac:dyDescent="0.5"/>
    <row r="704" ht="29.25" x14ac:dyDescent="0.5"/>
    <row r="705" ht="29.25" x14ac:dyDescent="0.5"/>
    <row r="706" ht="29.25" x14ac:dyDescent="0.5"/>
    <row r="707" ht="29.25" x14ac:dyDescent="0.5"/>
    <row r="708" ht="29.25" x14ac:dyDescent="0.5"/>
    <row r="709" ht="29.25" x14ac:dyDescent="0.5"/>
    <row r="710" ht="29.25" x14ac:dyDescent="0.5"/>
    <row r="711" ht="29.25" x14ac:dyDescent="0.5"/>
    <row r="712" ht="29.25" x14ac:dyDescent="0.5"/>
    <row r="713" ht="29.25" x14ac:dyDescent="0.5"/>
    <row r="714" ht="29.25" x14ac:dyDescent="0.5"/>
    <row r="715" ht="29.25" x14ac:dyDescent="0.5"/>
    <row r="716" ht="29.25" x14ac:dyDescent="0.5"/>
    <row r="717" ht="29.25" x14ac:dyDescent="0.5"/>
    <row r="718" ht="29.25" x14ac:dyDescent="0.5"/>
    <row r="719" ht="29.25" x14ac:dyDescent="0.5"/>
    <row r="720" ht="29.25" x14ac:dyDescent="0.5"/>
    <row r="721" ht="29.25" x14ac:dyDescent="0.5"/>
    <row r="722" ht="29.25" x14ac:dyDescent="0.5"/>
    <row r="723" ht="29.25" x14ac:dyDescent="0.5"/>
    <row r="724" ht="29.25" x14ac:dyDescent="0.5"/>
    <row r="725" ht="29.25" x14ac:dyDescent="0.5"/>
    <row r="726" ht="29.25" x14ac:dyDescent="0.5"/>
    <row r="727" ht="29.25" x14ac:dyDescent="0.5"/>
    <row r="728" ht="29.25" x14ac:dyDescent="0.5"/>
    <row r="729" ht="29.25" x14ac:dyDescent="0.5"/>
    <row r="730" ht="29.25" x14ac:dyDescent="0.5"/>
    <row r="731" ht="29.25" x14ac:dyDescent="0.5"/>
    <row r="732" ht="29.25" x14ac:dyDescent="0.5"/>
    <row r="733" ht="29.25" x14ac:dyDescent="0.5"/>
    <row r="734" ht="29.25" x14ac:dyDescent="0.5"/>
    <row r="735" ht="29.25" x14ac:dyDescent="0.5"/>
    <row r="736" ht="29.25" x14ac:dyDescent="0.5"/>
    <row r="737" ht="29.25" x14ac:dyDescent="0.5"/>
    <row r="738" ht="29.25" x14ac:dyDescent="0.5"/>
    <row r="739" ht="29.25" x14ac:dyDescent="0.5"/>
    <row r="740" ht="29.25" x14ac:dyDescent="0.5"/>
    <row r="741" ht="29.25" x14ac:dyDescent="0.5"/>
    <row r="742" ht="29.25" x14ac:dyDescent="0.5"/>
    <row r="743" ht="29.25" x14ac:dyDescent="0.5"/>
    <row r="744" ht="29.25" x14ac:dyDescent="0.5"/>
    <row r="745" ht="29.25" x14ac:dyDescent="0.5"/>
    <row r="746" ht="29.25" x14ac:dyDescent="0.5"/>
    <row r="747" ht="29.25" x14ac:dyDescent="0.5"/>
    <row r="748" ht="29.25" x14ac:dyDescent="0.5"/>
    <row r="749" ht="29.25" x14ac:dyDescent="0.5"/>
    <row r="750" ht="29.25" x14ac:dyDescent="0.5"/>
    <row r="751" ht="29.25" x14ac:dyDescent="0.5"/>
    <row r="752" ht="29.25" x14ac:dyDescent="0.5"/>
    <row r="753" ht="29.25" x14ac:dyDescent="0.5"/>
    <row r="754" ht="29.25" x14ac:dyDescent="0.5"/>
    <row r="755" ht="29.25" x14ac:dyDescent="0.5"/>
    <row r="756" ht="29.25" x14ac:dyDescent="0.5"/>
    <row r="757" ht="29.25" x14ac:dyDescent="0.5"/>
    <row r="758" ht="29.25" x14ac:dyDescent="0.5"/>
    <row r="759" ht="29.25" x14ac:dyDescent="0.5"/>
    <row r="760" ht="29.25" x14ac:dyDescent="0.5"/>
    <row r="761" ht="29.25" x14ac:dyDescent="0.5"/>
    <row r="762" ht="29.25" x14ac:dyDescent="0.5"/>
    <row r="763" ht="29.25" x14ac:dyDescent="0.5"/>
    <row r="764" ht="29.25" x14ac:dyDescent="0.5"/>
    <row r="765" ht="29.25" x14ac:dyDescent="0.5"/>
    <row r="766" ht="29.25" x14ac:dyDescent="0.5"/>
    <row r="767" ht="29.25" x14ac:dyDescent="0.5"/>
    <row r="768" ht="29.25" x14ac:dyDescent="0.5"/>
    <row r="769" ht="29.25" x14ac:dyDescent="0.5"/>
    <row r="770" ht="29.25" x14ac:dyDescent="0.5"/>
    <row r="771" ht="29.25" x14ac:dyDescent="0.5"/>
    <row r="772" ht="29.25" x14ac:dyDescent="0.5"/>
    <row r="773" ht="29.25" x14ac:dyDescent="0.5"/>
    <row r="774" ht="29.25" x14ac:dyDescent="0.5"/>
    <row r="775" ht="29.25" x14ac:dyDescent="0.5"/>
    <row r="776" ht="29.25" x14ac:dyDescent="0.5"/>
    <row r="777" ht="29.25" x14ac:dyDescent="0.5"/>
    <row r="778" ht="29.25" x14ac:dyDescent="0.5"/>
    <row r="779" ht="29.25" x14ac:dyDescent="0.5"/>
    <row r="780" ht="29.25" x14ac:dyDescent="0.5"/>
    <row r="781" ht="29.25" x14ac:dyDescent="0.5"/>
    <row r="782" ht="29.25" x14ac:dyDescent="0.5"/>
    <row r="783" ht="29.25" x14ac:dyDescent="0.5"/>
    <row r="784" ht="29.25" x14ac:dyDescent="0.5"/>
    <row r="785" ht="29.25" x14ac:dyDescent="0.5"/>
    <row r="786" ht="29.25" x14ac:dyDescent="0.5"/>
    <row r="787" ht="29.25" x14ac:dyDescent="0.5"/>
    <row r="788" ht="29.25" x14ac:dyDescent="0.5"/>
    <row r="789" ht="29.25" x14ac:dyDescent="0.5"/>
    <row r="790" ht="29.25" x14ac:dyDescent="0.5"/>
    <row r="791" ht="29.25" x14ac:dyDescent="0.5"/>
    <row r="792" ht="29.25" x14ac:dyDescent="0.5"/>
    <row r="793" ht="29.25" x14ac:dyDescent="0.5"/>
    <row r="794" ht="29.25" x14ac:dyDescent="0.5"/>
    <row r="795" ht="29.25" x14ac:dyDescent="0.5"/>
    <row r="796" ht="29.25" x14ac:dyDescent="0.5"/>
    <row r="797" ht="29.25" x14ac:dyDescent="0.5"/>
    <row r="798" ht="29.25" x14ac:dyDescent="0.5"/>
    <row r="799" ht="29.25" x14ac:dyDescent="0.5"/>
    <row r="800" ht="29.25" x14ac:dyDescent="0.5"/>
    <row r="801" ht="29.25" x14ac:dyDescent="0.5"/>
    <row r="802" ht="29.25" x14ac:dyDescent="0.5"/>
    <row r="803" ht="29.25" x14ac:dyDescent="0.5"/>
    <row r="804" ht="29.25" x14ac:dyDescent="0.5"/>
    <row r="805" ht="29.25" x14ac:dyDescent="0.5"/>
    <row r="806" ht="29.25" x14ac:dyDescent="0.5"/>
    <row r="807" ht="29.25" x14ac:dyDescent="0.5"/>
    <row r="808" ht="29.25" x14ac:dyDescent="0.5"/>
    <row r="809" ht="29.25" x14ac:dyDescent="0.5"/>
    <row r="810" ht="29.25" x14ac:dyDescent="0.5"/>
    <row r="811" ht="29.25" x14ac:dyDescent="0.5"/>
    <row r="812" ht="29.25" x14ac:dyDescent="0.5"/>
    <row r="813" ht="29.25" x14ac:dyDescent="0.5"/>
    <row r="814" ht="29.25" x14ac:dyDescent="0.5"/>
    <row r="815" ht="29.25" x14ac:dyDescent="0.5"/>
    <row r="816" ht="29.25" x14ac:dyDescent="0.5"/>
    <row r="817" ht="29.25" x14ac:dyDescent="0.5"/>
    <row r="818" ht="29.25" x14ac:dyDescent="0.5"/>
    <row r="819" ht="29.25" x14ac:dyDescent="0.5"/>
    <row r="820" ht="29.25" x14ac:dyDescent="0.5"/>
    <row r="821" ht="29.25" x14ac:dyDescent="0.5"/>
    <row r="822" ht="29.25" x14ac:dyDescent="0.5"/>
    <row r="823" ht="29.25" x14ac:dyDescent="0.5"/>
    <row r="824" ht="29.25" x14ac:dyDescent="0.5"/>
    <row r="825" ht="29.25" x14ac:dyDescent="0.5"/>
    <row r="826" ht="29.25" x14ac:dyDescent="0.5"/>
    <row r="827" ht="29.25" x14ac:dyDescent="0.5"/>
    <row r="828" ht="29.25" x14ac:dyDescent="0.5"/>
    <row r="829" ht="29.25" x14ac:dyDescent="0.5"/>
    <row r="830" ht="29.25" x14ac:dyDescent="0.5"/>
    <row r="831" ht="29.25" x14ac:dyDescent="0.5"/>
    <row r="832" ht="29.25" x14ac:dyDescent="0.5"/>
    <row r="833" ht="29.25" x14ac:dyDescent="0.5"/>
    <row r="834" ht="29.25" x14ac:dyDescent="0.5"/>
    <row r="835" ht="29.25" x14ac:dyDescent="0.5"/>
    <row r="836" ht="29.25" x14ac:dyDescent="0.5"/>
    <row r="837" ht="29.25" x14ac:dyDescent="0.5"/>
    <row r="838" ht="29.25" x14ac:dyDescent="0.5"/>
    <row r="839" ht="29.25" x14ac:dyDescent="0.5"/>
    <row r="840" ht="29.25" x14ac:dyDescent="0.5"/>
    <row r="841" ht="29.25" x14ac:dyDescent="0.5"/>
    <row r="842" ht="29.25" x14ac:dyDescent="0.5"/>
    <row r="843" ht="29.25" x14ac:dyDescent="0.5"/>
    <row r="844" ht="29.25" x14ac:dyDescent="0.5"/>
    <row r="845" ht="29.25" x14ac:dyDescent="0.5"/>
    <row r="846" ht="29.25" x14ac:dyDescent="0.5"/>
    <row r="847" ht="29.25" x14ac:dyDescent="0.5"/>
    <row r="848" ht="29.25" x14ac:dyDescent="0.5"/>
    <row r="849" ht="29.25" x14ac:dyDescent="0.5"/>
    <row r="850" ht="29.25" x14ac:dyDescent="0.5"/>
    <row r="851" ht="29.25" x14ac:dyDescent="0.5"/>
    <row r="852" ht="29.25" x14ac:dyDescent="0.5"/>
    <row r="853" ht="29.25" x14ac:dyDescent="0.5"/>
    <row r="854" ht="29.25" x14ac:dyDescent="0.5"/>
    <row r="855" ht="29.25" x14ac:dyDescent="0.5"/>
    <row r="856" ht="29.25" x14ac:dyDescent="0.5"/>
    <row r="857" ht="29.25" x14ac:dyDescent="0.5"/>
    <row r="858" ht="29.25" x14ac:dyDescent="0.5"/>
    <row r="859" ht="29.25" x14ac:dyDescent="0.5"/>
    <row r="860" ht="29.25" x14ac:dyDescent="0.5"/>
    <row r="861" ht="29.25" x14ac:dyDescent="0.5"/>
    <row r="862" ht="29.25" x14ac:dyDescent="0.5"/>
    <row r="863" ht="29.25" x14ac:dyDescent="0.5"/>
    <row r="864" ht="29.25" x14ac:dyDescent="0.5"/>
    <row r="865" ht="29.25" x14ac:dyDescent="0.5"/>
    <row r="866" ht="29.25" x14ac:dyDescent="0.5"/>
    <row r="867" ht="29.25" x14ac:dyDescent="0.5"/>
    <row r="868" ht="29.25" x14ac:dyDescent="0.5"/>
    <row r="869" ht="29.25" x14ac:dyDescent="0.5"/>
    <row r="870" ht="29.25" x14ac:dyDescent="0.5"/>
    <row r="871" ht="29.25" x14ac:dyDescent="0.5"/>
    <row r="872" ht="29.25" x14ac:dyDescent="0.5"/>
    <row r="873" ht="29.25" x14ac:dyDescent="0.5"/>
    <row r="874" ht="29.25" x14ac:dyDescent="0.5"/>
    <row r="875" ht="29.25" x14ac:dyDescent="0.5"/>
    <row r="876" ht="29.25" x14ac:dyDescent="0.5"/>
    <row r="877" ht="29.25" x14ac:dyDescent="0.5"/>
    <row r="878" ht="29.25" x14ac:dyDescent="0.5"/>
    <row r="879" ht="29.25" x14ac:dyDescent="0.5"/>
    <row r="880" ht="29.25" x14ac:dyDescent="0.5"/>
    <row r="881" ht="29.25" x14ac:dyDescent="0.5"/>
    <row r="882" ht="29.25" x14ac:dyDescent="0.5"/>
    <row r="883" ht="29.25" x14ac:dyDescent="0.5"/>
    <row r="884" ht="29.25" x14ac:dyDescent="0.5"/>
    <row r="885" ht="29.25" x14ac:dyDescent="0.5"/>
    <row r="886" ht="29.25" x14ac:dyDescent="0.5"/>
    <row r="887" ht="29.25" x14ac:dyDescent="0.5"/>
    <row r="888" ht="29.25" x14ac:dyDescent="0.5"/>
    <row r="889" ht="29.25" x14ac:dyDescent="0.5"/>
    <row r="890" ht="29.25" x14ac:dyDescent="0.5"/>
    <row r="891" ht="29.25" x14ac:dyDescent="0.5"/>
    <row r="892" ht="29.25" x14ac:dyDescent="0.5"/>
    <row r="893" ht="29.25" x14ac:dyDescent="0.5"/>
    <row r="894" ht="29.25" x14ac:dyDescent="0.5"/>
    <row r="895" ht="29.25" x14ac:dyDescent="0.5"/>
    <row r="896" ht="29.25" x14ac:dyDescent="0.5"/>
    <row r="897" ht="29.25" x14ac:dyDescent="0.5"/>
    <row r="898" ht="29.25" x14ac:dyDescent="0.5"/>
    <row r="899" ht="29.25" x14ac:dyDescent="0.5"/>
    <row r="900" ht="29.25" x14ac:dyDescent="0.5"/>
    <row r="901" ht="29.25" x14ac:dyDescent="0.5"/>
    <row r="902" ht="29.25" x14ac:dyDescent="0.5"/>
    <row r="903" ht="29.25" x14ac:dyDescent="0.5"/>
    <row r="904" ht="29.25" x14ac:dyDescent="0.5"/>
    <row r="905" ht="29.25" x14ac:dyDescent="0.5"/>
    <row r="906" ht="29.25" x14ac:dyDescent="0.5"/>
    <row r="907" ht="29.25" x14ac:dyDescent="0.5"/>
    <row r="908" ht="29.25" x14ac:dyDescent="0.5"/>
    <row r="909" ht="29.25" x14ac:dyDescent="0.5"/>
    <row r="910" ht="29.25" x14ac:dyDescent="0.5"/>
    <row r="911" ht="29.25" x14ac:dyDescent="0.5"/>
    <row r="912" ht="29.25" x14ac:dyDescent="0.5"/>
    <row r="913" ht="29.25" x14ac:dyDescent="0.5"/>
    <row r="914" ht="29.25" x14ac:dyDescent="0.5"/>
    <row r="915" ht="29.25" x14ac:dyDescent="0.5"/>
    <row r="916" ht="29.25" x14ac:dyDescent="0.5"/>
    <row r="917" ht="29.25" x14ac:dyDescent="0.5"/>
    <row r="918" ht="29.25" x14ac:dyDescent="0.5"/>
    <row r="919" ht="29.25" x14ac:dyDescent="0.5"/>
    <row r="920" ht="29.25" x14ac:dyDescent="0.5"/>
    <row r="921" ht="29.25" x14ac:dyDescent="0.5"/>
    <row r="922" ht="29.25" x14ac:dyDescent="0.5"/>
    <row r="923" ht="29.25" x14ac:dyDescent="0.5"/>
    <row r="924" ht="29.25" x14ac:dyDescent="0.5"/>
    <row r="925" ht="29.25" x14ac:dyDescent="0.5"/>
    <row r="926" ht="29.25" x14ac:dyDescent="0.5"/>
    <row r="927" ht="29.25" x14ac:dyDescent="0.5"/>
    <row r="928" ht="29.25" x14ac:dyDescent="0.5"/>
    <row r="929" ht="29.25" x14ac:dyDescent="0.5"/>
    <row r="930" ht="29.25" x14ac:dyDescent="0.5"/>
    <row r="931" ht="29.25" x14ac:dyDescent="0.5"/>
    <row r="932" ht="29.25" x14ac:dyDescent="0.5"/>
    <row r="933" ht="29.25" x14ac:dyDescent="0.5"/>
    <row r="934" ht="29.25" x14ac:dyDescent="0.5"/>
    <row r="935" ht="29.25" x14ac:dyDescent="0.5"/>
    <row r="936" ht="29.25" x14ac:dyDescent="0.5"/>
    <row r="937" ht="29.25" x14ac:dyDescent="0.5"/>
    <row r="938" ht="29.25" x14ac:dyDescent="0.5"/>
    <row r="939" ht="29.25" x14ac:dyDescent="0.5"/>
    <row r="940" ht="29.25" x14ac:dyDescent="0.5"/>
    <row r="941" ht="29.25" x14ac:dyDescent="0.5"/>
    <row r="942" ht="29.25" x14ac:dyDescent="0.5"/>
    <row r="943" ht="29.25" x14ac:dyDescent="0.5"/>
    <row r="944" ht="29.25" x14ac:dyDescent="0.5"/>
    <row r="945" ht="29.25" x14ac:dyDescent="0.5"/>
    <row r="946" ht="29.25" x14ac:dyDescent="0.5"/>
    <row r="947" ht="29.25" x14ac:dyDescent="0.5"/>
    <row r="948" ht="29.25" x14ac:dyDescent="0.5"/>
    <row r="949" ht="29.25" x14ac:dyDescent="0.5"/>
    <row r="950" ht="29.25" x14ac:dyDescent="0.5"/>
    <row r="951" ht="29.25" x14ac:dyDescent="0.5"/>
    <row r="952" ht="29.25" x14ac:dyDescent="0.5"/>
    <row r="953" ht="29.25" x14ac:dyDescent="0.5"/>
    <row r="954" ht="29.25" x14ac:dyDescent="0.5"/>
    <row r="955" ht="29.25" x14ac:dyDescent="0.5"/>
    <row r="956" ht="29.25" x14ac:dyDescent="0.5"/>
    <row r="957" ht="29.25" x14ac:dyDescent="0.5"/>
    <row r="958" ht="29.25" x14ac:dyDescent="0.5"/>
    <row r="959" ht="29.25" x14ac:dyDescent="0.5"/>
    <row r="960" ht="29.25" x14ac:dyDescent="0.5"/>
    <row r="961" ht="29.25" x14ac:dyDescent="0.5"/>
    <row r="962" ht="29.25" x14ac:dyDescent="0.5"/>
    <row r="963" ht="29.25" x14ac:dyDescent="0.5"/>
    <row r="964" ht="29.25" x14ac:dyDescent="0.5"/>
    <row r="965" ht="29.25" x14ac:dyDescent="0.5"/>
    <row r="966" ht="29.25" x14ac:dyDescent="0.5"/>
    <row r="967" ht="29.25" x14ac:dyDescent="0.5"/>
    <row r="968" ht="29.25" x14ac:dyDescent="0.5"/>
    <row r="969" ht="29.25" x14ac:dyDescent="0.5"/>
    <row r="970" ht="29.25" x14ac:dyDescent="0.5"/>
    <row r="971" ht="29.25" x14ac:dyDescent="0.5"/>
    <row r="972" ht="29.25" x14ac:dyDescent="0.5"/>
    <row r="973" ht="29.25" x14ac:dyDescent="0.5"/>
    <row r="974" ht="29.25" x14ac:dyDescent="0.5"/>
    <row r="975" ht="29.25" x14ac:dyDescent="0.5"/>
    <row r="976" ht="29.25" x14ac:dyDescent="0.5"/>
    <row r="977" ht="29.25" x14ac:dyDescent="0.5"/>
    <row r="978" ht="29.25" x14ac:dyDescent="0.5"/>
    <row r="979" ht="29.25" x14ac:dyDescent="0.5"/>
    <row r="980" ht="29.25" x14ac:dyDescent="0.5"/>
    <row r="981" ht="29.25" x14ac:dyDescent="0.5"/>
    <row r="982" ht="29.25" x14ac:dyDescent="0.5"/>
    <row r="983" ht="29.25" x14ac:dyDescent="0.5"/>
    <row r="984" ht="29.25" x14ac:dyDescent="0.5"/>
    <row r="985" ht="29.25" x14ac:dyDescent="0.5"/>
    <row r="986" ht="29.25" x14ac:dyDescent="0.5"/>
    <row r="987" ht="29.25" x14ac:dyDescent="0.5"/>
    <row r="988" ht="29.25" x14ac:dyDescent="0.5"/>
    <row r="989" ht="29.25" x14ac:dyDescent="0.5"/>
    <row r="990" ht="29.25" x14ac:dyDescent="0.5"/>
    <row r="991" ht="29.25" x14ac:dyDescent="0.5"/>
    <row r="992" ht="29.25" x14ac:dyDescent="0.5"/>
    <row r="993" ht="29.25" x14ac:dyDescent="0.5"/>
    <row r="994" ht="29.25" x14ac:dyDescent="0.5"/>
    <row r="995" ht="29.25" x14ac:dyDescent="0.5"/>
    <row r="996" ht="29.25" x14ac:dyDescent="0.5"/>
    <row r="997" ht="29.25" x14ac:dyDescent="0.5"/>
    <row r="998" ht="29.25" x14ac:dyDescent="0.5"/>
    <row r="999" ht="29.25" x14ac:dyDescent="0.5"/>
    <row r="1000" ht="29.25" x14ac:dyDescent="0.5"/>
    <row r="1001" ht="29.25" x14ac:dyDescent="0.5"/>
    <row r="1002" ht="29.25" x14ac:dyDescent="0.5"/>
    <row r="1003" ht="29.25" x14ac:dyDescent="0.5"/>
    <row r="1004" ht="29.25" x14ac:dyDescent="0.5"/>
    <row r="1005" ht="29.25" x14ac:dyDescent="0.5"/>
    <row r="1006" ht="29.25" x14ac:dyDescent="0.5"/>
    <row r="1007" ht="29.25" x14ac:dyDescent="0.5"/>
    <row r="1008" ht="29.25" x14ac:dyDescent="0.5"/>
    <row r="1009" ht="29.25" x14ac:dyDescent="0.5"/>
    <row r="1010" ht="29.25" x14ac:dyDescent="0.5"/>
    <row r="1011" ht="29.25" x14ac:dyDescent="0.5"/>
    <row r="1012" ht="29.25" x14ac:dyDescent="0.5"/>
    <row r="1013" ht="29.25" x14ac:dyDescent="0.5"/>
    <row r="1014" ht="29.25" x14ac:dyDescent="0.5"/>
    <row r="1015" ht="29.25" x14ac:dyDescent="0.5"/>
    <row r="1016" ht="29.25" x14ac:dyDescent="0.5"/>
    <row r="1017" ht="29.25" x14ac:dyDescent="0.5"/>
    <row r="1018" ht="29.25" x14ac:dyDescent="0.5"/>
    <row r="1019" ht="29.25" x14ac:dyDescent="0.5"/>
    <row r="1020" ht="29.25" x14ac:dyDescent="0.5"/>
    <row r="1021" ht="29.25" x14ac:dyDescent="0.5"/>
    <row r="1022" ht="29.25" x14ac:dyDescent="0.5"/>
    <row r="1023" ht="29.25" x14ac:dyDescent="0.5"/>
    <row r="1024" ht="29.25" x14ac:dyDescent="0.5"/>
    <row r="1025" ht="29.25" x14ac:dyDescent="0.5"/>
    <row r="1026" ht="29.25" x14ac:dyDescent="0.5"/>
    <row r="1027" ht="29.25" x14ac:dyDescent="0.5"/>
    <row r="1028" ht="29.25" x14ac:dyDescent="0.5"/>
    <row r="1029" ht="29.25" x14ac:dyDescent="0.5"/>
    <row r="1030" ht="29.25" x14ac:dyDescent="0.5"/>
    <row r="1031" ht="29.25" x14ac:dyDescent="0.5"/>
    <row r="1032" ht="29.25" x14ac:dyDescent="0.5"/>
    <row r="1033" ht="29.25" x14ac:dyDescent="0.5"/>
    <row r="1034" ht="29.25" x14ac:dyDescent="0.5"/>
    <row r="1035" ht="29.25" x14ac:dyDescent="0.5"/>
    <row r="1036" ht="29.25" x14ac:dyDescent="0.5"/>
    <row r="1037" ht="29.25" x14ac:dyDescent="0.5"/>
    <row r="1038" ht="29.25" x14ac:dyDescent="0.5"/>
    <row r="1039" ht="29.25" x14ac:dyDescent="0.5"/>
    <row r="1040" ht="29.25" x14ac:dyDescent="0.5"/>
    <row r="1041" ht="29.25" x14ac:dyDescent="0.5"/>
    <row r="1042" ht="29.25" x14ac:dyDescent="0.5"/>
    <row r="1043" ht="29.25" x14ac:dyDescent="0.5"/>
    <row r="1044" ht="29.25" x14ac:dyDescent="0.5"/>
    <row r="1045" ht="29.25" x14ac:dyDescent="0.5"/>
    <row r="1046" ht="29.25" x14ac:dyDescent="0.5"/>
    <row r="1047" ht="29.25" x14ac:dyDescent="0.5"/>
    <row r="1048" ht="29.25" x14ac:dyDescent="0.5"/>
    <row r="1049" ht="29.25" x14ac:dyDescent="0.5"/>
    <row r="1050" ht="29.25" x14ac:dyDescent="0.5"/>
    <row r="1051" ht="29.25" x14ac:dyDescent="0.5"/>
    <row r="1052" ht="29.25" x14ac:dyDescent="0.5"/>
    <row r="1053" ht="29.25" x14ac:dyDescent="0.5"/>
    <row r="1054" ht="29.25" x14ac:dyDescent="0.5"/>
    <row r="1055" ht="29.25" x14ac:dyDescent="0.5"/>
    <row r="1056" ht="29.25" x14ac:dyDescent="0.5"/>
    <row r="1057" ht="29.25" x14ac:dyDescent="0.5"/>
    <row r="1058" ht="29.25" x14ac:dyDescent="0.5"/>
    <row r="1059" ht="29.25" x14ac:dyDescent="0.5"/>
    <row r="1060" ht="29.25" x14ac:dyDescent="0.5"/>
    <row r="1061" ht="29.25" x14ac:dyDescent="0.5"/>
    <row r="1062" ht="29.25" x14ac:dyDescent="0.5"/>
    <row r="1063" ht="29.25" x14ac:dyDescent="0.5"/>
    <row r="1064" ht="29.25" x14ac:dyDescent="0.5"/>
    <row r="1065" ht="29.25" x14ac:dyDescent="0.5"/>
    <row r="1066" ht="29.25" x14ac:dyDescent="0.5"/>
    <row r="1067" ht="29.25" x14ac:dyDescent="0.5"/>
    <row r="1068" ht="29.25" x14ac:dyDescent="0.5"/>
    <row r="1069" ht="29.25" x14ac:dyDescent="0.5"/>
    <row r="1070" ht="29.25" x14ac:dyDescent="0.5"/>
    <row r="1071" ht="29.25" x14ac:dyDescent="0.5"/>
    <row r="1072" ht="29.25" x14ac:dyDescent="0.5"/>
    <row r="1073" ht="29.25" x14ac:dyDescent="0.5"/>
    <row r="1074" ht="29.25" x14ac:dyDescent="0.5"/>
    <row r="1075" ht="29.25" x14ac:dyDescent="0.5"/>
    <row r="1076" ht="29.25" x14ac:dyDescent="0.5"/>
    <row r="1077" ht="29.25" x14ac:dyDescent="0.5"/>
    <row r="1078" ht="29.25" x14ac:dyDescent="0.5"/>
    <row r="1079" ht="29.25" x14ac:dyDescent="0.5"/>
    <row r="1080" ht="29.25" x14ac:dyDescent="0.5"/>
    <row r="1081" ht="29.25" x14ac:dyDescent="0.5"/>
    <row r="1082" ht="29.25" x14ac:dyDescent="0.5"/>
    <row r="1083" ht="29.25" x14ac:dyDescent="0.5"/>
    <row r="1084" ht="29.25" x14ac:dyDescent="0.5"/>
    <row r="1085" ht="29.25" x14ac:dyDescent="0.5"/>
    <row r="1086" ht="29.25" x14ac:dyDescent="0.5"/>
    <row r="1087" ht="29.25" x14ac:dyDescent="0.5"/>
    <row r="1088" ht="29.25" x14ac:dyDescent="0.5"/>
    <row r="1089" ht="29.25" x14ac:dyDescent="0.5"/>
    <row r="1090" ht="29.25" x14ac:dyDescent="0.5"/>
    <row r="1091" ht="29.25" x14ac:dyDescent="0.5"/>
    <row r="1092" ht="29.25" x14ac:dyDescent="0.5"/>
    <row r="1093" ht="29.25" x14ac:dyDescent="0.5"/>
    <row r="1094" ht="29.25" x14ac:dyDescent="0.5"/>
    <row r="1095" ht="29.25" x14ac:dyDescent="0.5"/>
    <row r="1096" ht="29.25" x14ac:dyDescent="0.5"/>
    <row r="1097" ht="29.25" x14ac:dyDescent="0.5"/>
    <row r="1098" ht="29.25" x14ac:dyDescent="0.5"/>
    <row r="1099" ht="29.25" x14ac:dyDescent="0.5"/>
    <row r="1100" ht="29.25" x14ac:dyDescent="0.5"/>
    <row r="1101" ht="29.25" x14ac:dyDescent="0.5"/>
    <row r="1102" ht="29.25" x14ac:dyDescent="0.5"/>
    <row r="1103" ht="29.25" x14ac:dyDescent="0.5"/>
    <row r="1104" ht="29.25" x14ac:dyDescent="0.5"/>
    <row r="1105" ht="29.25" x14ac:dyDescent="0.5"/>
    <row r="1106" ht="29.25" x14ac:dyDescent="0.5"/>
    <row r="1107" ht="29.25" x14ac:dyDescent="0.5"/>
    <row r="1108" ht="29.25" x14ac:dyDescent="0.5"/>
    <row r="1109" ht="29.25" x14ac:dyDescent="0.5"/>
    <row r="1110" ht="29.25" x14ac:dyDescent="0.5"/>
    <row r="1111" ht="29.25" x14ac:dyDescent="0.5"/>
    <row r="1112" ht="29.25" x14ac:dyDescent="0.5"/>
    <row r="1113" ht="29.25" x14ac:dyDescent="0.5"/>
    <row r="1114" ht="29.25" x14ac:dyDescent="0.5"/>
    <row r="1115" ht="29.25" x14ac:dyDescent="0.5"/>
    <row r="1116" ht="29.25" x14ac:dyDescent="0.5"/>
    <row r="1117" ht="29.25" x14ac:dyDescent="0.5"/>
    <row r="1118" ht="29.25" x14ac:dyDescent="0.5"/>
    <row r="1119" ht="29.25" x14ac:dyDescent="0.5"/>
    <row r="1120" ht="29.25" x14ac:dyDescent="0.5"/>
    <row r="1121" ht="29.25" x14ac:dyDescent="0.5"/>
    <row r="1122" ht="29.25" x14ac:dyDescent="0.5"/>
    <row r="1123" ht="29.25" x14ac:dyDescent="0.5"/>
    <row r="1124" ht="29.25" x14ac:dyDescent="0.5"/>
    <row r="1125" ht="29.25" x14ac:dyDescent="0.5"/>
    <row r="1126" ht="29.25" x14ac:dyDescent="0.5"/>
    <row r="1127" ht="29.25" x14ac:dyDescent="0.5"/>
    <row r="1128" ht="29.25" x14ac:dyDescent="0.5"/>
    <row r="1129" ht="29.25" x14ac:dyDescent="0.5"/>
    <row r="1130" ht="29.25" x14ac:dyDescent="0.5"/>
    <row r="1131" ht="29.25" x14ac:dyDescent="0.5"/>
    <row r="1132" ht="29.25" x14ac:dyDescent="0.5"/>
    <row r="1133" ht="29.25" x14ac:dyDescent="0.5"/>
    <row r="1134" ht="29.25" x14ac:dyDescent="0.5"/>
    <row r="1135" ht="29.25" x14ac:dyDescent="0.5"/>
    <row r="1136" ht="29.25" x14ac:dyDescent="0.5"/>
    <row r="1137" ht="29.25" x14ac:dyDescent="0.5"/>
    <row r="1138" ht="29.25" x14ac:dyDescent="0.5"/>
    <row r="1139" ht="29.25" x14ac:dyDescent="0.5"/>
    <row r="1140" ht="29.25" x14ac:dyDescent="0.5"/>
    <row r="1141" ht="29.25" x14ac:dyDescent="0.5"/>
    <row r="1142" ht="29.25" x14ac:dyDescent="0.5"/>
    <row r="1143" ht="29.25" x14ac:dyDescent="0.5"/>
    <row r="1144" ht="29.25" x14ac:dyDescent="0.5"/>
    <row r="1145" ht="29.25" x14ac:dyDescent="0.5"/>
    <row r="1146" ht="29.25" x14ac:dyDescent="0.5"/>
    <row r="1147" ht="29.25" x14ac:dyDescent="0.5"/>
    <row r="1148" ht="29.25" x14ac:dyDescent="0.5"/>
    <row r="1149" ht="29.25" x14ac:dyDescent="0.5"/>
    <row r="1150" ht="29.25" x14ac:dyDescent="0.5"/>
    <row r="1151" ht="29.25" x14ac:dyDescent="0.5"/>
    <row r="1152" ht="29.25" x14ac:dyDescent="0.5"/>
    <row r="1153" ht="29.25" x14ac:dyDescent="0.5"/>
    <row r="1154" ht="29.25" x14ac:dyDescent="0.5"/>
    <row r="1155" ht="29.25" x14ac:dyDescent="0.5"/>
    <row r="1156" ht="29.25" x14ac:dyDescent="0.5"/>
    <row r="1157" ht="29.25" x14ac:dyDescent="0.5"/>
    <row r="1158" ht="29.25" x14ac:dyDescent="0.5"/>
    <row r="1159" ht="29.25" x14ac:dyDescent="0.5"/>
    <row r="1160" ht="29.25" x14ac:dyDescent="0.5"/>
    <row r="1161" ht="29.25" x14ac:dyDescent="0.5"/>
    <row r="1162" ht="29.25" x14ac:dyDescent="0.5"/>
    <row r="1163" ht="29.25" x14ac:dyDescent="0.5"/>
    <row r="1164" ht="29.25" x14ac:dyDescent="0.5"/>
    <row r="1165" ht="29.25" x14ac:dyDescent="0.5"/>
    <row r="1166" ht="29.25" x14ac:dyDescent="0.5"/>
    <row r="1167" ht="29.25" x14ac:dyDescent="0.5"/>
    <row r="1168" ht="29.25" x14ac:dyDescent="0.5"/>
    <row r="1169" ht="29.25" x14ac:dyDescent="0.5"/>
    <row r="1170" ht="29.25" x14ac:dyDescent="0.5"/>
    <row r="1171" ht="29.25" x14ac:dyDescent="0.5"/>
    <row r="1172" ht="29.25" x14ac:dyDescent="0.5"/>
    <row r="1173" ht="29.25" x14ac:dyDescent="0.5"/>
    <row r="1174" ht="29.25" x14ac:dyDescent="0.5"/>
    <row r="1175" ht="29.25" x14ac:dyDescent="0.5"/>
    <row r="1176" ht="29.25" x14ac:dyDescent="0.5"/>
    <row r="1177" ht="29.25" x14ac:dyDescent="0.5"/>
    <row r="1178" ht="29.25" x14ac:dyDescent="0.5"/>
    <row r="1179" ht="29.25" x14ac:dyDescent="0.5"/>
    <row r="1180" ht="29.25" x14ac:dyDescent="0.5"/>
    <row r="1181" ht="29.25" x14ac:dyDescent="0.5"/>
    <row r="1182" ht="29.25" x14ac:dyDescent="0.5"/>
    <row r="1183" ht="29.25" x14ac:dyDescent="0.5"/>
    <row r="1184" ht="29.25" x14ac:dyDescent="0.5"/>
    <row r="1185" ht="29.25" x14ac:dyDescent="0.5"/>
    <row r="1186" ht="29.25" x14ac:dyDescent="0.5"/>
    <row r="1187" ht="29.25" x14ac:dyDescent="0.5"/>
    <row r="1188" ht="29.25" x14ac:dyDescent="0.5"/>
    <row r="1189" ht="29.25" x14ac:dyDescent="0.5"/>
    <row r="1190" ht="29.25" x14ac:dyDescent="0.5"/>
    <row r="1191" ht="29.25" x14ac:dyDescent="0.5"/>
    <row r="1192" ht="29.25" x14ac:dyDescent="0.5"/>
    <row r="1193" ht="29.25" x14ac:dyDescent="0.5"/>
    <row r="1194" ht="29.25" x14ac:dyDescent="0.5"/>
    <row r="1195" ht="29.25" x14ac:dyDescent="0.5"/>
    <row r="1196" ht="29.25" x14ac:dyDescent="0.5"/>
    <row r="1197" ht="29.25" x14ac:dyDescent="0.5"/>
    <row r="1198" ht="29.25" x14ac:dyDescent="0.5"/>
    <row r="1199" ht="29.25" x14ac:dyDescent="0.5"/>
    <row r="1200" ht="29.25" x14ac:dyDescent="0.5"/>
    <row r="1201" ht="29.25" x14ac:dyDescent="0.5"/>
    <row r="1202" ht="29.25" x14ac:dyDescent="0.5"/>
    <row r="1203" ht="29.25" x14ac:dyDescent="0.5"/>
    <row r="1204" ht="29.25" x14ac:dyDescent="0.5"/>
    <row r="1205" ht="29.25" x14ac:dyDescent="0.5"/>
    <row r="1206" ht="29.25" x14ac:dyDescent="0.5"/>
    <row r="1207" ht="29.25" x14ac:dyDescent="0.5"/>
    <row r="1208" ht="29.25" x14ac:dyDescent="0.5"/>
    <row r="1209" ht="29.25" x14ac:dyDescent="0.5"/>
    <row r="1210" ht="29.25" x14ac:dyDescent="0.5"/>
    <row r="1211" ht="29.25" x14ac:dyDescent="0.5"/>
    <row r="1212" ht="29.25" x14ac:dyDescent="0.5"/>
    <row r="1213" ht="29.25" x14ac:dyDescent="0.5"/>
    <row r="1214" ht="29.25" x14ac:dyDescent="0.5"/>
    <row r="1215" ht="29.25" x14ac:dyDescent="0.5"/>
    <row r="1216" ht="29.25" x14ac:dyDescent="0.5"/>
    <row r="1217" ht="29.25" x14ac:dyDescent="0.5"/>
    <row r="1218" ht="29.25" x14ac:dyDescent="0.5"/>
    <row r="1219" ht="29.25" x14ac:dyDescent="0.5"/>
    <row r="1220" ht="29.25" x14ac:dyDescent="0.5"/>
    <row r="1221" ht="29.25" x14ac:dyDescent="0.5"/>
    <row r="1222" ht="29.25" x14ac:dyDescent="0.5"/>
    <row r="1223" ht="29.25" x14ac:dyDescent="0.5"/>
    <row r="1224" ht="29.25" x14ac:dyDescent="0.5"/>
    <row r="1225" ht="29.25" x14ac:dyDescent="0.5"/>
    <row r="1226" ht="29.25" x14ac:dyDescent="0.5"/>
    <row r="1227" ht="29.25" x14ac:dyDescent="0.5"/>
    <row r="1228" ht="29.25" x14ac:dyDescent="0.5"/>
    <row r="1229" ht="29.25" x14ac:dyDescent="0.5"/>
    <row r="1230" ht="29.25" x14ac:dyDescent="0.5"/>
    <row r="1231" ht="29.25" x14ac:dyDescent="0.5"/>
    <row r="1232" ht="29.25" x14ac:dyDescent="0.5"/>
    <row r="1233" ht="29.25" x14ac:dyDescent="0.5"/>
    <row r="1234" ht="29.25" x14ac:dyDescent="0.5"/>
    <row r="1235" ht="29.25" x14ac:dyDescent="0.5"/>
    <row r="1236" ht="29.25" x14ac:dyDescent="0.5"/>
    <row r="1237" ht="29.25" x14ac:dyDescent="0.5"/>
    <row r="1238" ht="29.25" x14ac:dyDescent="0.5"/>
    <row r="1239" ht="29.25" x14ac:dyDescent="0.5"/>
    <row r="1240" ht="29.25" x14ac:dyDescent="0.5"/>
    <row r="1241" ht="29.25" x14ac:dyDescent="0.5"/>
    <row r="1242" ht="29.25" x14ac:dyDescent="0.5"/>
    <row r="1243" ht="29.25" x14ac:dyDescent="0.5"/>
    <row r="1244" ht="29.25" x14ac:dyDescent="0.5"/>
    <row r="1245" ht="29.25" x14ac:dyDescent="0.5"/>
    <row r="1246" ht="29.25" x14ac:dyDescent="0.5"/>
    <row r="1247" ht="29.25" x14ac:dyDescent="0.5"/>
    <row r="1248" ht="29.25" x14ac:dyDescent="0.5"/>
    <row r="1249" ht="29.25" x14ac:dyDescent="0.5"/>
    <row r="1250" ht="29.25" x14ac:dyDescent="0.5"/>
    <row r="1251" ht="29.25" x14ac:dyDescent="0.5"/>
    <row r="1252" ht="29.25" x14ac:dyDescent="0.5"/>
    <row r="1253" ht="29.25" x14ac:dyDescent="0.5"/>
    <row r="1254" ht="29.25" x14ac:dyDescent="0.5"/>
    <row r="1255" ht="29.25" x14ac:dyDescent="0.5"/>
    <row r="1256" ht="29.25" x14ac:dyDescent="0.5"/>
    <row r="1257" ht="29.25" x14ac:dyDescent="0.5"/>
    <row r="1258" ht="29.25" x14ac:dyDescent="0.5"/>
    <row r="1259" ht="29.25" x14ac:dyDescent="0.5"/>
    <row r="1260" ht="29.25" x14ac:dyDescent="0.5"/>
    <row r="1261" ht="29.25" x14ac:dyDescent="0.5"/>
    <row r="1262" ht="29.25" x14ac:dyDescent="0.5"/>
    <row r="1263" ht="29.25" x14ac:dyDescent="0.5"/>
    <row r="1264" ht="29.25" x14ac:dyDescent="0.5"/>
    <row r="1265" ht="29.25" x14ac:dyDescent="0.5"/>
    <row r="1266" ht="29.25" x14ac:dyDescent="0.5"/>
    <row r="1267" ht="29.25" x14ac:dyDescent="0.5"/>
    <row r="1268" ht="29.25" x14ac:dyDescent="0.5"/>
    <row r="1269" ht="29.25" x14ac:dyDescent="0.5"/>
    <row r="1270" ht="29.25" x14ac:dyDescent="0.5"/>
    <row r="1271" ht="29.25" x14ac:dyDescent="0.5"/>
    <row r="1272" ht="29.25" x14ac:dyDescent="0.5"/>
    <row r="1273" ht="29.25" x14ac:dyDescent="0.5"/>
    <row r="1274" ht="29.25" x14ac:dyDescent="0.5"/>
    <row r="1275" ht="29.25" x14ac:dyDescent="0.5"/>
    <row r="1276" ht="29.25" x14ac:dyDescent="0.5"/>
    <row r="1277" ht="29.25" x14ac:dyDescent="0.5"/>
    <row r="1278" ht="29.25" x14ac:dyDescent="0.5"/>
    <row r="1279" ht="29.25" x14ac:dyDescent="0.5"/>
    <row r="1280" ht="29.25" x14ac:dyDescent="0.5"/>
    <row r="1281" ht="29.25" x14ac:dyDescent="0.5"/>
    <row r="1282" ht="29.25" x14ac:dyDescent="0.5"/>
    <row r="1283" ht="29.25" x14ac:dyDescent="0.5"/>
    <row r="1284" ht="29.25" x14ac:dyDescent="0.5"/>
    <row r="1285" ht="29.25" x14ac:dyDescent="0.5"/>
    <row r="1286" ht="29.25" x14ac:dyDescent="0.5"/>
    <row r="1287" ht="29.25" x14ac:dyDescent="0.5"/>
    <row r="1288" ht="29.25" x14ac:dyDescent="0.5"/>
    <row r="1289" ht="29.25" x14ac:dyDescent="0.5"/>
    <row r="1290" ht="29.25" x14ac:dyDescent="0.5"/>
    <row r="1291" ht="29.25" x14ac:dyDescent="0.5"/>
    <row r="1292" ht="29.25" x14ac:dyDescent="0.5"/>
    <row r="1293" ht="29.25" x14ac:dyDescent="0.5"/>
    <row r="1294" ht="29.25" x14ac:dyDescent="0.5"/>
    <row r="1295" ht="29.25" x14ac:dyDescent="0.5"/>
    <row r="1296" ht="29.25" x14ac:dyDescent="0.5"/>
    <row r="1297" ht="29.25" x14ac:dyDescent="0.5"/>
    <row r="1298" ht="29.25" x14ac:dyDescent="0.5"/>
    <row r="1299" ht="29.25" x14ac:dyDescent="0.5"/>
    <row r="1300" ht="29.25" x14ac:dyDescent="0.5"/>
    <row r="1301" ht="29.25" x14ac:dyDescent="0.5"/>
    <row r="1302" ht="29.25" x14ac:dyDescent="0.5"/>
    <row r="1303" ht="29.25" x14ac:dyDescent="0.5"/>
    <row r="1304" ht="29.25" x14ac:dyDescent="0.5"/>
    <row r="1305" ht="29.25" x14ac:dyDescent="0.5"/>
    <row r="1306" ht="29.25" x14ac:dyDescent="0.5"/>
    <row r="1307" ht="29.25" x14ac:dyDescent="0.5"/>
    <row r="1308" ht="29.25" x14ac:dyDescent="0.5"/>
    <row r="1309" ht="29.25" x14ac:dyDescent="0.5"/>
    <row r="1310" ht="29.25" x14ac:dyDescent="0.5"/>
    <row r="1311" ht="29.25" x14ac:dyDescent="0.5"/>
    <row r="1312" ht="29.25" x14ac:dyDescent="0.5"/>
    <row r="1313" ht="29.25" x14ac:dyDescent="0.5"/>
    <row r="1314" ht="29.25" x14ac:dyDescent="0.5"/>
    <row r="1315" ht="29.25" x14ac:dyDescent="0.5"/>
    <row r="1316" ht="29.25" x14ac:dyDescent="0.5"/>
    <row r="1317" ht="29.25" x14ac:dyDescent="0.5"/>
    <row r="1318" ht="29.25" x14ac:dyDescent="0.5"/>
    <row r="1319" ht="29.25" x14ac:dyDescent="0.5"/>
    <row r="1320" ht="29.25" x14ac:dyDescent="0.5"/>
    <row r="1321" ht="29.25" x14ac:dyDescent="0.5"/>
    <row r="1322" ht="29.25" x14ac:dyDescent="0.5"/>
    <row r="1323" ht="29.25" x14ac:dyDescent="0.5"/>
    <row r="1324" ht="29.25" x14ac:dyDescent="0.5"/>
    <row r="1325" ht="29.25" x14ac:dyDescent="0.5"/>
    <row r="1326" ht="29.25" x14ac:dyDescent="0.5"/>
    <row r="1327" ht="29.25" x14ac:dyDescent="0.5"/>
    <row r="1328" ht="29.25" x14ac:dyDescent="0.5"/>
    <row r="1329" ht="29.25" x14ac:dyDescent="0.5"/>
    <row r="1330" ht="29.25" x14ac:dyDescent="0.5"/>
    <row r="1331" ht="29.25" x14ac:dyDescent="0.5"/>
    <row r="1332" ht="29.25" x14ac:dyDescent="0.5"/>
    <row r="1333" ht="29.25" x14ac:dyDescent="0.5"/>
    <row r="1334" ht="29.25" x14ac:dyDescent="0.5"/>
    <row r="1335" ht="29.25" x14ac:dyDescent="0.5"/>
    <row r="1336" ht="29.25" x14ac:dyDescent="0.5"/>
    <row r="1337" ht="29.25" x14ac:dyDescent="0.5"/>
    <row r="1338" ht="29.25" x14ac:dyDescent="0.5"/>
    <row r="1339" ht="29.25" x14ac:dyDescent="0.5"/>
    <row r="1340" ht="29.25" x14ac:dyDescent="0.5"/>
    <row r="1341" ht="29.25" x14ac:dyDescent="0.5"/>
    <row r="1342" ht="29.25" x14ac:dyDescent="0.5"/>
    <row r="1343" ht="29.25" x14ac:dyDescent="0.5"/>
    <row r="1344" ht="29.25" x14ac:dyDescent="0.5"/>
    <row r="1345" ht="29.25" x14ac:dyDescent="0.5"/>
    <row r="1346" ht="29.25" x14ac:dyDescent="0.5"/>
    <row r="1347" ht="29.25" x14ac:dyDescent="0.5"/>
    <row r="1348" ht="29.25" x14ac:dyDescent="0.5"/>
    <row r="1349" ht="29.25" x14ac:dyDescent="0.5"/>
    <row r="1350" ht="29.25" x14ac:dyDescent="0.5"/>
    <row r="1351" ht="29.25" x14ac:dyDescent="0.5"/>
    <row r="1352" ht="29.25" x14ac:dyDescent="0.5"/>
    <row r="1353" ht="29.25" x14ac:dyDescent="0.5"/>
    <row r="1354" ht="29.25" x14ac:dyDescent="0.5"/>
    <row r="1355" ht="29.25" x14ac:dyDescent="0.5"/>
    <row r="1356" ht="29.25" x14ac:dyDescent="0.5"/>
    <row r="1357" ht="29.25" x14ac:dyDescent="0.5"/>
    <row r="1358" ht="29.25" x14ac:dyDescent="0.5"/>
    <row r="1359" ht="29.25" x14ac:dyDescent="0.5"/>
    <row r="1360" ht="29.25" x14ac:dyDescent="0.5"/>
    <row r="1361" ht="29.25" x14ac:dyDescent="0.5"/>
    <row r="1362" ht="29.25" x14ac:dyDescent="0.5"/>
    <row r="1363" ht="29.25" x14ac:dyDescent="0.5"/>
    <row r="1364" ht="29.25" x14ac:dyDescent="0.5"/>
    <row r="1365" ht="29.25" x14ac:dyDescent="0.5"/>
    <row r="1366" ht="29.25" x14ac:dyDescent="0.5"/>
    <row r="1367" ht="29.25" x14ac:dyDescent="0.5"/>
    <row r="1368" ht="29.25" x14ac:dyDescent="0.5"/>
    <row r="1369" ht="29.25" x14ac:dyDescent="0.5"/>
    <row r="1370" ht="29.25" x14ac:dyDescent="0.5"/>
    <row r="1371" ht="29.25" x14ac:dyDescent="0.5"/>
    <row r="1372" ht="29.25" x14ac:dyDescent="0.5"/>
    <row r="1373" ht="29.25" x14ac:dyDescent="0.5"/>
    <row r="1374" ht="29.25" x14ac:dyDescent="0.5"/>
    <row r="1375" ht="29.25" x14ac:dyDescent="0.5"/>
    <row r="1376" ht="29.25" x14ac:dyDescent="0.5"/>
    <row r="1377" ht="29.25" x14ac:dyDescent="0.5"/>
    <row r="1378" ht="29.25" x14ac:dyDescent="0.5"/>
    <row r="1379" ht="29.25" x14ac:dyDescent="0.5"/>
    <row r="1380" ht="29.25" x14ac:dyDescent="0.5"/>
    <row r="1381" ht="29.25" x14ac:dyDescent="0.5"/>
    <row r="1382" ht="29.25" x14ac:dyDescent="0.5"/>
    <row r="1383" ht="29.25" x14ac:dyDescent="0.5"/>
    <row r="1384" ht="29.25" x14ac:dyDescent="0.5"/>
    <row r="1385" ht="29.25" x14ac:dyDescent="0.5"/>
    <row r="1386" ht="29.25" x14ac:dyDescent="0.5"/>
    <row r="1387" ht="29.25" x14ac:dyDescent="0.5"/>
    <row r="1388" ht="29.25" x14ac:dyDescent="0.5"/>
    <row r="1389" ht="29.25" x14ac:dyDescent="0.5"/>
    <row r="1390" ht="29.25" x14ac:dyDescent="0.5"/>
    <row r="1391" ht="29.25" x14ac:dyDescent="0.5"/>
    <row r="1392" ht="29.25" x14ac:dyDescent="0.5"/>
    <row r="1393" ht="29.25" x14ac:dyDescent="0.5"/>
    <row r="1394" ht="29.25" x14ac:dyDescent="0.5"/>
    <row r="1395" ht="29.25" x14ac:dyDescent="0.5"/>
    <row r="1396" ht="29.25" x14ac:dyDescent="0.5"/>
    <row r="1397" ht="29.25" x14ac:dyDescent="0.5"/>
    <row r="1398" ht="29.25" x14ac:dyDescent="0.5"/>
    <row r="1399" ht="29.25" x14ac:dyDescent="0.5"/>
    <row r="1400" ht="29.25" x14ac:dyDescent="0.5"/>
    <row r="1401" ht="29.25" x14ac:dyDescent="0.5"/>
    <row r="1402" ht="29.25" x14ac:dyDescent="0.5"/>
    <row r="1403" ht="29.25" x14ac:dyDescent="0.5"/>
    <row r="1404" ht="29.25" x14ac:dyDescent="0.5"/>
    <row r="1405" ht="29.25" x14ac:dyDescent="0.5"/>
    <row r="1406" ht="29.25" x14ac:dyDescent="0.5"/>
    <row r="1407" ht="29.25" x14ac:dyDescent="0.5"/>
    <row r="1408" ht="29.25" x14ac:dyDescent="0.5"/>
    <row r="1409" ht="29.25" x14ac:dyDescent="0.5"/>
    <row r="1410" ht="29.25" x14ac:dyDescent="0.5"/>
    <row r="1411" ht="29.25" x14ac:dyDescent="0.5"/>
    <row r="1412" ht="29.25" x14ac:dyDescent="0.5"/>
    <row r="1413" ht="29.25" x14ac:dyDescent="0.5"/>
    <row r="1414" ht="29.25" x14ac:dyDescent="0.5"/>
    <row r="1415" ht="29.25" x14ac:dyDescent="0.5"/>
    <row r="1416" ht="29.25" x14ac:dyDescent="0.5"/>
    <row r="1417" ht="29.25" x14ac:dyDescent="0.5"/>
    <row r="1418" ht="29.25" x14ac:dyDescent="0.5"/>
    <row r="1419" ht="29.25" x14ac:dyDescent="0.5"/>
    <row r="1420" ht="29.25" x14ac:dyDescent="0.5"/>
    <row r="1421" ht="29.25" x14ac:dyDescent="0.5"/>
    <row r="1422" ht="29.25" x14ac:dyDescent="0.5"/>
    <row r="1423" ht="29.25" x14ac:dyDescent="0.5"/>
    <row r="1424" ht="29.25" x14ac:dyDescent="0.5"/>
    <row r="1425" ht="29.25" x14ac:dyDescent="0.5"/>
    <row r="1426" ht="29.25" x14ac:dyDescent="0.5"/>
    <row r="1427" ht="29.25" x14ac:dyDescent="0.5"/>
    <row r="1428" ht="29.25" x14ac:dyDescent="0.5"/>
    <row r="1429" ht="29.25" x14ac:dyDescent="0.5"/>
    <row r="1430" ht="29.25" x14ac:dyDescent="0.5"/>
    <row r="1431" ht="29.25" x14ac:dyDescent="0.5"/>
    <row r="1432" ht="29.25" x14ac:dyDescent="0.5"/>
    <row r="1433" ht="29.25" x14ac:dyDescent="0.5"/>
    <row r="1434" ht="29.25" x14ac:dyDescent="0.5"/>
    <row r="1435" ht="29.25" x14ac:dyDescent="0.5"/>
    <row r="1436" ht="29.25" x14ac:dyDescent="0.5"/>
    <row r="1437" ht="29.25" x14ac:dyDescent="0.5"/>
    <row r="1438" ht="29.25" x14ac:dyDescent="0.5"/>
    <row r="1439" ht="29.25" x14ac:dyDescent="0.5"/>
    <row r="1440" ht="29.25" x14ac:dyDescent="0.5"/>
    <row r="1441" ht="29.25" x14ac:dyDescent="0.5"/>
    <row r="1442" ht="29.25" x14ac:dyDescent="0.5"/>
    <row r="1443" ht="29.25" x14ac:dyDescent="0.5"/>
    <row r="1444" ht="29.25" x14ac:dyDescent="0.5"/>
    <row r="1445" ht="29.25" x14ac:dyDescent="0.5"/>
    <row r="1446" ht="29.25" x14ac:dyDescent="0.5"/>
    <row r="1447" ht="29.25" x14ac:dyDescent="0.5"/>
    <row r="1448" ht="29.25" x14ac:dyDescent="0.5"/>
    <row r="1449" ht="29.25" x14ac:dyDescent="0.5"/>
    <row r="1450" ht="29.25" x14ac:dyDescent="0.5"/>
    <row r="1451" ht="29.25" x14ac:dyDescent="0.5"/>
    <row r="1452" ht="29.25" x14ac:dyDescent="0.5"/>
    <row r="1453" ht="29.25" x14ac:dyDescent="0.5"/>
    <row r="1454" ht="29.25" x14ac:dyDescent="0.5"/>
    <row r="1455" ht="29.25" x14ac:dyDescent="0.5"/>
    <row r="1456" ht="29.25" x14ac:dyDescent="0.5"/>
    <row r="1457" ht="29.25" x14ac:dyDescent="0.5"/>
    <row r="1458" ht="29.25" x14ac:dyDescent="0.5"/>
    <row r="1459" ht="29.25" x14ac:dyDescent="0.5"/>
    <row r="1460" ht="29.25" x14ac:dyDescent="0.5"/>
    <row r="1461" ht="29.25" x14ac:dyDescent="0.5"/>
    <row r="1462" ht="29.25" x14ac:dyDescent="0.5"/>
    <row r="1463" ht="29.25" x14ac:dyDescent="0.5"/>
    <row r="1464" ht="29.25" x14ac:dyDescent="0.5"/>
    <row r="1465" ht="29.25" x14ac:dyDescent="0.5"/>
    <row r="1466" ht="29.25" x14ac:dyDescent="0.5"/>
    <row r="1467" ht="29.25" x14ac:dyDescent="0.5"/>
    <row r="1468" ht="29.25" x14ac:dyDescent="0.5"/>
    <row r="1469" ht="29.25" x14ac:dyDescent="0.5"/>
    <row r="1470" ht="29.25" x14ac:dyDescent="0.5"/>
    <row r="1471" ht="29.25" x14ac:dyDescent="0.5"/>
    <row r="1472" ht="29.25" x14ac:dyDescent="0.5"/>
    <row r="1473" ht="29.25" x14ac:dyDescent="0.5"/>
    <row r="1474" ht="29.25" x14ac:dyDescent="0.5"/>
    <row r="1475" ht="29.25" x14ac:dyDescent="0.5"/>
    <row r="1476" ht="29.25" x14ac:dyDescent="0.5"/>
    <row r="1477" ht="29.25" x14ac:dyDescent="0.5"/>
    <row r="1478" ht="29.25" x14ac:dyDescent="0.5"/>
    <row r="1479" ht="29.25" x14ac:dyDescent="0.5"/>
    <row r="1480" ht="29.25" x14ac:dyDescent="0.5"/>
    <row r="1481" ht="29.25" x14ac:dyDescent="0.5"/>
    <row r="1482" ht="29.25" x14ac:dyDescent="0.5"/>
    <row r="1483" ht="29.25" x14ac:dyDescent="0.5"/>
    <row r="1484" ht="29.25" x14ac:dyDescent="0.5"/>
    <row r="1485" ht="29.25" x14ac:dyDescent="0.5"/>
    <row r="1486" ht="29.25" x14ac:dyDescent="0.5"/>
    <row r="1487" ht="29.25" x14ac:dyDescent="0.5"/>
    <row r="1488" ht="29.25" x14ac:dyDescent="0.5"/>
    <row r="1489" ht="29.25" x14ac:dyDescent="0.5"/>
    <row r="1490" ht="29.25" x14ac:dyDescent="0.5"/>
    <row r="1491" ht="29.25" x14ac:dyDescent="0.5"/>
    <row r="1492" ht="29.25" x14ac:dyDescent="0.5"/>
    <row r="1493" ht="29.25" x14ac:dyDescent="0.5"/>
    <row r="1494" ht="29.25" x14ac:dyDescent="0.5"/>
    <row r="1495" ht="29.25" x14ac:dyDescent="0.5"/>
    <row r="1496" ht="29.25" x14ac:dyDescent="0.5"/>
    <row r="1497" ht="29.25" x14ac:dyDescent="0.5"/>
    <row r="1498" ht="29.25" x14ac:dyDescent="0.5"/>
    <row r="1499" ht="29.25" x14ac:dyDescent="0.5"/>
    <row r="1500" ht="29.25" x14ac:dyDescent="0.5"/>
    <row r="1501" ht="29.25" x14ac:dyDescent="0.5"/>
    <row r="1502" ht="29.25" x14ac:dyDescent="0.5"/>
    <row r="1503" ht="29.25" x14ac:dyDescent="0.5"/>
    <row r="1504" ht="29.25" x14ac:dyDescent="0.5"/>
    <row r="1505" ht="29.25" x14ac:dyDescent="0.5"/>
    <row r="1506" ht="29.25" x14ac:dyDescent="0.5"/>
    <row r="1507" ht="29.25" x14ac:dyDescent="0.5"/>
    <row r="1508" ht="29.25" x14ac:dyDescent="0.5"/>
    <row r="1509" ht="29.25" x14ac:dyDescent="0.5"/>
    <row r="1510" ht="29.25" x14ac:dyDescent="0.5"/>
    <row r="1511" ht="29.25" x14ac:dyDescent="0.5"/>
    <row r="1512" ht="29.25" x14ac:dyDescent="0.5"/>
    <row r="1513" ht="29.25" x14ac:dyDescent="0.5"/>
    <row r="1514" ht="29.25" x14ac:dyDescent="0.5"/>
    <row r="1515" ht="29.25" x14ac:dyDescent="0.5"/>
    <row r="1516" ht="29.25" x14ac:dyDescent="0.5"/>
    <row r="1517" ht="29.25" x14ac:dyDescent="0.5"/>
    <row r="1518" ht="29.25" x14ac:dyDescent="0.5"/>
    <row r="1519" ht="29.25" x14ac:dyDescent="0.5"/>
    <row r="1520" ht="29.25" x14ac:dyDescent="0.5"/>
    <row r="1521" ht="29.25" x14ac:dyDescent="0.5"/>
    <row r="1522" ht="29.25" x14ac:dyDescent="0.5"/>
    <row r="1523" ht="29.25" x14ac:dyDescent="0.5"/>
    <row r="1524" ht="29.25" x14ac:dyDescent="0.5"/>
    <row r="1525" ht="29.25" x14ac:dyDescent="0.5"/>
    <row r="1526" ht="29.25" x14ac:dyDescent="0.5"/>
    <row r="1527" ht="29.25" x14ac:dyDescent="0.5"/>
    <row r="1528" ht="29.25" x14ac:dyDescent="0.5"/>
    <row r="1529" ht="29.25" x14ac:dyDescent="0.5"/>
    <row r="1530" ht="29.25" x14ac:dyDescent="0.5"/>
    <row r="1531" ht="29.25" x14ac:dyDescent="0.5"/>
    <row r="1532" ht="29.25" x14ac:dyDescent="0.5"/>
    <row r="1533" ht="29.25" x14ac:dyDescent="0.5"/>
    <row r="1534" ht="29.25" x14ac:dyDescent="0.5"/>
    <row r="1535" ht="29.25" x14ac:dyDescent="0.5"/>
    <row r="1536" ht="29.25" x14ac:dyDescent="0.5"/>
    <row r="1537" ht="29.25" x14ac:dyDescent="0.5"/>
    <row r="1538" ht="29.25" x14ac:dyDescent="0.5"/>
    <row r="1539" ht="29.25" x14ac:dyDescent="0.5"/>
    <row r="1540" ht="29.25" x14ac:dyDescent="0.5"/>
    <row r="1541" ht="29.25" x14ac:dyDescent="0.5"/>
    <row r="1542" ht="29.25" x14ac:dyDescent="0.5"/>
    <row r="1543" ht="29.25" x14ac:dyDescent="0.5"/>
    <row r="1544" ht="29.25" x14ac:dyDescent="0.5"/>
    <row r="1545" ht="29.25" x14ac:dyDescent="0.5"/>
    <row r="1546" ht="29.25" x14ac:dyDescent="0.5"/>
    <row r="1547" ht="29.25" x14ac:dyDescent="0.5"/>
    <row r="1548" ht="29.25" x14ac:dyDescent="0.5"/>
    <row r="1549" ht="29.25" x14ac:dyDescent="0.5"/>
    <row r="1550" ht="29.25" x14ac:dyDescent="0.5"/>
    <row r="1551" ht="29.25" x14ac:dyDescent="0.5"/>
    <row r="1552" ht="29.25" x14ac:dyDescent="0.5"/>
    <row r="1553" ht="29.25" x14ac:dyDescent="0.5"/>
    <row r="1554" ht="29.25" x14ac:dyDescent="0.5"/>
    <row r="1555" ht="29.25" x14ac:dyDescent="0.5"/>
    <row r="1556" ht="29.25" x14ac:dyDescent="0.5"/>
    <row r="1557" ht="29.25" x14ac:dyDescent="0.5"/>
    <row r="1558" ht="29.25" x14ac:dyDescent="0.5"/>
    <row r="1559" ht="29.25" x14ac:dyDescent="0.5"/>
    <row r="1560" ht="29.25" x14ac:dyDescent="0.5"/>
    <row r="1561" ht="29.25" x14ac:dyDescent="0.5"/>
    <row r="1562" ht="29.25" x14ac:dyDescent="0.5"/>
    <row r="1563" ht="29.25" x14ac:dyDescent="0.5"/>
    <row r="1564" ht="29.25" x14ac:dyDescent="0.5"/>
    <row r="1565" ht="29.25" x14ac:dyDescent="0.5"/>
    <row r="1566" ht="29.25" x14ac:dyDescent="0.5"/>
    <row r="1567" ht="29.25" x14ac:dyDescent="0.5"/>
    <row r="1568" ht="29.25" x14ac:dyDescent="0.5"/>
    <row r="1569" ht="29.25" x14ac:dyDescent="0.5"/>
    <row r="1570" ht="29.25" x14ac:dyDescent="0.5"/>
    <row r="1571" ht="29.25" x14ac:dyDescent="0.5"/>
    <row r="1572" ht="29.25" x14ac:dyDescent="0.5"/>
    <row r="1573" ht="29.25" x14ac:dyDescent="0.5"/>
    <row r="1574" ht="29.25" x14ac:dyDescent="0.5"/>
    <row r="1575" ht="29.25" x14ac:dyDescent="0.5"/>
    <row r="1576" ht="29.25" x14ac:dyDescent="0.5"/>
    <row r="1577" ht="29.25" x14ac:dyDescent="0.5"/>
    <row r="1578" ht="29.25" x14ac:dyDescent="0.5"/>
    <row r="1579" ht="29.25" x14ac:dyDescent="0.5"/>
    <row r="1580" ht="29.25" x14ac:dyDescent="0.5"/>
    <row r="1581" ht="29.25" x14ac:dyDescent="0.5"/>
    <row r="1582" ht="29.25" x14ac:dyDescent="0.5"/>
    <row r="1583" ht="29.25" x14ac:dyDescent="0.5"/>
    <row r="1584" ht="29.25" x14ac:dyDescent="0.5"/>
    <row r="1585" ht="29.25" x14ac:dyDescent="0.5"/>
    <row r="1586" ht="29.25" x14ac:dyDescent="0.5"/>
    <row r="1587" ht="29.25" x14ac:dyDescent="0.5"/>
    <row r="1588" ht="29.25" x14ac:dyDescent="0.5"/>
    <row r="1589" ht="29.25" x14ac:dyDescent="0.5"/>
    <row r="1590" ht="29.25" x14ac:dyDescent="0.5"/>
    <row r="1591" ht="29.25" x14ac:dyDescent="0.5"/>
    <row r="1592" ht="29.25" x14ac:dyDescent="0.5"/>
    <row r="1593" ht="29.25" x14ac:dyDescent="0.5"/>
    <row r="1594" ht="29.25" x14ac:dyDescent="0.5"/>
    <row r="1595" ht="29.25" x14ac:dyDescent="0.5"/>
    <row r="1596" ht="29.25" x14ac:dyDescent="0.5"/>
    <row r="1597" ht="29.25" x14ac:dyDescent="0.5"/>
    <row r="1598" ht="29.25" x14ac:dyDescent="0.5"/>
    <row r="1599" ht="29.25" x14ac:dyDescent="0.5"/>
    <row r="1600" ht="29.25" x14ac:dyDescent="0.5"/>
    <row r="1601" ht="29.25" x14ac:dyDescent="0.5"/>
    <row r="1602" ht="29.25" x14ac:dyDescent="0.5"/>
    <row r="1603" ht="29.25" x14ac:dyDescent="0.5"/>
    <row r="1604" ht="29.25" x14ac:dyDescent="0.5"/>
    <row r="1605" ht="29.25" x14ac:dyDescent="0.5"/>
    <row r="1606" ht="29.25" x14ac:dyDescent="0.5"/>
    <row r="1607" ht="29.25" x14ac:dyDescent="0.5"/>
    <row r="1608" ht="29.25" x14ac:dyDescent="0.5"/>
    <row r="1609" ht="29.25" x14ac:dyDescent="0.5"/>
    <row r="1610" ht="29.25" x14ac:dyDescent="0.5"/>
    <row r="1611" ht="29.25" x14ac:dyDescent="0.5"/>
    <row r="1612" ht="29.25" x14ac:dyDescent="0.5"/>
    <row r="1613" ht="29.25" x14ac:dyDescent="0.5"/>
    <row r="1614" ht="29.25" x14ac:dyDescent="0.5"/>
    <row r="1615" ht="29.25" x14ac:dyDescent="0.5"/>
    <row r="1616" ht="29.25" x14ac:dyDescent="0.5"/>
    <row r="1617" ht="29.25" x14ac:dyDescent="0.5"/>
    <row r="1618" ht="29.25" x14ac:dyDescent="0.5"/>
    <row r="1619" ht="29.25" x14ac:dyDescent="0.5"/>
    <row r="1620" ht="29.25" x14ac:dyDescent="0.5"/>
    <row r="1621" ht="29.25" x14ac:dyDescent="0.5"/>
    <row r="1622" ht="29.25" x14ac:dyDescent="0.5"/>
    <row r="1623" ht="29.25" x14ac:dyDescent="0.5"/>
    <row r="1624" ht="29.25" x14ac:dyDescent="0.5"/>
    <row r="1625" ht="29.25" x14ac:dyDescent="0.5"/>
    <row r="1626" ht="29.25" x14ac:dyDescent="0.5"/>
    <row r="1627" ht="29.25" x14ac:dyDescent="0.5"/>
    <row r="1628" ht="29.25" x14ac:dyDescent="0.5"/>
    <row r="1629" ht="29.25" x14ac:dyDescent="0.5"/>
    <row r="1630" ht="29.25" x14ac:dyDescent="0.5"/>
    <row r="1631" ht="29.25" x14ac:dyDescent="0.5"/>
    <row r="1632" ht="29.25" x14ac:dyDescent="0.5"/>
    <row r="1633" ht="29.25" x14ac:dyDescent="0.5"/>
    <row r="1634" ht="29.25" x14ac:dyDescent="0.5"/>
    <row r="1635" ht="29.25" x14ac:dyDescent="0.5"/>
    <row r="1636" ht="29.25" x14ac:dyDescent="0.5"/>
    <row r="1637" ht="29.25" x14ac:dyDescent="0.5"/>
    <row r="1638" ht="29.25" x14ac:dyDescent="0.5"/>
    <row r="1639" ht="29.25" x14ac:dyDescent="0.5"/>
    <row r="1640" ht="29.25" x14ac:dyDescent="0.5"/>
    <row r="1641" ht="29.25" x14ac:dyDescent="0.5"/>
    <row r="1642" ht="29.25" x14ac:dyDescent="0.5"/>
    <row r="1643" ht="29.25" x14ac:dyDescent="0.5"/>
    <row r="1644" ht="29.25" x14ac:dyDescent="0.5"/>
    <row r="1645" ht="29.25" x14ac:dyDescent="0.5"/>
    <row r="1646" ht="29.25" x14ac:dyDescent="0.5"/>
    <row r="1647" ht="29.25" x14ac:dyDescent="0.5"/>
    <row r="1648" ht="29.25" x14ac:dyDescent="0.5"/>
    <row r="1649" ht="29.25" x14ac:dyDescent="0.5"/>
    <row r="1650" ht="29.25" x14ac:dyDescent="0.5"/>
    <row r="1651" ht="29.25" x14ac:dyDescent="0.5"/>
    <row r="1652" ht="29.25" x14ac:dyDescent="0.5"/>
    <row r="1653" ht="29.25" x14ac:dyDescent="0.5"/>
    <row r="1654" ht="29.25" x14ac:dyDescent="0.5"/>
    <row r="1655" ht="29.25" x14ac:dyDescent="0.5"/>
    <row r="1656" ht="29.25" x14ac:dyDescent="0.5"/>
    <row r="1657" ht="29.25" x14ac:dyDescent="0.5"/>
    <row r="1658" ht="29.25" x14ac:dyDescent="0.5"/>
    <row r="1659" ht="29.25" x14ac:dyDescent="0.5"/>
    <row r="1660" ht="29.25" x14ac:dyDescent="0.5"/>
    <row r="1661" ht="29.25" x14ac:dyDescent="0.5"/>
    <row r="1662" ht="29.25" x14ac:dyDescent="0.5"/>
    <row r="1663" ht="29.25" x14ac:dyDescent="0.5"/>
    <row r="1664" ht="29.25" x14ac:dyDescent="0.5"/>
    <row r="1665" ht="29.25" x14ac:dyDescent="0.5"/>
    <row r="1666" ht="29.25" x14ac:dyDescent="0.5"/>
    <row r="1667" ht="29.25" x14ac:dyDescent="0.5"/>
    <row r="1668" ht="29.25" x14ac:dyDescent="0.5"/>
    <row r="1669" ht="29.25" x14ac:dyDescent="0.5"/>
    <row r="1670" ht="29.25" x14ac:dyDescent="0.5"/>
    <row r="1671" ht="29.25" x14ac:dyDescent="0.5"/>
    <row r="1672" ht="29.25" x14ac:dyDescent="0.5"/>
    <row r="1673" ht="29.25" x14ac:dyDescent="0.5"/>
    <row r="1674" ht="29.25" x14ac:dyDescent="0.5"/>
    <row r="1675" ht="29.25" x14ac:dyDescent="0.5"/>
    <row r="1676" ht="29.25" x14ac:dyDescent="0.5"/>
    <row r="1677" ht="29.25" x14ac:dyDescent="0.5"/>
    <row r="1678" ht="29.25" x14ac:dyDescent="0.5"/>
    <row r="1679" ht="29.25" x14ac:dyDescent="0.5"/>
    <row r="1680" ht="29.25" x14ac:dyDescent="0.5"/>
    <row r="1681" ht="29.25" x14ac:dyDescent="0.5"/>
    <row r="1682" ht="29.25" x14ac:dyDescent="0.5"/>
    <row r="1683" ht="29.25" x14ac:dyDescent="0.5"/>
    <row r="1684" ht="29.25" x14ac:dyDescent="0.5"/>
    <row r="1685" ht="29.25" x14ac:dyDescent="0.5"/>
    <row r="1686" ht="29.25" x14ac:dyDescent="0.5"/>
    <row r="1687" ht="29.25" x14ac:dyDescent="0.5"/>
    <row r="1688" ht="29.25" x14ac:dyDescent="0.5"/>
    <row r="1689" ht="29.25" x14ac:dyDescent="0.5"/>
    <row r="1690" ht="29.25" x14ac:dyDescent="0.5"/>
    <row r="1691" ht="29.25" x14ac:dyDescent="0.5"/>
    <row r="1692" ht="29.25" x14ac:dyDescent="0.5"/>
    <row r="1693" ht="29.25" x14ac:dyDescent="0.5"/>
    <row r="1694" ht="29.25" x14ac:dyDescent="0.5"/>
    <row r="1695" ht="29.25" x14ac:dyDescent="0.5"/>
    <row r="1696" ht="29.25" x14ac:dyDescent="0.5"/>
    <row r="1697" ht="29.25" x14ac:dyDescent="0.5"/>
    <row r="1698" ht="29.25" x14ac:dyDescent="0.5"/>
    <row r="1699" ht="29.25" x14ac:dyDescent="0.5"/>
    <row r="1700" ht="29.25" x14ac:dyDescent="0.5"/>
    <row r="1701" ht="29.25" x14ac:dyDescent="0.5"/>
  </sheetData>
  <mergeCells count="115">
    <mergeCell ref="A168:B168"/>
    <mergeCell ref="A167:B167"/>
    <mergeCell ref="A171:J171"/>
    <mergeCell ref="A172:B172"/>
    <mergeCell ref="A188:B188"/>
    <mergeCell ref="A189:B189"/>
    <mergeCell ref="A190:B190"/>
    <mergeCell ref="A180:B180"/>
    <mergeCell ref="A181:B181"/>
    <mergeCell ref="A185:B185"/>
    <mergeCell ref="A186:B186"/>
    <mergeCell ref="A187:B187"/>
    <mergeCell ref="A174:B174"/>
    <mergeCell ref="A176:B176"/>
    <mergeCell ref="A177:B177"/>
    <mergeCell ref="A178:B178"/>
    <mergeCell ref="A179:B179"/>
    <mergeCell ref="A184:B184"/>
    <mergeCell ref="A182:B182"/>
    <mergeCell ref="A183:B183"/>
    <mergeCell ref="A175:C175"/>
    <mergeCell ref="A173:B173"/>
    <mergeCell ref="A136:J136"/>
    <mergeCell ref="A138:C138"/>
    <mergeCell ref="A139:C139"/>
    <mergeCell ref="A127:B127"/>
    <mergeCell ref="A128:C128"/>
    <mergeCell ref="A131:C131"/>
    <mergeCell ref="A132:C132"/>
    <mergeCell ref="A133:C133"/>
    <mergeCell ref="A135:B135"/>
    <mergeCell ref="A140:C140"/>
    <mergeCell ref="A141:C141"/>
    <mergeCell ref="A142:C142"/>
    <mergeCell ref="A160:J160"/>
    <mergeCell ref="A166:B166"/>
    <mergeCell ref="A145:C145"/>
    <mergeCell ref="A146:C146"/>
    <mergeCell ref="A147:C147"/>
    <mergeCell ref="A148:C148"/>
    <mergeCell ref="A149:C149"/>
    <mergeCell ref="A143:C143"/>
    <mergeCell ref="A144:C144"/>
    <mergeCell ref="A150:C150"/>
    <mergeCell ref="A151:C151"/>
    <mergeCell ref="A152:C152"/>
    <mergeCell ref="A154:J154"/>
    <mergeCell ref="A155:C155"/>
    <mergeCell ref="A156:C156"/>
    <mergeCell ref="A153:B153"/>
    <mergeCell ref="A157:C157"/>
    <mergeCell ref="A158:C158"/>
    <mergeCell ref="A159:C159"/>
    <mergeCell ref="A126:J126"/>
    <mergeCell ref="Q116:R116"/>
    <mergeCell ref="A117:C117"/>
    <mergeCell ref="Q117:R117"/>
    <mergeCell ref="A118:C118"/>
    <mergeCell ref="Q118:R118"/>
    <mergeCell ref="A119:C119"/>
    <mergeCell ref="A120:C120"/>
    <mergeCell ref="A134:C134"/>
    <mergeCell ref="A97:C97"/>
    <mergeCell ref="A98:C98"/>
    <mergeCell ref="A99:C99"/>
    <mergeCell ref="A100:C100"/>
    <mergeCell ref="A101:C101"/>
    <mergeCell ref="A121:C121"/>
    <mergeCell ref="A122:C122"/>
    <mergeCell ref="A124:C124"/>
    <mergeCell ref="A125:B125"/>
    <mergeCell ref="A114:C114"/>
    <mergeCell ref="A115:C115"/>
    <mergeCell ref="A116:C116"/>
    <mergeCell ref="A109:B109"/>
    <mergeCell ref="A111:C111"/>
    <mergeCell ref="A112:C112"/>
    <mergeCell ref="A113:C113"/>
    <mergeCell ref="A102:C102"/>
    <mergeCell ref="A123:C123"/>
    <mergeCell ref="A103:C103"/>
    <mergeCell ref="A104:C104"/>
    <mergeCell ref="A105:C105"/>
    <mergeCell ref="A108:J108"/>
    <mergeCell ref="A110:J110"/>
    <mergeCell ref="A96:C96"/>
    <mergeCell ref="A93:C93"/>
    <mergeCell ref="A94:C94"/>
    <mergeCell ref="A77:C77"/>
    <mergeCell ref="A79:C79"/>
    <mergeCell ref="A80:C80"/>
    <mergeCell ref="A81:C81"/>
    <mergeCell ref="A95:C95"/>
    <mergeCell ref="A78:C78"/>
    <mergeCell ref="A74:C74"/>
    <mergeCell ref="A75:C75"/>
    <mergeCell ref="A76:C76"/>
    <mergeCell ref="A71:C71"/>
    <mergeCell ref="A72:B72"/>
    <mergeCell ref="A73:C73"/>
    <mergeCell ref="A1:J1"/>
    <mergeCell ref="A6:C6"/>
    <mergeCell ref="A14:C14"/>
    <mergeCell ref="A17:C17"/>
    <mergeCell ref="E3:F3"/>
    <mergeCell ref="A64:C64"/>
    <mergeCell ref="A65:C65"/>
    <mergeCell ref="A18:C18"/>
    <mergeCell ref="A19:C19"/>
    <mergeCell ref="A21:C21"/>
    <mergeCell ref="A25:C25"/>
    <mergeCell ref="A33:C33"/>
    <mergeCell ref="A61:C61"/>
    <mergeCell ref="A62:C62"/>
    <mergeCell ref="A63:C63"/>
  </mergeCells>
  <pageMargins left="0.22" right="0.17" top="0.14000000000000001" bottom="0.2" header="0.2" footer="0.2"/>
  <pageSetup paperSize="5" scale="19" orientation="portrait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R190"/>
  <sheetViews>
    <sheetView view="pageBreakPreview" zoomScale="55" zoomScaleNormal="55" zoomScaleSheetLayoutView="55" workbookViewId="0">
      <selection activeCell="F18" sqref="F18:F19"/>
    </sheetView>
  </sheetViews>
  <sheetFormatPr defaultColWidth="22.33203125" defaultRowHeight="30.75" customHeight="1" x14ac:dyDescent="0.5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5" width="27.5546875" style="160" customWidth="1"/>
    <col min="6" max="6" width="25.77734375" style="160" customWidth="1"/>
    <col min="7" max="7" width="26.44140625" style="160" customWidth="1"/>
    <col min="8" max="8" width="29.77734375" style="161" customWidth="1"/>
    <col min="9" max="9" width="18.88671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30.75" customHeight="1" x14ac:dyDescent="0.65">
      <c r="A1" s="821" t="s">
        <v>115</v>
      </c>
      <c r="B1" s="822"/>
      <c r="C1" s="822"/>
      <c r="D1" s="822"/>
      <c r="E1" s="822"/>
      <c r="F1" s="822"/>
      <c r="G1" s="822"/>
      <c r="H1" s="822"/>
      <c r="I1" s="822"/>
      <c r="J1" s="823"/>
    </row>
    <row r="2" spans="1:15" s="57" customFormat="1" ht="30.75" customHeight="1" x14ac:dyDescent="0.5">
      <c r="A2" s="191" t="s">
        <v>357</v>
      </c>
      <c r="B2" s="262">
        <v>44560</v>
      </c>
      <c r="C2" s="348" t="s">
        <v>67</v>
      </c>
      <c r="D2" s="218">
        <v>0.61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30.75" customHeight="1" x14ac:dyDescent="0.5">
      <c r="A3" s="189"/>
      <c r="B3" s="221"/>
      <c r="C3" s="348" t="s">
        <v>118</v>
      </c>
      <c r="D3" s="219">
        <v>25</v>
      </c>
      <c r="E3" s="830" t="s">
        <v>119</v>
      </c>
      <c r="F3" s="831"/>
      <c r="G3" s="101"/>
      <c r="H3" s="102"/>
      <c r="I3" s="102"/>
      <c r="J3" s="222"/>
      <c r="K3" s="61"/>
      <c r="L3" s="58"/>
    </row>
    <row r="4" spans="1:15" s="57" customFormat="1" ht="30.75" customHeight="1" x14ac:dyDescent="0.5">
      <c r="A4" s="192"/>
      <c r="B4" s="223"/>
      <c r="C4" s="348" t="s">
        <v>120</v>
      </c>
      <c r="D4" s="218">
        <v>0.8</v>
      </c>
      <c r="E4" s="103"/>
      <c r="F4" s="103"/>
      <c r="G4" s="103"/>
      <c r="H4" s="103"/>
      <c r="I4" s="104"/>
      <c r="J4" s="222"/>
      <c r="K4" s="62"/>
      <c r="L4" s="58"/>
    </row>
    <row r="5" spans="1:15" ht="30.75" customHeight="1" x14ac:dyDescent="0.4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5" ht="30.75" customHeight="1" x14ac:dyDescent="0.4">
      <c r="A6" s="824" t="s">
        <v>128</v>
      </c>
      <c r="B6" s="825"/>
      <c r="C6" s="826"/>
      <c r="D6" s="110"/>
      <c r="E6" s="110"/>
      <c r="F6" s="110"/>
      <c r="G6" s="110"/>
      <c r="H6" s="111"/>
      <c r="I6" s="111"/>
      <c r="J6" s="174"/>
      <c r="K6" s="78"/>
      <c r="L6" s="66"/>
    </row>
    <row r="7" spans="1:15" ht="30.75" customHeight="1" thickBot="1" x14ac:dyDescent="0.45">
      <c r="A7" s="194" t="s">
        <v>129</v>
      </c>
      <c r="B7" s="195"/>
      <c r="C7" s="195"/>
      <c r="D7" s="151" t="s">
        <v>130</v>
      </c>
      <c r="E7" s="95">
        <f>'29'!F7</f>
        <v>70500</v>
      </c>
      <c r="F7" s="95">
        <f>E7+23500</f>
        <v>94000</v>
      </c>
      <c r="G7" s="112">
        <f>F7-E7</f>
        <v>23500</v>
      </c>
      <c r="H7" s="99">
        <f>G7+'29'!H7</f>
        <v>570516</v>
      </c>
      <c r="I7" s="113">
        <f>'1'!I7</f>
        <v>12000</v>
      </c>
      <c r="J7" s="175">
        <f>H7/DAY(B2)</f>
        <v>19017.2</v>
      </c>
      <c r="K7" s="172">
        <v>1375467</v>
      </c>
      <c r="L7" s="66"/>
      <c r="N7" s="87"/>
      <c r="O7" s="71"/>
    </row>
    <row r="8" spans="1:15" ht="30.75" customHeight="1" thickBot="1" x14ac:dyDescent="0.45">
      <c r="A8" s="196" t="s">
        <v>131</v>
      </c>
      <c r="B8" s="197"/>
      <c r="C8" s="198"/>
      <c r="D8" s="224" t="s">
        <v>24</v>
      </c>
      <c r="E8" s="95">
        <f>'29'!F8</f>
        <v>690610</v>
      </c>
      <c r="F8" s="95">
        <f>E8+23500</f>
        <v>714110</v>
      </c>
      <c r="G8" s="112">
        <f>F8-E8</f>
        <v>23500</v>
      </c>
      <c r="H8" s="99">
        <f>G8+'29'!H8</f>
        <v>573225</v>
      </c>
      <c r="I8" s="116"/>
      <c r="J8" s="175">
        <f>H8/DAY(B2)</f>
        <v>19107.5</v>
      </c>
      <c r="K8" s="172">
        <v>1715917</v>
      </c>
      <c r="L8" s="76">
        <v>1728480</v>
      </c>
      <c r="M8" s="87">
        <f>L8-K8</f>
        <v>12563</v>
      </c>
      <c r="N8" s="87"/>
      <c r="O8" s="71"/>
    </row>
    <row r="9" spans="1:15" ht="30.75" customHeight="1" x14ac:dyDescent="0.4">
      <c r="A9" s="199" t="s">
        <v>132</v>
      </c>
      <c r="B9" s="200"/>
      <c r="C9" s="200"/>
      <c r="D9" s="151" t="s">
        <v>130</v>
      </c>
      <c r="E9" s="95">
        <f>'29'!F9</f>
        <v>249852</v>
      </c>
      <c r="F9" s="601">
        <f>E9+14000</f>
        <v>263852</v>
      </c>
      <c r="G9" s="357">
        <f>F9-E9</f>
        <v>14000</v>
      </c>
      <c r="H9" s="99">
        <f>G9+'29'!H9</f>
        <v>362357</v>
      </c>
      <c r="I9" s="124">
        <f>I7-J7</f>
        <v>-7017.2000000000007</v>
      </c>
      <c r="J9" s="175">
        <f>H9/DAY(B2)</f>
        <v>12078.566666666668</v>
      </c>
      <c r="K9" s="79">
        <f>K8-100</f>
        <v>1715817</v>
      </c>
      <c r="L9" s="66"/>
      <c r="N9" s="87"/>
      <c r="O9" s="71"/>
    </row>
    <row r="10" spans="1:15" ht="30.75" customHeight="1" x14ac:dyDescent="0.4">
      <c r="A10" s="194" t="s">
        <v>133</v>
      </c>
      <c r="B10" s="195"/>
      <c r="C10" s="195"/>
      <c r="D10" s="151" t="s">
        <v>130</v>
      </c>
      <c r="E10" s="95">
        <f>'29'!F10</f>
        <v>108581</v>
      </c>
      <c r="F10" s="353">
        <f>E10+4500</f>
        <v>113081</v>
      </c>
      <c r="G10" s="112">
        <f t="shared" ref="G10:G12" si="0">F10-E10</f>
        <v>4500</v>
      </c>
      <c r="H10" s="99">
        <f>G10+'29'!H10</f>
        <v>167987</v>
      </c>
      <c r="I10" s="282"/>
      <c r="J10" s="175">
        <f>H10/DAY(B2)</f>
        <v>5599.5666666666666</v>
      </c>
      <c r="K10" s="79"/>
      <c r="L10" s="66"/>
      <c r="N10" s="87"/>
      <c r="O10" s="71"/>
    </row>
    <row r="11" spans="1:15" ht="30.75" customHeight="1" x14ac:dyDescent="0.4">
      <c r="A11" s="194" t="s">
        <v>134</v>
      </c>
      <c r="B11" s="195"/>
      <c r="C11" s="195"/>
      <c r="D11" s="151" t="s">
        <v>130</v>
      </c>
      <c r="E11" s="95">
        <f>'29'!F11</f>
        <v>37000</v>
      </c>
      <c r="F11" s="95">
        <v>37000</v>
      </c>
      <c r="G11" s="112">
        <f t="shared" si="0"/>
        <v>0</v>
      </c>
      <c r="H11" s="99">
        <f>G11+'29'!H11</f>
        <v>0</v>
      </c>
      <c r="I11" s="282"/>
      <c r="J11" s="175">
        <f>H11/DAY(B2)</f>
        <v>0</v>
      </c>
      <c r="K11" s="79"/>
      <c r="L11" s="66"/>
      <c r="N11" s="87"/>
      <c r="O11" s="71"/>
    </row>
    <row r="12" spans="1:15" ht="30.75" customHeight="1" x14ac:dyDescent="0.4">
      <c r="A12" s="194" t="s">
        <v>135</v>
      </c>
      <c r="B12" s="195"/>
      <c r="C12" s="195"/>
      <c r="D12" s="151" t="s">
        <v>130</v>
      </c>
      <c r="E12" s="95">
        <f>'29'!F12</f>
        <v>40010</v>
      </c>
      <c r="F12" s="117">
        <v>40010</v>
      </c>
      <c r="G12" s="112">
        <f t="shared" si="0"/>
        <v>0</v>
      </c>
      <c r="H12" s="99">
        <f>G12+'29'!H12</f>
        <v>0</v>
      </c>
      <c r="I12" s="282"/>
      <c r="J12" s="175">
        <f>H12/DAY(B2)</f>
        <v>0</v>
      </c>
      <c r="K12" s="79"/>
      <c r="L12" s="66"/>
      <c r="N12" s="87"/>
      <c r="O12" s="71"/>
    </row>
    <row r="13" spans="1:15" ht="30.75" customHeight="1" x14ac:dyDescent="0.5">
      <c r="A13" s="201" t="s">
        <v>136</v>
      </c>
      <c r="B13" s="202"/>
      <c r="C13" s="202"/>
      <c r="D13" s="151"/>
      <c r="E13" s="95"/>
      <c r="F13" s="95"/>
      <c r="G13" s="119">
        <f>G9+G10+G11+G12</f>
        <v>18500</v>
      </c>
      <c r="H13" s="99">
        <f>G13+'29'!H13</f>
        <v>510878.74999999988</v>
      </c>
      <c r="I13" s="120">
        <f>G7-G13</f>
        <v>5000</v>
      </c>
      <c r="J13" s="175">
        <f>H13/DAY(B2)</f>
        <v>17029.291666666664</v>
      </c>
      <c r="K13" s="79"/>
      <c r="L13" s="66"/>
      <c r="N13" s="87"/>
      <c r="O13" s="71"/>
    </row>
    <row r="14" spans="1:15" ht="30.75" customHeight="1" x14ac:dyDescent="0.5">
      <c r="A14" s="827" t="s">
        <v>137</v>
      </c>
      <c r="B14" s="828"/>
      <c r="C14" s="829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5" ht="30.75" customHeight="1" x14ac:dyDescent="0.5">
      <c r="A15" s="345" t="s">
        <v>138</v>
      </c>
      <c r="B15" s="205"/>
      <c r="C15" s="205"/>
      <c r="D15" s="151" t="s">
        <v>139</v>
      </c>
      <c r="E15" s="95">
        <f>'29'!F15</f>
        <v>1905165</v>
      </c>
      <c r="F15" s="123">
        <f>E15+1100</f>
        <v>1906265</v>
      </c>
      <c r="G15" s="112">
        <f>(F15-E15)</f>
        <v>1100</v>
      </c>
      <c r="H15" s="99">
        <f>G15+'29'!H15</f>
        <v>27835</v>
      </c>
      <c r="I15" s="113">
        <f>'1'!I15</f>
        <v>800</v>
      </c>
      <c r="J15" s="175">
        <f>H15/DAY(B2)</f>
        <v>927.83333333333337</v>
      </c>
      <c r="K15" s="79"/>
      <c r="L15" s="66"/>
      <c r="N15" s="87"/>
      <c r="O15" s="71"/>
    </row>
    <row r="16" spans="1:15" ht="30.75" customHeight="1" x14ac:dyDescent="0.4">
      <c r="A16" s="203"/>
      <c r="B16" s="204"/>
      <c r="C16" s="204"/>
      <c r="D16" s="152"/>
      <c r="E16" s="123"/>
      <c r="F16" s="123"/>
      <c r="G16" s="112"/>
      <c r="H16" s="124"/>
      <c r="I16" s="120">
        <f>I15-J15</f>
        <v>-127.83333333333337</v>
      </c>
      <c r="J16" s="176"/>
      <c r="K16" s="79"/>
      <c r="L16" s="66"/>
      <c r="N16" s="87"/>
      <c r="O16" s="71"/>
    </row>
    <row r="17" spans="1:15" ht="30.75" customHeight="1" x14ac:dyDescent="0.5">
      <c r="A17" s="827" t="s">
        <v>140</v>
      </c>
      <c r="B17" s="828"/>
      <c r="C17" s="829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5" ht="30.75" customHeight="1" x14ac:dyDescent="0.5">
      <c r="A18" s="818" t="s">
        <v>141</v>
      </c>
      <c r="B18" s="819"/>
      <c r="C18" s="820"/>
      <c r="D18" s="151" t="s">
        <v>142</v>
      </c>
      <c r="E18" s="95">
        <f>'29'!F18</f>
        <v>48</v>
      </c>
      <c r="F18" s="122">
        <f>E18+12</f>
        <v>60</v>
      </c>
      <c r="G18" s="119">
        <f>F18*10</f>
        <v>600</v>
      </c>
      <c r="H18" s="99">
        <f>G18+'29'!H18</f>
        <v>4670</v>
      </c>
      <c r="I18" s="113">
        <f>'1'!I18</f>
        <v>65</v>
      </c>
      <c r="J18" s="175">
        <f>H18/DAY(B2)</f>
        <v>155.66666666666666</v>
      </c>
      <c r="K18" s="79"/>
      <c r="L18" s="66"/>
      <c r="N18" s="87"/>
      <c r="O18" s="71"/>
    </row>
    <row r="19" spans="1:15" ht="30.75" customHeight="1" x14ac:dyDescent="0.5">
      <c r="A19" s="818" t="s">
        <v>69</v>
      </c>
      <c r="B19" s="819"/>
      <c r="C19" s="820"/>
      <c r="D19" s="151" t="s">
        <v>142</v>
      </c>
      <c r="E19" s="95">
        <f>'29'!F19</f>
        <v>153783</v>
      </c>
      <c r="F19" s="122">
        <f>E19+55</f>
        <v>153838</v>
      </c>
      <c r="G19" s="112">
        <f t="shared" ref="G19" si="1">F19-E19</f>
        <v>55</v>
      </c>
      <c r="H19" s="99">
        <f>G19+'29'!H19</f>
        <v>1613</v>
      </c>
      <c r="I19" s="335"/>
      <c r="J19" s="175">
        <f>H19/DAY(B2)</f>
        <v>53.766666666666666</v>
      </c>
      <c r="K19" s="79"/>
      <c r="L19" s="66"/>
      <c r="N19" s="87"/>
      <c r="O19" s="71"/>
    </row>
    <row r="20" spans="1:15" ht="30.75" customHeight="1" x14ac:dyDescent="0.5">
      <c r="A20" s="201" t="s">
        <v>143</v>
      </c>
      <c r="B20" s="202"/>
      <c r="C20" s="202"/>
      <c r="D20" s="126"/>
      <c r="E20" s="126"/>
      <c r="F20" s="126"/>
      <c r="G20" s="127">
        <f>G18+G19</f>
        <v>655</v>
      </c>
      <c r="H20" s="99">
        <f>G20+'29'!H20</f>
        <v>6283</v>
      </c>
      <c r="I20" s="336">
        <f>I18-J20</f>
        <v>-144.43333333333334</v>
      </c>
      <c r="J20" s="175">
        <f>H20/DAY(B2)</f>
        <v>209.43333333333334</v>
      </c>
      <c r="K20" s="79"/>
      <c r="L20" s="66"/>
      <c r="N20" s="87"/>
      <c r="O20" s="71"/>
    </row>
    <row r="21" spans="1:15" ht="30.75" customHeight="1" x14ac:dyDescent="0.5">
      <c r="A21" s="827" t="s">
        <v>144</v>
      </c>
      <c r="B21" s="828"/>
      <c r="C21" s="829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5" ht="30.75" customHeight="1" x14ac:dyDescent="0.5">
      <c r="A22" s="345" t="s">
        <v>145</v>
      </c>
      <c r="B22" s="205"/>
      <c r="C22" s="205"/>
      <c r="D22" s="151" t="s">
        <v>146</v>
      </c>
      <c r="E22" s="95">
        <f>'29'!F22</f>
        <v>2970</v>
      </c>
      <c r="F22" s="122">
        <v>2970</v>
      </c>
      <c r="G22" s="119">
        <f t="shared" ref="G22" si="2">(F22-E22)</f>
        <v>0</v>
      </c>
      <c r="H22" s="99">
        <f>G22+'29'!H22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30.75" customHeight="1" x14ac:dyDescent="0.5">
      <c r="A23" s="345" t="s">
        <v>147</v>
      </c>
      <c r="B23" s="205"/>
      <c r="C23" s="205"/>
      <c r="D23" s="151" t="s">
        <v>146</v>
      </c>
      <c r="E23" s="95">
        <f>'29'!F23</f>
        <v>2000</v>
      </c>
      <c r="F23" s="122">
        <v>2000</v>
      </c>
      <c r="G23" s="119">
        <v>0</v>
      </c>
      <c r="H23" s="99">
        <f>G23+'29'!H23</f>
        <v>110</v>
      </c>
      <c r="I23" s="118"/>
      <c r="J23" s="175">
        <f>H23/DAY(B2)</f>
        <v>3.6666666666666665</v>
      </c>
      <c r="K23" s="79"/>
      <c r="L23" s="66"/>
      <c r="N23" s="87"/>
      <c r="O23" s="71"/>
    </row>
    <row r="24" spans="1:15" ht="30.75" customHeight="1" x14ac:dyDescent="0.4">
      <c r="A24" s="206" t="s">
        <v>148</v>
      </c>
      <c r="B24" s="207"/>
      <c r="C24" s="207"/>
      <c r="D24" s="146" t="s">
        <v>146</v>
      </c>
      <c r="E24" s="95">
        <f>'29'!F24</f>
        <v>4970</v>
      </c>
      <c r="F24" s="128">
        <v>4970</v>
      </c>
      <c r="G24" s="119">
        <v>0</v>
      </c>
      <c r="H24" s="99">
        <f>G24+'29'!H24</f>
        <v>110</v>
      </c>
      <c r="I24" s="118"/>
      <c r="J24" s="175">
        <f>H24/DAY(B2)</f>
        <v>3.6666666666666665</v>
      </c>
      <c r="K24" s="79"/>
      <c r="L24" s="66"/>
      <c r="N24" s="87"/>
      <c r="O24" s="71"/>
    </row>
    <row r="25" spans="1:15" s="88" customFormat="1" ht="30.75" customHeight="1" x14ac:dyDescent="0.35">
      <c r="A25" s="832" t="s">
        <v>149</v>
      </c>
      <c r="B25" s="833"/>
      <c r="C25" s="834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5" s="88" customFormat="1" ht="30.75" customHeight="1" x14ac:dyDescent="0.5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/>
      <c r="I26" s="134"/>
      <c r="J26" s="175"/>
      <c r="K26" s="64"/>
      <c r="L26" s="89"/>
      <c r="N26" s="87"/>
      <c r="O26" s="71"/>
    </row>
    <row r="27" spans="1:15" s="88" customFormat="1" ht="30.75" customHeight="1" x14ac:dyDescent="0.5">
      <c r="A27" s="208" t="s">
        <v>5</v>
      </c>
      <c r="B27" s="209"/>
      <c r="C27" s="210"/>
      <c r="D27" s="226" t="s">
        <v>24</v>
      </c>
      <c r="E27" s="135">
        <f>G8</f>
        <v>23500</v>
      </c>
      <c r="F27" s="136">
        <v>9</v>
      </c>
      <c r="G27" s="137">
        <f>E27*F27</f>
        <v>211500</v>
      </c>
      <c r="H27" s="99">
        <f>G27+'29'!H27</f>
        <v>5159025</v>
      </c>
      <c r="I27" s="138"/>
      <c r="J27" s="175">
        <f>H27/DAY(B2)</f>
        <v>171967.5</v>
      </c>
      <c r="K27" s="63"/>
      <c r="L27" s="89"/>
      <c r="N27" s="87"/>
      <c r="O27" s="71"/>
    </row>
    <row r="28" spans="1:15" s="88" customFormat="1" ht="30.75" customHeight="1" x14ac:dyDescent="0.5">
      <c r="A28" s="208" t="s">
        <v>152</v>
      </c>
      <c r="B28" s="209"/>
      <c r="C28" s="210"/>
      <c r="D28" s="226" t="s">
        <v>153</v>
      </c>
      <c r="E28" s="139">
        <f>G15</f>
        <v>1100</v>
      </c>
      <c r="F28" s="136">
        <v>52</v>
      </c>
      <c r="G28" s="137">
        <f>E28*F28</f>
        <v>57200</v>
      </c>
      <c r="H28" s="99">
        <f>G28+'29'!H28</f>
        <v>1447420</v>
      </c>
      <c r="I28" s="140"/>
      <c r="J28" s="175">
        <f>H28/DAY(B2)</f>
        <v>48247.333333333336</v>
      </c>
      <c r="K28" s="63"/>
      <c r="L28" s="89"/>
      <c r="N28" s="87"/>
      <c r="O28" s="71"/>
    </row>
    <row r="29" spans="1:15" s="88" customFormat="1" ht="30.75" customHeight="1" x14ac:dyDescent="0.5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>E29*F29</f>
        <v>0</v>
      </c>
      <c r="H29" s="99">
        <f>G29+'29'!H29</f>
        <v>7590</v>
      </c>
      <c r="I29" s="140"/>
      <c r="J29" s="175">
        <f>H29/DAY(B2)</f>
        <v>253</v>
      </c>
      <c r="K29" s="63"/>
      <c r="L29" s="89"/>
      <c r="N29" s="87"/>
      <c r="O29" s="71"/>
    </row>
    <row r="30" spans="1:15" s="88" customFormat="1" ht="30.75" customHeight="1" x14ac:dyDescent="0.5">
      <c r="A30" s="208" t="s">
        <v>156</v>
      </c>
      <c r="B30" s="209"/>
      <c r="C30" s="210"/>
      <c r="D30" s="226" t="s">
        <v>157</v>
      </c>
      <c r="E30" s="141">
        <f>G19</f>
        <v>55</v>
      </c>
      <c r="F30" s="136">
        <v>146</v>
      </c>
      <c r="G30" s="137">
        <f>E30*F30</f>
        <v>8030</v>
      </c>
      <c r="H30" s="99">
        <f>G30+'29'!H30</f>
        <v>235498</v>
      </c>
      <c r="I30" s="140"/>
      <c r="J30" s="175">
        <f>H30/DAY(B2)</f>
        <v>7849.9333333333334</v>
      </c>
      <c r="K30" s="63"/>
      <c r="L30" s="89"/>
      <c r="N30" s="87"/>
      <c r="O30" s="71"/>
    </row>
    <row r="31" spans="1:15" s="88" customFormat="1" ht="30.75" customHeight="1" x14ac:dyDescent="0.5">
      <c r="A31" s="208" t="s">
        <v>158</v>
      </c>
      <c r="B31" s="209"/>
      <c r="C31" s="210"/>
      <c r="D31" s="226" t="s">
        <v>142</v>
      </c>
      <c r="E31" s="141">
        <f>G18</f>
        <v>600</v>
      </c>
      <c r="F31" s="136">
        <v>80</v>
      </c>
      <c r="G31" s="137">
        <f>E31*F31</f>
        <v>48000</v>
      </c>
      <c r="H31" s="99">
        <f>G31+'29'!H31</f>
        <v>373600</v>
      </c>
      <c r="I31" s="140"/>
      <c r="J31" s="175">
        <f>H31/DAY(B2)</f>
        <v>12453.333333333334</v>
      </c>
      <c r="K31" s="63"/>
      <c r="L31" s="89"/>
      <c r="N31" s="87"/>
      <c r="O31" s="71"/>
    </row>
    <row r="32" spans="1:15" s="88" customFormat="1" ht="30.75" customHeight="1" x14ac:dyDescent="0.5">
      <c r="A32" s="211" t="s">
        <v>159</v>
      </c>
      <c r="B32" s="212"/>
      <c r="C32" s="213"/>
      <c r="D32" s="142"/>
      <c r="E32" s="142"/>
      <c r="F32" s="142"/>
      <c r="G32" s="143">
        <f>G27+G28+G29+G30+G31</f>
        <v>324730</v>
      </c>
      <c r="H32" s="99">
        <f>G32+'29'!H32</f>
        <v>7223133</v>
      </c>
      <c r="I32" s="144"/>
      <c r="J32" s="175">
        <f>H32/DAY(B2)</f>
        <v>240771.1</v>
      </c>
      <c r="K32" s="63"/>
      <c r="L32" s="89"/>
      <c r="N32" s="87"/>
      <c r="O32" s="71"/>
    </row>
    <row r="33" spans="1:15" ht="30.75" customHeight="1" x14ac:dyDescent="0.35">
      <c r="A33" s="835" t="s">
        <v>331</v>
      </c>
      <c r="B33" s="836"/>
      <c r="C33" s="836"/>
      <c r="D33" s="337"/>
      <c r="E33" s="337"/>
      <c r="F33" s="337"/>
      <c r="G33" s="337"/>
      <c r="H33" s="337"/>
      <c r="I33" s="337"/>
      <c r="J33" s="338"/>
      <c r="K33" s="79"/>
      <c r="L33" s="66"/>
      <c r="N33" s="87"/>
      <c r="O33" s="71"/>
    </row>
    <row r="34" spans="1:15" ht="30.75" customHeight="1" x14ac:dyDescent="0.5">
      <c r="A34" s="214" t="s">
        <v>160</v>
      </c>
      <c r="B34" s="349"/>
      <c r="C34" s="349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30.75" customHeight="1" x14ac:dyDescent="0.4">
      <c r="A35" s="194" t="s">
        <v>161</v>
      </c>
      <c r="B35" s="195"/>
      <c r="C35" s="195"/>
      <c r="D35" s="151" t="s">
        <v>130</v>
      </c>
      <c r="E35" s="95">
        <f>'29'!F35</f>
        <v>148886.99</v>
      </c>
      <c r="F35" s="145">
        <v>150949</v>
      </c>
      <c r="G35" s="112">
        <f t="shared" ref="G35:G46" si="3">F35-E35</f>
        <v>2062.0100000000093</v>
      </c>
      <c r="H35" s="99">
        <f>G35+'29'!H35</f>
        <v>166149</v>
      </c>
      <c r="I35" s="95"/>
      <c r="J35" s="175">
        <f>H35/DAY(B2)</f>
        <v>5538.3</v>
      </c>
      <c r="K35" s="79"/>
      <c r="L35" s="66"/>
      <c r="N35" s="87"/>
      <c r="O35" s="71"/>
    </row>
    <row r="36" spans="1:15" ht="30.75" customHeight="1" x14ac:dyDescent="0.4">
      <c r="A36" s="194" t="s">
        <v>162</v>
      </c>
      <c r="B36" s="195"/>
      <c r="C36" s="195"/>
      <c r="D36" s="151" t="s">
        <v>130</v>
      </c>
      <c r="E36" s="95">
        <f>'29'!F36</f>
        <v>19822.169999999998</v>
      </c>
      <c r="F36" s="145">
        <v>20670</v>
      </c>
      <c r="G36" s="112">
        <f t="shared" si="3"/>
        <v>847.83000000000175</v>
      </c>
      <c r="H36" s="99">
        <f>G36+'29'!H36</f>
        <v>-857</v>
      </c>
      <c r="I36" s="95"/>
      <c r="J36" s="175">
        <f>H36/DAY(B2)</f>
        <v>-28.566666666666666</v>
      </c>
      <c r="K36" s="79"/>
      <c r="L36" s="66"/>
      <c r="N36" s="87"/>
      <c r="O36" s="344"/>
    </row>
    <row r="37" spans="1:15" ht="30.75" customHeight="1" x14ac:dyDescent="0.4">
      <c r="A37" s="194" t="s">
        <v>163</v>
      </c>
      <c r="B37" s="195"/>
      <c r="C37" s="195"/>
      <c r="D37" s="151" t="s">
        <v>130</v>
      </c>
      <c r="E37" s="95">
        <f>'29'!F37</f>
        <v>192189.71</v>
      </c>
      <c r="F37" s="145">
        <v>193788</v>
      </c>
      <c r="G37" s="112">
        <f t="shared" si="3"/>
        <v>1598.2900000000081</v>
      </c>
      <c r="H37" s="99">
        <f>G37+'29'!H37</f>
        <v>206000</v>
      </c>
      <c r="I37" s="95"/>
      <c r="J37" s="175">
        <f>H37/DAY(B2)</f>
        <v>6866.666666666667</v>
      </c>
      <c r="K37" s="79"/>
      <c r="L37" s="66"/>
      <c r="N37" s="87"/>
      <c r="O37" s="234"/>
    </row>
    <row r="38" spans="1:15" ht="30.75" customHeight="1" x14ac:dyDescent="0.4">
      <c r="A38" s="194" t="s">
        <v>164</v>
      </c>
      <c r="B38" s="195"/>
      <c r="C38" s="195"/>
      <c r="D38" s="151" t="s">
        <v>130</v>
      </c>
      <c r="E38" s="95">
        <f>'29'!F38</f>
        <v>228822.07</v>
      </c>
      <c r="F38" s="108">
        <v>230731</v>
      </c>
      <c r="G38" s="112">
        <f t="shared" si="3"/>
        <v>1908.929999999993</v>
      </c>
      <c r="H38" s="99">
        <f>G38+'29'!H38</f>
        <v>243931</v>
      </c>
      <c r="I38" s="95"/>
      <c r="J38" s="175">
        <f>H38/DAY(B2)</f>
        <v>8131.0333333333338</v>
      </c>
      <c r="K38" s="79"/>
      <c r="L38" s="66"/>
      <c r="N38" s="87"/>
      <c r="O38" s="71"/>
    </row>
    <row r="39" spans="1:15" ht="30.75" customHeight="1" x14ac:dyDescent="0.4">
      <c r="A39" s="194" t="s">
        <v>165</v>
      </c>
      <c r="B39" s="195"/>
      <c r="C39" s="195"/>
      <c r="D39" s="151" t="s">
        <v>130</v>
      </c>
      <c r="E39" s="95">
        <f>'29'!F39</f>
        <v>405604.75</v>
      </c>
      <c r="F39" s="145">
        <v>408317</v>
      </c>
      <c r="G39" s="112">
        <f t="shared" si="3"/>
        <v>2712.25</v>
      </c>
      <c r="H39" s="99">
        <f>G39+'29'!H39</f>
        <v>429999</v>
      </c>
      <c r="I39" s="95"/>
      <c r="J39" s="175">
        <f>H39/DAY(B2)</f>
        <v>14333.3</v>
      </c>
      <c r="K39" s="79"/>
      <c r="L39" s="66"/>
      <c r="N39" s="87"/>
      <c r="O39" s="71"/>
    </row>
    <row r="40" spans="1:15" ht="30.75" customHeight="1" x14ac:dyDescent="0.4">
      <c r="A40" s="215" t="s">
        <v>166</v>
      </c>
      <c r="B40" s="216"/>
      <c r="C40" s="216"/>
      <c r="D40" s="151" t="s">
        <v>130</v>
      </c>
      <c r="E40" s="95">
        <f>'29'!F40</f>
        <v>5448.67</v>
      </c>
      <c r="F40" s="145">
        <v>5609</v>
      </c>
      <c r="G40" s="112">
        <f t="shared" si="3"/>
        <v>160.32999999999993</v>
      </c>
      <c r="H40" s="99">
        <f>G40+'29'!H40</f>
        <v>-1</v>
      </c>
      <c r="I40" s="95"/>
      <c r="J40" s="175">
        <f>H40/DAY(B2)</f>
        <v>-3.3333333333333333E-2</v>
      </c>
      <c r="K40" s="80"/>
      <c r="L40" s="66"/>
      <c r="N40" s="87"/>
      <c r="O40" s="71"/>
    </row>
    <row r="41" spans="1:15" ht="30.75" customHeight="1" x14ac:dyDescent="0.4">
      <c r="A41" s="194" t="s">
        <v>167</v>
      </c>
      <c r="B41" s="195"/>
      <c r="C41" s="195"/>
      <c r="D41" s="151" t="s">
        <v>130</v>
      </c>
      <c r="E41" s="95">
        <f>'29'!F41</f>
        <v>0</v>
      </c>
      <c r="F41" s="145">
        <v>0</v>
      </c>
      <c r="G41" s="112">
        <f t="shared" si="3"/>
        <v>0</v>
      </c>
      <c r="H41" s="99">
        <f>G41+'29'!H41</f>
        <v>0</v>
      </c>
      <c r="I41" s="95"/>
      <c r="J41" s="175">
        <f>H41/DAY(B2)</f>
        <v>0</v>
      </c>
      <c r="K41" s="79"/>
      <c r="L41" s="66"/>
      <c r="N41" s="87"/>
      <c r="O41" s="71"/>
    </row>
    <row r="42" spans="1:15" ht="30.75" customHeight="1" x14ac:dyDescent="0.4">
      <c r="A42" s="194" t="s">
        <v>168</v>
      </c>
      <c r="B42" s="195"/>
      <c r="C42" s="195"/>
      <c r="D42" s="151" t="s">
        <v>130</v>
      </c>
      <c r="E42" s="95">
        <f>'29'!F42</f>
        <v>71900.37</v>
      </c>
      <c r="F42" s="145">
        <v>73809</v>
      </c>
      <c r="G42" s="112">
        <f t="shared" si="3"/>
        <v>1908.6300000000047</v>
      </c>
      <c r="H42" s="99">
        <f>G42+'29'!H42</f>
        <v>0</v>
      </c>
      <c r="I42" s="95"/>
      <c r="J42" s="175">
        <f>H42/DAY(B2)</f>
        <v>0</v>
      </c>
      <c r="K42" s="79"/>
      <c r="L42" s="66"/>
      <c r="N42" s="87"/>
      <c r="O42" s="71"/>
    </row>
    <row r="43" spans="1:15" ht="30.75" customHeight="1" x14ac:dyDescent="0.4">
      <c r="A43" s="194" t="s">
        <v>169</v>
      </c>
      <c r="B43" s="195"/>
      <c r="C43" s="195"/>
      <c r="D43" s="151" t="s">
        <v>130</v>
      </c>
      <c r="E43" s="95">
        <f>'29'!F43</f>
        <v>41991.99</v>
      </c>
      <c r="F43" s="145">
        <v>44654</v>
      </c>
      <c r="G43" s="112">
        <f t="shared" si="3"/>
        <v>2662.010000000002</v>
      </c>
      <c r="H43" s="99">
        <f>G43+'29'!H43</f>
        <v>-2607</v>
      </c>
      <c r="I43" s="95"/>
      <c r="J43" s="175">
        <f>H43/DAY(B2)</f>
        <v>-86.9</v>
      </c>
      <c r="K43" s="79"/>
      <c r="L43" s="66"/>
      <c r="N43" s="87"/>
      <c r="O43" s="71"/>
    </row>
    <row r="44" spans="1:15" ht="30.75" customHeight="1" x14ac:dyDescent="0.4">
      <c r="A44" s="194" t="s">
        <v>170</v>
      </c>
      <c r="B44" s="195"/>
      <c r="C44" s="195"/>
      <c r="D44" s="151" t="s">
        <v>130</v>
      </c>
      <c r="E44" s="95">
        <f>'29'!F44</f>
        <v>0</v>
      </c>
      <c r="F44" s="145">
        <v>0</v>
      </c>
      <c r="G44" s="112">
        <f t="shared" si="3"/>
        <v>0</v>
      </c>
      <c r="H44" s="99">
        <f>G44+'29'!H44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30.75" customHeight="1" x14ac:dyDescent="0.4">
      <c r="A45" s="194" t="s">
        <v>171</v>
      </c>
      <c r="B45" s="195"/>
      <c r="C45" s="195"/>
      <c r="D45" s="151" t="s">
        <v>130</v>
      </c>
      <c r="E45" s="95">
        <f>'29'!F45</f>
        <v>0</v>
      </c>
      <c r="F45" s="145">
        <v>0</v>
      </c>
      <c r="G45" s="112">
        <f t="shared" si="3"/>
        <v>0</v>
      </c>
      <c r="H45" s="99">
        <f>G45+'29'!H45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30.75" customHeight="1" x14ac:dyDescent="0.4">
      <c r="A46" s="194" t="s">
        <v>172</v>
      </c>
      <c r="B46" s="195"/>
      <c r="C46" s="195"/>
      <c r="D46" s="151" t="s">
        <v>130</v>
      </c>
      <c r="E46" s="95">
        <f>'29'!F46</f>
        <v>0</v>
      </c>
      <c r="F46" s="145">
        <v>0</v>
      </c>
      <c r="G46" s="112">
        <f t="shared" si="3"/>
        <v>0</v>
      </c>
      <c r="H46" s="99">
        <f>G46+'29'!H46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30.75" customHeight="1" x14ac:dyDescent="0.5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13860.280000000019</v>
      </c>
      <c r="H47" s="99">
        <f>G47+'29'!H47</f>
        <v>1042614</v>
      </c>
      <c r="I47" s="95"/>
      <c r="J47" s="175">
        <f>H47/DAY(B2)</f>
        <v>34753.800000000003</v>
      </c>
      <c r="K47" s="79"/>
      <c r="L47" s="66"/>
      <c r="N47" s="87"/>
      <c r="O47" s="71"/>
    </row>
    <row r="48" spans="1:15" ht="30.75" customHeight="1" x14ac:dyDescent="0.5">
      <c r="A48" s="214" t="s">
        <v>174</v>
      </c>
      <c r="B48" s="349"/>
      <c r="C48" s="349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30.75" customHeight="1" x14ac:dyDescent="0.4">
      <c r="A49" s="194" t="s">
        <v>161</v>
      </c>
      <c r="B49" s="217"/>
      <c r="C49" s="217"/>
      <c r="D49" s="151" t="s">
        <v>130</v>
      </c>
      <c r="E49" s="95">
        <f>'29'!F49</f>
        <v>269374.25</v>
      </c>
      <c r="F49" s="145">
        <v>270808</v>
      </c>
      <c r="G49" s="112">
        <f t="shared" ref="G49:G58" si="4">F49-E49</f>
        <v>1433.75</v>
      </c>
      <c r="H49" s="99">
        <f>G49+'29'!H49</f>
        <v>283929</v>
      </c>
      <c r="I49" s="95"/>
      <c r="J49" s="175">
        <f>H49/DAY(B2)</f>
        <v>9464.2999999999993</v>
      </c>
      <c r="K49" s="79"/>
      <c r="L49" s="66"/>
      <c r="N49" s="87"/>
      <c r="O49" s="71"/>
    </row>
    <row r="50" spans="1:15" ht="30.75" customHeight="1" x14ac:dyDescent="0.4">
      <c r="A50" s="194" t="s">
        <v>175</v>
      </c>
      <c r="B50" s="217"/>
      <c r="C50" s="217"/>
      <c r="D50" s="151" t="s">
        <v>130</v>
      </c>
      <c r="E50" s="95">
        <f>'29'!F50</f>
        <v>22524.6</v>
      </c>
      <c r="F50" s="145">
        <v>23571</v>
      </c>
      <c r="G50" s="112">
        <f t="shared" si="4"/>
        <v>1046.4000000000015</v>
      </c>
      <c r="H50" s="99">
        <f>G50+'29'!H50</f>
        <v>-1079</v>
      </c>
      <c r="I50" s="95"/>
      <c r="J50" s="175">
        <f>H50/DAY(B2)</f>
        <v>-35.966666666666669</v>
      </c>
      <c r="K50" s="79"/>
      <c r="L50" s="66"/>
      <c r="N50" s="87"/>
      <c r="O50" s="71"/>
    </row>
    <row r="51" spans="1:15" ht="30.75" customHeight="1" x14ac:dyDescent="0.4">
      <c r="A51" s="194" t="s">
        <v>163</v>
      </c>
      <c r="B51" s="217"/>
      <c r="C51" s="217"/>
      <c r="D51" s="151" t="s">
        <v>130</v>
      </c>
      <c r="E51" s="95">
        <f>'29'!F51</f>
        <v>0</v>
      </c>
      <c r="F51" s="145">
        <v>0</v>
      </c>
      <c r="G51" s="112">
        <f t="shared" si="4"/>
        <v>0</v>
      </c>
      <c r="H51" s="99">
        <f>G51+'29'!H51</f>
        <v>0</v>
      </c>
      <c r="I51" s="95"/>
      <c r="J51" s="175">
        <f>H51/DAY(B2)</f>
        <v>0</v>
      </c>
      <c r="K51" s="79"/>
      <c r="L51" s="66"/>
      <c r="N51" s="87"/>
      <c r="O51" s="71"/>
    </row>
    <row r="52" spans="1:15" ht="30.75" customHeight="1" x14ac:dyDescent="0.4">
      <c r="A52" s="194" t="s">
        <v>176</v>
      </c>
      <c r="B52" s="217"/>
      <c r="C52" s="217"/>
      <c r="D52" s="151" t="s">
        <v>130</v>
      </c>
      <c r="E52" s="95">
        <f>'29'!F52</f>
        <v>0</v>
      </c>
      <c r="F52" s="145">
        <v>0</v>
      </c>
      <c r="G52" s="112">
        <f t="shared" si="4"/>
        <v>0</v>
      </c>
      <c r="H52" s="99">
        <f>G52+'29'!H52</f>
        <v>0</v>
      </c>
      <c r="I52" s="95"/>
      <c r="J52" s="175">
        <f>H52/DAY(B2)</f>
        <v>0</v>
      </c>
      <c r="K52" s="79"/>
      <c r="L52" s="66"/>
      <c r="N52" s="87"/>
      <c r="O52" s="71"/>
    </row>
    <row r="53" spans="1:15" ht="30.75" customHeight="1" x14ac:dyDescent="0.4">
      <c r="A53" s="194" t="s">
        <v>165</v>
      </c>
      <c r="B53" s="217"/>
      <c r="C53" s="217"/>
      <c r="D53" s="151" t="s">
        <v>130</v>
      </c>
      <c r="E53" s="95">
        <f>'29'!F53</f>
        <v>0</v>
      </c>
      <c r="F53" s="145">
        <v>0</v>
      </c>
      <c r="G53" s="112">
        <f t="shared" si="4"/>
        <v>0</v>
      </c>
      <c r="H53" s="99">
        <f>G53+'29'!H53</f>
        <v>0</v>
      </c>
      <c r="I53" s="95"/>
      <c r="J53" s="175">
        <f>H53/DAY(B2)</f>
        <v>0</v>
      </c>
      <c r="K53" s="79"/>
      <c r="L53" s="66"/>
      <c r="N53" s="87"/>
      <c r="O53" s="71"/>
    </row>
    <row r="54" spans="1:15" ht="30.75" customHeight="1" x14ac:dyDescent="0.4">
      <c r="A54" s="194" t="s">
        <v>177</v>
      </c>
      <c r="B54" s="217"/>
      <c r="C54" s="217"/>
      <c r="D54" s="151" t="s">
        <v>130</v>
      </c>
      <c r="E54" s="95">
        <f>'29'!F54</f>
        <v>3174.76</v>
      </c>
      <c r="F54" s="145">
        <v>3179</v>
      </c>
      <c r="G54" s="112">
        <f t="shared" si="4"/>
        <v>4.2399999999997817</v>
      </c>
      <c r="H54" s="99">
        <f>G54+'29'!H54</f>
        <v>4946.08</v>
      </c>
      <c r="I54" s="95"/>
      <c r="J54" s="175">
        <f>H54/DAY(B2)</f>
        <v>164.86933333333334</v>
      </c>
      <c r="K54" s="79"/>
      <c r="L54" s="66"/>
      <c r="N54" s="87"/>
      <c r="O54" s="71"/>
    </row>
    <row r="55" spans="1:15" ht="30.75" customHeight="1" x14ac:dyDescent="0.4">
      <c r="A55" s="194" t="s">
        <v>178</v>
      </c>
      <c r="B55" s="217"/>
      <c r="C55" s="217"/>
      <c r="D55" s="151" t="s">
        <v>130</v>
      </c>
      <c r="E55" s="95">
        <f>'29'!F55</f>
        <v>0</v>
      </c>
      <c r="F55" s="376">
        <v>2254</v>
      </c>
      <c r="G55" s="112">
        <f t="shared" si="4"/>
        <v>2254</v>
      </c>
      <c r="H55" s="99">
        <f>G55+'29'!H55</f>
        <v>-1257</v>
      </c>
      <c r="I55" s="95"/>
      <c r="J55" s="175">
        <f>H55/DAY(B2)</f>
        <v>-41.9</v>
      </c>
      <c r="K55" s="79"/>
      <c r="L55" s="66"/>
      <c r="N55" s="87"/>
      <c r="O55" s="71"/>
    </row>
    <row r="56" spans="1:15" ht="30.75" customHeight="1" x14ac:dyDescent="0.4">
      <c r="A56" s="194" t="s">
        <v>179</v>
      </c>
      <c r="B56" s="217"/>
      <c r="C56" s="217"/>
      <c r="D56" s="151" t="s">
        <v>180</v>
      </c>
      <c r="E56" s="95">
        <v>8610.5400000000009</v>
      </c>
      <c r="F56" s="145">
        <v>8610.5400000000009</v>
      </c>
      <c r="G56" s="112">
        <f t="shared" si="4"/>
        <v>0</v>
      </c>
      <c r="H56" s="99">
        <f>G56+'29'!H56</f>
        <v>0</v>
      </c>
      <c r="I56" s="95"/>
      <c r="J56" s="175">
        <f>H56/DAY(B2)</f>
        <v>0</v>
      </c>
      <c r="K56" s="78"/>
      <c r="L56" s="66"/>
      <c r="N56" s="87"/>
      <c r="O56" s="71"/>
    </row>
    <row r="57" spans="1:15" ht="30.75" customHeight="1" x14ac:dyDescent="0.4">
      <c r="A57" s="194" t="s">
        <v>169</v>
      </c>
      <c r="B57" s="217"/>
      <c r="C57" s="217"/>
      <c r="D57" s="151" t="s">
        <v>130</v>
      </c>
      <c r="E57" s="95">
        <f>'29'!F57</f>
        <v>0</v>
      </c>
      <c r="F57" s="145">
        <v>0</v>
      </c>
      <c r="G57" s="112">
        <f t="shared" si="4"/>
        <v>0</v>
      </c>
      <c r="H57" s="99">
        <f>G57+'29'!H57</f>
        <v>0</v>
      </c>
      <c r="I57" s="95"/>
      <c r="J57" s="175">
        <f>H57/DAY(B2)</f>
        <v>0</v>
      </c>
      <c r="K57" s="79"/>
      <c r="L57" s="66"/>
      <c r="N57" s="87"/>
      <c r="O57" s="71"/>
    </row>
    <row r="58" spans="1:15" ht="30.75" customHeight="1" x14ac:dyDescent="0.4">
      <c r="A58" s="194" t="s">
        <v>181</v>
      </c>
      <c r="B58" s="217"/>
      <c r="C58" s="217"/>
      <c r="D58" s="151" t="s">
        <v>130</v>
      </c>
      <c r="E58" s="95">
        <f>'29'!F58</f>
        <v>91883.6</v>
      </c>
      <c r="F58" s="145">
        <v>92071</v>
      </c>
      <c r="G58" s="112">
        <f t="shared" si="4"/>
        <v>187.39999999999418</v>
      </c>
      <c r="H58" s="99">
        <f>G58+'29'!H58</f>
        <v>92411.63</v>
      </c>
      <c r="I58" s="95"/>
      <c r="J58" s="175">
        <f>H58/DAY(B2)</f>
        <v>3080.387666666667</v>
      </c>
      <c r="K58" s="79"/>
      <c r="L58" s="66"/>
      <c r="N58" s="87"/>
      <c r="O58" s="71"/>
    </row>
    <row r="59" spans="1:15" ht="30.75" customHeight="1" x14ac:dyDescent="0.5">
      <c r="A59" s="201" t="s">
        <v>173</v>
      </c>
      <c r="B59" s="202"/>
      <c r="C59" s="202"/>
      <c r="D59" s="146"/>
      <c r="E59" s="146"/>
      <c r="F59" s="146"/>
      <c r="G59" s="119">
        <f>G49+G50+G51+G52+G53+G54+G55+G56+G57+G58</f>
        <v>4925.7899999999954</v>
      </c>
      <c r="H59" s="99">
        <f>G59+'29'!H59</f>
        <v>378950.71</v>
      </c>
      <c r="I59" s="95">
        <f>G7-G60</f>
        <v>4713.9299999999857</v>
      </c>
      <c r="J59" s="175">
        <f>H59/DAY(B2)</f>
        <v>12631.690333333334</v>
      </c>
      <c r="K59" s="79"/>
      <c r="L59" s="66"/>
      <c r="N59" s="87"/>
      <c r="O59" s="71"/>
    </row>
    <row r="60" spans="1:15" ht="30.75" customHeight="1" x14ac:dyDescent="0.4">
      <c r="A60" s="194"/>
      <c r="B60" s="195"/>
      <c r="C60" s="195"/>
      <c r="D60" s="146" t="s">
        <v>182</v>
      </c>
      <c r="E60" s="146"/>
      <c r="F60" s="146"/>
      <c r="G60" s="119">
        <f>G47+G59</f>
        <v>18786.070000000014</v>
      </c>
      <c r="H60" s="99">
        <f>G60+'29'!H60</f>
        <v>1421564.71</v>
      </c>
      <c r="I60" s="95">
        <f>G13-G60</f>
        <v>-286.07000000001426</v>
      </c>
      <c r="J60" s="175">
        <f>H60/DAY(B2)</f>
        <v>47385.490333333335</v>
      </c>
      <c r="K60" s="79"/>
      <c r="L60" s="66"/>
      <c r="N60" s="87"/>
      <c r="O60" s="71"/>
    </row>
    <row r="61" spans="1:15" s="68" customFormat="1" ht="30.75" customHeight="1" x14ac:dyDescent="0.5">
      <c r="A61" s="837" t="s">
        <v>332</v>
      </c>
      <c r="B61" s="838"/>
      <c r="C61" s="839"/>
      <c r="D61" s="339"/>
      <c r="E61" s="339"/>
      <c r="F61" s="339"/>
      <c r="G61" s="340"/>
      <c r="H61" s="339"/>
      <c r="I61" s="339"/>
      <c r="J61" s="341"/>
      <c r="K61" s="69"/>
      <c r="L61" s="67"/>
      <c r="N61" s="87"/>
      <c r="O61" s="71"/>
    </row>
    <row r="62" spans="1:15" ht="30.75" customHeight="1" x14ac:dyDescent="0.5">
      <c r="A62" s="818" t="s">
        <v>198</v>
      </c>
      <c r="B62" s="819"/>
      <c r="C62" s="820"/>
      <c r="D62" s="151" t="s">
        <v>142</v>
      </c>
      <c r="E62" s="95">
        <f>'29'!F62</f>
        <v>267087</v>
      </c>
      <c r="F62" s="122">
        <v>267207</v>
      </c>
      <c r="G62" s="112">
        <f t="shared" ref="G62:G63" si="5">F62-E62</f>
        <v>120</v>
      </c>
      <c r="H62" s="99">
        <f>G62+'29'!H62</f>
        <v>-6</v>
      </c>
      <c r="I62" s="118"/>
      <c r="J62" s="175">
        <f>H62/DAY(B2)</f>
        <v>-0.2</v>
      </c>
      <c r="K62" s="80"/>
      <c r="L62" s="66"/>
      <c r="N62" s="87"/>
      <c r="O62" s="71"/>
    </row>
    <row r="63" spans="1:15" ht="30.75" customHeight="1" x14ac:dyDescent="0.5">
      <c r="A63" s="818" t="s">
        <v>199</v>
      </c>
      <c r="B63" s="819"/>
      <c r="C63" s="820"/>
      <c r="D63" s="151" t="s">
        <v>142</v>
      </c>
      <c r="E63" s="95">
        <f>'29'!F63</f>
        <v>212242</v>
      </c>
      <c r="F63" s="122">
        <v>212339</v>
      </c>
      <c r="G63" s="112">
        <f t="shared" si="5"/>
        <v>97</v>
      </c>
      <c r="H63" s="99">
        <f>G63+'29'!H63</f>
        <v>-86</v>
      </c>
      <c r="I63" s="118"/>
      <c r="J63" s="175">
        <f>H63/DAY(B2)</f>
        <v>-2.8666666666666667</v>
      </c>
      <c r="K63" s="69"/>
      <c r="L63" s="66"/>
      <c r="N63" s="87"/>
      <c r="O63" s="71"/>
    </row>
    <row r="64" spans="1:15" ht="30.75" customHeight="1" x14ac:dyDescent="0.5">
      <c r="A64" s="815" t="s">
        <v>200</v>
      </c>
      <c r="B64" s="816"/>
      <c r="C64" s="817"/>
      <c r="D64" s="151"/>
      <c r="E64" s="95">
        <f>'29'!F64</f>
        <v>0</v>
      </c>
      <c r="F64" s="122"/>
      <c r="G64" s="112">
        <f>G62+G63</f>
        <v>217</v>
      </c>
      <c r="H64" s="99">
        <f>G64+'29'!H64</f>
        <v>-92</v>
      </c>
      <c r="I64" s="118"/>
      <c r="J64" s="175">
        <f>H64/DAY(B2)</f>
        <v>-3.0666666666666669</v>
      </c>
      <c r="K64" s="69"/>
      <c r="L64" s="66"/>
      <c r="N64" s="87"/>
      <c r="O64" s="71"/>
    </row>
    <row r="65" spans="1:15" ht="30.75" customHeight="1" x14ac:dyDescent="0.5">
      <c r="A65" s="818" t="s">
        <v>201</v>
      </c>
      <c r="B65" s="819"/>
      <c r="C65" s="820"/>
      <c r="D65" s="151" t="s">
        <v>142</v>
      </c>
      <c r="E65" s="95">
        <f>'29'!F65</f>
        <v>432417</v>
      </c>
      <c r="F65" s="122">
        <v>432520</v>
      </c>
      <c r="G65" s="112">
        <f t="shared" ref="G65:G70" si="6">F65-E65</f>
        <v>103</v>
      </c>
      <c r="H65" s="99">
        <f>G65+'29'!H65</f>
        <v>-94</v>
      </c>
      <c r="I65" s="118"/>
      <c r="J65" s="175">
        <f>H65/DAY(B2)</f>
        <v>-3.1333333333333333</v>
      </c>
      <c r="K65" s="69"/>
      <c r="L65" s="66"/>
      <c r="N65" s="87"/>
      <c r="O65" s="71"/>
    </row>
    <row r="66" spans="1:15" ht="30.75" customHeight="1" x14ac:dyDescent="0.5">
      <c r="A66" s="345" t="s">
        <v>202</v>
      </c>
      <c r="B66" s="346"/>
      <c r="C66" s="346"/>
      <c r="D66" s="151" t="s">
        <v>142</v>
      </c>
      <c r="E66" s="95">
        <f>'29'!F66</f>
        <v>107177</v>
      </c>
      <c r="F66" s="122">
        <v>107195</v>
      </c>
      <c r="G66" s="112">
        <f t="shared" si="6"/>
        <v>18</v>
      </c>
      <c r="H66" s="99">
        <f>G66+'29'!H66</f>
        <v>-19</v>
      </c>
      <c r="I66" s="118"/>
      <c r="J66" s="175">
        <f>H66/DAY(B2)</f>
        <v>-0.6333333333333333</v>
      </c>
      <c r="K66" s="78"/>
      <c r="L66" s="66"/>
      <c r="N66" s="87"/>
      <c r="O66" s="71"/>
    </row>
    <row r="67" spans="1:15" ht="30.75" customHeight="1" x14ac:dyDescent="0.5">
      <c r="A67" s="345" t="s">
        <v>203</v>
      </c>
      <c r="B67" s="346"/>
      <c r="C67" s="346"/>
      <c r="D67" s="151" t="s">
        <v>142</v>
      </c>
      <c r="E67" s="95">
        <f>'29'!F67</f>
        <v>103862</v>
      </c>
      <c r="F67" s="488">
        <v>103897</v>
      </c>
      <c r="G67" s="112">
        <f t="shared" si="6"/>
        <v>35</v>
      </c>
      <c r="H67" s="99">
        <f>G67+'29'!H67</f>
        <v>-31</v>
      </c>
      <c r="I67" s="118"/>
      <c r="J67" s="175">
        <f>H67/DAY(B2)</f>
        <v>-1.0333333333333334</v>
      </c>
      <c r="K67" s="81"/>
      <c r="L67" s="66"/>
      <c r="N67" s="87"/>
      <c r="O67" s="71"/>
    </row>
    <row r="68" spans="1:15" ht="30.75" customHeight="1" x14ac:dyDescent="0.5">
      <c r="A68" s="345" t="s">
        <v>204</v>
      </c>
      <c r="B68" s="346"/>
      <c r="C68" s="346"/>
      <c r="D68" s="151" t="s">
        <v>142</v>
      </c>
      <c r="E68" s="95">
        <f>'29'!F68</f>
        <v>156560</v>
      </c>
      <c r="F68" s="122">
        <v>156596</v>
      </c>
      <c r="G68" s="112">
        <f t="shared" si="6"/>
        <v>36</v>
      </c>
      <c r="H68" s="99" t="e">
        <f>G68+'29'!H68</f>
        <v>#VALUE!</v>
      </c>
      <c r="I68" s="118"/>
      <c r="J68" s="175" t="e">
        <f>H68/DAY(B2)</f>
        <v>#VALUE!</v>
      </c>
      <c r="K68" s="69"/>
      <c r="L68" s="66"/>
      <c r="N68" s="87"/>
      <c r="O68" s="71"/>
    </row>
    <row r="69" spans="1:15" ht="30.75" customHeight="1" x14ac:dyDescent="0.5">
      <c r="A69" s="345" t="s">
        <v>205</v>
      </c>
      <c r="B69" s="346"/>
      <c r="C69" s="346"/>
      <c r="D69" s="151" t="s">
        <v>142</v>
      </c>
      <c r="E69" s="95">
        <f>'29'!F69</f>
        <v>10194</v>
      </c>
      <c r="F69" s="122">
        <v>10206</v>
      </c>
      <c r="G69" s="112">
        <f t="shared" si="6"/>
        <v>12</v>
      </c>
      <c r="H69" s="99">
        <f>G69+'29'!H69</f>
        <v>-8</v>
      </c>
      <c r="I69" s="118"/>
      <c r="J69" s="175">
        <f>H69/DAY(B2)</f>
        <v>-0.26666666666666666</v>
      </c>
      <c r="K69" s="69"/>
      <c r="L69" s="66"/>
      <c r="N69" s="87"/>
      <c r="O69" s="71"/>
    </row>
    <row r="70" spans="1:15" ht="30.75" customHeight="1" x14ac:dyDescent="0.5">
      <c r="A70" s="345" t="s">
        <v>206</v>
      </c>
      <c r="B70" s="346"/>
      <c r="C70" s="346"/>
      <c r="D70" s="151" t="s">
        <v>142</v>
      </c>
      <c r="E70" s="95">
        <f>'29'!F70</f>
        <v>7849</v>
      </c>
      <c r="F70" s="488">
        <v>7855</v>
      </c>
      <c r="G70" s="112">
        <f t="shared" si="6"/>
        <v>6</v>
      </c>
      <c r="H70" s="99">
        <f>G70+'29'!H70</f>
        <v>-7</v>
      </c>
      <c r="I70" s="118"/>
      <c r="J70" s="175">
        <f>H70/DAY(B2)</f>
        <v>-0.23333333333333334</v>
      </c>
      <c r="K70" s="69"/>
      <c r="L70" s="66"/>
      <c r="N70" s="87"/>
      <c r="O70" s="71"/>
    </row>
    <row r="71" spans="1:15" ht="30.75" customHeight="1" x14ac:dyDescent="0.5">
      <c r="A71" s="815" t="s">
        <v>208</v>
      </c>
      <c r="B71" s="816"/>
      <c r="C71" s="817"/>
      <c r="D71" s="152"/>
      <c r="E71" s="152"/>
      <c r="F71" s="152"/>
      <c r="G71" s="153">
        <f>SUM(G65:G70)</f>
        <v>210</v>
      </c>
      <c r="H71" s="99">
        <f>G71+'29'!H71</f>
        <v>-256</v>
      </c>
      <c r="I71" s="154"/>
      <c r="J71" s="175">
        <f>H71/DAY(B2)</f>
        <v>-8.5333333333333332</v>
      </c>
      <c r="K71" s="69"/>
      <c r="L71" s="66"/>
      <c r="N71" s="87"/>
      <c r="O71" s="71"/>
    </row>
    <row r="72" spans="1:15" s="88" customFormat="1" ht="30.75" customHeight="1" x14ac:dyDescent="0.5">
      <c r="A72" s="861"/>
      <c r="B72" s="853"/>
      <c r="C72" s="347"/>
      <c r="D72" s="180"/>
      <c r="E72" s="180" t="s">
        <v>207</v>
      </c>
      <c r="F72" s="180"/>
      <c r="G72" s="180"/>
      <c r="H72" s="181"/>
      <c r="I72" s="180"/>
      <c r="J72" s="182"/>
      <c r="N72" s="87"/>
      <c r="O72" s="71"/>
    </row>
    <row r="73" spans="1:15" ht="30.75" customHeight="1" x14ac:dyDescent="0.5">
      <c r="A73" s="866" t="s">
        <v>333</v>
      </c>
      <c r="B73" s="867"/>
      <c r="C73" s="868"/>
      <c r="D73" s="339"/>
      <c r="E73" s="339"/>
      <c r="F73" s="339"/>
      <c r="G73" s="342"/>
      <c r="H73" s="342"/>
      <c r="I73" s="342"/>
      <c r="J73" s="343"/>
      <c r="K73" s="69"/>
      <c r="L73" s="66"/>
      <c r="N73" s="87"/>
      <c r="O73" s="71"/>
    </row>
    <row r="74" spans="1:15" ht="30.75" customHeight="1" x14ac:dyDescent="0.5">
      <c r="A74" s="818" t="s">
        <v>220</v>
      </c>
      <c r="B74" s="819"/>
      <c r="C74" s="820"/>
      <c r="D74" s="151" t="s">
        <v>139</v>
      </c>
      <c r="E74" s="95">
        <f>'29'!F74</f>
        <v>891456.32</v>
      </c>
      <c r="F74" s="123">
        <v>891763</v>
      </c>
      <c r="G74" s="112">
        <f t="shared" ref="G74:G78" si="7">F74-E74</f>
        <v>306.68000000005122</v>
      </c>
      <c r="H74" s="99">
        <f>G74+'29'!H74</f>
        <v>-269</v>
      </c>
      <c r="I74" s="154"/>
      <c r="J74" s="175">
        <f>H74/DAY(B2)</f>
        <v>-8.9666666666666668</v>
      </c>
      <c r="K74" s="69"/>
      <c r="L74" s="66"/>
      <c r="N74" s="87"/>
      <c r="O74" s="71"/>
    </row>
    <row r="75" spans="1:15" ht="30.75" customHeight="1" x14ac:dyDescent="0.5">
      <c r="A75" s="818" t="s">
        <v>221</v>
      </c>
      <c r="B75" s="819"/>
      <c r="C75" s="820"/>
      <c r="D75" s="151" t="s">
        <v>139</v>
      </c>
      <c r="E75" s="95">
        <f>'29'!F75</f>
        <v>73586.8</v>
      </c>
      <c r="F75" s="123">
        <v>73586.8</v>
      </c>
      <c r="G75" s="112">
        <f t="shared" si="7"/>
        <v>0</v>
      </c>
      <c r="H75" s="99">
        <f>G75+'29'!H75</f>
        <v>0</v>
      </c>
      <c r="I75" s="154"/>
      <c r="J75" s="175">
        <f>H75/DAY(B2)</f>
        <v>0</v>
      </c>
      <c r="K75" s="69"/>
      <c r="L75" s="66"/>
      <c r="N75" s="87"/>
      <c r="O75" s="71"/>
    </row>
    <row r="76" spans="1:15" ht="30.75" customHeight="1" x14ac:dyDescent="0.5">
      <c r="A76" s="862" t="s">
        <v>222</v>
      </c>
      <c r="B76" s="848"/>
      <c r="C76" s="849"/>
      <c r="D76" s="151" t="s">
        <v>139</v>
      </c>
      <c r="E76" s="95">
        <f>'29'!F76</f>
        <v>167000.53</v>
      </c>
      <c r="F76" s="123">
        <v>167093</v>
      </c>
      <c r="G76" s="112">
        <f t="shared" si="7"/>
        <v>92.470000000001164</v>
      </c>
      <c r="H76" s="99">
        <f>G76+'29'!H76</f>
        <v>-114</v>
      </c>
      <c r="I76" s="154"/>
      <c r="J76" s="175">
        <f>H76/DAY(B2)</f>
        <v>-3.8</v>
      </c>
      <c r="K76" s="69"/>
      <c r="L76" s="66"/>
      <c r="N76" s="87"/>
      <c r="O76" s="71"/>
    </row>
    <row r="77" spans="1:15" ht="30.75" customHeight="1" x14ac:dyDescent="0.5">
      <c r="A77" s="862" t="s">
        <v>223</v>
      </c>
      <c r="B77" s="848"/>
      <c r="C77" s="849"/>
      <c r="D77" s="151" t="s">
        <v>139</v>
      </c>
      <c r="E77" s="95">
        <f>'29'!F77</f>
        <v>40226</v>
      </c>
      <c r="F77" s="123">
        <v>40267</v>
      </c>
      <c r="G77" s="112">
        <f t="shared" si="7"/>
        <v>41</v>
      </c>
      <c r="H77" s="99">
        <f>G77+'29'!H77</f>
        <v>-49</v>
      </c>
      <c r="I77" s="154"/>
      <c r="J77" s="175">
        <f>H77/DAY(B2)</f>
        <v>-1.6333333333333333</v>
      </c>
      <c r="K77" s="69"/>
      <c r="L77" s="66"/>
      <c r="N77" s="87"/>
      <c r="O77" s="71"/>
    </row>
    <row r="78" spans="1:15" ht="30.75" customHeight="1" x14ac:dyDescent="0.5">
      <c r="A78" s="862" t="s">
        <v>224</v>
      </c>
      <c r="B78" s="848"/>
      <c r="C78" s="849"/>
      <c r="D78" s="151" t="s">
        <v>139</v>
      </c>
      <c r="E78" s="95">
        <f>'29'!F78</f>
        <v>9481.2000000000007</v>
      </c>
      <c r="F78" s="123">
        <v>9482</v>
      </c>
      <c r="G78" s="112">
        <f t="shared" si="7"/>
        <v>0.7999999999992724</v>
      </c>
      <c r="H78" s="99">
        <f>G78+'29'!H78</f>
        <v>-4</v>
      </c>
      <c r="I78" s="118"/>
      <c r="J78" s="175">
        <f>H78/DAY(B2)</f>
        <v>-0.13333333333333333</v>
      </c>
      <c r="K78" s="69"/>
      <c r="L78" s="66"/>
      <c r="N78" s="87"/>
      <c r="O78" s="71"/>
    </row>
    <row r="79" spans="1:15" s="57" customFormat="1" ht="30.75" customHeight="1" x14ac:dyDescent="0.5">
      <c r="A79" s="862" t="s">
        <v>225</v>
      </c>
      <c r="B79" s="848"/>
      <c r="C79" s="849"/>
      <c r="D79" s="151"/>
      <c r="E79" s="95">
        <f>'29'!F79</f>
        <v>0</v>
      </c>
      <c r="F79" s="117"/>
      <c r="G79" s="112">
        <f>G15-SUM(G74:G78)</f>
        <v>659.04999999994834</v>
      </c>
      <c r="H79" s="99">
        <f>G79+'29'!H79</f>
        <v>28270.999999999996</v>
      </c>
      <c r="I79" s="118"/>
      <c r="J79" s="175"/>
      <c r="K79" s="59"/>
      <c r="L79" s="58"/>
      <c r="N79" s="87"/>
      <c r="O79" s="71"/>
    </row>
    <row r="80" spans="1:15" s="57" customFormat="1" ht="30.75" customHeight="1" x14ac:dyDescent="0.5">
      <c r="A80" s="815" t="s">
        <v>329</v>
      </c>
      <c r="B80" s="816"/>
      <c r="C80" s="817"/>
      <c r="D80" s="151"/>
      <c r="E80" s="117"/>
      <c r="F80" s="117"/>
      <c r="G80" s="112">
        <f>SUM(G74:G79)</f>
        <v>1100</v>
      </c>
      <c r="H80" s="99"/>
      <c r="I80" s="118"/>
      <c r="J80" s="175"/>
      <c r="K80" s="59"/>
      <c r="L80" s="58"/>
      <c r="N80" s="87"/>
      <c r="O80" s="71"/>
    </row>
    <row r="81" spans="1:15" ht="30.75" customHeight="1" x14ac:dyDescent="0.4">
      <c r="A81" s="854" t="s">
        <v>226</v>
      </c>
      <c r="B81" s="855"/>
      <c r="C81" s="856"/>
      <c r="D81" s="110"/>
      <c r="E81" s="110"/>
      <c r="F81" s="110"/>
      <c r="G81" s="163"/>
      <c r="H81" s="163"/>
      <c r="I81" s="163"/>
      <c r="J81" s="184"/>
      <c r="O81" s="71"/>
    </row>
    <row r="82" spans="1:15" ht="30.75" customHeight="1" x14ac:dyDescent="0.5">
      <c r="A82" s="345" t="s">
        <v>227</v>
      </c>
      <c r="B82" s="346"/>
      <c r="C82" s="346"/>
      <c r="D82" s="151" t="s">
        <v>228</v>
      </c>
      <c r="E82" s="95">
        <f>'29'!F82</f>
        <v>0</v>
      </c>
      <c r="F82" s="122">
        <v>0</v>
      </c>
      <c r="G82" s="112">
        <f t="shared" ref="G82:G92" si="8">F82-E82</f>
        <v>0</v>
      </c>
      <c r="H82" s="99">
        <f>G82+'29'!H82</f>
        <v>0</v>
      </c>
      <c r="I82" s="118"/>
      <c r="J82" s="175">
        <f>H82/DAY(B2)</f>
        <v>0</v>
      </c>
      <c r="O82" s="71"/>
    </row>
    <row r="83" spans="1:15" ht="30.75" customHeight="1" x14ac:dyDescent="0.5">
      <c r="A83" s="345" t="s">
        <v>229</v>
      </c>
      <c r="B83" s="346"/>
      <c r="C83" s="346"/>
      <c r="D83" s="151" t="s">
        <v>228</v>
      </c>
      <c r="E83" s="95">
        <f>'29'!F83</f>
        <v>0</v>
      </c>
      <c r="F83" s="122">
        <v>0</v>
      </c>
      <c r="G83" s="112">
        <f t="shared" si="8"/>
        <v>0</v>
      </c>
      <c r="H83" s="99">
        <f>G83+'29'!H83</f>
        <v>0</v>
      </c>
      <c r="I83" s="118"/>
      <c r="J83" s="175">
        <f>H83/DAY(B2)</f>
        <v>0</v>
      </c>
      <c r="O83" s="71"/>
    </row>
    <row r="84" spans="1:15" ht="30.75" customHeight="1" x14ac:dyDescent="0.5">
      <c r="A84" s="345" t="s">
        <v>230</v>
      </c>
      <c r="B84" s="346"/>
      <c r="C84" s="346"/>
      <c r="D84" s="151" t="s">
        <v>228</v>
      </c>
      <c r="E84" s="95">
        <f>'29'!F84</f>
        <v>41675.26</v>
      </c>
      <c r="F84" s="164">
        <v>41675.26</v>
      </c>
      <c r="G84" s="112">
        <f t="shared" si="8"/>
        <v>0</v>
      </c>
      <c r="H84" s="99">
        <f>G84+'29'!H84</f>
        <v>0.26000000000203727</v>
      </c>
      <c r="I84" s="118"/>
      <c r="J84" s="175">
        <f>H84/DAY(B2)</f>
        <v>8.6666666667345755E-3</v>
      </c>
      <c r="O84" s="71"/>
    </row>
    <row r="85" spans="1:15" ht="30.75" customHeight="1" x14ac:dyDescent="0.5">
      <c r="A85" s="345" t="s">
        <v>231</v>
      </c>
      <c r="B85" s="346"/>
      <c r="C85" s="346"/>
      <c r="D85" s="151" t="s">
        <v>228</v>
      </c>
      <c r="E85" s="95">
        <f>'29'!F85</f>
        <v>2083.59</v>
      </c>
      <c r="F85" s="164">
        <v>2096.56</v>
      </c>
      <c r="G85" s="112">
        <f t="shared" si="8"/>
        <v>12.9699999999998</v>
      </c>
      <c r="H85" s="99">
        <f>G85+'29'!H85</f>
        <v>0</v>
      </c>
      <c r="I85" s="118">
        <f>G82+G83+G84+G85</f>
        <v>12.9699999999998</v>
      </c>
      <c r="J85" s="175">
        <f>H85/DAY(B2)</f>
        <v>0</v>
      </c>
      <c r="O85" s="71"/>
    </row>
    <row r="86" spans="1:15" ht="30.75" customHeight="1" x14ac:dyDescent="0.5">
      <c r="A86" s="345" t="s">
        <v>232</v>
      </c>
      <c r="B86" s="346"/>
      <c r="C86" s="346"/>
      <c r="D86" s="151" t="s">
        <v>228</v>
      </c>
      <c r="E86" s="95">
        <f>'29'!F86</f>
        <v>42826.07</v>
      </c>
      <c r="F86" s="164">
        <v>42839</v>
      </c>
      <c r="G86" s="112">
        <f t="shared" si="8"/>
        <v>12.930000000000291</v>
      </c>
      <c r="H86" s="99">
        <f>G86+'29'!H86</f>
        <v>-24</v>
      </c>
      <c r="I86" s="118"/>
      <c r="J86" s="175">
        <f>H86/DAY(B2)</f>
        <v>-0.8</v>
      </c>
      <c r="O86" s="71"/>
    </row>
    <row r="87" spans="1:15" ht="30.75" customHeight="1" x14ac:dyDescent="0.5">
      <c r="A87" s="345" t="s">
        <v>233</v>
      </c>
      <c r="B87" s="346"/>
      <c r="C87" s="346"/>
      <c r="D87" s="151" t="s">
        <v>228</v>
      </c>
      <c r="E87" s="95">
        <f>'29'!F87</f>
        <v>34598.550000000003</v>
      </c>
      <c r="F87" s="164">
        <v>34598.550000000003</v>
      </c>
      <c r="G87" s="112">
        <f t="shared" si="8"/>
        <v>0</v>
      </c>
      <c r="H87" s="99">
        <f>G87+'29'!H87</f>
        <v>0</v>
      </c>
      <c r="I87" s="118"/>
      <c r="J87" s="175">
        <f>H87/DAY(B2)</f>
        <v>0</v>
      </c>
      <c r="O87" s="71"/>
    </row>
    <row r="88" spans="1:15" ht="30.75" customHeight="1" x14ac:dyDescent="0.5">
      <c r="A88" s="345" t="s">
        <v>234</v>
      </c>
      <c r="B88" s="346"/>
      <c r="C88" s="346"/>
      <c r="D88" s="151" t="s">
        <v>228</v>
      </c>
      <c r="E88" s="95">
        <f>'29'!F88</f>
        <v>24041.06</v>
      </c>
      <c r="F88" s="164">
        <v>24041</v>
      </c>
      <c r="G88" s="112">
        <f t="shared" si="8"/>
        <v>-6.0000000001309672E-2</v>
      </c>
      <c r="H88" s="99">
        <f>G88+'29'!H88</f>
        <v>-6</v>
      </c>
      <c r="I88" s="118">
        <f>G86+G87+G88</f>
        <v>12.869999999998981</v>
      </c>
      <c r="J88" s="175">
        <f>H88/DAY(B2)</f>
        <v>-0.2</v>
      </c>
      <c r="O88" s="71"/>
    </row>
    <row r="89" spans="1:15" ht="30.75" customHeight="1" x14ac:dyDescent="0.5">
      <c r="A89" s="345" t="s">
        <v>235</v>
      </c>
      <c r="B89" s="346"/>
      <c r="C89" s="346"/>
      <c r="D89" s="151" t="s">
        <v>228</v>
      </c>
      <c r="E89" s="95">
        <f>'29'!F89</f>
        <v>25651.26</v>
      </c>
      <c r="F89" s="164">
        <v>25661</v>
      </c>
      <c r="G89" s="112">
        <f t="shared" si="8"/>
        <v>9.7400000000016007</v>
      </c>
      <c r="H89" s="99">
        <f>G89+'29'!H89</f>
        <v>-2</v>
      </c>
      <c r="I89" s="118"/>
      <c r="J89" s="175">
        <f>H89/DAY(B2)</f>
        <v>-6.6666666666666666E-2</v>
      </c>
      <c r="O89" s="71"/>
    </row>
    <row r="90" spans="1:15" ht="30.75" customHeight="1" x14ac:dyDescent="0.5">
      <c r="A90" s="345" t="s">
        <v>236</v>
      </c>
      <c r="B90" s="346"/>
      <c r="C90" s="346"/>
      <c r="D90" s="151" t="s">
        <v>228</v>
      </c>
      <c r="E90" s="95">
        <f>'29'!F90</f>
        <v>71022.03</v>
      </c>
      <c r="F90" s="164">
        <v>71027</v>
      </c>
      <c r="G90" s="112">
        <f t="shared" si="8"/>
        <v>4.9700000000011642</v>
      </c>
      <c r="H90" s="99">
        <f>G90+'29'!H90</f>
        <v>39</v>
      </c>
      <c r="I90" s="118">
        <f>G89+G90</f>
        <v>14.710000000002765</v>
      </c>
      <c r="J90" s="175">
        <f>H90/DAY(B2)</f>
        <v>1.3</v>
      </c>
      <c r="O90" s="71"/>
    </row>
    <row r="91" spans="1:15" ht="30.75" customHeight="1" x14ac:dyDescent="0.5">
      <c r="A91" s="345" t="s">
        <v>237</v>
      </c>
      <c r="B91" s="346"/>
      <c r="C91" s="346"/>
      <c r="D91" s="151" t="s">
        <v>228</v>
      </c>
      <c r="E91" s="95">
        <f>'29'!F91</f>
        <v>3226</v>
      </c>
      <c r="F91" s="122">
        <v>3226</v>
      </c>
      <c r="G91" s="112">
        <f t="shared" si="8"/>
        <v>0</v>
      </c>
      <c r="H91" s="99">
        <f>G91+'29'!H91</f>
        <v>-0.32000000000016371</v>
      </c>
      <c r="I91" s="165"/>
      <c r="J91" s="175">
        <f>H91/DAY(B2)</f>
        <v>-1.0666666666672124E-2</v>
      </c>
      <c r="O91" s="71"/>
    </row>
    <row r="92" spans="1:15" ht="30.75" customHeight="1" x14ac:dyDescent="0.5">
      <c r="A92" s="345" t="s">
        <v>238</v>
      </c>
      <c r="B92" s="346"/>
      <c r="C92" s="346"/>
      <c r="D92" s="151" t="s">
        <v>228</v>
      </c>
      <c r="E92" s="95">
        <f>'29'!F92</f>
        <v>5418.13</v>
      </c>
      <c r="F92" s="122">
        <v>5429</v>
      </c>
      <c r="G92" s="112">
        <f t="shared" si="8"/>
        <v>10.869999999999891</v>
      </c>
      <c r="H92" s="99">
        <f>G92+'29'!H92</f>
        <v>-9</v>
      </c>
      <c r="I92" s="165"/>
      <c r="J92" s="175">
        <f>H92/DAY(B2)</f>
        <v>-0.3</v>
      </c>
      <c r="O92" s="71"/>
    </row>
    <row r="93" spans="1:15" ht="30.75" customHeight="1" x14ac:dyDescent="0.5">
      <c r="A93" s="863" t="s">
        <v>239</v>
      </c>
      <c r="B93" s="864"/>
      <c r="C93" s="865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30.75" customHeight="1" x14ac:dyDescent="0.5">
      <c r="A94" s="818" t="s">
        <v>240</v>
      </c>
      <c r="B94" s="819"/>
      <c r="C94" s="820"/>
      <c r="D94" s="151" t="s">
        <v>130</v>
      </c>
      <c r="E94" s="151"/>
      <c r="F94" s="151"/>
      <c r="G94" s="99">
        <f>G35+G43+G49+G57</f>
        <v>6157.7700000000114</v>
      </c>
      <c r="H94" s="99">
        <f>G94+'29'!H94</f>
        <v>447471</v>
      </c>
      <c r="I94" s="118"/>
      <c r="J94" s="175">
        <f>H94/DAY(B2)</f>
        <v>14915.7</v>
      </c>
      <c r="K94" s="69"/>
      <c r="L94" s="66"/>
      <c r="O94" s="71"/>
    </row>
    <row r="95" spans="1:15" ht="30.75" customHeight="1" x14ac:dyDescent="0.5">
      <c r="A95" s="818" t="s">
        <v>241</v>
      </c>
      <c r="B95" s="819"/>
      <c r="C95" s="820"/>
      <c r="D95" s="151" t="s">
        <v>23</v>
      </c>
      <c r="E95" s="146"/>
      <c r="F95" s="146"/>
      <c r="G95" s="166">
        <f>G94/G7</f>
        <v>0.26203276595744729</v>
      </c>
      <c r="H95" s="99">
        <f>G95+'29'!H95</f>
        <v>20.666780503762155</v>
      </c>
      <c r="I95" s="167"/>
      <c r="J95" s="175">
        <f>H95/DAY(B2)</f>
        <v>0.68889268345873844</v>
      </c>
      <c r="K95" s="69"/>
      <c r="L95" s="66"/>
      <c r="O95" s="71"/>
    </row>
    <row r="96" spans="1:15" ht="30.75" customHeight="1" x14ac:dyDescent="0.5">
      <c r="A96" s="818" t="s">
        <v>242</v>
      </c>
      <c r="B96" s="819"/>
      <c r="C96" s="820"/>
      <c r="D96" s="151" t="s">
        <v>130</v>
      </c>
      <c r="E96" s="95"/>
      <c r="F96" s="95"/>
      <c r="G96" s="99">
        <f>G41+G42+G55+G56</f>
        <v>4162.6300000000047</v>
      </c>
      <c r="H96" s="99">
        <f>G96+'29'!H96</f>
        <v>-1257</v>
      </c>
      <c r="I96" s="118"/>
      <c r="J96" s="175">
        <f>H96/DAY(B2)</f>
        <v>-41.9</v>
      </c>
      <c r="K96" s="69"/>
      <c r="L96" s="66"/>
      <c r="O96" s="71"/>
    </row>
    <row r="97" spans="1:15" ht="30.75" customHeight="1" x14ac:dyDescent="0.5">
      <c r="A97" s="818" t="s">
        <v>243</v>
      </c>
      <c r="B97" s="819"/>
      <c r="C97" s="820"/>
      <c r="D97" s="151" t="s">
        <v>23</v>
      </c>
      <c r="E97" s="95"/>
      <c r="F97" s="95"/>
      <c r="G97" s="166">
        <f>G96/G7</f>
        <v>0.17713319148936191</v>
      </c>
      <c r="H97" s="99">
        <f>G97+'29'!H97</f>
        <v>0.9077804685939892</v>
      </c>
      <c r="I97" s="167"/>
      <c r="J97" s="175">
        <f>H97/DAY(B2)</f>
        <v>3.0259348953132974E-2</v>
      </c>
      <c r="K97" s="69"/>
      <c r="L97" s="66"/>
      <c r="O97" s="71"/>
    </row>
    <row r="98" spans="1:15" ht="30.75" customHeight="1" x14ac:dyDescent="0.5">
      <c r="A98" s="818" t="s">
        <v>244</v>
      </c>
      <c r="B98" s="819"/>
      <c r="C98" s="820"/>
      <c r="D98" s="151" t="s">
        <v>130</v>
      </c>
      <c r="E98" s="95"/>
      <c r="F98" s="95"/>
      <c r="G98" s="99">
        <f>G39+G53</f>
        <v>2712.25</v>
      </c>
      <c r="H98" s="99">
        <f>G98+'29'!H98</f>
        <v>429999</v>
      </c>
      <c r="I98" s="168"/>
      <c r="J98" s="175">
        <f>H98/DAY(B2)</f>
        <v>14333.3</v>
      </c>
      <c r="K98" s="69"/>
      <c r="L98" s="66"/>
      <c r="O98" s="71"/>
    </row>
    <row r="99" spans="1:15" ht="30.75" customHeight="1" x14ac:dyDescent="0.5">
      <c r="A99" s="818" t="s">
        <v>245</v>
      </c>
      <c r="B99" s="819"/>
      <c r="C99" s="820"/>
      <c r="D99" s="151" t="s">
        <v>23</v>
      </c>
      <c r="E99" s="95"/>
      <c r="F99" s="95"/>
      <c r="G99" s="166">
        <f>G98/G7</f>
        <v>0.11541489361702127</v>
      </c>
      <c r="H99" s="99">
        <f>G99+'29'!H99</f>
        <v>19.152991352477184</v>
      </c>
      <c r="I99" s="168"/>
      <c r="J99" s="175">
        <f>H99/DAY(B2)</f>
        <v>0.63843304508257281</v>
      </c>
      <c r="O99" s="71"/>
    </row>
    <row r="100" spans="1:15" ht="30.75" customHeight="1" x14ac:dyDescent="0.5">
      <c r="A100" s="818" t="s">
        <v>246</v>
      </c>
      <c r="B100" s="819"/>
      <c r="C100" s="820"/>
      <c r="D100" s="151" t="s">
        <v>180</v>
      </c>
      <c r="E100" s="95"/>
      <c r="F100" s="95"/>
      <c r="G100" s="99">
        <f>G38+G52</f>
        <v>1908.929999999993</v>
      </c>
      <c r="H100" s="99">
        <f>G100+'29'!H100</f>
        <v>243931</v>
      </c>
      <c r="I100" s="118"/>
      <c r="J100" s="175">
        <f>H100/DAY(B2)</f>
        <v>8131.0333333333338</v>
      </c>
      <c r="K100" s="70"/>
      <c r="O100" s="71"/>
    </row>
    <row r="101" spans="1:15" ht="30.75" customHeight="1" x14ac:dyDescent="0.5">
      <c r="A101" s="818" t="s">
        <v>247</v>
      </c>
      <c r="B101" s="819"/>
      <c r="C101" s="820"/>
      <c r="D101" s="151" t="s">
        <v>23</v>
      </c>
      <c r="E101" s="95"/>
      <c r="F101" s="95"/>
      <c r="G101" s="166">
        <f>G100/G7</f>
        <v>8.123106382978694E-2</v>
      </c>
      <c r="H101" s="99">
        <f>G101+'29'!H101</f>
        <v>10.923465776909804</v>
      </c>
      <c r="I101" s="168"/>
      <c r="J101" s="175">
        <f>H101/DAY(B2)</f>
        <v>0.36411552589699347</v>
      </c>
      <c r="O101" s="71"/>
    </row>
    <row r="102" spans="1:15" ht="30.75" customHeight="1" x14ac:dyDescent="0.5">
      <c r="A102" s="818" t="s">
        <v>248</v>
      </c>
      <c r="B102" s="819"/>
      <c r="C102" s="820"/>
      <c r="D102" s="151" t="s">
        <v>180</v>
      </c>
      <c r="E102" s="95"/>
      <c r="F102" s="95"/>
      <c r="G102" s="99">
        <f>G36+G50</f>
        <v>1894.2300000000032</v>
      </c>
      <c r="H102" s="99">
        <f>G102+'29'!H102</f>
        <v>-1936</v>
      </c>
      <c r="I102" s="168"/>
      <c r="J102" s="175">
        <f>H102/DAY(B2)</f>
        <v>-64.533333333333331</v>
      </c>
      <c r="O102" s="71"/>
    </row>
    <row r="103" spans="1:15" ht="30.75" customHeight="1" x14ac:dyDescent="0.5">
      <c r="A103" s="818" t="s">
        <v>249</v>
      </c>
      <c r="B103" s="819"/>
      <c r="C103" s="820"/>
      <c r="D103" s="151" t="s">
        <v>23</v>
      </c>
      <c r="E103" s="95"/>
      <c r="F103" s="95"/>
      <c r="G103" s="166">
        <f>G102/G7</f>
        <v>8.0605531914893752E-2</v>
      </c>
      <c r="H103" s="99">
        <f>G103+'29'!H103</f>
        <v>0.47050031175731633</v>
      </c>
      <c r="I103" s="118"/>
      <c r="J103" s="175">
        <f>H103/DAY(B2)</f>
        <v>1.5683343725243878E-2</v>
      </c>
      <c r="O103" s="71"/>
    </row>
    <row r="104" spans="1:15" ht="30.75" customHeight="1" x14ac:dyDescent="0.5">
      <c r="A104" s="818" t="s">
        <v>250</v>
      </c>
      <c r="B104" s="819"/>
      <c r="C104" s="820"/>
      <c r="D104" s="151" t="s">
        <v>180</v>
      </c>
      <c r="E104" s="95"/>
      <c r="F104" s="95"/>
      <c r="G104" s="99">
        <f>G37+G51</f>
        <v>1598.2900000000081</v>
      </c>
      <c r="H104" s="99">
        <f>G104+'29'!H104</f>
        <v>206000</v>
      </c>
      <c r="I104" s="118"/>
      <c r="J104" s="175">
        <f>H104/DAY(B2)</f>
        <v>6866.666666666667</v>
      </c>
      <c r="O104" s="71"/>
    </row>
    <row r="105" spans="1:15" ht="30.75" customHeight="1" thickBot="1" x14ac:dyDescent="0.55000000000000004">
      <c r="A105" s="858" t="s">
        <v>251</v>
      </c>
      <c r="B105" s="859"/>
      <c r="C105" s="860"/>
      <c r="D105" s="231" t="s">
        <v>23</v>
      </c>
      <c r="E105" s="185"/>
      <c r="F105" s="185"/>
      <c r="G105" s="186">
        <f>G104/G7</f>
        <v>6.8012340425532267E-2</v>
      </c>
      <c r="H105" s="99">
        <f>G105+'29'!H105</f>
        <v>9.2718162455601423</v>
      </c>
      <c r="I105" s="187"/>
      <c r="J105" s="188">
        <f>H105/DAY(B2)</f>
        <v>0.30906054151867141</v>
      </c>
      <c r="O105" s="71"/>
    </row>
    <row r="106" spans="1:15" ht="30.75" customHeight="1" x14ac:dyDescent="0.5">
      <c r="A106" s="105"/>
      <c r="B106" s="96"/>
      <c r="C106" s="96"/>
      <c r="D106" s="169"/>
      <c r="E106" s="169"/>
      <c r="F106" s="169"/>
      <c r="G106" s="169"/>
      <c r="H106" s="170"/>
      <c r="I106" s="169"/>
      <c r="J106" s="171"/>
      <c r="O106" s="71"/>
    </row>
    <row r="108" spans="1:15" ht="30.75" customHeight="1" x14ac:dyDescent="0.55000000000000004">
      <c r="A108" s="872" t="s">
        <v>324</v>
      </c>
      <c r="B108" s="872"/>
      <c r="C108" s="872"/>
      <c r="D108" s="872"/>
      <c r="E108" s="872"/>
      <c r="F108" s="872"/>
      <c r="G108" s="872"/>
      <c r="H108" s="872"/>
      <c r="I108" s="872"/>
      <c r="J108" s="872"/>
    </row>
    <row r="109" spans="1:15" ht="30.75" customHeight="1" x14ac:dyDescent="0.5">
      <c r="A109" s="857"/>
      <c r="B109" s="857"/>
    </row>
    <row r="110" spans="1:15" ht="30.75" customHeight="1" x14ac:dyDescent="0.5">
      <c r="A110" s="873" t="s">
        <v>165</v>
      </c>
      <c r="B110" s="874"/>
      <c r="C110" s="874"/>
      <c r="D110" s="874"/>
      <c r="E110" s="874"/>
      <c r="F110" s="874"/>
      <c r="G110" s="874"/>
      <c r="H110" s="874"/>
      <c r="I110" s="874"/>
      <c r="J110" s="875"/>
    </row>
    <row r="111" spans="1:15" ht="30.75" customHeight="1" x14ac:dyDescent="0.5">
      <c r="A111" s="876"/>
      <c r="B111" s="877"/>
      <c r="C111" s="878"/>
      <c r="D111" s="165"/>
      <c r="E111" s="165"/>
      <c r="F111" s="165"/>
      <c r="G111" s="165"/>
      <c r="H111" s="156"/>
      <c r="I111" s="165"/>
      <c r="J111" s="327"/>
    </row>
    <row r="112" spans="1:15" ht="30.75" customHeight="1" x14ac:dyDescent="0.5">
      <c r="A112" s="851" t="s">
        <v>252</v>
      </c>
      <c r="B112" s="852"/>
      <c r="C112" s="853"/>
      <c r="D112" s="146" t="s">
        <v>183</v>
      </c>
      <c r="E112" s="95">
        <f>'29'!F112</f>
        <v>53273.53</v>
      </c>
      <c r="F112" s="237">
        <v>55612</v>
      </c>
      <c r="G112" s="112">
        <f t="shared" ref="G112:G123" si="9">F112-E112</f>
        <v>2338.4700000000012</v>
      </c>
      <c r="H112" s="99">
        <f>G112+'29'!H112</f>
        <v>7670.4500000000044</v>
      </c>
      <c r="I112" s="165"/>
      <c r="J112" s="328">
        <f>H112/DAY(B2)</f>
        <v>255.68166666666681</v>
      </c>
    </row>
    <row r="113" spans="1:18" ht="30.75" customHeight="1" x14ac:dyDescent="0.5">
      <c r="A113" s="851" t="s">
        <v>253</v>
      </c>
      <c r="B113" s="852"/>
      <c r="C113" s="853"/>
      <c r="D113" s="146" t="s">
        <v>183</v>
      </c>
      <c r="E113" s="95">
        <f>'29'!F113</f>
        <v>31290.99</v>
      </c>
      <c r="F113" s="237">
        <v>31737</v>
      </c>
      <c r="G113" s="112">
        <f t="shared" si="9"/>
        <v>446.0099999999984</v>
      </c>
      <c r="H113" s="99">
        <f>G113+'29'!H113</f>
        <v>-458</v>
      </c>
      <c r="I113" s="165"/>
      <c r="J113" s="328">
        <f>H113/DAY(B2)</f>
        <v>-15.266666666666667</v>
      </c>
    </row>
    <row r="114" spans="1:18" ht="30.75" customHeight="1" x14ac:dyDescent="0.5">
      <c r="A114" s="851" t="s">
        <v>254</v>
      </c>
      <c r="B114" s="852"/>
      <c r="C114" s="853"/>
      <c r="D114" s="146" t="s">
        <v>183</v>
      </c>
      <c r="E114" s="95">
        <f>'29'!F114</f>
        <v>24321.7</v>
      </c>
      <c r="F114" s="237">
        <v>24596</v>
      </c>
      <c r="G114" s="112">
        <f t="shared" si="9"/>
        <v>274.29999999999927</v>
      </c>
      <c r="H114" s="99">
        <f>G114+'29'!H114</f>
        <v>-408.60000000000036</v>
      </c>
      <c r="I114" s="165"/>
      <c r="J114" s="328">
        <f>H114/DAY(B2)</f>
        <v>-13.620000000000012</v>
      </c>
    </row>
    <row r="115" spans="1:18" ht="30.75" customHeight="1" x14ac:dyDescent="0.5">
      <c r="A115" s="851" t="s">
        <v>255</v>
      </c>
      <c r="B115" s="852"/>
      <c r="C115" s="853"/>
      <c r="D115" s="146" t="s">
        <v>183</v>
      </c>
      <c r="E115" s="95">
        <f>'29'!F115</f>
        <v>8765.64</v>
      </c>
      <c r="F115" s="237">
        <v>8774</v>
      </c>
      <c r="G115" s="112">
        <f t="shared" si="9"/>
        <v>8.3600000000005821</v>
      </c>
      <c r="H115" s="99">
        <f>G115+'29'!H115</f>
        <v>-11</v>
      </c>
      <c r="I115" s="165"/>
      <c r="J115" s="328">
        <f>H115/DAY(B2)</f>
        <v>-0.36666666666666664</v>
      </c>
    </row>
    <row r="116" spans="1:18" ht="30.75" customHeight="1" x14ac:dyDescent="0.5">
      <c r="A116" s="869" t="s">
        <v>96</v>
      </c>
      <c r="B116" s="870"/>
      <c r="C116" s="871"/>
      <c r="D116" s="146" t="s">
        <v>183</v>
      </c>
      <c r="E116" s="95">
        <f>'29'!F116</f>
        <v>0</v>
      </c>
      <c r="F116" s="237">
        <v>0</v>
      </c>
      <c r="G116" s="112">
        <f t="shared" si="9"/>
        <v>0</v>
      </c>
      <c r="H116" s="99">
        <f>G116+'29'!H116</f>
        <v>0</v>
      </c>
      <c r="I116" s="165"/>
      <c r="J116" s="328">
        <f>H116/DAY(B2)</f>
        <v>0</v>
      </c>
      <c r="Q116" s="851" t="s">
        <v>311</v>
      </c>
      <c r="R116" s="853"/>
    </row>
    <row r="117" spans="1:18" ht="30.75" customHeight="1" x14ac:dyDescent="0.5">
      <c r="A117" s="869" t="s">
        <v>184</v>
      </c>
      <c r="B117" s="870"/>
      <c r="C117" s="871"/>
      <c r="D117" s="146" t="s">
        <v>183</v>
      </c>
      <c r="E117" s="95">
        <f>'29'!F117</f>
        <v>2547.0100000000002</v>
      </c>
      <c r="F117" s="237">
        <v>2569</v>
      </c>
      <c r="G117" s="112">
        <f t="shared" si="9"/>
        <v>21.989999999999782</v>
      </c>
      <c r="H117" s="99">
        <f>G117+'29'!H117</f>
        <v>-21</v>
      </c>
      <c r="I117" s="165"/>
      <c r="J117" s="328">
        <f>H117/DAY(B2)</f>
        <v>-0.7</v>
      </c>
      <c r="Q117" s="851" t="s">
        <v>312</v>
      </c>
      <c r="R117" s="853"/>
    </row>
    <row r="118" spans="1:18" ht="30.75" customHeight="1" x14ac:dyDescent="0.5">
      <c r="A118" s="846" t="s">
        <v>97</v>
      </c>
      <c r="B118" s="846"/>
      <c r="C118" s="846"/>
      <c r="D118" s="151" t="s">
        <v>183</v>
      </c>
      <c r="E118" s="95">
        <f>'29'!F118</f>
        <v>240930.71</v>
      </c>
      <c r="F118" s="237">
        <v>241294</v>
      </c>
      <c r="G118" s="112">
        <f t="shared" si="9"/>
        <v>363.29000000000815</v>
      </c>
      <c r="H118" s="99">
        <f>G118+'29'!H118</f>
        <v>-353</v>
      </c>
      <c r="I118" s="165"/>
      <c r="J118" s="328">
        <f>H118/DAY(B2)</f>
        <v>-11.766666666666667</v>
      </c>
      <c r="Q118" s="851" t="s">
        <v>311</v>
      </c>
      <c r="R118" s="853"/>
    </row>
    <row r="119" spans="1:18" ht="30.75" customHeight="1" x14ac:dyDescent="0.5">
      <c r="A119" s="846" t="s">
        <v>98</v>
      </c>
      <c r="B119" s="846"/>
      <c r="C119" s="846"/>
      <c r="D119" s="151" t="s">
        <v>183</v>
      </c>
      <c r="E119" s="95">
        <f>'29'!F119</f>
        <v>244293.29</v>
      </c>
      <c r="F119" s="237">
        <v>244702</v>
      </c>
      <c r="G119" s="112">
        <f t="shared" si="9"/>
        <v>408.70999999999185</v>
      </c>
      <c r="H119" s="99">
        <f>G119+'29'!H119</f>
        <v>-424</v>
      </c>
      <c r="I119" s="165"/>
      <c r="J119" s="328">
        <f>H119/DAY(B2)</f>
        <v>-14.133333333333333</v>
      </c>
    </row>
    <row r="120" spans="1:18" ht="30.75" customHeight="1" x14ac:dyDescent="0.5">
      <c r="A120" s="846" t="s">
        <v>99</v>
      </c>
      <c r="B120" s="846"/>
      <c r="C120" s="846"/>
      <c r="D120" s="151" t="s">
        <v>183</v>
      </c>
      <c r="E120" s="95">
        <f>'29'!F120</f>
        <v>29243.51</v>
      </c>
      <c r="F120" s="237">
        <v>29665</v>
      </c>
      <c r="G120" s="112">
        <f t="shared" si="9"/>
        <v>421.4900000000016</v>
      </c>
      <c r="H120" s="99">
        <f>G120+'29'!H120</f>
        <v>-413</v>
      </c>
      <c r="I120" s="165"/>
      <c r="J120" s="328">
        <f>H120/DAY(B2)</f>
        <v>-13.766666666666667</v>
      </c>
    </row>
    <row r="121" spans="1:18" ht="30.75" customHeight="1" x14ac:dyDescent="0.5">
      <c r="A121" s="846" t="s">
        <v>100</v>
      </c>
      <c r="B121" s="846"/>
      <c r="C121" s="846"/>
      <c r="D121" s="151" t="s">
        <v>183</v>
      </c>
      <c r="E121" s="95">
        <f>'29'!F121</f>
        <v>374958.61</v>
      </c>
      <c r="F121" s="237">
        <v>375730</v>
      </c>
      <c r="G121" s="112">
        <f t="shared" si="9"/>
        <v>771.39000000001397</v>
      </c>
      <c r="H121" s="99">
        <f>G121+'29'!H121</f>
        <v>-799</v>
      </c>
      <c r="I121" s="165"/>
      <c r="J121" s="328">
        <f>H121/DAY(B2)</f>
        <v>-26.633333333333333</v>
      </c>
    </row>
    <row r="122" spans="1:18" ht="30.75" customHeight="1" x14ac:dyDescent="0.5">
      <c r="A122" s="846" t="s">
        <v>101</v>
      </c>
      <c r="B122" s="846"/>
      <c r="C122" s="846"/>
      <c r="D122" s="151" t="s">
        <v>183</v>
      </c>
      <c r="E122" s="95">
        <f>'29'!F122</f>
        <v>119588.07</v>
      </c>
      <c r="F122" s="237">
        <v>119804</v>
      </c>
      <c r="G122" s="112">
        <f t="shared" si="9"/>
        <v>215.92999999999302</v>
      </c>
      <c r="H122" s="99">
        <f>G122+'29'!H122</f>
        <v>-246</v>
      </c>
      <c r="I122" s="165"/>
      <c r="J122" s="328">
        <f>H122/DAY(B2)</f>
        <v>-8.1999999999999993</v>
      </c>
    </row>
    <row r="123" spans="1:18" ht="30.75" customHeight="1" x14ac:dyDescent="0.5">
      <c r="A123" s="846" t="s">
        <v>102</v>
      </c>
      <c r="B123" s="846"/>
      <c r="C123" s="846"/>
      <c r="D123" s="151" t="s">
        <v>183</v>
      </c>
      <c r="E123" s="95">
        <f>'29'!F123</f>
        <v>144462.63</v>
      </c>
      <c r="F123" s="237">
        <v>144787</v>
      </c>
      <c r="G123" s="112">
        <f t="shared" si="9"/>
        <v>324.36999999999534</v>
      </c>
      <c r="H123" s="99">
        <f>G123+'29'!H123</f>
        <v>-338</v>
      </c>
      <c r="I123" s="165"/>
      <c r="J123" s="328">
        <f>H123/DAY(B2)</f>
        <v>-11.266666666666667</v>
      </c>
    </row>
    <row r="124" spans="1:18" ht="30.75" customHeight="1" x14ac:dyDescent="0.5">
      <c r="A124" s="876"/>
      <c r="B124" s="877"/>
      <c r="C124" s="878"/>
      <c r="D124" s="165"/>
      <c r="E124" s="95">
        <f>'29'!F124</f>
        <v>0</v>
      </c>
      <c r="F124" s="165"/>
      <c r="G124" s="327"/>
      <c r="H124" s="99">
        <f>G124+'29'!H124</f>
        <v>0</v>
      </c>
      <c r="I124" s="165"/>
      <c r="J124" s="327"/>
    </row>
    <row r="125" spans="1:18" ht="30.75" customHeight="1" x14ac:dyDescent="0.5">
      <c r="A125" s="879" t="s">
        <v>196</v>
      </c>
      <c r="B125" s="880"/>
      <c r="C125" s="245"/>
      <c r="D125" s="307"/>
      <c r="E125" s="308"/>
      <c r="F125" s="308"/>
      <c r="G125" s="309">
        <f>SUM(G112:G124)</f>
        <v>5594.3100000000031</v>
      </c>
      <c r="H125" s="156"/>
      <c r="I125" s="327">
        <f>G125-(G39+G53)</f>
        <v>2882.0600000000031</v>
      </c>
      <c r="J125" s="327"/>
    </row>
    <row r="126" spans="1:18" ht="30.75" customHeight="1" x14ac:dyDescent="0.5">
      <c r="A126" s="881" t="s">
        <v>317</v>
      </c>
      <c r="B126" s="881"/>
      <c r="C126" s="881"/>
      <c r="D126" s="881"/>
      <c r="E126" s="881"/>
      <c r="F126" s="881"/>
      <c r="G126" s="881"/>
      <c r="H126" s="881"/>
      <c r="I126" s="881"/>
      <c r="J126" s="881"/>
    </row>
    <row r="127" spans="1:18" ht="30.75" customHeight="1" x14ac:dyDescent="0.5">
      <c r="A127" s="882"/>
      <c r="B127" s="882"/>
      <c r="C127" s="245"/>
      <c r="D127" s="307"/>
      <c r="E127" s="308"/>
      <c r="F127" s="308"/>
      <c r="G127" s="309"/>
      <c r="H127" s="99">
        <f>G127+'29'!H127</f>
        <v>0</v>
      </c>
      <c r="I127" s="165"/>
      <c r="J127" s="328">
        <f>H127/DAY(B2)</f>
        <v>0</v>
      </c>
    </row>
    <row r="128" spans="1:18" ht="30.75" customHeight="1" x14ac:dyDescent="0.5">
      <c r="A128" s="851" t="s">
        <v>318</v>
      </c>
      <c r="B128" s="852"/>
      <c r="C128" s="853"/>
      <c r="D128" s="151" t="s">
        <v>183</v>
      </c>
      <c r="E128" s="95">
        <f>'29'!F128</f>
        <v>37254.01</v>
      </c>
      <c r="F128" s="165">
        <v>37627</v>
      </c>
      <c r="G128" s="112">
        <f t="shared" ref="G128:G134" si="10">F128-E128</f>
        <v>372.98999999999796</v>
      </c>
      <c r="H128" s="99">
        <f>G128+'29'!H128</f>
        <v>-377</v>
      </c>
      <c r="I128" s="165"/>
      <c r="J128" s="328">
        <f>H128/DAY(B2)</f>
        <v>-12.566666666666666</v>
      </c>
    </row>
    <row r="129" spans="1:15" ht="30.75" customHeight="1" x14ac:dyDescent="0.5">
      <c r="A129" s="329" t="s">
        <v>319</v>
      </c>
      <c r="B129" s="330"/>
      <c r="C129" s="331"/>
      <c r="D129" s="151" t="s">
        <v>183</v>
      </c>
      <c r="E129" s="95">
        <f>'29'!F129</f>
        <v>19911.98</v>
      </c>
      <c r="F129" s="165">
        <v>20114</v>
      </c>
      <c r="G129" s="112">
        <f t="shared" si="10"/>
        <v>202.02000000000044</v>
      </c>
      <c r="H129" s="99">
        <f>G129+'29'!H129</f>
        <v>-207</v>
      </c>
      <c r="I129" s="165"/>
      <c r="J129" s="328">
        <f>H129/DAY(B2)</f>
        <v>-6.9</v>
      </c>
      <c r="N129" s="240"/>
      <c r="O129" s="241"/>
    </row>
    <row r="130" spans="1:15" ht="30.75" customHeight="1" x14ac:dyDescent="0.5">
      <c r="A130" s="329" t="s">
        <v>320</v>
      </c>
      <c r="B130" s="330"/>
      <c r="C130" s="331"/>
      <c r="D130" s="151" t="s">
        <v>183</v>
      </c>
      <c r="E130" s="95">
        <f>'29'!F130</f>
        <v>16637.02</v>
      </c>
      <c r="F130" s="165">
        <v>17602</v>
      </c>
      <c r="G130" s="112">
        <f t="shared" si="10"/>
        <v>964.97999999999956</v>
      </c>
      <c r="H130" s="99">
        <f>G130+'29'!H130</f>
        <v>-780</v>
      </c>
      <c r="I130" s="165"/>
      <c r="J130" s="328">
        <f>H130/DAY(B2)</f>
        <v>-26</v>
      </c>
      <c r="N130" s="240"/>
      <c r="O130" s="241"/>
    </row>
    <row r="131" spans="1:15" ht="30.75" customHeight="1" x14ac:dyDescent="0.5">
      <c r="A131" s="851" t="s">
        <v>321</v>
      </c>
      <c r="B131" s="852"/>
      <c r="C131" s="853"/>
      <c r="D131" s="151" t="s">
        <v>183</v>
      </c>
      <c r="E131" s="95">
        <f>'29'!F131</f>
        <v>13006.7</v>
      </c>
      <c r="F131" s="165">
        <v>13076</v>
      </c>
      <c r="G131" s="112">
        <f t="shared" si="10"/>
        <v>69.299999999999272</v>
      </c>
      <c r="H131" s="99">
        <f>G131+'29'!H131</f>
        <v>-77</v>
      </c>
      <c r="I131" s="165"/>
      <c r="J131" s="328">
        <f>H131/DAY(B2)</f>
        <v>-2.5666666666666669</v>
      </c>
      <c r="N131" s="240"/>
      <c r="O131" s="241"/>
    </row>
    <row r="132" spans="1:15" ht="30.75" customHeight="1" x14ac:dyDescent="0.5">
      <c r="A132" s="851" t="s">
        <v>322</v>
      </c>
      <c r="B132" s="852"/>
      <c r="C132" s="853"/>
      <c r="D132" s="151" t="s">
        <v>183</v>
      </c>
      <c r="E132" s="95">
        <f>'29'!F132</f>
        <v>40127.279999999999</v>
      </c>
      <c r="F132" s="165">
        <v>40577</v>
      </c>
      <c r="G132" s="112">
        <f t="shared" si="10"/>
        <v>449.72000000000116</v>
      </c>
      <c r="H132" s="99">
        <f>G132+'29'!H132</f>
        <v>-446</v>
      </c>
      <c r="I132" s="165"/>
      <c r="J132" s="328">
        <f>H132/DAY(B2)</f>
        <v>-14.866666666666667</v>
      </c>
    </row>
    <row r="133" spans="1:15" ht="30.75" customHeight="1" x14ac:dyDescent="0.5">
      <c r="A133" s="851" t="s">
        <v>362</v>
      </c>
      <c r="B133" s="852"/>
      <c r="C133" s="853"/>
      <c r="D133" s="151" t="s">
        <v>183</v>
      </c>
      <c r="E133" s="95">
        <f>'29'!F133</f>
        <v>86468.29</v>
      </c>
      <c r="F133" s="165">
        <v>87056</v>
      </c>
      <c r="G133" s="112">
        <f t="shared" si="10"/>
        <v>587.7100000000064</v>
      </c>
      <c r="H133" s="99">
        <f>G133+'29'!H133</f>
        <v>-647</v>
      </c>
      <c r="I133" s="165"/>
      <c r="J133" s="328">
        <f>H133/DAY(B2)</f>
        <v>-21.566666666666666</v>
      </c>
    </row>
    <row r="134" spans="1:15" ht="30.75" customHeight="1" x14ac:dyDescent="0.5">
      <c r="A134" s="851" t="s">
        <v>340</v>
      </c>
      <c r="B134" s="852"/>
      <c r="C134" s="853"/>
      <c r="D134" s="151" t="s">
        <v>183</v>
      </c>
      <c r="E134" s="95">
        <f>'29'!F134</f>
        <v>667634</v>
      </c>
      <c r="F134" s="597">
        <v>668262</v>
      </c>
      <c r="G134" s="112">
        <f t="shared" si="10"/>
        <v>628</v>
      </c>
      <c r="H134" s="99">
        <f>G134+'29'!H134</f>
        <v>670556</v>
      </c>
      <c r="I134" s="165"/>
      <c r="J134" s="328">
        <f>H134/DAY(B2)</f>
        <v>22351.866666666665</v>
      </c>
    </row>
    <row r="135" spans="1:15" ht="30.75" customHeight="1" x14ac:dyDescent="0.5">
      <c r="A135" s="879" t="s">
        <v>196</v>
      </c>
      <c r="B135" s="880"/>
      <c r="C135" s="331"/>
      <c r="D135" s="151"/>
      <c r="E135" s="95"/>
      <c r="F135" s="165"/>
      <c r="G135" s="112">
        <f>SUM(G128:G134)</f>
        <v>3274.7200000000048</v>
      </c>
      <c r="H135" s="99">
        <f>G135+'23'!H135</f>
        <v>36634.889999999985</v>
      </c>
      <c r="I135" s="327">
        <f>G135-(G35+G49)</f>
        <v>-221.04000000000451</v>
      </c>
      <c r="J135" s="328"/>
    </row>
    <row r="136" spans="1:15" ht="30.75" customHeight="1" x14ac:dyDescent="0.55000000000000004">
      <c r="A136" s="883" t="s">
        <v>325</v>
      </c>
      <c r="B136" s="883"/>
      <c r="C136" s="883"/>
      <c r="D136" s="883"/>
      <c r="E136" s="883"/>
      <c r="F136" s="883"/>
      <c r="G136" s="883"/>
      <c r="H136" s="883"/>
      <c r="I136" s="883"/>
      <c r="J136" s="883"/>
    </row>
    <row r="137" spans="1:15" ht="30.75" customHeight="1" x14ac:dyDescent="0.5">
      <c r="A137" s="245"/>
      <c r="B137" s="246"/>
      <c r="C137" s="246"/>
      <c r="D137" s="165"/>
      <c r="E137" s="165"/>
      <c r="F137" s="165"/>
      <c r="G137" s="165"/>
      <c r="H137" s="156"/>
      <c r="I137" s="165"/>
      <c r="J137" s="327"/>
    </row>
    <row r="138" spans="1:15" ht="30.75" customHeight="1" x14ac:dyDescent="0.5">
      <c r="A138" s="846" t="s">
        <v>185</v>
      </c>
      <c r="B138" s="846"/>
      <c r="C138" s="846"/>
      <c r="D138" s="151" t="s">
        <v>183</v>
      </c>
      <c r="E138" s="95">
        <f>'29'!F138</f>
        <v>863973</v>
      </c>
      <c r="F138" s="147">
        <v>864069</v>
      </c>
      <c r="G138" s="112">
        <f t="shared" ref="G138:G152" si="11">F138-E138</f>
        <v>96</v>
      </c>
      <c r="H138" s="99">
        <f>G138+'29'!H138</f>
        <v>-102</v>
      </c>
      <c r="I138" s="118"/>
      <c r="J138" s="328">
        <f>H138/DAY(B2)</f>
        <v>-3.4</v>
      </c>
    </row>
    <row r="139" spans="1:15" ht="30.75" customHeight="1" x14ac:dyDescent="0.5">
      <c r="A139" s="846" t="s">
        <v>186</v>
      </c>
      <c r="B139" s="846"/>
      <c r="C139" s="846"/>
      <c r="D139" s="151" t="s">
        <v>183</v>
      </c>
      <c r="E139" s="95">
        <f>'29'!F139</f>
        <v>886545</v>
      </c>
      <c r="F139" s="148">
        <v>886546</v>
      </c>
      <c r="G139" s="112">
        <f t="shared" si="11"/>
        <v>1</v>
      </c>
      <c r="H139" s="99">
        <f>G139+'29'!H139</f>
        <v>0</v>
      </c>
      <c r="I139" s="118"/>
      <c r="J139" s="328">
        <f>H139/DAY(B2)</f>
        <v>0</v>
      </c>
    </row>
    <row r="140" spans="1:15" ht="30.75" customHeight="1" x14ac:dyDescent="0.5">
      <c r="A140" s="846" t="s">
        <v>187</v>
      </c>
      <c r="B140" s="846"/>
      <c r="C140" s="846"/>
      <c r="D140" s="151" t="s">
        <v>183</v>
      </c>
      <c r="E140" s="95">
        <f>'29'!F140</f>
        <v>88882</v>
      </c>
      <c r="F140" s="149">
        <v>88882</v>
      </c>
      <c r="G140" s="112">
        <f t="shared" si="11"/>
        <v>0</v>
      </c>
      <c r="H140" s="99">
        <f>G140+'29'!H140</f>
        <v>0</v>
      </c>
      <c r="I140" s="118"/>
      <c r="J140" s="328">
        <f>H140/DAY(B2)</f>
        <v>0</v>
      </c>
    </row>
    <row r="141" spans="1:15" ht="30.75" customHeight="1" x14ac:dyDescent="0.5">
      <c r="A141" s="850" t="s">
        <v>188</v>
      </c>
      <c r="B141" s="850"/>
      <c r="C141" s="850"/>
      <c r="D141" s="151" t="s">
        <v>183</v>
      </c>
      <c r="E141" s="95">
        <f>'29'!F141</f>
        <v>48918.58</v>
      </c>
      <c r="F141" s="149">
        <v>49098</v>
      </c>
      <c r="G141" s="112">
        <f t="shared" si="11"/>
        <v>179.41999999999825</v>
      </c>
      <c r="H141" s="99">
        <f>G141+'29'!H141</f>
        <v>-208</v>
      </c>
      <c r="I141" s="118"/>
      <c r="J141" s="328">
        <f>H141/DAY(B2)</f>
        <v>-6.9333333333333336</v>
      </c>
    </row>
    <row r="142" spans="1:15" ht="30.75" customHeight="1" x14ac:dyDescent="0.5">
      <c r="A142" s="850" t="s">
        <v>189</v>
      </c>
      <c r="B142" s="850"/>
      <c r="C142" s="850"/>
      <c r="D142" s="151" t="s">
        <v>183</v>
      </c>
      <c r="E142" s="95">
        <f>'29'!F142</f>
        <v>18855.740000000002</v>
      </c>
      <c r="F142" s="148">
        <v>18931</v>
      </c>
      <c r="G142" s="112">
        <f t="shared" si="11"/>
        <v>75.259999999998399</v>
      </c>
      <c r="H142" s="99">
        <f>G142+'29'!H142</f>
        <v>-78</v>
      </c>
      <c r="I142" s="140"/>
      <c r="J142" s="328">
        <f>H142/DAY(B2)</f>
        <v>-2.6</v>
      </c>
    </row>
    <row r="143" spans="1:15" ht="30.75" customHeight="1" x14ac:dyDescent="0.5">
      <c r="A143" s="846" t="s">
        <v>91</v>
      </c>
      <c r="B143" s="846"/>
      <c r="C143" s="846"/>
      <c r="D143" s="151" t="s">
        <v>183</v>
      </c>
      <c r="E143" s="95">
        <f>'29'!F143</f>
        <v>3016.9</v>
      </c>
      <c r="F143" s="149">
        <v>3040</v>
      </c>
      <c r="G143" s="112">
        <f t="shared" si="11"/>
        <v>23.099999999999909</v>
      </c>
      <c r="H143" s="99">
        <f>G143+'29'!H143</f>
        <v>-21</v>
      </c>
      <c r="I143" s="140"/>
      <c r="J143" s="328">
        <f>H143/DAY(B2)</f>
        <v>-0.7</v>
      </c>
    </row>
    <row r="144" spans="1:15" ht="30.75" customHeight="1" x14ac:dyDescent="0.5">
      <c r="A144" s="850" t="s">
        <v>90</v>
      </c>
      <c r="B144" s="850"/>
      <c r="C144" s="850"/>
      <c r="D144" s="151" t="s">
        <v>183</v>
      </c>
      <c r="E144" s="95">
        <f>'29'!F144</f>
        <v>869213</v>
      </c>
      <c r="F144" s="149">
        <v>869441</v>
      </c>
      <c r="G144" s="112">
        <f t="shared" si="11"/>
        <v>228</v>
      </c>
      <c r="H144" s="99">
        <f>G144+'29'!H144</f>
        <v>-229</v>
      </c>
      <c r="I144" s="140"/>
      <c r="J144" s="328">
        <f>H144/DAY(B2)</f>
        <v>-7.6333333333333337</v>
      </c>
    </row>
    <row r="145" spans="1:10" ht="30.75" customHeight="1" x14ac:dyDescent="0.5">
      <c r="A145" s="846" t="s">
        <v>190</v>
      </c>
      <c r="B145" s="846"/>
      <c r="C145" s="846"/>
      <c r="D145" s="152" t="s">
        <v>183</v>
      </c>
      <c r="E145" s="95">
        <f>'29'!F145</f>
        <v>4530</v>
      </c>
      <c r="F145" s="149">
        <v>4544</v>
      </c>
      <c r="G145" s="112">
        <f t="shared" si="11"/>
        <v>14</v>
      </c>
      <c r="H145" s="99">
        <f>G145+'29'!H145</f>
        <v>-14</v>
      </c>
      <c r="I145" s="140"/>
      <c r="J145" s="328">
        <f>H145/DAY(B2)</f>
        <v>-0.46666666666666667</v>
      </c>
    </row>
    <row r="146" spans="1:10" ht="30.75" customHeight="1" x14ac:dyDescent="0.5">
      <c r="A146" s="847" t="s">
        <v>191</v>
      </c>
      <c r="B146" s="848"/>
      <c r="C146" s="849"/>
      <c r="D146" s="152" t="s">
        <v>183</v>
      </c>
      <c r="E146" s="95">
        <f>'29'!F146</f>
        <v>723915</v>
      </c>
      <c r="F146" s="148">
        <v>724396</v>
      </c>
      <c r="G146" s="112">
        <f t="shared" si="11"/>
        <v>481</v>
      </c>
      <c r="H146" s="99">
        <f>G146+'29'!H146</f>
        <v>-462</v>
      </c>
      <c r="I146" s="140"/>
      <c r="J146" s="328">
        <f>H146/DAY(B2)</f>
        <v>-15.4</v>
      </c>
    </row>
    <row r="147" spans="1:10" ht="30.75" customHeight="1" x14ac:dyDescent="0.5">
      <c r="A147" s="850" t="s">
        <v>192</v>
      </c>
      <c r="B147" s="850"/>
      <c r="C147" s="850"/>
      <c r="D147" s="152" t="s">
        <v>183</v>
      </c>
      <c r="E147" s="95">
        <f>'29'!F147</f>
        <v>614450.28</v>
      </c>
      <c r="F147" s="148">
        <v>614855</v>
      </c>
      <c r="G147" s="112">
        <f t="shared" si="11"/>
        <v>404.71999999997206</v>
      </c>
      <c r="H147" s="99">
        <f>G147+'29'!H147</f>
        <v>-427</v>
      </c>
      <c r="I147" s="140"/>
      <c r="J147" s="328">
        <f>H147/DAY(B2)</f>
        <v>-14.233333333333333</v>
      </c>
    </row>
    <row r="148" spans="1:10" ht="30.75" customHeight="1" x14ac:dyDescent="0.5">
      <c r="A148" s="842" t="s">
        <v>193</v>
      </c>
      <c r="B148" s="843"/>
      <c r="C148" s="844"/>
      <c r="D148" s="123" t="s">
        <v>130</v>
      </c>
      <c r="E148" s="95">
        <f>'29'!F148</f>
        <v>682450.96</v>
      </c>
      <c r="F148" s="150">
        <v>682733</v>
      </c>
      <c r="G148" s="112">
        <f t="shared" si="11"/>
        <v>282.04000000003725</v>
      </c>
      <c r="H148" s="99">
        <f>G148+'29'!H148</f>
        <v>-300.11999999999534</v>
      </c>
      <c r="I148" s="124"/>
      <c r="J148" s="328">
        <f>H148/DAY(B2)</f>
        <v>-10.003999999999845</v>
      </c>
    </row>
    <row r="149" spans="1:10" ht="30.75" customHeight="1" x14ac:dyDescent="0.5">
      <c r="A149" s="842" t="s">
        <v>336</v>
      </c>
      <c r="B149" s="843"/>
      <c r="C149" s="844"/>
      <c r="D149" s="227" t="s">
        <v>130</v>
      </c>
      <c r="E149" s="95">
        <f>'29'!F149</f>
        <v>9770.5</v>
      </c>
      <c r="F149" s="146">
        <v>10367</v>
      </c>
      <c r="G149" s="112">
        <f t="shared" si="11"/>
        <v>596.5</v>
      </c>
      <c r="H149" s="99">
        <f>G149+'29'!H149</f>
        <v>-382</v>
      </c>
      <c r="I149" s="119"/>
      <c r="J149" s="328">
        <f>H149/DAY(B2)</f>
        <v>-12.733333333333333</v>
      </c>
    </row>
    <row r="150" spans="1:10" ht="30.75" customHeight="1" x14ac:dyDescent="0.5">
      <c r="A150" s="842" t="s">
        <v>337</v>
      </c>
      <c r="B150" s="843"/>
      <c r="C150" s="844"/>
      <c r="D150" s="117" t="s">
        <v>130</v>
      </c>
      <c r="E150" s="95">
        <f>'29'!F150</f>
        <v>3603.3</v>
      </c>
      <c r="F150" s="233">
        <v>3832</v>
      </c>
      <c r="G150" s="112">
        <f t="shared" si="11"/>
        <v>228.69999999999982</v>
      </c>
      <c r="H150" s="99">
        <f>G150+'29'!H150</f>
        <v>-220</v>
      </c>
      <c r="I150" s="119"/>
      <c r="J150" s="328">
        <f>H150/DAY(B2)</f>
        <v>-7.333333333333333</v>
      </c>
    </row>
    <row r="151" spans="1:10" ht="30.75" customHeight="1" x14ac:dyDescent="0.5">
      <c r="A151" s="842" t="s">
        <v>338</v>
      </c>
      <c r="B151" s="843"/>
      <c r="C151" s="844"/>
      <c r="D151" s="117" t="s">
        <v>130</v>
      </c>
      <c r="E151" s="95">
        <f>'29'!F151</f>
        <v>77703</v>
      </c>
      <c r="F151" s="233">
        <v>77944</v>
      </c>
      <c r="G151" s="112">
        <f t="shared" si="11"/>
        <v>241</v>
      </c>
      <c r="H151" s="99">
        <f>G151+'29'!H151</f>
        <v>-273</v>
      </c>
      <c r="I151" s="119"/>
      <c r="J151" s="328">
        <f>H151/DAY(B2)</f>
        <v>-9.1</v>
      </c>
    </row>
    <row r="152" spans="1:10" ht="30.75" customHeight="1" x14ac:dyDescent="0.5">
      <c r="A152" s="842" t="s">
        <v>339</v>
      </c>
      <c r="B152" s="843"/>
      <c r="C152" s="844"/>
      <c r="D152" s="117" t="s">
        <v>130</v>
      </c>
      <c r="E152" s="95">
        <f>'29'!F152</f>
        <v>1030</v>
      </c>
      <c r="F152" s="233">
        <v>1077</v>
      </c>
      <c r="G152" s="112">
        <f t="shared" si="11"/>
        <v>47</v>
      </c>
      <c r="H152" s="99">
        <f>G152+'29'!H152</f>
        <v>-50</v>
      </c>
      <c r="I152" s="119"/>
      <c r="J152" s="328">
        <f>H152/DAY(B2)</f>
        <v>-1.6666666666666667</v>
      </c>
    </row>
    <row r="153" spans="1:10" ht="30.75" customHeight="1" x14ac:dyDescent="0.5">
      <c r="A153" s="879" t="s">
        <v>196</v>
      </c>
      <c r="B153" s="880"/>
      <c r="C153" s="365"/>
      <c r="D153" s="358"/>
      <c r="E153" s="360"/>
      <c r="F153" s="361"/>
      <c r="G153" s="362">
        <f>SUM(G138:G152)</f>
        <v>2897.7400000000057</v>
      </c>
      <c r="H153" s="363"/>
      <c r="I153" s="119">
        <f>G153-(G38+G52)</f>
        <v>988.81000000001268</v>
      </c>
      <c r="J153" s="366"/>
    </row>
    <row r="154" spans="1:10" ht="30.75" customHeight="1" x14ac:dyDescent="0.55000000000000004">
      <c r="A154" s="883" t="s">
        <v>344</v>
      </c>
      <c r="B154" s="883"/>
      <c r="C154" s="883"/>
      <c r="D154" s="883"/>
      <c r="E154" s="883"/>
      <c r="F154" s="883"/>
      <c r="G154" s="883"/>
      <c r="H154" s="883"/>
      <c r="I154" s="883"/>
      <c r="J154" s="883"/>
    </row>
    <row r="155" spans="1:10" ht="30.75" customHeight="1" x14ac:dyDescent="0.55000000000000004">
      <c r="A155" s="850" t="s">
        <v>345</v>
      </c>
      <c r="B155" s="850"/>
      <c r="C155" s="850"/>
      <c r="D155" s="117" t="s">
        <v>130</v>
      </c>
      <c r="E155" s="95">
        <f>'29'!F155</f>
        <v>11473</v>
      </c>
      <c r="F155" s="364">
        <v>12107</v>
      </c>
      <c r="G155" s="112">
        <f t="shared" ref="G155:G156" si="12">F155-E155</f>
        <v>634</v>
      </c>
      <c r="H155" s="99">
        <f>G155+'29'!H155</f>
        <v>-1365</v>
      </c>
      <c r="I155" s="364"/>
      <c r="J155" s="328">
        <f>H155/DAY(B2)</f>
        <v>-45.5</v>
      </c>
    </row>
    <row r="156" spans="1:10" ht="30.75" customHeight="1" x14ac:dyDescent="0.5">
      <c r="A156" s="850" t="s">
        <v>347</v>
      </c>
      <c r="B156" s="850"/>
      <c r="C156" s="850"/>
      <c r="D156" s="117" t="s">
        <v>130</v>
      </c>
      <c r="E156" s="95">
        <f>'29'!F156</f>
        <v>933</v>
      </c>
      <c r="F156" s="165">
        <v>979</v>
      </c>
      <c r="G156" s="112">
        <f t="shared" si="12"/>
        <v>46</v>
      </c>
      <c r="H156" s="99">
        <f>G156+'29'!H156</f>
        <v>-109</v>
      </c>
      <c r="I156" s="165"/>
      <c r="J156" s="328">
        <f>H156/DAY(B2)</f>
        <v>-3.6333333333333333</v>
      </c>
    </row>
    <row r="157" spans="1:10" ht="30.75" customHeight="1" x14ac:dyDescent="0.5">
      <c r="A157" s="842" t="s">
        <v>364</v>
      </c>
      <c r="B157" s="843"/>
      <c r="C157" s="844"/>
      <c r="D157" s="117" t="s">
        <v>130</v>
      </c>
      <c r="E157" s="95"/>
      <c r="F157" s="165">
        <v>1169</v>
      </c>
      <c r="G157" s="112"/>
      <c r="H157" s="99"/>
      <c r="I157" s="165"/>
      <c r="J157" s="328"/>
    </row>
    <row r="158" spans="1:10" ht="30.75" customHeight="1" x14ac:dyDescent="0.5">
      <c r="A158" s="842" t="s">
        <v>365</v>
      </c>
      <c r="B158" s="843"/>
      <c r="C158" s="844"/>
      <c r="D158" s="117" t="s">
        <v>130</v>
      </c>
      <c r="E158" s="95"/>
      <c r="F158" s="165">
        <v>7.76</v>
      </c>
      <c r="G158" s="112"/>
      <c r="H158" s="99"/>
      <c r="I158" s="165"/>
      <c r="J158" s="328"/>
    </row>
    <row r="159" spans="1:10" ht="30.75" customHeight="1" x14ac:dyDescent="0.5">
      <c r="A159" s="899"/>
      <c r="B159" s="900"/>
      <c r="C159" s="901"/>
      <c r="D159" s="117"/>
      <c r="E159" s="95"/>
      <c r="F159" s="165"/>
      <c r="G159" s="112"/>
      <c r="H159" s="99"/>
      <c r="I159" s="165"/>
      <c r="J159" s="328"/>
    </row>
    <row r="160" spans="1:10" ht="30.75" customHeight="1" x14ac:dyDescent="0.55000000000000004">
      <c r="A160" s="883"/>
      <c r="B160" s="883"/>
      <c r="C160" s="883"/>
      <c r="D160" s="883"/>
      <c r="E160" s="883"/>
      <c r="F160" s="883"/>
      <c r="G160" s="883"/>
      <c r="H160" s="883"/>
      <c r="I160" s="883"/>
      <c r="J160" s="883"/>
    </row>
    <row r="161" spans="1:10" ht="30.75" customHeight="1" x14ac:dyDescent="0.5">
      <c r="A161" s="242" t="s">
        <v>92</v>
      </c>
      <c r="B161" s="243"/>
      <c r="C161" s="243"/>
      <c r="D161" s="244" t="s">
        <v>180</v>
      </c>
      <c r="E161" s="95">
        <f>'29'!F161</f>
        <v>471152.04</v>
      </c>
      <c r="F161" s="235">
        <v>471153</v>
      </c>
      <c r="G161" s="238">
        <f t="shared" ref="G161:G165" si="13">F161-E161</f>
        <v>0.96000000002095476</v>
      </c>
      <c r="H161" s="99">
        <f>G161+'29'!H161</f>
        <v>-0.15999999997438863</v>
      </c>
      <c r="I161" s="236"/>
      <c r="J161" s="239">
        <f>H161/DAY(B2)</f>
        <v>-5.3333333324796211E-3</v>
      </c>
    </row>
    <row r="162" spans="1:10" ht="30.75" customHeight="1" x14ac:dyDescent="0.5">
      <c r="A162" s="242" t="s">
        <v>93</v>
      </c>
      <c r="B162" s="243"/>
      <c r="C162" s="243"/>
      <c r="D162" s="244" t="s">
        <v>180</v>
      </c>
      <c r="E162" s="95">
        <f>'29'!F162</f>
        <v>87511.6</v>
      </c>
      <c r="F162" s="235">
        <v>87545</v>
      </c>
      <c r="G162" s="238">
        <f t="shared" si="13"/>
        <v>33.399999999994179</v>
      </c>
      <c r="H162" s="99">
        <f>G162+'29'!H162</f>
        <v>-25</v>
      </c>
      <c r="I162" s="236"/>
      <c r="J162" s="239">
        <f>H162/DAY(B2)</f>
        <v>-0.83333333333333337</v>
      </c>
    </row>
    <row r="163" spans="1:10" ht="30.75" customHeight="1" x14ac:dyDescent="0.5">
      <c r="A163" s="242" t="s">
        <v>197</v>
      </c>
      <c r="B163" s="243"/>
      <c r="C163" s="243"/>
      <c r="D163" s="244" t="s">
        <v>180</v>
      </c>
      <c r="E163" s="95">
        <f>'29'!F163</f>
        <v>77753.8</v>
      </c>
      <c r="F163" s="235">
        <v>77791</v>
      </c>
      <c r="G163" s="238">
        <f t="shared" si="13"/>
        <v>37.19999999999709</v>
      </c>
      <c r="H163" s="99">
        <f>G163+'29'!H163</f>
        <v>-34</v>
      </c>
      <c r="I163" s="236"/>
      <c r="J163" s="239">
        <f>H163/DAY(B2)</f>
        <v>-1.1333333333333333</v>
      </c>
    </row>
    <row r="164" spans="1:10" ht="30.75" customHeight="1" x14ac:dyDescent="0.5">
      <c r="A164" s="242" t="s">
        <v>197</v>
      </c>
      <c r="B164" s="243"/>
      <c r="C164" s="243"/>
      <c r="D164" s="244" t="s">
        <v>180</v>
      </c>
      <c r="E164" s="95">
        <f>'29'!F164</f>
        <v>4241.2</v>
      </c>
      <c r="F164" s="235">
        <v>4242</v>
      </c>
      <c r="G164" s="238">
        <f t="shared" si="13"/>
        <v>0.8000000000001819</v>
      </c>
      <c r="H164" s="99">
        <f>G164+'29'!H164</f>
        <v>0</v>
      </c>
      <c r="I164" s="236"/>
      <c r="J164" s="239">
        <f>H164/DAY(B2)</f>
        <v>0</v>
      </c>
    </row>
    <row r="165" spans="1:10" ht="30.75" customHeight="1" x14ac:dyDescent="0.5">
      <c r="A165" s="242" t="s">
        <v>309</v>
      </c>
      <c r="B165" s="243"/>
      <c r="C165" s="243"/>
      <c r="D165" s="244" t="s">
        <v>180</v>
      </c>
      <c r="E165" s="95">
        <f>'29'!F165</f>
        <v>29635.200000000001</v>
      </c>
      <c r="F165" s="235">
        <v>29641</v>
      </c>
      <c r="G165" s="238">
        <f t="shared" si="13"/>
        <v>5.7999999999992724</v>
      </c>
      <c r="H165" s="99">
        <f>G165+'29'!H165</f>
        <v>-5</v>
      </c>
      <c r="I165" s="236"/>
      <c r="J165" s="239">
        <f>H165/DAY(B2)</f>
        <v>-0.16666666666666666</v>
      </c>
    </row>
    <row r="166" spans="1:10" ht="30.75" customHeight="1" x14ac:dyDescent="0.5">
      <c r="A166" s="882"/>
      <c r="B166" s="882"/>
      <c r="C166" s="246"/>
      <c r="D166" s="244" t="s">
        <v>180</v>
      </c>
      <c r="E166" s="95">
        <f>'29'!F166</f>
        <v>0</v>
      </c>
      <c r="F166" s="165"/>
      <c r="G166" s="165"/>
      <c r="H166" s="99">
        <f>G166+'29'!H166</f>
        <v>0</v>
      </c>
      <c r="I166" s="165"/>
      <c r="J166" s="239">
        <f>H166/DAY(B2)</f>
        <v>0</v>
      </c>
    </row>
    <row r="167" spans="1:10" ht="30.75" customHeight="1" x14ac:dyDescent="0.5">
      <c r="A167" s="882"/>
      <c r="B167" s="882"/>
      <c r="C167" s="246"/>
      <c r="D167" s="244" t="s">
        <v>180</v>
      </c>
      <c r="E167" s="95">
        <f>'29'!F167</f>
        <v>0</v>
      </c>
      <c r="F167" s="165"/>
      <c r="G167" s="165"/>
      <c r="H167" s="99">
        <f>G167+'29'!H167</f>
        <v>0</v>
      </c>
      <c r="I167" s="165"/>
      <c r="J167" s="239">
        <f>H167/DAY(B2)</f>
        <v>0</v>
      </c>
    </row>
    <row r="168" spans="1:10" ht="30.75" customHeight="1" x14ac:dyDescent="0.5">
      <c r="A168" s="882"/>
      <c r="B168" s="882"/>
      <c r="C168" s="246"/>
      <c r="D168" s="244" t="s">
        <v>180</v>
      </c>
      <c r="E168" s="95">
        <f>'29'!F168</f>
        <v>0</v>
      </c>
      <c r="F168" s="165"/>
      <c r="G168" s="165"/>
      <c r="H168" s="99">
        <f>G168+'29'!H168</f>
        <v>0</v>
      </c>
      <c r="I168" s="165"/>
      <c r="J168" s="239">
        <f>H168/DAY(B2)</f>
        <v>0</v>
      </c>
    </row>
    <row r="171" spans="1:10" ht="30.75" customHeight="1" x14ac:dyDescent="0.35">
      <c r="A171" s="890" t="s">
        <v>330</v>
      </c>
      <c r="B171" s="891"/>
      <c r="C171" s="891"/>
      <c r="D171" s="891"/>
      <c r="E171" s="891"/>
      <c r="F171" s="891"/>
      <c r="G171" s="891"/>
      <c r="H171" s="891"/>
      <c r="I171" s="891"/>
      <c r="J171" s="892"/>
    </row>
    <row r="172" spans="1:10" ht="30.75" customHeight="1" x14ac:dyDescent="0.5">
      <c r="A172" s="886"/>
      <c r="B172" s="887"/>
      <c r="C172" s="332"/>
      <c r="D172" s="228"/>
      <c r="E172" s="155"/>
      <c r="F172" s="155"/>
      <c r="G172" s="155"/>
      <c r="H172" s="156"/>
      <c r="I172" s="155"/>
      <c r="J172" s="178"/>
    </row>
    <row r="173" spans="1:10" ht="30.75" customHeight="1" x14ac:dyDescent="0.5">
      <c r="A173" s="840" t="s">
        <v>209</v>
      </c>
      <c r="B173" s="841"/>
      <c r="C173" s="333"/>
      <c r="D173" s="228" t="s">
        <v>142</v>
      </c>
      <c r="E173" s="95">
        <f>'29'!F173</f>
        <v>8126</v>
      </c>
      <c r="F173" s="155">
        <v>8126</v>
      </c>
      <c r="G173" s="155">
        <f>F173-E173</f>
        <v>0</v>
      </c>
      <c r="H173" s="99">
        <f>G173+'29'!H173</f>
        <v>0</v>
      </c>
      <c r="I173" s="155"/>
      <c r="J173" s="178">
        <f>H173/DAY(B2)</f>
        <v>0</v>
      </c>
    </row>
    <row r="174" spans="1:10" ht="30.75" customHeight="1" x14ac:dyDescent="0.5">
      <c r="A174" s="840" t="s">
        <v>75</v>
      </c>
      <c r="B174" s="841"/>
      <c r="C174" s="333"/>
      <c r="D174" s="228" t="s">
        <v>142</v>
      </c>
      <c r="E174" s="95">
        <f>'29'!F174</f>
        <v>38262</v>
      </c>
      <c r="F174" s="157">
        <v>38279</v>
      </c>
      <c r="G174" s="155">
        <f t="shared" ref="G174:G175" si="14">F174-E174</f>
        <v>17</v>
      </c>
      <c r="H174" s="99">
        <f>G174+'29'!H174</f>
        <v>-14</v>
      </c>
      <c r="I174" s="155"/>
      <c r="J174" s="178">
        <f>H174/DAY(B2)</f>
        <v>-0.46666666666666667</v>
      </c>
    </row>
    <row r="175" spans="1:10" ht="30.75" customHeight="1" x14ac:dyDescent="0.5">
      <c r="A175" s="840" t="s">
        <v>76</v>
      </c>
      <c r="B175" s="845"/>
      <c r="C175" s="841"/>
      <c r="D175" s="228" t="s">
        <v>142</v>
      </c>
      <c r="E175" s="95">
        <f>'29'!F175</f>
        <v>21498</v>
      </c>
      <c r="F175" s="155">
        <v>21510</v>
      </c>
      <c r="G175" s="155">
        <f t="shared" si="14"/>
        <v>12</v>
      </c>
      <c r="H175" s="99">
        <f>G175+'29'!H175</f>
        <v>-8</v>
      </c>
      <c r="I175" s="155"/>
      <c r="J175" s="178">
        <f>H175/DAY(B2)</f>
        <v>-0.26666666666666666</v>
      </c>
    </row>
    <row r="176" spans="1:10" ht="30.75" customHeight="1" x14ac:dyDescent="0.5">
      <c r="A176" s="879" t="s">
        <v>196</v>
      </c>
      <c r="B176" s="880"/>
      <c r="C176" s="485"/>
      <c r="D176" s="228" t="s">
        <v>142</v>
      </c>
      <c r="E176" s="95"/>
      <c r="F176" s="155"/>
      <c r="G176" s="155">
        <f>SUM(G173:G175)</f>
        <v>29</v>
      </c>
      <c r="H176" s="99">
        <f>G176+'29'!H176</f>
        <v>-22</v>
      </c>
      <c r="I176" s="155"/>
      <c r="J176" s="178">
        <f>H176/DAY(B2)</f>
        <v>-0.73333333333333328</v>
      </c>
    </row>
    <row r="177" spans="1:10" ht="30.75" customHeight="1" x14ac:dyDescent="0.5">
      <c r="A177" s="840" t="s">
        <v>77</v>
      </c>
      <c r="B177" s="841"/>
      <c r="C177" s="333"/>
      <c r="D177" s="228" t="s">
        <v>142</v>
      </c>
      <c r="E177" s="95"/>
      <c r="F177" s="155"/>
      <c r="G177" s="155"/>
      <c r="H177" s="99">
        <f>G177+'29'!H177</f>
        <v>0</v>
      </c>
      <c r="I177" s="155"/>
      <c r="J177" s="178">
        <f>H177/DAY(B2)</f>
        <v>0</v>
      </c>
    </row>
    <row r="178" spans="1:10" ht="30.75" customHeight="1" x14ac:dyDescent="0.5">
      <c r="A178" s="840" t="s">
        <v>210</v>
      </c>
      <c r="B178" s="841"/>
      <c r="C178" s="333"/>
      <c r="D178" s="228" t="s">
        <v>142</v>
      </c>
      <c r="E178" s="95">
        <f>'29'!F178</f>
        <v>79497</v>
      </c>
      <c r="F178" s="155">
        <v>79569</v>
      </c>
      <c r="G178" s="155">
        <f>F178-E178</f>
        <v>72</v>
      </c>
      <c r="H178" s="99">
        <f>G178+'29'!H178</f>
        <v>-45</v>
      </c>
      <c r="I178" s="155"/>
      <c r="J178" s="178">
        <f>H178/DAY(B2)</f>
        <v>-1.5</v>
      </c>
    </row>
    <row r="179" spans="1:10" ht="30.75" customHeight="1" x14ac:dyDescent="0.5">
      <c r="A179" s="840" t="s">
        <v>211</v>
      </c>
      <c r="B179" s="841"/>
      <c r="C179" s="333"/>
      <c r="D179" s="228" t="s">
        <v>142</v>
      </c>
      <c r="E179" s="95">
        <f>'29'!F179</f>
        <v>33915</v>
      </c>
      <c r="F179" s="155">
        <v>33915</v>
      </c>
      <c r="G179" s="155">
        <f t="shared" ref="G179:G180" si="15">F179-E179</f>
        <v>0</v>
      </c>
      <c r="H179" s="99">
        <f>G179+'29'!H179</f>
        <v>0</v>
      </c>
      <c r="I179" s="155"/>
      <c r="J179" s="178">
        <f>H179/DAY(B2)</f>
        <v>0</v>
      </c>
    </row>
    <row r="180" spans="1:10" ht="30.75" customHeight="1" x14ac:dyDescent="0.5">
      <c r="A180" s="840" t="s">
        <v>212</v>
      </c>
      <c r="B180" s="841"/>
      <c r="C180" s="333"/>
      <c r="D180" s="228" t="s">
        <v>142</v>
      </c>
      <c r="E180" s="95">
        <f>'29'!F180</f>
        <v>5471</v>
      </c>
      <c r="F180" s="155">
        <v>5471</v>
      </c>
      <c r="G180" s="155">
        <f t="shared" si="15"/>
        <v>0</v>
      </c>
      <c r="H180" s="99">
        <f>G180+'29'!H180</f>
        <v>-6</v>
      </c>
      <c r="I180" s="155"/>
      <c r="J180" s="178">
        <f>H180/DAY(B2)</f>
        <v>-0.2</v>
      </c>
    </row>
    <row r="181" spans="1:10" ht="30.75" customHeight="1" x14ac:dyDescent="0.5">
      <c r="A181" s="884" t="s">
        <v>108</v>
      </c>
      <c r="B181" s="885"/>
      <c r="C181" s="485"/>
      <c r="D181" s="228" t="s">
        <v>142</v>
      </c>
      <c r="E181" s="95"/>
      <c r="F181" s="155"/>
      <c r="G181" s="155">
        <f>SUM(G178:G180)</f>
        <v>72</v>
      </c>
      <c r="H181" s="99">
        <f>G181+'29'!H181</f>
        <v>-51</v>
      </c>
      <c r="I181" s="155"/>
      <c r="J181" s="178">
        <f>H181/DAY(B2)</f>
        <v>-1.7</v>
      </c>
    </row>
    <row r="182" spans="1:10" ht="30.75" customHeight="1" x14ac:dyDescent="0.5">
      <c r="A182" s="840" t="s">
        <v>213</v>
      </c>
      <c r="B182" s="841"/>
      <c r="C182" s="333"/>
      <c r="D182" s="228" t="s">
        <v>142</v>
      </c>
      <c r="E182" s="95"/>
      <c r="F182" s="155"/>
      <c r="G182" s="155"/>
      <c r="H182" s="99">
        <f>G182+'29'!H182</f>
        <v>0</v>
      </c>
      <c r="I182" s="155"/>
      <c r="J182" s="178">
        <f>H182/DAY(B2)</f>
        <v>0</v>
      </c>
    </row>
    <row r="183" spans="1:10" ht="30.75" customHeight="1" x14ac:dyDescent="0.5">
      <c r="A183" s="840" t="s">
        <v>214</v>
      </c>
      <c r="B183" s="841"/>
      <c r="C183" s="334"/>
      <c r="D183" s="228" t="s">
        <v>142</v>
      </c>
      <c r="E183" s="95">
        <f>'29'!F183</f>
        <v>14923</v>
      </c>
      <c r="F183" s="157">
        <v>14938</v>
      </c>
      <c r="G183" s="157">
        <f>F183-E183</f>
        <v>15</v>
      </c>
      <c r="H183" s="99">
        <f>G183+'29'!H183</f>
        <v>-9</v>
      </c>
      <c r="I183" s="155"/>
      <c r="J183" s="178">
        <f>H183/DAY(B2)</f>
        <v>-0.3</v>
      </c>
    </row>
    <row r="184" spans="1:10" ht="30.75" customHeight="1" x14ac:dyDescent="0.5">
      <c r="A184" s="840" t="s">
        <v>215</v>
      </c>
      <c r="B184" s="841"/>
      <c r="C184" s="334"/>
      <c r="D184" s="228" t="s">
        <v>142</v>
      </c>
      <c r="E184" s="95">
        <f>'29'!F184</f>
        <v>10289</v>
      </c>
      <c r="F184" s="157">
        <v>10295</v>
      </c>
      <c r="G184" s="157">
        <f t="shared" ref="G184:G185" si="16">F184-E184</f>
        <v>6</v>
      </c>
      <c r="H184" s="99">
        <f>G184+'29'!H184</f>
        <v>-6</v>
      </c>
      <c r="I184" s="155"/>
      <c r="J184" s="178">
        <f>H184/DAY(B2)</f>
        <v>-0.2</v>
      </c>
    </row>
    <row r="185" spans="1:10" ht="30.75" customHeight="1" x14ac:dyDescent="0.5">
      <c r="A185" s="840" t="s">
        <v>216</v>
      </c>
      <c r="B185" s="841"/>
      <c r="C185" s="334"/>
      <c r="D185" s="228" t="s">
        <v>142</v>
      </c>
      <c r="E185" s="95">
        <f>'29'!F185</f>
        <v>0</v>
      </c>
      <c r="F185" s="157"/>
      <c r="G185" s="157">
        <f t="shared" si="16"/>
        <v>0</v>
      </c>
      <c r="H185" s="99">
        <f>G185+'29'!H185</f>
        <v>0</v>
      </c>
      <c r="I185" s="155"/>
      <c r="J185" s="178">
        <f>H185/DAY(B2)</f>
        <v>0</v>
      </c>
    </row>
    <row r="186" spans="1:10" ht="30.75" customHeight="1" x14ac:dyDescent="0.5">
      <c r="A186" s="879" t="s">
        <v>196</v>
      </c>
      <c r="B186" s="880"/>
      <c r="C186" s="484"/>
      <c r="D186" s="228" t="s">
        <v>142</v>
      </c>
      <c r="E186" s="95"/>
      <c r="F186" s="157"/>
      <c r="G186" s="157">
        <f>SUM(G183:G185)</f>
        <v>21</v>
      </c>
      <c r="H186" s="99">
        <f>G186+'29'!H186</f>
        <v>-15</v>
      </c>
      <c r="I186" s="157"/>
      <c r="J186" s="178">
        <f>H186/DAY(B2)</f>
        <v>-0.5</v>
      </c>
    </row>
    <row r="187" spans="1:10" ht="30.75" customHeight="1" x14ac:dyDescent="0.5">
      <c r="A187" s="888" t="s">
        <v>217</v>
      </c>
      <c r="B187" s="889"/>
      <c r="C187" s="333"/>
      <c r="D187" s="228" t="s">
        <v>142</v>
      </c>
      <c r="E187" s="95"/>
      <c r="F187" s="159"/>
      <c r="G187" s="462">
        <f>G62+G19</f>
        <v>175</v>
      </c>
      <c r="H187" s="99">
        <f>G187+'29'!H187</f>
        <v>1607</v>
      </c>
      <c r="I187" s="158"/>
      <c r="J187" s="179">
        <f>H187/DAY(B2)</f>
        <v>53.56666666666667</v>
      </c>
    </row>
    <row r="188" spans="1:10" ht="30.75" customHeight="1" x14ac:dyDescent="0.5">
      <c r="A188" s="888" t="s">
        <v>218</v>
      </c>
      <c r="B188" s="889"/>
      <c r="C188" s="333"/>
      <c r="D188" s="230" t="s">
        <v>142</v>
      </c>
      <c r="E188" s="95"/>
      <c r="F188" s="159"/>
      <c r="G188" s="462">
        <f>G65+G66+G67+G69+G70</f>
        <v>174</v>
      </c>
      <c r="H188" s="99">
        <f>G188+'29'!H188</f>
        <v>-1953</v>
      </c>
      <c r="I188" s="158"/>
      <c r="J188" s="179">
        <f>H188/DAY(B2)</f>
        <v>-65.099999999999994</v>
      </c>
    </row>
    <row r="189" spans="1:10" ht="30.75" customHeight="1" x14ac:dyDescent="0.5">
      <c r="A189" s="888" t="s">
        <v>219</v>
      </c>
      <c r="B189" s="889"/>
      <c r="C189" s="333"/>
      <c r="D189" s="230" t="s">
        <v>142</v>
      </c>
      <c r="E189" s="95"/>
      <c r="F189" s="157"/>
      <c r="G189" s="459">
        <f>G181</f>
        <v>72</v>
      </c>
      <c r="H189" s="99">
        <f>G189+'29'!H189</f>
        <v>-1641</v>
      </c>
      <c r="I189" s="158"/>
      <c r="J189" s="179">
        <f>H189/DAY(B2)</f>
        <v>-54.7</v>
      </c>
    </row>
    <row r="190" spans="1:10" ht="30.75" customHeight="1" x14ac:dyDescent="0.5">
      <c r="A190" s="811" t="s">
        <v>360</v>
      </c>
      <c r="B190" s="812"/>
      <c r="C190" s="483"/>
      <c r="D190" s="480"/>
      <c r="E190" s="480">
        <v>52942.203000000001</v>
      </c>
      <c r="F190" s="480">
        <v>52948.703000000001</v>
      </c>
      <c r="G190" s="480">
        <f>F190-E190</f>
        <v>6.5</v>
      </c>
      <c r="H190" s="481"/>
      <c r="I190" s="480"/>
      <c r="J190" s="482"/>
    </row>
  </sheetData>
  <mergeCells count="115">
    <mergeCell ref="A159:C159"/>
    <mergeCell ref="A176:B176"/>
    <mergeCell ref="A177:B177"/>
    <mergeCell ref="A178:B178"/>
    <mergeCell ref="A188:B188"/>
    <mergeCell ref="A189:B189"/>
    <mergeCell ref="A190:B190"/>
    <mergeCell ref="A179:B179"/>
    <mergeCell ref="A180:B180"/>
    <mergeCell ref="A185:B185"/>
    <mergeCell ref="A186:B186"/>
    <mergeCell ref="A187:B187"/>
    <mergeCell ref="A183:B183"/>
    <mergeCell ref="A184:B184"/>
    <mergeCell ref="A181:B181"/>
    <mergeCell ref="A182:B182"/>
    <mergeCell ref="A141:C141"/>
    <mergeCell ref="A142:C142"/>
    <mergeCell ref="A160:J160"/>
    <mergeCell ref="A166:B166"/>
    <mergeCell ref="A167:B167"/>
    <mergeCell ref="A146:C146"/>
    <mergeCell ref="A175:C175"/>
    <mergeCell ref="A148:C148"/>
    <mergeCell ref="A149:C149"/>
    <mergeCell ref="A168:B168"/>
    <mergeCell ref="A171:J171"/>
    <mergeCell ref="A172:B172"/>
    <mergeCell ref="A143:C143"/>
    <mergeCell ref="A144:C144"/>
    <mergeCell ref="A145:C145"/>
    <mergeCell ref="A173:B173"/>
    <mergeCell ref="A174:B174"/>
    <mergeCell ref="A147:C147"/>
    <mergeCell ref="A154:J154"/>
    <mergeCell ref="A155:C155"/>
    <mergeCell ref="A156:C156"/>
    <mergeCell ref="A153:B153"/>
    <mergeCell ref="A157:C157"/>
    <mergeCell ref="A158:C158"/>
    <mergeCell ref="Q116:R116"/>
    <mergeCell ref="A117:C117"/>
    <mergeCell ref="Q117:R117"/>
    <mergeCell ref="A118:C118"/>
    <mergeCell ref="Q118:R118"/>
    <mergeCell ref="A112:C112"/>
    <mergeCell ref="A113:C113"/>
    <mergeCell ref="A114:C114"/>
    <mergeCell ref="A115:C115"/>
    <mergeCell ref="A116:C116"/>
    <mergeCell ref="A104:C104"/>
    <mergeCell ref="A105:C105"/>
    <mergeCell ref="A108:J108"/>
    <mergeCell ref="A110:J110"/>
    <mergeCell ref="A111:C111"/>
    <mergeCell ref="A98:C98"/>
    <mergeCell ref="A99:C99"/>
    <mergeCell ref="A100:C100"/>
    <mergeCell ref="A101:C101"/>
    <mergeCell ref="A103:C103"/>
    <mergeCell ref="A102:C102"/>
    <mergeCell ref="A109:B109"/>
    <mergeCell ref="A123:C123"/>
    <mergeCell ref="A136:J136"/>
    <mergeCell ref="A138:C138"/>
    <mergeCell ref="A139:C139"/>
    <mergeCell ref="A140:C140"/>
    <mergeCell ref="A128:C128"/>
    <mergeCell ref="A131:C131"/>
    <mergeCell ref="A132:C132"/>
    <mergeCell ref="A133:C133"/>
    <mergeCell ref="A134:C134"/>
    <mergeCell ref="A135:B135"/>
    <mergeCell ref="A19:C19"/>
    <mergeCell ref="A21:C21"/>
    <mergeCell ref="A64:C64"/>
    <mergeCell ref="A65:C65"/>
    <mergeCell ref="A33:C33"/>
    <mergeCell ref="A61:C61"/>
    <mergeCell ref="A62:C62"/>
    <mergeCell ref="A63:C63"/>
    <mergeCell ref="A75:C75"/>
    <mergeCell ref="A76:C76"/>
    <mergeCell ref="A77:C77"/>
    <mergeCell ref="A79:C79"/>
    <mergeCell ref="A80:C80"/>
    <mergeCell ref="A78:C78"/>
    <mergeCell ref="A81:C81"/>
    <mergeCell ref="A95:C95"/>
    <mergeCell ref="A94:C94"/>
    <mergeCell ref="A93:C93"/>
    <mergeCell ref="A96:C96"/>
    <mergeCell ref="A150:C150"/>
    <mergeCell ref="A151:C151"/>
    <mergeCell ref="A152:C152"/>
    <mergeCell ref="A97:C97"/>
    <mergeCell ref="A18:C18"/>
    <mergeCell ref="A1:J1"/>
    <mergeCell ref="E3:F3"/>
    <mergeCell ref="A6:C6"/>
    <mergeCell ref="A14:C14"/>
    <mergeCell ref="A17:C17"/>
    <mergeCell ref="A25:C25"/>
    <mergeCell ref="A74:C74"/>
    <mergeCell ref="A73:C73"/>
    <mergeCell ref="A71:C71"/>
    <mergeCell ref="A72:B72"/>
    <mergeCell ref="A119:C119"/>
    <mergeCell ref="A120:C120"/>
    <mergeCell ref="A121:C121"/>
    <mergeCell ref="A122:C122"/>
    <mergeCell ref="A124:C124"/>
    <mergeCell ref="A125:B125"/>
    <mergeCell ref="A126:J126"/>
    <mergeCell ref="A127:B127"/>
  </mergeCells>
  <pageMargins left="0.23622047244094491" right="0.15748031496062992" top="0.15748031496062992" bottom="0.19685039370078741" header="0.19685039370078741" footer="0.19685039370078741"/>
  <pageSetup paperSize="9" scale="18" fitToHeight="2" orientation="portrait"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sheetPr>
    <pageSetUpPr fitToPage="1"/>
  </sheetPr>
  <dimension ref="A1:R320"/>
  <sheetViews>
    <sheetView view="pageBreakPreview" zoomScale="40" zoomScaleNormal="75" zoomScaleSheetLayoutView="40" workbookViewId="0">
      <selection activeCell="F18" sqref="F18:F19"/>
    </sheetView>
  </sheetViews>
  <sheetFormatPr defaultColWidth="22.33203125" defaultRowHeight="21.95" customHeight="1" x14ac:dyDescent="0.5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6" width="30" style="160" customWidth="1"/>
    <col min="7" max="7" width="28.88671875" style="160" customWidth="1"/>
    <col min="8" max="8" width="29.109375" style="161" customWidth="1"/>
    <col min="9" max="9" width="23.5546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33.75" x14ac:dyDescent="0.65">
      <c r="A1" s="821" t="s">
        <v>115</v>
      </c>
      <c r="B1" s="822"/>
      <c r="C1" s="822"/>
      <c r="D1" s="822"/>
      <c r="E1" s="822"/>
      <c r="F1" s="822"/>
      <c r="G1" s="822"/>
      <c r="H1" s="822"/>
      <c r="I1" s="822"/>
      <c r="J1" s="823"/>
    </row>
    <row r="2" spans="1:15" s="57" customFormat="1" ht="27" x14ac:dyDescent="0.5">
      <c r="A2" s="191" t="s">
        <v>357</v>
      </c>
      <c r="B2" s="262">
        <v>44561</v>
      </c>
      <c r="C2" s="348" t="s">
        <v>67</v>
      </c>
      <c r="D2" s="218">
        <v>0.95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27" x14ac:dyDescent="0.5">
      <c r="A3" s="189"/>
      <c r="B3" s="221"/>
      <c r="C3" s="348" t="s">
        <v>118</v>
      </c>
      <c r="D3" s="219">
        <v>24</v>
      </c>
      <c r="E3" s="830" t="s">
        <v>119</v>
      </c>
      <c r="F3" s="831"/>
      <c r="G3" s="101"/>
      <c r="H3" s="102"/>
      <c r="I3" s="102"/>
      <c r="J3" s="222"/>
      <c r="K3" s="61"/>
      <c r="L3" s="58"/>
    </row>
    <row r="4" spans="1:15" s="57" customFormat="1" ht="27" x14ac:dyDescent="0.5">
      <c r="A4" s="192"/>
      <c r="B4" s="223"/>
      <c r="C4" s="348" t="s">
        <v>120</v>
      </c>
      <c r="D4" s="218">
        <v>0.78</v>
      </c>
      <c r="E4" s="103"/>
      <c r="F4" s="103"/>
      <c r="G4" s="103"/>
      <c r="H4" s="103"/>
      <c r="I4" s="104"/>
      <c r="J4" s="222"/>
      <c r="K4" s="62"/>
      <c r="L4" s="58"/>
    </row>
    <row r="5" spans="1:15" ht="21.95" customHeight="1" x14ac:dyDescent="0.4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5" ht="21.95" customHeight="1" x14ac:dyDescent="0.4">
      <c r="A6" s="824" t="s">
        <v>128</v>
      </c>
      <c r="B6" s="825"/>
      <c r="C6" s="826"/>
      <c r="D6" s="110"/>
      <c r="E6" s="110"/>
      <c r="F6" s="110"/>
      <c r="G6" s="110"/>
      <c r="H6" s="111"/>
      <c r="I6" s="111"/>
      <c r="J6" s="174"/>
      <c r="K6" s="78"/>
      <c r="L6" s="66"/>
    </row>
    <row r="7" spans="1:15" ht="21.95" customHeight="1" thickBot="1" x14ac:dyDescent="0.45">
      <c r="A7" s="923" t="s">
        <v>129</v>
      </c>
      <c r="B7" s="924"/>
      <c r="C7" s="925"/>
      <c r="D7" s="151" t="s">
        <v>130</v>
      </c>
      <c r="E7" s="95">
        <f>'30'!F7</f>
        <v>94000</v>
      </c>
      <c r="F7" s="95">
        <f>E7+23500</f>
        <v>117500</v>
      </c>
      <c r="G7" s="112">
        <f>F7-E7</f>
        <v>23500</v>
      </c>
      <c r="H7" s="99">
        <f>G7+'30'!H7</f>
        <v>594016</v>
      </c>
      <c r="I7" s="113">
        <f>'1'!I7</f>
        <v>12000</v>
      </c>
      <c r="J7" s="175">
        <f>H7/DAY(B2)</f>
        <v>19161.806451612902</v>
      </c>
      <c r="K7" s="172">
        <v>1375467</v>
      </c>
      <c r="L7" s="66"/>
      <c r="N7" s="87">
        <f>F7-'3'!E7</f>
        <v>-16556.899999999994</v>
      </c>
      <c r="O7" s="71"/>
    </row>
    <row r="8" spans="1:15" ht="21.95" customHeight="1" thickBot="1" x14ac:dyDescent="0.45">
      <c r="A8" s="196" t="s">
        <v>131</v>
      </c>
      <c r="B8" s="197"/>
      <c r="C8" s="198"/>
      <c r="D8" s="224" t="s">
        <v>24</v>
      </c>
      <c r="E8" s="95">
        <f>'30'!F8</f>
        <v>714110</v>
      </c>
      <c r="F8" s="95">
        <f>E8+23500</f>
        <v>737610</v>
      </c>
      <c r="G8" s="115">
        <f>F8-E8</f>
        <v>23500</v>
      </c>
      <c r="H8" s="99">
        <f>G8+'30'!H8</f>
        <v>596725</v>
      </c>
      <c r="I8" s="116"/>
      <c r="J8" s="175">
        <f>H8/DAY(B2)</f>
        <v>19249.193548387098</v>
      </c>
      <c r="K8" s="172">
        <v>1715917</v>
      </c>
      <c r="L8" s="76">
        <v>1728480</v>
      </c>
      <c r="M8" s="87">
        <f>L8-K8</f>
        <v>12563</v>
      </c>
      <c r="N8" s="87"/>
      <c r="O8" s="71"/>
    </row>
    <row r="9" spans="1:15" ht="21.95" customHeight="1" x14ac:dyDescent="0.4">
      <c r="A9" s="926" t="s">
        <v>132</v>
      </c>
      <c r="B9" s="927"/>
      <c r="C9" s="928"/>
      <c r="D9" s="151" t="s">
        <v>130</v>
      </c>
      <c r="E9" s="95">
        <f>'30'!F9</f>
        <v>263852</v>
      </c>
      <c r="F9" s="601">
        <f>E9+14000</f>
        <v>277852</v>
      </c>
      <c r="G9" s="112">
        <f>F9-E9</f>
        <v>14000</v>
      </c>
      <c r="H9" s="99">
        <f>G9+'30'!H9</f>
        <v>376357</v>
      </c>
      <c r="I9" s="124">
        <f>I7-J7</f>
        <v>-7161.8064516129016</v>
      </c>
      <c r="J9" s="175">
        <f>H9/DAY(B2)</f>
        <v>12140.548387096775</v>
      </c>
      <c r="K9" s="79">
        <f>K8-100</f>
        <v>1715817</v>
      </c>
      <c r="L9" s="66"/>
      <c r="N9" s="87"/>
      <c r="O9" s="71"/>
    </row>
    <row r="10" spans="1:15" ht="21.95" customHeight="1" x14ac:dyDescent="0.4">
      <c r="A10" s="923" t="s">
        <v>133</v>
      </c>
      <c r="B10" s="924"/>
      <c r="C10" s="925"/>
      <c r="D10" s="151" t="s">
        <v>130</v>
      </c>
      <c r="E10" s="95">
        <f>'30'!F10</f>
        <v>113081</v>
      </c>
      <c r="F10" s="353">
        <f>E10+4500</f>
        <v>117581</v>
      </c>
      <c r="G10" s="112">
        <f t="shared" ref="G10:G12" si="0">F10-E10</f>
        <v>4500</v>
      </c>
      <c r="H10" s="99">
        <f>G10+'30'!H10</f>
        <v>172487</v>
      </c>
      <c r="I10" s="282"/>
      <c r="J10" s="175">
        <f>H10/DAY(B2)</f>
        <v>5564.0967741935483</v>
      </c>
      <c r="K10" s="79"/>
      <c r="L10" s="66"/>
      <c r="N10" s="87"/>
      <c r="O10" s="71"/>
    </row>
    <row r="11" spans="1:15" ht="21.95" customHeight="1" x14ac:dyDescent="0.4">
      <c r="A11" s="923" t="s">
        <v>134</v>
      </c>
      <c r="B11" s="924"/>
      <c r="C11" s="925"/>
      <c r="D11" s="151" t="s">
        <v>130</v>
      </c>
      <c r="E11" s="95">
        <f>'30'!F11</f>
        <v>37000</v>
      </c>
      <c r="F11" s="95">
        <v>37000</v>
      </c>
      <c r="G11" s="112">
        <f t="shared" si="0"/>
        <v>0</v>
      </c>
      <c r="H11" s="99">
        <f>G11+'30'!H11</f>
        <v>0</v>
      </c>
      <c r="I11" s="282"/>
      <c r="J11" s="175">
        <f>H11/DAY(B2)</f>
        <v>0</v>
      </c>
      <c r="K11" s="79"/>
      <c r="L11" s="66"/>
      <c r="N11" s="87"/>
      <c r="O11" s="71"/>
    </row>
    <row r="12" spans="1:15" ht="21.95" customHeight="1" x14ac:dyDescent="0.4">
      <c r="A12" s="923" t="s">
        <v>135</v>
      </c>
      <c r="B12" s="924"/>
      <c r="C12" s="925"/>
      <c r="D12" s="151" t="s">
        <v>130</v>
      </c>
      <c r="E12" s="95">
        <f>'30'!F12</f>
        <v>40010</v>
      </c>
      <c r="F12" s="117">
        <v>40010</v>
      </c>
      <c r="G12" s="112">
        <f t="shared" si="0"/>
        <v>0</v>
      </c>
      <c r="H12" s="99">
        <f>G12+'30'!H12</f>
        <v>0</v>
      </c>
      <c r="I12" s="282"/>
      <c r="J12" s="175">
        <f>H12/DAY(B2)</f>
        <v>0</v>
      </c>
      <c r="K12" s="79"/>
      <c r="L12" s="66"/>
      <c r="N12" s="87"/>
      <c r="O12" s="71"/>
    </row>
    <row r="13" spans="1:15" ht="21.95" customHeight="1" x14ac:dyDescent="0.5">
      <c r="A13" s="201" t="s">
        <v>136</v>
      </c>
      <c r="B13" s="202"/>
      <c r="C13" s="202"/>
      <c r="D13" s="151"/>
      <c r="E13" s="95"/>
      <c r="F13" s="95"/>
      <c r="G13" s="119">
        <f>G9+G10+G11+G12</f>
        <v>18500</v>
      </c>
      <c r="H13" s="99">
        <f>G13+'30'!H13</f>
        <v>529378.74999999988</v>
      </c>
      <c r="I13" s="120">
        <f>G7-G13</f>
        <v>5000</v>
      </c>
      <c r="J13" s="175">
        <f>H13/DAY(B2)</f>
        <v>17076.733870967739</v>
      </c>
      <c r="K13" s="79"/>
      <c r="L13" s="66"/>
      <c r="N13" s="87"/>
      <c r="O13" s="71"/>
    </row>
    <row r="14" spans="1:15" ht="29.25" x14ac:dyDescent="0.5">
      <c r="A14" s="827" t="s">
        <v>137</v>
      </c>
      <c r="B14" s="828"/>
      <c r="C14" s="829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5" ht="21.95" customHeight="1" x14ac:dyDescent="0.5">
      <c r="A15" s="818" t="s">
        <v>138</v>
      </c>
      <c r="B15" s="819"/>
      <c r="C15" s="820"/>
      <c r="D15" s="151" t="s">
        <v>139</v>
      </c>
      <c r="E15" s="95">
        <f>'30'!F15</f>
        <v>1906265</v>
      </c>
      <c r="F15" s="123">
        <f>E15+1100</f>
        <v>1907365</v>
      </c>
      <c r="G15" s="112">
        <f>(F15-E15)</f>
        <v>1100</v>
      </c>
      <c r="H15" s="99">
        <f>G15+'30'!H15</f>
        <v>28935</v>
      </c>
      <c r="I15" s="113">
        <f>'1'!I15</f>
        <v>800</v>
      </c>
      <c r="J15" s="175">
        <f>H15/DAY(B2)</f>
        <v>933.38709677419354</v>
      </c>
      <c r="K15" s="79"/>
      <c r="L15" s="66"/>
      <c r="N15" s="87"/>
      <c r="O15" s="71"/>
    </row>
    <row r="16" spans="1:15" ht="21.95" customHeight="1" x14ac:dyDescent="0.4">
      <c r="A16" s="920"/>
      <c r="B16" s="921"/>
      <c r="C16" s="922"/>
      <c r="D16" s="152"/>
      <c r="E16" s="123"/>
      <c r="F16" s="123"/>
      <c r="G16" s="112"/>
      <c r="H16" s="124"/>
      <c r="I16" s="120">
        <f>I15-J15</f>
        <v>-133.38709677419354</v>
      </c>
      <c r="J16" s="176"/>
      <c r="K16" s="79"/>
      <c r="L16" s="66"/>
      <c r="N16" s="87"/>
      <c r="O16" s="71"/>
    </row>
    <row r="17" spans="1:15" ht="29.25" x14ac:dyDescent="0.5">
      <c r="A17" s="827" t="s">
        <v>140</v>
      </c>
      <c r="B17" s="828"/>
      <c r="C17" s="829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5" ht="27.75" x14ac:dyDescent="0.5">
      <c r="A18" s="818" t="s">
        <v>141</v>
      </c>
      <c r="B18" s="819"/>
      <c r="C18" s="820"/>
      <c r="D18" s="151" t="s">
        <v>142</v>
      </c>
      <c r="E18" s="95">
        <f>'30'!F18</f>
        <v>60</v>
      </c>
      <c r="F18" s="122">
        <f>E18+12</f>
        <v>72</v>
      </c>
      <c r="G18" s="119">
        <f>F18*10</f>
        <v>720</v>
      </c>
      <c r="H18" s="99">
        <f>G18+'30'!H18</f>
        <v>5390</v>
      </c>
      <c r="I18" s="113">
        <f>'1'!I18</f>
        <v>65</v>
      </c>
      <c r="J18" s="175">
        <f>H18/DAY(B2)</f>
        <v>173.87096774193549</v>
      </c>
      <c r="K18" s="79"/>
      <c r="L18" s="66"/>
      <c r="N18" s="87"/>
      <c r="O18" s="71"/>
    </row>
    <row r="19" spans="1:15" ht="27.75" x14ac:dyDescent="0.5">
      <c r="A19" s="818" t="s">
        <v>69</v>
      </c>
      <c r="B19" s="819"/>
      <c r="C19" s="820"/>
      <c r="D19" s="151" t="s">
        <v>142</v>
      </c>
      <c r="E19" s="95">
        <f>'30'!F19</f>
        <v>153838</v>
      </c>
      <c r="F19" s="122">
        <f>E19+55</f>
        <v>153893</v>
      </c>
      <c r="G19" s="112">
        <f t="shared" ref="G19" si="1">F19-E19</f>
        <v>55</v>
      </c>
      <c r="H19" s="99">
        <f>G19+'30'!H19</f>
        <v>1668</v>
      </c>
      <c r="I19" s="335"/>
      <c r="J19" s="175">
        <f>H19/DAY(B2)</f>
        <v>53.806451612903224</v>
      </c>
      <c r="K19" s="79"/>
      <c r="L19" s="66"/>
      <c r="N19" s="87"/>
      <c r="O19" s="71"/>
    </row>
    <row r="20" spans="1:15" ht="29.25" x14ac:dyDescent="0.5">
      <c r="A20" s="201" t="s">
        <v>143</v>
      </c>
      <c r="B20" s="202"/>
      <c r="C20" s="202"/>
      <c r="D20" s="126"/>
      <c r="E20" s="126"/>
      <c r="F20" s="126"/>
      <c r="G20" s="127">
        <f>G18+G19</f>
        <v>775</v>
      </c>
      <c r="H20" s="99">
        <f>G20+'30'!H20</f>
        <v>7058</v>
      </c>
      <c r="I20" s="336">
        <f>I18-J20</f>
        <v>-162.67741935483872</v>
      </c>
      <c r="J20" s="175">
        <f>H20/DAY(B2)</f>
        <v>227.67741935483872</v>
      </c>
      <c r="K20" s="79"/>
      <c r="L20" s="66"/>
      <c r="N20" s="87"/>
      <c r="O20" s="71"/>
    </row>
    <row r="21" spans="1:15" ht="29.25" x14ac:dyDescent="0.5">
      <c r="A21" s="827" t="s">
        <v>144</v>
      </c>
      <c r="B21" s="828"/>
      <c r="C21" s="829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5" ht="29.25" x14ac:dyDescent="0.5">
      <c r="A22" s="345" t="s">
        <v>145</v>
      </c>
      <c r="B22" s="205"/>
      <c r="C22" s="205"/>
      <c r="D22" s="151" t="s">
        <v>146</v>
      </c>
      <c r="E22" s="95">
        <f>'30'!F22</f>
        <v>2970</v>
      </c>
      <c r="F22" s="122">
        <v>2970</v>
      </c>
      <c r="G22" s="119">
        <f t="shared" ref="G22" si="2">(F22-E22)</f>
        <v>0</v>
      </c>
      <c r="H22" s="99">
        <f>G22+'30'!H22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29.25" x14ac:dyDescent="0.5">
      <c r="A23" s="345" t="s">
        <v>147</v>
      </c>
      <c r="B23" s="205"/>
      <c r="C23" s="205"/>
      <c r="D23" s="151" t="s">
        <v>146</v>
      </c>
      <c r="E23" s="95">
        <f>'30'!F23</f>
        <v>2000</v>
      </c>
      <c r="F23" s="122">
        <v>2000</v>
      </c>
      <c r="G23" s="119">
        <v>0</v>
      </c>
      <c r="H23" s="99">
        <f>G23+'30'!H23</f>
        <v>110</v>
      </c>
      <c r="I23" s="118"/>
      <c r="J23" s="175">
        <f>H23/DAY(B2)</f>
        <v>3.5483870967741935</v>
      </c>
      <c r="K23" s="79"/>
      <c r="L23" s="66"/>
      <c r="N23" s="87"/>
      <c r="O23" s="71"/>
    </row>
    <row r="24" spans="1:15" ht="29.25" x14ac:dyDescent="0.4">
      <c r="A24" s="206" t="s">
        <v>148</v>
      </c>
      <c r="B24" s="207"/>
      <c r="C24" s="207"/>
      <c r="D24" s="146" t="s">
        <v>146</v>
      </c>
      <c r="E24" s="95">
        <f>'30'!F24</f>
        <v>4970</v>
      </c>
      <c r="F24" s="128">
        <v>4970</v>
      </c>
      <c r="G24" s="119">
        <v>0</v>
      </c>
      <c r="H24" s="99">
        <f>G24+'30'!H24</f>
        <v>110</v>
      </c>
      <c r="I24" s="118"/>
      <c r="J24" s="175">
        <f>H24/DAY(B2)</f>
        <v>3.5483870967741935</v>
      </c>
      <c r="K24" s="79"/>
      <c r="L24" s="66"/>
      <c r="N24" s="87"/>
      <c r="O24" s="71"/>
    </row>
    <row r="25" spans="1:15" s="88" customFormat="1" ht="27" x14ac:dyDescent="0.35">
      <c r="A25" s="832" t="s">
        <v>149</v>
      </c>
      <c r="B25" s="833"/>
      <c r="C25" s="834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5" s="88" customFormat="1" ht="27.75" x14ac:dyDescent="0.5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/>
      <c r="I26" s="134"/>
      <c r="J26" s="175"/>
      <c r="K26" s="64"/>
      <c r="L26" s="89"/>
      <c r="N26" s="87"/>
      <c r="O26" s="71"/>
    </row>
    <row r="27" spans="1:15" s="88" customFormat="1" ht="27.75" x14ac:dyDescent="0.5">
      <c r="A27" s="208" t="s">
        <v>5</v>
      </c>
      <c r="B27" s="209"/>
      <c r="C27" s="210"/>
      <c r="D27" s="226" t="s">
        <v>24</v>
      </c>
      <c r="E27" s="135">
        <f>G8</f>
        <v>23500</v>
      </c>
      <c r="F27" s="136">
        <v>9</v>
      </c>
      <c r="G27" s="137">
        <f>E27*F27</f>
        <v>211500</v>
      </c>
      <c r="H27" s="99">
        <f>G27+'30'!H27</f>
        <v>5370525</v>
      </c>
      <c r="I27" s="138"/>
      <c r="J27" s="175">
        <f>H27/DAY(B2)</f>
        <v>173242.74193548388</v>
      </c>
      <c r="K27" s="63"/>
      <c r="L27" s="89"/>
      <c r="N27" s="87"/>
      <c r="O27" s="71"/>
    </row>
    <row r="28" spans="1:15" s="88" customFormat="1" ht="27.75" x14ac:dyDescent="0.5">
      <c r="A28" s="208" t="s">
        <v>152</v>
      </c>
      <c r="B28" s="209"/>
      <c r="C28" s="210"/>
      <c r="D28" s="226" t="s">
        <v>153</v>
      </c>
      <c r="E28" s="139">
        <f>G15</f>
        <v>1100</v>
      </c>
      <c r="F28" s="136">
        <v>52</v>
      </c>
      <c r="G28" s="137">
        <f>E28*F28</f>
        <v>57200</v>
      </c>
      <c r="H28" s="99">
        <f>G28+'30'!H28</f>
        <v>1504620</v>
      </c>
      <c r="I28" s="140"/>
      <c r="J28" s="175">
        <f>H28/DAY(B2)</f>
        <v>48536.129032258068</v>
      </c>
      <c r="K28" s="63"/>
      <c r="L28" s="89"/>
      <c r="N28" s="87"/>
      <c r="O28" s="71"/>
    </row>
    <row r="29" spans="1:15" s="88" customFormat="1" ht="27.75" x14ac:dyDescent="0.5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>E29*F29</f>
        <v>0</v>
      </c>
      <c r="H29" s="99">
        <f>G29+'30'!H29</f>
        <v>7590</v>
      </c>
      <c r="I29" s="140"/>
      <c r="J29" s="175">
        <f>H29/DAY(B2)</f>
        <v>244.83870967741936</v>
      </c>
      <c r="K29" s="63"/>
      <c r="L29" s="89"/>
      <c r="N29" s="87"/>
      <c r="O29" s="71"/>
    </row>
    <row r="30" spans="1:15" s="88" customFormat="1" ht="27.75" x14ac:dyDescent="0.5">
      <c r="A30" s="208" t="s">
        <v>156</v>
      </c>
      <c r="B30" s="209"/>
      <c r="C30" s="210"/>
      <c r="D30" s="226" t="s">
        <v>157</v>
      </c>
      <c r="E30" s="141">
        <f>G19</f>
        <v>55</v>
      </c>
      <c r="F30" s="136">
        <v>146</v>
      </c>
      <c r="G30" s="137">
        <f>E30*F30</f>
        <v>8030</v>
      </c>
      <c r="H30" s="99">
        <f>G30+'30'!H30</f>
        <v>243528</v>
      </c>
      <c r="I30" s="140"/>
      <c r="J30" s="175">
        <f>H30/DAY(B2)</f>
        <v>7855.7419354838712</v>
      </c>
      <c r="K30" s="63"/>
      <c r="L30" s="89"/>
      <c r="N30" s="87"/>
      <c r="O30" s="71"/>
    </row>
    <row r="31" spans="1:15" s="88" customFormat="1" ht="27.75" x14ac:dyDescent="0.5">
      <c r="A31" s="208" t="s">
        <v>158</v>
      </c>
      <c r="B31" s="209"/>
      <c r="C31" s="210"/>
      <c r="D31" s="226" t="s">
        <v>142</v>
      </c>
      <c r="E31" s="141">
        <f>G18</f>
        <v>720</v>
      </c>
      <c r="F31" s="136">
        <v>80</v>
      </c>
      <c r="G31" s="137">
        <f>E31*F31</f>
        <v>57600</v>
      </c>
      <c r="H31" s="99">
        <f>G31+'30'!H31</f>
        <v>431200</v>
      </c>
      <c r="I31" s="140"/>
      <c r="J31" s="175">
        <f>H31/DAY(B2)</f>
        <v>13909.677419354839</v>
      </c>
      <c r="K31" s="63"/>
      <c r="L31" s="89"/>
      <c r="N31" s="87"/>
      <c r="O31" s="71"/>
    </row>
    <row r="32" spans="1:15" s="88" customFormat="1" ht="27.75" x14ac:dyDescent="0.5">
      <c r="A32" s="211" t="s">
        <v>159</v>
      </c>
      <c r="B32" s="212"/>
      <c r="C32" s="213"/>
      <c r="D32" s="142"/>
      <c r="E32" s="142"/>
      <c r="F32" s="142"/>
      <c r="G32" s="143">
        <f>G27+G28+G29+G30+G31</f>
        <v>334330</v>
      </c>
      <c r="H32" s="99">
        <f>G32+'30'!H32</f>
        <v>7557463</v>
      </c>
      <c r="I32" s="144"/>
      <c r="J32" s="175">
        <f>H32/DAY(B2)</f>
        <v>243789.12903225806</v>
      </c>
      <c r="K32" s="63"/>
      <c r="L32" s="89"/>
      <c r="N32" s="87"/>
      <c r="O32" s="71"/>
    </row>
    <row r="33" spans="1:15" ht="25.5" customHeight="1" x14ac:dyDescent="0.35">
      <c r="A33" s="835" t="s">
        <v>331</v>
      </c>
      <c r="B33" s="836"/>
      <c r="C33" s="836"/>
      <c r="D33" s="337"/>
      <c r="E33" s="337"/>
      <c r="F33" s="337"/>
      <c r="G33" s="337"/>
      <c r="H33" s="337"/>
      <c r="I33" s="337"/>
      <c r="J33" s="338"/>
      <c r="K33" s="79"/>
      <c r="L33" s="66"/>
      <c r="N33" s="87"/>
      <c r="O33" s="71"/>
    </row>
    <row r="34" spans="1:15" ht="29.25" x14ac:dyDescent="0.5">
      <c r="A34" s="214" t="s">
        <v>160</v>
      </c>
      <c r="B34" s="349"/>
      <c r="C34" s="349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29.25" x14ac:dyDescent="0.4">
      <c r="A35" s="194" t="s">
        <v>161</v>
      </c>
      <c r="B35" s="195"/>
      <c r="C35" s="195"/>
      <c r="D35" s="151" t="s">
        <v>130</v>
      </c>
      <c r="E35" s="95">
        <f>'30'!F35</f>
        <v>150949</v>
      </c>
      <c r="F35" s="145">
        <v>152842</v>
      </c>
      <c r="G35" s="112">
        <f t="shared" ref="G35:G46" si="3">F35-E35</f>
        <v>1893</v>
      </c>
      <c r="H35" s="99">
        <f>G35+'30'!H35</f>
        <v>168042</v>
      </c>
      <c r="I35" s="95"/>
      <c r="J35" s="175">
        <f>H35/DAY(B2)</f>
        <v>5420.7096774193551</v>
      </c>
      <c r="K35" s="79"/>
      <c r="L35" s="66"/>
      <c r="N35" s="87"/>
      <c r="O35" s="71"/>
    </row>
    <row r="36" spans="1:15" ht="29.25" x14ac:dyDescent="0.4">
      <c r="A36" s="194" t="s">
        <v>162</v>
      </c>
      <c r="B36" s="195"/>
      <c r="C36" s="195"/>
      <c r="D36" s="151" t="s">
        <v>130</v>
      </c>
      <c r="E36" s="95">
        <f>'30'!F36</f>
        <v>20670</v>
      </c>
      <c r="F36" s="145">
        <v>21527</v>
      </c>
      <c r="G36" s="112">
        <f t="shared" si="3"/>
        <v>857</v>
      </c>
      <c r="H36" s="99">
        <f>G36+'30'!H36</f>
        <v>0</v>
      </c>
      <c r="I36" s="95"/>
      <c r="J36" s="175">
        <f>H36/DAY(B2)</f>
        <v>0</v>
      </c>
      <c r="K36" s="79"/>
      <c r="L36" s="66"/>
      <c r="N36" s="87"/>
      <c r="O36" s="344"/>
    </row>
    <row r="37" spans="1:15" ht="29.25" x14ac:dyDescent="0.4">
      <c r="A37" s="194" t="s">
        <v>163</v>
      </c>
      <c r="B37" s="195"/>
      <c r="C37" s="195"/>
      <c r="D37" s="151" t="s">
        <v>130</v>
      </c>
      <c r="E37" s="95">
        <f>'30'!F37</f>
        <v>193788</v>
      </c>
      <c r="F37" s="145">
        <v>195393</v>
      </c>
      <c r="G37" s="112">
        <f t="shared" si="3"/>
        <v>1605</v>
      </c>
      <c r="H37" s="99">
        <f>G37+'30'!H37</f>
        <v>207605</v>
      </c>
      <c r="I37" s="95"/>
      <c r="J37" s="175">
        <f>H37/DAY(B2)</f>
        <v>6696.9354838709678</v>
      </c>
      <c r="K37" s="79"/>
      <c r="L37" s="66"/>
      <c r="N37" s="87"/>
      <c r="O37" s="234"/>
    </row>
    <row r="38" spans="1:15" ht="29.25" x14ac:dyDescent="0.4">
      <c r="A38" s="194" t="s">
        <v>164</v>
      </c>
      <c r="B38" s="195"/>
      <c r="C38" s="195"/>
      <c r="D38" s="151" t="s">
        <v>130</v>
      </c>
      <c r="E38" s="95">
        <f>'30'!F38</f>
        <v>230731</v>
      </c>
      <c r="F38" s="108">
        <v>232482</v>
      </c>
      <c r="G38" s="112">
        <f t="shared" si="3"/>
        <v>1751</v>
      </c>
      <c r="H38" s="99">
        <f>G38+'30'!H38</f>
        <v>245682</v>
      </c>
      <c r="I38" s="95"/>
      <c r="J38" s="175">
        <f>H38/DAY(B2)</f>
        <v>7925.2258064516127</v>
      </c>
      <c r="K38" s="79"/>
      <c r="L38" s="66"/>
      <c r="N38" s="87"/>
      <c r="O38" s="71"/>
    </row>
    <row r="39" spans="1:15" ht="29.25" x14ac:dyDescent="0.4">
      <c r="A39" s="194" t="s">
        <v>165</v>
      </c>
      <c r="B39" s="195"/>
      <c r="C39" s="195"/>
      <c r="D39" s="151" t="s">
        <v>130</v>
      </c>
      <c r="E39" s="95">
        <f>'30'!F39</f>
        <v>408317</v>
      </c>
      <c r="F39" s="145">
        <v>411079</v>
      </c>
      <c r="G39" s="112">
        <f t="shared" si="3"/>
        <v>2762</v>
      </c>
      <c r="H39" s="99">
        <f>G39+'30'!H39</f>
        <v>432761</v>
      </c>
      <c r="I39" s="95"/>
      <c r="J39" s="175">
        <f>H39/DAY(B2)</f>
        <v>13960.032258064517</v>
      </c>
      <c r="K39" s="79"/>
      <c r="L39" s="66"/>
      <c r="N39" s="87"/>
      <c r="O39" s="71"/>
    </row>
    <row r="40" spans="1:15" ht="29.25" x14ac:dyDescent="0.4">
      <c r="A40" s="215" t="s">
        <v>166</v>
      </c>
      <c r="B40" s="216"/>
      <c r="C40" s="216"/>
      <c r="D40" s="151" t="s">
        <v>130</v>
      </c>
      <c r="E40" s="95">
        <f>'30'!F40</f>
        <v>5609</v>
      </c>
      <c r="F40" s="145">
        <v>5610</v>
      </c>
      <c r="G40" s="112">
        <f t="shared" si="3"/>
        <v>1</v>
      </c>
      <c r="H40" s="99">
        <f>G40+'30'!H40</f>
        <v>0</v>
      </c>
      <c r="I40" s="95"/>
      <c r="J40" s="175">
        <f>H40/DAY(B2)</f>
        <v>0</v>
      </c>
      <c r="K40" s="80"/>
      <c r="L40" s="66"/>
      <c r="N40" s="87"/>
      <c r="O40" s="71"/>
    </row>
    <row r="41" spans="1:15" ht="29.25" x14ac:dyDescent="0.4">
      <c r="A41" s="194" t="s">
        <v>167</v>
      </c>
      <c r="B41" s="195"/>
      <c r="C41" s="195"/>
      <c r="D41" s="151" t="s">
        <v>130</v>
      </c>
      <c r="E41" s="95">
        <f>'30'!F41</f>
        <v>0</v>
      </c>
      <c r="F41" s="145">
        <v>0</v>
      </c>
      <c r="G41" s="112">
        <f t="shared" si="3"/>
        <v>0</v>
      </c>
      <c r="H41" s="99">
        <f>G41+'30'!H41</f>
        <v>0</v>
      </c>
      <c r="I41" s="95"/>
      <c r="J41" s="175">
        <f>H41/DAY(B2)</f>
        <v>0</v>
      </c>
      <c r="K41" s="79"/>
      <c r="L41" s="66"/>
      <c r="N41" s="87"/>
      <c r="O41" s="71"/>
    </row>
    <row r="42" spans="1:15" ht="29.25" x14ac:dyDescent="0.4">
      <c r="A42" s="194" t="s">
        <v>168</v>
      </c>
      <c r="B42" s="195"/>
      <c r="C42" s="195"/>
      <c r="D42" s="151" t="s">
        <v>130</v>
      </c>
      <c r="E42" s="95">
        <f>'30'!F42</f>
        <v>73809</v>
      </c>
      <c r="F42" s="145">
        <v>73809</v>
      </c>
      <c r="G42" s="112">
        <f t="shared" si="3"/>
        <v>0</v>
      </c>
      <c r="H42" s="99">
        <f>G42+'30'!H42</f>
        <v>0</v>
      </c>
      <c r="I42" s="95"/>
      <c r="J42" s="175">
        <f>H42/DAY(B2)</f>
        <v>0</v>
      </c>
      <c r="K42" s="79"/>
      <c r="L42" s="66"/>
      <c r="N42" s="87"/>
      <c r="O42" s="71"/>
    </row>
    <row r="43" spans="1:15" ht="29.25" x14ac:dyDescent="0.4">
      <c r="A43" s="194" t="s">
        <v>169</v>
      </c>
      <c r="B43" s="195"/>
      <c r="C43" s="195"/>
      <c r="D43" s="151" t="s">
        <v>130</v>
      </c>
      <c r="E43" s="95">
        <f>'30'!F43</f>
        <v>44654</v>
      </c>
      <c r="F43" s="145">
        <v>47261</v>
      </c>
      <c r="G43" s="112">
        <f t="shared" si="3"/>
        <v>2607</v>
      </c>
      <c r="H43" s="99">
        <f>G43+'30'!H43</f>
        <v>0</v>
      </c>
      <c r="I43" s="95"/>
      <c r="J43" s="175">
        <f>H43/DAY(B2)</f>
        <v>0</v>
      </c>
      <c r="K43" s="79"/>
      <c r="L43" s="66"/>
      <c r="N43" s="87"/>
      <c r="O43" s="71"/>
    </row>
    <row r="44" spans="1:15" ht="29.25" x14ac:dyDescent="0.4">
      <c r="A44" s="194" t="s">
        <v>170</v>
      </c>
      <c r="B44" s="195"/>
      <c r="C44" s="195"/>
      <c r="D44" s="151" t="s">
        <v>130</v>
      </c>
      <c r="E44" s="95">
        <f>'30'!F44</f>
        <v>0</v>
      </c>
      <c r="F44" s="145">
        <v>0</v>
      </c>
      <c r="G44" s="112">
        <f t="shared" si="3"/>
        <v>0</v>
      </c>
      <c r="H44" s="99">
        <f>G44+'30'!H44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29.25" x14ac:dyDescent="0.4">
      <c r="A45" s="194" t="s">
        <v>171</v>
      </c>
      <c r="B45" s="195"/>
      <c r="C45" s="195"/>
      <c r="D45" s="151" t="s">
        <v>130</v>
      </c>
      <c r="E45" s="95">
        <f>'30'!F45</f>
        <v>0</v>
      </c>
      <c r="F45" s="145">
        <v>0</v>
      </c>
      <c r="G45" s="112">
        <f t="shared" si="3"/>
        <v>0</v>
      </c>
      <c r="H45" s="99">
        <f>G45+'30'!H45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29.25" x14ac:dyDescent="0.4">
      <c r="A46" s="194" t="s">
        <v>172</v>
      </c>
      <c r="B46" s="195"/>
      <c r="C46" s="195"/>
      <c r="D46" s="151" t="s">
        <v>130</v>
      </c>
      <c r="E46" s="95">
        <f>'30'!F46</f>
        <v>0</v>
      </c>
      <c r="F46" s="145">
        <v>0</v>
      </c>
      <c r="G46" s="112">
        <f t="shared" si="3"/>
        <v>0</v>
      </c>
      <c r="H46" s="99">
        <f>G46+'30'!H46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29.25" x14ac:dyDescent="0.5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11476</v>
      </c>
      <c r="H47" s="99">
        <f>G47+'30'!H47</f>
        <v>1054090</v>
      </c>
      <c r="I47" s="95"/>
      <c r="J47" s="175">
        <f>H47/DAY(B2)</f>
        <v>34002.903225806454</v>
      </c>
      <c r="K47" s="79"/>
      <c r="L47" s="66"/>
      <c r="N47" s="87"/>
      <c r="O47" s="71"/>
    </row>
    <row r="48" spans="1:15" ht="29.25" x14ac:dyDescent="0.5">
      <c r="A48" s="214" t="s">
        <v>174</v>
      </c>
      <c r="B48" s="349"/>
      <c r="C48" s="349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29.25" x14ac:dyDescent="0.4">
      <c r="A49" s="194" t="s">
        <v>161</v>
      </c>
      <c r="B49" s="217"/>
      <c r="C49" s="217"/>
      <c r="D49" s="151" t="s">
        <v>130</v>
      </c>
      <c r="E49" s="95">
        <f>'30'!F49</f>
        <v>270808</v>
      </c>
      <c r="F49" s="145">
        <v>272240</v>
      </c>
      <c r="G49" s="112">
        <f t="shared" ref="G49:G58" si="4">F49-E49</f>
        <v>1432</v>
      </c>
      <c r="H49" s="99">
        <f>G49+'30'!H49</f>
        <v>285361</v>
      </c>
      <c r="I49" s="95"/>
      <c r="J49" s="175">
        <f>H49/DAY(B2)</f>
        <v>9205.1935483870966</v>
      </c>
      <c r="K49" s="79"/>
      <c r="L49" s="66"/>
      <c r="N49" s="87"/>
      <c r="O49" s="71"/>
    </row>
    <row r="50" spans="1:15" ht="29.25" x14ac:dyDescent="0.4">
      <c r="A50" s="194" t="s">
        <v>175</v>
      </c>
      <c r="B50" s="217"/>
      <c r="C50" s="217"/>
      <c r="D50" s="151" t="s">
        <v>130</v>
      </c>
      <c r="E50" s="95">
        <f>'30'!F50</f>
        <v>23571</v>
      </c>
      <c r="F50" s="145">
        <v>24650</v>
      </c>
      <c r="G50" s="112">
        <f t="shared" si="4"/>
        <v>1079</v>
      </c>
      <c r="H50" s="99">
        <f>G50+'30'!H50</f>
        <v>0</v>
      </c>
      <c r="I50" s="95"/>
      <c r="J50" s="175">
        <f>H50/DAY(B2)</f>
        <v>0</v>
      </c>
      <c r="K50" s="79"/>
      <c r="L50" s="66"/>
      <c r="N50" s="87"/>
      <c r="O50" s="71"/>
    </row>
    <row r="51" spans="1:15" ht="29.25" x14ac:dyDescent="0.4">
      <c r="A51" s="194" t="s">
        <v>163</v>
      </c>
      <c r="B51" s="217"/>
      <c r="C51" s="217"/>
      <c r="D51" s="151" t="s">
        <v>130</v>
      </c>
      <c r="E51" s="95">
        <f>'30'!F51</f>
        <v>0</v>
      </c>
      <c r="F51" s="145">
        <v>0</v>
      </c>
      <c r="G51" s="112">
        <f t="shared" si="4"/>
        <v>0</v>
      </c>
      <c r="H51" s="99">
        <f>G51+'30'!H51</f>
        <v>0</v>
      </c>
      <c r="I51" s="95"/>
      <c r="J51" s="175">
        <f>H51/DAY(B2)</f>
        <v>0</v>
      </c>
      <c r="K51" s="79"/>
      <c r="L51" s="66"/>
      <c r="N51" s="87"/>
      <c r="O51" s="71"/>
    </row>
    <row r="52" spans="1:15" ht="29.25" x14ac:dyDescent="0.4">
      <c r="A52" s="194" t="s">
        <v>176</v>
      </c>
      <c r="B52" s="217"/>
      <c r="C52" s="217"/>
      <c r="D52" s="151" t="s">
        <v>130</v>
      </c>
      <c r="E52" s="95">
        <f>'30'!F52</f>
        <v>0</v>
      </c>
      <c r="F52" s="145">
        <v>0</v>
      </c>
      <c r="G52" s="112">
        <f t="shared" si="4"/>
        <v>0</v>
      </c>
      <c r="H52" s="99">
        <f>G52+'30'!H52</f>
        <v>0</v>
      </c>
      <c r="I52" s="95"/>
      <c r="J52" s="175">
        <f>H52/DAY(B2)</f>
        <v>0</v>
      </c>
      <c r="K52" s="79"/>
      <c r="L52" s="66"/>
      <c r="N52" s="87"/>
      <c r="O52" s="71"/>
    </row>
    <row r="53" spans="1:15" ht="29.25" x14ac:dyDescent="0.4">
      <c r="A53" s="194" t="s">
        <v>165</v>
      </c>
      <c r="B53" s="217"/>
      <c r="C53" s="217"/>
      <c r="D53" s="151" t="s">
        <v>130</v>
      </c>
      <c r="E53" s="95">
        <f>'30'!F53</f>
        <v>0</v>
      </c>
      <c r="F53" s="145">
        <v>0</v>
      </c>
      <c r="G53" s="112">
        <f t="shared" si="4"/>
        <v>0</v>
      </c>
      <c r="H53" s="99">
        <f>G53+'30'!H53</f>
        <v>0</v>
      </c>
      <c r="I53" s="95"/>
      <c r="J53" s="175">
        <f>H53/DAY(B2)</f>
        <v>0</v>
      </c>
      <c r="K53" s="79"/>
      <c r="L53" s="66"/>
      <c r="N53" s="87"/>
      <c r="O53" s="71"/>
    </row>
    <row r="54" spans="1:15" ht="29.25" x14ac:dyDescent="0.4">
      <c r="A54" s="194" t="s">
        <v>177</v>
      </c>
      <c r="B54" s="217"/>
      <c r="C54" s="217"/>
      <c r="D54" s="151" t="s">
        <v>130</v>
      </c>
      <c r="E54" s="95">
        <f>'30'!F54</f>
        <v>3179</v>
      </c>
      <c r="F54" s="145">
        <v>3183</v>
      </c>
      <c r="G54" s="112">
        <f t="shared" si="4"/>
        <v>4</v>
      </c>
      <c r="H54" s="99">
        <f>G54+'30'!H54</f>
        <v>4950.08</v>
      </c>
      <c r="I54" s="95"/>
      <c r="J54" s="175">
        <f>H54/DAY(B2)</f>
        <v>159.68</v>
      </c>
      <c r="K54" s="79"/>
      <c r="L54" s="66"/>
      <c r="N54" s="87"/>
      <c r="O54" s="71"/>
    </row>
    <row r="55" spans="1:15" ht="29.25" x14ac:dyDescent="0.4">
      <c r="A55" s="194" t="s">
        <v>178</v>
      </c>
      <c r="B55" s="217"/>
      <c r="C55" s="217"/>
      <c r="D55" s="151" t="s">
        <v>130</v>
      </c>
      <c r="E55" s="95">
        <v>0</v>
      </c>
      <c r="F55" s="145">
        <v>3511</v>
      </c>
      <c r="G55" s="112">
        <f t="shared" si="4"/>
        <v>3511</v>
      </c>
      <c r="H55" s="99">
        <f>G55+'30'!H55</f>
        <v>2254</v>
      </c>
      <c r="I55" s="95"/>
      <c r="J55" s="175">
        <f>H55/DAY(B2)</f>
        <v>72.709677419354833</v>
      </c>
      <c r="K55" s="79"/>
      <c r="L55" s="66"/>
      <c r="N55" s="87"/>
      <c r="O55" s="71"/>
    </row>
    <row r="56" spans="1:15" ht="29.25" x14ac:dyDescent="0.4">
      <c r="A56" s="194" t="s">
        <v>179</v>
      </c>
      <c r="B56" s="217"/>
      <c r="C56" s="217"/>
      <c r="D56" s="151" t="s">
        <v>180</v>
      </c>
      <c r="E56" s="95">
        <f>'30'!F56</f>
        <v>8610.5400000000009</v>
      </c>
      <c r="F56" s="145">
        <v>8610.5400000000009</v>
      </c>
      <c r="G56" s="112">
        <f t="shared" si="4"/>
        <v>0</v>
      </c>
      <c r="H56" s="99">
        <f>G56+'30'!H56</f>
        <v>0</v>
      </c>
      <c r="I56" s="95"/>
      <c r="J56" s="175">
        <f>H56/DAY(B2)</f>
        <v>0</v>
      </c>
      <c r="K56" s="78"/>
      <c r="L56" s="66"/>
      <c r="N56" s="87"/>
      <c r="O56" s="71"/>
    </row>
    <row r="57" spans="1:15" ht="29.25" x14ac:dyDescent="0.4">
      <c r="A57" s="194" t="s">
        <v>169</v>
      </c>
      <c r="B57" s="217"/>
      <c r="C57" s="217"/>
      <c r="D57" s="151" t="s">
        <v>130</v>
      </c>
      <c r="E57" s="95">
        <f>'30'!F57</f>
        <v>0</v>
      </c>
      <c r="F57" s="145">
        <v>0</v>
      </c>
      <c r="G57" s="112">
        <f t="shared" si="4"/>
        <v>0</v>
      </c>
      <c r="H57" s="99">
        <f>G57+'30'!H57</f>
        <v>0</v>
      </c>
      <c r="I57" s="95"/>
      <c r="J57" s="175">
        <f>H57/DAY(B2)</f>
        <v>0</v>
      </c>
      <c r="K57" s="79"/>
      <c r="L57" s="66"/>
      <c r="N57" s="87"/>
      <c r="O57" s="71"/>
    </row>
    <row r="58" spans="1:15" ht="29.25" x14ac:dyDescent="0.4">
      <c r="A58" s="194" t="s">
        <v>181</v>
      </c>
      <c r="B58" s="217"/>
      <c r="C58" s="217"/>
      <c r="D58" s="151" t="s">
        <v>130</v>
      </c>
      <c r="E58" s="95">
        <f>'30'!F58</f>
        <v>92071</v>
      </c>
      <c r="F58" s="145">
        <v>92285</v>
      </c>
      <c r="G58" s="112">
        <f t="shared" si="4"/>
        <v>214</v>
      </c>
      <c r="H58" s="99">
        <f>G58+'30'!H58</f>
        <v>92625.63</v>
      </c>
      <c r="I58" s="95"/>
      <c r="J58" s="175">
        <f>H58/DAY(B2)</f>
        <v>2987.9235483870971</v>
      </c>
      <c r="K58" s="79"/>
      <c r="L58" s="66"/>
      <c r="N58" s="87"/>
      <c r="O58" s="71"/>
    </row>
    <row r="59" spans="1:15" ht="29.25" x14ac:dyDescent="0.5">
      <c r="A59" s="201" t="s">
        <v>173</v>
      </c>
      <c r="B59" s="202"/>
      <c r="C59" s="202"/>
      <c r="D59" s="146"/>
      <c r="E59" s="146"/>
      <c r="F59" s="146"/>
      <c r="G59" s="119">
        <f>G49+G50+G51+G52+G53+G54+G55+G56+G57+G58</f>
        <v>6240</v>
      </c>
      <c r="H59" s="99">
        <f>G59+'30'!H59</f>
        <v>385190.71</v>
      </c>
      <c r="I59" s="95">
        <f>G7-G60</f>
        <v>5784</v>
      </c>
      <c r="J59" s="175">
        <f>H59/DAY(B2)</f>
        <v>12425.506774193549</v>
      </c>
      <c r="K59" s="79"/>
      <c r="L59" s="66"/>
      <c r="N59" s="87"/>
      <c r="O59" s="71"/>
    </row>
    <row r="60" spans="1:15" ht="29.25" x14ac:dyDescent="0.4">
      <c r="A60" s="194"/>
      <c r="B60" s="195"/>
      <c r="C60" s="195"/>
      <c r="D60" s="146" t="s">
        <v>182</v>
      </c>
      <c r="E60" s="146"/>
      <c r="F60" s="146"/>
      <c r="G60" s="119">
        <f>G47+G59</f>
        <v>17716</v>
      </c>
      <c r="H60" s="99">
        <f>G60+'30'!H60</f>
        <v>1439280.71</v>
      </c>
      <c r="I60" s="95">
        <f>G13-G60</f>
        <v>784</v>
      </c>
      <c r="J60" s="175">
        <f>H60/DAY(B2)</f>
        <v>46428.409999999996</v>
      </c>
      <c r="K60" s="79"/>
      <c r="L60" s="66"/>
      <c r="N60" s="87"/>
      <c r="O60" s="71"/>
    </row>
    <row r="61" spans="1:15" s="68" customFormat="1" ht="27.75" x14ac:dyDescent="0.5">
      <c r="A61" s="837" t="s">
        <v>332</v>
      </c>
      <c r="B61" s="838"/>
      <c r="C61" s="839"/>
      <c r="D61" s="339"/>
      <c r="E61" s="339"/>
      <c r="F61" s="339"/>
      <c r="G61" s="340"/>
      <c r="H61" s="339"/>
      <c r="I61" s="339"/>
      <c r="J61" s="341"/>
      <c r="K61" s="69"/>
      <c r="L61" s="67"/>
      <c r="N61" s="87"/>
      <c r="O61" s="71"/>
    </row>
    <row r="62" spans="1:15" ht="27.75" x14ac:dyDescent="0.5">
      <c r="A62" s="818" t="s">
        <v>198</v>
      </c>
      <c r="B62" s="819"/>
      <c r="C62" s="820"/>
      <c r="D62" s="151" t="s">
        <v>142</v>
      </c>
      <c r="E62" s="95">
        <f>'30'!F62</f>
        <v>267207</v>
      </c>
      <c r="F62" s="122">
        <v>267213</v>
      </c>
      <c r="G62" s="112">
        <f t="shared" ref="G62:G63" si="5">F62-E62</f>
        <v>6</v>
      </c>
      <c r="H62" s="99">
        <f>G62+'30'!H62</f>
        <v>0</v>
      </c>
      <c r="I62" s="118"/>
      <c r="J62" s="175">
        <f>H62/DAY(B2)</f>
        <v>0</v>
      </c>
      <c r="K62" s="80"/>
      <c r="L62" s="66"/>
      <c r="N62" s="87"/>
      <c r="O62" s="71"/>
    </row>
    <row r="63" spans="1:15" ht="27.75" x14ac:dyDescent="0.5">
      <c r="A63" s="818" t="s">
        <v>199</v>
      </c>
      <c r="B63" s="819"/>
      <c r="C63" s="820"/>
      <c r="D63" s="151" t="s">
        <v>142</v>
      </c>
      <c r="E63" s="95">
        <f>'30'!F63</f>
        <v>212339</v>
      </c>
      <c r="F63" s="122">
        <v>212425</v>
      </c>
      <c r="G63" s="112">
        <f t="shared" si="5"/>
        <v>86</v>
      </c>
      <c r="H63" s="99">
        <f>G63+'30'!H63</f>
        <v>0</v>
      </c>
      <c r="I63" s="118"/>
      <c r="J63" s="175">
        <f>H63/DAY(B2)</f>
        <v>0</v>
      </c>
      <c r="K63" s="69"/>
      <c r="L63" s="66"/>
      <c r="N63" s="87"/>
      <c r="O63" s="71"/>
    </row>
    <row r="64" spans="1:15" ht="29.25" x14ac:dyDescent="0.5">
      <c r="A64" s="815" t="s">
        <v>200</v>
      </c>
      <c r="B64" s="816"/>
      <c r="C64" s="817"/>
      <c r="D64" s="151"/>
      <c r="E64" s="95">
        <f>'30'!F64</f>
        <v>0</v>
      </c>
      <c r="F64" s="122"/>
      <c r="G64" s="112">
        <f>G62+G63</f>
        <v>92</v>
      </c>
      <c r="H64" s="99">
        <f>G64+'30'!H64</f>
        <v>0</v>
      </c>
      <c r="I64" s="118"/>
      <c r="J64" s="175">
        <f>H64/DAY(B2)</f>
        <v>0</v>
      </c>
      <c r="K64" s="69"/>
      <c r="L64" s="66"/>
      <c r="N64" s="87"/>
      <c r="O64" s="71"/>
    </row>
    <row r="65" spans="1:15" ht="27.75" x14ac:dyDescent="0.5">
      <c r="A65" s="818" t="s">
        <v>201</v>
      </c>
      <c r="B65" s="819"/>
      <c r="C65" s="820"/>
      <c r="D65" s="151" t="s">
        <v>142</v>
      </c>
      <c r="E65" s="95">
        <f>'30'!F65</f>
        <v>432520</v>
      </c>
      <c r="F65" s="122">
        <v>432614</v>
      </c>
      <c r="G65" s="112">
        <f t="shared" ref="G65:G70" si="6">F65-E65</f>
        <v>94</v>
      </c>
      <c r="H65" s="99">
        <f>G65+'30'!H65</f>
        <v>0</v>
      </c>
      <c r="I65" s="118"/>
      <c r="J65" s="175">
        <f>H65/DAY(B2)</f>
        <v>0</v>
      </c>
      <c r="K65" s="69"/>
      <c r="L65" s="66"/>
      <c r="N65" s="87"/>
      <c r="O65" s="71"/>
    </row>
    <row r="66" spans="1:15" ht="27.75" x14ac:dyDescent="0.5">
      <c r="A66" s="345" t="s">
        <v>202</v>
      </c>
      <c r="B66" s="346"/>
      <c r="C66" s="346"/>
      <c r="D66" s="151" t="s">
        <v>142</v>
      </c>
      <c r="E66" s="95">
        <f>'30'!F66</f>
        <v>107195</v>
      </c>
      <c r="F66" s="122">
        <v>107214</v>
      </c>
      <c r="G66" s="112">
        <f t="shared" si="6"/>
        <v>19</v>
      </c>
      <c r="H66" s="99">
        <f>G66+'30'!H66</f>
        <v>0</v>
      </c>
      <c r="I66" s="118"/>
      <c r="J66" s="175">
        <f>H66/DAY(B2)</f>
        <v>0</v>
      </c>
      <c r="K66" s="78"/>
      <c r="L66" s="66"/>
      <c r="N66" s="87"/>
      <c r="O66" s="71"/>
    </row>
    <row r="67" spans="1:15" ht="27.75" x14ac:dyDescent="0.5">
      <c r="A67" s="345" t="s">
        <v>203</v>
      </c>
      <c r="B67" s="346"/>
      <c r="C67" s="346"/>
      <c r="D67" s="151" t="s">
        <v>142</v>
      </c>
      <c r="E67" s="95">
        <f>'30'!F67</f>
        <v>103897</v>
      </c>
      <c r="F67" s="122">
        <v>103928</v>
      </c>
      <c r="G67" s="112">
        <f t="shared" si="6"/>
        <v>31</v>
      </c>
      <c r="H67" s="99">
        <f>G67+'30'!H67</f>
        <v>0</v>
      </c>
      <c r="I67" s="118"/>
      <c r="J67" s="175">
        <f>H67/DAY(B2)</f>
        <v>0</v>
      </c>
      <c r="K67" s="81"/>
      <c r="L67" s="66"/>
      <c r="N67" s="87"/>
      <c r="O67" s="71"/>
    </row>
    <row r="68" spans="1:15" ht="27.75" x14ac:dyDescent="0.5">
      <c r="A68" s="345" t="s">
        <v>204</v>
      </c>
      <c r="B68" s="346"/>
      <c r="C68" s="346"/>
      <c r="D68" s="151" t="s">
        <v>142</v>
      </c>
      <c r="E68" s="95">
        <f>'30'!F68</f>
        <v>156596</v>
      </c>
      <c r="F68" s="122">
        <v>156620</v>
      </c>
      <c r="G68" s="112">
        <f t="shared" si="6"/>
        <v>24</v>
      </c>
      <c r="H68" s="99" t="e">
        <f>G68+'30'!H68</f>
        <v>#VALUE!</v>
      </c>
      <c r="I68" s="118"/>
      <c r="J68" s="175" t="e">
        <f>H68/DAY(B2)</f>
        <v>#VALUE!</v>
      </c>
      <c r="K68" s="69"/>
      <c r="L68" s="66"/>
      <c r="N68" s="87"/>
      <c r="O68" s="71"/>
    </row>
    <row r="69" spans="1:15" ht="27.75" x14ac:dyDescent="0.5">
      <c r="A69" s="345" t="s">
        <v>205</v>
      </c>
      <c r="B69" s="346"/>
      <c r="C69" s="346"/>
      <c r="D69" s="151" t="s">
        <v>142</v>
      </c>
      <c r="E69" s="95">
        <f>'30'!F69</f>
        <v>10206</v>
      </c>
      <c r="F69" s="122">
        <v>10214</v>
      </c>
      <c r="G69" s="112">
        <f t="shared" si="6"/>
        <v>8</v>
      </c>
      <c r="H69" s="99">
        <f>G69+'30'!H69</f>
        <v>0</v>
      </c>
      <c r="I69" s="118"/>
      <c r="J69" s="175">
        <f>H69/DAY(B2)</f>
        <v>0</v>
      </c>
      <c r="K69" s="69"/>
      <c r="L69" s="66"/>
      <c r="N69" s="87"/>
      <c r="O69" s="71"/>
    </row>
    <row r="70" spans="1:15" ht="27.75" x14ac:dyDescent="0.5">
      <c r="A70" s="345" t="s">
        <v>206</v>
      </c>
      <c r="B70" s="346"/>
      <c r="C70" s="346"/>
      <c r="D70" s="151" t="s">
        <v>142</v>
      </c>
      <c r="E70" s="95">
        <f>'30'!F70</f>
        <v>7855</v>
      </c>
      <c r="F70" s="122">
        <v>7862</v>
      </c>
      <c r="G70" s="112">
        <f t="shared" si="6"/>
        <v>7</v>
      </c>
      <c r="H70" s="99">
        <f>G70+'30'!H70</f>
        <v>0</v>
      </c>
      <c r="I70" s="118"/>
      <c r="J70" s="175">
        <f>H70/DAY(B2)</f>
        <v>0</v>
      </c>
      <c r="K70" s="69"/>
      <c r="L70" s="66"/>
      <c r="N70" s="87"/>
      <c r="O70" s="71"/>
    </row>
    <row r="71" spans="1:15" ht="29.25" x14ac:dyDescent="0.5">
      <c r="A71" s="815" t="s">
        <v>208</v>
      </c>
      <c r="B71" s="816"/>
      <c r="C71" s="817"/>
      <c r="D71" s="152"/>
      <c r="E71" s="95">
        <f>'30'!F71</f>
        <v>0</v>
      </c>
      <c r="F71" s="152"/>
      <c r="G71" s="153">
        <f>SUM(G65:G70)</f>
        <v>183</v>
      </c>
      <c r="H71" s="99">
        <f>G71+'30'!H71</f>
        <v>-73</v>
      </c>
      <c r="I71" s="154"/>
      <c r="J71" s="175">
        <f>H71/DAY(B2)</f>
        <v>-2.3548387096774195</v>
      </c>
      <c r="K71" s="69"/>
      <c r="L71" s="66"/>
      <c r="N71" s="87"/>
      <c r="O71" s="71"/>
    </row>
    <row r="72" spans="1:15" s="88" customFormat="1" ht="27.75" x14ac:dyDescent="0.5">
      <c r="A72" s="861"/>
      <c r="B72" s="853"/>
      <c r="C72" s="347"/>
      <c r="D72" s="180"/>
      <c r="E72" s="180" t="s">
        <v>207</v>
      </c>
      <c r="F72" s="180"/>
      <c r="G72" s="180"/>
      <c r="H72" s="181"/>
      <c r="I72" s="180"/>
      <c r="J72" s="182"/>
      <c r="N72" s="87"/>
      <c r="O72" s="71"/>
    </row>
    <row r="73" spans="1:15" ht="29.25" x14ac:dyDescent="0.5">
      <c r="A73" s="866" t="s">
        <v>333</v>
      </c>
      <c r="B73" s="867"/>
      <c r="C73" s="868"/>
      <c r="D73" s="339"/>
      <c r="E73" s="339"/>
      <c r="F73" s="339"/>
      <c r="G73" s="342"/>
      <c r="H73" s="342"/>
      <c r="I73" s="342"/>
      <c r="J73" s="343"/>
      <c r="K73" s="69"/>
      <c r="L73" s="66"/>
      <c r="N73" s="87"/>
      <c r="O73" s="71"/>
    </row>
    <row r="74" spans="1:15" ht="27.75" x14ac:dyDescent="0.5">
      <c r="A74" s="818" t="s">
        <v>220</v>
      </c>
      <c r="B74" s="819"/>
      <c r="C74" s="820"/>
      <c r="D74" s="151" t="s">
        <v>139</v>
      </c>
      <c r="E74" s="95">
        <f>'30'!F74</f>
        <v>891763</v>
      </c>
      <c r="F74" s="123">
        <v>892032</v>
      </c>
      <c r="G74" s="112">
        <f t="shared" ref="G74:G78" si="7">F74-E74</f>
        <v>269</v>
      </c>
      <c r="H74" s="99">
        <f>G74+'30'!H74</f>
        <v>0</v>
      </c>
      <c r="I74" s="154"/>
      <c r="J74" s="175">
        <f>H74/DAY(B2)</f>
        <v>0</v>
      </c>
      <c r="K74" s="69"/>
      <c r="L74" s="66"/>
      <c r="N74" s="87"/>
      <c r="O74" s="71"/>
    </row>
    <row r="75" spans="1:15" ht="27.75" x14ac:dyDescent="0.5">
      <c r="A75" s="818" t="s">
        <v>221</v>
      </c>
      <c r="B75" s="819"/>
      <c r="C75" s="820"/>
      <c r="D75" s="151" t="s">
        <v>139</v>
      </c>
      <c r="E75" s="95">
        <f>'30'!F75</f>
        <v>73586.8</v>
      </c>
      <c r="F75" s="123">
        <v>73586.8</v>
      </c>
      <c r="G75" s="112">
        <f t="shared" si="7"/>
        <v>0</v>
      </c>
      <c r="H75" s="99">
        <f>G75+'30'!H75</f>
        <v>0</v>
      </c>
      <c r="I75" s="154"/>
      <c r="J75" s="175">
        <f>H75/DAY(B2)</f>
        <v>0</v>
      </c>
      <c r="K75" s="69"/>
      <c r="L75" s="66"/>
      <c r="N75" s="87"/>
      <c r="O75" s="71"/>
    </row>
    <row r="76" spans="1:15" ht="27.75" x14ac:dyDescent="0.5">
      <c r="A76" s="862" t="s">
        <v>222</v>
      </c>
      <c r="B76" s="848"/>
      <c r="C76" s="849"/>
      <c r="D76" s="151" t="s">
        <v>139</v>
      </c>
      <c r="E76" s="95">
        <f>'30'!F76</f>
        <v>167093</v>
      </c>
      <c r="F76" s="123">
        <v>167207</v>
      </c>
      <c r="G76" s="112">
        <f t="shared" si="7"/>
        <v>114</v>
      </c>
      <c r="H76" s="99">
        <f>G76+'30'!H76</f>
        <v>0</v>
      </c>
      <c r="I76" s="154"/>
      <c r="J76" s="175">
        <f>H76/DAY(B2)</f>
        <v>0</v>
      </c>
      <c r="K76" s="69"/>
      <c r="L76" s="66"/>
      <c r="N76" s="87"/>
      <c r="O76" s="71"/>
    </row>
    <row r="77" spans="1:15" ht="27.75" x14ac:dyDescent="0.5">
      <c r="A77" s="862" t="s">
        <v>223</v>
      </c>
      <c r="B77" s="848"/>
      <c r="C77" s="849"/>
      <c r="D77" s="151" t="s">
        <v>139</v>
      </c>
      <c r="E77" s="95">
        <f>'30'!F77</f>
        <v>40267</v>
      </c>
      <c r="F77" s="494">
        <v>40316</v>
      </c>
      <c r="G77" s="112">
        <f t="shared" si="7"/>
        <v>49</v>
      </c>
      <c r="H77" s="99">
        <f>G77+'30'!H77</f>
        <v>0</v>
      </c>
      <c r="I77" s="154"/>
      <c r="J77" s="175">
        <f>H77/DAY(B2)</f>
        <v>0</v>
      </c>
      <c r="K77" s="69"/>
      <c r="L77" s="66"/>
      <c r="N77" s="87"/>
      <c r="O77" s="71"/>
    </row>
    <row r="78" spans="1:15" ht="27.75" x14ac:dyDescent="0.5">
      <c r="A78" s="862" t="s">
        <v>224</v>
      </c>
      <c r="B78" s="848"/>
      <c r="C78" s="849"/>
      <c r="D78" s="151" t="s">
        <v>139</v>
      </c>
      <c r="E78" s="95">
        <f>'30'!F78</f>
        <v>9482</v>
      </c>
      <c r="F78" s="123">
        <v>9486</v>
      </c>
      <c r="G78" s="112">
        <f t="shared" si="7"/>
        <v>4</v>
      </c>
      <c r="H78" s="99">
        <f>G78+'30'!H78</f>
        <v>0</v>
      </c>
      <c r="I78" s="118"/>
      <c r="J78" s="175">
        <f>H78/DAY(B2)</f>
        <v>0</v>
      </c>
      <c r="K78" s="69"/>
      <c r="L78" s="66"/>
      <c r="N78" s="87"/>
      <c r="O78" s="71"/>
    </row>
    <row r="79" spans="1:15" s="57" customFormat="1" ht="27.75" x14ac:dyDescent="0.5">
      <c r="A79" s="862" t="s">
        <v>225</v>
      </c>
      <c r="B79" s="848"/>
      <c r="C79" s="849"/>
      <c r="D79" s="151"/>
      <c r="E79" s="95">
        <f>'30'!F79</f>
        <v>0</v>
      </c>
      <c r="F79" s="123"/>
      <c r="G79" s="112">
        <f>G15-SUM(G74:G78)</f>
        <v>664</v>
      </c>
      <c r="H79" s="99">
        <f>G79+'30'!H79</f>
        <v>28934.999999999996</v>
      </c>
      <c r="I79" s="118"/>
      <c r="J79" s="175"/>
      <c r="K79" s="59"/>
      <c r="L79" s="58"/>
      <c r="N79" s="87"/>
      <c r="O79" s="71"/>
    </row>
    <row r="80" spans="1:15" s="57" customFormat="1" ht="29.25" x14ac:dyDescent="0.5">
      <c r="A80" s="815" t="s">
        <v>329</v>
      </c>
      <c r="B80" s="816"/>
      <c r="C80" s="817"/>
      <c r="D80" s="151"/>
      <c r="E80" s="117"/>
      <c r="F80" s="117"/>
      <c r="G80" s="112">
        <f>SUM(G74:G79)</f>
        <v>1100</v>
      </c>
      <c r="H80" s="99"/>
      <c r="I80" s="118"/>
      <c r="J80" s="175"/>
      <c r="K80" s="59"/>
      <c r="L80" s="58"/>
      <c r="N80" s="87"/>
      <c r="O80" s="71"/>
    </row>
    <row r="81" spans="1:15" ht="27" x14ac:dyDescent="0.4">
      <c r="A81" s="854" t="s">
        <v>226</v>
      </c>
      <c r="B81" s="855"/>
      <c r="C81" s="856"/>
      <c r="D81" s="110"/>
      <c r="E81" s="110"/>
      <c r="F81" s="110"/>
      <c r="G81" s="163"/>
      <c r="H81" s="163"/>
      <c r="I81" s="163"/>
      <c r="J81" s="184"/>
      <c r="O81" s="71"/>
    </row>
    <row r="82" spans="1:15" ht="27.75" x14ac:dyDescent="0.5">
      <c r="A82" s="345" t="s">
        <v>227</v>
      </c>
      <c r="B82" s="346"/>
      <c r="C82" s="346"/>
      <c r="D82" s="151" t="s">
        <v>228</v>
      </c>
      <c r="E82" s="95">
        <f>'30'!F82</f>
        <v>0</v>
      </c>
      <c r="F82" s="122">
        <v>0</v>
      </c>
      <c r="G82" s="112">
        <f t="shared" ref="G82:G92" si="8">F82-E82</f>
        <v>0</v>
      </c>
      <c r="H82" s="99">
        <f>G82+'30'!H131</f>
        <v>-77</v>
      </c>
      <c r="I82" s="118"/>
      <c r="J82" s="175">
        <f>H82/DAY(B2)</f>
        <v>-2.4838709677419355</v>
      </c>
      <c r="O82" s="71"/>
    </row>
    <row r="83" spans="1:15" ht="27.75" x14ac:dyDescent="0.5">
      <c r="A83" s="345" t="s">
        <v>229</v>
      </c>
      <c r="B83" s="346"/>
      <c r="C83" s="346"/>
      <c r="D83" s="151" t="s">
        <v>228</v>
      </c>
      <c r="E83" s="95">
        <f>'30'!F83</f>
        <v>0</v>
      </c>
      <c r="F83" s="122">
        <v>0</v>
      </c>
      <c r="G83" s="112">
        <f t="shared" si="8"/>
        <v>0</v>
      </c>
      <c r="H83" s="99">
        <f>G83+'30'!H83</f>
        <v>0</v>
      </c>
      <c r="I83" s="118"/>
      <c r="J83" s="175">
        <f>H83/DAY(B2)</f>
        <v>0</v>
      </c>
      <c r="O83" s="71"/>
    </row>
    <row r="84" spans="1:15" ht="27.75" x14ac:dyDescent="0.5">
      <c r="A84" s="345" t="s">
        <v>230</v>
      </c>
      <c r="B84" s="346"/>
      <c r="C84" s="346"/>
      <c r="D84" s="151" t="s">
        <v>228</v>
      </c>
      <c r="E84" s="95">
        <f>'30'!F84</f>
        <v>41675.26</v>
      </c>
      <c r="F84" s="164">
        <v>41675</v>
      </c>
      <c r="G84" s="112">
        <f t="shared" si="8"/>
        <v>-0.26000000000203727</v>
      </c>
      <c r="H84" s="99">
        <f>G84+'30'!H84</f>
        <v>0</v>
      </c>
      <c r="I84" s="118"/>
      <c r="J84" s="175">
        <f>H84/DAY(B2)</f>
        <v>0</v>
      </c>
      <c r="O84" s="71"/>
    </row>
    <row r="85" spans="1:15" ht="27.75" x14ac:dyDescent="0.5">
      <c r="A85" s="345" t="s">
        <v>231</v>
      </c>
      <c r="B85" s="346"/>
      <c r="C85" s="346"/>
      <c r="D85" s="151" t="s">
        <v>228</v>
      </c>
      <c r="E85" s="95">
        <f>'30'!F85</f>
        <v>2096.56</v>
      </c>
      <c r="F85" s="164">
        <v>2096.56</v>
      </c>
      <c r="G85" s="112">
        <f t="shared" si="8"/>
        <v>0</v>
      </c>
      <c r="H85" s="99">
        <f>G85+'30'!H85</f>
        <v>0</v>
      </c>
      <c r="I85" s="118">
        <f>G82+G83+G84+G85</f>
        <v>-0.26000000000203727</v>
      </c>
      <c r="J85" s="175">
        <f>H85/DAY(B2)</f>
        <v>0</v>
      </c>
      <c r="O85" s="71"/>
    </row>
    <row r="86" spans="1:15" ht="27.75" x14ac:dyDescent="0.5">
      <c r="A86" s="345" t="s">
        <v>232</v>
      </c>
      <c r="B86" s="346"/>
      <c r="C86" s="346"/>
      <c r="D86" s="151" t="s">
        <v>228</v>
      </c>
      <c r="E86" s="95">
        <f>'30'!F86</f>
        <v>42839</v>
      </c>
      <c r="F86" s="164">
        <v>42863</v>
      </c>
      <c r="G86" s="112">
        <f t="shared" si="8"/>
        <v>24</v>
      </c>
      <c r="H86" s="99">
        <f>G86+'30'!H86</f>
        <v>0</v>
      </c>
      <c r="I86" s="118"/>
      <c r="J86" s="175">
        <f>H86/DAY(B2)</f>
        <v>0</v>
      </c>
      <c r="O86" s="71"/>
    </row>
    <row r="87" spans="1:15" ht="27.75" x14ac:dyDescent="0.5">
      <c r="A87" s="345" t="s">
        <v>233</v>
      </c>
      <c r="B87" s="346"/>
      <c r="C87" s="346"/>
      <c r="D87" s="151" t="s">
        <v>228</v>
      </c>
      <c r="E87" s="95">
        <f>'30'!F87</f>
        <v>34598.550000000003</v>
      </c>
      <c r="F87" s="164">
        <v>34598.550000000003</v>
      </c>
      <c r="G87" s="112">
        <f t="shared" si="8"/>
        <v>0</v>
      </c>
      <c r="H87" s="99">
        <f>G87+'30'!H87</f>
        <v>0</v>
      </c>
      <c r="I87" s="118"/>
      <c r="J87" s="175">
        <f>H87/DAY(B2)</f>
        <v>0</v>
      </c>
      <c r="O87" s="71"/>
    </row>
    <row r="88" spans="1:15" ht="27.75" x14ac:dyDescent="0.5">
      <c r="A88" s="345" t="s">
        <v>234</v>
      </c>
      <c r="B88" s="346"/>
      <c r="C88" s="346"/>
      <c r="D88" s="151" t="s">
        <v>228</v>
      </c>
      <c r="E88" s="95">
        <f>'30'!F88</f>
        <v>24041</v>
      </c>
      <c r="F88" s="164">
        <v>24047</v>
      </c>
      <c r="G88" s="112">
        <f t="shared" si="8"/>
        <v>6</v>
      </c>
      <c r="H88" s="99">
        <f>G88+'30'!H88</f>
        <v>0</v>
      </c>
      <c r="I88" s="118">
        <f>G86+G87+G88</f>
        <v>30</v>
      </c>
      <c r="J88" s="175">
        <f>H88/DAY(B2)</f>
        <v>0</v>
      </c>
      <c r="O88" s="71"/>
    </row>
    <row r="89" spans="1:15" ht="27.75" x14ac:dyDescent="0.5">
      <c r="A89" s="345" t="s">
        <v>235</v>
      </c>
      <c r="B89" s="346"/>
      <c r="C89" s="346"/>
      <c r="D89" s="151" t="s">
        <v>228</v>
      </c>
      <c r="E89" s="95">
        <f>'30'!F89</f>
        <v>25661</v>
      </c>
      <c r="F89" s="164">
        <v>25663</v>
      </c>
      <c r="G89" s="112">
        <f t="shared" si="8"/>
        <v>2</v>
      </c>
      <c r="H89" s="99">
        <f>G89+'30'!H89</f>
        <v>0</v>
      </c>
      <c r="I89" s="118"/>
      <c r="J89" s="175">
        <f>H89/DAY(B2)</f>
        <v>0</v>
      </c>
      <c r="O89" s="71"/>
    </row>
    <row r="90" spans="1:15" ht="27.75" x14ac:dyDescent="0.5">
      <c r="A90" s="345" t="s">
        <v>236</v>
      </c>
      <c r="B90" s="346"/>
      <c r="C90" s="346"/>
      <c r="D90" s="151" t="s">
        <v>228</v>
      </c>
      <c r="E90" s="95">
        <f>'30'!F90</f>
        <v>71027</v>
      </c>
      <c r="F90" s="164">
        <v>71034</v>
      </c>
      <c r="G90" s="112">
        <f>F90-E90</f>
        <v>7</v>
      </c>
      <c r="H90" s="99">
        <f>G90+'30'!H90</f>
        <v>46</v>
      </c>
      <c r="I90" s="118">
        <f>G89+G90</f>
        <v>9</v>
      </c>
      <c r="J90" s="175">
        <f>H90/DAY(B2)</f>
        <v>1.4838709677419355</v>
      </c>
      <c r="O90" s="71"/>
    </row>
    <row r="91" spans="1:15" ht="27.75" x14ac:dyDescent="0.5">
      <c r="A91" s="345" t="s">
        <v>237</v>
      </c>
      <c r="B91" s="346"/>
      <c r="C91" s="346"/>
      <c r="D91" s="151" t="s">
        <v>228</v>
      </c>
      <c r="E91" s="95">
        <f>'30'!F91</f>
        <v>3226</v>
      </c>
      <c r="F91" s="122">
        <v>3226.32</v>
      </c>
      <c r="G91" s="112">
        <f t="shared" si="8"/>
        <v>0.32000000000016371</v>
      </c>
      <c r="H91" s="99">
        <f>G91+'30'!H91</f>
        <v>0</v>
      </c>
      <c r="I91" s="165"/>
      <c r="J91" s="175">
        <f>H91/DAY(B2)</f>
        <v>0</v>
      </c>
      <c r="O91" s="71"/>
    </row>
    <row r="92" spans="1:15" ht="27.75" x14ac:dyDescent="0.5">
      <c r="A92" s="345" t="s">
        <v>238</v>
      </c>
      <c r="B92" s="346"/>
      <c r="C92" s="346"/>
      <c r="D92" s="151" t="s">
        <v>228</v>
      </c>
      <c r="E92" s="95">
        <f>'30'!F92</f>
        <v>5429</v>
      </c>
      <c r="F92" s="122">
        <v>5438</v>
      </c>
      <c r="G92" s="112">
        <f t="shared" si="8"/>
        <v>9</v>
      </c>
      <c r="H92" s="99">
        <f>G92+'30'!H92</f>
        <v>0</v>
      </c>
      <c r="I92" s="165"/>
      <c r="J92" s="175">
        <f>H92/DAY(B2)</f>
        <v>0</v>
      </c>
      <c r="O92" s="71"/>
    </row>
    <row r="93" spans="1:15" ht="29.25" x14ac:dyDescent="0.5">
      <c r="A93" s="863" t="s">
        <v>239</v>
      </c>
      <c r="B93" s="864"/>
      <c r="C93" s="865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27.75" x14ac:dyDescent="0.5">
      <c r="A94" s="818" t="s">
        <v>240</v>
      </c>
      <c r="B94" s="819"/>
      <c r="C94" s="820"/>
      <c r="D94" s="151" t="s">
        <v>130</v>
      </c>
      <c r="E94" s="151"/>
      <c r="F94" s="151"/>
      <c r="G94" s="99">
        <f>G35+G43+G49+G57</f>
        <v>5932</v>
      </c>
      <c r="H94" s="99">
        <f>G94+'30'!H94</f>
        <v>453403</v>
      </c>
      <c r="I94" s="118"/>
      <c r="J94" s="175">
        <f>H94/DAY(B2)</f>
        <v>14625.903225806451</v>
      </c>
      <c r="K94" s="69"/>
      <c r="L94" s="66"/>
      <c r="O94" s="71"/>
    </row>
    <row r="95" spans="1:15" ht="27.75" x14ac:dyDescent="0.5">
      <c r="A95" s="818" t="s">
        <v>241</v>
      </c>
      <c r="B95" s="819"/>
      <c r="C95" s="820"/>
      <c r="D95" s="151" t="s">
        <v>23</v>
      </c>
      <c r="E95" s="146"/>
      <c r="F95" s="146"/>
      <c r="G95" s="166">
        <f>G94/G7</f>
        <v>0.25242553191489364</v>
      </c>
      <c r="H95" s="99">
        <f>G95+'30'!H95</f>
        <v>20.91920603567705</v>
      </c>
      <c r="I95" s="167"/>
      <c r="J95" s="175">
        <f>H95/DAY(B2)</f>
        <v>0.67481309792506616</v>
      </c>
      <c r="K95" s="69"/>
      <c r="L95" s="66"/>
      <c r="O95" s="71"/>
    </row>
    <row r="96" spans="1:15" ht="27.75" x14ac:dyDescent="0.5">
      <c r="A96" s="818" t="s">
        <v>242</v>
      </c>
      <c r="B96" s="819"/>
      <c r="C96" s="820"/>
      <c r="D96" s="151" t="s">
        <v>130</v>
      </c>
      <c r="E96" s="95"/>
      <c r="F96" s="95"/>
      <c r="G96" s="99">
        <f>G41+G42+G55+G56</f>
        <v>3511</v>
      </c>
      <c r="H96" s="99">
        <f>G96+'30'!H96</f>
        <v>2254</v>
      </c>
      <c r="I96" s="118"/>
      <c r="J96" s="175">
        <f>H96/DAY(B2)</f>
        <v>72.709677419354833</v>
      </c>
      <c r="K96" s="69"/>
      <c r="L96" s="66"/>
      <c r="O96" s="71"/>
    </row>
    <row r="97" spans="1:15" ht="27.75" x14ac:dyDescent="0.5">
      <c r="A97" s="818" t="s">
        <v>243</v>
      </c>
      <c r="B97" s="819"/>
      <c r="C97" s="820"/>
      <c r="D97" s="151" t="s">
        <v>23</v>
      </c>
      <c r="E97" s="95"/>
      <c r="F97" s="95"/>
      <c r="G97" s="166">
        <f>G96/G7</f>
        <v>0.14940425531914894</v>
      </c>
      <c r="H97" s="99">
        <f>G97+'30'!H97</f>
        <v>1.0571847239131382</v>
      </c>
      <c r="I97" s="167"/>
      <c r="J97" s="175">
        <f>H97/DAY(B2)</f>
        <v>3.4102733029456073E-2</v>
      </c>
      <c r="K97" s="69"/>
      <c r="L97" s="66"/>
      <c r="O97" s="71"/>
    </row>
    <row r="98" spans="1:15" ht="27.75" x14ac:dyDescent="0.5">
      <c r="A98" s="818" t="s">
        <v>244</v>
      </c>
      <c r="B98" s="819"/>
      <c r="C98" s="820"/>
      <c r="D98" s="151" t="s">
        <v>130</v>
      </c>
      <c r="E98" s="95"/>
      <c r="F98" s="95"/>
      <c r="G98" s="99">
        <f>G39+G53</f>
        <v>2762</v>
      </c>
      <c r="H98" s="99">
        <f>G98+'30'!H98</f>
        <v>432761</v>
      </c>
      <c r="I98" s="168"/>
      <c r="J98" s="175">
        <f>H98/DAY(B2)</f>
        <v>13960.032258064517</v>
      </c>
      <c r="K98" s="69"/>
      <c r="L98" s="66"/>
      <c r="O98" s="71"/>
    </row>
    <row r="99" spans="1:15" ht="27.75" x14ac:dyDescent="0.5">
      <c r="A99" s="818" t="s">
        <v>245</v>
      </c>
      <c r="B99" s="819"/>
      <c r="C99" s="820"/>
      <c r="D99" s="151" t="s">
        <v>23</v>
      </c>
      <c r="E99" s="95"/>
      <c r="F99" s="95"/>
      <c r="G99" s="166">
        <f>G98/G7</f>
        <v>0.11753191489361701</v>
      </c>
      <c r="H99" s="99">
        <f>G99+'30'!H99</f>
        <v>19.270523267370802</v>
      </c>
      <c r="I99" s="168"/>
      <c r="J99" s="175">
        <f>H99/DAY(B2)</f>
        <v>0.62162978281841297</v>
      </c>
      <c r="O99" s="71"/>
    </row>
    <row r="100" spans="1:15" ht="27.75" x14ac:dyDescent="0.5">
      <c r="A100" s="818" t="s">
        <v>246</v>
      </c>
      <c r="B100" s="819"/>
      <c r="C100" s="820"/>
      <c r="D100" s="151" t="s">
        <v>180</v>
      </c>
      <c r="E100" s="95"/>
      <c r="F100" s="95"/>
      <c r="G100" s="99">
        <f>G38+G52</f>
        <v>1751</v>
      </c>
      <c r="H100" s="99">
        <f>G100+'30'!H100</f>
        <v>245682</v>
      </c>
      <c r="I100" s="118"/>
      <c r="J100" s="175">
        <f>H100/DAY(B2)</f>
        <v>7925.2258064516127</v>
      </c>
      <c r="K100" s="70"/>
      <c r="O100" s="71"/>
    </row>
    <row r="101" spans="1:15" ht="27.75" x14ac:dyDescent="0.5">
      <c r="A101" s="818" t="s">
        <v>247</v>
      </c>
      <c r="B101" s="819"/>
      <c r="C101" s="820"/>
      <c r="D101" s="151" t="s">
        <v>23</v>
      </c>
      <c r="E101" s="95"/>
      <c r="F101" s="95"/>
      <c r="G101" s="166">
        <f>G100/G7</f>
        <v>7.4510638297872342E-2</v>
      </c>
      <c r="H101" s="99">
        <f>G101+'30'!H101</f>
        <v>10.997976415207676</v>
      </c>
      <c r="I101" s="168"/>
      <c r="J101" s="175">
        <f>H101/DAY(B2)</f>
        <v>0.35477343274863471</v>
      </c>
      <c r="O101" s="71"/>
    </row>
    <row r="102" spans="1:15" ht="27.75" x14ac:dyDescent="0.5">
      <c r="A102" s="818" t="s">
        <v>248</v>
      </c>
      <c r="B102" s="819"/>
      <c r="C102" s="820"/>
      <c r="D102" s="151" t="s">
        <v>180</v>
      </c>
      <c r="E102" s="95"/>
      <c r="F102" s="95"/>
      <c r="G102" s="99">
        <f>G36+G50</f>
        <v>1936</v>
      </c>
      <c r="H102" s="99">
        <f>G102+'30'!H102</f>
        <v>0</v>
      </c>
      <c r="I102" s="168"/>
      <c r="J102" s="175">
        <f>H102/DAY(B2)</f>
        <v>0</v>
      </c>
      <c r="O102" s="71"/>
    </row>
    <row r="103" spans="1:15" ht="27.75" x14ac:dyDescent="0.5">
      <c r="A103" s="818" t="s">
        <v>249</v>
      </c>
      <c r="B103" s="819"/>
      <c r="C103" s="820"/>
      <c r="D103" s="151" t="s">
        <v>23</v>
      </c>
      <c r="E103" s="95"/>
      <c r="F103" s="95"/>
      <c r="G103" s="166">
        <f>G102/G7</f>
        <v>8.2382978723404249E-2</v>
      </c>
      <c r="H103" s="99">
        <f>G103+'30'!H103</f>
        <v>0.5528832904807206</v>
      </c>
      <c r="I103" s="118"/>
      <c r="J103" s="175">
        <f>H103/DAY(B2)</f>
        <v>1.7834944854216793E-2</v>
      </c>
      <c r="O103" s="71"/>
    </row>
    <row r="104" spans="1:15" ht="27.75" x14ac:dyDescent="0.5">
      <c r="A104" s="818" t="s">
        <v>250</v>
      </c>
      <c r="B104" s="819"/>
      <c r="C104" s="820"/>
      <c r="D104" s="151" t="s">
        <v>180</v>
      </c>
      <c r="E104" s="95"/>
      <c r="F104" s="95"/>
      <c r="G104" s="99">
        <f>G37+G51</f>
        <v>1605</v>
      </c>
      <c r="H104" s="99">
        <f>G104+'30'!H104</f>
        <v>207605</v>
      </c>
      <c r="I104" s="118"/>
      <c r="J104" s="175">
        <f>H104/DAY(B2)</f>
        <v>6696.9354838709678</v>
      </c>
      <c r="O104" s="71"/>
    </row>
    <row r="105" spans="1:15" ht="28.5" thickBot="1" x14ac:dyDescent="0.55000000000000004">
      <c r="A105" s="858" t="s">
        <v>251</v>
      </c>
      <c r="B105" s="859"/>
      <c r="C105" s="860"/>
      <c r="D105" s="231" t="s">
        <v>23</v>
      </c>
      <c r="E105" s="185"/>
      <c r="F105" s="185"/>
      <c r="G105" s="186">
        <f>G104/G7</f>
        <v>6.8297872340425531E-2</v>
      </c>
      <c r="H105" s="99">
        <f>G105+'30'!H105</f>
        <v>9.3401141179005673</v>
      </c>
      <c r="I105" s="187"/>
      <c r="J105" s="188">
        <f>H105/DAY(B2)</f>
        <v>0.30129400380324411</v>
      </c>
      <c r="O105" s="71"/>
    </row>
    <row r="106" spans="1:15" ht="29.25" x14ac:dyDescent="0.5">
      <c r="A106" s="105"/>
      <c r="B106" s="96"/>
      <c r="C106" s="96"/>
      <c r="D106" s="169"/>
      <c r="E106" s="169"/>
      <c r="F106" s="169"/>
      <c r="G106" s="169"/>
      <c r="H106" s="170"/>
      <c r="I106" s="169"/>
      <c r="J106" s="171"/>
      <c r="O106" s="71"/>
    </row>
    <row r="107" spans="1:15" ht="29.25" x14ac:dyDescent="0.5"/>
    <row r="108" spans="1:15" ht="31.5" x14ac:dyDescent="0.55000000000000004">
      <c r="A108" s="872" t="s">
        <v>324</v>
      </c>
      <c r="B108" s="872"/>
      <c r="C108" s="872"/>
      <c r="D108" s="872"/>
      <c r="E108" s="872"/>
      <c r="F108" s="872"/>
      <c r="G108" s="872"/>
      <c r="H108" s="872"/>
      <c r="I108" s="872"/>
      <c r="J108" s="872"/>
    </row>
    <row r="109" spans="1:15" ht="29.25" x14ac:dyDescent="0.5">
      <c r="A109" s="857"/>
      <c r="B109" s="857"/>
    </row>
    <row r="110" spans="1:15" ht="29.25" x14ac:dyDescent="0.5">
      <c r="A110" s="873" t="s">
        <v>165</v>
      </c>
      <c r="B110" s="874"/>
      <c r="C110" s="874"/>
      <c r="D110" s="874"/>
      <c r="E110" s="874"/>
      <c r="F110" s="874"/>
      <c r="G110" s="874"/>
      <c r="H110" s="874"/>
      <c r="I110" s="874"/>
      <c r="J110" s="875"/>
    </row>
    <row r="111" spans="1:15" ht="27.75" x14ac:dyDescent="0.5">
      <c r="A111" s="876"/>
      <c r="B111" s="877"/>
      <c r="C111" s="878"/>
      <c r="D111" s="165"/>
      <c r="E111" s="165"/>
      <c r="F111" s="165"/>
      <c r="G111" s="165"/>
      <c r="H111" s="156"/>
      <c r="I111" s="165"/>
      <c r="J111" s="327"/>
    </row>
    <row r="112" spans="1:15" ht="27.75" x14ac:dyDescent="0.5">
      <c r="A112" s="851" t="s">
        <v>252</v>
      </c>
      <c r="B112" s="852"/>
      <c r="C112" s="853"/>
      <c r="D112" s="146" t="s">
        <v>183</v>
      </c>
      <c r="E112" s="95">
        <f>'30'!F112</f>
        <v>55612</v>
      </c>
      <c r="F112" s="237">
        <v>55681</v>
      </c>
      <c r="G112" s="112">
        <f t="shared" ref="G112:G123" si="9">F112-E112</f>
        <v>69</v>
      </c>
      <c r="H112" s="99">
        <f>G112+'30'!H112</f>
        <v>7739.4500000000044</v>
      </c>
      <c r="I112" s="165"/>
      <c r="J112" s="328">
        <f>H112/DAY(B2)</f>
        <v>249.65967741935498</v>
      </c>
    </row>
    <row r="113" spans="1:18" ht="27.75" x14ac:dyDescent="0.5">
      <c r="A113" s="851" t="s">
        <v>253</v>
      </c>
      <c r="B113" s="852"/>
      <c r="C113" s="853"/>
      <c r="D113" s="146" t="s">
        <v>183</v>
      </c>
      <c r="E113" s="95">
        <f>'30'!F113</f>
        <v>31737</v>
      </c>
      <c r="F113" s="237">
        <v>32195</v>
      </c>
      <c r="G113" s="112">
        <f t="shared" si="9"/>
        <v>458</v>
      </c>
      <c r="H113" s="99">
        <f>G113+'30'!H113</f>
        <v>0</v>
      </c>
      <c r="I113" s="165"/>
      <c r="J113" s="328">
        <f>H113/DAY(B2)</f>
        <v>0</v>
      </c>
    </row>
    <row r="114" spans="1:18" ht="27.75" x14ac:dyDescent="0.5">
      <c r="A114" s="851" t="s">
        <v>254</v>
      </c>
      <c r="B114" s="852"/>
      <c r="C114" s="853"/>
      <c r="D114" s="146" t="s">
        <v>183</v>
      </c>
      <c r="E114" s="95">
        <f>'30'!F114</f>
        <v>24596</v>
      </c>
      <c r="F114" s="237">
        <v>24871</v>
      </c>
      <c r="G114" s="112">
        <f t="shared" si="9"/>
        <v>275</v>
      </c>
      <c r="H114" s="99">
        <f>G114+'30'!H114</f>
        <v>-133.60000000000036</v>
      </c>
      <c r="I114" s="165"/>
      <c r="J114" s="328">
        <f>H114/DAY(B2)</f>
        <v>-4.3096774193548502</v>
      </c>
    </row>
    <row r="115" spans="1:18" ht="27.75" x14ac:dyDescent="0.5">
      <c r="A115" s="851" t="s">
        <v>255</v>
      </c>
      <c r="B115" s="852"/>
      <c r="C115" s="853"/>
      <c r="D115" s="146" t="s">
        <v>183</v>
      </c>
      <c r="E115" s="95">
        <f>'30'!F115</f>
        <v>8774</v>
      </c>
      <c r="F115" s="237">
        <v>8785</v>
      </c>
      <c r="G115" s="112">
        <f t="shared" si="9"/>
        <v>11</v>
      </c>
      <c r="H115" s="99">
        <f>G115+'30'!H115</f>
        <v>0</v>
      </c>
      <c r="I115" s="165"/>
      <c r="J115" s="328">
        <f>H115/DAY(B2)</f>
        <v>0</v>
      </c>
    </row>
    <row r="116" spans="1:18" ht="27.75" x14ac:dyDescent="0.5">
      <c r="A116" s="869" t="s">
        <v>96</v>
      </c>
      <c r="B116" s="870"/>
      <c r="C116" s="871"/>
      <c r="D116" s="146" t="s">
        <v>183</v>
      </c>
      <c r="E116" s="95">
        <f>'30'!F116</f>
        <v>0</v>
      </c>
      <c r="F116" s="237">
        <v>0</v>
      </c>
      <c r="G116" s="112">
        <f t="shared" si="9"/>
        <v>0</v>
      </c>
      <c r="H116" s="99">
        <f>G116+'30'!H116</f>
        <v>0</v>
      </c>
      <c r="I116" s="165"/>
      <c r="J116" s="328">
        <f>H116/DAY(B2)</f>
        <v>0</v>
      </c>
      <c r="Q116" s="851"/>
      <c r="R116" s="853"/>
    </row>
    <row r="117" spans="1:18" ht="27.75" x14ac:dyDescent="0.5">
      <c r="A117" s="869" t="s">
        <v>184</v>
      </c>
      <c r="B117" s="870"/>
      <c r="C117" s="871"/>
      <c r="D117" s="146" t="s">
        <v>183</v>
      </c>
      <c r="E117" s="95">
        <f>'30'!F117</f>
        <v>2569</v>
      </c>
      <c r="F117" s="237">
        <v>2590</v>
      </c>
      <c r="G117" s="112">
        <f t="shared" si="9"/>
        <v>21</v>
      </c>
      <c r="H117" s="99">
        <f>G117+'30'!H117</f>
        <v>0</v>
      </c>
      <c r="I117" s="165"/>
      <c r="J117" s="328">
        <f>H117/DAY(B2)</f>
        <v>0</v>
      </c>
      <c r="Q117" s="851"/>
      <c r="R117" s="853"/>
    </row>
    <row r="118" spans="1:18" ht="27.75" x14ac:dyDescent="0.5">
      <c r="A118" s="846" t="s">
        <v>97</v>
      </c>
      <c r="B118" s="846"/>
      <c r="C118" s="846"/>
      <c r="D118" s="151" t="s">
        <v>183</v>
      </c>
      <c r="E118" s="95">
        <f>'30'!F118</f>
        <v>241294</v>
      </c>
      <c r="F118" s="237">
        <v>241647</v>
      </c>
      <c r="G118" s="112">
        <f t="shared" si="9"/>
        <v>353</v>
      </c>
      <c r="H118" s="99">
        <f>G118+'30'!H118</f>
        <v>0</v>
      </c>
      <c r="I118" s="165"/>
      <c r="J118" s="328">
        <f>H118/DAY(B2)</f>
        <v>0</v>
      </c>
      <c r="Q118" s="851"/>
      <c r="R118" s="853"/>
    </row>
    <row r="119" spans="1:18" ht="27.75" x14ac:dyDescent="0.5">
      <c r="A119" s="846" t="s">
        <v>98</v>
      </c>
      <c r="B119" s="846"/>
      <c r="C119" s="846"/>
      <c r="D119" s="151" t="s">
        <v>183</v>
      </c>
      <c r="E119" s="95">
        <f>'30'!F119</f>
        <v>244702</v>
      </c>
      <c r="F119" s="237">
        <v>245126</v>
      </c>
      <c r="G119" s="112">
        <f t="shared" si="9"/>
        <v>424</v>
      </c>
      <c r="H119" s="99">
        <f>G119+'30'!H119</f>
        <v>0</v>
      </c>
      <c r="I119" s="165"/>
      <c r="J119" s="328">
        <f>H119/DAY(B2)</f>
        <v>0</v>
      </c>
    </row>
    <row r="120" spans="1:18" ht="27.75" x14ac:dyDescent="0.5">
      <c r="A120" s="846" t="s">
        <v>99</v>
      </c>
      <c r="B120" s="846"/>
      <c r="C120" s="846"/>
      <c r="D120" s="151" t="s">
        <v>183</v>
      </c>
      <c r="E120" s="95">
        <f>'30'!F120</f>
        <v>29665</v>
      </c>
      <c r="F120" s="237">
        <v>30078</v>
      </c>
      <c r="G120" s="112">
        <f t="shared" si="9"/>
        <v>413</v>
      </c>
      <c r="H120" s="99">
        <f>G120+'30'!H120</f>
        <v>0</v>
      </c>
      <c r="I120" s="165"/>
      <c r="J120" s="328">
        <f>H120/DAY(B2)</f>
        <v>0</v>
      </c>
    </row>
    <row r="121" spans="1:18" ht="27.75" x14ac:dyDescent="0.5">
      <c r="A121" s="846" t="s">
        <v>100</v>
      </c>
      <c r="B121" s="846"/>
      <c r="C121" s="846"/>
      <c r="D121" s="151" t="s">
        <v>183</v>
      </c>
      <c r="E121" s="95">
        <f>'30'!F121</f>
        <v>375730</v>
      </c>
      <c r="F121" s="237">
        <v>376529</v>
      </c>
      <c r="G121" s="112">
        <f t="shared" si="9"/>
        <v>799</v>
      </c>
      <c r="H121" s="99">
        <f>G121+'30'!H121</f>
        <v>0</v>
      </c>
      <c r="I121" s="165"/>
      <c r="J121" s="328">
        <f>H121/DAY(B2)</f>
        <v>0</v>
      </c>
    </row>
    <row r="122" spans="1:18" ht="27.75" x14ac:dyDescent="0.5">
      <c r="A122" s="846" t="s">
        <v>101</v>
      </c>
      <c r="B122" s="846"/>
      <c r="C122" s="846"/>
      <c r="D122" s="151" t="s">
        <v>183</v>
      </c>
      <c r="E122" s="95">
        <f>'30'!F122</f>
        <v>119804</v>
      </c>
      <c r="F122" s="237">
        <v>120050</v>
      </c>
      <c r="G122" s="112">
        <f t="shared" si="9"/>
        <v>246</v>
      </c>
      <c r="H122" s="99">
        <f>G122+'30'!H122</f>
        <v>0</v>
      </c>
      <c r="I122" s="165"/>
      <c r="J122" s="328">
        <f>H122/DAY(B2)</f>
        <v>0</v>
      </c>
    </row>
    <row r="123" spans="1:18" ht="27.75" x14ac:dyDescent="0.5">
      <c r="A123" s="846" t="s">
        <v>348</v>
      </c>
      <c r="B123" s="846"/>
      <c r="C123" s="846"/>
      <c r="D123" s="151" t="s">
        <v>183</v>
      </c>
      <c r="E123" s="95">
        <f>'30'!F123</f>
        <v>144787</v>
      </c>
      <c r="F123" s="237">
        <v>145125</v>
      </c>
      <c r="G123" s="112">
        <f t="shared" si="9"/>
        <v>338</v>
      </c>
      <c r="H123" s="99">
        <f>G123+'30'!H123</f>
        <v>0</v>
      </c>
      <c r="I123" s="165"/>
      <c r="J123" s="328">
        <f>H123/DAY(B2)</f>
        <v>0</v>
      </c>
    </row>
    <row r="124" spans="1:18" ht="27.75" x14ac:dyDescent="0.5">
      <c r="A124" s="876"/>
      <c r="B124" s="877"/>
      <c r="C124" s="878"/>
      <c r="D124" s="165"/>
      <c r="E124" s="95">
        <f>'30'!F124</f>
        <v>0</v>
      </c>
      <c r="F124" s="165"/>
      <c r="G124" s="327"/>
      <c r="H124" s="99">
        <f>G124+'30'!H124</f>
        <v>0</v>
      </c>
      <c r="I124" s="165"/>
      <c r="J124" s="327"/>
    </row>
    <row r="125" spans="1:18" ht="27.75" x14ac:dyDescent="0.5">
      <c r="A125" s="879" t="s">
        <v>196</v>
      </c>
      <c r="B125" s="929"/>
      <c r="C125" s="880"/>
      <c r="D125" s="307"/>
      <c r="E125" s="308"/>
      <c r="F125" s="308"/>
      <c r="G125" s="309">
        <f>SUM(G112:G124)</f>
        <v>3407</v>
      </c>
      <c r="H125" s="156"/>
      <c r="I125" s="327">
        <f>G125-(G39+G53)</f>
        <v>645</v>
      </c>
      <c r="J125" s="327"/>
    </row>
    <row r="126" spans="1:18" ht="27.75" x14ac:dyDescent="0.5">
      <c r="A126" s="881" t="s">
        <v>317</v>
      </c>
      <c r="B126" s="881"/>
      <c r="C126" s="881"/>
      <c r="D126" s="881"/>
      <c r="E126" s="881"/>
      <c r="F126" s="881"/>
      <c r="G126" s="881"/>
      <c r="H126" s="881"/>
      <c r="I126" s="881"/>
      <c r="J126" s="881"/>
    </row>
    <row r="127" spans="1:18" ht="27.75" x14ac:dyDescent="0.5">
      <c r="A127" s="882"/>
      <c r="B127" s="882"/>
      <c r="C127" s="245"/>
      <c r="D127" s="307"/>
      <c r="E127" s="308"/>
      <c r="F127" s="308"/>
      <c r="G127" s="309"/>
      <c r="H127" s="99">
        <f>G127+'30'!H127</f>
        <v>0</v>
      </c>
      <c r="I127" s="165"/>
      <c r="J127" s="328">
        <f>H127/DAY(B2)</f>
        <v>0</v>
      </c>
    </row>
    <row r="128" spans="1:18" ht="27.75" x14ac:dyDescent="0.5">
      <c r="A128" s="851" t="s">
        <v>318</v>
      </c>
      <c r="B128" s="852"/>
      <c r="C128" s="853"/>
      <c r="D128" s="151" t="s">
        <v>183</v>
      </c>
      <c r="E128" s="95">
        <f>'30'!F128</f>
        <v>37627</v>
      </c>
      <c r="F128" s="165">
        <v>38004</v>
      </c>
      <c r="G128" s="112">
        <f t="shared" ref="G128:G134" si="10">F128-E128</f>
        <v>377</v>
      </c>
      <c r="H128" s="99">
        <f>G128+'30'!H128</f>
        <v>0</v>
      </c>
      <c r="I128" s="165"/>
      <c r="J128" s="328">
        <f>H128/DAY(B2)</f>
        <v>0</v>
      </c>
    </row>
    <row r="129" spans="1:15" ht="27.75" x14ac:dyDescent="0.5">
      <c r="A129" s="329" t="s">
        <v>319</v>
      </c>
      <c r="B129" s="330"/>
      <c r="C129" s="331"/>
      <c r="D129" s="151" t="s">
        <v>183</v>
      </c>
      <c r="E129" s="95">
        <f>'30'!F129</f>
        <v>20114</v>
      </c>
      <c r="F129" s="165">
        <v>20321</v>
      </c>
      <c r="G129" s="112">
        <f t="shared" si="10"/>
        <v>207</v>
      </c>
      <c r="H129" s="99">
        <f>G129+'30'!H129</f>
        <v>0</v>
      </c>
      <c r="I129" s="165"/>
      <c r="J129" s="328">
        <f>H129/DAY(B2)</f>
        <v>0</v>
      </c>
      <c r="N129" s="240"/>
      <c r="O129" s="241"/>
    </row>
    <row r="130" spans="1:15" ht="27.75" x14ac:dyDescent="0.5">
      <c r="A130" s="329" t="s">
        <v>320</v>
      </c>
      <c r="B130" s="330"/>
      <c r="C130" s="331"/>
      <c r="D130" s="151" t="s">
        <v>183</v>
      </c>
      <c r="E130" s="95">
        <f>'30'!F130</f>
        <v>17602</v>
      </c>
      <c r="F130" s="165">
        <v>18382</v>
      </c>
      <c r="G130" s="112">
        <f t="shared" si="10"/>
        <v>780</v>
      </c>
      <c r="H130" s="99">
        <f>G130+'30'!H130</f>
        <v>0</v>
      </c>
      <c r="I130" s="165"/>
      <c r="J130" s="328">
        <f>H130/DAY(B2)</f>
        <v>0</v>
      </c>
      <c r="N130" s="240"/>
      <c r="O130" s="241"/>
    </row>
    <row r="131" spans="1:15" ht="27.75" x14ac:dyDescent="0.5">
      <c r="A131" s="851" t="s">
        <v>321</v>
      </c>
      <c r="B131" s="852"/>
      <c r="C131" s="853"/>
      <c r="D131" s="151" t="s">
        <v>183</v>
      </c>
      <c r="E131" s="95">
        <f>'30'!F131</f>
        <v>13076</v>
      </c>
      <c r="F131" s="165">
        <v>13153</v>
      </c>
      <c r="G131" s="112">
        <f t="shared" si="10"/>
        <v>77</v>
      </c>
      <c r="H131" s="99">
        <f>G131+'30'!H131</f>
        <v>0</v>
      </c>
      <c r="I131" s="165"/>
      <c r="J131" s="328">
        <f>H131/DAY(B2)</f>
        <v>0</v>
      </c>
      <c r="N131" s="240"/>
      <c r="O131" s="241"/>
    </row>
    <row r="132" spans="1:15" ht="27.75" x14ac:dyDescent="0.5">
      <c r="A132" s="851" t="s">
        <v>322</v>
      </c>
      <c r="B132" s="852"/>
      <c r="C132" s="853"/>
      <c r="D132" s="151" t="s">
        <v>183</v>
      </c>
      <c r="E132" s="95">
        <f>'30'!F132</f>
        <v>40577</v>
      </c>
      <c r="F132" s="165">
        <v>41023</v>
      </c>
      <c r="G132" s="112">
        <f t="shared" si="10"/>
        <v>446</v>
      </c>
      <c r="H132" s="99">
        <f>G132+'30'!H132</f>
        <v>0</v>
      </c>
      <c r="I132" s="165"/>
      <c r="J132" s="328">
        <f>H132/DAY(B2)</f>
        <v>0</v>
      </c>
    </row>
    <row r="133" spans="1:15" ht="27.75" x14ac:dyDescent="0.5">
      <c r="A133" s="851" t="s">
        <v>362</v>
      </c>
      <c r="B133" s="852"/>
      <c r="C133" s="853"/>
      <c r="D133" s="151" t="s">
        <v>183</v>
      </c>
      <c r="E133" s="95">
        <f>'30'!F133</f>
        <v>87056</v>
      </c>
      <c r="F133" s="165">
        <v>87703</v>
      </c>
      <c r="G133" s="112">
        <f t="shared" si="10"/>
        <v>647</v>
      </c>
      <c r="H133" s="99">
        <f>G133+'30'!H133</f>
        <v>0</v>
      </c>
      <c r="I133" s="165"/>
      <c r="J133" s="328">
        <f>H133/DAY(B2)</f>
        <v>0</v>
      </c>
    </row>
    <row r="134" spans="1:15" ht="27.75" x14ac:dyDescent="0.5">
      <c r="A134" s="851" t="s">
        <v>340</v>
      </c>
      <c r="B134" s="852"/>
      <c r="C134" s="853"/>
      <c r="D134" s="151" t="s">
        <v>183</v>
      </c>
      <c r="E134" s="95">
        <f>'30'!F134</f>
        <v>668262</v>
      </c>
      <c r="F134" s="165">
        <v>668880</v>
      </c>
      <c r="G134" s="112">
        <f t="shared" si="10"/>
        <v>618</v>
      </c>
      <c r="H134" s="99">
        <f>G134+'30'!H134</f>
        <v>671174</v>
      </c>
      <c r="I134" s="165"/>
      <c r="J134" s="328">
        <f>H134/DAY(B2)</f>
        <v>21650.774193548386</v>
      </c>
    </row>
    <row r="135" spans="1:15" ht="27.75" x14ac:dyDescent="0.5">
      <c r="A135" s="879" t="s">
        <v>196</v>
      </c>
      <c r="B135" s="929"/>
      <c r="C135" s="880"/>
      <c r="D135" s="151"/>
      <c r="E135" s="95"/>
      <c r="F135" s="165"/>
      <c r="G135" s="112">
        <f>SUM(G128:G134)</f>
        <v>3152</v>
      </c>
      <c r="H135" s="99">
        <f>G135+'23'!H135</f>
        <v>36512.169999999984</v>
      </c>
      <c r="I135" s="327">
        <f>G135-(G35+G49)</f>
        <v>-173</v>
      </c>
      <c r="J135" s="328"/>
    </row>
    <row r="136" spans="1:15" ht="31.5" x14ac:dyDescent="0.55000000000000004">
      <c r="A136" s="883" t="s">
        <v>325</v>
      </c>
      <c r="B136" s="883"/>
      <c r="C136" s="883"/>
      <c r="D136" s="883"/>
      <c r="E136" s="883"/>
      <c r="F136" s="883"/>
      <c r="G136" s="883"/>
      <c r="H136" s="883"/>
      <c r="I136" s="883"/>
      <c r="J136" s="883"/>
    </row>
    <row r="137" spans="1:15" ht="29.25" x14ac:dyDescent="0.5">
      <c r="A137" s="245"/>
      <c r="B137" s="246"/>
      <c r="C137" s="246"/>
      <c r="D137" s="165"/>
      <c r="E137" s="165"/>
      <c r="F137" s="165"/>
      <c r="G137" s="165"/>
      <c r="H137" s="156"/>
      <c r="I137" s="165"/>
      <c r="J137" s="327"/>
    </row>
    <row r="138" spans="1:15" ht="27.75" x14ac:dyDescent="0.5">
      <c r="A138" s="846" t="s">
        <v>185</v>
      </c>
      <c r="B138" s="846"/>
      <c r="C138" s="846"/>
      <c r="D138" s="151" t="s">
        <v>183</v>
      </c>
      <c r="E138" s="95">
        <f>'30'!F138</f>
        <v>864069</v>
      </c>
      <c r="F138" s="147">
        <v>864171</v>
      </c>
      <c r="G138" s="112">
        <f t="shared" ref="G138:G152" si="11">F138-E138</f>
        <v>102</v>
      </c>
      <c r="H138" s="99">
        <f>G138+'30'!H138</f>
        <v>0</v>
      </c>
      <c r="I138" s="118"/>
      <c r="J138" s="328">
        <f>H138/DAY(B2)</f>
        <v>0</v>
      </c>
    </row>
    <row r="139" spans="1:15" ht="27.75" x14ac:dyDescent="0.5">
      <c r="A139" s="846" t="s">
        <v>186</v>
      </c>
      <c r="B139" s="846"/>
      <c r="C139" s="846"/>
      <c r="D139" s="151" t="s">
        <v>183</v>
      </c>
      <c r="E139" s="95">
        <f>'30'!F139</f>
        <v>886546</v>
      </c>
      <c r="F139" s="148">
        <v>886546</v>
      </c>
      <c r="G139" s="112">
        <f t="shared" si="11"/>
        <v>0</v>
      </c>
      <c r="H139" s="99">
        <f>G139+'30'!H139</f>
        <v>0</v>
      </c>
      <c r="I139" s="118"/>
      <c r="J139" s="328">
        <f>H139/DAY(B2)</f>
        <v>0</v>
      </c>
    </row>
    <row r="140" spans="1:15" ht="27.75" x14ac:dyDescent="0.5">
      <c r="A140" s="846" t="s">
        <v>187</v>
      </c>
      <c r="B140" s="846"/>
      <c r="C140" s="846"/>
      <c r="D140" s="151" t="s">
        <v>183</v>
      </c>
      <c r="E140" s="95">
        <f>'30'!F140</f>
        <v>88882</v>
      </c>
      <c r="F140" s="149">
        <v>88882</v>
      </c>
      <c r="G140" s="112">
        <f t="shared" si="11"/>
        <v>0</v>
      </c>
      <c r="H140" s="99">
        <f>G140+'30'!H140</f>
        <v>0</v>
      </c>
      <c r="I140" s="118"/>
      <c r="J140" s="328">
        <f>H140/DAY(B2)</f>
        <v>0</v>
      </c>
    </row>
    <row r="141" spans="1:15" ht="27.75" x14ac:dyDescent="0.5">
      <c r="A141" s="850" t="s">
        <v>188</v>
      </c>
      <c r="B141" s="850"/>
      <c r="C141" s="850"/>
      <c r="D141" s="151" t="s">
        <v>183</v>
      </c>
      <c r="E141" s="95">
        <f>'30'!F141</f>
        <v>49098</v>
      </c>
      <c r="F141" s="149">
        <v>49306</v>
      </c>
      <c r="G141" s="112">
        <f t="shared" si="11"/>
        <v>208</v>
      </c>
      <c r="H141" s="99">
        <f>G141+'30'!H141</f>
        <v>0</v>
      </c>
      <c r="I141" s="118"/>
      <c r="J141" s="328">
        <f>H141/DAY(B2)</f>
        <v>0</v>
      </c>
    </row>
    <row r="142" spans="1:15" ht="27.75" x14ac:dyDescent="0.5">
      <c r="A142" s="850" t="s">
        <v>189</v>
      </c>
      <c r="B142" s="850"/>
      <c r="C142" s="850"/>
      <c r="D142" s="151" t="s">
        <v>183</v>
      </c>
      <c r="E142" s="95">
        <f>'30'!F142</f>
        <v>18931</v>
      </c>
      <c r="F142" s="148">
        <v>19009</v>
      </c>
      <c r="G142" s="112">
        <f t="shared" si="11"/>
        <v>78</v>
      </c>
      <c r="H142" s="99">
        <f>G142+'30'!H142</f>
        <v>0</v>
      </c>
      <c r="I142" s="140"/>
      <c r="J142" s="328">
        <f>H142/DAY(B2)</f>
        <v>0</v>
      </c>
    </row>
    <row r="143" spans="1:15" ht="27.75" x14ac:dyDescent="0.5">
      <c r="A143" s="846" t="s">
        <v>91</v>
      </c>
      <c r="B143" s="846"/>
      <c r="C143" s="846"/>
      <c r="D143" s="151" t="s">
        <v>183</v>
      </c>
      <c r="E143" s="95">
        <f>'30'!F143</f>
        <v>3040</v>
      </c>
      <c r="F143" s="149">
        <v>3061</v>
      </c>
      <c r="G143" s="112">
        <f t="shared" si="11"/>
        <v>21</v>
      </c>
      <c r="H143" s="99">
        <f>G143+'30'!H143</f>
        <v>0</v>
      </c>
      <c r="I143" s="140"/>
      <c r="J143" s="328">
        <f>H143/DAY(B2)</f>
        <v>0</v>
      </c>
    </row>
    <row r="144" spans="1:15" ht="27.75" x14ac:dyDescent="0.5">
      <c r="A144" s="850" t="s">
        <v>90</v>
      </c>
      <c r="B144" s="850"/>
      <c r="C144" s="850"/>
      <c r="D144" s="151" t="s">
        <v>183</v>
      </c>
      <c r="E144" s="95">
        <f>'30'!F144</f>
        <v>869441</v>
      </c>
      <c r="F144" s="149">
        <v>869670</v>
      </c>
      <c r="G144" s="112">
        <f t="shared" si="11"/>
        <v>229</v>
      </c>
      <c r="H144" s="99">
        <f>G144+'30'!H144</f>
        <v>0</v>
      </c>
      <c r="I144" s="140"/>
      <c r="J144" s="328">
        <f>H144/DAY(B2)</f>
        <v>0</v>
      </c>
    </row>
    <row r="145" spans="1:11" ht="27.75" x14ac:dyDescent="0.5">
      <c r="A145" s="846" t="s">
        <v>190</v>
      </c>
      <c r="B145" s="846"/>
      <c r="C145" s="846"/>
      <c r="D145" s="152" t="s">
        <v>183</v>
      </c>
      <c r="E145" s="95">
        <f>'30'!F145</f>
        <v>4544</v>
      </c>
      <c r="F145" s="149">
        <v>4558</v>
      </c>
      <c r="G145" s="112">
        <f t="shared" si="11"/>
        <v>14</v>
      </c>
      <c r="H145" s="99">
        <f>G145+'30'!H145</f>
        <v>0</v>
      </c>
      <c r="I145" s="140"/>
      <c r="J145" s="328">
        <f>H145/DAY(B2)</f>
        <v>0</v>
      </c>
    </row>
    <row r="146" spans="1:11" ht="27.75" x14ac:dyDescent="0.5">
      <c r="A146" s="847" t="s">
        <v>191</v>
      </c>
      <c r="B146" s="848"/>
      <c r="C146" s="849"/>
      <c r="D146" s="152" t="s">
        <v>183</v>
      </c>
      <c r="E146" s="95">
        <f>'30'!F146</f>
        <v>724396</v>
      </c>
      <c r="F146" s="148">
        <v>724858</v>
      </c>
      <c r="G146" s="112">
        <f t="shared" si="11"/>
        <v>462</v>
      </c>
      <c r="H146" s="99">
        <f>G146+'30'!H146</f>
        <v>0</v>
      </c>
      <c r="I146" s="140"/>
      <c r="J146" s="328">
        <f>H146/DAY(B2)</f>
        <v>0</v>
      </c>
    </row>
    <row r="147" spans="1:11" ht="27.75" x14ac:dyDescent="0.5">
      <c r="A147" s="850" t="s">
        <v>192</v>
      </c>
      <c r="B147" s="850"/>
      <c r="C147" s="850"/>
      <c r="D147" s="152" t="s">
        <v>183</v>
      </c>
      <c r="E147" s="95">
        <f>'30'!F147</f>
        <v>614855</v>
      </c>
      <c r="F147" s="148">
        <v>615282</v>
      </c>
      <c r="G147" s="112">
        <f t="shared" si="11"/>
        <v>427</v>
      </c>
      <c r="H147" s="99">
        <f>G147+'30'!H147</f>
        <v>0</v>
      </c>
      <c r="I147" s="140"/>
      <c r="J147" s="328">
        <f>H147/DAY(B2)</f>
        <v>0</v>
      </c>
    </row>
    <row r="148" spans="1:11" ht="27.75" x14ac:dyDescent="0.5">
      <c r="A148" s="842" t="s">
        <v>193</v>
      </c>
      <c r="B148" s="843"/>
      <c r="C148" s="844"/>
      <c r="D148" s="123" t="s">
        <v>130</v>
      </c>
      <c r="E148" s="95">
        <f>'30'!F148</f>
        <v>682733</v>
      </c>
      <c r="F148" s="150">
        <v>683033.12</v>
      </c>
      <c r="G148" s="112">
        <f t="shared" si="11"/>
        <v>300.11999999999534</v>
      </c>
      <c r="H148" s="99">
        <f>G148+'30'!H148</f>
        <v>0</v>
      </c>
      <c r="I148" s="124"/>
      <c r="J148" s="328">
        <f>H148/DAY(B2)</f>
        <v>0</v>
      </c>
    </row>
    <row r="149" spans="1:11" ht="27.75" x14ac:dyDescent="0.5">
      <c r="A149" s="842" t="s">
        <v>336</v>
      </c>
      <c r="B149" s="843"/>
      <c r="C149" s="844"/>
      <c r="D149" s="227" t="s">
        <v>130</v>
      </c>
      <c r="E149" s="95">
        <f>'30'!F149</f>
        <v>10367</v>
      </c>
      <c r="F149" s="146">
        <v>10749</v>
      </c>
      <c r="G149" s="112">
        <f t="shared" si="11"/>
        <v>382</v>
      </c>
      <c r="H149" s="99">
        <f>G149+'30'!H149</f>
        <v>0</v>
      </c>
      <c r="I149" s="119"/>
      <c r="J149" s="328">
        <f>H149/DAY(B2)</f>
        <v>0</v>
      </c>
    </row>
    <row r="150" spans="1:11" ht="27.75" x14ac:dyDescent="0.5">
      <c r="A150" s="842" t="s">
        <v>337</v>
      </c>
      <c r="B150" s="843"/>
      <c r="C150" s="844"/>
      <c r="D150" s="117" t="s">
        <v>130</v>
      </c>
      <c r="E150" s="95">
        <f>'30'!F150</f>
        <v>3832</v>
      </c>
      <c r="F150" s="233">
        <v>4052</v>
      </c>
      <c r="G150" s="112">
        <f t="shared" si="11"/>
        <v>220</v>
      </c>
      <c r="H150" s="99">
        <f>G150+'30'!H150</f>
        <v>0</v>
      </c>
      <c r="I150" s="119"/>
      <c r="J150" s="328">
        <f>H150/DAY(B2)</f>
        <v>0</v>
      </c>
    </row>
    <row r="151" spans="1:11" ht="27.75" x14ac:dyDescent="0.5">
      <c r="A151" s="842" t="s">
        <v>338</v>
      </c>
      <c r="B151" s="843"/>
      <c r="C151" s="844"/>
      <c r="D151" s="117" t="s">
        <v>130</v>
      </c>
      <c r="E151" s="95">
        <f>'30'!F151</f>
        <v>77944</v>
      </c>
      <c r="F151" s="233">
        <v>78217</v>
      </c>
      <c r="G151" s="112">
        <f t="shared" si="11"/>
        <v>273</v>
      </c>
      <c r="H151" s="99">
        <f>G151+'30'!H151</f>
        <v>0</v>
      </c>
      <c r="I151" s="119"/>
      <c r="J151" s="328">
        <f>H151/DAY(B2)</f>
        <v>0</v>
      </c>
    </row>
    <row r="152" spans="1:11" ht="27.75" x14ac:dyDescent="0.5">
      <c r="A152" s="842" t="s">
        <v>339</v>
      </c>
      <c r="B152" s="843"/>
      <c r="C152" s="844"/>
      <c r="D152" s="117" t="s">
        <v>130</v>
      </c>
      <c r="E152" s="95">
        <f>'30'!F152</f>
        <v>1077</v>
      </c>
      <c r="F152" s="233">
        <v>1127</v>
      </c>
      <c r="G152" s="112">
        <f t="shared" si="11"/>
        <v>50</v>
      </c>
      <c r="H152" s="99">
        <f>G152+'30'!H152</f>
        <v>0</v>
      </c>
      <c r="I152" s="119"/>
      <c r="J152" s="328">
        <f>H152/DAY(B2)</f>
        <v>0</v>
      </c>
    </row>
    <row r="153" spans="1:11" ht="27.75" x14ac:dyDescent="0.5">
      <c r="A153" s="879" t="s">
        <v>196</v>
      </c>
      <c r="B153" s="929"/>
      <c r="C153" s="880"/>
      <c r="D153" s="358"/>
      <c r="E153" s="360"/>
      <c r="F153" s="361"/>
      <c r="G153" s="362">
        <f>SUM(G138:G152)</f>
        <v>2766.1199999999953</v>
      </c>
      <c r="H153" s="363"/>
      <c r="I153" s="119">
        <f>G153-(G38+G52)</f>
        <v>1015.1199999999953</v>
      </c>
      <c r="J153" s="366"/>
    </row>
    <row r="154" spans="1:11" ht="31.5" x14ac:dyDescent="0.55000000000000004">
      <c r="A154" s="883" t="s">
        <v>344</v>
      </c>
      <c r="B154" s="883"/>
      <c r="C154" s="883"/>
      <c r="D154" s="883"/>
      <c r="E154" s="883"/>
      <c r="F154" s="883"/>
      <c r="G154" s="883"/>
      <c r="H154" s="883"/>
      <c r="I154" s="883"/>
      <c r="J154" s="883"/>
    </row>
    <row r="155" spans="1:11" ht="31.5" x14ac:dyDescent="0.55000000000000004">
      <c r="A155" s="850" t="s">
        <v>345</v>
      </c>
      <c r="B155" s="850"/>
      <c r="C155" s="850"/>
      <c r="D155" s="117" t="s">
        <v>130</v>
      </c>
      <c r="E155" s="95">
        <f>'30'!F155</f>
        <v>12107</v>
      </c>
      <c r="F155" s="364">
        <v>12792</v>
      </c>
      <c r="G155" s="112">
        <f t="shared" ref="G155:G158" si="12">F155-E155</f>
        <v>685</v>
      </c>
      <c r="H155" s="99">
        <f>G155+'30'!H155</f>
        <v>-680</v>
      </c>
      <c r="I155" s="364"/>
      <c r="J155" s="328">
        <f>H155/DAY(B2)</f>
        <v>-21.93548387096774</v>
      </c>
    </row>
    <row r="156" spans="1:11" ht="27.75" x14ac:dyDescent="0.5">
      <c r="A156" s="850" t="s">
        <v>347</v>
      </c>
      <c r="B156" s="850"/>
      <c r="C156" s="850"/>
      <c r="D156" s="117" t="s">
        <v>130</v>
      </c>
      <c r="E156" s="95">
        <f>'30'!F156</f>
        <v>979</v>
      </c>
      <c r="F156" s="155">
        <v>1034</v>
      </c>
      <c r="G156" s="112">
        <f t="shared" si="12"/>
        <v>55</v>
      </c>
      <c r="H156" s="99">
        <f>G156+'30'!H156</f>
        <v>-54</v>
      </c>
      <c r="I156" s="165"/>
      <c r="J156" s="328">
        <f>H156/DAY(B2)</f>
        <v>-1.7419354838709677</v>
      </c>
    </row>
    <row r="157" spans="1:11" ht="27.75" x14ac:dyDescent="0.5">
      <c r="A157" s="842" t="s">
        <v>364</v>
      </c>
      <c r="B157" s="843"/>
      <c r="C157" s="844"/>
      <c r="D157" s="117" t="s">
        <v>130</v>
      </c>
      <c r="E157" s="95">
        <f>'30'!F157</f>
        <v>1169</v>
      </c>
      <c r="F157" s="95">
        <v>1236</v>
      </c>
      <c r="G157" s="112">
        <f t="shared" si="12"/>
        <v>67</v>
      </c>
      <c r="H157" s="99">
        <f>G157+'30'!H157</f>
        <v>67</v>
      </c>
      <c r="I157" s="99"/>
      <c r="J157" s="165"/>
      <c r="K157" s="328"/>
    </row>
    <row r="158" spans="1:11" ht="27.75" x14ac:dyDescent="0.5">
      <c r="A158" s="842" t="s">
        <v>365</v>
      </c>
      <c r="B158" s="843"/>
      <c r="C158" s="844"/>
      <c r="D158" s="117" t="s">
        <v>130</v>
      </c>
      <c r="E158" s="95">
        <f>'30'!F158</f>
        <v>7.76</v>
      </c>
      <c r="F158" s="155">
        <v>7.83</v>
      </c>
      <c r="G158" s="112">
        <f t="shared" si="12"/>
        <v>7.0000000000000284E-2</v>
      </c>
      <c r="H158" s="99">
        <f>G158+'30'!H158</f>
        <v>7.0000000000000284E-2</v>
      </c>
      <c r="I158" s="165"/>
      <c r="J158" s="328"/>
    </row>
    <row r="159" spans="1:11" ht="27.75" x14ac:dyDescent="0.5">
      <c r="A159" s="899"/>
      <c r="B159" s="900"/>
      <c r="C159" s="901"/>
      <c r="D159" s="117"/>
      <c r="E159" s="95"/>
      <c r="F159" s="165"/>
      <c r="G159" s="112"/>
      <c r="H159" s="99"/>
      <c r="I159" s="165"/>
      <c r="J159" s="328"/>
    </row>
    <row r="160" spans="1:11" ht="31.5" x14ac:dyDescent="0.55000000000000004">
      <c r="A160" s="883" t="s">
        <v>326</v>
      </c>
      <c r="B160" s="883"/>
      <c r="C160" s="883"/>
      <c r="D160" s="883"/>
      <c r="E160" s="883"/>
      <c r="F160" s="883"/>
      <c r="G160" s="883"/>
      <c r="H160" s="883"/>
      <c r="I160" s="883"/>
      <c r="J160" s="883"/>
    </row>
    <row r="161" spans="1:10" ht="29.25" x14ac:dyDescent="0.5">
      <c r="A161" s="242" t="s">
        <v>92</v>
      </c>
      <c r="B161" s="243"/>
      <c r="C161" s="243"/>
      <c r="D161" s="244" t="s">
        <v>180</v>
      </c>
      <c r="E161" s="95">
        <f>'30'!F161</f>
        <v>471153</v>
      </c>
      <c r="F161" s="235">
        <v>471163.16</v>
      </c>
      <c r="G161" s="238">
        <f t="shared" ref="G161:G165" si="13">F161-E161</f>
        <v>10.159999999974389</v>
      </c>
      <c r="H161" s="99">
        <f>G161+'30'!H161</f>
        <v>10</v>
      </c>
      <c r="I161" s="236"/>
      <c r="J161" s="239">
        <f>H161/DAY(B2)</f>
        <v>0.32258064516129031</v>
      </c>
    </row>
    <row r="162" spans="1:10" ht="29.25" x14ac:dyDescent="0.5">
      <c r="A162" s="242" t="s">
        <v>93</v>
      </c>
      <c r="B162" s="243"/>
      <c r="C162" s="243"/>
      <c r="D162" s="244" t="s">
        <v>180</v>
      </c>
      <c r="E162" s="95">
        <f>'30'!F162</f>
        <v>87545</v>
      </c>
      <c r="F162" s="235">
        <v>87570</v>
      </c>
      <c r="G162" s="238">
        <f t="shared" si="13"/>
        <v>25</v>
      </c>
      <c r="H162" s="99">
        <f>G162+'30'!H162</f>
        <v>0</v>
      </c>
      <c r="I162" s="236"/>
      <c r="J162" s="239">
        <f>H162/DAY(B2)</f>
        <v>0</v>
      </c>
    </row>
    <row r="163" spans="1:10" ht="29.25" x14ac:dyDescent="0.5">
      <c r="A163" s="242" t="s">
        <v>197</v>
      </c>
      <c r="B163" s="243"/>
      <c r="C163" s="243"/>
      <c r="D163" s="244" t="s">
        <v>180</v>
      </c>
      <c r="E163" s="95">
        <f>'30'!F163</f>
        <v>77791</v>
      </c>
      <c r="F163" s="235">
        <v>77825</v>
      </c>
      <c r="G163" s="238">
        <f t="shared" si="13"/>
        <v>34</v>
      </c>
      <c r="H163" s="99">
        <f>G163+'30'!H163</f>
        <v>0</v>
      </c>
      <c r="I163" s="236"/>
      <c r="J163" s="239">
        <f>H163/DAY(B2)</f>
        <v>0</v>
      </c>
    </row>
    <row r="164" spans="1:10" ht="29.25" x14ac:dyDescent="0.5">
      <c r="A164" s="242" t="s">
        <v>197</v>
      </c>
      <c r="B164" s="243"/>
      <c r="C164" s="243"/>
      <c r="D164" s="244" t="s">
        <v>180</v>
      </c>
      <c r="E164" s="95">
        <f>'30'!F164</f>
        <v>4242</v>
      </c>
      <c r="F164" s="235">
        <v>4242</v>
      </c>
      <c r="G164" s="238">
        <f t="shared" si="13"/>
        <v>0</v>
      </c>
      <c r="H164" s="99">
        <f>G164+'30'!H164</f>
        <v>0</v>
      </c>
      <c r="I164" s="236"/>
      <c r="J164" s="239">
        <f>H164/DAY(B2)</f>
        <v>0</v>
      </c>
    </row>
    <row r="165" spans="1:10" ht="29.25" x14ac:dyDescent="0.5">
      <c r="A165" s="242" t="s">
        <v>309</v>
      </c>
      <c r="B165" s="243"/>
      <c r="C165" s="243"/>
      <c r="D165" s="244" t="s">
        <v>180</v>
      </c>
      <c r="E165" s="95">
        <f>'30'!F165</f>
        <v>29641</v>
      </c>
      <c r="F165" s="235">
        <v>29646</v>
      </c>
      <c r="G165" s="238">
        <f t="shared" si="13"/>
        <v>5</v>
      </c>
      <c r="H165" s="99">
        <f>G165+'30'!H165</f>
        <v>0</v>
      </c>
      <c r="I165" s="236"/>
      <c r="J165" s="239">
        <f>H165/DAY(B2)</f>
        <v>0</v>
      </c>
    </row>
    <row r="166" spans="1:10" ht="29.25" x14ac:dyDescent="0.5">
      <c r="A166" s="882"/>
      <c r="B166" s="882"/>
      <c r="C166" s="246"/>
      <c r="D166" s="244" t="s">
        <v>180</v>
      </c>
      <c r="E166" s="95">
        <f>'30'!F166</f>
        <v>0</v>
      </c>
      <c r="F166" s="165"/>
      <c r="G166" s="165"/>
      <c r="H166" s="99">
        <f>G166+'30'!H166</f>
        <v>0</v>
      </c>
      <c r="I166" s="165"/>
      <c r="J166" s="239">
        <f>H166/DAY(B2)</f>
        <v>0</v>
      </c>
    </row>
    <row r="167" spans="1:10" ht="29.25" x14ac:dyDescent="0.5">
      <c r="A167" s="882"/>
      <c r="B167" s="882"/>
      <c r="C167" s="246"/>
      <c r="D167" s="244" t="s">
        <v>180</v>
      </c>
      <c r="E167" s="95">
        <f>'30'!F167</f>
        <v>0</v>
      </c>
      <c r="F167" s="165"/>
      <c r="G167" s="165"/>
      <c r="H167" s="99">
        <f>G167+'30'!H167</f>
        <v>0</v>
      </c>
      <c r="I167" s="165"/>
      <c r="J167" s="239">
        <f>H167/DAY(B2)</f>
        <v>0</v>
      </c>
    </row>
    <row r="168" spans="1:10" ht="29.25" x14ac:dyDescent="0.5">
      <c r="A168" s="882"/>
      <c r="B168" s="882"/>
      <c r="C168" s="246"/>
      <c r="D168" s="244" t="s">
        <v>180</v>
      </c>
      <c r="E168" s="95">
        <f>'30'!F168</f>
        <v>0</v>
      </c>
      <c r="F168" s="165"/>
      <c r="G168" s="165"/>
      <c r="H168" s="99">
        <f>G168+'30'!H168</f>
        <v>0</v>
      </c>
      <c r="I168" s="165"/>
      <c r="J168" s="239">
        <f>H168/DAY(B2)</f>
        <v>0</v>
      </c>
    </row>
    <row r="169" spans="1:10" ht="29.25" x14ac:dyDescent="0.5"/>
    <row r="170" spans="1:10" ht="29.25" x14ac:dyDescent="0.5"/>
    <row r="171" spans="1:10" ht="31.5" x14ac:dyDescent="0.35">
      <c r="A171" s="890" t="s">
        <v>330</v>
      </c>
      <c r="B171" s="891"/>
      <c r="C171" s="891"/>
      <c r="D171" s="891"/>
      <c r="E171" s="891"/>
      <c r="F171" s="891"/>
      <c r="G171" s="891"/>
      <c r="H171" s="891"/>
      <c r="I171" s="891"/>
      <c r="J171" s="892"/>
    </row>
    <row r="172" spans="1:10" ht="27.75" x14ac:dyDescent="0.5">
      <c r="A172" s="886"/>
      <c r="B172" s="887"/>
      <c r="C172" s="332"/>
      <c r="D172" s="228"/>
      <c r="E172" s="155"/>
      <c r="F172" s="155"/>
      <c r="G172" s="155"/>
      <c r="H172" s="156"/>
      <c r="I172" s="155"/>
      <c r="J172" s="178"/>
    </row>
    <row r="173" spans="1:10" ht="27.75" x14ac:dyDescent="0.5">
      <c r="A173" s="840" t="s">
        <v>209</v>
      </c>
      <c r="B173" s="841"/>
      <c r="C173" s="333"/>
      <c r="D173" s="228" t="s">
        <v>142</v>
      </c>
      <c r="E173" s="95">
        <f>'30'!F173</f>
        <v>8126</v>
      </c>
      <c r="F173" s="155">
        <v>8126</v>
      </c>
      <c r="G173" s="155">
        <f>F173-E173</f>
        <v>0</v>
      </c>
      <c r="H173" s="99">
        <f>G173+'30'!H173</f>
        <v>0</v>
      </c>
      <c r="I173" s="155"/>
      <c r="J173" s="178">
        <f>H173/DAY(B2)</f>
        <v>0</v>
      </c>
    </row>
    <row r="174" spans="1:10" ht="27.75" x14ac:dyDescent="0.5">
      <c r="A174" s="840" t="s">
        <v>75</v>
      </c>
      <c r="B174" s="841"/>
      <c r="C174" s="333"/>
      <c r="D174" s="228" t="s">
        <v>142</v>
      </c>
      <c r="E174" s="95">
        <f>'30'!F174</f>
        <v>38279</v>
      </c>
      <c r="F174" s="157">
        <v>38293</v>
      </c>
      <c r="G174" s="155">
        <f t="shared" ref="G174:G175" si="14">F174-E174</f>
        <v>14</v>
      </c>
      <c r="H174" s="99">
        <f>G174+'30'!H174</f>
        <v>0</v>
      </c>
      <c r="I174" s="155"/>
      <c r="J174" s="178">
        <f>H174/DAY(B2)</f>
        <v>0</v>
      </c>
    </row>
    <row r="175" spans="1:10" ht="27.75" x14ac:dyDescent="0.5">
      <c r="A175" s="840" t="s">
        <v>76</v>
      </c>
      <c r="B175" s="845"/>
      <c r="C175" s="841"/>
      <c r="D175" s="228" t="s">
        <v>142</v>
      </c>
      <c r="E175" s="95">
        <f>'30'!F175</f>
        <v>21510</v>
      </c>
      <c r="F175" s="155">
        <v>21518</v>
      </c>
      <c r="G175" s="155">
        <f t="shared" si="14"/>
        <v>8</v>
      </c>
      <c r="H175" s="99">
        <f>G175+'30'!H175</f>
        <v>0</v>
      </c>
      <c r="I175" s="155"/>
      <c r="J175" s="178">
        <f>H175/DAY(B2)</f>
        <v>0</v>
      </c>
    </row>
    <row r="176" spans="1:10" ht="27.75" x14ac:dyDescent="0.5">
      <c r="A176" s="879" t="s">
        <v>196</v>
      </c>
      <c r="B176" s="929"/>
      <c r="C176" s="880"/>
      <c r="D176" s="228" t="s">
        <v>142</v>
      </c>
      <c r="E176" s="95"/>
      <c r="F176" s="155"/>
      <c r="G176" s="155">
        <f>SUM(G173:G175)</f>
        <v>22</v>
      </c>
      <c r="H176" s="99">
        <f>G176+'30'!H176</f>
        <v>0</v>
      </c>
      <c r="I176" s="155"/>
      <c r="J176" s="178">
        <f>H176/DAY(B2)</f>
        <v>0</v>
      </c>
    </row>
    <row r="177" spans="1:10" ht="27.75" x14ac:dyDescent="0.5">
      <c r="A177" s="840" t="s">
        <v>77</v>
      </c>
      <c r="B177" s="841"/>
      <c r="C177" s="333"/>
      <c r="D177" s="228" t="s">
        <v>142</v>
      </c>
      <c r="E177" s="95"/>
      <c r="F177" s="155"/>
      <c r="G177" s="155"/>
      <c r="H177" s="99">
        <f>G177+'30'!H177</f>
        <v>0</v>
      </c>
      <c r="I177" s="155"/>
      <c r="J177" s="178">
        <f>H177/DAY(B2)</f>
        <v>0</v>
      </c>
    </row>
    <row r="178" spans="1:10" ht="27.75" x14ac:dyDescent="0.5">
      <c r="A178" s="840" t="s">
        <v>210</v>
      </c>
      <c r="B178" s="841"/>
      <c r="C178" s="333"/>
      <c r="D178" s="228" t="s">
        <v>142</v>
      </c>
      <c r="E178" s="95">
        <f>'30'!F178</f>
        <v>79569</v>
      </c>
      <c r="F178" s="155">
        <v>79614</v>
      </c>
      <c r="G178" s="155">
        <f>F178-E178</f>
        <v>45</v>
      </c>
      <c r="H178" s="99">
        <f>G178+'30'!H178</f>
        <v>0</v>
      </c>
      <c r="I178" s="155"/>
      <c r="J178" s="178">
        <f>H178/DAY(B2)</f>
        <v>0</v>
      </c>
    </row>
    <row r="179" spans="1:10" ht="27.75" x14ac:dyDescent="0.5">
      <c r="A179" s="840" t="s">
        <v>211</v>
      </c>
      <c r="B179" s="841"/>
      <c r="C179" s="333"/>
      <c r="D179" s="228" t="s">
        <v>142</v>
      </c>
      <c r="E179" s="95">
        <f>'30'!F179</f>
        <v>33915</v>
      </c>
      <c r="F179" s="155">
        <v>33915</v>
      </c>
      <c r="G179" s="155">
        <f t="shared" ref="G179:G180" si="15">F179-E179</f>
        <v>0</v>
      </c>
      <c r="H179" s="99">
        <f>G179+'30'!H179</f>
        <v>0</v>
      </c>
      <c r="I179" s="155"/>
      <c r="J179" s="178">
        <f>H179/DAY(B2)</f>
        <v>0</v>
      </c>
    </row>
    <row r="180" spans="1:10" ht="27.75" x14ac:dyDescent="0.5">
      <c r="A180" s="840" t="s">
        <v>212</v>
      </c>
      <c r="B180" s="841"/>
      <c r="C180" s="333"/>
      <c r="D180" s="228" t="s">
        <v>142</v>
      </c>
      <c r="E180" s="95">
        <f>'30'!F180</f>
        <v>5471</v>
      </c>
      <c r="F180" s="155">
        <v>5477</v>
      </c>
      <c r="G180" s="155">
        <f t="shared" si="15"/>
        <v>6</v>
      </c>
      <c r="H180" s="99">
        <f>G180+'30'!H180</f>
        <v>0</v>
      </c>
      <c r="I180" s="155"/>
      <c r="J180" s="178">
        <f>H180/DAY(B2)</f>
        <v>0</v>
      </c>
    </row>
    <row r="181" spans="1:10" ht="27.75" x14ac:dyDescent="0.5">
      <c r="A181" s="884" t="s">
        <v>108</v>
      </c>
      <c r="B181" s="885"/>
      <c r="C181" s="485"/>
      <c r="D181" s="228" t="s">
        <v>142</v>
      </c>
      <c r="E181" s="95"/>
      <c r="F181" s="155"/>
      <c r="G181" s="155">
        <f>SUM(G178:G180)</f>
        <v>51</v>
      </c>
      <c r="H181" s="99">
        <f>G181+'30'!H181</f>
        <v>0</v>
      </c>
      <c r="I181" s="155"/>
      <c r="J181" s="178">
        <f>H181/DAY(B2)</f>
        <v>0</v>
      </c>
    </row>
    <row r="182" spans="1:10" ht="27.75" x14ac:dyDescent="0.5">
      <c r="A182" s="840" t="s">
        <v>213</v>
      </c>
      <c r="B182" s="841"/>
      <c r="C182" s="333"/>
      <c r="D182" s="228" t="s">
        <v>142</v>
      </c>
      <c r="E182" s="95"/>
      <c r="F182" s="155"/>
      <c r="G182" s="155"/>
      <c r="H182" s="99">
        <f>G182+'30'!H182</f>
        <v>0</v>
      </c>
      <c r="I182" s="155"/>
      <c r="J182" s="178">
        <f>H182/DAY(B2)</f>
        <v>0</v>
      </c>
    </row>
    <row r="183" spans="1:10" ht="27.75" x14ac:dyDescent="0.5">
      <c r="A183" s="840" t="s">
        <v>214</v>
      </c>
      <c r="B183" s="841"/>
      <c r="C183" s="334"/>
      <c r="D183" s="228" t="s">
        <v>142</v>
      </c>
      <c r="E183" s="95">
        <f>'30'!F183</f>
        <v>14938</v>
      </c>
      <c r="F183" s="157">
        <v>14947</v>
      </c>
      <c r="G183" s="157">
        <f>F183-E183</f>
        <v>9</v>
      </c>
      <c r="H183" s="99">
        <f>G183+'30'!H183</f>
        <v>0</v>
      </c>
      <c r="I183" s="155"/>
      <c r="J183" s="178">
        <f>H183/DAY(B2)</f>
        <v>0</v>
      </c>
    </row>
    <row r="184" spans="1:10" ht="27.75" x14ac:dyDescent="0.5">
      <c r="A184" s="840" t="s">
        <v>215</v>
      </c>
      <c r="B184" s="841"/>
      <c r="C184" s="334"/>
      <c r="D184" s="228" t="s">
        <v>142</v>
      </c>
      <c r="E184" s="95">
        <f>'30'!F184</f>
        <v>10295</v>
      </c>
      <c r="F184" s="157">
        <v>10301</v>
      </c>
      <c r="G184" s="157">
        <f t="shared" ref="G184:G185" si="16">F184-E184</f>
        <v>6</v>
      </c>
      <c r="H184" s="99">
        <f>G184+'30'!H184</f>
        <v>0</v>
      </c>
      <c r="I184" s="155"/>
      <c r="J184" s="178">
        <f>H184/DAY(B2)</f>
        <v>0</v>
      </c>
    </row>
    <row r="185" spans="1:10" ht="27.75" x14ac:dyDescent="0.5">
      <c r="A185" s="840" t="s">
        <v>216</v>
      </c>
      <c r="B185" s="841"/>
      <c r="C185" s="334"/>
      <c r="D185" s="228" t="s">
        <v>142</v>
      </c>
      <c r="E185" s="95">
        <f>'30'!F185</f>
        <v>0</v>
      </c>
      <c r="F185" s="157"/>
      <c r="G185" s="157">
        <f t="shared" si="16"/>
        <v>0</v>
      </c>
      <c r="H185" s="99">
        <f>G185+'30'!H185</f>
        <v>0</v>
      </c>
      <c r="I185" s="155"/>
      <c r="J185" s="178">
        <f>H185/DAY(B2)</f>
        <v>0</v>
      </c>
    </row>
    <row r="186" spans="1:10" ht="27.75" x14ac:dyDescent="0.5">
      <c r="A186" s="879" t="s">
        <v>196</v>
      </c>
      <c r="B186" s="880"/>
      <c r="C186" s="484"/>
      <c r="D186" s="228" t="s">
        <v>142</v>
      </c>
      <c r="E186" s="95"/>
      <c r="F186" s="157"/>
      <c r="G186" s="157">
        <f>SUM(G183:G185)</f>
        <v>15</v>
      </c>
      <c r="H186" s="99">
        <f>G186+'30'!H186</f>
        <v>0</v>
      </c>
      <c r="I186" s="157"/>
      <c r="J186" s="178">
        <f>H186/DAY(B2)</f>
        <v>0</v>
      </c>
    </row>
    <row r="187" spans="1:10" ht="27.75" x14ac:dyDescent="0.5">
      <c r="A187" s="888" t="s">
        <v>217</v>
      </c>
      <c r="B187" s="889"/>
      <c r="C187" s="333"/>
      <c r="D187" s="230" t="s">
        <v>142</v>
      </c>
      <c r="E187" s="95">
        <f>'30'!F187</f>
        <v>0</v>
      </c>
      <c r="F187" s="159"/>
      <c r="G187" s="462">
        <f>G62+G19</f>
        <v>61</v>
      </c>
      <c r="H187" s="99">
        <f>G187+'30'!H187</f>
        <v>1668</v>
      </c>
      <c r="I187" s="158"/>
      <c r="J187" s="179">
        <f>H187/DAY(B2)</f>
        <v>53.806451612903224</v>
      </c>
    </row>
    <row r="188" spans="1:10" ht="27.75" x14ac:dyDescent="0.5">
      <c r="A188" s="888" t="s">
        <v>218</v>
      </c>
      <c r="B188" s="889"/>
      <c r="C188" s="333"/>
      <c r="D188" s="230" t="s">
        <v>142</v>
      </c>
      <c r="E188" s="95">
        <f>'30'!F188</f>
        <v>0</v>
      </c>
      <c r="F188" s="159"/>
      <c r="G188" s="462">
        <f>G65+G66+G67+G69+G70</f>
        <v>159</v>
      </c>
      <c r="H188" s="99">
        <f>G188+'30'!H188</f>
        <v>-1794</v>
      </c>
      <c r="I188" s="158"/>
      <c r="J188" s="179">
        <f>H188/DAY(B2)</f>
        <v>-57.87096774193548</v>
      </c>
    </row>
    <row r="189" spans="1:10" ht="27.75" x14ac:dyDescent="0.5">
      <c r="A189" s="888" t="s">
        <v>219</v>
      </c>
      <c r="B189" s="889"/>
      <c r="C189" s="333"/>
      <c r="D189" s="230" t="s">
        <v>142</v>
      </c>
      <c r="E189" s="95">
        <f>'30'!F189</f>
        <v>0</v>
      </c>
      <c r="F189" s="157"/>
      <c r="G189" s="459">
        <f>G181</f>
        <v>51</v>
      </c>
      <c r="H189" s="99">
        <f>G189+'30'!H189</f>
        <v>-1590</v>
      </c>
      <c r="I189" s="158"/>
      <c r="J189" s="179">
        <f>H189/DAY(B2)</f>
        <v>-51.29032258064516</v>
      </c>
    </row>
    <row r="190" spans="1:10" ht="27.75" x14ac:dyDescent="0.5">
      <c r="A190" s="811"/>
      <c r="B190" s="812"/>
      <c r="C190" s="483"/>
      <c r="D190" s="480"/>
      <c r="E190" s="480" t="s">
        <v>207</v>
      </c>
      <c r="F190" s="480"/>
      <c r="G190" s="480"/>
      <c r="H190" s="481"/>
      <c r="I190" s="480"/>
      <c r="J190" s="482"/>
    </row>
    <row r="191" spans="1:10" ht="29.25" x14ac:dyDescent="0.5"/>
    <row r="192" spans="1:10" ht="29.25" x14ac:dyDescent="0.5"/>
    <row r="193" ht="29.25" x14ac:dyDescent="0.5"/>
    <row r="194" ht="29.25" x14ac:dyDescent="0.5"/>
    <row r="195" ht="29.25" x14ac:dyDescent="0.5"/>
    <row r="196" ht="29.25" x14ac:dyDescent="0.5"/>
    <row r="197" ht="29.25" x14ac:dyDescent="0.5"/>
    <row r="198" ht="29.25" x14ac:dyDescent="0.5"/>
    <row r="199" ht="29.25" x14ac:dyDescent="0.5"/>
    <row r="200" ht="29.25" x14ac:dyDescent="0.5"/>
    <row r="201" ht="29.25" x14ac:dyDescent="0.5"/>
    <row r="202" ht="29.25" x14ac:dyDescent="0.5"/>
    <row r="203" ht="29.25" x14ac:dyDescent="0.5"/>
    <row r="204" ht="29.25" x14ac:dyDescent="0.5"/>
    <row r="205" ht="29.25" x14ac:dyDescent="0.5"/>
    <row r="206" ht="29.25" x14ac:dyDescent="0.5"/>
    <row r="207" ht="29.25" x14ac:dyDescent="0.5"/>
    <row r="208" ht="29.25" x14ac:dyDescent="0.5"/>
    <row r="209" ht="29.25" x14ac:dyDescent="0.5"/>
    <row r="210" ht="29.25" x14ac:dyDescent="0.5"/>
    <row r="211" ht="29.25" x14ac:dyDescent="0.5"/>
    <row r="212" ht="29.25" x14ac:dyDescent="0.5"/>
    <row r="213" ht="29.25" x14ac:dyDescent="0.5"/>
    <row r="214" ht="29.25" x14ac:dyDescent="0.5"/>
    <row r="215" ht="29.25" x14ac:dyDescent="0.5"/>
    <row r="216" ht="29.25" x14ac:dyDescent="0.5"/>
    <row r="217" ht="29.25" x14ac:dyDescent="0.5"/>
    <row r="218" ht="29.25" x14ac:dyDescent="0.5"/>
    <row r="219" ht="29.25" x14ac:dyDescent="0.5"/>
    <row r="220" ht="29.25" x14ac:dyDescent="0.5"/>
    <row r="221" ht="29.25" x14ac:dyDescent="0.5"/>
    <row r="222" ht="29.25" x14ac:dyDescent="0.5"/>
    <row r="223" ht="29.25" x14ac:dyDescent="0.5"/>
    <row r="224" ht="29.25" x14ac:dyDescent="0.5"/>
    <row r="225" ht="29.25" x14ac:dyDescent="0.5"/>
    <row r="226" ht="29.25" x14ac:dyDescent="0.5"/>
    <row r="227" ht="29.25" x14ac:dyDescent="0.5"/>
    <row r="228" ht="29.25" x14ac:dyDescent="0.5"/>
    <row r="229" ht="29.25" x14ac:dyDescent="0.5"/>
    <row r="230" ht="29.25" x14ac:dyDescent="0.5"/>
    <row r="231" ht="29.25" x14ac:dyDescent="0.5"/>
    <row r="232" ht="29.25" x14ac:dyDescent="0.5"/>
    <row r="233" ht="29.25" x14ac:dyDescent="0.5"/>
    <row r="234" ht="29.25" x14ac:dyDescent="0.5"/>
    <row r="235" ht="29.25" x14ac:dyDescent="0.5"/>
    <row r="236" ht="29.25" x14ac:dyDescent="0.5"/>
    <row r="237" ht="29.25" x14ac:dyDescent="0.5"/>
    <row r="238" ht="29.25" x14ac:dyDescent="0.5"/>
    <row r="239" ht="29.25" x14ac:dyDescent="0.5"/>
    <row r="240" ht="29.25" x14ac:dyDescent="0.5"/>
    <row r="241" ht="29.25" x14ac:dyDescent="0.5"/>
    <row r="242" ht="29.25" x14ac:dyDescent="0.5"/>
    <row r="243" ht="29.25" x14ac:dyDescent="0.5"/>
    <row r="244" ht="29.25" x14ac:dyDescent="0.5"/>
    <row r="245" ht="29.25" x14ac:dyDescent="0.5"/>
    <row r="246" ht="29.25" x14ac:dyDescent="0.5"/>
    <row r="247" ht="29.25" x14ac:dyDescent="0.5"/>
    <row r="248" ht="29.25" x14ac:dyDescent="0.5"/>
    <row r="249" ht="29.25" x14ac:dyDescent="0.5"/>
    <row r="250" ht="29.25" x14ac:dyDescent="0.5"/>
    <row r="251" ht="29.25" x14ac:dyDescent="0.5"/>
    <row r="252" ht="29.25" x14ac:dyDescent="0.5"/>
    <row r="253" ht="29.25" x14ac:dyDescent="0.5"/>
    <row r="254" ht="29.25" x14ac:dyDescent="0.5"/>
    <row r="255" ht="29.25" x14ac:dyDescent="0.5"/>
    <row r="256" ht="29.25" x14ac:dyDescent="0.5"/>
    <row r="257" ht="29.25" x14ac:dyDescent="0.5"/>
    <row r="258" ht="29.25" x14ac:dyDescent="0.5"/>
    <row r="259" ht="29.25" x14ac:dyDescent="0.5"/>
    <row r="260" ht="29.25" x14ac:dyDescent="0.5"/>
    <row r="261" ht="29.25" x14ac:dyDescent="0.5"/>
    <row r="262" ht="29.25" x14ac:dyDescent="0.5"/>
    <row r="263" ht="29.25" x14ac:dyDescent="0.5"/>
    <row r="264" ht="29.25" x14ac:dyDescent="0.5"/>
    <row r="265" ht="29.25" x14ac:dyDescent="0.5"/>
    <row r="266" ht="29.25" x14ac:dyDescent="0.5"/>
    <row r="267" ht="29.25" x14ac:dyDescent="0.5"/>
    <row r="268" ht="29.25" x14ac:dyDescent="0.5"/>
    <row r="269" ht="29.25" x14ac:dyDescent="0.5"/>
    <row r="270" ht="29.25" x14ac:dyDescent="0.5"/>
    <row r="271" ht="29.25" x14ac:dyDescent="0.5"/>
    <row r="272" ht="29.25" x14ac:dyDescent="0.5"/>
    <row r="273" ht="29.25" x14ac:dyDescent="0.5"/>
    <row r="274" ht="29.25" x14ac:dyDescent="0.5"/>
    <row r="275" ht="29.25" x14ac:dyDescent="0.5"/>
    <row r="276" ht="29.25" x14ac:dyDescent="0.5"/>
    <row r="277" ht="29.25" x14ac:dyDescent="0.5"/>
    <row r="278" ht="29.25" x14ac:dyDescent="0.5"/>
    <row r="279" ht="29.25" x14ac:dyDescent="0.5"/>
    <row r="280" ht="29.25" x14ac:dyDescent="0.5"/>
    <row r="281" ht="29.25" x14ac:dyDescent="0.5"/>
    <row r="282" ht="29.25" x14ac:dyDescent="0.5"/>
    <row r="283" ht="29.25" x14ac:dyDescent="0.5"/>
    <row r="284" ht="29.25" x14ac:dyDescent="0.5"/>
    <row r="285" ht="29.25" x14ac:dyDescent="0.5"/>
    <row r="286" ht="29.25" x14ac:dyDescent="0.5"/>
    <row r="287" ht="29.25" x14ac:dyDescent="0.5"/>
    <row r="288" ht="29.25" x14ac:dyDescent="0.5"/>
    <row r="289" ht="29.25" x14ac:dyDescent="0.5"/>
    <row r="290" ht="29.25" x14ac:dyDescent="0.5"/>
    <row r="291" ht="29.25" x14ac:dyDescent="0.5"/>
    <row r="292" ht="29.25" x14ac:dyDescent="0.5"/>
    <row r="293" ht="29.25" x14ac:dyDescent="0.5"/>
    <row r="294" ht="29.25" x14ac:dyDescent="0.5"/>
    <row r="295" ht="29.25" x14ac:dyDescent="0.5"/>
    <row r="296" ht="29.25" x14ac:dyDescent="0.5"/>
    <row r="297" ht="29.25" x14ac:dyDescent="0.5"/>
    <row r="298" ht="29.25" x14ac:dyDescent="0.5"/>
    <row r="299" ht="29.25" x14ac:dyDescent="0.5"/>
    <row r="300" ht="29.25" x14ac:dyDescent="0.5"/>
    <row r="301" ht="29.25" x14ac:dyDescent="0.5"/>
    <row r="302" ht="29.25" x14ac:dyDescent="0.5"/>
    <row r="303" ht="29.25" x14ac:dyDescent="0.5"/>
    <row r="304" ht="29.25" x14ac:dyDescent="0.5"/>
    <row r="305" ht="29.25" x14ac:dyDescent="0.5"/>
    <row r="306" ht="29.25" x14ac:dyDescent="0.5"/>
    <row r="307" ht="29.25" x14ac:dyDescent="0.5"/>
    <row r="308" ht="29.25" x14ac:dyDescent="0.5"/>
    <row r="309" ht="29.25" x14ac:dyDescent="0.5"/>
    <row r="310" ht="29.25" x14ac:dyDescent="0.5"/>
    <row r="311" ht="29.25" x14ac:dyDescent="0.5"/>
    <row r="312" ht="29.25" x14ac:dyDescent="0.5"/>
    <row r="313" ht="29.25" x14ac:dyDescent="0.5"/>
    <row r="314" ht="29.25" x14ac:dyDescent="0.5"/>
    <row r="315" ht="29.25" x14ac:dyDescent="0.5"/>
    <row r="316" ht="29.25" x14ac:dyDescent="0.5"/>
    <row r="317" ht="29.25" x14ac:dyDescent="0.5"/>
    <row r="318" ht="29.25" x14ac:dyDescent="0.5"/>
    <row r="319" ht="29.25" x14ac:dyDescent="0.5"/>
    <row r="320" ht="29.25" x14ac:dyDescent="0.5"/>
  </sheetData>
  <mergeCells count="122">
    <mergeCell ref="A158:C158"/>
    <mergeCell ref="A159:C159"/>
    <mergeCell ref="A176:C176"/>
    <mergeCell ref="A154:J154"/>
    <mergeCell ref="A155:C155"/>
    <mergeCell ref="A156:C156"/>
    <mergeCell ref="A190:B190"/>
    <mergeCell ref="A185:B185"/>
    <mergeCell ref="A186:B186"/>
    <mergeCell ref="A187:B187"/>
    <mergeCell ref="A188:B188"/>
    <mergeCell ref="A189:B189"/>
    <mergeCell ref="A177:B177"/>
    <mergeCell ref="A178:B178"/>
    <mergeCell ref="A179:B179"/>
    <mergeCell ref="A180:B180"/>
    <mergeCell ref="A181:B181"/>
    <mergeCell ref="A182:B182"/>
    <mergeCell ref="A183:B183"/>
    <mergeCell ref="A184:B184"/>
    <mergeCell ref="A175:C175"/>
    <mergeCell ref="A171:J171"/>
    <mergeCell ref="A172:B172"/>
    <mergeCell ref="A173:B173"/>
    <mergeCell ref="A157:C157"/>
    <mergeCell ref="A131:C131"/>
    <mergeCell ref="A174:B174"/>
    <mergeCell ref="A160:J160"/>
    <mergeCell ref="A105:C105"/>
    <mergeCell ref="A108:J108"/>
    <mergeCell ref="A110:J110"/>
    <mergeCell ref="A111:C111"/>
    <mergeCell ref="A112:C112"/>
    <mergeCell ref="A113:C113"/>
    <mergeCell ref="A114:C114"/>
    <mergeCell ref="A115:C115"/>
    <mergeCell ref="A116:C116"/>
    <mergeCell ref="A134:C134"/>
    <mergeCell ref="A135:C135"/>
    <mergeCell ref="A124:C124"/>
    <mergeCell ref="A126:J126"/>
    <mergeCell ref="A127:B127"/>
    <mergeCell ref="A128:C128"/>
    <mergeCell ref="A167:B167"/>
    <mergeCell ref="A168:B168"/>
    <mergeCell ref="A109:B109"/>
    <mergeCell ref="A120:C120"/>
    <mergeCell ref="A121:C121"/>
    <mergeCell ref="A99:C99"/>
    <mergeCell ref="Q116:R116"/>
    <mergeCell ref="Q117:R117"/>
    <mergeCell ref="A118:C118"/>
    <mergeCell ref="Q118:R118"/>
    <mergeCell ref="A123:C123"/>
    <mergeCell ref="A132:C132"/>
    <mergeCell ref="A125:C125"/>
    <mergeCell ref="A166:B166"/>
    <mergeCell ref="A136:J136"/>
    <mergeCell ref="A153:C153"/>
    <mergeCell ref="A119:C119"/>
    <mergeCell ref="A145:C145"/>
    <mergeCell ref="A146:C146"/>
    <mergeCell ref="A147:C147"/>
    <mergeCell ref="A148:C148"/>
    <mergeCell ref="A149:C149"/>
    <mergeCell ref="A143:C143"/>
    <mergeCell ref="A138:C138"/>
    <mergeCell ref="A139:C139"/>
    <mergeCell ref="A140:C140"/>
    <mergeCell ref="A141:C141"/>
    <mergeCell ref="A144:C144"/>
    <mergeCell ref="A142:C142"/>
    <mergeCell ref="A1:J1"/>
    <mergeCell ref="A6:C6"/>
    <mergeCell ref="A14:C14"/>
    <mergeCell ref="A17:C17"/>
    <mergeCell ref="A18:C18"/>
    <mergeCell ref="A19:C19"/>
    <mergeCell ref="A21:C21"/>
    <mergeCell ref="A64:C64"/>
    <mergeCell ref="A25:C25"/>
    <mergeCell ref="A33:C33"/>
    <mergeCell ref="A61:C61"/>
    <mergeCell ref="A62:C62"/>
    <mergeCell ref="A63:C63"/>
    <mergeCell ref="E3:F3"/>
    <mergeCell ref="A15:C15"/>
    <mergeCell ref="A16:C16"/>
    <mergeCell ref="A7:C7"/>
    <mergeCell ref="A9:C9"/>
    <mergeCell ref="A10:C10"/>
    <mergeCell ref="A11:C11"/>
    <mergeCell ref="A12:C12"/>
    <mergeCell ref="A133:C133"/>
    <mergeCell ref="A102:C102"/>
    <mergeCell ref="A150:C150"/>
    <mergeCell ref="A151:C151"/>
    <mergeCell ref="A152:C152"/>
    <mergeCell ref="A100:C100"/>
    <mergeCell ref="A101:C101"/>
    <mergeCell ref="A103:C103"/>
    <mergeCell ref="A104:C104"/>
    <mergeCell ref="A122:C122"/>
    <mergeCell ref="A117:C117"/>
    <mergeCell ref="A65:C65"/>
    <mergeCell ref="A71:C71"/>
    <mergeCell ref="A72:B72"/>
    <mergeCell ref="A78:C78"/>
    <mergeCell ref="A97:C97"/>
    <mergeCell ref="A98:C98"/>
    <mergeCell ref="A81:C81"/>
    <mergeCell ref="A95:C95"/>
    <mergeCell ref="A96:C96"/>
    <mergeCell ref="A93:C93"/>
    <mergeCell ref="A94:C94"/>
    <mergeCell ref="A76:C76"/>
    <mergeCell ref="A77:C77"/>
    <mergeCell ref="A79:C79"/>
    <mergeCell ref="A80:C80"/>
    <mergeCell ref="A73:C73"/>
    <mergeCell ref="A74:C74"/>
    <mergeCell ref="A75:C75"/>
  </mergeCells>
  <pageMargins left="0.22" right="0.17" top="0.14000000000000001" bottom="0.2" header="0.2" footer="0.2"/>
  <pageSetup paperSize="5" scale="19"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O20"/>
  <sheetViews>
    <sheetView zoomScale="80" zoomScaleNormal="80" workbookViewId="0">
      <pane xSplit="1" topLeftCell="B1" activePane="topRight" state="frozen"/>
      <selection activeCell="F104" sqref="F104"/>
      <selection pane="topRight" activeCell="Y23" sqref="Y23"/>
    </sheetView>
  </sheetViews>
  <sheetFormatPr defaultRowHeight="15.75" x14ac:dyDescent="0.25"/>
  <cols>
    <col min="1" max="1" width="6.88671875" customWidth="1"/>
    <col min="3" max="3" width="0.109375" customWidth="1"/>
    <col min="4" max="4" width="6.109375" bestFit="1" customWidth="1"/>
    <col min="5" max="5" width="7.44140625" customWidth="1"/>
    <col min="6" max="6" width="6.109375" bestFit="1" customWidth="1"/>
    <col min="7" max="7" width="8.33203125" customWidth="1"/>
    <col min="8" max="10" width="4.88671875" customWidth="1"/>
    <col min="12" max="14" width="5.109375" customWidth="1"/>
    <col min="15" max="15" width="7" bestFit="1" customWidth="1"/>
  </cols>
  <sheetData>
    <row r="1" spans="1:15" ht="20.25" x14ac:dyDescent="0.25">
      <c r="A1" s="711"/>
      <c r="B1" s="711"/>
      <c r="C1" s="711"/>
      <c r="D1" s="711"/>
      <c r="E1" s="711"/>
      <c r="F1" s="711"/>
      <c r="G1" s="711"/>
      <c r="H1" s="711"/>
      <c r="I1" s="711"/>
      <c r="J1" s="711"/>
      <c r="K1" s="711"/>
      <c r="L1" s="711"/>
      <c r="M1" s="711"/>
      <c r="N1" s="711"/>
      <c r="O1" s="711"/>
    </row>
    <row r="2" spans="1:15" ht="28.5" customHeight="1" x14ac:dyDescent="0.25">
      <c r="A2" s="1" t="s">
        <v>0</v>
      </c>
      <c r="B2" s="1" t="s">
        <v>0</v>
      </c>
      <c r="C2" s="264" t="s">
        <v>1</v>
      </c>
      <c r="D2" s="4" t="s">
        <v>4</v>
      </c>
      <c r="E2" s="713" t="s">
        <v>6</v>
      </c>
      <c r="F2" s="713"/>
      <c r="G2" s="713"/>
      <c r="H2" s="719" t="s">
        <v>14</v>
      </c>
      <c r="I2" s="719"/>
      <c r="J2" s="719"/>
      <c r="K2" s="264" t="s">
        <v>15</v>
      </c>
      <c r="L2" s="719" t="s">
        <v>16</v>
      </c>
      <c r="M2" s="719"/>
      <c r="N2" s="719"/>
      <c r="O2" s="264" t="s">
        <v>17</v>
      </c>
    </row>
    <row r="3" spans="1:15" s="15" customFormat="1" ht="38.25" x14ac:dyDescent="0.25">
      <c r="A3" s="6"/>
      <c r="B3" s="1"/>
      <c r="C3" s="7"/>
      <c r="D3" s="10" t="s">
        <v>23</v>
      </c>
      <c r="E3" s="11" t="s">
        <v>28</v>
      </c>
      <c r="F3" s="11" t="s">
        <v>25</v>
      </c>
      <c r="G3" s="11" t="s">
        <v>26</v>
      </c>
      <c r="H3" s="12" t="s">
        <v>39</v>
      </c>
      <c r="I3" s="12" t="s">
        <v>40</v>
      </c>
      <c r="J3" s="12" t="s">
        <v>41</v>
      </c>
      <c r="K3" s="12"/>
      <c r="L3" s="12" t="s">
        <v>42</v>
      </c>
      <c r="M3" s="12" t="s">
        <v>43</v>
      </c>
      <c r="N3" s="12" t="s">
        <v>256</v>
      </c>
      <c r="O3" s="12"/>
    </row>
    <row r="4" spans="1:15" x14ac:dyDescent="0.25">
      <c r="A4" s="16">
        <v>1</v>
      </c>
      <c r="B4" s="17">
        <v>1</v>
      </c>
      <c r="C4" s="18"/>
      <c r="D4" s="19">
        <f>'1'!F8</f>
        <v>161334</v>
      </c>
      <c r="E4" s="19">
        <f>'1'!G97</f>
        <v>0.12153132002401244</v>
      </c>
      <c r="F4" s="19">
        <f>'1'!F142</f>
        <v>19082</v>
      </c>
      <c r="G4" s="21">
        <f>E4*F4</f>
        <v>2319.0606486982056</v>
      </c>
      <c r="H4" s="19">
        <f>'1'!G68</f>
        <v>14</v>
      </c>
      <c r="I4" s="19">
        <f>'1'!G69</f>
        <v>25</v>
      </c>
      <c r="J4" s="19">
        <f>'1'!G70</f>
        <v>13</v>
      </c>
      <c r="K4" s="23">
        <f>H4+I4</f>
        <v>39</v>
      </c>
      <c r="L4" s="19">
        <f>'1'!G71</f>
        <v>218</v>
      </c>
      <c r="M4" s="19">
        <f>'1'!G72</f>
        <v>0</v>
      </c>
      <c r="N4" s="19">
        <v>0</v>
      </c>
      <c r="O4" s="23">
        <f>L4+M4+N4</f>
        <v>218</v>
      </c>
    </row>
    <row r="5" spans="1:15" x14ac:dyDescent="0.25">
      <c r="A5" s="16">
        <v>2</v>
      </c>
      <c r="B5" s="26">
        <v>2</v>
      </c>
      <c r="C5" s="26"/>
      <c r="D5" s="19">
        <f>'2'!F8</f>
        <v>181227</v>
      </c>
      <c r="E5" s="19">
        <f>'2'!G96</f>
        <v>3100</v>
      </c>
      <c r="F5" s="19">
        <f>'2'!F123</f>
        <v>145818.76999999999</v>
      </c>
      <c r="G5" s="21">
        <f t="shared" ref="G5:G18" si="0">E5*F5</f>
        <v>452038186.99999994</v>
      </c>
      <c r="H5" s="19">
        <f>'2'!G68</f>
        <v>10</v>
      </c>
      <c r="I5" s="19">
        <f>'2'!G69</f>
        <v>11</v>
      </c>
      <c r="J5" s="19">
        <f>'2'!G70</f>
        <v>12</v>
      </c>
      <c r="K5" s="23">
        <f t="shared" ref="K5:K18" si="1">H5+I5</f>
        <v>21</v>
      </c>
      <c r="L5" s="19">
        <f>'2'!G71</f>
        <v>159</v>
      </c>
      <c r="M5" s="19">
        <f>'2'!G72</f>
        <v>0</v>
      </c>
      <c r="N5" s="19">
        <v>0</v>
      </c>
      <c r="O5" s="23">
        <f t="shared" ref="O5:O18" si="2">L5+M5+N5</f>
        <v>159</v>
      </c>
    </row>
    <row r="6" spans="1:15" x14ac:dyDescent="0.25">
      <c r="A6" s="16">
        <v>3</v>
      </c>
      <c r="B6" s="26">
        <v>3</v>
      </c>
      <c r="C6" s="26"/>
      <c r="D6" s="19">
        <f>'4'!F8</f>
        <v>220974.95</v>
      </c>
      <c r="E6" s="19">
        <f>'3'!G96</f>
        <v>3094.6399999999994</v>
      </c>
      <c r="F6" s="19">
        <f>'3'!F123</f>
        <v>146156.89000000001</v>
      </c>
      <c r="G6" s="21">
        <f t="shared" si="0"/>
        <v>452302958.06959999</v>
      </c>
      <c r="H6" s="19">
        <f>'4'!G68</f>
        <v>27</v>
      </c>
      <c r="I6" s="19">
        <f>'4'!G69</f>
        <v>7</v>
      </c>
      <c r="J6" s="19">
        <f>'4'!G70</f>
        <v>6</v>
      </c>
      <c r="K6" s="23">
        <f t="shared" si="1"/>
        <v>34</v>
      </c>
      <c r="L6" s="19">
        <f>'4'!G71</f>
        <v>169</v>
      </c>
      <c r="M6" s="19">
        <f>'4'!G72</f>
        <v>0</v>
      </c>
      <c r="N6" s="19">
        <v>0</v>
      </c>
      <c r="O6" s="23">
        <f t="shared" si="2"/>
        <v>169</v>
      </c>
    </row>
    <row r="7" spans="1:15" x14ac:dyDescent="0.25">
      <c r="A7" s="16">
        <v>4</v>
      </c>
      <c r="B7" s="27">
        <v>4</v>
      </c>
      <c r="C7" s="27"/>
      <c r="D7" s="19">
        <f>'3'!F8</f>
        <v>200756</v>
      </c>
      <c r="E7" s="19">
        <f>'4'!G96</f>
        <v>3146.7900000000009</v>
      </c>
      <c r="F7" s="19">
        <f>'1'!F142</f>
        <v>19082</v>
      </c>
      <c r="G7" s="21">
        <f t="shared" si="0"/>
        <v>60047046.780000016</v>
      </c>
      <c r="H7" s="19">
        <f>'3'!G68</f>
        <v>9</v>
      </c>
      <c r="I7" s="19">
        <f>'3'!G69</f>
        <v>22</v>
      </c>
      <c r="J7" s="19">
        <f>'3'!G70</f>
        <v>7</v>
      </c>
      <c r="K7" s="23">
        <f t="shared" si="1"/>
        <v>31</v>
      </c>
      <c r="L7" s="19">
        <f>'3'!G71</f>
        <v>116</v>
      </c>
      <c r="M7" s="19">
        <f>'3'!G72</f>
        <v>0</v>
      </c>
      <c r="N7" s="19">
        <v>0</v>
      </c>
      <c r="O7" s="23">
        <f t="shared" si="2"/>
        <v>116</v>
      </c>
    </row>
    <row r="8" spans="1:15" x14ac:dyDescent="0.25">
      <c r="A8" s="16">
        <v>5</v>
      </c>
      <c r="B8" s="27">
        <v>5</v>
      </c>
      <c r="C8" s="27"/>
      <c r="D8" s="19" t="e">
        <f>#REF!</f>
        <v>#REF!</v>
      </c>
      <c r="E8" s="19" t="e">
        <f>#REF!</f>
        <v>#REF!</v>
      </c>
      <c r="F8" s="19">
        <f>'1'!F142</f>
        <v>19082</v>
      </c>
      <c r="G8" s="21" t="e">
        <f t="shared" si="0"/>
        <v>#REF!</v>
      </c>
      <c r="H8" s="19" t="e">
        <f>#REF!</f>
        <v>#REF!</v>
      </c>
      <c r="I8" s="19" t="e">
        <f>#REF!</f>
        <v>#REF!</v>
      </c>
      <c r="J8" s="19" t="e">
        <f>#REF!</f>
        <v>#REF!</v>
      </c>
      <c r="K8" s="23" t="e">
        <f t="shared" si="1"/>
        <v>#REF!</v>
      </c>
      <c r="L8" s="19" t="e">
        <f>#REF!</f>
        <v>#REF!</v>
      </c>
      <c r="M8" s="19" t="e">
        <f>#REF!</f>
        <v>#REF!</v>
      </c>
      <c r="N8" s="19">
        <v>0</v>
      </c>
      <c r="O8" s="23" t="e">
        <f t="shared" si="2"/>
        <v>#REF!</v>
      </c>
    </row>
    <row r="9" spans="1:15" x14ac:dyDescent="0.25">
      <c r="A9" s="16">
        <v>6</v>
      </c>
      <c r="B9" s="17">
        <v>6</v>
      </c>
      <c r="C9" s="26"/>
      <c r="D9" s="19">
        <f>'6'!F8</f>
        <v>262018</v>
      </c>
      <c r="E9" s="19">
        <f>'6'!G96</f>
        <v>3311.0800000000017</v>
      </c>
      <c r="F9" s="19">
        <f>'1'!F142</f>
        <v>19082</v>
      </c>
      <c r="G9" s="21">
        <f t="shared" si="0"/>
        <v>63182028.560000032</v>
      </c>
      <c r="H9" s="19">
        <f>'6'!G68</f>
        <v>47</v>
      </c>
      <c r="I9" s="19">
        <f>'6'!G69</f>
        <v>8</v>
      </c>
      <c r="J9" s="19">
        <f>'6'!G70</f>
        <v>6</v>
      </c>
      <c r="K9" s="23">
        <f t="shared" si="1"/>
        <v>55</v>
      </c>
      <c r="L9" s="19">
        <f>'6'!G71</f>
        <v>166</v>
      </c>
      <c r="M9" s="19">
        <f>'6'!G72</f>
        <v>0</v>
      </c>
      <c r="N9" s="19">
        <v>0</v>
      </c>
      <c r="O9" s="23">
        <f t="shared" si="2"/>
        <v>166</v>
      </c>
    </row>
    <row r="10" spans="1:15" x14ac:dyDescent="0.25">
      <c r="A10" s="16">
        <v>7</v>
      </c>
      <c r="B10" s="26">
        <v>7</v>
      </c>
      <c r="C10" s="27"/>
      <c r="D10" s="19">
        <f>'7'!F8</f>
        <v>282279</v>
      </c>
      <c r="E10" s="19">
        <f>'7'!G96</f>
        <v>3369</v>
      </c>
      <c r="F10" s="19">
        <f>'1'!F142</f>
        <v>19082</v>
      </c>
      <c r="G10" s="21">
        <f t="shared" si="0"/>
        <v>64287258</v>
      </c>
      <c r="H10" s="19">
        <f>'7'!G68</f>
        <v>42</v>
      </c>
      <c r="I10" s="19">
        <f>'7'!G69</f>
        <v>7</v>
      </c>
      <c r="J10" s="19">
        <f>'7'!G70</f>
        <v>9</v>
      </c>
      <c r="K10" s="23">
        <f t="shared" si="1"/>
        <v>49</v>
      </c>
      <c r="L10" s="19">
        <f>'7'!G71</f>
        <v>177</v>
      </c>
      <c r="M10" s="19">
        <f>'7'!G72</f>
        <v>0</v>
      </c>
      <c r="N10" s="19">
        <v>0</v>
      </c>
      <c r="O10" s="23">
        <f t="shared" si="2"/>
        <v>177</v>
      </c>
    </row>
    <row r="11" spans="1:15" x14ac:dyDescent="0.25">
      <c r="A11" s="16">
        <v>8</v>
      </c>
      <c r="B11" s="26">
        <v>8</v>
      </c>
      <c r="C11" s="18"/>
      <c r="D11" s="19">
        <f>'8'!F8</f>
        <v>301926</v>
      </c>
      <c r="E11" s="19">
        <f>'8'!G96</f>
        <v>3190</v>
      </c>
      <c r="F11" s="19">
        <f>'1'!F142</f>
        <v>19082</v>
      </c>
      <c r="G11" s="21">
        <f t="shared" si="0"/>
        <v>60871580</v>
      </c>
      <c r="H11" s="19">
        <f>'8'!G68</f>
        <v>30</v>
      </c>
      <c r="I11" s="19">
        <f>'8'!G69</f>
        <v>6</v>
      </c>
      <c r="J11" s="19">
        <f>'8'!G70</f>
        <v>8</v>
      </c>
      <c r="K11" s="23">
        <f t="shared" si="1"/>
        <v>36</v>
      </c>
      <c r="L11" s="19">
        <f>'8'!G71</f>
        <v>177</v>
      </c>
      <c r="M11" s="19">
        <f>'8'!G72</f>
        <v>0</v>
      </c>
      <c r="N11" s="19">
        <v>0</v>
      </c>
      <c r="O11" s="23">
        <f t="shared" si="2"/>
        <v>177</v>
      </c>
    </row>
    <row r="12" spans="1:15" x14ac:dyDescent="0.25">
      <c r="A12" s="16">
        <v>9</v>
      </c>
      <c r="B12" s="27">
        <v>9</v>
      </c>
      <c r="C12" s="26"/>
      <c r="D12" s="19">
        <f>'9'!F8</f>
        <v>319937</v>
      </c>
      <c r="E12" s="19">
        <f>'9'!G96</f>
        <v>2762.4599999999991</v>
      </c>
      <c r="F12" s="19">
        <f>'1'!F142</f>
        <v>19082</v>
      </c>
      <c r="G12" s="21">
        <f t="shared" si="0"/>
        <v>52713261.719999984</v>
      </c>
      <c r="H12" s="19">
        <f>'9'!G68</f>
        <v>27</v>
      </c>
      <c r="I12" s="19">
        <f>'9'!G69</f>
        <v>7</v>
      </c>
      <c r="J12" s="19">
        <f>'9'!G70</f>
        <v>14</v>
      </c>
      <c r="K12" s="23">
        <f t="shared" si="1"/>
        <v>34</v>
      </c>
      <c r="L12" s="19">
        <f>'9'!G71</f>
        <v>167</v>
      </c>
      <c r="M12" s="19">
        <f>'9'!G72</f>
        <v>0</v>
      </c>
      <c r="N12" s="19">
        <v>0</v>
      </c>
      <c r="O12" s="23">
        <f t="shared" si="2"/>
        <v>167</v>
      </c>
    </row>
    <row r="13" spans="1:15" x14ac:dyDescent="0.25">
      <c r="A13" s="16">
        <v>10</v>
      </c>
      <c r="B13" s="27">
        <v>10</v>
      </c>
      <c r="C13" s="26"/>
      <c r="D13" s="19">
        <f>'10'!F8</f>
        <v>337000</v>
      </c>
      <c r="E13" s="19">
        <f>'10'!G96</f>
        <v>2760</v>
      </c>
      <c r="F13" s="19">
        <f>'1'!F142</f>
        <v>19082</v>
      </c>
      <c r="G13" s="21">
        <f t="shared" si="0"/>
        <v>52666320</v>
      </c>
      <c r="H13" s="19">
        <f>'10'!G68</f>
        <v>26</v>
      </c>
      <c r="I13" s="19">
        <f>'10'!G69</f>
        <v>9</v>
      </c>
      <c r="J13" s="19">
        <f>'10'!G70</f>
        <v>4</v>
      </c>
      <c r="K13" s="23">
        <f t="shared" si="1"/>
        <v>35</v>
      </c>
      <c r="L13" s="19">
        <f>'10'!G71</f>
        <v>132</v>
      </c>
      <c r="M13" s="19">
        <f>'10'!G72</f>
        <v>0</v>
      </c>
      <c r="N13" s="19">
        <v>0</v>
      </c>
      <c r="O13" s="23">
        <f t="shared" si="2"/>
        <v>132</v>
      </c>
    </row>
    <row r="14" spans="1:15" x14ac:dyDescent="0.25">
      <c r="A14" s="16">
        <v>11</v>
      </c>
      <c r="B14" s="17">
        <v>11</v>
      </c>
      <c r="C14" s="27"/>
      <c r="D14" s="19">
        <f>'11'!F8</f>
        <v>354262</v>
      </c>
      <c r="E14" s="19">
        <f>'11'!G96</f>
        <v>2906.3999999999942</v>
      </c>
      <c r="F14" s="19">
        <f>'1'!F142</f>
        <v>19082</v>
      </c>
      <c r="G14" s="21">
        <f t="shared" si="0"/>
        <v>55459924.799999885</v>
      </c>
      <c r="H14" s="19">
        <f>'11'!G68</f>
        <v>26</v>
      </c>
      <c r="I14" s="19">
        <f>'11'!G69</f>
        <v>8</v>
      </c>
      <c r="J14" s="19">
        <f>'11'!G70</f>
        <v>6</v>
      </c>
      <c r="K14" s="23">
        <f t="shared" si="1"/>
        <v>34</v>
      </c>
      <c r="L14" s="19">
        <f>'11'!G71</f>
        <v>150</v>
      </c>
      <c r="M14" s="19">
        <f>'11'!G72</f>
        <v>0</v>
      </c>
      <c r="N14" s="19">
        <v>0</v>
      </c>
      <c r="O14" s="23">
        <f t="shared" si="2"/>
        <v>150</v>
      </c>
    </row>
    <row r="15" spans="1:15" x14ac:dyDescent="0.25">
      <c r="A15" s="16">
        <v>12</v>
      </c>
      <c r="B15" s="26">
        <v>12</v>
      </c>
      <c r="C15" s="27"/>
      <c r="D15" s="19">
        <f>'12'!F8</f>
        <v>370975</v>
      </c>
      <c r="E15" s="19">
        <f>'12'!G96</f>
        <v>2812</v>
      </c>
      <c r="F15" s="19">
        <f>'1'!F142</f>
        <v>19082</v>
      </c>
      <c r="G15" s="20">
        <f t="shared" si="0"/>
        <v>53658584</v>
      </c>
      <c r="H15" s="19">
        <f>'12'!G68</f>
        <v>23</v>
      </c>
      <c r="I15" s="19">
        <f>'12'!G69</f>
        <v>6</v>
      </c>
      <c r="J15" s="19">
        <f>'12'!G70</f>
        <v>4</v>
      </c>
      <c r="K15" s="23">
        <f t="shared" si="1"/>
        <v>29</v>
      </c>
      <c r="L15" s="19">
        <f>'12'!G71</f>
        <v>102</v>
      </c>
      <c r="M15" s="19">
        <f>'12'!G72</f>
        <v>0</v>
      </c>
      <c r="N15" s="19">
        <v>0</v>
      </c>
      <c r="O15" s="23">
        <f t="shared" si="2"/>
        <v>102</v>
      </c>
    </row>
    <row r="16" spans="1:15" x14ac:dyDescent="0.25">
      <c r="A16" s="16">
        <v>13</v>
      </c>
      <c r="B16" s="26">
        <v>13</v>
      </c>
      <c r="C16" s="26"/>
      <c r="D16" s="19">
        <f>'13'!F8</f>
        <v>388025</v>
      </c>
      <c r="E16" s="19">
        <f>'13'!G96</f>
        <v>2861</v>
      </c>
      <c r="F16" s="19">
        <f>'1'!F142</f>
        <v>19082</v>
      </c>
      <c r="G16" s="20">
        <f t="shared" si="0"/>
        <v>54593602</v>
      </c>
      <c r="H16" s="19">
        <f>'13'!G68</f>
        <v>20</v>
      </c>
      <c r="I16" s="19">
        <f>'13'!G69</f>
        <v>5</v>
      </c>
      <c r="J16" s="19">
        <f>'13'!G70</f>
        <v>7</v>
      </c>
      <c r="K16" s="23">
        <f t="shared" si="1"/>
        <v>25</v>
      </c>
      <c r="L16" s="19">
        <f>'13'!G71</f>
        <v>131</v>
      </c>
      <c r="M16" s="19">
        <f>'13'!G72</f>
        <v>0</v>
      </c>
      <c r="N16" s="19">
        <v>0</v>
      </c>
      <c r="O16" s="23">
        <f t="shared" si="2"/>
        <v>131</v>
      </c>
    </row>
    <row r="17" spans="1:15" x14ac:dyDescent="0.25">
      <c r="A17" s="16">
        <v>14</v>
      </c>
      <c r="B17" s="17">
        <v>14</v>
      </c>
      <c r="C17" s="27"/>
      <c r="D17" s="19">
        <f>'14'!F8</f>
        <v>405455</v>
      </c>
      <c r="E17" s="19">
        <f>'14'!G96</f>
        <v>3132</v>
      </c>
      <c r="F17" s="19">
        <f>'1'!F142</f>
        <v>19082</v>
      </c>
      <c r="G17" s="20">
        <f t="shared" si="0"/>
        <v>59764824</v>
      </c>
      <c r="H17" s="19">
        <f>'14'!G68</f>
        <v>35</v>
      </c>
      <c r="I17" s="19">
        <f>'14'!G69</f>
        <v>6</v>
      </c>
      <c r="J17" s="19">
        <f>'14'!G71</f>
        <v>134</v>
      </c>
      <c r="K17" s="23">
        <f t="shared" si="1"/>
        <v>41</v>
      </c>
      <c r="L17" s="19">
        <f>'14'!G72</f>
        <v>0</v>
      </c>
      <c r="M17" s="19">
        <f>'14'!G73</f>
        <v>0</v>
      </c>
      <c r="N17" s="19">
        <v>0</v>
      </c>
      <c r="O17" s="23">
        <f t="shared" si="2"/>
        <v>0</v>
      </c>
    </row>
    <row r="18" spans="1:15" x14ac:dyDescent="0.25">
      <c r="A18" s="16">
        <v>15</v>
      </c>
      <c r="B18" s="26">
        <v>15</v>
      </c>
      <c r="C18" s="18"/>
      <c r="D18" s="19">
        <f>'15'!F8</f>
        <v>422783.71</v>
      </c>
      <c r="E18" s="19">
        <f>'15'!G96</f>
        <v>3008.3700000000099</v>
      </c>
      <c r="F18" s="19">
        <f>'1'!F142</f>
        <v>19082</v>
      </c>
      <c r="G18" s="20">
        <f t="shared" si="0"/>
        <v>57405716.34000019</v>
      </c>
      <c r="H18" s="19">
        <f>'15'!G68</f>
        <v>23</v>
      </c>
      <c r="I18" s="19">
        <f>'15'!G69</f>
        <v>11</v>
      </c>
      <c r="J18" s="19">
        <f>'15'!G71</f>
        <v>151</v>
      </c>
      <c r="K18" s="23">
        <f t="shared" si="1"/>
        <v>34</v>
      </c>
      <c r="L18" s="19">
        <f>'15'!G72</f>
        <v>0</v>
      </c>
      <c r="M18" s="19">
        <f>'15'!G73</f>
        <v>0</v>
      </c>
      <c r="N18" s="19">
        <v>0</v>
      </c>
      <c r="O18" s="23">
        <f t="shared" si="2"/>
        <v>0</v>
      </c>
    </row>
    <row r="20" spans="1:15" x14ac:dyDescent="0.25">
      <c r="B20" s="36"/>
    </row>
  </sheetData>
  <mergeCells count="4">
    <mergeCell ref="A1:O1"/>
    <mergeCell ref="E2:G2"/>
    <mergeCell ref="H2:J2"/>
    <mergeCell ref="L2:N2"/>
  </mergeCells>
  <pageMargins left="0.7" right="0.7" top="0.75" bottom="0.75" header="0.3" footer="0.3"/>
  <pageSetup orientation="portrait" r:id="rId1"/>
  <drawing r:id="rId2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:R183"/>
  <sheetViews>
    <sheetView zoomScale="50" zoomScaleNormal="50" workbookViewId="0">
      <selection activeCell="G11" sqref="G11"/>
    </sheetView>
  </sheetViews>
  <sheetFormatPr defaultColWidth="22.33203125" defaultRowHeight="33" customHeight="1" x14ac:dyDescent="0.5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6" width="30" style="160" customWidth="1"/>
    <col min="7" max="7" width="28.88671875" style="160" customWidth="1"/>
    <col min="8" max="8" width="39.21875" style="161" customWidth="1"/>
    <col min="9" max="9" width="23.5546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7" ht="33" customHeight="1" x14ac:dyDescent="0.65">
      <c r="A1" s="821" t="s">
        <v>115</v>
      </c>
      <c r="B1" s="822"/>
      <c r="C1" s="822"/>
      <c r="D1" s="822"/>
      <c r="E1" s="822"/>
      <c r="F1" s="822"/>
      <c r="G1" s="822"/>
      <c r="H1" s="822"/>
      <c r="I1" s="822"/>
      <c r="J1" s="823"/>
    </row>
    <row r="2" spans="1:17" s="57" customFormat="1" ht="33" customHeight="1" x14ac:dyDescent="0.5">
      <c r="A2" s="191" t="s">
        <v>303</v>
      </c>
      <c r="B2" s="262">
        <v>44439</v>
      </c>
      <c r="C2" s="324" t="s">
        <v>67</v>
      </c>
      <c r="D2" s="218">
        <v>0.51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7" s="57" customFormat="1" ht="33" customHeight="1" x14ac:dyDescent="0.5">
      <c r="A3" s="189"/>
      <c r="B3" s="221"/>
      <c r="C3" s="324" t="s">
        <v>118</v>
      </c>
      <c r="D3" s="219">
        <v>28</v>
      </c>
      <c r="E3" s="830" t="s">
        <v>119</v>
      </c>
      <c r="F3" s="831"/>
      <c r="G3" s="101"/>
      <c r="H3" s="102"/>
      <c r="I3" s="102"/>
      <c r="J3" s="222"/>
      <c r="K3" s="61"/>
      <c r="L3" s="58"/>
    </row>
    <row r="4" spans="1:17" s="57" customFormat="1" ht="33" customHeight="1" x14ac:dyDescent="0.5">
      <c r="A4" s="192"/>
      <c r="B4" s="223"/>
      <c r="C4" s="324" t="s">
        <v>120</v>
      </c>
      <c r="D4" s="218">
        <v>0.9</v>
      </c>
      <c r="E4" s="103"/>
      <c r="F4" s="103"/>
      <c r="G4" s="103"/>
      <c r="H4" s="103"/>
      <c r="I4" s="104"/>
      <c r="J4" s="222"/>
      <c r="K4" s="62"/>
      <c r="L4" s="58"/>
    </row>
    <row r="5" spans="1:17" ht="33" customHeight="1" x14ac:dyDescent="0.4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7" ht="33" customHeight="1" x14ac:dyDescent="0.4">
      <c r="A6" s="824" t="s">
        <v>128</v>
      </c>
      <c r="B6" s="825"/>
      <c r="C6" s="826"/>
      <c r="D6" s="110"/>
      <c r="E6" s="110"/>
      <c r="F6" s="110"/>
      <c r="G6" s="110"/>
      <c r="H6" s="111"/>
      <c r="I6" s="111"/>
      <c r="J6" s="174"/>
      <c r="K6" s="78"/>
      <c r="L6" s="66"/>
    </row>
    <row r="7" spans="1:17" ht="33" customHeight="1" thickBot="1" x14ac:dyDescent="0.45">
      <c r="A7" s="194" t="s">
        <v>129</v>
      </c>
      <c r="B7" s="195"/>
      <c r="C7" s="195"/>
      <c r="D7" s="151" t="s">
        <v>130</v>
      </c>
      <c r="E7" s="95"/>
      <c r="F7" s="95"/>
      <c r="G7" s="112">
        <f>F7-E7</f>
        <v>0</v>
      </c>
      <c r="H7" s="99">
        <f>G7+'30'!H7</f>
        <v>570516</v>
      </c>
      <c r="I7" s="113">
        <f>'1'!I7</f>
        <v>12000</v>
      </c>
      <c r="J7" s="175">
        <f>H7/DAY(B2)</f>
        <v>18403.741935483871</v>
      </c>
      <c r="K7" s="172">
        <v>1375467</v>
      </c>
      <c r="L7" s="66"/>
      <c r="N7" s="87"/>
      <c r="O7" s="71"/>
    </row>
    <row r="8" spans="1:17" ht="33" customHeight="1" thickBot="1" x14ac:dyDescent="0.45">
      <c r="A8" s="196" t="s">
        <v>131</v>
      </c>
      <c r="B8" s="197"/>
      <c r="C8" s="198"/>
      <c r="D8" s="224" t="s">
        <v>24</v>
      </c>
      <c r="E8" s="95"/>
      <c r="F8" s="114"/>
      <c r="G8" s="115">
        <f>F8-E8</f>
        <v>0</v>
      </c>
      <c r="H8" s="99">
        <f>G8+'30'!H8</f>
        <v>573225</v>
      </c>
      <c r="I8" s="116"/>
      <c r="J8" s="175">
        <f>H8/DAY(B2)</f>
        <v>18491.129032258064</v>
      </c>
      <c r="K8" s="172">
        <v>1715917</v>
      </c>
      <c r="L8" s="76">
        <v>1728480</v>
      </c>
      <c r="M8" s="87">
        <f>L8-K8</f>
        <v>12563</v>
      </c>
      <c r="N8" s="87"/>
      <c r="O8" s="71"/>
      <c r="Q8" s="709"/>
    </row>
    <row r="9" spans="1:17" ht="33" customHeight="1" x14ac:dyDescent="0.4">
      <c r="A9" s="194" t="s">
        <v>134</v>
      </c>
      <c r="B9" s="200"/>
      <c r="C9" s="200"/>
      <c r="D9" s="151" t="s">
        <v>130</v>
      </c>
      <c r="E9" s="95"/>
      <c r="F9" s="117"/>
      <c r="G9" s="112">
        <f>F9-E9</f>
        <v>0</v>
      </c>
      <c r="H9" s="99">
        <f>G9+'30'!H9</f>
        <v>362357</v>
      </c>
      <c r="I9" s="124"/>
      <c r="J9" s="175">
        <f>H9/DAY(B2)</f>
        <v>11688.935483870968</v>
      </c>
      <c r="K9" s="79">
        <f>K8-100</f>
        <v>1715817</v>
      </c>
      <c r="L9" s="66"/>
      <c r="N9" s="87"/>
      <c r="O9" s="71"/>
      <c r="Q9" s="710"/>
    </row>
    <row r="10" spans="1:17" ht="33" customHeight="1" x14ac:dyDescent="0.4">
      <c r="A10" s="194" t="s">
        <v>135</v>
      </c>
      <c r="B10" s="195"/>
      <c r="C10" s="195"/>
      <c r="D10" s="151" t="s">
        <v>130</v>
      </c>
      <c r="E10" s="95"/>
      <c r="F10" s="117"/>
      <c r="G10" s="112"/>
      <c r="H10" s="99">
        <f>G10+'30'!H10</f>
        <v>167987</v>
      </c>
      <c r="I10" s="282"/>
      <c r="J10" s="175"/>
      <c r="K10" s="79"/>
      <c r="L10" s="66"/>
      <c r="N10" s="87"/>
      <c r="O10" s="71"/>
      <c r="Q10" s="66"/>
    </row>
    <row r="11" spans="1:17" ht="33" customHeight="1" x14ac:dyDescent="0.5">
      <c r="A11" s="201" t="s">
        <v>136</v>
      </c>
      <c r="B11" s="202"/>
      <c r="C11" s="202"/>
      <c r="D11" s="151" t="s">
        <v>130</v>
      </c>
      <c r="E11" s="95"/>
      <c r="F11" s="95"/>
      <c r="G11" s="112">
        <f>G7+G9+G10</f>
        <v>0</v>
      </c>
      <c r="H11" s="99">
        <f>G11+'30'!H11</f>
        <v>0</v>
      </c>
      <c r="I11" s="282"/>
      <c r="J11" s="175"/>
      <c r="K11" s="79"/>
      <c r="L11" s="66"/>
      <c r="N11" s="87"/>
      <c r="O11" s="71"/>
    </row>
    <row r="12" spans="1:17" ht="33" customHeight="1" x14ac:dyDescent="0.4">
      <c r="A12" s="199" t="s">
        <v>132</v>
      </c>
      <c r="B12" s="195"/>
      <c r="C12" s="195"/>
      <c r="D12" s="151" t="s">
        <v>130</v>
      </c>
      <c r="E12" s="95"/>
      <c r="F12" s="117"/>
      <c r="G12" s="112"/>
      <c r="H12" s="99">
        <f>G12+'30'!H12</f>
        <v>0</v>
      </c>
      <c r="I12" s="282"/>
      <c r="J12" s="175"/>
      <c r="K12" s="79"/>
      <c r="L12" s="66"/>
      <c r="N12" s="87"/>
      <c r="O12" s="71"/>
    </row>
    <row r="13" spans="1:17" ht="33" customHeight="1" x14ac:dyDescent="0.4">
      <c r="A13" s="194" t="s">
        <v>133</v>
      </c>
      <c r="B13" s="195"/>
      <c r="C13" s="195"/>
      <c r="D13" s="151"/>
      <c r="E13" s="95"/>
      <c r="F13" s="117"/>
      <c r="G13" s="112"/>
      <c r="H13" s="99"/>
      <c r="I13" s="282"/>
      <c r="J13" s="175"/>
      <c r="K13" s="79"/>
      <c r="L13" s="66"/>
      <c r="N13" s="87"/>
      <c r="O13" s="71"/>
    </row>
    <row r="14" spans="1:17" ht="33" customHeight="1" x14ac:dyDescent="0.5">
      <c r="A14" s="201" t="s">
        <v>136</v>
      </c>
      <c r="B14" s="708"/>
      <c r="C14" s="708"/>
      <c r="D14" s="151"/>
      <c r="E14" s="95"/>
      <c r="F14" s="95"/>
      <c r="G14" s="119">
        <f>G9+G10+G11+G12</f>
        <v>0</v>
      </c>
      <c r="H14" s="99">
        <f>G14+'30'!H13</f>
        <v>510878.74999999988</v>
      </c>
      <c r="I14" s="120">
        <f>G7-G14</f>
        <v>0</v>
      </c>
      <c r="J14" s="175">
        <f>H14/DAY(B2)</f>
        <v>16479.959677419352</v>
      </c>
      <c r="K14" s="79"/>
      <c r="L14" s="66"/>
      <c r="N14" s="87"/>
      <c r="O14" s="71"/>
    </row>
    <row r="15" spans="1:17" ht="33" customHeight="1" x14ac:dyDescent="0.5">
      <c r="A15" s="827" t="s">
        <v>137</v>
      </c>
      <c r="B15" s="828"/>
      <c r="C15" s="829"/>
      <c r="D15" s="111"/>
      <c r="E15" s="111"/>
      <c r="F15" s="111"/>
      <c r="G15" s="121"/>
      <c r="H15" s="111"/>
      <c r="I15" s="111"/>
      <c r="J15" s="174"/>
      <c r="K15" s="80"/>
      <c r="L15" s="66"/>
      <c r="N15" s="87"/>
      <c r="O15" s="71"/>
    </row>
    <row r="16" spans="1:17" ht="33" customHeight="1" x14ac:dyDescent="0.5">
      <c r="A16" s="322" t="s">
        <v>138</v>
      </c>
      <c r="B16" s="205"/>
      <c r="C16" s="205"/>
      <c r="D16" s="151" t="s">
        <v>139</v>
      </c>
      <c r="E16" s="123">
        <v>1755781</v>
      </c>
      <c r="F16" s="123">
        <v>1756530</v>
      </c>
      <c r="G16" s="112">
        <f>(F16-E16)</f>
        <v>749</v>
      </c>
      <c r="H16" s="99">
        <f>G16+'30'!H15</f>
        <v>28584</v>
      </c>
      <c r="I16" s="113">
        <f>'1'!I15</f>
        <v>800</v>
      </c>
      <c r="J16" s="175">
        <f>H16/DAY(B2)</f>
        <v>922.06451612903231</v>
      </c>
      <c r="K16" s="79"/>
      <c r="L16" s="66"/>
      <c r="N16" s="87"/>
      <c r="O16" s="71"/>
    </row>
    <row r="17" spans="1:15" ht="33" customHeight="1" x14ac:dyDescent="0.4">
      <c r="A17" s="203"/>
      <c r="B17" s="204"/>
      <c r="C17" s="204"/>
      <c r="D17" s="152"/>
      <c r="E17" s="123"/>
      <c r="F17" s="123"/>
      <c r="G17" s="112"/>
      <c r="H17" s="124"/>
      <c r="I17" s="120">
        <f>I16-J16</f>
        <v>-122.06451612903231</v>
      </c>
      <c r="J17" s="176"/>
      <c r="K17" s="79"/>
      <c r="L17" s="66"/>
      <c r="N17" s="87"/>
      <c r="O17" s="71"/>
    </row>
    <row r="18" spans="1:15" ht="33" customHeight="1" x14ac:dyDescent="0.5">
      <c r="A18" s="827" t="s">
        <v>140</v>
      </c>
      <c r="B18" s="828"/>
      <c r="C18" s="829"/>
      <c r="D18" s="111"/>
      <c r="E18" s="111"/>
      <c r="F18" s="111"/>
      <c r="G18" s="125"/>
      <c r="H18" s="111"/>
      <c r="I18" s="111"/>
      <c r="J18" s="174"/>
      <c r="K18" s="79"/>
      <c r="L18" s="66"/>
      <c r="N18" s="87"/>
      <c r="O18" s="71"/>
    </row>
    <row r="19" spans="1:15" ht="33" customHeight="1" x14ac:dyDescent="0.5">
      <c r="A19" s="818" t="s">
        <v>141</v>
      </c>
      <c r="B19" s="819"/>
      <c r="C19" s="820"/>
      <c r="D19" s="151" t="s">
        <v>142</v>
      </c>
      <c r="E19" s="95">
        <f>'30'!F18</f>
        <v>60</v>
      </c>
      <c r="F19" s="122">
        <v>14</v>
      </c>
      <c r="G19" s="119">
        <f>F19*10</f>
        <v>140</v>
      </c>
      <c r="H19" s="99">
        <f>G19+'30'!H18</f>
        <v>4810</v>
      </c>
      <c r="I19" s="113">
        <f>'1'!I18</f>
        <v>65</v>
      </c>
      <c r="J19" s="175">
        <f>H19/DAY(B2)</f>
        <v>155.16129032258064</v>
      </c>
      <c r="K19" s="79"/>
      <c r="L19" s="66"/>
      <c r="N19" s="87"/>
      <c r="O19" s="71"/>
    </row>
    <row r="20" spans="1:15" ht="33" customHeight="1" x14ac:dyDescent="0.5">
      <c r="A20" s="818" t="s">
        <v>69</v>
      </c>
      <c r="B20" s="819"/>
      <c r="C20" s="820"/>
      <c r="D20" s="151" t="s">
        <v>142</v>
      </c>
      <c r="E20" s="95">
        <f>'30'!F19</f>
        <v>153838</v>
      </c>
      <c r="F20" s="122">
        <v>145338</v>
      </c>
      <c r="G20" s="112">
        <f t="shared" ref="G20" si="0">F20-E20</f>
        <v>-8500</v>
      </c>
      <c r="H20" s="99">
        <f>G20+'30'!H19</f>
        <v>-6887</v>
      </c>
      <c r="I20" s="335"/>
      <c r="J20" s="175">
        <f>H20/DAY(B2)</f>
        <v>-222.16129032258064</v>
      </c>
      <c r="K20" s="79"/>
      <c r="L20" s="66"/>
      <c r="N20" s="87"/>
      <c r="O20" s="71"/>
    </row>
    <row r="21" spans="1:15" ht="33" customHeight="1" x14ac:dyDescent="0.5">
      <c r="A21" s="201" t="s">
        <v>143</v>
      </c>
      <c r="B21" s="202"/>
      <c r="C21" s="202"/>
      <c r="D21" s="126"/>
      <c r="E21" s="126"/>
      <c r="F21" s="126"/>
      <c r="G21" s="127">
        <f>G19+G20</f>
        <v>-8360</v>
      </c>
      <c r="H21" s="99">
        <f>G21+'30'!H20</f>
        <v>-2077</v>
      </c>
      <c r="I21" s="336">
        <f>I19-J21</f>
        <v>132</v>
      </c>
      <c r="J21" s="175">
        <f>H21/DAY(B2)</f>
        <v>-67</v>
      </c>
      <c r="K21" s="79"/>
      <c r="L21" s="66"/>
      <c r="N21" s="87"/>
      <c r="O21" s="71"/>
    </row>
    <row r="22" spans="1:15" ht="33" customHeight="1" x14ac:dyDescent="0.5">
      <c r="A22" s="827" t="s">
        <v>144</v>
      </c>
      <c r="B22" s="828"/>
      <c r="C22" s="829"/>
      <c r="D22" s="111"/>
      <c r="E22" s="111"/>
      <c r="F22" s="111"/>
      <c r="G22" s="121"/>
      <c r="H22" s="111"/>
      <c r="I22" s="111"/>
      <c r="J22" s="174"/>
      <c r="K22" s="79"/>
      <c r="L22" s="66"/>
      <c r="N22" s="87"/>
      <c r="O22" s="71"/>
    </row>
    <row r="23" spans="1:15" ht="33" customHeight="1" x14ac:dyDescent="0.5">
      <c r="A23" s="322" t="s">
        <v>145</v>
      </c>
      <c r="B23" s="205"/>
      <c r="C23" s="205"/>
      <c r="D23" s="151" t="s">
        <v>146</v>
      </c>
      <c r="E23" s="122">
        <f>'30'!F22</f>
        <v>2970</v>
      </c>
      <c r="F23" s="122">
        <v>2970</v>
      </c>
      <c r="G23" s="119">
        <f t="shared" ref="G23" si="1">(F23-E23)</f>
        <v>0</v>
      </c>
      <c r="H23" s="99">
        <f>'30'!H22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5" ht="33" customHeight="1" x14ac:dyDescent="0.5">
      <c r="A24" s="322" t="s">
        <v>147</v>
      </c>
      <c r="B24" s="205"/>
      <c r="C24" s="205"/>
      <c r="D24" s="151" t="s">
        <v>146</v>
      </c>
      <c r="E24" s="122">
        <f>'30'!F23</f>
        <v>2000</v>
      </c>
      <c r="F24" s="122">
        <v>2000</v>
      </c>
      <c r="G24" s="119">
        <v>0</v>
      </c>
      <c r="H24" s="99">
        <f>'30'!H23</f>
        <v>110</v>
      </c>
      <c r="I24" s="118"/>
      <c r="J24" s="175">
        <f>H24/DAY(B2)</f>
        <v>3.5483870967741935</v>
      </c>
      <c r="K24" s="79"/>
      <c r="L24" s="66"/>
      <c r="N24" s="87"/>
      <c r="O24" s="71"/>
    </row>
    <row r="25" spans="1:15" ht="33" customHeight="1" x14ac:dyDescent="0.4">
      <c r="A25" s="206" t="s">
        <v>148</v>
      </c>
      <c r="B25" s="207"/>
      <c r="C25" s="207"/>
      <c r="D25" s="146" t="s">
        <v>146</v>
      </c>
      <c r="E25" s="122">
        <f>'30'!F24</f>
        <v>4970</v>
      </c>
      <c r="F25" s="128">
        <v>4970</v>
      </c>
      <c r="G25" s="119">
        <v>0</v>
      </c>
      <c r="H25" s="99">
        <f>'30'!H24</f>
        <v>110</v>
      </c>
      <c r="I25" s="118"/>
      <c r="J25" s="175">
        <f>H25/DAY(B2)</f>
        <v>3.5483870967741935</v>
      </c>
      <c r="K25" s="79"/>
      <c r="L25" s="66"/>
      <c r="N25" s="87"/>
      <c r="O25" s="71"/>
    </row>
    <row r="26" spans="1:15" s="88" customFormat="1" ht="33" customHeight="1" x14ac:dyDescent="0.35">
      <c r="A26" s="832" t="s">
        <v>149</v>
      </c>
      <c r="B26" s="833"/>
      <c r="C26" s="834"/>
      <c r="D26" s="110"/>
      <c r="E26" s="110"/>
      <c r="F26" s="110"/>
      <c r="G26" s="129"/>
      <c r="H26" s="130"/>
      <c r="I26" s="131"/>
      <c r="J26" s="177"/>
      <c r="K26" s="63"/>
      <c r="L26" s="89"/>
      <c r="N26" s="87"/>
      <c r="O26" s="71"/>
    </row>
    <row r="27" spans="1:15" s="88" customFormat="1" ht="33" customHeight="1" x14ac:dyDescent="0.5">
      <c r="A27" s="208" t="s">
        <v>150</v>
      </c>
      <c r="B27" s="209"/>
      <c r="C27" s="210"/>
      <c r="D27" s="225" t="s">
        <v>151</v>
      </c>
      <c r="E27" s="132"/>
      <c r="F27" s="132"/>
      <c r="G27" s="133"/>
      <c r="H27" s="99"/>
      <c r="I27" s="134"/>
      <c r="J27" s="175"/>
      <c r="K27" s="64"/>
      <c r="L27" s="89"/>
      <c r="N27" s="87"/>
      <c r="O27" s="71"/>
    </row>
    <row r="28" spans="1:15" s="88" customFormat="1" ht="33" customHeight="1" x14ac:dyDescent="0.5">
      <c r="A28" s="208" t="s">
        <v>5</v>
      </c>
      <c r="B28" s="209"/>
      <c r="C28" s="210"/>
      <c r="D28" s="226" t="s">
        <v>24</v>
      </c>
      <c r="E28" s="135">
        <f>G8</f>
        <v>0</v>
      </c>
      <c r="F28" s="136">
        <v>9</v>
      </c>
      <c r="G28" s="137">
        <f>E28*F28</f>
        <v>0</v>
      </c>
      <c r="H28" s="99">
        <f>G28+'30'!H27</f>
        <v>5159025</v>
      </c>
      <c r="I28" s="138"/>
      <c r="J28" s="175">
        <f>H28/DAY(B2)</f>
        <v>166420.16129032258</v>
      </c>
      <c r="K28" s="63"/>
      <c r="L28" s="89"/>
      <c r="N28" s="87"/>
      <c r="O28" s="71"/>
    </row>
    <row r="29" spans="1:15" s="88" customFormat="1" ht="33" customHeight="1" x14ac:dyDescent="0.5">
      <c r="A29" s="208" t="s">
        <v>152</v>
      </c>
      <c r="B29" s="209"/>
      <c r="C29" s="210"/>
      <c r="D29" s="226" t="s">
        <v>153</v>
      </c>
      <c r="E29" s="139">
        <f>G16</f>
        <v>749</v>
      </c>
      <c r="F29" s="136">
        <v>52</v>
      </c>
      <c r="G29" s="137">
        <f>E29*F29</f>
        <v>38948</v>
      </c>
      <c r="H29" s="99">
        <f>G29+'30'!H28</f>
        <v>1486368</v>
      </c>
      <c r="I29" s="140"/>
      <c r="J29" s="175">
        <f>H29/DAY(B2)</f>
        <v>47947.354838709674</v>
      </c>
      <c r="K29" s="63"/>
      <c r="L29" s="89"/>
      <c r="N29" s="87"/>
      <c r="O29" s="71"/>
    </row>
    <row r="30" spans="1:15" s="88" customFormat="1" ht="33" customHeight="1" x14ac:dyDescent="0.5">
      <c r="A30" s="208" t="s">
        <v>154</v>
      </c>
      <c r="B30" s="209"/>
      <c r="C30" s="210"/>
      <c r="D30" s="226" t="s">
        <v>155</v>
      </c>
      <c r="E30" s="141">
        <f>G25</f>
        <v>0</v>
      </c>
      <c r="F30" s="136">
        <v>69</v>
      </c>
      <c r="G30" s="137">
        <f>E30*F30</f>
        <v>0</v>
      </c>
      <c r="H30" s="99">
        <f>G30+'30'!H29</f>
        <v>7590</v>
      </c>
      <c r="I30" s="140"/>
      <c r="J30" s="175">
        <f>H30/DAY(B2)</f>
        <v>244.83870967741936</v>
      </c>
      <c r="K30" s="63"/>
      <c r="L30" s="89"/>
      <c r="N30" s="87"/>
      <c r="O30" s="71"/>
    </row>
    <row r="31" spans="1:15" s="88" customFormat="1" ht="33" customHeight="1" x14ac:dyDescent="0.5">
      <c r="A31" s="208" t="s">
        <v>156</v>
      </c>
      <c r="B31" s="209"/>
      <c r="C31" s="210"/>
      <c r="D31" s="226" t="s">
        <v>157</v>
      </c>
      <c r="E31" s="141">
        <f>G20</f>
        <v>-8500</v>
      </c>
      <c r="F31" s="136">
        <v>146</v>
      </c>
      <c r="G31" s="137">
        <f>E31*F31</f>
        <v>-1241000</v>
      </c>
      <c r="H31" s="99">
        <f>G31+'30'!H30</f>
        <v>-1005502</v>
      </c>
      <c r="I31" s="140"/>
      <c r="J31" s="175">
        <f>H31/DAY(B2)</f>
        <v>-32435.548387096773</v>
      </c>
      <c r="K31" s="63"/>
      <c r="L31" s="89"/>
      <c r="N31" s="87"/>
      <c r="O31" s="71"/>
    </row>
    <row r="32" spans="1:15" s="88" customFormat="1" ht="33" customHeight="1" x14ac:dyDescent="0.5">
      <c r="A32" s="208" t="s">
        <v>158</v>
      </c>
      <c r="B32" s="209"/>
      <c r="C32" s="210"/>
      <c r="D32" s="226" t="s">
        <v>142</v>
      </c>
      <c r="E32" s="141">
        <f>G19</f>
        <v>140</v>
      </c>
      <c r="F32" s="136">
        <v>80</v>
      </c>
      <c r="G32" s="137">
        <f>E32*F32</f>
        <v>11200</v>
      </c>
      <c r="H32" s="99">
        <f>G32+'30'!H31</f>
        <v>384800</v>
      </c>
      <c r="I32" s="140"/>
      <c r="J32" s="175">
        <f>H32/DAY(B2)</f>
        <v>12412.903225806451</v>
      </c>
      <c r="K32" s="63"/>
      <c r="L32" s="89"/>
      <c r="N32" s="87"/>
      <c r="O32" s="71"/>
    </row>
    <row r="33" spans="1:15" s="88" customFormat="1" ht="33" customHeight="1" x14ac:dyDescent="0.5">
      <c r="A33" s="211" t="s">
        <v>159</v>
      </c>
      <c r="B33" s="212"/>
      <c r="C33" s="213"/>
      <c r="D33" s="142"/>
      <c r="E33" s="142"/>
      <c r="F33" s="142"/>
      <c r="G33" s="143">
        <f>G28+G29+G30+G31+G32</f>
        <v>-1190852</v>
      </c>
      <c r="H33" s="99">
        <f>G33+'30'!H32</f>
        <v>6032281</v>
      </c>
      <c r="I33" s="144"/>
      <c r="J33" s="175">
        <f>H33/DAY(B2)</f>
        <v>194589.70967741936</v>
      </c>
      <c r="K33" s="63"/>
      <c r="L33" s="89"/>
      <c r="N33" s="87"/>
      <c r="O33" s="71"/>
    </row>
    <row r="34" spans="1:15" ht="33" customHeight="1" x14ac:dyDescent="0.35">
      <c r="A34" s="835" t="s">
        <v>331</v>
      </c>
      <c r="B34" s="836"/>
      <c r="C34" s="836"/>
      <c r="D34" s="337"/>
      <c r="E34" s="337"/>
      <c r="F34" s="337"/>
      <c r="G34" s="337"/>
      <c r="H34" s="337"/>
      <c r="I34" s="337"/>
      <c r="J34" s="338"/>
      <c r="K34" s="79"/>
      <c r="L34" s="66"/>
      <c r="N34" s="87"/>
      <c r="O34" s="71"/>
    </row>
    <row r="35" spans="1:15" ht="33" customHeight="1" x14ac:dyDescent="0.5">
      <c r="A35" s="214" t="s">
        <v>160</v>
      </c>
      <c r="B35" s="326"/>
      <c r="C35" s="326"/>
      <c r="D35" s="111"/>
      <c r="E35" s="110"/>
      <c r="F35" s="110"/>
      <c r="G35" s="111"/>
      <c r="H35" s="111"/>
      <c r="I35" s="111"/>
      <c r="J35" s="174"/>
      <c r="K35" s="79"/>
      <c r="L35" s="66"/>
      <c r="N35" s="87"/>
      <c r="O35" s="71"/>
    </row>
    <row r="36" spans="1:15" ht="33" customHeight="1" x14ac:dyDescent="0.4">
      <c r="A36" s="194" t="s">
        <v>161</v>
      </c>
      <c r="B36" s="195"/>
      <c r="C36" s="195"/>
      <c r="D36" s="151" t="s">
        <v>130</v>
      </c>
      <c r="E36" s="145">
        <v>1058597</v>
      </c>
      <c r="F36" s="145">
        <v>1058597</v>
      </c>
      <c r="G36" s="112">
        <f t="shared" ref="G36:G47" si="2">F36-E36</f>
        <v>0</v>
      </c>
      <c r="H36" s="99">
        <f>G36+'30'!H35</f>
        <v>166149</v>
      </c>
      <c r="I36" s="95"/>
      <c r="J36" s="175">
        <f>H36/DAY(B2)</f>
        <v>5359.6451612903229</v>
      </c>
      <c r="K36" s="79"/>
      <c r="L36" s="66"/>
      <c r="N36" s="87"/>
      <c r="O36" s="71"/>
    </row>
    <row r="37" spans="1:15" ht="33" customHeight="1" x14ac:dyDescent="0.4">
      <c r="A37" s="194" t="s">
        <v>162</v>
      </c>
      <c r="B37" s="195"/>
      <c r="C37" s="195"/>
      <c r="D37" s="151" t="s">
        <v>130</v>
      </c>
      <c r="E37" s="145">
        <v>1165</v>
      </c>
      <c r="F37" s="145">
        <v>1833</v>
      </c>
      <c r="G37" s="112">
        <f t="shared" si="2"/>
        <v>668</v>
      </c>
      <c r="H37" s="99">
        <f>G37+'30'!H36</f>
        <v>-189</v>
      </c>
      <c r="I37" s="95"/>
      <c r="J37" s="175">
        <f>H37/DAY(B2)</f>
        <v>-6.096774193548387</v>
      </c>
      <c r="K37" s="79"/>
      <c r="L37" s="66"/>
      <c r="N37" s="87"/>
      <c r="O37" s="344"/>
    </row>
    <row r="38" spans="1:15" ht="33" customHeight="1" x14ac:dyDescent="0.4">
      <c r="A38" s="194" t="s">
        <v>163</v>
      </c>
      <c r="B38" s="195"/>
      <c r="C38" s="195"/>
      <c r="D38" s="151" t="s">
        <v>130</v>
      </c>
      <c r="E38" s="145">
        <v>1612</v>
      </c>
      <c r="F38" s="145">
        <v>2775</v>
      </c>
      <c r="G38" s="112">
        <f t="shared" si="2"/>
        <v>1163</v>
      </c>
      <c r="H38" s="99">
        <f>G38+'30'!H37</f>
        <v>207163</v>
      </c>
      <c r="I38" s="95"/>
      <c r="J38" s="175">
        <f>H38/DAY(B2)</f>
        <v>6682.677419354839</v>
      </c>
      <c r="K38" s="79"/>
      <c r="L38" s="66"/>
      <c r="N38" s="87"/>
      <c r="O38" s="234"/>
    </row>
    <row r="39" spans="1:15" ht="33" customHeight="1" x14ac:dyDescent="0.4">
      <c r="A39" s="194" t="s">
        <v>164</v>
      </c>
      <c r="B39" s="195"/>
      <c r="C39" s="195"/>
      <c r="D39" s="151" t="s">
        <v>130</v>
      </c>
      <c r="E39" s="108">
        <v>3155</v>
      </c>
      <c r="F39" s="108">
        <v>4823</v>
      </c>
      <c r="G39" s="112">
        <f t="shared" si="2"/>
        <v>1668</v>
      </c>
      <c r="H39" s="99">
        <f>G39+'30'!H38</f>
        <v>245599</v>
      </c>
      <c r="I39" s="95"/>
      <c r="J39" s="175">
        <f>H39/DAY(B2)</f>
        <v>7922.5483870967746</v>
      </c>
      <c r="K39" s="79"/>
      <c r="L39" s="66"/>
      <c r="N39" s="87"/>
      <c r="O39" s="71"/>
    </row>
    <row r="40" spans="1:15" ht="33" customHeight="1" x14ac:dyDescent="0.4">
      <c r="A40" s="194" t="s">
        <v>165</v>
      </c>
      <c r="B40" s="195"/>
      <c r="C40" s="195"/>
      <c r="D40" s="151" t="s">
        <v>130</v>
      </c>
      <c r="E40" s="145">
        <v>634029</v>
      </c>
      <c r="F40" s="145">
        <v>637915</v>
      </c>
      <c r="G40" s="112">
        <f t="shared" si="2"/>
        <v>3886</v>
      </c>
      <c r="H40" s="99">
        <f>G40+'30'!H39</f>
        <v>433885</v>
      </c>
      <c r="I40" s="95"/>
      <c r="J40" s="175">
        <f>H40/DAY(B2)</f>
        <v>13996.290322580646</v>
      </c>
      <c r="K40" s="79"/>
      <c r="L40" s="66"/>
      <c r="N40" s="87"/>
      <c r="O40" s="71"/>
    </row>
    <row r="41" spans="1:15" ht="33" customHeight="1" x14ac:dyDescent="0.4">
      <c r="A41" s="215" t="s">
        <v>166</v>
      </c>
      <c r="B41" s="216"/>
      <c r="C41" s="216"/>
      <c r="D41" s="151" t="s">
        <v>130</v>
      </c>
      <c r="E41" s="145">
        <v>34221</v>
      </c>
      <c r="F41" s="145">
        <v>34599</v>
      </c>
      <c r="G41" s="112">
        <f t="shared" si="2"/>
        <v>378</v>
      </c>
      <c r="H41" s="99">
        <f>G41+'30'!H40</f>
        <v>377</v>
      </c>
      <c r="I41" s="95"/>
      <c r="J41" s="175">
        <f>H41/DAY(B2)</f>
        <v>12.161290322580646</v>
      </c>
      <c r="K41" s="80"/>
      <c r="L41" s="66"/>
      <c r="N41" s="87"/>
      <c r="O41" s="71"/>
    </row>
    <row r="42" spans="1:15" ht="33" customHeight="1" x14ac:dyDescent="0.4">
      <c r="A42" s="194" t="s">
        <v>167</v>
      </c>
      <c r="B42" s="195"/>
      <c r="C42" s="195"/>
      <c r="D42" s="151" t="s">
        <v>130</v>
      </c>
      <c r="E42" s="145">
        <v>433281.79</v>
      </c>
      <c r="F42" s="145">
        <v>433281.79</v>
      </c>
      <c r="G42" s="112">
        <f t="shared" si="2"/>
        <v>0</v>
      </c>
      <c r="H42" s="99">
        <f>G42+'30'!H41</f>
        <v>0</v>
      </c>
      <c r="I42" s="95"/>
      <c r="J42" s="175">
        <f>H42/DAY(B2)</f>
        <v>0</v>
      </c>
      <c r="K42" s="79"/>
      <c r="L42" s="66"/>
      <c r="N42" s="87"/>
      <c r="O42" s="71"/>
    </row>
    <row r="43" spans="1:15" ht="33" customHeight="1" x14ac:dyDescent="0.4">
      <c r="A43" s="194" t="s">
        <v>168</v>
      </c>
      <c r="B43" s="195"/>
      <c r="C43" s="195"/>
      <c r="D43" s="151" t="s">
        <v>130</v>
      </c>
      <c r="E43" s="145">
        <v>170507</v>
      </c>
      <c r="F43" s="145">
        <v>175112</v>
      </c>
      <c r="G43" s="112">
        <f t="shared" si="2"/>
        <v>4605</v>
      </c>
      <c r="H43" s="99">
        <f>G43+'30'!H42</f>
        <v>4605</v>
      </c>
      <c r="I43" s="95"/>
      <c r="J43" s="175">
        <f>H43/DAY(B2)</f>
        <v>148.54838709677421</v>
      </c>
      <c r="K43" s="79"/>
      <c r="L43" s="66"/>
      <c r="N43" s="87"/>
      <c r="O43" s="71"/>
    </row>
    <row r="44" spans="1:15" ht="33" customHeight="1" x14ac:dyDescent="0.4">
      <c r="A44" s="194" t="s">
        <v>169</v>
      </c>
      <c r="B44" s="195"/>
      <c r="C44" s="195"/>
      <c r="D44" s="151" t="s">
        <v>130</v>
      </c>
      <c r="E44" s="145">
        <v>1287250</v>
      </c>
      <c r="F44" s="145">
        <v>1289745</v>
      </c>
      <c r="G44" s="112">
        <f t="shared" si="2"/>
        <v>2495</v>
      </c>
      <c r="H44" s="99">
        <f>G44+'30'!H43</f>
        <v>-112</v>
      </c>
      <c r="I44" s="95"/>
      <c r="J44" s="175">
        <f>H44/DAY(B2)</f>
        <v>-3.6129032258064515</v>
      </c>
      <c r="K44" s="79"/>
      <c r="L44" s="66"/>
      <c r="N44" s="87"/>
      <c r="O44" s="71"/>
    </row>
    <row r="45" spans="1:15" ht="33" customHeight="1" x14ac:dyDescent="0.4">
      <c r="A45" s="194" t="s">
        <v>170</v>
      </c>
      <c r="B45" s="195"/>
      <c r="C45" s="195"/>
      <c r="D45" s="151" t="s">
        <v>130</v>
      </c>
      <c r="E45" s="145">
        <v>0</v>
      </c>
      <c r="F45" s="145">
        <v>0</v>
      </c>
      <c r="G45" s="112">
        <f t="shared" si="2"/>
        <v>0</v>
      </c>
      <c r="H45" s="99">
        <f>G45+'30'!H44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33" customHeight="1" x14ac:dyDescent="0.4">
      <c r="A46" s="194" t="s">
        <v>171</v>
      </c>
      <c r="B46" s="195"/>
      <c r="C46" s="195"/>
      <c r="D46" s="151" t="s">
        <v>130</v>
      </c>
      <c r="E46" s="145">
        <v>614</v>
      </c>
      <c r="F46" s="145">
        <v>614</v>
      </c>
      <c r="G46" s="112">
        <f t="shared" si="2"/>
        <v>0</v>
      </c>
      <c r="H46" s="99">
        <f>G46+'30'!H45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33" customHeight="1" x14ac:dyDescent="0.4">
      <c r="A47" s="194" t="s">
        <v>172</v>
      </c>
      <c r="B47" s="195"/>
      <c r="C47" s="195"/>
      <c r="D47" s="151" t="s">
        <v>130</v>
      </c>
      <c r="E47" s="145">
        <v>187</v>
      </c>
      <c r="F47" s="145">
        <v>187</v>
      </c>
      <c r="G47" s="112">
        <f t="shared" si="2"/>
        <v>0</v>
      </c>
      <c r="H47" s="99">
        <f>G47+'30'!H46</f>
        <v>0</v>
      </c>
      <c r="I47" s="95"/>
      <c r="J47" s="175">
        <f>H47/DAY(B2)</f>
        <v>0</v>
      </c>
      <c r="K47" s="79"/>
      <c r="L47" s="66"/>
      <c r="N47" s="87"/>
      <c r="O47" s="71"/>
    </row>
    <row r="48" spans="1:15" ht="33" customHeight="1" x14ac:dyDescent="0.5">
      <c r="A48" s="201" t="s">
        <v>173</v>
      </c>
      <c r="B48" s="202"/>
      <c r="C48" s="202"/>
      <c r="D48" s="109"/>
      <c r="E48" s="146"/>
      <c r="F48" s="146"/>
      <c r="G48" s="119">
        <f>G36+G37+G38+G39+G40+G41+G42+G43+G44+G45+G46+G47</f>
        <v>14863</v>
      </c>
      <c r="H48" s="99">
        <f>G48+'30'!H47</f>
        <v>1057477</v>
      </c>
      <c r="I48" s="95"/>
      <c r="J48" s="175">
        <f>H48/DAY(B2)</f>
        <v>34112.161290322583</v>
      </c>
      <c r="K48" s="79"/>
      <c r="L48" s="66"/>
      <c r="N48" s="87"/>
      <c r="O48" s="71"/>
    </row>
    <row r="49" spans="1:15" ht="33" customHeight="1" x14ac:dyDescent="0.5">
      <c r="A49" s="214" t="s">
        <v>174</v>
      </c>
      <c r="B49" s="326"/>
      <c r="C49" s="326"/>
      <c r="D49" s="111"/>
      <c r="E49" s="110"/>
      <c r="F49" s="110"/>
      <c r="G49" s="111"/>
      <c r="H49" s="111"/>
      <c r="I49" s="111"/>
      <c r="J49" s="174"/>
      <c r="K49" s="79"/>
      <c r="L49" s="66"/>
      <c r="N49" s="87"/>
      <c r="O49" s="71"/>
    </row>
    <row r="50" spans="1:15" ht="33" customHeight="1" x14ac:dyDescent="0.4">
      <c r="A50" s="194" t="s">
        <v>161</v>
      </c>
      <c r="B50" s="217"/>
      <c r="C50" s="217"/>
      <c r="D50" s="151" t="s">
        <v>130</v>
      </c>
      <c r="E50" s="95">
        <f>'30'!F49</f>
        <v>270808</v>
      </c>
      <c r="F50" s="145">
        <v>419822</v>
      </c>
      <c r="G50" s="112">
        <f t="shared" ref="G50:G59" si="3">F50-E50</f>
        <v>149014</v>
      </c>
      <c r="H50" s="99">
        <f>G50+'30'!H49</f>
        <v>432943</v>
      </c>
      <c r="I50" s="95"/>
      <c r="J50" s="175">
        <f>H50/DAY(B2)</f>
        <v>13965.903225806451</v>
      </c>
      <c r="K50" s="79"/>
      <c r="L50" s="66"/>
      <c r="N50" s="87"/>
      <c r="O50" s="71"/>
    </row>
    <row r="51" spans="1:15" ht="33" customHeight="1" x14ac:dyDescent="0.4">
      <c r="A51" s="194" t="s">
        <v>175</v>
      </c>
      <c r="B51" s="217"/>
      <c r="C51" s="217"/>
      <c r="D51" s="151" t="s">
        <v>130</v>
      </c>
      <c r="E51" s="95">
        <f>'30'!F50</f>
        <v>23571</v>
      </c>
      <c r="F51" s="145">
        <v>607298</v>
      </c>
      <c r="G51" s="112">
        <f t="shared" si="3"/>
        <v>583727</v>
      </c>
      <c r="H51" s="99">
        <f>G51+'30'!H50</f>
        <v>582648</v>
      </c>
      <c r="I51" s="95"/>
      <c r="J51" s="175">
        <f>H51/DAY(B2)</f>
        <v>18795.096774193549</v>
      </c>
      <c r="K51" s="79"/>
      <c r="L51" s="66"/>
      <c r="N51" s="87"/>
      <c r="O51" s="71"/>
    </row>
    <row r="52" spans="1:15" ht="33" customHeight="1" x14ac:dyDescent="0.4">
      <c r="A52" s="194" t="s">
        <v>163</v>
      </c>
      <c r="B52" s="217"/>
      <c r="C52" s="217"/>
      <c r="D52" s="151" t="s">
        <v>130</v>
      </c>
      <c r="E52" s="95">
        <f>'30'!F51</f>
        <v>0</v>
      </c>
      <c r="F52" s="145">
        <v>144640</v>
      </c>
      <c r="G52" s="112">
        <f t="shared" si="3"/>
        <v>144640</v>
      </c>
      <c r="H52" s="99">
        <f>G52+'30'!H51</f>
        <v>144640</v>
      </c>
      <c r="I52" s="95"/>
      <c r="J52" s="175">
        <f>H52/DAY(B2)</f>
        <v>4665.8064516129034</v>
      </c>
      <c r="K52" s="79"/>
      <c r="L52" s="66"/>
      <c r="N52" s="87"/>
      <c r="O52" s="71"/>
    </row>
    <row r="53" spans="1:15" ht="33" customHeight="1" x14ac:dyDescent="0.4">
      <c r="A53" s="194" t="s">
        <v>176</v>
      </c>
      <c r="B53" s="217"/>
      <c r="C53" s="217"/>
      <c r="D53" s="151" t="s">
        <v>130</v>
      </c>
      <c r="E53" s="95">
        <f>'30'!F52</f>
        <v>0</v>
      </c>
      <c r="F53" s="145">
        <v>539606</v>
      </c>
      <c r="G53" s="112">
        <f t="shared" si="3"/>
        <v>539606</v>
      </c>
      <c r="H53" s="99">
        <f>G53+'30'!H52</f>
        <v>539606</v>
      </c>
      <c r="I53" s="95"/>
      <c r="J53" s="175">
        <f>H53/DAY(B2)</f>
        <v>17406.645161290322</v>
      </c>
      <c r="K53" s="79"/>
      <c r="L53" s="66"/>
      <c r="N53" s="87"/>
      <c r="O53" s="71"/>
    </row>
    <row r="54" spans="1:15" ht="33" customHeight="1" x14ac:dyDescent="0.4">
      <c r="A54" s="194" t="s">
        <v>165</v>
      </c>
      <c r="B54" s="217"/>
      <c r="C54" s="217"/>
      <c r="D54" s="151" t="s">
        <v>130</v>
      </c>
      <c r="E54" s="95">
        <f>'30'!F53</f>
        <v>0</v>
      </c>
      <c r="F54" s="145">
        <v>434232</v>
      </c>
      <c r="G54" s="112">
        <f t="shared" si="3"/>
        <v>434232</v>
      </c>
      <c r="H54" s="99">
        <f>G54+'30'!H53</f>
        <v>434232</v>
      </c>
      <c r="I54" s="95"/>
      <c r="J54" s="175">
        <f>H54/DAY(B2)</f>
        <v>14007.483870967742</v>
      </c>
      <c r="K54" s="79"/>
      <c r="L54" s="66"/>
      <c r="N54" s="87"/>
      <c r="O54" s="71"/>
    </row>
    <row r="55" spans="1:15" ht="33" customHeight="1" x14ac:dyDescent="0.4">
      <c r="A55" s="194" t="s">
        <v>177</v>
      </c>
      <c r="B55" s="217"/>
      <c r="C55" s="217"/>
      <c r="D55" s="151" t="s">
        <v>130</v>
      </c>
      <c r="E55" s="95">
        <f>'30'!F54</f>
        <v>3179</v>
      </c>
      <c r="F55" s="145">
        <v>14967</v>
      </c>
      <c r="G55" s="112">
        <f t="shared" si="3"/>
        <v>11788</v>
      </c>
      <c r="H55" s="99">
        <f>G55+'30'!H54</f>
        <v>16734.080000000002</v>
      </c>
      <c r="I55" s="95"/>
      <c r="J55" s="175">
        <f>H55/DAY(B2)</f>
        <v>539.80903225806458</v>
      </c>
      <c r="K55" s="79"/>
      <c r="L55" s="66"/>
      <c r="N55" s="87"/>
      <c r="O55" s="71"/>
    </row>
    <row r="56" spans="1:15" ht="33" customHeight="1" x14ac:dyDescent="0.4">
      <c r="A56" s="194" t="s">
        <v>178</v>
      </c>
      <c r="B56" s="217"/>
      <c r="C56" s="217"/>
      <c r="D56" s="151" t="s">
        <v>130</v>
      </c>
      <c r="E56" s="95">
        <f>'30'!F55</f>
        <v>2254</v>
      </c>
      <c r="F56" s="145">
        <v>306268.99</v>
      </c>
      <c r="G56" s="112">
        <f t="shared" si="3"/>
        <v>304014.99</v>
      </c>
      <c r="H56" s="99">
        <f>G56+'30'!H55</f>
        <v>302757.99</v>
      </c>
      <c r="I56" s="95"/>
      <c r="J56" s="175">
        <f>H56/DAY(B2)</f>
        <v>9766.3867741935483</v>
      </c>
      <c r="K56" s="79"/>
      <c r="L56" s="66"/>
      <c r="N56" s="87"/>
      <c r="O56" s="71"/>
    </row>
    <row r="57" spans="1:15" ht="33" customHeight="1" x14ac:dyDescent="0.4">
      <c r="A57" s="194" t="s">
        <v>179</v>
      </c>
      <c r="B57" s="217"/>
      <c r="C57" s="217"/>
      <c r="D57" s="151" t="s">
        <v>180</v>
      </c>
      <c r="E57" s="95">
        <f>'30'!F56</f>
        <v>8610.5400000000009</v>
      </c>
      <c r="F57" s="145">
        <v>661019</v>
      </c>
      <c r="G57" s="112">
        <f t="shared" si="3"/>
        <v>652408.46</v>
      </c>
      <c r="H57" s="99">
        <f>G57+'30'!H56</f>
        <v>652408.46</v>
      </c>
      <c r="I57" s="95"/>
      <c r="J57" s="175">
        <f>H57/DAY(B2)</f>
        <v>21045.434193548386</v>
      </c>
      <c r="K57" s="78"/>
      <c r="L57" s="66"/>
      <c r="N57" s="87"/>
      <c r="O57" s="71"/>
    </row>
    <row r="58" spans="1:15" ht="33" customHeight="1" x14ac:dyDescent="0.4">
      <c r="A58" s="194" t="s">
        <v>169</v>
      </c>
      <c r="B58" s="217"/>
      <c r="C58" s="217"/>
      <c r="D58" s="151" t="s">
        <v>130</v>
      </c>
      <c r="E58" s="95">
        <f>'30'!F57</f>
        <v>0</v>
      </c>
      <c r="F58" s="145">
        <v>7711</v>
      </c>
      <c r="G58" s="112">
        <f t="shared" si="3"/>
        <v>7711</v>
      </c>
      <c r="H58" s="99">
        <f>G58+'30'!H57</f>
        <v>7711</v>
      </c>
      <c r="I58" s="95"/>
      <c r="J58" s="175">
        <f>H58/DAY(B2)</f>
        <v>248.74193548387098</v>
      </c>
      <c r="K58" s="79"/>
      <c r="L58" s="66"/>
      <c r="N58" s="87"/>
      <c r="O58" s="71"/>
    </row>
    <row r="59" spans="1:15" ht="33" customHeight="1" x14ac:dyDescent="0.4">
      <c r="A59" s="194" t="s">
        <v>181</v>
      </c>
      <c r="B59" s="217"/>
      <c r="C59" s="217"/>
      <c r="D59" s="151" t="s">
        <v>130</v>
      </c>
      <c r="E59" s="95">
        <f>'30'!F58</f>
        <v>92071</v>
      </c>
      <c r="F59" s="145">
        <v>66014</v>
      </c>
      <c r="G59" s="112">
        <f t="shared" si="3"/>
        <v>-26057</v>
      </c>
      <c r="H59" s="99">
        <f>G59+'30'!H58</f>
        <v>66354.63</v>
      </c>
      <c r="I59" s="95"/>
      <c r="J59" s="175">
        <f>H59/DAY(B2)</f>
        <v>2140.4719354838712</v>
      </c>
      <c r="K59" s="79"/>
      <c r="L59" s="66"/>
      <c r="N59" s="87"/>
      <c r="O59" s="71"/>
    </row>
    <row r="60" spans="1:15" ht="33" customHeight="1" x14ac:dyDescent="0.5">
      <c r="A60" s="201" t="s">
        <v>173</v>
      </c>
      <c r="B60" s="202"/>
      <c r="C60" s="202"/>
      <c r="D60" s="146"/>
      <c r="E60" s="146"/>
      <c r="F60" s="146"/>
      <c r="G60" s="119">
        <f>G50+G51+G52+G53+G54+G55+G56+G57+G58+G59</f>
        <v>2801084.45</v>
      </c>
      <c r="H60" s="99">
        <f>G60+'30'!H59</f>
        <v>3180035.16</v>
      </c>
      <c r="I60" s="95">
        <f>G7-G61</f>
        <v>-2815947.45</v>
      </c>
      <c r="J60" s="175">
        <f>H60/DAY(B2)</f>
        <v>102581.77935483871</v>
      </c>
      <c r="K60" s="79"/>
      <c r="L60" s="66"/>
      <c r="N60" s="87"/>
      <c r="O60" s="71"/>
    </row>
    <row r="61" spans="1:15" ht="33" customHeight="1" x14ac:dyDescent="0.4">
      <c r="A61" s="194"/>
      <c r="B61" s="195"/>
      <c r="C61" s="195"/>
      <c r="D61" s="146" t="s">
        <v>182</v>
      </c>
      <c r="E61" s="146"/>
      <c r="F61" s="146"/>
      <c r="G61" s="119">
        <f>G48+G60</f>
        <v>2815947.45</v>
      </c>
      <c r="H61" s="99">
        <f>G61+'30'!H60</f>
        <v>4237512.16</v>
      </c>
      <c r="I61" s="95">
        <f>G14-G61</f>
        <v>-2815947.45</v>
      </c>
      <c r="J61" s="175">
        <f>H61/DAY(B2)</f>
        <v>136693.94064516129</v>
      </c>
      <c r="K61" s="79"/>
      <c r="L61" s="66"/>
      <c r="N61" s="87"/>
      <c r="O61" s="71"/>
    </row>
    <row r="62" spans="1:15" s="68" customFormat="1" ht="33" customHeight="1" x14ac:dyDescent="0.5">
      <c r="A62" s="837" t="s">
        <v>332</v>
      </c>
      <c r="B62" s="838"/>
      <c r="C62" s="839"/>
      <c r="D62" s="339"/>
      <c r="E62" s="339"/>
      <c r="F62" s="339"/>
      <c r="G62" s="340"/>
      <c r="H62" s="339"/>
      <c r="I62" s="339"/>
      <c r="J62" s="341"/>
      <c r="K62" s="69"/>
      <c r="L62" s="67"/>
      <c r="N62" s="87"/>
      <c r="O62" s="71"/>
    </row>
    <row r="63" spans="1:15" ht="33" customHeight="1" x14ac:dyDescent="0.5">
      <c r="A63" s="818" t="s">
        <v>198</v>
      </c>
      <c r="B63" s="819"/>
      <c r="C63" s="820"/>
      <c r="D63" s="151" t="s">
        <v>142</v>
      </c>
      <c r="E63" s="95">
        <f>'30'!F93</f>
        <v>0</v>
      </c>
      <c r="F63" s="122">
        <v>253452</v>
      </c>
      <c r="G63" s="112">
        <f t="shared" ref="G63:G64" si="4">F63-E63</f>
        <v>253452</v>
      </c>
      <c r="H63" s="99">
        <f>G63+'30'!H93</f>
        <v>253452</v>
      </c>
      <c r="I63" s="118"/>
      <c r="J63" s="175">
        <f>H63/DAY(B2)</f>
        <v>8175.8709677419356</v>
      </c>
      <c r="K63" s="80"/>
      <c r="L63" s="66"/>
      <c r="N63" s="87"/>
      <c r="O63" s="71"/>
    </row>
    <row r="64" spans="1:15" ht="33" customHeight="1" x14ac:dyDescent="0.5">
      <c r="A64" s="818" t="s">
        <v>199</v>
      </c>
      <c r="B64" s="819"/>
      <c r="C64" s="820"/>
      <c r="D64" s="151" t="s">
        <v>142</v>
      </c>
      <c r="E64" s="95">
        <f>'30'!F94</f>
        <v>0</v>
      </c>
      <c r="F64" s="122">
        <v>197659</v>
      </c>
      <c r="G64" s="112">
        <f t="shared" si="4"/>
        <v>197659</v>
      </c>
      <c r="H64" s="99">
        <f>G64+'30'!H94</f>
        <v>645130</v>
      </c>
      <c r="I64" s="118"/>
      <c r="J64" s="175">
        <f>H64/DAY(B2)</f>
        <v>20810.645161290322</v>
      </c>
      <c r="K64" s="69"/>
      <c r="L64" s="66"/>
      <c r="N64" s="87"/>
      <c r="O64" s="71"/>
    </row>
    <row r="65" spans="1:15" ht="33" customHeight="1" x14ac:dyDescent="0.5">
      <c r="A65" s="815" t="s">
        <v>200</v>
      </c>
      <c r="B65" s="816"/>
      <c r="C65" s="817"/>
      <c r="D65" s="151"/>
      <c r="E65" s="122"/>
      <c r="F65" s="122"/>
      <c r="G65" s="112">
        <f>G63+G64</f>
        <v>451111</v>
      </c>
      <c r="H65" s="99">
        <f>G65+'30'!H95</f>
        <v>451131.66678050376</v>
      </c>
      <c r="I65" s="118"/>
      <c r="J65" s="175">
        <f>H65/DAY(B2)</f>
        <v>14552.634412274314</v>
      </c>
      <c r="K65" s="69"/>
      <c r="L65" s="66"/>
      <c r="N65" s="87"/>
      <c r="O65" s="71"/>
    </row>
    <row r="66" spans="1:15" ht="33" customHeight="1" x14ac:dyDescent="0.5">
      <c r="A66" s="818" t="s">
        <v>201</v>
      </c>
      <c r="B66" s="819"/>
      <c r="C66" s="820"/>
      <c r="D66" s="151" t="s">
        <v>142</v>
      </c>
      <c r="E66" s="95">
        <f>'30'!F96</f>
        <v>0</v>
      </c>
      <c r="F66" s="122">
        <v>421019</v>
      </c>
      <c r="G66" s="112">
        <f t="shared" ref="G66:G71" si="5">F66-E66</f>
        <v>421019</v>
      </c>
      <c r="H66" s="99">
        <f>G66+'30'!H96</f>
        <v>419762</v>
      </c>
      <c r="I66" s="118"/>
      <c r="J66" s="175">
        <f>H66/DAY(B2)</f>
        <v>13540.709677419354</v>
      </c>
      <c r="K66" s="69"/>
      <c r="L66" s="66"/>
      <c r="N66" s="87"/>
      <c r="O66" s="71"/>
    </row>
    <row r="67" spans="1:15" ht="33" customHeight="1" x14ac:dyDescent="0.5">
      <c r="A67" s="322" t="s">
        <v>202</v>
      </c>
      <c r="B67" s="323"/>
      <c r="C67" s="323"/>
      <c r="D67" s="151" t="s">
        <v>142</v>
      </c>
      <c r="E67" s="95">
        <f>'30'!F97</f>
        <v>0</v>
      </c>
      <c r="F67" s="122">
        <v>104636</v>
      </c>
      <c r="G67" s="112">
        <f t="shared" si="5"/>
        <v>104636</v>
      </c>
      <c r="H67" s="99">
        <f>G67+'30'!H97</f>
        <v>104636.90778046859</v>
      </c>
      <c r="I67" s="118"/>
      <c r="J67" s="175">
        <f>H67/DAY(B2)</f>
        <v>3375.3841219505998</v>
      </c>
      <c r="K67" s="78"/>
      <c r="L67" s="66"/>
      <c r="N67" s="87"/>
      <c r="O67" s="71"/>
    </row>
    <row r="68" spans="1:15" ht="33" customHeight="1" x14ac:dyDescent="0.5">
      <c r="A68" s="322" t="s">
        <v>203</v>
      </c>
      <c r="B68" s="323"/>
      <c r="C68" s="323"/>
      <c r="D68" s="151" t="s">
        <v>142</v>
      </c>
      <c r="E68" s="95">
        <f>'30'!F98</f>
        <v>0</v>
      </c>
      <c r="F68" s="122">
        <v>100370</v>
      </c>
      <c r="G68" s="112">
        <f t="shared" si="5"/>
        <v>100370</v>
      </c>
      <c r="H68" s="99">
        <f>G68+'30'!H98</f>
        <v>530369</v>
      </c>
      <c r="I68" s="118"/>
      <c r="J68" s="175">
        <f>H68/DAY(B2)</f>
        <v>17108.677419354837</v>
      </c>
      <c r="K68" s="81"/>
      <c r="L68" s="66"/>
      <c r="N68" s="87"/>
      <c r="O68" s="71"/>
    </row>
    <row r="69" spans="1:15" ht="33" customHeight="1" x14ac:dyDescent="0.5">
      <c r="A69" s="322" t="s">
        <v>204</v>
      </c>
      <c r="B69" s="323"/>
      <c r="C69" s="323"/>
      <c r="D69" s="151" t="s">
        <v>142</v>
      </c>
      <c r="E69" s="95">
        <f>'30'!F99</f>
        <v>0</v>
      </c>
      <c r="F69" s="122">
        <v>152135</v>
      </c>
      <c r="G69" s="112">
        <f t="shared" si="5"/>
        <v>152135</v>
      </c>
      <c r="H69" s="99">
        <f>G69+'30'!H99</f>
        <v>152154.15299135249</v>
      </c>
      <c r="I69" s="118"/>
      <c r="J69" s="175">
        <f>H69/DAY(B2)</f>
        <v>4908.1984835920157</v>
      </c>
      <c r="K69" s="69"/>
      <c r="L69" s="66"/>
      <c r="N69" s="87"/>
      <c r="O69" s="71"/>
    </row>
    <row r="70" spans="1:15" ht="33" customHeight="1" x14ac:dyDescent="0.5">
      <c r="A70" s="322" t="s">
        <v>205</v>
      </c>
      <c r="B70" s="323"/>
      <c r="C70" s="323"/>
      <c r="D70" s="151" t="s">
        <v>142</v>
      </c>
      <c r="E70" s="95">
        <f>'30'!F100</f>
        <v>0</v>
      </c>
      <c r="F70" s="122">
        <v>8645</v>
      </c>
      <c r="G70" s="112">
        <f t="shared" si="5"/>
        <v>8645</v>
      </c>
      <c r="H70" s="99">
        <f>G70+'30'!H100</f>
        <v>252576</v>
      </c>
      <c r="I70" s="118"/>
      <c r="J70" s="175">
        <f>H70/DAY(B2)</f>
        <v>8147.6129032258068</v>
      </c>
      <c r="K70" s="69"/>
      <c r="L70" s="66"/>
      <c r="N70" s="87"/>
      <c r="O70" s="71"/>
    </row>
    <row r="71" spans="1:15" ht="33" customHeight="1" x14ac:dyDescent="0.5">
      <c r="A71" s="322" t="s">
        <v>206</v>
      </c>
      <c r="B71" s="323"/>
      <c r="C71" s="323"/>
      <c r="D71" s="151" t="s">
        <v>142</v>
      </c>
      <c r="E71" s="95">
        <f>'30'!F101</f>
        <v>0</v>
      </c>
      <c r="F71" s="122">
        <v>6373</v>
      </c>
      <c r="G71" s="112">
        <f t="shared" si="5"/>
        <v>6373</v>
      </c>
      <c r="H71" s="99">
        <f>G71+'30'!H101</f>
        <v>6383.9234657769102</v>
      </c>
      <c r="I71" s="118"/>
      <c r="J71" s="175">
        <f>H71/DAY(B2)</f>
        <v>205.93301502506162</v>
      </c>
      <c r="K71" s="69"/>
      <c r="L71" s="66"/>
      <c r="N71" s="87"/>
      <c r="O71" s="71"/>
    </row>
    <row r="72" spans="1:15" ht="33" customHeight="1" x14ac:dyDescent="0.5">
      <c r="A72" s="815" t="s">
        <v>208</v>
      </c>
      <c r="B72" s="816"/>
      <c r="C72" s="817"/>
      <c r="D72" s="152"/>
      <c r="E72" s="152"/>
      <c r="F72" s="152"/>
      <c r="G72" s="153">
        <f>SUM(G66:G71)</f>
        <v>793178</v>
      </c>
      <c r="H72" s="99">
        <f>G72+'30'!H102</f>
        <v>791242</v>
      </c>
      <c r="I72" s="154"/>
      <c r="J72" s="175">
        <f>H72/DAY(B2)</f>
        <v>25523.935483870966</v>
      </c>
      <c r="K72" s="69"/>
      <c r="L72" s="66"/>
      <c r="N72" s="87"/>
      <c r="O72" s="71"/>
    </row>
    <row r="73" spans="1:15" s="88" customFormat="1" ht="33" customHeight="1" x14ac:dyDescent="0.5">
      <c r="A73" s="861"/>
      <c r="B73" s="853"/>
      <c r="C73" s="321"/>
      <c r="D73" s="180"/>
      <c r="E73" s="180" t="s">
        <v>207</v>
      </c>
      <c r="F73" s="180"/>
      <c r="G73" s="180"/>
      <c r="H73" s="181"/>
      <c r="I73" s="180"/>
      <c r="J73" s="182"/>
      <c r="N73" s="87"/>
      <c r="O73" s="71"/>
    </row>
    <row r="74" spans="1:15" ht="33" customHeight="1" x14ac:dyDescent="0.5">
      <c r="A74" s="866" t="s">
        <v>333</v>
      </c>
      <c r="B74" s="867"/>
      <c r="C74" s="868"/>
      <c r="D74" s="339"/>
      <c r="E74" s="339"/>
      <c r="F74" s="339"/>
      <c r="G74" s="342"/>
      <c r="H74" s="342"/>
      <c r="I74" s="342"/>
      <c r="J74" s="343"/>
      <c r="K74" s="69"/>
      <c r="L74" s="66"/>
      <c r="N74" s="87"/>
      <c r="O74" s="71"/>
    </row>
    <row r="75" spans="1:15" ht="33" customHeight="1" x14ac:dyDescent="0.5">
      <c r="A75" s="818" t="s">
        <v>220</v>
      </c>
      <c r="B75" s="819"/>
      <c r="C75" s="820"/>
      <c r="D75" s="151" t="s">
        <v>139</v>
      </c>
      <c r="E75" s="95">
        <f>'30'!F124</f>
        <v>0</v>
      </c>
      <c r="F75" s="117">
        <v>856352</v>
      </c>
      <c r="G75" s="112">
        <f t="shared" ref="G75:G79" si="6">F75-E75</f>
        <v>856352</v>
      </c>
      <c r="H75" s="99">
        <f>G75+'30'!H124</f>
        <v>856352</v>
      </c>
      <c r="I75" s="154"/>
      <c r="J75" s="175">
        <f>H75/DAY(B2)</f>
        <v>27624.258064516129</v>
      </c>
      <c r="K75" s="69"/>
      <c r="L75" s="66"/>
      <c r="N75" s="87"/>
      <c r="O75" s="71"/>
    </row>
    <row r="76" spans="1:15" ht="33" customHeight="1" x14ac:dyDescent="0.5">
      <c r="A76" s="818" t="s">
        <v>221</v>
      </c>
      <c r="B76" s="819"/>
      <c r="C76" s="820"/>
      <c r="D76" s="151" t="s">
        <v>139</v>
      </c>
      <c r="E76" s="95">
        <f>'30'!F125</f>
        <v>0</v>
      </c>
      <c r="F76" s="232">
        <v>73583.399999999994</v>
      </c>
      <c r="G76" s="112">
        <f t="shared" si="6"/>
        <v>73583.399999999994</v>
      </c>
      <c r="H76" s="99">
        <f>G76+'30'!H125</f>
        <v>73583.399999999994</v>
      </c>
      <c r="I76" s="154"/>
      <c r="J76" s="175">
        <f>H76/DAY(B2)</f>
        <v>2373.6580645161289</v>
      </c>
      <c r="K76" s="69"/>
      <c r="L76" s="66"/>
      <c r="N76" s="87"/>
      <c r="O76" s="71"/>
    </row>
    <row r="77" spans="1:15" ht="33" customHeight="1" x14ac:dyDescent="0.5">
      <c r="A77" s="862" t="s">
        <v>222</v>
      </c>
      <c r="B77" s="848"/>
      <c r="C77" s="849"/>
      <c r="D77" s="151" t="s">
        <v>139</v>
      </c>
      <c r="E77" s="95">
        <f>'30'!F126</f>
        <v>0</v>
      </c>
      <c r="F77" s="117">
        <v>154077</v>
      </c>
      <c r="G77" s="112">
        <f t="shared" si="6"/>
        <v>154077</v>
      </c>
      <c r="H77" s="99">
        <f>G77+'30'!H126</f>
        <v>154077</v>
      </c>
      <c r="I77" s="154"/>
      <c r="J77" s="175">
        <f>H77/DAY(B2)</f>
        <v>4970.2258064516127</v>
      </c>
      <c r="K77" s="69"/>
      <c r="L77" s="66"/>
      <c r="N77" s="87"/>
      <c r="O77" s="71"/>
    </row>
    <row r="78" spans="1:15" ht="33" customHeight="1" x14ac:dyDescent="0.5">
      <c r="A78" s="862" t="s">
        <v>223</v>
      </c>
      <c r="B78" s="848"/>
      <c r="C78" s="849"/>
      <c r="D78" s="151" t="s">
        <v>139</v>
      </c>
      <c r="E78" s="95">
        <f>'30'!F127</f>
        <v>0</v>
      </c>
      <c r="F78" s="232">
        <v>34629</v>
      </c>
      <c r="G78" s="112">
        <f t="shared" si="6"/>
        <v>34629</v>
      </c>
      <c r="H78" s="99">
        <f>G78+'30'!H127</f>
        <v>34629</v>
      </c>
      <c r="I78" s="154"/>
      <c r="J78" s="175">
        <f>H78/DAY(B2)</f>
        <v>1117.0645161290322</v>
      </c>
      <c r="K78" s="69"/>
      <c r="L78" s="66"/>
      <c r="N78" s="87"/>
      <c r="O78" s="71"/>
    </row>
    <row r="79" spans="1:15" ht="33" customHeight="1" x14ac:dyDescent="0.5">
      <c r="A79" s="862" t="s">
        <v>224</v>
      </c>
      <c r="B79" s="848"/>
      <c r="C79" s="849"/>
      <c r="D79" s="151" t="s">
        <v>139</v>
      </c>
      <c r="E79" s="95">
        <f>'30'!F128</f>
        <v>37627</v>
      </c>
      <c r="F79" s="232">
        <v>9180</v>
      </c>
      <c r="G79" s="112">
        <f t="shared" si="6"/>
        <v>-28447</v>
      </c>
      <c r="H79" s="99">
        <f>G79+'30'!H128</f>
        <v>-28824</v>
      </c>
      <c r="I79" s="118"/>
      <c r="J79" s="175">
        <f>H79/DAY(B2)</f>
        <v>-929.80645161290317</v>
      </c>
      <c r="K79" s="69"/>
      <c r="L79" s="66"/>
      <c r="N79" s="87"/>
      <c r="O79" s="71"/>
    </row>
    <row r="80" spans="1:15" s="57" customFormat="1" ht="33" customHeight="1" x14ac:dyDescent="0.5">
      <c r="A80" s="862" t="s">
        <v>225</v>
      </c>
      <c r="B80" s="848"/>
      <c r="C80" s="849"/>
      <c r="D80" s="151"/>
      <c r="E80" s="117"/>
      <c r="F80" s="117"/>
      <c r="G80" s="112">
        <f>G16-SUM(G75:G79)</f>
        <v>-1089445.3999999999</v>
      </c>
      <c r="H80" s="99">
        <f>G80+'30'!H129</f>
        <v>-1089652.3999999999</v>
      </c>
      <c r="I80" s="118"/>
      <c r="J80" s="175"/>
      <c r="K80" s="59"/>
      <c r="L80" s="58"/>
      <c r="N80" s="87"/>
      <c r="O80" s="71"/>
    </row>
    <row r="81" spans="1:15" s="57" customFormat="1" ht="33" customHeight="1" x14ac:dyDescent="0.5">
      <c r="A81" s="815" t="s">
        <v>329</v>
      </c>
      <c r="B81" s="816"/>
      <c r="C81" s="817"/>
      <c r="D81" s="151"/>
      <c r="E81" s="117"/>
      <c r="F81" s="117"/>
      <c r="G81" s="112">
        <f>SUM(G75:G80)</f>
        <v>749</v>
      </c>
      <c r="H81" s="99"/>
      <c r="I81" s="118"/>
      <c r="J81" s="175"/>
      <c r="K81" s="59"/>
      <c r="L81" s="58"/>
      <c r="N81" s="87"/>
      <c r="O81" s="71"/>
    </row>
    <row r="82" spans="1:15" ht="33" customHeight="1" x14ac:dyDescent="0.4">
      <c r="A82" s="854" t="s">
        <v>226</v>
      </c>
      <c r="B82" s="855"/>
      <c r="C82" s="856"/>
      <c r="D82" s="110"/>
      <c r="E82" s="110"/>
      <c r="F82" s="110"/>
      <c r="G82" s="163"/>
      <c r="H82" s="163"/>
      <c r="I82" s="163"/>
      <c r="J82" s="184"/>
      <c r="O82" s="71"/>
    </row>
    <row r="83" spans="1:15" ht="33" customHeight="1" x14ac:dyDescent="0.5">
      <c r="A83" s="322" t="s">
        <v>227</v>
      </c>
      <c r="B83" s="323"/>
      <c r="C83" s="323"/>
      <c r="D83" s="151" t="s">
        <v>228</v>
      </c>
      <c r="E83" s="95">
        <f>'30'!F131</f>
        <v>13076</v>
      </c>
      <c r="F83" s="122"/>
      <c r="G83" s="112">
        <f t="shared" ref="G83:G93" si="7">F83-E83</f>
        <v>-13076</v>
      </c>
      <c r="H83" s="99">
        <f>G83+'30'!H131</f>
        <v>-13153</v>
      </c>
      <c r="I83" s="118"/>
      <c r="J83" s="175">
        <f>H83/DAY(B2)</f>
        <v>-424.29032258064518</v>
      </c>
      <c r="O83" s="71"/>
    </row>
    <row r="84" spans="1:15" ht="33" customHeight="1" x14ac:dyDescent="0.5">
      <c r="A84" s="322" t="s">
        <v>229</v>
      </c>
      <c r="B84" s="323"/>
      <c r="C84" s="323"/>
      <c r="D84" s="151" t="s">
        <v>228</v>
      </c>
      <c r="E84" s="95">
        <f>'30'!F132</f>
        <v>40577</v>
      </c>
      <c r="F84" s="122"/>
      <c r="G84" s="112">
        <f t="shared" si="7"/>
        <v>-40577</v>
      </c>
      <c r="H84" s="99">
        <f>G84+'30'!H132</f>
        <v>-41023</v>
      </c>
      <c r="I84" s="118"/>
      <c r="J84" s="175">
        <f>H84/DAY(B2)</f>
        <v>-1323.3225806451612</v>
      </c>
      <c r="O84" s="71"/>
    </row>
    <row r="85" spans="1:15" ht="33" customHeight="1" x14ac:dyDescent="0.5">
      <c r="A85" s="322" t="s">
        <v>230</v>
      </c>
      <c r="B85" s="323"/>
      <c r="C85" s="323"/>
      <c r="D85" s="151" t="s">
        <v>228</v>
      </c>
      <c r="E85" s="95">
        <f>'30'!F133</f>
        <v>87056</v>
      </c>
      <c r="F85" s="164">
        <v>40922</v>
      </c>
      <c r="G85" s="112">
        <f t="shared" si="7"/>
        <v>-46134</v>
      </c>
      <c r="H85" s="99">
        <f>G85+'30'!H133</f>
        <v>-46781</v>
      </c>
      <c r="I85" s="118"/>
      <c r="J85" s="175">
        <f>H85/DAY(B2)</f>
        <v>-1509.0645161290322</v>
      </c>
      <c r="O85" s="71"/>
    </row>
    <row r="86" spans="1:15" ht="33" customHeight="1" x14ac:dyDescent="0.5">
      <c r="A86" s="322" t="s">
        <v>231</v>
      </c>
      <c r="B86" s="323"/>
      <c r="C86" s="323"/>
      <c r="D86" s="151" t="s">
        <v>228</v>
      </c>
      <c r="E86" s="95">
        <f>'30'!F134</f>
        <v>668262</v>
      </c>
      <c r="F86" s="164">
        <v>856</v>
      </c>
      <c r="G86" s="112">
        <f t="shared" si="7"/>
        <v>-667406</v>
      </c>
      <c r="H86" s="99">
        <f>G86+'30'!H134</f>
        <v>3150</v>
      </c>
      <c r="I86" s="118">
        <f>G83+G84+G85+G86</f>
        <v>-767193</v>
      </c>
      <c r="J86" s="175">
        <f>H86/DAY(B2)</f>
        <v>101.61290322580645</v>
      </c>
      <c r="O86" s="71"/>
    </row>
    <row r="87" spans="1:15" ht="33" customHeight="1" x14ac:dyDescent="0.5">
      <c r="A87" s="322" t="s">
        <v>232</v>
      </c>
      <c r="B87" s="323"/>
      <c r="C87" s="323"/>
      <c r="D87" s="151" t="s">
        <v>228</v>
      </c>
      <c r="E87" s="95">
        <f>'30'!F135</f>
        <v>0</v>
      </c>
      <c r="F87" s="164">
        <v>42822</v>
      </c>
      <c r="G87" s="112">
        <f t="shared" si="7"/>
        <v>42822</v>
      </c>
      <c r="H87" s="99">
        <f>G87+'30'!H135</f>
        <v>79456.889999999985</v>
      </c>
      <c r="I87" s="118"/>
      <c r="J87" s="175">
        <f>H87/DAY(B2)</f>
        <v>2563.1254838709674</v>
      </c>
      <c r="O87" s="71"/>
    </row>
    <row r="88" spans="1:15" ht="33" customHeight="1" x14ac:dyDescent="0.5">
      <c r="A88" s="322" t="s">
        <v>233</v>
      </c>
      <c r="B88" s="323"/>
      <c r="C88" s="323"/>
      <c r="D88" s="151" t="s">
        <v>228</v>
      </c>
      <c r="E88" s="95">
        <f>'30'!F136</f>
        <v>0</v>
      </c>
      <c r="F88" s="164">
        <v>32928</v>
      </c>
      <c r="G88" s="112">
        <f t="shared" si="7"/>
        <v>32928</v>
      </c>
      <c r="H88" s="99">
        <f>G88+'30'!H136</f>
        <v>32928</v>
      </c>
      <c r="I88" s="118"/>
      <c r="J88" s="175">
        <f>H88/DAY(B2)</f>
        <v>1062.1935483870968</v>
      </c>
      <c r="O88" s="71"/>
    </row>
    <row r="89" spans="1:15" ht="33" customHeight="1" x14ac:dyDescent="0.5">
      <c r="A89" s="322" t="s">
        <v>234</v>
      </c>
      <c r="B89" s="323"/>
      <c r="C89" s="323"/>
      <c r="D89" s="151" t="s">
        <v>228</v>
      </c>
      <c r="E89" s="95">
        <f>'30'!F137</f>
        <v>0</v>
      </c>
      <c r="F89" s="164">
        <v>23356.43</v>
      </c>
      <c r="G89" s="112">
        <f t="shared" si="7"/>
        <v>23356.43</v>
      </c>
      <c r="H89" s="99">
        <f>G89+'30'!H137</f>
        <v>23356.43</v>
      </c>
      <c r="I89" s="118">
        <f>G87+G88+G89</f>
        <v>99106.43</v>
      </c>
      <c r="J89" s="175">
        <f>H89/DAY(B2)</f>
        <v>753.43322580645167</v>
      </c>
      <c r="O89" s="71"/>
    </row>
    <row r="90" spans="1:15" ht="33" customHeight="1" x14ac:dyDescent="0.5">
      <c r="A90" s="322" t="s">
        <v>235</v>
      </c>
      <c r="B90" s="323"/>
      <c r="C90" s="323"/>
      <c r="D90" s="151" t="s">
        <v>228</v>
      </c>
      <c r="E90" s="95">
        <f>'30'!F138</f>
        <v>864069</v>
      </c>
      <c r="F90" s="164">
        <v>25132.959999999999</v>
      </c>
      <c r="G90" s="112">
        <f t="shared" si="7"/>
        <v>-838936.04</v>
      </c>
      <c r="H90" s="99">
        <f>G90+'30'!H138</f>
        <v>-839038.04</v>
      </c>
      <c r="I90" s="118"/>
      <c r="J90" s="175">
        <f>H90/DAY(B2)</f>
        <v>-27065.743225806455</v>
      </c>
      <c r="O90" s="71"/>
    </row>
    <row r="91" spans="1:15" ht="33" customHeight="1" x14ac:dyDescent="0.5">
      <c r="A91" s="322" t="s">
        <v>236</v>
      </c>
      <c r="B91" s="323"/>
      <c r="C91" s="323"/>
      <c r="D91" s="151" t="s">
        <v>228</v>
      </c>
      <c r="E91" s="95">
        <f>'30'!F139</f>
        <v>886546</v>
      </c>
      <c r="F91" s="164">
        <v>70524.55</v>
      </c>
      <c r="G91" s="112">
        <f t="shared" si="7"/>
        <v>-816021.45</v>
      </c>
      <c r="H91" s="99">
        <f>G91+'30'!H139</f>
        <v>-816021.45</v>
      </c>
      <c r="I91" s="118">
        <f>G90+G91</f>
        <v>-1654957.49</v>
      </c>
      <c r="J91" s="175">
        <f>H91/DAY(B2)</f>
        <v>-26323.27258064516</v>
      </c>
      <c r="O91" s="71"/>
    </row>
    <row r="92" spans="1:15" ht="33" customHeight="1" x14ac:dyDescent="0.5">
      <c r="A92" s="322" t="s">
        <v>237</v>
      </c>
      <c r="B92" s="323"/>
      <c r="C92" s="323"/>
      <c r="D92" s="151" t="s">
        <v>228</v>
      </c>
      <c r="E92" s="95">
        <f>'30'!F140</f>
        <v>88882</v>
      </c>
      <c r="F92" s="122">
        <v>2627.98</v>
      </c>
      <c r="G92" s="112">
        <f t="shared" si="7"/>
        <v>-86254.02</v>
      </c>
      <c r="H92" s="99">
        <f>G92+'30'!H140</f>
        <v>-86254.02</v>
      </c>
      <c r="I92" s="165"/>
      <c r="J92" s="175">
        <f>H92/DAY(B2)</f>
        <v>-2782.387741935484</v>
      </c>
      <c r="O92" s="71"/>
    </row>
    <row r="93" spans="1:15" ht="33" customHeight="1" x14ac:dyDescent="0.5">
      <c r="A93" s="322" t="s">
        <v>238</v>
      </c>
      <c r="B93" s="323"/>
      <c r="C93" s="323"/>
      <c r="D93" s="151" t="s">
        <v>228</v>
      </c>
      <c r="E93" s="95">
        <f>'30'!F141</f>
        <v>49098</v>
      </c>
      <c r="F93" s="122">
        <v>4754</v>
      </c>
      <c r="G93" s="112">
        <f t="shared" si="7"/>
        <v>-44344</v>
      </c>
      <c r="H93" s="99">
        <f>G93+'30'!H141</f>
        <v>-44552</v>
      </c>
      <c r="I93" s="165"/>
      <c r="J93" s="175">
        <f>H93/DAY(B2)</f>
        <v>-1437.1612903225807</v>
      </c>
      <c r="O93" s="71"/>
    </row>
    <row r="94" spans="1:15" ht="33" customHeight="1" x14ac:dyDescent="0.5">
      <c r="A94" s="863" t="s">
        <v>239</v>
      </c>
      <c r="B94" s="864"/>
      <c r="C94" s="865"/>
      <c r="D94" s="111"/>
      <c r="E94" s="111"/>
      <c r="F94" s="111"/>
      <c r="G94" s="121"/>
      <c r="H94" s="121"/>
      <c r="I94" s="121"/>
      <c r="J94" s="183"/>
      <c r="K94" s="69"/>
      <c r="L94" s="66"/>
      <c r="O94" s="71"/>
    </row>
    <row r="95" spans="1:15" ht="33" customHeight="1" x14ac:dyDescent="0.5">
      <c r="A95" s="818" t="s">
        <v>240</v>
      </c>
      <c r="B95" s="819"/>
      <c r="C95" s="820"/>
      <c r="D95" s="151" t="s">
        <v>130</v>
      </c>
      <c r="E95" s="151"/>
      <c r="F95" s="151"/>
      <c r="G95" s="99">
        <f>G36+G44+G50+G58</f>
        <v>159220</v>
      </c>
      <c r="H95" s="99">
        <f>G95+'30'!H143</f>
        <v>159199</v>
      </c>
      <c r="I95" s="118"/>
      <c r="J95" s="175">
        <f>H95/DAY(B2)</f>
        <v>5135.4516129032254</v>
      </c>
      <c r="K95" s="69"/>
      <c r="L95" s="66"/>
      <c r="O95" s="71"/>
    </row>
    <row r="96" spans="1:15" ht="33" customHeight="1" x14ac:dyDescent="0.5">
      <c r="A96" s="818" t="s">
        <v>241</v>
      </c>
      <c r="B96" s="819"/>
      <c r="C96" s="820"/>
      <c r="D96" s="151" t="s">
        <v>23</v>
      </c>
      <c r="E96" s="146"/>
      <c r="F96" s="146"/>
      <c r="G96" s="166" t="e">
        <f>G95/G7</f>
        <v>#DIV/0!</v>
      </c>
      <c r="H96" s="99" t="e">
        <f>G96+'30'!H144</f>
        <v>#DIV/0!</v>
      </c>
      <c r="I96" s="167"/>
      <c r="J96" s="175" t="e">
        <f>H96/DAY(B2)</f>
        <v>#DIV/0!</v>
      </c>
      <c r="K96" s="69"/>
      <c r="L96" s="66"/>
      <c r="O96" s="71"/>
    </row>
    <row r="97" spans="1:15" ht="33" customHeight="1" x14ac:dyDescent="0.5">
      <c r="A97" s="818" t="s">
        <v>242</v>
      </c>
      <c r="B97" s="819"/>
      <c r="C97" s="820"/>
      <c r="D97" s="151" t="s">
        <v>130</v>
      </c>
      <c r="E97" s="95"/>
      <c r="F97" s="95"/>
      <c r="G97" s="99">
        <f>G42+G43+G56+G57</f>
        <v>961028.45</v>
      </c>
      <c r="H97" s="99">
        <f>G97+'30'!H145</f>
        <v>961014.45</v>
      </c>
      <c r="I97" s="118"/>
      <c r="J97" s="175">
        <f>H97/DAY(B2)</f>
        <v>31000.466129032258</v>
      </c>
      <c r="K97" s="69"/>
      <c r="L97" s="66"/>
      <c r="O97" s="71"/>
    </row>
    <row r="98" spans="1:15" ht="33" customHeight="1" x14ac:dyDescent="0.5">
      <c r="A98" s="818" t="s">
        <v>243</v>
      </c>
      <c r="B98" s="819"/>
      <c r="C98" s="820"/>
      <c r="D98" s="151" t="s">
        <v>23</v>
      </c>
      <c r="E98" s="95"/>
      <c r="F98" s="95"/>
      <c r="G98" s="166" t="e">
        <f>G97/G7</f>
        <v>#DIV/0!</v>
      </c>
      <c r="H98" s="99" t="e">
        <f>G98+'30'!H146</f>
        <v>#DIV/0!</v>
      </c>
      <c r="I98" s="167"/>
      <c r="J98" s="175" t="e">
        <f>H98/DAY(B2)</f>
        <v>#DIV/0!</v>
      </c>
      <c r="K98" s="69"/>
      <c r="L98" s="66"/>
      <c r="O98" s="71"/>
    </row>
    <row r="99" spans="1:15" ht="33" customHeight="1" x14ac:dyDescent="0.5">
      <c r="A99" s="818" t="s">
        <v>244</v>
      </c>
      <c r="B99" s="819"/>
      <c r="C99" s="820"/>
      <c r="D99" s="151" t="s">
        <v>130</v>
      </c>
      <c r="E99" s="95"/>
      <c r="F99" s="95"/>
      <c r="G99" s="99">
        <f>G40+G54</f>
        <v>438118</v>
      </c>
      <c r="H99" s="99">
        <f>G99+'30'!H147</f>
        <v>437691</v>
      </c>
      <c r="I99" s="168"/>
      <c r="J99" s="175">
        <f>H99/DAY(B2)</f>
        <v>14119.064516129032</v>
      </c>
      <c r="K99" s="69"/>
      <c r="L99" s="66"/>
      <c r="O99" s="71"/>
    </row>
    <row r="100" spans="1:15" ht="33" customHeight="1" x14ac:dyDescent="0.5">
      <c r="A100" s="818" t="s">
        <v>245</v>
      </c>
      <c r="B100" s="819"/>
      <c r="C100" s="820"/>
      <c r="D100" s="151" t="s">
        <v>23</v>
      </c>
      <c r="E100" s="95"/>
      <c r="F100" s="95"/>
      <c r="G100" s="166" t="e">
        <f>G99/G7</f>
        <v>#DIV/0!</v>
      </c>
      <c r="H100" s="99" t="e">
        <f>G100+'30'!H148</f>
        <v>#DIV/0!</v>
      </c>
      <c r="I100" s="168"/>
      <c r="J100" s="175" t="e">
        <f>H100/DAY(B2)</f>
        <v>#DIV/0!</v>
      </c>
      <c r="O100" s="71"/>
    </row>
    <row r="101" spans="1:15" ht="33" customHeight="1" x14ac:dyDescent="0.5">
      <c r="A101" s="818" t="s">
        <v>246</v>
      </c>
      <c r="B101" s="819"/>
      <c r="C101" s="820"/>
      <c r="D101" s="151" t="s">
        <v>180</v>
      </c>
      <c r="E101" s="95"/>
      <c r="F101" s="95"/>
      <c r="G101" s="99">
        <f>G39+G53</f>
        <v>541274</v>
      </c>
      <c r="H101" s="99">
        <f>G101+'30'!H149</f>
        <v>540892</v>
      </c>
      <c r="I101" s="118"/>
      <c r="J101" s="175">
        <f>H101/DAY(B2)</f>
        <v>17448.129032258064</v>
      </c>
      <c r="K101" s="70"/>
      <c r="O101" s="71"/>
    </row>
    <row r="102" spans="1:15" ht="33" customHeight="1" x14ac:dyDescent="0.5">
      <c r="A102" s="818" t="s">
        <v>247</v>
      </c>
      <c r="B102" s="819"/>
      <c r="C102" s="820"/>
      <c r="D102" s="151" t="s">
        <v>23</v>
      </c>
      <c r="E102" s="95"/>
      <c r="F102" s="95"/>
      <c r="G102" s="166" t="e">
        <f>G101/G7</f>
        <v>#DIV/0!</v>
      </c>
      <c r="H102" s="99" t="e">
        <f>G102+'30'!H150</f>
        <v>#DIV/0!</v>
      </c>
      <c r="I102" s="168"/>
      <c r="J102" s="175" t="e">
        <f>H102/DAY(B2)</f>
        <v>#DIV/0!</v>
      </c>
      <c r="O102" s="71"/>
    </row>
    <row r="103" spans="1:15" ht="33" customHeight="1" x14ac:dyDescent="0.5">
      <c r="A103" s="818" t="s">
        <v>248</v>
      </c>
      <c r="B103" s="819"/>
      <c r="C103" s="820"/>
      <c r="D103" s="151" t="s">
        <v>180</v>
      </c>
      <c r="E103" s="95"/>
      <c r="F103" s="95"/>
      <c r="G103" s="99">
        <f>G37+G51</f>
        <v>584395</v>
      </c>
      <c r="H103" s="99">
        <f>G103+'30'!H156</f>
        <v>584286</v>
      </c>
      <c r="I103" s="168"/>
      <c r="J103" s="175">
        <f>H103/DAY(B2)</f>
        <v>18847.935483870966</v>
      </c>
      <c r="O103" s="71"/>
    </row>
    <row r="104" spans="1:15" ht="33" customHeight="1" x14ac:dyDescent="0.5">
      <c r="A104" s="818" t="s">
        <v>249</v>
      </c>
      <c r="B104" s="819"/>
      <c r="C104" s="820"/>
      <c r="D104" s="151" t="s">
        <v>23</v>
      </c>
      <c r="E104" s="95"/>
      <c r="F104" s="95"/>
      <c r="G104" s="166" t="e">
        <f>G103/G7</f>
        <v>#DIV/0!</v>
      </c>
      <c r="H104" s="99" t="e">
        <f>G104+'30'!H160</f>
        <v>#DIV/0!</v>
      </c>
      <c r="I104" s="118"/>
      <c r="J104" s="175" t="e">
        <f>H104/DAY(B2)</f>
        <v>#DIV/0!</v>
      </c>
      <c r="O104" s="71"/>
    </row>
    <row r="105" spans="1:15" ht="33" customHeight="1" x14ac:dyDescent="0.5">
      <c r="A105" s="818" t="s">
        <v>250</v>
      </c>
      <c r="B105" s="819"/>
      <c r="C105" s="820"/>
      <c r="D105" s="151" t="s">
        <v>180</v>
      </c>
      <c r="E105" s="95"/>
      <c r="F105" s="95"/>
      <c r="G105" s="99">
        <f>G38+G52</f>
        <v>145803</v>
      </c>
      <c r="H105" s="99">
        <f>G105+'30'!H161</f>
        <v>145802.84000000003</v>
      </c>
      <c r="I105" s="118"/>
      <c r="J105" s="175">
        <f>H105/DAY(B2)</f>
        <v>4703.3174193548393</v>
      </c>
      <c r="O105" s="71"/>
    </row>
    <row r="106" spans="1:15" ht="33" customHeight="1" thickBot="1" x14ac:dyDescent="0.55000000000000004">
      <c r="A106" s="858" t="s">
        <v>251</v>
      </c>
      <c r="B106" s="859"/>
      <c r="C106" s="860"/>
      <c r="D106" s="231" t="s">
        <v>23</v>
      </c>
      <c r="E106" s="185"/>
      <c r="F106" s="185"/>
      <c r="G106" s="186" t="e">
        <f>G105/G7</f>
        <v>#DIV/0!</v>
      </c>
      <c r="H106" s="99" t="e">
        <f>G106+'30'!H162</f>
        <v>#DIV/0!</v>
      </c>
      <c r="I106" s="187"/>
      <c r="J106" s="188" t="e">
        <f>H106/DAY(B2)</f>
        <v>#DIV/0!</v>
      </c>
      <c r="O106" s="71"/>
    </row>
    <row r="107" spans="1:15" ht="33" customHeight="1" x14ac:dyDescent="0.5">
      <c r="A107" s="105"/>
      <c r="B107" s="96"/>
      <c r="C107" s="96"/>
      <c r="D107" s="169"/>
      <c r="E107" s="169"/>
      <c r="F107" s="169"/>
      <c r="G107" s="169"/>
      <c r="H107" s="170"/>
      <c r="I107" s="169"/>
      <c r="J107" s="171"/>
      <c r="O107" s="71"/>
    </row>
    <row r="109" spans="1:15" ht="33" customHeight="1" x14ac:dyDescent="0.55000000000000004">
      <c r="A109" s="872" t="s">
        <v>324</v>
      </c>
      <c r="B109" s="872"/>
      <c r="C109" s="872"/>
      <c r="D109" s="872"/>
      <c r="E109" s="872"/>
      <c r="F109" s="872"/>
      <c r="G109" s="872"/>
      <c r="H109" s="872"/>
      <c r="I109" s="872"/>
      <c r="J109" s="872"/>
    </row>
    <row r="110" spans="1:15" ht="33" customHeight="1" x14ac:dyDescent="0.5">
      <c r="A110" s="857"/>
      <c r="B110" s="857"/>
    </row>
    <row r="111" spans="1:15" ht="33" customHeight="1" x14ac:dyDescent="0.5">
      <c r="A111" s="873" t="s">
        <v>165</v>
      </c>
      <c r="B111" s="874"/>
      <c r="C111" s="874"/>
      <c r="D111" s="874"/>
      <c r="E111" s="874"/>
      <c r="F111" s="874"/>
      <c r="G111" s="874"/>
      <c r="H111" s="874"/>
      <c r="I111" s="874"/>
      <c r="J111" s="875"/>
    </row>
    <row r="112" spans="1:15" ht="33" customHeight="1" x14ac:dyDescent="0.5">
      <c r="A112" s="876"/>
      <c r="B112" s="877"/>
      <c r="C112" s="878"/>
      <c r="D112" s="165"/>
      <c r="E112" s="165"/>
      <c r="F112" s="165"/>
      <c r="G112" s="165"/>
      <c r="H112" s="156"/>
      <c r="I112" s="165"/>
      <c r="J112" s="327"/>
    </row>
    <row r="113" spans="1:18" ht="33" customHeight="1" x14ac:dyDescent="0.5">
      <c r="A113" s="851" t="s">
        <v>252</v>
      </c>
      <c r="B113" s="852"/>
      <c r="C113" s="853"/>
      <c r="D113" s="146" t="s">
        <v>183</v>
      </c>
      <c r="E113" s="237">
        <v>0</v>
      </c>
      <c r="F113" s="237">
        <v>38434</v>
      </c>
      <c r="G113" s="112">
        <f t="shared" ref="G113:G124" si="8">F113-E113</f>
        <v>38434</v>
      </c>
      <c r="H113" s="99">
        <f>G113+'30'!H169</f>
        <v>38434</v>
      </c>
      <c r="I113" s="165"/>
      <c r="J113" s="328" t="e">
        <f t="shared" ref="J113:J124" si="9">H113/DAY(B32)</f>
        <v>#DIV/0!</v>
      </c>
    </row>
    <row r="114" spans="1:18" ht="33" customHeight="1" x14ac:dyDescent="0.5">
      <c r="A114" s="851" t="s">
        <v>253</v>
      </c>
      <c r="B114" s="852"/>
      <c r="C114" s="853"/>
      <c r="D114" s="146" t="s">
        <v>183</v>
      </c>
      <c r="E114" s="237">
        <v>0</v>
      </c>
      <c r="F114" s="237">
        <v>94790</v>
      </c>
      <c r="G114" s="112">
        <f t="shared" si="8"/>
        <v>94790</v>
      </c>
      <c r="H114" s="99">
        <f>G114+'30'!H170</f>
        <v>94790</v>
      </c>
      <c r="I114" s="165"/>
      <c r="J114" s="328" t="e">
        <f t="shared" si="9"/>
        <v>#DIV/0!</v>
      </c>
    </row>
    <row r="115" spans="1:18" ht="33" customHeight="1" x14ac:dyDescent="0.5">
      <c r="A115" s="851" t="s">
        <v>254</v>
      </c>
      <c r="B115" s="852"/>
      <c r="C115" s="853"/>
      <c r="D115" s="146" t="s">
        <v>183</v>
      </c>
      <c r="E115" s="237">
        <v>0</v>
      </c>
      <c r="F115" s="237">
        <v>44933</v>
      </c>
      <c r="G115" s="112">
        <f t="shared" si="8"/>
        <v>44933</v>
      </c>
      <c r="H115" s="99">
        <f>G115+'30'!H171</f>
        <v>44933</v>
      </c>
      <c r="I115" s="165"/>
      <c r="J115" s="328" t="e">
        <f t="shared" si="9"/>
        <v>#DIV/0!</v>
      </c>
    </row>
    <row r="116" spans="1:18" ht="33" customHeight="1" x14ac:dyDescent="0.5">
      <c r="A116" s="851" t="s">
        <v>255</v>
      </c>
      <c r="B116" s="852"/>
      <c r="C116" s="853"/>
      <c r="D116" s="146" t="s">
        <v>183</v>
      </c>
      <c r="E116" s="237">
        <v>0</v>
      </c>
      <c r="F116" s="237">
        <v>6560</v>
      </c>
      <c r="G116" s="112">
        <f t="shared" si="8"/>
        <v>6560</v>
      </c>
      <c r="H116" s="99">
        <f>G116+'30'!H172</f>
        <v>6560</v>
      </c>
      <c r="I116" s="165"/>
      <c r="J116" s="328" t="e">
        <f t="shared" si="9"/>
        <v>#DIV/0!</v>
      </c>
    </row>
    <row r="117" spans="1:18" ht="33" customHeight="1" x14ac:dyDescent="0.5">
      <c r="A117" s="869" t="s">
        <v>96</v>
      </c>
      <c r="B117" s="870"/>
      <c r="C117" s="871"/>
      <c r="D117" s="146" t="s">
        <v>183</v>
      </c>
      <c r="E117" s="237">
        <v>0</v>
      </c>
      <c r="F117" s="237">
        <v>44933</v>
      </c>
      <c r="G117" s="112">
        <f t="shared" si="8"/>
        <v>44933</v>
      </c>
      <c r="H117" s="99">
        <f>G117+'30'!H173</f>
        <v>44933</v>
      </c>
      <c r="I117" s="165"/>
      <c r="J117" s="328" t="e">
        <f t="shared" si="9"/>
        <v>#DIV/0!</v>
      </c>
      <c r="Q117" s="851" t="s">
        <v>311</v>
      </c>
      <c r="R117" s="853"/>
    </row>
    <row r="118" spans="1:18" ht="33" customHeight="1" x14ac:dyDescent="0.5">
      <c r="A118" s="869" t="s">
        <v>184</v>
      </c>
      <c r="B118" s="870"/>
      <c r="C118" s="871"/>
      <c r="D118" s="146" t="s">
        <v>183</v>
      </c>
      <c r="E118" s="237">
        <v>0</v>
      </c>
      <c r="F118" s="237">
        <v>44933</v>
      </c>
      <c r="G118" s="112">
        <f t="shared" si="8"/>
        <v>44933</v>
      </c>
      <c r="H118" s="99">
        <f>G118+'30'!H174</f>
        <v>44919</v>
      </c>
      <c r="I118" s="165"/>
      <c r="J118" s="328" t="e">
        <f t="shared" si="9"/>
        <v>#DIV/0!</v>
      </c>
      <c r="Q118" s="851" t="s">
        <v>312</v>
      </c>
      <c r="R118" s="853"/>
    </row>
    <row r="119" spans="1:18" ht="33" customHeight="1" x14ac:dyDescent="0.5">
      <c r="A119" s="846" t="s">
        <v>97</v>
      </c>
      <c r="B119" s="846"/>
      <c r="C119" s="846"/>
      <c r="D119" s="151" t="s">
        <v>183</v>
      </c>
      <c r="E119" s="237">
        <v>0</v>
      </c>
      <c r="F119" s="237">
        <v>44933</v>
      </c>
      <c r="G119" s="112">
        <f t="shared" si="8"/>
        <v>44933</v>
      </c>
      <c r="H119" s="99">
        <f>G119+'30'!H175</f>
        <v>44925</v>
      </c>
      <c r="I119" s="165"/>
      <c r="J119" s="328" t="e">
        <f t="shared" si="9"/>
        <v>#DIV/0!</v>
      </c>
      <c r="Q119" s="851" t="s">
        <v>311</v>
      </c>
      <c r="R119" s="853"/>
    </row>
    <row r="120" spans="1:18" ht="33" customHeight="1" x14ac:dyDescent="0.5">
      <c r="A120" s="846" t="s">
        <v>98</v>
      </c>
      <c r="B120" s="846"/>
      <c r="C120" s="846"/>
      <c r="D120" s="151" t="s">
        <v>183</v>
      </c>
      <c r="E120" s="237">
        <v>0</v>
      </c>
      <c r="F120" s="237">
        <v>44933</v>
      </c>
      <c r="G120" s="112">
        <f t="shared" si="8"/>
        <v>44933</v>
      </c>
      <c r="H120" s="99">
        <f>G120+'30'!H176</f>
        <v>44911</v>
      </c>
      <c r="I120" s="165"/>
      <c r="J120" s="328" t="e">
        <f t="shared" si="9"/>
        <v>#DIV/0!</v>
      </c>
    </row>
    <row r="121" spans="1:18" ht="33" customHeight="1" x14ac:dyDescent="0.5">
      <c r="A121" s="846" t="s">
        <v>99</v>
      </c>
      <c r="B121" s="846"/>
      <c r="C121" s="846"/>
      <c r="D121" s="151" t="s">
        <v>183</v>
      </c>
      <c r="E121" s="237">
        <v>0</v>
      </c>
      <c r="F121" s="237">
        <v>44933</v>
      </c>
      <c r="G121" s="112">
        <f t="shared" si="8"/>
        <v>44933</v>
      </c>
      <c r="H121" s="99">
        <f>G121+'30'!H177</f>
        <v>44933</v>
      </c>
      <c r="I121" s="165"/>
      <c r="J121" s="328" t="e">
        <f t="shared" si="9"/>
        <v>#DIV/0!</v>
      </c>
    </row>
    <row r="122" spans="1:18" ht="33" customHeight="1" x14ac:dyDescent="0.5">
      <c r="A122" s="846" t="s">
        <v>100</v>
      </c>
      <c r="B122" s="846"/>
      <c r="C122" s="846"/>
      <c r="D122" s="151" t="s">
        <v>183</v>
      </c>
      <c r="E122" s="237">
        <v>0</v>
      </c>
      <c r="F122" s="237">
        <v>44933</v>
      </c>
      <c r="G122" s="112">
        <f t="shared" si="8"/>
        <v>44933</v>
      </c>
      <c r="H122" s="99">
        <f>G122+'30'!H178</f>
        <v>44888</v>
      </c>
      <c r="I122" s="165"/>
      <c r="J122" s="328" t="e">
        <f t="shared" si="9"/>
        <v>#DIV/0!</v>
      </c>
    </row>
    <row r="123" spans="1:18" ht="33" customHeight="1" x14ac:dyDescent="0.5">
      <c r="A123" s="846" t="s">
        <v>101</v>
      </c>
      <c r="B123" s="846"/>
      <c r="C123" s="846"/>
      <c r="D123" s="151" t="s">
        <v>183</v>
      </c>
      <c r="E123" s="237">
        <v>0</v>
      </c>
      <c r="F123" s="237">
        <v>44933</v>
      </c>
      <c r="G123" s="112">
        <f t="shared" si="8"/>
        <v>44933</v>
      </c>
      <c r="H123" s="99">
        <f>G123+'30'!H179</f>
        <v>44933</v>
      </c>
      <c r="I123" s="165"/>
      <c r="J123" s="328" t="e">
        <f t="shared" si="9"/>
        <v>#DIV/0!</v>
      </c>
    </row>
    <row r="124" spans="1:18" ht="33" customHeight="1" x14ac:dyDescent="0.5">
      <c r="A124" s="846" t="s">
        <v>102</v>
      </c>
      <c r="B124" s="846"/>
      <c r="C124" s="846"/>
      <c r="D124" s="151" t="s">
        <v>183</v>
      </c>
      <c r="E124" s="237">
        <v>0</v>
      </c>
      <c r="F124" s="237">
        <v>44933</v>
      </c>
      <c r="G124" s="112">
        <f t="shared" si="8"/>
        <v>44933</v>
      </c>
      <c r="H124" s="99">
        <f>G124+'30'!H180</f>
        <v>44927</v>
      </c>
      <c r="I124" s="165"/>
      <c r="J124" s="328" t="e">
        <f t="shared" si="9"/>
        <v>#DIV/0!</v>
      </c>
    </row>
    <row r="125" spans="1:18" ht="33" customHeight="1" x14ac:dyDescent="0.5">
      <c r="A125" s="876"/>
      <c r="B125" s="877"/>
      <c r="C125" s="878"/>
      <c r="D125" s="165"/>
      <c r="E125" s="165"/>
      <c r="F125" s="165"/>
      <c r="G125" s="327"/>
      <c r="H125" s="156"/>
      <c r="I125" s="165"/>
      <c r="J125" s="327"/>
    </row>
    <row r="126" spans="1:18" ht="33" customHeight="1" x14ac:dyDescent="0.5">
      <c r="A126" s="882"/>
      <c r="B126" s="882"/>
      <c r="C126" s="245"/>
      <c r="D126" s="307"/>
      <c r="E126" s="308"/>
      <c r="F126" s="308"/>
      <c r="G126" s="309"/>
      <c r="H126" s="156"/>
      <c r="I126" s="165"/>
      <c r="J126" s="327"/>
    </row>
    <row r="127" spans="1:18" ht="33" customHeight="1" x14ac:dyDescent="0.5">
      <c r="A127" s="881" t="s">
        <v>317</v>
      </c>
      <c r="B127" s="881"/>
      <c r="C127" s="881"/>
      <c r="D127" s="881"/>
      <c r="E127" s="881"/>
      <c r="F127" s="881"/>
      <c r="G127" s="881"/>
      <c r="H127" s="881"/>
      <c r="I127" s="881"/>
      <c r="J127" s="881"/>
    </row>
    <row r="128" spans="1:18" ht="33" customHeight="1" x14ac:dyDescent="0.5">
      <c r="A128" s="882"/>
      <c r="B128" s="882"/>
      <c r="C128" s="245"/>
      <c r="D128" s="307"/>
      <c r="E128" s="308"/>
      <c r="F128" s="308"/>
      <c r="G128" s="309"/>
      <c r="H128" s="99">
        <f>G128+'30'!H184</f>
        <v>-6</v>
      </c>
      <c r="I128" s="165"/>
      <c r="J128" s="328" t="e">
        <f t="shared" ref="J128:J136" si="10">H128/DAY(B47)</f>
        <v>#DIV/0!</v>
      </c>
    </row>
    <row r="129" spans="1:15" ht="33" customHeight="1" x14ac:dyDescent="0.5">
      <c r="A129" s="851" t="s">
        <v>318</v>
      </c>
      <c r="B129" s="852"/>
      <c r="C129" s="853"/>
      <c r="D129" s="151" t="s">
        <v>183</v>
      </c>
      <c r="E129" s="95">
        <f>'30'!F185</f>
        <v>0</v>
      </c>
      <c r="F129" s="165"/>
      <c r="G129" s="112">
        <f t="shared" ref="G129:G134" si="11">F129-E129</f>
        <v>0</v>
      </c>
      <c r="H129" s="99">
        <f>G129+'30'!H185</f>
        <v>0</v>
      </c>
      <c r="I129" s="165"/>
      <c r="J129" s="328" t="e">
        <f t="shared" si="10"/>
        <v>#DIV/0!</v>
      </c>
    </row>
    <row r="130" spans="1:15" ht="33" customHeight="1" x14ac:dyDescent="0.5">
      <c r="A130" s="329" t="s">
        <v>319</v>
      </c>
      <c r="B130" s="330"/>
      <c r="C130" s="331"/>
      <c r="D130" s="151" t="s">
        <v>183</v>
      </c>
      <c r="E130" s="95">
        <f>'30'!F186</f>
        <v>0</v>
      </c>
      <c r="F130" s="165"/>
      <c r="G130" s="112">
        <f t="shared" si="11"/>
        <v>0</v>
      </c>
      <c r="H130" s="99">
        <f>G130+'30'!H186</f>
        <v>-15</v>
      </c>
      <c r="I130" s="165"/>
      <c r="J130" s="328" t="e">
        <f t="shared" si="10"/>
        <v>#DIV/0!</v>
      </c>
      <c r="N130" s="240"/>
      <c r="O130" s="241"/>
    </row>
    <row r="131" spans="1:15" ht="33" customHeight="1" x14ac:dyDescent="0.5">
      <c r="A131" s="329" t="s">
        <v>320</v>
      </c>
      <c r="B131" s="330"/>
      <c r="C131" s="331"/>
      <c r="D131" s="151" t="s">
        <v>183</v>
      </c>
      <c r="E131" s="95">
        <f>'30'!F187</f>
        <v>0</v>
      </c>
      <c r="F131" s="165"/>
      <c r="G131" s="112">
        <f t="shared" si="11"/>
        <v>0</v>
      </c>
      <c r="H131" s="99">
        <f>G131+'30'!H187</f>
        <v>1607</v>
      </c>
      <c r="I131" s="165"/>
      <c r="J131" s="328" t="e">
        <f t="shared" si="10"/>
        <v>#DIV/0!</v>
      </c>
      <c r="N131" s="240"/>
      <c r="O131" s="241"/>
    </row>
    <row r="132" spans="1:15" ht="33" customHeight="1" x14ac:dyDescent="0.5">
      <c r="A132" s="851" t="s">
        <v>321</v>
      </c>
      <c r="B132" s="852"/>
      <c r="C132" s="853"/>
      <c r="D132" s="151" t="s">
        <v>183</v>
      </c>
      <c r="E132" s="95">
        <f>'30'!F188</f>
        <v>0</v>
      </c>
      <c r="F132" s="165"/>
      <c r="G132" s="112">
        <f t="shared" si="11"/>
        <v>0</v>
      </c>
      <c r="H132" s="99">
        <f>G132+'30'!H188</f>
        <v>-1953</v>
      </c>
      <c r="I132" s="165"/>
      <c r="J132" s="328" t="e">
        <f t="shared" si="10"/>
        <v>#DIV/0!</v>
      </c>
      <c r="N132" s="240"/>
      <c r="O132" s="241"/>
    </row>
    <row r="133" spans="1:15" ht="33" customHeight="1" x14ac:dyDescent="0.5">
      <c r="A133" s="851" t="s">
        <v>322</v>
      </c>
      <c r="B133" s="852"/>
      <c r="C133" s="853"/>
      <c r="D133" s="151" t="s">
        <v>183</v>
      </c>
      <c r="E133" s="95">
        <f>'30'!F189</f>
        <v>0</v>
      </c>
      <c r="F133" s="165"/>
      <c r="G133" s="112">
        <f t="shared" si="11"/>
        <v>0</v>
      </c>
      <c r="H133" s="99">
        <f>G133+'30'!H189</f>
        <v>-1641</v>
      </c>
      <c r="I133" s="165"/>
      <c r="J133" s="328" t="e">
        <f t="shared" si="10"/>
        <v>#DIV/0!</v>
      </c>
    </row>
    <row r="134" spans="1:15" ht="33" customHeight="1" x14ac:dyDescent="0.5">
      <c r="A134" s="851" t="s">
        <v>323</v>
      </c>
      <c r="B134" s="852"/>
      <c r="C134" s="853"/>
      <c r="D134" s="151" t="s">
        <v>183</v>
      </c>
      <c r="E134" s="95">
        <f>'30'!F190</f>
        <v>52948.703000000001</v>
      </c>
      <c r="F134" s="165"/>
      <c r="G134" s="112">
        <f t="shared" si="11"/>
        <v>-52948.703000000001</v>
      </c>
      <c r="H134" s="99">
        <f>G134+'30'!H190</f>
        <v>-52948.703000000001</v>
      </c>
      <c r="I134" s="165"/>
      <c r="J134" s="328" t="e">
        <f t="shared" si="10"/>
        <v>#DIV/0!</v>
      </c>
    </row>
    <row r="135" spans="1:15" ht="33" customHeight="1" x14ac:dyDescent="0.5">
      <c r="A135" s="876"/>
      <c r="B135" s="877"/>
      <c r="C135" s="878"/>
      <c r="D135" s="151"/>
      <c r="E135" s="95"/>
      <c r="F135" s="165"/>
      <c r="G135" s="112"/>
      <c r="H135" s="99">
        <f>G135+'30'!H191</f>
        <v>0</v>
      </c>
      <c r="I135" s="165"/>
      <c r="J135" s="328" t="e">
        <f t="shared" si="10"/>
        <v>#DIV/0!</v>
      </c>
    </row>
    <row r="136" spans="1:15" ht="33" customHeight="1" x14ac:dyDescent="0.5">
      <c r="A136" s="876"/>
      <c r="B136" s="877"/>
      <c r="C136" s="878"/>
      <c r="D136" s="151"/>
      <c r="E136" s="95"/>
      <c r="F136" s="165"/>
      <c r="G136" s="112"/>
      <c r="H136" s="99">
        <f>G136+'30'!H192</f>
        <v>0</v>
      </c>
      <c r="I136" s="165"/>
      <c r="J136" s="328" t="e">
        <f t="shared" si="10"/>
        <v>#DIV/0!</v>
      </c>
    </row>
    <row r="137" spans="1:15" ht="33" customHeight="1" x14ac:dyDescent="0.55000000000000004">
      <c r="A137" s="883" t="s">
        <v>325</v>
      </c>
      <c r="B137" s="883"/>
      <c r="C137" s="883"/>
      <c r="D137" s="883"/>
      <c r="E137" s="883"/>
      <c r="F137" s="883"/>
      <c r="G137" s="883"/>
      <c r="H137" s="883"/>
      <c r="I137" s="883"/>
      <c r="J137" s="883"/>
    </row>
    <row r="138" spans="1:15" ht="33" customHeight="1" x14ac:dyDescent="0.5">
      <c r="A138" s="245"/>
      <c r="B138" s="246"/>
      <c r="C138" s="246"/>
      <c r="D138" s="165"/>
      <c r="E138" s="165"/>
      <c r="F138" s="165"/>
      <c r="G138" s="165"/>
      <c r="H138" s="156"/>
      <c r="I138" s="165"/>
      <c r="J138" s="327"/>
    </row>
    <row r="139" spans="1:15" ht="33" customHeight="1" x14ac:dyDescent="0.5">
      <c r="A139" s="846" t="s">
        <v>185</v>
      </c>
      <c r="B139" s="846"/>
      <c r="C139" s="846"/>
      <c r="D139" s="151" t="s">
        <v>183</v>
      </c>
      <c r="E139" s="95">
        <f>'30'!F195</f>
        <v>0</v>
      </c>
      <c r="F139" s="147">
        <v>857022</v>
      </c>
      <c r="G139" s="112">
        <f t="shared" ref="G139:G151" si="12">F139-E139</f>
        <v>857022</v>
      </c>
      <c r="H139" s="99">
        <f>G139+'30'!H195</f>
        <v>857022</v>
      </c>
      <c r="I139" s="118"/>
      <c r="J139" s="328" t="e">
        <f>H139/DAY(B78)</f>
        <v>#DIV/0!</v>
      </c>
    </row>
    <row r="140" spans="1:15" ht="33" customHeight="1" x14ac:dyDescent="0.5">
      <c r="A140" s="846" t="s">
        <v>186</v>
      </c>
      <c r="B140" s="846"/>
      <c r="C140" s="846"/>
      <c r="D140" s="151" t="s">
        <v>183</v>
      </c>
      <c r="E140" s="95">
        <f>'30'!F196</f>
        <v>0</v>
      </c>
      <c r="F140" s="148">
        <v>886051</v>
      </c>
      <c r="G140" s="112">
        <f t="shared" si="12"/>
        <v>886051</v>
      </c>
      <c r="H140" s="99">
        <f>G140+'30'!H196</f>
        <v>886051</v>
      </c>
      <c r="I140" s="118"/>
      <c r="J140" s="328" t="e">
        <f>H140/DAY(B78)</f>
        <v>#DIV/0!</v>
      </c>
    </row>
    <row r="141" spans="1:15" ht="33" customHeight="1" x14ac:dyDescent="0.5">
      <c r="A141" s="846" t="s">
        <v>187</v>
      </c>
      <c r="B141" s="846"/>
      <c r="C141" s="846"/>
      <c r="D141" s="151" t="s">
        <v>183</v>
      </c>
      <c r="E141" s="95">
        <f>'30'!F197</f>
        <v>0</v>
      </c>
      <c r="F141" s="149">
        <v>88776</v>
      </c>
      <c r="G141" s="112">
        <f t="shared" si="12"/>
        <v>88776</v>
      </c>
      <c r="H141" s="99">
        <f>G141+'30'!H197</f>
        <v>88776</v>
      </c>
      <c r="I141" s="118"/>
      <c r="J141" s="328" t="e">
        <f>H141/DAY(B78)</f>
        <v>#DIV/0!</v>
      </c>
    </row>
    <row r="142" spans="1:15" ht="33" customHeight="1" x14ac:dyDescent="0.5">
      <c r="A142" s="850" t="s">
        <v>188</v>
      </c>
      <c r="B142" s="850"/>
      <c r="C142" s="850"/>
      <c r="D142" s="151" t="s">
        <v>183</v>
      </c>
      <c r="E142" s="95">
        <f>'30'!F198</f>
        <v>0</v>
      </c>
      <c r="F142" s="149">
        <v>26308</v>
      </c>
      <c r="G142" s="112">
        <f t="shared" si="12"/>
        <v>26308</v>
      </c>
      <c r="H142" s="99">
        <f>G142+'30'!H198</f>
        <v>26308</v>
      </c>
      <c r="I142" s="118"/>
      <c r="J142" s="328" t="e">
        <f>H142/DAY(B78)</f>
        <v>#DIV/0!</v>
      </c>
    </row>
    <row r="143" spans="1:15" ht="33" customHeight="1" x14ac:dyDescent="0.5">
      <c r="A143" s="850" t="s">
        <v>189</v>
      </c>
      <c r="B143" s="850"/>
      <c r="C143" s="850"/>
      <c r="D143" s="151" t="s">
        <v>183</v>
      </c>
      <c r="E143" s="95">
        <f>'30'!F199</f>
        <v>0</v>
      </c>
      <c r="F143" s="148">
        <v>13277</v>
      </c>
      <c r="G143" s="112">
        <f t="shared" si="12"/>
        <v>13277</v>
      </c>
      <c r="H143" s="99">
        <f>G143+'30'!H199</f>
        <v>13277</v>
      </c>
      <c r="I143" s="140"/>
      <c r="J143" s="328" t="e">
        <f>H143/DAY(B78)</f>
        <v>#DIV/0!</v>
      </c>
    </row>
    <row r="144" spans="1:15" ht="33" customHeight="1" x14ac:dyDescent="0.5">
      <c r="A144" s="846" t="s">
        <v>190</v>
      </c>
      <c r="B144" s="846"/>
      <c r="C144" s="846"/>
      <c r="D144" s="151" t="s">
        <v>183</v>
      </c>
      <c r="E144" s="95">
        <f>'30'!F200</f>
        <v>0</v>
      </c>
      <c r="F144" s="149">
        <v>708289</v>
      </c>
      <c r="G144" s="112">
        <f t="shared" si="12"/>
        <v>708289</v>
      </c>
      <c r="H144" s="99">
        <f>G144+'30'!H200</f>
        <v>708289</v>
      </c>
      <c r="I144" s="140"/>
      <c r="J144" s="328" t="e">
        <f>H144/DAY(B78)</f>
        <v>#DIV/0!</v>
      </c>
    </row>
    <row r="145" spans="1:10" ht="33" customHeight="1" x14ac:dyDescent="0.5">
      <c r="A145" s="847" t="s">
        <v>191</v>
      </c>
      <c r="B145" s="848"/>
      <c r="C145" s="849"/>
      <c r="D145" s="151" t="s">
        <v>183</v>
      </c>
      <c r="E145" s="95">
        <f>'30'!F201</f>
        <v>0</v>
      </c>
      <c r="F145" s="149">
        <v>682413</v>
      </c>
      <c r="G145" s="112">
        <f t="shared" si="12"/>
        <v>682413</v>
      </c>
      <c r="H145" s="99">
        <f>G145+'30'!H201</f>
        <v>682413</v>
      </c>
      <c r="I145" s="140"/>
      <c r="J145" s="328" t="e">
        <f>H145/DAY(B78)</f>
        <v>#DIV/0!</v>
      </c>
    </row>
    <row r="146" spans="1:10" ht="33" customHeight="1" x14ac:dyDescent="0.5">
      <c r="A146" s="850" t="s">
        <v>90</v>
      </c>
      <c r="B146" s="850"/>
      <c r="C146" s="850"/>
      <c r="D146" s="152" t="s">
        <v>183</v>
      </c>
      <c r="E146" s="95">
        <f>'30'!F202</f>
        <v>0</v>
      </c>
      <c r="F146" s="149">
        <v>845049</v>
      </c>
      <c r="G146" s="112">
        <f t="shared" si="12"/>
        <v>845049</v>
      </c>
      <c r="H146" s="99">
        <f>G146+'30'!H202</f>
        <v>845049</v>
      </c>
      <c r="I146" s="140"/>
      <c r="J146" s="328" t="e">
        <f>H146/DAY(B78)</f>
        <v>#DIV/0!</v>
      </c>
    </row>
    <row r="147" spans="1:10" ht="33" customHeight="1" x14ac:dyDescent="0.5">
      <c r="A147" s="850" t="s">
        <v>192</v>
      </c>
      <c r="B147" s="850"/>
      <c r="C147" s="850"/>
      <c r="D147" s="152" t="s">
        <v>183</v>
      </c>
      <c r="E147" s="95">
        <f>'30'!F203</f>
        <v>0</v>
      </c>
      <c r="F147" s="148">
        <v>564298</v>
      </c>
      <c r="G147" s="112">
        <f t="shared" si="12"/>
        <v>564298</v>
      </c>
      <c r="H147" s="99">
        <f>G147+'30'!H203</f>
        <v>564298</v>
      </c>
      <c r="I147" s="140"/>
      <c r="J147" s="328" t="e">
        <f>H147/DAY(B78)</f>
        <v>#DIV/0!</v>
      </c>
    </row>
    <row r="148" spans="1:10" ht="33" customHeight="1" x14ac:dyDescent="0.5">
      <c r="A148" s="850" t="s">
        <v>193</v>
      </c>
      <c r="B148" s="850"/>
      <c r="C148" s="850"/>
      <c r="D148" s="152" t="s">
        <v>183</v>
      </c>
      <c r="E148" s="95">
        <f>'30'!F204</f>
        <v>0</v>
      </c>
      <c r="F148" s="148">
        <v>654178</v>
      </c>
      <c r="G148" s="112">
        <f t="shared" si="12"/>
        <v>654178</v>
      </c>
      <c r="H148" s="99">
        <f>G148+'30'!H204</f>
        <v>654178</v>
      </c>
      <c r="I148" s="140"/>
      <c r="J148" s="328" t="e">
        <f>H148/DAY(B78)</f>
        <v>#DIV/0!</v>
      </c>
    </row>
    <row r="149" spans="1:10" ht="33" customHeight="1" x14ac:dyDescent="0.5">
      <c r="A149" s="850" t="s">
        <v>91</v>
      </c>
      <c r="B149" s="850"/>
      <c r="C149" s="850"/>
      <c r="D149" s="123" t="s">
        <v>130</v>
      </c>
      <c r="E149" s="95">
        <f>'30'!F205</f>
        <v>0</v>
      </c>
      <c r="F149" s="150">
        <v>109925</v>
      </c>
      <c r="G149" s="112">
        <f t="shared" si="12"/>
        <v>109925</v>
      </c>
      <c r="H149" s="99">
        <f>G149+'30'!H205</f>
        <v>109925</v>
      </c>
      <c r="I149" s="124"/>
      <c r="J149" s="328" t="e">
        <f>H149/DAY(B78)</f>
        <v>#DIV/0!</v>
      </c>
    </row>
    <row r="150" spans="1:10" ht="33" customHeight="1" x14ac:dyDescent="0.5">
      <c r="A150" s="850" t="s">
        <v>194</v>
      </c>
      <c r="B150" s="850"/>
      <c r="C150" s="850"/>
      <c r="D150" s="227" t="s">
        <v>130</v>
      </c>
      <c r="E150" s="95">
        <f>'30'!F206</f>
        <v>0</v>
      </c>
      <c r="F150" s="146">
        <v>44323</v>
      </c>
      <c r="G150" s="112">
        <f t="shared" si="12"/>
        <v>44323</v>
      </c>
      <c r="H150" s="99">
        <f>G150+'30'!H206</f>
        <v>44323</v>
      </c>
      <c r="I150" s="119"/>
      <c r="J150" s="328" t="e">
        <f>H150/DAY(B78)</f>
        <v>#DIV/0!</v>
      </c>
    </row>
    <row r="151" spans="1:10" ht="33" customHeight="1" x14ac:dyDescent="0.5">
      <c r="A151" s="325" t="s">
        <v>195</v>
      </c>
      <c r="B151" s="190"/>
      <c r="C151" s="190"/>
      <c r="D151" s="117" t="s">
        <v>130</v>
      </c>
      <c r="E151" s="95">
        <f>'30'!F207</f>
        <v>0</v>
      </c>
      <c r="F151" s="233">
        <v>570379</v>
      </c>
      <c r="G151" s="112">
        <f t="shared" si="12"/>
        <v>570379</v>
      </c>
      <c r="H151" s="99">
        <f>G151+'30'!H207</f>
        <v>570379</v>
      </c>
      <c r="I151" s="119"/>
      <c r="J151" s="328" t="e">
        <f>H151/DAY(B78)</f>
        <v>#DIV/0!</v>
      </c>
    </row>
    <row r="153" spans="1:10" ht="33" customHeight="1" x14ac:dyDescent="0.55000000000000004">
      <c r="A153" s="883" t="s">
        <v>326</v>
      </c>
      <c r="B153" s="883"/>
      <c r="C153" s="883"/>
      <c r="D153" s="883"/>
      <c r="E153" s="883"/>
      <c r="F153" s="883"/>
      <c r="G153" s="883"/>
      <c r="H153" s="883"/>
      <c r="I153" s="883"/>
      <c r="J153" s="883"/>
    </row>
    <row r="154" spans="1:10" ht="33" customHeight="1" x14ac:dyDescent="0.5">
      <c r="A154" s="242" t="s">
        <v>92</v>
      </c>
      <c r="B154" s="243"/>
      <c r="C154" s="243"/>
      <c r="D154" s="244" t="s">
        <v>180</v>
      </c>
      <c r="E154" s="95">
        <f>'30'!F210</f>
        <v>0</v>
      </c>
      <c r="F154" s="235">
        <v>463315</v>
      </c>
      <c r="G154" s="238">
        <f t="shared" ref="G154:G158" si="13">F154-E154</f>
        <v>463315</v>
      </c>
      <c r="H154" s="99">
        <f>G154+'30'!H210</f>
        <v>463315</v>
      </c>
      <c r="I154" s="236"/>
      <c r="J154" s="239" t="e">
        <f>H154/DAY(B93)</f>
        <v>#DIV/0!</v>
      </c>
    </row>
    <row r="155" spans="1:10" ht="33" customHeight="1" x14ac:dyDescent="0.5">
      <c r="A155" s="242" t="s">
        <v>93</v>
      </c>
      <c r="B155" s="243"/>
      <c r="C155" s="243"/>
      <c r="D155" s="244" t="s">
        <v>180</v>
      </c>
      <c r="E155" s="95">
        <f>'30'!F211</f>
        <v>0</v>
      </c>
      <c r="F155" s="235">
        <v>83899</v>
      </c>
      <c r="G155" s="238">
        <f t="shared" si="13"/>
        <v>83899</v>
      </c>
      <c r="H155" s="99">
        <f>G155+'30'!H211</f>
        <v>83899</v>
      </c>
      <c r="I155" s="236"/>
      <c r="J155" s="239" t="e">
        <f>H155/DAY(B93)</f>
        <v>#DIV/0!</v>
      </c>
    </row>
    <row r="156" spans="1:10" ht="33" customHeight="1" x14ac:dyDescent="0.5">
      <c r="A156" s="242" t="s">
        <v>197</v>
      </c>
      <c r="B156" s="243"/>
      <c r="C156" s="243"/>
      <c r="D156" s="244" t="s">
        <v>180</v>
      </c>
      <c r="E156" s="95">
        <f>'30'!F213</f>
        <v>0</v>
      </c>
      <c r="F156" s="235">
        <v>69089</v>
      </c>
      <c r="G156" s="238">
        <f t="shared" si="13"/>
        <v>69089</v>
      </c>
      <c r="H156" s="99">
        <f>G156+'30'!H213</f>
        <v>69089</v>
      </c>
      <c r="I156" s="236"/>
      <c r="J156" s="239" t="e">
        <f>H156/DAY(B93)</f>
        <v>#DIV/0!</v>
      </c>
    </row>
    <row r="157" spans="1:10" ht="33" customHeight="1" x14ac:dyDescent="0.5">
      <c r="A157" s="242" t="s">
        <v>197</v>
      </c>
      <c r="B157" s="243"/>
      <c r="C157" s="243"/>
      <c r="D157" s="244" t="s">
        <v>180</v>
      </c>
      <c r="E157" s="95">
        <f>'30'!F214</f>
        <v>0</v>
      </c>
      <c r="F157" s="235">
        <v>3611</v>
      </c>
      <c r="G157" s="238">
        <f t="shared" si="13"/>
        <v>3611</v>
      </c>
      <c r="H157" s="99">
        <f>G157+'30'!H214</f>
        <v>3611</v>
      </c>
      <c r="I157" s="236"/>
      <c r="J157" s="239" t="e">
        <f>H157/DAY(B93)</f>
        <v>#DIV/0!</v>
      </c>
    </row>
    <row r="158" spans="1:10" ht="33" customHeight="1" x14ac:dyDescent="0.5">
      <c r="A158" s="242" t="s">
        <v>309</v>
      </c>
      <c r="B158" s="243"/>
      <c r="C158" s="243"/>
      <c r="D158" s="244" t="s">
        <v>180</v>
      </c>
      <c r="E158" s="95">
        <f>'30'!F215</f>
        <v>0</v>
      </c>
      <c r="F158" s="235">
        <v>28746</v>
      </c>
      <c r="G158" s="238">
        <f t="shared" si="13"/>
        <v>28746</v>
      </c>
      <c r="H158" s="99">
        <f>G158+'30'!H215</f>
        <v>28746</v>
      </c>
      <c r="I158" s="236"/>
      <c r="J158" s="239" t="e">
        <f>H158/DAY(B93)</f>
        <v>#DIV/0!</v>
      </c>
    </row>
    <row r="159" spans="1:10" ht="33" customHeight="1" x14ac:dyDescent="0.5">
      <c r="A159" s="882" t="s">
        <v>328</v>
      </c>
      <c r="B159" s="882"/>
      <c r="C159" s="246"/>
      <c r="D159" s="244" t="s">
        <v>180</v>
      </c>
      <c r="E159" s="165"/>
      <c r="F159" s="165"/>
      <c r="G159" s="165"/>
      <c r="H159" s="156"/>
      <c r="I159" s="165"/>
      <c r="J159" s="327"/>
    </row>
    <row r="160" spans="1:10" ht="33" customHeight="1" x14ac:dyDescent="0.5">
      <c r="A160" s="882" t="s">
        <v>327</v>
      </c>
      <c r="B160" s="882"/>
      <c r="C160" s="246"/>
      <c r="D160" s="244" t="s">
        <v>180</v>
      </c>
      <c r="E160" s="165"/>
      <c r="F160" s="165"/>
      <c r="G160" s="165"/>
      <c r="H160" s="156"/>
      <c r="I160" s="165"/>
      <c r="J160" s="327"/>
    </row>
    <row r="161" spans="1:10" ht="33" customHeight="1" x14ac:dyDescent="0.5">
      <c r="A161" s="882" t="s">
        <v>328</v>
      </c>
      <c r="B161" s="882"/>
      <c r="C161" s="246"/>
      <c r="D161" s="244" t="s">
        <v>180</v>
      </c>
      <c r="E161" s="165"/>
      <c r="F161" s="165"/>
      <c r="G161" s="165"/>
      <c r="H161" s="156"/>
      <c r="I161" s="165"/>
      <c r="J161" s="327"/>
    </row>
    <row r="164" spans="1:10" ht="33" customHeight="1" x14ac:dyDescent="0.35">
      <c r="A164" s="890" t="s">
        <v>330</v>
      </c>
      <c r="B164" s="891"/>
      <c r="C164" s="891"/>
      <c r="D164" s="891"/>
      <c r="E164" s="891"/>
      <c r="F164" s="891"/>
      <c r="G164" s="891"/>
      <c r="H164" s="891"/>
      <c r="I164" s="891"/>
      <c r="J164" s="892"/>
    </row>
    <row r="165" spans="1:10" ht="33" customHeight="1" x14ac:dyDescent="0.5">
      <c r="A165" s="886"/>
      <c r="B165" s="887"/>
      <c r="C165" s="332"/>
      <c r="D165" s="228"/>
      <c r="E165" s="155"/>
      <c r="F165" s="155"/>
      <c r="G165" s="155"/>
      <c r="H165" s="156"/>
      <c r="I165" s="155"/>
      <c r="J165" s="178"/>
    </row>
    <row r="166" spans="1:10" ht="33" customHeight="1" x14ac:dyDescent="0.5">
      <c r="A166" s="840" t="s">
        <v>209</v>
      </c>
      <c r="B166" s="841"/>
      <c r="C166" s="333"/>
      <c r="D166" s="228" t="s">
        <v>142</v>
      </c>
      <c r="E166" s="155">
        <f>'30'!F222</f>
        <v>0</v>
      </c>
      <c r="F166" s="155">
        <v>7961</v>
      </c>
      <c r="G166" s="155">
        <f>F166-E166</f>
        <v>7961</v>
      </c>
      <c r="H166" s="99">
        <f>G166+'30'!H222</f>
        <v>7961</v>
      </c>
      <c r="I166" s="155"/>
      <c r="J166" s="178" t="e">
        <f>H166/DAY(B94)</f>
        <v>#DIV/0!</v>
      </c>
    </row>
    <row r="167" spans="1:10" ht="33" customHeight="1" x14ac:dyDescent="0.5">
      <c r="A167" s="840" t="s">
        <v>75</v>
      </c>
      <c r="B167" s="841"/>
      <c r="C167" s="333"/>
      <c r="D167" s="228" t="s">
        <v>142</v>
      </c>
      <c r="E167" s="155">
        <f>'30'!F223</f>
        <v>0</v>
      </c>
      <c r="F167" s="157">
        <v>36765</v>
      </c>
      <c r="G167" s="155">
        <f t="shared" ref="G167:G168" si="14">F167-E167</f>
        <v>36765</v>
      </c>
      <c r="H167" s="99">
        <f>G167+'30'!H223</f>
        <v>36765</v>
      </c>
      <c r="I167" s="155"/>
      <c r="J167" s="178" t="e">
        <f>H167/DAY(B94)</f>
        <v>#DIV/0!</v>
      </c>
    </row>
    <row r="168" spans="1:10" ht="33" customHeight="1" x14ac:dyDescent="0.5">
      <c r="A168" s="840" t="s">
        <v>76</v>
      </c>
      <c r="B168" s="845"/>
      <c r="C168" s="841"/>
      <c r="D168" s="228" t="s">
        <v>142</v>
      </c>
      <c r="E168" s="155">
        <f>'30'!F224</f>
        <v>0</v>
      </c>
      <c r="F168" s="155">
        <v>20214</v>
      </c>
      <c r="G168" s="155">
        <f t="shared" si="14"/>
        <v>20214</v>
      </c>
      <c r="H168" s="99">
        <f>G168+'30'!H224</f>
        <v>20214</v>
      </c>
      <c r="I168" s="155"/>
      <c r="J168" s="178" t="e">
        <f>H168/DAY(B94)</f>
        <v>#DIV/0!</v>
      </c>
    </row>
    <row r="169" spans="1:10" ht="33" customHeight="1" x14ac:dyDescent="0.5">
      <c r="A169" s="840" t="s">
        <v>196</v>
      </c>
      <c r="B169" s="841"/>
      <c r="C169" s="333"/>
      <c r="D169" s="228"/>
      <c r="E169" s="155"/>
      <c r="F169" s="155"/>
      <c r="G169" s="155">
        <f>SUM(G166:G168)</f>
        <v>64940</v>
      </c>
      <c r="H169" s="99">
        <f>G169+'30'!H225</f>
        <v>64940</v>
      </c>
      <c r="I169" s="155"/>
      <c r="J169" s="178" t="e">
        <f>H169/DAY(B94)</f>
        <v>#DIV/0!</v>
      </c>
    </row>
    <row r="170" spans="1:10" ht="33" customHeight="1" x14ac:dyDescent="0.5">
      <c r="A170" s="840" t="s">
        <v>77</v>
      </c>
      <c r="B170" s="841"/>
      <c r="C170" s="333"/>
      <c r="D170" s="228" t="s">
        <v>142</v>
      </c>
      <c r="E170" s="155"/>
      <c r="F170" s="155"/>
      <c r="G170" s="155"/>
      <c r="H170" s="99">
        <f>G170+'30'!H226</f>
        <v>0</v>
      </c>
      <c r="I170" s="155"/>
      <c r="J170" s="178"/>
    </row>
    <row r="171" spans="1:10" ht="33" customHeight="1" x14ac:dyDescent="0.5">
      <c r="A171" s="840" t="s">
        <v>210</v>
      </c>
      <c r="B171" s="841"/>
      <c r="C171" s="333"/>
      <c r="D171" s="228" t="s">
        <v>142</v>
      </c>
      <c r="E171" s="155">
        <f>'30'!F227</f>
        <v>0</v>
      </c>
      <c r="F171" s="155">
        <v>69524</v>
      </c>
      <c r="G171" s="155">
        <f>F171-E171</f>
        <v>69524</v>
      </c>
      <c r="H171" s="99">
        <f>G171+'30'!H227</f>
        <v>69524</v>
      </c>
      <c r="I171" s="155"/>
      <c r="J171" s="178" t="e">
        <f>H171/DAY(B94)</f>
        <v>#DIV/0!</v>
      </c>
    </row>
    <row r="172" spans="1:10" ht="33" customHeight="1" x14ac:dyDescent="0.5">
      <c r="A172" s="840" t="s">
        <v>211</v>
      </c>
      <c r="B172" s="841"/>
      <c r="C172" s="333"/>
      <c r="D172" s="228" t="s">
        <v>142</v>
      </c>
      <c r="E172" s="155">
        <f>'30'!F228</f>
        <v>0</v>
      </c>
      <c r="F172" s="155">
        <v>33886</v>
      </c>
      <c r="G172" s="155">
        <f t="shared" ref="G172:G173" si="15">F172-E172</f>
        <v>33886</v>
      </c>
      <c r="H172" s="99">
        <f>G172+'30'!H228</f>
        <v>33886</v>
      </c>
      <c r="I172" s="155"/>
      <c r="J172" s="178" t="e">
        <f>H172/DAY(B94)</f>
        <v>#DIV/0!</v>
      </c>
    </row>
    <row r="173" spans="1:10" ht="33" customHeight="1" x14ac:dyDescent="0.5">
      <c r="A173" s="840" t="s">
        <v>212</v>
      </c>
      <c r="B173" s="841"/>
      <c r="C173" s="333"/>
      <c r="D173" s="228" t="s">
        <v>142</v>
      </c>
      <c r="E173" s="155">
        <f>'30'!F229</f>
        <v>0</v>
      </c>
      <c r="F173" s="155">
        <v>4788</v>
      </c>
      <c r="G173" s="155">
        <f t="shared" si="15"/>
        <v>4788</v>
      </c>
      <c r="H173" s="99">
        <f>G173+'30'!H229</f>
        <v>4788</v>
      </c>
      <c r="I173" s="155"/>
      <c r="J173" s="178" t="e">
        <f>H173/DAY(B94)</f>
        <v>#DIV/0!</v>
      </c>
    </row>
    <row r="174" spans="1:10" ht="33" customHeight="1" x14ac:dyDescent="0.5">
      <c r="A174" s="888" t="s">
        <v>108</v>
      </c>
      <c r="B174" s="889"/>
      <c r="C174" s="333"/>
      <c r="D174" s="228"/>
      <c r="E174" s="155"/>
      <c r="F174" s="155"/>
      <c r="G174" s="155">
        <f>SUM(G171:G173)</f>
        <v>108198</v>
      </c>
      <c r="H174" s="99">
        <f>G174+'30'!H230</f>
        <v>108198</v>
      </c>
      <c r="I174" s="155"/>
      <c r="J174" s="178" t="e">
        <f>H174/DAY(B94)</f>
        <v>#DIV/0!</v>
      </c>
    </row>
    <row r="175" spans="1:10" ht="33" customHeight="1" x14ac:dyDescent="0.5">
      <c r="A175" s="840" t="s">
        <v>213</v>
      </c>
      <c r="B175" s="841"/>
      <c r="C175" s="333"/>
      <c r="D175" s="228"/>
      <c r="E175" s="155"/>
      <c r="F175" s="155"/>
      <c r="G175" s="155"/>
      <c r="H175" s="99">
        <f>G175+'30'!H231</f>
        <v>0</v>
      </c>
      <c r="I175" s="155"/>
      <c r="J175" s="178" t="e">
        <f>H175/DAY(B94)</f>
        <v>#DIV/0!</v>
      </c>
    </row>
    <row r="176" spans="1:10" ht="33" customHeight="1" x14ac:dyDescent="0.5">
      <c r="A176" s="840" t="s">
        <v>214</v>
      </c>
      <c r="B176" s="841"/>
      <c r="C176" s="334"/>
      <c r="D176" s="228" t="s">
        <v>142</v>
      </c>
      <c r="E176" s="155">
        <f>'30'!F232</f>
        <v>0</v>
      </c>
      <c r="F176" s="157">
        <v>13038</v>
      </c>
      <c r="G176" s="157">
        <f>F176-E176</f>
        <v>13038</v>
      </c>
      <c r="H176" s="99">
        <f>G176+'30'!H232</f>
        <v>13038</v>
      </c>
      <c r="I176" s="155"/>
      <c r="J176" s="178" t="e">
        <f>H176/DAY(B94)</f>
        <v>#DIV/0!</v>
      </c>
    </row>
    <row r="177" spans="1:10" ht="33" customHeight="1" x14ac:dyDescent="0.5">
      <c r="A177" s="840" t="s">
        <v>215</v>
      </c>
      <c r="B177" s="841"/>
      <c r="C177" s="334"/>
      <c r="D177" s="228" t="s">
        <v>142</v>
      </c>
      <c r="E177" s="155">
        <f>'30'!F233</f>
        <v>0</v>
      </c>
      <c r="F177" s="157">
        <v>9126</v>
      </c>
      <c r="G177" s="157">
        <f t="shared" ref="G177:G178" si="16">F177-E177</f>
        <v>9126</v>
      </c>
      <c r="H177" s="99">
        <f>G177+'30'!H233</f>
        <v>9126</v>
      </c>
      <c r="I177" s="155"/>
      <c r="J177" s="178" t="e">
        <f>H177/DAY(B94)</f>
        <v>#DIV/0!</v>
      </c>
    </row>
    <row r="178" spans="1:10" ht="33" customHeight="1" x14ac:dyDescent="0.5">
      <c r="A178" s="840" t="s">
        <v>216</v>
      </c>
      <c r="B178" s="841"/>
      <c r="C178" s="334"/>
      <c r="D178" s="228" t="s">
        <v>142</v>
      </c>
      <c r="E178" s="157"/>
      <c r="F178" s="157"/>
      <c r="G178" s="157">
        <f t="shared" si="16"/>
        <v>0</v>
      </c>
      <c r="H178" s="99">
        <f>G178+'30'!H234</f>
        <v>0</v>
      </c>
      <c r="I178" s="155"/>
      <c r="J178" s="178" t="e">
        <f>H178/DAY(B94)</f>
        <v>#DIV/0!</v>
      </c>
    </row>
    <row r="179" spans="1:10" ht="33" customHeight="1" x14ac:dyDescent="0.5">
      <c r="A179" s="840" t="s">
        <v>196</v>
      </c>
      <c r="B179" s="841"/>
      <c r="C179" s="334"/>
      <c r="D179" s="229"/>
      <c r="E179" s="157"/>
      <c r="F179" s="157"/>
      <c r="G179" s="157">
        <f>SUM(G176:G178)</f>
        <v>22164</v>
      </c>
      <c r="H179" s="99">
        <f>G179+'30'!H235</f>
        <v>22164</v>
      </c>
      <c r="I179" s="157"/>
      <c r="J179" s="178" t="e">
        <f>H179/DAY(B94)</f>
        <v>#DIV/0!</v>
      </c>
    </row>
    <row r="180" spans="1:10" ht="33" customHeight="1" x14ac:dyDescent="0.5">
      <c r="A180" s="888" t="s">
        <v>217</v>
      </c>
      <c r="B180" s="889"/>
      <c r="C180" s="333"/>
      <c r="D180" s="230" t="s">
        <v>142</v>
      </c>
      <c r="E180" s="159"/>
      <c r="F180" s="159"/>
      <c r="G180" s="159">
        <f>SUM(G111+G154)</f>
        <v>463315</v>
      </c>
      <c r="H180" s="99">
        <f>G180+'30'!H236</f>
        <v>463315</v>
      </c>
      <c r="I180" s="158"/>
      <c r="J180" s="179" t="e">
        <f>H180/DAY(B94)</f>
        <v>#DIV/0!</v>
      </c>
    </row>
    <row r="181" spans="1:10" ht="33" customHeight="1" x14ac:dyDescent="0.5">
      <c r="A181" s="888" t="s">
        <v>218</v>
      </c>
      <c r="B181" s="889"/>
      <c r="C181" s="333"/>
      <c r="D181" s="230" t="s">
        <v>142</v>
      </c>
      <c r="E181" s="159"/>
      <c r="F181" s="159"/>
      <c r="G181" s="159">
        <f>SUM(G157,G158,G159,G161,G162)</f>
        <v>32357</v>
      </c>
      <c r="H181" s="99">
        <f>G181+'30'!H237</f>
        <v>32357</v>
      </c>
      <c r="I181" s="158"/>
      <c r="J181" s="179" t="e">
        <f>H181/DAY(B94)</f>
        <v>#DIV/0!</v>
      </c>
    </row>
    <row r="182" spans="1:10" ht="33" customHeight="1" x14ac:dyDescent="0.5">
      <c r="A182" s="888" t="s">
        <v>219</v>
      </c>
      <c r="B182" s="889"/>
      <c r="C182" s="333"/>
      <c r="D182" s="230" t="s">
        <v>142</v>
      </c>
      <c r="E182" s="157"/>
      <c r="F182" s="157"/>
      <c r="G182" s="157">
        <f>SUM(G174)</f>
        <v>108198</v>
      </c>
      <c r="H182" s="99">
        <f>G182+'30'!H238</f>
        <v>108198</v>
      </c>
      <c r="I182" s="158"/>
      <c r="J182" s="179" t="e">
        <f>H182/DAY(B94)</f>
        <v>#DIV/0!</v>
      </c>
    </row>
    <row r="183" spans="1:10" ht="33" customHeight="1" x14ac:dyDescent="0.5">
      <c r="A183" s="888"/>
      <c r="B183" s="889"/>
      <c r="C183" s="333"/>
      <c r="D183" s="180"/>
      <c r="E183" s="180" t="s">
        <v>207</v>
      </c>
      <c r="F183" s="180"/>
      <c r="G183" s="180"/>
      <c r="H183" s="181"/>
      <c r="I183" s="180"/>
      <c r="J183" s="182"/>
    </row>
  </sheetData>
  <mergeCells count="105">
    <mergeCell ref="A183:B183"/>
    <mergeCell ref="A164:J164"/>
    <mergeCell ref="A81:C81"/>
    <mergeCell ref="A125:C125"/>
    <mergeCell ref="A135:C135"/>
    <mergeCell ref="A136:C136"/>
    <mergeCell ref="A112:C112"/>
    <mergeCell ref="A94:C94"/>
    <mergeCell ref="A111:J111"/>
    <mergeCell ref="A82:C82"/>
    <mergeCell ref="A177:B177"/>
    <mergeCell ref="A178:B178"/>
    <mergeCell ref="A179:B179"/>
    <mergeCell ref="A180:B180"/>
    <mergeCell ref="A181:B181"/>
    <mergeCell ref="A182:B182"/>
    <mergeCell ref="A171:B171"/>
    <mergeCell ref="A172:B172"/>
    <mergeCell ref="A173:B173"/>
    <mergeCell ref="A174:B174"/>
    <mergeCell ref="A175:B175"/>
    <mergeCell ref="A176:B176"/>
    <mergeCell ref="A165:B165"/>
    <mergeCell ref="A166:B166"/>
    <mergeCell ref="A167:B167"/>
    <mergeCell ref="A168:C168"/>
    <mergeCell ref="A169:B169"/>
    <mergeCell ref="A170:B170"/>
    <mergeCell ref="A160:B160"/>
    <mergeCell ref="A161:B161"/>
    <mergeCell ref="A75:C75"/>
    <mergeCell ref="A76:C76"/>
    <mergeCell ref="A78:C78"/>
    <mergeCell ref="A79:C79"/>
    <mergeCell ref="A80:C80"/>
    <mergeCell ref="A115:C115"/>
    <mergeCell ref="A116:C116"/>
    <mergeCell ref="A117:C117"/>
    <mergeCell ref="A118:C118"/>
    <mergeCell ref="A153:J153"/>
    <mergeCell ref="A159:B159"/>
    <mergeCell ref="A146:C146"/>
    <mergeCell ref="A147:C147"/>
    <mergeCell ref="A148:C148"/>
    <mergeCell ref="A149:C149"/>
    <mergeCell ref="A150:C150"/>
    <mergeCell ref="A127:J127"/>
    <mergeCell ref="A137:J137"/>
    <mergeCell ref="A145:C145"/>
    <mergeCell ref="A134:C134"/>
    <mergeCell ref="A133:C133"/>
    <mergeCell ref="A139:C139"/>
    <mergeCell ref="A140:C140"/>
    <mergeCell ref="A141:C141"/>
    <mergeCell ref="A142:C142"/>
    <mergeCell ref="A143:C143"/>
    <mergeCell ref="A144:C144"/>
    <mergeCell ref="Q117:R117"/>
    <mergeCell ref="Q118:R118"/>
    <mergeCell ref="Q119:R119"/>
    <mergeCell ref="A132:C132"/>
    <mergeCell ref="A129:C129"/>
    <mergeCell ref="A123:C123"/>
    <mergeCell ref="A124:C124"/>
    <mergeCell ref="A126:B126"/>
    <mergeCell ref="A128:B128"/>
    <mergeCell ref="A105:C105"/>
    <mergeCell ref="A106:C106"/>
    <mergeCell ref="A119:C119"/>
    <mergeCell ref="A120:C120"/>
    <mergeCell ref="A121:C121"/>
    <mergeCell ref="A122:C122"/>
    <mergeCell ref="A109:J109"/>
    <mergeCell ref="A110:B110"/>
    <mergeCell ref="A113:C113"/>
    <mergeCell ref="A114:C114"/>
    <mergeCell ref="A99:C99"/>
    <mergeCell ref="A100:C100"/>
    <mergeCell ref="A101:C101"/>
    <mergeCell ref="A102:C102"/>
    <mergeCell ref="A103:C103"/>
    <mergeCell ref="A104:C104"/>
    <mergeCell ref="A77:C77"/>
    <mergeCell ref="A95:C95"/>
    <mergeCell ref="A96:C96"/>
    <mergeCell ref="A97:C97"/>
    <mergeCell ref="A98:C98"/>
    <mergeCell ref="A1:J1"/>
    <mergeCell ref="E3:F3"/>
    <mergeCell ref="A6:C6"/>
    <mergeCell ref="A15:C15"/>
    <mergeCell ref="A18:C18"/>
    <mergeCell ref="A19:C19"/>
    <mergeCell ref="A73:B73"/>
    <mergeCell ref="A74:C74"/>
    <mergeCell ref="A64:C64"/>
    <mergeCell ref="A65:C65"/>
    <mergeCell ref="A66:C66"/>
    <mergeCell ref="A72:C72"/>
    <mergeCell ref="A63:C63"/>
    <mergeCell ref="A62:C62"/>
    <mergeCell ref="A20:C20"/>
    <mergeCell ref="A22:C22"/>
    <mergeCell ref="A26:C26"/>
    <mergeCell ref="A34:C34"/>
  </mergeCells>
  <pageMargins left="0.7" right="0.7" top="0.75" bottom="0.75" header="0.3" footer="0.3"/>
  <pageSetup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39</vt:i4>
      </vt:variant>
      <vt:variant>
        <vt:lpstr>Named Ranges</vt:lpstr>
      </vt:variant>
      <vt:variant>
        <vt:i4>28</vt:i4>
      </vt:variant>
    </vt:vector>
  </HeadingPairs>
  <TitlesOfParts>
    <vt:vector size="67" baseType="lpstr">
      <vt:lpstr>TOTAL</vt:lpstr>
      <vt:lpstr>Submetering</vt:lpstr>
      <vt:lpstr>Daily HLP</vt:lpstr>
      <vt:lpstr>Occupancy</vt:lpstr>
      <vt:lpstr>Water Report</vt:lpstr>
      <vt:lpstr>Section Load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 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31</vt:lpstr>
      <vt:lpstr>Daily HLP (2)</vt:lpstr>
      <vt:lpstr>Sheet1</vt:lpstr>
      <vt:lpstr>'1'!Print_Area</vt:lpstr>
      <vt:lpstr>'10'!Print_Area</vt:lpstr>
      <vt:lpstr>'13'!Print_Area</vt:lpstr>
      <vt:lpstr>'14'!Print_Area</vt:lpstr>
      <vt:lpstr>'15'!Print_Area</vt:lpstr>
      <vt:lpstr>'16'!Print_Area</vt:lpstr>
      <vt:lpstr>'17'!Print_Area</vt:lpstr>
      <vt:lpstr>'18 '!Print_Area</vt:lpstr>
      <vt:lpstr>'19'!Print_Area</vt:lpstr>
      <vt:lpstr>'20'!Print_Area</vt:lpstr>
      <vt:lpstr>'21'!Print_Area</vt:lpstr>
      <vt:lpstr>'22'!Print_Area</vt:lpstr>
      <vt:lpstr>'23'!Print_Area</vt:lpstr>
      <vt:lpstr>'24'!Print_Area</vt:lpstr>
      <vt:lpstr>'25'!Print_Area</vt:lpstr>
      <vt:lpstr>'26'!Print_Area</vt:lpstr>
      <vt:lpstr>'27'!Print_Area</vt:lpstr>
      <vt:lpstr>'28'!Print_Area</vt:lpstr>
      <vt:lpstr>'29'!Print_Area</vt:lpstr>
      <vt:lpstr>'3'!Print_Area</vt:lpstr>
      <vt:lpstr>'30'!Print_Area</vt:lpstr>
      <vt:lpstr>'31'!Print_Area</vt:lpstr>
      <vt:lpstr>'4'!Print_Area</vt:lpstr>
      <vt:lpstr>'5'!Print_Area</vt:lpstr>
      <vt:lpstr>'6'!Print_Area</vt:lpstr>
      <vt:lpstr>'7'!Print_Area</vt:lpstr>
      <vt:lpstr>'8'!Print_Area</vt:lpstr>
      <vt:lpstr>'9'!Print_Area</vt:lpstr>
    </vt:vector>
  </TitlesOfParts>
  <Company>FS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mum.engg</dc:creator>
  <cp:lastModifiedBy>Sudhakar.Appa</cp:lastModifiedBy>
  <cp:revision/>
  <cp:lastPrinted>2021-08-31T02:26:59Z</cp:lastPrinted>
  <dcterms:created xsi:type="dcterms:W3CDTF">2013-11-14T06:06:34Z</dcterms:created>
  <dcterms:modified xsi:type="dcterms:W3CDTF">2022-01-27T05:23:43Z</dcterms:modified>
</cp:coreProperties>
</file>