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10 au 31.10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01.10 au 31.10'!$A$1:$AE$49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46" i="6" l="1"/>
  <c r="E46" i="6"/>
  <c r="C46" i="6"/>
  <c r="G41" i="4"/>
  <c r="E41" i="4"/>
  <c r="C41" i="4"/>
  <c r="W11" i="10" l="1"/>
  <c r="W12" i="10"/>
  <c r="W13" i="10"/>
  <c r="W14" i="10"/>
  <c r="W15" i="10"/>
  <c r="W16" i="10"/>
  <c r="W17" i="10"/>
  <c r="W18" i="10"/>
  <c r="W19" i="10"/>
  <c r="W20" i="10"/>
  <c r="W21" i="10"/>
  <c r="W22" i="10"/>
  <c r="W23" i="10"/>
  <c r="W24" i="10"/>
  <c r="W25" i="10"/>
  <c r="W26" i="10"/>
  <c r="W27" i="10"/>
  <c r="W28" i="10"/>
  <c r="W29" i="10"/>
  <c r="W30" i="10"/>
  <c r="W31" i="10"/>
  <c r="W32" i="10"/>
  <c r="W33" i="10"/>
  <c r="W34" i="10"/>
  <c r="W35" i="10"/>
  <c r="W36" i="10"/>
  <c r="W37" i="10"/>
  <c r="W38" i="10"/>
  <c r="W39" i="10"/>
  <c r="W10" i="10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2" i="4"/>
  <c r="P10" i="4"/>
  <c r="G45" i="6"/>
  <c r="E45" i="6"/>
  <c r="C45" i="6"/>
  <c r="G44" i="6"/>
  <c r="E44" i="6"/>
  <c r="C44" i="6"/>
  <c r="G43" i="6"/>
  <c r="E43" i="6"/>
  <c r="C43" i="6"/>
  <c r="G42" i="6"/>
  <c r="E42" i="6"/>
  <c r="C42" i="6"/>
  <c r="G41" i="6"/>
  <c r="E41" i="6"/>
  <c r="C41" i="6"/>
  <c r="G39" i="4"/>
  <c r="E39" i="4"/>
  <c r="C39" i="4"/>
  <c r="G38" i="4"/>
  <c r="E38" i="4"/>
  <c r="C38" i="4"/>
  <c r="G37" i="4"/>
  <c r="E37" i="4"/>
  <c r="C37" i="4"/>
  <c r="G36" i="4"/>
  <c r="E36" i="4"/>
  <c r="C36" i="4"/>
  <c r="G35" i="4"/>
  <c r="E35" i="4"/>
  <c r="C35" i="4"/>
  <c r="G40" i="6" l="1"/>
  <c r="E40" i="6"/>
  <c r="C40" i="6"/>
  <c r="G39" i="6" l="1"/>
  <c r="E39" i="6"/>
  <c r="C39" i="6"/>
  <c r="G34" i="4"/>
  <c r="E34" i="4"/>
  <c r="C34" i="4"/>
  <c r="Y34" i="10" l="1"/>
  <c r="Y35" i="10"/>
  <c r="Y36" i="10"/>
  <c r="Y37" i="10"/>
  <c r="Y38" i="10"/>
  <c r="Y39" i="10"/>
  <c r="Y40" i="10"/>
  <c r="Y31" i="10"/>
  <c r="Y32" i="10"/>
  <c r="Y33" i="10"/>
  <c r="G38" i="6"/>
  <c r="E38" i="6"/>
  <c r="C38" i="6"/>
  <c r="G37" i="6"/>
  <c r="E37" i="6"/>
  <c r="C37" i="6"/>
  <c r="G33" i="4"/>
  <c r="E33" i="4"/>
  <c r="C33" i="4"/>
  <c r="G32" i="4"/>
  <c r="E32" i="4"/>
  <c r="C32" i="4"/>
  <c r="G36" i="6" l="1"/>
  <c r="E36" i="6"/>
  <c r="C36" i="6"/>
  <c r="G31" i="4"/>
  <c r="E31" i="4"/>
  <c r="C31" i="4"/>
  <c r="G35" i="6" l="1"/>
  <c r="E35" i="6"/>
  <c r="C35" i="6"/>
  <c r="E20" i="4"/>
  <c r="E21" i="4"/>
  <c r="E22" i="4"/>
  <c r="E23" i="4"/>
  <c r="E24" i="4"/>
  <c r="E25" i="4"/>
  <c r="E26" i="4"/>
  <c r="E27" i="4"/>
  <c r="E28" i="4"/>
  <c r="E29" i="4"/>
  <c r="E30" i="4"/>
  <c r="C20" i="4"/>
  <c r="C21" i="4"/>
  <c r="C22" i="4"/>
  <c r="C23" i="4"/>
  <c r="C24" i="4"/>
  <c r="C25" i="4"/>
  <c r="C26" i="4"/>
  <c r="C27" i="4"/>
  <c r="C28" i="4"/>
  <c r="C29" i="4"/>
  <c r="C30" i="4"/>
  <c r="G30" i="4"/>
  <c r="G34" i="6" l="1"/>
  <c r="E34" i="6"/>
  <c r="C34" i="6"/>
  <c r="G33" i="6" l="1"/>
  <c r="E33" i="6"/>
  <c r="C33" i="6"/>
  <c r="G32" i="6"/>
  <c r="E32" i="6"/>
  <c r="C32" i="6"/>
  <c r="G31" i="6"/>
  <c r="E31" i="6"/>
  <c r="C31" i="6"/>
  <c r="G30" i="6"/>
  <c r="E30" i="6"/>
  <c r="C30" i="6"/>
  <c r="G28" i="4"/>
  <c r="G27" i="4"/>
  <c r="G26" i="4"/>
  <c r="G25" i="4"/>
  <c r="G29" i="6" l="1"/>
  <c r="E29" i="6"/>
  <c r="C29" i="6"/>
  <c r="G24" i="4"/>
  <c r="G28" i="6" l="1"/>
  <c r="E28" i="6"/>
  <c r="C28" i="6"/>
  <c r="G23" i="4"/>
  <c r="G27" i="6" l="1"/>
  <c r="E27" i="6"/>
  <c r="C27" i="6"/>
  <c r="G26" i="6"/>
  <c r="E26" i="6"/>
  <c r="C26" i="6"/>
  <c r="G25" i="6"/>
  <c r="E25" i="6"/>
  <c r="C25" i="6"/>
  <c r="G24" i="6"/>
  <c r="E24" i="6"/>
  <c r="C24" i="6"/>
  <c r="G23" i="6"/>
  <c r="E23" i="6"/>
  <c r="C23" i="6"/>
  <c r="G22" i="4"/>
  <c r="G21" i="4"/>
  <c r="G20" i="4"/>
  <c r="G19" i="4"/>
  <c r="E19" i="4"/>
  <c r="C19" i="4"/>
  <c r="G22" i="6" l="1"/>
  <c r="E22" i="6"/>
  <c r="C22" i="6"/>
  <c r="G17" i="4"/>
  <c r="E17" i="4"/>
  <c r="C17" i="4"/>
  <c r="G21" i="6" l="1"/>
  <c r="E21" i="6"/>
  <c r="C21" i="6"/>
  <c r="G16" i="4"/>
  <c r="E16" i="4"/>
  <c r="C16" i="4"/>
  <c r="G20" i="6" l="1"/>
  <c r="E20" i="6"/>
  <c r="C20" i="6"/>
  <c r="G15" i="4"/>
  <c r="E15" i="4"/>
  <c r="C15" i="4"/>
  <c r="G19" i="6" l="1"/>
  <c r="E19" i="6"/>
  <c r="C19" i="6"/>
  <c r="G18" i="6"/>
  <c r="E18" i="6"/>
  <c r="C18" i="6"/>
  <c r="G17" i="6"/>
  <c r="E17" i="6"/>
  <c r="C17" i="6"/>
  <c r="G14" i="4"/>
  <c r="E14" i="4"/>
  <c r="C14" i="4"/>
  <c r="G13" i="4"/>
  <c r="E13" i="4"/>
  <c r="C13" i="4"/>
  <c r="G12" i="4"/>
  <c r="E12" i="4"/>
  <c r="C12" i="4"/>
  <c r="AC5" i="4" l="1"/>
  <c r="AC6" i="4"/>
  <c r="AC7" i="4"/>
  <c r="AC8" i="4"/>
  <c r="E8" i="4" s="1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G42" i="4" s="1"/>
  <c r="J12" i="10"/>
  <c r="K12" i="10"/>
  <c r="J13" i="10"/>
  <c r="K13" i="10"/>
  <c r="J14" i="10"/>
  <c r="K14" i="10"/>
  <c r="J15" i="10"/>
  <c r="K15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J25" i="10"/>
  <c r="K25" i="10"/>
  <c r="J26" i="10"/>
  <c r="K26" i="10"/>
  <c r="J27" i="10"/>
  <c r="K27" i="10"/>
  <c r="J28" i="10"/>
  <c r="K28" i="10"/>
  <c r="J29" i="10"/>
  <c r="K29" i="10"/>
  <c r="J30" i="10"/>
  <c r="K30" i="10"/>
  <c r="J31" i="10"/>
  <c r="K31" i="10"/>
  <c r="J32" i="10"/>
  <c r="K32" i="10"/>
  <c r="J33" i="10"/>
  <c r="K33" i="10"/>
  <c r="J34" i="10"/>
  <c r="K34" i="10"/>
  <c r="J35" i="10"/>
  <c r="K35" i="10"/>
  <c r="J36" i="10"/>
  <c r="K36" i="10"/>
  <c r="J37" i="10"/>
  <c r="K37" i="10"/>
  <c r="J38" i="10"/>
  <c r="K38" i="10"/>
  <c r="J39" i="10"/>
  <c r="K39" i="10"/>
  <c r="J40" i="10"/>
  <c r="K4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L10" i="10"/>
  <c r="K10" i="10"/>
  <c r="J10" i="10"/>
  <c r="D10" i="10"/>
  <c r="G11" i="4"/>
  <c r="E11" i="4"/>
  <c r="C11" i="4"/>
  <c r="G16" i="6"/>
  <c r="K11" i="10" s="1"/>
  <c r="E16" i="6"/>
  <c r="J11" i="10" s="1"/>
  <c r="C16" i="6"/>
  <c r="Z43" i="4"/>
  <c r="W43" i="4"/>
  <c r="T43" i="4"/>
  <c r="Q43" i="4"/>
  <c r="C47" i="6"/>
  <c r="E47" i="6"/>
  <c r="G47" i="6"/>
  <c r="G15" i="6"/>
  <c r="G48" i="6" s="1"/>
  <c r="E15" i="6"/>
  <c r="C15" i="6"/>
  <c r="C48" i="6" s="1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C42" i="4"/>
  <c r="E42" i="4"/>
  <c r="M11" i="4"/>
  <c r="J11" i="4"/>
  <c r="K11" i="4" s="1"/>
  <c r="M10" i="4"/>
  <c r="K10" i="4"/>
  <c r="J10" i="4"/>
  <c r="M9" i="4"/>
  <c r="J9" i="4"/>
  <c r="K9" i="4" s="1"/>
  <c r="M8" i="4"/>
  <c r="J8" i="4"/>
  <c r="K8" i="4" s="1"/>
  <c r="I8" i="4"/>
  <c r="G8" i="4"/>
  <c r="M7" i="4"/>
  <c r="J7" i="4"/>
  <c r="K7" i="4" s="1"/>
  <c r="M6" i="4"/>
  <c r="J6" i="4"/>
  <c r="K6" i="4" s="1"/>
  <c r="M5" i="4"/>
  <c r="J5" i="4"/>
  <c r="K5" i="4" s="1"/>
  <c r="M4" i="4"/>
  <c r="K4" i="4"/>
  <c r="J4" i="4"/>
  <c r="M32" i="13"/>
  <c r="B32" i="13"/>
  <c r="C40" i="4" l="1"/>
  <c r="G40" i="4"/>
  <c r="E40" i="4"/>
  <c r="G29" i="4"/>
  <c r="C18" i="4"/>
  <c r="G18" i="4"/>
  <c r="E18" i="4"/>
  <c r="E48" i="6"/>
  <c r="AC43" i="4"/>
  <c r="C8" i="4"/>
  <c r="L8" i="4"/>
  <c r="N8" i="4" s="1"/>
  <c r="O8" i="4" s="1"/>
  <c r="P8" i="4" s="1"/>
  <c r="M40" i="4" l="1"/>
  <c r="J40" i="4"/>
  <c r="K40" i="4" s="1"/>
  <c r="M39" i="4"/>
  <c r="J39" i="4"/>
  <c r="K39" i="4" s="1"/>
  <c r="I23" i="6" l="1"/>
  <c r="L18" i="10" s="1"/>
  <c r="I24" i="6"/>
  <c r="L19" i="10" s="1"/>
  <c r="I25" i="6"/>
  <c r="L20" i="10" s="1"/>
  <c r="I26" i="6"/>
  <c r="L21" i="10" s="1"/>
  <c r="I27" i="6"/>
  <c r="L22" i="10" s="1"/>
  <c r="I28" i="6"/>
  <c r="L23" i="10" s="1"/>
  <c r="I29" i="6"/>
  <c r="L24" i="10" s="1"/>
  <c r="I30" i="6"/>
  <c r="L25" i="10" s="1"/>
  <c r="I31" i="6"/>
  <c r="L26" i="10" s="1"/>
  <c r="I32" i="6"/>
  <c r="L27" i="10" s="1"/>
  <c r="I33" i="6"/>
  <c r="L28" i="10" s="1"/>
  <c r="I34" i="6"/>
  <c r="L29" i="10" s="1"/>
  <c r="I35" i="6"/>
  <c r="L30" i="10" s="1"/>
  <c r="I36" i="6"/>
  <c r="L31" i="10" s="1"/>
  <c r="I37" i="6"/>
  <c r="L32" i="10" s="1"/>
  <c r="I38" i="6"/>
  <c r="L33" i="10" s="1"/>
  <c r="I39" i="6"/>
  <c r="L34" i="10" s="1"/>
  <c r="I40" i="6"/>
  <c r="L35" i="10" s="1"/>
  <c r="I41" i="6"/>
  <c r="L36" i="10" s="1"/>
  <c r="I42" i="6"/>
  <c r="L37" i="10" s="1"/>
  <c r="I43" i="6"/>
  <c r="L38" i="10" s="1"/>
  <c r="I44" i="6"/>
  <c r="L39" i="10" s="1"/>
  <c r="I45" i="6"/>
  <c r="L40" i="10" s="1"/>
  <c r="I46" i="6"/>
  <c r="I47" i="6"/>
  <c r="I21" i="6"/>
  <c r="L16" i="10" s="1"/>
  <c r="I22" i="6"/>
  <c r="L17" i="10" s="1"/>
  <c r="I17" i="6" l="1"/>
  <c r="L12" i="10" s="1"/>
  <c r="I18" i="6"/>
  <c r="L13" i="10" s="1"/>
  <c r="I19" i="6"/>
  <c r="L14" i="10" s="1"/>
  <c r="I20" i="6"/>
  <c r="L15" i="10" s="1"/>
  <c r="K32" i="13" l="1"/>
  <c r="I20" i="4" l="1"/>
  <c r="J41" i="10" l="1"/>
  <c r="K41" i="10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I23" i="13"/>
  <c r="I24" i="13"/>
  <c r="I26" i="13"/>
  <c r="I27" i="13"/>
  <c r="I28" i="13"/>
  <c r="I29" i="13"/>
  <c r="I30" i="13"/>
  <c r="I31" i="13"/>
  <c r="I32" i="13"/>
  <c r="K3" i="13"/>
  <c r="B11" i="10"/>
  <c r="B12" i="10" s="1"/>
  <c r="K6" i="13"/>
  <c r="F25" i="10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L11" i="10" s="1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J12" i="4"/>
  <c r="K12" i="4" s="1"/>
  <c r="M12" i="4"/>
  <c r="AD12" i="4"/>
  <c r="AE12" i="4"/>
  <c r="J13" i="4"/>
  <c r="K13" i="4" s="1"/>
  <c r="M13" i="4"/>
  <c r="I13" i="4"/>
  <c r="AD13" i="4"/>
  <c r="AE13" i="4"/>
  <c r="J14" i="4"/>
  <c r="K14" i="4" s="1"/>
  <c r="M14" i="4"/>
  <c r="AD14" i="4"/>
  <c r="AE14" i="4"/>
  <c r="J15" i="4"/>
  <c r="K15" i="4" s="1"/>
  <c r="M15" i="4"/>
  <c r="AD15" i="4"/>
  <c r="AE15" i="4"/>
  <c r="J16" i="4"/>
  <c r="K16" i="4" s="1"/>
  <c r="M16" i="4"/>
  <c r="AD16" i="4"/>
  <c r="AE16" i="4"/>
  <c r="J17" i="4"/>
  <c r="K17" i="4" s="1"/>
  <c r="M17" i="4"/>
  <c r="AD17" i="4"/>
  <c r="AE17" i="4"/>
  <c r="J18" i="4"/>
  <c r="K18" i="4" s="1"/>
  <c r="M18" i="4"/>
  <c r="AD18" i="4"/>
  <c r="AE18" i="4"/>
  <c r="J19" i="4"/>
  <c r="K19" i="4" s="1"/>
  <c r="M19" i="4"/>
  <c r="AD19" i="4"/>
  <c r="AE19" i="4"/>
  <c r="J20" i="4"/>
  <c r="K20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J26" i="4"/>
  <c r="K26" i="4" s="1"/>
  <c r="M26" i="4"/>
  <c r="AD26" i="4"/>
  <c r="AE26" i="4"/>
  <c r="J27" i="4"/>
  <c r="K27" i="4" s="1"/>
  <c r="M27" i="4"/>
  <c r="AD27" i="4"/>
  <c r="AE27" i="4"/>
  <c r="J28" i="4"/>
  <c r="K28" i="4" s="1"/>
  <c r="M28" i="4"/>
  <c r="AD28" i="4"/>
  <c r="AE28" i="4"/>
  <c r="J29" i="4"/>
  <c r="K29" i="4" s="1"/>
  <c r="M29" i="4"/>
  <c r="AD29" i="4"/>
  <c r="AE29" i="4"/>
  <c r="J30" i="4"/>
  <c r="K30" i="4" s="1"/>
  <c r="M30" i="4"/>
  <c r="AD30" i="4"/>
  <c r="AE30" i="4"/>
  <c r="J31" i="4"/>
  <c r="K31" i="4" s="1"/>
  <c r="M31" i="4"/>
  <c r="AD31" i="4"/>
  <c r="AE31" i="4"/>
  <c r="J32" i="4"/>
  <c r="K32" i="4" s="1"/>
  <c r="M32" i="4"/>
  <c r="AD32" i="4"/>
  <c r="AE32" i="4"/>
  <c r="J33" i="4"/>
  <c r="K33" i="4" s="1"/>
  <c r="M33" i="4"/>
  <c r="AD33" i="4"/>
  <c r="AE33" i="4"/>
  <c r="J34" i="4"/>
  <c r="K34" i="4" s="1"/>
  <c r="M34" i="4"/>
  <c r="AD34" i="4"/>
  <c r="AE34" i="4"/>
  <c r="J35" i="4"/>
  <c r="K35" i="4" s="1"/>
  <c r="M35" i="4"/>
  <c r="AD35" i="4"/>
  <c r="AE35" i="4"/>
  <c r="J36" i="4"/>
  <c r="K36" i="4" s="1"/>
  <c r="M36" i="4"/>
  <c r="AD36" i="4"/>
  <c r="AE36" i="4"/>
  <c r="J37" i="4"/>
  <c r="K37" i="4" s="1"/>
  <c r="M37" i="4"/>
  <c r="AD37" i="4"/>
  <c r="AE37" i="4"/>
  <c r="J38" i="4"/>
  <c r="K38" i="4" s="1"/>
  <c r="M38" i="4"/>
  <c r="AD38" i="4"/>
  <c r="AE38" i="4"/>
  <c r="AD39" i="4"/>
  <c r="AE39" i="4"/>
  <c r="AD40" i="4"/>
  <c r="AE40" i="4"/>
  <c r="J41" i="4"/>
  <c r="K41" i="4" s="1"/>
  <c r="M41" i="4"/>
  <c r="AD41" i="4"/>
  <c r="AE41" i="4"/>
  <c r="J42" i="4"/>
  <c r="K42" i="4" s="1"/>
  <c r="M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34" i="4"/>
  <c r="I23" i="4"/>
  <c r="I12" i="4"/>
  <c r="F26" i="10"/>
  <c r="F29" i="10"/>
  <c r="F31" i="10"/>
  <c r="F35" i="10"/>
  <c r="K2" i="13"/>
  <c r="F27" i="10"/>
  <c r="F33" i="10"/>
  <c r="F10" i="10"/>
  <c r="K7" i="13"/>
  <c r="K14" i="13"/>
  <c r="K16" i="13"/>
  <c r="I48" i="6" l="1"/>
  <c r="L13" i="4"/>
  <c r="N13" i="4" s="1"/>
  <c r="O13" i="4" s="1"/>
  <c r="U13" i="10" s="1"/>
  <c r="L6" i="4"/>
  <c r="N6" i="4" s="1"/>
  <c r="O6" i="4" s="1"/>
  <c r="P6" i="4" s="1"/>
  <c r="C6" i="4"/>
  <c r="I6" i="4"/>
  <c r="G6" i="4"/>
  <c r="E6" i="4"/>
  <c r="I4" i="4"/>
  <c r="G4" i="4"/>
  <c r="E4" i="4"/>
  <c r="L4" i="4"/>
  <c r="N4" i="4" s="1"/>
  <c r="O4" i="4" s="1"/>
  <c r="P4" i="4" s="1"/>
  <c r="C4" i="4"/>
  <c r="I10" i="4"/>
  <c r="G10" i="4"/>
  <c r="G43" i="4" s="1"/>
  <c r="E10" i="4"/>
  <c r="E43" i="4" s="1"/>
  <c r="L10" i="4"/>
  <c r="N10" i="4" s="1"/>
  <c r="C10" i="4"/>
  <c r="E7" i="4"/>
  <c r="L7" i="4"/>
  <c r="N7" i="4" s="1"/>
  <c r="O7" i="4" s="1"/>
  <c r="P7" i="4" s="1"/>
  <c r="C7" i="4"/>
  <c r="I7" i="4"/>
  <c r="G7" i="4"/>
  <c r="I5" i="4"/>
  <c r="G5" i="4"/>
  <c r="E5" i="4"/>
  <c r="L5" i="4"/>
  <c r="N5" i="4" s="1"/>
  <c r="O5" i="4" s="1"/>
  <c r="P5" i="4" s="1"/>
  <c r="C5" i="4"/>
  <c r="I11" i="4"/>
  <c r="L11" i="4"/>
  <c r="N11" i="4" s="1"/>
  <c r="O11" i="4" s="1"/>
  <c r="I9" i="4"/>
  <c r="G9" i="4"/>
  <c r="E9" i="4"/>
  <c r="L9" i="4"/>
  <c r="N9" i="4" s="1"/>
  <c r="O9" i="4" s="1"/>
  <c r="P9" i="4" s="1"/>
  <c r="C9" i="4"/>
  <c r="I40" i="4"/>
  <c r="L40" i="4"/>
  <c r="N40" i="4" s="1"/>
  <c r="O40" i="4" s="1"/>
  <c r="P40" i="4" s="1"/>
  <c r="I39" i="4"/>
  <c r="L39" i="4"/>
  <c r="N39" i="4" s="1"/>
  <c r="O39" i="4" s="1"/>
  <c r="K48" i="4"/>
  <c r="L48" i="4" s="1"/>
  <c r="M48" i="4" s="1"/>
  <c r="Z17" i="10"/>
  <c r="L26" i="4"/>
  <c r="N26" i="4" s="1"/>
  <c r="O26" i="4" s="1"/>
  <c r="U26" i="10" s="1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Y41" i="10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I19" i="4"/>
  <c r="M30" i="10"/>
  <c r="E22" i="13" s="1"/>
  <c r="I41" i="4"/>
  <c r="L25" i="4"/>
  <c r="N25" i="4" s="1"/>
  <c r="O25" i="4" s="1"/>
  <c r="U25" i="10" s="1"/>
  <c r="I21" i="4"/>
  <c r="I18" i="4"/>
  <c r="I15" i="4"/>
  <c r="M40" i="10"/>
  <c r="E32" i="13" s="1"/>
  <c r="Z38" i="10"/>
  <c r="L36" i="4"/>
  <c r="N36" i="4" s="1"/>
  <c r="O36" i="4" s="1"/>
  <c r="U36" i="10" s="1"/>
  <c r="L24" i="4"/>
  <c r="N24" i="4" s="1"/>
  <c r="O24" i="4" s="1"/>
  <c r="U24" i="10" s="1"/>
  <c r="L21" i="4"/>
  <c r="N21" i="4" s="1"/>
  <c r="O21" i="4" s="1"/>
  <c r="U21" i="10" s="1"/>
  <c r="I17" i="4"/>
  <c r="I14" i="4"/>
  <c r="I27" i="4"/>
  <c r="Z34" i="10"/>
  <c r="L23" i="4"/>
  <c r="N23" i="4" s="1"/>
  <c r="O23" i="4" s="1"/>
  <c r="U23" i="10" s="1"/>
  <c r="L17" i="4"/>
  <c r="N17" i="4" s="1"/>
  <c r="O17" i="4" s="1"/>
  <c r="U17" i="10" s="1"/>
  <c r="L12" i="4"/>
  <c r="N12" i="4" s="1"/>
  <c r="O12" i="4" s="1"/>
  <c r="U12" i="10" s="1"/>
  <c r="Z20" i="10"/>
  <c r="Z27" i="10"/>
  <c r="Z22" i="10"/>
  <c r="Z19" i="10"/>
  <c r="Z18" i="10"/>
  <c r="M19" i="10"/>
  <c r="E11" i="13" s="1"/>
  <c r="O18" i="10"/>
  <c r="Z13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L15" i="4"/>
  <c r="N15" i="4" s="1"/>
  <c r="O15" i="4" s="1"/>
  <c r="U15" i="10" s="1"/>
  <c r="L19" i="4"/>
  <c r="N19" i="4" s="1"/>
  <c r="O19" i="4" s="1"/>
  <c r="U19" i="10" s="1"/>
  <c r="Z40" i="10"/>
  <c r="F39" i="10"/>
  <c r="K31" i="13"/>
  <c r="F24" i="10"/>
  <c r="F40" i="10"/>
  <c r="L37" i="4"/>
  <c r="N37" i="4" s="1"/>
  <c r="O37" i="4" s="1"/>
  <c r="U37" i="10" s="1"/>
  <c r="L38" i="4"/>
  <c r="N38" i="4" s="1"/>
  <c r="O38" i="4" s="1"/>
  <c r="U38" i="10" s="1"/>
  <c r="L34" i="4"/>
  <c r="N34" i="4" s="1"/>
  <c r="O34" i="4" s="1"/>
  <c r="U34" i="10" s="1"/>
  <c r="L35" i="4"/>
  <c r="N35" i="4" s="1"/>
  <c r="O35" i="4" s="1"/>
  <c r="U35" i="10" s="1"/>
  <c r="L30" i="4"/>
  <c r="N30" i="4" s="1"/>
  <c r="O30" i="4" s="1"/>
  <c r="U30" i="10" s="1"/>
  <c r="L31" i="4"/>
  <c r="N31" i="4" s="1"/>
  <c r="O31" i="4" s="1"/>
  <c r="U31" i="10" s="1"/>
  <c r="L33" i="4"/>
  <c r="N33" i="4" s="1"/>
  <c r="O33" i="4" s="1"/>
  <c r="U33" i="10" s="1"/>
  <c r="L32" i="4"/>
  <c r="N32" i="4" s="1"/>
  <c r="O32" i="4" s="1"/>
  <c r="U32" i="10" s="1"/>
  <c r="L28" i="4"/>
  <c r="N28" i="4" s="1"/>
  <c r="O28" i="4" s="1"/>
  <c r="U28" i="10" s="1"/>
  <c r="L29" i="4"/>
  <c r="N29" i="4" s="1"/>
  <c r="O29" i="4" s="1"/>
  <c r="U29" i="10" s="1"/>
  <c r="L27" i="4"/>
  <c r="N27" i="4" s="1"/>
  <c r="O27" i="4" s="1"/>
  <c r="U27" i="10" s="1"/>
  <c r="Z32" i="10"/>
  <c r="Z33" i="10"/>
  <c r="I25" i="13"/>
  <c r="Z28" i="10"/>
  <c r="I20" i="13"/>
  <c r="Z25" i="10"/>
  <c r="I17" i="13"/>
  <c r="Z30" i="10"/>
  <c r="I22" i="13"/>
  <c r="Z24" i="10"/>
  <c r="B13" i="10"/>
  <c r="M10" i="10"/>
  <c r="E2" i="13" s="1"/>
  <c r="I35" i="4"/>
  <c r="I33" i="4"/>
  <c r="I32" i="4"/>
  <c r="I31" i="4"/>
  <c r="I30" i="4"/>
  <c r="I29" i="4"/>
  <c r="I28" i="4"/>
  <c r="L41" i="4"/>
  <c r="N41" i="4" s="1"/>
  <c r="O41" i="4" s="1"/>
  <c r="P41" i="4" s="1"/>
  <c r="I36" i="4"/>
  <c r="AC44" i="4"/>
  <c r="I42" i="4"/>
  <c r="I37" i="4"/>
  <c r="M28" i="10"/>
  <c r="E20" i="13" s="1"/>
  <c r="L42" i="4"/>
  <c r="N42" i="4" s="1"/>
  <c r="O42" i="4" s="1"/>
  <c r="I38" i="4"/>
  <c r="I22" i="4"/>
  <c r="L22" i="4"/>
  <c r="N22" i="4" s="1"/>
  <c r="O22" i="4" s="1"/>
  <c r="U22" i="10" s="1"/>
  <c r="L14" i="4"/>
  <c r="N14" i="4" s="1"/>
  <c r="O14" i="4" s="1"/>
  <c r="U14" i="10" s="1"/>
  <c r="F34" i="10"/>
  <c r="D5" i="6"/>
  <c r="L20" i="4"/>
  <c r="N20" i="4" s="1"/>
  <c r="O20" i="4" s="1"/>
  <c r="U20" i="10" s="1"/>
  <c r="L18" i="4"/>
  <c r="N18" i="4" s="1"/>
  <c r="O18" i="4" s="1"/>
  <c r="U18" i="10" s="1"/>
  <c r="L16" i="4"/>
  <c r="N16" i="4" s="1"/>
  <c r="O16" i="4" s="1"/>
  <c r="U16" i="10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U39" i="10" l="1"/>
  <c r="G17" i="13"/>
  <c r="O17" i="13" s="1"/>
  <c r="I43" i="4"/>
  <c r="U40" i="10"/>
  <c r="W40" i="10" s="1"/>
  <c r="U11" i="10"/>
  <c r="C43" i="4"/>
  <c r="O10" i="4"/>
  <c r="N43" i="4"/>
  <c r="G30" i="13"/>
  <c r="G24" i="13"/>
  <c r="O24" i="13" s="1"/>
  <c r="G28" i="13"/>
  <c r="O28" i="13" s="1"/>
  <c r="G29" i="13"/>
  <c r="G26" i="13"/>
  <c r="O26" i="13" s="1"/>
  <c r="AJ35" i="10"/>
  <c r="AK35" i="10" s="1"/>
  <c r="G15" i="13"/>
  <c r="G8" i="13"/>
  <c r="O8" i="13" s="1"/>
  <c r="AJ20" i="10"/>
  <c r="AK20" i="10" s="1"/>
  <c r="O25" i="10"/>
  <c r="AJ25" i="10" s="1"/>
  <c r="AK25" i="10" s="1"/>
  <c r="M37" i="10"/>
  <c r="E29" i="13" s="1"/>
  <c r="M33" i="10"/>
  <c r="E25" i="13" s="1"/>
  <c r="O23" i="10"/>
  <c r="M38" i="10"/>
  <c r="E30" i="13" s="1"/>
  <c r="O30" i="13" s="1"/>
  <c r="M35" i="10"/>
  <c r="E27" i="13" s="1"/>
  <c r="Z41" i="10"/>
  <c r="O16" i="10"/>
  <c r="L41" i="10"/>
  <c r="G45" i="10" s="1"/>
  <c r="J45" i="10" s="1"/>
  <c r="M39" i="10"/>
  <c r="E31" i="13" s="1"/>
  <c r="O39" i="10"/>
  <c r="AJ38" i="10"/>
  <c r="AK38" i="10" s="1"/>
  <c r="M29" i="10"/>
  <c r="E21" i="13" s="1"/>
  <c r="AJ29" i="10"/>
  <c r="AK29" i="10" s="1"/>
  <c r="G25" i="13"/>
  <c r="G19" i="13"/>
  <c r="O19" i="13" s="1"/>
  <c r="M18" i="10"/>
  <c r="E10" i="13" s="1"/>
  <c r="M12" i="10"/>
  <c r="E4" i="13" s="1"/>
  <c r="F23" i="10"/>
  <c r="F41" i="10" s="1"/>
  <c r="K15" i="13"/>
  <c r="G14" i="13"/>
  <c r="O14" i="13" s="1"/>
  <c r="AJ22" i="10"/>
  <c r="AK22" i="10" s="1"/>
  <c r="G4" i="13"/>
  <c r="AJ12" i="10"/>
  <c r="AK12" i="10" s="1"/>
  <c r="AJ31" i="10"/>
  <c r="AK31" i="10" s="1"/>
  <c r="G23" i="13"/>
  <c r="O23" i="13" s="1"/>
  <c r="AJ30" i="10"/>
  <c r="AK30" i="10" s="1"/>
  <c r="G22" i="13"/>
  <c r="O22" i="13" s="1"/>
  <c r="AJ28" i="10"/>
  <c r="AK28" i="10" s="1"/>
  <c r="G20" i="13"/>
  <c r="O20" i="13" s="1"/>
  <c r="G16" i="13"/>
  <c r="O16" i="13" s="1"/>
  <c r="AJ24" i="10"/>
  <c r="AK24" i="10" s="1"/>
  <c r="B14" i="10"/>
  <c r="G43" i="10"/>
  <c r="J43" i="10" s="1"/>
  <c r="M15" i="10"/>
  <c r="G32" i="13" l="1"/>
  <c r="O32" i="13" s="1"/>
  <c r="U10" i="10"/>
  <c r="G2" i="13" s="1"/>
  <c r="O2" i="13" s="1"/>
  <c r="AJ23" i="10"/>
  <c r="AK23" i="10" s="1"/>
  <c r="O25" i="13"/>
  <c r="AJ16" i="10"/>
  <c r="AK16" i="10" s="1"/>
  <c r="O15" i="13"/>
  <c r="AJ34" i="10"/>
  <c r="AK34" i="10" s="1"/>
  <c r="G27" i="13"/>
  <c r="O27" i="13" s="1"/>
  <c r="AJ36" i="10"/>
  <c r="AK36" i="10" s="1"/>
  <c r="AJ32" i="10"/>
  <c r="AK32" i="10" s="1"/>
  <c r="O29" i="13"/>
  <c r="G12" i="13"/>
  <c r="O12" i="13" s="1"/>
  <c r="O41" i="10"/>
  <c r="M41" i="10"/>
  <c r="U41" i="10"/>
  <c r="AJ39" i="10"/>
  <c r="AK39" i="10" s="1"/>
  <c r="G31" i="13"/>
  <c r="O31" i="13" s="1"/>
  <c r="AJ27" i="10"/>
  <c r="AK27" i="10" s="1"/>
  <c r="O4" i="13"/>
  <c r="AJ33" i="10"/>
  <c r="AK33" i="10" s="1"/>
  <c r="G21" i="13"/>
  <c r="O21" i="13" s="1"/>
  <c r="AJ37" i="10"/>
  <c r="AK37" i="10" s="1"/>
  <c r="L43" i="10"/>
  <c r="E7" i="13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B15" i="10"/>
  <c r="K47" i="4"/>
  <c r="O43" i="4"/>
  <c r="P43" i="4" s="1"/>
  <c r="AJ14" i="10" l="1"/>
  <c r="AK14" i="10" s="1"/>
  <c r="O7" i="13"/>
  <c r="AJ11" i="10"/>
  <c r="AK11" i="10" s="1"/>
  <c r="G3" i="13"/>
  <c r="O3" i="13" s="1"/>
  <c r="M47" i="4"/>
  <c r="L47" i="4"/>
  <c r="AJ10" i="10"/>
  <c r="B16" i="10"/>
  <c r="G47" i="10"/>
  <c r="J47" i="10" s="1"/>
  <c r="L47" i="10" s="1"/>
  <c r="W41" i="10" l="1"/>
  <c r="O33" i="13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<sst xmlns="http://schemas.openxmlformats.org/spreadsheetml/2006/main" count="167" uniqueCount="86">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</sst>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3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7" xfId="0" applyFont="1" applyFill="1" applyBorder="1"/>
    <xf numFmtId="0" fontId="30" fillId="0" borderId="47" xfId="0" applyFont="1" applyFill="1" applyBorder="1" applyAlignment="1">
      <alignment wrapText="1"/>
    </xf>
    <xf numFmtId="2" fontId="31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1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11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44106</c:v>
                </c:pt>
                <c:pt idx="1">
                  <c:v>44107</c:v>
                </c:pt>
                <c:pt idx="2">
                  <c:v>44108</c:v>
                </c:pt>
                <c:pt idx="3">
                  <c:v>44109</c:v>
                </c:pt>
                <c:pt idx="4">
                  <c:v>44110</c:v>
                </c:pt>
                <c:pt idx="5">
                  <c:v>44111</c:v>
                </c:pt>
                <c:pt idx="6">
                  <c:v>44112</c:v>
                </c:pt>
                <c:pt idx="7">
                  <c:v>44113</c:v>
                </c:pt>
                <c:pt idx="8">
                  <c:v>44114</c:v>
                </c:pt>
                <c:pt idx="9">
                  <c:v>44115</c:v>
                </c:pt>
                <c:pt idx="10">
                  <c:v>44116</c:v>
                </c:pt>
                <c:pt idx="11">
                  <c:v>44117</c:v>
                </c:pt>
                <c:pt idx="12">
                  <c:v>44118</c:v>
                </c:pt>
                <c:pt idx="13">
                  <c:v>44119</c:v>
                </c:pt>
                <c:pt idx="14">
                  <c:v>44120</c:v>
                </c:pt>
                <c:pt idx="15">
                  <c:v>44121</c:v>
                </c:pt>
                <c:pt idx="16">
                  <c:v>44122</c:v>
                </c:pt>
                <c:pt idx="17">
                  <c:v>44123</c:v>
                </c:pt>
                <c:pt idx="18">
                  <c:v>44124</c:v>
                </c:pt>
                <c:pt idx="19">
                  <c:v>44125</c:v>
                </c:pt>
                <c:pt idx="20">
                  <c:v>44126</c:v>
                </c:pt>
                <c:pt idx="21">
                  <c:v>44127</c:v>
                </c:pt>
                <c:pt idx="22">
                  <c:v>44128</c:v>
                </c:pt>
                <c:pt idx="23">
                  <c:v>44129</c:v>
                </c:pt>
                <c:pt idx="24">
                  <c:v>44130</c:v>
                </c:pt>
                <c:pt idx="25">
                  <c:v>44131</c:v>
                </c:pt>
                <c:pt idx="26">
                  <c:v>44132</c:v>
                </c:pt>
                <c:pt idx="27">
                  <c:v>44133</c:v>
                </c:pt>
                <c:pt idx="28">
                  <c:v>44134</c:v>
                </c:pt>
                <c:pt idx="29">
                  <c:v>44135</c:v>
                </c:pt>
                <c:pt idx="30">
                  <c:v>44136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270</c:v>
                </c:pt>
                <c:pt idx="1">
                  <c:v>380</c:v>
                </c:pt>
                <c:pt idx="2">
                  <c:v>270</c:v>
                </c:pt>
                <c:pt idx="3">
                  <c:v>220</c:v>
                </c:pt>
                <c:pt idx="4">
                  <c:v>220</c:v>
                </c:pt>
                <c:pt idx="5">
                  <c:v>320</c:v>
                </c:pt>
                <c:pt idx="6">
                  <c:v>240</c:v>
                </c:pt>
                <c:pt idx="7">
                  <c:v>370</c:v>
                </c:pt>
                <c:pt idx="8">
                  <c:v>270</c:v>
                </c:pt>
                <c:pt idx="9">
                  <c:v>260</c:v>
                </c:pt>
                <c:pt idx="10">
                  <c:v>290</c:v>
                </c:pt>
                <c:pt idx="11">
                  <c:v>290</c:v>
                </c:pt>
                <c:pt idx="12">
                  <c:v>680</c:v>
                </c:pt>
                <c:pt idx="13">
                  <c:v>590</c:v>
                </c:pt>
                <c:pt idx="14">
                  <c:v>460</c:v>
                </c:pt>
                <c:pt idx="15">
                  <c:v>340</c:v>
                </c:pt>
                <c:pt idx="16">
                  <c:v>400</c:v>
                </c:pt>
                <c:pt idx="17">
                  <c:v>360</c:v>
                </c:pt>
                <c:pt idx="18">
                  <c:v>330</c:v>
                </c:pt>
                <c:pt idx="19">
                  <c:v>430</c:v>
                </c:pt>
                <c:pt idx="20">
                  <c:v>370</c:v>
                </c:pt>
                <c:pt idx="21">
                  <c:v>410</c:v>
                </c:pt>
                <c:pt idx="22">
                  <c:v>360</c:v>
                </c:pt>
                <c:pt idx="23">
                  <c:v>350</c:v>
                </c:pt>
                <c:pt idx="24">
                  <c:v>300</c:v>
                </c:pt>
                <c:pt idx="25">
                  <c:v>710</c:v>
                </c:pt>
                <c:pt idx="26">
                  <c:v>410</c:v>
                </c:pt>
                <c:pt idx="27">
                  <c:v>400</c:v>
                </c:pt>
                <c:pt idx="28">
                  <c:v>370</c:v>
                </c:pt>
                <c:pt idx="29">
                  <c:v>410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232384"/>
        <c:axId val="244311168"/>
      </c:lineChart>
      <c:dateAx>
        <c:axId val="163232384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4311168"/>
        <c:crosses val="autoZero"/>
        <c:auto val="1"/>
        <c:lblOffset val="100"/>
        <c:baseTimeUnit val="days"/>
      </c:dateAx>
      <c:valAx>
        <c:axId val="244311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3238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44106</c:v>
                </c:pt>
                <c:pt idx="1">
                  <c:v>44107</c:v>
                </c:pt>
                <c:pt idx="2">
                  <c:v>44108</c:v>
                </c:pt>
                <c:pt idx="3">
                  <c:v>44109</c:v>
                </c:pt>
                <c:pt idx="4">
                  <c:v>44110</c:v>
                </c:pt>
                <c:pt idx="5">
                  <c:v>44111</c:v>
                </c:pt>
                <c:pt idx="6">
                  <c:v>44112</c:v>
                </c:pt>
                <c:pt idx="7">
                  <c:v>44113</c:v>
                </c:pt>
                <c:pt idx="8">
                  <c:v>44114</c:v>
                </c:pt>
                <c:pt idx="9">
                  <c:v>44115</c:v>
                </c:pt>
                <c:pt idx="10">
                  <c:v>44116</c:v>
                </c:pt>
                <c:pt idx="11">
                  <c:v>44117</c:v>
                </c:pt>
                <c:pt idx="12">
                  <c:v>44118</c:v>
                </c:pt>
                <c:pt idx="13">
                  <c:v>44119</c:v>
                </c:pt>
                <c:pt idx="14">
                  <c:v>44120</c:v>
                </c:pt>
                <c:pt idx="15">
                  <c:v>44121</c:v>
                </c:pt>
                <c:pt idx="16">
                  <c:v>44122</c:v>
                </c:pt>
                <c:pt idx="17">
                  <c:v>44123</c:v>
                </c:pt>
                <c:pt idx="18">
                  <c:v>44124</c:v>
                </c:pt>
                <c:pt idx="19">
                  <c:v>44125</c:v>
                </c:pt>
                <c:pt idx="20">
                  <c:v>44126</c:v>
                </c:pt>
                <c:pt idx="21">
                  <c:v>44127</c:v>
                </c:pt>
                <c:pt idx="22">
                  <c:v>44128</c:v>
                </c:pt>
                <c:pt idx="23">
                  <c:v>44129</c:v>
                </c:pt>
                <c:pt idx="24">
                  <c:v>44130</c:v>
                </c:pt>
                <c:pt idx="25">
                  <c:v>44131</c:v>
                </c:pt>
                <c:pt idx="26">
                  <c:v>44132</c:v>
                </c:pt>
                <c:pt idx="27">
                  <c:v>44133</c:v>
                </c:pt>
                <c:pt idx="28">
                  <c:v>44134</c:v>
                </c:pt>
                <c:pt idx="29">
                  <c:v>44135</c:v>
                </c:pt>
                <c:pt idx="30">
                  <c:v>44136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4847</c:v>
                </c:pt>
                <c:pt idx="1">
                  <c:v>4403</c:v>
                </c:pt>
                <c:pt idx="2">
                  <c:v>4468</c:v>
                </c:pt>
                <c:pt idx="3">
                  <c:v>4345</c:v>
                </c:pt>
                <c:pt idx="4">
                  <c:v>3505</c:v>
                </c:pt>
                <c:pt idx="5">
                  <c:v>3956</c:v>
                </c:pt>
                <c:pt idx="6">
                  <c:v>4367</c:v>
                </c:pt>
                <c:pt idx="7">
                  <c:v>3964</c:v>
                </c:pt>
                <c:pt idx="8">
                  <c:v>4789</c:v>
                </c:pt>
                <c:pt idx="9">
                  <c:v>5329</c:v>
                </c:pt>
                <c:pt idx="10">
                  <c:v>4615</c:v>
                </c:pt>
                <c:pt idx="11">
                  <c:v>5977</c:v>
                </c:pt>
                <c:pt idx="12">
                  <c:v>5155</c:v>
                </c:pt>
                <c:pt idx="13">
                  <c:v>3827</c:v>
                </c:pt>
                <c:pt idx="14">
                  <c:v>3386</c:v>
                </c:pt>
                <c:pt idx="15">
                  <c:v>2179</c:v>
                </c:pt>
                <c:pt idx="16">
                  <c:v>4057</c:v>
                </c:pt>
                <c:pt idx="17">
                  <c:v>3380</c:v>
                </c:pt>
                <c:pt idx="18">
                  <c:v>4522</c:v>
                </c:pt>
                <c:pt idx="19">
                  <c:v>7027</c:v>
                </c:pt>
                <c:pt idx="20">
                  <c:v>3939</c:v>
                </c:pt>
                <c:pt idx="21">
                  <c:v>4096</c:v>
                </c:pt>
                <c:pt idx="22">
                  <c:v>4044</c:v>
                </c:pt>
                <c:pt idx="23">
                  <c:v>4159</c:v>
                </c:pt>
                <c:pt idx="24">
                  <c:v>3782</c:v>
                </c:pt>
                <c:pt idx="25">
                  <c:v>4353</c:v>
                </c:pt>
                <c:pt idx="26">
                  <c:v>5012</c:v>
                </c:pt>
                <c:pt idx="27">
                  <c:v>4703</c:v>
                </c:pt>
                <c:pt idx="28">
                  <c:v>3963</c:v>
                </c:pt>
                <c:pt idx="29">
                  <c:v>3062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44106</c:v>
                </c:pt>
                <c:pt idx="1">
                  <c:v>44107</c:v>
                </c:pt>
                <c:pt idx="2">
                  <c:v>44108</c:v>
                </c:pt>
                <c:pt idx="3">
                  <c:v>44109</c:v>
                </c:pt>
                <c:pt idx="4">
                  <c:v>44110</c:v>
                </c:pt>
                <c:pt idx="5">
                  <c:v>44111</c:v>
                </c:pt>
                <c:pt idx="6">
                  <c:v>44112</c:v>
                </c:pt>
                <c:pt idx="7">
                  <c:v>44113</c:v>
                </c:pt>
                <c:pt idx="8">
                  <c:v>44114</c:v>
                </c:pt>
                <c:pt idx="9">
                  <c:v>44115</c:v>
                </c:pt>
                <c:pt idx="10">
                  <c:v>44116</c:v>
                </c:pt>
                <c:pt idx="11">
                  <c:v>44117</c:v>
                </c:pt>
                <c:pt idx="12">
                  <c:v>44118</c:v>
                </c:pt>
                <c:pt idx="13">
                  <c:v>44119</c:v>
                </c:pt>
                <c:pt idx="14">
                  <c:v>44120</c:v>
                </c:pt>
                <c:pt idx="15">
                  <c:v>44121</c:v>
                </c:pt>
                <c:pt idx="16">
                  <c:v>44122</c:v>
                </c:pt>
                <c:pt idx="17">
                  <c:v>44123</c:v>
                </c:pt>
                <c:pt idx="18">
                  <c:v>44124</c:v>
                </c:pt>
                <c:pt idx="19">
                  <c:v>44125</c:v>
                </c:pt>
                <c:pt idx="20">
                  <c:v>44126</c:v>
                </c:pt>
                <c:pt idx="21">
                  <c:v>44127</c:v>
                </c:pt>
                <c:pt idx="22">
                  <c:v>44128</c:v>
                </c:pt>
                <c:pt idx="23">
                  <c:v>44129</c:v>
                </c:pt>
                <c:pt idx="24">
                  <c:v>44130</c:v>
                </c:pt>
                <c:pt idx="25">
                  <c:v>44131</c:v>
                </c:pt>
                <c:pt idx="26">
                  <c:v>44132</c:v>
                </c:pt>
                <c:pt idx="27">
                  <c:v>44133</c:v>
                </c:pt>
                <c:pt idx="28">
                  <c:v>44134</c:v>
                </c:pt>
                <c:pt idx="29">
                  <c:v>44135</c:v>
                </c:pt>
                <c:pt idx="30">
                  <c:v>44136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6618</c:v>
                </c:pt>
                <c:pt idx="1">
                  <c:v>7118</c:v>
                </c:pt>
                <c:pt idx="2">
                  <c:v>6768</c:v>
                </c:pt>
                <c:pt idx="3">
                  <c:v>6950</c:v>
                </c:pt>
                <c:pt idx="4">
                  <c:v>6349</c:v>
                </c:pt>
                <c:pt idx="5">
                  <c:v>6631</c:v>
                </c:pt>
                <c:pt idx="6">
                  <c:v>7728</c:v>
                </c:pt>
                <c:pt idx="7">
                  <c:v>6968</c:v>
                </c:pt>
                <c:pt idx="8">
                  <c:v>5553</c:v>
                </c:pt>
                <c:pt idx="9">
                  <c:v>7255</c:v>
                </c:pt>
                <c:pt idx="10">
                  <c:v>6897</c:v>
                </c:pt>
                <c:pt idx="11">
                  <c:v>7062</c:v>
                </c:pt>
                <c:pt idx="12">
                  <c:v>7662</c:v>
                </c:pt>
                <c:pt idx="13">
                  <c:v>7483</c:v>
                </c:pt>
                <c:pt idx="14">
                  <c:v>5555</c:v>
                </c:pt>
                <c:pt idx="15">
                  <c:v>6098</c:v>
                </c:pt>
                <c:pt idx="16">
                  <c:v>5130</c:v>
                </c:pt>
                <c:pt idx="17">
                  <c:v>5102</c:v>
                </c:pt>
                <c:pt idx="18">
                  <c:v>6037</c:v>
                </c:pt>
                <c:pt idx="19">
                  <c:v>7252</c:v>
                </c:pt>
                <c:pt idx="20">
                  <c:v>5902</c:v>
                </c:pt>
                <c:pt idx="21">
                  <c:v>6799</c:v>
                </c:pt>
                <c:pt idx="22">
                  <c:v>6125</c:v>
                </c:pt>
                <c:pt idx="23">
                  <c:v>5695</c:v>
                </c:pt>
                <c:pt idx="24">
                  <c:v>5314</c:v>
                </c:pt>
                <c:pt idx="25">
                  <c:v>4896</c:v>
                </c:pt>
                <c:pt idx="26">
                  <c:v>7044</c:v>
                </c:pt>
                <c:pt idx="27">
                  <c:v>6501</c:v>
                </c:pt>
                <c:pt idx="28">
                  <c:v>6296</c:v>
                </c:pt>
                <c:pt idx="29">
                  <c:v>6170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44106</c:v>
                </c:pt>
                <c:pt idx="1">
                  <c:v>44107</c:v>
                </c:pt>
                <c:pt idx="2">
                  <c:v>44108</c:v>
                </c:pt>
                <c:pt idx="3">
                  <c:v>44109</c:v>
                </c:pt>
                <c:pt idx="4">
                  <c:v>44110</c:v>
                </c:pt>
                <c:pt idx="5">
                  <c:v>44111</c:v>
                </c:pt>
                <c:pt idx="6">
                  <c:v>44112</c:v>
                </c:pt>
                <c:pt idx="7">
                  <c:v>44113</c:v>
                </c:pt>
                <c:pt idx="8">
                  <c:v>44114</c:v>
                </c:pt>
                <c:pt idx="9">
                  <c:v>44115</c:v>
                </c:pt>
                <c:pt idx="10">
                  <c:v>44116</c:v>
                </c:pt>
                <c:pt idx="11">
                  <c:v>44117</c:v>
                </c:pt>
                <c:pt idx="12">
                  <c:v>44118</c:v>
                </c:pt>
                <c:pt idx="13">
                  <c:v>44119</c:v>
                </c:pt>
                <c:pt idx="14">
                  <c:v>44120</c:v>
                </c:pt>
                <c:pt idx="15">
                  <c:v>44121</c:v>
                </c:pt>
                <c:pt idx="16">
                  <c:v>44122</c:v>
                </c:pt>
                <c:pt idx="17">
                  <c:v>44123</c:v>
                </c:pt>
                <c:pt idx="18">
                  <c:v>44124</c:v>
                </c:pt>
                <c:pt idx="19">
                  <c:v>44125</c:v>
                </c:pt>
                <c:pt idx="20">
                  <c:v>44126</c:v>
                </c:pt>
                <c:pt idx="21">
                  <c:v>44127</c:v>
                </c:pt>
                <c:pt idx="22">
                  <c:v>44128</c:v>
                </c:pt>
                <c:pt idx="23">
                  <c:v>44129</c:v>
                </c:pt>
                <c:pt idx="24">
                  <c:v>44130</c:v>
                </c:pt>
                <c:pt idx="25">
                  <c:v>44131</c:v>
                </c:pt>
                <c:pt idx="26">
                  <c:v>44132</c:v>
                </c:pt>
                <c:pt idx="27">
                  <c:v>44133</c:v>
                </c:pt>
                <c:pt idx="28">
                  <c:v>44134</c:v>
                </c:pt>
                <c:pt idx="29">
                  <c:v>44135</c:v>
                </c:pt>
                <c:pt idx="30">
                  <c:v>44136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3486</c:v>
                </c:pt>
                <c:pt idx="1">
                  <c:v>3513</c:v>
                </c:pt>
                <c:pt idx="2">
                  <c:v>3378</c:v>
                </c:pt>
                <c:pt idx="3">
                  <c:v>3417</c:v>
                </c:pt>
                <c:pt idx="4">
                  <c:v>2832</c:v>
                </c:pt>
                <c:pt idx="5">
                  <c:v>3488</c:v>
                </c:pt>
                <c:pt idx="6">
                  <c:v>3816</c:v>
                </c:pt>
                <c:pt idx="7">
                  <c:v>3679</c:v>
                </c:pt>
                <c:pt idx="8">
                  <c:v>3876</c:v>
                </c:pt>
                <c:pt idx="9">
                  <c:v>3557</c:v>
                </c:pt>
                <c:pt idx="10">
                  <c:v>3794</c:v>
                </c:pt>
                <c:pt idx="11">
                  <c:v>3863</c:v>
                </c:pt>
                <c:pt idx="12">
                  <c:v>3736</c:v>
                </c:pt>
                <c:pt idx="13">
                  <c:v>3443</c:v>
                </c:pt>
                <c:pt idx="14">
                  <c:v>2257</c:v>
                </c:pt>
                <c:pt idx="15">
                  <c:v>2350</c:v>
                </c:pt>
                <c:pt idx="16">
                  <c:v>2621</c:v>
                </c:pt>
                <c:pt idx="17">
                  <c:v>2600</c:v>
                </c:pt>
                <c:pt idx="18">
                  <c:v>3297</c:v>
                </c:pt>
                <c:pt idx="19">
                  <c:v>3361</c:v>
                </c:pt>
                <c:pt idx="20">
                  <c:v>3725</c:v>
                </c:pt>
                <c:pt idx="21">
                  <c:v>3405</c:v>
                </c:pt>
                <c:pt idx="22">
                  <c:v>3301</c:v>
                </c:pt>
                <c:pt idx="23">
                  <c:v>2821</c:v>
                </c:pt>
                <c:pt idx="24">
                  <c:v>2825</c:v>
                </c:pt>
                <c:pt idx="25">
                  <c:v>2227</c:v>
                </c:pt>
                <c:pt idx="26">
                  <c:v>3690</c:v>
                </c:pt>
                <c:pt idx="27">
                  <c:v>2905</c:v>
                </c:pt>
                <c:pt idx="28">
                  <c:v>2919</c:v>
                </c:pt>
                <c:pt idx="29">
                  <c:v>3770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296384"/>
        <c:axId val="163297920"/>
      </c:lineChart>
      <c:dateAx>
        <c:axId val="163296384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97920"/>
        <c:crosses val="autoZero"/>
        <c:auto val="1"/>
        <c:lblOffset val="100"/>
        <c:baseTimeUnit val="days"/>
      </c:dateAx>
      <c:valAx>
        <c:axId val="1632979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96384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  <c:pt idx="31">
                  <c:v>44136</c:v>
                </c:pt>
                <c:pt idx="32">
                  <c:v>44137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222.60000000000002</c:v>
                </c:pt>
                <c:pt idx="1">
                  <c:v>148.4</c:v>
                </c:pt>
                <c:pt idx="2">
                  <c:v>371</c:v>
                </c:pt>
                <c:pt idx="3">
                  <c:v>111.30000000000001</c:v>
                </c:pt>
                <c:pt idx="4">
                  <c:v>111.30000000000001</c:v>
                </c:pt>
                <c:pt idx="5">
                  <c:v>74.2</c:v>
                </c:pt>
                <c:pt idx="6">
                  <c:v>185.5</c:v>
                </c:pt>
                <c:pt idx="7">
                  <c:v>259.7</c:v>
                </c:pt>
                <c:pt idx="8">
                  <c:v>185.5</c:v>
                </c:pt>
                <c:pt idx="9">
                  <c:v>37.1</c:v>
                </c:pt>
                <c:pt idx="10">
                  <c:v>185.5</c:v>
                </c:pt>
                <c:pt idx="11">
                  <c:v>445.20000000000005</c:v>
                </c:pt>
                <c:pt idx="12">
                  <c:v>222.60000000000002</c:v>
                </c:pt>
                <c:pt idx="13">
                  <c:v>111.30000000000001</c:v>
                </c:pt>
                <c:pt idx="14">
                  <c:v>111.30000000000001</c:v>
                </c:pt>
                <c:pt idx="15">
                  <c:v>482.3</c:v>
                </c:pt>
                <c:pt idx="16">
                  <c:v>185.5</c:v>
                </c:pt>
                <c:pt idx="17">
                  <c:v>371</c:v>
                </c:pt>
                <c:pt idx="18">
                  <c:v>333.90000000000003</c:v>
                </c:pt>
                <c:pt idx="19">
                  <c:v>148.4</c:v>
                </c:pt>
                <c:pt idx="20">
                  <c:v>408.1</c:v>
                </c:pt>
                <c:pt idx="21">
                  <c:v>185.5</c:v>
                </c:pt>
                <c:pt idx="22">
                  <c:v>296.8</c:v>
                </c:pt>
                <c:pt idx="23">
                  <c:v>445.20000000000005</c:v>
                </c:pt>
                <c:pt idx="24">
                  <c:v>259.7</c:v>
                </c:pt>
                <c:pt idx="25">
                  <c:v>259.7</c:v>
                </c:pt>
                <c:pt idx="26">
                  <c:v>296.8</c:v>
                </c:pt>
                <c:pt idx="27">
                  <c:v>148.4</c:v>
                </c:pt>
                <c:pt idx="28">
                  <c:v>259.7</c:v>
                </c:pt>
                <c:pt idx="29">
                  <c:v>222.60000000000002</c:v>
                </c:pt>
                <c:pt idx="30">
                  <c:v>371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331072"/>
        <c:axId val="163336960"/>
      </c:lineChart>
      <c:dateAx>
        <c:axId val="163331072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36960"/>
        <c:crosses val="autoZero"/>
        <c:auto val="1"/>
        <c:lblOffset val="100"/>
        <c:baseTimeUnit val="days"/>
      </c:dateAx>
      <c:valAx>
        <c:axId val="16333696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31072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N32" sqref="N32"/>
    </sheetView>
  </sheetViews>
  <sheetFormatPr defaultRowHeight="12.75" x14ac:dyDescent="0.2"/>
  <cols>
    <col min="1" max="1" width="23" style="159" customWidth="1"/>
    <col min="2" max="2" width="11.5703125" style="159" customWidth="1"/>
    <col min="3" max="3" width="11.5703125" style="159"/>
    <col min="4" max="4" width="13.42578125" style="159" customWidth="1"/>
    <col min="5" max="6" width="12.5703125" style="159" customWidth="1"/>
    <col min="7" max="13" width="11.5703125" style="159"/>
    <col min="14" max="15" width="11.5703125" style="159" customWidth="1"/>
  </cols>
  <sheetData>
    <row r="1" spans="1:15" ht="60.75" thickBot="1" x14ac:dyDescent="0.3">
      <c r="A1" s="155" t="s">
        <v>69</v>
      </c>
      <c r="B1" s="155" t="s">
        <v>70</v>
      </c>
      <c r="C1" s="155" t="s">
        <v>71</v>
      </c>
      <c r="D1" s="155" t="s">
        <v>72</v>
      </c>
      <c r="E1" s="156" t="s">
        <v>73</v>
      </c>
      <c r="F1" s="156" t="s">
        <v>74</v>
      </c>
      <c r="G1" s="156" t="s">
        <v>75</v>
      </c>
      <c r="H1" s="156" t="s">
        <v>76</v>
      </c>
      <c r="I1" s="157" t="s">
        <v>77</v>
      </c>
      <c r="J1" s="157" t="s">
        <v>78</v>
      </c>
      <c r="K1" s="156" t="s">
        <v>79</v>
      </c>
      <c r="L1" s="156" t="s">
        <v>80</v>
      </c>
      <c r="M1" s="156" t="s">
        <v>81</v>
      </c>
      <c r="N1" s="156" t="s">
        <v>82</v>
      </c>
      <c r="O1" s="156" t="s">
        <v>83</v>
      </c>
    </row>
    <row r="2" spans="1:15" x14ac:dyDescent="0.2">
      <c r="A2" s="158" t="s">
        <v>84</v>
      </c>
      <c r="B2" s="159">
        <v>1</v>
      </c>
      <c r="C2" s="159">
        <v>10</v>
      </c>
      <c r="D2" s="160">
        <v>2020</v>
      </c>
      <c r="E2" s="161">
        <f>'Consommation du 01.10 au 31.10'!M10</f>
        <v>15566</v>
      </c>
      <c r="F2" s="161">
        <v>0.99</v>
      </c>
      <c r="G2" s="161">
        <f>'Consommation du 01.10 au 31.10'!U10</f>
        <v>222.60000000000002</v>
      </c>
      <c r="H2" s="161">
        <v>7.8338000000000001</v>
      </c>
      <c r="I2" s="161">
        <f>'Consommation du 01.10 au 31.10'!Y10*1000</f>
        <v>5800.0000000029104</v>
      </c>
      <c r="J2" s="161">
        <v>0.53</v>
      </c>
      <c r="K2" s="161">
        <f>'Consommation du 01.10 au 31.10'!D10</f>
        <v>240</v>
      </c>
      <c r="L2" s="161">
        <v>12.67</v>
      </c>
      <c r="M2" s="160">
        <f>'Consommation du 01.10 au 31.10'!AC10</f>
        <v>15</v>
      </c>
      <c r="N2" s="160">
        <v>15</v>
      </c>
      <c r="O2" s="161">
        <f>E2*F2+G2*H2+I2*J2+K2*L2</f>
        <v>23268.943880001541</v>
      </c>
    </row>
    <row r="3" spans="1:15" x14ac:dyDescent="0.2">
      <c r="A3" s="158" t="s">
        <v>84</v>
      </c>
      <c r="B3" s="159">
        <f>B2+1</f>
        <v>2</v>
      </c>
      <c r="C3" s="159">
        <v>10</v>
      </c>
      <c r="D3" s="160">
        <v>2020</v>
      </c>
      <c r="E3" s="161">
        <f>'Consommation du 01.10 au 31.10'!M11</f>
        <v>14951</v>
      </c>
      <c r="F3" s="161">
        <v>0.99</v>
      </c>
      <c r="G3" s="161">
        <f>'Consommation du 01.10 au 31.10'!U11</f>
        <v>148.4</v>
      </c>
      <c r="H3" s="161">
        <v>7.8338000000000001</v>
      </c>
      <c r="I3" s="161">
        <f>'Consommation du 01.10 au 31.10'!Y11*1000</f>
        <v>5469.9999999975262</v>
      </c>
      <c r="J3" s="161">
        <v>0.53</v>
      </c>
      <c r="K3" s="161">
        <f>'Consommation du 01.10 au 31.10'!D11</f>
        <v>270</v>
      </c>
      <c r="L3" s="161">
        <v>12.67</v>
      </c>
      <c r="M3" s="160">
        <f>'Consommation du 01.10 au 31.10'!AC11</f>
        <v>24</v>
      </c>
      <c r="N3" s="160">
        <v>24</v>
      </c>
      <c r="O3" s="161">
        <f t="shared" ref="O3:O31" si="0">E3*F3+G3*H3+I3*J3+K3*L3</f>
        <v>22284.02591999869</v>
      </c>
    </row>
    <row r="4" spans="1:15" x14ac:dyDescent="0.2">
      <c r="A4" s="158" t="s">
        <v>84</v>
      </c>
      <c r="B4" s="159">
        <f t="shared" ref="B4:B32" si="1">B3+1</f>
        <v>3</v>
      </c>
      <c r="C4" s="159">
        <v>10</v>
      </c>
      <c r="D4" s="160">
        <v>2020</v>
      </c>
      <c r="E4" s="161">
        <f>'Consommation du 01.10 au 31.10'!M12</f>
        <v>15034</v>
      </c>
      <c r="F4" s="161">
        <v>0.99</v>
      </c>
      <c r="G4" s="161">
        <f>'Consommation du 01.10 au 31.10'!U12</f>
        <v>371</v>
      </c>
      <c r="H4" s="161">
        <v>7.8338000000000001</v>
      </c>
      <c r="I4" s="161">
        <f>'Consommation du 01.10 au 31.10'!Y12*1000</f>
        <v>6090.0000000001455</v>
      </c>
      <c r="J4" s="161">
        <v>0.53</v>
      </c>
      <c r="K4" s="161">
        <f>'Consommation du 01.10 au 31.10'!D12</f>
        <v>380</v>
      </c>
      <c r="L4" s="161">
        <v>12.67</v>
      </c>
      <c r="M4" s="160">
        <f>'Consommation du 01.10 au 31.10'!AC12</f>
        <v>32</v>
      </c>
      <c r="N4" s="160">
        <v>32</v>
      </c>
      <c r="O4" s="161">
        <f t="shared" si="0"/>
        <v>25832.299800000081</v>
      </c>
    </row>
    <row r="5" spans="1:15" x14ac:dyDescent="0.2">
      <c r="A5" s="158" t="s">
        <v>84</v>
      </c>
      <c r="B5" s="159">
        <f t="shared" si="1"/>
        <v>4</v>
      </c>
      <c r="C5" s="159">
        <v>10</v>
      </c>
      <c r="D5" s="160">
        <v>2020</v>
      </c>
      <c r="E5" s="161">
        <f>'Consommation du 01.10 au 31.10'!M13</f>
        <v>14614</v>
      </c>
      <c r="F5" s="161">
        <v>0.99</v>
      </c>
      <c r="G5" s="161">
        <f>'Consommation du 01.10 au 31.10'!U13</f>
        <v>111.30000000000001</v>
      </c>
      <c r="H5" s="161">
        <v>7.8338000000000001</v>
      </c>
      <c r="I5" s="161">
        <f>'Consommation du 01.10 au 31.10'!Y13*1000</f>
        <v>7200.0000000007276</v>
      </c>
      <c r="J5" s="161">
        <v>0.53</v>
      </c>
      <c r="K5" s="161">
        <f>'Consommation du 01.10 au 31.10'!D13</f>
        <v>270</v>
      </c>
      <c r="L5" s="161">
        <v>12.67</v>
      </c>
      <c r="M5" s="160">
        <f>'Consommation du 01.10 au 31.10'!AC13</f>
        <v>9</v>
      </c>
      <c r="N5" s="160">
        <v>9</v>
      </c>
      <c r="O5" s="161">
        <f t="shared" si="0"/>
        <v>22576.661940000387</v>
      </c>
    </row>
    <row r="6" spans="1:15" x14ac:dyDescent="0.2">
      <c r="A6" s="158" t="s">
        <v>84</v>
      </c>
      <c r="B6" s="159">
        <f t="shared" si="1"/>
        <v>5</v>
      </c>
      <c r="C6" s="159">
        <v>10</v>
      </c>
      <c r="D6" s="160">
        <v>2020</v>
      </c>
      <c r="E6" s="161">
        <f>'Consommation du 01.10 au 31.10'!M14</f>
        <v>14712</v>
      </c>
      <c r="F6" s="161">
        <v>0.99</v>
      </c>
      <c r="G6" s="161">
        <f>'Consommation du 01.10 au 31.10'!U14</f>
        <v>111.30000000000001</v>
      </c>
      <c r="H6" s="161">
        <v>7.8338000000000001</v>
      </c>
      <c r="I6" s="161">
        <f>'Consommation du 01.10 au 31.10'!Y14*1000</f>
        <v>7119.9999999989814</v>
      </c>
      <c r="J6" s="161">
        <v>0.53</v>
      </c>
      <c r="K6" s="161">
        <f>'Consommation du 01.10 au 31.10'!D14</f>
        <v>220</v>
      </c>
      <c r="L6" s="161">
        <v>12.67</v>
      </c>
      <c r="M6" s="160">
        <f>'Consommation du 01.10 au 31.10'!AC14</f>
        <v>12</v>
      </c>
      <c r="N6" s="160">
        <v>12</v>
      </c>
      <c r="O6" s="161">
        <f t="shared" si="0"/>
        <v>21997.781939999462</v>
      </c>
    </row>
    <row r="7" spans="1:15" x14ac:dyDescent="0.2">
      <c r="A7" s="158" t="s">
        <v>84</v>
      </c>
      <c r="B7" s="159">
        <f t="shared" si="1"/>
        <v>6</v>
      </c>
      <c r="C7" s="159">
        <v>10</v>
      </c>
      <c r="D7" s="160">
        <v>2020</v>
      </c>
      <c r="E7" s="161">
        <f>'Consommation du 01.10 au 31.10'!M15</f>
        <v>12686</v>
      </c>
      <c r="F7" s="161">
        <v>0.99</v>
      </c>
      <c r="G7" s="161">
        <f>'Consommation du 01.10 au 31.10'!U15</f>
        <v>74.2</v>
      </c>
      <c r="H7" s="161">
        <v>7.8338000000000001</v>
      </c>
      <c r="I7" s="161">
        <f>'Consommation du 01.10 au 31.10'!Y15*1000</f>
        <v>8040.0000000008731</v>
      </c>
      <c r="J7" s="161">
        <v>0.53</v>
      </c>
      <c r="K7" s="161">
        <f>'Consommation du 01.10 au 31.10'!D15</f>
        <v>220</v>
      </c>
      <c r="L7" s="161">
        <v>12.67</v>
      </c>
      <c r="M7" s="160">
        <f>'Consommation du 01.10 au 31.10'!AC15</f>
        <v>14</v>
      </c>
      <c r="N7" s="160">
        <v>14</v>
      </c>
      <c r="O7" s="161">
        <f t="shared" si="0"/>
        <v>20189.007960000461</v>
      </c>
    </row>
    <row r="8" spans="1:15" x14ac:dyDescent="0.2">
      <c r="A8" s="158" t="s">
        <v>84</v>
      </c>
      <c r="B8" s="159">
        <f t="shared" si="1"/>
        <v>7</v>
      </c>
      <c r="C8" s="159">
        <v>10</v>
      </c>
      <c r="D8" s="160">
        <v>2020</v>
      </c>
      <c r="E8" s="161">
        <f>'Consommation du 01.10 au 31.10'!M16</f>
        <v>14075</v>
      </c>
      <c r="F8" s="161">
        <v>0.99</v>
      </c>
      <c r="G8" s="161">
        <f>'Consommation du 01.10 au 31.10'!U16</f>
        <v>185.5</v>
      </c>
      <c r="H8" s="161">
        <v>7.8338000000000001</v>
      </c>
      <c r="I8" s="161">
        <f>'Consommation du 01.10 au 31.10'!Y16*1000</f>
        <v>7440.0000000023283</v>
      </c>
      <c r="J8" s="161">
        <v>0.53</v>
      </c>
      <c r="K8" s="161">
        <f>'Consommation du 01.10 au 31.10'!D16</f>
        <v>320</v>
      </c>
      <c r="L8" s="161">
        <v>12.67</v>
      </c>
      <c r="M8" s="160">
        <f>'Consommation du 01.10 au 31.10'!AC16</f>
        <v>12</v>
      </c>
      <c r="N8" s="160">
        <v>12</v>
      </c>
      <c r="O8" s="161">
        <f t="shared" si="0"/>
        <v>23385.019900001236</v>
      </c>
    </row>
    <row r="9" spans="1:15" x14ac:dyDescent="0.2">
      <c r="A9" s="158" t="s">
        <v>84</v>
      </c>
      <c r="B9" s="159">
        <f t="shared" si="1"/>
        <v>8</v>
      </c>
      <c r="C9" s="159">
        <v>10</v>
      </c>
      <c r="D9" s="160">
        <v>2020</v>
      </c>
      <c r="E9" s="161">
        <f>'Consommation du 01.10 au 31.10'!M17</f>
        <v>15911</v>
      </c>
      <c r="F9" s="161">
        <v>0.99</v>
      </c>
      <c r="G9" s="161">
        <f>'Consommation du 01.10 au 31.10'!U17</f>
        <v>259.7</v>
      </c>
      <c r="H9" s="161">
        <v>7.8338000000000001</v>
      </c>
      <c r="I9" s="161">
        <f>'Consommation du 01.10 au 31.10'!Y17*1000</f>
        <v>7169.9999999982538</v>
      </c>
      <c r="J9" s="161">
        <v>0.53</v>
      </c>
      <c r="K9" s="161">
        <f>'Consommation du 01.10 au 31.10'!D17</f>
        <v>240</v>
      </c>
      <c r="L9" s="161">
        <v>12.67</v>
      </c>
      <c r="M9" s="160">
        <f>'Consommation du 01.10 au 31.10'!AC17</f>
        <v>17</v>
      </c>
      <c r="N9" s="160">
        <v>17</v>
      </c>
      <c r="O9" s="161">
        <f t="shared" si="0"/>
        <v>24627.227859999071</v>
      </c>
    </row>
    <row r="10" spans="1:15" x14ac:dyDescent="0.2">
      <c r="A10" s="158" t="s">
        <v>84</v>
      </c>
      <c r="B10" s="159">
        <f t="shared" si="1"/>
        <v>9</v>
      </c>
      <c r="C10" s="159">
        <v>10</v>
      </c>
      <c r="D10" s="160">
        <v>2020</v>
      </c>
      <c r="E10" s="161">
        <f>'Consommation du 01.10 au 31.10'!M18</f>
        <v>14611</v>
      </c>
      <c r="F10" s="161">
        <v>0.99</v>
      </c>
      <c r="G10" s="161">
        <f>'Consommation du 01.10 au 31.10'!U18</f>
        <v>185.5</v>
      </c>
      <c r="H10" s="161">
        <v>7.8338000000000001</v>
      </c>
      <c r="I10" s="161">
        <f>'Consommation du 01.10 au 31.10'!Y18*1000</f>
        <v>8430.000000000291</v>
      </c>
      <c r="J10" s="161">
        <v>0.53</v>
      </c>
      <c r="K10" s="161">
        <f>'Consommation du 01.10 au 31.10'!D18</f>
        <v>370</v>
      </c>
      <c r="L10" s="161">
        <v>12.67</v>
      </c>
      <c r="M10" s="160">
        <f>'Consommation du 01.10 au 31.10'!AC18</f>
        <v>33</v>
      </c>
      <c r="N10" s="160">
        <v>33</v>
      </c>
      <c r="O10" s="161">
        <f t="shared" si="0"/>
        <v>25073.859900000156</v>
      </c>
    </row>
    <row r="11" spans="1:15" x14ac:dyDescent="0.2">
      <c r="A11" s="158" t="s">
        <v>84</v>
      </c>
      <c r="B11" s="159">
        <f t="shared" si="1"/>
        <v>10</v>
      </c>
      <c r="C11" s="159">
        <v>10</v>
      </c>
      <c r="D11" s="160">
        <v>2020</v>
      </c>
      <c r="E11" s="161">
        <f>'Consommation du 01.10 au 31.10'!M19</f>
        <v>14218</v>
      </c>
      <c r="F11" s="161">
        <v>0.99</v>
      </c>
      <c r="G11" s="161">
        <f>'Consommation du 01.10 au 31.10'!U19</f>
        <v>37.1</v>
      </c>
      <c r="H11" s="161">
        <v>7.8338000000000001</v>
      </c>
      <c r="I11" s="161">
        <f>'Consommation du 01.10 au 31.10'!Y19*1000</f>
        <v>9299.9999999992724</v>
      </c>
      <c r="J11" s="161">
        <v>0.53</v>
      </c>
      <c r="K11" s="161">
        <f>'Consommation du 01.10 au 31.10'!D19</f>
        <v>270</v>
      </c>
      <c r="L11" s="161">
        <v>12.67</v>
      </c>
      <c r="M11" s="160">
        <f>'Consommation du 01.10 au 31.10'!AC19</f>
        <v>50</v>
      </c>
      <c r="N11" s="160">
        <v>50</v>
      </c>
      <c r="O11" s="161">
        <f t="shared" si="0"/>
        <v>22716.353979999614</v>
      </c>
    </row>
    <row r="12" spans="1:15" x14ac:dyDescent="0.2">
      <c r="A12" s="158" t="s">
        <v>84</v>
      </c>
      <c r="B12" s="159">
        <f t="shared" si="1"/>
        <v>11</v>
      </c>
      <c r="C12" s="159">
        <v>10</v>
      </c>
      <c r="D12" s="160">
        <v>2020</v>
      </c>
      <c r="E12" s="161">
        <f>'Consommation du 01.10 au 31.10'!M20</f>
        <v>16141</v>
      </c>
      <c r="F12" s="161">
        <v>0.99</v>
      </c>
      <c r="G12" s="161">
        <f>'Consommation du 01.10 au 31.10'!U20</f>
        <v>185.5</v>
      </c>
      <c r="H12" s="161">
        <v>7.8338000000000001</v>
      </c>
      <c r="I12" s="161">
        <f>'Consommation du 01.10 au 31.10'!Y20*1000</f>
        <v>8479.9999999995634</v>
      </c>
      <c r="J12" s="161">
        <v>0.53</v>
      </c>
      <c r="K12" s="161">
        <f>'Consommation du 01.10 au 31.10'!D20</f>
        <v>260</v>
      </c>
      <c r="L12" s="161">
        <v>12.67</v>
      </c>
      <c r="M12" s="160">
        <f>'Consommation du 01.10 au 31.10'!AC20</f>
        <v>29</v>
      </c>
      <c r="N12" s="160">
        <v>29</v>
      </c>
      <c r="O12" s="161">
        <f t="shared" si="0"/>
        <v>25221.35989999977</v>
      </c>
    </row>
    <row r="13" spans="1:15" x14ac:dyDescent="0.2">
      <c r="A13" s="158" t="s">
        <v>84</v>
      </c>
      <c r="B13" s="159">
        <f t="shared" si="1"/>
        <v>12</v>
      </c>
      <c r="C13" s="159">
        <v>10</v>
      </c>
      <c r="D13" s="160">
        <v>2020</v>
      </c>
      <c r="E13" s="161">
        <f>'Consommation du 01.10 au 31.10'!M21</f>
        <v>15306</v>
      </c>
      <c r="F13" s="161">
        <v>0.99</v>
      </c>
      <c r="G13" s="161">
        <f>'Consommation du 01.10 au 31.10'!U21</f>
        <v>445.20000000000005</v>
      </c>
      <c r="H13" s="161">
        <v>7.8338000000000001</v>
      </c>
      <c r="I13" s="161">
        <f>'Consommation du 01.10 au 31.10'!Y21*1000</f>
        <v>6380.0000000010186</v>
      </c>
      <c r="J13" s="161">
        <v>0.53</v>
      </c>
      <c r="K13" s="161">
        <f>'Consommation du 01.10 au 31.10'!D21</f>
        <v>290</v>
      </c>
      <c r="L13" s="161">
        <v>12.67</v>
      </c>
      <c r="M13" s="160">
        <f>'Consommation du 01.10 au 31.10'!AC21</f>
        <v>29</v>
      </c>
      <c r="N13" s="160">
        <v>29</v>
      </c>
      <c r="O13" s="161">
        <f t="shared" si="0"/>
        <v>25696.24776000054</v>
      </c>
    </row>
    <row r="14" spans="1:15" x14ac:dyDescent="0.2">
      <c r="A14" s="158" t="s">
        <v>84</v>
      </c>
      <c r="B14" s="159">
        <f t="shared" si="1"/>
        <v>13</v>
      </c>
      <c r="C14" s="159">
        <v>10</v>
      </c>
      <c r="D14" s="160">
        <v>2020</v>
      </c>
      <c r="E14" s="161">
        <f>'Consommation du 01.10 au 31.10'!M22</f>
        <v>16902</v>
      </c>
      <c r="F14" s="161">
        <v>0.99</v>
      </c>
      <c r="G14" s="161">
        <f>'Consommation du 01.10 au 31.10'!U22</f>
        <v>222.60000000000002</v>
      </c>
      <c r="H14" s="161">
        <v>7.8338000000000001</v>
      </c>
      <c r="I14" s="161">
        <f>'Consommation du 01.10 au 31.10'!Y22*1000</f>
        <v>10029.999999998836</v>
      </c>
      <c r="J14" s="161">
        <v>0.53</v>
      </c>
      <c r="K14" s="161">
        <f>'Consommation du 01.10 au 31.10'!D22</f>
        <v>290</v>
      </c>
      <c r="L14" s="161">
        <v>12.67</v>
      </c>
      <c r="M14" s="160">
        <f>'Consommation du 01.10 au 31.10'!AC22</f>
        <v>27</v>
      </c>
      <c r="N14" s="160">
        <v>27</v>
      </c>
      <c r="O14" s="161">
        <f t="shared" si="0"/>
        <v>27466.983879999381</v>
      </c>
    </row>
    <row r="15" spans="1:15" x14ac:dyDescent="0.2">
      <c r="A15" s="158" t="s">
        <v>84</v>
      </c>
      <c r="B15" s="159">
        <f t="shared" si="1"/>
        <v>14</v>
      </c>
      <c r="C15" s="159">
        <v>10</v>
      </c>
      <c r="D15" s="160">
        <v>2020</v>
      </c>
      <c r="E15" s="161">
        <f>'Consommation du 01.10 au 31.10'!M23</f>
        <v>16553</v>
      </c>
      <c r="F15" s="161">
        <v>0.99</v>
      </c>
      <c r="G15" s="161">
        <f>'Consommation du 01.10 au 31.10'!U23</f>
        <v>111.30000000000001</v>
      </c>
      <c r="H15" s="161">
        <v>7.8338000000000001</v>
      </c>
      <c r="I15" s="161">
        <f>'Consommation du 01.10 au 31.10'!Y23*1000</f>
        <v>9530.0000000024738</v>
      </c>
      <c r="J15" s="161">
        <v>0.53</v>
      </c>
      <c r="K15" s="161">
        <f>'Consommation du 01.10 au 31.10'!D23</f>
        <v>680</v>
      </c>
      <c r="L15" s="161">
        <v>12.67</v>
      </c>
      <c r="M15" s="160">
        <f>'Consommation du 01.10 au 31.10'!AC23</f>
        <v>21</v>
      </c>
      <c r="N15" s="160">
        <v>21</v>
      </c>
      <c r="O15" s="161">
        <f t="shared" si="0"/>
        <v>30925.871940001314</v>
      </c>
    </row>
    <row r="16" spans="1:15" x14ac:dyDescent="0.2">
      <c r="A16" s="158" t="s">
        <v>84</v>
      </c>
      <c r="B16" s="159">
        <f t="shared" si="1"/>
        <v>15</v>
      </c>
      <c r="C16" s="159">
        <v>10</v>
      </c>
      <c r="D16" s="160">
        <v>2020</v>
      </c>
      <c r="E16" s="161">
        <f>'Consommation du 01.10 au 31.10'!M24</f>
        <v>14753</v>
      </c>
      <c r="F16" s="161">
        <v>0.99</v>
      </c>
      <c r="G16" s="161">
        <f>'Consommation du 01.10 au 31.10'!U24</f>
        <v>111.30000000000001</v>
      </c>
      <c r="H16" s="161">
        <v>7.8338000000000001</v>
      </c>
      <c r="I16" s="161">
        <f>'Consommation du 01.10 au 31.10'!Y24*1000</f>
        <v>10049.999999999272</v>
      </c>
      <c r="J16" s="161">
        <v>0.53</v>
      </c>
      <c r="K16" s="161">
        <f>'Consommation du 01.10 au 31.10'!D24</f>
        <v>590</v>
      </c>
      <c r="L16" s="161">
        <v>12.67</v>
      </c>
      <c r="M16" s="160">
        <f>'Consommation du 01.10 au 31.10'!AC24</f>
        <v>22</v>
      </c>
      <c r="N16" s="160">
        <v>22</v>
      </c>
      <c r="O16" s="161">
        <f t="shared" si="0"/>
        <v>28279.171939999611</v>
      </c>
    </row>
    <row r="17" spans="1:15" x14ac:dyDescent="0.2">
      <c r="A17" s="158" t="s">
        <v>84</v>
      </c>
      <c r="B17" s="159">
        <f t="shared" si="1"/>
        <v>16</v>
      </c>
      <c r="C17" s="159">
        <v>10</v>
      </c>
      <c r="D17" s="160">
        <v>2020</v>
      </c>
      <c r="E17" s="161">
        <f>'Consommation du 01.10 au 31.10'!M25</f>
        <v>11198</v>
      </c>
      <c r="F17" s="161">
        <v>0.99</v>
      </c>
      <c r="G17" s="161">
        <f>'Consommation du 01.10 au 31.10'!U25</f>
        <v>482.3</v>
      </c>
      <c r="H17" s="161">
        <v>7.8338000000000001</v>
      </c>
      <c r="I17" s="161">
        <f>'Consommation du 01.10 au 31.10'!Y25*1000</f>
        <v>11130.000000001019</v>
      </c>
      <c r="J17" s="161">
        <v>0.53</v>
      </c>
      <c r="K17" s="161">
        <f>'Consommation du 01.10 au 31.10'!D25</f>
        <v>460</v>
      </c>
      <c r="L17" s="161">
        <v>12.67</v>
      </c>
      <c r="M17" s="160">
        <f>'Consommation du 01.10 au 31.10'!AC25</f>
        <v>44</v>
      </c>
      <c r="N17" s="160">
        <v>44</v>
      </c>
      <c r="O17" s="161">
        <f t="shared" si="0"/>
        <v>26591.361740000542</v>
      </c>
    </row>
    <row r="18" spans="1:15" x14ac:dyDescent="0.2">
      <c r="A18" s="158" t="s">
        <v>84</v>
      </c>
      <c r="B18" s="159">
        <f t="shared" si="1"/>
        <v>17</v>
      </c>
      <c r="C18" s="159">
        <v>10</v>
      </c>
      <c r="D18" s="160">
        <v>2020</v>
      </c>
      <c r="E18" s="161">
        <f>'Consommation du 01.10 au 31.10'!M26</f>
        <v>10627</v>
      </c>
      <c r="F18" s="161">
        <v>0.99</v>
      </c>
      <c r="G18" s="161">
        <f>'Consommation du 01.10 au 31.10'!U26</f>
        <v>185.5</v>
      </c>
      <c r="H18" s="161">
        <v>7.8338000000000001</v>
      </c>
      <c r="I18" s="161">
        <f>'Consommation du 01.10 au 31.10'!Y26*1000</f>
        <v>14529.999999998836</v>
      </c>
      <c r="J18" s="161">
        <v>0.53</v>
      </c>
      <c r="K18" s="161">
        <f>'Consommation du 01.10 au 31.10'!D26</f>
        <v>340</v>
      </c>
      <c r="L18" s="161">
        <v>12.67</v>
      </c>
      <c r="M18" s="160">
        <f>'Consommation du 01.10 au 31.10'!AC26</f>
        <v>57</v>
      </c>
      <c r="N18" s="160">
        <v>57</v>
      </c>
      <c r="O18" s="161">
        <f t="shared" si="0"/>
        <v>23982.599899999383</v>
      </c>
    </row>
    <row r="19" spans="1:15" x14ac:dyDescent="0.2">
      <c r="A19" s="158" t="s">
        <v>84</v>
      </c>
      <c r="B19" s="159">
        <f t="shared" si="1"/>
        <v>18</v>
      </c>
      <c r="C19" s="159">
        <v>10</v>
      </c>
      <c r="D19" s="160">
        <v>2020</v>
      </c>
      <c r="E19" s="161">
        <f>'Consommation du 01.10 au 31.10'!M27</f>
        <v>11808</v>
      </c>
      <c r="F19" s="161">
        <v>0.99</v>
      </c>
      <c r="G19" s="161">
        <f>'Consommation du 01.10 au 31.10'!U27</f>
        <v>371</v>
      </c>
      <c r="H19" s="161">
        <v>7.8338000000000001</v>
      </c>
      <c r="I19" s="161">
        <f>'Consommation du 01.10 au 31.10'!Y27*1000</f>
        <v>15040.000000000873</v>
      </c>
      <c r="J19" s="161">
        <v>0.53</v>
      </c>
      <c r="K19" s="161">
        <f>'Consommation du 01.10 au 31.10'!D27</f>
        <v>400</v>
      </c>
      <c r="L19" s="161">
        <v>12.67</v>
      </c>
      <c r="M19" s="160">
        <f>'Consommation du 01.10 au 31.10'!AC27</f>
        <v>45</v>
      </c>
      <c r="N19" s="160">
        <v>45</v>
      </c>
      <c r="O19" s="161">
        <f t="shared" si="0"/>
        <v>27635.459800000463</v>
      </c>
    </row>
    <row r="20" spans="1:15" x14ac:dyDescent="0.2">
      <c r="A20" s="158" t="s">
        <v>84</v>
      </c>
      <c r="B20" s="159">
        <f t="shared" si="1"/>
        <v>19</v>
      </c>
      <c r="C20" s="159">
        <v>10</v>
      </c>
      <c r="D20" s="160">
        <v>2020</v>
      </c>
      <c r="E20" s="161">
        <f>'Consommation du 01.10 au 31.10'!M28</f>
        <v>11082</v>
      </c>
      <c r="F20" s="161">
        <v>0.99</v>
      </c>
      <c r="G20" s="161">
        <f>'Consommation du 01.10 au 31.10'!U28</f>
        <v>333.90000000000003</v>
      </c>
      <c r="H20" s="161">
        <v>7.8338000000000001</v>
      </c>
      <c r="I20" s="161">
        <f>'Consommation du 01.10 au 31.10'!Y28*1000</f>
        <v>8949.9999999970896</v>
      </c>
      <c r="J20" s="161">
        <v>0.53</v>
      </c>
      <c r="K20" s="161">
        <f>'Consommation du 01.10 au 31.10'!D28</f>
        <v>360</v>
      </c>
      <c r="L20" s="161">
        <v>12.67</v>
      </c>
      <c r="M20" s="160">
        <f>'Consommation du 01.10 au 31.10'!AC28</f>
        <v>51</v>
      </c>
      <c r="N20" s="160">
        <v>51</v>
      </c>
      <c r="O20" s="161">
        <f t="shared" si="0"/>
        <v>22891.585819998458</v>
      </c>
    </row>
    <row r="21" spans="1:15" x14ac:dyDescent="0.2">
      <c r="A21" s="158" t="s">
        <v>84</v>
      </c>
      <c r="B21" s="159">
        <f t="shared" si="1"/>
        <v>20</v>
      </c>
      <c r="C21" s="159">
        <v>10</v>
      </c>
      <c r="D21" s="160">
        <v>2020</v>
      </c>
      <c r="E21" s="161">
        <f>'Consommation du 01.10 au 31.10'!M29</f>
        <v>13856</v>
      </c>
      <c r="F21" s="161">
        <v>0.99</v>
      </c>
      <c r="G21" s="161">
        <f>'Consommation du 01.10 au 31.10'!U29</f>
        <v>148.4</v>
      </c>
      <c r="H21" s="161">
        <v>7.8338000000000001</v>
      </c>
      <c r="I21" s="161">
        <f>'Consommation du 01.10 au 31.10'!Y29*1000</f>
        <v>14920.000000001892</v>
      </c>
      <c r="J21" s="161">
        <v>0.53</v>
      </c>
      <c r="K21" s="161">
        <f>'Consommation du 01.10 au 31.10'!D29</f>
        <v>330</v>
      </c>
      <c r="L21" s="161">
        <v>12.67</v>
      </c>
      <c r="M21" s="160">
        <f>'Consommation du 01.10 au 31.10'!AC29</f>
        <v>30</v>
      </c>
      <c r="N21" s="160">
        <v>30</v>
      </c>
      <c r="O21" s="161">
        <f t="shared" si="0"/>
        <v>26968.675920001006</v>
      </c>
    </row>
    <row r="22" spans="1:15" x14ac:dyDescent="0.2">
      <c r="A22" s="158" t="s">
        <v>84</v>
      </c>
      <c r="B22" s="159">
        <f t="shared" si="1"/>
        <v>21</v>
      </c>
      <c r="C22" s="159">
        <v>10</v>
      </c>
      <c r="D22" s="160">
        <v>2020</v>
      </c>
      <c r="E22" s="161">
        <f>'Consommation du 01.10 au 31.10'!M30</f>
        <v>17640</v>
      </c>
      <c r="F22" s="161">
        <v>0.99</v>
      </c>
      <c r="G22" s="161">
        <f>'Consommation du 01.10 au 31.10'!U30</f>
        <v>408.1</v>
      </c>
      <c r="H22" s="161">
        <v>7.8338000000000001</v>
      </c>
      <c r="I22" s="161">
        <f>'Consommation du 01.10 au 31.10'!Y30*1000</f>
        <v>13759.999999998399</v>
      </c>
      <c r="J22" s="161">
        <v>0.53</v>
      </c>
      <c r="K22" s="161">
        <f>'Consommation du 01.10 au 31.10'!D30</f>
        <v>430</v>
      </c>
      <c r="L22" s="161">
        <v>12.67</v>
      </c>
      <c r="M22" s="160">
        <f>'Consommation du 01.10 au 31.10'!AC30</f>
        <v>23</v>
      </c>
      <c r="N22" s="160">
        <v>23</v>
      </c>
      <c r="O22" s="161">
        <f t="shared" si="0"/>
        <v>33401.473779999149</v>
      </c>
    </row>
    <row r="23" spans="1:15" x14ac:dyDescent="0.2">
      <c r="A23" s="158" t="s">
        <v>84</v>
      </c>
      <c r="B23" s="159">
        <f t="shared" si="1"/>
        <v>22</v>
      </c>
      <c r="C23" s="159">
        <v>10</v>
      </c>
      <c r="D23" s="160">
        <v>2020</v>
      </c>
      <c r="E23" s="161">
        <f>'Consommation du 01.10 au 31.10'!M31</f>
        <v>13566</v>
      </c>
      <c r="F23" s="161">
        <v>0.99</v>
      </c>
      <c r="G23" s="161">
        <f>'Consommation du 01.10 au 31.10'!U31</f>
        <v>185.5</v>
      </c>
      <c r="H23" s="161">
        <v>7.8338000000000001</v>
      </c>
      <c r="I23" s="161">
        <f>'Consommation du 01.10 au 31.10'!Y31*1000</f>
        <v>14069.999999999709</v>
      </c>
      <c r="J23" s="161">
        <v>0.53</v>
      </c>
      <c r="K23" s="161">
        <f>'Consommation du 01.10 au 31.10'!D31</f>
        <v>370</v>
      </c>
      <c r="L23" s="161">
        <v>12.67</v>
      </c>
      <c r="M23" s="160">
        <f>'Consommation du 01.10 au 31.10'!AC31</f>
        <v>33</v>
      </c>
      <c r="N23" s="160">
        <v>33</v>
      </c>
      <c r="O23" s="161">
        <f t="shared" si="0"/>
        <v>27028.509899999844</v>
      </c>
    </row>
    <row r="24" spans="1:15" x14ac:dyDescent="0.2">
      <c r="A24" s="158" t="s">
        <v>84</v>
      </c>
      <c r="B24" s="159">
        <f t="shared" si="1"/>
        <v>23</v>
      </c>
      <c r="C24" s="159">
        <v>10</v>
      </c>
      <c r="D24" s="160">
        <v>2020</v>
      </c>
      <c r="E24" s="161">
        <f>'Consommation du 01.10 au 31.10'!M32</f>
        <v>14300</v>
      </c>
      <c r="F24" s="161">
        <v>0.99</v>
      </c>
      <c r="G24" s="161">
        <f>'Consommation du 01.10 au 31.10'!U32</f>
        <v>296.8</v>
      </c>
      <c r="H24" s="161">
        <v>7.8338000000000001</v>
      </c>
      <c r="I24" s="161">
        <f>'Consommation du 01.10 au 31.10'!Y32*1000</f>
        <v>15390.000000003056</v>
      </c>
      <c r="J24" s="161">
        <v>0.53</v>
      </c>
      <c r="K24" s="161">
        <f>'Consommation du 01.10 au 31.10'!D32</f>
        <v>410</v>
      </c>
      <c r="L24" s="161">
        <v>12.67</v>
      </c>
      <c r="M24" s="160">
        <f>'Consommation du 01.10 au 31.10'!AC32</f>
        <v>52</v>
      </c>
      <c r="N24" s="160">
        <v>52</v>
      </c>
      <c r="O24" s="161">
        <f t="shared" si="0"/>
        <v>29833.471840001621</v>
      </c>
    </row>
    <row r="25" spans="1:15" x14ac:dyDescent="0.2">
      <c r="A25" s="158" t="s">
        <v>84</v>
      </c>
      <c r="B25" s="159">
        <f t="shared" si="1"/>
        <v>24</v>
      </c>
      <c r="C25" s="159">
        <v>10</v>
      </c>
      <c r="D25" s="160">
        <v>2020</v>
      </c>
      <c r="E25" s="161">
        <f>'Consommation du 01.10 au 31.10'!M33</f>
        <v>13470</v>
      </c>
      <c r="F25" s="161">
        <v>0.99</v>
      </c>
      <c r="G25" s="161">
        <f>'Consommation du 01.10 au 31.10'!U33</f>
        <v>445.20000000000005</v>
      </c>
      <c r="H25" s="161">
        <v>7.8338000000000001</v>
      </c>
      <c r="I25" s="161">
        <f>'Consommation du 01.10 au 31.10'!Y33*1000</f>
        <v>15750</v>
      </c>
      <c r="J25" s="161">
        <v>0.53</v>
      </c>
      <c r="K25" s="161">
        <f>'Consommation du 01.10 au 31.10'!D33</f>
        <v>360</v>
      </c>
      <c r="L25" s="161">
        <v>12.67</v>
      </c>
      <c r="M25" s="160">
        <f>'Consommation du 01.10 au 31.10'!AC33</f>
        <v>55</v>
      </c>
      <c r="N25" s="160">
        <v>55</v>
      </c>
      <c r="O25" s="161">
        <f t="shared" si="0"/>
        <v>29731.607759999999</v>
      </c>
    </row>
    <row r="26" spans="1:15" x14ac:dyDescent="0.2">
      <c r="A26" s="158" t="s">
        <v>84</v>
      </c>
      <c r="B26" s="159">
        <f>B25+1</f>
        <v>25</v>
      </c>
      <c r="C26" s="159">
        <v>10</v>
      </c>
      <c r="D26" s="160">
        <v>2020</v>
      </c>
      <c r="E26" s="161">
        <f>'Consommation du 01.10 au 31.10'!M34</f>
        <v>12675</v>
      </c>
      <c r="F26" s="161">
        <v>0.99</v>
      </c>
      <c r="G26" s="161">
        <f>'Consommation du 01.10 au 31.10'!U34</f>
        <v>259.7</v>
      </c>
      <c r="H26" s="161">
        <v>7.8338000000000001</v>
      </c>
      <c r="I26" s="161">
        <f>'Consommation du 01.10 au 31.10'!Y34*1000</f>
        <v>14419.999999998254</v>
      </c>
      <c r="J26" s="161">
        <v>0.53</v>
      </c>
      <c r="K26" s="161">
        <f>'Consommation du 01.10 au 31.10'!D34</f>
        <v>350</v>
      </c>
      <c r="L26" s="161">
        <v>12.67</v>
      </c>
      <c r="M26" s="160">
        <f>'Consommation du 01.10 au 31.10'!AC34</f>
        <v>32</v>
      </c>
      <c r="N26" s="160">
        <v>32</v>
      </c>
      <c r="O26" s="161">
        <f t="shared" si="0"/>
        <v>26659.787859999073</v>
      </c>
    </row>
    <row r="27" spans="1:15" x14ac:dyDescent="0.2">
      <c r="A27" s="158" t="s">
        <v>84</v>
      </c>
      <c r="B27" s="159">
        <f t="shared" si="1"/>
        <v>26</v>
      </c>
      <c r="C27" s="159">
        <v>10</v>
      </c>
      <c r="D27" s="160">
        <v>2020</v>
      </c>
      <c r="E27" s="161">
        <f>'Consommation du 01.10 au 31.10'!M35</f>
        <v>11921</v>
      </c>
      <c r="F27" s="161">
        <v>0.99</v>
      </c>
      <c r="G27" s="161">
        <f>'Consommation du 01.10 au 31.10'!U35</f>
        <v>259.7</v>
      </c>
      <c r="H27" s="161">
        <v>7.8338000000000001</v>
      </c>
      <c r="I27" s="161">
        <f>'Consommation du 01.10 au 31.10'!Y35*1000</f>
        <v>13610.000000000582</v>
      </c>
      <c r="J27" s="161">
        <v>0.53</v>
      </c>
      <c r="K27" s="161">
        <f>'Consommation du 01.10 au 31.10'!D35</f>
        <v>300</v>
      </c>
      <c r="L27" s="161">
        <v>12.67</v>
      </c>
      <c r="M27" s="160">
        <f>'Consommation du 01.10 au 31.10'!AC35</f>
        <v>25</v>
      </c>
      <c r="N27" s="160">
        <v>25</v>
      </c>
      <c r="O27" s="161">
        <f t="shared" si="0"/>
        <v>24850.527860000308</v>
      </c>
    </row>
    <row r="28" spans="1:15" x14ac:dyDescent="0.2">
      <c r="A28" s="158" t="s">
        <v>84</v>
      </c>
      <c r="B28" s="159">
        <f t="shared" si="1"/>
        <v>27</v>
      </c>
      <c r="C28" s="159">
        <v>10</v>
      </c>
      <c r="D28" s="160">
        <v>2020</v>
      </c>
      <c r="E28" s="161">
        <f>'Consommation du 01.10 au 31.10'!M36</f>
        <v>11476</v>
      </c>
      <c r="F28" s="161">
        <v>0.99</v>
      </c>
      <c r="G28" s="161">
        <f>'Consommation du 01.10 au 31.10'!U36</f>
        <v>296.8</v>
      </c>
      <c r="H28" s="161">
        <v>7.8338000000000001</v>
      </c>
      <c r="I28" s="161">
        <f>'Consommation du 01.10 au 31.10'!Y36*1000</f>
        <v>14790.000000000873</v>
      </c>
      <c r="J28" s="161">
        <v>0.53</v>
      </c>
      <c r="K28" s="161">
        <f>'Consommation du 01.10 au 31.10'!D36</f>
        <v>710</v>
      </c>
      <c r="L28" s="161">
        <v>12.67</v>
      </c>
      <c r="M28" s="160">
        <f>'Consommation du 01.10 au 31.10'!AC36</f>
        <v>28</v>
      </c>
      <c r="N28" s="160">
        <v>28</v>
      </c>
      <c r="O28" s="161">
        <f t="shared" si="0"/>
        <v>30520.711840000466</v>
      </c>
    </row>
    <row r="29" spans="1:15" x14ac:dyDescent="0.2">
      <c r="A29" s="158" t="s">
        <v>84</v>
      </c>
      <c r="B29" s="159">
        <f t="shared" si="1"/>
        <v>28</v>
      </c>
      <c r="C29" s="159">
        <v>10</v>
      </c>
      <c r="D29" s="160">
        <v>2020</v>
      </c>
      <c r="E29" s="161">
        <f>'Consommation du 01.10 au 31.10'!M37</f>
        <v>15746</v>
      </c>
      <c r="F29" s="161">
        <v>0.99</v>
      </c>
      <c r="G29" s="161">
        <f>'Consommation du 01.10 au 31.10'!U37</f>
        <v>148.4</v>
      </c>
      <c r="H29" s="161">
        <v>7.8338000000000001</v>
      </c>
      <c r="I29" s="161">
        <f>'Consommation du 01.10 au 31.10'!Y37*1000</f>
        <v>15599.999999998545</v>
      </c>
      <c r="J29" s="161">
        <v>0.53</v>
      </c>
      <c r="K29" s="161">
        <f>'Consommation du 01.10 au 31.10'!D37</f>
        <v>410</v>
      </c>
      <c r="L29" s="161">
        <v>12.67</v>
      </c>
      <c r="M29" s="160">
        <f>'Consommation du 01.10 au 31.10'!AC37</f>
        <v>53</v>
      </c>
      <c r="N29" s="160">
        <v>53</v>
      </c>
      <c r="O29" s="161">
        <f t="shared" si="0"/>
        <v>30213.775919999229</v>
      </c>
    </row>
    <row r="30" spans="1:15" x14ac:dyDescent="0.2">
      <c r="A30" s="158" t="s">
        <v>84</v>
      </c>
      <c r="B30" s="159">
        <f t="shared" si="1"/>
        <v>29</v>
      </c>
      <c r="C30" s="159">
        <v>10</v>
      </c>
      <c r="D30" s="160">
        <v>2020</v>
      </c>
      <c r="E30" s="161">
        <f>'Consommation du 01.10 au 31.10'!M38</f>
        <v>14109</v>
      </c>
      <c r="F30" s="161">
        <v>0.99</v>
      </c>
      <c r="G30" s="161">
        <f>'Consommation du 01.10 au 31.10'!U38</f>
        <v>259.7</v>
      </c>
      <c r="H30" s="161">
        <v>7.8338000000000001</v>
      </c>
      <c r="I30" s="161">
        <f>'Consommation du 01.10 au 31.10'!Y38*1000</f>
        <v>14200.000000000728</v>
      </c>
      <c r="J30" s="161">
        <v>0.53</v>
      </c>
      <c r="K30" s="161">
        <f>'Consommation du 01.10 au 31.10'!D38</f>
        <v>400</v>
      </c>
      <c r="L30" s="161">
        <v>12.67</v>
      </c>
      <c r="M30" s="160">
        <f>'Consommation du 01.10 au 31.10'!AC38</f>
        <v>86</v>
      </c>
      <c r="N30" s="160">
        <v>86</v>
      </c>
      <c r="O30" s="161">
        <f t="shared" si="0"/>
        <v>28596.347860000387</v>
      </c>
    </row>
    <row r="31" spans="1:15" x14ac:dyDescent="0.2">
      <c r="A31" s="158" t="s">
        <v>84</v>
      </c>
      <c r="B31" s="159">
        <f t="shared" si="1"/>
        <v>30</v>
      </c>
      <c r="C31" s="159">
        <v>10</v>
      </c>
      <c r="D31" s="160">
        <v>2020</v>
      </c>
      <c r="E31" s="161">
        <f>'Consommation du 01.10 au 31.10'!M39</f>
        <v>13178</v>
      </c>
      <c r="F31" s="161">
        <v>0.99</v>
      </c>
      <c r="G31" s="161">
        <f>'Consommation du 01.10 au 31.10'!U39</f>
        <v>222.60000000000002</v>
      </c>
      <c r="H31" s="161">
        <v>7.8338000000000001</v>
      </c>
      <c r="I31" s="161">
        <f>'Consommation du 01.10 au 31.10'!Y39*1000</f>
        <v>15250</v>
      </c>
      <c r="J31" s="161">
        <v>0.53</v>
      </c>
      <c r="K31" s="161">
        <f>'Consommation du 01.10 au 31.10'!D39</f>
        <v>370</v>
      </c>
      <c r="L31" s="161">
        <v>12.67</v>
      </c>
      <c r="M31" s="160">
        <f>'Consommation du 01.10 au 31.10'!AC39</f>
        <v>82</v>
      </c>
      <c r="N31" s="160">
        <v>82</v>
      </c>
      <c r="O31" s="161">
        <f t="shared" si="0"/>
        <v>27560.423880000002</v>
      </c>
    </row>
    <row r="32" spans="1:15" x14ac:dyDescent="0.2">
      <c r="A32" s="158" t="s">
        <v>84</v>
      </c>
      <c r="B32" s="159">
        <f t="shared" si="1"/>
        <v>31</v>
      </c>
      <c r="C32" s="159">
        <v>10</v>
      </c>
      <c r="D32" s="160">
        <v>2020</v>
      </c>
      <c r="E32" s="161">
        <f>'Consommation du 01.10 au 31.10'!M40</f>
        <v>13002</v>
      </c>
      <c r="F32" s="161">
        <v>0.99</v>
      </c>
      <c r="G32" s="161">
        <f>'Consommation du 01.10 au 31.10'!U40</f>
        <v>371</v>
      </c>
      <c r="H32" s="161">
        <v>7.8338000000000001</v>
      </c>
      <c r="I32" s="161">
        <f>'Consommation du 01.10 au 31.10'!Y40*1000</f>
        <v>11770.000000000437</v>
      </c>
      <c r="J32" s="161">
        <v>0.53</v>
      </c>
      <c r="K32" s="161">
        <f>'Consommation du 01.10 au 31.10'!D40</f>
        <v>410</v>
      </c>
      <c r="L32" s="161">
        <v>12.67</v>
      </c>
      <c r="M32" s="160">
        <f>'Consommation du 01.10 au 31.10'!AC40</f>
        <v>86</v>
      </c>
      <c r="N32" s="160">
        <v>86</v>
      </c>
      <c r="O32" s="161">
        <f t="shared" ref="O32" si="2">E32*F32+G32*H32+I32*J32+K32*L32</f>
        <v>27211.11980000023</v>
      </c>
    </row>
    <row r="33" spans="4:15" x14ac:dyDescent="0.2"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>
        <f>SUM(O2:O32)</f>
        <v>813218.2599800016</v>
      </c>
    </row>
    <row r="34" spans="4:15" x14ac:dyDescent="0.2"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4:15" x14ac:dyDescent="0.2"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4:15" x14ac:dyDescent="0.2"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4:15" x14ac:dyDescent="0.2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4:15" x14ac:dyDescent="0.2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4:15" x14ac:dyDescent="0.2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27" zoomScale="60" zoomScaleNormal="60" workbookViewId="0">
      <selection activeCell="AC40" sqref="AC40:AD40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253"/>
      <c r="B2" s="254"/>
      <c r="C2" s="254"/>
      <c r="D2" s="254"/>
      <c r="E2" s="254"/>
      <c r="F2" s="255"/>
      <c r="G2" s="256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3"/>
      <c r="AE2" s="255"/>
      <c r="AF2" s="71"/>
      <c r="AH2" s="62"/>
      <c r="AJ2" s="70"/>
    </row>
    <row r="3" spans="1:40" ht="1.5" customHeight="1" x14ac:dyDescent="0.2"/>
    <row r="4" spans="1:40" ht="39" hidden="1" customHeight="1" x14ac:dyDescent="0.2">
      <c r="A4" s="258"/>
      <c r="B4" s="258"/>
      <c r="C4" s="258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258"/>
      <c r="B5" s="258"/>
      <c r="C5" s="258"/>
      <c r="D5" s="3"/>
      <c r="E5" s="3"/>
      <c r="F5" s="3"/>
      <c r="G5" s="3"/>
      <c r="H5" s="3"/>
      <c r="I5" s="3"/>
      <c r="J5" s="3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59"/>
      <c r="V5" s="259"/>
      <c r="W5" s="259"/>
      <c r="X5" s="259"/>
      <c r="Y5" s="259"/>
      <c r="Z5" s="259"/>
      <c r="AA5" s="259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259"/>
      <c r="Y6" s="259"/>
      <c r="Z6" s="259"/>
      <c r="AA6" s="259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260"/>
      <c r="E7" s="260"/>
      <c r="F7" s="260"/>
      <c r="G7" s="260"/>
      <c r="H7" s="260"/>
      <c r="I7" s="260"/>
      <c r="J7" s="260"/>
      <c r="K7" s="260"/>
      <c r="L7" s="260"/>
      <c r="M7" s="261"/>
      <c r="N7" s="260"/>
      <c r="O7" s="260"/>
      <c r="P7" s="260"/>
      <c r="Q7" s="260"/>
      <c r="R7" s="260"/>
      <c r="S7" s="260"/>
      <c r="T7" s="260"/>
      <c r="U7" s="260"/>
      <c r="V7" s="260"/>
      <c r="W7" s="260"/>
      <c r="X7" s="260"/>
      <c r="Y7" s="260"/>
      <c r="Z7" s="260"/>
      <c r="AA7" s="260"/>
      <c r="AB7" s="8"/>
      <c r="AC7" s="8"/>
      <c r="AI7" s="3"/>
      <c r="AJ7" s="72"/>
      <c r="AK7" s="72"/>
      <c r="AL7" s="75"/>
    </row>
    <row r="8" spans="1:40" ht="2.25" customHeight="1" thickBot="1" x14ac:dyDescent="0.25">
      <c r="A8" s="242"/>
      <c r="B8" s="243" t="s">
        <v>1</v>
      </c>
      <c r="C8" s="77"/>
      <c r="D8" s="244" t="s">
        <v>3</v>
      </c>
      <c r="E8" s="73"/>
      <c r="F8" s="246" t="s">
        <v>11</v>
      </c>
      <c r="G8" s="247"/>
      <c r="H8" s="248"/>
      <c r="I8" s="73"/>
      <c r="J8" s="89"/>
      <c r="K8" s="89"/>
      <c r="L8" s="89"/>
      <c r="M8" s="252" t="s">
        <v>2</v>
      </c>
      <c r="N8" s="73"/>
      <c r="O8" s="227" t="s">
        <v>11</v>
      </c>
      <c r="P8" s="73"/>
      <c r="Q8" s="227" t="s">
        <v>4</v>
      </c>
      <c r="R8" s="73"/>
      <c r="S8" s="227" t="s">
        <v>5</v>
      </c>
      <c r="T8" s="73"/>
      <c r="U8" s="236" t="s">
        <v>38</v>
      </c>
      <c r="V8" s="73"/>
      <c r="W8" s="227" t="s">
        <v>11</v>
      </c>
      <c r="X8" s="238" t="s">
        <v>67</v>
      </c>
      <c r="Y8" s="240" t="s">
        <v>66</v>
      </c>
      <c r="Z8" s="222" t="s">
        <v>65</v>
      </c>
      <c r="AA8" s="224"/>
      <c r="AB8" s="225" t="s">
        <v>68</v>
      </c>
      <c r="AC8" s="227" t="s">
        <v>64</v>
      </c>
      <c r="AD8" s="234" t="s">
        <v>63</v>
      </c>
      <c r="AE8" s="229" t="s">
        <v>53</v>
      </c>
      <c r="AF8" s="229" t="s">
        <v>56</v>
      </c>
      <c r="AG8" s="231" t="s">
        <v>54</v>
      </c>
      <c r="AH8" s="231" t="s">
        <v>55</v>
      </c>
      <c r="AI8" s="62"/>
      <c r="AJ8" s="126"/>
      <c r="AK8" s="126"/>
      <c r="AL8" s="74"/>
    </row>
    <row r="9" spans="1:40" ht="77.25" customHeight="1" thickBot="1" x14ac:dyDescent="0.25">
      <c r="A9" s="242"/>
      <c r="B9" s="243"/>
      <c r="C9" s="77"/>
      <c r="D9" s="245"/>
      <c r="E9" s="73"/>
      <c r="F9" s="249"/>
      <c r="G9" s="250"/>
      <c r="H9" s="251"/>
      <c r="I9" s="153"/>
      <c r="J9" s="91" t="s">
        <v>6</v>
      </c>
      <c r="K9" s="91" t="s">
        <v>7</v>
      </c>
      <c r="L9" s="91" t="s">
        <v>8</v>
      </c>
      <c r="M9" s="252"/>
      <c r="N9" s="73"/>
      <c r="O9" s="233"/>
      <c r="P9" s="73"/>
      <c r="Q9" s="233"/>
      <c r="R9" s="73"/>
      <c r="S9" s="233"/>
      <c r="T9" s="73"/>
      <c r="U9" s="237"/>
      <c r="V9" s="73"/>
      <c r="W9" s="233"/>
      <c r="X9" s="239"/>
      <c r="Y9" s="241"/>
      <c r="Z9" s="223"/>
      <c r="AA9" s="224"/>
      <c r="AB9" s="226"/>
      <c r="AC9" s="228"/>
      <c r="AD9" s="235"/>
      <c r="AE9" s="230"/>
      <c r="AF9" s="230"/>
      <c r="AG9" s="232"/>
      <c r="AH9" s="232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44105</v>
      </c>
      <c r="C10" s="93"/>
      <c r="D10" s="148">
        <f>'Suivi EAU-ELEC'!C15</f>
        <v>240</v>
      </c>
      <c r="E10" s="152"/>
      <c r="F10" s="206">
        <f t="shared" ref="F10:F40" si="0">D10*12.67</f>
        <v>3040.8</v>
      </c>
      <c r="G10" s="207"/>
      <c r="H10" s="208"/>
      <c r="I10" s="143"/>
      <c r="J10" s="94">
        <f>'Suivi EAU-ELEC'!E15</f>
        <v>4933</v>
      </c>
      <c r="K10" s="95">
        <f>'Suivi EAU-ELEC'!G15</f>
        <v>6978</v>
      </c>
      <c r="L10" s="95">
        <f>'Suivi EAU-ELEC'!I15</f>
        <v>3655</v>
      </c>
      <c r="M10" s="82">
        <f>L10+K10+J10</f>
        <v>15566</v>
      </c>
      <c r="N10" s="58"/>
      <c r="O10" s="59">
        <f>J10*0.99+K10*0.99+L10*0.99</f>
        <v>15410.34</v>
      </c>
      <c r="P10" s="57"/>
      <c r="Q10" s="55"/>
      <c r="R10" s="56"/>
      <c r="S10" s="55"/>
      <c r="T10" s="96"/>
      <c r="U10" s="60">
        <f>'Suivi Gaz'!O10</f>
        <v>222.60000000000002</v>
      </c>
      <c r="V10" s="58"/>
      <c r="W10" s="59">
        <f>U10*7.9432</f>
        <v>1768.1563200000003</v>
      </c>
      <c r="X10" s="65">
        <v>17028.669999999998</v>
      </c>
      <c r="Y10" s="154">
        <f t="shared" ref="Y10:Y40" si="1">IF(X11&lt;X10,0,X11-X10)</f>
        <v>5.8000000000029104</v>
      </c>
      <c r="Z10" s="64">
        <f>Y10*0.53*1000</f>
        <v>3074.0000000015425</v>
      </c>
      <c r="AA10" s="58"/>
      <c r="AB10" s="84">
        <v>29</v>
      </c>
      <c r="AC10" s="78">
        <v>15</v>
      </c>
      <c r="AD10" s="79">
        <v>0.1087</v>
      </c>
      <c r="AE10" s="83" t="s">
        <v>85</v>
      </c>
      <c r="AF10" s="83" t="s">
        <v>85</v>
      </c>
      <c r="AG10" s="80" t="s">
        <v>85</v>
      </c>
      <c r="AH10" s="81" t="s">
        <v>85</v>
      </c>
      <c r="AI10" s="146"/>
      <c r="AJ10" s="128">
        <f t="shared" ref="AJ10:AJ40" si="2">(F10+O10+W10+Z10)</f>
        <v>23293.296320001544</v>
      </c>
      <c r="AK10" s="129">
        <f t="shared" ref="AK10:AK40" si="3">AJ10/AC10</f>
        <v>1552.8864213334361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44106</v>
      </c>
      <c r="C11" s="93"/>
      <c r="D11" s="148">
        <f>'Suivi EAU-ELEC'!C16</f>
        <v>270</v>
      </c>
      <c r="E11" s="96"/>
      <c r="F11" s="206">
        <f t="shared" si="0"/>
        <v>3420.9</v>
      </c>
      <c r="G11" s="207"/>
      <c r="H11" s="208"/>
      <c r="I11" s="143"/>
      <c r="J11" s="94">
        <f>'Suivi EAU-ELEC'!E16</f>
        <v>4847</v>
      </c>
      <c r="K11" s="95">
        <f>'Suivi EAU-ELEC'!G16</f>
        <v>6618</v>
      </c>
      <c r="L11" s="95">
        <f>'Suivi EAU-ELEC'!I16</f>
        <v>3486</v>
      </c>
      <c r="M11" s="82">
        <f t="shared" ref="M11:M40" si="4">L11+K11+J11</f>
        <v>14951</v>
      </c>
      <c r="N11" s="58"/>
      <c r="O11" s="59">
        <f t="shared" ref="O11:O40" si="5">J11*0.99+K11*0.99+L11*0.99</f>
        <v>14801.489999999998</v>
      </c>
      <c r="P11" s="57"/>
      <c r="Q11" s="55"/>
      <c r="R11" s="56"/>
      <c r="S11" s="55"/>
      <c r="T11" s="96"/>
      <c r="U11" s="60">
        <f>'Suivi Gaz'!O11</f>
        <v>148.4</v>
      </c>
      <c r="V11" s="58"/>
      <c r="W11" s="59">
        <f t="shared" ref="W11:W40" si="6">U11*7.9432</f>
        <v>1178.77088</v>
      </c>
      <c r="X11" s="65">
        <v>17034.47</v>
      </c>
      <c r="Y11" s="149">
        <f t="shared" si="1"/>
        <v>5.4699999999975262</v>
      </c>
      <c r="Z11" s="64">
        <f t="shared" ref="Z11:Z40" si="7">Y11*0.53*1000</f>
        <v>2899.0999999986889</v>
      </c>
      <c r="AA11" s="58"/>
      <c r="AB11" s="84">
        <v>30</v>
      </c>
      <c r="AC11" s="78">
        <v>24</v>
      </c>
      <c r="AD11" s="79">
        <v>0.1739</v>
      </c>
      <c r="AE11" s="83" t="s">
        <v>85</v>
      </c>
      <c r="AF11" s="83" t="s">
        <v>85</v>
      </c>
      <c r="AG11" s="80" t="s">
        <v>85</v>
      </c>
      <c r="AH11" s="81" t="s">
        <v>85</v>
      </c>
      <c r="AI11" s="146"/>
      <c r="AJ11" s="130">
        <f t="shared" si="2"/>
        <v>22300.260879998688</v>
      </c>
      <c r="AK11" s="129">
        <f t="shared" si="3"/>
        <v>929.17753666661201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44107</v>
      </c>
      <c r="C12" s="93"/>
      <c r="D12" s="148">
        <f>'Suivi EAU-ELEC'!C17</f>
        <v>380</v>
      </c>
      <c r="E12" s="96"/>
      <c r="F12" s="206">
        <f t="shared" si="0"/>
        <v>4814.6000000000004</v>
      </c>
      <c r="G12" s="207"/>
      <c r="H12" s="208"/>
      <c r="I12" s="143"/>
      <c r="J12" s="94">
        <f>'Suivi EAU-ELEC'!E17</f>
        <v>4403</v>
      </c>
      <c r="K12" s="95">
        <f>'Suivi EAU-ELEC'!G17</f>
        <v>7118</v>
      </c>
      <c r="L12" s="95">
        <f>'Suivi EAU-ELEC'!I17</f>
        <v>3513</v>
      </c>
      <c r="M12" s="82">
        <f t="shared" si="4"/>
        <v>15034</v>
      </c>
      <c r="N12" s="58"/>
      <c r="O12" s="59">
        <f t="shared" si="5"/>
        <v>14883.66</v>
      </c>
      <c r="P12" s="57"/>
      <c r="Q12" s="55"/>
      <c r="R12" s="56"/>
      <c r="S12" s="55"/>
      <c r="T12" s="96"/>
      <c r="U12" s="60">
        <f>'Suivi Gaz'!O12</f>
        <v>371</v>
      </c>
      <c r="V12" s="58"/>
      <c r="W12" s="59">
        <f t="shared" si="6"/>
        <v>2946.9272000000001</v>
      </c>
      <c r="X12" s="65">
        <v>17039.939999999999</v>
      </c>
      <c r="Y12" s="149">
        <f t="shared" si="1"/>
        <v>6.0900000000001455</v>
      </c>
      <c r="Z12" s="64">
        <f t="shared" si="7"/>
        <v>3227.7000000000771</v>
      </c>
      <c r="AA12" s="58"/>
      <c r="AB12" s="84">
        <v>28</v>
      </c>
      <c r="AC12" s="78">
        <v>32</v>
      </c>
      <c r="AD12" s="79">
        <v>0.2319</v>
      </c>
      <c r="AE12" s="83">
        <v>25</v>
      </c>
      <c r="AF12" s="83">
        <v>25.5</v>
      </c>
      <c r="AG12" s="80" t="s">
        <v>85</v>
      </c>
      <c r="AH12" s="81" t="s">
        <v>85</v>
      </c>
      <c r="AI12" s="44"/>
      <c r="AJ12" s="130">
        <f t="shared" si="2"/>
        <v>25872.887200000077</v>
      </c>
      <c r="AK12" s="129">
        <f t="shared" si="3"/>
        <v>808.52772500000242</v>
      </c>
      <c r="AL12" s="75"/>
    </row>
    <row r="13" spans="1:40" ht="32.25" customHeight="1" thickBot="1" x14ac:dyDescent="0.25">
      <c r="A13" s="73"/>
      <c r="B13" s="92">
        <f t="shared" si="8"/>
        <v>44108</v>
      </c>
      <c r="C13" s="93"/>
      <c r="D13" s="148">
        <f>'Suivi EAU-ELEC'!C18</f>
        <v>270</v>
      </c>
      <c r="E13" s="96"/>
      <c r="F13" s="203">
        <f t="shared" si="0"/>
        <v>3420.9</v>
      </c>
      <c r="G13" s="204"/>
      <c r="H13" s="205"/>
      <c r="I13" s="143"/>
      <c r="J13" s="94">
        <f>'Suivi EAU-ELEC'!E18</f>
        <v>4468</v>
      </c>
      <c r="K13" s="95">
        <f>'Suivi EAU-ELEC'!G18</f>
        <v>6768</v>
      </c>
      <c r="L13" s="95">
        <f>'Suivi EAU-ELEC'!I18</f>
        <v>3378</v>
      </c>
      <c r="M13" s="82">
        <f t="shared" si="4"/>
        <v>14614</v>
      </c>
      <c r="N13" s="58"/>
      <c r="O13" s="59">
        <f t="shared" si="5"/>
        <v>14467.859999999999</v>
      </c>
      <c r="P13" s="57"/>
      <c r="Q13" s="55"/>
      <c r="R13" s="56"/>
      <c r="S13" s="55"/>
      <c r="T13" s="96"/>
      <c r="U13" s="60">
        <f>'Suivi Gaz'!O13</f>
        <v>111.30000000000001</v>
      </c>
      <c r="V13" s="58"/>
      <c r="W13" s="59">
        <f t="shared" si="6"/>
        <v>884.07816000000014</v>
      </c>
      <c r="X13" s="65">
        <v>17046.03</v>
      </c>
      <c r="Y13" s="149">
        <f t="shared" si="1"/>
        <v>7.2000000000007276</v>
      </c>
      <c r="Z13" s="64">
        <f t="shared" si="7"/>
        <v>3816.0000000003856</v>
      </c>
      <c r="AA13" s="58"/>
      <c r="AB13" s="84">
        <v>28</v>
      </c>
      <c r="AC13" s="78">
        <v>9</v>
      </c>
      <c r="AD13" s="79">
        <v>6.5699999999999995E-2</v>
      </c>
      <c r="AE13" s="83">
        <v>24.5</v>
      </c>
      <c r="AF13" s="83">
        <v>25</v>
      </c>
      <c r="AG13" s="80" t="s">
        <v>85</v>
      </c>
      <c r="AH13" s="81" t="s">
        <v>85</v>
      </c>
      <c r="AI13" s="44"/>
      <c r="AJ13" s="130">
        <f t="shared" si="2"/>
        <v>22588.838160000385</v>
      </c>
      <c r="AK13" s="129">
        <f t="shared" si="3"/>
        <v>2509.8709066667093</v>
      </c>
      <c r="AL13" s="74"/>
    </row>
    <row r="14" spans="1:40" ht="32.25" customHeight="1" thickBot="1" x14ac:dyDescent="0.25">
      <c r="A14" s="73"/>
      <c r="B14" s="92">
        <f t="shared" si="8"/>
        <v>44109</v>
      </c>
      <c r="C14" s="93"/>
      <c r="D14" s="148">
        <f>'Suivi EAU-ELEC'!C19</f>
        <v>220</v>
      </c>
      <c r="E14" s="96"/>
      <c r="F14" s="206">
        <f t="shared" si="0"/>
        <v>2787.4</v>
      </c>
      <c r="G14" s="207"/>
      <c r="H14" s="208"/>
      <c r="I14" s="143"/>
      <c r="J14" s="94">
        <f>'Suivi EAU-ELEC'!E19</f>
        <v>4345</v>
      </c>
      <c r="K14" s="95">
        <f>'Suivi EAU-ELEC'!G19</f>
        <v>6950</v>
      </c>
      <c r="L14" s="95">
        <f>'Suivi EAU-ELEC'!I19</f>
        <v>3417</v>
      </c>
      <c r="M14" s="82">
        <f t="shared" si="4"/>
        <v>14712</v>
      </c>
      <c r="N14" s="58"/>
      <c r="O14" s="59">
        <f t="shared" si="5"/>
        <v>14564.88</v>
      </c>
      <c r="P14" s="57"/>
      <c r="Q14" s="55"/>
      <c r="R14" s="56"/>
      <c r="S14" s="55"/>
      <c r="T14" s="96"/>
      <c r="U14" s="60">
        <f>'Suivi Gaz'!O14</f>
        <v>111.30000000000001</v>
      </c>
      <c r="V14" s="58"/>
      <c r="W14" s="59">
        <f t="shared" si="6"/>
        <v>884.07816000000014</v>
      </c>
      <c r="X14" s="65">
        <v>17053.23</v>
      </c>
      <c r="Y14" s="149">
        <f t="shared" si="1"/>
        <v>7.1199999999989814</v>
      </c>
      <c r="Z14" s="64">
        <f t="shared" si="7"/>
        <v>3773.5999999994606</v>
      </c>
      <c r="AA14" s="58"/>
      <c r="AB14" s="84">
        <v>28</v>
      </c>
      <c r="AC14" s="78">
        <v>12</v>
      </c>
      <c r="AD14" s="79">
        <v>8.7599999999999997E-2</v>
      </c>
      <c r="AE14" s="83">
        <v>25</v>
      </c>
      <c r="AF14" s="83">
        <v>26</v>
      </c>
      <c r="AG14" s="80" t="s">
        <v>85</v>
      </c>
      <c r="AH14" s="81" t="s">
        <v>85</v>
      </c>
      <c r="AI14" s="44"/>
      <c r="AJ14" s="130">
        <f t="shared" si="2"/>
        <v>22009.95815999946</v>
      </c>
      <c r="AK14" s="129">
        <f t="shared" si="3"/>
        <v>1834.163179999955</v>
      </c>
      <c r="AL14" s="74"/>
    </row>
    <row r="15" spans="1:40" ht="32.25" customHeight="1" thickBot="1" x14ac:dyDescent="0.25">
      <c r="A15" s="73"/>
      <c r="B15" s="92">
        <f t="shared" si="8"/>
        <v>44110</v>
      </c>
      <c r="C15" s="93"/>
      <c r="D15" s="148">
        <f>'Suivi EAU-ELEC'!C20</f>
        <v>220</v>
      </c>
      <c r="E15" s="96"/>
      <c r="F15" s="209">
        <f t="shared" si="0"/>
        <v>2787.4</v>
      </c>
      <c r="G15" s="210"/>
      <c r="H15" s="211"/>
      <c r="I15" s="145"/>
      <c r="J15" s="94">
        <f>'Suivi EAU-ELEC'!E20</f>
        <v>3505</v>
      </c>
      <c r="K15" s="95">
        <f>'Suivi EAU-ELEC'!G20</f>
        <v>6349</v>
      </c>
      <c r="L15" s="95">
        <f>'Suivi EAU-ELEC'!I20</f>
        <v>2832</v>
      </c>
      <c r="M15" s="82">
        <f t="shared" si="4"/>
        <v>12686</v>
      </c>
      <c r="N15" s="58"/>
      <c r="O15" s="59">
        <f t="shared" si="5"/>
        <v>12559.14</v>
      </c>
      <c r="P15" s="57"/>
      <c r="Q15" s="55"/>
      <c r="R15" s="56"/>
      <c r="S15" s="55"/>
      <c r="T15" s="96"/>
      <c r="U15" s="60">
        <f>'Suivi Gaz'!O15</f>
        <v>74.2</v>
      </c>
      <c r="V15" s="58"/>
      <c r="W15" s="59">
        <f t="shared" si="6"/>
        <v>589.38544000000002</v>
      </c>
      <c r="X15" s="65">
        <v>17060.349999999999</v>
      </c>
      <c r="Y15" s="149">
        <f t="shared" si="1"/>
        <v>8.0400000000008731</v>
      </c>
      <c r="Z15" s="64">
        <f t="shared" si="7"/>
        <v>4261.2000000004637</v>
      </c>
      <c r="AA15" s="58"/>
      <c r="AB15" s="61">
        <v>27</v>
      </c>
      <c r="AC15" s="78">
        <v>14</v>
      </c>
      <c r="AD15" s="79">
        <v>0.1053</v>
      </c>
      <c r="AE15" s="83">
        <v>28</v>
      </c>
      <c r="AF15" s="83">
        <v>29</v>
      </c>
      <c r="AG15" s="80" t="s">
        <v>85</v>
      </c>
      <c r="AH15" s="81" t="s">
        <v>85</v>
      </c>
      <c r="AI15" s="44"/>
      <c r="AJ15" s="130">
        <f t="shared" si="2"/>
        <v>20197.125440000462</v>
      </c>
      <c r="AK15" s="129">
        <f t="shared" si="3"/>
        <v>1442.6518171428902</v>
      </c>
      <c r="AL15" s="74"/>
    </row>
    <row r="16" spans="1:40" ht="32.25" customHeight="1" thickBot="1" x14ac:dyDescent="0.25">
      <c r="A16" s="73"/>
      <c r="B16" s="92">
        <f t="shared" si="8"/>
        <v>44111</v>
      </c>
      <c r="C16" s="93"/>
      <c r="D16" s="148">
        <f>'Suivi EAU-ELEC'!C21</f>
        <v>320</v>
      </c>
      <c r="E16" s="96"/>
      <c r="F16" s="203">
        <f t="shared" si="0"/>
        <v>4054.4</v>
      </c>
      <c r="G16" s="204"/>
      <c r="H16" s="205"/>
      <c r="I16" s="142"/>
      <c r="J16" s="94">
        <f>'Suivi EAU-ELEC'!E21</f>
        <v>3956</v>
      </c>
      <c r="K16" s="95">
        <f>'Suivi EAU-ELEC'!G21</f>
        <v>6631</v>
      </c>
      <c r="L16" s="95">
        <f>'Suivi EAU-ELEC'!I21</f>
        <v>3488</v>
      </c>
      <c r="M16" s="82">
        <f t="shared" si="4"/>
        <v>14075</v>
      </c>
      <c r="N16" s="58"/>
      <c r="O16" s="59">
        <f t="shared" si="5"/>
        <v>13934.25</v>
      </c>
      <c r="P16" s="57"/>
      <c r="Q16" s="55"/>
      <c r="R16" s="56"/>
      <c r="S16" s="55"/>
      <c r="T16" s="96"/>
      <c r="U16" s="60">
        <f>'Suivi Gaz'!O16</f>
        <v>185.5</v>
      </c>
      <c r="V16" s="58"/>
      <c r="W16" s="59">
        <f t="shared" si="6"/>
        <v>1473.4636</v>
      </c>
      <c r="X16" s="65">
        <v>17068.39</v>
      </c>
      <c r="Y16" s="149">
        <f t="shared" si="1"/>
        <v>7.4400000000023283</v>
      </c>
      <c r="Z16" s="64">
        <f t="shared" si="7"/>
        <v>3943.200000001234</v>
      </c>
      <c r="AA16" s="58"/>
      <c r="AB16" s="61">
        <v>28</v>
      </c>
      <c r="AC16" s="78">
        <v>12</v>
      </c>
      <c r="AD16" s="79">
        <v>8.6999999999999994E-2</v>
      </c>
      <c r="AE16" s="83">
        <v>28</v>
      </c>
      <c r="AF16" s="83">
        <v>30</v>
      </c>
      <c r="AG16" s="80" t="s">
        <v>85</v>
      </c>
      <c r="AH16" s="81" t="s">
        <v>85</v>
      </c>
      <c r="AI16" s="44"/>
      <c r="AJ16" s="130">
        <f t="shared" si="2"/>
        <v>23405.313600001235</v>
      </c>
      <c r="AK16" s="129">
        <f t="shared" si="3"/>
        <v>1950.4428000001028</v>
      </c>
      <c r="AL16" s="74"/>
    </row>
    <row r="17" spans="1:256" ht="32.25" customHeight="1" thickBot="1" x14ac:dyDescent="0.25">
      <c r="A17" s="73"/>
      <c r="B17" s="92">
        <f t="shared" si="8"/>
        <v>44112</v>
      </c>
      <c r="C17" s="93"/>
      <c r="D17" s="148">
        <f>'Suivi EAU-ELEC'!C22</f>
        <v>240</v>
      </c>
      <c r="E17" s="96"/>
      <c r="F17" s="206">
        <f t="shared" si="0"/>
        <v>3040.8</v>
      </c>
      <c r="G17" s="207"/>
      <c r="H17" s="208"/>
      <c r="I17" s="143"/>
      <c r="J17" s="94">
        <f>'Suivi EAU-ELEC'!E22</f>
        <v>4367</v>
      </c>
      <c r="K17" s="95">
        <f>'Suivi EAU-ELEC'!G22</f>
        <v>7728</v>
      </c>
      <c r="L17" s="95">
        <f>'Suivi EAU-ELEC'!I22</f>
        <v>3816</v>
      </c>
      <c r="M17" s="82">
        <f t="shared" si="4"/>
        <v>15911</v>
      </c>
      <c r="N17" s="58"/>
      <c r="O17" s="59">
        <f t="shared" si="5"/>
        <v>15751.89</v>
      </c>
      <c r="P17" s="57"/>
      <c r="Q17" s="55"/>
      <c r="R17" s="56"/>
      <c r="S17" s="55"/>
      <c r="T17" s="96"/>
      <c r="U17" s="60">
        <f>'Suivi Gaz'!O17</f>
        <v>259.7</v>
      </c>
      <c r="V17" s="58"/>
      <c r="W17" s="59">
        <f t="shared" si="6"/>
        <v>2062.8490400000001</v>
      </c>
      <c r="X17" s="65">
        <v>17075.830000000002</v>
      </c>
      <c r="Y17" s="149">
        <f t="shared" si="1"/>
        <v>7.1699999999982538</v>
      </c>
      <c r="Z17" s="64">
        <f t="shared" si="7"/>
        <v>3800.0999999990745</v>
      </c>
      <c r="AA17" s="67"/>
      <c r="AB17" s="61">
        <v>31</v>
      </c>
      <c r="AC17" s="78">
        <v>17</v>
      </c>
      <c r="AD17" s="79">
        <v>0.1232</v>
      </c>
      <c r="AE17" s="83">
        <v>28.5</v>
      </c>
      <c r="AF17" s="83">
        <v>29</v>
      </c>
      <c r="AG17" s="80" t="s">
        <v>85</v>
      </c>
      <c r="AH17" s="81" t="s">
        <v>85</v>
      </c>
      <c r="AI17" s="44"/>
      <c r="AJ17" s="130">
        <f t="shared" si="2"/>
        <v>24655.639039999074</v>
      </c>
      <c r="AK17" s="129">
        <f t="shared" si="3"/>
        <v>1450.3317082352396</v>
      </c>
      <c r="AL17" s="74"/>
    </row>
    <row r="18" spans="1:256" ht="32.25" customHeight="1" thickBot="1" x14ac:dyDescent="0.25">
      <c r="A18" s="73"/>
      <c r="B18" s="92">
        <f t="shared" si="8"/>
        <v>44113</v>
      </c>
      <c r="C18" s="93"/>
      <c r="D18" s="148">
        <f>'Suivi EAU-ELEC'!C23</f>
        <v>370</v>
      </c>
      <c r="E18" s="96"/>
      <c r="F18" s="209">
        <f t="shared" si="0"/>
        <v>4687.8999999999996</v>
      </c>
      <c r="G18" s="210"/>
      <c r="H18" s="211"/>
      <c r="I18" s="143"/>
      <c r="J18" s="94">
        <f>'Suivi EAU-ELEC'!E23</f>
        <v>3964</v>
      </c>
      <c r="K18" s="95">
        <f>'Suivi EAU-ELEC'!G23</f>
        <v>6968</v>
      </c>
      <c r="L18" s="95">
        <f>'Suivi EAU-ELEC'!I23</f>
        <v>3679</v>
      </c>
      <c r="M18" s="82">
        <f t="shared" si="4"/>
        <v>14611</v>
      </c>
      <c r="N18" s="58"/>
      <c r="O18" s="59">
        <f t="shared" si="5"/>
        <v>14464.89</v>
      </c>
      <c r="P18" s="57"/>
      <c r="Q18" s="55"/>
      <c r="R18" s="56"/>
      <c r="S18" s="55"/>
      <c r="T18" s="96"/>
      <c r="U18" s="60">
        <f>'Suivi Gaz'!O18</f>
        <v>185.5</v>
      </c>
      <c r="V18" s="58"/>
      <c r="W18" s="59">
        <f t="shared" si="6"/>
        <v>1473.4636</v>
      </c>
      <c r="X18" s="65">
        <v>17083</v>
      </c>
      <c r="Y18" s="149">
        <f t="shared" si="1"/>
        <v>8.430000000000291</v>
      </c>
      <c r="Z18" s="64">
        <f t="shared" si="7"/>
        <v>4467.9000000001552</v>
      </c>
      <c r="AA18" s="67"/>
      <c r="AB18" s="61">
        <v>31</v>
      </c>
      <c r="AC18" s="78">
        <v>33</v>
      </c>
      <c r="AD18" s="79">
        <v>0.23910000000000001</v>
      </c>
      <c r="AE18" s="83">
        <v>29</v>
      </c>
      <c r="AF18" s="83">
        <v>30</v>
      </c>
      <c r="AG18" s="80" t="s">
        <v>85</v>
      </c>
      <c r="AH18" s="81" t="s">
        <v>85</v>
      </c>
      <c r="AI18" s="44"/>
      <c r="AJ18" s="130">
        <f t="shared" si="2"/>
        <v>25094.153600000154</v>
      </c>
      <c r="AK18" s="129">
        <f t="shared" si="3"/>
        <v>760.42889696970167</v>
      </c>
      <c r="AL18" s="74"/>
    </row>
    <row r="19" spans="1:256" ht="32.25" customHeight="1" thickBot="1" x14ac:dyDescent="0.25">
      <c r="A19" s="73"/>
      <c r="B19" s="92">
        <f t="shared" si="8"/>
        <v>44114</v>
      </c>
      <c r="C19" s="93"/>
      <c r="D19" s="148">
        <f>'Suivi EAU-ELEC'!C24</f>
        <v>270</v>
      </c>
      <c r="E19" s="96"/>
      <c r="F19" s="206">
        <f t="shared" si="0"/>
        <v>3420.9</v>
      </c>
      <c r="G19" s="207"/>
      <c r="H19" s="208"/>
      <c r="I19" s="143"/>
      <c r="J19" s="94">
        <f>'Suivi EAU-ELEC'!E24</f>
        <v>4789</v>
      </c>
      <c r="K19" s="95">
        <f>'Suivi EAU-ELEC'!G24</f>
        <v>5553</v>
      </c>
      <c r="L19" s="95">
        <f>'Suivi EAU-ELEC'!I24</f>
        <v>3876</v>
      </c>
      <c r="M19" s="82">
        <f t="shared" si="4"/>
        <v>14218</v>
      </c>
      <c r="N19" s="58"/>
      <c r="O19" s="59">
        <f t="shared" si="5"/>
        <v>14075.82</v>
      </c>
      <c r="P19" s="57"/>
      <c r="Q19" s="55"/>
      <c r="R19" s="56"/>
      <c r="S19" s="55"/>
      <c r="T19" s="96"/>
      <c r="U19" s="60">
        <f>'Suivi Gaz'!O19</f>
        <v>37.1</v>
      </c>
      <c r="V19" s="58"/>
      <c r="W19" s="59">
        <f t="shared" si="6"/>
        <v>294.69272000000001</v>
      </c>
      <c r="X19" s="65">
        <v>17091.43</v>
      </c>
      <c r="Y19" s="149">
        <f t="shared" si="1"/>
        <v>9.2999999999992724</v>
      </c>
      <c r="Z19" s="64">
        <f t="shared" si="7"/>
        <v>4928.9999999996144</v>
      </c>
      <c r="AA19" s="67"/>
      <c r="AB19" s="61">
        <v>32</v>
      </c>
      <c r="AC19" s="78">
        <v>50</v>
      </c>
      <c r="AD19" s="79">
        <v>0.36759999999999998</v>
      </c>
      <c r="AE19" s="83">
        <v>29</v>
      </c>
      <c r="AF19" s="83">
        <v>30</v>
      </c>
      <c r="AG19" s="80" t="s">
        <v>85</v>
      </c>
      <c r="AH19" s="81" t="s">
        <v>85</v>
      </c>
      <c r="AI19" s="44"/>
      <c r="AJ19" s="130">
        <f t="shared" si="2"/>
        <v>22720.412719999615</v>
      </c>
      <c r="AK19" s="129">
        <f t="shared" si="3"/>
        <v>454.4082543999923</v>
      </c>
      <c r="AL19" s="74"/>
    </row>
    <row r="20" spans="1:256" ht="32.25" customHeight="1" thickBot="1" x14ac:dyDescent="0.25">
      <c r="A20" s="73"/>
      <c r="B20" s="92">
        <f t="shared" si="8"/>
        <v>44115</v>
      </c>
      <c r="C20" s="93"/>
      <c r="D20" s="148">
        <f>'Suivi EAU-ELEC'!C25</f>
        <v>260</v>
      </c>
      <c r="E20" s="96"/>
      <c r="F20" s="203">
        <f t="shared" si="0"/>
        <v>3294.2</v>
      </c>
      <c r="G20" s="204"/>
      <c r="H20" s="205"/>
      <c r="I20" s="143"/>
      <c r="J20" s="94">
        <f>'Suivi EAU-ELEC'!E25</f>
        <v>5329</v>
      </c>
      <c r="K20" s="95">
        <f>'Suivi EAU-ELEC'!G25</f>
        <v>7255</v>
      </c>
      <c r="L20" s="95">
        <f>'Suivi EAU-ELEC'!I25</f>
        <v>3557</v>
      </c>
      <c r="M20" s="82">
        <f t="shared" si="4"/>
        <v>16141</v>
      </c>
      <c r="N20" s="58"/>
      <c r="O20" s="59">
        <f t="shared" si="5"/>
        <v>15979.59</v>
      </c>
      <c r="P20" s="57"/>
      <c r="Q20" s="55"/>
      <c r="R20" s="56"/>
      <c r="S20" s="55"/>
      <c r="T20" s="96"/>
      <c r="U20" s="60">
        <f>'Suivi Gaz'!O20</f>
        <v>185.5</v>
      </c>
      <c r="V20" s="58"/>
      <c r="W20" s="59">
        <f t="shared" si="6"/>
        <v>1473.4636</v>
      </c>
      <c r="X20" s="65">
        <v>17100.73</v>
      </c>
      <c r="Y20" s="149">
        <f t="shared" si="1"/>
        <v>8.4799999999995634</v>
      </c>
      <c r="Z20" s="64">
        <f t="shared" si="7"/>
        <v>4494.3999999997686</v>
      </c>
      <c r="AA20" s="67">
        <v>14</v>
      </c>
      <c r="AB20" s="61">
        <v>31</v>
      </c>
      <c r="AC20" s="78">
        <v>29</v>
      </c>
      <c r="AD20" s="79">
        <v>0.23580000000000001</v>
      </c>
      <c r="AE20" s="83">
        <v>29.5</v>
      </c>
      <c r="AF20" s="83">
        <v>30</v>
      </c>
      <c r="AG20" s="80" t="s">
        <v>85</v>
      </c>
      <c r="AH20" s="81" t="s">
        <v>85</v>
      </c>
      <c r="AI20" s="44"/>
      <c r="AJ20" s="130">
        <f t="shared" si="2"/>
        <v>25241.653599999769</v>
      </c>
      <c r="AK20" s="129">
        <f t="shared" si="3"/>
        <v>870.40184827585404</v>
      </c>
      <c r="AL20" s="74"/>
    </row>
    <row r="21" spans="1:256" ht="32.25" customHeight="1" thickBot="1" x14ac:dyDescent="0.25">
      <c r="A21" s="73"/>
      <c r="B21" s="92">
        <f t="shared" si="8"/>
        <v>44116</v>
      </c>
      <c r="C21" s="93"/>
      <c r="D21" s="148">
        <f>'Suivi EAU-ELEC'!C26</f>
        <v>290</v>
      </c>
      <c r="E21" s="96"/>
      <c r="F21" s="206">
        <f t="shared" si="0"/>
        <v>3674.3</v>
      </c>
      <c r="G21" s="207"/>
      <c r="H21" s="208"/>
      <c r="I21" s="143"/>
      <c r="J21" s="94">
        <f>'Suivi EAU-ELEC'!E26</f>
        <v>4615</v>
      </c>
      <c r="K21" s="95">
        <f>'Suivi EAU-ELEC'!G26</f>
        <v>6897</v>
      </c>
      <c r="L21" s="95">
        <f>'Suivi EAU-ELEC'!I26</f>
        <v>3794</v>
      </c>
      <c r="M21" s="82">
        <f t="shared" si="4"/>
        <v>15306</v>
      </c>
      <c r="N21" s="58"/>
      <c r="O21" s="59">
        <f t="shared" si="5"/>
        <v>15152.94</v>
      </c>
      <c r="P21" s="57"/>
      <c r="Q21" s="55"/>
      <c r="R21" s="56"/>
      <c r="S21" s="55"/>
      <c r="T21" s="96"/>
      <c r="U21" s="60">
        <f>'Suivi Gaz'!O21</f>
        <v>445.20000000000005</v>
      </c>
      <c r="V21" s="58"/>
      <c r="W21" s="59">
        <f t="shared" si="6"/>
        <v>3536.3126400000006</v>
      </c>
      <c r="X21" s="65">
        <v>17109.21</v>
      </c>
      <c r="Y21" s="149">
        <f t="shared" si="1"/>
        <v>6.3800000000010186</v>
      </c>
      <c r="Z21" s="64">
        <f t="shared" si="7"/>
        <v>3381.4000000005403</v>
      </c>
      <c r="AA21" s="67">
        <v>14</v>
      </c>
      <c r="AB21" s="61">
        <v>31</v>
      </c>
      <c r="AC21" s="78">
        <v>29</v>
      </c>
      <c r="AD21" s="79">
        <v>0.2248</v>
      </c>
      <c r="AE21" s="83">
        <v>29</v>
      </c>
      <c r="AF21" s="83">
        <v>30</v>
      </c>
      <c r="AG21" s="80" t="s">
        <v>85</v>
      </c>
      <c r="AH21" s="81" t="s">
        <v>85</v>
      </c>
      <c r="AI21" s="44"/>
      <c r="AJ21" s="130">
        <f t="shared" si="2"/>
        <v>25744.952640000542</v>
      </c>
      <c r="AK21" s="129">
        <f>AJ21/AC21</f>
        <v>887.75698758622559</v>
      </c>
      <c r="AL21" s="74"/>
    </row>
    <row r="22" spans="1:256" ht="32.25" customHeight="1" thickBot="1" x14ac:dyDescent="0.25">
      <c r="A22" s="73"/>
      <c r="B22" s="92">
        <f t="shared" si="8"/>
        <v>44117</v>
      </c>
      <c r="C22" s="93"/>
      <c r="D22" s="148">
        <f>'Suivi EAU-ELEC'!C27</f>
        <v>290</v>
      </c>
      <c r="E22" s="96"/>
      <c r="F22" s="209">
        <f t="shared" si="0"/>
        <v>3674.3</v>
      </c>
      <c r="G22" s="210"/>
      <c r="H22" s="211"/>
      <c r="I22" s="143"/>
      <c r="J22" s="94">
        <f>'Suivi EAU-ELEC'!E27</f>
        <v>5977</v>
      </c>
      <c r="K22" s="95">
        <f>'Suivi EAU-ELEC'!G27</f>
        <v>7062</v>
      </c>
      <c r="L22" s="95">
        <f>'Suivi EAU-ELEC'!I27</f>
        <v>3863</v>
      </c>
      <c r="M22" s="82">
        <f t="shared" si="4"/>
        <v>16902</v>
      </c>
      <c r="N22" s="58"/>
      <c r="O22" s="59">
        <f t="shared" si="5"/>
        <v>16732.98</v>
      </c>
      <c r="P22" s="57"/>
      <c r="Q22" s="55"/>
      <c r="R22" s="56"/>
      <c r="S22" s="55"/>
      <c r="T22" s="96"/>
      <c r="U22" s="60">
        <f>'Suivi Gaz'!O22</f>
        <v>222.60000000000002</v>
      </c>
      <c r="V22" s="58"/>
      <c r="W22" s="59">
        <f t="shared" si="6"/>
        <v>1768.1563200000003</v>
      </c>
      <c r="X22" s="65">
        <v>17115.59</v>
      </c>
      <c r="Y22" s="149">
        <f t="shared" si="1"/>
        <v>10.029999999998836</v>
      </c>
      <c r="Z22" s="64">
        <f t="shared" si="7"/>
        <v>5315.8999999993839</v>
      </c>
      <c r="AA22" s="58"/>
      <c r="AB22" s="61">
        <v>33</v>
      </c>
      <c r="AC22" s="78">
        <v>27</v>
      </c>
      <c r="AD22" s="79">
        <v>0.19570000000000001</v>
      </c>
      <c r="AE22" s="83">
        <v>29.5</v>
      </c>
      <c r="AF22" s="83">
        <v>30</v>
      </c>
      <c r="AG22" s="80" t="s">
        <v>85</v>
      </c>
      <c r="AH22" s="81" t="s">
        <v>85</v>
      </c>
      <c r="AI22" s="44"/>
      <c r="AJ22" s="130">
        <f t="shared" si="2"/>
        <v>27491.336319999384</v>
      </c>
      <c r="AK22" s="129">
        <f t="shared" si="3"/>
        <v>1018.1976414814586</v>
      </c>
      <c r="AL22" s="74"/>
    </row>
    <row r="23" spans="1:256" ht="32.25" customHeight="1" thickBot="1" x14ac:dyDescent="0.25">
      <c r="A23" s="73"/>
      <c r="B23" s="92">
        <f t="shared" si="8"/>
        <v>44118</v>
      </c>
      <c r="C23" s="93"/>
      <c r="D23" s="148">
        <f>'Suivi EAU-ELEC'!C28</f>
        <v>680</v>
      </c>
      <c r="E23" s="96"/>
      <c r="F23" s="206">
        <f t="shared" si="0"/>
        <v>8615.6</v>
      </c>
      <c r="G23" s="207"/>
      <c r="H23" s="208"/>
      <c r="I23" s="143"/>
      <c r="J23" s="94">
        <f>'Suivi EAU-ELEC'!E28</f>
        <v>5155</v>
      </c>
      <c r="K23" s="95">
        <f>'Suivi EAU-ELEC'!G28</f>
        <v>7662</v>
      </c>
      <c r="L23" s="95">
        <f>'Suivi EAU-ELEC'!I28</f>
        <v>3736</v>
      </c>
      <c r="M23" s="82">
        <f t="shared" si="4"/>
        <v>16553</v>
      </c>
      <c r="N23" s="58"/>
      <c r="O23" s="59">
        <f t="shared" si="5"/>
        <v>16387.47</v>
      </c>
      <c r="P23" s="57"/>
      <c r="Q23" s="55"/>
      <c r="R23" s="56"/>
      <c r="S23" s="55"/>
      <c r="T23" s="96"/>
      <c r="U23" s="60">
        <f>'Suivi Gaz'!O23</f>
        <v>111.30000000000001</v>
      </c>
      <c r="V23" s="58"/>
      <c r="W23" s="59">
        <f t="shared" si="6"/>
        <v>884.07816000000014</v>
      </c>
      <c r="X23" s="65">
        <v>17125.62</v>
      </c>
      <c r="Y23" s="149">
        <f t="shared" si="1"/>
        <v>9.5300000000024738</v>
      </c>
      <c r="Z23" s="64">
        <f t="shared" si="7"/>
        <v>5050.9000000013111</v>
      </c>
      <c r="AA23" s="58"/>
      <c r="AB23" s="61">
        <v>25</v>
      </c>
      <c r="AC23" s="78">
        <v>21</v>
      </c>
      <c r="AD23" s="79">
        <v>0.15790000000000001</v>
      </c>
      <c r="AE23" s="83">
        <v>28.5</v>
      </c>
      <c r="AF23" s="83">
        <v>30</v>
      </c>
      <c r="AG23" s="80" t="s">
        <v>85</v>
      </c>
      <c r="AH23" s="81" t="s">
        <v>85</v>
      </c>
      <c r="AI23" s="44"/>
      <c r="AJ23" s="130">
        <f t="shared" si="2"/>
        <v>30938.048160001312</v>
      </c>
      <c r="AK23" s="129">
        <f t="shared" si="3"/>
        <v>1473.2403885714909</v>
      </c>
      <c r="AL23" s="74"/>
    </row>
    <row r="24" spans="1:256" ht="32.25" customHeight="1" thickBot="1" x14ac:dyDescent="0.25">
      <c r="A24" s="73"/>
      <c r="B24" s="92">
        <f t="shared" si="8"/>
        <v>44119</v>
      </c>
      <c r="C24" s="93"/>
      <c r="D24" s="148">
        <f>'Suivi EAU-ELEC'!C29</f>
        <v>590</v>
      </c>
      <c r="E24" s="96"/>
      <c r="F24" s="206">
        <f t="shared" si="0"/>
        <v>7475.3</v>
      </c>
      <c r="G24" s="207"/>
      <c r="H24" s="208"/>
      <c r="I24" s="143"/>
      <c r="J24" s="94">
        <f>'Suivi EAU-ELEC'!E29</f>
        <v>3827</v>
      </c>
      <c r="K24" s="95">
        <f>'Suivi EAU-ELEC'!G29</f>
        <v>7483</v>
      </c>
      <c r="L24" s="95">
        <f>'Suivi EAU-ELEC'!I29</f>
        <v>3443</v>
      </c>
      <c r="M24" s="82">
        <f t="shared" si="4"/>
        <v>14753</v>
      </c>
      <c r="N24" s="58"/>
      <c r="O24" s="59">
        <f t="shared" si="5"/>
        <v>14605.47</v>
      </c>
      <c r="P24" s="57"/>
      <c r="Q24" s="55"/>
      <c r="R24" s="56"/>
      <c r="S24" s="55"/>
      <c r="T24" s="96"/>
      <c r="U24" s="60">
        <f>'Suivi Gaz'!O24</f>
        <v>111.30000000000001</v>
      </c>
      <c r="V24" s="58"/>
      <c r="W24" s="59">
        <f t="shared" si="6"/>
        <v>884.07816000000014</v>
      </c>
      <c r="X24" s="65">
        <v>17135.150000000001</v>
      </c>
      <c r="Y24" s="149">
        <f t="shared" si="1"/>
        <v>10.049999999999272</v>
      </c>
      <c r="Z24" s="64">
        <f t="shared" si="7"/>
        <v>5326.4999999996144</v>
      </c>
      <c r="AA24" s="58"/>
      <c r="AB24" s="61">
        <v>22</v>
      </c>
      <c r="AC24" s="78">
        <v>22</v>
      </c>
      <c r="AD24" s="79">
        <v>0.16919999999999999</v>
      </c>
      <c r="AE24" s="83">
        <v>28</v>
      </c>
      <c r="AF24" s="83">
        <v>29</v>
      </c>
      <c r="AG24" s="80" t="s">
        <v>85</v>
      </c>
      <c r="AH24" s="81" t="s">
        <v>85</v>
      </c>
      <c r="AJ24" s="130">
        <f>(F24+O24+W24+Z24)</f>
        <v>28291.348159999616</v>
      </c>
      <c r="AK24" s="129">
        <f t="shared" si="3"/>
        <v>1285.9703709090734</v>
      </c>
      <c r="AL24" s="74"/>
    </row>
    <row r="25" spans="1:256" ht="32.25" customHeight="1" thickBot="1" x14ac:dyDescent="0.25">
      <c r="A25" s="73"/>
      <c r="B25" s="92">
        <f t="shared" si="8"/>
        <v>44120</v>
      </c>
      <c r="C25" s="93"/>
      <c r="D25" s="148">
        <f>'Suivi EAU-ELEC'!C30</f>
        <v>460</v>
      </c>
      <c r="E25" s="96"/>
      <c r="F25" s="206">
        <f t="shared" si="0"/>
        <v>5828.2</v>
      </c>
      <c r="G25" s="207"/>
      <c r="H25" s="208"/>
      <c r="I25" s="143"/>
      <c r="J25" s="94">
        <f>'Suivi EAU-ELEC'!E30</f>
        <v>3386</v>
      </c>
      <c r="K25" s="95">
        <f>'Suivi EAU-ELEC'!G30</f>
        <v>5555</v>
      </c>
      <c r="L25" s="95">
        <f>'Suivi EAU-ELEC'!I30</f>
        <v>2257</v>
      </c>
      <c r="M25" s="82">
        <f t="shared" si="4"/>
        <v>11198</v>
      </c>
      <c r="N25" s="58"/>
      <c r="O25" s="59">
        <f t="shared" si="5"/>
        <v>11086.02</v>
      </c>
      <c r="P25" s="57"/>
      <c r="Q25" s="55"/>
      <c r="R25" s="56"/>
      <c r="S25" s="55"/>
      <c r="T25" s="96"/>
      <c r="U25" s="60">
        <f>'Suivi Gaz'!O25</f>
        <v>482.3</v>
      </c>
      <c r="V25" s="58"/>
      <c r="W25" s="59">
        <f t="shared" si="6"/>
        <v>3831.0053600000001</v>
      </c>
      <c r="X25" s="65">
        <v>17145.2</v>
      </c>
      <c r="Y25" s="149">
        <f t="shared" si="1"/>
        <v>11.130000000001019</v>
      </c>
      <c r="Z25" s="64">
        <f t="shared" si="7"/>
        <v>5898.9000000005399</v>
      </c>
      <c r="AA25" s="58"/>
      <c r="AB25" s="61">
        <v>21</v>
      </c>
      <c r="AC25" s="78">
        <v>44</v>
      </c>
      <c r="AD25" s="79">
        <v>0.31879999999999997</v>
      </c>
      <c r="AE25" s="83">
        <v>27.5</v>
      </c>
      <c r="AF25" s="83">
        <v>28.5</v>
      </c>
      <c r="AG25" s="80" t="s">
        <v>85</v>
      </c>
      <c r="AH25" s="81" t="s">
        <v>85</v>
      </c>
      <c r="AI25" s="44"/>
      <c r="AJ25" s="130">
        <f>(F25+O25+W25+Z25)</f>
        <v>26644.12536000054</v>
      </c>
      <c r="AK25" s="129">
        <f t="shared" si="3"/>
        <v>605.54830363637586</v>
      </c>
      <c r="AL25" s="74"/>
    </row>
    <row r="26" spans="1:256" ht="32.25" customHeight="1" thickBot="1" x14ac:dyDescent="0.25">
      <c r="A26" s="73"/>
      <c r="B26" s="92">
        <f t="shared" si="8"/>
        <v>44121</v>
      </c>
      <c r="C26" s="93"/>
      <c r="D26" s="148">
        <f>'Suivi EAU-ELEC'!C31</f>
        <v>340</v>
      </c>
      <c r="E26" s="151"/>
      <c r="F26" s="206">
        <f t="shared" si="0"/>
        <v>4307.8</v>
      </c>
      <c r="G26" s="207"/>
      <c r="H26" s="208"/>
      <c r="I26" s="143"/>
      <c r="J26" s="94">
        <f>'Suivi EAU-ELEC'!E31</f>
        <v>2179</v>
      </c>
      <c r="K26" s="95">
        <f>'Suivi EAU-ELEC'!G31</f>
        <v>6098</v>
      </c>
      <c r="L26" s="95">
        <f>'Suivi EAU-ELEC'!I31</f>
        <v>2350</v>
      </c>
      <c r="M26" s="82">
        <f t="shared" si="4"/>
        <v>10627</v>
      </c>
      <c r="N26" s="58"/>
      <c r="O26" s="59">
        <f t="shared" si="5"/>
        <v>10520.73</v>
      </c>
      <c r="P26" s="57"/>
      <c r="Q26" s="55"/>
      <c r="R26" s="56"/>
      <c r="S26" s="55"/>
      <c r="T26" s="96"/>
      <c r="U26" s="60">
        <f>'Suivi Gaz'!O26</f>
        <v>185.5</v>
      </c>
      <c r="V26" s="85"/>
      <c r="W26" s="59">
        <f t="shared" si="6"/>
        <v>1473.4636</v>
      </c>
      <c r="X26" s="65">
        <v>17156.330000000002</v>
      </c>
      <c r="Y26" s="149">
        <f t="shared" si="1"/>
        <v>14.529999999998836</v>
      </c>
      <c r="Z26" s="64">
        <f t="shared" si="7"/>
        <v>7700.8999999993839</v>
      </c>
      <c r="AA26" s="85"/>
      <c r="AB26" s="61">
        <v>21</v>
      </c>
      <c r="AC26" s="78">
        <v>57</v>
      </c>
      <c r="AD26" s="79">
        <v>0.41299999999999998</v>
      </c>
      <c r="AE26" s="83">
        <v>25</v>
      </c>
      <c r="AF26" s="83">
        <v>28</v>
      </c>
      <c r="AG26" s="80">
        <v>25</v>
      </c>
      <c r="AH26" s="81">
        <v>25</v>
      </c>
      <c r="AI26" s="44"/>
      <c r="AJ26" s="130">
        <f>(F26+O26+W26+Z26)</f>
        <v>24002.893599999381</v>
      </c>
      <c r="AK26" s="129">
        <f t="shared" si="3"/>
        <v>421.10339649121721</v>
      </c>
      <c r="AL26" s="74"/>
    </row>
    <row r="27" spans="1:256" ht="32.25" customHeight="1" thickBot="1" x14ac:dyDescent="0.25">
      <c r="A27" s="73"/>
      <c r="B27" s="92">
        <f t="shared" si="8"/>
        <v>44122</v>
      </c>
      <c r="C27" s="93"/>
      <c r="D27" s="148">
        <f>'Suivi EAU-ELEC'!C32</f>
        <v>400</v>
      </c>
      <c r="E27" s="151"/>
      <c r="F27" s="206">
        <f t="shared" si="0"/>
        <v>5068</v>
      </c>
      <c r="G27" s="207"/>
      <c r="H27" s="208"/>
      <c r="I27" s="143"/>
      <c r="J27" s="94">
        <f>'Suivi EAU-ELEC'!E32</f>
        <v>4057</v>
      </c>
      <c r="K27" s="95">
        <f>'Suivi EAU-ELEC'!G32</f>
        <v>5130</v>
      </c>
      <c r="L27" s="95">
        <f>'Suivi EAU-ELEC'!I32</f>
        <v>2621</v>
      </c>
      <c r="M27" s="82">
        <f t="shared" si="4"/>
        <v>11808</v>
      </c>
      <c r="N27" s="58"/>
      <c r="O27" s="59">
        <f t="shared" si="5"/>
        <v>11689.919999999998</v>
      </c>
      <c r="P27" s="57"/>
      <c r="Q27" s="55"/>
      <c r="R27" s="56"/>
      <c r="S27" s="55"/>
      <c r="T27" s="96"/>
      <c r="U27" s="60">
        <f>'Suivi Gaz'!O27</f>
        <v>371</v>
      </c>
      <c r="V27" s="85"/>
      <c r="W27" s="59">
        <f t="shared" si="6"/>
        <v>2946.9272000000001</v>
      </c>
      <c r="X27" s="65">
        <v>17170.86</v>
      </c>
      <c r="Y27" s="149">
        <f t="shared" si="1"/>
        <v>15.040000000000873</v>
      </c>
      <c r="Z27" s="64">
        <f t="shared" si="7"/>
        <v>7971.2000000004637</v>
      </c>
      <c r="AA27" s="85"/>
      <c r="AB27" s="61">
        <v>24</v>
      </c>
      <c r="AC27" s="78">
        <v>45</v>
      </c>
      <c r="AD27" s="79">
        <v>0.35709999999999997</v>
      </c>
      <c r="AE27" s="83">
        <v>28.5</v>
      </c>
      <c r="AF27" s="83">
        <v>29</v>
      </c>
      <c r="AG27" s="80">
        <v>26</v>
      </c>
      <c r="AH27" s="81">
        <v>27</v>
      </c>
      <c r="AI27" s="44"/>
      <c r="AJ27" s="130">
        <f t="shared" si="2"/>
        <v>27676.047200000459</v>
      </c>
      <c r="AK27" s="129">
        <f t="shared" si="3"/>
        <v>615.02327111112129</v>
      </c>
      <c r="AL27" s="74"/>
    </row>
    <row r="28" spans="1:256" ht="32.25" customHeight="1" thickBot="1" x14ac:dyDescent="0.25">
      <c r="A28" s="73"/>
      <c r="B28" s="92">
        <f t="shared" si="8"/>
        <v>44123</v>
      </c>
      <c r="C28" s="93"/>
      <c r="D28" s="148">
        <f>'Suivi EAU-ELEC'!C33</f>
        <v>360</v>
      </c>
      <c r="E28" s="151"/>
      <c r="F28" s="203">
        <f t="shared" si="0"/>
        <v>4561.2</v>
      </c>
      <c r="G28" s="204"/>
      <c r="H28" s="205"/>
      <c r="I28" s="144"/>
      <c r="J28" s="94">
        <f>'Suivi EAU-ELEC'!E33</f>
        <v>3380</v>
      </c>
      <c r="K28" s="95">
        <f>'Suivi EAU-ELEC'!G33</f>
        <v>5102</v>
      </c>
      <c r="L28" s="95">
        <f>'Suivi EAU-ELEC'!I33</f>
        <v>2600</v>
      </c>
      <c r="M28" s="82">
        <f t="shared" si="4"/>
        <v>11082</v>
      </c>
      <c r="N28" s="58"/>
      <c r="O28" s="59">
        <f t="shared" si="5"/>
        <v>10971.18</v>
      </c>
      <c r="P28" s="57"/>
      <c r="Q28" s="55"/>
      <c r="R28" s="56"/>
      <c r="S28" s="55"/>
      <c r="T28" s="96"/>
      <c r="U28" s="60">
        <f>'Suivi Gaz'!O28</f>
        <v>333.90000000000003</v>
      </c>
      <c r="V28" s="85"/>
      <c r="W28" s="59">
        <f t="shared" si="6"/>
        <v>2652.2344800000001</v>
      </c>
      <c r="X28" s="65">
        <v>17185.900000000001</v>
      </c>
      <c r="Y28" s="149">
        <f t="shared" si="1"/>
        <v>8.9499999999970896</v>
      </c>
      <c r="Z28" s="64">
        <f t="shared" si="7"/>
        <v>4743.4999999984584</v>
      </c>
      <c r="AA28" s="85"/>
      <c r="AB28" s="61">
        <v>28</v>
      </c>
      <c r="AC28" s="78">
        <v>51</v>
      </c>
      <c r="AD28" s="79">
        <v>0.375</v>
      </c>
      <c r="AE28" s="83">
        <v>28</v>
      </c>
      <c r="AF28" s="83">
        <v>30</v>
      </c>
      <c r="AG28" s="80">
        <v>28</v>
      </c>
      <c r="AH28" s="81">
        <v>28</v>
      </c>
      <c r="AI28" s="44"/>
      <c r="AJ28" s="130">
        <f>(F28+O28+W28+Z28)</f>
        <v>22928.114479998458</v>
      </c>
      <c r="AK28" s="129">
        <f t="shared" si="3"/>
        <v>449.57087215683248</v>
      </c>
      <c r="AL28" s="74"/>
    </row>
    <row r="29" spans="1:256" ht="32.25" customHeight="1" thickBot="1" x14ac:dyDescent="0.25">
      <c r="A29" s="73"/>
      <c r="B29" s="92">
        <f t="shared" si="8"/>
        <v>44124</v>
      </c>
      <c r="C29" s="93"/>
      <c r="D29" s="148">
        <f>'Suivi EAU-ELEC'!C34</f>
        <v>330</v>
      </c>
      <c r="E29" s="151"/>
      <c r="F29" s="206">
        <f t="shared" si="0"/>
        <v>4181.1000000000004</v>
      </c>
      <c r="G29" s="207"/>
      <c r="H29" s="208"/>
      <c r="I29" s="144"/>
      <c r="J29" s="94">
        <f>'Suivi EAU-ELEC'!E34</f>
        <v>4522</v>
      </c>
      <c r="K29" s="95">
        <f>'Suivi EAU-ELEC'!G34</f>
        <v>6037</v>
      </c>
      <c r="L29" s="95">
        <f>'Suivi EAU-ELEC'!I34</f>
        <v>3297</v>
      </c>
      <c r="M29" s="82">
        <f t="shared" si="4"/>
        <v>13856</v>
      </c>
      <c r="N29" s="58"/>
      <c r="O29" s="59">
        <f t="shared" si="5"/>
        <v>13717.439999999999</v>
      </c>
      <c r="P29" s="57"/>
      <c r="Q29" s="55"/>
      <c r="R29" s="56"/>
      <c r="S29" s="55"/>
      <c r="T29" s="96"/>
      <c r="U29" s="60">
        <f>'Suivi Gaz'!O29</f>
        <v>148.4</v>
      </c>
      <c r="V29" s="85"/>
      <c r="W29" s="59">
        <f t="shared" si="6"/>
        <v>1178.77088</v>
      </c>
      <c r="X29" s="65">
        <v>17194.849999999999</v>
      </c>
      <c r="Y29" s="149">
        <f t="shared" si="1"/>
        <v>14.920000000001892</v>
      </c>
      <c r="Z29" s="64">
        <f t="shared" si="7"/>
        <v>7907.6000000010035</v>
      </c>
      <c r="AA29" s="85"/>
      <c r="AB29" s="61">
        <v>30</v>
      </c>
      <c r="AC29" s="78">
        <v>30</v>
      </c>
      <c r="AD29" s="79">
        <v>0.22059999999999999</v>
      </c>
      <c r="AE29" s="83">
        <v>28.5</v>
      </c>
      <c r="AF29" s="83">
        <v>30</v>
      </c>
      <c r="AG29" s="80">
        <v>28</v>
      </c>
      <c r="AH29" s="81">
        <v>28</v>
      </c>
      <c r="AI29" s="44"/>
      <c r="AJ29" s="130">
        <f t="shared" si="2"/>
        <v>26984.910880001004</v>
      </c>
      <c r="AK29" s="129">
        <f t="shared" si="3"/>
        <v>899.49702933336675</v>
      </c>
      <c r="AL29" s="74"/>
    </row>
    <row r="30" spans="1:256" s="66" customFormat="1" ht="32.25" customHeight="1" thickBot="1" x14ac:dyDescent="0.25">
      <c r="A30" s="97"/>
      <c r="B30" s="92">
        <f t="shared" si="8"/>
        <v>44125</v>
      </c>
      <c r="C30" s="98"/>
      <c r="D30" s="148">
        <f>'Suivi EAU-ELEC'!C35</f>
        <v>430</v>
      </c>
      <c r="E30" s="151"/>
      <c r="F30" s="203">
        <f t="shared" si="0"/>
        <v>5448.1</v>
      </c>
      <c r="G30" s="204"/>
      <c r="H30" s="205"/>
      <c r="I30" s="144"/>
      <c r="J30" s="94">
        <f>'Suivi EAU-ELEC'!E35</f>
        <v>7027</v>
      </c>
      <c r="K30" s="95">
        <f>'Suivi EAU-ELEC'!G35</f>
        <v>7252</v>
      </c>
      <c r="L30" s="95">
        <f>'Suivi EAU-ELEC'!I35</f>
        <v>3361</v>
      </c>
      <c r="M30" s="82">
        <f t="shared" si="4"/>
        <v>17640</v>
      </c>
      <c r="N30" s="58"/>
      <c r="O30" s="59">
        <f t="shared" si="5"/>
        <v>17463.599999999999</v>
      </c>
      <c r="P30" s="57"/>
      <c r="Q30" s="55"/>
      <c r="R30" s="56"/>
      <c r="S30" s="55"/>
      <c r="T30" s="96"/>
      <c r="U30" s="60">
        <f>'Suivi Gaz'!O30</f>
        <v>408.1</v>
      </c>
      <c r="V30" s="85"/>
      <c r="W30" s="59">
        <f t="shared" si="6"/>
        <v>3241.6199200000001</v>
      </c>
      <c r="X30" s="65">
        <v>17209.77</v>
      </c>
      <c r="Y30" s="149">
        <f t="shared" si="1"/>
        <v>13.759999999998399</v>
      </c>
      <c r="Z30" s="64">
        <f t="shared" si="7"/>
        <v>7292.7999999991525</v>
      </c>
      <c r="AA30" s="85"/>
      <c r="AB30" s="61">
        <v>22</v>
      </c>
      <c r="AC30" s="78">
        <v>23</v>
      </c>
      <c r="AD30" s="79">
        <v>0.1729</v>
      </c>
      <c r="AE30" s="83">
        <v>29</v>
      </c>
      <c r="AF30" s="83">
        <v>30</v>
      </c>
      <c r="AG30" s="80">
        <v>28</v>
      </c>
      <c r="AH30" s="81">
        <v>26</v>
      </c>
      <c r="AI30" s="44"/>
      <c r="AJ30" s="130">
        <f t="shared" si="2"/>
        <v>33446.119919999153</v>
      </c>
      <c r="AK30" s="129">
        <f t="shared" si="3"/>
        <v>1454.1791269564849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44126</v>
      </c>
      <c r="C31" s="93"/>
      <c r="D31" s="148">
        <f>'Suivi EAU-ELEC'!C36</f>
        <v>370</v>
      </c>
      <c r="E31" s="96"/>
      <c r="F31" s="206">
        <f t="shared" si="0"/>
        <v>4687.8999999999996</v>
      </c>
      <c r="G31" s="207"/>
      <c r="H31" s="208"/>
      <c r="I31" s="145"/>
      <c r="J31" s="94">
        <f>'Suivi EAU-ELEC'!E36</f>
        <v>3939</v>
      </c>
      <c r="K31" s="95">
        <f>'Suivi EAU-ELEC'!G36</f>
        <v>5902</v>
      </c>
      <c r="L31" s="95">
        <f>'Suivi EAU-ELEC'!I36</f>
        <v>3725</v>
      </c>
      <c r="M31" s="82">
        <f t="shared" si="4"/>
        <v>13566</v>
      </c>
      <c r="N31" s="58"/>
      <c r="O31" s="59">
        <f t="shared" si="5"/>
        <v>13430.34</v>
      </c>
      <c r="P31" s="57"/>
      <c r="Q31" s="55"/>
      <c r="R31" s="56"/>
      <c r="S31" s="55"/>
      <c r="T31" s="96"/>
      <c r="U31" s="60">
        <f>'Suivi Gaz'!O31</f>
        <v>185.5</v>
      </c>
      <c r="V31" s="58"/>
      <c r="W31" s="59">
        <f t="shared" si="6"/>
        <v>1473.4636</v>
      </c>
      <c r="X31" s="65">
        <v>17223.53</v>
      </c>
      <c r="Y31" s="149">
        <f t="shared" si="1"/>
        <v>14.069999999999709</v>
      </c>
      <c r="Z31" s="64">
        <f t="shared" si="7"/>
        <v>7457.0999999998457</v>
      </c>
      <c r="AA31" s="58"/>
      <c r="AB31" s="61">
        <v>21</v>
      </c>
      <c r="AC31" s="78">
        <v>33</v>
      </c>
      <c r="AD31" s="79">
        <v>0.23910000000000001</v>
      </c>
      <c r="AE31" s="83">
        <v>29</v>
      </c>
      <c r="AF31" s="83">
        <v>30</v>
      </c>
      <c r="AG31" s="80">
        <v>28</v>
      </c>
      <c r="AH31" s="81">
        <v>28</v>
      </c>
      <c r="AI31" s="44"/>
      <c r="AJ31" s="130">
        <f t="shared" si="2"/>
        <v>27048.803599999843</v>
      </c>
      <c r="AK31" s="129">
        <f t="shared" si="3"/>
        <v>819.66071515151043</v>
      </c>
      <c r="AL31" s="74"/>
    </row>
    <row r="32" spans="1:256" ht="32.25" customHeight="1" thickBot="1" x14ac:dyDescent="0.25">
      <c r="A32" s="73"/>
      <c r="B32" s="92">
        <f t="shared" si="8"/>
        <v>44127</v>
      </c>
      <c r="C32" s="93"/>
      <c r="D32" s="148">
        <f>'Suivi EAU-ELEC'!C37</f>
        <v>410</v>
      </c>
      <c r="E32" s="96"/>
      <c r="F32" s="206">
        <f t="shared" si="0"/>
        <v>5194.7</v>
      </c>
      <c r="G32" s="207"/>
      <c r="H32" s="208"/>
      <c r="I32" s="142"/>
      <c r="J32" s="94">
        <f>'Suivi EAU-ELEC'!E37</f>
        <v>4096</v>
      </c>
      <c r="K32" s="95">
        <f>'Suivi EAU-ELEC'!G37</f>
        <v>6799</v>
      </c>
      <c r="L32" s="95">
        <f>'Suivi EAU-ELEC'!I37</f>
        <v>3405</v>
      </c>
      <c r="M32" s="82">
        <f t="shared" si="4"/>
        <v>14300</v>
      </c>
      <c r="N32" s="58"/>
      <c r="O32" s="59">
        <f t="shared" si="5"/>
        <v>14157</v>
      </c>
      <c r="P32" s="57"/>
      <c r="Q32" s="55"/>
      <c r="R32" s="56"/>
      <c r="S32" s="55"/>
      <c r="T32" s="96"/>
      <c r="U32" s="60">
        <f>'Suivi Gaz'!O32</f>
        <v>296.8</v>
      </c>
      <c r="V32" s="58"/>
      <c r="W32" s="59">
        <f t="shared" si="6"/>
        <v>2357.5417600000001</v>
      </c>
      <c r="X32" s="65">
        <v>17237.599999999999</v>
      </c>
      <c r="Y32" s="149">
        <f t="shared" si="1"/>
        <v>15.390000000003056</v>
      </c>
      <c r="Z32" s="64">
        <f t="shared" si="7"/>
        <v>8156.7000000016205</v>
      </c>
      <c r="AA32" s="58"/>
      <c r="AB32" s="61">
        <v>22</v>
      </c>
      <c r="AC32" s="78">
        <v>52</v>
      </c>
      <c r="AD32" s="79">
        <v>0.38240000000000002</v>
      </c>
      <c r="AE32" s="83">
        <v>29</v>
      </c>
      <c r="AF32" s="83">
        <v>30</v>
      </c>
      <c r="AG32" s="80">
        <v>28</v>
      </c>
      <c r="AH32" s="81">
        <v>29</v>
      </c>
      <c r="AI32" s="44"/>
      <c r="AJ32" s="130">
        <f t="shared" si="2"/>
        <v>29865.94176000162</v>
      </c>
      <c r="AK32" s="129">
        <f t="shared" si="3"/>
        <v>574.34503384618506</v>
      </c>
      <c r="AL32" s="74"/>
    </row>
    <row r="33" spans="1:38" ht="32.25" customHeight="1" thickBot="1" x14ac:dyDescent="0.25">
      <c r="A33" s="73"/>
      <c r="B33" s="92">
        <f t="shared" si="8"/>
        <v>44128</v>
      </c>
      <c r="C33" s="93"/>
      <c r="D33" s="148">
        <f>'Suivi EAU-ELEC'!C38</f>
        <v>360</v>
      </c>
      <c r="E33" s="96"/>
      <c r="F33" s="206">
        <f t="shared" si="0"/>
        <v>4561.2</v>
      </c>
      <c r="G33" s="207"/>
      <c r="H33" s="208"/>
      <c r="I33" s="143"/>
      <c r="J33" s="94">
        <f>'Suivi EAU-ELEC'!E38</f>
        <v>4044</v>
      </c>
      <c r="K33" s="95">
        <f>'Suivi EAU-ELEC'!G38</f>
        <v>6125</v>
      </c>
      <c r="L33" s="95">
        <f>'Suivi EAU-ELEC'!I38</f>
        <v>3301</v>
      </c>
      <c r="M33" s="82">
        <f t="shared" si="4"/>
        <v>13470</v>
      </c>
      <c r="N33" s="58"/>
      <c r="O33" s="59">
        <f t="shared" si="5"/>
        <v>13335.3</v>
      </c>
      <c r="P33" s="57"/>
      <c r="Q33" s="55"/>
      <c r="R33" s="56"/>
      <c r="S33" s="55"/>
      <c r="T33" s="96"/>
      <c r="U33" s="60">
        <f>'Suivi Gaz'!O33</f>
        <v>445.20000000000005</v>
      </c>
      <c r="V33" s="58"/>
      <c r="W33" s="59">
        <f t="shared" si="6"/>
        <v>3536.3126400000006</v>
      </c>
      <c r="X33" s="65">
        <v>17252.990000000002</v>
      </c>
      <c r="Y33" s="149">
        <f t="shared" si="1"/>
        <v>15.75</v>
      </c>
      <c r="Z33" s="64">
        <f t="shared" si="7"/>
        <v>8347.5</v>
      </c>
      <c r="AA33" s="58"/>
      <c r="AB33" s="61">
        <v>23</v>
      </c>
      <c r="AC33" s="78">
        <v>55</v>
      </c>
      <c r="AD33" s="79">
        <v>0.40739999999999998</v>
      </c>
      <c r="AE33" s="83">
        <v>29</v>
      </c>
      <c r="AF33" s="83">
        <v>30</v>
      </c>
      <c r="AG33" s="80">
        <v>28</v>
      </c>
      <c r="AH33" s="81">
        <v>29</v>
      </c>
      <c r="AI33" s="44"/>
      <c r="AJ33" s="130">
        <f t="shared" si="2"/>
        <v>29780.31264</v>
      </c>
      <c r="AK33" s="129">
        <f t="shared" si="3"/>
        <v>541.4602298181818</v>
      </c>
      <c r="AL33" s="74"/>
    </row>
    <row r="34" spans="1:38" ht="32.25" customHeight="1" thickBot="1" x14ac:dyDescent="0.25">
      <c r="A34" s="99"/>
      <c r="B34" s="92">
        <f t="shared" si="8"/>
        <v>44129</v>
      </c>
      <c r="C34" s="93"/>
      <c r="D34" s="148">
        <f>'Suivi EAU-ELEC'!C39</f>
        <v>350</v>
      </c>
      <c r="E34" s="96"/>
      <c r="F34" s="206">
        <f t="shared" si="0"/>
        <v>4434.5</v>
      </c>
      <c r="G34" s="207"/>
      <c r="H34" s="208"/>
      <c r="I34" s="143"/>
      <c r="J34" s="94">
        <f>'Suivi EAU-ELEC'!E39</f>
        <v>4159</v>
      </c>
      <c r="K34" s="95">
        <f>'Suivi EAU-ELEC'!G39</f>
        <v>5695</v>
      </c>
      <c r="L34" s="95">
        <f>'Suivi EAU-ELEC'!I39</f>
        <v>2821</v>
      </c>
      <c r="M34" s="82">
        <f t="shared" si="4"/>
        <v>12675</v>
      </c>
      <c r="N34" s="58"/>
      <c r="O34" s="59">
        <f t="shared" si="5"/>
        <v>12548.25</v>
      </c>
      <c r="P34" s="57"/>
      <c r="Q34" s="55"/>
      <c r="R34" s="56"/>
      <c r="S34" s="55"/>
      <c r="T34" s="96"/>
      <c r="U34" s="60">
        <f>'Suivi Gaz'!O34</f>
        <v>259.7</v>
      </c>
      <c r="V34" s="58"/>
      <c r="W34" s="59">
        <f t="shared" si="6"/>
        <v>2062.8490400000001</v>
      </c>
      <c r="X34" s="65">
        <v>17268.740000000002</v>
      </c>
      <c r="Y34" s="149">
        <f t="shared" si="1"/>
        <v>14.419999999998254</v>
      </c>
      <c r="Z34" s="64">
        <f t="shared" si="7"/>
        <v>7642.5999999990754</v>
      </c>
      <c r="AA34" s="58"/>
      <c r="AB34" s="61">
        <v>24</v>
      </c>
      <c r="AC34" s="78">
        <v>32</v>
      </c>
      <c r="AD34" s="79">
        <v>0.254</v>
      </c>
      <c r="AE34" s="83">
        <v>29</v>
      </c>
      <c r="AF34" s="83">
        <v>30</v>
      </c>
      <c r="AG34" s="80">
        <v>28</v>
      </c>
      <c r="AH34" s="81">
        <v>29</v>
      </c>
      <c r="AI34" s="44"/>
      <c r="AJ34" s="130">
        <f t="shared" si="2"/>
        <v>26688.199039999075</v>
      </c>
      <c r="AK34" s="129">
        <f t="shared" si="3"/>
        <v>834.00621999997111</v>
      </c>
      <c r="AL34" s="74"/>
    </row>
    <row r="35" spans="1:38" ht="32.25" customHeight="1" thickBot="1" x14ac:dyDescent="0.25">
      <c r="A35" s="73"/>
      <c r="B35" s="92">
        <f t="shared" si="8"/>
        <v>44130</v>
      </c>
      <c r="C35" s="93"/>
      <c r="D35" s="148">
        <f>'Suivi EAU-ELEC'!C40</f>
        <v>300</v>
      </c>
      <c r="E35" s="96"/>
      <c r="F35" s="209">
        <f t="shared" si="0"/>
        <v>3801</v>
      </c>
      <c r="G35" s="210"/>
      <c r="H35" s="211"/>
      <c r="I35" s="143"/>
      <c r="J35" s="94">
        <f>'Suivi EAU-ELEC'!E40</f>
        <v>3782</v>
      </c>
      <c r="K35" s="95">
        <f>'Suivi EAU-ELEC'!G40</f>
        <v>5314</v>
      </c>
      <c r="L35" s="95">
        <f>'Suivi EAU-ELEC'!I40</f>
        <v>2825</v>
      </c>
      <c r="M35" s="82">
        <f t="shared" si="4"/>
        <v>11921</v>
      </c>
      <c r="N35" s="58"/>
      <c r="O35" s="59">
        <f t="shared" si="5"/>
        <v>11801.789999999999</v>
      </c>
      <c r="P35" s="57"/>
      <c r="Q35" s="55"/>
      <c r="R35" s="56"/>
      <c r="S35" s="55"/>
      <c r="T35" s="96"/>
      <c r="U35" s="60">
        <f>'Suivi Gaz'!O35</f>
        <v>259.7</v>
      </c>
      <c r="V35" s="58"/>
      <c r="W35" s="59">
        <f t="shared" si="6"/>
        <v>2062.8490400000001</v>
      </c>
      <c r="X35" s="65">
        <v>17283.16</v>
      </c>
      <c r="Y35" s="149">
        <f t="shared" si="1"/>
        <v>13.610000000000582</v>
      </c>
      <c r="Z35" s="64">
        <f t="shared" si="7"/>
        <v>7213.3000000003085</v>
      </c>
      <c r="AA35" s="58"/>
      <c r="AB35" s="61">
        <v>24</v>
      </c>
      <c r="AC35" s="78">
        <v>25</v>
      </c>
      <c r="AD35" s="79">
        <v>0.19689999999999999</v>
      </c>
      <c r="AE35" s="83">
        <v>29</v>
      </c>
      <c r="AF35" s="83">
        <v>30</v>
      </c>
      <c r="AG35" s="80" t="s">
        <v>85</v>
      </c>
      <c r="AH35" s="81" t="s">
        <v>85</v>
      </c>
      <c r="AI35" s="44"/>
      <c r="AJ35" s="130">
        <f t="shared" si="2"/>
        <v>24878.939040000307</v>
      </c>
      <c r="AK35" s="129">
        <f t="shared" si="3"/>
        <v>995.15756160001229</v>
      </c>
      <c r="AL35" s="74"/>
    </row>
    <row r="36" spans="1:38" ht="32.25" customHeight="1" thickBot="1" x14ac:dyDescent="0.25">
      <c r="A36" s="73"/>
      <c r="B36" s="92">
        <f t="shared" si="8"/>
        <v>44131</v>
      </c>
      <c r="C36" s="93"/>
      <c r="D36" s="148">
        <f>'Suivi EAU-ELEC'!C41</f>
        <v>710</v>
      </c>
      <c r="E36" s="96"/>
      <c r="F36" s="216">
        <f t="shared" si="0"/>
        <v>8995.7000000000007</v>
      </c>
      <c r="G36" s="217"/>
      <c r="H36" s="218"/>
      <c r="I36" s="143"/>
      <c r="J36" s="94">
        <f>'Suivi EAU-ELEC'!E41</f>
        <v>4353</v>
      </c>
      <c r="K36" s="95">
        <f>'Suivi EAU-ELEC'!G41</f>
        <v>4896</v>
      </c>
      <c r="L36" s="95">
        <f>'Suivi EAU-ELEC'!I41</f>
        <v>2227</v>
      </c>
      <c r="M36" s="82">
        <f t="shared" si="4"/>
        <v>11476</v>
      </c>
      <c r="N36" s="58"/>
      <c r="O36" s="59">
        <f t="shared" si="5"/>
        <v>11361.24</v>
      </c>
      <c r="P36" s="57"/>
      <c r="Q36" s="55"/>
      <c r="R36" s="56"/>
      <c r="S36" s="55"/>
      <c r="T36" s="96"/>
      <c r="U36" s="60">
        <f>'Suivi Gaz'!O36</f>
        <v>296.8</v>
      </c>
      <c r="V36" s="58"/>
      <c r="W36" s="59">
        <f t="shared" si="6"/>
        <v>2357.5417600000001</v>
      </c>
      <c r="X36" s="65">
        <v>17296.77</v>
      </c>
      <c r="Y36" s="149">
        <f t="shared" si="1"/>
        <v>14.790000000000873</v>
      </c>
      <c r="Z36" s="64">
        <f t="shared" si="7"/>
        <v>7838.7000000004628</v>
      </c>
      <c r="AA36" s="58"/>
      <c r="AB36" s="61">
        <v>21</v>
      </c>
      <c r="AC36" s="78">
        <v>28</v>
      </c>
      <c r="AD36" s="79">
        <v>0.2029</v>
      </c>
      <c r="AE36" s="83">
        <v>29</v>
      </c>
      <c r="AF36" s="83">
        <v>30</v>
      </c>
      <c r="AG36" s="80" t="s">
        <v>85</v>
      </c>
      <c r="AH36" s="81" t="s">
        <v>85</v>
      </c>
      <c r="AI36" s="44"/>
      <c r="AJ36" s="130">
        <f t="shared" si="2"/>
        <v>30553.181760000465</v>
      </c>
      <c r="AK36" s="129">
        <f t="shared" si="3"/>
        <v>1091.1850628571594</v>
      </c>
      <c r="AL36" s="74"/>
    </row>
    <row r="37" spans="1:38" ht="32.25" customHeight="1" thickBot="1" x14ac:dyDescent="0.25">
      <c r="A37" s="73"/>
      <c r="B37" s="92">
        <f t="shared" si="8"/>
        <v>44132</v>
      </c>
      <c r="C37" s="93"/>
      <c r="D37" s="148">
        <f>'Suivi EAU-ELEC'!C42</f>
        <v>410</v>
      </c>
      <c r="E37" s="96"/>
      <c r="F37" s="219">
        <f t="shared" si="0"/>
        <v>5194.7</v>
      </c>
      <c r="G37" s="220"/>
      <c r="H37" s="221"/>
      <c r="I37" s="143"/>
      <c r="J37" s="94">
        <f>'Suivi EAU-ELEC'!E42</f>
        <v>5012</v>
      </c>
      <c r="K37" s="95">
        <f>'Suivi EAU-ELEC'!G42</f>
        <v>7044</v>
      </c>
      <c r="L37" s="95">
        <f>'Suivi EAU-ELEC'!I42</f>
        <v>3690</v>
      </c>
      <c r="M37" s="82">
        <f t="shared" si="4"/>
        <v>15746</v>
      </c>
      <c r="N37" s="58"/>
      <c r="O37" s="59">
        <f t="shared" si="5"/>
        <v>15588.539999999999</v>
      </c>
      <c r="P37" s="57"/>
      <c r="Q37" s="55"/>
      <c r="R37" s="56"/>
      <c r="S37" s="55"/>
      <c r="T37" s="96"/>
      <c r="U37" s="60">
        <f>'Suivi Gaz'!O37</f>
        <v>148.4</v>
      </c>
      <c r="V37" s="58"/>
      <c r="W37" s="59">
        <f t="shared" si="6"/>
        <v>1178.77088</v>
      </c>
      <c r="X37" s="65">
        <v>17311.560000000001</v>
      </c>
      <c r="Y37" s="149">
        <f t="shared" si="1"/>
        <v>15.599999999998545</v>
      </c>
      <c r="Z37" s="64">
        <f t="shared" si="7"/>
        <v>8267.9999999992306</v>
      </c>
      <c r="AA37" s="58"/>
      <c r="AB37" s="61">
        <v>23</v>
      </c>
      <c r="AC37" s="78">
        <v>53</v>
      </c>
      <c r="AD37" s="79">
        <v>0.38129999999999997</v>
      </c>
      <c r="AE37" s="83">
        <v>29</v>
      </c>
      <c r="AF37" s="83">
        <v>30</v>
      </c>
      <c r="AG37" s="80">
        <v>26</v>
      </c>
      <c r="AH37" s="81">
        <v>27</v>
      </c>
      <c r="AI37" s="44"/>
      <c r="AJ37" s="130">
        <f t="shared" si="2"/>
        <v>30230.01087999923</v>
      </c>
      <c r="AK37" s="129">
        <f t="shared" si="3"/>
        <v>570.37756377357039</v>
      </c>
      <c r="AL37" s="74"/>
    </row>
    <row r="38" spans="1:38" ht="32.25" customHeight="1" thickBot="1" x14ac:dyDescent="0.25">
      <c r="A38" s="73"/>
      <c r="B38" s="92">
        <f t="shared" si="8"/>
        <v>44133</v>
      </c>
      <c r="C38" s="93"/>
      <c r="D38" s="148">
        <f>'Suivi EAU-ELEC'!C43</f>
        <v>400</v>
      </c>
      <c r="E38" s="96"/>
      <c r="F38" s="203">
        <f t="shared" si="0"/>
        <v>5068</v>
      </c>
      <c r="G38" s="204"/>
      <c r="H38" s="205"/>
      <c r="I38" s="143"/>
      <c r="J38" s="94">
        <f>'Suivi EAU-ELEC'!E43</f>
        <v>4703</v>
      </c>
      <c r="K38" s="95">
        <f>'Suivi EAU-ELEC'!G43</f>
        <v>6501</v>
      </c>
      <c r="L38" s="95">
        <f>'Suivi EAU-ELEC'!I43</f>
        <v>2905</v>
      </c>
      <c r="M38" s="82">
        <f t="shared" si="4"/>
        <v>14109</v>
      </c>
      <c r="N38" s="58"/>
      <c r="O38" s="59">
        <f t="shared" si="5"/>
        <v>13967.91</v>
      </c>
      <c r="P38" s="57"/>
      <c r="Q38" s="55"/>
      <c r="R38" s="56"/>
      <c r="S38" s="55"/>
      <c r="T38" s="96"/>
      <c r="U38" s="60">
        <f>'Suivi Gaz'!O38</f>
        <v>259.7</v>
      </c>
      <c r="V38" s="58"/>
      <c r="W38" s="59">
        <f t="shared" si="6"/>
        <v>2062.8490400000001</v>
      </c>
      <c r="X38" s="65">
        <v>17327.16</v>
      </c>
      <c r="Y38" s="149">
        <f t="shared" si="1"/>
        <v>14.200000000000728</v>
      </c>
      <c r="Z38" s="64">
        <f t="shared" si="7"/>
        <v>7526.0000000003865</v>
      </c>
      <c r="AA38" s="58"/>
      <c r="AB38" s="61">
        <v>26</v>
      </c>
      <c r="AC38" s="78">
        <v>86</v>
      </c>
      <c r="AD38" s="79">
        <v>0.63239999999999996</v>
      </c>
      <c r="AE38" s="83">
        <v>29</v>
      </c>
      <c r="AF38" s="83">
        <v>30</v>
      </c>
      <c r="AG38" s="80">
        <v>28</v>
      </c>
      <c r="AH38" s="81">
        <v>28</v>
      </c>
      <c r="AI38" s="44"/>
      <c r="AJ38" s="130">
        <f t="shared" si="2"/>
        <v>28624.759040000386</v>
      </c>
      <c r="AK38" s="129">
        <f t="shared" si="3"/>
        <v>332.84603534884172</v>
      </c>
      <c r="AL38" s="74"/>
    </row>
    <row r="39" spans="1:38" ht="32.25" customHeight="1" thickBot="1" x14ac:dyDescent="0.25">
      <c r="A39" s="73"/>
      <c r="B39" s="92">
        <f t="shared" si="8"/>
        <v>44134</v>
      </c>
      <c r="C39" s="93"/>
      <c r="D39" s="148">
        <f>'Suivi EAU-ELEC'!C44</f>
        <v>370</v>
      </c>
      <c r="E39" s="96"/>
      <c r="F39" s="206">
        <f t="shared" si="0"/>
        <v>4687.8999999999996</v>
      </c>
      <c r="G39" s="207"/>
      <c r="H39" s="208"/>
      <c r="I39" s="143"/>
      <c r="J39" s="94">
        <f>'Suivi EAU-ELEC'!E44</f>
        <v>3963</v>
      </c>
      <c r="K39" s="95">
        <f>'Suivi EAU-ELEC'!G44</f>
        <v>6296</v>
      </c>
      <c r="L39" s="95">
        <f>'Suivi EAU-ELEC'!I44</f>
        <v>2919</v>
      </c>
      <c r="M39" s="82">
        <f t="shared" si="4"/>
        <v>13178</v>
      </c>
      <c r="N39" s="58"/>
      <c r="O39" s="59">
        <f t="shared" si="5"/>
        <v>13046.22</v>
      </c>
      <c r="P39" s="57"/>
      <c r="Q39" s="55"/>
      <c r="R39" s="56"/>
      <c r="S39" s="55"/>
      <c r="T39" s="96"/>
      <c r="U39" s="60">
        <f>'Suivi Gaz'!O39</f>
        <v>222.60000000000002</v>
      </c>
      <c r="V39" s="58"/>
      <c r="W39" s="59">
        <f t="shared" si="6"/>
        <v>1768.1563200000003</v>
      </c>
      <c r="X39" s="65">
        <v>17341.36</v>
      </c>
      <c r="Y39" s="149">
        <f t="shared" si="1"/>
        <v>15.25</v>
      </c>
      <c r="Z39" s="64">
        <f t="shared" si="7"/>
        <v>8082.5</v>
      </c>
      <c r="AA39" s="58"/>
      <c r="AB39" s="61">
        <v>26</v>
      </c>
      <c r="AC39" s="78">
        <v>82</v>
      </c>
      <c r="AD39" s="79">
        <v>0.58989999999999998</v>
      </c>
      <c r="AE39" s="83">
        <v>29</v>
      </c>
      <c r="AF39" s="83">
        <v>29.5</v>
      </c>
      <c r="AG39" s="80">
        <v>28</v>
      </c>
      <c r="AH39" s="81">
        <v>29</v>
      </c>
      <c r="AI39" s="44"/>
      <c r="AJ39" s="130">
        <f t="shared" si="2"/>
        <v>27584.776320000001</v>
      </c>
      <c r="AK39" s="129">
        <f t="shared" si="3"/>
        <v>336.3997112195122</v>
      </c>
      <c r="AL39" s="74"/>
    </row>
    <row r="40" spans="1:38" ht="32.25" customHeight="1" thickBot="1" x14ac:dyDescent="0.25">
      <c r="A40" s="73"/>
      <c r="B40" s="92">
        <f t="shared" si="8"/>
        <v>44135</v>
      </c>
      <c r="C40" s="93"/>
      <c r="D40" s="148">
        <f>'Suivi EAU-ELEC'!C45</f>
        <v>410</v>
      </c>
      <c r="E40" s="150"/>
      <c r="F40" s="209">
        <f t="shared" si="0"/>
        <v>5194.7</v>
      </c>
      <c r="G40" s="210"/>
      <c r="H40" s="211"/>
      <c r="I40" s="143"/>
      <c r="J40" s="94">
        <f>'Suivi EAU-ELEC'!E45</f>
        <v>3062</v>
      </c>
      <c r="K40" s="95">
        <f>'Suivi EAU-ELEC'!G45</f>
        <v>6170</v>
      </c>
      <c r="L40" s="95">
        <f>'Suivi EAU-ELEC'!I45</f>
        <v>3770</v>
      </c>
      <c r="M40" s="82">
        <f t="shared" si="4"/>
        <v>13002</v>
      </c>
      <c r="N40" s="58"/>
      <c r="O40" s="59">
        <f t="shared" si="5"/>
        <v>12871.98</v>
      </c>
      <c r="P40" s="57"/>
      <c r="Q40" s="55"/>
      <c r="R40" s="56"/>
      <c r="S40" s="55"/>
      <c r="T40" s="96"/>
      <c r="U40" s="60">
        <f>'Suivi Gaz'!O40</f>
        <v>371</v>
      </c>
      <c r="V40" s="58"/>
      <c r="W40" s="59">
        <f t="shared" si="6"/>
        <v>2946.9272000000001</v>
      </c>
      <c r="X40" s="65">
        <v>17356.61</v>
      </c>
      <c r="Y40" s="149">
        <f t="shared" si="1"/>
        <v>11.770000000000437</v>
      </c>
      <c r="Z40" s="64">
        <f t="shared" si="7"/>
        <v>6238.1000000002323</v>
      </c>
      <c r="AA40" s="58"/>
      <c r="AB40" s="84">
        <v>25</v>
      </c>
      <c r="AC40" s="78">
        <v>86</v>
      </c>
      <c r="AD40" s="79">
        <v>0.62319999999999998</v>
      </c>
      <c r="AE40" s="83">
        <v>29</v>
      </c>
      <c r="AF40" s="83">
        <v>29.5</v>
      </c>
      <c r="AG40" s="80">
        <v>27</v>
      </c>
      <c r="AH40" s="81">
        <v>28.5</v>
      </c>
      <c r="AI40" s="44"/>
      <c r="AJ40" s="131">
        <f t="shared" si="2"/>
        <v>27251.70720000023</v>
      </c>
      <c r="AK40" s="129">
        <f t="shared" si="3"/>
        <v>316.88031627907242</v>
      </c>
      <c r="AL40" s="74"/>
    </row>
    <row r="41" spans="1:38" ht="44.25" customHeight="1" thickBot="1" x14ac:dyDescent="0.25">
      <c r="A41" s="73"/>
      <c r="B41" s="100"/>
      <c r="C41" s="101"/>
      <c r="D41" s="148">
        <f>'Suivi EAU-ELEC'!C46</f>
        <v>0</v>
      </c>
      <c r="E41" s="102"/>
      <c r="F41" s="212">
        <f>SUM(F10:H40)</f>
        <v>143424.4</v>
      </c>
      <c r="G41" s="213"/>
      <c r="H41" s="214"/>
      <c r="I41" s="102"/>
      <c r="J41" s="104">
        <f>SUM(J10:J40)</f>
        <v>134144</v>
      </c>
      <c r="K41" s="104">
        <f>SUM(K10:K40)</f>
        <v>199936</v>
      </c>
      <c r="L41" s="104">
        <f>SUM(L10:L40)</f>
        <v>101607</v>
      </c>
      <c r="M41" s="104">
        <f>SUM(M10:M40)</f>
        <v>435687</v>
      </c>
      <c r="N41" s="103"/>
      <c r="O41" s="104">
        <f>SUM(O10:O40)</f>
        <v>431330.12999999989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SUM(U10:U40)</f>
        <v>7457.1</v>
      </c>
      <c r="V41" s="58"/>
      <c r="W41" s="104">
        <f>SUM(W10:W40)</f>
        <v>59233.236720000001</v>
      </c>
      <c r="X41" s="140">
        <v>17368.38</v>
      </c>
      <c r="Y41" s="104">
        <f>SUM(Y10:Y40)</f>
        <v>339.71000000000276</v>
      </c>
      <c r="Z41" s="104">
        <f>SUM(Z10:Z40)</f>
        <v>180046.3000000015</v>
      </c>
      <c r="AA41" s="102"/>
      <c r="AB41" s="106"/>
      <c r="AC41" s="134"/>
      <c r="AD41" s="133"/>
      <c r="AE41" s="135"/>
      <c r="AF41" s="132"/>
      <c r="AG41" s="141"/>
      <c r="AH41" s="107"/>
      <c r="AI41" s="63"/>
      <c r="AJ41" s="125">
        <f>SUM(AJ10:AJ38)</f>
        <v>759197.58320000127</v>
      </c>
      <c r="AK41" s="125">
        <f>SUM(AK10:AK38)</f>
        <v>29432.416905319573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15"/>
      <c r="G42" s="215"/>
      <c r="H42" s="215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7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180" t="s">
        <v>9</v>
      </c>
      <c r="B43" s="181"/>
      <c r="C43" s="182"/>
      <c r="D43" s="110" t="s">
        <v>6</v>
      </c>
      <c r="E43" s="111"/>
      <c r="F43" s="112">
        <v>0.64895000000000003</v>
      </c>
      <c r="G43" s="186">
        <f>J41</f>
        <v>134144</v>
      </c>
      <c r="H43" s="187"/>
      <c r="I43" s="188"/>
      <c r="J43" s="189">
        <f>G43*F43</f>
        <v>87052.748800000001</v>
      </c>
      <c r="K43" s="190"/>
      <c r="L43" s="191">
        <f>J43+J44+J45</f>
        <v>390385.67848</v>
      </c>
      <c r="M43" s="192"/>
      <c r="N43" s="192"/>
      <c r="O43" s="192"/>
      <c r="P43" s="192"/>
      <c r="Q43" s="192"/>
      <c r="R43" s="192"/>
      <c r="S43" s="192"/>
      <c r="T43" s="192"/>
      <c r="U43" s="193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183"/>
      <c r="B44" s="184"/>
      <c r="C44" s="185"/>
      <c r="D44" s="113" t="s">
        <v>7</v>
      </c>
      <c r="E44" s="111"/>
      <c r="F44" s="117">
        <v>0.88605</v>
      </c>
      <c r="G44" s="186">
        <f>K41</f>
        <v>199936</v>
      </c>
      <c r="H44" s="187"/>
      <c r="I44" s="188"/>
      <c r="J44" s="189">
        <f>G44*F44</f>
        <v>177153.2928</v>
      </c>
      <c r="K44" s="190"/>
      <c r="L44" s="194"/>
      <c r="M44" s="195"/>
      <c r="N44" s="195"/>
      <c r="O44" s="195"/>
      <c r="P44" s="195"/>
      <c r="Q44" s="195"/>
      <c r="R44" s="195"/>
      <c r="S44" s="195"/>
      <c r="T44" s="195"/>
      <c r="U44" s="196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183"/>
      <c r="B45" s="184"/>
      <c r="C45" s="185"/>
      <c r="D45" s="118" t="s">
        <v>8</v>
      </c>
      <c r="E45" s="119"/>
      <c r="F45" s="120">
        <v>1.2418400000000001</v>
      </c>
      <c r="G45" s="200">
        <f>L41</f>
        <v>101607</v>
      </c>
      <c r="H45" s="201"/>
      <c r="I45" s="202"/>
      <c r="J45" s="189">
        <f>G45*F45</f>
        <v>126179.63688000001</v>
      </c>
      <c r="K45" s="190"/>
      <c r="L45" s="197"/>
      <c r="M45" s="198"/>
      <c r="N45" s="198"/>
      <c r="O45" s="198"/>
      <c r="P45" s="198"/>
      <c r="Q45" s="198"/>
      <c r="R45" s="198"/>
      <c r="S45" s="198"/>
      <c r="T45" s="198"/>
      <c r="U45" s="199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163" t="s">
        <v>10</v>
      </c>
      <c r="B46" s="164"/>
      <c r="C46" s="164"/>
      <c r="D46" s="165"/>
      <c r="E46" s="111"/>
      <c r="F46" s="121">
        <v>12.67</v>
      </c>
      <c r="G46" s="163">
        <f>D41</f>
        <v>0</v>
      </c>
      <c r="H46" s="164"/>
      <c r="I46" s="165"/>
      <c r="J46" s="166">
        <f>G46*F46</f>
        <v>0</v>
      </c>
      <c r="K46" s="167"/>
      <c r="L46" s="168">
        <f>J46</f>
        <v>0</v>
      </c>
      <c r="M46" s="169"/>
      <c r="N46" s="169"/>
      <c r="O46" s="169"/>
      <c r="P46" s="169"/>
      <c r="Q46" s="169"/>
      <c r="R46" s="169"/>
      <c r="S46" s="169"/>
      <c r="T46" s="169"/>
      <c r="U46" s="170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171" t="s">
        <v>12</v>
      </c>
      <c r="B47" s="172"/>
      <c r="C47" s="172"/>
      <c r="D47" s="173"/>
      <c r="E47" s="111"/>
      <c r="F47" s="122">
        <v>7.9432</v>
      </c>
      <c r="G47" s="174">
        <f>U41</f>
        <v>7457.1</v>
      </c>
      <c r="H47" s="175"/>
      <c r="I47" s="176"/>
      <c r="J47" s="174">
        <f>G47*F47</f>
        <v>59233.236720000001</v>
      </c>
      <c r="K47" s="176"/>
      <c r="L47" s="177">
        <f>J47</f>
        <v>59233.236720000001</v>
      </c>
      <c r="M47" s="178"/>
      <c r="N47" s="178"/>
      <c r="O47" s="178"/>
      <c r="P47" s="178"/>
      <c r="Q47" s="178"/>
      <c r="R47" s="178"/>
      <c r="S47" s="178"/>
      <c r="T47" s="178"/>
      <c r="U47" s="179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A2:F2"/>
    <mergeCell ref="G2:AC2"/>
    <mergeCell ref="AD2:AE2"/>
    <mergeCell ref="A4:C5"/>
    <mergeCell ref="K5:AA7"/>
    <mergeCell ref="D7:J7"/>
    <mergeCell ref="A8:A9"/>
    <mergeCell ref="B8:B9"/>
    <mergeCell ref="D8:D9"/>
    <mergeCell ref="F8:H9"/>
    <mergeCell ref="M8:M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F12:H12"/>
    <mergeCell ref="Z8:Z9"/>
    <mergeCell ref="AA8:AA9"/>
    <mergeCell ref="AB8:AB9"/>
    <mergeCell ref="AC8:AC9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A43:C45"/>
    <mergeCell ref="G43:I43"/>
    <mergeCell ref="J43:K43"/>
    <mergeCell ref="L43:U45"/>
    <mergeCell ref="G44:I44"/>
    <mergeCell ref="J44:K44"/>
    <mergeCell ref="G45:I45"/>
    <mergeCell ref="J45:K45"/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38" activePane="bottomRight" state="frozen"/>
      <selection pane="topRight" activeCell="B1" sqref="B1"/>
      <selection pane="bottomLeft" activeCell="A4" sqref="A4"/>
      <selection pane="bottomRight" activeCell="B41" sqref="B41:H41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77"/>
      <c r="B1" s="277"/>
      <c r="C1" s="278"/>
      <c r="D1" s="279" t="s">
        <v>57</v>
      </c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1"/>
      <c r="AA1" s="282"/>
      <c r="AB1" s="283"/>
      <c r="AC1" s="283"/>
    </row>
    <row r="2" spans="1:31" ht="41.25" customHeight="1" thickBot="1" x14ac:dyDescent="0.4">
      <c r="A2" s="48"/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7"/>
      <c r="Q2" s="284">
        <v>803</v>
      </c>
      <c r="R2" s="285"/>
      <c r="S2" s="285"/>
      <c r="T2" s="285">
        <v>519</v>
      </c>
      <c r="U2" s="285"/>
      <c r="V2" s="285"/>
      <c r="W2" s="285">
        <v>800</v>
      </c>
      <c r="X2" s="285"/>
      <c r="Y2" s="285"/>
      <c r="Z2" s="285">
        <v>802</v>
      </c>
      <c r="AA2" s="285"/>
      <c r="AB2" s="288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44099</v>
      </c>
      <c r="B4" s="20">
        <v>50</v>
      </c>
      <c r="C4" s="18">
        <f t="shared" ref="C4:C7" si="0">IF(AC4&gt;0,((B4-R4)+(S4-B5)),IF(B5=0, ,(B4-B5)))</f>
        <v>0</v>
      </c>
      <c r="D4" s="20">
        <v>50</v>
      </c>
      <c r="E4" s="18">
        <f t="shared" ref="E4:E7" si="1">IF(AC4&gt;0,((D4-U4)+(V4-D5)),IF(D5=0, ,(D4-D5)))</f>
        <v>5</v>
      </c>
      <c r="F4" s="20">
        <v>48</v>
      </c>
      <c r="G4" s="18">
        <f t="shared" ref="G4:G7" si="2">IF(AC4&gt;0,((F4-X4)+(Y4-F5)),IF(F5=0, ,(F4-F5)))</f>
        <v>2</v>
      </c>
      <c r="H4" s="20">
        <v>54</v>
      </c>
      <c r="I4" s="18">
        <f t="shared" ref="I4:I11" si="3">IF(AC4&gt;0,((H4-AA4)+(AB4-H5)),IF(H5=0, ,(H4-H5)))</f>
        <v>9</v>
      </c>
      <c r="J4" s="18">
        <f t="shared" ref="J4:J11" si="4">B4+D4+F4+H4</f>
        <v>202</v>
      </c>
      <c r="K4" s="18">
        <f t="shared" ref="K4:K11" si="5">J4/4</f>
        <v>50.5</v>
      </c>
      <c r="L4" s="18">
        <f t="shared" ref="L4:L11" si="6">IF(AC4&gt;0,((K4-AD4)+(AE4-K5)),IF(K5=0, ,(K4-K5)))</f>
        <v>4</v>
      </c>
      <c r="M4" s="18">
        <f t="shared" ref="M4:M42" si="7">7000*4</f>
        <v>28000</v>
      </c>
      <c r="N4" s="18">
        <f t="shared" ref="N4:N11" si="8">L4*M4/100</f>
        <v>1120</v>
      </c>
      <c r="O4" s="18">
        <f t="shared" ref="O4:O11" si="9">N4*0.53</f>
        <v>593.6</v>
      </c>
      <c r="P4" s="21">
        <f t="shared" ref="P4:P9" si="10">O4*7.8338</f>
        <v>4650.1436800000001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1">(R4+U4+X4+AA4)/4</f>
        <v>0</v>
      </c>
      <c r="AE4" s="49">
        <f t="shared" ref="AE4:AE9" si="12">(S4+V4+Y4+AB4)/4</f>
        <v>0</v>
      </c>
    </row>
    <row r="5" spans="1:31" ht="32.25" customHeight="1" x14ac:dyDescent="0.3">
      <c r="A5" s="19">
        <f>(A4+1)</f>
        <v>44100</v>
      </c>
      <c r="B5" s="20">
        <v>50</v>
      </c>
      <c r="C5" s="18">
        <f t="shared" si="0"/>
        <v>2</v>
      </c>
      <c r="D5" s="20">
        <v>45</v>
      </c>
      <c r="E5" s="18">
        <f t="shared" si="1"/>
        <v>1</v>
      </c>
      <c r="F5" s="20">
        <v>46</v>
      </c>
      <c r="G5" s="18">
        <f t="shared" si="2"/>
        <v>4</v>
      </c>
      <c r="H5" s="20">
        <v>45</v>
      </c>
      <c r="I5" s="18">
        <f t="shared" si="3"/>
        <v>3</v>
      </c>
      <c r="J5" s="18">
        <f t="shared" si="4"/>
        <v>186</v>
      </c>
      <c r="K5" s="18">
        <f t="shared" si="5"/>
        <v>46.5</v>
      </c>
      <c r="L5" s="18">
        <f t="shared" si="6"/>
        <v>2.5</v>
      </c>
      <c r="M5" s="18">
        <f t="shared" si="7"/>
        <v>28000</v>
      </c>
      <c r="N5" s="18">
        <f t="shared" si="8"/>
        <v>700</v>
      </c>
      <c r="O5" s="18">
        <f t="shared" si="9"/>
        <v>371</v>
      </c>
      <c r="P5" s="21">
        <f t="shared" si="10"/>
        <v>2906.3398000000002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44101</v>
      </c>
      <c r="B6" s="20">
        <v>48</v>
      </c>
      <c r="C6" s="18">
        <f t="shared" si="0"/>
        <v>4</v>
      </c>
      <c r="D6" s="20">
        <v>44</v>
      </c>
      <c r="E6" s="18">
        <f t="shared" si="1"/>
        <v>2</v>
      </c>
      <c r="F6" s="20">
        <v>42</v>
      </c>
      <c r="G6" s="18">
        <f t="shared" si="2"/>
        <v>2</v>
      </c>
      <c r="H6" s="20">
        <v>42</v>
      </c>
      <c r="I6" s="18">
        <f t="shared" si="3"/>
        <v>2</v>
      </c>
      <c r="J6" s="18">
        <f t="shared" si="4"/>
        <v>176</v>
      </c>
      <c r="K6" s="18">
        <f t="shared" si="5"/>
        <v>44</v>
      </c>
      <c r="L6" s="18">
        <f t="shared" si="6"/>
        <v>2.5</v>
      </c>
      <c r="M6" s="18">
        <f t="shared" si="7"/>
        <v>28000</v>
      </c>
      <c r="N6" s="18">
        <f t="shared" si="8"/>
        <v>700</v>
      </c>
      <c r="O6" s="18">
        <f t="shared" si="9"/>
        <v>371</v>
      </c>
      <c r="P6" s="21">
        <f t="shared" si="10"/>
        <v>2906.3398000000002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44102</v>
      </c>
      <c r="B7" s="20">
        <v>44</v>
      </c>
      <c r="C7" s="18">
        <f t="shared" si="0"/>
        <v>4</v>
      </c>
      <c r="D7" s="20">
        <v>42</v>
      </c>
      <c r="E7" s="18">
        <f t="shared" si="1"/>
        <v>6</v>
      </c>
      <c r="F7" s="20">
        <v>40</v>
      </c>
      <c r="G7" s="18">
        <f t="shared" si="2"/>
        <v>5</v>
      </c>
      <c r="H7" s="20">
        <v>40</v>
      </c>
      <c r="I7" s="18">
        <f t="shared" si="3"/>
        <v>4</v>
      </c>
      <c r="J7" s="18">
        <f t="shared" si="4"/>
        <v>166</v>
      </c>
      <c r="K7" s="18">
        <f t="shared" si="5"/>
        <v>41.5</v>
      </c>
      <c r="L7" s="18">
        <f t="shared" si="6"/>
        <v>4.75</v>
      </c>
      <c r="M7" s="18">
        <f t="shared" si="7"/>
        <v>28000</v>
      </c>
      <c r="N7" s="18">
        <f t="shared" si="8"/>
        <v>1330</v>
      </c>
      <c r="O7" s="18">
        <f t="shared" si="9"/>
        <v>704.90000000000009</v>
      </c>
      <c r="P7" s="21">
        <f t="shared" si="10"/>
        <v>5522.0456200000008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44103</v>
      </c>
      <c r="B8" s="20">
        <v>40</v>
      </c>
      <c r="C8" s="18">
        <f>IF(AC8&gt;0,((B8-R8)+(S8-B9)),IF(B9=0, ,(B8-B9)))</f>
        <v>6</v>
      </c>
      <c r="D8" s="20">
        <v>36</v>
      </c>
      <c r="E8" s="18">
        <f>IF(AC8&gt;0,((D8-U8)+(V8-D9)),IF(D9=0, ,(D8-D9)))</f>
        <v>-4</v>
      </c>
      <c r="F8" s="20">
        <v>35</v>
      </c>
      <c r="G8" s="18">
        <f>IF(AC8&gt;0,((F8-X8)+(Y8-F9)),IF(F9=0, ,(F8-F9)))</f>
        <v>1</v>
      </c>
      <c r="H8" s="20">
        <v>36</v>
      </c>
      <c r="I8" s="18">
        <f t="shared" si="3"/>
        <v>1</v>
      </c>
      <c r="J8" s="18">
        <f t="shared" si="4"/>
        <v>147</v>
      </c>
      <c r="K8" s="18">
        <f t="shared" si="5"/>
        <v>36.75</v>
      </c>
      <c r="L8" s="18">
        <f t="shared" si="6"/>
        <v>1</v>
      </c>
      <c r="M8" s="18">
        <f t="shared" si="7"/>
        <v>28000</v>
      </c>
      <c r="N8" s="18">
        <f t="shared" si="8"/>
        <v>280</v>
      </c>
      <c r="O8" s="18">
        <f t="shared" si="9"/>
        <v>148.4</v>
      </c>
      <c r="P8" s="21">
        <f t="shared" si="10"/>
        <v>1162.53592</v>
      </c>
      <c r="Q8" s="18">
        <v>2862</v>
      </c>
      <c r="R8" s="18">
        <v>36</v>
      </c>
      <c r="S8" s="18">
        <v>76</v>
      </c>
      <c r="T8" s="18">
        <v>2618</v>
      </c>
      <c r="U8" s="18">
        <v>40</v>
      </c>
      <c r="V8" s="18">
        <v>72</v>
      </c>
      <c r="W8" s="18">
        <v>2614</v>
      </c>
      <c r="X8" s="18">
        <v>35</v>
      </c>
      <c r="Y8" s="18">
        <v>68</v>
      </c>
      <c r="Z8" s="18">
        <v>2598</v>
      </c>
      <c r="AA8" s="18">
        <v>36</v>
      </c>
      <c r="AB8" s="18">
        <v>69</v>
      </c>
      <c r="AC8" s="18">
        <f t="shared" si="13"/>
        <v>10692</v>
      </c>
      <c r="AD8" s="49">
        <f t="shared" si="11"/>
        <v>36.75</v>
      </c>
      <c r="AE8" s="49">
        <f t="shared" si="12"/>
        <v>71.25</v>
      </c>
    </row>
    <row r="9" spans="1:31" ht="32.25" customHeight="1" x14ac:dyDescent="0.3">
      <c r="A9" s="19">
        <f t="shared" si="14"/>
        <v>44104</v>
      </c>
      <c r="B9" s="20">
        <v>74</v>
      </c>
      <c r="C9" s="18">
        <f t="shared" ref="C9:C41" si="15">IF(AC9&gt;0,((B9-R9)+(S9-B10)),IF(B10=0, ,(B9-B10)))</f>
        <v>7</v>
      </c>
      <c r="D9" s="20">
        <v>72</v>
      </c>
      <c r="E9" s="18">
        <f t="shared" ref="E9:E41" si="16">IF(AC9&gt;0,((D9-U9)+(V9-D10)),IF(D10=0, ,(D9-D10)))</f>
        <v>4</v>
      </c>
      <c r="F9" s="20">
        <v>67</v>
      </c>
      <c r="G9" s="18">
        <f t="shared" ref="G9:G41" si="17">IF(AC9&gt;0,((F9-X9)+(Y9-F10)),IF(F10=0, ,(F9-F10)))</f>
        <v>3</v>
      </c>
      <c r="H9" s="20">
        <v>68</v>
      </c>
      <c r="I9" s="18">
        <f t="shared" si="3"/>
        <v>1</v>
      </c>
      <c r="J9" s="18">
        <f t="shared" si="4"/>
        <v>281</v>
      </c>
      <c r="K9" s="18">
        <f t="shared" si="5"/>
        <v>70.25</v>
      </c>
      <c r="L9" s="18">
        <f t="shared" si="6"/>
        <v>3.75</v>
      </c>
      <c r="M9" s="18">
        <f t="shared" si="7"/>
        <v>28000</v>
      </c>
      <c r="N9" s="18">
        <f t="shared" si="8"/>
        <v>1050</v>
      </c>
      <c r="O9" s="18">
        <f t="shared" si="9"/>
        <v>556.5</v>
      </c>
      <c r="P9" s="21">
        <f t="shared" si="10"/>
        <v>4359.5096999999996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44105</v>
      </c>
      <c r="B10" s="20">
        <v>67</v>
      </c>
      <c r="C10" s="18">
        <f t="shared" si="15"/>
        <v>2</v>
      </c>
      <c r="D10" s="20">
        <v>68</v>
      </c>
      <c r="E10" s="18">
        <f t="shared" si="16"/>
        <v>1</v>
      </c>
      <c r="F10" s="20">
        <v>64</v>
      </c>
      <c r="G10" s="18">
        <f t="shared" si="17"/>
        <v>2</v>
      </c>
      <c r="H10" s="20">
        <v>67</v>
      </c>
      <c r="I10" s="18">
        <f t="shared" si="3"/>
        <v>1</v>
      </c>
      <c r="J10" s="18">
        <f t="shared" si="4"/>
        <v>266</v>
      </c>
      <c r="K10" s="18">
        <f t="shared" si="5"/>
        <v>66.5</v>
      </c>
      <c r="L10" s="18">
        <f t="shared" si="6"/>
        <v>1.5</v>
      </c>
      <c r="M10" s="18">
        <f t="shared" si="7"/>
        <v>28000</v>
      </c>
      <c r="N10" s="18">
        <f t="shared" si="8"/>
        <v>420</v>
      </c>
      <c r="O10" s="18">
        <f t="shared" si="9"/>
        <v>222.60000000000002</v>
      </c>
      <c r="P10" s="21">
        <f>O10*7.9432</f>
        <v>1768.1563200000003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 t="shared" si="13"/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4"/>
        <v>44106</v>
      </c>
      <c r="B11" s="20">
        <v>65</v>
      </c>
      <c r="C11" s="18">
        <f t="shared" si="15"/>
        <v>1</v>
      </c>
      <c r="D11" s="20">
        <v>67</v>
      </c>
      <c r="E11" s="18">
        <f t="shared" si="16"/>
        <v>1</v>
      </c>
      <c r="F11" s="20">
        <v>62</v>
      </c>
      <c r="G11" s="18">
        <f t="shared" si="17"/>
        <v>1</v>
      </c>
      <c r="H11" s="20">
        <v>66</v>
      </c>
      <c r="I11" s="18">
        <f t="shared" si="3"/>
        <v>1</v>
      </c>
      <c r="J11" s="18">
        <f t="shared" si="4"/>
        <v>260</v>
      </c>
      <c r="K11" s="18">
        <f t="shared" si="5"/>
        <v>65</v>
      </c>
      <c r="L11" s="18">
        <f t="shared" si="6"/>
        <v>1</v>
      </c>
      <c r="M11" s="18">
        <f t="shared" si="7"/>
        <v>28000</v>
      </c>
      <c r="N11" s="18">
        <f t="shared" si="8"/>
        <v>280</v>
      </c>
      <c r="O11" s="18">
        <f t="shared" si="9"/>
        <v>148.4</v>
      </c>
      <c r="P11" s="21">
        <f t="shared" ref="P11:P43" si="18">O11*7.9432</f>
        <v>1178.77088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9">(R11+U11+X11+AA11)/4</f>
        <v>0</v>
      </c>
      <c r="AE11" s="49">
        <f t="shared" si="19"/>
        <v>0</v>
      </c>
    </row>
    <row r="12" spans="1:31" ht="32.25" customHeight="1" x14ac:dyDescent="0.3">
      <c r="A12" s="19">
        <f t="shared" si="14"/>
        <v>44107</v>
      </c>
      <c r="B12" s="20">
        <v>64</v>
      </c>
      <c r="C12" s="18">
        <f t="shared" si="15"/>
        <v>3</v>
      </c>
      <c r="D12" s="20">
        <v>66</v>
      </c>
      <c r="E12" s="18">
        <f t="shared" si="16"/>
        <v>2</v>
      </c>
      <c r="F12" s="20">
        <v>61</v>
      </c>
      <c r="G12" s="18">
        <f t="shared" si="17"/>
        <v>1</v>
      </c>
      <c r="H12" s="20">
        <v>65</v>
      </c>
      <c r="I12" s="18">
        <f t="shared" ref="I12:I17" si="20">IF(AC12&gt;0,((H12-AA12)+(AB12-H13)),IF(H13=0, ,(H12-H13)))</f>
        <v>4</v>
      </c>
      <c r="J12" s="18">
        <f t="shared" ref="J12:J42" si="21">B12+D12+F12+H12</f>
        <v>256</v>
      </c>
      <c r="K12" s="18">
        <f t="shared" ref="K12:K42" si="22">J12/4</f>
        <v>64</v>
      </c>
      <c r="L12" s="18">
        <f t="shared" ref="L12:L16" si="23">IF(AC12&gt;0,((K12-AD12)+(AE12-K13)),IF(K13=0, ,(K12-K13)))</f>
        <v>2.5</v>
      </c>
      <c r="M12" s="18">
        <f t="shared" si="7"/>
        <v>28000</v>
      </c>
      <c r="N12" s="18">
        <f t="shared" ref="N12:N15" si="24">L12*M12/100</f>
        <v>700</v>
      </c>
      <c r="O12" s="18">
        <f t="shared" ref="O12:O15" si="25">N12*0.53</f>
        <v>371</v>
      </c>
      <c r="P12" s="21">
        <f t="shared" si="18"/>
        <v>2946.9272000000001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si="13"/>
        <v>0</v>
      </c>
      <c r="AD12" s="49">
        <f t="shared" si="19"/>
        <v>0</v>
      </c>
      <c r="AE12" s="49">
        <f t="shared" si="19"/>
        <v>0</v>
      </c>
    </row>
    <row r="13" spans="1:31" ht="32.25" customHeight="1" x14ac:dyDescent="0.3">
      <c r="A13" s="19">
        <f t="shared" si="14"/>
        <v>44108</v>
      </c>
      <c r="B13" s="20">
        <v>61</v>
      </c>
      <c r="C13" s="18">
        <f t="shared" si="15"/>
        <v>1</v>
      </c>
      <c r="D13" s="20">
        <v>64</v>
      </c>
      <c r="E13" s="18">
        <f t="shared" si="16"/>
        <v>2</v>
      </c>
      <c r="F13" s="20">
        <v>60</v>
      </c>
      <c r="G13" s="18">
        <f t="shared" si="17"/>
        <v>0</v>
      </c>
      <c r="H13" s="20">
        <v>61</v>
      </c>
      <c r="I13" s="18">
        <f t="shared" si="20"/>
        <v>0</v>
      </c>
      <c r="J13" s="18">
        <f t="shared" si="21"/>
        <v>246</v>
      </c>
      <c r="K13" s="18">
        <f t="shared" si="22"/>
        <v>61.5</v>
      </c>
      <c r="L13" s="18">
        <f t="shared" si="23"/>
        <v>0.75</v>
      </c>
      <c r="M13" s="18">
        <f t="shared" si="7"/>
        <v>28000</v>
      </c>
      <c r="N13" s="18">
        <f t="shared" si="24"/>
        <v>210</v>
      </c>
      <c r="O13" s="18">
        <f t="shared" si="25"/>
        <v>111.30000000000001</v>
      </c>
      <c r="P13" s="21">
        <f t="shared" si="18"/>
        <v>884.07816000000014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13"/>
        <v>0</v>
      </c>
      <c r="AD13" s="49">
        <f t="shared" si="19"/>
        <v>0</v>
      </c>
      <c r="AE13" s="49">
        <f t="shared" si="19"/>
        <v>0</v>
      </c>
    </row>
    <row r="14" spans="1:31" ht="32.25" customHeight="1" x14ac:dyDescent="0.3">
      <c r="A14" s="19">
        <f t="shared" si="14"/>
        <v>44109</v>
      </c>
      <c r="B14" s="20">
        <v>60</v>
      </c>
      <c r="C14" s="18">
        <f t="shared" si="15"/>
        <v>0</v>
      </c>
      <c r="D14" s="20">
        <v>62</v>
      </c>
      <c r="E14" s="18">
        <f t="shared" si="16"/>
        <v>0</v>
      </c>
      <c r="F14" s="20">
        <v>60</v>
      </c>
      <c r="G14" s="18">
        <f t="shared" si="17"/>
        <v>2</v>
      </c>
      <c r="H14" s="20">
        <v>61</v>
      </c>
      <c r="I14" s="18">
        <f t="shared" si="20"/>
        <v>1</v>
      </c>
      <c r="J14" s="18">
        <f t="shared" si="21"/>
        <v>243</v>
      </c>
      <c r="K14" s="18">
        <f t="shared" si="22"/>
        <v>60.75</v>
      </c>
      <c r="L14" s="18">
        <f t="shared" si="23"/>
        <v>0.75</v>
      </c>
      <c r="M14" s="18">
        <f t="shared" si="7"/>
        <v>28000</v>
      </c>
      <c r="N14" s="18">
        <f t="shared" si="24"/>
        <v>210</v>
      </c>
      <c r="O14" s="18">
        <f t="shared" si="25"/>
        <v>111.30000000000001</v>
      </c>
      <c r="P14" s="21">
        <f t="shared" si="18"/>
        <v>884.07816000000014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26">(R14+U14+X14+AA14)/4</f>
        <v>0</v>
      </c>
      <c r="AE14" s="49">
        <f t="shared" ref="AE14:AE42" si="27">(S14+V14+Y14+AB14)/4</f>
        <v>0</v>
      </c>
    </row>
    <row r="15" spans="1:31" ht="32.25" customHeight="1" x14ac:dyDescent="0.3">
      <c r="A15" s="19">
        <f t="shared" si="14"/>
        <v>44110</v>
      </c>
      <c r="B15" s="20">
        <v>60</v>
      </c>
      <c r="C15" s="18">
        <f t="shared" si="15"/>
        <v>0</v>
      </c>
      <c r="D15" s="20">
        <v>62</v>
      </c>
      <c r="E15" s="18">
        <f t="shared" si="16"/>
        <v>0</v>
      </c>
      <c r="F15" s="20">
        <v>58</v>
      </c>
      <c r="G15" s="18">
        <f t="shared" si="17"/>
        <v>2</v>
      </c>
      <c r="H15" s="20">
        <v>60</v>
      </c>
      <c r="I15" s="18">
        <f t="shared" si="20"/>
        <v>0</v>
      </c>
      <c r="J15" s="18">
        <f t="shared" si="21"/>
        <v>240</v>
      </c>
      <c r="K15" s="18">
        <f t="shared" si="22"/>
        <v>60</v>
      </c>
      <c r="L15" s="18">
        <f t="shared" si="23"/>
        <v>0.5</v>
      </c>
      <c r="M15" s="18">
        <f t="shared" si="7"/>
        <v>28000</v>
      </c>
      <c r="N15" s="18">
        <f t="shared" si="24"/>
        <v>140</v>
      </c>
      <c r="O15" s="18">
        <f t="shared" si="25"/>
        <v>74.2</v>
      </c>
      <c r="P15" s="21">
        <f t="shared" si="18"/>
        <v>589.38544000000002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26"/>
        <v>0</v>
      </c>
      <c r="AE15" s="49">
        <f t="shared" si="27"/>
        <v>0</v>
      </c>
    </row>
    <row r="16" spans="1:31" ht="32.25" customHeight="1" x14ac:dyDescent="0.3">
      <c r="A16" s="19">
        <f t="shared" si="14"/>
        <v>44111</v>
      </c>
      <c r="B16" s="20">
        <v>60</v>
      </c>
      <c r="C16" s="18">
        <f t="shared" si="15"/>
        <v>2</v>
      </c>
      <c r="D16" s="20">
        <v>62</v>
      </c>
      <c r="E16" s="18">
        <f t="shared" si="16"/>
        <v>2</v>
      </c>
      <c r="F16" s="20">
        <v>56</v>
      </c>
      <c r="G16" s="18">
        <f t="shared" si="17"/>
        <v>1</v>
      </c>
      <c r="H16" s="20">
        <v>60</v>
      </c>
      <c r="I16" s="18">
        <f t="shared" si="20"/>
        <v>0</v>
      </c>
      <c r="J16" s="18">
        <f t="shared" si="21"/>
        <v>238</v>
      </c>
      <c r="K16" s="18">
        <f t="shared" si="22"/>
        <v>59.5</v>
      </c>
      <c r="L16" s="18">
        <f t="shared" si="23"/>
        <v>1.25</v>
      </c>
      <c r="M16" s="18">
        <f t="shared" si="7"/>
        <v>28000</v>
      </c>
      <c r="N16" s="18">
        <f t="shared" ref="N16:N42" si="28">L16*M16/100</f>
        <v>350</v>
      </c>
      <c r="O16" s="18">
        <f t="shared" ref="O16:O42" si="29">N16*0.53</f>
        <v>185.5</v>
      </c>
      <c r="P16" s="21">
        <f t="shared" si="18"/>
        <v>1473.4636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26"/>
        <v>0</v>
      </c>
      <c r="AE16" s="49">
        <f t="shared" si="27"/>
        <v>0</v>
      </c>
    </row>
    <row r="17" spans="1:31" ht="32.25" customHeight="1" x14ac:dyDescent="0.3">
      <c r="A17" s="19">
        <f t="shared" si="14"/>
        <v>44112</v>
      </c>
      <c r="B17" s="20">
        <v>58</v>
      </c>
      <c r="C17" s="18">
        <f t="shared" si="15"/>
        <v>2</v>
      </c>
      <c r="D17" s="20">
        <v>60</v>
      </c>
      <c r="E17" s="18">
        <f t="shared" si="16"/>
        <v>0</v>
      </c>
      <c r="F17" s="20">
        <v>55</v>
      </c>
      <c r="G17" s="18">
        <f t="shared" si="17"/>
        <v>3</v>
      </c>
      <c r="H17" s="20">
        <v>60</v>
      </c>
      <c r="I17" s="18">
        <f t="shared" si="20"/>
        <v>2</v>
      </c>
      <c r="J17" s="18">
        <f t="shared" si="21"/>
        <v>233</v>
      </c>
      <c r="K17" s="18">
        <f t="shared" si="22"/>
        <v>58.25</v>
      </c>
      <c r="L17" s="18">
        <f t="shared" ref="L17:L42" si="30">IF(AC17&gt;0,((K17-AD17)+(AE17-K18)),IF(K18=0, ,(K17-K18)))</f>
        <v>1.75</v>
      </c>
      <c r="M17" s="18">
        <f t="shared" si="7"/>
        <v>28000</v>
      </c>
      <c r="N17" s="18">
        <f t="shared" si="28"/>
        <v>490</v>
      </c>
      <c r="O17" s="18">
        <f t="shared" si="29"/>
        <v>259.7</v>
      </c>
      <c r="P17" s="21">
        <f t="shared" si="18"/>
        <v>2062.8490400000001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26"/>
        <v>0</v>
      </c>
      <c r="AE17" s="49">
        <f t="shared" si="27"/>
        <v>0</v>
      </c>
    </row>
    <row r="18" spans="1:31" ht="32.25" customHeight="1" x14ac:dyDescent="0.3">
      <c r="A18" s="19">
        <f t="shared" si="14"/>
        <v>44113</v>
      </c>
      <c r="B18" s="20">
        <v>56</v>
      </c>
      <c r="C18" s="18">
        <f t="shared" si="15"/>
        <v>1</v>
      </c>
      <c r="D18" s="20">
        <v>60</v>
      </c>
      <c r="E18" s="18">
        <f t="shared" si="16"/>
        <v>2</v>
      </c>
      <c r="F18" s="20">
        <v>52</v>
      </c>
      <c r="G18" s="18">
        <f t="shared" si="17"/>
        <v>0</v>
      </c>
      <c r="H18" s="20">
        <v>58</v>
      </c>
      <c r="I18" s="18">
        <f t="shared" ref="I18:I42" si="31">IF(AC18&gt;0,((H18-AA18)+(AB18-H19)),IF(H19=0, ,(H18-H19)))</f>
        <v>2</v>
      </c>
      <c r="J18" s="18">
        <f t="shared" si="21"/>
        <v>226</v>
      </c>
      <c r="K18" s="18">
        <f t="shared" si="22"/>
        <v>56.5</v>
      </c>
      <c r="L18" s="18">
        <f t="shared" si="30"/>
        <v>1.25</v>
      </c>
      <c r="M18" s="18">
        <f t="shared" si="7"/>
        <v>28000</v>
      </c>
      <c r="N18" s="18">
        <f t="shared" si="28"/>
        <v>350</v>
      </c>
      <c r="O18" s="18">
        <f t="shared" si="29"/>
        <v>185.5</v>
      </c>
      <c r="P18" s="21">
        <f t="shared" si="18"/>
        <v>1473.4636</v>
      </c>
      <c r="Q18" s="18">
        <v>2404</v>
      </c>
      <c r="R18" s="18">
        <v>55</v>
      </c>
      <c r="S18" s="18">
        <v>85</v>
      </c>
      <c r="T18" s="18">
        <v>2403</v>
      </c>
      <c r="U18" s="18">
        <v>58</v>
      </c>
      <c r="V18" s="18">
        <v>85</v>
      </c>
      <c r="W18" s="18">
        <v>2602</v>
      </c>
      <c r="X18" s="18">
        <v>52</v>
      </c>
      <c r="Y18" s="18">
        <v>85</v>
      </c>
      <c r="Z18" s="18">
        <v>2465</v>
      </c>
      <c r="AA18" s="18">
        <v>56</v>
      </c>
      <c r="AB18" s="18">
        <v>85</v>
      </c>
      <c r="AC18" s="18">
        <f t="shared" si="13"/>
        <v>9874</v>
      </c>
      <c r="AD18" s="49">
        <f t="shared" si="26"/>
        <v>55.25</v>
      </c>
      <c r="AE18" s="49">
        <f t="shared" si="27"/>
        <v>85</v>
      </c>
    </row>
    <row r="19" spans="1:31" ht="32.25" customHeight="1" x14ac:dyDescent="0.3">
      <c r="A19" s="19">
        <f t="shared" si="14"/>
        <v>44114</v>
      </c>
      <c r="B19" s="20">
        <v>85</v>
      </c>
      <c r="C19" s="18">
        <f t="shared" si="15"/>
        <v>0</v>
      </c>
      <c r="D19" s="20">
        <v>85</v>
      </c>
      <c r="E19" s="18">
        <f t="shared" si="16"/>
        <v>0</v>
      </c>
      <c r="F19" s="20">
        <v>85</v>
      </c>
      <c r="G19" s="18">
        <f t="shared" si="17"/>
        <v>1</v>
      </c>
      <c r="H19" s="20">
        <v>85</v>
      </c>
      <c r="I19" s="18">
        <f t="shared" si="31"/>
        <v>0</v>
      </c>
      <c r="J19" s="18">
        <f t="shared" si="21"/>
        <v>340</v>
      </c>
      <c r="K19" s="18">
        <f t="shared" si="22"/>
        <v>85</v>
      </c>
      <c r="L19" s="18">
        <f t="shared" si="30"/>
        <v>0.25</v>
      </c>
      <c r="M19" s="18">
        <f t="shared" si="7"/>
        <v>28000</v>
      </c>
      <c r="N19" s="18">
        <f t="shared" si="28"/>
        <v>70</v>
      </c>
      <c r="O19" s="18">
        <f t="shared" si="29"/>
        <v>37.1</v>
      </c>
      <c r="P19" s="21">
        <f t="shared" si="18"/>
        <v>294.69272000000001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3"/>
        <v>0</v>
      </c>
      <c r="AD19" s="49">
        <f t="shared" si="26"/>
        <v>0</v>
      </c>
      <c r="AE19" s="49">
        <f t="shared" si="27"/>
        <v>0</v>
      </c>
    </row>
    <row r="20" spans="1:31" ht="32.25" customHeight="1" x14ac:dyDescent="0.3">
      <c r="A20" s="19">
        <f t="shared" si="14"/>
        <v>44115</v>
      </c>
      <c r="B20" s="20">
        <v>85</v>
      </c>
      <c r="C20" s="18">
        <f t="shared" si="15"/>
        <v>1</v>
      </c>
      <c r="D20" s="20">
        <v>85</v>
      </c>
      <c r="E20" s="18">
        <f t="shared" si="16"/>
        <v>0</v>
      </c>
      <c r="F20" s="20">
        <v>84</v>
      </c>
      <c r="G20" s="18">
        <f t="shared" si="17"/>
        <v>3</v>
      </c>
      <c r="H20" s="20">
        <v>85</v>
      </c>
      <c r="I20" s="18">
        <f t="shared" si="31"/>
        <v>1</v>
      </c>
      <c r="J20" s="18">
        <f t="shared" si="21"/>
        <v>339</v>
      </c>
      <c r="K20" s="18">
        <f t="shared" si="22"/>
        <v>84.75</v>
      </c>
      <c r="L20" s="18">
        <f t="shared" si="30"/>
        <v>1.25</v>
      </c>
      <c r="M20" s="18">
        <f t="shared" si="7"/>
        <v>28000</v>
      </c>
      <c r="N20" s="18">
        <f t="shared" si="28"/>
        <v>350</v>
      </c>
      <c r="O20" s="18">
        <f t="shared" si="29"/>
        <v>185.5</v>
      </c>
      <c r="P20" s="21">
        <f t="shared" si="18"/>
        <v>1473.4636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26"/>
        <v>0</v>
      </c>
      <c r="AE20" s="49">
        <f t="shared" si="27"/>
        <v>0</v>
      </c>
    </row>
    <row r="21" spans="1:31" ht="32.25" customHeight="1" x14ac:dyDescent="0.3">
      <c r="A21" s="19">
        <f t="shared" si="14"/>
        <v>44116</v>
      </c>
      <c r="B21" s="20">
        <v>84</v>
      </c>
      <c r="C21" s="18">
        <f t="shared" si="15"/>
        <v>4</v>
      </c>
      <c r="D21" s="20">
        <v>85</v>
      </c>
      <c r="E21" s="18">
        <f t="shared" si="16"/>
        <v>3</v>
      </c>
      <c r="F21" s="20">
        <v>81</v>
      </c>
      <c r="G21" s="18">
        <f t="shared" si="17"/>
        <v>2</v>
      </c>
      <c r="H21" s="20">
        <v>84</v>
      </c>
      <c r="I21" s="18">
        <f t="shared" si="31"/>
        <v>3</v>
      </c>
      <c r="J21" s="18">
        <f t="shared" si="21"/>
        <v>334</v>
      </c>
      <c r="K21" s="18">
        <f t="shared" si="22"/>
        <v>83.5</v>
      </c>
      <c r="L21" s="18">
        <f t="shared" si="30"/>
        <v>3</v>
      </c>
      <c r="M21" s="18">
        <f t="shared" si="7"/>
        <v>28000</v>
      </c>
      <c r="N21" s="18">
        <f t="shared" si="28"/>
        <v>840</v>
      </c>
      <c r="O21" s="18">
        <f t="shared" si="29"/>
        <v>445.20000000000005</v>
      </c>
      <c r="P21" s="21">
        <f t="shared" si="18"/>
        <v>3536.3126400000006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26"/>
        <v>0</v>
      </c>
      <c r="AE21" s="49">
        <f t="shared" si="27"/>
        <v>0</v>
      </c>
    </row>
    <row r="22" spans="1:31" ht="32.25" customHeight="1" x14ac:dyDescent="0.3">
      <c r="A22" s="19">
        <f t="shared" si="14"/>
        <v>44117</v>
      </c>
      <c r="B22" s="20">
        <v>80</v>
      </c>
      <c r="C22" s="18">
        <f t="shared" si="15"/>
        <v>0</v>
      </c>
      <c r="D22" s="20">
        <v>82</v>
      </c>
      <c r="E22" s="18">
        <f t="shared" si="16"/>
        <v>2</v>
      </c>
      <c r="F22" s="20">
        <v>79</v>
      </c>
      <c r="G22" s="18">
        <f t="shared" si="17"/>
        <v>4</v>
      </c>
      <c r="H22" s="20">
        <v>81</v>
      </c>
      <c r="I22" s="18">
        <f t="shared" si="31"/>
        <v>0</v>
      </c>
      <c r="J22" s="18">
        <f t="shared" si="21"/>
        <v>322</v>
      </c>
      <c r="K22" s="18">
        <f t="shared" si="22"/>
        <v>80.5</v>
      </c>
      <c r="L22" s="18">
        <f t="shared" si="30"/>
        <v>1.5</v>
      </c>
      <c r="M22" s="18">
        <f t="shared" si="7"/>
        <v>28000</v>
      </c>
      <c r="N22" s="18">
        <f t="shared" si="28"/>
        <v>420</v>
      </c>
      <c r="O22" s="18">
        <f t="shared" si="29"/>
        <v>222.60000000000002</v>
      </c>
      <c r="P22" s="21">
        <f t="shared" si="18"/>
        <v>1768.1563200000003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26"/>
        <v>0</v>
      </c>
      <c r="AE22" s="49">
        <f t="shared" si="27"/>
        <v>0</v>
      </c>
    </row>
    <row r="23" spans="1:31" ht="32.25" customHeight="1" x14ac:dyDescent="0.3">
      <c r="A23" s="19">
        <f t="shared" si="14"/>
        <v>44118</v>
      </c>
      <c r="B23" s="20">
        <v>80</v>
      </c>
      <c r="C23" s="18">
        <f t="shared" si="15"/>
        <v>2</v>
      </c>
      <c r="D23" s="20">
        <v>80</v>
      </c>
      <c r="E23" s="18">
        <f t="shared" si="16"/>
        <v>1</v>
      </c>
      <c r="F23" s="20">
        <v>75</v>
      </c>
      <c r="G23" s="18">
        <f t="shared" si="17"/>
        <v>0</v>
      </c>
      <c r="H23" s="20">
        <v>81</v>
      </c>
      <c r="I23" s="18">
        <f t="shared" si="31"/>
        <v>0</v>
      </c>
      <c r="J23" s="18">
        <f t="shared" si="21"/>
        <v>316</v>
      </c>
      <c r="K23" s="18">
        <f t="shared" si="22"/>
        <v>79</v>
      </c>
      <c r="L23" s="18">
        <f t="shared" si="30"/>
        <v>0.75</v>
      </c>
      <c r="M23" s="18">
        <f t="shared" si="7"/>
        <v>28000</v>
      </c>
      <c r="N23" s="18">
        <f t="shared" si="28"/>
        <v>210</v>
      </c>
      <c r="O23" s="18">
        <f t="shared" si="29"/>
        <v>111.30000000000001</v>
      </c>
      <c r="P23" s="21">
        <f t="shared" si="18"/>
        <v>884.07816000000014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26"/>
        <v>0</v>
      </c>
      <c r="AE23" s="49">
        <f t="shared" si="27"/>
        <v>0</v>
      </c>
    </row>
    <row r="24" spans="1:31" ht="32.25" customHeight="1" x14ac:dyDescent="0.3">
      <c r="A24" s="19">
        <f t="shared" si="14"/>
        <v>44119</v>
      </c>
      <c r="B24" s="20">
        <v>78</v>
      </c>
      <c r="C24" s="18">
        <f t="shared" si="15"/>
        <v>2</v>
      </c>
      <c r="D24" s="20">
        <v>79</v>
      </c>
      <c r="E24" s="18">
        <f t="shared" si="16"/>
        <v>1</v>
      </c>
      <c r="F24" s="20">
        <v>75</v>
      </c>
      <c r="G24" s="18">
        <f t="shared" si="17"/>
        <v>0</v>
      </c>
      <c r="H24" s="20">
        <v>81</v>
      </c>
      <c r="I24" s="18">
        <f t="shared" si="31"/>
        <v>0</v>
      </c>
      <c r="J24" s="18">
        <f t="shared" si="21"/>
        <v>313</v>
      </c>
      <c r="K24" s="18">
        <f t="shared" si="22"/>
        <v>78.25</v>
      </c>
      <c r="L24" s="18">
        <f t="shared" si="30"/>
        <v>0.75</v>
      </c>
      <c r="M24" s="18">
        <f t="shared" si="7"/>
        <v>28000</v>
      </c>
      <c r="N24" s="18">
        <f t="shared" si="28"/>
        <v>210</v>
      </c>
      <c r="O24" s="18">
        <f t="shared" si="29"/>
        <v>111.30000000000001</v>
      </c>
      <c r="P24" s="21">
        <f t="shared" si="18"/>
        <v>884.07816000000014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26"/>
        <v>0</v>
      </c>
      <c r="AE24" s="49">
        <f t="shared" si="27"/>
        <v>0</v>
      </c>
    </row>
    <row r="25" spans="1:31" ht="32.25" customHeight="1" x14ac:dyDescent="0.3">
      <c r="A25" s="19">
        <f t="shared" si="14"/>
        <v>44120</v>
      </c>
      <c r="B25" s="20">
        <v>76</v>
      </c>
      <c r="C25" s="18">
        <f t="shared" si="15"/>
        <v>1</v>
      </c>
      <c r="D25" s="20">
        <v>78</v>
      </c>
      <c r="E25" s="18">
        <f t="shared" si="16"/>
        <v>3</v>
      </c>
      <c r="F25" s="20">
        <v>75</v>
      </c>
      <c r="G25" s="18">
        <f t="shared" si="17"/>
        <v>4</v>
      </c>
      <c r="H25" s="20">
        <v>81</v>
      </c>
      <c r="I25" s="18">
        <f t="shared" si="31"/>
        <v>5</v>
      </c>
      <c r="J25" s="18">
        <f t="shared" si="21"/>
        <v>310</v>
      </c>
      <c r="K25" s="18">
        <f t="shared" si="22"/>
        <v>77.5</v>
      </c>
      <c r="L25" s="18">
        <f t="shared" si="30"/>
        <v>3.25</v>
      </c>
      <c r="M25" s="18">
        <f t="shared" si="7"/>
        <v>28000</v>
      </c>
      <c r="N25" s="18">
        <f t="shared" si="28"/>
        <v>910</v>
      </c>
      <c r="O25" s="18">
        <f t="shared" si="29"/>
        <v>482.3</v>
      </c>
      <c r="P25" s="21">
        <f t="shared" si="18"/>
        <v>3831.0053600000001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26"/>
        <v>0</v>
      </c>
      <c r="AE25" s="49">
        <f t="shared" si="27"/>
        <v>0</v>
      </c>
    </row>
    <row r="26" spans="1:31" ht="32.25" customHeight="1" x14ac:dyDescent="0.3">
      <c r="A26" s="19">
        <f t="shared" si="14"/>
        <v>44121</v>
      </c>
      <c r="B26" s="20">
        <v>75</v>
      </c>
      <c r="C26" s="18">
        <f t="shared" si="15"/>
        <v>0</v>
      </c>
      <c r="D26" s="20">
        <v>75</v>
      </c>
      <c r="E26" s="18">
        <f t="shared" si="16"/>
        <v>0</v>
      </c>
      <c r="F26" s="20">
        <v>71</v>
      </c>
      <c r="G26" s="18">
        <f t="shared" si="17"/>
        <v>1</v>
      </c>
      <c r="H26" s="20">
        <v>76</v>
      </c>
      <c r="I26" s="18">
        <f t="shared" si="31"/>
        <v>4</v>
      </c>
      <c r="J26" s="18">
        <f t="shared" si="21"/>
        <v>297</v>
      </c>
      <c r="K26" s="18">
        <f t="shared" si="22"/>
        <v>74.25</v>
      </c>
      <c r="L26" s="18">
        <f t="shared" si="30"/>
        <v>1.25</v>
      </c>
      <c r="M26" s="18">
        <f t="shared" si="7"/>
        <v>28000</v>
      </c>
      <c r="N26" s="18">
        <f t="shared" si="28"/>
        <v>350</v>
      </c>
      <c r="O26" s="18">
        <f t="shared" si="29"/>
        <v>185.5</v>
      </c>
      <c r="P26" s="21">
        <f t="shared" si="18"/>
        <v>1473.4636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3"/>
        <v>0</v>
      </c>
      <c r="AD26" s="49">
        <f t="shared" si="26"/>
        <v>0</v>
      </c>
      <c r="AE26" s="49">
        <f t="shared" si="27"/>
        <v>0</v>
      </c>
    </row>
    <row r="27" spans="1:31" ht="32.25" customHeight="1" x14ac:dyDescent="0.3">
      <c r="A27" s="19">
        <f t="shared" si="14"/>
        <v>44122</v>
      </c>
      <c r="B27" s="20">
        <v>75</v>
      </c>
      <c r="C27" s="18">
        <f t="shared" si="15"/>
        <v>4</v>
      </c>
      <c r="D27" s="20">
        <v>75</v>
      </c>
      <c r="E27" s="18">
        <f t="shared" si="16"/>
        <v>2</v>
      </c>
      <c r="F27" s="20">
        <v>70</v>
      </c>
      <c r="G27" s="18">
        <f t="shared" si="17"/>
        <v>2</v>
      </c>
      <c r="H27" s="20">
        <v>72</v>
      </c>
      <c r="I27" s="18">
        <f t="shared" si="31"/>
        <v>2</v>
      </c>
      <c r="J27" s="18">
        <f t="shared" si="21"/>
        <v>292</v>
      </c>
      <c r="K27" s="18">
        <f t="shared" si="22"/>
        <v>73</v>
      </c>
      <c r="L27" s="18">
        <f t="shared" si="30"/>
        <v>2.5</v>
      </c>
      <c r="M27" s="18">
        <f t="shared" si="7"/>
        <v>28000</v>
      </c>
      <c r="N27" s="18">
        <f t="shared" si="28"/>
        <v>700</v>
      </c>
      <c r="O27" s="18">
        <f t="shared" si="29"/>
        <v>371</v>
      </c>
      <c r="P27" s="21">
        <f t="shared" si="18"/>
        <v>2946.9272000000001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26"/>
        <v>0</v>
      </c>
      <c r="AE27" s="49">
        <f t="shared" si="27"/>
        <v>0</v>
      </c>
    </row>
    <row r="28" spans="1:31" ht="32.25" customHeight="1" x14ac:dyDescent="0.3">
      <c r="A28" s="19">
        <f t="shared" si="14"/>
        <v>44123</v>
      </c>
      <c r="B28" s="20">
        <v>71</v>
      </c>
      <c r="C28" s="18">
        <f t="shared" si="15"/>
        <v>2</v>
      </c>
      <c r="D28" s="20">
        <v>73</v>
      </c>
      <c r="E28" s="18">
        <f t="shared" si="16"/>
        <v>2</v>
      </c>
      <c r="F28" s="20">
        <v>68</v>
      </c>
      <c r="G28" s="18">
        <f t="shared" si="17"/>
        <v>3</v>
      </c>
      <c r="H28" s="20">
        <v>70</v>
      </c>
      <c r="I28" s="18">
        <f t="shared" si="31"/>
        <v>2</v>
      </c>
      <c r="J28" s="18">
        <f t="shared" si="21"/>
        <v>282</v>
      </c>
      <c r="K28" s="18">
        <f t="shared" si="22"/>
        <v>70.5</v>
      </c>
      <c r="L28" s="18">
        <f t="shared" si="30"/>
        <v>2.25</v>
      </c>
      <c r="M28" s="18">
        <f t="shared" si="7"/>
        <v>28000</v>
      </c>
      <c r="N28" s="18">
        <f t="shared" si="28"/>
        <v>630</v>
      </c>
      <c r="O28" s="18">
        <f t="shared" si="29"/>
        <v>333.90000000000003</v>
      </c>
      <c r="P28" s="21">
        <f t="shared" si="18"/>
        <v>2652.2344800000001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26"/>
        <v>0</v>
      </c>
      <c r="AE28" s="49">
        <f t="shared" si="27"/>
        <v>0</v>
      </c>
    </row>
    <row r="29" spans="1:31" ht="32.25" customHeight="1" x14ac:dyDescent="0.3">
      <c r="A29" s="19">
        <f t="shared" si="14"/>
        <v>44124</v>
      </c>
      <c r="B29" s="20">
        <v>69</v>
      </c>
      <c r="C29" s="18">
        <f t="shared" si="15"/>
        <v>1</v>
      </c>
      <c r="D29" s="20">
        <v>71</v>
      </c>
      <c r="E29" s="18">
        <f t="shared" si="16"/>
        <v>1</v>
      </c>
      <c r="F29" s="20">
        <v>65</v>
      </c>
      <c r="G29" s="18">
        <f t="shared" si="17"/>
        <v>0</v>
      </c>
      <c r="H29" s="20">
        <v>68</v>
      </c>
      <c r="I29" s="18">
        <f t="shared" si="31"/>
        <v>2</v>
      </c>
      <c r="J29" s="18">
        <f t="shared" si="21"/>
        <v>273</v>
      </c>
      <c r="K29" s="18">
        <f t="shared" si="22"/>
        <v>68.25</v>
      </c>
      <c r="L29" s="18">
        <f t="shared" si="30"/>
        <v>1</v>
      </c>
      <c r="M29" s="18">
        <f t="shared" si="7"/>
        <v>28000</v>
      </c>
      <c r="N29" s="18">
        <f t="shared" si="28"/>
        <v>280</v>
      </c>
      <c r="O29" s="18">
        <f t="shared" si="29"/>
        <v>148.4</v>
      </c>
      <c r="P29" s="21">
        <f t="shared" si="18"/>
        <v>1178.77088</v>
      </c>
      <c r="Q29" s="18">
        <v>1211</v>
      </c>
      <c r="R29" s="18">
        <v>68</v>
      </c>
      <c r="S29" s="18">
        <v>85</v>
      </c>
      <c r="T29" s="18">
        <v>1049</v>
      </c>
      <c r="U29" s="18">
        <v>70</v>
      </c>
      <c r="V29" s="18">
        <v>85</v>
      </c>
      <c r="W29" s="18">
        <v>1874</v>
      </c>
      <c r="X29" s="18">
        <v>65</v>
      </c>
      <c r="Y29" s="18">
        <v>85</v>
      </c>
      <c r="Z29" s="18">
        <v>1543</v>
      </c>
      <c r="AA29" s="18">
        <v>66</v>
      </c>
      <c r="AB29" s="18">
        <v>85</v>
      </c>
      <c r="AC29" s="18">
        <f t="shared" si="13"/>
        <v>5677</v>
      </c>
      <c r="AD29" s="49">
        <f t="shared" si="26"/>
        <v>67.25</v>
      </c>
      <c r="AE29" s="49">
        <f t="shared" si="27"/>
        <v>85</v>
      </c>
    </row>
    <row r="30" spans="1:31" ht="32.25" customHeight="1" x14ac:dyDescent="0.3">
      <c r="A30" s="19">
        <f t="shared" si="14"/>
        <v>44125</v>
      </c>
      <c r="B30" s="20">
        <v>85</v>
      </c>
      <c r="C30" s="18">
        <f t="shared" si="15"/>
        <v>2</v>
      </c>
      <c r="D30" s="20">
        <v>85</v>
      </c>
      <c r="E30" s="18">
        <f t="shared" si="16"/>
        <v>0</v>
      </c>
      <c r="F30" s="20">
        <v>85</v>
      </c>
      <c r="G30" s="18">
        <f t="shared" si="17"/>
        <v>5</v>
      </c>
      <c r="H30" s="20">
        <v>85</v>
      </c>
      <c r="I30" s="18">
        <f t="shared" si="31"/>
        <v>4</v>
      </c>
      <c r="J30" s="18">
        <f t="shared" si="21"/>
        <v>340</v>
      </c>
      <c r="K30" s="18">
        <f t="shared" si="22"/>
        <v>85</v>
      </c>
      <c r="L30" s="18">
        <f t="shared" si="30"/>
        <v>2.75</v>
      </c>
      <c r="M30" s="18">
        <f t="shared" si="7"/>
        <v>28000</v>
      </c>
      <c r="N30" s="18">
        <f t="shared" si="28"/>
        <v>770</v>
      </c>
      <c r="O30" s="18">
        <f t="shared" si="29"/>
        <v>408.1</v>
      </c>
      <c r="P30" s="21">
        <f t="shared" si="18"/>
        <v>3241.6199200000001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3"/>
        <v>0</v>
      </c>
      <c r="AD30" s="49">
        <f t="shared" si="26"/>
        <v>0</v>
      </c>
      <c r="AE30" s="49">
        <f t="shared" si="27"/>
        <v>0</v>
      </c>
    </row>
    <row r="31" spans="1:31" ht="32.25" customHeight="1" x14ac:dyDescent="0.3">
      <c r="A31" s="19">
        <f t="shared" si="14"/>
        <v>44126</v>
      </c>
      <c r="B31" s="20">
        <v>83</v>
      </c>
      <c r="C31" s="18">
        <f t="shared" si="15"/>
        <v>3</v>
      </c>
      <c r="D31" s="20">
        <v>85</v>
      </c>
      <c r="E31" s="18">
        <f t="shared" si="16"/>
        <v>0</v>
      </c>
      <c r="F31" s="20">
        <v>80</v>
      </c>
      <c r="G31" s="18">
        <f t="shared" si="17"/>
        <v>0</v>
      </c>
      <c r="H31" s="20">
        <v>81</v>
      </c>
      <c r="I31" s="18">
        <f t="shared" si="31"/>
        <v>2</v>
      </c>
      <c r="J31" s="18">
        <f t="shared" si="21"/>
        <v>329</v>
      </c>
      <c r="K31" s="18">
        <f t="shared" si="22"/>
        <v>82.25</v>
      </c>
      <c r="L31" s="18">
        <f t="shared" si="30"/>
        <v>1.25</v>
      </c>
      <c r="M31" s="18">
        <f t="shared" si="7"/>
        <v>28000</v>
      </c>
      <c r="N31" s="18">
        <f t="shared" si="28"/>
        <v>350</v>
      </c>
      <c r="O31" s="18">
        <f t="shared" si="29"/>
        <v>185.5</v>
      </c>
      <c r="P31" s="21">
        <f t="shared" si="18"/>
        <v>1473.4636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26"/>
        <v>0</v>
      </c>
      <c r="AE31" s="49">
        <f t="shared" si="27"/>
        <v>0</v>
      </c>
    </row>
    <row r="32" spans="1:31" ht="32.25" customHeight="1" x14ac:dyDescent="0.3">
      <c r="A32" s="19">
        <f t="shared" si="14"/>
        <v>44127</v>
      </c>
      <c r="B32" s="20">
        <v>80</v>
      </c>
      <c r="C32" s="18">
        <f t="shared" si="15"/>
        <v>1</v>
      </c>
      <c r="D32" s="20">
        <v>85</v>
      </c>
      <c r="E32" s="18">
        <f t="shared" si="16"/>
        <v>3</v>
      </c>
      <c r="F32" s="20">
        <v>80</v>
      </c>
      <c r="G32" s="18">
        <f t="shared" si="17"/>
        <v>0</v>
      </c>
      <c r="H32" s="20">
        <v>79</v>
      </c>
      <c r="I32" s="18">
        <f t="shared" si="31"/>
        <v>4</v>
      </c>
      <c r="J32" s="18">
        <f t="shared" si="21"/>
        <v>324</v>
      </c>
      <c r="K32" s="18">
        <f t="shared" si="22"/>
        <v>81</v>
      </c>
      <c r="L32" s="18">
        <f t="shared" si="30"/>
        <v>2</v>
      </c>
      <c r="M32" s="18">
        <f t="shared" si="7"/>
        <v>28000</v>
      </c>
      <c r="N32" s="18">
        <f t="shared" si="28"/>
        <v>560</v>
      </c>
      <c r="O32" s="18">
        <f t="shared" si="29"/>
        <v>296.8</v>
      </c>
      <c r="P32" s="21">
        <f t="shared" si="18"/>
        <v>2357.5417600000001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3"/>
        <v>0</v>
      </c>
      <c r="AD32" s="49">
        <f t="shared" si="26"/>
        <v>0</v>
      </c>
      <c r="AE32" s="49">
        <f t="shared" si="27"/>
        <v>0</v>
      </c>
    </row>
    <row r="33" spans="1:31" ht="32.25" customHeight="1" x14ac:dyDescent="0.3">
      <c r="A33" s="19">
        <f t="shared" si="14"/>
        <v>44128</v>
      </c>
      <c r="B33" s="20">
        <v>79</v>
      </c>
      <c r="C33" s="18">
        <f t="shared" si="15"/>
        <v>4</v>
      </c>
      <c r="D33" s="20">
        <v>82</v>
      </c>
      <c r="E33" s="18">
        <f t="shared" si="16"/>
        <v>2</v>
      </c>
      <c r="F33" s="20">
        <v>80</v>
      </c>
      <c r="G33" s="18">
        <f t="shared" si="17"/>
        <v>5</v>
      </c>
      <c r="H33" s="20">
        <v>75</v>
      </c>
      <c r="I33" s="18">
        <f t="shared" si="31"/>
        <v>1</v>
      </c>
      <c r="J33" s="18">
        <f t="shared" si="21"/>
        <v>316</v>
      </c>
      <c r="K33" s="18">
        <f t="shared" si="22"/>
        <v>79</v>
      </c>
      <c r="L33" s="18">
        <f t="shared" si="30"/>
        <v>3</v>
      </c>
      <c r="M33" s="18">
        <f t="shared" si="7"/>
        <v>28000</v>
      </c>
      <c r="N33" s="18">
        <f t="shared" si="28"/>
        <v>840</v>
      </c>
      <c r="O33" s="18">
        <f t="shared" si="29"/>
        <v>445.20000000000005</v>
      </c>
      <c r="P33" s="21">
        <f t="shared" si="18"/>
        <v>3536.3126400000006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3"/>
        <v>0</v>
      </c>
      <c r="AD33" s="49">
        <f t="shared" si="26"/>
        <v>0</v>
      </c>
      <c r="AE33" s="49">
        <f t="shared" si="27"/>
        <v>0</v>
      </c>
    </row>
    <row r="34" spans="1:31" ht="32.25" customHeight="1" x14ac:dyDescent="0.3">
      <c r="A34" s="19">
        <f t="shared" si="14"/>
        <v>44129</v>
      </c>
      <c r="B34" s="20">
        <v>75</v>
      </c>
      <c r="C34" s="18">
        <f t="shared" si="15"/>
        <v>0</v>
      </c>
      <c r="D34" s="20">
        <v>80</v>
      </c>
      <c r="E34" s="18">
        <f t="shared" si="16"/>
        <v>1</v>
      </c>
      <c r="F34" s="20">
        <v>75</v>
      </c>
      <c r="G34" s="18">
        <f t="shared" si="17"/>
        <v>3</v>
      </c>
      <c r="H34" s="20">
        <v>74</v>
      </c>
      <c r="I34" s="18">
        <f t="shared" si="31"/>
        <v>3</v>
      </c>
      <c r="J34" s="18">
        <f t="shared" si="21"/>
        <v>304</v>
      </c>
      <c r="K34" s="18">
        <f t="shared" si="22"/>
        <v>76</v>
      </c>
      <c r="L34" s="18">
        <f t="shared" si="30"/>
        <v>1.75</v>
      </c>
      <c r="M34" s="18">
        <f t="shared" si="7"/>
        <v>28000</v>
      </c>
      <c r="N34" s="18">
        <f t="shared" si="28"/>
        <v>490</v>
      </c>
      <c r="O34" s="18">
        <f t="shared" si="29"/>
        <v>259.7</v>
      </c>
      <c r="P34" s="21">
        <f t="shared" si="18"/>
        <v>2062.8490400000001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3"/>
        <v>0</v>
      </c>
      <c r="AD34" s="49">
        <f t="shared" si="26"/>
        <v>0</v>
      </c>
      <c r="AE34" s="49">
        <f t="shared" si="27"/>
        <v>0</v>
      </c>
    </row>
    <row r="35" spans="1:31" ht="32.25" customHeight="1" x14ac:dyDescent="0.3">
      <c r="A35" s="19">
        <f t="shared" si="14"/>
        <v>44130</v>
      </c>
      <c r="B35" s="20">
        <v>75</v>
      </c>
      <c r="C35" s="18">
        <f t="shared" si="15"/>
        <v>2</v>
      </c>
      <c r="D35" s="20">
        <v>79</v>
      </c>
      <c r="E35" s="18">
        <f t="shared" si="16"/>
        <v>2</v>
      </c>
      <c r="F35" s="20">
        <v>72</v>
      </c>
      <c r="G35" s="18">
        <f t="shared" si="17"/>
        <v>2</v>
      </c>
      <c r="H35" s="20">
        <v>71</v>
      </c>
      <c r="I35" s="18">
        <f t="shared" si="31"/>
        <v>1</v>
      </c>
      <c r="J35" s="18">
        <f t="shared" si="21"/>
        <v>297</v>
      </c>
      <c r="K35" s="18">
        <f t="shared" si="22"/>
        <v>74.25</v>
      </c>
      <c r="L35" s="18">
        <f t="shared" si="30"/>
        <v>1.75</v>
      </c>
      <c r="M35" s="18">
        <f t="shared" si="7"/>
        <v>28000</v>
      </c>
      <c r="N35" s="18">
        <f t="shared" si="28"/>
        <v>490</v>
      </c>
      <c r="O35" s="18">
        <f t="shared" si="29"/>
        <v>259.7</v>
      </c>
      <c r="P35" s="21">
        <f t="shared" si="18"/>
        <v>2062.8490400000001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3"/>
        <v>0</v>
      </c>
      <c r="AD35" s="49">
        <f t="shared" si="26"/>
        <v>0</v>
      </c>
      <c r="AE35" s="49">
        <f t="shared" si="27"/>
        <v>0</v>
      </c>
    </row>
    <row r="36" spans="1:31" ht="32.25" customHeight="1" x14ac:dyDescent="0.3">
      <c r="A36" s="19">
        <f t="shared" si="14"/>
        <v>44131</v>
      </c>
      <c r="B36" s="20">
        <v>73</v>
      </c>
      <c r="C36" s="18">
        <f t="shared" si="15"/>
        <v>2</v>
      </c>
      <c r="D36" s="20">
        <v>77</v>
      </c>
      <c r="E36" s="18">
        <f t="shared" si="16"/>
        <v>4</v>
      </c>
      <c r="F36" s="20">
        <v>70</v>
      </c>
      <c r="G36" s="18">
        <f t="shared" si="17"/>
        <v>2</v>
      </c>
      <c r="H36" s="20">
        <v>70</v>
      </c>
      <c r="I36" s="18">
        <f t="shared" si="31"/>
        <v>0</v>
      </c>
      <c r="J36" s="18">
        <f t="shared" si="21"/>
        <v>290</v>
      </c>
      <c r="K36" s="18">
        <f t="shared" si="22"/>
        <v>72.5</v>
      </c>
      <c r="L36" s="18">
        <f t="shared" si="30"/>
        <v>2</v>
      </c>
      <c r="M36" s="18">
        <f t="shared" si="7"/>
        <v>28000</v>
      </c>
      <c r="N36" s="18">
        <f t="shared" si="28"/>
        <v>560</v>
      </c>
      <c r="O36" s="18">
        <f t="shared" si="29"/>
        <v>296.8</v>
      </c>
      <c r="P36" s="21">
        <f t="shared" si="18"/>
        <v>2357.5417600000001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26"/>
        <v>0</v>
      </c>
      <c r="AE36" s="49">
        <f t="shared" si="27"/>
        <v>0</v>
      </c>
    </row>
    <row r="37" spans="1:31" ht="32.25" customHeight="1" x14ac:dyDescent="0.3">
      <c r="A37" s="19">
        <f t="shared" si="14"/>
        <v>44132</v>
      </c>
      <c r="B37" s="20">
        <v>71</v>
      </c>
      <c r="C37" s="18">
        <f t="shared" si="15"/>
        <v>1</v>
      </c>
      <c r="D37" s="20">
        <v>73</v>
      </c>
      <c r="E37" s="18">
        <f t="shared" si="16"/>
        <v>1</v>
      </c>
      <c r="F37" s="20">
        <v>68</v>
      </c>
      <c r="G37" s="18">
        <f t="shared" si="17"/>
        <v>1</v>
      </c>
      <c r="H37" s="20">
        <v>70</v>
      </c>
      <c r="I37" s="18">
        <f t="shared" si="31"/>
        <v>1</v>
      </c>
      <c r="J37" s="18">
        <f t="shared" si="21"/>
        <v>282</v>
      </c>
      <c r="K37" s="18">
        <f t="shared" si="22"/>
        <v>70.5</v>
      </c>
      <c r="L37" s="18">
        <f t="shared" si="30"/>
        <v>1</v>
      </c>
      <c r="M37" s="18">
        <f t="shared" si="7"/>
        <v>28000</v>
      </c>
      <c r="N37" s="18">
        <f t="shared" si="28"/>
        <v>280</v>
      </c>
      <c r="O37" s="18">
        <f t="shared" si="29"/>
        <v>148.4</v>
      </c>
      <c r="P37" s="21">
        <f t="shared" si="18"/>
        <v>1178.77088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26"/>
        <v>0</v>
      </c>
      <c r="AE37" s="49">
        <f t="shared" si="27"/>
        <v>0</v>
      </c>
    </row>
    <row r="38" spans="1:31" ht="32.25" customHeight="1" x14ac:dyDescent="0.3">
      <c r="A38" s="19">
        <f t="shared" si="14"/>
        <v>44133</v>
      </c>
      <c r="B38" s="20">
        <v>70</v>
      </c>
      <c r="C38" s="18">
        <f t="shared" si="15"/>
        <v>2</v>
      </c>
      <c r="D38" s="20">
        <v>72</v>
      </c>
      <c r="E38" s="18">
        <f t="shared" si="16"/>
        <v>2</v>
      </c>
      <c r="F38" s="20">
        <v>67</v>
      </c>
      <c r="G38" s="18">
        <f t="shared" si="17"/>
        <v>3</v>
      </c>
      <c r="H38" s="20">
        <v>69</v>
      </c>
      <c r="I38" s="18">
        <f t="shared" si="31"/>
        <v>0</v>
      </c>
      <c r="J38" s="18">
        <f t="shared" si="21"/>
        <v>278</v>
      </c>
      <c r="K38" s="18">
        <f t="shared" si="22"/>
        <v>69.5</v>
      </c>
      <c r="L38" s="18">
        <f t="shared" si="30"/>
        <v>1.75</v>
      </c>
      <c r="M38" s="18">
        <f t="shared" si="7"/>
        <v>28000</v>
      </c>
      <c r="N38" s="18">
        <f t="shared" si="28"/>
        <v>490</v>
      </c>
      <c r="O38" s="18">
        <f t="shared" si="29"/>
        <v>259.7</v>
      </c>
      <c r="P38" s="21">
        <f t="shared" si="18"/>
        <v>2062.8490400000001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26"/>
        <v>0</v>
      </c>
      <c r="AE38" s="49">
        <f t="shared" si="27"/>
        <v>0</v>
      </c>
    </row>
    <row r="39" spans="1:31" ht="32.25" customHeight="1" x14ac:dyDescent="0.3">
      <c r="A39" s="19">
        <f t="shared" si="14"/>
        <v>44134</v>
      </c>
      <c r="B39" s="20">
        <v>68</v>
      </c>
      <c r="C39" s="18">
        <f t="shared" si="15"/>
        <v>3</v>
      </c>
      <c r="D39" s="20">
        <v>70</v>
      </c>
      <c r="E39" s="18">
        <f t="shared" si="16"/>
        <v>2</v>
      </c>
      <c r="F39" s="20">
        <v>64</v>
      </c>
      <c r="G39" s="18">
        <f t="shared" si="17"/>
        <v>1</v>
      </c>
      <c r="H39" s="20">
        <v>69</v>
      </c>
      <c r="I39" s="18">
        <f t="shared" si="31"/>
        <v>0</v>
      </c>
      <c r="J39" s="18">
        <f t="shared" si="21"/>
        <v>271</v>
      </c>
      <c r="K39" s="18">
        <f t="shared" si="22"/>
        <v>67.75</v>
      </c>
      <c r="L39" s="18">
        <f t="shared" si="30"/>
        <v>1.5</v>
      </c>
      <c r="M39" s="18">
        <f t="shared" si="7"/>
        <v>28000</v>
      </c>
      <c r="N39" s="18">
        <f t="shared" si="28"/>
        <v>420</v>
      </c>
      <c r="O39" s="18">
        <f t="shared" si="29"/>
        <v>222.60000000000002</v>
      </c>
      <c r="P39" s="21">
        <f t="shared" si="18"/>
        <v>1768.1563200000003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26"/>
        <v>0</v>
      </c>
      <c r="AE39" s="49">
        <f t="shared" si="27"/>
        <v>0</v>
      </c>
    </row>
    <row r="40" spans="1:31" ht="32.25" customHeight="1" x14ac:dyDescent="0.3">
      <c r="A40" s="19">
        <f t="shared" si="14"/>
        <v>44135</v>
      </c>
      <c r="B40" s="20">
        <v>65</v>
      </c>
      <c r="C40" s="18">
        <f t="shared" si="15"/>
        <v>0</v>
      </c>
      <c r="D40" s="20">
        <v>68</v>
      </c>
      <c r="E40" s="18">
        <f t="shared" si="16"/>
        <v>3</v>
      </c>
      <c r="F40" s="20">
        <v>63</v>
      </c>
      <c r="G40" s="18">
        <f t="shared" si="17"/>
        <v>-2</v>
      </c>
      <c r="H40" s="20">
        <v>69</v>
      </c>
      <c r="I40" s="18">
        <f t="shared" si="31"/>
        <v>9</v>
      </c>
      <c r="J40" s="18">
        <f t="shared" si="21"/>
        <v>265</v>
      </c>
      <c r="K40" s="18">
        <f t="shared" si="22"/>
        <v>66.25</v>
      </c>
      <c r="L40" s="18">
        <f t="shared" si="30"/>
        <v>2.5</v>
      </c>
      <c r="M40" s="18">
        <f t="shared" si="7"/>
        <v>28000</v>
      </c>
      <c r="N40" s="18">
        <f t="shared" si="28"/>
        <v>700</v>
      </c>
      <c r="O40" s="18">
        <f t="shared" si="29"/>
        <v>371</v>
      </c>
      <c r="P40" s="21">
        <f t="shared" si="18"/>
        <v>2946.9272000000001</v>
      </c>
      <c r="Q40" s="18">
        <v>1645</v>
      </c>
      <c r="R40" s="18">
        <v>65</v>
      </c>
      <c r="S40" s="18">
        <v>85</v>
      </c>
      <c r="T40" s="18">
        <v>1530</v>
      </c>
      <c r="U40" s="18">
        <v>66</v>
      </c>
      <c r="V40" s="18">
        <v>85</v>
      </c>
      <c r="W40" s="18">
        <v>1755</v>
      </c>
      <c r="X40" s="18">
        <v>65</v>
      </c>
      <c r="Y40" s="18">
        <v>85</v>
      </c>
      <c r="Z40" s="18">
        <v>1709</v>
      </c>
      <c r="AA40" s="18">
        <v>60</v>
      </c>
      <c r="AB40" s="18">
        <v>85</v>
      </c>
      <c r="AC40" s="18">
        <f t="shared" si="13"/>
        <v>6639</v>
      </c>
      <c r="AD40" s="49">
        <f t="shared" si="26"/>
        <v>64</v>
      </c>
      <c r="AE40" s="49">
        <f t="shared" si="27"/>
        <v>85</v>
      </c>
    </row>
    <row r="41" spans="1:31" ht="32.25" customHeight="1" x14ac:dyDescent="0.3">
      <c r="A41" s="19">
        <f t="shared" si="14"/>
        <v>44136</v>
      </c>
      <c r="B41" s="20">
        <v>85</v>
      </c>
      <c r="C41" s="18">
        <f t="shared" si="15"/>
        <v>0</v>
      </c>
      <c r="D41" s="20">
        <v>84</v>
      </c>
      <c r="E41" s="18">
        <f t="shared" si="16"/>
        <v>0</v>
      </c>
      <c r="F41" s="20">
        <v>85</v>
      </c>
      <c r="G41" s="18">
        <f t="shared" si="17"/>
        <v>0</v>
      </c>
      <c r="H41" s="20">
        <v>85</v>
      </c>
      <c r="I41" s="18">
        <f t="shared" si="31"/>
        <v>0</v>
      </c>
      <c r="J41" s="18">
        <f t="shared" si="21"/>
        <v>339</v>
      </c>
      <c r="K41" s="18">
        <f t="shared" si="22"/>
        <v>84.75</v>
      </c>
      <c r="L41" s="18">
        <f t="shared" si="30"/>
        <v>0</v>
      </c>
      <c r="M41" s="18">
        <f t="shared" si="7"/>
        <v>28000</v>
      </c>
      <c r="N41" s="18">
        <f t="shared" si="28"/>
        <v>0</v>
      </c>
      <c r="O41" s="18">
        <f t="shared" si="29"/>
        <v>0</v>
      </c>
      <c r="P41" s="21">
        <f t="shared" si="18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26"/>
        <v>0</v>
      </c>
      <c r="AE41" s="49">
        <f t="shared" si="27"/>
        <v>0</v>
      </c>
    </row>
    <row r="42" spans="1:31" ht="32.25" customHeight="1" x14ac:dyDescent="0.3">
      <c r="A42" s="19">
        <f t="shared" si="14"/>
        <v>44137</v>
      </c>
      <c r="B42" s="20"/>
      <c r="C42" s="18">
        <f t="shared" ref="C41:C42" si="32">IF(AC42&gt;0,((B42-R42)+(S42-B43)),IF(B43=0, ,(B42-B43)))</f>
        <v>0</v>
      </c>
      <c r="D42" s="20"/>
      <c r="E42" s="18">
        <f t="shared" ref="E41:E42" si="33">IF(AC42&gt;0,((D42-U42)+(V42-D43)),IF(D43=0, ,(D42-D43)))</f>
        <v>0</v>
      </c>
      <c r="F42" s="20"/>
      <c r="G42" s="18">
        <f t="shared" ref="G41:G42" si="34">IF(AC42&gt;0,((F42-X42)+(Y42-F43)),IF(F43=0, ,(F42-F43)))</f>
        <v>0</v>
      </c>
      <c r="H42" s="20"/>
      <c r="I42" s="18">
        <f t="shared" si="31"/>
        <v>0</v>
      </c>
      <c r="J42" s="18">
        <f t="shared" si="21"/>
        <v>0</v>
      </c>
      <c r="K42" s="18">
        <f t="shared" si="22"/>
        <v>0</v>
      </c>
      <c r="L42" s="18">
        <f t="shared" si="30"/>
        <v>0</v>
      </c>
      <c r="M42" s="18">
        <f t="shared" si="7"/>
        <v>28000</v>
      </c>
      <c r="N42" s="18">
        <f t="shared" si="28"/>
        <v>0</v>
      </c>
      <c r="O42" s="18">
        <f t="shared" si="29"/>
        <v>0</v>
      </c>
      <c r="P42" s="21">
        <f t="shared" si="18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26"/>
        <v>0</v>
      </c>
      <c r="AE42" s="49">
        <f t="shared" si="27"/>
        <v>0</v>
      </c>
    </row>
    <row r="43" spans="1:31" ht="32.25" customHeight="1" thickBot="1" x14ac:dyDescent="0.35">
      <c r="B43" s="20"/>
      <c r="C43" s="18">
        <f>SUM(C10:C40)</f>
        <v>49</v>
      </c>
      <c r="D43" s="20"/>
      <c r="E43" s="18">
        <f>SUM(E10:E40)</f>
        <v>45</v>
      </c>
      <c r="F43" s="20"/>
      <c r="G43" s="18">
        <f>SUM(G10:G40)</f>
        <v>52</v>
      </c>
      <c r="H43" s="20"/>
      <c r="I43" s="18">
        <f>SUM(I10:I40)</f>
        <v>55</v>
      </c>
      <c r="J43" s="16"/>
      <c r="K43" s="16"/>
      <c r="L43" s="16"/>
      <c r="M43" s="16"/>
      <c r="N43" s="18">
        <f>SUM(N10:N40)</f>
        <v>14070</v>
      </c>
      <c r="O43" s="18">
        <f>N43*0.53</f>
        <v>7457.1</v>
      </c>
      <c r="P43" s="21">
        <f t="shared" si="18"/>
        <v>59233.236720000001</v>
      </c>
      <c r="Q43" s="265">
        <f>SUM(Q10:Q40)</f>
        <v>5260</v>
      </c>
      <c r="R43" s="266"/>
      <c r="S43" s="267"/>
      <c r="T43" s="265">
        <f>SUM(T10:T40)</f>
        <v>4982</v>
      </c>
      <c r="U43" s="266"/>
      <c r="V43" s="267"/>
      <c r="W43" s="265">
        <f>SUM(W10:W40)</f>
        <v>6231</v>
      </c>
      <c r="X43" s="266"/>
      <c r="Y43" s="267"/>
      <c r="Z43" s="265">
        <f>SUM(Z10:Z40)</f>
        <v>5717</v>
      </c>
      <c r="AA43" s="266"/>
      <c r="AB43" s="267"/>
      <c r="AC43" s="138">
        <f>SUM(AC10:AC40)</f>
        <v>22190</v>
      </c>
      <c r="AD43" s="139"/>
      <c r="AE43" s="136"/>
    </row>
    <row r="44" spans="1:31" ht="35.25" customHeight="1" thickBot="1" x14ac:dyDescent="0.35">
      <c r="B44" s="268"/>
      <c r="C44" s="269"/>
      <c r="D44" s="269"/>
      <c r="E44" s="269"/>
      <c r="F44" s="269"/>
      <c r="G44" s="269"/>
      <c r="H44" s="269"/>
      <c r="I44" s="270"/>
      <c r="J44" s="16"/>
      <c r="K44" s="16"/>
      <c r="L44" s="16"/>
      <c r="M44" s="16"/>
      <c r="N44" s="16"/>
      <c r="O44" s="16"/>
      <c r="P44" s="16"/>
      <c r="Q44" s="271">
        <f>Q43+T43+W43+Z43</f>
        <v>22190</v>
      </c>
      <c r="R44" s="272"/>
      <c r="S44" s="272"/>
      <c r="T44" s="272"/>
      <c r="U44" s="272"/>
      <c r="V44" s="272"/>
      <c r="W44" s="272"/>
      <c r="X44" s="272"/>
      <c r="Y44" s="272"/>
      <c r="Z44" s="272"/>
      <c r="AA44" s="272"/>
      <c r="AB44" s="273"/>
      <c r="AC44" s="137">
        <f>Q43+T43+W43+Z43</f>
        <v>22190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74" t="s">
        <v>36</v>
      </c>
      <c r="I47" s="275"/>
      <c r="J47" s="276"/>
      <c r="K47" s="28">
        <f>N43</f>
        <v>14070</v>
      </c>
      <c r="L47" s="29">
        <f>O43</f>
        <v>7457.1</v>
      </c>
      <c r="M47" s="29">
        <f>P43</f>
        <v>59233.236720000001</v>
      </c>
    </row>
    <row r="48" spans="1:31" ht="54.75" customHeight="1" thickBot="1" x14ac:dyDescent="0.35">
      <c r="H48" s="262" t="s">
        <v>37</v>
      </c>
      <c r="I48" s="263"/>
      <c r="J48" s="264"/>
      <c r="K48" s="26">
        <f>AC43</f>
        <v>22190</v>
      </c>
      <c r="L48" s="27">
        <f>K48*0.53</f>
        <v>11760.7</v>
      </c>
      <c r="M48" s="27">
        <f>L48*7.9432</f>
        <v>93417.592240000013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36" activePane="bottomRight" state="frozen"/>
      <selection pane="topRight" activeCell="B1" sqref="B1"/>
      <selection pane="bottomLeft" activeCell="A9" sqref="A9"/>
      <selection pane="bottomRight" activeCell="B47" sqref="B47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7"/>
      <c r="B1" s="308"/>
      <c r="C1" s="290" t="s">
        <v>58</v>
      </c>
      <c r="D1" s="291"/>
      <c r="E1" s="291"/>
      <c r="F1" s="291"/>
      <c r="G1" s="292"/>
      <c r="H1" s="299"/>
      <c r="I1" s="300"/>
      <c r="J1" s="33"/>
      <c r="K1" s="31"/>
      <c r="L1" s="31"/>
    </row>
    <row r="2" spans="1:20" ht="16.5" customHeight="1" x14ac:dyDescent="0.2">
      <c r="A2" s="309"/>
      <c r="B2" s="310"/>
      <c r="C2" s="293"/>
      <c r="D2" s="294"/>
      <c r="E2" s="294"/>
      <c r="F2" s="294"/>
      <c r="G2" s="295"/>
      <c r="H2" s="301"/>
      <c r="I2" s="302"/>
      <c r="J2" s="33"/>
      <c r="K2" s="31"/>
      <c r="L2" s="31"/>
    </row>
    <row r="3" spans="1:20" ht="48" customHeight="1" thickBot="1" x14ac:dyDescent="0.25">
      <c r="A3" s="311"/>
      <c r="B3" s="312"/>
      <c r="C3" s="296"/>
      <c r="D3" s="297"/>
      <c r="E3" s="297"/>
      <c r="F3" s="297"/>
      <c r="G3" s="298"/>
      <c r="H3" s="303"/>
      <c r="I3" s="304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11080</v>
      </c>
    </row>
    <row r="6" spans="1:20" ht="10.5" customHeight="1" thickBot="1" x14ac:dyDescent="0.25"/>
    <row r="7" spans="1:20" ht="16.5" customHeight="1" thickTop="1" thickBot="1" x14ac:dyDescent="0.25">
      <c r="A7" s="289" t="s">
        <v>1</v>
      </c>
      <c r="B7" s="305" t="s">
        <v>41</v>
      </c>
      <c r="C7" s="305"/>
      <c r="D7" s="306" t="s">
        <v>42</v>
      </c>
      <c r="E7" s="306"/>
      <c r="F7" s="306"/>
      <c r="G7" s="306"/>
      <c r="H7" s="306"/>
      <c r="I7" s="306"/>
    </row>
    <row r="8" spans="1:20" s="12" customFormat="1" ht="28.5" customHeight="1" thickTop="1" thickBot="1" x14ac:dyDescent="0.25">
      <c r="A8" s="289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44099</v>
      </c>
      <c r="B9" s="40">
        <v>124503</v>
      </c>
      <c r="C9" s="41">
        <f t="shared" ref="C9:C46" si="0">IF(B10&lt;B9,0,B10-B9)*10</f>
        <v>250</v>
      </c>
      <c r="D9" s="42">
        <v>18572288</v>
      </c>
      <c r="E9" s="41">
        <f t="shared" ref="E9:E46" si="1">IF(D10&lt;D9,0,D10-D9)</f>
        <v>2010</v>
      </c>
      <c r="F9" s="42">
        <v>33372804</v>
      </c>
      <c r="G9" s="41">
        <f t="shared" ref="G9:G46" si="2">IF(F10&lt;F9,0,F10-F9)</f>
        <v>3465</v>
      </c>
      <c r="H9" s="42">
        <v>14763585</v>
      </c>
      <c r="I9" s="41">
        <f t="shared" ref="I9:I47" si="3">IF(H10&lt;H9,0,H10-H9)</f>
        <v>1250</v>
      </c>
    </row>
    <row r="10" spans="1:20" ht="21" thickTop="1" thickBot="1" x14ac:dyDescent="0.35">
      <c r="A10" s="39">
        <f>(A9+1)</f>
        <v>44100</v>
      </c>
      <c r="B10" s="40">
        <v>124528</v>
      </c>
      <c r="C10" s="41">
        <f t="shared" si="0"/>
        <v>200</v>
      </c>
      <c r="D10" s="42">
        <v>18574298</v>
      </c>
      <c r="E10" s="41">
        <f t="shared" si="1"/>
        <v>1800</v>
      </c>
      <c r="F10" s="42">
        <v>33376269</v>
      </c>
      <c r="G10" s="41">
        <f t="shared" si="2"/>
        <v>3400</v>
      </c>
      <c r="H10" s="42">
        <v>14764835</v>
      </c>
      <c r="I10" s="41">
        <f t="shared" si="3"/>
        <v>1290</v>
      </c>
    </row>
    <row r="11" spans="1:20" ht="21" thickTop="1" thickBot="1" x14ac:dyDescent="0.35">
      <c r="A11" s="39">
        <f t="shared" ref="A11:A47" si="4">(A10+1)</f>
        <v>44101</v>
      </c>
      <c r="B11" s="40">
        <v>124548</v>
      </c>
      <c r="C11" s="41">
        <f t="shared" si="0"/>
        <v>160</v>
      </c>
      <c r="D11" s="42">
        <v>18576098</v>
      </c>
      <c r="E11" s="41">
        <f t="shared" si="1"/>
        <v>1600</v>
      </c>
      <c r="F11" s="42">
        <v>33379669</v>
      </c>
      <c r="G11" s="41">
        <f t="shared" si="2"/>
        <v>3200</v>
      </c>
      <c r="H11" s="42">
        <v>14766125</v>
      </c>
      <c r="I11" s="41">
        <f t="shared" si="3"/>
        <v>1213</v>
      </c>
    </row>
    <row r="12" spans="1:20" ht="21" thickTop="1" thickBot="1" x14ac:dyDescent="0.35">
      <c r="A12" s="39">
        <f t="shared" si="4"/>
        <v>44102</v>
      </c>
      <c r="B12" s="40">
        <v>124564</v>
      </c>
      <c r="C12" s="41">
        <f t="shared" si="0"/>
        <v>280</v>
      </c>
      <c r="D12" s="42">
        <v>18577698</v>
      </c>
      <c r="E12" s="41">
        <f t="shared" si="1"/>
        <v>1990</v>
      </c>
      <c r="F12" s="42">
        <v>33382869</v>
      </c>
      <c r="G12" s="41">
        <f t="shared" si="2"/>
        <v>3461</v>
      </c>
      <c r="H12" s="42">
        <v>14767338</v>
      </c>
      <c r="I12" s="41">
        <f t="shared" si="3"/>
        <v>1240</v>
      </c>
    </row>
    <row r="13" spans="1:20" ht="21" thickTop="1" thickBot="1" x14ac:dyDescent="0.35">
      <c r="A13" s="39">
        <f t="shared" si="4"/>
        <v>44103</v>
      </c>
      <c r="B13" s="40">
        <v>124592</v>
      </c>
      <c r="C13" s="41">
        <f t="shared" si="0"/>
        <v>480</v>
      </c>
      <c r="D13" s="42">
        <v>18579688</v>
      </c>
      <c r="E13" s="41">
        <f t="shared" si="1"/>
        <v>2190</v>
      </c>
      <c r="F13" s="42">
        <v>33386330</v>
      </c>
      <c r="G13" s="41">
        <f t="shared" si="2"/>
        <v>5170</v>
      </c>
      <c r="H13" s="42">
        <v>14768578</v>
      </c>
      <c r="I13" s="41">
        <f t="shared" si="3"/>
        <v>1425</v>
      </c>
    </row>
    <row r="14" spans="1:20" ht="21" thickTop="1" thickBot="1" x14ac:dyDescent="0.35">
      <c r="A14" s="39">
        <f t="shared" si="4"/>
        <v>44104</v>
      </c>
      <c r="B14" s="40">
        <v>124640</v>
      </c>
      <c r="C14" s="41">
        <f t="shared" si="0"/>
        <v>500</v>
      </c>
      <c r="D14" s="42">
        <v>18581878</v>
      </c>
      <c r="E14" s="41">
        <f t="shared" si="1"/>
        <v>4613</v>
      </c>
      <c r="F14" s="42">
        <v>33391500</v>
      </c>
      <c r="G14" s="41">
        <f t="shared" si="2"/>
        <v>8090</v>
      </c>
      <c r="H14" s="42">
        <v>14770003</v>
      </c>
      <c r="I14" s="41">
        <f t="shared" si="3"/>
        <v>3606</v>
      </c>
    </row>
    <row r="15" spans="1:20" ht="21" thickTop="1" thickBot="1" x14ac:dyDescent="0.35">
      <c r="A15" s="39">
        <f t="shared" si="4"/>
        <v>44105</v>
      </c>
      <c r="B15" s="40">
        <v>124690</v>
      </c>
      <c r="C15" s="41">
        <f t="shared" si="0"/>
        <v>240</v>
      </c>
      <c r="D15" s="42">
        <v>18586491</v>
      </c>
      <c r="E15" s="41">
        <f t="shared" si="1"/>
        <v>4933</v>
      </c>
      <c r="F15" s="42">
        <v>33399590</v>
      </c>
      <c r="G15" s="41">
        <f t="shared" si="2"/>
        <v>6978</v>
      </c>
      <c r="H15" s="42">
        <v>14773609</v>
      </c>
      <c r="I15" s="41">
        <f t="shared" si="3"/>
        <v>3655</v>
      </c>
    </row>
    <row r="16" spans="1:20" ht="21" thickTop="1" thickBot="1" x14ac:dyDescent="0.35">
      <c r="A16" s="39">
        <f t="shared" si="4"/>
        <v>44106</v>
      </c>
      <c r="B16" s="40">
        <v>124714</v>
      </c>
      <c r="C16" s="41">
        <f t="shared" si="0"/>
        <v>270</v>
      </c>
      <c r="D16" s="42">
        <v>18591424</v>
      </c>
      <c r="E16" s="41">
        <f t="shared" si="1"/>
        <v>4847</v>
      </c>
      <c r="F16" s="42">
        <v>33406568</v>
      </c>
      <c r="G16" s="41">
        <f t="shared" si="2"/>
        <v>6618</v>
      </c>
      <c r="H16" s="42">
        <v>14777264</v>
      </c>
      <c r="I16" s="41">
        <f t="shared" si="3"/>
        <v>3486</v>
      </c>
    </row>
    <row r="17" spans="1:9" ht="21" thickTop="1" thickBot="1" x14ac:dyDescent="0.35">
      <c r="A17" s="39">
        <f t="shared" si="4"/>
        <v>44107</v>
      </c>
      <c r="B17" s="40">
        <v>124741</v>
      </c>
      <c r="C17" s="41">
        <f t="shared" si="0"/>
        <v>380</v>
      </c>
      <c r="D17" s="42">
        <v>18596271</v>
      </c>
      <c r="E17" s="41">
        <f t="shared" si="1"/>
        <v>4403</v>
      </c>
      <c r="F17" s="42">
        <v>33413186</v>
      </c>
      <c r="G17" s="41">
        <f t="shared" si="2"/>
        <v>7118</v>
      </c>
      <c r="H17" s="42">
        <v>14780750</v>
      </c>
      <c r="I17" s="41">
        <f t="shared" si="3"/>
        <v>3513</v>
      </c>
    </row>
    <row r="18" spans="1:9" ht="21" thickTop="1" thickBot="1" x14ac:dyDescent="0.35">
      <c r="A18" s="39">
        <f t="shared" si="4"/>
        <v>44108</v>
      </c>
      <c r="B18" s="40">
        <v>124779</v>
      </c>
      <c r="C18" s="41">
        <f t="shared" si="0"/>
        <v>270</v>
      </c>
      <c r="D18" s="42">
        <v>18600674</v>
      </c>
      <c r="E18" s="41">
        <f t="shared" si="1"/>
        <v>4468</v>
      </c>
      <c r="F18" s="42">
        <v>33420304</v>
      </c>
      <c r="G18" s="41">
        <f t="shared" si="2"/>
        <v>6768</v>
      </c>
      <c r="H18" s="42">
        <v>14784263</v>
      </c>
      <c r="I18" s="41">
        <f t="shared" si="3"/>
        <v>3378</v>
      </c>
    </row>
    <row r="19" spans="1:9" ht="21" thickTop="1" thickBot="1" x14ac:dyDescent="0.35">
      <c r="A19" s="39">
        <f t="shared" si="4"/>
        <v>44109</v>
      </c>
      <c r="B19" s="40">
        <v>124806</v>
      </c>
      <c r="C19" s="41">
        <f t="shared" si="0"/>
        <v>220</v>
      </c>
      <c r="D19" s="42">
        <v>18605142</v>
      </c>
      <c r="E19" s="41">
        <f t="shared" si="1"/>
        <v>4345</v>
      </c>
      <c r="F19" s="42">
        <v>33427072</v>
      </c>
      <c r="G19" s="41">
        <f t="shared" si="2"/>
        <v>6950</v>
      </c>
      <c r="H19" s="42">
        <v>14787641</v>
      </c>
      <c r="I19" s="41">
        <f t="shared" si="3"/>
        <v>3417</v>
      </c>
    </row>
    <row r="20" spans="1:9" ht="21" thickTop="1" thickBot="1" x14ac:dyDescent="0.35">
      <c r="A20" s="39">
        <f t="shared" si="4"/>
        <v>44110</v>
      </c>
      <c r="B20" s="40">
        <v>124828</v>
      </c>
      <c r="C20" s="41">
        <f t="shared" si="0"/>
        <v>220</v>
      </c>
      <c r="D20" s="42">
        <v>18609487</v>
      </c>
      <c r="E20" s="41">
        <f t="shared" si="1"/>
        <v>3505</v>
      </c>
      <c r="F20" s="42">
        <v>33434022</v>
      </c>
      <c r="G20" s="41">
        <f t="shared" si="2"/>
        <v>6349</v>
      </c>
      <c r="H20" s="42">
        <v>14791058</v>
      </c>
      <c r="I20" s="41">
        <f t="shared" si="3"/>
        <v>2832</v>
      </c>
    </row>
    <row r="21" spans="1:9" ht="21" thickTop="1" thickBot="1" x14ac:dyDescent="0.35">
      <c r="A21" s="39">
        <f t="shared" si="4"/>
        <v>44111</v>
      </c>
      <c r="B21" s="40">
        <v>124850</v>
      </c>
      <c r="C21" s="41">
        <f t="shared" si="0"/>
        <v>320</v>
      </c>
      <c r="D21" s="42">
        <v>18612992</v>
      </c>
      <c r="E21" s="41">
        <f t="shared" si="1"/>
        <v>3956</v>
      </c>
      <c r="F21" s="42">
        <v>33440371</v>
      </c>
      <c r="G21" s="41">
        <f t="shared" si="2"/>
        <v>6631</v>
      </c>
      <c r="H21" s="42">
        <v>14793890</v>
      </c>
      <c r="I21" s="41">
        <f t="shared" si="3"/>
        <v>3488</v>
      </c>
    </row>
    <row r="22" spans="1:9" ht="21" thickTop="1" thickBot="1" x14ac:dyDescent="0.35">
      <c r="A22" s="39">
        <f t="shared" si="4"/>
        <v>44112</v>
      </c>
      <c r="B22" s="40">
        <v>124882</v>
      </c>
      <c r="C22" s="41">
        <f t="shared" si="0"/>
        <v>240</v>
      </c>
      <c r="D22" s="42">
        <v>18616948</v>
      </c>
      <c r="E22" s="41">
        <f t="shared" si="1"/>
        <v>4367</v>
      </c>
      <c r="F22" s="42">
        <v>33447002</v>
      </c>
      <c r="G22" s="41">
        <f t="shared" si="2"/>
        <v>7728</v>
      </c>
      <c r="H22" s="42">
        <v>14797378</v>
      </c>
      <c r="I22" s="41">
        <f t="shared" si="3"/>
        <v>3816</v>
      </c>
    </row>
    <row r="23" spans="1:9" ht="21" thickTop="1" thickBot="1" x14ac:dyDescent="0.35">
      <c r="A23" s="39">
        <f t="shared" si="4"/>
        <v>44113</v>
      </c>
      <c r="B23" s="40">
        <v>124906</v>
      </c>
      <c r="C23" s="41">
        <f t="shared" si="0"/>
        <v>370</v>
      </c>
      <c r="D23" s="42">
        <v>18621315</v>
      </c>
      <c r="E23" s="41">
        <f t="shared" si="1"/>
        <v>3964</v>
      </c>
      <c r="F23" s="42">
        <v>33454730</v>
      </c>
      <c r="G23" s="41">
        <f t="shared" si="2"/>
        <v>6968</v>
      </c>
      <c r="H23" s="42">
        <v>14801194</v>
      </c>
      <c r="I23" s="41">
        <f t="shared" si="3"/>
        <v>3679</v>
      </c>
    </row>
    <row r="24" spans="1:9" ht="21" thickTop="1" thickBot="1" x14ac:dyDescent="0.35">
      <c r="A24" s="39">
        <f t="shared" si="4"/>
        <v>44114</v>
      </c>
      <c r="B24" s="40">
        <v>124943</v>
      </c>
      <c r="C24" s="41">
        <f t="shared" si="0"/>
        <v>270</v>
      </c>
      <c r="D24" s="42">
        <v>18625279</v>
      </c>
      <c r="E24" s="41">
        <f t="shared" si="1"/>
        <v>4789</v>
      </c>
      <c r="F24" s="42">
        <v>33461698</v>
      </c>
      <c r="G24" s="41">
        <f t="shared" si="2"/>
        <v>5553</v>
      </c>
      <c r="H24" s="42">
        <v>14804873</v>
      </c>
      <c r="I24" s="41">
        <f t="shared" si="3"/>
        <v>3876</v>
      </c>
    </row>
    <row r="25" spans="1:9" ht="21" thickTop="1" thickBot="1" x14ac:dyDescent="0.35">
      <c r="A25" s="39">
        <f t="shared" si="4"/>
        <v>44115</v>
      </c>
      <c r="B25" s="40">
        <v>124970</v>
      </c>
      <c r="C25" s="41">
        <f t="shared" si="0"/>
        <v>260</v>
      </c>
      <c r="D25" s="42">
        <v>18630068</v>
      </c>
      <c r="E25" s="41">
        <f t="shared" si="1"/>
        <v>5329</v>
      </c>
      <c r="F25" s="42">
        <v>33467251</v>
      </c>
      <c r="G25" s="41">
        <f t="shared" si="2"/>
        <v>7255</v>
      </c>
      <c r="H25" s="42">
        <v>14808749</v>
      </c>
      <c r="I25" s="41">
        <f t="shared" si="3"/>
        <v>3557</v>
      </c>
    </row>
    <row r="26" spans="1:9" ht="21" thickTop="1" thickBot="1" x14ac:dyDescent="0.35">
      <c r="A26" s="39">
        <f t="shared" si="4"/>
        <v>44116</v>
      </c>
      <c r="B26" s="40">
        <v>124996</v>
      </c>
      <c r="C26" s="41">
        <f t="shared" si="0"/>
        <v>290</v>
      </c>
      <c r="D26" s="42">
        <v>18635397</v>
      </c>
      <c r="E26" s="41">
        <f t="shared" si="1"/>
        <v>4615</v>
      </c>
      <c r="F26" s="42">
        <v>33474506</v>
      </c>
      <c r="G26" s="41">
        <f t="shared" si="2"/>
        <v>6897</v>
      </c>
      <c r="H26" s="42">
        <v>14812306</v>
      </c>
      <c r="I26" s="41">
        <f t="shared" si="3"/>
        <v>3794</v>
      </c>
    </row>
    <row r="27" spans="1:9" ht="21" thickTop="1" thickBot="1" x14ac:dyDescent="0.35">
      <c r="A27" s="39">
        <f t="shared" si="4"/>
        <v>44117</v>
      </c>
      <c r="B27" s="40">
        <v>125025</v>
      </c>
      <c r="C27" s="41">
        <f t="shared" si="0"/>
        <v>290</v>
      </c>
      <c r="D27" s="42">
        <v>18640012</v>
      </c>
      <c r="E27" s="41">
        <f t="shared" si="1"/>
        <v>5977</v>
      </c>
      <c r="F27" s="42">
        <v>33481403</v>
      </c>
      <c r="G27" s="41">
        <f t="shared" si="2"/>
        <v>7062</v>
      </c>
      <c r="H27" s="42">
        <v>14816100</v>
      </c>
      <c r="I27" s="41">
        <f t="shared" si="3"/>
        <v>3863</v>
      </c>
    </row>
    <row r="28" spans="1:9" ht="21" thickTop="1" thickBot="1" x14ac:dyDescent="0.35">
      <c r="A28" s="39">
        <f t="shared" si="4"/>
        <v>44118</v>
      </c>
      <c r="B28" s="40">
        <v>125054</v>
      </c>
      <c r="C28" s="41">
        <f t="shared" si="0"/>
        <v>680</v>
      </c>
      <c r="D28" s="42">
        <v>18645989</v>
      </c>
      <c r="E28" s="41">
        <f t="shared" si="1"/>
        <v>5155</v>
      </c>
      <c r="F28" s="42">
        <v>33488465</v>
      </c>
      <c r="G28" s="41">
        <f t="shared" si="2"/>
        <v>7662</v>
      </c>
      <c r="H28" s="42">
        <v>14819963</v>
      </c>
      <c r="I28" s="41">
        <f t="shared" si="3"/>
        <v>3736</v>
      </c>
    </row>
    <row r="29" spans="1:9" ht="21" thickTop="1" thickBot="1" x14ac:dyDescent="0.35">
      <c r="A29" s="39">
        <f t="shared" si="4"/>
        <v>44119</v>
      </c>
      <c r="B29" s="40">
        <v>125122</v>
      </c>
      <c r="C29" s="41">
        <f t="shared" si="0"/>
        <v>590</v>
      </c>
      <c r="D29" s="42">
        <v>18651144</v>
      </c>
      <c r="E29" s="41">
        <f t="shared" si="1"/>
        <v>3827</v>
      </c>
      <c r="F29" s="42">
        <v>33496127</v>
      </c>
      <c r="G29" s="41">
        <f t="shared" si="2"/>
        <v>7483</v>
      </c>
      <c r="H29" s="42">
        <v>14823699</v>
      </c>
      <c r="I29" s="41">
        <f t="shared" si="3"/>
        <v>3443</v>
      </c>
    </row>
    <row r="30" spans="1:9" ht="21" thickTop="1" thickBot="1" x14ac:dyDescent="0.35">
      <c r="A30" s="39">
        <f t="shared" si="4"/>
        <v>44120</v>
      </c>
      <c r="B30" s="40">
        <v>125181</v>
      </c>
      <c r="C30" s="41">
        <f t="shared" si="0"/>
        <v>460</v>
      </c>
      <c r="D30" s="42">
        <v>18654971</v>
      </c>
      <c r="E30" s="41">
        <f t="shared" si="1"/>
        <v>3386</v>
      </c>
      <c r="F30" s="42">
        <v>33503610</v>
      </c>
      <c r="G30" s="41">
        <f t="shared" si="2"/>
        <v>5555</v>
      </c>
      <c r="H30" s="42">
        <v>14827142</v>
      </c>
      <c r="I30" s="41">
        <f t="shared" si="3"/>
        <v>2257</v>
      </c>
    </row>
    <row r="31" spans="1:9" ht="21" thickTop="1" thickBot="1" x14ac:dyDescent="0.35">
      <c r="A31" s="39">
        <f t="shared" si="4"/>
        <v>44121</v>
      </c>
      <c r="B31" s="40">
        <v>125227</v>
      </c>
      <c r="C31" s="41">
        <f t="shared" si="0"/>
        <v>340</v>
      </c>
      <c r="D31" s="42">
        <v>18658357</v>
      </c>
      <c r="E31" s="41">
        <f t="shared" si="1"/>
        <v>2179</v>
      </c>
      <c r="F31" s="42">
        <v>33509165</v>
      </c>
      <c r="G31" s="41">
        <f t="shared" si="2"/>
        <v>6098</v>
      </c>
      <c r="H31" s="42">
        <v>14829399</v>
      </c>
      <c r="I31" s="41">
        <f t="shared" si="3"/>
        <v>2350</v>
      </c>
    </row>
    <row r="32" spans="1:9" ht="21" thickTop="1" thickBot="1" x14ac:dyDescent="0.35">
      <c r="A32" s="39">
        <f t="shared" si="4"/>
        <v>44122</v>
      </c>
      <c r="B32" s="40">
        <v>125261</v>
      </c>
      <c r="C32" s="41">
        <f t="shared" si="0"/>
        <v>400</v>
      </c>
      <c r="D32" s="42">
        <v>18660536</v>
      </c>
      <c r="E32" s="41">
        <f t="shared" si="1"/>
        <v>4057</v>
      </c>
      <c r="F32" s="42">
        <v>33515263</v>
      </c>
      <c r="G32" s="41">
        <f t="shared" si="2"/>
        <v>5130</v>
      </c>
      <c r="H32" s="42">
        <v>14831749</v>
      </c>
      <c r="I32" s="41">
        <f t="shared" si="3"/>
        <v>2621</v>
      </c>
    </row>
    <row r="33" spans="1:9" ht="21" thickTop="1" thickBot="1" x14ac:dyDescent="0.35">
      <c r="A33" s="39">
        <f t="shared" si="4"/>
        <v>44123</v>
      </c>
      <c r="B33" s="40">
        <v>125301</v>
      </c>
      <c r="C33" s="41">
        <f t="shared" si="0"/>
        <v>360</v>
      </c>
      <c r="D33" s="42">
        <v>18664593</v>
      </c>
      <c r="E33" s="41">
        <f t="shared" si="1"/>
        <v>3380</v>
      </c>
      <c r="F33" s="42">
        <v>33520393</v>
      </c>
      <c r="G33" s="41">
        <f t="shared" si="2"/>
        <v>5102</v>
      </c>
      <c r="H33" s="42">
        <v>14834370</v>
      </c>
      <c r="I33" s="41">
        <f t="shared" si="3"/>
        <v>2600</v>
      </c>
    </row>
    <row r="34" spans="1:9" ht="21" thickTop="1" thickBot="1" x14ac:dyDescent="0.35">
      <c r="A34" s="39">
        <f t="shared" si="4"/>
        <v>44124</v>
      </c>
      <c r="B34" s="40">
        <v>125337</v>
      </c>
      <c r="C34" s="41">
        <f t="shared" si="0"/>
        <v>330</v>
      </c>
      <c r="D34" s="42">
        <v>18667973</v>
      </c>
      <c r="E34" s="41">
        <f t="shared" si="1"/>
        <v>4522</v>
      </c>
      <c r="F34" s="42">
        <v>33525495</v>
      </c>
      <c r="G34" s="41">
        <f t="shared" si="2"/>
        <v>6037</v>
      </c>
      <c r="H34" s="42">
        <v>14836970</v>
      </c>
      <c r="I34" s="41">
        <f t="shared" si="3"/>
        <v>3297</v>
      </c>
    </row>
    <row r="35" spans="1:9" ht="21" thickTop="1" thickBot="1" x14ac:dyDescent="0.35">
      <c r="A35" s="39">
        <f t="shared" si="4"/>
        <v>44125</v>
      </c>
      <c r="B35" s="40">
        <v>125370</v>
      </c>
      <c r="C35" s="41">
        <f t="shared" si="0"/>
        <v>430</v>
      </c>
      <c r="D35" s="42">
        <v>18672495</v>
      </c>
      <c r="E35" s="41">
        <f t="shared" si="1"/>
        <v>7027</v>
      </c>
      <c r="F35" s="42">
        <v>33531532</v>
      </c>
      <c r="G35" s="41">
        <f t="shared" si="2"/>
        <v>7252</v>
      </c>
      <c r="H35" s="42">
        <v>14840267</v>
      </c>
      <c r="I35" s="41">
        <f t="shared" si="3"/>
        <v>3361</v>
      </c>
    </row>
    <row r="36" spans="1:9" ht="21" thickTop="1" thickBot="1" x14ac:dyDescent="0.35">
      <c r="A36" s="39">
        <f t="shared" si="4"/>
        <v>44126</v>
      </c>
      <c r="B36" s="40">
        <v>125413</v>
      </c>
      <c r="C36" s="41">
        <f t="shared" si="0"/>
        <v>370</v>
      </c>
      <c r="D36" s="42">
        <v>18679522</v>
      </c>
      <c r="E36" s="41">
        <f t="shared" si="1"/>
        <v>3939</v>
      </c>
      <c r="F36" s="42">
        <v>33538784</v>
      </c>
      <c r="G36" s="41">
        <f t="shared" si="2"/>
        <v>5902</v>
      </c>
      <c r="H36" s="42">
        <v>14843628</v>
      </c>
      <c r="I36" s="41">
        <f t="shared" si="3"/>
        <v>3725</v>
      </c>
    </row>
    <row r="37" spans="1:9" ht="21" thickTop="1" thickBot="1" x14ac:dyDescent="0.35">
      <c r="A37" s="39">
        <f t="shared" si="4"/>
        <v>44127</v>
      </c>
      <c r="B37" s="40">
        <v>125450</v>
      </c>
      <c r="C37" s="41">
        <f t="shared" si="0"/>
        <v>410</v>
      </c>
      <c r="D37" s="42">
        <v>18683461</v>
      </c>
      <c r="E37" s="41">
        <f t="shared" si="1"/>
        <v>4096</v>
      </c>
      <c r="F37" s="42">
        <v>33544686</v>
      </c>
      <c r="G37" s="41">
        <f t="shared" si="2"/>
        <v>6799</v>
      </c>
      <c r="H37" s="42">
        <v>14847353</v>
      </c>
      <c r="I37" s="41">
        <f t="shared" si="3"/>
        <v>3405</v>
      </c>
    </row>
    <row r="38" spans="1:9" ht="21" thickTop="1" thickBot="1" x14ac:dyDescent="0.35">
      <c r="A38" s="39">
        <f t="shared" si="4"/>
        <v>44128</v>
      </c>
      <c r="B38" s="40">
        <v>125491</v>
      </c>
      <c r="C38" s="41">
        <f t="shared" si="0"/>
        <v>360</v>
      </c>
      <c r="D38" s="42">
        <v>18687557</v>
      </c>
      <c r="E38" s="41">
        <f t="shared" si="1"/>
        <v>4044</v>
      </c>
      <c r="F38" s="42">
        <v>33551485</v>
      </c>
      <c r="G38" s="41">
        <f t="shared" si="2"/>
        <v>6125</v>
      </c>
      <c r="H38" s="42">
        <v>14850758</v>
      </c>
      <c r="I38" s="41">
        <f t="shared" si="3"/>
        <v>3301</v>
      </c>
    </row>
    <row r="39" spans="1:9" ht="21" thickTop="1" thickBot="1" x14ac:dyDescent="0.35">
      <c r="A39" s="39">
        <f t="shared" si="4"/>
        <v>44129</v>
      </c>
      <c r="B39" s="40">
        <v>125527</v>
      </c>
      <c r="C39" s="41">
        <f t="shared" si="0"/>
        <v>350</v>
      </c>
      <c r="D39" s="42">
        <v>18691601</v>
      </c>
      <c r="E39" s="41">
        <f t="shared" si="1"/>
        <v>4159</v>
      </c>
      <c r="F39" s="42">
        <v>33557610</v>
      </c>
      <c r="G39" s="41">
        <f t="shared" si="2"/>
        <v>5695</v>
      </c>
      <c r="H39" s="42">
        <v>14854059</v>
      </c>
      <c r="I39" s="41">
        <f t="shared" si="3"/>
        <v>2821</v>
      </c>
    </row>
    <row r="40" spans="1:9" ht="21" thickTop="1" thickBot="1" x14ac:dyDescent="0.35">
      <c r="A40" s="39">
        <f t="shared" si="4"/>
        <v>44130</v>
      </c>
      <c r="B40" s="40">
        <v>125562</v>
      </c>
      <c r="C40" s="41">
        <f t="shared" si="0"/>
        <v>300</v>
      </c>
      <c r="D40" s="42">
        <v>18695760</v>
      </c>
      <c r="E40" s="41">
        <f t="shared" si="1"/>
        <v>3782</v>
      </c>
      <c r="F40" s="42">
        <v>33563305</v>
      </c>
      <c r="G40" s="41">
        <f t="shared" si="2"/>
        <v>5314</v>
      </c>
      <c r="H40" s="42">
        <v>14856880</v>
      </c>
      <c r="I40" s="41">
        <f t="shared" si="3"/>
        <v>2825</v>
      </c>
    </row>
    <row r="41" spans="1:9" ht="21" thickTop="1" thickBot="1" x14ac:dyDescent="0.35">
      <c r="A41" s="39">
        <f t="shared" si="4"/>
        <v>44131</v>
      </c>
      <c r="B41" s="40">
        <v>125592</v>
      </c>
      <c r="C41" s="41">
        <f t="shared" si="0"/>
        <v>710</v>
      </c>
      <c r="D41" s="42">
        <v>18699542</v>
      </c>
      <c r="E41" s="41">
        <f t="shared" si="1"/>
        <v>4353</v>
      </c>
      <c r="F41" s="42">
        <v>33568619</v>
      </c>
      <c r="G41" s="41">
        <f t="shared" si="2"/>
        <v>4896</v>
      </c>
      <c r="H41" s="42">
        <v>14859705</v>
      </c>
      <c r="I41" s="41">
        <f t="shared" si="3"/>
        <v>2227</v>
      </c>
    </row>
    <row r="42" spans="1:9" ht="21" thickTop="1" thickBot="1" x14ac:dyDescent="0.35">
      <c r="A42" s="39">
        <f t="shared" si="4"/>
        <v>44132</v>
      </c>
      <c r="B42" s="40">
        <v>125663</v>
      </c>
      <c r="C42" s="41">
        <f t="shared" si="0"/>
        <v>410</v>
      </c>
      <c r="D42" s="42">
        <v>18703895</v>
      </c>
      <c r="E42" s="41">
        <f t="shared" si="1"/>
        <v>5012</v>
      </c>
      <c r="F42" s="42">
        <v>33573515</v>
      </c>
      <c r="G42" s="41">
        <f t="shared" si="2"/>
        <v>7044</v>
      </c>
      <c r="H42" s="42">
        <v>14861932</v>
      </c>
      <c r="I42" s="41">
        <f t="shared" si="3"/>
        <v>3690</v>
      </c>
    </row>
    <row r="43" spans="1:9" ht="21" thickTop="1" thickBot="1" x14ac:dyDescent="0.35">
      <c r="A43" s="39">
        <f t="shared" si="4"/>
        <v>44133</v>
      </c>
      <c r="B43" s="40">
        <v>125704</v>
      </c>
      <c r="C43" s="41">
        <f t="shared" si="0"/>
        <v>400</v>
      </c>
      <c r="D43" s="42">
        <v>18708907</v>
      </c>
      <c r="E43" s="41">
        <f t="shared" si="1"/>
        <v>4703</v>
      </c>
      <c r="F43" s="42">
        <v>33580559</v>
      </c>
      <c r="G43" s="41">
        <f t="shared" si="2"/>
        <v>6501</v>
      </c>
      <c r="H43" s="42">
        <v>14865622</v>
      </c>
      <c r="I43" s="41">
        <f t="shared" si="3"/>
        <v>2905</v>
      </c>
    </row>
    <row r="44" spans="1:9" ht="21" thickTop="1" thickBot="1" x14ac:dyDescent="0.35">
      <c r="A44" s="39">
        <f t="shared" si="4"/>
        <v>44134</v>
      </c>
      <c r="B44" s="40">
        <v>125744</v>
      </c>
      <c r="C44" s="41">
        <f t="shared" si="0"/>
        <v>370</v>
      </c>
      <c r="D44" s="42">
        <v>18713610</v>
      </c>
      <c r="E44" s="41">
        <f t="shared" si="1"/>
        <v>3963</v>
      </c>
      <c r="F44" s="42">
        <v>33587060</v>
      </c>
      <c r="G44" s="41">
        <f t="shared" si="2"/>
        <v>6296</v>
      </c>
      <c r="H44" s="42">
        <v>14868527</v>
      </c>
      <c r="I44" s="41">
        <f t="shared" si="3"/>
        <v>2919</v>
      </c>
    </row>
    <row r="45" spans="1:9" ht="21" thickTop="1" thickBot="1" x14ac:dyDescent="0.35">
      <c r="A45" s="39">
        <f t="shared" si="4"/>
        <v>44135</v>
      </c>
      <c r="B45" s="40">
        <v>125781</v>
      </c>
      <c r="C45" s="41">
        <f t="shared" si="0"/>
        <v>410</v>
      </c>
      <c r="D45" s="42">
        <v>18717573</v>
      </c>
      <c r="E45" s="41">
        <f t="shared" si="1"/>
        <v>3062</v>
      </c>
      <c r="F45" s="42">
        <v>33593356</v>
      </c>
      <c r="G45" s="41">
        <f t="shared" si="2"/>
        <v>6170</v>
      </c>
      <c r="H45" s="42">
        <v>14871446</v>
      </c>
      <c r="I45" s="41">
        <f t="shared" si="3"/>
        <v>3770</v>
      </c>
    </row>
    <row r="46" spans="1:9" ht="21" thickTop="1" thickBot="1" x14ac:dyDescent="0.35">
      <c r="A46" s="39">
        <f t="shared" si="4"/>
        <v>44136</v>
      </c>
      <c r="B46" s="40">
        <v>125822</v>
      </c>
      <c r="C46" s="41">
        <f t="shared" si="0"/>
        <v>0</v>
      </c>
      <c r="D46" s="42">
        <v>18720635</v>
      </c>
      <c r="E46" s="41">
        <f t="shared" si="1"/>
        <v>0</v>
      </c>
      <c r="F46" s="42">
        <v>33599526</v>
      </c>
      <c r="G46" s="41">
        <f t="shared" si="2"/>
        <v>0</v>
      </c>
      <c r="H46" s="42">
        <v>14875216</v>
      </c>
      <c r="I46" s="41">
        <f t="shared" si="3"/>
        <v>0</v>
      </c>
    </row>
    <row r="47" spans="1:9" ht="21" thickTop="1" thickBot="1" x14ac:dyDescent="0.35">
      <c r="A47" s="39">
        <f t="shared" si="4"/>
        <v>44137</v>
      </c>
      <c r="B47" s="40"/>
      <c r="C47" s="41">
        <f t="shared" ref="C46:C47" si="5">IF(B48&lt;B47,0,B48-B47)*10</f>
        <v>0</v>
      </c>
      <c r="D47" s="42"/>
      <c r="E47" s="41">
        <f t="shared" ref="E46:E47" si="6">IF(D48&lt;D47,0,D48-D47)</f>
        <v>0</v>
      </c>
      <c r="F47" s="42"/>
      <c r="G47" s="41">
        <f t="shared" ref="G46:G47" si="7">IF(F48&lt;F47,0,F48-F47)</f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SUM(C15:C45)</f>
        <v>11320</v>
      </c>
      <c r="E48" s="41">
        <f>SUM(E15:E45)</f>
        <v>134144</v>
      </c>
      <c r="F48" s="53"/>
      <c r="G48" s="41">
        <f>SUM(G15:G45)</f>
        <v>199936</v>
      </c>
      <c r="H48" s="53"/>
      <c r="I48" s="41">
        <f>SUM(I15:I45)</f>
        <v>101607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116" priority="898" stopIfTrue="1" operator="lessThanOrEqual">
      <formula>0</formula>
    </cfRule>
  </conditionalFormatting>
  <conditionalFormatting sqref="C48">
    <cfRule type="cellIs" dxfId="115" priority="560" stopIfTrue="1" operator="lessThanOrEqual">
      <formula>0</formula>
    </cfRule>
  </conditionalFormatting>
  <conditionalFormatting sqref="C48">
    <cfRule type="cellIs" dxfId="114" priority="559" stopIfTrue="1" operator="lessThanOrEqual">
      <formula>0</formula>
    </cfRule>
  </conditionalFormatting>
  <conditionalFormatting sqref="C48">
    <cfRule type="cellIs" dxfId="113" priority="558" stopIfTrue="1" operator="lessThanOrEqual">
      <formula>0</formula>
    </cfRule>
  </conditionalFormatting>
  <conditionalFormatting sqref="C48">
    <cfRule type="cellIs" dxfId="112" priority="557" stopIfTrue="1" operator="lessThanOrEqual">
      <formula>0</formula>
    </cfRule>
  </conditionalFormatting>
  <conditionalFormatting sqref="C47">
    <cfRule type="cellIs" dxfId="111" priority="112" stopIfTrue="1" operator="lessThanOrEqual">
      <formula>0</formula>
    </cfRule>
  </conditionalFormatting>
  <conditionalFormatting sqref="C47">
    <cfRule type="cellIs" dxfId="110" priority="111" stopIfTrue="1" operator="lessThanOrEqual">
      <formula>0</formula>
    </cfRule>
  </conditionalFormatting>
  <conditionalFormatting sqref="C47">
    <cfRule type="cellIs" dxfId="109" priority="110" stopIfTrue="1" operator="lessThanOrEqual">
      <formula>0</formula>
    </cfRule>
  </conditionalFormatting>
  <conditionalFormatting sqref="C47">
    <cfRule type="cellIs" dxfId="108" priority="109" stopIfTrue="1" operator="lessThanOrEqual">
      <formula>0</formula>
    </cfRule>
  </conditionalFormatting>
  <conditionalFormatting sqref="C9:C10">
    <cfRule type="cellIs" dxfId="107" priority="108" stopIfTrue="1" operator="lessThanOrEqual">
      <formula>0</formula>
    </cfRule>
  </conditionalFormatting>
  <conditionalFormatting sqref="C9:C10">
    <cfRule type="cellIs" dxfId="106" priority="107" stopIfTrue="1" operator="lessThanOrEqual">
      <formula>0</formula>
    </cfRule>
  </conditionalFormatting>
  <conditionalFormatting sqref="C9:C10">
    <cfRule type="cellIs" dxfId="105" priority="106" stopIfTrue="1" operator="lessThanOrEqual">
      <formula>0</formula>
    </cfRule>
  </conditionalFormatting>
  <conditionalFormatting sqref="C9:C10">
    <cfRule type="cellIs" dxfId="104" priority="105" stopIfTrue="1" operator="lessThanOrEqual">
      <formula>0</formula>
    </cfRule>
  </conditionalFormatting>
  <conditionalFormatting sqref="C11">
    <cfRule type="cellIs" dxfId="103" priority="104" stopIfTrue="1" operator="lessThanOrEqual">
      <formula>0</formula>
    </cfRule>
  </conditionalFormatting>
  <conditionalFormatting sqref="C11">
    <cfRule type="cellIs" dxfId="102" priority="103" stopIfTrue="1" operator="lessThanOrEqual">
      <formula>0</formula>
    </cfRule>
  </conditionalFormatting>
  <conditionalFormatting sqref="C11">
    <cfRule type="cellIs" dxfId="101" priority="102" stopIfTrue="1" operator="lessThanOrEqual">
      <formula>0</formula>
    </cfRule>
  </conditionalFormatting>
  <conditionalFormatting sqref="C11">
    <cfRule type="cellIs" dxfId="100" priority="101" stopIfTrue="1" operator="lessThanOrEqual">
      <formula>0</formula>
    </cfRule>
  </conditionalFormatting>
  <conditionalFormatting sqref="C12">
    <cfRule type="cellIs" dxfId="99" priority="100" stopIfTrue="1" operator="lessThanOrEqual">
      <formula>0</formula>
    </cfRule>
  </conditionalFormatting>
  <conditionalFormatting sqref="C12">
    <cfRule type="cellIs" dxfId="98" priority="99" stopIfTrue="1" operator="lessThanOrEqual">
      <formula>0</formula>
    </cfRule>
  </conditionalFormatting>
  <conditionalFormatting sqref="C12">
    <cfRule type="cellIs" dxfId="97" priority="98" stopIfTrue="1" operator="lessThanOrEqual">
      <formula>0</formula>
    </cfRule>
  </conditionalFormatting>
  <conditionalFormatting sqref="C12">
    <cfRule type="cellIs" dxfId="96" priority="97" stopIfTrue="1" operator="lessThanOrEqual">
      <formula>0</formula>
    </cfRule>
  </conditionalFormatting>
  <conditionalFormatting sqref="C13">
    <cfRule type="cellIs" dxfId="95" priority="96" stopIfTrue="1" operator="lessThanOrEqual">
      <formula>0</formula>
    </cfRule>
  </conditionalFormatting>
  <conditionalFormatting sqref="C13">
    <cfRule type="cellIs" dxfId="94" priority="95" stopIfTrue="1" operator="lessThanOrEqual">
      <formula>0</formula>
    </cfRule>
  </conditionalFormatting>
  <conditionalFormatting sqref="C13">
    <cfRule type="cellIs" dxfId="93" priority="94" stopIfTrue="1" operator="lessThanOrEqual">
      <formula>0</formula>
    </cfRule>
  </conditionalFormatting>
  <conditionalFormatting sqref="C13">
    <cfRule type="cellIs" dxfId="92" priority="93" stopIfTrue="1" operator="lessThanOrEqual">
      <formula>0</formula>
    </cfRule>
  </conditionalFormatting>
  <conditionalFormatting sqref="C14">
    <cfRule type="cellIs" dxfId="91" priority="92" stopIfTrue="1" operator="lessThanOrEqual">
      <formula>0</formula>
    </cfRule>
  </conditionalFormatting>
  <conditionalFormatting sqref="C14">
    <cfRule type="cellIs" dxfId="90" priority="91" stopIfTrue="1" operator="lessThanOrEqual">
      <formula>0</formula>
    </cfRule>
  </conditionalFormatting>
  <conditionalFormatting sqref="C14">
    <cfRule type="cellIs" dxfId="89" priority="90" stopIfTrue="1" operator="lessThanOrEqual">
      <formula>0</formula>
    </cfRule>
  </conditionalFormatting>
  <conditionalFormatting sqref="C14">
    <cfRule type="cellIs" dxfId="88" priority="89" stopIfTrue="1" operator="lessThanOrEqual">
      <formula>0</formula>
    </cfRule>
  </conditionalFormatting>
  <conditionalFormatting sqref="C15">
    <cfRule type="cellIs" dxfId="87" priority="88" stopIfTrue="1" operator="lessThanOrEqual">
      <formula>0</formula>
    </cfRule>
  </conditionalFormatting>
  <conditionalFormatting sqref="C15">
    <cfRule type="cellIs" dxfId="86" priority="87" stopIfTrue="1" operator="lessThanOrEqual">
      <formula>0</formula>
    </cfRule>
  </conditionalFormatting>
  <conditionalFormatting sqref="C15">
    <cfRule type="cellIs" dxfId="85" priority="86" stopIfTrue="1" operator="lessThanOrEqual">
      <formula>0</formula>
    </cfRule>
  </conditionalFormatting>
  <conditionalFormatting sqref="C15">
    <cfRule type="cellIs" dxfId="84" priority="85" stopIfTrue="1" operator="lessThanOrEqual">
      <formula>0</formula>
    </cfRule>
  </conditionalFormatting>
  <conditionalFormatting sqref="E48">
    <cfRule type="cellIs" dxfId="83" priority="84" stopIfTrue="1" operator="lessThanOrEqual">
      <formula>0</formula>
    </cfRule>
  </conditionalFormatting>
  <conditionalFormatting sqref="E48">
    <cfRule type="cellIs" dxfId="82" priority="83" stopIfTrue="1" operator="lessThanOrEqual">
      <formula>0</formula>
    </cfRule>
  </conditionalFormatting>
  <conditionalFormatting sqref="E48">
    <cfRule type="cellIs" dxfId="81" priority="82" stopIfTrue="1" operator="lessThanOrEqual">
      <formula>0</formula>
    </cfRule>
  </conditionalFormatting>
  <conditionalFormatting sqref="E48">
    <cfRule type="cellIs" dxfId="80" priority="81" stopIfTrue="1" operator="lessThanOrEqual">
      <formula>0</formula>
    </cfRule>
  </conditionalFormatting>
  <conditionalFormatting sqref="G48">
    <cfRule type="cellIs" dxfId="79" priority="80" stopIfTrue="1" operator="lessThanOrEqual">
      <formula>0</formula>
    </cfRule>
  </conditionalFormatting>
  <conditionalFormatting sqref="G48">
    <cfRule type="cellIs" dxfId="78" priority="79" stopIfTrue="1" operator="lessThanOrEqual">
      <formula>0</formula>
    </cfRule>
  </conditionalFormatting>
  <conditionalFormatting sqref="G48">
    <cfRule type="cellIs" dxfId="77" priority="78" stopIfTrue="1" operator="lessThanOrEqual">
      <formula>0</formula>
    </cfRule>
  </conditionalFormatting>
  <conditionalFormatting sqref="G48">
    <cfRule type="cellIs" dxfId="76" priority="77" stopIfTrue="1" operator="lessThanOrEqual">
      <formula>0</formula>
    </cfRule>
  </conditionalFormatting>
  <conditionalFormatting sqref="I48">
    <cfRule type="cellIs" dxfId="75" priority="76" stopIfTrue="1" operator="lessThanOrEqual">
      <formula>0</formula>
    </cfRule>
  </conditionalFormatting>
  <conditionalFormatting sqref="I48">
    <cfRule type="cellIs" dxfId="74" priority="75" stopIfTrue="1" operator="lessThanOrEqual">
      <formula>0</formula>
    </cfRule>
  </conditionalFormatting>
  <conditionalFormatting sqref="I48">
    <cfRule type="cellIs" dxfId="73" priority="74" stopIfTrue="1" operator="lessThanOrEqual">
      <formula>0</formula>
    </cfRule>
  </conditionalFormatting>
  <conditionalFormatting sqref="I48">
    <cfRule type="cellIs" dxfId="72" priority="73" stopIfTrue="1" operator="lessThanOrEqual">
      <formula>0</formula>
    </cfRule>
  </conditionalFormatting>
  <conditionalFormatting sqref="C16">
    <cfRule type="cellIs" dxfId="71" priority="72" stopIfTrue="1" operator="lessThanOrEqual">
      <formula>0</formula>
    </cfRule>
  </conditionalFormatting>
  <conditionalFormatting sqref="C16">
    <cfRule type="cellIs" dxfId="70" priority="71" stopIfTrue="1" operator="lessThanOrEqual">
      <formula>0</formula>
    </cfRule>
  </conditionalFormatting>
  <conditionalFormatting sqref="C16">
    <cfRule type="cellIs" dxfId="69" priority="70" stopIfTrue="1" operator="lessThanOrEqual">
      <formula>0</formula>
    </cfRule>
  </conditionalFormatting>
  <conditionalFormatting sqref="C16">
    <cfRule type="cellIs" dxfId="68" priority="69" stopIfTrue="1" operator="lessThanOrEqual">
      <formula>0</formula>
    </cfRule>
  </conditionalFormatting>
  <conditionalFormatting sqref="C17:C19">
    <cfRule type="cellIs" dxfId="67" priority="68" stopIfTrue="1" operator="lessThanOrEqual">
      <formula>0</formula>
    </cfRule>
  </conditionalFormatting>
  <conditionalFormatting sqref="C17:C19">
    <cfRule type="cellIs" dxfId="66" priority="67" stopIfTrue="1" operator="lessThanOrEqual">
      <formula>0</formula>
    </cfRule>
  </conditionalFormatting>
  <conditionalFormatting sqref="C17:C19">
    <cfRule type="cellIs" dxfId="65" priority="66" stopIfTrue="1" operator="lessThanOrEqual">
      <formula>0</formula>
    </cfRule>
  </conditionalFormatting>
  <conditionalFormatting sqref="C17:C19">
    <cfRule type="cellIs" dxfId="64" priority="65" stopIfTrue="1" operator="lessThanOrEqual">
      <formula>0</formula>
    </cfRule>
  </conditionalFormatting>
  <conditionalFormatting sqref="C20">
    <cfRule type="cellIs" dxfId="63" priority="64" stopIfTrue="1" operator="lessThanOrEqual">
      <formula>0</formula>
    </cfRule>
  </conditionalFormatting>
  <conditionalFormatting sqref="C20">
    <cfRule type="cellIs" dxfId="62" priority="63" stopIfTrue="1" operator="lessThanOrEqual">
      <formula>0</formula>
    </cfRule>
  </conditionalFormatting>
  <conditionalFormatting sqref="C20">
    <cfRule type="cellIs" dxfId="61" priority="62" stopIfTrue="1" operator="lessThanOrEqual">
      <formula>0</formula>
    </cfRule>
  </conditionalFormatting>
  <conditionalFormatting sqref="C20">
    <cfRule type="cellIs" dxfId="60" priority="61" stopIfTrue="1" operator="lessThanOrEqual">
      <formula>0</formula>
    </cfRule>
  </conditionalFormatting>
  <conditionalFormatting sqref="C21">
    <cfRule type="cellIs" dxfId="59" priority="60" stopIfTrue="1" operator="lessThanOrEqual">
      <formula>0</formula>
    </cfRule>
  </conditionalFormatting>
  <conditionalFormatting sqref="C21">
    <cfRule type="cellIs" dxfId="58" priority="59" stopIfTrue="1" operator="lessThanOrEqual">
      <formula>0</formula>
    </cfRule>
  </conditionalFormatting>
  <conditionalFormatting sqref="C21">
    <cfRule type="cellIs" dxfId="57" priority="58" stopIfTrue="1" operator="lessThanOrEqual">
      <formula>0</formula>
    </cfRule>
  </conditionalFormatting>
  <conditionalFormatting sqref="C21">
    <cfRule type="cellIs" dxfId="56" priority="57" stopIfTrue="1" operator="lessThanOrEqual">
      <formula>0</formula>
    </cfRule>
  </conditionalFormatting>
  <conditionalFormatting sqref="C22">
    <cfRule type="cellIs" dxfId="55" priority="56" stopIfTrue="1" operator="lessThanOrEqual">
      <formula>0</formula>
    </cfRule>
  </conditionalFormatting>
  <conditionalFormatting sqref="C22">
    <cfRule type="cellIs" dxfId="54" priority="55" stopIfTrue="1" operator="lessThanOrEqual">
      <formula>0</formula>
    </cfRule>
  </conditionalFormatting>
  <conditionalFormatting sqref="C22">
    <cfRule type="cellIs" dxfId="53" priority="54" stopIfTrue="1" operator="lessThanOrEqual">
      <formula>0</formula>
    </cfRule>
  </conditionalFormatting>
  <conditionalFormatting sqref="C22">
    <cfRule type="cellIs" dxfId="52" priority="53" stopIfTrue="1" operator="lessThanOrEqual">
      <formula>0</formula>
    </cfRule>
  </conditionalFormatting>
  <conditionalFormatting sqref="C23:C27">
    <cfRule type="cellIs" dxfId="51" priority="48" stopIfTrue="1" operator="lessThanOrEqual">
      <formula>0</formula>
    </cfRule>
  </conditionalFormatting>
  <conditionalFormatting sqref="C23:C27">
    <cfRule type="cellIs" dxfId="50" priority="47" stopIfTrue="1" operator="lessThanOrEqual">
      <formula>0</formula>
    </cfRule>
  </conditionalFormatting>
  <conditionalFormatting sqref="C23:C27">
    <cfRule type="cellIs" dxfId="49" priority="46" stopIfTrue="1" operator="lessThanOrEqual">
      <formula>0</formula>
    </cfRule>
  </conditionalFormatting>
  <conditionalFormatting sqref="C23:C27">
    <cfRule type="cellIs" dxfId="48" priority="45" stopIfTrue="1" operator="lessThanOrEqual">
      <formula>0</formula>
    </cfRule>
  </conditionalFormatting>
  <conditionalFormatting sqref="C28">
    <cfRule type="cellIs" dxfId="47" priority="44" stopIfTrue="1" operator="lessThanOrEqual">
      <formula>0</formula>
    </cfRule>
  </conditionalFormatting>
  <conditionalFormatting sqref="C28">
    <cfRule type="cellIs" dxfId="46" priority="43" stopIfTrue="1" operator="lessThanOrEqual">
      <formula>0</formula>
    </cfRule>
  </conditionalFormatting>
  <conditionalFormatting sqref="C28">
    <cfRule type="cellIs" dxfId="45" priority="42" stopIfTrue="1" operator="lessThanOrEqual">
      <formula>0</formula>
    </cfRule>
  </conditionalFormatting>
  <conditionalFormatting sqref="C28">
    <cfRule type="cellIs" dxfId="44" priority="41" stopIfTrue="1" operator="lessThanOrEqual">
      <formula>0</formula>
    </cfRule>
  </conditionalFormatting>
  <conditionalFormatting sqref="C29">
    <cfRule type="cellIs" dxfId="43" priority="40" stopIfTrue="1" operator="lessThanOrEqual">
      <formula>0</formula>
    </cfRule>
  </conditionalFormatting>
  <conditionalFormatting sqref="C29">
    <cfRule type="cellIs" dxfId="42" priority="39" stopIfTrue="1" operator="lessThanOrEqual">
      <formula>0</formula>
    </cfRule>
  </conditionalFormatting>
  <conditionalFormatting sqref="C29">
    <cfRule type="cellIs" dxfId="41" priority="38" stopIfTrue="1" operator="lessThanOrEqual">
      <formula>0</formula>
    </cfRule>
  </conditionalFormatting>
  <conditionalFormatting sqref="C29">
    <cfRule type="cellIs" dxfId="40" priority="37" stopIfTrue="1" operator="lessThanOrEqual">
      <formula>0</formula>
    </cfRule>
  </conditionalFormatting>
  <conditionalFormatting sqref="C30:C33">
    <cfRule type="cellIs" dxfId="39" priority="36" stopIfTrue="1" operator="lessThanOrEqual">
      <formula>0</formula>
    </cfRule>
  </conditionalFormatting>
  <conditionalFormatting sqref="C30:C33">
    <cfRule type="cellIs" dxfId="38" priority="35" stopIfTrue="1" operator="lessThanOrEqual">
      <formula>0</formula>
    </cfRule>
  </conditionalFormatting>
  <conditionalFormatting sqref="C30:C33">
    <cfRule type="cellIs" dxfId="37" priority="34" stopIfTrue="1" operator="lessThanOrEqual">
      <formula>0</formula>
    </cfRule>
  </conditionalFormatting>
  <conditionalFormatting sqref="C30:C33">
    <cfRule type="cellIs" dxfId="36" priority="33" stopIfTrue="1" operator="lessThanOrEqual">
      <formula>0</formula>
    </cfRule>
  </conditionalFormatting>
  <conditionalFormatting sqref="C34">
    <cfRule type="cellIs" dxfId="35" priority="32" stopIfTrue="1" operator="lessThanOrEqual">
      <formula>0</formula>
    </cfRule>
  </conditionalFormatting>
  <conditionalFormatting sqref="C34">
    <cfRule type="cellIs" dxfId="34" priority="31" stopIfTrue="1" operator="lessThanOrEqual">
      <formula>0</formula>
    </cfRule>
  </conditionalFormatting>
  <conditionalFormatting sqref="C34">
    <cfRule type="cellIs" dxfId="33" priority="30" stopIfTrue="1" operator="lessThanOrEqual">
      <formula>0</formula>
    </cfRule>
  </conditionalFormatting>
  <conditionalFormatting sqref="C34">
    <cfRule type="cellIs" dxfId="32" priority="29" stopIfTrue="1" operator="lessThanOrEqual">
      <formula>0</formula>
    </cfRule>
  </conditionalFormatting>
  <conditionalFormatting sqref="C35">
    <cfRule type="cellIs" dxfId="31" priority="28" stopIfTrue="1" operator="lessThanOrEqual">
      <formula>0</formula>
    </cfRule>
  </conditionalFormatting>
  <conditionalFormatting sqref="C35">
    <cfRule type="cellIs" dxfId="30" priority="27" stopIfTrue="1" operator="lessThanOrEqual">
      <formula>0</formula>
    </cfRule>
  </conditionalFormatting>
  <conditionalFormatting sqref="C35">
    <cfRule type="cellIs" dxfId="29" priority="26" stopIfTrue="1" operator="lessThanOrEqual">
      <formula>0</formula>
    </cfRule>
  </conditionalFormatting>
  <conditionalFormatting sqref="C35">
    <cfRule type="cellIs" dxfId="28" priority="25" stopIfTrue="1" operator="lessThanOrEqual">
      <formula>0</formula>
    </cfRule>
  </conditionalFormatting>
  <conditionalFormatting sqref="C36">
    <cfRule type="cellIs" dxfId="27" priority="24" stopIfTrue="1" operator="lessThanOrEqual">
      <formula>0</formula>
    </cfRule>
  </conditionalFormatting>
  <conditionalFormatting sqref="C36">
    <cfRule type="cellIs" dxfId="26" priority="23" stopIfTrue="1" operator="lessThanOrEqual">
      <formula>0</formula>
    </cfRule>
  </conditionalFormatting>
  <conditionalFormatting sqref="C36">
    <cfRule type="cellIs" dxfId="25" priority="22" stopIfTrue="1" operator="lessThanOrEqual">
      <formula>0</formula>
    </cfRule>
  </conditionalFormatting>
  <conditionalFormatting sqref="C36">
    <cfRule type="cellIs" dxfId="24" priority="21" stopIfTrue="1" operator="lessThanOrEqual">
      <formula>0</formula>
    </cfRule>
  </conditionalFormatting>
  <conditionalFormatting sqref="C37:C38">
    <cfRule type="cellIs" dxfId="23" priority="20" stopIfTrue="1" operator="lessThanOrEqual">
      <formula>0</formula>
    </cfRule>
  </conditionalFormatting>
  <conditionalFormatting sqref="C37:C38">
    <cfRule type="cellIs" dxfId="22" priority="19" stopIfTrue="1" operator="lessThanOrEqual">
      <formula>0</formula>
    </cfRule>
  </conditionalFormatting>
  <conditionalFormatting sqref="C37:C38">
    <cfRule type="cellIs" dxfId="21" priority="18" stopIfTrue="1" operator="lessThanOrEqual">
      <formula>0</formula>
    </cfRule>
  </conditionalFormatting>
  <conditionalFormatting sqref="C37:C38">
    <cfRule type="cellIs" dxfId="20" priority="17" stopIfTrue="1" operator="lessThanOrEqual">
      <formula>0</formula>
    </cfRule>
  </conditionalFormatting>
  <conditionalFormatting sqref="C39">
    <cfRule type="cellIs" dxfId="19" priority="16" stopIfTrue="1" operator="lessThanOrEqual">
      <formula>0</formula>
    </cfRule>
  </conditionalFormatting>
  <conditionalFormatting sqref="C39">
    <cfRule type="cellIs" dxfId="18" priority="15" stopIfTrue="1" operator="lessThanOrEqual">
      <formula>0</formula>
    </cfRule>
  </conditionalFormatting>
  <conditionalFormatting sqref="C39">
    <cfRule type="cellIs" dxfId="17" priority="14" stopIfTrue="1" operator="lessThanOrEqual">
      <formula>0</formula>
    </cfRule>
  </conditionalFormatting>
  <conditionalFormatting sqref="C39">
    <cfRule type="cellIs" dxfId="16" priority="13" stopIfTrue="1" operator="lessThanOrEqual">
      <formula>0</formula>
    </cfRule>
  </conditionalFormatting>
  <conditionalFormatting sqref="C40">
    <cfRule type="cellIs" dxfId="15" priority="12" stopIfTrue="1" operator="lessThanOrEqual">
      <formula>0</formula>
    </cfRule>
  </conditionalFormatting>
  <conditionalFormatting sqref="C40">
    <cfRule type="cellIs" dxfId="14" priority="11" stopIfTrue="1" operator="lessThanOrEqual">
      <formula>0</formula>
    </cfRule>
  </conditionalFormatting>
  <conditionalFormatting sqref="C40">
    <cfRule type="cellIs" dxfId="13" priority="10" stopIfTrue="1" operator="lessThanOrEqual">
      <formula>0</formula>
    </cfRule>
  </conditionalFormatting>
  <conditionalFormatting sqref="C40">
    <cfRule type="cellIs" dxfId="12" priority="9" stopIfTrue="1" operator="lessThanOrEqual">
      <formula>0</formula>
    </cfRule>
  </conditionalFormatting>
  <conditionalFormatting sqref="C41:C45">
    <cfRule type="cellIs" dxfId="11" priority="8" stopIfTrue="1" operator="lessThanOrEqual">
      <formula>0</formula>
    </cfRule>
  </conditionalFormatting>
  <conditionalFormatting sqref="C41:C45">
    <cfRule type="cellIs" dxfId="10" priority="7" stopIfTrue="1" operator="lessThanOrEqual">
      <formula>0</formula>
    </cfRule>
  </conditionalFormatting>
  <conditionalFormatting sqref="C41:C45">
    <cfRule type="cellIs" dxfId="9" priority="6" stopIfTrue="1" operator="lessThanOrEqual">
      <formula>0</formula>
    </cfRule>
  </conditionalFormatting>
  <conditionalFormatting sqref="C41:C45">
    <cfRule type="cellIs" dxfId="8" priority="5" stopIfTrue="1" operator="lessThanOrEqual">
      <formula>0</formula>
    </cfRule>
  </conditionalFormatting>
  <conditionalFormatting sqref="C46">
    <cfRule type="cellIs" dxfId="7" priority="4" stopIfTrue="1" operator="lessThanOrEqual">
      <formula>0</formula>
    </cfRule>
  </conditionalFormatting>
  <conditionalFormatting sqref="C46">
    <cfRule type="cellIs" dxfId="5" priority="3" stopIfTrue="1" operator="lessThanOrEqual">
      <formula>0</formula>
    </cfRule>
  </conditionalFormatting>
  <conditionalFormatting sqref="C46">
    <cfRule type="cellIs" dxfId="3" priority="2" stopIfTrue="1" operator="lessThanOrEqual">
      <formula>0</formula>
    </cfRule>
  </conditionalFormatting>
  <conditionalFormatting sqref="C46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01.10 au 31.10</vt:lpstr>
      <vt:lpstr>Suivi Gaz</vt:lpstr>
      <vt:lpstr>Suivi EAU-ELEC</vt:lpstr>
      <vt:lpstr>Feuil1</vt:lpstr>
      <vt:lpstr>'Consommation du 01.10 au 31.10'!Print_Area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2020-11-03T07:33:27Z</dcterms:modified>
</cp:coreProperties>
</file>