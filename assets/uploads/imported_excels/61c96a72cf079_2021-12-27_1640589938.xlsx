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4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<sst xmlns="http://schemas.openxmlformats.org/spreadsheetml/2006/main" count="608" uniqueCount="78">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</sst>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28" workbookViewId="0">
      <selection activeCell="P351" sqref="P35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53">
        <v>1.1599999999999999</v>
      </c>
      <c r="G348" s="4">
        <f>'Gas Water'!M350</f>
        <v>2301</v>
      </c>
      <c r="H348" s="153">
        <v>3.85</v>
      </c>
      <c r="I348" s="2">
        <f>'Gas Water'!L350</f>
        <v>155</v>
      </c>
      <c r="J348" s="153">
        <v>14.95</v>
      </c>
      <c r="K348" s="5">
        <v>125</v>
      </c>
      <c r="L348" s="5">
        <v>181</v>
      </c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53">
        <v>1.1599999999999999</v>
      </c>
      <c r="G349" s="4">
        <f>'Gas Water'!M351</f>
        <v>2543</v>
      </c>
      <c r="H349" s="153">
        <v>3.85</v>
      </c>
      <c r="I349" s="2">
        <f>'Gas Water'!L351</f>
        <v>169</v>
      </c>
      <c r="J349" s="153">
        <v>14.95</v>
      </c>
      <c r="K349" s="5">
        <v>143</v>
      </c>
      <c r="L349" s="5">
        <v>197</v>
      </c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>
        <f>'Electricity '!I351+'Electricity '!O351</f>
        <v>26044.739999999751</v>
      </c>
      <c r="F350" s="153">
        <v>1.1599999999999999</v>
      </c>
      <c r="G350" s="4">
        <f>'Gas Water'!M352</f>
        <v>3272</v>
      </c>
      <c r="H350" s="153">
        <v>3.85</v>
      </c>
      <c r="I350" s="2">
        <f>'Gas Water'!L352</f>
        <v>160</v>
      </c>
      <c r="J350" s="153">
        <v>14.95</v>
      </c>
      <c r="K350" s="5">
        <v>141</v>
      </c>
      <c r="L350" s="5">
        <v>211</v>
      </c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>
        <f>'Electricity '!I352+'Electricity '!O352</f>
        <v>24500.520000000499</v>
      </c>
      <c r="F351" s="153">
        <v>1.1599999999999999</v>
      </c>
      <c r="G351" s="4">
        <f>'Gas Water'!M353</f>
        <v>3224</v>
      </c>
      <c r="H351" s="153">
        <v>3.85</v>
      </c>
      <c r="I351" s="2">
        <f>'Gas Water'!L353</f>
        <v>183</v>
      </c>
      <c r="J351" s="153">
        <v>14.95</v>
      </c>
      <c r="K351" s="5">
        <v>152</v>
      </c>
      <c r="L351" s="5">
        <v>240</v>
      </c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>
        <f>'Electricity '!I353+'Electricity '!O353</f>
        <v>25142.219999999441</v>
      </c>
      <c r="F352" s="153">
        <v>1.1599999999999999</v>
      </c>
      <c r="G352" s="4">
        <f>'Gas Water'!M354</f>
        <v>3264</v>
      </c>
      <c r="H352" s="153">
        <v>3.85</v>
      </c>
      <c r="I352" s="2">
        <f>'Gas Water'!L354</f>
        <v>163</v>
      </c>
      <c r="J352" s="153">
        <v>14.95</v>
      </c>
      <c r="K352" s="5">
        <v>141</v>
      </c>
      <c r="L352" s="5">
        <v>248</v>
      </c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>
        <f>'Electricity '!I354+'Electricity '!O354</f>
        <v>23304.060000000551</v>
      </c>
      <c r="F353" s="153">
        <v>1.1599999999999999</v>
      </c>
      <c r="G353" s="4">
        <f>'Gas Water'!M355</f>
        <v>2973</v>
      </c>
      <c r="H353" s="153">
        <v>3.85</v>
      </c>
      <c r="I353" s="2">
        <f>'Gas Water'!L355</f>
        <v>173</v>
      </c>
      <c r="J353" s="153">
        <v>14.95</v>
      </c>
      <c r="K353" s="5">
        <v>140</v>
      </c>
      <c r="L353" s="5">
        <v>256</v>
      </c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>
        <f>'Electricity '!I355+'Electricity '!O355</f>
        <v>23817.419999999707</v>
      </c>
      <c r="F354" s="153">
        <v>1.1599999999999999</v>
      </c>
      <c r="G354" s="4">
        <f>'Gas Water'!M356</f>
        <v>3010</v>
      </c>
      <c r="H354" s="153">
        <v>3.85</v>
      </c>
      <c r="I354" s="2">
        <f>'Gas Water'!L356</f>
        <v>196</v>
      </c>
      <c r="J354" s="153">
        <v>14.95</v>
      </c>
      <c r="K354" s="5">
        <v>122</v>
      </c>
      <c r="L354" s="5">
        <v>223</v>
      </c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>
        <f>'Electricity '!I356+'Electricity '!O356</f>
        <v>25696.980000000443</v>
      </c>
      <c r="F355" s="153">
        <v>1.1599999999999999</v>
      </c>
      <c r="G355" s="4">
        <f>'Gas Water'!M357</f>
        <v>3228</v>
      </c>
      <c r="H355" s="153">
        <v>3.85</v>
      </c>
      <c r="I355" s="2">
        <f>'Gas Water'!L357</f>
        <v>215</v>
      </c>
      <c r="J355" s="153">
        <v>14.95</v>
      </c>
      <c r="K355" s="5">
        <v>156</v>
      </c>
      <c r="L355" s="5">
        <v>288</v>
      </c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>
        <f>'Electricity '!I357+'Electricity '!O357</f>
        <v>24761.339999999978</v>
      </c>
      <c r="F356" s="153">
        <v>1.1599999999999999</v>
      </c>
      <c r="G356" s="4">
        <f>'Gas Water'!M358</f>
        <v>3545</v>
      </c>
      <c r="H356" s="153">
        <v>3.85</v>
      </c>
      <c r="I356" s="2">
        <f>'Gas Water'!L358</f>
        <v>197</v>
      </c>
      <c r="J356" s="153">
        <v>14.95</v>
      </c>
      <c r="K356" s="5">
        <v>149</v>
      </c>
      <c r="L356" s="5">
        <v>274</v>
      </c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>
        <f>'Electricity '!I358+'Electricity '!O358</f>
        <v>23821.559999999608</v>
      </c>
      <c r="F357" s="153">
        <v>1.1599999999999999</v>
      </c>
      <c r="G357" s="4">
        <f>'Gas Water'!M359</f>
        <v>3520</v>
      </c>
      <c r="H357" s="153">
        <v>3.85</v>
      </c>
      <c r="I357" s="2">
        <f>'Gas Water'!L359</f>
        <v>169</v>
      </c>
      <c r="J357" s="153">
        <v>14.95</v>
      </c>
      <c r="K357" s="5">
        <v>141</v>
      </c>
      <c r="L357" s="5">
        <v>286</v>
      </c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>
        <f>'Electricity '!I359+'Electricity '!O359</f>
        <v>22169.700000000077</v>
      </c>
      <c r="F358" s="153">
        <v>1.1599999999999999</v>
      </c>
      <c r="G358" s="4">
        <f>'Gas Water'!M360</f>
        <v>3676</v>
      </c>
      <c r="H358" s="153">
        <v>3.85</v>
      </c>
      <c r="I358" s="2">
        <f>'Gas Water'!L360</f>
        <v>180</v>
      </c>
      <c r="J358" s="153">
        <v>14.95</v>
      </c>
      <c r="K358" s="5">
        <v>132</v>
      </c>
      <c r="L358" s="5">
        <v>276</v>
      </c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>
        <f>'Electricity '!I360+'Electricity '!O360</f>
        <v>24297.659999999647</v>
      </c>
      <c r="F359" s="153">
        <v>1.1599999999999999</v>
      </c>
      <c r="G359" s="4">
        <f>'Gas Water'!M361</f>
        <v>3213</v>
      </c>
      <c r="H359" s="153">
        <v>3.85</v>
      </c>
      <c r="I359" s="2">
        <f>'Gas Water'!L361</f>
        <v>182</v>
      </c>
      <c r="J359" s="153">
        <v>14.95</v>
      </c>
      <c r="K359" s="5">
        <v>153</v>
      </c>
      <c r="L359" s="5">
        <v>312</v>
      </c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>
        <f>'Electricity '!I361+'Electricity '!O361</f>
        <v>23072.220000000383</v>
      </c>
      <c r="F360" s="153">
        <v>1.1599999999999999</v>
      </c>
      <c r="G360" s="4">
        <f>'Gas Water'!M362</f>
        <v>2824</v>
      </c>
      <c r="H360" s="153">
        <v>3.85</v>
      </c>
      <c r="I360" s="2">
        <f>'Gas Water'!L362</f>
        <v>184</v>
      </c>
      <c r="J360" s="153">
        <v>14.95</v>
      </c>
      <c r="K360" s="5">
        <v>149</v>
      </c>
      <c r="L360" s="5">
        <v>298</v>
      </c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>
        <f>'Electricity '!I362+'Electricity '!O362</f>
        <v>24852.419999999707</v>
      </c>
      <c r="F361" s="153">
        <v>1.1599999999999999</v>
      </c>
      <c r="G361" s="4">
        <f>'Gas Water'!M363</f>
        <v>2495</v>
      </c>
      <c r="H361" s="153">
        <v>3.85</v>
      </c>
      <c r="I361" s="2">
        <f>'Gas Water'!L363</f>
        <v>193</v>
      </c>
      <c r="J361" s="153">
        <v>14.95</v>
      </c>
      <c r="K361" s="5">
        <v>150</v>
      </c>
      <c r="L361" s="5">
        <v>291</v>
      </c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1.1599999999999999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14.95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1.1599999999999999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14.95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1.1599999999999999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14.95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22" workbookViewId="0">
      <selection activeCell="Q354" sqref="Q35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>
        <v>16228335</v>
      </c>
      <c r="D352" s="24">
        <v>5058277</v>
      </c>
      <c r="E352" s="25">
        <v>240907</v>
      </c>
      <c r="F352" s="26">
        <v>635782</v>
      </c>
      <c r="G352" s="27">
        <v>291049</v>
      </c>
      <c r="H352" s="28">
        <f t="shared" si="26"/>
        <v>0</v>
      </c>
      <c r="I352" s="28">
        <f t="shared" si="26"/>
        <v>2855</v>
      </c>
      <c r="J352" s="28">
        <f t="shared" si="26"/>
        <v>241</v>
      </c>
      <c r="K352" s="28">
        <f t="shared" si="26"/>
        <v>176</v>
      </c>
      <c r="L352" s="29">
        <f t="shared" si="26"/>
        <v>160</v>
      </c>
      <c r="M352" s="30">
        <f t="shared" si="27"/>
        <v>3272</v>
      </c>
      <c r="Q352" s="20">
        <f t="shared" si="29"/>
        <v>0</v>
      </c>
    </row>
    <row r="353" spans="2:17" ht="12.95" customHeight="1" x14ac:dyDescent="0.2">
      <c r="B353" s="22">
        <v>44546</v>
      </c>
      <c r="C353" s="41">
        <v>16228335</v>
      </c>
      <c r="D353" s="24">
        <v>5061091</v>
      </c>
      <c r="E353" s="25">
        <v>241132</v>
      </c>
      <c r="F353" s="26">
        <v>635967</v>
      </c>
      <c r="G353" s="27">
        <v>291232</v>
      </c>
      <c r="H353" s="28">
        <f t="shared" si="26"/>
        <v>0</v>
      </c>
      <c r="I353" s="28">
        <f t="shared" si="26"/>
        <v>2814</v>
      </c>
      <c r="J353" s="28">
        <f t="shared" si="26"/>
        <v>225</v>
      </c>
      <c r="K353" s="28">
        <f>IF(F353="","",+(F353-F352))</f>
        <v>185</v>
      </c>
      <c r="L353" s="29">
        <f t="shared" si="26"/>
        <v>183</v>
      </c>
      <c r="M353" s="30">
        <f t="shared" si="27"/>
        <v>3224</v>
      </c>
      <c r="Q353" s="20">
        <f t="shared" si="29"/>
        <v>0</v>
      </c>
    </row>
    <row r="354" spans="2:17" ht="12.95" customHeight="1" x14ac:dyDescent="0.2">
      <c r="B354" s="22">
        <v>44547</v>
      </c>
      <c r="C354" s="41">
        <v>16228335</v>
      </c>
      <c r="D354" s="24">
        <v>5063979</v>
      </c>
      <c r="E354" s="25">
        <v>241324</v>
      </c>
      <c r="F354" s="26">
        <v>636151</v>
      </c>
      <c r="G354" s="27">
        <v>291395</v>
      </c>
      <c r="H354" s="28">
        <f t="shared" si="26"/>
        <v>0</v>
      </c>
      <c r="I354" s="28">
        <f t="shared" si="26"/>
        <v>2888</v>
      </c>
      <c r="J354" s="28">
        <f t="shared" si="26"/>
        <v>192</v>
      </c>
      <c r="K354" s="28">
        <f t="shared" si="26"/>
        <v>184</v>
      </c>
      <c r="L354" s="29">
        <f t="shared" si="26"/>
        <v>163</v>
      </c>
      <c r="M354" s="30">
        <f t="shared" si="27"/>
        <v>3264</v>
      </c>
      <c r="Q354" s="20">
        <f t="shared" si="29"/>
        <v>0</v>
      </c>
    </row>
    <row r="355" spans="2:17" ht="12.95" customHeight="1" x14ac:dyDescent="0.2">
      <c r="B355" s="22">
        <v>44548</v>
      </c>
      <c r="C355" s="41">
        <v>16228335</v>
      </c>
      <c r="D355" s="24">
        <v>5066626</v>
      </c>
      <c r="E355" s="25">
        <v>241451</v>
      </c>
      <c r="F355" s="26">
        <v>636350</v>
      </c>
      <c r="G355" s="27">
        <v>291568</v>
      </c>
      <c r="H355" s="28">
        <f t="shared" si="26"/>
        <v>0</v>
      </c>
      <c r="I355" s="28">
        <f t="shared" si="26"/>
        <v>2647</v>
      </c>
      <c r="J355" s="28">
        <f t="shared" si="26"/>
        <v>127</v>
      </c>
      <c r="K355" s="28">
        <f t="shared" si="26"/>
        <v>199</v>
      </c>
      <c r="L355" s="29">
        <f t="shared" si="26"/>
        <v>173</v>
      </c>
      <c r="M355" s="30">
        <f t="shared" si="27"/>
        <v>2973</v>
      </c>
      <c r="Q355" s="20">
        <f t="shared" si="29"/>
        <v>0</v>
      </c>
    </row>
    <row r="356" spans="2:17" ht="12.95" customHeight="1" x14ac:dyDescent="0.2">
      <c r="B356" s="22">
        <v>44549</v>
      </c>
      <c r="C356" s="41">
        <v>16228335</v>
      </c>
      <c r="D356" s="24">
        <v>5069280</v>
      </c>
      <c r="E356" s="25">
        <v>241602</v>
      </c>
      <c r="F356" s="26">
        <v>636555</v>
      </c>
      <c r="G356" s="27">
        <v>291764</v>
      </c>
      <c r="H356" s="28">
        <f t="shared" si="26"/>
        <v>0</v>
      </c>
      <c r="I356" s="28">
        <f t="shared" si="26"/>
        <v>2654</v>
      </c>
      <c r="J356" s="28">
        <f t="shared" si="26"/>
        <v>151</v>
      </c>
      <c r="K356" s="28">
        <f t="shared" si="26"/>
        <v>205</v>
      </c>
      <c r="L356" s="29">
        <f t="shared" si="26"/>
        <v>196</v>
      </c>
      <c r="M356" s="30">
        <f t="shared" si="27"/>
        <v>3010</v>
      </c>
      <c r="Q356" s="20">
        <f t="shared" si="29"/>
        <v>0</v>
      </c>
    </row>
    <row r="357" spans="2:17" ht="12.95" customHeight="1" x14ac:dyDescent="0.2">
      <c r="B357" s="22">
        <v>44550</v>
      </c>
      <c r="C357" s="41">
        <v>16228335</v>
      </c>
      <c r="D357" s="24">
        <v>5072117</v>
      </c>
      <c r="E357" s="25">
        <v>241794</v>
      </c>
      <c r="F357" s="26">
        <v>636754</v>
      </c>
      <c r="G357" s="27">
        <v>291979</v>
      </c>
      <c r="H357" s="28">
        <f t="shared" si="26"/>
        <v>0</v>
      </c>
      <c r="I357" s="28">
        <f t="shared" si="26"/>
        <v>2837</v>
      </c>
      <c r="J357" s="28">
        <f t="shared" si="26"/>
        <v>192</v>
      </c>
      <c r="K357" s="28">
        <f t="shared" si="26"/>
        <v>199</v>
      </c>
      <c r="L357" s="29">
        <f t="shared" si="26"/>
        <v>215</v>
      </c>
      <c r="M357" s="30">
        <f t="shared" si="27"/>
        <v>3228</v>
      </c>
      <c r="Q357" s="20">
        <f t="shared" si="29"/>
        <v>0</v>
      </c>
    </row>
    <row r="358" spans="2:17" ht="12.95" customHeight="1" thickBot="1" x14ac:dyDescent="0.25">
      <c r="B358" s="22">
        <v>44551</v>
      </c>
      <c r="C358" s="41">
        <v>16228335</v>
      </c>
      <c r="D358" s="24">
        <v>5075308</v>
      </c>
      <c r="E358" s="25">
        <v>241941</v>
      </c>
      <c r="F358" s="26">
        <v>636961</v>
      </c>
      <c r="G358" s="27">
        <v>292176</v>
      </c>
      <c r="H358" s="28">
        <f t="shared" si="26"/>
        <v>0</v>
      </c>
      <c r="I358" s="28">
        <f t="shared" si="26"/>
        <v>3191</v>
      </c>
      <c r="J358" s="28">
        <f t="shared" si="26"/>
        <v>147</v>
      </c>
      <c r="K358" s="28">
        <f t="shared" si="26"/>
        <v>207</v>
      </c>
      <c r="L358" s="29">
        <f t="shared" si="26"/>
        <v>197</v>
      </c>
      <c r="M358" s="30">
        <f t="shared" si="27"/>
        <v>3545</v>
      </c>
      <c r="Q358" s="20">
        <f t="shared" si="29"/>
        <v>0</v>
      </c>
    </row>
    <row r="359" spans="2:17" ht="12.95" customHeight="1" x14ac:dyDescent="0.2">
      <c r="B359" s="22">
        <v>44552</v>
      </c>
      <c r="C359" s="41">
        <v>16228335</v>
      </c>
      <c r="D359" s="24">
        <v>5078487</v>
      </c>
      <c r="E359" s="25">
        <v>242090</v>
      </c>
      <c r="F359" s="26">
        <v>637153</v>
      </c>
      <c r="G359" s="27">
        <v>292345</v>
      </c>
      <c r="H359" s="28">
        <f t="shared" si="26"/>
        <v>0</v>
      </c>
      <c r="I359" s="28">
        <f t="shared" si="26"/>
        <v>3179</v>
      </c>
      <c r="J359" s="28">
        <f t="shared" si="26"/>
        <v>149</v>
      </c>
      <c r="K359" s="28">
        <f t="shared" si="26"/>
        <v>192</v>
      </c>
      <c r="L359" s="29">
        <f t="shared" si="26"/>
        <v>169</v>
      </c>
      <c r="M359" s="30">
        <f t="shared" si="27"/>
        <v>3520</v>
      </c>
      <c r="N359" s="198" t="s">
        <v>21</v>
      </c>
      <c r="O359" s="198" t="s">
        <v>22</v>
      </c>
      <c r="Q359" s="20">
        <f t="shared" si="29"/>
        <v>0</v>
      </c>
    </row>
    <row r="360" spans="2:17" ht="12.95" customHeight="1" x14ac:dyDescent="0.2">
      <c r="B360" s="22">
        <v>44553</v>
      </c>
      <c r="C360" s="41">
        <v>16228335</v>
      </c>
      <c r="D360" s="24">
        <v>5081780</v>
      </c>
      <c r="E360" s="25">
        <v>242289</v>
      </c>
      <c r="F360" s="26">
        <v>637337</v>
      </c>
      <c r="G360" s="27">
        <v>292525</v>
      </c>
      <c r="H360" s="28">
        <f t="shared" si="26"/>
        <v>0</v>
      </c>
      <c r="I360" s="28">
        <f t="shared" si="26"/>
        <v>3293</v>
      </c>
      <c r="J360" s="28">
        <f t="shared" si="26"/>
        <v>199</v>
      </c>
      <c r="K360" s="28">
        <f t="shared" si="26"/>
        <v>184</v>
      </c>
      <c r="L360" s="29">
        <f t="shared" si="26"/>
        <v>180</v>
      </c>
      <c r="M360" s="30">
        <f t="shared" si="27"/>
        <v>3676</v>
      </c>
      <c r="N360" s="199"/>
      <c r="O360" s="199"/>
      <c r="Q360" s="20">
        <f t="shared" si="29"/>
        <v>0</v>
      </c>
    </row>
    <row r="361" spans="2:17" ht="12.95" customHeight="1" thickBot="1" x14ac:dyDescent="0.25">
      <c r="B361" s="22">
        <v>44554</v>
      </c>
      <c r="C361" s="41">
        <v>16228335</v>
      </c>
      <c r="D361" s="24">
        <v>5084617</v>
      </c>
      <c r="E361" s="25">
        <v>242469</v>
      </c>
      <c r="F361" s="26">
        <v>637533</v>
      </c>
      <c r="G361" s="27">
        <v>292707</v>
      </c>
      <c r="H361" s="28">
        <f t="shared" si="26"/>
        <v>0</v>
      </c>
      <c r="I361" s="28">
        <f t="shared" si="26"/>
        <v>2837</v>
      </c>
      <c r="J361" s="28">
        <f t="shared" si="26"/>
        <v>180</v>
      </c>
      <c r="K361" s="28">
        <f t="shared" si="26"/>
        <v>196</v>
      </c>
      <c r="L361" s="29">
        <f t="shared" si="26"/>
        <v>182</v>
      </c>
      <c r="M361" s="30">
        <f t="shared" si="27"/>
        <v>3213</v>
      </c>
      <c r="N361" s="200"/>
      <c r="O361" s="200"/>
      <c r="Q361" s="20">
        <f t="shared" si="29"/>
        <v>0</v>
      </c>
    </row>
    <row r="362" spans="2:17" ht="12.95" customHeight="1" thickBot="1" x14ac:dyDescent="0.25">
      <c r="B362" s="22">
        <v>44555</v>
      </c>
      <c r="C362" s="41">
        <v>16228335</v>
      </c>
      <c r="D362" s="24">
        <v>5087062</v>
      </c>
      <c r="E362" s="25">
        <v>242652</v>
      </c>
      <c r="F362" s="26">
        <v>637729</v>
      </c>
      <c r="G362" s="27">
        <v>292891</v>
      </c>
      <c r="H362" s="28">
        <f t="shared" si="26"/>
        <v>0</v>
      </c>
      <c r="I362" s="28">
        <f t="shared" si="26"/>
        <v>2445</v>
      </c>
      <c r="J362" s="28">
        <f t="shared" si="26"/>
        <v>183</v>
      </c>
      <c r="K362" s="28">
        <f t="shared" si="26"/>
        <v>196</v>
      </c>
      <c r="L362" s="29">
        <f t="shared" si="26"/>
        <v>184</v>
      </c>
      <c r="M362" s="30">
        <f t="shared" si="27"/>
        <v>2824</v>
      </c>
      <c r="N362" s="32">
        <f>SUM(L339:L369)</f>
        <v>4407</v>
      </c>
      <c r="O362" s="32">
        <f>SUM(M339:M369)</f>
        <v>65261</v>
      </c>
      <c r="Q362" s="20">
        <f t="shared" si="29"/>
        <v>0</v>
      </c>
    </row>
    <row r="363" spans="2:17" ht="12.95" customHeight="1" x14ac:dyDescent="0.2">
      <c r="B363" s="22">
        <v>44556</v>
      </c>
      <c r="C363" s="41">
        <v>16228335</v>
      </c>
      <c r="D363" s="24">
        <v>5089145</v>
      </c>
      <c r="E363" s="25">
        <v>242861</v>
      </c>
      <c r="F363" s="26">
        <v>637932</v>
      </c>
      <c r="G363" s="27">
        <v>293084</v>
      </c>
      <c r="H363" s="28">
        <f t="shared" si="26"/>
        <v>0</v>
      </c>
      <c r="I363" s="28">
        <f t="shared" si="26"/>
        <v>2083</v>
      </c>
      <c r="J363" s="28">
        <f t="shared" si="26"/>
        <v>209</v>
      </c>
      <c r="K363" s="28">
        <f t="shared" si="26"/>
        <v>203</v>
      </c>
      <c r="L363" s="29">
        <f t="shared" si="26"/>
        <v>193</v>
      </c>
      <c r="M363" s="30">
        <f t="shared" si="27"/>
        <v>2495</v>
      </c>
      <c r="N363" s="198" t="s">
        <v>23</v>
      </c>
      <c r="O363" s="198" t="s">
        <v>24</v>
      </c>
      <c r="Q363" s="20">
        <f t="shared" si="29"/>
        <v>0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176.28</v>
      </c>
      <c r="O365" s="32">
        <f>AVERAGE(M339:M369)</f>
        <v>2610.44</v>
      </c>
      <c r="Q365" s="20">
        <f t="shared" si="29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648583</v>
      </c>
      <c r="J371" s="40">
        <f t="shared" si="31"/>
        <v>66579</v>
      </c>
      <c r="K371" s="40">
        <f t="shared" si="31"/>
        <v>62142</v>
      </c>
      <c r="L371" s="40">
        <f t="shared" si="31"/>
        <v>67526</v>
      </c>
      <c r="M371" s="40">
        <f t="shared" si="31"/>
        <v>777304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29" workbookViewId="0">
      <selection activeCell="K363" sqref="K363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65" si="42">IF(D316="","",+(E316-E315)*4140)</f>
        <v>22960.440000000202</v>
      </c>
      <c r="J316" s="59">
        <f t="shared" ref="J316:J364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>
        <v>0.14199999999999999</v>
      </c>
      <c r="E349" s="57">
        <v>1773.7049999999999</v>
      </c>
      <c r="F349" s="58">
        <v>59.829000000000001</v>
      </c>
      <c r="G349" s="59"/>
      <c r="H349" s="59">
        <v>4140</v>
      </c>
      <c r="I349" s="59">
        <f t="shared" si="42"/>
        <v>24376.319999999669</v>
      </c>
      <c r="J349" s="59">
        <f t="shared" si="43"/>
        <v>770.03999999999974</v>
      </c>
      <c r="K349" s="60">
        <f t="shared" si="51"/>
        <v>3.1589673913043896E-2</v>
      </c>
      <c r="L349" s="59">
        <f t="shared" si="46"/>
        <v>770.03999999999974</v>
      </c>
      <c r="M349" s="60">
        <f t="shared" si="50"/>
        <v>3.1589673913043896E-2</v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>
        <v>0.14199999999999999</v>
      </c>
      <c r="E350" s="57">
        <v>1779.655</v>
      </c>
      <c r="F350" s="58">
        <v>59.942</v>
      </c>
      <c r="G350" s="59"/>
      <c r="H350" s="59">
        <v>4140</v>
      </c>
      <c r="I350" s="59">
        <f t="shared" si="42"/>
        <v>24633.000000000189</v>
      </c>
      <c r="J350" s="59">
        <f t="shared" si="43"/>
        <v>467.81999999999812</v>
      </c>
      <c r="K350" s="60">
        <f t="shared" si="51"/>
        <v>1.8991596638655239E-2</v>
      </c>
      <c r="L350" s="59">
        <f t="shared" si="46"/>
        <v>467.81999999999812</v>
      </c>
      <c r="M350" s="60">
        <f t="shared" si="50"/>
        <v>1.8991596638655239E-2</v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>
        <v>0.14199999999999999</v>
      </c>
      <c r="E351" s="57">
        <v>1785.9459999999999</v>
      </c>
      <c r="F351" s="58">
        <v>60.015999999999998</v>
      </c>
      <c r="G351" s="59"/>
      <c r="H351" s="59">
        <v>4140</v>
      </c>
      <c r="I351" s="59">
        <f t="shared" si="42"/>
        <v>26044.739999999751</v>
      </c>
      <c r="J351" s="59">
        <f t="shared" si="43"/>
        <v>306.359999999992</v>
      </c>
      <c r="K351" s="60">
        <f t="shared" si="51"/>
        <v>1.1762835797170367E-2</v>
      </c>
      <c r="L351" s="59">
        <f t="shared" si="46"/>
        <v>306.359999999992</v>
      </c>
      <c r="M351" s="60">
        <f t="shared" si="50"/>
        <v>1.1762835797170367E-2</v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>
        <v>0.14199999999999999</v>
      </c>
      <c r="E352" s="57">
        <v>1791.864</v>
      </c>
      <c r="F352" s="58">
        <v>60.119</v>
      </c>
      <c r="G352" s="59"/>
      <c r="H352" s="59">
        <v>4140</v>
      </c>
      <c r="I352" s="59">
        <f t="shared" si="42"/>
        <v>24500.520000000499</v>
      </c>
      <c r="J352" s="59">
        <f t="shared" si="43"/>
        <v>426.42000000000633</v>
      </c>
      <c r="K352" s="60">
        <f t="shared" si="51"/>
        <v>1.7404528556944819E-2</v>
      </c>
      <c r="L352" s="59">
        <f t="shared" si="46"/>
        <v>426.42000000000633</v>
      </c>
      <c r="M352" s="60">
        <f t="shared" si="50"/>
        <v>1.7404528556944819E-2</v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>
        <v>0.14199999999999999</v>
      </c>
      <c r="E353" s="57">
        <v>1797.9369999999999</v>
      </c>
      <c r="F353" s="58">
        <v>60.216000000000001</v>
      </c>
      <c r="G353" s="59"/>
      <c r="H353" s="59">
        <v>4140</v>
      </c>
      <c r="I353" s="59">
        <f t="shared" si="42"/>
        <v>25142.219999999441</v>
      </c>
      <c r="J353" s="59">
        <f t="shared" si="43"/>
        <v>401.58000000000538</v>
      </c>
      <c r="K353" s="60">
        <f t="shared" si="51"/>
        <v>1.5972336571711421E-2</v>
      </c>
      <c r="L353" s="59">
        <f t="shared" si="46"/>
        <v>401.58000000000538</v>
      </c>
      <c r="M353" s="60">
        <f t="shared" si="50"/>
        <v>1.5972336571711421E-2</v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>
        <v>0.14199999999999999</v>
      </c>
      <c r="E354" s="57">
        <v>1803.566</v>
      </c>
      <c r="F354" s="58">
        <v>60.347999999999999</v>
      </c>
      <c r="G354" s="59"/>
      <c r="H354" s="59">
        <v>4140</v>
      </c>
      <c r="I354" s="59">
        <f t="shared" si="42"/>
        <v>23304.060000000551</v>
      </c>
      <c r="J354" s="59">
        <f t="shared" si="43"/>
        <v>546.47999999999126</v>
      </c>
      <c r="K354" s="60">
        <f t="shared" si="51"/>
        <v>2.3449991117426679E-2</v>
      </c>
      <c r="L354" s="59">
        <f t="shared" si="46"/>
        <v>546.47999999999126</v>
      </c>
      <c r="M354" s="60">
        <f t="shared" si="50"/>
        <v>2.3449991117426679E-2</v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>
        <v>0.14199999999999999</v>
      </c>
      <c r="E355" s="57">
        <v>1809.319</v>
      </c>
      <c r="F355" s="58">
        <v>60.497999999999998</v>
      </c>
      <c r="G355" s="59"/>
      <c r="H355" s="59">
        <v>4140</v>
      </c>
      <c r="I355" s="59">
        <f t="shared" si="42"/>
        <v>23817.419999999707</v>
      </c>
      <c r="J355" s="59">
        <f t="shared" si="43"/>
        <v>620.99999999999409</v>
      </c>
      <c r="K355" s="60">
        <f t="shared" si="51"/>
        <v>2.6073353033200141E-2</v>
      </c>
      <c r="L355" s="59">
        <f t="shared" si="46"/>
        <v>620.99999999999409</v>
      </c>
      <c r="M355" s="60">
        <f t="shared" si="50"/>
        <v>2.6073353033200141E-2</v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>
        <v>0.14199999999999999</v>
      </c>
      <c r="E356" s="57">
        <v>1815.5260000000001</v>
      </c>
      <c r="F356" s="58">
        <v>60.579000000000001</v>
      </c>
      <c r="G356" s="59"/>
      <c r="H356" s="59">
        <v>4140</v>
      </c>
      <c r="I356" s="59">
        <f t="shared" si="42"/>
        <v>25696.980000000443</v>
      </c>
      <c r="J356" s="59">
        <f t="shared" si="43"/>
        <v>335.34000000001271</v>
      </c>
      <c r="K356" s="60">
        <f t="shared" si="51"/>
        <v>1.3049782503625209E-2</v>
      </c>
      <c r="L356" s="59">
        <f t="shared" si="46"/>
        <v>335.34000000001271</v>
      </c>
      <c r="M356" s="60">
        <f t="shared" si="50"/>
        <v>1.3049782503625209E-2</v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>
        <v>0.14199999999999999</v>
      </c>
      <c r="E357" s="57">
        <v>1821.5070000000001</v>
      </c>
      <c r="F357" s="58">
        <v>60.677</v>
      </c>
      <c r="G357" s="59"/>
      <c r="H357" s="59">
        <v>4140</v>
      </c>
      <c r="I357" s="59">
        <f t="shared" si="42"/>
        <v>24761.339999999978</v>
      </c>
      <c r="J357" s="59">
        <f t="shared" si="43"/>
        <v>405.71999999999576</v>
      </c>
      <c r="K357" s="60">
        <f t="shared" si="51"/>
        <v>1.6385219862899023E-2</v>
      </c>
      <c r="L357" s="59">
        <f t="shared" si="46"/>
        <v>405.71999999999576</v>
      </c>
      <c r="M357" s="60">
        <f t="shared" si="50"/>
        <v>1.6385219862899023E-2</v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>
        <v>0.14199999999999999</v>
      </c>
      <c r="E358" s="57">
        <v>1827.261</v>
      </c>
      <c r="F358" s="58">
        <v>60.783999999999999</v>
      </c>
      <c r="G358" s="59"/>
      <c r="H358" s="59">
        <v>4140</v>
      </c>
      <c r="I358" s="59">
        <f t="shared" si="42"/>
        <v>23821.559999999608</v>
      </c>
      <c r="J358" s="59">
        <f t="shared" si="43"/>
        <v>442.97999999999718</v>
      </c>
      <c r="K358" s="60">
        <f t="shared" si="51"/>
        <v>1.8595759471672066E-2</v>
      </c>
      <c r="L358" s="59">
        <f t="shared" si="46"/>
        <v>442.97999999999718</v>
      </c>
      <c r="M358" s="60">
        <f t="shared" si="50"/>
        <v>1.8595759471672066E-2</v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>
        <v>0.14199999999999999</v>
      </c>
      <c r="E359" s="57">
        <v>1832.616</v>
      </c>
      <c r="F359" s="58">
        <v>60.884999999999998</v>
      </c>
      <c r="G359" s="59"/>
      <c r="H359" s="59">
        <v>4140</v>
      </c>
      <c r="I359" s="59">
        <f t="shared" si="42"/>
        <v>22169.700000000077</v>
      </c>
      <c r="J359" s="59">
        <f t="shared" si="43"/>
        <v>418.13999999999623</v>
      </c>
      <c r="K359" s="60">
        <f t="shared" si="51"/>
        <v>1.8860877684406859E-2</v>
      </c>
      <c r="L359" s="59">
        <f t="shared" si="46"/>
        <v>418.13999999999623</v>
      </c>
      <c r="M359" s="60">
        <f t="shared" si="50"/>
        <v>1.8860877684406859E-2</v>
      </c>
      <c r="N359" s="61">
        <v>66068309</v>
      </c>
      <c r="O359" s="61">
        <f t="shared" si="44"/>
        <v>0</v>
      </c>
      <c r="P359" s="70">
        <f>IF(J338="",0,+SUM(J338:J368)/SUM(I338:I368))</f>
        <v>2.2698934286757448E-2</v>
      </c>
      <c r="Q359" s="70">
        <f>IF(L338="",0,+SUM(L338:L368)/SUM(I338:I368))</f>
        <v>2.2698934286757448E-2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>
        <v>0.14199999999999999</v>
      </c>
      <c r="E360" s="57">
        <v>1838.4849999999999</v>
      </c>
      <c r="F360" s="58">
        <v>60.98</v>
      </c>
      <c r="G360" s="59"/>
      <c r="H360" s="59">
        <v>4140</v>
      </c>
      <c r="I360" s="59">
        <f t="shared" si="42"/>
        <v>24297.659999999647</v>
      </c>
      <c r="J360" s="59">
        <f t="shared" si="43"/>
        <v>393.29999999999529</v>
      </c>
      <c r="K360" s="60">
        <f t="shared" si="51"/>
        <v>1.6186743908672727E-2</v>
      </c>
      <c r="L360" s="59">
        <f t="shared" si="46"/>
        <v>393.29999999999529</v>
      </c>
      <c r="M360" s="60">
        <f t="shared" si="50"/>
        <v>1.6186743908672727E-2</v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>
        <v>0.14199999999999999</v>
      </c>
      <c r="E361" s="57">
        <v>1844.058</v>
      </c>
      <c r="F361" s="58">
        <v>61.072000000000003</v>
      </c>
      <c r="G361" s="59"/>
      <c r="H361" s="59">
        <v>4140</v>
      </c>
      <c r="I361" s="59">
        <f t="shared" si="42"/>
        <v>23072.220000000383</v>
      </c>
      <c r="J361" s="59">
        <f t="shared" si="43"/>
        <v>380.88000000002421</v>
      </c>
      <c r="K361" s="60">
        <f t="shared" si="51"/>
        <v>1.6508164363898136E-2</v>
      </c>
      <c r="L361" s="59">
        <f t="shared" si="46"/>
        <v>380.88000000002421</v>
      </c>
      <c r="M361" s="60">
        <f t="shared" si="50"/>
        <v>1.6508164363898136E-2</v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>
        <v>0.14199999999999999</v>
      </c>
      <c r="E362" s="57">
        <v>1850.0609999999999</v>
      </c>
      <c r="F362" s="58">
        <v>61.16</v>
      </c>
      <c r="G362" s="59"/>
      <c r="H362" s="59">
        <v>4140</v>
      </c>
      <c r="I362" s="59">
        <f t="shared" si="42"/>
        <v>24852.419999999707</v>
      </c>
      <c r="J362" s="59">
        <f t="shared" si="43"/>
        <v>364.31999999997458</v>
      </c>
      <c r="K362" s="60">
        <f t="shared" si="51"/>
        <v>1.4659336998166734E-2</v>
      </c>
      <c r="L362" s="59">
        <f t="shared" si="46"/>
        <v>364.31999999997458</v>
      </c>
      <c r="M362" s="60">
        <f t="shared" si="50"/>
        <v>1.4659336998166734E-2</v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2"/>
        <v/>
      </c>
      <c r="J363" s="59" t="str">
        <f t="shared" si="43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2"/>
        <v/>
      </c>
      <c r="J364" s="59" t="str">
        <f t="shared" si="43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2"/>
        <v/>
      </c>
      <c r="J365" s="59" t="str">
        <f t="shared" ref="I362:J368" si="53">IF(E365="","",+(E365-E364)*4140)</f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3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3"/>
        <v/>
      </c>
      <c r="J367" s="59" t="str">
        <f t="shared" si="53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3"/>
        <v/>
      </c>
      <c r="J368" s="90" t="str">
        <f t="shared" si="53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9247869.4200000018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2021-12-27T07:24:55Z</dcterms:modified>
  <cp:category/>
  <cp:contentStatus/>
</cp:coreProperties>
</file>