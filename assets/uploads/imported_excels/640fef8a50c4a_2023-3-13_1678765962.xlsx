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 s="1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 s="1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/>
  <c r="D29" i="119"/>
  <c r="H28" i="119"/>
  <c r="I25" i="117"/>
  <c r="F28" i="119"/>
  <c r="G25" i="117" s="1"/>
  <c r="D28" i="119"/>
  <c r="H27" i="119"/>
  <c r="I24" i="117" s="1"/>
  <c r="F27" i="119"/>
  <c r="G24" i="117"/>
  <c r="D27" i="119"/>
  <c r="H26" i="119"/>
  <c r="I23" i="117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/>
  <c r="F23" i="119"/>
  <c r="G20" i="117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 s="1"/>
  <c r="F18" i="119"/>
  <c r="G15" i="117" s="1"/>
  <c r="H17" i="119"/>
  <c r="I14" i="117" s="1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 s="1"/>
  <c r="D12" i="119"/>
  <c r="H11" i="119"/>
  <c r="I8" i="117"/>
  <c r="F11" i="119"/>
  <c r="G8" i="117" s="1"/>
  <c r="D11" i="119"/>
  <c r="H10" i="119"/>
  <c r="I7" i="117" s="1"/>
  <c r="F10" i="119"/>
  <c r="G7" i="117" s="1"/>
  <c r="D10" i="119"/>
  <c r="H9" i="119"/>
  <c r="I6" i="117"/>
  <c r="F9" i="119"/>
  <c r="G6" i="117" s="1"/>
  <c r="D9" i="119"/>
  <c r="H8" i="119"/>
  <c r="I5" i="117"/>
  <c r="F8" i="119"/>
  <c r="G5" i="117" s="1"/>
  <c r="D8" i="119"/>
  <c r="H7" i="119"/>
  <c r="I4" i="117" s="1"/>
  <c r="F7" i="119"/>
  <c r="G4" i="117"/>
  <c r="D7" i="119"/>
  <c r="H6" i="119"/>
  <c r="I3" i="117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<sst xmlns="http://schemas.openxmlformats.org/spreadsheetml/2006/main" count="56" uniqueCount="25">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</sst>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0" sqref="O1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8</v>
      </c>
      <c r="D2" s="7">
        <v>2022</v>
      </c>
      <c r="E2" s="9">
        <v>34794.999999999578</v>
      </c>
      <c r="F2" s="30">
        <v>0.76900000000000002</v>
      </c>
      <c r="G2" s="9">
        <f>'Shenzhen Daily'!F5</f>
        <v>1172</v>
      </c>
      <c r="H2" s="30">
        <v>4.3899999999999997</v>
      </c>
      <c r="I2" s="9">
        <f>'Shenzhen Daily'!H5</f>
        <v>439</v>
      </c>
      <c r="J2" s="30">
        <v>5.09</v>
      </c>
      <c r="K2" s="9">
        <f>'Shenzhen Daily'!I5</f>
        <v>76.581400000000002</v>
      </c>
      <c r="L2" s="9">
        <f>'Shenzhen Daily'!J5</f>
        <v>227</v>
      </c>
    </row>
    <row r="3" spans="1:12" ht="15" x14ac:dyDescent="0.25">
      <c r="A3" s="6" t="s">
        <v>23</v>
      </c>
      <c r="B3" s="7">
        <f>B2+1</f>
        <v>2</v>
      </c>
      <c r="C3" s="8">
        <v>8</v>
      </c>
      <c r="D3" s="7">
        <v>2022</v>
      </c>
      <c r="E3" s="9">
        <v>33375.000000001011</v>
      </c>
      <c r="F3" s="30">
        <v>0.76900000000000002</v>
      </c>
      <c r="G3" s="9">
        <f>'Shenzhen Daily'!F6</f>
        <v>1101</v>
      </c>
      <c r="H3" s="30">
        <v>4.3899999999999997</v>
      </c>
      <c r="I3" s="9">
        <f>'Shenzhen Daily'!H6</f>
        <v>433</v>
      </c>
      <c r="J3" s="30">
        <v>5.09</v>
      </c>
      <c r="K3" s="9">
        <f>'Shenzhen Daily'!I6</f>
        <v>99.75</v>
      </c>
      <c r="L3" s="9">
        <f>'Shenzhen Daily'!J6</f>
        <v>263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8</v>
      </c>
      <c r="D4" s="7">
        <v>2022</v>
      </c>
      <c r="E4" s="9">
        <v>31991.999999999694</v>
      </c>
      <c r="F4" s="30">
        <v>0.76900000000000002</v>
      </c>
      <c r="G4" s="9">
        <f>'Shenzhen Daily'!F7</f>
        <v>1154</v>
      </c>
      <c r="H4" s="30">
        <v>4.3899999999999997</v>
      </c>
      <c r="I4" s="9">
        <f>'Shenzhen Daily'!H7</f>
        <v>405</v>
      </c>
      <c r="J4" s="30">
        <v>5.09</v>
      </c>
      <c r="K4" s="9">
        <f>'Shenzhen Daily'!I7</f>
        <v>99.75</v>
      </c>
      <c r="L4" s="9">
        <f>'Shenzhen Daily'!J7</f>
        <v>260</v>
      </c>
    </row>
    <row r="5" spans="1:12" ht="15" x14ac:dyDescent="0.25">
      <c r="A5" s="6" t="s">
        <v>23</v>
      </c>
      <c r="B5" s="7">
        <f t="shared" si="0"/>
        <v>4</v>
      </c>
      <c r="C5" s="8">
        <v>8</v>
      </c>
      <c r="D5" s="7">
        <v>2022</v>
      </c>
      <c r="E5" s="9">
        <v>31541.999999999716</v>
      </c>
      <c r="F5" s="30">
        <v>0.76900000000000002</v>
      </c>
      <c r="G5" s="9">
        <f>'Shenzhen Daily'!F8</f>
        <v>1139</v>
      </c>
      <c r="H5" s="30">
        <v>4.3899999999999997</v>
      </c>
      <c r="I5" s="9">
        <f>'Shenzhen Daily'!H8</f>
        <v>384</v>
      </c>
      <c r="J5" s="30">
        <v>5.09</v>
      </c>
      <c r="K5" s="9">
        <f>'Shenzhen Daily'!I8</f>
        <v>123.9294</v>
      </c>
      <c r="L5" s="9">
        <f>'Shenzhen Daily'!J8</f>
        <v>307</v>
      </c>
    </row>
    <row r="6" spans="1:12" ht="15" x14ac:dyDescent="0.25">
      <c r="A6" s="6" t="s">
        <v>23</v>
      </c>
      <c r="B6" s="7">
        <f t="shared" si="0"/>
        <v>5</v>
      </c>
      <c r="C6" s="8">
        <v>8</v>
      </c>
      <c r="D6" s="7">
        <v>2022</v>
      </c>
      <c r="E6" s="9">
        <v>34530.000000000357</v>
      </c>
      <c r="F6" s="30">
        <v>0.76900000000000002</v>
      </c>
      <c r="G6" s="9">
        <f>'Shenzhen Daily'!F9</f>
        <v>1223</v>
      </c>
      <c r="H6" s="30">
        <v>4.3899999999999997</v>
      </c>
      <c r="I6" s="9">
        <f>'Shenzhen Daily'!H9</f>
        <v>405</v>
      </c>
      <c r="J6" s="30">
        <v>5.09</v>
      </c>
      <c r="K6" s="9">
        <f>'Shenzhen Daily'!I9</f>
        <v>143.0814</v>
      </c>
      <c r="L6" s="9">
        <f>'Shenzhen Daily'!J9</f>
        <v>300</v>
      </c>
    </row>
    <row r="7" spans="1:12" ht="15" x14ac:dyDescent="0.25">
      <c r="A7" s="6" t="s">
        <v>23</v>
      </c>
      <c r="B7" s="7">
        <f t="shared" si="0"/>
        <v>6</v>
      </c>
      <c r="C7" s="8">
        <v>8</v>
      </c>
      <c r="D7" s="7">
        <v>2022</v>
      </c>
      <c r="E7" s="9">
        <v>32232.999999998752</v>
      </c>
      <c r="F7" s="30">
        <v>0.76900000000000002</v>
      </c>
      <c r="G7" s="9">
        <f>'Shenzhen Daily'!F10</f>
        <v>1191</v>
      </c>
      <c r="H7" s="30">
        <v>4.3899999999999997</v>
      </c>
      <c r="I7" s="9">
        <f>'Shenzhen Daily'!H10</f>
        <v>425</v>
      </c>
      <c r="J7" s="30">
        <v>5.09</v>
      </c>
      <c r="K7" s="9">
        <f>'Shenzhen Daily'!I10</f>
        <v>110.84220000000001</v>
      </c>
      <c r="L7" s="9">
        <f>'Shenzhen Daily'!J10</f>
        <v>283</v>
      </c>
    </row>
    <row r="8" spans="1:12" ht="15" x14ac:dyDescent="0.25">
      <c r="A8" s="6" t="s">
        <v>23</v>
      </c>
      <c r="B8" s="7">
        <f t="shared" si="0"/>
        <v>7</v>
      </c>
      <c r="C8" s="8">
        <v>8</v>
      </c>
      <c r="D8" s="7">
        <v>2022</v>
      </c>
      <c r="E8" s="9">
        <v>32221.000000001884</v>
      </c>
      <c r="F8" s="30">
        <v>0.76900000000000002</v>
      </c>
      <c r="G8" s="9">
        <f>'Shenzhen Daily'!F11</f>
        <v>1137</v>
      </c>
      <c r="H8" s="30">
        <v>4.3899999999999997</v>
      </c>
      <c r="I8" s="9">
        <f>'Shenzhen Daily'!H11</f>
        <v>402</v>
      </c>
      <c r="J8" s="30">
        <v>5.09</v>
      </c>
      <c r="K8" s="9">
        <f>'Shenzhen Daily'!I11</f>
        <v>148.1088</v>
      </c>
      <c r="L8" s="9">
        <f>'Shenzhen Daily'!J11</f>
        <v>242</v>
      </c>
    </row>
    <row r="9" spans="1:12" ht="15" x14ac:dyDescent="0.25">
      <c r="A9" s="6" t="s">
        <v>23</v>
      </c>
      <c r="B9" s="7">
        <f t="shared" si="0"/>
        <v>8</v>
      </c>
      <c r="C9" s="8">
        <v>8</v>
      </c>
      <c r="D9" s="7">
        <v>2022</v>
      </c>
      <c r="E9" s="9">
        <v>34836.999999999003</v>
      </c>
      <c r="F9" s="30">
        <v>0.76900000000000002</v>
      </c>
      <c r="G9" s="9">
        <f>'Shenzhen Daily'!F12</f>
        <v>1306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127.97260000000001</v>
      </c>
      <c r="L9" s="9">
        <f>'Shenzhen Daily'!J12</f>
        <v>249</v>
      </c>
    </row>
    <row r="10" spans="1:12" ht="15" x14ac:dyDescent="0.25">
      <c r="A10" s="6" t="s">
        <v>23</v>
      </c>
      <c r="B10" s="7">
        <f t="shared" si="0"/>
        <v>9</v>
      </c>
      <c r="C10" s="8">
        <v>8</v>
      </c>
      <c r="D10" s="7">
        <v>2022</v>
      </c>
      <c r="E10" s="9">
        <v>30830.000000001033</v>
      </c>
      <c r="F10" s="30">
        <v>0.76900000000000002</v>
      </c>
      <c r="G10" s="9">
        <f>'Shenzhen Daily'!F13</f>
        <v>1180</v>
      </c>
      <c r="H10" s="30">
        <v>4.3899999999999997</v>
      </c>
      <c r="I10" s="9">
        <f>'Shenzhen Daily'!H13</f>
        <v>371</v>
      </c>
      <c r="J10" s="30">
        <v>5.09</v>
      </c>
      <c r="K10" s="9">
        <f>'Shenzhen Daily'!I13</f>
        <v>145.10300000000001</v>
      </c>
      <c r="L10" s="9">
        <f>'Shenzhen Daily'!J13</f>
        <v>320</v>
      </c>
    </row>
    <row r="11" spans="1:12" ht="15" x14ac:dyDescent="0.25">
      <c r="A11" s="6" t="s">
        <v>23</v>
      </c>
      <c r="B11" s="7">
        <f t="shared" si="0"/>
        <v>10</v>
      </c>
      <c r="C11" s="8">
        <v>8</v>
      </c>
      <c r="D11" s="7">
        <v>2022</v>
      </c>
      <c r="E11" s="9">
        <v>32711.999999999221</v>
      </c>
      <c r="F11" s="30">
        <v>0.76900000000000002</v>
      </c>
      <c r="G11" s="9">
        <f>'Shenzhen Daily'!F14</f>
        <v>1241</v>
      </c>
      <c r="H11" s="30">
        <v>4.3899999999999997</v>
      </c>
      <c r="I11" s="9">
        <f>'Shenzhen Daily'!H14</f>
        <v>410</v>
      </c>
      <c r="J11" s="30">
        <v>5.09</v>
      </c>
      <c r="K11" s="9">
        <f>'Shenzhen Daily'!I14</f>
        <v>178.35300000000001</v>
      </c>
      <c r="L11" s="9">
        <f>'Shenzhen Daily'!J14</f>
        <v>330</v>
      </c>
    </row>
    <row r="12" spans="1:12" ht="15" x14ac:dyDescent="0.25">
      <c r="A12" s="6" t="s">
        <v>23</v>
      </c>
      <c r="B12" s="7">
        <f t="shared" si="0"/>
        <v>11</v>
      </c>
      <c r="C12" s="8">
        <v>8</v>
      </c>
      <c r="D12" s="7">
        <v>2022</v>
      </c>
      <c r="E12" s="9">
        <v>29622.000000000822</v>
      </c>
      <c r="F12" s="30">
        <v>0.76900000000000002</v>
      </c>
      <c r="G12" s="9">
        <f>'Shenzhen Daily'!F15</f>
        <v>1367</v>
      </c>
      <c r="H12" s="30">
        <v>4.3899999999999997</v>
      </c>
      <c r="I12" s="9">
        <f>'Shenzhen Daily'!H15</f>
        <v>407</v>
      </c>
      <c r="J12" s="30">
        <v>5.09</v>
      </c>
      <c r="K12" s="9">
        <f>'Shenzhen Daily'!I15</f>
        <v>234.77160000000001</v>
      </c>
      <c r="L12" s="9">
        <f>'Shenzhen Daily'!J15</f>
        <v>377</v>
      </c>
    </row>
    <row r="13" spans="1:12" ht="15" x14ac:dyDescent="0.25">
      <c r="A13" s="6" t="s">
        <v>23</v>
      </c>
      <c r="B13" s="7">
        <f t="shared" si="0"/>
        <v>12</v>
      </c>
      <c r="C13" s="8">
        <v>8</v>
      </c>
      <c r="D13" s="7">
        <v>2022</v>
      </c>
      <c r="E13" s="9">
        <v>34082.999999998574</v>
      </c>
      <c r="F13" s="30">
        <v>0.76900000000000002</v>
      </c>
      <c r="G13" s="9">
        <f>'Shenzhen Daily'!F16</f>
        <v>1407</v>
      </c>
      <c r="H13" s="30">
        <v>4.3899999999999997</v>
      </c>
      <c r="I13" s="9">
        <f>'Shenzhen Daily'!H16</f>
        <v>436</v>
      </c>
      <c r="J13" s="30">
        <v>5.09</v>
      </c>
      <c r="K13" s="9">
        <f>'Shenzhen Daily'!I16</f>
        <v>227.7226</v>
      </c>
      <c r="L13" s="9">
        <f>'Shenzhen Daily'!J16</f>
        <v>360</v>
      </c>
    </row>
    <row r="14" spans="1:12" ht="15" x14ac:dyDescent="0.25">
      <c r="A14" s="6" t="s">
        <v>23</v>
      </c>
      <c r="B14" s="7">
        <f t="shared" si="0"/>
        <v>13</v>
      </c>
      <c r="C14" s="8">
        <v>8</v>
      </c>
      <c r="D14" s="7">
        <v>2022</v>
      </c>
      <c r="E14" s="9">
        <v>33145.000000001332</v>
      </c>
      <c r="F14" s="30">
        <v>0.76900000000000002</v>
      </c>
      <c r="G14" s="9">
        <f>'Shenzhen Daily'!F17</f>
        <v>1354</v>
      </c>
      <c r="H14" s="30">
        <v>4.3899999999999997</v>
      </c>
      <c r="I14" s="9">
        <f>'Shenzhen Daily'!H17</f>
        <v>440</v>
      </c>
      <c r="J14" s="30">
        <v>5.09</v>
      </c>
      <c r="K14" s="9">
        <f>'Shenzhen Daily'!I17</f>
        <v>198.48919999999998</v>
      </c>
      <c r="L14" s="9">
        <f>'Shenzhen Daily'!J17</f>
        <v>350</v>
      </c>
    </row>
    <row r="15" spans="1:12" ht="15" x14ac:dyDescent="0.25">
      <c r="A15" s="6" t="s">
        <v>23</v>
      </c>
      <c r="B15" s="7">
        <f t="shared" si="0"/>
        <v>14</v>
      </c>
      <c r="C15" s="8">
        <v>8</v>
      </c>
      <c r="D15" s="7">
        <v>2022</v>
      </c>
      <c r="E15" s="9">
        <v>31505.999999999185</v>
      </c>
      <c r="F15" s="30">
        <v>0.76900000000000002</v>
      </c>
      <c r="G15" s="9">
        <f>'Shenzhen Daily'!F18</f>
        <v>1260</v>
      </c>
      <c r="H15" s="30">
        <v>4.3899999999999997</v>
      </c>
      <c r="I15" s="9">
        <f>'Shenzhen Daily'!H18</f>
        <v>405</v>
      </c>
      <c r="J15" s="30">
        <v>5.09</v>
      </c>
      <c r="K15" s="9">
        <f>'Shenzhen Daily'!I18</f>
        <v>171.2774</v>
      </c>
      <c r="L15" s="9">
        <f>'Shenzhen Daily'!J18</f>
        <v>342</v>
      </c>
    </row>
    <row r="16" spans="1:12" ht="15" x14ac:dyDescent="0.25">
      <c r="A16" s="6" t="s">
        <v>23</v>
      </c>
      <c r="B16" s="7">
        <f t="shared" si="0"/>
        <v>15</v>
      </c>
      <c r="C16" s="8">
        <v>8</v>
      </c>
      <c r="D16" s="7">
        <v>2022</v>
      </c>
      <c r="E16" s="9">
        <v>34443.000000000196</v>
      </c>
      <c r="F16" s="30">
        <v>0.76900000000000002</v>
      </c>
      <c r="G16" s="9">
        <f>'Shenzhen Daily'!F19</f>
        <v>1242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187.39699999999999</v>
      </c>
      <c r="L16" s="9">
        <f>'Shenzhen Daily'!J19</f>
        <v>379</v>
      </c>
    </row>
    <row r="17" spans="1:12" ht="15" x14ac:dyDescent="0.25">
      <c r="A17" s="6" t="s">
        <v>23</v>
      </c>
      <c r="B17" s="7">
        <f t="shared" si="0"/>
        <v>16</v>
      </c>
      <c r="C17" s="8">
        <v>8</v>
      </c>
      <c r="D17" s="7">
        <v>2022</v>
      </c>
      <c r="E17" s="9">
        <v>37431.999999999753</v>
      </c>
      <c r="F17" s="30">
        <v>0.76900000000000002</v>
      </c>
      <c r="G17" s="9">
        <f>'Shenzhen Daily'!F20</f>
        <v>1359</v>
      </c>
      <c r="H17" s="30">
        <v>4.3899999999999997</v>
      </c>
      <c r="I17" s="9">
        <f>'Shenzhen Daily'!H20</f>
        <v>504</v>
      </c>
      <c r="J17" s="30">
        <v>5.09</v>
      </c>
      <c r="K17" s="9">
        <f>'Shenzhen Daily'!I20</f>
        <v>258.92439999999999</v>
      </c>
      <c r="L17" s="9">
        <f>'Shenzhen Daily'!J20</f>
        <v>387</v>
      </c>
    </row>
    <row r="18" spans="1:12" ht="15" x14ac:dyDescent="0.25">
      <c r="A18" s="6" t="s">
        <v>23</v>
      </c>
      <c r="B18" s="7">
        <f t="shared" si="0"/>
        <v>17</v>
      </c>
      <c r="C18" s="8">
        <v>8</v>
      </c>
      <c r="D18" s="7">
        <v>2022</v>
      </c>
      <c r="E18" s="9">
        <v>33812.000000000065</v>
      </c>
      <c r="F18" s="30">
        <v>0.76900000000000002</v>
      </c>
      <c r="G18" s="9">
        <f>'Shenzhen Daily'!F21</f>
        <v>1346</v>
      </c>
      <c r="H18" s="30">
        <v>4.3899999999999997</v>
      </c>
      <c r="I18" s="9">
        <f>'Shenzhen Daily'!H21</f>
        <v>428</v>
      </c>
      <c r="J18" s="30">
        <v>5.09</v>
      </c>
      <c r="K18" s="9">
        <f>'Shenzhen Daily'!I21</f>
        <v>266</v>
      </c>
      <c r="L18" s="9">
        <f>'Shenzhen Daily'!J21</f>
        <v>453</v>
      </c>
    </row>
    <row r="19" spans="1:12" ht="15" x14ac:dyDescent="0.25">
      <c r="A19" s="6" t="s">
        <v>23</v>
      </c>
      <c r="B19" s="7">
        <f t="shared" si="0"/>
        <v>18</v>
      </c>
      <c r="C19" s="8">
        <v>8</v>
      </c>
      <c r="D19" s="7">
        <v>2022</v>
      </c>
      <c r="E19" s="9">
        <v>36224.999999999665</v>
      </c>
      <c r="F19" s="30">
        <v>0.76900000000000002</v>
      </c>
      <c r="G19" s="9">
        <f>'Shenzhen Daily'!F22</f>
        <v>1464</v>
      </c>
      <c r="H19" s="30">
        <v>4.3899999999999997</v>
      </c>
      <c r="I19" s="9">
        <f>'Shenzhen Daily'!H22</f>
        <v>493</v>
      </c>
      <c r="J19" s="30">
        <v>5.09</v>
      </c>
      <c r="K19" s="9">
        <f>'Shenzhen Daily'!I22</f>
        <v>253.89699999999999</v>
      </c>
      <c r="L19" s="9">
        <f>'Shenzhen Daily'!J22</f>
        <v>390</v>
      </c>
    </row>
    <row r="20" spans="1:12" ht="15" x14ac:dyDescent="0.25">
      <c r="A20" s="6" t="s">
        <v>23</v>
      </c>
      <c r="B20" s="7">
        <f t="shared" si="0"/>
        <v>19</v>
      </c>
      <c r="C20" s="8">
        <v>8</v>
      </c>
      <c r="D20" s="7">
        <v>2022</v>
      </c>
      <c r="E20" s="9">
        <v>32959.000000000684</v>
      </c>
      <c r="F20" s="30">
        <v>0.76900000000000002</v>
      </c>
      <c r="G20" s="9">
        <f>'Shenzhen Daily'!F23</f>
        <v>1390</v>
      </c>
      <c r="H20" s="30">
        <v>4.3899999999999997</v>
      </c>
      <c r="I20" s="9">
        <f>'Shenzhen Daily'!H23</f>
        <v>500</v>
      </c>
      <c r="J20" s="30">
        <v>5.09</v>
      </c>
      <c r="K20" s="9">
        <f>'Shenzhen Daily'!I23</f>
        <v>244.85300000000001</v>
      </c>
      <c r="L20" s="9">
        <f>'Shenzhen Daily'!J23</f>
        <v>397</v>
      </c>
    </row>
    <row r="21" spans="1:12" ht="15" x14ac:dyDescent="0.25">
      <c r="A21" s="6" t="s">
        <v>23</v>
      </c>
      <c r="B21" s="7">
        <f t="shared" si="0"/>
        <v>20</v>
      </c>
      <c r="C21" s="8">
        <v>8</v>
      </c>
      <c r="D21" s="7">
        <v>2022</v>
      </c>
      <c r="E21" s="9">
        <v>35883.000000000189</v>
      </c>
      <c r="F21" s="30">
        <v>0.76900000000000002</v>
      </c>
      <c r="G21" s="9">
        <f>'Shenzhen Daily'!F24</f>
        <v>1490</v>
      </c>
      <c r="H21" s="30">
        <v>4.3899999999999997</v>
      </c>
      <c r="I21" s="9">
        <f>'Shenzhen Daily'!H24</f>
        <v>665</v>
      </c>
      <c r="J21" s="30">
        <v>5.09</v>
      </c>
      <c r="K21" s="9">
        <f>'Shenzhen Daily'!I24</f>
        <v>238.78820000000002</v>
      </c>
      <c r="L21" s="9">
        <f>'Shenzhen Daily'!J24</f>
        <v>403</v>
      </c>
    </row>
    <row r="22" spans="1:12" ht="15" x14ac:dyDescent="0.25">
      <c r="A22" s="6" t="s">
        <v>23</v>
      </c>
      <c r="B22" s="7">
        <f t="shared" si="0"/>
        <v>21</v>
      </c>
      <c r="C22" s="8">
        <v>8</v>
      </c>
      <c r="D22" s="7">
        <v>2022</v>
      </c>
      <c r="E22" s="9">
        <v>37630.000000000371</v>
      </c>
      <c r="F22" s="30">
        <v>0.76900000000000002</v>
      </c>
      <c r="G22" s="9">
        <f>'Shenzhen Daily'!F25</f>
        <v>1447</v>
      </c>
      <c r="H22" s="30">
        <v>4.3899999999999997</v>
      </c>
      <c r="I22" s="9">
        <f>'Shenzhen Daily'!H25</f>
        <v>869</v>
      </c>
      <c r="J22" s="30">
        <v>5.09</v>
      </c>
      <c r="K22" s="9">
        <f>'Shenzhen Daily'!I25</f>
        <v>241.82060000000001</v>
      </c>
      <c r="L22" s="9">
        <f>'Shenzhen Daily'!J25</f>
        <v>346</v>
      </c>
    </row>
    <row r="23" spans="1:12" ht="15" x14ac:dyDescent="0.25">
      <c r="A23" s="6" t="s">
        <v>23</v>
      </c>
      <c r="B23" s="7">
        <f t="shared" si="0"/>
        <v>22</v>
      </c>
      <c r="C23" s="8">
        <v>8</v>
      </c>
      <c r="D23" s="7">
        <v>2022</v>
      </c>
      <c r="E23" s="9">
        <v>37993.000000000407</v>
      </c>
      <c r="F23" s="30">
        <v>0.76900000000000002</v>
      </c>
      <c r="G23" s="9">
        <f>'Shenzhen Daily'!F26</f>
        <v>1484</v>
      </c>
      <c r="H23" s="30">
        <v>4.3899999999999997</v>
      </c>
      <c r="I23" s="9">
        <f>'Shenzhen Daily'!H26</f>
        <v>688</v>
      </c>
      <c r="J23" s="30">
        <v>5.09</v>
      </c>
      <c r="K23" s="9">
        <f>'Shenzhen Daily'!I26</f>
        <v>246.84800000000001</v>
      </c>
      <c r="L23" s="9">
        <f>'Shenzhen Daily'!J26</f>
        <v>478</v>
      </c>
    </row>
    <row r="24" spans="1:12" ht="15" x14ac:dyDescent="0.25">
      <c r="A24" s="6" t="s">
        <v>23</v>
      </c>
      <c r="B24" s="7">
        <f t="shared" si="0"/>
        <v>23</v>
      </c>
      <c r="C24" s="8">
        <v>8</v>
      </c>
      <c r="D24" s="7">
        <v>2022</v>
      </c>
      <c r="E24" s="9">
        <v>37739.99999999888</v>
      </c>
      <c r="F24" s="30">
        <v>0.76900000000000002</v>
      </c>
      <c r="G24" s="9">
        <f>'Shenzhen Daily'!F27</f>
        <v>1377</v>
      </c>
      <c r="H24" s="30">
        <v>4.3899999999999997</v>
      </c>
      <c r="I24" s="9">
        <f>'Shenzhen Daily'!H27</f>
        <v>488</v>
      </c>
      <c r="J24" s="30">
        <v>5.09</v>
      </c>
      <c r="K24" s="9">
        <f>'Shenzhen Daily'!I27</f>
        <v>235.7824</v>
      </c>
      <c r="L24" s="9">
        <f>'Shenzhen Daily'!J27</f>
        <v>490</v>
      </c>
    </row>
    <row r="25" spans="1:12" ht="15" x14ac:dyDescent="0.25">
      <c r="A25" s="6" t="s">
        <v>23</v>
      </c>
      <c r="B25" s="7">
        <f t="shared" si="0"/>
        <v>24</v>
      </c>
      <c r="C25" s="8">
        <v>8</v>
      </c>
      <c r="D25" s="7">
        <v>2022</v>
      </c>
      <c r="E25" s="9">
        <v>36153.000000000829</v>
      </c>
      <c r="F25" s="30">
        <v>0.76900000000000002</v>
      </c>
      <c r="G25" s="9">
        <f>'Shenzhen Daily'!F28</f>
        <v>1338</v>
      </c>
      <c r="H25" s="30">
        <v>4.3899999999999997</v>
      </c>
      <c r="I25" s="9">
        <f>'Shenzhen Daily'!H28</f>
        <v>499</v>
      </c>
      <c r="J25" s="30">
        <v>5.09</v>
      </c>
      <c r="K25" s="9">
        <f>'Shenzhen Daily'!I28</f>
        <v>266</v>
      </c>
      <c r="L25" s="9">
        <f>'Shenzhen Daily'!J28</f>
        <v>448</v>
      </c>
    </row>
    <row r="26" spans="1:12" ht="15" x14ac:dyDescent="0.25">
      <c r="A26" s="6" t="s">
        <v>23</v>
      </c>
      <c r="B26" s="7">
        <f>B25+1</f>
        <v>25</v>
      </c>
      <c r="C26" s="8">
        <v>8</v>
      </c>
      <c r="D26" s="7">
        <v>2022</v>
      </c>
      <c r="E26" s="9">
        <v>32290.999999999127</v>
      </c>
      <c r="F26" s="30">
        <v>0.76900000000000002</v>
      </c>
      <c r="G26" s="9">
        <f>'Shenzhen Daily'!F29</f>
        <v>1407</v>
      </c>
      <c r="H26" s="30">
        <v>4.3899999999999997</v>
      </c>
      <c r="I26" s="9">
        <f>'Shenzhen Daily'!H29</f>
        <v>431</v>
      </c>
      <c r="J26" s="30">
        <v>5.09</v>
      </c>
      <c r="K26" s="9">
        <f>'Shenzhen Daily'!I29</f>
        <v>247.8588</v>
      </c>
      <c r="L26" s="9">
        <f>'Shenzhen Daily'!J29</f>
        <v>468</v>
      </c>
    </row>
    <row r="27" spans="1:12" ht="15" x14ac:dyDescent="0.25">
      <c r="A27" s="6" t="s">
        <v>23</v>
      </c>
      <c r="B27" s="7">
        <f t="shared" si="0"/>
        <v>26</v>
      </c>
      <c r="C27" s="8">
        <v>8</v>
      </c>
      <c r="D27" s="7">
        <v>2022</v>
      </c>
      <c r="E27" s="9">
        <v>34568.000000000669</v>
      </c>
      <c r="F27" s="30">
        <v>0.76900000000000002</v>
      </c>
      <c r="G27" s="9">
        <f>'Shenzhen Daily'!F30</f>
        <v>1345</v>
      </c>
      <c r="H27" s="30">
        <v>4.3899999999999997</v>
      </c>
      <c r="I27" s="9">
        <f>'Shenzhen Daily'!H30</f>
        <v>591</v>
      </c>
      <c r="J27" s="30">
        <v>5.09</v>
      </c>
      <c r="K27" s="9">
        <f>'Shenzhen Daily'!I30</f>
        <v>204.5274</v>
      </c>
      <c r="L27" s="9">
        <f>'Shenzhen Daily'!J30</f>
        <v>335</v>
      </c>
    </row>
    <row r="28" spans="1:12" ht="15" x14ac:dyDescent="0.25">
      <c r="A28" s="6" t="s">
        <v>23</v>
      </c>
      <c r="B28" s="7">
        <f t="shared" si="0"/>
        <v>27</v>
      </c>
      <c r="C28" s="8">
        <v>8</v>
      </c>
      <c r="D28" s="7">
        <v>2022</v>
      </c>
      <c r="E28" s="9">
        <v>36714.999999999491</v>
      </c>
      <c r="F28" s="30">
        <v>0.76900000000000002</v>
      </c>
      <c r="G28" s="9">
        <f>'Shenzhen Daily'!F31</f>
        <v>1314</v>
      </c>
      <c r="H28" s="30">
        <v>4.3899999999999997</v>
      </c>
      <c r="I28" s="9">
        <f>'Shenzhen Daily'!H31</f>
        <v>651</v>
      </c>
      <c r="J28" s="30">
        <v>5.09</v>
      </c>
      <c r="K28" s="9">
        <f>'Shenzhen Daily'!I31</f>
        <v>192.45100000000002</v>
      </c>
      <c r="L28" s="9">
        <f>'Shenzhen Daily'!J31</f>
        <v>426</v>
      </c>
    </row>
    <row r="29" spans="1:12" ht="15" x14ac:dyDescent="0.25">
      <c r="A29" s="6" t="s">
        <v>23</v>
      </c>
      <c r="B29" s="7">
        <f t="shared" si="0"/>
        <v>28</v>
      </c>
      <c r="C29" s="8">
        <v>8</v>
      </c>
      <c r="D29" s="7">
        <v>2022</v>
      </c>
      <c r="E29" s="9">
        <v>35662.999999999898</v>
      </c>
      <c r="F29" s="30">
        <v>0.76900000000000002</v>
      </c>
      <c r="G29" s="9">
        <f>'Shenzhen Daily'!F32</f>
        <v>1136</v>
      </c>
      <c r="H29" s="30">
        <v>4.3899999999999997</v>
      </c>
      <c r="I29" s="9">
        <f>'Shenzhen Daily'!H32</f>
        <v>547</v>
      </c>
      <c r="J29" s="30">
        <v>5.09</v>
      </c>
      <c r="K29" s="9">
        <f>'Shenzhen Daily'!I32</f>
        <v>221.65780000000001</v>
      </c>
      <c r="L29" s="9">
        <f>'Shenzhen Daily'!J32</f>
        <v>25</v>
      </c>
    </row>
    <row r="30" spans="1:12" ht="15" x14ac:dyDescent="0.25">
      <c r="A30" s="6" t="s">
        <v>23</v>
      </c>
      <c r="B30" s="7">
        <f t="shared" si="0"/>
        <v>29</v>
      </c>
      <c r="C30" s="8">
        <v>8</v>
      </c>
      <c r="D30" s="7">
        <v>2022</v>
      </c>
      <c r="E30" s="9">
        <v>36297.000000000589</v>
      </c>
      <c r="F30" s="30">
        <v>0.76900000000000002</v>
      </c>
      <c r="G30" s="9">
        <f>'Shenzhen Daily'!F33</f>
        <v>1400</v>
      </c>
      <c r="H30" s="30">
        <v>4.3899999999999997</v>
      </c>
      <c r="I30" s="9">
        <f>'Shenzhen Daily'!H33</f>
        <v>446</v>
      </c>
      <c r="J30" s="30">
        <v>5.09</v>
      </c>
      <c r="K30" s="9">
        <f>'Shenzhen Daily'!I33</f>
        <v>179.3372</v>
      </c>
      <c r="L30" s="9">
        <f>'Shenzhen Daily'!J33</f>
        <v>399</v>
      </c>
    </row>
    <row r="31" spans="1:12" ht="15" x14ac:dyDescent="0.25">
      <c r="A31" s="6" t="s">
        <v>23</v>
      </c>
      <c r="B31" s="7">
        <f t="shared" si="0"/>
        <v>30</v>
      </c>
      <c r="C31" s="8">
        <v>8</v>
      </c>
      <c r="D31" s="7">
        <v>2022</v>
      </c>
      <c r="E31" s="9">
        <v>29109.999999999331</v>
      </c>
      <c r="F31" s="30">
        <v>0.76900000000000002</v>
      </c>
      <c r="G31" s="9">
        <f>'Shenzhen Daily'!F34</f>
        <v>1008</v>
      </c>
      <c r="H31" s="30">
        <v>4.3899999999999997</v>
      </c>
      <c r="I31" s="9">
        <f>'Shenzhen Daily'!H34</f>
        <v>342</v>
      </c>
      <c r="J31" s="30">
        <v>5.09</v>
      </c>
      <c r="K31" s="9">
        <f>'Shenzhen Daily'!I34</f>
        <v>148.1088</v>
      </c>
      <c r="L31" s="9">
        <f>'Shenzhen Daily'!J34</f>
        <v>110</v>
      </c>
    </row>
    <row r="32" spans="1:12" ht="15" x14ac:dyDescent="0.25">
      <c r="A32" s="6" t="s">
        <v>23</v>
      </c>
      <c r="B32" s="7">
        <f t="shared" si="0"/>
        <v>31</v>
      </c>
      <c r="C32" s="8">
        <v>8</v>
      </c>
      <c r="D32" s="7">
        <v>2022</v>
      </c>
      <c r="E32" s="9">
        <v>28103.000000000582</v>
      </c>
      <c r="F32" s="30">
        <v>0.76900000000000002</v>
      </c>
      <c r="G32" s="9">
        <f>'Shenzhen Daily'!F35</f>
        <v>956</v>
      </c>
      <c r="H32" s="30">
        <v>4.3899999999999997</v>
      </c>
      <c r="I32" s="9">
        <f>'Shenzhen Daily'!H35</f>
        <v>300</v>
      </c>
      <c r="J32" s="30">
        <v>5.09</v>
      </c>
      <c r="K32" s="9">
        <f>'Shenzhen Daily'!I35</f>
        <v>96.71759999999999</v>
      </c>
      <c r="L32" s="9">
        <f>'Shenzhen Daily'!J35</f>
        <v>94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topLeftCell="A25" zoomScale="85" zoomScaleNormal="85" workbookViewId="0">
      <pane xSplit="1" topLeftCell="B1" activePane="topRight" state="frozen"/>
      <selection pane="topRight" activeCell="N10" sqref="N1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44773</v>
      </c>
      <c r="B4" s="53"/>
      <c r="C4" s="41">
        <v>31498.82</v>
      </c>
      <c r="D4" s="42"/>
      <c r="E4" s="41">
        <v>3264680</v>
      </c>
      <c r="F4" s="45"/>
      <c r="G4" s="41">
        <v>621840</v>
      </c>
      <c r="H4" s="47"/>
      <c r="I4" s="23">
        <v>87</v>
      </c>
      <c r="J4" s="23">
        <v>208</v>
      </c>
    </row>
    <row r="5" spans="1:10" ht="33" customHeight="1" x14ac:dyDescent="0.2">
      <c r="A5" s="24">
        <v>44774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3265852</v>
      </c>
      <c r="F5" s="43">
        <f>IF((E5-E4&lt;0), "0",E5-E4)</f>
        <v>1172</v>
      </c>
      <c r="G5" s="41">
        <v>622279</v>
      </c>
      <c r="H5" s="39">
        <f>IF((G5-G4&lt;0), "0",G5-G4)</f>
        <v>439</v>
      </c>
      <c r="I5" s="26">
        <v>76.581400000000002</v>
      </c>
      <c r="J5" s="26">
        <v>227</v>
      </c>
    </row>
    <row r="6" spans="1:10" ht="45" customHeight="1" x14ac:dyDescent="0.2">
      <c r="A6" s="24">
        <v>44775</v>
      </c>
      <c r="B6" s="53"/>
      <c r="C6" s="41">
        <v>31558.050000000003</v>
      </c>
      <c r="D6" s="43">
        <f t="shared" si="0"/>
        <v>28.479999999999563</v>
      </c>
      <c r="E6" s="41">
        <v>3266953</v>
      </c>
      <c r="F6" s="43">
        <f t="shared" ref="F6:F35" si="1">IF((E6-E5&lt;0), "0",E6-E5)</f>
        <v>1101</v>
      </c>
      <c r="G6" s="41">
        <v>622712</v>
      </c>
      <c r="H6" s="48">
        <f t="shared" ref="H6:H35" si="2">IF((G6-G5&lt;0), "0",G6-G5)</f>
        <v>433</v>
      </c>
      <c r="I6" s="38">
        <v>99.75</v>
      </c>
      <c r="J6" s="38">
        <v>263</v>
      </c>
    </row>
    <row r="7" spans="1:10" ht="45" customHeight="1" x14ac:dyDescent="0.2">
      <c r="A7" s="24">
        <v>44776</v>
      </c>
      <c r="B7" s="53"/>
      <c r="C7" s="41">
        <v>31585.820000000003</v>
      </c>
      <c r="D7" s="43">
        <f t="shared" si="0"/>
        <v>27.770000000000437</v>
      </c>
      <c r="E7" s="41">
        <v>3268107</v>
      </c>
      <c r="F7" s="43">
        <f t="shared" si="1"/>
        <v>1154</v>
      </c>
      <c r="G7" s="41">
        <v>623117</v>
      </c>
      <c r="H7" s="39">
        <f t="shared" si="2"/>
        <v>405</v>
      </c>
      <c r="I7" s="12">
        <v>99.75</v>
      </c>
      <c r="J7" s="12">
        <v>260</v>
      </c>
    </row>
    <row r="8" spans="1:10" ht="45" customHeight="1" x14ac:dyDescent="0.2">
      <c r="A8" s="24">
        <v>44777</v>
      </c>
      <c r="B8" s="52"/>
      <c r="C8" s="31">
        <v>31611.960000000003</v>
      </c>
      <c r="D8" s="37">
        <f t="shared" si="0"/>
        <v>26.139999999999418</v>
      </c>
      <c r="E8" s="31">
        <v>3269246</v>
      </c>
      <c r="F8" s="46">
        <f t="shared" si="1"/>
        <v>1139</v>
      </c>
      <c r="G8" s="41">
        <v>623501</v>
      </c>
      <c r="H8" s="39">
        <f t="shared" si="2"/>
        <v>384</v>
      </c>
      <c r="I8" s="12">
        <v>123.9294</v>
      </c>
      <c r="J8" s="12">
        <v>307</v>
      </c>
    </row>
    <row r="9" spans="1:10" ht="45" customHeight="1" x14ac:dyDescent="0.2">
      <c r="A9" s="24">
        <v>44778</v>
      </c>
      <c r="B9" s="52"/>
      <c r="C9" s="31">
        <v>31642.539999999997</v>
      </c>
      <c r="D9" s="25">
        <f t="shared" si="0"/>
        <v>30.57999999999447</v>
      </c>
      <c r="E9" s="31">
        <v>3270469</v>
      </c>
      <c r="F9" s="25">
        <f t="shared" si="1"/>
        <v>1223</v>
      </c>
      <c r="G9" s="31">
        <v>623906</v>
      </c>
      <c r="H9" s="25">
        <f t="shared" si="2"/>
        <v>405</v>
      </c>
      <c r="I9" s="12">
        <v>143.0814</v>
      </c>
      <c r="J9" s="12">
        <v>300</v>
      </c>
    </row>
    <row r="10" spans="1:10" ht="45" customHeight="1" x14ac:dyDescent="0.2">
      <c r="A10" s="24">
        <v>44779</v>
      </c>
      <c r="B10" s="52"/>
      <c r="C10" s="31">
        <v>31671.57</v>
      </c>
      <c r="D10" s="25">
        <f t="shared" si="0"/>
        <v>29.030000000002474</v>
      </c>
      <c r="E10" s="31">
        <v>3271660</v>
      </c>
      <c r="F10" s="25">
        <f t="shared" si="1"/>
        <v>1191</v>
      </c>
      <c r="G10" s="31">
        <v>624331</v>
      </c>
      <c r="H10" s="25">
        <f t="shared" si="2"/>
        <v>425</v>
      </c>
      <c r="I10" s="12">
        <v>110.84220000000001</v>
      </c>
      <c r="J10" s="12">
        <v>283</v>
      </c>
    </row>
    <row r="11" spans="1:10" ht="45" customHeight="1" x14ac:dyDescent="0.2">
      <c r="A11" s="24">
        <v>44780</v>
      </c>
      <c r="B11" s="52"/>
      <c r="C11" s="31">
        <v>31698.71</v>
      </c>
      <c r="D11" s="25">
        <f t="shared" si="0"/>
        <v>27.139999999999418</v>
      </c>
      <c r="E11" s="31">
        <v>3272797</v>
      </c>
      <c r="F11" s="25">
        <f t="shared" si="1"/>
        <v>1137</v>
      </c>
      <c r="G11" s="31">
        <v>624733</v>
      </c>
      <c r="H11" s="25">
        <f t="shared" si="2"/>
        <v>402</v>
      </c>
      <c r="I11" s="12">
        <v>148.1088</v>
      </c>
      <c r="J11" s="12">
        <v>242</v>
      </c>
    </row>
    <row r="12" spans="1:10" ht="45" customHeight="1" x14ac:dyDescent="0.2">
      <c r="A12" s="24">
        <v>44781</v>
      </c>
      <c r="B12" s="52"/>
      <c r="C12" s="31">
        <v>31727.350000000002</v>
      </c>
      <c r="D12" s="25">
        <f t="shared" si="0"/>
        <v>28.640000000003056</v>
      </c>
      <c r="E12" s="31">
        <v>3274103</v>
      </c>
      <c r="F12" s="25">
        <f t="shared" si="1"/>
        <v>1306</v>
      </c>
      <c r="G12" s="31">
        <v>625173</v>
      </c>
      <c r="H12" s="25">
        <f t="shared" si="2"/>
        <v>440</v>
      </c>
      <c r="I12" s="12">
        <v>127.97260000000001</v>
      </c>
      <c r="J12" s="12">
        <v>249</v>
      </c>
    </row>
    <row r="13" spans="1:10" ht="45" customHeight="1" x14ac:dyDescent="0.2">
      <c r="A13" s="24">
        <v>44782</v>
      </c>
      <c r="B13" s="52"/>
      <c r="C13" s="31">
        <v>31753.89</v>
      </c>
      <c r="D13" s="25">
        <f t="shared" si="0"/>
        <v>26.539999999997235</v>
      </c>
      <c r="E13" s="31">
        <v>3275283</v>
      </c>
      <c r="F13" s="25">
        <f t="shared" si="1"/>
        <v>1180</v>
      </c>
      <c r="G13" s="31">
        <v>625544</v>
      </c>
      <c r="H13" s="25">
        <f t="shared" si="2"/>
        <v>371</v>
      </c>
      <c r="I13" s="12">
        <v>145.10300000000001</v>
      </c>
      <c r="J13" s="12">
        <v>320</v>
      </c>
    </row>
    <row r="14" spans="1:10" ht="45" customHeight="1" x14ac:dyDescent="0.2">
      <c r="A14" s="24">
        <v>44783</v>
      </c>
      <c r="B14" s="52"/>
      <c r="C14" s="31">
        <v>31780.429999999997</v>
      </c>
      <c r="D14" s="25">
        <f t="shared" si="0"/>
        <v>26.539999999997235</v>
      </c>
      <c r="E14" s="31">
        <v>3276524</v>
      </c>
      <c r="F14" s="25">
        <f t="shared" si="1"/>
        <v>1241</v>
      </c>
      <c r="G14" s="31">
        <v>625954</v>
      </c>
      <c r="H14" s="25">
        <f t="shared" si="2"/>
        <v>410</v>
      </c>
      <c r="I14" s="12">
        <v>178.35300000000001</v>
      </c>
      <c r="J14" s="12">
        <v>330</v>
      </c>
    </row>
    <row r="15" spans="1:10" ht="45" customHeight="1" x14ac:dyDescent="0.2">
      <c r="A15" s="24">
        <v>44784</v>
      </c>
      <c r="B15" s="52"/>
      <c r="C15" s="31">
        <v>31805.110000000008</v>
      </c>
      <c r="D15" s="25">
        <f t="shared" si="0"/>
        <v>24.680000000011205</v>
      </c>
      <c r="E15" s="31">
        <v>3277891</v>
      </c>
      <c r="F15" s="25">
        <f t="shared" si="1"/>
        <v>1367</v>
      </c>
      <c r="G15" s="31">
        <v>626361</v>
      </c>
      <c r="H15" s="25">
        <f t="shared" si="2"/>
        <v>407</v>
      </c>
      <c r="I15" s="12">
        <v>234.77160000000001</v>
      </c>
      <c r="J15" s="12">
        <v>377</v>
      </c>
    </row>
    <row r="16" spans="1:10" ht="45" customHeight="1" x14ac:dyDescent="0.2">
      <c r="A16" s="24">
        <v>44785</v>
      </c>
      <c r="B16" s="52"/>
      <c r="C16" s="31">
        <v>31833.190999999999</v>
      </c>
      <c r="D16" s="25">
        <f t="shared" si="0"/>
        <v>28.080999999991036</v>
      </c>
      <c r="E16" s="31">
        <v>3279298</v>
      </c>
      <c r="F16" s="25">
        <f t="shared" si="1"/>
        <v>1407</v>
      </c>
      <c r="G16" s="31">
        <v>626797</v>
      </c>
      <c r="H16" s="25">
        <f t="shared" si="2"/>
        <v>436</v>
      </c>
      <c r="I16" s="12">
        <v>227.7226</v>
      </c>
      <c r="J16" s="12">
        <v>360</v>
      </c>
    </row>
    <row r="17" spans="1:15" ht="45" customHeight="1" x14ac:dyDescent="0.2">
      <c r="A17" s="24">
        <v>44786</v>
      </c>
      <c r="B17" s="52"/>
      <c r="C17" s="31">
        <v>31860.65</v>
      </c>
      <c r="D17" s="25">
        <f t="shared" si="0"/>
        <v>27.459000000002561</v>
      </c>
      <c r="E17" s="31">
        <v>3280652</v>
      </c>
      <c r="F17" s="25">
        <f t="shared" si="1"/>
        <v>1354</v>
      </c>
      <c r="G17" s="31">
        <v>627237</v>
      </c>
      <c r="H17" s="25">
        <f t="shared" si="2"/>
        <v>440</v>
      </c>
      <c r="I17" s="12">
        <v>198.48919999999998</v>
      </c>
      <c r="J17" s="12">
        <v>350</v>
      </c>
    </row>
    <row r="18" spans="1:15" ht="45" customHeight="1" x14ac:dyDescent="0.2">
      <c r="A18" s="24">
        <v>44787</v>
      </c>
      <c r="B18" s="52"/>
      <c r="C18" s="31">
        <v>31886.36</v>
      </c>
      <c r="D18" s="25">
        <f t="shared" si="0"/>
        <v>25.709999999999127</v>
      </c>
      <c r="E18" s="31">
        <v>3281912</v>
      </c>
      <c r="F18" s="25">
        <f t="shared" si="1"/>
        <v>1260</v>
      </c>
      <c r="G18" s="31">
        <v>627642</v>
      </c>
      <c r="H18" s="25">
        <f t="shared" si="2"/>
        <v>405</v>
      </c>
      <c r="I18" s="12">
        <v>171.2774</v>
      </c>
      <c r="J18" s="12">
        <v>342</v>
      </c>
    </row>
    <row r="19" spans="1:15" ht="45" customHeight="1" x14ac:dyDescent="0.2">
      <c r="A19" s="24">
        <v>44788</v>
      </c>
      <c r="B19" s="52"/>
      <c r="C19" s="31">
        <v>31913.670000000006</v>
      </c>
      <c r="D19" s="25">
        <f t="shared" si="0"/>
        <v>27.310000000004948</v>
      </c>
      <c r="E19" s="31">
        <v>3283154</v>
      </c>
      <c r="F19" s="25">
        <f t="shared" si="1"/>
        <v>1242</v>
      </c>
      <c r="G19" s="31">
        <v>628091</v>
      </c>
      <c r="H19" s="25">
        <f t="shared" si="2"/>
        <v>449</v>
      </c>
      <c r="I19" s="12">
        <v>187.39699999999999</v>
      </c>
      <c r="J19" s="12">
        <v>379</v>
      </c>
    </row>
    <row r="20" spans="1:15" ht="45" customHeight="1" x14ac:dyDescent="0.2">
      <c r="A20" s="24">
        <v>44789</v>
      </c>
      <c r="B20" s="52"/>
      <c r="C20" s="31">
        <v>31944.71</v>
      </c>
      <c r="D20" s="25">
        <f t="shared" si="0"/>
        <v>31.039999999993597</v>
      </c>
      <c r="E20" s="31">
        <v>3284513</v>
      </c>
      <c r="F20" s="25">
        <f t="shared" si="1"/>
        <v>1359</v>
      </c>
      <c r="G20" s="31">
        <v>628595</v>
      </c>
      <c r="H20" s="25">
        <f t="shared" si="2"/>
        <v>504</v>
      </c>
      <c r="I20" s="12">
        <v>258.92439999999999</v>
      </c>
      <c r="J20" s="12">
        <v>387</v>
      </c>
    </row>
    <row r="21" spans="1:15" ht="45" customHeight="1" x14ac:dyDescent="0.2">
      <c r="A21" s="24">
        <v>44790</v>
      </c>
      <c r="B21" s="52"/>
      <c r="C21" s="31">
        <v>31971.370000000003</v>
      </c>
      <c r="D21" s="25">
        <f t="shared" si="0"/>
        <v>26.660000000003492</v>
      </c>
      <c r="E21" s="31">
        <v>3285859</v>
      </c>
      <c r="F21" s="25">
        <f t="shared" si="1"/>
        <v>1346</v>
      </c>
      <c r="G21" s="31">
        <v>629023</v>
      </c>
      <c r="H21" s="25">
        <f t="shared" si="2"/>
        <v>428</v>
      </c>
      <c r="I21" s="12">
        <v>266</v>
      </c>
      <c r="J21" s="12">
        <v>453</v>
      </c>
    </row>
    <row r="22" spans="1:15" ht="45" customHeight="1" x14ac:dyDescent="0.2">
      <c r="A22" s="24">
        <v>44791</v>
      </c>
      <c r="B22" s="52"/>
      <c r="C22" s="31">
        <v>32000.769999999997</v>
      </c>
      <c r="D22" s="25">
        <f t="shared" si="0"/>
        <v>29.399999999994179</v>
      </c>
      <c r="E22" s="31">
        <v>3287323</v>
      </c>
      <c r="F22" s="25">
        <f t="shared" si="1"/>
        <v>1464</v>
      </c>
      <c r="G22" s="31">
        <v>629516</v>
      </c>
      <c r="H22" s="25">
        <f t="shared" si="2"/>
        <v>493</v>
      </c>
      <c r="I22" s="12">
        <v>253.89699999999999</v>
      </c>
      <c r="J22" s="12">
        <v>390</v>
      </c>
    </row>
    <row r="23" spans="1:15" ht="45" customHeight="1" x14ac:dyDescent="0.2">
      <c r="A23" s="24">
        <v>44792</v>
      </c>
      <c r="B23" s="52"/>
      <c r="C23" s="31">
        <v>32027.400000000005</v>
      </c>
      <c r="D23" s="25">
        <f>IF((C23-C22&lt;0), "0",C23-C22)</f>
        <v>26.630000000008295</v>
      </c>
      <c r="E23" s="31">
        <v>3288713</v>
      </c>
      <c r="F23" s="25">
        <f t="shared" si="1"/>
        <v>1390</v>
      </c>
      <c r="G23" s="31">
        <v>630016</v>
      </c>
      <c r="H23" s="25">
        <f t="shared" si="2"/>
        <v>500</v>
      </c>
      <c r="I23" s="12">
        <v>244.85300000000001</v>
      </c>
      <c r="J23" s="12">
        <v>397</v>
      </c>
    </row>
    <row r="24" spans="1:15" ht="45" customHeight="1" x14ac:dyDescent="0.2">
      <c r="A24" s="24">
        <v>44793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3290203</v>
      </c>
      <c r="F24" s="25">
        <f t="shared" si="1"/>
        <v>1490</v>
      </c>
      <c r="G24" s="31">
        <v>630681</v>
      </c>
      <c r="H24" s="25">
        <f t="shared" si="2"/>
        <v>665</v>
      </c>
      <c r="I24" s="12">
        <v>238.78820000000002</v>
      </c>
      <c r="J24" s="12">
        <v>403</v>
      </c>
    </row>
    <row r="25" spans="1:15" ht="45" customHeight="1" x14ac:dyDescent="0.2">
      <c r="A25" s="24">
        <v>44794</v>
      </c>
      <c r="B25" s="52"/>
      <c r="C25" s="31">
        <v>32089.850000000002</v>
      </c>
      <c r="D25" s="25">
        <f t="shared" si="3"/>
        <v>31.780000000002474</v>
      </c>
      <c r="E25" s="31">
        <v>3291650</v>
      </c>
      <c r="F25" s="25">
        <f t="shared" si="1"/>
        <v>1447</v>
      </c>
      <c r="G25" s="31">
        <v>631550</v>
      </c>
      <c r="H25" s="25">
        <f t="shared" si="2"/>
        <v>869</v>
      </c>
      <c r="I25" s="12">
        <v>241.82060000000001</v>
      </c>
      <c r="J25" s="12">
        <v>346</v>
      </c>
    </row>
    <row r="26" spans="1:15" ht="45" customHeight="1" x14ac:dyDescent="0.2">
      <c r="A26" s="24">
        <v>44795</v>
      </c>
      <c r="B26" s="52"/>
      <c r="C26" s="31">
        <v>32120.219999999998</v>
      </c>
      <c r="D26" s="25">
        <f t="shared" si="3"/>
        <v>30.369999999995343</v>
      </c>
      <c r="E26" s="31">
        <v>3293134</v>
      </c>
      <c r="F26" s="25">
        <f t="shared" si="1"/>
        <v>1484</v>
      </c>
      <c r="G26" s="31">
        <v>632238</v>
      </c>
      <c r="H26" s="25">
        <f t="shared" si="2"/>
        <v>688</v>
      </c>
      <c r="I26" s="12">
        <v>246.84800000000001</v>
      </c>
      <c r="J26" s="12">
        <v>478</v>
      </c>
    </row>
    <row r="27" spans="1:15" ht="45" customHeight="1" x14ac:dyDescent="0.2">
      <c r="A27" s="24">
        <v>44796</v>
      </c>
      <c r="B27" s="52"/>
      <c r="C27" s="31">
        <v>32151.250000000004</v>
      </c>
      <c r="D27" s="25">
        <f t="shared" si="3"/>
        <v>31.030000000006112</v>
      </c>
      <c r="E27" s="31">
        <v>3294511</v>
      </c>
      <c r="F27" s="25">
        <f t="shared" si="1"/>
        <v>1377</v>
      </c>
      <c r="G27" s="31">
        <v>632726</v>
      </c>
      <c r="H27" s="25">
        <f t="shared" si="2"/>
        <v>488</v>
      </c>
      <c r="I27" s="12">
        <v>235.7824</v>
      </c>
      <c r="J27" s="12">
        <v>490</v>
      </c>
    </row>
    <row r="28" spans="1:15" ht="45" customHeight="1" x14ac:dyDescent="0.2">
      <c r="A28" s="24">
        <v>44797</v>
      </c>
      <c r="B28" s="52"/>
      <c r="C28" s="31">
        <v>32180.04</v>
      </c>
      <c r="D28" s="25">
        <f t="shared" si="3"/>
        <v>28.789999999997235</v>
      </c>
      <c r="E28" s="31">
        <v>3295849</v>
      </c>
      <c r="F28" s="25">
        <f t="shared" si="1"/>
        <v>1338</v>
      </c>
      <c r="G28" s="31">
        <v>633225</v>
      </c>
      <c r="H28" s="25">
        <f t="shared" si="2"/>
        <v>499</v>
      </c>
      <c r="I28" s="12">
        <v>266</v>
      </c>
      <c r="J28" s="12">
        <v>448</v>
      </c>
    </row>
    <row r="29" spans="1:15" ht="45" customHeight="1" x14ac:dyDescent="0.2">
      <c r="A29" s="24">
        <v>44798</v>
      </c>
      <c r="B29" s="52"/>
      <c r="C29" s="31">
        <v>32207.519999999997</v>
      </c>
      <c r="D29" s="25">
        <f t="shared" si="3"/>
        <v>27.479999999995925</v>
      </c>
      <c r="E29" s="31">
        <v>3297256</v>
      </c>
      <c r="F29" s="25">
        <f t="shared" si="1"/>
        <v>1407</v>
      </c>
      <c r="G29" s="31">
        <v>633656</v>
      </c>
      <c r="H29" s="25">
        <f t="shared" si="2"/>
        <v>431</v>
      </c>
      <c r="I29" s="12">
        <v>247.8588</v>
      </c>
      <c r="J29" s="12">
        <v>468</v>
      </c>
    </row>
    <row r="30" spans="1:15" ht="45" customHeight="1" x14ac:dyDescent="0.2">
      <c r="A30" s="24">
        <v>44799</v>
      </c>
      <c r="B30" s="52"/>
      <c r="C30" s="31">
        <v>32235.88</v>
      </c>
      <c r="D30" s="25">
        <f t="shared" si="3"/>
        <v>28.36000000000422</v>
      </c>
      <c r="E30" s="31">
        <v>3298601</v>
      </c>
      <c r="F30" s="25">
        <f t="shared" si="1"/>
        <v>1345</v>
      </c>
      <c r="G30" s="31">
        <v>634247</v>
      </c>
      <c r="H30" s="25">
        <f t="shared" si="2"/>
        <v>591</v>
      </c>
      <c r="I30" s="12">
        <v>204.5274</v>
      </c>
      <c r="J30" s="12">
        <v>335</v>
      </c>
      <c r="O30" s="34"/>
    </row>
    <row r="31" spans="1:15" ht="45" customHeight="1" x14ac:dyDescent="0.2">
      <c r="A31" s="24">
        <v>44800</v>
      </c>
      <c r="B31" s="52"/>
      <c r="C31" s="31">
        <v>32266.91</v>
      </c>
      <c r="D31" s="25">
        <f t="shared" si="3"/>
        <v>31.029999999998836</v>
      </c>
      <c r="E31" s="31">
        <v>3299915</v>
      </c>
      <c r="F31" s="25">
        <f t="shared" si="1"/>
        <v>1314</v>
      </c>
      <c r="G31" s="31">
        <v>634898</v>
      </c>
      <c r="H31" s="25">
        <f t="shared" si="2"/>
        <v>651</v>
      </c>
      <c r="I31" s="12">
        <v>192.45100000000002</v>
      </c>
      <c r="J31" s="12">
        <v>426</v>
      </c>
    </row>
    <row r="32" spans="1:15" ht="45" customHeight="1" x14ac:dyDescent="0.2">
      <c r="A32" s="24">
        <v>44801</v>
      </c>
      <c r="B32" s="52"/>
      <c r="C32" s="31">
        <v>32297.709999999992</v>
      </c>
      <c r="D32" s="25">
        <f t="shared" si="3"/>
        <v>30.799999999991996</v>
      </c>
      <c r="E32" s="31">
        <v>3301051</v>
      </c>
      <c r="F32" s="25">
        <f t="shared" si="1"/>
        <v>1136</v>
      </c>
      <c r="G32" s="31">
        <v>635445</v>
      </c>
      <c r="H32" s="25">
        <f t="shared" si="2"/>
        <v>547</v>
      </c>
      <c r="I32" s="12">
        <v>221.65780000000001</v>
      </c>
      <c r="J32" s="12">
        <v>25</v>
      </c>
    </row>
    <row r="33" spans="1:10" ht="36" customHeight="1" x14ac:dyDescent="0.2">
      <c r="A33" s="24">
        <v>44802</v>
      </c>
      <c r="B33" s="36"/>
      <c r="C33" s="31">
        <v>32328.559999999998</v>
      </c>
      <c r="D33" s="25">
        <f t="shared" si="3"/>
        <v>30.850000000005821</v>
      </c>
      <c r="E33" s="31">
        <v>3302451</v>
      </c>
      <c r="F33" s="25">
        <f t="shared" si="1"/>
        <v>1400</v>
      </c>
      <c r="G33" s="31">
        <v>635891</v>
      </c>
      <c r="H33" s="25">
        <f t="shared" si="2"/>
        <v>446</v>
      </c>
      <c r="I33" s="12">
        <v>179.3372</v>
      </c>
      <c r="J33" s="12">
        <v>399</v>
      </c>
    </row>
    <row r="34" spans="1:10" ht="45.6" customHeight="1" x14ac:dyDescent="0.2">
      <c r="A34" s="24">
        <v>44803</v>
      </c>
      <c r="B34" s="49"/>
      <c r="C34" s="41">
        <v>32350.239999999998</v>
      </c>
      <c r="D34" s="50">
        <f t="shared" si="3"/>
        <v>21.680000000000291</v>
      </c>
      <c r="E34" s="31">
        <v>3303459</v>
      </c>
      <c r="F34" s="32">
        <f t="shared" si="1"/>
        <v>1008</v>
      </c>
      <c r="G34" s="31">
        <v>636233</v>
      </c>
      <c r="H34" s="25">
        <f t="shared" si="2"/>
        <v>342</v>
      </c>
      <c r="I34" s="33">
        <v>148.1088</v>
      </c>
      <c r="J34" s="33">
        <v>110</v>
      </c>
    </row>
    <row r="35" spans="1:10" ht="36.75" customHeight="1" x14ac:dyDescent="0.15">
      <c r="A35" s="24">
        <v>44804</v>
      </c>
      <c r="B35" s="49"/>
      <c r="C35" s="51">
        <v>32370.67</v>
      </c>
      <c r="D35" s="25">
        <f t="shared" si="3"/>
        <v>20.430000000000291</v>
      </c>
      <c r="E35" s="35">
        <v>3304415</v>
      </c>
      <c r="F35" s="25">
        <f t="shared" si="1"/>
        <v>956</v>
      </c>
      <c r="G35" s="35">
        <v>636533</v>
      </c>
      <c r="H35" s="25">
        <f t="shared" si="2"/>
        <v>300</v>
      </c>
      <c r="I35" s="12">
        <v>96.71759999999999</v>
      </c>
      <c r="J35" s="12">
        <v>94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2023-03-14T03:36:59Z</dcterms:modified>
</cp:coreProperties>
</file>