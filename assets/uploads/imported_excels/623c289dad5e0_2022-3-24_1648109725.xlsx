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90" windowWidth="14325" windowHeight="12060" tabRatio="578" firstSheet="1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25" i="3"/>
  <c r="L20"/>
  <c r="L21" s="1"/>
  <c r="L22" s="1"/>
  <c r="L23" s="1"/>
  <c r="L24" s="1"/>
  <c r="L19"/>
  <c r="M19"/>
  <c r="L18"/>
  <c r="M18" s="1"/>
  <c r="M2"/>
  <c r="M3"/>
  <c r="M4"/>
  <c r="M5"/>
  <c r="M6"/>
  <c r="M7"/>
  <c r="M8"/>
  <c r="M9"/>
  <c r="M10"/>
  <c r="M11"/>
  <c r="M12"/>
  <c r="M13"/>
  <c r="M14"/>
  <c r="M15"/>
  <c r="M16"/>
  <c r="M17"/>
  <c r="G27" i="5"/>
  <c r="L25" i="3" l="1"/>
  <c r="M20"/>
  <c r="B25" i="76"/>
  <c r="H25"/>
  <c r="M21" i="3" l="1"/>
  <c r="Y20"/>
  <c r="M22" l="1"/>
  <c r="AG32" i="2"/>
  <c r="M23" i="3" l="1"/>
  <c r="X2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20" s="1"/>
  <c r="G21" s="1"/>
  <c r="G22" s="1"/>
  <c r="G23" s="1"/>
  <c r="G24" s="1"/>
  <c r="G25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7" s="1"/>
  <c r="J18" s="1"/>
  <c r="J20" s="1"/>
  <c r="J21" s="1"/>
  <c r="J22" s="1"/>
  <c r="J23" s="1"/>
  <c r="J24" s="1"/>
  <c r="J25" s="1"/>
  <c r="J27" s="1"/>
  <c r="J28" s="1"/>
  <c r="J29" s="1"/>
  <c r="J30" s="1"/>
  <c r="J31" s="1"/>
  <c r="J32" s="1"/>
  <c r="H5"/>
  <c r="H7" s="1"/>
  <c r="H8" s="1"/>
  <c r="H14" s="1"/>
  <c r="H15" s="1"/>
  <c r="H17" s="1"/>
  <c r="H21" s="1"/>
  <c r="H22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21" s="1"/>
  <c r="F22" s="1"/>
  <c r="F23" s="1"/>
  <c r="F24" s="1"/>
  <c r="F25" s="1"/>
  <c r="F27" s="1"/>
  <c r="F28" s="1"/>
  <c r="F29" s="1"/>
  <c r="F30" s="1"/>
  <c r="F31" s="1"/>
  <c r="F32" s="1"/>
  <c r="B5"/>
  <c r="B7" s="1"/>
  <c r="B8" s="1"/>
  <c r="B14" s="1"/>
  <c r="B15" s="1"/>
  <c r="B17" s="1"/>
  <c r="B21" s="1"/>
  <c r="B22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4" s="1"/>
  <c r="B18" s="1"/>
  <c r="B20" s="1"/>
  <c r="B21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7" s="1"/>
  <c r="AT18" s="1"/>
  <c r="AT20" s="1"/>
  <c r="AT22" s="1"/>
  <c r="AT23" s="1"/>
  <c r="AT24" s="1"/>
  <c r="AT25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7" s="1"/>
  <c r="AV18" s="1"/>
  <c r="AV23" s="1"/>
  <c r="AV24" s="1"/>
  <c r="AV29" s="1"/>
  <c r="AV30" s="1"/>
  <c r="AV31" s="1"/>
  <c r="AV32" s="1"/>
  <c r="AV33" s="1"/>
  <c r="AV34" s="1"/>
  <c r="AV35" s="1"/>
  <c r="AV36" s="1"/>
  <c r="AW5"/>
  <c r="AX5"/>
  <c r="AX9" s="1"/>
  <c r="AX10" s="1"/>
  <c r="AX17" s="1"/>
  <c r="AX23" s="1"/>
  <c r="AX24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7" s="1"/>
  <c r="X18" s="1"/>
  <c r="X19" s="1"/>
  <c r="X20" s="1"/>
  <c r="X21" s="1"/>
  <c r="X22" s="1"/>
  <c r="X23" s="1"/>
  <c r="X24" s="1"/>
  <c r="X25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6" s="1"/>
  <c r="H22" s="1"/>
  <c r="H23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6" s="1"/>
  <c r="F22" s="1"/>
  <c r="F23" s="1"/>
  <c r="F28" s="1"/>
  <c r="F29" s="1"/>
  <c r="F30" s="1"/>
  <c r="F31" s="1"/>
  <c r="F32" s="1"/>
  <c r="F33" s="1"/>
  <c r="C8"/>
  <c r="C9" s="1"/>
  <c r="C16" s="1"/>
  <c r="C22" s="1"/>
  <c r="C23" s="1"/>
  <c r="C28" s="1"/>
  <c r="C29" s="1"/>
  <c r="C30" s="1"/>
  <c r="C31" s="1"/>
  <c r="C32" s="1"/>
  <c r="B8"/>
  <c r="B9" s="1"/>
  <c r="B16" s="1"/>
  <c r="B22" s="1"/>
  <c r="B23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5" s="1"/>
  <c r="P21" s="1"/>
  <c r="P22" s="1"/>
  <c r="P27" s="1"/>
  <c r="P28" s="1"/>
  <c r="P29" s="1"/>
  <c r="P30" s="1"/>
  <c r="P31" s="1"/>
  <c r="P32" s="1"/>
  <c r="L7"/>
  <c r="L8" s="1"/>
  <c r="L15" s="1"/>
  <c r="L21" s="1"/>
  <c r="L22" s="1"/>
  <c r="L27" s="1"/>
  <c r="L28" s="1"/>
  <c r="L29" s="1"/>
  <c r="L30" s="1"/>
  <c r="L31" s="1"/>
  <c r="L32" s="1"/>
  <c r="H7"/>
  <c r="H8" s="1"/>
  <c r="H15" s="1"/>
  <c r="H21" s="1"/>
  <c r="H22" s="1"/>
  <c r="H27" s="1"/>
  <c r="H28" s="1"/>
  <c r="H29" s="1"/>
  <c r="H30" s="1"/>
  <c r="H31" s="1"/>
  <c r="H32" s="1"/>
  <c r="J7"/>
  <c r="J8" s="1"/>
  <c r="J15" s="1"/>
  <c r="J21" s="1"/>
  <c r="J22" s="1"/>
  <c r="J27" s="1"/>
  <c r="J28" s="1"/>
  <c r="J29" s="1"/>
  <c r="J30" s="1"/>
  <c r="J31" s="1"/>
  <c r="J32" s="1"/>
  <c r="F7"/>
  <c r="F8" s="1"/>
  <c r="F15" s="1"/>
  <c r="F21" s="1"/>
  <c r="F22" s="1"/>
  <c r="F27" s="1"/>
  <c r="F28" s="1"/>
  <c r="F29" s="1"/>
  <c r="F30" s="1"/>
  <c r="F31" s="1"/>
  <c r="F32" s="1"/>
  <c r="D7"/>
  <c r="D8" s="1"/>
  <c r="D15" s="1"/>
  <c r="D21" s="1"/>
  <c r="D22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3" s="1"/>
  <c r="R14" s="1"/>
  <c r="R15" s="1"/>
  <c r="R20" s="1"/>
  <c r="R21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Q13" i="76" s="1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R13" i="76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F19" i="1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F24" i="1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D24" i="1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C32" i="65" s="1"/>
  <c r="E32" s="1"/>
  <c r="AE33" i="1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O12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I32" i="1" l="1"/>
  <c r="AW33" i="7" s="1"/>
  <c r="AF31" i="2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X37" i="7" l="1"/>
  <c r="AX42" s="1"/>
  <c r="AY35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L9" i="3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AE9"/>
  <c r="AF9" s="1"/>
  <c r="F9" i="63"/>
  <c r="AK9" i="3"/>
  <c r="AL9"/>
  <c r="O27" i="5"/>
  <c r="P26"/>
  <c r="AY29"/>
  <c r="BB29" s="1"/>
  <c r="BE29" s="1"/>
  <c r="AS30"/>
  <c r="Z10" i="3"/>
  <c r="N10"/>
  <c r="W25" i="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BK14" i="7"/>
  <c r="AG11" i="3"/>
  <c r="Z13"/>
  <c r="N13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K16" i="3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W31"/>
  <c r="AL31" s="1"/>
  <c r="V32"/>
  <c r="BK17" i="7"/>
  <c r="AG14" i="3"/>
  <c r="F15" i="63"/>
  <c r="AK15" i="3"/>
  <c r="AL15"/>
  <c r="AE15"/>
  <c r="AF15" s="1"/>
  <c r="Z16"/>
  <c r="N16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Z17" i="3"/>
  <c r="N17"/>
  <c r="K18"/>
  <c r="Q32" i="5"/>
  <c r="M28" i="81" s="1"/>
  <c r="Q33" i="5" l="1"/>
  <c r="M29" i="81" s="1"/>
  <c r="P34" i="5"/>
  <c r="O35"/>
  <c r="W33"/>
  <c r="AL33" s="1"/>
  <c r="V34"/>
  <c r="N34"/>
  <c r="M35"/>
  <c r="AK17" i="3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AA22"/>
  <c r="F19" i="63"/>
  <c r="AE19" i="3"/>
  <c r="AF19" s="1"/>
  <c r="AL19"/>
  <c r="AK19"/>
  <c r="BK21" i="7"/>
  <c r="AG18" i="3"/>
  <c r="AA23" l="1"/>
  <c r="M24"/>
  <c r="AL37" i="5"/>
  <c r="Q37"/>
  <c r="O38" s="1"/>
  <c r="BK22" i="7"/>
  <c r="AG19" i="3"/>
  <c r="AE20"/>
  <c r="AF20" s="1"/>
  <c r="F20" i="63"/>
  <c r="AK20" i="3"/>
  <c r="AL20"/>
  <c r="J23"/>
  <c r="K22"/>
  <c r="N21"/>
  <c r="AB21" s="1"/>
  <c r="Z21"/>
  <c r="F21" i="63" l="1"/>
  <c r="AE21" i="3"/>
  <c r="AF21" s="1"/>
  <c r="AK21"/>
  <c r="AL21"/>
  <c r="BK23" i="7"/>
  <c r="AG20" i="3"/>
  <c r="M25"/>
  <c r="K23"/>
  <c r="N22"/>
  <c r="AB22" s="1"/>
  <c r="Z22"/>
  <c r="Z23" l="1"/>
  <c r="N23"/>
  <c r="AB23" s="1"/>
  <c r="K24"/>
  <c r="BK24" i="7"/>
  <c r="AG21" i="3"/>
  <c r="AL22"/>
  <c r="F22" i="63"/>
  <c r="AE22" i="3"/>
  <c r="AF22" s="1"/>
  <c r="AK22"/>
  <c r="AC22"/>
  <c r="N24" l="1"/>
  <c r="Z24"/>
  <c r="J26"/>
  <c r="K26" s="1"/>
  <c r="L26" s="1"/>
  <c r="F23" i="63"/>
  <c r="AC23" i="3"/>
  <c r="AL23"/>
  <c r="AE23"/>
  <c r="AF23" s="1"/>
  <c r="AK23"/>
  <c r="BK25" i="7"/>
  <c r="AG22" i="3"/>
  <c r="AH22" s="1"/>
  <c r="M26" l="1"/>
  <c r="BK26" i="7"/>
  <c r="AG23" i="3"/>
  <c r="AH23" s="1"/>
  <c r="AL24"/>
  <c r="AK24"/>
  <c r="F24" i="63"/>
  <c r="AE24" i="3"/>
  <c r="AF24" s="1"/>
  <c r="J27"/>
  <c r="K27" s="1"/>
  <c r="L27" s="1"/>
  <c r="Z25"/>
  <c r="N25"/>
  <c r="L28" l="1"/>
  <c r="M27"/>
  <c r="J28"/>
  <c r="K28" s="1"/>
  <c r="Z26"/>
  <c r="N26"/>
  <c r="F25" i="63"/>
  <c r="AK25" i="3"/>
  <c r="AE25"/>
  <c r="AF25" s="1"/>
  <c r="AL25"/>
  <c r="BK27" i="7"/>
  <c r="AG24" i="3"/>
  <c r="L29" l="1"/>
  <c r="M28"/>
  <c r="J29"/>
  <c r="K29" s="1"/>
  <c r="Z27"/>
  <c r="N27"/>
  <c r="AB27" s="1"/>
  <c r="F26" i="63"/>
  <c r="AE26" i="3"/>
  <c r="AF26" s="1"/>
  <c r="AK26"/>
  <c r="AL26"/>
  <c r="BK28" i="7"/>
  <c r="AG25" i="3"/>
  <c r="M29" l="1"/>
  <c r="Z28"/>
  <c r="N28"/>
  <c r="AB28" s="1"/>
  <c r="J30"/>
  <c r="BK29" i="7"/>
  <c r="AG26" i="3"/>
  <c r="AK27"/>
  <c r="F27" i="63"/>
  <c r="AE27" i="3"/>
  <c r="AF27" s="1"/>
  <c r="AL27"/>
  <c r="J31" l="1"/>
  <c r="K31" s="1"/>
  <c r="K30"/>
  <c r="L30" s="1"/>
  <c r="N29"/>
  <c r="Z29"/>
  <c r="BK30" i="7"/>
  <c r="AG27" i="3"/>
  <c r="AK28"/>
  <c r="F28" i="63"/>
  <c r="AC28" i="3"/>
  <c r="AE28"/>
  <c r="AF28" s="1"/>
  <c r="AL28"/>
  <c r="L31" l="1"/>
  <c r="M30"/>
  <c r="J32"/>
  <c r="K32" s="1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L32" l="1"/>
  <c r="M31"/>
  <c r="J33"/>
  <c r="K33" s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L33" l="1"/>
  <c r="M33" s="1"/>
  <c r="M32"/>
  <c r="N33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D14"/>
  <c r="AA13" l="1"/>
  <c r="AC13" s="1"/>
  <c r="AH13" s="1"/>
  <c r="F13"/>
  <c r="AB13" s="1"/>
  <c r="D15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<sst xmlns="http://schemas.openxmlformats.org/spreadsheetml/2006/main" count="666" uniqueCount="418">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</sst>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5011</c:v>
                </c:pt>
                <c:pt idx="22">
                  <c:v>5054</c:v>
                </c:pt>
                <c:pt idx="23">
                  <c:v>5601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8906368"/>
        <c:axId val="128907904"/>
      </c:lineChart>
      <c:catAx>
        <c:axId val="12890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07904"/>
        <c:crosses val="autoZero"/>
        <c:auto val="1"/>
        <c:lblAlgn val="ctr"/>
        <c:lblOffset val="100"/>
      </c:catAx>
      <c:valAx>
        <c:axId val="128907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0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260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5335168"/>
        <c:axId val="95336704"/>
      </c:lineChart>
      <c:catAx>
        <c:axId val="9533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36704"/>
        <c:crosses val="autoZero"/>
        <c:auto val="1"/>
        <c:lblAlgn val="ctr"/>
        <c:lblOffset val="100"/>
      </c:catAx>
      <c:valAx>
        <c:axId val="9533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3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6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5463680"/>
        <c:axId val="95465472"/>
      </c:lineChart>
      <c:catAx>
        <c:axId val="9546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65472"/>
        <c:crosses val="autoZero"/>
        <c:auto val="1"/>
        <c:lblAlgn val="ctr"/>
        <c:lblOffset val="100"/>
      </c:catAx>
      <c:valAx>
        <c:axId val="954654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6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5481856"/>
        <c:axId val="95483392"/>
      </c:lineChart>
      <c:catAx>
        <c:axId val="9548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3392"/>
        <c:crosses val="autoZero"/>
        <c:auto val="1"/>
        <c:lblAlgn val="ctr"/>
        <c:lblOffset val="100"/>
      </c:catAx>
      <c:valAx>
        <c:axId val="95483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40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5512064"/>
        <c:axId val="95513600"/>
      </c:lineChart>
      <c:catAx>
        <c:axId val="9551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13600"/>
        <c:crosses val="autoZero"/>
        <c:auto val="1"/>
        <c:lblAlgn val="ctr"/>
        <c:lblOffset val="100"/>
      </c:catAx>
      <c:valAx>
        <c:axId val="95513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1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17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4263040"/>
        <c:axId val="104236160"/>
      </c:lineChart>
      <c:catAx>
        <c:axId val="10426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36160"/>
        <c:crosses val="autoZero"/>
        <c:auto val="1"/>
        <c:lblAlgn val="ctr"/>
        <c:lblOffset val="100"/>
      </c:catAx>
      <c:valAx>
        <c:axId val="10423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6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4281216"/>
        <c:axId val="104282752"/>
      </c:lineChart>
      <c:catAx>
        <c:axId val="10428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82752"/>
        <c:crosses val="autoZero"/>
        <c:auto val="1"/>
        <c:lblAlgn val="ctr"/>
        <c:lblOffset val="100"/>
      </c:catAx>
      <c:valAx>
        <c:axId val="10428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4303232"/>
        <c:axId val="104325504"/>
      </c:lineChart>
      <c:catAx>
        <c:axId val="10430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25504"/>
        <c:crosses val="autoZero"/>
        <c:auto val="1"/>
        <c:lblAlgn val="ctr"/>
        <c:lblOffset val="100"/>
      </c:catAx>
      <c:valAx>
        <c:axId val="10432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0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6443136"/>
        <c:axId val="106444672"/>
      </c:lineChart>
      <c:catAx>
        <c:axId val="10644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4672"/>
        <c:crosses val="autoZero"/>
        <c:auto val="1"/>
        <c:lblAlgn val="ctr"/>
        <c:lblOffset val="100"/>
      </c:catAx>
      <c:valAx>
        <c:axId val="106444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69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6485632"/>
        <c:axId val="106487168"/>
      </c:lineChart>
      <c:catAx>
        <c:axId val="10648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87168"/>
        <c:crosses val="autoZero"/>
        <c:auto val="1"/>
        <c:lblAlgn val="ctr"/>
        <c:lblOffset val="100"/>
      </c:catAx>
      <c:valAx>
        <c:axId val="10648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8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6174208"/>
        <c:axId val="116180096"/>
      </c:lineChart>
      <c:catAx>
        <c:axId val="11617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80096"/>
        <c:crosses val="autoZero"/>
        <c:auto val="1"/>
        <c:lblAlgn val="ctr"/>
        <c:lblOffset val="100"/>
      </c:catAx>
      <c:valAx>
        <c:axId val="1161800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260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6467200"/>
        <c:axId val="116468736"/>
      </c:lineChart>
      <c:catAx>
        <c:axId val="11646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68736"/>
        <c:crosses val="autoZero"/>
        <c:auto val="1"/>
        <c:lblAlgn val="ctr"/>
        <c:lblOffset val="100"/>
      </c:catAx>
      <c:valAx>
        <c:axId val="11646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6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52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218</c:v>
                </c:pt>
                <c:pt idx="11">
                  <c:v>425</c:v>
                </c:pt>
                <c:pt idx="12">
                  <c:v>0</c:v>
                </c:pt>
                <c:pt idx="13">
                  <c:v>295</c:v>
                </c:pt>
                <c:pt idx="14">
                  <c:v>570</c:v>
                </c:pt>
                <c:pt idx="15">
                  <c:v>515</c:v>
                </c:pt>
                <c:pt idx="16">
                  <c:v>653</c:v>
                </c:pt>
                <c:pt idx="17">
                  <c:v>414</c:v>
                </c:pt>
                <c:pt idx="18">
                  <c:v>0</c:v>
                </c:pt>
                <c:pt idx="19">
                  <c:v>0</c:v>
                </c:pt>
                <c:pt idx="20">
                  <c:v>426</c:v>
                </c:pt>
                <c:pt idx="21">
                  <c:v>452</c:v>
                </c:pt>
                <c:pt idx="22">
                  <c:v>348</c:v>
                </c:pt>
                <c:pt idx="23">
                  <c:v>378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6493696"/>
        <c:axId val="120161408"/>
      </c:lineChart>
      <c:catAx>
        <c:axId val="11649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61408"/>
        <c:crosses val="autoZero"/>
        <c:auto val="1"/>
        <c:lblAlgn val="ctr"/>
        <c:lblOffset val="100"/>
      </c:catAx>
      <c:valAx>
        <c:axId val="12016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9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0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0185984"/>
        <c:axId val="120187520"/>
      </c:lineChart>
      <c:catAx>
        <c:axId val="12018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87520"/>
        <c:crosses val="autoZero"/>
        <c:auto val="1"/>
        <c:lblAlgn val="ctr"/>
        <c:lblOffset val="100"/>
      </c:catAx>
      <c:valAx>
        <c:axId val="120187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8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5011</c:v>
                </c:pt>
                <c:pt idx="22">
                  <c:v>5054</c:v>
                </c:pt>
                <c:pt idx="23">
                  <c:v>5601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2727424"/>
        <c:axId val="122745600"/>
      </c:lineChart>
      <c:catAx>
        <c:axId val="12272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5600"/>
        <c:crosses val="autoZero"/>
        <c:auto val="1"/>
        <c:lblAlgn val="ctr"/>
        <c:lblOffset val="100"/>
      </c:catAx>
      <c:valAx>
        <c:axId val="122745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2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260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4535552"/>
        <c:axId val="124537088"/>
      </c:lineChart>
      <c:catAx>
        <c:axId val="12453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37088"/>
        <c:crosses val="autoZero"/>
        <c:auto val="1"/>
        <c:lblAlgn val="ctr"/>
        <c:lblOffset val="100"/>
      </c:catAx>
      <c:valAx>
        <c:axId val="12453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3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0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4610816"/>
        <c:axId val="124637184"/>
      </c:lineChart>
      <c:catAx>
        <c:axId val="12461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37184"/>
        <c:crosses val="autoZero"/>
        <c:auto val="1"/>
        <c:lblAlgn val="ctr"/>
        <c:lblOffset val="100"/>
      </c:catAx>
      <c:valAx>
        <c:axId val="1246371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1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74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943.99999999999272</c:v>
                </c:pt>
                <c:pt idx="10">
                  <c:v>-2216.7419354838639</c:v>
                </c:pt>
                <c:pt idx="11">
                  <c:v>0</c:v>
                </c:pt>
                <c:pt idx="12">
                  <c:v>-1226.7096774193342</c:v>
                </c:pt>
                <c:pt idx="13">
                  <c:v>-2690.0967741935747</c:v>
                </c:pt>
                <c:pt idx="14">
                  <c:v>-2996.7741935483646</c:v>
                </c:pt>
                <c:pt idx="15">
                  <c:v>-1616.5806451613025</c:v>
                </c:pt>
                <c:pt idx="16">
                  <c:v>-1479.8064516129089</c:v>
                </c:pt>
                <c:pt idx="17">
                  <c:v>0</c:v>
                </c:pt>
                <c:pt idx="18">
                  <c:v>0</c:v>
                </c:pt>
                <c:pt idx="19">
                  <c:v>-1723.2903225806513</c:v>
                </c:pt>
                <c:pt idx="20">
                  <c:v>-2453.4193548386975</c:v>
                </c:pt>
                <c:pt idx="21">
                  <c:v>-1910.0645161290449</c:v>
                </c:pt>
                <c:pt idx="22">
                  <c:v>-1863.2258064516063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8221184"/>
        <c:axId val="128222720"/>
      </c:lineChart>
      <c:catAx>
        <c:axId val="12822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22720"/>
        <c:crosses val="autoZero"/>
        <c:auto val="1"/>
        <c:lblAlgn val="ctr"/>
        <c:lblOffset val="100"/>
      </c:catAx>
      <c:valAx>
        <c:axId val="128222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2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8284544"/>
        <c:axId val="128286080"/>
      </c:lineChart>
      <c:catAx>
        <c:axId val="12828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86080"/>
        <c:crosses val="autoZero"/>
        <c:auto val="1"/>
        <c:lblAlgn val="ctr"/>
        <c:lblOffset val="100"/>
      </c:catAx>
      <c:valAx>
        <c:axId val="12828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8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09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8331136"/>
        <c:axId val="128353408"/>
      </c:lineChart>
      <c:catAx>
        <c:axId val="12833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53408"/>
        <c:crosses val="autoZero"/>
        <c:auto val="1"/>
        <c:lblAlgn val="ctr"/>
        <c:lblOffset val="100"/>
      </c:catAx>
      <c:valAx>
        <c:axId val="1283534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3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8377984"/>
        <c:axId val="128379520"/>
      </c:lineChart>
      <c:catAx>
        <c:axId val="12837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79520"/>
        <c:crosses val="autoZero"/>
        <c:auto val="1"/>
        <c:lblAlgn val="ctr"/>
        <c:lblOffset val="100"/>
      </c:catAx>
      <c:valAx>
        <c:axId val="128379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7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8486016"/>
        <c:axId val="128491904"/>
      </c:lineChart>
      <c:catAx>
        <c:axId val="12848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91904"/>
        <c:crosses val="autoZero"/>
        <c:auto val="1"/>
        <c:lblAlgn val="ctr"/>
        <c:lblOffset val="100"/>
      </c:catAx>
      <c:valAx>
        <c:axId val="12849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8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4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8536960"/>
        <c:axId val="128538496"/>
      </c:lineChart>
      <c:catAx>
        <c:axId val="12853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38496"/>
        <c:crosses val="autoZero"/>
        <c:auto val="1"/>
        <c:lblAlgn val="ctr"/>
        <c:lblOffset val="100"/>
      </c:catAx>
      <c:valAx>
        <c:axId val="12853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3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8595840"/>
        <c:axId val="128597376"/>
      </c:lineChart>
      <c:catAx>
        <c:axId val="12859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97376"/>
        <c:crosses val="autoZero"/>
        <c:auto val="1"/>
        <c:lblAlgn val="ctr"/>
        <c:lblOffset val="100"/>
      </c:catAx>
      <c:valAx>
        <c:axId val="12859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9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407"/>
          <c:w val="0.1234311819809451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8631552"/>
        <c:axId val="128633088"/>
      </c:lineChart>
      <c:catAx>
        <c:axId val="1286315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33088"/>
        <c:crosses val="autoZero"/>
        <c:auto val="1"/>
        <c:lblAlgn val="ctr"/>
        <c:lblOffset val="100"/>
      </c:catAx>
      <c:valAx>
        <c:axId val="1286330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3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643"/>
          <c:w val="0.1569039853282452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8718720"/>
        <c:axId val="128720256"/>
      </c:lineChart>
      <c:catAx>
        <c:axId val="12871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20256"/>
        <c:crosses val="autoZero"/>
        <c:auto val="1"/>
        <c:lblAlgn val="ctr"/>
        <c:lblOffset val="100"/>
      </c:catAx>
      <c:valAx>
        <c:axId val="128720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1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8798720"/>
        <c:axId val="128800256"/>
      </c:lineChart>
      <c:catAx>
        <c:axId val="12879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00256"/>
        <c:crosses val="autoZero"/>
        <c:auto val="1"/>
        <c:lblAlgn val="ctr"/>
        <c:lblOffset val="100"/>
      </c:catAx>
      <c:valAx>
        <c:axId val="12880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9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41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6965120"/>
        <c:axId val="147075840"/>
      </c:lineChart>
      <c:catAx>
        <c:axId val="1369651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75840"/>
        <c:crosses val="autoZero"/>
        <c:auto val="1"/>
        <c:lblAlgn val="ctr"/>
        <c:lblOffset val="100"/>
      </c:catAx>
      <c:valAx>
        <c:axId val="1470758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6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6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S22" sqref="S2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0.23941936794918167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0.42899575749616142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0.39643416684134991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0.35280774256511693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0.43307668465976623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0.33752603335837711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0.14003246809492351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5500</v>
      </c>
      <c r="F11" s="315">
        <f>SUM('EDl log'!T13)</f>
        <v>-0.18380628727330958</v>
      </c>
      <c r="G11" s="203">
        <f>-tanks!AW15</f>
        <v>218</v>
      </c>
      <c r="H11" s="315">
        <f>tanks!AV15</f>
        <v>1.2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5222</v>
      </c>
      <c r="F12" s="315">
        <f>SUM('EDl log'!T14)</f>
        <v>0.37805227738177549</v>
      </c>
      <c r="G12" s="203">
        <f>-tanks!AW16</f>
        <v>425</v>
      </c>
      <c r="H12" s="315">
        <f>tanks!AV16</f>
        <v>1.2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3565</v>
      </c>
      <c r="F14" s="315">
        <f>SUM('EDl log'!T16)</f>
        <v>0.31394596078750825</v>
      </c>
      <c r="G14" s="203">
        <f>-tanks!AW18</f>
        <v>295</v>
      </c>
      <c r="H14" s="315">
        <f>tanks!AV18</f>
        <v>1.2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5257</v>
      </c>
      <c r="F15" s="315">
        <f>SUM('EDl log'!T17)</f>
        <v>0.43895945925057878</v>
      </c>
      <c r="G15" s="203">
        <f>-tanks!AW19</f>
        <v>570</v>
      </c>
      <c r="H15" s="315">
        <f>tanks!AV19</f>
        <v>1.2</v>
      </c>
      <c r="I15" s="10">
        <f>('B5'!AU18)*0.51</f>
        <v>0</v>
      </c>
      <c r="J15" s="296">
        <f>'B5'!AX18/0.51</f>
        <v>1.5686274509803921</v>
      </c>
      <c r="K15" s="203">
        <f>WATER!I19</f>
        <v>250</v>
      </c>
      <c r="L15" s="316">
        <f>SUM(WATER!J19)</f>
        <v>0.967741935483871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5713</v>
      </c>
      <c r="F16" s="315">
        <f>SUM('EDl log'!T18)</f>
        <v>0.47006680812282031</v>
      </c>
      <c r="G16" s="203">
        <f>-tanks!AW20</f>
        <v>515</v>
      </c>
      <c r="H16" s="315">
        <f>tanks!AV20</f>
        <v>1.2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5689</v>
      </c>
      <c r="F17" s="315">
        <f>SUM('EDl log'!T19)</f>
        <v>0.20486061081345461</v>
      </c>
      <c r="G17" s="203">
        <f>-tanks!AW21</f>
        <v>653</v>
      </c>
      <c r="H17" s="315">
        <f>tanks!AV21</f>
        <v>1.07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5365</v>
      </c>
      <c r="F18" s="315">
        <f>SUM('EDl log'!T20)</f>
        <v>0.2328772344472719</v>
      </c>
      <c r="G18" s="203">
        <f>-tanks!AW22</f>
        <v>414</v>
      </c>
      <c r="H18" s="315">
        <f>tanks!AV22</f>
        <v>0.97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0.97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0.97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5488</v>
      </c>
      <c r="F21" s="315">
        <f>SUM('EDl log'!T23)</f>
        <v>0.26906718370813931</v>
      </c>
      <c r="G21" s="203">
        <f>-tanks!AW25</f>
        <v>426</v>
      </c>
      <c r="H21" s="315">
        <f>tanks!AV25</f>
        <v>0.98499999999999999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5011</v>
      </c>
      <c r="F22" s="315">
        <f>SUM('EDl log'!T24)</f>
        <v>0.439143656835564</v>
      </c>
      <c r="G22" s="203">
        <f>-tanks!AW26</f>
        <v>452</v>
      </c>
      <c r="H22" s="315">
        <f>tanks!AV26</f>
        <v>0.98499999999999999</v>
      </c>
      <c r="I22" s="10">
        <f>('B5'!AU25)*0.51</f>
        <v>0</v>
      </c>
      <c r="J22" s="296">
        <f>'B5'!AX25/0.51</f>
        <v>1.5686274509803921</v>
      </c>
      <c r="K22" s="203">
        <f>WATER!I26</f>
        <v>181</v>
      </c>
      <c r="L22" s="316">
        <f>SUM(WATER!J26)</f>
        <v>1.3366601318837996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5054</v>
      </c>
      <c r="F23" s="315">
        <f>SUM('EDl log'!T25)</f>
        <v>0.34447328426251816</v>
      </c>
      <c r="G23" s="203">
        <f>-tanks!AW27</f>
        <v>348</v>
      </c>
      <c r="H23" s="315">
        <f>tanks!AV27</f>
        <v>0.98499999999999999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5601</v>
      </c>
      <c r="F24" s="315">
        <f>SUM('EDl log'!T26)</f>
        <v>0.30168975563506878</v>
      </c>
      <c r="G24" s="203">
        <f>-tanks!AW28</f>
        <v>378</v>
      </c>
      <c r="H24" s="315">
        <f>tanks!AV28</f>
        <v>1.026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1.026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1.026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1.026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1.026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1.026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1.026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1.026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1.026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1024</v>
      </c>
      <c r="F11" s="203">
        <f>ELEC!K13</f>
        <v>1498</v>
      </c>
      <c r="G11" s="203">
        <f>ELEC!I13</f>
        <v>466</v>
      </c>
      <c r="H11" s="203">
        <f>ELEC!E13</f>
        <v>2210</v>
      </c>
      <c r="I11" s="203">
        <f>ELEC!G13</f>
        <v>302</v>
      </c>
      <c r="J11" s="203">
        <f>WATER!Y15</f>
        <v>70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972</v>
      </c>
      <c r="F12" s="203">
        <f>ELEC!K14</f>
        <v>1408</v>
      </c>
      <c r="G12" s="203">
        <f>ELEC!I14</f>
        <v>422</v>
      </c>
      <c r="H12" s="203">
        <f>ELEC!E14</f>
        <v>2150</v>
      </c>
      <c r="I12" s="203">
        <f>ELEC!G14</f>
        <v>270</v>
      </c>
      <c r="J12" s="203">
        <f>WATER!Y16</f>
        <v>83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620</v>
      </c>
      <c r="F14" s="203">
        <f>ELEC!K16</f>
        <v>1042</v>
      </c>
      <c r="G14" s="203">
        <f>ELEC!I16</f>
        <v>292</v>
      </c>
      <c r="H14" s="203">
        <f>ELEC!E16</f>
        <v>1470</v>
      </c>
      <c r="I14" s="203">
        <f>ELEC!G16</f>
        <v>141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952</v>
      </c>
      <c r="F15" s="203">
        <f>ELEC!K17</f>
        <v>1540</v>
      </c>
      <c r="G15" s="203">
        <f>ELEC!I17</f>
        <v>432</v>
      </c>
      <c r="H15" s="203">
        <f>ELEC!E17</f>
        <v>2110</v>
      </c>
      <c r="I15" s="203">
        <f>ELEC!G17</f>
        <v>223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982</v>
      </c>
      <c r="F16" s="203">
        <f>ELEC!K18</f>
        <v>1776</v>
      </c>
      <c r="G16" s="203">
        <f>ELEC!I18</f>
        <v>448</v>
      </c>
      <c r="H16" s="203">
        <f>ELEC!E18</f>
        <v>2280</v>
      </c>
      <c r="I16" s="203">
        <f>ELEC!G18</f>
        <v>227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1002</v>
      </c>
      <c r="F17" s="203">
        <f>ELEC!K19</f>
        <v>1774</v>
      </c>
      <c r="G17" s="203">
        <f>ELEC!I19</f>
        <v>456</v>
      </c>
      <c r="H17" s="203">
        <f>ELEC!E19</f>
        <v>2170</v>
      </c>
      <c r="I17" s="203">
        <f>ELEC!G19</f>
        <v>287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1054</v>
      </c>
      <c r="F18" s="203">
        <f>ELEC!K20</f>
        <v>1880</v>
      </c>
      <c r="G18" s="203">
        <f>ELEC!I20</f>
        <v>454</v>
      </c>
      <c r="H18" s="203">
        <f>ELEC!E20</f>
        <v>1690</v>
      </c>
      <c r="I18" s="203">
        <f>ELEC!G20</f>
        <v>287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982</v>
      </c>
      <c r="F21" s="203">
        <f>ELEC!K23</f>
        <v>1752</v>
      </c>
      <c r="G21" s="203">
        <f>ELEC!I23</f>
        <v>440</v>
      </c>
      <c r="H21" s="203">
        <f>ELEC!E23</f>
        <v>2060</v>
      </c>
      <c r="I21" s="203">
        <f>ELEC!G23</f>
        <v>254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970</v>
      </c>
      <c r="F22" s="203">
        <f>ELEC!K24</f>
        <v>1560</v>
      </c>
      <c r="G22" s="203">
        <f>ELEC!I24</f>
        <v>444</v>
      </c>
      <c r="H22" s="203">
        <f>ELEC!E24</f>
        <v>1790</v>
      </c>
      <c r="I22" s="203">
        <f>ELEC!G24</f>
        <v>247</v>
      </c>
      <c r="J22" s="203">
        <f>WATER!Y26</f>
        <v>101</v>
      </c>
      <c r="K22" s="203">
        <f>WATER!AJ26</f>
        <v>26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914</v>
      </c>
      <c r="F23" s="203">
        <f>ELEC!K25</f>
        <v>1648</v>
      </c>
      <c r="G23" s="203">
        <f>ELEC!I25</f>
        <v>418</v>
      </c>
      <c r="H23" s="203">
        <f>ELEC!E25</f>
        <v>1840</v>
      </c>
      <c r="I23" s="203">
        <f>ELEC!G25</f>
        <v>234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908</v>
      </c>
      <c r="F24" s="203">
        <f>ELEC!K26</f>
        <v>1640</v>
      </c>
      <c r="G24" s="203">
        <f>ELEC!I26</f>
        <v>444</v>
      </c>
      <c r="H24" s="203">
        <f>ELEC!E26</f>
        <v>2360</v>
      </c>
      <c r="I24" s="203">
        <f>ELEC!G26</f>
        <v>249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AG26" sqref="AG2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v>229250</v>
      </c>
      <c r="E13" s="580">
        <f t="shared" si="7"/>
        <v>2210</v>
      </c>
      <c r="F13" s="569">
        <v>4122004</v>
      </c>
      <c r="G13" s="449">
        <f t="shared" si="15"/>
        <v>302</v>
      </c>
      <c r="H13" s="426">
        <v>18023128</v>
      </c>
      <c r="I13" s="449">
        <f t="shared" si="16"/>
        <v>466</v>
      </c>
      <c r="J13" s="426">
        <v>29730170</v>
      </c>
      <c r="K13" s="449">
        <f t="shared" si="17"/>
        <v>1498</v>
      </c>
      <c r="L13" s="426">
        <v>24547266</v>
      </c>
      <c r="M13" s="449">
        <f t="shared" si="18"/>
        <v>1024</v>
      </c>
      <c r="N13" s="297">
        <f>M13+K13+I13+G13+E13</f>
        <v>5500</v>
      </c>
      <c r="O13" s="445">
        <f t="shared" si="32"/>
        <v>0</v>
      </c>
      <c r="P13" s="563">
        <v>19041.350999999999</v>
      </c>
      <c r="Q13" s="446">
        <f t="shared" si="1"/>
        <v>5379.9999999973807</v>
      </c>
      <c r="R13" s="428">
        <f t="shared" si="29"/>
        <v>120.00000000261934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v>231400</v>
      </c>
      <c r="E14" s="580">
        <f t="shared" si="7"/>
        <v>2150</v>
      </c>
      <c r="F14" s="569">
        <v>4122274</v>
      </c>
      <c r="G14" s="449">
        <f t="shared" si="15"/>
        <v>270</v>
      </c>
      <c r="H14" s="426">
        <v>18023550</v>
      </c>
      <c r="I14" s="449">
        <f t="shared" si="16"/>
        <v>422</v>
      </c>
      <c r="J14" s="426">
        <v>29731578</v>
      </c>
      <c r="K14" s="449">
        <f t="shared" si="17"/>
        <v>1408</v>
      </c>
      <c r="L14" s="426">
        <v>24548238</v>
      </c>
      <c r="M14" s="449">
        <f t="shared" si="18"/>
        <v>972</v>
      </c>
      <c r="N14" s="297">
        <f t="shared" si="19"/>
        <v>5222</v>
      </c>
      <c r="O14" s="445">
        <f t="shared" si="32"/>
        <v>0</v>
      </c>
      <c r="P14" s="563">
        <v>19046.246999999999</v>
      </c>
      <c r="Q14" s="446">
        <f t="shared" si="1"/>
        <v>4896.0000000006403</v>
      </c>
      <c r="R14" s="428">
        <f t="shared" si="29"/>
        <v>325.99999999935972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231400</v>
      </c>
      <c r="E15" s="580">
        <f t="shared" si="7"/>
        <v>0</v>
      </c>
      <c r="F15" s="569">
        <f t="shared" si="24"/>
        <v>4122274</v>
      </c>
      <c r="G15" s="449">
        <f t="shared" si="15"/>
        <v>0</v>
      </c>
      <c r="H15" s="426">
        <f t="shared" si="25"/>
        <v>18023550</v>
      </c>
      <c r="I15" s="449">
        <f t="shared" si="16"/>
        <v>0</v>
      </c>
      <c r="J15" s="426">
        <f t="shared" si="26"/>
        <v>29731578</v>
      </c>
      <c r="K15" s="449">
        <f t="shared" si="17"/>
        <v>0</v>
      </c>
      <c r="L15" s="426">
        <f t="shared" si="27"/>
        <v>24548238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19046.246999999999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v>232870</v>
      </c>
      <c r="E16" s="580">
        <f t="shared" si="7"/>
        <v>1470</v>
      </c>
      <c r="F16" s="569">
        <v>4122415</v>
      </c>
      <c r="G16" s="449">
        <f t="shared" si="15"/>
        <v>141</v>
      </c>
      <c r="H16" s="426">
        <v>18023842</v>
      </c>
      <c r="I16" s="449">
        <f t="shared" si="16"/>
        <v>292</v>
      </c>
      <c r="J16" s="426">
        <v>29732620</v>
      </c>
      <c r="K16" s="449">
        <f t="shared" si="17"/>
        <v>1042</v>
      </c>
      <c r="L16" s="426">
        <v>24548858</v>
      </c>
      <c r="M16" s="449">
        <f t="shared" si="18"/>
        <v>620</v>
      </c>
      <c r="N16" s="297">
        <f t="shared" si="19"/>
        <v>3565</v>
      </c>
      <c r="O16" s="445">
        <f t="shared" si="32"/>
        <v>0</v>
      </c>
      <c r="P16" s="563">
        <v>19049.883000000002</v>
      </c>
      <c r="Q16" s="446">
        <f t="shared" si="1"/>
        <v>3636.000000002241</v>
      </c>
      <c r="R16" s="428">
        <f t="shared" si="29"/>
        <v>-71.000000002240995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v>234980</v>
      </c>
      <c r="E17" s="580">
        <f t="shared" si="7"/>
        <v>2110</v>
      </c>
      <c r="F17" s="569">
        <v>4122638</v>
      </c>
      <c r="G17" s="449">
        <f t="shared" si="15"/>
        <v>223</v>
      </c>
      <c r="H17" s="426">
        <v>18024274</v>
      </c>
      <c r="I17" s="449">
        <f t="shared" si="16"/>
        <v>432</v>
      </c>
      <c r="J17" s="426">
        <v>29734160</v>
      </c>
      <c r="K17" s="449">
        <f t="shared" si="17"/>
        <v>1540</v>
      </c>
      <c r="L17" s="426">
        <v>24549810</v>
      </c>
      <c r="M17" s="449">
        <f t="shared" si="18"/>
        <v>952</v>
      </c>
      <c r="N17" s="297">
        <f t="shared" si="19"/>
        <v>5257</v>
      </c>
      <c r="O17" s="445">
        <f t="shared" si="32"/>
        <v>0</v>
      </c>
      <c r="P17" s="563">
        <v>19054.998</v>
      </c>
      <c r="Q17" s="446">
        <f t="shared" si="1"/>
        <v>5114.9999999979627</v>
      </c>
      <c r="R17" s="428">
        <f t="shared" si="29"/>
        <v>142.00000000203727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v>237260</v>
      </c>
      <c r="E18" s="580">
        <f t="shared" si="7"/>
        <v>2280</v>
      </c>
      <c r="F18" s="569">
        <v>4122865</v>
      </c>
      <c r="G18" s="449">
        <f t="shared" si="15"/>
        <v>227</v>
      </c>
      <c r="H18" s="426">
        <v>18024722</v>
      </c>
      <c r="I18" s="449">
        <f t="shared" si="16"/>
        <v>448</v>
      </c>
      <c r="J18" s="426">
        <v>29735936</v>
      </c>
      <c r="K18" s="449">
        <f t="shared" si="17"/>
        <v>1776</v>
      </c>
      <c r="L18" s="426">
        <v>24550792</v>
      </c>
      <c r="M18" s="449">
        <f t="shared" si="18"/>
        <v>982</v>
      </c>
      <c r="N18" s="297">
        <f>M18+K18+I18+G18+E18</f>
        <v>5713</v>
      </c>
      <c r="O18" s="445">
        <f t="shared" si="32"/>
        <v>0</v>
      </c>
      <c r="P18" s="563">
        <v>19060.795999999998</v>
      </c>
      <c r="Q18" s="446">
        <f t="shared" si="1"/>
        <v>5797.999999998865</v>
      </c>
      <c r="R18" s="428">
        <f t="shared" si="29"/>
        <v>-84.999999998864951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v>239430</v>
      </c>
      <c r="E19" s="580">
        <f t="shared" si="7"/>
        <v>2170</v>
      </c>
      <c r="F19" s="569">
        <v>4123152</v>
      </c>
      <c r="G19" s="449">
        <f t="shared" si="15"/>
        <v>287</v>
      </c>
      <c r="H19" s="426">
        <v>18025178</v>
      </c>
      <c r="I19" s="449">
        <f t="shared" si="16"/>
        <v>456</v>
      </c>
      <c r="J19" s="426">
        <v>29737710</v>
      </c>
      <c r="K19" s="449">
        <f t="shared" si="17"/>
        <v>1774</v>
      </c>
      <c r="L19" s="426">
        <v>24551794</v>
      </c>
      <c r="M19" s="449">
        <f t="shared" si="18"/>
        <v>1002</v>
      </c>
      <c r="N19" s="297">
        <f t="shared" si="19"/>
        <v>5689</v>
      </c>
      <c r="O19" s="445">
        <f t="shared" si="32"/>
        <v>0</v>
      </c>
      <c r="P19" s="563">
        <v>19066.173999999999</v>
      </c>
      <c r="Q19" s="446">
        <f>(P19-P18)*1000</f>
        <v>5378.0000000006112</v>
      </c>
      <c r="R19" s="594">
        <f>N19-Q19</f>
        <v>310.99999999938882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v>241120</v>
      </c>
      <c r="E20" s="580">
        <f t="shared" si="7"/>
        <v>1690</v>
      </c>
      <c r="F20" s="569">
        <v>4123439</v>
      </c>
      <c r="G20" s="449">
        <f t="shared" si="15"/>
        <v>287</v>
      </c>
      <c r="H20" s="426">
        <v>18025632</v>
      </c>
      <c r="I20" s="449">
        <f t="shared" si="16"/>
        <v>454</v>
      </c>
      <c r="J20" s="426">
        <v>29739590</v>
      </c>
      <c r="K20" s="449">
        <f t="shared" si="17"/>
        <v>1880</v>
      </c>
      <c r="L20" s="426">
        <v>24552848</v>
      </c>
      <c r="M20" s="449">
        <f t="shared" si="18"/>
        <v>1054</v>
      </c>
      <c r="N20" s="297">
        <f t="shared" si="19"/>
        <v>5365</v>
      </c>
      <c r="O20" s="445">
        <f t="shared" si="32"/>
        <v>0</v>
      </c>
      <c r="P20" s="563">
        <v>19071.48</v>
      </c>
      <c r="Q20" s="446">
        <f>(P20-P19)*1000</f>
        <v>5306.0000000004948</v>
      </c>
      <c r="R20" s="594">
        <f>N20-Q20</f>
        <v>58.999999999505235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241120</v>
      </c>
      <c r="E21" s="580">
        <f t="shared" si="7"/>
        <v>0</v>
      </c>
      <c r="F21" s="569">
        <f t="shared" si="24"/>
        <v>4123439</v>
      </c>
      <c r="G21" s="449">
        <f t="shared" si="15"/>
        <v>0</v>
      </c>
      <c r="H21" s="426">
        <f t="shared" si="25"/>
        <v>18025632</v>
      </c>
      <c r="I21" s="449">
        <f t="shared" si="16"/>
        <v>0</v>
      </c>
      <c r="J21" s="426">
        <f t="shared" si="26"/>
        <v>29739590</v>
      </c>
      <c r="K21" s="449">
        <f t="shared" si="17"/>
        <v>0</v>
      </c>
      <c r="L21" s="426">
        <f t="shared" si="27"/>
        <v>24552848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19071.48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241120</v>
      </c>
      <c r="E22" s="580">
        <f t="shared" ref="E22" si="36">D22-D21</f>
        <v>0</v>
      </c>
      <c r="F22" s="569">
        <f t="shared" si="24"/>
        <v>4123439</v>
      </c>
      <c r="G22" s="449">
        <f t="shared" ref="G22" si="37">F22-F21</f>
        <v>0</v>
      </c>
      <c r="H22" s="426">
        <f t="shared" si="25"/>
        <v>18025632</v>
      </c>
      <c r="I22" s="449">
        <f t="shared" ref="I22" si="38">H22-H21</f>
        <v>0</v>
      </c>
      <c r="J22" s="426">
        <f t="shared" si="26"/>
        <v>29739590</v>
      </c>
      <c r="K22" s="449">
        <f t="shared" ref="K22" si="39">J22-J21</f>
        <v>0</v>
      </c>
      <c r="L22" s="426">
        <f t="shared" si="27"/>
        <v>24552848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19071.48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v>243180</v>
      </c>
      <c r="E23" s="580">
        <f t="shared" si="7"/>
        <v>2060</v>
      </c>
      <c r="F23" s="569">
        <v>4123693</v>
      </c>
      <c r="G23" s="449">
        <f t="shared" si="15"/>
        <v>254</v>
      </c>
      <c r="H23" s="426">
        <v>18026072</v>
      </c>
      <c r="I23" s="449">
        <f t="shared" si="16"/>
        <v>440</v>
      </c>
      <c r="J23" s="426">
        <v>29741342</v>
      </c>
      <c r="K23" s="449">
        <f t="shared" si="17"/>
        <v>1752</v>
      </c>
      <c r="L23" s="426">
        <v>24553830</v>
      </c>
      <c r="M23" s="449">
        <f t="shared" si="18"/>
        <v>982</v>
      </c>
      <c r="N23" s="297">
        <f t="shared" si="19"/>
        <v>5488</v>
      </c>
      <c r="O23" s="445">
        <f t="shared" si="32"/>
        <v>0</v>
      </c>
      <c r="P23" s="563">
        <v>19076.701000000001</v>
      </c>
      <c r="Q23" s="446">
        <f t="shared" si="1"/>
        <v>5221.0000000013679</v>
      </c>
      <c r="R23" s="594">
        <f t="shared" si="35"/>
        <v>266.99999999863212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v>244970</v>
      </c>
      <c r="E24" s="580">
        <f t="shared" si="7"/>
        <v>1790</v>
      </c>
      <c r="F24" s="569">
        <v>4123940</v>
      </c>
      <c r="G24" s="449">
        <f t="shared" si="15"/>
        <v>247</v>
      </c>
      <c r="H24" s="426">
        <v>18026516</v>
      </c>
      <c r="I24" s="599">
        <f t="shared" si="16"/>
        <v>444</v>
      </c>
      <c r="J24" s="426">
        <v>29742902</v>
      </c>
      <c r="K24" s="449">
        <f t="shared" si="17"/>
        <v>1560</v>
      </c>
      <c r="L24" s="426">
        <v>24554800</v>
      </c>
      <c r="M24" s="449">
        <f t="shared" si="18"/>
        <v>970</v>
      </c>
      <c r="N24" s="297">
        <f t="shared" si="19"/>
        <v>5011</v>
      </c>
      <c r="O24" s="445">
        <f t="shared" si="32"/>
        <v>0</v>
      </c>
      <c r="P24" s="563">
        <v>19081.34</v>
      </c>
      <c r="Q24" s="446">
        <f t="shared" si="1"/>
        <v>4638.9999999992142</v>
      </c>
      <c r="R24" s="594">
        <f t="shared" si="35"/>
        <v>372.0000000007858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v>246810</v>
      </c>
      <c r="E25" s="580">
        <f t="shared" si="7"/>
        <v>1840</v>
      </c>
      <c r="F25" s="569">
        <v>4124174</v>
      </c>
      <c r="G25" s="449">
        <f t="shared" si="15"/>
        <v>234</v>
      </c>
      <c r="H25" s="426">
        <v>18026934</v>
      </c>
      <c r="I25" s="449">
        <f t="shared" si="16"/>
        <v>418</v>
      </c>
      <c r="J25" s="426">
        <v>29744550</v>
      </c>
      <c r="K25" s="449">
        <f t="shared" si="17"/>
        <v>1648</v>
      </c>
      <c r="L25" s="426">
        <v>24555714</v>
      </c>
      <c r="M25" s="449">
        <f t="shared" si="18"/>
        <v>914</v>
      </c>
      <c r="N25" s="297">
        <f t="shared" si="19"/>
        <v>5054</v>
      </c>
      <c r="O25" s="445">
        <f t="shared" si="32"/>
        <v>0</v>
      </c>
      <c r="P25" s="563">
        <v>19086.322</v>
      </c>
      <c r="Q25" s="446">
        <f t="shared" si="1"/>
        <v>4981.9999999999709</v>
      </c>
      <c r="R25" s="594">
        <f t="shared" si="35"/>
        <v>72.000000000029104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v>249170</v>
      </c>
      <c r="E26" s="580">
        <f t="shared" si="7"/>
        <v>2360</v>
      </c>
      <c r="F26" s="569">
        <v>4124423</v>
      </c>
      <c r="G26" s="449">
        <f t="shared" si="15"/>
        <v>249</v>
      </c>
      <c r="H26" s="426">
        <v>18027378</v>
      </c>
      <c r="I26" s="449">
        <f t="shared" si="16"/>
        <v>444</v>
      </c>
      <c r="J26" s="426">
        <v>29746190</v>
      </c>
      <c r="K26" s="449">
        <f t="shared" si="17"/>
        <v>1640</v>
      </c>
      <c r="L26" s="426">
        <v>24556622</v>
      </c>
      <c r="M26" s="449">
        <f t="shared" si="18"/>
        <v>908</v>
      </c>
      <c r="N26" s="297">
        <f t="shared" si="19"/>
        <v>5601</v>
      </c>
      <c r="O26" s="445">
        <f t="shared" si="32"/>
        <v>0</v>
      </c>
      <c r="P26" s="563">
        <v>19091.789000000001</v>
      </c>
      <c r="Q26" s="446">
        <f t="shared" si="1"/>
        <v>5467.000000000553</v>
      </c>
      <c r="R26" s="594">
        <f t="shared" si="35"/>
        <v>133.99999999944703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249170</v>
      </c>
      <c r="E27" s="580">
        <f t="shared" si="7"/>
        <v>0</v>
      </c>
      <c r="F27" s="569">
        <f t="shared" si="24"/>
        <v>4124423</v>
      </c>
      <c r="G27" s="449">
        <f t="shared" si="15"/>
        <v>0</v>
      </c>
      <c r="H27" s="426">
        <f t="shared" si="25"/>
        <v>18027378</v>
      </c>
      <c r="I27" s="449">
        <f t="shared" si="16"/>
        <v>0</v>
      </c>
      <c r="J27" s="426">
        <f t="shared" si="26"/>
        <v>29746190</v>
      </c>
      <c r="K27" s="449">
        <f t="shared" si="17"/>
        <v>0</v>
      </c>
      <c r="L27" s="426">
        <f t="shared" si="27"/>
        <v>24556622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19091.789000000001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249170</v>
      </c>
      <c r="E28" s="580">
        <f t="shared" si="7"/>
        <v>0</v>
      </c>
      <c r="F28" s="569">
        <f t="shared" si="24"/>
        <v>4124423</v>
      </c>
      <c r="G28" s="449">
        <f>F28-F27</f>
        <v>0</v>
      </c>
      <c r="H28" s="426">
        <f t="shared" si="25"/>
        <v>18027378</v>
      </c>
      <c r="I28" s="449">
        <f t="shared" si="16"/>
        <v>0</v>
      </c>
      <c r="J28" s="426">
        <f t="shared" si="26"/>
        <v>29746190</v>
      </c>
      <c r="K28" s="449">
        <f t="shared" si="17"/>
        <v>0</v>
      </c>
      <c r="L28" s="426">
        <f t="shared" si="27"/>
        <v>24556622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19091.789000000001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249170</v>
      </c>
      <c r="E29" s="580">
        <f t="shared" si="7"/>
        <v>0</v>
      </c>
      <c r="F29" s="569">
        <f t="shared" si="24"/>
        <v>4124423</v>
      </c>
      <c r="G29" s="449">
        <f>F29-F28</f>
        <v>0</v>
      </c>
      <c r="H29" s="426">
        <f t="shared" si="25"/>
        <v>18027378</v>
      </c>
      <c r="I29" s="449">
        <f>H29-H28</f>
        <v>0</v>
      </c>
      <c r="J29" s="426">
        <f t="shared" si="26"/>
        <v>29746190</v>
      </c>
      <c r="K29" s="449">
        <f>J29-J28</f>
        <v>0</v>
      </c>
      <c r="L29" s="426">
        <f t="shared" si="27"/>
        <v>24556622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19091.789000000001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249170</v>
      </c>
      <c r="E30" s="580">
        <f t="shared" si="7"/>
        <v>0</v>
      </c>
      <c r="F30" s="569">
        <f t="shared" si="24"/>
        <v>4124423</v>
      </c>
      <c r="G30" s="449">
        <f t="shared" si="15"/>
        <v>0</v>
      </c>
      <c r="H30" s="426">
        <f t="shared" si="25"/>
        <v>18027378</v>
      </c>
      <c r="I30" s="449">
        <f t="shared" si="16"/>
        <v>0</v>
      </c>
      <c r="J30" s="426">
        <f t="shared" si="26"/>
        <v>29746190</v>
      </c>
      <c r="K30" s="449">
        <f t="shared" si="17"/>
        <v>0</v>
      </c>
      <c r="L30" s="426">
        <f t="shared" si="27"/>
        <v>24556622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19091.789000000001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249170</v>
      </c>
      <c r="E31" s="580">
        <f t="shared" si="7"/>
        <v>0</v>
      </c>
      <c r="F31" s="569">
        <f t="shared" si="24"/>
        <v>4124423</v>
      </c>
      <c r="G31" s="449">
        <f t="shared" si="15"/>
        <v>0</v>
      </c>
      <c r="H31" s="426">
        <f t="shared" si="25"/>
        <v>18027378</v>
      </c>
      <c r="I31" s="449">
        <f t="shared" si="16"/>
        <v>0</v>
      </c>
      <c r="J31" s="426">
        <f t="shared" si="26"/>
        <v>29746190</v>
      </c>
      <c r="K31" s="449">
        <f t="shared" si="17"/>
        <v>0</v>
      </c>
      <c r="L31" s="426">
        <f t="shared" si="27"/>
        <v>24556622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19091.789000000001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249170</v>
      </c>
      <c r="E32" s="580">
        <f t="shared" si="7"/>
        <v>0</v>
      </c>
      <c r="F32" s="569">
        <f t="shared" si="24"/>
        <v>4124423</v>
      </c>
      <c r="G32" s="449">
        <f t="shared" si="15"/>
        <v>0</v>
      </c>
      <c r="H32" s="426">
        <f t="shared" si="25"/>
        <v>18027378</v>
      </c>
      <c r="I32" s="449">
        <f t="shared" si="16"/>
        <v>0</v>
      </c>
      <c r="J32" s="426">
        <f t="shared" si="26"/>
        <v>29746190</v>
      </c>
      <c r="K32" s="449">
        <f t="shared" si="17"/>
        <v>0</v>
      </c>
      <c r="L32" s="426">
        <f t="shared" si="27"/>
        <v>24556622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19091.789000000001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249170</v>
      </c>
      <c r="E33" s="580">
        <f t="shared" si="7"/>
        <v>0</v>
      </c>
      <c r="F33" s="569">
        <f t="shared" si="24"/>
        <v>4124423</v>
      </c>
      <c r="G33" s="449">
        <f t="shared" si="15"/>
        <v>0</v>
      </c>
      <c r="H33" s="426">
        <f t="shared" si="25"/>
        <v>18027378</v>
      </c>
      <c r="I33" s="449">
        <f t="shared" si="16"/>
        <v>0</v>
      </c>
      <c r="J33" s="426">
        <f t="shared" si="26"/>
        <v>29746190</v>
      </c>
      <c r="K33" s="449">
        <f t="shared" si="17"/>
        <v>0</v>
      </c>
      <c r="L33" s="426">
        <f t="shared" si="27"/>
        <v>24556622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19091.789000000001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249170</v>
      </c>
      <c r="E34" s="580">
        <f t="shared" si="7"/>
        <v>0</v>
      </c>
      <c r="F34" s="569">
        <f t="shared" si="24"/>
        <v>4124423</v>
      </c>
      <c r="G34" s="449">
        <f t="shared" si="15"/>
        <v>0</v>
      </c>
      <c r="H34" s="426">
        <f t="shared" si="25"/>
        <v>18027378</v>
      </c>
      <c r="I34" s="449">
        <f t="shared" si="16"/>
        <v>0</v>
      </c>
      <c r="J34" s="426">
        <f t="shared" si="26"/>
        <v>29746190</v>
      </c>
      <c r="K34" s="449">
        <f t="shared" si="17"/>
        <v>0</v>
      </c>
      <c r="L34" s="426">
        <f t="shared" si="27"/>
        <v>24556622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19091.789000000001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F1" zoomScale="90" zoomScaleNormal="90" workbookViewId="0">
      <pane ySplit="1" topLeftCell="A2" activePane="bottomLeft" state="frozen"/>
      <selection activeCell="K1" sqref="K1"/>
      <selection pane="bottomLeft" activeCell="I42" sqref="I42:I4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71.907605820105829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v>239</v>
      </c>
      <c r="C14" s="537">
        <v>246</v>
      </c>
      <c r="D14" s="45">
        <f t="shared" si="32"/>
        <v>-61</v>
      </c>
      <c r="E14" s="45">
        <f t="shared" si="12"/>
        <v>-511.18000000000006</v>
      </c>
      <c r="F14" s="537">
        <v>2145</v>
      </c>
      <c r="G14" s="52">
        <f t="shared" si="0"/>
        <v>3</v>
      </c>
      <c r="H14" s="537">
        <v>36167</v>
      </c>
      <c r="I14" s="380">
        <f t="shared" si="1"/>
        <v>218</v>
      </c>
      <c r="J14" s="66">
        <f t="shared" si="13"/>
        <v>72.666666666666671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3</v>
      </c>
      <c r="V14" s="62">
        <f t="shared" si="18"/>
        <v>218</v>
      </c>
      <c r="W14" s="384">
        <f t="shared" si="19"/>
        <v>72.666666666666671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218</v>
      </c>
      <c r="AJ14" s="303">
        <f>-tanks!AW15</f>
        <v>218</v>
      </c>
      <c r="AK14" s="303">
        <f t="shared" si="27"/>
        <v>0</v>
      </c>
      <c r="AL14" s="303">
        <f t="shared" si="8"/>
        <v>3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v>232</v>
      </c>
      <c r="C15" s="537">
        <v>238</v>
      </c>
      <c r="D15" s="45">
        <f t="shared" si="32"/>
        <v>8</v>
      </c>
      <c r="E15" s="45">
        <f t="shared" si="12"/>
        <v>67.040000000000006</v>
      </c>
      <c r="F15" s="537">
        <v>2150</v>
      </c>
      <c r="G15" s="52">
        <f t="shared" si="0"/>
        <v>5</v>
      </c>
      <c r="H15" s="537">
        <v>36592</v>
      </c>
      <c r="I15" s="380">
        <f t="shared" si="1"/>
        <v>425</v>
      </c>
      <c r="J15" s="66">
        <f t="shared" si="13"/>
        <v>85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5</v>
      </c>
      <c r="V15" s="62">
        <f t="shared" si="18"/>
        <v>425</v>
      </c>
      <c r="W15" s="384">
        <f t="shared" si="19"/>
        <v>85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425</v>
      </c>
      <c r="AJ15" s="303">
        <f>-tanks!AW16</f>
        <v>425</v>
      </c>
      <c r="AK15" s="303">
        <f t="shared" si="27"/>
        <v>0</v>
      </c>
      <c r="AL15" s="303">
        <f t="shared" si="8"/>
        <v>5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232</v>
      </c>
      <c r="C16" s="537">
        <f t="shared" si="41"/>
        <v>238</v>
      </c>
      <c r="D16" s="45">
        <f t="shared" si="32"/>
        <v>0</v>
      </c>
      <c r="E16" s="45">
        <f t="shared" si="12"/>
        <v>0</v>
      </c>
      <c r="F16" s="537">
        <f t="shared" si="42"/>
        <v>2150</v>
      </c>
      <c r="G16" s="52">
        <f t="shared" si="0"/>
        <v>0</v>
      </c>
      <c r="H16" s="537">
        <f t="shared" si="43"/>
        <v>36592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v>228</v>
      </c>
      <c r="C17" s="537">
        <v>234</v>
      </c>
      <c r="D17" s="45">
        <f t="shared" si="32"/>
        <v>4</v>
      </c>
      <c r="E17" s="45">
        <f t="shared" si="12"/>
        <v>33.520000000000003</v>
      </c>
      <c r="F17" s="537">
        <v>2154</v>
      </c>
      <c r="G17" s="52">
        <f t="shared" si="0"/>
        <v>4</v>
      </c>
      <c r="H17" s="537">
        <v>36887</v>
      </c>
      <c r="I17" s="380">
        <f t="shared" si="1"/>
        <v>295</v>
      </c>
      <c r="J17" s="66">
        <f t="shared" si="13"/>
        <v>73.75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4</v>
      </c>
      <c r="V17" s="62">
        <f t="shared" si="18"/>
        <v>295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295</v>
      </c>
      <c r="AJ17" s="303">
        <f>-tanks!AW18</f>
        <v>295</v>
      </c>
      <c r="AK17" s="303">
        <f t="shared" si="27"/>
        <v>0</v>
      </c>
      <c r="AL17" s="303">
        <f t="shared" si="8"/>
        <v>4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v>219</v>
      </c>
      <c r="C18" s="537">
        <v>226</v>
      </c>
      <c r="D18" s="45">
        <f t="shared" si="32"/>
        <v>8</v>
      </c>
      <c r="E18" s="45">
        <f t="shared" si="12"/>
        <v>67.040000000000006</v>
      </c>
      <c r="F18" s="537">
        <v>2162</v>
      </c>
      <c r="G18" s="52">
        <f t="shared" si="0"/>
        <v>8</v>
      </c>
      <c r="H18" s="537">
        <v>37457</v>
      </c>
      <c r="I18" s="380">
        <f t="shared" si="1"/>
        <v>570</v>
      </c>
      <c r="J18" s="66">
        <f t="shared" si="13"/>
        <v>71.25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8</v>
      </c>
      <c r="V18" s="62">
        <f t="shared" si="18"/>
        <v>570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570</v>
      </c>
      <c r="AJ18" s="303">
        <f>-tanks!AW19</f>
        <v>570</v>
      </c>
      <c r="AK18" s="303">
        <f t="shared" si="27"/>
        <v>0</v>
      </c>
      <c r="AL18" s="303">
        <f t="shared" si="8"/>
        <v>8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v>209</v>
      </c>
      <c r="C19" s="537">
        <v>217</v>
      </c>
      <c r="D19" s="45">
        <f t="shared" si="32"/>
        <v>9</v>
      </c>
      <c r="E19" s="45">
        <f t="shared" si="12"/>
        <v>75.42</v>
      </c>
      <c r="F19" s="537">
        <v>2168</v>
      </c>
      <c r="G19" s="52">
        <f t="shared" si="0"/>
        <v>6</v>
      </c>
      <c r="H19" s="537">
        <v>37972</v>
      </c>
      <c r="I19" s="380">
        <f t="shared" si="1"/>
        <v>515</v>
      </c>
      <c r="J19" s="66">
        <f t="shared" si="13"/>
        <v>85.833333333333329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6</v>
      </c>
      <c r="V19" s="62">
        <f t="shared" si="18"/>
        <v>515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515</v>
      </c>
      <c r="AJ19" s="303">
        <f>-tanks!AW20</f>
        <v>515</v>
      </c>
      <c r="AK19" s="303">
        <f t="shared" si="27"/>
        <v>0</v>
      </c>
      <c r="AL19" s="303">
        <f t="shared" si="8"/>
        <v>6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v>217</v>
      </c>
      <c r="C20" s="537">
        <v>224</v>
      </c>
      <c r="D20" s="45">
        <f>C19-C20</f>
        <v>-7</v>
      </c>
      <c r="E20" s="45">
        <f t="shared" si="12"/>
        <v>-58.660000000000004</v>
      </c>
      <c r="F20" s="537">
        <v>2176</v>
      </c>
      <c r="G20" s="52">
        <f t="shared" si="0"/>
        <v>8</v>
      </c>
      <c r="H20" s="537">
        <v>38561</v>
      </c>
      <c r="I20" s="380">
        <f t="shared" si="1"/>
        <v>589</v>
      </c>
      <c r="J20" s="66">
        <f t="shared" si="13"/>
        <v>73.625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8</v>
      </c>
      <c r="V20" s="62">
        <f t="shared" si="18"/>
        <v>589</v>
      </c>
      <c r="W20" s="384"/>
      <c r="X20" s="537">
        <f t="shared" si="20"/>
        <v>2471</v>
      </c>
      <c r="Y20" s="52">
        <f t="shared" si="21"/>
        <v>0</v>
      </c>
      <c r="Z20" s="537">
        <v>1392155</v>
      </c>
      <c r="AA20" s="65">
        <f t="shared" si="6"/>
        <v>28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v>366246</v>
      </c>
      <c r="AF20" s="293">
        <f t="shared" si="25"/>
        <v>36</v>
      </c>
      <c r="AG20" s="209">
        <f t="shared" si="35"/>
        <v>0</v>
      </c>
      <c r="AH20" s="62">
        <f t="shared" si="36"/>
        <v>64</v>
      </c>
      <c r="AI20" s="303">
        <f t="shared" si="26"/>
        <v>653</v>
      </c>
      <c r="AJ20" s="303">
        <f>-tanks!AW21</f>
        <v>653</v>
      </c>
      <c r="AK20" s="303">
        <f t="shared" si="27"/>
        <v>0</v>
      </c>
      <c r="AL20" s="303">
        <f t="shared" si="8"/>
        <v>8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v>235</v>
      </c>
      <c r="C21" s="537">
        <v>242</v>
      </c>
      <c r="D21" s="45">
        <f t="shared" ref="D21:D32" si="49">C20-C21</f>
        <v>-18</v>
      </c>
      <c r="E21" s="45">
        <f t="shared" si="12"/>
        <v>-150.84</v>
      </c>
      <c r="F21" s="537">
        <v>2182</v>
      </c>
      <c r="G21" s="52">
        <f t="shared" si="0"/>
        <v>6</v>
      </c>
      <c r="H21" s="537">
        <v>38975</v>
      </c>
      <c r="I21" s="380">
        <f t="shared" si="1"/>
        <v>414</v>
      </c>
      <c r="J21" s="66">
        <f t="shared" si="13"/>
        <v>69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6</v>
      </c>
      <c r="V21" s="62">
        <f t="shared" si="18"/>
        <v>414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1392155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366246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414</v>
      </c>
      <c r="AJ21" s="303">
        <f>-tanks!AW22</f>
        <v>414</v>
      </c>
      <c r="AK21" s="303">
        <f t="shared" si="27"/>
        <v>0</v>
      </c>
      <c r="AL21" s="303">
        <f t="shared" si="8"/>
        <v>6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235</v>
      </c>
      <c r="C22" s="537">
        <f t="shared" si="41"/>
        <v>242</v>
      </c>
      <c r="D22" s="45">
        <f t="shared" si="49"/>
        <v>0</v>
      </c>
      <c r="E22" s="45">
        <f t="shared" si="12"/>
        <v>0</v>
      </c>
      <c r="F22" s="537">
        <f t="shared" si="42"/>
        <v>2182</v>
      </c>
      <c r="G22" s="52">
        <f t="shared" si="0"/>
        <v>0</v>
      </c>
      <c r="H22" s="537">
        <f t="shared" si="43"/>
        <v>38975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1392155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366246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235</v>
      </c>
      <c r="C23" s="537">
        <f t="shared" si="41"/>
        <v>242</v>
      </c>
      <c r="D23" s="45">
        <f t="shared" si="49"/>
        <v>0</v>
      </c>
      <c r="E23" s="45">
        <f t="shared" si="12"/>
        <v>0</v>
      </c>
      <c r="F23" s="537">
        <f t="shared" si="42"/>
        <v>2182</v>
      </c>
      <c r="G23" s="52">
        <f t="shared" si="0"/>
        <v>0</v>
      </c>
      <c r="H23" s="537">
        <f t="shared" si="43"/>
        <v>38975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1392155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366246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v>239</v>
      </c>
      <c r="C24" s="537">
        <v>246</v>
      </c>
      <c r="D24" s="45">
        <f t="shared" si="49"/>
        <v>-4</v>
      </c>
      <c r="E24" s="45">
        <f t="shared" si="12"/>
        <v>-33.520000000000003</v>
      </c>
      <c r="F24" s="537">
        <v>2188</v>
      </c>
      <c r="G24" s="52">
        <f t="shared" si="0"/>
        <v>6</v>
      </c>
      <c r="H24" s="537">
        <v>39401</v>
      </c>
      <c r="I24" s="380">
        <f t="shared" si="1"/>
        <v>426</v>
      </c>
      <c r="J24" s="66">
        <f t="shared" si="13"/>
        <v>71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6</v>
      </c>
      <c r="V24" s="62">
        <f t="shared" si="18"/>
        <v>426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1392155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366246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426</v>
      </c>
      <c r="AJ24" s="303">
        <f>-tanks!AW25</f>
        <v>426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v>231</v>
      </c>
      <c r="C25" s="537">
        <v>238</v>
      </c>
      <c r="D25" s="45">
        <f t="shared" si="49"/>
        <v>8</v>
      </c>
      <c r="E25" s="45">
        <f t="shared" si="12"/>
        <v>67.040000000000006</v>
      </c>
      <c r="F25" s="537">
        <v>2193</v>
      </c>
      <c r="G25" s="52">
        <f t="shared" si="0"/>
        <v>5</v>
      </c>
      <c r="H25" s="537">
        <v>39787</v>
      </c>
      <c r="I25" s="380">
        <f t="shared" si="1"/>
        <v>386</v>
      </c>
      <c r="J25" s="66">
        <f t="shared" si="13"/>
        <v>77.2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5</v>
      </c>
      <c r="V25" s="62">
        <f t="shared" si="18"/>
        <v>386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1392155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1</v>
      </c>
      <c r="AE25" s="537">
        <v>366312</v>
      </c>
      <c r="AF25" s="293">
        <f t="shared" si="25"/>
        <v>66</v>
      </c>
      <c r="AG25" s="209">
        <f t="shared" si="35"/>
        <v>66</v>
      </c>
      <c r="AH25" s="62">
        <f t="shared" si="36"/>
        <v>66</v>
      </c>
      <c r="AI25" s="303">
        <f t="shared" si="26"/>
        <v>452</v>
      </c>
      <c r="AJ25" s="303">
        <f>-tanks!AW26</f>
        <v>452</v>
      </c>
      <c r="AK25" s="303">
        <f t="shared" si="27"/>
        <v>0</v>
      </c>
      <c r="AL25" s="303">
        <f t="shared" si="8"/>
        <v>5</v>
      </c>
      <c r="AM25" s="303">
        <f t="shared" si="28"/>
        <v>1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v>225</v>
      </c>
      <c r="C26" s="537">
        <v>231</v>
      </c>
      <c r="D26" s="45">
        <f t="shared" si="49"/>
        <v>7</v>
      </c>
      <c r="E26" s="45">
        <f t="shared" si="12"/>
        <v>58.660000000000004</v>
      </c>
      <c r="F26" s="537">
        <v>2197</v>
      </c>
      <c r="G26" s="52">
        <f t="shared" si="0"/>
        <v>4</v>
      </c>
      <c r="H26" s="537">
        <v>40135</v>
      </c>
      <c r="I26" s="380">
        <f t="shared" si="1"/>
        <v>348</v>
      </c>
      <c r="J26" s="66">
        <f t="shared" si="13"/>
        <v>87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4</v>
      </c>
      <c r="V26" s="62">
        <f t="shared" si="18"/>
        <v>348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1392155</v>
      </c>
      <c r="AA26" s="65">
        <f t="shared" si="6"/>
        <v>0</v>
      </c>
      <c r="AB26" s="273">
        <f t="shared" si="50"/>
        <v>0</v>
      </c>
      <c r="AC26" s="537">
        <f t="shared" si="23"/>
        <v>1944</v>
      </c>
      <c r="AD26" s="45">
        <f t="shared" si="7"/>
        <v>0</v>
      </c>
      <c r="AE26" s="537">
        <f t="shared" si="24"/>
        <v>366312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348</v>
      </c>
      <c r="AJ26" s="303">
        <f>-tanks!AW27</f>
        <v>348</v>
      </c>
      <c r="AK26" s="303">
        <f t="shared" si="27"/>
        <v>0</v>
      </c>
      <c r="AL26" s="303">
        <f t="shared" si="8"/>
        <v>4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v>235</v>
      </c>
      <c r="C27" s="537">
        <v>243</v>
      </c>
      <c r="D27" s="45">
        <f t="shared" si="49"/>
        <v>-12</v>
      </c>
      <c r="E27" s="45">
        <f t="shared" si="12"/>
        <v>-100.56</v>
      </c>
      <c r="F27" s="537">
        <v>2202</v>
      </c>
      <c r="G27" s="52">
        <f t="shared" si="0"/>
        <v>5</v>
      </c>
      <c r="H27" s="537">
        <v>40475</v>
      </c>
      <c r="I27" s="380">
        <f t="shared" si="1"/>
        <v>340</v>
      </c>
      <c r="J27" s="66">
        <f t="shared" si="13"/>
        <v>68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v>2181</v>
      </c>
      <c r="Q27" s="537">
        <v>182571</v>
      </c>
      <c r="R27" s="379">
        <f t="shared" si="44"/>
        <v>38</v>
      </c>
      <c r="S27" s="52">
        <f t="shared" si="5"/>
        <v>1</v>
      </c>
      <c r="T27" s="67">
        <f t="shared" si="33"/>
        <v>0</v>
      </c>
      <c r="U27" s="386">
        <f t="shared" si="17"/>
        <v>6</v>
      </c>
      <c r="V27" s="62">
        <f t="shared" si="18"/>
        <v>378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1392155</v>
      </c>
      <c r="AA27" s="65">
        <f t="shared" si="6"/>
        <v>0</v>
      </c>
      <c r="AB27" s="273">
        <f t="shared" si="50"/>
        <v>0</v>
      </c>
      <c r="AC27" s="537">
        <f t="shared" si="23"/>
        <v>1944</v>
      </c>
      <c r="AD27" s="45">
        <f t="shared" si="7"/>
        <v>0</v>
      </c>
      <c r="AE27" s="537">
        <f t="shared" si="24"/>
        <v>366312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378</v>
      </c>
      <c r="AJ27" s="303">
        <f>-tanks!AW28</f>
        <v>378</v>
      </c>
      <c r="AK27" s="303">
        <f t="shared" si="27"/>
        <v>0</v>
      </c>
      <c r="AL27" s="303">
        <f t="shared" si="8"/>
        <v>6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235</v>
      </c>
      <c r="C28" s="537">
        <f t="shared" si="41"/>
        <v>243</v>
      </c>
      <c r="D28" s="45">
        <f t="shared" si="49"/>
        <v>0</v>
      </c>
      <c r="E28" s="45">
        <f t="shared" si="12"/>
        <v>0</v>
      </c>
      <c r="F28" s="537">
        <f t="shared" si="42"/>
        <v>2202</v>
      </c>
      <c r="G28" s="52">
        <f t="shared" si="0"/>
        <v>0</v>
      </c>
      <c r="H28" s="537">
        <f t="shared" si="43"/>
        <v>40475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2181</v>
      </c>
      <c r="Q28" s="537">
        <f t="shared" si="46"/>
        <v>182571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1392155</v>
      </c>
      <c r="AA28" s="65">
        <f t="shared" si="6"/>
        <v>0</v>
      </c>
      <c r="AB28" s="273">
        <f t="shared" si="50"/>
        <v>0</v>
      </c>
      <c r="AC28" s="537">
        <f t="shared" si="23"/>
        <v>1944</v>
      </c>
      <c r="AD28" s="45">
        <f t="shared" si="7"/>
        <v>0</v>
      </c>
      <c r="AE28" s="537">
        <f t="shared" si="24"/>
        <v>366312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235</v>
      </c>
      <c r="C29" s="537">
        <f t="shared" si="41"/>
        <v>243</v>
      </c>
      <c r="D29" s="45">
        <f t="shared" si="49"/>
        <v>0</v>
      </c>
      <c r="E29" s="45">
        <f t="shared" si="12"/>
        <v>0</v>
      </c>
      <c r="F29" s="537">
        <f t="shared" si="42"/>
        <v>2202</v>
      </c>
      <c r="G29" s="52">
        <f t="shared" si="0"/>
        <v>0</v>
      </c>
      <c r="H29" s="537">
        <f t="shared" si="43"/>
        <v>40475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2181</v>
      </c>
      <c r="Q29" s="537">
        <f t="shared" si="46"/>
        <v>182571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1392155</v>
      </c>
      <c r="AA29" s="65">
        <f t="shared" si="6"/>
        <v>0</v>
      </c>
      <c r="AB29" s="273">
        <f t="shared" si="50"/>
        <v>0</v>
      </c>
      <c r="AC29" s="537">
        <f t="shared" si="23"/>
        <v>1944</v>
      </c>
      <c r="AD29" s="45">
        <f t="shared" si="7"/>
        <v>0</v>
      </c>
      <c r="AE29" s="537">
        <f t="shared" si="24"/>
        <v>366312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235</v>
      </c>
      <c r="C30" s="537">
        <f t="shared" si="41"/>
        <v>243</v>
      </c>
      <c r="D30" s="45">
        <f>C29-C30</f>
        <v>0</v>
      </c>
      <c r="E30" s="45">
        <f>D30*8.38</f>
        <v>0</v>
      </c>
      <c r="F30" s="537">
        <f t="shared" si="42"/>
        <v>2202</v>
      </c>
      <c r="G30" s="52">
        <f>F30-F29</f>
        <v>0</v>
      </c>
      <c r="H30" s="537">
        <f t="shared" si="43"/>
        <v>40475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2181</v>
      </c>
      <c r="Q30" s="537">
        <f t="shared" si="46"/>
        <v>182571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1392155</v>
      </c>
      <c r="AA30" s="65">
        <f>Z30-Z29</f>
        <v>0</v>
      </c>
      <c r="AB30" s="273">
        <f>SUM(Y30*$AB$2)</f>
        <v>0</v>
      </c>
      <c r="AC30" s="537">
        <f t="shared" si="23"/>
        <v>1944</v>
      </c>
      <c r="AD30" s="259">
        <f>AC30-AC29</f>
        <v>0</v>
      </c>
      <c r="AE30" s="537">
        <f t="shared" si="24"/>
        <v>366312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235</v>
      </c>
      <c r="C31" s="537">
        <f t="shared" si="41"/>
        <v>243</v>
      </c>
      <c r="D31" s="45">
        <f t="shared" si="49"/>
        <v>0</v>
      </c>
      <c r="E31" s="45">
        <f t="shared" si="12"/>
        <v>0</v>
      </c>
      <c r="F31" s="537">
        <f t="shared" si="42"/>
        <v>2202</v>
      </c>
      <c r="G31" s="52">
        <f t="shared" si="0"/>
        <v>0</v>
      </c>
      <c r="H31" s="537">
        <f t="shared" si="43"/>
        <v>40475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2181</v>
      </c>
      <c r="Q31" s="537">
        <f t="shared" si="46"/>
        <v>182571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1392155</v>
      </c>
      <c r="AA31" s="65">
        <f t="shared" si="6"/>
        <v>0</v>
      </c>
      <c r="AB31" s="273">
        <f t="shared" si="50"/>
        <v>0</v>
      </c>
      <c r="AC31" s="537">
        <f t="shared" si="23"/>
        <v>1944</v>
      </c>
      <c r="AD31" s="259">
        <f t="shared" si="7"/>
        <v>0</v>
      </c>
      <c r="AE31" s="537">
        <f t="shared" si="24"/>
        <v>366312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235</v>
      </c>
      <c r="C32" s="537">
        <f t="shared" si="41"/>
        <v>243</v>
      </c>
      <c r="D32" s="45">
        <f t="shared" si="49"/>
        <v>0</v>
      </c>
      <c r="E32" s="45">
        <f t="shared" si="12"/>
        <v>0</v>
      </c>
      <c r="F32" s="537">
        <f t="shared" si="42"/>
        <v>2202</v>
      </c>
      <c r="G32" s="52">
        <f t="shared" si="0"/>
        <v>0</v>
      </c>
      <c r="H32" s="537">
        <f t="shared" si="43"/>
        <v>40475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2181</v>
      </c>
      <c r="Q32" s="537">
        <f t="shared" si="46"/>
        <v>182571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1392155</v>
      </c>
      <c r="AA32" s="65">
        <f t="shared" si="6"/>
        <v>0</v>
      </c>
      <c r="AB32" s="273">
        <f t="shared" si="50"/>
        <v>0</v>
      </c>
      <c r="AC32" s="537">
        <f t="shared" si="23"/>
        <v>1944</v>
      </c>
      <c r="AD32" s="259">
        <f t="shared" si="7"/>
        <v>0</v>
      </c>
      <c r="AE32" s="537">
        <f t="shared" si="24"/>
        <v>366312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235</v>
      </c>
      <c r="C33" s="537">
        <f t="shared" si="41"/>
        <v>243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2202</v>
      </c>
      <c r="G33" s="52">
        <f t="shared" ref="G33:G35" si="56">F33-F32</f>
        <v>0</v>
      </c>
      <c r="H33" s="537">
        <f t="shared" si="43"/>
        <v>40475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2181</v>
      </c>
      <c r="Q33" s="537">
        <f t="shared" si="46"/>
        <v>182571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1392155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1944</v>
      </c>
      <c r="AD33" s="259">
        <f t="shared" ref="AD33:AD35" si="69">AC33-AC32</f>
        <v>0</v>
      </c>
      <c r="AE33" s="537">
        <f t="shared" si="24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235</v>
      </c>
      <c r="C34" s="537">
        <f t="shared" si="41"/>
        <v>243</v>
      </c>
      <c r="D34" s="45">
        <f t="shared" si="54"/>
        <v>0</v>
      </c>
      <c r="E34" s="45">
        <f t="shared" si="55"/>
        <v>0</v>
      </c>
      <c r="F34" s="537">
        <f t="shared" si="42"/>
        <v>2202</v>
      </c>
      <c r="G34" s="52">
        <f t="shared" si="56"/>
        <v>0</v>
      </c>
      <c r="H34" s="537">
        <f t="shared" si="43"/>
        <v>40475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2181</v>
      </c>
      <c r="Q34" s="537">
        <f t="shared" si="46"/>
        <v>182571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1392155</v>
      </c>
      <c r="AA34" s="65">
        <f t="shared" si="67"/>
        <v>0</v>
      </c>
      <c r="AB34" s="273">
        <f t="shared" si="68"/>
        <v>0</v>
      </c>
      <c r="AC34" s="537">
        <f t="shared" si="23"/>
        <v>1944</v>
      </c>
      <c r="AD34" s="259">
        <f t="shared" si="69"/>
        <v>0</v>
      </c>
      <c r="AE34" s="537">
        <f t="shared" si="24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235</v>
      </c>
      <c r="C35" s="537">
        <f t="shared" si="41"/>
        <v>243</v>
      </c>
      <c r="D35" s="45">
        <f t="shared" si="54"/>
        <v>0</v>
      </c>
      <c r="E35" s="45">
        <f t="shared" si="55"/>
        <v>0</v>
      </c>
      <c r="F35" s="537">
        <f t="shared" si="42"/>
        <v>2202</v>
      </c>
      <c r="G35" s="52">
        <f t="shared" si="56"/>
        <v>0</v>
      </c>
      <c r="H35" s="537">
        <f t="shared" si="43"/>
        <v>40475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2181</v>
      </c>
      <c r="Q35" s="537">
        <f t="shared" si="46"/>
        <v>182571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1392155</v>
      </c>
      <c r="AA35" s="65">
        <f t="shared" si="67"/>
        <v>0</v>
      </c>
      <c r="AB35" s="273">
        <f t="shared" si="68"/>
        <v>0</v>
      </c>
      <c r="AC35" s="537">
        <f t="shared" si="23"/>
        <v>1944</v>
      </c>
      <c r="AD35" s="259">
        <f t="shared" si="69"/>
        <v>0</v>
      </c>
      <c r="AE35" s="537">
        <f t="shared" si="24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71.907605820105829</v>
      </c>
      <c r="U36" s="70">
        <f>SUM(U5:U35)</f>
        <v>93</v>
      </c>
      <c r="V36" s="62">
        <f>SUM(V5:V35)</f>
        <v>7038</v>
      </c>
      <c r="AE36" s="71" t="s">
        <v>379</v>
      </c>
      <c r="AG36" s="329"/>
      <c r="AH36" s="62">
        <f>SUM(AH5:AH35)</f>
        <v>130</v>
      </c>
      <c r="AL36" s="62">
        <f>SUM(AL5:AL35)</f>
        <v>93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75.677419354838705</v>
      </c>
      <c r="AH37" s="62">
        <f>AF37+AA37</f>
        <v>0</v>
      </c>
      <c r="AI37" s="306">
        <f>SUM(AI5:AI35)</f>
        <v>7168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4" activePane="bottomLeft" state="frozen"/>
      <selection pane="bottomLeft" activeCell="AY28" sqref="AY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8159247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v>154934</v>
      </c>
      <c r="Y15" s="309">
        <f t="shared" si="40"/>
        <v>70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70</v>
      </c>
      <c r="AL15" s="312">
        <f t="shared" si="27"/>
        <v>0</v>
      </c>
      <c r="AM15" s="312">
        <f>'General information '!D14</f>
        <v>12.5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v>110</v>
      </c>
      <c r="AU15" s="408">
        <f t="shared" si="41"/>
        <v>1.1000000000000001</v>
      </c>
      <c r="AV15" s="201">
        <v>112</v>
      </c>
      <c r="AW15" s="5">
        <v>2.9</v>
      </c>
      <c r="AX15" s="201">
        <v>97</v>
      </c>
      <c r="AY15" s="409">
        <f t="shared" si="35"/>
        <v>99</v>
      </c>
      <c r="AZ15" s="409">
        <f t="shared" si="36"/>
        <v>123.20000000000002</v>
      </c>
      <c r="BA15" s="409">
        <f t="shared" si="37"/>
        <v>281.3</v>
      </c>
      <c r="BB15" s="21">
        <f t="shared" si="38"/>
        <v>-65.700000000000017</v>
      </c>
      <c r="BC15" s="21">
        <f t="shared" si="30"/>
        <v>-1.0999999999999943</v>
      </c>
      <c r="BD15" s="21">
        <f t="shared" si="30"/>
        <v>46.400000000000006</v>
      </c>
      <c r="BE15" s="24">
        <f t="shared" si="31"/>
        <v>-20.400000000000006</v>
      </c>
      <c r="BF15" s="96">
        <f t="shared" si="32"/>
        <v>20.400000000000006</v>
      </c>
      <c r="BG15" s="82">
        <f t="shared" si="4"/>
        <v>-20.400000000000006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v>155017</v>
      </c>
      <c r="Y16" s="309">
        <f t="shared" si="40"/>
        <v>83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83</v>
      </c>
      <c r="AL16" s="312">
        <f t="shared" si="27"/>
        <v>0</v>
      </c>
      <c r="AM16" s="312">
        <f>'General information '!D15</f>
        <v>11.5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v>18</v>
      </c>
      <c r="AU16" s="408">
        <f t="shared" si="41"/>
        <v>1.1000000000000001</v>
      </c>
      <c r="AV16" s="201">
        <v>111</v>
      </c>
      <c r="AW16" s="5">
        <v>2.9</v>
      </c>
      <c r="AX16" s="201">
        <v>117</v>
      </c>
      <c r="AY16" s="409">
        <f t="shared" si="35"/>
        <v>16.2</v>
      </c>
      <c r="AZ16" s="409">
        <f t="shared" si="36"/>
        <v>122.10000000000001</v>
      </c>
      <c r="BA16" s="409">
        <f t="shared" si="37"/>
        <v>339.3</v>
      </c>
      <c r="BB16" s="21">
        <f t="shared" si="38"/>
        <v>-82.8</v>
      </c>
      <c r="BC16" s="21">
        <f t="shared" si="30"/>
        <v>-1.1000000000000085</v>
      </c>
      <c r="BD16" s="21">
        <f t="shared" si="30"/>
        <v>58</v>
      </c>
      <c r="BE16" s="24">
        <f t="shared" si="31"/>
        <v>-25.900000000000006</v>
      </c>
      <c r="BF16" s="96">
        <f t="shared" si="32"/>
        <v>25.900000000000006</v>
      </c>
      <c r="BG16" s="82">
        <f t="shared" si="4"/>
        <v>-25.900000000000006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155017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</v>
      </c>
      <c r="AU17" s="408">
        <f t="shared" si="41"/>
        <v>1.1000000000000001</v>
      </c>
      <c r="AV17" s="201">
        <f t="shared" si="42"/>
        <v>111</v>
      </c>
      <c r="AW17" s="5">
        <v>2.9</v>
      </c>
      <c r="AX17" s="201">
        <f t="shared" si="43"/>
        <v>117</v>
      </c>
      <c r="AY17" s="409">
        <f t="shared" si="35"/>
        <v>16.2</v>
      </c>
      <c r="AZ17" s="409">
        <f t="shared" si="36"/>
        <v>122.10000000000001</v>
      </c>
      <c r="BA17" s="409">
        <f t="shared" si="37"/>
        <v>339.3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155017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11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</v>
      </c>
      <c r="AU18" s="408">
        <f t="shared" si="41"/>
        <v>1.1000000000000001</v>
      </c>
      <c r="AV18" s="201">
        <f t="shared" si="42"/>
        <v>111</v>
      </c>
      <c r="AW18" s="5">
        <v>2.9</v>
      </c>
      <c r="AX18" s="201">
        <v>116</v>
      </c>
      <c r="AY18" s="409">
        <f t="shared" si="35"/>
        <v>16.2</v>
      </c>
      <c r="AZ18" s="409">
        <f t="shared" si="36"/>
        <v>122.10000000000001</v>
      </c>
      <c r="BA18" s="409">
        <f t="shared" si="37"/>
        <v>336.4</v>
      </c>
      <c r="BB18" s="21">
        <f t="shared" si="38"/>
        <v>0</v>
      </c>
      <c r="BC18" s="21">
        <f t="shared" si="30"/>
        <v>0</v>
      </c>
      <c r="BD18" s="21">
        <f t="shared" si="30"/>
        <v>-2.9000000000000341</v>
      </c>
      <c r="BE18" s="24">
        <f t="shared" si="31"/>
        <v>-2.9000000000000341</v>
      </c>
      <c r="BF18" s="96">
        <f t="shared" si="32"/>
        <v>2.9000000000000341</v>
      </c>
      <c r="BG18" s="82">
        <f t="shared" si="4"/>
        <v>-2.9000000000000341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v>627523</v>
      </c>
      <c r="H19" s="5">
        <f t="shared" si="9"/>
        <v>250</v>
      </c>
      <c r="I19" s="5">
        <f t="shared" si="10"/>
        <v>250</v>
      </c>
      <c r="J19" s="319">
        <f t="shared" si="0"/>
        <v>0.967741935483871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155017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v>178</v>
      </c>
      <c r="AU19" s="408">
        <f t="shared" si="41"/>
        <v>1.1000000000000001</v>
      </c>
      <c r="AV19" s="201">
        <v>110</v>
      </c>
      <c r="AW19" s="5">
        <v>2.9</v>
      </c>
      <c r="AX19" s="201">
        <v>114</v>
      </c>
      <c r="AY19" s="409">
        <f>AS19*AT19</f>
        <v>160.20000000000002</v>
      </c>
      <c r="AZ19" s="409">
        <f>AU19*AV19</f>
        <v>121.00000000000001</v>
      </c>
      <c r="BA19" s="409">
        <f>AW19*AX19</f>
        <v>330.59999999999997</v>
      </c>
      <c r="BB19" s="21">
        <f t="shared" si="38"/>
        <v>144.00000000000003</v>
      </c>
      <c r="BC19" s="21">
        <f t="shared" ref="BB19:BD20" si="47">AZ19-AZ18</f>
        <v>-1.0999999999999943</v>
      </c>
      <c r="BD19" s="21">
        <f t="shared" si="47"/>
        <v>-5.8000000000000114</v>
      </c>
      <c r="BE19" s="24">
        <f>SUM(BB19:BD19)</f>
        <v>137.10000000000002</v>
      </c>
      <c r="BF19" s="96">
        <f t="shared" si="32"/>
        <v>112.89999999999998</v>
      </c>
      <c r="BG19" s="82">
        <f t="shared" si="4"/>
        <v>137.10000000000002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627523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7033</v>
      </c>
      <c r="L20" s="83">
        <f t="shared" si="39"/>
        <v>10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155017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-10</v>
      </c>
      <c r="AL20" s="312">
        <f t="shared" si="27"/>
        <v>0</v>
      </c>
      <c r="AM20" s="312">
        <f>'General information '!D19</f>
        <v>7.5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178</v>
      </c>
      <c r="AU20" s="408">
        <f t="shared" si="41"/>
        <v>1.1000000000000001</v>
      </c>
      <c r="AV20" s="201">
        <v>109</v>
      </c>
      <c r="AW20" s="5">
        <v>2.9</v>
      </c>
      <c r="AX20" s="201">
        <v>111</v>
      </c>
      <c r="AY20" s="409">
        <f>AS20*AT20</f>
        <v>160.20000000000002</v>
      </c>
      <c r="AZ20" s="409">
        <f>AU20*AV20</f>
        <v>119.9</v>
      </c>
      <c r="BA20" s="409">
        <f>AW20*AX20</f>
        <v>321.89999999999998</v>
      </c>
      <c r="BB20" s="21">
        <f t="shared" si="47"/>
        <v>0</v>
      </c>
      <c r="BC20" s="21">
        <f t="shared" si="47"/>
        <v>-1.1000000000000085</v>
      </c>
      <c r="BD20" s="21">
        <f t="shared" si="47"/>
        <v>-8.6999999999999886</v>
      </c>
      <c r="BE20" s="24">
        <f>SUM(BB20:BD20)</f>
        <v>-9.7999999999999972</v>
      </c>
      <c r="BF20" s="96">
        <f t="shared" si="32"/>
        <v>9.7999999999999972</v>
      </c>
      <c r="BG20" s="82">
        <f t="shared" si="4"/>
        <v>-9.7999999999999972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627523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7033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155017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v>176</v>
      </c>
      <c r="AU21" s="408">
        <f t="shared" si="41"/>
        <v>1.1000000000000001</v>
      </c>
      <c r="AV21" s="201">
        <v>106</v>
      </c>
      <c r="AW21" s="5">
        <v>2.9</v>
      </c>
      <c r="AX21" s="201">
        <v>109</v>
      </c>
      <c r="AY21" s="409">
        <f>AS21*AT21</f>
        <v>158.4</v>
      </c>
      <c r="AZ21" s="409">
        <f>AU21*AV21</f>
        <v>116.60000000000001</v>
      </c>
      <c r="BA21" s="409">
        <f>AW21*AX21</f>
        <v>316.09999999999997</v>
      </c>
      <c r="BB21" s="21">
        <f t="shared" ref="BB21:BD33" si="48">AY21-AY20</f>
        <v>-1.8000000000000114</v>
      </c>
      <c r="BC21" s="21">
        <f t="shared" si="30"/>
        <v>-3.2999999999999972</v>
      </c>
      <c r="BD21" s="21">
        <f t="shared" si="30"/>
        <v>-5.8000000000000114</v>
      </c>
      <c r="BE21" s="24">
        <f t="shared" si="31"/>
        <v>-10.90000000000002</v>
      </c>
      <c r="BF21" s="96">
        <f t="shared" si="32"/>
        <v>10.90000000000002</v>
      </c>
      <c r="BG21" s="82">
        <f t="shared" si="4"/>
        <v>-10.90000000000002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627523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7033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155017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12.5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176</v>
      </c>
      <c r="AU22" s="408">
        <f t="shared" si="41"/>
        <v>1.1000000000000001</v>
      </c>
      <c r="AV22" s="201">
        <v>105</v>
      </c>
      <c r="AW22" s="5">
        <v>2.9</v>
      </c>
      <c r="AX22" s="201">
        <v>105</v>
      </c>
      <c r="AY22" s="409">
        <f t="shared" si="35"/>
        <v>158.4</v>
      </c>
      <c r="AZ22" s="409">
        <f t="shared" si="36"/>
        <v>115.50000000000001</v>
      </c>
      <c r="BA22" s="409">
        <f t="shared" si="37"/>
        <v>304.5</v>
      </c>
      <c r="BB22" s="21">
        <f>AY22-AY21</f>
        <v>0</v>
      </c>
      <c r="BC22" s="21">
        <f t="shared" si="48"/>
        <v>-1.0999999999999943</v>
      </c>
      <c r="BD22" s="21">
        <f t="shared" si="48"/>
        <v>-11.599999999999966</v>
      </c>
      <c r="BE22" s="24">
        <f t="shared" si="31"/>
        <v>-12.69999999999996</v>
      </c>
      <c r="BF22" s="96">
        <f t="shared" si="32"/>
        <v>12.69999999999996</v>
      </c>
      <c r="BG22" s="82">
        <f t="shared" si="4"/>
        <v>-12.69999999999996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627523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7033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155017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176</v>
      </c>
      <c r="AU23" s="408">
        <f t="shared" si="41"/>
        <v>1.1000000000000001</v>
      </c>
      <c r="AV23" s="201">
        <f t="shared" si="42"/>
        <v>105</v>
      </c>
      <c r="AW23" s="5">
        <v>2.9</v>
      </c>
      <c r="AX23" s="201">
        <f t="shared" si="43"/>
        <v>105</v>
      </c>
      <c r="AY23" s="409">
        <f t="shared" si="35"/>
        <v>158.4</v>
      </c>
      <c r="AZ23" s="409">
        <f t="shared" si="36"/>
        <v>115.50000000000001</v>
      </c>
      <c r="BA23" s="409">
        <f t="shared" si="37"/>
        <v>304.5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627523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7033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155017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176</v>
      </c>
      <c r="AU24" s="408">
        <f t="shared" si="41"/>
        <v>1.1000000000000001</v>
      </c>
      <c r="AV24" s="201">
        <f t="shared" si="42"/>
        <v>105</v>
      </c>
      <c r="AW24" s="5">
        <v>2.9</v>
      </c>
      <c r="AX24" s="201">
        <f t="shared" si="43"/>
        <v>105</v>
      </c>
      <c r="AY24" s="409">
        <f t="shared" si="35"/>
        <v>158.4</v>
      </c>
      <c r="AZ24" s="409">
        <f t="shared" si="36"/>
        <v>115.50000000000001</v>
      </c>
      <c r="BA24" s="409">
        <f t="shared" si="37"/>
        <v>304.5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627523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7033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155017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10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176</v>
      </c>
      <c r="AU25" s="408">
        <f t="shared" si="41"/>
        <v>1.1000000000000001</v>
      </c>
      <c r="AV25" s="201">
        <v>100</v>
      </c>
      <c r="AW25" s="5">
        <v>2.9</v>
      </c>
      <c r="AX25" s="201">
        <v>101</v>
      </c>
      <c r="AY25" s="409">
        <f t="shared" si="35"/>
        <v>158.4</v>
      </c>
      <c r="AZ25" s="409">
        <f t="shared" si="36"/>
        <v>110.00000000000001</v>
      </c>
      <c r="BA25" s="409">
        <f t="shared" si="37"/>
        <v>292.89999999999998</v>
      </c>
      <c r="BB25" s="21">
        <f t="shared" si="48"/>
        <v>0</v>
      </c>
      <c r="BC25" s="21">
        <f t="shared" si="48"/>
        <v>-5.5</v>
      </c>
      <c r="BD25" s="21">
        <f t="shared" si="48"/>
        <v>-11.600000000000023</v>
      </c>
      <c r="BE25" s="24">
        <f t="shared" si="31"/>
        <v>-17.100000000000023</v>
      </c>
      <c r="BF25" s="96">
        <f t="shared" si="32"/>
        <v>17.100000000000023</v>
      </c>
      <c r="BG25" s="82">
        <f t="shared" si="4"/>
        <v>-17.100000000000023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627704</v>
      </c>
      <c r="H26" s="5">
        <f>G26-G25</f>
        <v>181</v>
      </c>
      <c r="I26" s="5">
        <f t="shared" si="10"/>
        <v>181</v>
      </c>
      <c r="J26" s="319">
        <f t="shared" si="0"/>
        <v>1.3366601318837996</v>
      </c>
      <c r="K26" s="5">
        <f>'Swimming Pool quality check '!H26</f>
        <v>7033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v>482</v>
      </c>
      <c r="W26" s="309">
        <f t="shared" si="15"/>
        <v>4</v>
      </c>
      <c r="X26" s="5">
        <v>155118</v>
      </c>
      <c r="Y26" s="309">
        <f t="shared" si="40"/>
        <v>101</v>
      </c>
      <c r="Z26" s="5">
        <v>99327</v>
      </c>
      <c r="AA26" s="83">
        <f t="shared" si="18"/>
        <v>26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26</v>
      </c>
      <c r="AK26" s="312">
        <f>SUM(Y26-L26)</f>
        <v>101</v>
      </c>
      <c r="AL26" s="312">
        <f>SUM(AJ26-W26)</f>
        <v>22</v>
      </c>
      <c r="AM26" s="312">
        <f>'General information '!D25</f>
        <v>11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v>137</v>
      </c>
      <c r="AU26" s="408">
        <f t="shared" si="41"/>
        <v>1.1000000000000001</v>
      </c>
      <c r="AV26" s="201">
        <v>121</v>
      </c>
      <c r="AW26" s="5">
        <v>2.9</v>
      </c>
      <c r="AX26" s="201">
        <v>127</v>
      </c>
      <c r="AY26" s="409">
        <f t="shared" si="35"/>
        <v>123.3</v>
      </c>
      <c r="AZ26" s="409">
        <f t="shared" si="36"/>
        <v>133.10000000000002</v>
      </c>
      <c r="BA26" s="409">
        <f t="shared" si="37"/>
        <v>368.3</v>
      </c>
      <c r="BB26" s="21">
        <f>AY26-AY25</f>
        <v>-35.100000000000009</v>
      </c>
      <c r="BC26" s="21">
        <f t="shared" si="48"/>
        <v>23.100000000000009</v>
      </c>
      <c r="BD26" s="21">
        <f t="shared" si="48"/>
        <v>75.400000000000034</v>
      </c>
      <c r="BE26" s="24">
        <f t="shared" si="31"/>
        <v>63.400000000000034</v>
      </c>
      <c r="BF26" s="96">
        <f t="shared" si="32"/>
        <v>117.59999999999997</v>
      </c>
      <c r="BG26" s="82">
        <f t="shared" si="4"/>
        <v>63.400000000000034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627704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7033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155118</v>
      </c>
      <c r="Y27" s="309">
        <f t="shared" si="40"/>
        <v>0</v>
      </c>
      <c r="Z27" s="5">
        <f t="shared" si="17"/>
        <v>99327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13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137</v>
      </c>
      <c r="AU27" s="408">
        <f t="shared" si="41"/>
        <v>1.1000000000000001</v>
      </c>
      <c r="AV27" s="201">
        <v>117</v>
      </c>
      <c r="AW27" s="5">
        <v>2.9</v>
      </c>
      <c r="AX27" s="201">
        <v>124</v>
      </c>
      <c r="AY27" s="409">
        <f t="shared" si="35"/>
        <v>123.3</v>
      </c>
      <c r="AZ27" s="409">
        <f t="shared" si="36"/>
        <v>128.70000000000002</v>
      </c>
      <c r="BA27" s="409">
        <f t="shared" si="37"/>
        <v>359.59999999999997</v>
      </c>
      <c r="BB27" s="21">
        <f t="shared" si="48"/>
        <v>0</v>
      </c>
      <c r="BC27" s="21">
        <f t="shared" si="48"/>
        <v>-4.4000000000000057</v>
      </c>
      <c r="BD27" s="21">
        <f t="shared" si="48"/>
        <v>-8.7000000000000455</v>
      </c>
      <c r="BE27" s="24">
        <f t="shared" si="31"/>
        <v>-13.100000000000051</v>
      </c>
      <c r="BF27" s="96">
        <f t="shared" si="32"/>
        <v>13.100000000000051</v>
      </c>
      <c r="BG27" s="82">
        <f t="shared" si="4"/>
        <v>-13.100000000000051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627704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7033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155118</v>
      </c>
      <c r="Y28" s="309">
        <f t="shared" si="40"/>
        <v>0</v>
      </c>
      <c r="Z28" s="5">
        <f t="shared" si="17"/>
        <v>99327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12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137</v>
      </c>
      <c r="AU28" s="408">
        <f t="shared" si="41"/>
        <v>1.1000000000000001</v>
      </c>
      <c r="AV28" s="201">
        <v>116</v>
      </c>
      <c r="AW28" s="5">
        <v>2.9</v>
      </c>
      <c r="AX28" s="201">
        <v>120</v>
      </c>
      <c r="AY28" s="409">
        <f t="shared" si="35"/>
        <v>123.3</v>
      </c>
      <c r="AZ28" s="409">
        <f t="shared" si="36"/>
        <v>127.60000000000001</v>
      </c>
      <c r="BA28" s="409">
        <f t="shared" si="37"/>
        <v>348</v>
      </c>
      <c r="BB28" s="21">
        <f t="shared" si="48"/>
        <v>0</v>
      </c>
      <c r="BC28" s="21">
        <f t="shared" si="48"/>
        <v>-1.1000000000000085</v>
      </c>
      <c r="BD28" s="21">
        <f t="shared" si="48"/>
        <v>-11.599999999999966</v>
      </c>
      <c r="BE28" s="24">
        <f t="shared" si="31"/>
        <v>-12.699999999999974</v>
      </c>
      <c r="BF28" s="96">
        <f t="shared" si="32"/>
        <v>12.699999999999974</v>
      </c>
      <c r="BG28" s="82">
        <f t="shared" si="4"/>
        <v>-12.699999999999974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627704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7033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155118</v>
      </c>
      <c r="Y29" s="309">
        <f t="shared" si="40"/>
        <v>0</v>
      </c>
      <c r="Z29" s="5">
        <f t="shared" si="17"/>
        <v>99327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137</v>
      </c>
      <c r="AU29" s="408">
        <f t="shared" si="41"/>
        <v>1.1000000000000001</v>
      </c>
      <c r="AV29" s="201">
        <f t="shared" si="42"/>
        <v>116</v>
      </c>
      <c r="AW29" s="5">
        <v>2.9</v>
      </c>
      <c r="AX29" s="201">
        <f t="shared" si="43"/>
        <v>120</v>
      </c>
      <c r="AY29" s="409">
        <f t="shared" si="35"/>
        <v>123.3</v>
      </c>
      <c r="AZ29" s="409">
        <f t="shared" si="36"/>
        <v>127.60000000000001</v>
      </c>
      <c r="BA29" s="409">
        <f t="shared" si="37"/>
        <v>348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627704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7033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155118</v>
      </c>
      <c r="Y30" s="309">
        <f t="shared" si="40"/>
        <v>0</v>
      </c>
      <c r="Z30" s="5">
        <f t="shared" si="17"/>
        <v>99327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137</v>
      </c>
      <c r="AU30" s="408">
        <f t="shared" si="41"/>
        <v>1.1000000000000001</v>
      </c>
      <c r="AV30" s="201">
        <f t="shared" si="42"/>
        <v>116</v>
      </c>
      <c r="AW30" s="5">
        <v>2.9</v>
      </c>
      <c r="AX30" s="201">
        <f t="shared" si="43"/>
        <v>120</v>
      </c>
      <c r="AY30" s="409">
        <f t="shared" si="35"/>
        <v>123.3</v>
      </c>
      <c r="AZ30" s="409">
        <f t="shared" si="36"/>
        <v>127.60000000000001</v>
      </c>
      <c r="BA30" s="409">
        <f t="shared" si="37"/>
        <v>348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627704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7033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155118</v>
      </c>
      <c r="Y31" s="309">
        <f t="shared" si="40"/>
        <v>0</v>
      </c>
      <c r="Z31" s="5">
        <f t="shared" si="17"/>
        <v>99327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137</v>
      </c>
      <c r="AU31" s="408">
        <f t="shared" si="41"/>
        <v>1.1000000000000001</v>
      </c>
      <c r="AV31" s="201">
        <f t="shared" si="42"/>
        <v>116</v>
      </c>
      <c r="AW31" s="5">
        <v>2.9</v>
      </c>
      <c r="AX31" s="201">
        <f t="shared" si="43"/>
        <v>120</v>
      </c>
      <c r="AY31" s="409">
        <f t="shared" si="35"/>
        <v>123.3</v>
      </c>
      <c r="AZ31" s="409">
        <f>AU31*AV31</f>
        <v>127.60000000000001</v>
      </c>
      <c r="BA31" s="409">
        <f t="shared" si="37"/>
        <v>348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627704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7033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155118</v>
      </c>
      <c r="Y32" s="309">
        <f t="shared" si="40"/>
        <v>0</v>
      </c>
      <c r="Z32" s="5">
        <f t="shared" si="17"/>
        <v>99327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137</v>
      </c>
      <c r="AU32" s="408">
        <f t="shared" si="41"/>
        <v>1.1000000000000001</v>
      </c>
      <c r="AV32" s="201">
        <f t="shared" si="42"/>
        <v>116</v>
      </c>
      <c r="AW32" s="5">
        <v>2.9</v>
      </c>
      <c r="AX32" s="201">
        <f t="shared" si="43"/>
        <v>120</v>
      </c>
      <c r="AY32" s="409">
        <f t="shared" si="35"/>
        <v>123.3</v>
      </c>
      <c r="AZ32" s="409">
        <f t="shared" si="36"/>
        <v>127.60000000000001</v>
      </c>
      <c r="BA32" s="409">
        <f t="shared" si="37"/>
        <v>348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627704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7033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155118</v>
      </c>
      <c r="Y33" s="309">
        <f t="shared" si="40"/>
        <v>0</v>
      </c>
      <c r="Z33" s="5">
        <f t="shared" si="17"/>
        <v>99327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137</v>
      </c>
      <c r="AU33" s="408">
        <f t="shared" si="41"/>
        <v>1.1000000000000001</v>
      </c>
      <c r="AV33" s="201">
        <f t="shared" si="42"/>
        <v>116</v>
      </c>
      <c r="AW33" s="5">
        <v>2.9</v>
      </c>
      <c r="AX33" s="201">
        <f t="shared" si="43"/>
        <v>120</v>
      </c>
      <c r="AY33" s="409">
        <f t="shared" si="35"/>
        <v>123.3</v>
      </c>
      <c r="AZ33" s="409">
        <f t="shared" si="36"/>
        <v>127.60000000000001</v>
      </c>
      <c r="BA33" s="409">
        <f t="shared" si="37"/>
        <v>348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627704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7033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155118</v>
      </c>
      <c r="Y34" s="309">
        <f t="shared" ref="Y34:Y36" si="61">SUM(X34-X33)</f>
        <v>0</v>
      </c>
      <c r="Z34" s="5">
        <f t="shared" si="17"/>
        <v>99327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137</v>
      </c>
      <c r="AU34" s="408">
        <f t="shared" si="41"/>
        <v>1.1000000000000001</v>
      </c>
      <c r="AV34" s="201">
        <f t="shared" si="42"/>
        <v>116</v>
      </c>
      <c r="AW34" s="5">
        <v>2.9</v>
      </c>
      <c r="AX34" s="201">
        <f t="shared" si="43"/>
        <v>120</v>
      </c>
      <c r="AY34" s="409">
        <f t="shared" ref="AY34:AY36" si="71">AS34*AT34</f>
        <v>123.3</v>
      </c>
      <c r="AZ34" s="409">
        <f t="shared" ref="AZ34:AZ36" si="72">AU34*AV34</f>
        <v>127.60000000000001</v>
      </c>
      <c r="BA34" s="409">
        <f t="shared" ref="BA34:BA36" si="73">AW34*AX34</f>
        <v>348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627704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7033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155118</v>
      </c>
      <c r="Y35" s="309">
        <f t="shared" si="61"/>
        <v>0</v>
      </c>
      <c r="Z35" s="5">
        <f t="shared" si="17"/>
        <v>99327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137</v>
      </c>
      <c r="AU35" s="408">
        <f t="shared" si="41"/>
        <v>1.1000000000000001</v>
      </c>
      <c r="AV35" s="201">
        <f t="shared" si="42"/>
        <v>116</v>
      </c>
      <c r="AW35" s="5">
        <v>2.9</v>
      </c>
      <c r="AX35" s="201">
        <f t="shared" si="43"/>
        <v>120</v>
      </c>
      <c r="AY35" s="409">
        <f t="shared" si="71"/>
        <v>123.3</v>
      </c>
      <c r="AZ35" s="409">
        <f t="shared" si="72"/>
        <v>127.60000000000001</v>
      </c>
      <c r="BA35" s="409">
        <f t="shared" si="73"/>
        <v>348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627704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7033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155118</v>
      </c>
      <c r="Y36" s="309">
        <f t="shared" si="61"/>
        <v>0</v>
      </c>
      <c r="Z36" s="5">
        <f t="shared" si="17"/>
        <v>99327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137</v>
      </c>
      <c r="AU36" s="408">
        <f t="shared" si="41"/>
        <v>1.1000000000000001</v>
      </c>
      <c r="AV36" s="201">
        <f t="shared" si="42"/>
        <v>116</v>
      </c>
      <c r="AW36" s="5">
        <v>2.9</v>
      </c>
      <c r="AX36" s="201">
        <f t="shared" si="43"/>
        <v>120</v>
      </c>
      <c r="AY36" s="409">
        <f t="shared" si="71"/>
        <v>123.3</v>
      </c>
      <c r="AZ36" s="409">
        <f t="shared" si="72"/>
        <v>127.60000000000001</v>
      </c>
      <c r="BA36" s="409">
        <f t="shared" si="73"/>
        <v>348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431</v>
      </c>
      <c r="I37" s="395">
        <f>SUM(I6:I36)</f>
        <v>431</v>
      </c>
      <c r="L37" s="258">
        <f>SUM(L7:L36)</f>
        <v>12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70</v>
      </c>
      <c r="AJ37" s="307">
        <f>SUM(AJ6:AJ36)</f>
        <v>26</v>
      </c>
      <c r="AK37" s="312">
        <f>SUM(Y37-L37)</f>
        <v>58</v>
      </c>
      <c r="AL37" s="307">
        <f>SUM(AL6:AL36)</f>
        <v>22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431</v>
      </c>
      <c r="Z38" s="307">
        <f>SUM(Y37:AJ37)</f>
        <v>96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431</v>
      </c>
      <c r="H39" s="1">
        <f>SUM(H38+C38)</f>
        <v>7500</v>
      </c>
      <c r="K39" s="1">
        <f>SUM(H39/G39)</f>
        <v>17.40139211136891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A25" sqref="AA2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76" t="e">
        <f t="shared" ref="M2:M33" si="0">SUM(L2-L1)</f>
        <v>#VALUE!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1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2">IF(B3-H3&lt;=0,"ok","oil change")</f>
        <v>ok</v>
      </c>
      <c r="J3" s="502">
        <f>J2</f>
        <v>10698</v>
      </c>
      <c r="K3" s="276">
        <f t="shared" ref="K3:K33" si="3">J3-J2</f>
        <v>0</v>
      </c>
      <c r="L3" s="503">
        <f>L2</f>
        <v>357691</v>
      </c>
      <c r="M3" s="276">
        <f t="shared" si="0"/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13667</v>
      </c>
      <c r="S3" s="276">
        <f t="shared" ref="S3:S30" si="5">R3-R2</f>
        <v>0</v>
      </c>
      <c r="T3" s="503">
        <f>T2+U3</f>
        <v>356262</v>
      </c>
      <c r="U3" s="276">
        <f t="shared" ref="U3:U8" si="6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7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8">305/1185</f>
        <v>0.25738396624472576</v>
      </c>
      <c r="AK3" s="278">
        <f t="shared" ref="AK3:AK30" si="9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10">B4-B3</f>
        <v>9</v>
      </c>
      <c r="D4" s="503">
        <f t="shared" ref="D4:D30" si="11">D3+C4*250</f>
        <v>644266</v>
      </c>
      <c r="E4" s="276">
        <f t="shared" ref="E4:E25" si="12">SUM(D4-D3)</f>
        <v>2250</v>
      </c>
      <c r="F4" s="276">
        <f t="shared" si="1"/>
        <v>250</v>
      </c>
      <c r="G4" s="196"/>
      <c r="H4" s="260">
        <f t="shared" ref="H4:H33" si="13">H3</f>
        <v>11528</v>
      </c>
      <c r="I4" s="276" t="str">
        <f t="shared" si="2"/>
        <v>ok</v>
      </c>
      <c r="J4" s="502">
        <f t="shared" ref="J4:J33" si="14">J3</f>
        <v>10698</v>
      </c>
      <c r="K4" s="276">
        <f t="shared" si="3"/>
        <v>0</v>
      </c>
      <c r="L4" s="503">
        <f t="shared" ref="L4:L17" si="15">L3</f>
        <v>357691</v>
      </c>
      <c r="M4" s="276">
        <f t="shared" si="0"/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4"/>
        <v>ok</v>
      </c>
      <c r="R4" s="502">
        <v>13670</v>
      </c>
      <c r="S4" s="276">
        <f t="shared" si="5"/>
        <v>3</v>
      </c>
      <c r="T4" s="503">
        <f>T3+U4</f>
        <v>357012</v>
      </c>
      <c r="U4" s="276">
        <f t="shared" si="6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7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8"/>
        <v>0.25738396624472576</v>
      </c>
      <c r="AK4" s="278">
        <f t="shared" si="9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10"/>
        <v>1</v>
      </c>
      <c r="D5" s="503">
        <f t="shared" si="11"/>
        <v>644516</v>
      </c>
      <c r="E5" s="276">
        <f t="shared" si="12"/>
        <v>250</v>
      </c>
      <c r="F5" s="276">
        <f t="shared" si="1"/>
        <v>250</v>
      </c>
      <c r="G5" s="274"/>
      <c r="H5" s="260">
        <f t="shared" si="13"/>
        <v>11528</v>
      </c>
      <c r="I5" s="276" t="str">
        <f t="shared" si="2"/>
        <v>ok</v>
      </c>
      <c r="J5" s="502">
        <f t="shared" si="14"/>
        <v>10698</v>
      </c>
      <c r="K5" s="276">
        <f t="shared" si="3"/>
        <v>0</v>
      </c>
      <c r="L5" s="503">
        <f t="shared" si="15"/>
        <v>357691</v>
      </c>
      <c r="M5" s="276">
        <f t="shared" si="0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4"/>
        <v>ok</v>
      </c>
      <c r="R5" s="502">
        <v>13681</v>
      </c>
      <c r="S5" s="276">
        <f t="shared" si="5"/>
        <v>11</v>
      </c>
      <c r="T5" s="503">
        <f>T4+U5</f>
        <v>359762</v>
      </c>
      <c r="U5" s="276">
        <f t="shared" si="6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7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8"/>
        <v>0.25738396624472576</v>
      </c>
      <c r="AK5" s="278">
        <f t="shared" si="9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1"/>
        <v>644516</v>
      </c>
      <c r="E6" s="276">
        <f t="shared" si="12"/>
        <v>0</v>
      </c>
      <c r="F6" s="276">
        <f t="shared" si="1"/>
        <v>0</v>
      </c>
      <c r="G6" s="196"/>
      <c r="H6" s="260">
        <f t="shared" si="13"/>
        <v>11528</v>
      </c>
      <c r="I6" s="276" t="str">
        <f t="shared" si="2"/>
        <v>ok</v>
      </c>
      <c r="J6" s="502">
        <f t="shared" si="14"/>
        <v>10698</v>
      </c>
      <c r="K6" s="276">
        <f t="shared" si="3"/>
        <v>0</v>
      </c>
      <c r="L6" s="503">
        <f t="shared" si="15"/>
        <v>357691</v>
      </c>
      <c r="M6" s="276">
        <f t="shared" si="0"/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4"/>
        <v>ok</v>
      </c>
      <c r="R6" s="502">
        <f t="shared" ref="R6:R33" si="29">R5</f>
        <v>13681</v>
      </c>
      <c r="S6" s="276">
        <f t="shared" si="5"/>
        <v>0</v>
      </c>
      <c r="T6" s="503">
        <f t="shared" ref="T6:T33" si="30">T5+U6</f>
        <v>359762</v>
      </c>
      <c r="U6" s="276">
        <f t="shared" si="6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7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8"/>
        <v>0.25738396624472576</v>
      </c>
      <c r="AK6" s="278" t="e">
        <f t="shared" si="9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10"/>
        <v>0</v>
      </c>
      <c r="D7" s="503">
        <f t="shared" si="11"/>
        <v>644516</v>
      </c>
      <c r="E7" s="276">
        <f t="shared" si="12"/>
        <v>0</v>
      </c>
      <c r="F7" s="276">
        <f t="shared" si="1"/>
        <v>0</v>
      </c>
      <c r="G7" s="196"/>
      <c r="H7" s="260">
        <f>H6</f>
        <v>11528</v>
      </c>
      <c r="I7" s="276" t="str">
        <f t="shared" si="2"/>
        <v>ok</v>
      </c>
      <c r="J7" s="502">
        <f t="shared" si="14"/>
        <v>10698</v>
      </c>
      <c r="K7" s="276">
        <f t="shared" si="3"/>
        <v>0</v>
      </c>
      <c r="L7" s="503">
        <f t="shared" si="15"/>
        <v>357691</v>
      </c>
      <c r="M7" s="276">
        <f t="shared" si="0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4"/>
        <v>ok</v>
      </c>
      <c r="R7" s="502">
        <f t="shared" si="29"/>
        <v>13681</v>
      </c>
      <c r="S7" s="276">
        <f t="shared" si="5"/>
        <v>0</v>
      </c>
      <c r="T7" s="503">
        <f t="shared" si="30"/>
        <v>359762</v>
      </c>
      <c r="U7" s="276">
        <f t="shared" si="6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7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8"/>
        <v>0.25738396624472576</v>
      </c>
      <c r="AK7" s="278" t="e">
        <f t="shared" si="9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10"/>
        <v>8</v>
      </c>
      <c r="D8" s="503">
        <f t="shared" si="11"/>
        <v>646516</v>
      </c>
      <c r="E8" s="276">
        <f t="shared" si="12"/>
        <v>2000</v>
      </c>
      <c r="F8" s="276">
        <f t="shared" si="1"/>
        <v>250</v>
      </c>
      <c r="G8" s="196"/>
      <c r="H8" s="260">
        <f t="shared" si="13"/>
        <v>11528</v>
      </c>
      <c r="I8" s="276" t="str">
        <f>IF(B8-H8&lt;=0,"ok","oil change")</f>
        <v>oil change</v>
      </c>
      <c r="J8" s="502">
        <f t="shared" si="14"/>
        <v>10698</v>
      </c>
      <c r="K8" s="276">
        <f t="shared" si="3"/>
        <v>0</v>
      </c>
      <c r="L8" s="503">
        <f t="shared" si="15"/>
        <v>357691</v>
      </c>
      <c r="M8" s="276">
        <f t="shared" si="0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4"/>
        <v>ok</v>
      </c>
      <c r="R8" s="502">
        <v>13684</v>
      </c>
      <c r="S8" s="276">
        <f t="shared" si="5"/>
        <v>3</v>
      </c>
      <c r="T8" s="503">
        <f>T7+U8</f>
        <v>360512</v>
      </c>
      <c r="U8" s="276">
        <f t="shared" si="6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7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8"/>
        <v>0.25738396624472576</v>
      </c>
      <c r="AK8" s="278">
        <f t="shared" si="9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10"/>
        <v>6</v>
      </c>
      <c r="D9" s="503">
        <f t="shared" si="11"/>
        <v>648016</v>
      </c>
      <c r="E9" s="276">
        <f t="shared" si="12"/>
        <v>1500</v>
      </c>
      <c r="F9" s="276">
        <f t="shared" si="1"/>
        <v>250</v>
      </c>
      <c r="G9" s="196"/>
      <c r="H9" s="260">
        <f t="shared" si="13"/>
        <v>11528</v>
      </c>
      <c r="I9" s="276" t="str">
        <f t="shared" si="2"/>
        <v>oil change</v>
      </c>
      <c r="J9" s="502">
        <f t="shared" si="14"/>
        <v>10698</v>
      </c>
      <c r="K9" s="276">
        <f t="shared" si="3"/>
        <v>0</v>
      </c>
      <c r="L9" s="503">
        <f t="shared" si="15"/>
        <v>357691</v>
      </c>
      <c r="M9" s="276">
        <f t="shared" si="0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4"/>
        <v>ok</v>
      </c>
      <c r="R9" s="502">
        <v>13686</v>
      </c>
      <c r="S9" s="276">
        <f t="shared" si="5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7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8"/>
        <v>0.25738396624472576</v>
      </c>
      <c r="AK9" s="278">
        <f t="shared" si="9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10"/>
        <v>1</v>
      </c>
      <c r="D10" s="503">
        <f t="shared" si="11"/>
        <v>648266</v>
      </c>
      <c r="E10" s="276">
        <f>SUM(D10-D9)</f>
        <v>250</v>
      </c>
      <c r="F10" s="276">
        <f t="shared" si="1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4"/>
        <v>10698</v>
      </c>
      <c r="K10" s="276">
        <f t="shared" si="3"/>
        <v>0</v>
      </c>
      <c r="L10" s="503">
        <f t="shared" si="15"/>
        <v>357691</v>
      </c>
      <c r="M10" s="276">
        <f t="shared" si="0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4"/>
        <v>ok</v>
      </c>
      <c r="R10" s="502">
        <v>13695</v>
      </c>
      <c r="S10" s="276">
        <f t="shared" si="5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7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8"/>
        <v>0.25738396624472576</v>
      </c>
      <c r="AK10" s="278">
        <f t="shared" si="9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10"/>
        <v>9</v>
      </c>
      <c r="D11" s="503">
        <f t="shared" si="11"/>
        <v>650516</v>
      </c>
      <c r="E11" s="276">
        <f t="shared" si="12"/>
        <v>2250</v>
      </c>
      <c r="F11" s="276">
        <f>IF(C11&gt;0,E11/C11,0)</f>
        <v>250</v>
      </c>
      <c r="G11" s="196"/>
      <c r="H11" s="260">
        <f t="shared" si="13"/>
        <v>11690</v>
      </c>
      <c r="I11" s="276" t="str">
        <f t="shared" si="2"/>
        <v>ok</v>
      </c>
      <c r="J11" s="502">
        <f t="shared" si="14"/>
        <v>10698</v>
      </c>
      <c r="K11" s="276">
        <f t="shared" si="3"/>
        <v>0</v>
      </c>
      <c r="L11" s="503">
        <f t="shared" si="15"/>
        <v>357691</v>
      </c>
      <c r="M11" s="276">
        <f t="shared" si="0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4"/>
        <v>ok</v>
      </c>
      <c r="R11" s="502">
        <v>13695</v>
      </c>
      <c r="S11" s="276">
        <f t="shared" si="5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7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8"/>
        <v>0.25738396624472576</v>
      </c>
      <c r="AK11" s="278">
        <f t="shared" si="9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v>11552</v>
      </c>
      <c r="C12" s="276">
        <f t="shared" si="10"/>
        <v>2</v>
      </c>
      <c r="D12" s="503">
        <f t="shared" si="11"/>
        <v>651016</v>
      </c>
      <c r="E12" s="276">
        <f t="shared" si="12"/>
        <v>500</v>
      </c>
      <c r="F12" s="276">
        <f t="shared" si="1"/>
        <v>250</v>
      </c>
      <c r="G12" s="196"/>
      <c r="H12" s="260">
        <f t="shared" si="13"/>
        <v>11690</v>
      </c>
      <c r="I12" s="276" t="str">
        <f t="shared" si="2"/>
        <v>ok</v>
      </c>
      <c r="J12" s="502">
        <f t="shared" si="14"/>
        <v>10698</v>
      </c>
      <c r="K12" s="276">
        <f t="shared" si="3"/>
        <v>0</v>
      </c>
      <c r="L12" s="503">
        <f t="shared" si="15"/>
        <v>357691</v>
      </c>
      <c r="M12" s="276">
        <f t="shared" si="0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4"/>
        <v>ok</v>
      </c>
      <c r="R12" s="502">
        <v>13704</v>
      </c>
      <c r="S12" s="276">
        <f t="shared" si="5"/>
        <v>9</v>
      </c>
      <c r="T12" s="503">
        <f t="shared" si="30"/>
        <v>365512</v>
      </c>
      <c r="U12" s="276">
        <f t="shared" si="31"/>
        <v>2250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7"/>
        <v>11</v>
      </c>
      <c r="AA12" s="276">
        <f t="shared" si="20"/>
        <v>2750</v>
      </c>
      <c r="AB12" s="276">
        <f t="shared" si="21"/>
        <v>500</v>
      </c>
      <c r="AC12" s="276">
        <f t="shared" si="22"/>
        <v>250</v>
      </c>
      <c r="AD12" s="73">
        <f>ELEC!Q13</f>
        <v>5379.9999999973807</v>
      </c>
      <c r="AE12" s="73">
        <f t="shared" si="25"/>
        <v>489.09090909067095</v>
      </c>
      <c r="AF12" s="387">
        <f t="shared" si="26"/>
        <v>0.30568181818166934</v>
      </c>
      <c r="AG12" s="387">
        <f t="shared" si="26"/>
        <v>1.9105113636354334E-4</v>
      </c>
      <c r="AH12" s="388">
        <f t="shared" si="23"/>
        <v>249.99980894886363</v>
      </c>
      <c r="AI12" s="73">
        <f t="shared" si="27"/>
        <v>1384.7257383959504</v>
      </c>
      <c r="AJ12" s="278">
        <f t="shared" si="8"/>
        <v>0.25738396624472576</v>
      </c>
      <c r="AK12" s="278">
        <f t="shared" si="9"/>
        <v>125.8841580359955</v>
      </c>
      <c r="AL12">
        <f t="shared" si="24"/>
        <v>1</v>
      </c>
    </row>
    <row r="13" spans="1:38" ht="15.75" thickBot="1">
      <c r="A13" s="4">
        <f>ELEC!C14</f>
        <v>44631</v>
      </c>
      <c r="B13" s="502">
        <v>11562</v>
      </c>
      <c r="C13" s="276">
        <f t="shared" si="10"/>
        <v>10</v>
      </c>
      <c r="D13" s="503">
        <f t="shared" si="11"/>
        <v>653516</v>
      </c>
      <c r="E13" s="276">
        <f t="shared" si="12"/>
        <v>2500</v>
      </c>
      <c r="F13" s="276">
        <f t="shared" si="1"/>
        <v>250</v>
      </c>
      <c r="G13" s="196"/>
      <c r="H13" s="260">
        <f t="shared" si="13"/>
        <v>11690</v>
      </c>
      <c r="I13" s="276" t="str">
        <f t="shared" si="2"/>
        <v>ok</v>
      </c>
      <c r="J13" s="502">
        <f t="shared" si="14"/>
        <v>10698</v>
      </c>
      <c r="K13" s="276">
        <f t="shared" si="3"/>
        <v>0</v>
      </c>
      <c r="L13" s="503">
        <f t="shared" si="15"/>
        <v>357691</v>
      </c>
      <c r="M13" s="276">
        <f t="shared" si="0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29"/>
        <v>13704</v>
      </c>
      <c r="S13" s="276">
        <f t="shared" si="5"/>
        <v>0</v>
      </c>
      <c r="T13" s="503">
        <f t="shared" si="30"/>
        <v>365512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7"/>
        <v>10</v>
      </c>
      <c r="AA13" s="276">
        <f t="shared" si="20"/>
        <v>2500</v>
      </c>
      <c r="AB13" s="276">
        <f t="shared" si="21"/>
        <v>500</v>
      </c>
      <c r="AC13" s="276">
        <f t="shared" si="22"/>
        <v>250</v>
      </c>
      <c r="AD13" s="73">
        <f>ELEC!Q14</f>
        <v>4896.0000000006403</v>
      </c>
      <c r="AE13" s="73">
        <f t="shared" si="25"/>
        <v>489.60000000006403</v>
      </c>
      <c r="AF13" s="387">
        <f t="shared" si="26"/>
        <v>0.30600000000004002</v>
      </c>
      <c r="AG13" s="387">
        <f t="shared" si="26"/>
        <v>1.91250000000025E-4</v>
      </c>
      <c r="AH13" s="388">
        <f t="shared" si="23"/>
        <v>249.99980875</v>
      </c>
      <c r="AI13" s="73">
        <f t="shared" si="27"/>
        <v>1260.151898734342</v>
      </c>
      <c r="AJ13" s="278">
        <f t="shared" si="8"/>
        <v>0.25738396624472576</v>
      </c>
      <c r="AK13" s="278">
        <f t="shared" si="9"/>
        <v>126.0151898734342</v>
      </c>
      <c r="AL13">
        <f t="shared" si="24"/>
        <v>1</v>
      </c>
    </row>
    <row r="14" spans="1:38" ht="15.75" thickBot="1">
      <c r="A14" s="4">
        <f>ELEC!C15</f>
        <v>44632</v>
      </c>
      <c r="B14" s="502">
        <f t="shared" si="28"/>
        <v>11562</v>
      </c>
      <c r="C14" s="276">
        <f t="shared" si="10"/>
        <v>0</v>
      </c>
      <c r="D14" s="503">
        <f t="shared" si="11"/>
        <v>653516</v>
      </c>
      <c r="E14" s="276">
        <f t="shared" si="12"/>
        <v>0</v>
      </c>
      <c r="F14" s="276">
        <f t="shared" si="1"/>
        <v>0</v>
      </c>
      <c r="G14" s="196"/>
      <c r="H14" s="260">
        <f t="shared" si="13"/>
        <v>11690</v>
      </c>
      <c r="I14" s="276" t="str">
        <f t="shared" si="2"/>
        <v>ok</v>
      </c>
      <c r="J14" s="502">
        <f t="shared" si="14"/>
        <v>10698</v>
      </c>
      <c r="K14" s="276">
        <f t="shared" si="3"/>
        <v>0</v>
      </c>
      <c r="L14" s="503">
        <f t="shared" si="15"/>
        <v>357691</v>
      </c>
      <c r="M14" s="276">
        <f t="shared" si="0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29"/>
        <v>13704</v>
      </c>
      <c r="S14" s="276">
        <f t="shared" si="5"/>
        <v>0</v>
      </c>
      <c r="T14" s="503">
        <f t="shared" si="30"/>
        <v>365512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7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8"/>
        <v>0.25738396624472576</v>
      </c>
      <c r="AK14" s="278" t="e">
        <f t="shared" si="9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v>11569</v>
      </c>
      <c r="C15" s="276">
        <f t="shared" si="10"/>
        <v>7</v>
      </c>
      <c r="D15" s="503">
        <f t="shared" si="11"/>
        <v>655266</v>
      </c>
      <c r="E15" s="276">
        <f t="shared" si="12"/>
        <v>1750</v>
      </c>
      <c r="F15" s="276">
        <f t="shared" si="1"/>
        <v>250</v>
      </c>
      <c r="G15" s="196"/>
      <c r="H15" s="260">
        <f t="shared" si="13"/>
        <v>11690</v>
      </c>
      <c r="I15" s="276" t="str">
        <f t="shared" si="2"/>
        <v>ok</v>
      </c>
      <c r="J15" s="502">
        <f t="shared" si="14"/>
        <v>10698</v>
      </c>
      <c r="K15" s="276">
        <f t="shared" si="3"/>
        <v>0</v>
      </c>
      <c r="L15" s="503">
        <f t="shared" si="15"/>
        <v>357691</v>
      </c>
      <c r="M15" s="276">
        <f t="shared" si="0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29"/>
        <v>13704</v>
      </c>
      <c r="S15" s="276">
        <f t="shared" si="5"/>
        <v>0</v>
      </c>
      <c r="T15" s="503">
        <f t="shared" si="30"/>
        <v>365512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7"/>
        <v>7</v>
      </c>
      <c r="AA15" s="276">
        <f t="shared" si="20"/>
        <v>1750</v>
      </c>
      <c r="AB15" s="276">
        <f t="shared" si="21"/>
        <v>500</v>
      </c>
      <c r="AC15" s="276">
        <f t="shared" si="22"/>
        <v>250</v>
      </c>
      <c r="AD15" s="73">
        <f>ELEC!Q16</f>
        <v>3636.000000002241</v>
      </c>
      <c r="AE15" s="73">
        <f t="shared" si="25"/>
        <v>519.42857142889159</v>
      </c>
      <c r="AF15" s="387">
        <f t="shared" si="26"/>
        <v>0.32464285714305724</v>
      </c>
      <c r="AG15" s="387">
        <f t="shared" si="26"/>
        <v>2.0290178571441078E-4</v>
      </c>
      <c r="AH15" s="388">
        <f t="shared" si="23"/>
        <v>249.99979709821429</v>
      </c>
      <c r="AI15" s="73">
        <f t="shared" si="27"/>
        <v>935.84810126639968</v>
      </c>
      <c r="AJ15" s="278">
        <f t="shared" si="8"/>
        <v>0.25738396624472576</v>
      </c>
      <c r="AK15" s="278">
        <f t="shared" si="9"/>
        <v>133.69258589519995</v>
      </c>
      <c r="AL15">
        <f t="shared" si="24"/>
        <v>1</v>
      </c>
    </row>
    <row r="16" spans="1:38" ht="15.75" thickBot="1">
      <c r="A16" s="4">
        <f>ELEC!C17</f>
        <v>44634</v>
      </c>
      <c r="B16" s="502">
        <v>11579</v>
      </c>
      <c r="C16" s="276">
        <f t="shared" si="10"/>
        <v>10</v>
      </c>
      <c r="D16" s="503">
        <f t="shared" si="11"/>
        <v>657766</v>
      </c>
      <c r="E16" s="276">
        <f t="shared" si="12"/>
        <v>2500</v>
      </c>
      <c r="F16" s="276">
        <f t="shared" si="1"/>
        <v>250</v>
      </c>
      <c r="G16" s="196"/>
      <c r="H16" s="260">
        <f t="shared" si="13"/>
        <v>11690</v>
      </c>
      <c r="I16" s="276" t="str">
        <f t="shared" si="2"/>
        <v>ok</v>
      </c>
      <c r="J16" s="502">
        <f t="shared" si="14"/>
        <v>10698</v>
      </c>
      <c r="K16" s="276">
        <f t="shared" si="3"/>
        <v>0</v>
      </c>
      <c r="L16" s="503">
        <f t="shared" si="15"/>
        <v>357691</v>
      </c>
      <c r="M16" s="276">
        <f t="shared" si="0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4"/>
        <v>ok</v>
      </c>
      <c r="R16" s="502">
        <v>13705</v>
      </c>
      <c r="S16" s="276">
        <f t="shared" si="5"/>
        <v>1</v>
      </c>
      <c r="T16" s="503">
        <f t="shared" si="30"/>
        <v>365762</v>
      </c>
      <c r="U16" s="276">
        <f t="shared" si="31"/>
        <v>250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7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5114.9999999979627</v>
      </c>
      <c r="AE16" s="73">
        <f t="shared" si="25"/>
        <v>464.9999999998148</v>
      </c>
      <c r="AF16" s="387">
        <f t="shared" si="26"/>
        <v>0.29062499999988423</v>
      </c>
      <c r="AG16" s="387">
        <f t="shared" si="26"/>
        <v>1.8164062499992763E-4</v>
      </c>
      <c r="AH16" s="388">
        <f t="shared" si="23"/>
        <v>249.99981835937501</v>
      </c>
      <c r="AI16" s="73">
        <f t="shared" si="27"/>
        <v>1316.5189873412478</v>
      </c>
      <c r="AJ16" s="278">
        <f t="shared" si="8"/>
        <v>0.25738396624472576</v>
      </c>
      <c r="AK16" s="278">
        <f t="shared" si="9"/>
        <v>119.6835443037498</v>
      </c>
      <c r="AL16">
        <f t="shared" si="24"/>
        <v>1</v>
      </c>
    </row>
    <row r="17" spans="1:38" ht="15.75" thickBot="1">
      <c r="A17" s="4">
        <f>ELEC!C18</f>
        <v>44635</v>
      </c>
      <c r="B17" s="502">
        <v>11586</v>
      </c>
      <c r="C17" s="276">
        <f t="shared" si="10"/>
        <v>7</v>
      </c>
      <c r="D17" s="503">
        <f t="shared" si="11"/>
        <v>659516</v>
      </c>
      <c r="E17" s="276">
        <f t="shared" si="12"/>
        <v>1750</v>
      </c>
      <c r="F17" s="276">
        <f t="shared" si="1"/>
        <v>250</v>
      </c>
      <c r="G17" s="196"/>
      <c r="H17" s="260">
        <f t="shared" si="13"/>
        <v>11690</v>
      </c>
      <c r="I17" s="276" t="str">
        <f t="shared" si="2"/>
        <v>ok</v>
      </c>
      <c r="J17" s="502">
        <f t="shared" si="14"/>
        <v>10698</v>
      </c>
      <c r="K17" s="276">
        <f t="shared" si="3"/>
        <v>0</v>
      </c>
      <c r="L17" s="503">
        <f t="shared" si="15"/>
        <v>357691</v>
      </c>
      <c r="M17" s="276">
        <f t="shared" si="0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4"/>
        <v>ok</v>
      </c>
      <c r="R17" s="502">
        <v>13710</v>
      </c>
      <c r="S17" s="276">
        <f t="shared" si="5"/>
        <v>5</v>
      </c>
      <c r="T17" s="503">
        <f t="shared" si="30"/>
        <v>367012</v>
      </c>
      <c r="U17" s="276">
        <f t="shared" si="31"/>
        <v>1250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7"/>
        <v>12</v>
      </c>
      <c r="AA17" s="276">
        <f t="shared" si="20"/>
        <v>3000</v>
      </c>
      <c r="AB17" s="276">
        <f t="shared" si="21"/>
        <v>500</v>
      </c>
      <c r="AC17" s="276">
        <f t="shared" si="22"/>
        <v>250</v>
      </c>
      <c r="AD17" s="73">
        <f>ELEC!Q18</f>
        <v>5797.999999998865</v>
      </c>
      <c r="AE17" s="73">
        <f t="shared" si="25"/>
        <v>483.1666666665721</v>
      </c>
      <c r="AF17" s="387">
        <f t="shared" si="26"/>
        <v>0.30197916666660757</v>
      </c>
      <c r="AG17" s="387">
        <f t="shared" si="26"/>
        <v>1.8873697916662973E-4</v>
      </c>
      <c r="AH17" s="388">
        <f t="shared" si="23"/>
        <v>249.99981126302083</v>
      </c>
      <c r="AI17" s="73">
        <f t="shared" si="27"/>
        <v>1492.3122362866279</v>
      </c>
      <c r="AJ17" s="278">
        <f t="shared" si="8"/>
        <v>0.25738396624472576</v>
      </c>
      <c r="AK17" s="278">
        <f t="shared" si="9"/>
        <v>124.35935302388566</v>
      </c>
      <c r="AL17">
        <f t="shared" si="24"/>
        <v>1</v>
      </c>
    </row>
    <row r="18" spans="1:38" ht="15.75" thickBot="1">
      <c r="A18" s="4">
        <f>ELEC!C19</f>
        <v>44636</v>
      </c>
      <c r="B18" s="502">
        <f t="shared" si="28"/>
        <v>11586</v>
      </c>
      <c r="C18" s="276">
        <f t="shared" si="10"/>
        <v>0</v>
      </c>
      <c r="D18" s="503">
        <f t="shared" si="11"/>
        <v>659516</v>
      </c>
      <c r="E18" s="276">
        <f t="shared" si="12"/>
        <v>0</v>
      </c>
      <c r="F18" s="276">
        <f t="shared" si="1"/>
        <v>0</v>
      </c>
      <c r="G18" s="196"/>
      <c r="H18" s="260">
        <f t="shared" si="13"/>
        <v>11690</v>
      </c>
      <c r="I18" s="276" t="str">
        <f t="shared" si="2"/>
        <v>ok</v>
      </c>
      <c r="J18" s="502">
        <v>10707</v>
      </c>
      <c r="K18" s="276">
        <f t="shared" si="3"/>
        <v>9</v>
      </c>
      <c r="L18" s="503">
        <f>L17+K18*250</f>
        <v>359941</v>
      </c>
      <c r="M18" s="276">
        <f t="shared" si="0"/>
        <v>2250</v>
      </c>
      <c r="N18" s="276">
        <f t="shared" si="16"/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13714</v>
      </c>
      <c r="S18" s="276">
        <f t="shared" si="5"/>
        <v>4</v>
      </c>
      <c r="T18" s="503">
        <f t="shared" si="30"/>
        <v>368012</v>
      </c>
      <c r="U18" s="276">
        <f t="shared" si="31"/>
        <v>1000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7"/>
        <v>13</v>
      </c>
      <c r="AA18" s="276">
        <f t="shared" si="20"/>
        <v>3250</v>
      </c>
      <c r="AB18" s="276">
        <f t="shared" si="21"/>
        <v>500</v>
      </c>
      <c r="AC18" s="276">
        <f t="shared" si="22"/>
        <v>250</v>
      </c>
      <c r="AD18" s="73">
        <f>ELEC!Q19</f>
        <v>5378.0000000006112</v>
      </c>
      <c r="AE18" s="73">
        <f t="shared" si="25"/>
        <v>413.69230769235469</v>
      </c>
      <c r="AF18" s="387">
        <f t="shared" si="26"/>
        <v>0.25855769230772169</v>
      </c>
      <c r="AG18" s="387">
        <f t="shared" si="26"/>
        <v>1.6159855769232604E-4</v>
      </c>
      <c r="AH18" s="388">
        <f t="shared" si="23"/>
        <v>249.9998384014423</v>
      </c>
      <c r="AI18" s="73">
        <f t="shared" si="27"/>
        <v>1384.2109704642924</v>
      </c>
      <c r="AJ18" s="278">
        <f t="shared" si="8"/>
        <v>0.25738396624472576</v>
      </c>
      <c r="AK18" s="278">
        <f t="shared" si="9"/>
        <v>106.47776695879172</v>
      </c>
      <c r="AL18">
        <f t="shared" si="24"/>
        <v>1</v>
      </c>
    </row>
    <row r="19" spans="1:38" ht="15.75" thickBot="1">
      <c r="A19" s="4">
        <f>ELEC!C20</f>
        <v>44637</v>
      </c>
      <c r="B19" s="502">
        <v>11588</v>
      </c>
      <c r="C19" s="276">
        <f t="shared" si="10"/>
        <v>2</v>
      </c>
      <c r="D19" s="503">
        <f t="shared" si="11"/>
        <v>660016</v>
      </c>
      <c r="E19" s="276">
        <f t="shared" si="12"/>
        <v>500</v>
      </c>
      <c r="F19" s="276">
        <f t="shared" si="1"/>
        <v>250</v>
      </c>
      <c r="G19" s="196"/>
      <c r="H19" s="260">
        <f t="shared" si="13"/>
        <v>11690</v>
      </c>
      <c r="I19" s="276" t="str">
        <f t="shared" si="2"/>
        <v>ok</v>
      </c>
      <c r="J19" s="502">
        <v>10708</v>
      </c>
      <c r="K19" s="276">
        <f t="shared" si="3"/>
        <v>1</v>
      </c>
      <c r="L19" s="503">
        <f>L18+K19*250</f>
        <v>360191</v>
      </c>
      <c r="M19" s="276">
        <f t="shared" si="0"/>
        <v>250</v>
      </c>
      <c r="N19" s="276">
        <f t="shared" si="16"/>
        <v>250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v>13723</v>
      </c>
      <c r="S19" s="276">
        <f t="shared" si="5"/>
        <v>9</v>
      </c>
      <c r="T19" s="503">
        <f t="shared" si="30"/>
        <v>370262</v>
      </c>
      <c r="U19" s="276">
        <f t="shared" si="31"/>
        <v>2250</v>
      </c>
      <c r="V19" s="276">
        <v>250</v>
      </c>
      <c r="W19" s="323"/>
      <c r="X19" s="260">
        <v>13719</v>
      </c>
      <c r="Y19" s="276" t="str">
        <f t="shared" si="19"/>
        <v>oil change</v>
      </c>
      <c r="Z19" s="276">
        <f t="shared" si="7"/>
        <v>12</v>
      </c>
      <c r="AA19" s="276">
        <f t="shared" si="20"/>
        <v>3000</v>
      </c>
      <c r="AB19" s="276">
        <f t="shared" si="21"/>
        <v>750</v>
      </c>
      <c r="AC19" s="276">
        <f t="shared" si="22"/>
        <v>250</v>
      </c>
      <c r="AD19" s="73">
        <f>ELEC!Q20</f>
        <v>5306.0000000004948</v>
      </c>
      <c r="AE19" s="73">
        <f t="shared" si="25"/>
        <v>442.1666666667079</v>
      </c>
      <c r="AF19" s="387">
        <f t="shared" si="26"/>
        <v>0.27635416666669244</v>
      </c>
      <c r="AG19" s="387">
        <f t="shared" si="26"/>
        <v>1.7272135416668277E-4</v>
      </c>
      <c r="AH19" s="388">
        <f t="shared" si="23"/>
        <v>249.99982727864582</v>
      </c>
      <c r="AI19" s="73">
        <f t="shared" si="27"/>
        <v>1365.6793248946421</v>
      </c>
      <c r="AJ19" s="278">
        <f t="shared" si="8"/>
        <v>0.25738396624472576</v>
      </c>
      <c r="AK19" s="278">
        <f t="shared" si="9"/>
        <v>113.80661040788685</v>
      </c>
      <c r="AL19">
        <f t="shared" si="24"/>
        <v>1</v>
      </c>
    </row>
    <row r="20" spans="1:38" ht="15.75" thickBot="1">
      <c r="A20" s="4">
        <f>ELEC!C21</f>
        <v>44638</v>
      </c>
      <c r="B20" s="502">
        <f t="shared" si="28"/>
        <v>11588</v>
      </c>
      <c r="C20" s="276">
        <f>B20-B19</f>
        <v>0</v>
      </c>
      <c r="D20" s="503">
        <f t="shared" si="11"/>
        <v>660016</v>
      </c>
      <c r="E20" s="276">
        <f t="shared" si="12"/>
        <v>0</v>
      </c>
      <c r="F20" s="276">
        <f t="shared" si="1"/>
        <v>0</v>
      </c>
      <c r="G20" s="196"/>
      <c r="H20" s="260">
        <f t="shared" si="13"/>
        <v>11690</v>
      </c>
      <c r="I20" s="276" t="str">
        <f t="shared" si="2"/>
        <v>ok</v>
      </c>
      <c r="J20" s="502">
        <f t="shared" si="14"/>
        <v>10708</v>
      </c>
      <c r="K20" s="276">
        <f t="shared" si="3"/>
        <v>0</v>
      </c>
      <c r="L20" s="503">
        <f t="shared" ref="L20:L27" si="33">L19+K20*250</f>
        <v>360191</v>
      </c>
      <c r="M20" s="276">
        <f t="shared" si="0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13723</v>
      </c>
      <c r="S20" s="276">
        <f t="shared" si="5"/>
        <v>0</v>
      </c>
      <c r="T20" s="503">
        <f t="shared" si="30"/>
        <v>370262</v>
      </c>
      <c r="U20" s="276">
        <f t="shared" si="31"/>
        <v>0</v>
      </c>
      <c r="V20" s="276">
        <v>250</v>
      </c>
      <c r="W20" s="323"/>
      <c r="X20" s="260">
        <v>13873</v>
      </c>
      <c r="Y20" s="276" t="str">
        <f>IF(R20-X20&lt;=0,"ok","oil change")</f>
        <v>ok</v>
      </c>
      <c r="Z20" s="276">
        <f t="shared" si="7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8"/>
        <v>0.25738396624472576</v>
      </c>
      <c r="AK20" s="278" t="e">
        <f t="shared" si="9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11588</v>
      </c>
      <c r="C21" s="276">
        <f>B21-B20</f>
        <v>0</v>
      </c>
      <c r="D21" s="503">
        <f t="shared" si="11"/>
        <v>660016</v>
      </c>
      <c r="E21" s="276">
        <f t="shared" si="12"/>
        <v>0</v>
      </c>
      <c r="F21" s="276">
        <f t="shared" si="1"/>
        <v>0</v>
      </c>
      <c r="G21" s="196"/>
      <c r="H21" s="260">
        <f t="shared" si="13"/>
        <v>11690</v>
      </c>
      <c r="I21" s="276" t="str">
        <f t="shared" si="2"/>
        <v>ok</v>
      </c>
      <c r="J21" s="502">
        <f t="shared" si="14"/>
        <v>10708</v>
      </c>
      <c r="K21" s="276">
        <f t="shared" si="3"/>
        <v>0</v>
      </c>
      <c r="L21" s="503">
        <f t="shared" si="33"/>
        <v>360191</v>
      </c>
      <c r="M21" s="276">
        <f t="shared" si="0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13723</v>
      </c>
      <c r="S21" s="276">
        <f t="shared" si="5"/>
        <v>0</v>
      </c>
      <c r="T21" s="503">
        <f t="shared" si="30"/>
        <v>370262</v>
      </c>
      <c r="U21" s="276">
        <f t="shared" si="31"/>
        <v>0</v>
      </c>
      <c r="V21" s="276">
        <v>250</v>
      </c>
      <c r="W21" s="196"/>
      <c r="X21" s="260">
        <v>13873</v>
      </c>
      <c r="Y21" s="276" t="str">
        <f>Y20</f>
        <v>ok</v>
      </c>
      <c r="Z21" s="276">
        <f t="shared" si="7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8"/>
        <v>0.25738396624472576</v>
      </c>
      <c r="AK21" s="278" t="e">
        <f t="shared" si="9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v>11597</v>
      </c>
      <c r="C22" s="276">
        <f t="shared" si="10"/>
        <v>9</v>
      </c>
      <c r="D22" s="503">
        <f t="shared" si="11"/>
        <v>662266</v>
      </c>
      <c r="E22" s="276">
        <f>150*C22</f>
        <v>1350</v>
      </c>
      <c r="F22" s="276">
        <f t="shared" si="1"/>
        <v>150</v>
      </c>
      <c r="G22" s="196"/>
      <c r="H22" s="260">
        <f t="shared" si="13"/>
        <v>11690</v>
      </c>
      <c r="I22" s="276" t="str">
        <f t="shared" si="2"/>
        <v>ok</v>
      </c>
      <c r="J22" s="502">
        <f t="shared" si="14"/>
        <v>10708</v>
      </c>
      <c r="K22" s="276">
        <f t="shared" si="3"/>
        <v>0</v>
      </c>
      <c r="L22" s="503">
        <f t="shared" si="33"/>
        <v>360191</v>
      </c>
      <c r="M22" s="276">
        <f t="shared" si="0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13725</v>
      </c>
      <c r="S22" s="276">
        <f t="shared" si="5"/>
        <v>2</v>
      </c>
      <c r="T22" s="503">
        <f t="shared" si="30"/>
        <v>370762</v>
      </c>
      <c r="U22" s="276">
        <f t="shared" si="31"/>
        <v>500</v>
      </c>
      <c r="V22" s="276">
        <v>250</v>
      </c>
      <c r="W22" s="196"/>
      <c r="X22" s="260">
        <v>13873</v>
      </c>
      <c r="Y22" s="276" t="str">
        <f t="shared" ref="Y22:Y33" si="34">Y21</f>
        <v>ok</v>
      </c>
      <c r="Z22" s="276">
        <f t="shared" si="7"/>
        <v>11</v>
      </c>
      <c r="AA22" s="276">
        <f t="shared" si="20"/>
        <v>1850</v>
      </c>
      <c r="AB22" s="276">
        <f t="shared" si="21"/>
        <v>400</v>
      </c>
      <c r="AC22" s="276">
        <f t="shared" si="22"/>
        <v>168.18181818181819</v>
      </c>
      <c r="AD22" s="73">
        <f>ELEC!Q23</f>
        <v>5221.0000000013679</v>
      </c>
      <c r="AE22" s="73">
        <f t="shared" si="25"/>
        <v>474.636363636488</v>
      </c>
      <c r="AF22" s="387">
        <f t="shared" si="26"/>
        <v>0.29664772727280497</v>
      </c>
      <c r="AG22" s="387">
        <f t="shared" si="26"/>
        <v>1.8540482954550311E-4</v>
      </c>
      <c r="AH22" s="388">
        <f t="shared" si="23"/>
        <v>168.18163277698864</v>
      </c>
      <c r="AI22" s="73">
        <f t="shared" si="27"/>
        <v>1343.8016877640653</v>
      </c>
      <c r="AJ22" s="278">
        <f t="shared" si="8"/>
        <v>0.25738396624472576</v>
      </c>
      <c r="AK22" s="278">
        <f t="shared" si="9"/>
        <v>122.16378979673321</v>
      </c>
      <c r="AL22">
        <f t="shared" si="24"/>
        <v>1</v>
      </c>
    </row>
    <row r="23" spans="1:38" ht="15.75" thickBot="1">
      <c r="A23" s="4">
        <f>ELEC!C24</f>
        <v>44641</v>
      </c>
      <c r="B23" s="502">
        <v>11598</v>
      </c>
      <c r="C23" s="276">
        <f t="shared" si="10"/>
        <v>1</v>
      </c>
      <c r="D23" s="503">
        <f t="shared" si="11"/>
        <v>662516</v>
      </c>
      <c r="E23" s="276">
        <f>150*C23</f>
        <v>150</v>
      </c>
      <c r="F23" s="276">
        <f t="shared" si="1"/>
        <v>150</v>
      </c>
      <c r="G23" s="196"/>
      <c r="H23" s="260">
        <f t="shared" si="13"/>
        <v>11690</v>
      </c>
      <c r="I23" s="276" t="str">
        <f t="shared" si="2"/>
        <v>ok</v>
      </c>
      <c r="J23" s="502">
        <f t="shared" si="14"/>
        <v>10708</v>
      </c>
      <c r="K23" s="276">
        <f t="shared" si="3"/>
        <v>0</v>
      </c>
      <c r="L23" s="503">
        <f t="shared" si="33"/>
        <v>360191</v>
      </c>
      <c r="M23" s="276">
        <f t="shared" si="0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v>13734</v>
      </c>
      <c r="S23" s="276">
        <f>R23-R22</f>
        <v>9</v>
      </c>
      <c r="T23" s="503">
        <f t="shared" si="30"/>
        <v>373012</v>
      </c>
      <c r="U23" s="276">
        <f>V23*S23</f>
        <v>2250</v>
      </c>
      <c r="V23" s="276">
        <v>250</v>
      </c>
      <c r="W23" s="196"/>
      <c r="X23" s="260">
        <v>13873</v>
      </c>
      <c r="Y23" s="276" t="str">
        <f t="shared" si="34"/>
        <v>ok</v>
      </c>
      <c r="Z23" s="276">
        <f t="shared" si="7"/>
        <v>10</v>
      </c>
      <c r="AA23" s="276">
        <f t="shared" si="20"/>
        <v>2400</v>
      </c>
      <c r="AB23" s="276">
        <f t="shared" si="21"/>
        <v>400</v>
      </c>
      <c r="AC23" s="276">
        <f t="shared" si="22"/>
        <v>240</v>
      </c>
      <c r="AD23" s="73">
        <f>ELEC!Q24</f>
        <v>4638.9999999992142</v>
      </c>
      <c r="AE23" s="73">
        <f t="shared" si="25"/>
        <v>463.89999999992142</v>
      </c>
      <c r="AF23" s="387">
        <f t="shared" si="26"/>
        <v>0.28993749999995089</v>
      </c>
      <c r="AG23" s="387">
        <f t="shared" si="26"/>
        <v>1.8121093749996929E-4</v>
      </c>
      <c r="AH23" s="388">
        <f t="shared" si="23"/>
        <v>239.99981878906249</v>
      </c>
      <c r="AI23" s="73">
        <f t="shared" si="27"/>
        <v>1194.0042194090806</v>
      </c>
      <c r="AJ23" s="278">
        <f t="shared" si="8"/>
        <v>0.25738396624472576</v>
      </c>
      <c r="AK23" s="278">
        <f t="shared" si="9"/>
        <v>119.40042194090806</v>
      </c>
      <c r="AL23">
        <f t="shared" si="24"/>
        <v>1</v>
      </c>
    </row>
    <row r="24" spans="1:38" ht="15.75" thickBot="1">
      <c r="A24" s="4">
        <f>ELEC!C25</f>
        <v>44642</v>
      </c>
      <c r="B24" s="502">
        <v>11602</v>
      </c>
      <c r="C24" s="276">
        <f t="shared" si="10"/>
        <v>4</v>
      </c>
      <c r="D24" s="503">
        <f t="shared" si="11"/>
        <v>663516</v>
      </c>
      <c r="E24" s="276">
        <f t="shared" si="12"/>
        <v>1000</v>
      </c>
      <c r="F24" s="276">
        <f t="shared" si="1"/>
        <v>250</v>
      </c>
      <c r="G24" s="196"/>
      <c r="H24" s="260">
        <f t="shared" si="13"/>
        <v>11690</v>
      </c>
      <c r="I24" s="276" t="str">
        <f t="shared" si="2"/>
        <v>ok</v>
      </c>
      <c r="J24" s="502">
        <v>10713</v>
      </c>
      <c r="K24" s="276">
        <f t="shared" si="3"/>
        <v>5</v>
      </c>
      <c r="L24" s="503">
        <f t="shared" si="33"/>
        <v>361441</v>
      </c>
      <c r="M24" s="276">
        <f t="shared" si="0"/>
        <v>1250</v>
      </c>
      <c r="N24" s="276">
        <f t="shared" si="16"/>
        <v>250</v>
      </c>
      <c r="O24" s="196"/>
      <c r="P24" s="277">
        <f t="shared" si="17"/>
        <v>10873</v>
      </c>
      <c r="Q24" s="276" t="str">
        <f t="shared" si="32"/>
        <v>ok</v>
      </c>
      <c r="R24" s="502">
        <v>13735</v>
      </c>
      <c r="S24" s="276">
        <f t="shared" si="5"/>
        <v>1</v>
      </c>
      <c r="T24" s="503">
        <f t="shared" si="30"/>
        <v>373262</v>
      </c>
      <c r="U24" s="276">
        <f t="shared" si="31"/>
        <v>250</v>
      </c>
      <c r="V24" s="276">
        <v>250</v>
      </c>
      <c r="W24" s="196"/>
      <c r="X24" s="260">
        <v>13873</v>
      </c>
      <c r="Y24" s="276" t="str">
        <f t="shared" si="34"/>
        <v>ok</v>
      </c>
      <c r="Z24" s="276">
        <f t="shared" si="7"/>
        <v>10</v>
      </c>
      <c r="AA24" s="276">
        <f t="shared" si="20"/>
        <v>2500</v>
      </c>
      <c r="AB24" s="276">
        <f t="shared" si="21"/>
        <v>750</v>
      </c>
      <c r="AC24" s="276">
        <f t="shared" si="22"/>
        <v>250</v>
      </c>
      <c r="AD24" s="73">
        <f>ELEC!Q25</f>
        <v>4981.9999999999709</v>
      </c>
      <c r="AE24" s="73">
        <f t="shared" si="25"/>
        <v>498.19999999999709</v>
      </c>
      <c r="AF24" s="387">
        <f t="shared" si="26"/>
        <v>0.31137499999999818</v>
      </c>
      <c r="AG24" s="387">
        <f t="shared" si="26"/>
        <v>1.9460937499999887E-4</v>
      </c>
      <c r="AH24" s="388">
        <f t="shared" si="23"/>
        <v>249.999805390625</v>
      </c>
      <c r="AI24" s="73">
        <f t="shared" si="27"/>
        <v>1282.2869198312162</v>
      </c>
      <c r="AJ24" s="278">
        <f t="shared" si="8"/>
        <v>0.25738396624472576</v>
      </c>
      <c r="AK24" s="278">
        <f t="shared" si="9"/>
        <v>128.22869198312162</v>
      </c>
      <c r="AL24">
        <f t="shared" si="24"/>
        <v>1</v>
      </c>
    </row>
    <row r="25" spans="1:38" ht="15.75" thickBot="1">
      <c r="A25" s="4">
        <f>ELEC!C26</f>
        <v>44643</v>
      </c>
      <c r="B25" s="502">
        <v>11611</v>
      </c>
      <c r="C25" s="276">
        <f t="shared" si="10"/>
        <v>9</v>
      </c>
      <c r="D25" s="503">
        <f t="shared" si="11"/>
        <v>665766</v>
      </c>
      <c r="E25" s="276">
        <f t="shared" si="12"/>
        <v>2250</v>
      </c>
      <c r="F25" s="276">
        <f t="shared" si="1"/>
        <v>250</v>
      </c>
      <c r="G25" s="196"/>
      <c r="H25" s="260">
        <f t="shared" si="13"/>
        <v>11690</v>
      </c>
      <c r="I25" s="276" t="str">
        <f t="shared" si="2"/>
        <v>ok</v>
      </c>
      <c r="J25" s="502">
        <v>10715</v>
      </c>
      <c r="K25" s="276">
        <f t="shared" si="3"/>
        <v>2</v>
      </c>
      <c r="L25" s="503">
        <f t="shared" si="33"/>
        <v>361941</v>
      </c>
      <c r="M25" s="276">
        <f t="shared" si="0"/>
        <v>500</v>
      </c>
      <c r="N25" s="276">
        <f t="shared" si="16"/>
        <v>250</v>
      </c>
      <c r="O25" s="196"/>
      <c r="P25" s="277">
        <f t="shared" si="17"/>
        <v>10873</v>
      </c>
      <c r="Q25" s="276" t="str">
        <f t="shared" si="32"/>
        <v>ok</v>
      </c>
      <c r="R25" s="502">
        <v>13735</v>
      </c>
      <c r="S25" s="276">
        <f t="shared" si="5"/>
        <v>0</v>
      </c>
      <c r="T25" s="503">
        <f t="shared" si="30"/>
        <v>373262</v>
      </c>
      <c r="U25" s="276">
        <f t="shared" si="31"/>
        <v>0</v>
      </c>
      <c r="V25" s="276">
        <v>250</v>
      </c>
      <c r="W25" s="196"/>
      <c r="X25" s="260">
        <v>13873</v>
      </c>
      <c r="Y25" s="276" t="str">
        <f t="shared" si="34"/>
        <v>ok</v>
      </c>
      <c r="Z25" s="276">
        <f t="shared" si="7"/>
        <v>11</v>
      </c>
      <c r="AA25" s="276">
        <f t="shared" si="20"/>
        <v>2750</v>
      </c>
      <c r="AB25" s="276">
        <f t="shared" si="21"/>
        <v>750</v>
      </c>
      <c r="AC25" s="276">
        <f t="shared" si="22"/>
        <v>250</v>
      </c>
      <c r="AD25" s="73">
        <f>ELEC!Q26</f>
        <v>5467.000000000553</v>
      </c>
      <c r="AE25" s="73">
        <f t="shared" si="25"/>
        <v>497.00000000005025</v>
      </c>
      <c r="AF25" s="387">
        <f t="shared" si="26"/>
        <v>0.3106250000000314</v>
      </c>
      <c r="AG25" s="387">
        <f t="shared" si="26"/>
        <v>1.9414062500001963E-4</v>
      </c>
      <c r="AH25" s="388">
        <f t="shared" si="23"/>
        <v>249.99980585937499</v>
      </c>
      <c r="AI25" s="73">
        <f t="shared" si="27"/>
        <v>1407.118143460058</v>
      </c>
      <c r="AJ25" s="278">
        <f t="shared" si="8"/>
        <v>0.25738396624472576</v>
      </c>
      <c r="AK25" s="278">
        <f t="shared" si="9"/>
        <v>127.91983122364164</v>
      </c>
      <c r="AL25">
        <f t="shared" si="24"/>
        <v>1</v>
      </c>
    </row>
    <row r="26" spans="1:38" ht="15.75" thickBot="1">
      <c r="A26" s="4">
        <f>ELEC!C27</f>
        <v>44644</v>
      </c>
      <c r="B26" s="502">
        <f t="shared" si="28"/>
        <v>11611</v>
      </c>
      <c r="C26" s="276">
        <f>B26-B25</f>
        <v>0</v>
      </c>
      <c r="D26" s="503">
        <f t="shared" si="11"/>
        <v>665766</v>
      </c>
      <c r="E26" s="276">
        <f>SUM(D26-D25)</f>
        <v>0</v>
      </c>
      <c r="F26" s="276">
        <f t="shared" si="1"/>
        <v>0</v>
      </c>
      <c r="G26" s="196"/>
      <c r="H26" s="260">
        <f t="shared" si="13"/>
        <v>11690</v>
      </c>
      <c r="I26" s="276" t="str">
        <f t="shared" si="2"/>
        <v>ok</v>
      </c>
      <c r="J26" s="502">
        <f t="shared" si="14"/>
        <v>10715</v>
      </c>
      <c r="K26" s="276">
        <f t="shared" si="3"/>
        <v>0</v>
      </c>
      <c r="L26" s="503">
        <f t="shared" si="33"/>
        <v>361941</v>
      </c>
      <c r="M26" s="276">
        <f t="shared" si="0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13735</v>
      </c>
      <c r="S26" s="276">
        <f>R26-R25</f>
        <v>0</v>
      </c>
      <c r="T26" s="503">
        <f t="shared" si="30"/>
        <v>373262</v>
      </c>
      <c r="U26" s="276">
        <f t="shared" si="31"/>
        <v>0</v>
      </c>
      <c r="V26" s="276">
        <v>250</v>
      </c>
      <c r="W26" s="196"/>
      <c r="X26" s="260">
        <v>13873</v>
      </c>
      <c r="Y26" s="276" t="str">
        <f t="shared" si="34"/>
        <v>ok</v>
      </c>
      <c r="Z26" s="276">
        <f t="shared" si="7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8"/>
        <v>0.25738396624472576</v>
      </c>
      <c r="AK26" s="278" t="e">
        <f t="shared" si="9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11611</v>
      </c>
      <c r="C27" s="276">
        <f>B27-B26</f>
        <v>0</v>
      </c>
      <c r="D27" s="503">
        <f t="shared" si="11"/>
        <v>665766</v>
      </c>
      <c r="E27" s="276">
        <f>SUM(D27-D26)</f>
        <v>0</v>
      </c>
      <c r="F27" s="276">
        <f t="shared" si="1"/>
        <v>0</v>
      </c>
      <c r="G27" s="196"/>
      <c r="H27" s="260">
        <f t="shared" si="13"/>
        <v>11690</v>
      </c>
      <c r="I27" s="276" t="str">
        <f>IF(B27-H27&lt;=0,"ok","oil change")</f>
        <v>ok</v>
      </c>
      <c r="J27" s="502">
        <f t="shared" si="14"/>
        <v>10715</v>
      </c>
      <c r="K27" s="276">
        <f t="shared" si="3"/>
        <v>0</v>
      </c>
      <c r="L27" s="503">
        <f t="shared" si="33"/>
        <v>361941</v>
      </c>
      <c r="M27" s="276">
        <f t="shared" si="0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13735</v>
      </c>
      <c r="S27" s="276">
        <f t="shared" si="5"/>
        <v>0</v>
      </c>
      <c r="T27" s="503">
        <f t="shared" si="30"/>
        <v>373262</v>
      </c>
      <c r="U27" s="276">
        <f t="shared" si="31"/>
        <v>0</v>
      </c>
      <c r="V27" s="276">
        <v>250</v>
      </c>
      <c r="W27" s="196"/>
      <c r="X27" s="260">
        <v>13873</v>
      </c>
      <c r="Y27" s="276" t="str">
        <f t="shared" si="34"/>
        <v>ok</v>
      </c>
      <c r="Z27" s="276">
        <f t="shared" si="7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8"/>
        <v>0.25738396624472576</v>
      </c>
      <c r="AK27" s="278" t="e">
        <f t="shared" si="9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11611</v>
      </c>
      <c r="C28" s="276">
        <f t="shared" si="10"/>
        <v>0</v>
      </c>
      <c r="D28" s="503">
        <f t="shared" si="11"/>
        <v>665766</v>
      </c>
      <c r="E28" s="276">
        <f>SUM(D28-D27)</f>
        <v>0</v>
      </c>
      <c r="F28" s="276">
        <f t="shared" si="1"/>
        <v>0</v>
      </c>
      <c r="G28" s="274"/>
      <c r="H28" s="260">
        <f t="shared" si="13"/>
        <v>11690</v>
      </c>
      <c r="I28" s="276" t="str">
        <f t="shared" si="2"/>
        <v>ok</v>
      </c>
      <c r="J28" s="502">
        <f t="shared" si="14"/>
        <v>10715</v>
      </c>
      <c r="K28" s="276">
        <f t="shared" si="3"/>
        <v>0</v>
      </c>
      <c r="L28" s="503">
        <f t="shared" ref="L28:L33" si="35">L27+K28*250</f>
        <v>361941</v>
      </c>
      <c r="M28" s="276">
        <f t="shared" si="0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13735</v>
      </c>
      <c r="S28" s="276">
        <f t="shared" si="5"/>
        <v>0</v>
      </c>
      <c r="T28" s="503">
        <f t="shared" si="30"/>
        <v>373262</v>
      </c>
      <c r="U28" s="276">
        <f t="shared" si="31"/>
        <v>0</v>
      </c>
      <c r="V28" s="276">
        <v>250</v>
      </c>
      <c r="W28" s="196"/>
      <c r="X28" s="260">
        <v>13873</v>
      </c>
      <c r="Y28" s="276" t="str">
        <f t="shared" si="34"/>
        <v>ok</v>
      </c>
      <c r="Z28" s="276">
        <f t="shared" si="7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8"/>
        <v>0.25738396624472576</v>
      </c>
      <c r="AK28" s="278" t="e">
        <f t="shared" si="9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11611</v>
      </c>
      <c r="C29" s="276">
        <f t="shared" si="10"/>
        <v>0</v>
      </c>
      <c r="D29" s="503">
        <f t="shared" si="11"/>
        <v>665766</v>
      </c>
      <c r="E29" s="276">
        <f>SUM(D29-D28)</f>
        <v>0</v>
      </c>
      <c r="F29" s="276">
        <f t="shared" si="1"/>
        <v>0</v>
      </c>
      <c r="G29" s="196"/>
      <c r="H29" s="260">
        <f t="shared" si="13"/>
        <v>11690</v>
      </c>
      <c r="I29" s="276" t="str">
        <f t="shared" si="2"/>
        <v>ok</v>
      </c>
      <c r="J29" s="502">
        <f t="shared" si="14"/>
        <v>10715</v>
      </c>
      <c r="K29" s="276">
        <f t="shared" si="3"/>
        <v>0</v>
      </c>
      <c r="L29" s="503">
        <f t="shared" si="35"/>
        <v>361941</v>
      </c>
      <c r="M29" s="276">
        <f t="shared" si="0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13735</v>
      </c>
      <c r="S29" s="276">
        <f t="shared" si="5"/>
        <v>0</v>
      </c>
      <c r="T29" s="503">
        <f t="shared" si="30"/>
        <v>373262</v>
      </c>
      <c r="U29" s="276">
        <f>V29*S29</f>
        <v>0</v>
      </c>
      <c r="V29" s="276">
        <v>250</v>
      </c>
      <c r="W29" s="196"/>
      <c r="X29" s="260">
        <v>13873</v>
      </c>
      <c r="Y29" s="276" t="str">
        <f t="shared" si="34"/>
        <v>ok</v>
      </c>
      <c r="Z29" s="276">
        <f t="shared" si="7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8"/>
        <v>0.25738396624472576</v>
      </c>
      <c r="AK29" s="278" t="e">
        <f t="shared" si="9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11611</v>
      </c>
      <c r="C30" s="276">
        <f t="shared" si="10"/>
        <v>0</v>
      </c>
      <c r="D30" s="503">
        <f t="shared" si="11"/>
        <v>665766</v>
      </c>
      <c r="E30" s="276">
        <f>SUM(D30-D29)</f>
        <v>0</v>
      </c>
      <c r="F30" s="276">
        <f t="shared" si="1"/>
        <v>0</v>
      </c>
      <c r="G30" s="196"/>
      <c r="H30" s="260">
        <f t="shared" si="13"/>
        <v>11690</v>
      </c>
      <c r="I30" s="276" t="str">
        <f t="shared" si="2"/>
        <v>ok</v>
      </c>
      <c r="J30" s="502">
        <f t="shared" si="14"/>
        <v>10715</v>
      </c>
      <c r="K30" s="276">
        <f t="shared" si="3"/>
        <v>0</v>
      </c>
      <c r="L30" s="503">
        <f t="shared" si="35"/>
        <v>361941</v>
      </c>
      <c r="M30" s="276">
        <f t="shared" si="0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13735</v>
      </c>
      <c r="S30" s="276">
        <f t="shared" si="5"/>
        <v>0</v>
      </c>
      <c r="T30" s="503">
        <f t="shared" si="30"/>
        <v>373262</v>
      </c>
      <c r="U30" s="276">
        <f t="shared" si="31"/>
        <v>0</v>
      </c>
      <c r="V30" s="276">
        <v>250</v>
      </c>
      <c r="W30" s="274"/>
      <c r="X30" s="260">
        <v>13873</v>
      </c>
      <c r="Y30" s="276" t="str">
        <f t="shared" si="34"/>
        <v>ok</v>
      </c>
      <c r="Z30" s="276">
        <f t="shared" si="7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8"/>
        <v>0.25738396624472576</v>
      </c>
      <c r="AK30" s="278" t="e">
        <f t="shared" si="9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11611</v>
      </c>
      <c r="C31" s="276">
        <f t="shared" ref="C31:C33" si="36">B31-B30</f>
        <v>0</v>
      </c>
      <c r="D31" s="503">
        <f t="shared" ref="D31:D33" si="37">D30+C31*250</f>
        <v>665766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3"/>
        <v>11690</v>
      </c>
      <c r="I31" s="276" t="str">
        <f t="shared" ref="I31:I33" si="40">IF(B31-H31&lt;=0,"ok","oil change")</f>
        <v>ok</v>
      </c>
      <c r="J31" s="502">
        <f t="shared" si="14"/>
        <v>10715</v>
      </c>
      <c r="K31" s="276">
        <f t="shared" si="3"/>
        <v>0</v>
      </c>
      <c r="L31" s="503">
        <f t="shared" si="35"/>
        <v>361941</v>
      </c>
      <c r="M31" s="276">
        <f t="shared" si="0"/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13735</v>
      </c>
      <c r="S31" s="276">
        <f t="shared" ref="S31:S33" si="43">R31-R30</f>
        <v>0</v>
      </c>
      <c r="T31" s="503">
        <f t="shared" si="30"/>
        <v>373262</v>
      </c>
      <c r="U31" s="276">
        <f t="shared" ref="U31:U33" si="44">V31*S31</f>
        <v>0</v>
      </c>
      <c r="V31" s="276">
        <v>250</v>
      </c>
      <c r="W31" s="323"/>
      <c r="X31" s="260">
        <v>13873</v>
      </c>
      <c r="Y31" s="276" t="str">
        <f t="shared" si="34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11611</v>
      </c>
      <c r="C32" s="276">
        <f t="shared" si="36"/>
        <v>0</v>
      </c>
      <c r="D32" s="503">
        <f t="shared" si="37"/>
        <v>665766</v>
      </c>
      <c r="E32" s="276">
        <f t="shared" si="38"/>
        <v>0</v>
      </c>
      <c r="F32" s="276">
        <f t="shared" si="39"/>
        <v>0</v>
      </c>
      <c r="G32" s="323"/>
      <c r="H32" s="260">
        <f t="shared" si="13"/>
        <v>11690</v>
      </c>
      <c r="I32" s="276" t="str">
        <f t="shared" si="40"/>
        <v>ok</v>
      </c>
      <c r="J32" s="502">
        <f t="shared" si="14"/>
        <v>10715</v>
      </c>
      <c r="K32" s="276">
        <f t="shared" si="3"/>
        <v>0</v>
      </c>
      <c r="L32" s="503">
        <f t="shared" si="35"/>
        <v>361941</v>
      </c>
      <c r="M32" s="276">
        <f t="shared" si="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13735</v>
      </c>
      <c r="S32" s="276">
        <f t="shared" si="43"/>
        <v>0</v>
      </c>
      <c r="T32" s="503">
        <f t="shared" si="30"/>
        <v>373262</v>
      </c>
      <c r="U32" s="276">
        <f t="shared" si="44"/>
        <v>0</v>
      </c>
      <c r="V32" s="276">
        <v>250</v>
      </c>
      <c r="W32" s="323"/>
      <c r="X32" s="260">
        <v>13873</v>
      </c>
      <c r="Y32" s="276" t="str">
        <f t="shared" si="34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11611</v>
      </c>
      <c r="C33" s="276">
        <f t="shared" si="36"/>
        <v>0</v>
      </c>
      <c r="D33" s="503">
        <f t="shared" si="37"/>
        <v>665766</v>
      </c>
      <c r="E33" s="276">
        <f t="shared" si="38"/>
        <v>0</v>
      </c>
      <c r="F33" s="276">
        <f t="shared" si="39"/>
        <v>0</v>
      </c>
      <c r="G33" s="323"/>
      <c r="H33" s="260">
        <f t="shared" si="13"/>
        <v>11690</v>
      </c>
      <c r="I33" s="276" t="str">
        <f t="shared" si="40"/>
        <v>ok</v>
      </c>
      <c r="J33" s="502">
        <f t="shared" si="14"/>
        <v>10715</v>
      </c>
      <c r="K33" s="276">
        <f t="shared" si="3"/>
        <v>0</v>
      </c>
      <c r="L33" s="503">
        <f t="shared" si="35"/>
        <v>361941</v>
      </c>
      <c r="M33" s="276">
        <f t="shared" si="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13735</v>
      </c>
      <c r="S33" s="276">
        <f t="shared" si="43"/>
        <v>0</v>
      </c>
      <c r="T33" s="503">
        <f t="shared" si="30"/>
        <v>373262</v>
      </c>
      <c r="U33" s="276">
        <f t="shared" si="44"/>
        <v>0</v>
      </c>
      <c r="V33" s="276">
        <v>250</v>
      </c>
      <c r="W33" s="323"/>
      <c r="X33" s="260">
        <v>13873</v>
      </c>
      <c r="Y33" s="276" t="str">
        <f t="shared" si="34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191</v>
      </c>
      <c r="V34" s="40"/>
      <c r="X34">
        <v>341</v>
      </c>
      <c r="Z34" s="404">
        <f>SUM(Z3:Z33)</f>
        <v>191</v>
      </c>
      <c r="AF34" s="387">
        <f>SUM(AE34/1600)</f>
        <v>0</v>
      </c>
      <c r="AL34">
        <f>SUM(AL3:AL33)</f>
        <v>18</v>
      </c>
    </row>
    <row r="35" spans="1:38">
      <c r="C35" s="40">
        <f>SUM(C3:C33)</f>
        <v>106</v>
      </c>
      <c r="K35" s="40">
        <f>SUM(K3:K33)</f>
        <v>17</v>
      </c>
      <c r="S35" s="40">
        <f>SUM(S3:S33)</f>
        <v>68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4" zoomScale="85" zoomScaleNormal="85" workbookViewId="0">
      <pane xSplit="1" topLeftCell="AL1" activePane="topRight" state="frozen"/>
      <selection pane="topRight" activeCell="AU29" sqref="AU29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1384.7257383959504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239</v>
      </c>
      <c r="C15" s="203">
        <f>B15*$B$4</f>
        <v>5142.3548387096771</v>
      </c>
      <c r="D15">
        <f t="shared" si="19"/>
        <v>239</v>
      </c>
      <c r="E15" s="203">
        <f t="shared" si="18"/>
        <v>5142.3548387096771</v>
      </c>
      <c r="F15">
        <f t="shared" si="20"/>
        <v>239</v>
      </c>
      <c r="G15" s="203">
        <f t="shared" si="1"/>
        <v>5142.3548387096771</v>
      </c>
      <c r="H15" s="203">
        <f t="shared" si="21"/>
        <v>239</v>
      </c>
      <c r="I15" s="203">
        <f t="shared" si="2"/>
        <v>5142.3548387096771</v>
      </c>
      <c r="J15" s="203">
        <f t="shared" si="22"/>
        <v>239</v>
      </c>
      <c r="K15" s="203">
        <f t="shared" si="3"/>
        <v>5142.3548387096771</v>
      </c>
      <c r="L15" s="203">
        <f t="shared" si="23"/>
        <v>239</v>
      </c>
      <c r="M15" s="203">
        <f t="shared" si="4"/>
        <v>5142.3548387096771</v>
      </c>
      <c r="N15" s="203">
        <f t="shared" si="24"/>
        <v>239</v>
      </c>
      <c r="O15" s="203">
        <f t="shared" si="5"/>
        <v>5142.3548387096771</v>
      </c>
      <c r="P15" s="203">
        <f t="shared" si="25"/>
        <v>239</v>
      </c>
      <c r="Q15" s="203">
        <f t="shared" si="6"/>
        <v>5142.3548387096771</v>
      </c>
      <c r="R15" s="203">
        <f t="shared" si="26"/>
        <v>239</v>
      </c>
      <c r="S15" s="203">
        <f t="shared" si="7"/>
        <v>5142.3548387096771</v>
      </c>
      <c r="T15" s="203">
        <f t="shared" si="27"/>
        <v>239</v>
      </c>
      <c r="U15" s="203">
        <f t="shared" si="8"/>
        <v>5142.3548387096771</v>
      </c>
      <c r="V15" s="203">
        <f t="shared" si="28"/>
        <v>239</v>
      </c>
      <c r="W15" s="203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3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40"/>
        <v>17220</v>
      </c>
      <c r="AQ15" s="223">
        <f t="shared" si="41"/>
        <v>0.79365282592025854</v>
      </c>
      <c r="AR15" s="38">
        <f>Y15+AO15</f>
        <v>73785.90322580644</v>
      </c>
      <c r="AS15" s="197">
        <f t="shared" si="42"/>
        <v>943.99999999999272</v>
      </c>
      <c r="AT15" s="340">
        <v>18000</v>
      </c>
      <c r="AU15" s="548">
        <v>1.2</v>
      </c>
      <c r="AV15" s="485">
        <f>IF(AT15&gt;0,AU15,AV14)</f>
        <v>1.2</v>
      </c>
      <c r="AW15" s="279">
        <f>-SUM('B5'!AI14)</f>
        <v>-218</v>
      </c>
      <c r="AX15" s="279">
        <f t="shared" si="17"/>
        <v>1161.9999999999927</v>
      </c>
      <c r="AY15" s="37">
        <f t="shared" si="38"/>
        <v>943.99999999999272</v>
      </c>
      <c r="AZ15" s="100">
        <f>ELEC!A13</f>
        <v>0</v>
      </c>
      <c r="BA15" s="118">
        <f>'General information '!D14</f>
        <v>12.5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1260.151898734342</v>
      </c>
      <c r="BF15" s="14"/>
      <c r="BG15" s="14" t="e">
        <f>#REF!-BE15</f>
        <v>#REF!</v>
      </c>
      <c r="BH15" s="11"/>
      <c r="BI15">
        <v>4</v>
      </c>
      <c r="BJ15">
        <f t="shared" si="39"/>
        <v>290.49999999999818</v>
      </c>
      <c r="BK15" s="538">
        <f>GEN!AF12</f>
        <v>0.30568181818166934</v>
      </c>
    </row>
    <row r="16" spans="1:63">
      <c r="A16" s="425">
        <f>ELEC!C14</f>
        <v>44631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40"/>
        <v>16660</v>
      </c>
      <c r="AQ16" s="223">
        <f t="shared" si="41"/>
        <v>0.76980919963776029</v>
      </c>
      <c r="AR16" s="38">
        <f t="shared" si="37"/>
        <v>71569.161290322576</v>
      </c>
      <c r="AS16" s="197">
        <f t="shared" si="42"/>
        <v>-2216.7419354838639</v>
      </c>
      <c r="AT16" s="340"/>
      <c r="AU16" s="548"/>
      <c r="AV16" s="485">
        <f t="shared" ref="AV16:AV21" si="45">IF(AT16&gt;0,AU16,AV15)</f>
        <v>1.2</v>
      </c>
      <c r="AW16" s="279">
        <f>-SUM('B5'!AI15)</f>
        <v>-425</v>
      </c>
      <c r="AX16" s="279">
        <f t="shared" si="17"/>
        <v>-1791.7419354838639</v>
      </c>
      <c r="AY16" s="37">
        <f t="shared" si="38"/>
        <v>-2216.7419354838639</v>
      </c>
      <c r="AZ16" s="100">
        <f>ELEC!A14</f>
        <v>0</v>
      </c>
      <c r="BA16" s="118">
        <f>'General information '!D15</f>
        <v>11.5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-597.2473118279546</v>
      </c>
      <c r="BK16" s="538">
        <f>GEN!AF13</f>
        <v>0.30600000000004002</v>
      </c>
    </row>
    <row r="17" spans="1:64">
      <c r="A17" s="425">
        <f>ELEC!C15</f>
        <v>44632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1"/>
        <v>0.76980919963776029</v>
      </c>
      <c r="AR17" s="38">
        <f t="shared" si="37"/>
        <v>71569.161290322576</v>
      </c>
      <c r="AS17" s="197">
        <f t="shared" si="42"/>
        <v>0</v>
      </c>
      <c r="AU17" s="3"/>
      <c r="AV17" s="485">
        <f t="shared" si="45"/>
        <v>1.2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935.84810126639968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40"/>
        <v>16380</v>
      </c>
      <c r="AQ18" s="223">
        <f t="shared" si="41"/>
        <v>0.75661451664949164</v>
      </c>
      <c r="AR18" s="38">
        <f t="shared" si="37"/>
        <v>70342.451612903242</v>
      </c>
      <c r="AS18" s="197">
        <f>SUM(AR18-AR17-AT18)</f>
        <v>-1226.7096774193342</v>
      </c>
      <c r="AT18" s="340"/>
      <c r="AU18" s="548"/>
      <c r="AV18" s="485">
        <f t="shared" si="45"/>
        <v>1.2</v>
      </c>
      <c r="AW18" s="279">
        <f>-SUM('B5'!AI17)</f>
        <v>-295</v>
      </c>
      <c r="AX18" s="279">
        <f t="shared" si="17"/>
        <v>-931.70967741933418</v>
      </c>
      <c r="AY18" s="37">
        <f t="shared" si="38"/>
        <v>-1226.7096774193342</v>
      </c>
      <c r="AZ18" s="100">
        <f>ELEC!A16</f>
        <v>0</v>
      </c>
      <c r="BA18" s="118">
        <f>'General information '!D17</f>
        <v>11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1316.5189873412478</v>
      </c>
      <c r="BF18" s="14"/>
      <c r="BG18" s="14" t="e">
        <f>#REF!-BE18</f>
        <v>#REF!</v>
      </c>
      <c r="BH18" s="11"/>
      <c r="BI18">
        <v>5</v>
      </c>
      <c r="BJ18">
        <f t="shared" si="46"/>
        <v>-186.34193548386685</v>
      </c>
      <c r="BK18" s="538">
        <f>GEN!AF15</f>
        <v>0.32464285714305724</v>
      </c>
    </row>
    <row r="19" spans="1:64">
      <c r="A19" s="425">
        <f>ELEC!C17</f>
        <v>44634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226</v>
      </c>
      <c r="AA19" s="203">
        <f t="shared" si="30"/>
        <v>2260</v>
      </c>
      <c r="AB19" s="203">
        <f t="shared" si="31"/>
        <v>226</v>
      </c>
      <c r="AC19" s="203">
        <f t="shared" si="30"/>
        <v>2260</v>
      </c>
      <c r="AD19" s="203">
        <f t="shared" si="32"/>
        <v>226</v>
      </c>
      <c r="AE19" s="203">
        <f t="shared" si="11"/>
        <v>2260</v>
      </c>
      <c r="AF19" s="203">
        <f t="shared" si="33"/>
        <v>226</v>
      </c>
      <c r="AG19" s="203">
        <f t="shared" si="12"/>
        <v>2260</v>
      </c>
      <c r="AH19" s="203">
        <f t="shared" si="34"/>
        <v>226</v>
      </c>
      <c r="AI19" s="203">
        <f t="shared" si="13"/>
        <v>2260</v>
      </c>
      <c r="AJ19" s="203">
        <f t="shared" si="35"/>
        <v>226</v>
      </c>
      <c r="AK19" s="203">
        <f t="shared" si="14"/>
        <v>2260</v>
      </c>
      <c r="AL19" s="203">
        <f t="shared" si="36"/>
        <v>226</v>
      </c>
      <c r="AM19" s="203">
        <f t="shared" si="15"/>
        <v>2260</v>
      </c>
      <c r="AN19" s="35">
        <f t="shared" si="16"/>
        <v>0.80714285714285716</v>
      </c>
      <c r="AO19" s="36">
        <f t="shared" si="40"/>
        <v>15820</v>
      </c>
      <c r="AQ19" s="223">
        <f t="shared" si="41"/>
        <v>0.72767941097891431</v>
      </c>
      <c r="AR19" s="38">
        <f t="shared" si="37"/>
        <v>67652.354838709667</v>
      </c>
      <c r="AS19" s="197">
        <f t="shared" ref="AS19:AS32" si="47">SUM(AR19-AR18-AT19)</f>
        <v>-2690.0967741935747</v>
      </c>
      <c r="AT19" s="340"/>
      <c r="AU19" s="548"/>
      <c r="AV19" s="485">
        <f t="shared" si="45"/>
        <v>1.2</v>
      </c>
      <c r="AW19" s="279">
        <f>-SUM('B5'!AI18)</f>
        <v>-570</v>
      </c>
      <c r="AX19" s="279">
        <f t="shared" si="17"/>
        <v>-2120.0967741935747</v>
      </c>
      <c r="AY19" s="37">
        <f t="shared" si="38"/>
        <v>-2690.0967741935747</v>
      </c>
      <c r="AZ19" s="100">
        <f>ELEC!A17</f>
        <v>0</v>
      </c>
      <c r="BA19" s="118">
        <f>'General information '!D18</f>
        <v>10</v>
      </c>
      <c r="BB19" s="378">
        <f>SUM('General information '!E18)</f>
        <v>0.62</v>
      </c>
      <c r="BC19" s="3">
        <f t="shared" si="44"/>
        <v>0</v>
      </c>
      <c r="BD19" s="102">
        <v>19222</v>
      </c>
      <c r="BE19" s="14">
        <f>(305/1185)*ELEC!Q18</f>
        <v>1492.3122362866279</v>
      </c>
      <c r="BF19" s="14"/>
      <c r="BG19" s="14" t="e">
        <f>#REF!-BE19</f>
        <v>#REF!</v>
      </c>
      <c r="BH19" s="11"/>
      <c r="BI19">
        <v>6</v>
      </c>
      <c r="BJ19">
        <f t="shared" si="46"/>
        <v>-353.3494623655958</v>
      </c>
      <c r="BK19" s="538">
        <f>GEN!AF16</f>
        <v>0.29062499999988423</v>
      </c>
    </row>
    <row r="20" spans="1:64">
      <c r="A20" s="425">
        <f>ELEC!C18</f>
        <v>44635</v>
      </c>
      <c r="B20">
        <f>'B5'!B19</f>
        <v>209</v>
      </c>
      <c r="C20" s="203">
        <f t="shared" si="18"/>
        <v>4496.8709677419356</v>
      </c>
      <c r="D20">
        <f t="shared" si="19"/>
        <v>209</v>
      </c>
      <c r="E20" s="203">
        <f t="shared" si="18"/>
        <v>4496.8709677419356</v>
      </c>
      <c r="F20">
        <f t="shared" si="20"/>
        <v>209</v>
      </c>
      <c r="G20" s="203">
        <f t="shared" si="1"/>
        <v>4496.8709677419356</v>
      </c>
      <c r="H20" s="203">
        <f t="shared" si="21"/>
        <v>209</v>
      </c>
      <c r="I20" s="203">
        <f t="shared" si="2"/>
        <v>4496.8709677419356</v>
      </c>
      <c r="J20" s="203">
        <f t="shared" si="22"/>
        <v>209</v>
      </c>
      <c r="K20" s="203">
        <f t="shared" si="3"/>
        <v>4496.8709677419356</v>
      </c>
      <c r="L20" s="203">
        <f t="shared" si="23"/>
        <v>209</v>
      </c>
      <c r="M20" s="203">
        <f t="shared" si="4"/>
        <v>4496.8709677419356</v>
      </c>
      <c r="N20" s="203">
        <f t="shared" si="24"/>
        <v>209</v>
      </c>
      <c r="O20" s="203">
        <f t="shared" si="5"/>
        <v>4496.8709677419356</v>
      </c>
      <c r="P20" s="203">
        <f t="shared" si="25"/>
        <v>209</v>
      </c>
      <c r="Q20" s="203">
        <f t="shared" si="6"/>
        <v>4496.8709677419356</v>
      </c>
      <c r="R20" s="203">
        <f t="shared" si="26"/>
        <v>209</v>
      </c>
      <c r="S20" s="203">
        <f t="shared" si="7"/>
        <v>4496.8709677419356</v>
      </c>
      <c r="T20" s="203">
        <f t="shared" si="27"/>
        <v>209</v>
      </c>
      <c r="U20" s="203">
        <f t="shared" si="8"/>
        <v>4496.8709677419356</v>
      </c>
      <c r="V20" s="203">
        <f t="shared" si="28"/>
        <v>209</v>
      </c>
      <c r="W20" s="203">
        <f t="shared" si="9"/>
        <v>4496.8709677419356</v>
      </c>
      <c r="X20" s="35">
        <f t="shared" si="10"/>
        <v>0.67419354838709689</v>
      </c>
      <c r="Y20" s="36">
        <f t="shared" si="29"/>
        <v>49465.580645161303</v>
      </c>
      <c r="Z20" s="203">
        <f>'B5'!C19</f>
        <v>217</v>
      </c>
      <c r="AA20" s="203">
        <f t="shared" si="30"/>
        <v>2170</v>
      </c>
      <c r="AB20" s="203">
        <f t="shared" si="31"/>
        <v>217</v>
      </c>
      <c r="AC20" s="203">
        <f t="shared" si="30"/>
        <v>2170</v>
      </c>
      <c r="AD20" s="203">
        <f t="shared" si="32"/>
        <v>217</v>
      </c>
      <c r="AE20" s="203">
        <f t="shared" si="11"/>
        <v>2170</v>
      </c>
      <c r="AF20" s="203">
        <f t="shared" si="33"/>
        <v>217</v>
      </c>
      <c r="AG20" s="203">
        <f t="shared" si="12"/>
        <v>2170</v>
      </c>
      <c r="AH20" s="203">
        <f t="shared" si="34"/>
        <v>217</v>
      </c>
      <c r="AI20" s="203">
        <f t="shared" si="13"/>
        <v>2170</v>
      </c>
      <c r="AJ20" s="203">
        <f t="shared" si="35"/>
        <v>217</v>
      </c>
      <c r="AK20" s="203">
        <f t="shared" si="14"/>
        <v>2170</v>
      </c>
      <c r="AL20" s="203">
        <f t="shared" si="36"/>
        <v>217</v>
      </c>
      <c r="AM20" s="203">
        <f t="shared" si="15"/>
        <v>2170</v>
      </c>
      <c r="AN20" s="35">
        <f t="shared" si="16"/>
        <v>0.77500000000000002</v>
      </c>
      <c r="AO20" s="36">
        <f t="shared" si="40"/>
        <v>15190</v>
      </c>
      <c r="AQ20" s="223">
        <f t="shared" si="41"/>
        <v>0.69544563456127029</v>
      </c>
      <c r="AR20" s="38">
        <f t="shared" si="37"/>
        <v>64655.580645161303</v>
      </c>
      <c r="AS20" s="197">
        <f>SUM(AR20-AR19-AT20)</f>
        <v>-2996.7741935483646</v>
      </c>
      <c r="AT20" s="340"/>
      <c r="AU20" s="548"/>
      <c r="AV20" s="485">
        <f t="shared" si="45"/>
        <v>1.2</v>
      </c>
      <c r="AW20" s="279">
        <f>-SUM('B5'!AI19)</f>
        <v>-515</v>
      </c>
      <c r="AX20" s="279">
        <f>-SUM(AW20-AS20)</f>
        <v>-2481.7741935483646</v>
      </c>
      <c r="AY20" s="37">
        <f t="shared" si="38"/>
        <v>-2996.7741935483646</v>
      </c>
      <c r="AZ20" s="100">
        <f>ELEC!A18</f>
        <v>0</v>
      </c>
      <c r="BA20" s="118">
        <f>'General information '!D19</f>
        <v>7.5</v>
      </c>
      <c r="BB20" s="378">
        <f>SUM('General information '!E19)</f>
        <v>0.62</v>
      </c>
      <c r="BC20" s="3">
        <f t="shared" si="44"/>
        <v>0</v>
      </c>
      <c r="BD20" s="102">
        <v>19222</v>
      </c>
      <c r="BE20" s="14">
        <f>(305/1185)*ELEC!Q19</f>
        <v>1384.2109704642924</v>
      </c>
      <c r="BF20" s="14"/>
      <c r="BG20" s="14" t="e">
        <f>#REF!-BE20</f>
        <v>#REF!</v>
      </c>
      <c r="BH20" s="11"/>
      <c r="BI20">
        <v>7</v>
      </c>
      <c r="BJ20">
        <f t="shared" si="46"/>
        <v>-354.53917050690922</v>
      </c>
      <c r="BK20" s="538">
        <f>GEN!AF17</f>
        <v>0.30197916666660757</v>
      </c>
      <c r="BL20" s="203"/>
    </row>
    <row r="21" spans="1:64">
      <c r="A21" s="425">
        <f>ELEC!C19</f>
        <v>44636</v>
      </c>
      <c r="B21">
        <f>'B5'!B20</f>
        <v>217</v>
      </c>
      <c r="C21" s="203">
        <f t="shared" si="18"/>
        <v>4669</v>
      </c>
      <c r="D21">
        <f t="shared" si="19"/>
        <v>217</v>
      </c>
      <c r="E21" s="203">
        <f t="shared" si="18"/>
        <v>4669</v>
      </c>
      <c r="F21">
        <f t="shared" si="20"/>
        <v>217</v>
      </c>
      <c r="G21" s="203">
        <f t="shared" si="1"/>
        <v>4669</v>
      </c>
      <c r="H21" s="203">
        <f t="shared" si="21"/>
        <v>217</v>
      </c>
      <c r="I21" s="203">
        <f t="shared" si="2"/>
        <v>4669</v>
      </c>
      <c r="J21" s="203">
        <f t="shared" si="22"/>
        <v>217</v>
      </c>
      <c r="K21" s="203">
        <f t="shared" si="3"/>
        <v>4669</v>
      </c>
      <c r="L21" s="203">
        <f t="shared" si="23"/>
        <v>217</v>
      </c>
      <c r="M21" s="203">
        <f t="shared" si="4"/>
        <v>4669</v>
      </c>
      <c r="N21" s="203">
        <f t="shared" si="24"/>
        <v>217</v>
      </c>
      <c r="O21" s="203">
        <f t="shared" si="5"/>
        <v>4669</v>
      </c>
      <c r="P21" s="203">
        <f t="shared" si="25"/>
        <v>217</v>
      </c>
      <c r="Q21" s="203">
        <f t="shared" si="6"/>
        <v>4669</v>
      </c>
      <c r="R21" s="203">
        <f t="shared" si="26"/>
        <v>217</v>
      </c>
      <c r="S21" s="203">
        <f t="shared" si="7"/>
        <v>4669</v>
      </c>
      <c r="T21" s="203">
        <f t="shared" si="27"/>
        <v>217</v>
      </c>
      <c r="U21" s="203">
        <f t="shared" si="8"/>
        <v>4669</v>
      </c>
      <c r="V21" s="203">
        <f t="shared" si="28"/>
        <v>217</v>
      </c>
      <c r="W21" s="203">
        <f t="shared" si="9"/>
        <v>4669</v>
      </c>
      <c r="X21" s="35">
        <f t="shared" si="10"/>
        <v>0.7</v>
      </c>
      <c r="Y21" s="36">
        <f t="shared" si="29"/>
        <v>51359</v>
      </c>
      <c r="Z21" s="203">
        <f>'B5'!C20</f>
        <v>224</v>
      </c>
      <c r="AA21" s="203">
        <f t="shared" si="30"/>
        <v>2240</v>
      </c>
      <c r="AB21" s="203">
        <f t="shared" si="31"/>
        <v>224</v>
      </c>
      <c r="AC21" s="203">
        <f t="shared" si="30"/>
        <v>2240</v>
      </c>
      <c r="AD21" s="203">
        <f t="shared" si="32"/>
        <v>224</v>
      </c>
      <c r="AE21" s="203">
        <f t="shared" si="11"/>
        <v>2240</v>
      </c>
      <c r="AF21" s="203">
        <f t="shared" si="33"/>
        <v>224</v>
      </c>
      <c r="AG21" s="203">
        <f t="shared" si="12"/>
        <v>2240</v>
      </c>
      <c r="AH21" s="203">
        <f t="shared" si="34"/>
        <v>224</v>
      </c>
      <c r="AI21" s="203">
        <f t="shared" si="13"/>
        <v>2240</v>
      </c>
      <c r="AJ21" s="203">
        <f t="shared" si="35"/>
        <v>224</v>
      </c>
      <c r="AK21" s="203">
        <f t="shared" si="14"/>
        <v>2240</v>
      </c>
      <c r="AL21" s="203">
        <f t="shared" si="36"/>
        <v>224</v>
      </c>
      <c r="AM21" s="203">
        <f t="shared" si="15"/>
        <v>2240</v>
      </c>
      <c r="AN21" s="35">
        <f t="shared" si="16"/>
        <v>0.8</v>
      </c>
      <c r="AO21" s="36">
        <f t="shared" si="40"/>
        <v>15680</v>
      </c>
      <c r="AQ21" s="223">
        <f t="shared" si="41"/>
        <v>0.72108206948478004</v>
      </c>
      <c r="AR21" s="38">
        <f t="shared" si="37"/>
        <v>67039</v>
      </c>
      <c r="AS21" s="197">
        <f>SUM(AR21-AR20-AT21)</f>
        <v>-1616.5806451613025</v>
      </c>
      <c r="AT21" s="340">
        <v>4000</v>
      </c>
      <c r="AU21" s="548">
        <v>1.07</v>
      </c>
      <c r="AV21" s="485">
        <f t="shared" si="45"/>
        <v>1.07</v>
      </c>
      <c r="AW21" s="279">
        <f>-SUM('B5'!AI20)</f>
        <v>-653</v>
      </c>
      <c r="AX21" s="279">
        <f t="shared" si="17"/>
        <v>-963.58064516130253</v>
      </c>
      <c r="AY21" s="37">
        <f t="shared" si="38"/>
        <v>-1616.5806451613025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1</v>
      </c>
      <c r="BD21" s="102">
        <v>19222</v>
      </c>
      <c r="BE21" s="14">
        <f>(305/1185)*ELEC!Q20</f>
        <v>1365.6793248946421</v>
      </c>
      <c r="BF21" s="14"/>
      <c r="BG21" s="14" t="e">
        <f>#REF!-BE21</f>
        <v>#REF!</v>
      </c>
      <c r="BH21" s="11"/>
      <c r="BI21">
        <v>8</v>
      </c>
      <c r="BJ21">
        <f t="shared" si="46"/>
        <v>-120.44758064516282</v>
      </c>
      <c r="BK21" s="538">
        <f>GEN!AF18</f>
        <v>0.25855769230772169</v>
      </c>
    </row>
    <row r="22" spans="1:64">
      <c r="A22" s="425">
        <f>ELEC!C20</f>
        <v>44637</v>
      </c>
      <c r="B22">
        <f>'B5'!B21</f>
        <v>235</v>
      </c>
      <c r="C22" s="203">
        <f t="shared" si="18"/>
        <v>5056.2903225806449</v>
      </c>
      <c r="D22">
        <f t="shared" si="19"/>
        <v>235</v>
      </c>
      <c r="E22" s="203">
        <f t="shared" si="18"/>
        <v>5056.2903225806449</v>
      </c>
      <c r="F22">
        <f t="shared" si="20"/>
        <v>235</v>
      </c>
      <c r="G22" s="203">
        <f t="shared" si="1"/>
        <v>5056.2903225806449</v>
      </c>
      <c r="H22" s="203">
        <f t="shared" si="21"/>
        <v>235</v>
      </c>
      <c r="I22" s="203">
        <f t="shared" si="2"/>
        <v>5056.2903225806449</v>
      </c>
      <c r="J22" s="203">
        <f t="shared" si="22"/>
        <v>235</v>
      </c>
      <c r="K22" s="203">
        <f t="shared" si="3"/>
        <v>5056.2903225806449</v>
      </c>
      <c r="L22" s="203">
        <f t="shared" si="23"/>
        <v>235</v>
      </c>
      <c r="M22" s="203">
        <f t="shared" si="4"/>
        <v>5056.2903225806449</v>
      </c>
      <c r="N22" s="203">
        <f t="shared" si="24"/>
        <v>235</v>
      </c>
      <c r="O22" s="203">
        <f t="shared" si="5"/>
        <v>5056.2903225806449</v>
      </c>
      <c r="P22" s="203">
        <f t="shared" si="25"/>
        <v>235</v>
      </c>
      <c r="Q22" s="203">
        <f t="shared" si="6"/>
        <v>5056.2903225806449</v>
      </c>
      <c r="R22" s="203">
        <f t="shared" si="26"/>
        <v>235</v>
      </c>
      <c r="S22" s="203">
        <f t="shared" si="7"/>
        <v>5056.2903225806449</v>
      </c>
      <c r="T22" s="203">
        <f t="shared" si="27"/>
        <v>235</v>
      </c>
      <c r="U22" s="203">
        <f t="shared" si="8"/>
        <v>5056.2903225806449</v>
      </c>
      <c r="V22" s="203">
        <f t="shared" si="28"/>
        <v>235</v>
      </c>
      <c r="W22" s="203">
        <f t="shared" si="9"/>
        <v>5056.2903225806449</v>
      </c>
      <c r="X22" s="35">
        <f t="shared" si="10"/>
        <v>0.75806451612903214</v>
      </c>
      <c r="Y22" s="36">
        <f t="shared" si="29"/>
        <v>55619.193548387091</v>
      </c>
      <c r="Z22" s="203">
        <f>'B5'!C21</f>
        <v>242</v>
      </c>
      <c r="AA22" s="203">
        <f t="shared" si="30"/>
        <v>2420</v>
      </c>
      <c r="AB22" s="203">
        <f t="shared" si="31"/>
        <v>242</v>
      </c>
      <c r="AC22" s="203">
        <f t="shared" si="30"/>
        <v>2420</v>
      </c>
      <c r="AD22" s="203">
        <f t="shared" si="32"/>
        <v>242</v>
      </c>
      <c r="AE22" s="203">
        <f t="shared" si="11"/>
        <v>2420</v>
      </c>
      <c r="AF22" s="203">
        <f t="shared" si="33"/>
        <v>242</v>
      </c>
      <c r="AG22" s="203">
        <f t="shared" si="12"/>
        <v>2420</v>
      </c>
      <c r="AH22" s="203">
        <f t="shared" si="34"/>
        <v>242</v>
      </c>
      <c r="AI22" s="203">
        <f t="shared" si="13"/>
        <v>2420</v>
      </c>
      <c r="AJ22" s="203">
        <f t="shared" si="35"/>
        <v>242</v>
      </c>
      <c r="AK22" s="203">
        <f t="shared" si="14"/>
        <v>2420</v>
      </c>
      <c r="AL22" s="203">
        <f t="shared" si="36"/>
        <v>242</v>
      </c>
      <c r="AM22" s="203">
        <f t="shared" si="15"/>
        <v>2420</v>
      </c>
      <c r="AN22" s="35">
        <f t="shared" si="16"/>
        <v>0.86428571428571432</v>
      </c>
      <c r="AO22" s="36">
        <f t="shared" si="40"/>
        <v>16940</v>
      </c>
      <c r="AQ22" s="223">
        <f t="shared" si="41"/>
        <v>0.78045814293198978</v>
      </c>
      <c r="AR22" s="38">
        <f t="shared" si="37"/>
        <v>72559.193548387091</v>
      </c>
      <c r="AS22" s="197">
        <f t="shared" si="47"/>
        <v>-1479.8064516129089</v>
      </c>
      <c r="AT22" s="340">
        <v>7000</v>
      </c>
      <c r="AU22" s="548">
        <v>0.97</v>
      </c>
      <c r="AV22" s="485">
        <f t="shared" si="43"/>
        <v>0.97</v>
      </c>
      <c r="AW22" s="279">
        <f>-SUM('B5'!AI21)</f>
        <v>-414</v>
      </c>
      <c r="AX22" s="279">
        <f t="shared" si="17"/>
        <v>-1065.8064516129089</v>
      </c>
      <c r="AY22" s="37">
        <f t="shared" si="38"/>
        <v>-1479.8064516129089</v>
      </c>
      <c r="AZ22" s="100">
        <f>ELEC!A20</f>
        <v>0</v>
      </c>
      <c r="BA22" s="118">
        <f>'General information '!D21</f>
        <v>12.5</v>
      </c>
      <c r="BB22" s="378">
        <f>SUM('General information '!E21)</f>
        <v>0.56000000000000005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-118.42293906810099</v>
      </c>
      <c r="BK22" s="538">
        <f>GEN!AF19</f>
        <v>0.27635416666669244</v>
      </c>
    </row>
    <row r="23" spans="1:64">
      <c r="A23" s="425">
        <f>ELEC!C21</f>
        <v>44638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40"/>
        <v>16940</v>
      </c>
      <c r="AQ23" s="223">
        <f t="shared" si="41"/>
        <v>0.78045814293198978</v>
      </c>
      <c r="AR23" s="38">
        <f t="shared" si="37"/>
        <v>72559.193548387091</v>
      </c>
      <c r="AS23" s="197">
        <f t="shared" si="47"/>
        <v>0</v>
      </c>
      <c r="AT23" s="340"/>
      <c r="AU23" s="548"/>
      <c r="AV23" s="485">
        <f t="shared" si="43"/>
        <v>0.97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40"/>
        <v>16940</v>
      </c>
      <c r="AQ24" s="223">
        <f t="shared" si="41"/>
        <v>0.78045814293198978</v>
      </c>
      <c r="AR24" s="38">
        <f t="shared" si="37"/>
        <v>72559.193548387091</v>
      </c>
      <c r="AS24" s="197">
        <f t="shared" si="47"/>
        <v>0</v>
      </c>
      <c r="AT24" s="340"/>
      <c r="AU24" s="548"/>
      <c r="AV24" s="485">
        <f t="shared" si="43"/>
        <v>0.97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1343.8016877640653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239</v>
      </c>
      <c r="C25" s="203">
        <f t="shared" si="18"/>
        <v>5142.3548387096771</v>
      </c>
      <c r="D25">
        <f t="shared" si="19"/>
        <v>239</v>
      </c>
      <c r="E25" s="203">
        <f t="shared" si="18"/>
        <v>5142.3548387096771</v>
      </c>
      <c r="F25">
        <f t="shared" si="20"/>
        <v>239</v>
      </c>
      <c r="G25" s="203">
        <f t="shared" si="1"/>
        <v>5142.3548387096771</v>
      </c>
      <c r="H25" s="203">
        <f t="shared" si="21"/>
        <v>239</v>
      </c>
      <c r="I25" s="203">
        <f t="shared" si="2"/>
        <v>5142.3548387096771</v>
      </c>
      <c r="J25" s="203">
        <f t="shared" si="22"/>
        <v>239</v>
      </c>
      <c r="K25" s="203">
        <f t="shared" si="3"/>
        <v>5142.3548387096771</v>
      </c>
      <c r="L25" s="203">
        <f t="shared" si="23"/>
        <v>239</v>
      </c>
      <c r="M25" s="203">
        <f t="shared" si="4"/>
        <v>5142.3548387096771</v>
      </c>
      <c r="N25" s="203">
        <f t="shared" si="24"/>
        <v>239</v>
      </c>
      <c r="O25" s="203">
        <f t="shared" si="5"/>
        <v>5142.3548387096771</v>
      </c>
      <c r="P25" s="203">
        <f t="shared" si="25"/>
        <v>239</v>
      </c>
      <c r="Q25" s="203">
        <f t="shared" si="6"/>
        <v>5142.3548387096771</v>
      </c>
      <c r="R25" s="203">
        <f t="shared" si="26"/>
        <v>239</v>
      </c>
      <c r="S25" s="203">
        <f t="shared" si="7"/>
        <v>5142.3548387096771</v>
      </c>
      <c r="T25" s="203">
        <f t="shared" si="27"/>
        <v>239</v>
      </c>
      <c r="U25" s="203">
        <f t="shared" si="8"/>
        <v>5142.3548387096771</v>
      </c>
      <c r="V25" s="203">
        <f t="shared" si="28"/>
        <v>239</v>
      </c>
      <c r="W25" s="203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3">
        <f>'B5'!C24</f>
        <v>246</v>
      </c>
      <c r="AA25" s="203">
        <f t="shared" si="30"/>
        <v>2460</v>
      </c>
      <c r="AB25" s="203">
        <f t="shared" si="31"/>
        <v>246</v>
      </c>
      <c r="AC25" s="203">
        <f t="shared" si="30"/>
        <v>2460</v>
      </c>
      <c r="AD25" s="203">
        <f t="shared" si="32"/>
        <v>246</v>
      </c>
      <c r="AE25" s="203">
        <f t="shared" si="11"/>
        <v>2460</v>
      </c>
      <c r="AF25" s="203">
        <f t="shared" si="33"/>
        <v>246</v>
      </c>
      <c r="AG25" s="203">
        <f t="shared" si="12"/>
        <v>2460</v>
      </c>
      <c r="AH25" s="203">
        <f t="shared" si="34"/>
        <v>246</v>
      </c>
      <c r="AI25" s="203">
        <f t="shared" si="13"/>
        <v>2460</v>
      </c>
      <c r="AJ25" s="203">
        <f t="shared" si="35"/>
        <v>246</v>
      </c>
      <c r="AK25" s="203">
        <f t="shared" si="14"/>
        <v>2460</v>
      </c>
      <c r="AL25" s="203">
        <f t="shared" si="36"/>
        <v>246</v>
      </c>
      <c r="AM25" s="203">
        <f t="shared" si="15"/>
        <v>2460</v>
      </c>
      <c r="AN25" s="35">
        <f t="shared" si="16"/>
        <v>0.87857142857142856</v>
      </c>
      <c r="AO25" s="36">
        <f t="shared" si="40"/>
        <v>17220</v>
      </c>
      <c r="AQ25" s="223">
        <f t="shared" si="41"/>
        <v>0.79365282592025854</v>
      </c>
      <c r="AR25" s="38">
        <f>Y25+AO25</f>
        <v>73785.90322580644</v>
      </c>
      <c r="AS25" s="197">
        <f t="shared" si="47"/>
        <v>-1723.2903225806513</v>
      </c>
      <c r="AT25" s="340">
        <v>2950</v>
      </c>
      <c r="AU25" s="549">
        <v>0.98499999999999999</v>
      </c>
      <c r="AV25" s="485">
        <f t="shared" si="43"/>
        <v>0.98499999999999999</v>
      </c>
      <c r="AW25" s="279">
        <f>-SUM('B5'!AI24)</f>
        <v>-426</v>
      </c>
      <c r="AX25" s="279">
        <f t="shared" si="17"/>
        <v>-1297.2903225806513</v>
      </c>
      <c r="AY25" s="37">
        <f t="shared" si="38"/>
        <v>-1723.2903225806513</v>
      </c>
      <c r="AZ25" s="100">
        <f>ELEC!A23</f>
        <v>0</v>
      </c>
      <c r="BA25" s="118">
        <f>'General information '!D24</f>
        <v>10</v>
      </c>
      <c r="BB25" s="378">
        <f>SUM('General information '!E24)</f>
        <v>0.37</v>
      </c>
      <c r="BC25" s="3">
        <f t="shared" si="44"/>
        <v>1</v>
      </c>
      <c r="BD25" s="102">
        <v>19222</v>
      </c>
      <c r="BE25" s="14">
        <f>(305/1185)*ELEC!Q24</f>
        <v>1194.0042194090806</v>
      </c>
      <c r="BF25" s="14"/>
      <c r="BG25" s="14" t="e">
        <f>#REF!-BE25</f>
        <v>#REF!</v>
      </c>
      <c r="BH25" s="11"/>
      <c r="BI25">
        <v>12</v>
      </c>
      <c r="BJ25">
        <f t="shared" si="46"/>
        <v>-108.10752688172094</v>
      </c>
      <c r="BK25" s="538">
        <f>GEN!AF22</f>
        <v>0.29664772727280497</v>
      </c>
    </row>
    <row r="26" spans="1:64">
      <c r="A26" s="425">
        <f>ELEC!C24</f>
        <v>44641</v>
      </c>
      <c r="B26">
        <f>'B5'!B25</f>
        <v>231</v>
      </c>
      <c r="C26" s="203">
        <f t="shared" si="18"/>
        <v>4970.2258064516127</v>
      </c>
      <c r="D26">
        <f t="shared" si="19"/>
        <v>231</v>
      </c>
      <c r="E26" s="203">
        <f t="shared" si="18"/>
        <v>4970.2258064516127</v>
      </c>
      <c r="F26">
        <f t="shared" si="20"/>
        <v>231</v>
      </c>
      <c r="G26" s="203">
        <f t="shared" si="1"/>
        <v>4970.2258064516127</v>
      </c>
      <c r="H26" s="203">
        <f t="shared" si="21"/>
        <v>231</v>
      </c>
      <c r="I26" s="203">
        <f t="shared" si="2"/>
        <v>4970.2258064516127</v>
      </c>
      <c r="J26" s="203">
        <f t="shared" si="22"/>
        <v>231</v>
      </c>
      <c r="K26" s="203">
        <f t="shared" si="3"/>
        <v>4970.2258064516127</v>
      </c>
      <c r="L26" s="203">
        <f t="shared" si="23"/>
        <v>231</v>
      </c>
      <c r="M26" s="203">
        <f t="shared" si="4"/>
        <v>4970.2258064516127</v>
      </c>
      <c r="N26" s="203">
        <f t="shared" si="24"/>
        <v>231</v>
      </c>
      <c r="O26" s="203">
        <f t="shared" si="5"/>
        <v>4970.2258064516127</v>
      </c>
      <c r="P26" s="203">
        <f t="shared" si="25"/>
        <v>231</v>
      </c>
      <c r="Q26" s="203">
        <f t="shared" si="6"/>
        <v>4970.2258064516127</v>
      </c>
      <c r="R26" s="203">
        <f t="shared" si="26"/>
        <v>231</v>
      </c>
      <c r="S26" s="203">
        <f t="shared" si="7"/>
        <v>4970.2258064516127</v>
      </c>
      <c r="T26" s="203">
        <f t="shared" si="27"/>
        <v>231</v>
      </c>
      <c r="U26" s="203">
        <f t="shared" si="8"/>
        <v>4970.2258064516127</v>
      </c>
      <c r="V26" s="203">
        <f t="shared" si="28"/>
        <v>231</v>
      </c>
      <c r="W26" s="203">
        <f t="shared" si="9"/>
        <v>4970.2258064516127</v>
      </c>
      <c r="X26" s="35">
        <f t="shared" si="10"/>
        <v>0.74516129032258061</v>
      </c>
      <c r="Y26" s="36">
        <f t="shared" si="29"/>
        <v>54672.483870967742</v>
      </c>
      <c r="Z26" s="203">
        <f>'B5'!C25</f>
        <v>238</v>
      </c>
      <c r="AA26" s="203">
        <f t="shared" si="30"/>
        <v>2380</v>
      </c>
      <c r="AB26" s="203">
        <f t="shared" si="31"/>
        <v>238</v>
      </c>
      <c r="AC26" s="203">
        <f t="shared" si="30"/>
        <v>2380</v>
      </c>
      <c r="AD26" s="203">
        <f t="shared" si="32"/>
        <v>238</v>
      </c>
      <c r="AE26" s="203">
        <f t="shared" si="11"/>
        <v>2380</v>
      </c>
      <c r="AF26" s="203">
        <f t="shared" si="33"/>
        <v>238</v>
      </c>
      <c r="AG26" s="203">
        <f t="shared" si="12"/>
        <v>2380</v>
      </c>
      <c r="AH26" s="203">
        <f t="shared" si="34"/>
        <v>238</v>
      </c>
      <c r="AI26" s="203">
        <f t="shared" si="13"/>
        <v>2380</v>
      </c>
      <c r="AJ26" s="203">
        <f t="shared" si="35"/>
        <v>238</v>
      </c>
      <c r="AK26" s="203">
        <f t="shared" si="14"/>
        <v>2380</v>
      </c>
      <c r="AL26" s="203">
        <f t="shared" si="36"/>
        <v>238</v>
      </c>
      <c r="AM26" s="203">
        <f t="shared" si="15"/>
        <v>2380</v>
      </c>
      <c r="AN26" s="35">
        <f t="shared" si="16"/>
        <v>0.85</v>
      </c>
      <c r="AO26" s="36">
        <f t="shared" si="40"/>
        <v>16660</v>
      </c>
      <c r="AQ26" s="223">
        <f t="shared" si="41"/>
        <v>0.76726345994372103</v>
      </c>
      <c r="AR26" s="38">
        <f>Y26+AO26</f>
        <v>71332.483870967742</v>
      </c>
      <c r="AS26" s="197">
        <f t="shared" si="47"/>
        <v>-2453.4193548386975</v>
      </c>
      <c r="AT26" s="340"/>
      <c r="AU26" s="548"/>
      <c r="AV26" s="485">
        <f t="shared" si="43"/>
        <v>0.98499999999999999</v>
      </c>
      <c r="AW26" s="279">
        <f>-SUM('B5'!AI25)</f>
        <v>-452</v>
      </c>
      <c r="AX26" s="279">
        <f t="shared" si="17"/>
        <v>-2001.4193548386975</v>
      </c>
      <c r="AY26" s="37">
        <f t="shared" si="38"/>
        <v>-2453.4193548386975</v>
      </c>
      <c r="AZ26" s="100">
        <f>ELEC!A24</f>
        <v>0</v>
      </c>
      <c r="BA26" s="118">
        <f>'General information '!D25</f>
        <v>11</v>
      </c>
      <c r="BB26" s="378">
        <f>SUM('General information '!E25)</f>
        <v>0.46</v>
      </c>
      <c r="BC26" s="3">
        <f t="shared" si="44"/>
        <v>0</v>
      </c>
      <c r="BD26" s="102">
        <v>19222</v>
      </c>
      <c r="BE26" s="14">
        <f>(305/1185)*ELEC!Q25</f>
        <v>1282.2869198312162</v>
      </c>
      <c r="BF26" s="14"/>
      <c r="BG26" s="14" t="e">
        <f>#REF!-BE26</f>
        <v>#REF!</v>
      </c>
      <c r="BH26" s="11"/>
      <c r="BI26">
        <v>13</v>
      </c>
      <c r="BJ26">
        <f t="shared" si="46"/>
        <v>-153.95533498759212</v>
      </c>
      <c r="BK26" s="538">
        <f>GEN!AF23</f>
        <v>0.28993749999995089</v>
      </c>
    </row>
    <row r="27" spans="1:64">
      <c r="A27" s="425">
        <f>ELEC!C25</f>
        <v>44642</v>
      </c>
      <c r="B27">
        <f>'B5'!B26</f>
        <v>225</v>
      </c>
      <c r="C27" s="203">
        <f t="shared" si="18"/>
        <v>4841.1290322580644</v>
      </c>
      <c r="D27">
        <f t="shared" si="19"/>
        <v>225</v>
      </c>
      <c r="E27" s="203">
        <f t="shared" si="18"/>
        <v>4841.1290322580644</v>
      </c>
      <c r="F27">
        <f t="shared" si="20"/>
        <v>225</v>
      </c>
      <c r="G27" s="203">
        <f t="shared" si="1"/>
        <v>4841.1290322580644</v>
      </c>
      <c r="H27" s="203">
        <f t="shared" si="21"/>
        <v>225</v>
      </c>
      <c r="I27" s="203">
        <f t="shared" si="2"/>
        <v>4841.1290322580644</v>
      </c>
      <c r="J27" s="203">
        <f t="shared" si="22"/>
        <v>225</v>
      </c>
      <c r="K27" s="203">
        <f t="shared" si="3"/>
        <v>4841.1290322580644</v>
      </c>
      <c r="L27" s="203">
        <f t="shared" si="23"/>
        <v>225</v>
      </c>
      <c r="M27" s="203">
        <f t="shared" si="4"/>
        <v>4841.1290322580644</v>
      </c>
      <c r="N27" s="203">
        <f t="shared" si="24"/>
        <v>225</v>
      </c>
      <c r="O27" s="203">
        <f t="shared" si="5"/>
        <v>4841.1290322580644</v>
      </c>
      <c r="P27" s="203">
        <f t="shared" si="25"/>
        <v>225</v>
      </c>
      <c r="Q27" s="203">
        <f t="shared" si="6"/>
        <v>4841.1290322580644</v>
      </c>
      <c r="R27" s="203">
        <f t="shared" si="26"/>
        <v>225</v>
      </c>
      <c r="S27" s="203">
        <f t="shared" si="7"/>
        <v>4841.1290322580644</v>
      </c>
      <c r="T27" s="203">
        <f t="shared" si="27"/>
        <v>225</v>
      </c>
      <c r="U27" s="203">
        <f t="shared" si="8"/>
        <v>4841.1290322580644</v>
      </c>
      <c r="V27" s="203">
        <f t="shared" si="28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3">
        <f>'B5'!C26</f>
        <v>231</v>
      </c>
      <c r="AA27" s="203">
        <f t="shared" si="30"/>
        <v>2310</v>
      </c>
      <c r="AB27" s="203">
        <f t="shared" si="31"/>
        <v>231</v>
      </c>
      <c r="AC27" s="203">
        <f t="shared" si="30"/>
        <v>2310</v>
      </c>
      <c r="AD27" s="203">
        <f t="shared" si="32"/>
        <v>231</v>
      </c>
      <c r="AE27" s="203">
        <f t="shared" si="11"/>
        <v>2310</v>
      </c>
      <c r="AF27" s="203">
        <f t="shared" si="33"/>
        <v>231</v>
      </c>
      <c r="AG27" s="203">
        <f t="shared" si="12"/>
        <v>2310</v>
      </c>
      <c r="AH27" s="203">
        <f t="shared" si="34"/>
        <v>231</v>
      </c>
      <c r="AI27" s="203">
        <f t="shared" si="13"/>
        <v>2310</v>
      </c>
      <c r="AJ27" s="203">
        <f t="shared" si="35"/>
        <v>231</v>
      </c>
      <c r="AK27" s="203">
        <f t="shared" si="14"/>
        <v>2310</v>
      </c>
      <c r="AL27" s="203">
        <f t="shared" si="36"/>
        <v>231</v>
      </c>
      <c r="AM27" s="203">
        <f t="shared" si="15"/>
        <v>2310</v>
      </c>
      <c r="AN27" s="35">
        <f t="shared" si="16"/>
        <v>0.82499999999999996</v>
      </c>
      <c r="AO27" s="36">
        <f t="shared" si="40"/>
        <v>16170</v>
      </c>
      <c r="AQ27" s="223">
        <f t="shared" si="41"/>
        <v>0.7467185044082898</v>
      </c>
      <c r="AR27" s="38">
        <f t="shared" si="37"/>
        <v>69422.419354838697</v>
      </c>
      <c r="AS27" s="197">
        <f t="shared" si="47"/>
        <v>-1910.0645161290449</v>
      </c>
      <c r="AT27" s="340"/>
      <c r="AU27" s="548"/>
      <c r="AV27" s="485">
        <f t="shared" si="43"/>
        <v>0.98499999999999999</v>
      </c>
      <c r="AW27" s="279">
        <f>-SUM('B5'!AI26)</f>
        <v>-348</v>
      </c>
      <c r="AX27" s="279">
        <f t="shared" si="17"/>
        <v>-1562.0645161290449</v>
      </c>
      <c r="AY27" s="37">
        <f t="shared" si="38"/>
        <v>-1910.0645161290449</v>
      </c>
      <c r="AZ27" s="100">
        <f>ELEC!A25</f>
        <v>0</v>
      </c>
      <c r="BA27" s="118">
        <f>'General information '!D26</f>
        <v>13</v>
      </c>
      <c r="BB27" s="378">
        <f>SUM('General information '!E26)</f>
        <v>0.54</v>
      </c>
      <c r="BC27" s="3">
        <f t="shared" si="44"/>
        <v>0</v>
      </c>
      <c r="BD27" s="102">
        <v>19222</v>
      </c>
      <c r="BE27" s="14">
        <f>(305/1185)*ELEC!Q26</f>
        <v>1407.118143460058</v>
      </c>
      <c r="BF27" s="14"/>
      <c r="BG27" s="14" t="e">
        <f>#REF!-BE27</f>
        <v>#REF!</v>
      </c>
      <c r="BH27" s="11"/>
      <c r="BI27">
        <v>14</v>
      </c>
      <c r="BJ27">
        <f t="shared" si="46"/>
        <v>-111.57603686636035</v>
      </c>
      <c r="BK27" s="538">
        <f>GEN!AF24</f>
        <v>0.31137499999999818</v>
      </c>
    </row>
    <row r="28" spans="1:64">
      <c r="A28" s="425">
        <f>ELEC!C26</f>
        <v>44643</v>
      </c>
      <c r="B28">
        <f>'B5'!B27</f>
        <v>235</v>
      </c>
      <c r="C28" s="203">
        <f t="shared" si="18"/>
        <v>5056.2903225806449</v>
      </c>
      <c r="D28">
        <f t="shared" si="19"/>
        <v>235</v>
      </c>
      <c r="E28" s="203">
        <f t="shared" si="18"/>
        <v>5056.2903225806449</v>
      </c>
      <c r="F28">
        <f t="shared" si="20"/>
        <v>235</v>
      </c>
      <c r="G28" s="203">
        <f t="shared" si="1"/>
        <v>5056.2903225806449</v>
      </c>
      <c r="H28" s="203">
        <f t="shared" si="21"/>
        <v>235</v>
      </c>
      <c r="I28" s="203">
        <f t="shared" si="2"/>
        <v>5056.2903225806449</v>
      </c>
      <c r="J28" s="203">
        <f t="shared" si="22"/>
        <v>235</v>
      </c>
      <c r="K28" s="203">
        <f t="shared" si="3"/>
        <v>5056.2903225806449</v>
      </c>
      <c r="L28" s="203">
        <f t="shared" si="23"/>
        <v>235</v>
      </c>
      <c r="M28" s="203">
        <f t="shared" si="4"/>
        <v>5056.2903225806449</v>
      </c>
      <c r="N28" s="203">
        <f t="shared" si="24"/>
        <v>235</v>
      </c>
      <c r="O28" s="203">
        <f t="shared" si="5"/>
        <v>5056.2903225806449</v>
      </c>
      <c r="P28" s="203">
        <f t="shared" si="25"/>
        <v>235</v>
      </c>
      <c r="Q28" s="203">
        <f t="shared" si="6"/>
        <v>5056.2903225806449</v>
      </c>
      <c r="R28" s="203">
        <f t="shared" si="26"/>
        <v>235</v>
      </c>
      <c r="S28" s="203">
        <f t="shared" si="7"/>
        <v>5056.2903225806449</v>
      </c>
      <c r="T28" s="203">
        <f t="shared" si="27"/>
        <v>235</v>
      </c>
      <c r="U28" s="203">
        <f t="shared" si="8"/>
        <v>5056.2903225806449</v>
      </c>
      <c r="V28" s="203">
        <f t="shared" si="28"/>
        <v>235</v>
      </c>
      <c r="W28" s="203">
        <f t="shared" si="9"/>
        <v>5056.2903225806449</v>
      </c>
      <c r="X28" s="35">
        <f t="shared" si="10"/>
        <v>0.75806451612903214</v>
      </c>
      <c r="Y28" s="36">
        <f t="shared" si="29"/>
        <v>55619.193548387091</v>
      </c>
      <c r="Z28" s="203">
        <f>'B5'!C27</f>
        <v>243</v>
      </c>
      <c r="AA28" s="203">
        <f t="shared" si="30"/>
        <v>2430</v>
      </c>
      <c r="AB28" s="203">
        <f t="shared" si="31"/>
        <v>243</v>
      </c>
      <c r="AC28" s="203">
        <f t="shared" si="30"/>
        <v>2430</v>
      </c>
      <c r="AD28" s="203">
        <f t="shared" si="32"/>
        <v>243</v>
      </c>
      <c r="AE28" s="203">
        <f t="shared" si="11"/>
        <v>2430</v>
      </c>
      <c r="AF28" s="203">
        <f t="shared" si="33"/>
        <v>243</v>
      </c>
      <c r="AG28" s="203">
        <f t="shared" si="12"/>
        <v>2430</v>
      </c>
      <c r="AH28" s="203">
        <f t="shared" si="34"/>
        <v>243</v>
      </c>
      <c r="AI28" s="203">
        <f t="shared" si="13"/>
        <v>2430</v>
      </c>
      <c r="AJ28" s="203">
        <f t="shared" si="35"/>
        <v>243</v>
      </c>
      <c r="AK28" s="203">
        <f t="shared" si="14"/>
        <v>2430</v>
      </c>
      <c r="AL28" s="203">
        <f t="shared" si="36"/>
        <v>243</v>
      </c>
      <c r="AM28" s="203">
        <f t="shared" si="15"/>
        <v>2430</v>
      </c>
      <c r="AN28" s="35">
        <f t="shared" si="16"/>
        <v>0.86785714285714288</v>
      </c>
      <c r="AO28" s="36">
        <f t="shared" si="40"/>
        <v>17010</v>
      </c>
      <c r="AQ28" s="223">
        <f t="shared" si="41"/>
        <v>0.78121107398501766</v>
      </c>
      <c r="AR28" s="38">
        <f t="shared" si="37"/>
        <v>72629.193548387091</v>
      </c>
      <c r="AS28" s="197">
        <f t="shared" si="47"/>
        <v>-1863.2258064516063</v>
      </c>
      <c r="AT28" s="340">
        <v>5070</v>
      </c>
      <c r="AU28" s="549">
        <v>1.026</v>
      </c>
      <c r="AV28" s="485">
        <f t="shared" si="43"/>
        <v>1.026</v>
      </c>
      <c r="AW28" s="279">
        <f>-SUM('B5'!AI27)</f>
        <v>-378</v>
      </c>
      <c r="AX28" s="279">
        <f t="shared" si="17"/>
        <v>-1485.2258064516063</v>
      </c>
      <c r="AY28" s="37">
        <f t="shared" si="38"/>
        <v>-1863.2258064516063</v>
      </c>
      <c r="AZ28" s="100">
        <f>ELEC!A26</f>
        <v>0</v>
      </c>
      <c r="BA28" s="118">
        <f>'General information '!D27</f>
        <v>12</v>
      </c>
      <c r="BB28" s="378">
        <f>SUM('General information '!E27)</f>
        <v>0.56000000000000005</v>
      </c>
      <c r="BC28" s="3">
        <f t="shared" si="44"/>
        <v>1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-99.01505376344042</v>
      </c>
      <c r="BK28" s="538">
        <f>GEN!AF25</f>
        <v>0.3106250000000314</v>
      </c>
    </row>
    <row r="29" spans="1:64">
      <c r="A29" s="425">
        <f>ELEC!C27</f>
        <v>44644</v>
      </c>
      <c r="B29">
        <f>'B5'!B28</f>
        <v>235</v>
      </c>
      <c r="C29" s="203">
        <f t="shared" si="18"/>
        <v>5056.2903225806449</v>
      </c>
      <c r="D29">
        <f t="shared" si="19"/>
        <v>235</v>
      </c>
      <c r="E29" s="203">
        <f t="shared" si="18"/>
        <v>5056.2903225806449</v>
      </c>
      <c r="F29">
        <f t="shared" si="20"/>
        <v>235</v>
      </c>
      <c r="G29" s="203">
        <f t="shared" si="1"/>
        <v>5056.2903225806449</v>
      </c>
      <c r="H29" s="203">
        <f t="shared" si="21"/>
        <v>235</v>
      </c>
      <c r="I29" s="203">
        <f t="shared" si="2"/>
        <v>5056.2903225806449</v>
      </c>
      <c r="J29" s="203">
        <f t="shared" si="22"/>
        <v>235</v>
      </c>
      <c r="K29" s="203">
        <f t="shared" si="3"/>
        <v>5056.2903225806449</v>
      </c>
      <c r="L29" s="203">
        <f t="shared" si="23"/>
        <v>235</v>
      </c>
      <c r="M29" s="203">
        <f t="shared" si="4"/>
        <v>5056.2903225806449</v>
      </c>
      <c r="N29" s="203">
        <f t="shared" si="24"/>
        <v>235</v>
      </c>
      <c r="O29" s="203">
        <f t="shared" si="5"/>
        <v>5056.2903225806449</v>
      </c>
      <c r="P29" s="203">
        <f t="shared" si="25"/>
        <v>235</v>
      </c>
      <c r="Q29" s="203">
        <f t="shared" si="6"/>
        <v>5056.2903225806449</v>
      </c>
      <c r="R29" s="203">
        <f t="shared" si="26"/>
        <v>235</v>
      </c>
      <c r="S29" s="203">
        <f t="shared" si="7"/>
        <v>5056.2903225806449</v>
      </c>
      <c r="T29" s="203">
        <f t="shared" si="27"/>
        <v>235</v>
      </c>
      <c r="U29" s="203">
        <f t="shared" si="8"/>
        <v>5056.2903225806449</v>
      </c>
      <c r="V29" s="203">
        <f t="shared" si="28"/>
        <v>235</v>
      </c>
      <c r="W29" s="203">
        <f t="shared" si="9"/>
        <v>5056.2903225806449</v>
      </c>
      <c r="X29" s="35">
        <f t="shared" si="10"/>
        <v>0.75806451612903214</v>
      </c>
      <c r="Y29" s="36">
        <f t="shared" si="29"/>
        <v>55619.193548387091</v>
      </c>
      <c r="Z29" s="203">
        <f>'B5'!C28</f>
        <v>243</v>
      </c>
      <c r="AA29" s="203">
        <f t="shared" si="30"/>
        <v>2430</v>
      </c>
      <c r="AB29" s="203">
        <f t="shared" si="31"/>
        <v>243</v>
      </c>
      <c r="AC29" s="203">
        <f t="shared" si="30"/>
        <v>2430</v>
      </c>
      <c r="AD29" s="203">
        <f t="shared" si="32"/>
        <v>243</v>
      </c>
      <c r="AE29" s="203">
        <f t="shared" si="11"/>
        <v>2430</v>
      </c>
      <c r="AF29" s="203">
        <f t="shared" si="33"/>
        <v>243</v>
      </c>
      <c r="AG29" s="203">
        <f t="shared" si="12"/>
        <v>2430</v>
      </c>
      <c r="AH29" s="203">
        <f t="shared" si="34"/>
        <v>243</v>
      </c>
      <c r="AI29" s="203">
        <f t="shared" si="13"/>
        <v>2430</v>
      </c>
      <c r="AJ29" s="203">
        <f t="shared" si="35"/>
        <v>243</v>
      </c>
      <c r="AK29" s="203">
        <f t="shared" si="14"/>
        <v>2430</v>
      </c>
      <c r="AL29" s="203">
        <f t="shared" si="36"/>
        <v>243</v>
      </c>
      <c r="AM29" s="203">
        <f t="shared" si="15"/>
        <v>2430</v>
      </c>
      <c r="AN29" s="35">
        <f t="shared" si="16"/>
        <v>0.86785714285714288</v>
      </c>
      <c r="AO29" s="36">
        <f t="shared" si="40"/>
        <v>17010</v>
      </c>
      <c r="AQ29" s="223">
        <f t="shared" si="41"/>
        <v>0.78121107398501766</v>
      </c>
      <c r="AR29" s="38">
        <f t="shared" si="37"/>
        <v>72629.193548387091</v>
      </c>
      <c r="AS29" s="197">
        <f>SUM(AR29-AR28-AT29)</f>
        <v>0</v>
      </c>
      <c r="AT29" s="340"/>
      <c r="AU29" s="549"/>
      <c r="AV29" s="485">
        <f t="shared" si="43"/>
        <v>1.026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235</v>
      </c>
      <c r="C30" s="203">
        <f t="shared" si="18"/>
        <v>5056.2903225806449</v>
      </c>
      <c r="D30">
        <f>SUM(B30)</f>
        <v>235</v>
      </c>
      <c r="E30" s="203">
        <f t="shared" si="18"/>
        <v>5056.2903225806449</v>
      </c>
      <c r="F30">
        <f>SUM(D30)</f>
        <v>235</v>
      </c>
      <c r="G30" s="203">
        <f t="shared" si="1"/>
        <v>5056.2903225806449</v>
      </c>
      <c r="H30" s="203">
        <f>SUM(F30)</f>
        <v>235</v>
      </c>
      <c r="I30" s="203">
        <f t="shared" si="2"/>
        <v>5056.2903225806449</v>
      </c>
      <c r="J30" s="203">
        <f>SUM(H30)</f>
        <v>235</v>
      </c>
      <c r="K30" s="203">
        <f t="shared" si="3"/>
        <v>5056.2903225806449</v>
      </c>
      <c r="L30" s="203">
        <f>SUM(J30)</f>
        <v>235</v>
      </c>
      <c r="M30" s="203">
        <f t="shared" si="4"/>
        <v>5056.2903225806449</v>
      </c>
      <c r="N30" s="203">
        <f>SUM(L30)</f>
        <v>235</v>
      </c>
      <c r="O30" s="203">
        <f t="shared" si="5"/>
        <v>5056.2903225806449</v>
      </c>
      <c r="P30" s="203">
        <f>SUM(N30)</f>
        <v>235</v>
      </c>
      <c r="Q30" s="203">
        <f t="shared" si="6"/>
        <v>5056.2903225806449</v>
      </c>
      <c r="R30" s="203">
        <f>SUM(P30)</f>
        <v>235</v>
      </c>
      <c r="S30" s="203">
        <f t="shared" si="7"/>
        <v>5056.2903225806449</v>
      </c>
      <c r="T30" s="203">
        <f>SUM(R30)</f>
        <v>235</v>
      </c>
      <c r="U30" s="203">
        <f t="shared" si="8"/>
        <v>5056.2903225806449</v>
      </c>
      <c r="V30" s="203">
        <f>SUM(T30)</f>
        <v>235</v>
      </c>
      <c r="W30" s="203">
        <f t="shared" si="9"/>
        <v>5056.2903225806449</v>
      </c>
      <c r="X30" s="35">
        <f>SUM(Y30/73370)</f>
        <v>0.75806451612903214</v>
      </c>
      <c r="Y30" s="36">
        <f>SUM(C30+E30+G30+I30+K30+M30+O30+Q30+S30+U30+W30)</f>
        <v>55619.193548387091</v>
      </c>
      <c r="Z30" s="203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1"/>
        <v>0.78121107398501766</v>
      </c>
      <c r="AR30" s="38">
        <f t="shared" si="37"/>
        <v>72629.193548387091</v>
      </c>
      <c r="AS30" s="197">
        <f>SUM(AR30-AR29-AT30)</f>
        <v>0</v>
      </c>
      <c r="AT30" s="340"/>
      <c r="AU30" s="549"/>
      <c r="AV30" s="485">
        <f t="shared" si="43"/>
        <v>1.026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235</v>
      </c>
      <c r="C31" s="203">
        <f t="shared" si="18"/>
        <v>5056.2903225806449</v>
      </c>
      <c r="D31">
        <f>SUM(B31)</f>
        <v>235</v>
      </c>
      <c r="E31" s="203">
        <f t="shared" si="18"/>
        <v>5056.2903225806449</v>
      </c>
      <c r="F31">
        <f>SUM(D31)</f>
        <v>235</v>
      </c>
      <c r="G31" s="203">
        <f t="shared" si="1"/>
        <v>5056.2903225806449</v>
      </c>
      <c r="H31" s="203">
        <f>SUM(F31)</f>
        <v>235</v>
      </c>
      <c r="I31" s="203">
        <f t="shared" si="2"/>
        <v>5056.2903225806449</v>
      </c>
      <c r="J31" s="203">
        <f>SUM(H31)</f>
        <v>235</v>
      </c>
      <c r="K31" s="203">
        <f t="shared" si="3"/>
        <v>5056.2903225806449</v>
      </c>
      <c r="L31" s="203">
        <f>SUM(J31)</f>
        <v>235</v>
      </c>
      <c r="M31" s="203">
        <f t="shared" si="4"/>
        <v>5056.2903225806449</v>
      </c>
      <c r="N31" s="203">
        <f>SUM(L31)</f>
        <v>235</v>
      </c>
      <c r="O31" s="203">
        <f t="shared" si="5"/>
        <v>5056.2903225806449</v>
      </c>
      <c r="P31" s="203">
        <f>SUM(N31)</f>
        <v>235</v>
      </c>
      <c r="Q31" s="203">
        <f t="shared" si="6"/>
        <v>5056.2903225806449</v>
      </c>
      <c r="R31" s="203">
        <f>SUM(P31)</f>
        <v>235</v>
      </c>
      <c r="S31" s="203">
        <f t="shared" si="7"/>
        <v>5056.2903225806449</v>
      </c>
      <c r="T31" s="203">
        <f>SUM(R31)</f>
        <v>235</v>
      </c>
      <c r="U31" s="203">
        <f t="shared" si="8"/>
        <v>5056.2903225806449</v>
      </c>
      <c r="V31" s="203">
        <f>SUM(T31)</f>
        <v>235</v>
      </c>
      <c r="W31" s="203">
        <f t="shared" si="9"/>
        <v>5056.2903225806449</v>
      </c>
      <c r="X31" s="35">
        <f>SUM(Y31/73370)</f>
        <v>0.75806451612903214</v>
      </c>
      <c r="Y31" s="36">
        <f>SUM(C31+E31+G31+I31+K31+M31+O31+Q31+S31+U31+W31)</f>
        <v>55619.193548387091</v>
      </c>
      <c r="Z31" s="203">
        <f>'B5'!C30</f>
        <v>243</v>
      </c>
      <c r="AA31" s="203">
        <f t="shared" si="30"/>
        <v>2430</v>
      </c>
      <c r="AB31" s="203">
        <f>SUM(Z31)</f>
        <v>243</v>
      </c>
      <c r="AC31" s="203">
        <f t="shared" si="30"/>
        <v>2430</v>
      </c>
      <c r="AD31" s="203">
        <f>SUM(AB31)</f>
        <v>243</v>
      </c>
      <c r="AE31" s="203">
        <f t="shared" si="11"/>
        <v>2430</v>
      </c>
      <c r="AF31" s="203">
        <f>SUM(AD31)</f>
        <v>243</v>
      </c>
      <c r="AG31" s="203">
        <f t="shared" si="12"/>
        <v>2430</v>
      </c>
      <c r="AH31" s="203">
        <f>SUM(AF31)</f>
        <v>243</v>
      </c>
      <c r="AI31" s="203">
        <f t="shared" si="13"/>
        <v>2430</v>
      </c>
      <c r="AJ31" s="203">
        <f>SUM(AH31)</f>
        <v>243</v>
      </c>
      <c r="AK31" s="203">
        <f t="shared" si="14"/>
        <v>2430</v>
      </c>
      <c r="AL31" s="203">
        <f>SUM(AJ31)</f>
        <v>243</v>
      </c>
      <c r="AM31" s="203">
        <f t="shared" si="15"/>
        <v>2430</v>
      </c>
      <c r="AN31" s="35">
        <f>SUM(AO31/19600)</f>
        <v>0.86785714285714288</v>
      </c>
      <c r="AO31" s="36">
        <f>SUM(AA31+AC31+AE31+AG31+AI31+AK31+AM31)</f>
        <v>17010</v>
      </c>
      <c r="AQ31" s="223">
        <f t="shared" si="41"/>
        <v>0.78121107398501766</v>
      </c>
      <c r="AR31" s="38">
        <f t="shared" si="37"/>
        <v>72629.193548387091</v>
      </c>
      <c r="AS31" s="197">
        <f t="shared" si="47"/>
        <v>0</v>
      </c>
      <c r="AT31" s="340"/>
      <c r="AU31" s="571"/>
      <c r="AV31" s="485">
        <f t="shared" si="43"/>
        <v>1.026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235</v>
      </c>
      <c r="C32" s="203">
        <f t="shared" si="18"/>
        <v>5056.2903225806449</v>
      </c>
      <c r="D32">
        <f>SUM(B32)</f>
        <v>235</v>
      </c>
      <c r="E32" s="203">
        <f t="shared" si="18"/>
        <v>5056.2903225806449</v>
      </c>
      <c r="F32">
        <f>SUM(D32)</f>
        <v>235</v>
      </c>
      <c r="G32" s="203">
        <f t="shared" si="1"/>
        <v>5056.2903225806449</v>
      </c>
      <c r="H32" s="203">
        <f>SUM(F32)</f>
        <v>235</v>
      </c>
      <c r="I32" s="203">
        <f t="shared" si="2"/>
        <v>5056.2903225806449</v>
      </c>
      <c r="J32" s="203">
        <f>SUM(H32)</f>
        <v>235</v>
      </c>
      <c r="K32" s="203">
        <f t="shared" si="3"/>
        <v>5056.2903225806449</v>
      </c>
      <c r="L32" s="203">
        <f>SUM(J32)</f>
        <v>235</v>
      </c>
      <c r="M32" s="203">
        <f t="shared" si="4"/>
        <v>5056.2903225806449</v>
      </c>
      <c r="N32" s="203">
        <f>SUM(L32)</f>
        <v>235</v>
      </c>
      <c r="O32" s="203">
        <f t="shared" si="5"/>
        <v>5056.2903225806449</v>
      </c>
      <c r="P32" s="203">
        <f>SUM(N32)</f>
        <v>235</v>
      </c>
      <c r="Q32" s="203">
        <f t="shared" si="6"/>
        <v>5056.2903225806449</v>
      </c>
      <c r="R32" s="203">
        <f>SUM(P32)</f>
        <v>235</v>
      </c>
      <c r="S32" s="203">
        <f t="shared" si="7"/>
        <v>5056.2903225806449</v>
      </c>
      <c r="T32" s="203">
        <f>SUM(R32)</f>
        <v>235</v>
      </c>
      <c r="U32" s="203">
        <f t="shared" si="8"/>
        <v>5056.2903225806449</v>
      </c>
      <c r="V32" s="203">
        <f>SUM(T32)</f>
        <v>235</v>
      </c>
      <c r="W32" s="203">
        <f t="shared" si="9"/>
        <v>5056.2903225806449</v>
      </c>
      <c r="X32" s="35">
        <f>SUM(Y32/73370)</f>
        <v>0.75806451612903214</v>
      </c>
      <c r="Y32" s="36">
        <f>SUM(C32+E32+G32+I32+K32+M32+O32+Q32+S32+U32+W32)</f>
        <v>55619.193548387091</v>
      </c>
      <c r="Z32" s="203">
        <f>'B5'!C31</f>
        <v>243</v>
      </c>
      <c r="AA32" s="203">
        <f t="shared" si="30"/>
        <v>2430</v>
      </c>
      <c r="AB32" s="203">
        <f>SUM(Z32)</f>
        <v>243</v>
      </c>
      <c r="AC32" s="203">
        <f t="shared" si="30"/>
        <v>2430</v>
      </c>
      <c r="AD32" s="203">
        <f>SUM(AB32)</f>
        <v>243</v>
      </c>
      <c r="AE32" s="203">
        <f t="shared" si="11"/>
        <v>2430</v>
      </c>
      <c r="AF32" s="203">
        <f>SUM(AD32)</f>
        <v>243</v>
      </c>
      <c r="AG32" s="203">
        <f t="shared" si="12"/>
        <v>2430</v>
      </c>
      <c r="AH32" s="203">
        <f>SUM(AF32)</f>
        <v>243</v>
      </c>
      <c r="AI32" s="203">
        <f t="shared" si="13"/>
        <v>2430</v>
      </c>
      <c r="AJ32" s="203">
        <f>SUM(AH32)</f>
        <v>243</v>
      </c>
      <c r="AK32" s="203">
        <f t="shared" si="14"/>
        <v>2430</v>
      </c>
      <c r="AL32" s="203">
        <f>SUM(AJ32)</f>
        <v>243</v>
      </c>
      <c r="AM32" s="203">
        <f t="shared" si="15"/>
        <v>2430</v>
      </c>
      <c r="AN32" s="35">
        <f>SUM(AO32/19600)</f>
        <v>0.86785714285714288</v>
      </c>
      <c r="AO32" s="36">
        <f>SUM(AA32+AC32+AE32+AG32+AI32+AK32+AM32)</f>
        <v>17010</v>
      </c>
      <c r="AQ32" s="223">
        <f t="shared" si="41"/>
        <v>0.78121107398501766</v>
      </c>
      <c r="AR32" s="38">
        <f t="shared" si="37"/>
        <v>72629.193548387091</v>
      </c>
      <c r="AS32" s="197">
        <f t="shared" si="47"/>
        <v>0</v>
      </c>
      <c r="AT32" s="340"/>
      <c r="AU32" s="548"/>
      <c r="AV32" s="485">
        <f>IF(AT32&gt;0,AU32,AV31)</f>
        <v>1.026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235</v>
      </c>
      <c r="C33" s="203">
        <f t="shared" si="18"/>
        <v>5056.2903225806449</v>
      </c>
      <c r="D33">
        <f>SUM(B33)</f>
        <v>235</v>
      </c>
      <c r="E33" s="203">
        <f t="shared" si="18"/>
        <v>5056.2903225806449</v>
      </c>
      <c r="F33">
        <f>SUM(D33)</f>
        <v>235</v>
      </c>
      <c r="G33" s="203">
        <f t="shared" si="1"/>
        <v>5056.2903225806449</v>
      </c>
      <c r="H33" s="203">
        <f>SUM(F33)</f>
        <v>235</v>
      </c>
      <c r="I33" s="203">
        <f t="shared" si="2"/>
        <v>5056.2903225806449</v>
      </c>
      <c r="J33" s="203">
        <f>SUM(H33)</f>
        <v>235</v>
      </c>
      <c r="K33" s="203">
        <f t="shared" si="3"/>
        <v>5056.2903225806449</v>
      </c>
      <c r="L33" s="203">
        <f>SUM(J33)</f>
        <v>235</v>
      </c>
      <c r="M33" s="203">
        <f t="shared" si="4"/>
        <v>5056.2903225806449</v>
      </c>
      <c r="N33" s="203">
        <f>SUM(L33)</f>
        <v>235</v>
      </c>
      <c r="O33" s="203">
        <f t="shared" si="5"/>
        <v>5056.2903225806449</v>
      </c>
      <c r="P33" s="203">
        <f>SUM(N33)</f>
        <v>235</v>
      </c>
      <c r="Q33" s="203">
        <f t="shared" si="6"/>
        <v>5056.2903225806449</v>
      </c>
      <c r="R33" s="203">
        <f>SUM(P33)</f>
        <v>235</v>
      </c>
      <c r="S33" s="203">
        <f t="shared" si="7"/>
        <v>5056.2903225806449</v>
      </c>
      <c r="T33" s="203">
        <f>SUM(R33)</f>
        <v>235</v>
      </c>
      <c r="U33" s="203">
        <f t="shared" si="8"/>
        <v>5056.2903225806449</v>
      </c>
      <c r="V33" s="203">
        <f>SUM(T33)</f>
        <v>235</v>
      </c>
      <c r="W33" s="203">
        <f t="shared" si="9"/>
        <v>5056.2903225806449</v>
      </c>
      <c r="X33" s="35">
        <f>SUM(Y33/73370)</f>
        <v>0.75806451612903214</v>
      </c>
      <c r="Y33" s="36">
        <f>SUM(C33+E33+G33+I33+K33+M33+O33+Q33+S33+U33+W33)</f>
        <v>55619.193548387091</v>
      </c>
      <c r="Z33" s="203">
        <f>'B5'!C32</f>
        <v>243</v>
      </c>
      <c r="AA33" s="203">
        <f t="shared" si="30"/>
        <v>2430</v>
      </c>
      <c r="AB33" s="203">
        <f>SUM(Z33)</f>
        <v>243</v>
      </c>
      <c r="AC33" s="203">
        <f t="shared" si="30"/>
        <v>2430</v>
      </c>
      <c r="AD33" s="203">
        <f>SUM(AB33)</f>
        <v>243</v>
      </c>
      <c r="AE33" s="203">
        <f t="shared" si="11"/>
        <v>2430</v>
      </c>
      <c r="AF33" s="203">
        <f>SUM(AD33)</f>
        <v>243</v>
      </c>
      <c r="AG33" s="203">
        <f t="shared" si="12"/>
        <v>2430</v>
      </c>
      <c r="AH33" s="203">
        <f>SUM(AF33)</f>
        <v>243</v>
      </c>
      <c r="AI33" s="203">
        <f t="shared" si="13"/>
        <v>2430</v>
      </c>
      <c r="AJ33" s="203">
        <f>SUM(AH33)</f>
        <v>243</v>
      </c>
      <c r="AK33" s="203">
        <f t="shared" si="14"/>
        <v>2430</v>
      </c>
      <c r="AL33" s="203">
        <f>SUM(AJ33)</f>
        <v>243</v>
      </c>
      <c r="AM33" s="203">
        <f t="shared" si="15"/>
        <v>2430</v>
      </c>
      <c r="AN33" s="35">
        <f>SUM(AO33/19600)</f>
        <v>0.86785714285714288</v>
      </c>
      <c r="AO33" s="36">
        <f>SUM(AA33+AC33+AE33+AG33+AI33+AK33+AM33)</f>
        <v>17010</v>
      </c>
      <c r="AQ33" s="223">
        <f t="shared" si="41"/>
        <v>0.78121107398501766</v>
      </c>
      <c r="AR33" s="38">
        <f t="shared" si="37"/>
        <v>72629.193548387091</v>
      </c>
      <c r="AS33" s="197">
        <f>SUM(AR33-AR32-AT33)</f>
        <v>0</v>
      </c>
      <c r="AT33" s="340"/>
      <c r="AU33" s="548"/>
      <c r="AV33" s="485">
        <f>IF(AT33&gt;0,AU33,AV32)</f>
        <v>1.026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235</v>
      </c>
      <c r="C34" s="203">
        <f t="shared" ref="C34:C36" si="48">B34*$B$4</f>
        <v>5056.2903225806449</v>
      </c>
      <c r="D34">
        <f t="shared" ref="D34:D36" si="49">SUM(B34)</f>
        <v>235</v>
      </c>
      <c r="E34" s="203">
        <f t="shared" ref="E34:E36" si="50">D34*$B$4</f>
        <v>5056.2903225806449</v>
      </c>
      <c r="F34">
        <f t="shared" ref="F34:F36" si="51">SUM(D34)</f>
        <v>235</v>
      </c>
      <c r="G34" s="203">
        <f t="shared" ref="G34:G36" si="52">F34*$B$4</f>
        <v>5056.2903225806449</v>
      </c>
      <c r="H34" s="203">
        <f t="shared" ref="H34:H36" si="53">SUM(F34)</f>
        <v>235</v>
      </c>
      <c r="I34" s="203">
        <f t="shared" ref="I34:I36" si="54">H34*$B$4</f>
        <v>5056.2903225806449</v>
      </c>
      <c r="J34" s="203">
        <f t="shared" ref="J34:J36" si="55">SUM(H34)</f>
        <v>235</v>
      </c>
      <c r="K34" s="203">
        <f t="shared" ref="K34:K36" si="56">J34*$B$4</f>
        <v>5056.2903225806449</v>
      </c>
      <c r="L34" s="203">
        <f t="shared" ref="L34:L36" si="57">SUM(J34)</f>
        <v>235</v>
      </c>
      <c r="M34" s="203">
        <f t="shared" ref="M34:M36" si="58">L34*$B$4</f>
        <v>5056.2903225806449</v>
      </c>
      <c r="N34" s="203">
        <f t="shared" ref="N34:N36" si="59">SUM(L34)</f>
        <v>235</v>
      </c>
      <c r="O34" s="203">
        <f t="shared" ref="O34:O36" si="60">N34*$B$4</f>
        <v>5056.2903225806449</v>
      </c>
      <c r="P34" s="203">
        <f t="shared" ref="P34:P36" si="61">SUM(N34)</f>
        <v>235</v>
      </c>
      <c r="Q34" s="203">
        <f t="shared" ref="Q34:Q36" si="62">P34*$B$4</f>
        <v>5056.2903225806449</v>
      </c>
      <c r="R34" s="203">
        <f t="shared" ref="R34:R36" si="63">SUM(P34)</f>
        <v>235</v>
      </c>
      <c r="S34" s="203">
        <f t="shared" ref="S34:S36" si="64">R34*$B$4</f>
        <v>5056.2903225806449</v>
      </c>
      <c r="T34" s="203">
        <f t="shared" ref="T34:T36" si="65">SUM(R34)</f>
        <v>235</v>
      </c>
      <c r="U34" s="203">
        <f t="shared" ref="U34:U36" si="66">T34*$B$4</f>
        <v>5056.2903225806449</v>
      </c>
      <c r="V34" s="203">
        <f t="shared" ref="V34:V36" si="67">SUM(T34)</f>
        <v>235</v>
      </c>
      <c r="W34" s="203">
        <f t="shared" ref="W34:W36" si="68">V34*$B$4</f>
        <v>5056.2903225806449</v>
      </c>
      <c r="X34" s="35">
        <f t="shared" ref="X34:X36" si="69">SUM(Y34/73370)</f>
        <v>0.75806451612903214</v>
      </c>
      <c r="Y34" s="36">
        <f t="shared" ref="Y34:Y36" si="70">SUM(C34+E34+G34+I34+K34+M34+O34+Q34+S34+U34+W34)</f>
        <v>55619.193548387091</v>
      </c>
      <c r="Z34" s="203">
        <f>'B5'!C33</f>
        <v>243</v>
      </c>
      <c r="AA34" s="203">
        <f t="shared" ref="AA34:AA36" si="71">SUM(Z34*$Z$4)</f>
        <v>2430</v>
      </c>
      <c r="AB34" s="203">
        <f t="shared" ref="AB34:AB36" si="72">SUM(Z34)</f>
        <v>243</v>
      </c>
      <c r="AC34" s="203">
        <f t="shared" ref="AC34:AC36" si="73">SUM(AB34*$Z$4)</f>
        <v>2430</v>
      </c>
      <c r="AD34" s="203">
        <f t="shared" ref="AD34:AD36" si="74">SUM(AB34)</f>
        <v>243</v>
      </c>
      <c r="AE34" s="203">
        <f t="shared" ref="AE34:AE36" si="75">SUM(AD34*$Z$4)</f>
        <v>2430</v>
      </c>
      <c r="AF34" s="203">
        <f t="shared" ref="AF34:AF36" si="76">SUM(AD34)</f>
        <v>243</v>
      </c>
      <c r="AG34" s="203">
        <f t="shared" ref="AG34:AG36" si="77">SUM(AF34*$Z$4)</f>
        <v>2430</v>
      </c>
      <c r="AH34" s="203">
        <f t="shared" ref="AH34:AH36" si="78">SUM(AF34)</f>
        <v>243</v>
      </c>
      <c r="AI34" s="203">
        <f t="shared" ref="AI34:AI36" si="79">SUM(AH34*$Z$4)</f>
        <v>2430</v>
      </c>
      <c r="AJ34" s="203">
        <f t="shared" ref="AJ34:AJ36" si="80">SUM(AH34)</f>
        <v>243</v>
      </c>
      <c r="AK34" s="203">
        <f t="shared" ref="AK34:AK36" si="81">SUM(AJ34*$Z$4)</f>
        <v>2430</v>
      </c>
      <c r="AL34" s="203">
        <f t="shared" ref="AL34:AL36" si="82">SUM(AJ34)</f>
        <v>243</v>
      </c>
      <c r="AM34" s="203">
        <f t="shared" ref="AM34:AM36" si="83">SUM(AL34*$Z$4)</f>
        <v>2430</v>
      </c>
      <c r="AN34" s="35">
        <f t="shared" ref="AN34:AN36" si="84">SUM(AO34/19600)</f>
        <v>0.86785714285714288</v>
      </c>
      <c r="AO34" s="36">
        <f t="shared" ref="AO34:AO36" si="85">SUM(AA34+AC34+AE34+AG34+AI34+AK34+AM34)</f>
        <v>17010</v>
      </c>
      <c r="AQ34" s="223">
        <f t="shared" ref="AQ34:AQ36" si="86">SUM(AR34/92970)</f>
        <v>0.78121107398501766</v>
      </c>
      <c r="AR34" s="38">
        <f t="shared" ref="AR34:AR36" si="87">Y34+AO34</f>
        <v>72629.193548387091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1.026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235</v>
      </c>
      <c r="C35" s="203">
        <f t="shared" si="48"/>
        <v>5056.2903225806449</v>
      </c>
      <c r="D35">
        <f t="shared" si="49"/>
        <v>235</v>
      </c>
      <c r="E35" s="203">
        <f t="shared" si="50"/>
        <v>5056.2903225806449</v>
      </c>
      <c r="F35">
        <f t="shared" si="51"/>
        <v>235</v>
      </c>
      <c r="G35" s="203">
        <f t="shared" si="52"/>
        <v>5056.2903225806449</v>
      </c>
      <c r="H35" s="203">
        <f t="shared" si="53"/>
        <v>235</v>
      </c>
      <c r="I35" s="203">
        <f t="shared" si="54"/>
        <v>5056.2903225806449</v>
      </c>
      <c r="J35" s="203">
        <f t="shared" si="55"/>
        <v>235</v>
      </c>
      <c r="K35" s="203">
        <f t="shared" si="56"/>
        <v>5056.2903225806449</v>
      </c>
      <c r="L35" s="203">
        <f t="shared" si="57"/>
        <v>235</v>
      </c>
      <c r="M35" s="203">
        <f t="shared" si="58"/>
        <v>5056.2903225806449</v>
      </c>
      <c r="N35" s="203">
        <f t="shared" si="59"/>
        <v>235</v>
      </c>
      <c r="O35" s="203">
        <f t="shared" si="60"/>
        <v>5056.2903225806449</v>
      </c>
      <c r="P35" s="203">
        <f t="shared" si="61"/>
        <v>235</v>
      </c>
      <c r="Q35" s="203">
        <f t="shared" si="62"/>
        <v>5056.2903225806449</v>
      </c>
      <c r="R35" s="203">
        <f t="shared" si="63"/>
        <v>235</v>
      </c>
      <c r="S35" s="203">
        <f t="shared" si="64"/>
        <v>5056.2903225806449</v>
      </c>
      <c r="T35" s="203">
        <f t="shared" si="65"/>
        <v>235</v>
      </c>
      <c r="U35" s="203">
        <f t="shared" si="66"/>
        <v>5056.2903225806449</v>
      </c>
      <c r="V35" s="203">
        <f t="shared" si="67"/>
        <v>235</v>
      </c>
      <c r="W35" s="203">
        <f t="shared" si="68"/>
        <v>5056.2903225806449</v>
      </c>
      <c r="X35" s="35">
        <f t="shared" si="69"/>
        <v>0.75806451612903214</v>
      </c>
      <c r="Y35" s="36">
        <f t="shared" si="70"/>
        <v>55619.193548387091</v>
      </c>
      <c r="Z35" s="203">
        <f>'B5'!C34</f>
        <v>243</v>
      </c>
      <c r="AA35" s="203">
        <f t="shared" si="71"/>
        <v>2430</v>
      </c>
      <c r="AB35" s="203">
        <f t="shared" si="72"/>
        <v>243</v>
      </c>
      <c r="AC35" s="203">
        <f t="shared" si="73"/>
        <v>2430</v>
      </c>
      <c r="AD35" s="203">
        <f t="shared" si="74"/>
        <v>243</v>
      </c>
      <c r="AE35" s="203">
        <f t="shared" si="75"/>
        <v>2430</v>
      </c>
      <c r="AF35" s="203">
        <f t="shared" si="76"/>
        <v>243</v>
      </c>
      <c r="AG35" s="203">
        <f t="shared" si="77"/>
        <v>2430</v>
      </c>
      <c r="AH35" s="203">
        <f t="shared" si="78"/>
        <v>243</v>
      </c>
      <c r="AI35" s="203">
        <f t="shared" si="79"/>
        <v>2430</v>
      </c>
      <c r="AJ35" s="203">
        <f t="shared" si="80"/>
        <v>243</v>
      </c>
      <c r="AK35" s="203">
        <f t="shared" si="81"/>
        <v>2430</v>
      </c>
      <c r="AL35" s="203">
        <f t="shared" si="82"/>
        <v>243</v>
      </c>
      <c r="AM35" s="203">
        <f t="shared" si="83"/>
        <v>2430</v>
      </c>
      <c r="AN35" s="35">
        <f t="shared" si="84"/>
        <v>0.86785714285714288</v>
      </c>
      <c r="AO35" s="36">
        <f t="shared" si="85"/>
        <v>17010</v>
      </c>
      <c r="AQ35" s="223">
        <f t="shared" si="86"/>
        <v>0.78121107398501766</v>
      </c>
      <c r="AR35" s="38">
        <f t="shared" si="87"/>
        <v>72629.193548387091</v>
      </c>
      <c r="AS35" s="197">
        <f t="shared" si="88"/>
        <v>0</v>
      </c>
      <c r="AT35" s="340"/>
      <c r="AU35" s="548"/>
      <c r="AV35" s="485">
        <f t="shared" si="89"/>
        <v>1.026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235</v>
      </c>
      <c r="C36" s="203">
        <f t="shared" si="48"/>
        <v>5056.2903225806449</v>
      </c>
      <c r="D36">
        <f t="shared" si="49"/>
        <v>235</v>
      </c>
      <c r="E36" s="203">
        <f t="shared" si="50"/>
        <v>5056.2903225806449</v>
      </c>
      <c r="F36">
        <f t="shared" si="51"/>
        <v>235</v>
      </c>
      <c r="G36" s="203">
        <f t="shared" si="52"/>
        <v>5056.2903225806449</v>
      </c>
      <c r="H36" s="203">
        <f t="shared" si="53"/>
        <v>235</v>
      </c>
      <c r="I36" s="203">
        <f t="shared" si="54"/>
        <v>5056.2903225806449</v>
      </c>
      <c r="J36" s="203">
        <f t="shared" si="55"/>
        <v>235</v>
      </c>
      <c r="K36" s="203">
        <f t="shared" si="56"/>
        <v>5056.2903225806449</v>
      </c>
      <c r="L36" s="203">
        <f t="shared" si="57"/>
        <v>235</v>
      </c>
      <c r="M36" s="203">
        <f t="shared" si="58"/>
        <v>5056.2903225806449</v>
      </c>
      <c r="N36" s="203">
        <f t="shared" si="59"/>
        <v>235</v>
      </c>
      <c r="O36" s="203">
        <f t="shared" si="60"/>
        <v>5056.2903225806449</v>
      </c>
      <c r="P36" s="203">
        <f t="shared" si="61"/>
        <v>235</v>
      </c>
      <c r="Q36" s="203">
        <f t="shared" si="62"/>
        <v>5056.2903225806449</v>
      </c>
      <c r="R36" s="203">
        <f t="shared" si="63"/>
        <v>235</v>
      </c>
      <c r="S36" s="203">
        <f t="shared" si="64"/>
        <v>5056.2903225806449</v>
      </c>
      <c r="T36" s="203">
        <f t="shared" si="65"/>
        <v>235</v>
      </c>
      <c r="U36" s="203">
        <f t="shared" si="66"/>
        <v>5056.2903225806449</v>
      </c>
      <c r="V36" s="203">
        <f t="shared" si="67"/>
        <v>235</v>
      </c>
      <c r="W36" s="203">
        <f t="shared" si="68"/>
        <v>5056.2903225806449</v>
      </c>
      <c r="X36" s="35">
        <f t="shared" si="69"/>
        <v>0.75806451612903214</v>
      </c>
      <c r="Y36" s="36">
        <f t="shared" si="70"/>
        <v>55619.193548387091</v>
      </c>
      <c r="Z36" s="203">
        <f>'B5'!C35</f>
        <v>243</v>
      </c>
      <c r="AA36" s="203">
        <f t="shared" si="71"/>
        <v>2430</v>
      </c>
      <c r="AB36" s="203">
        <f t="shared" si="72"/>
        <v>243</v>
      </c>
      <c r="AC36" s="203">
        <f t="shared" si="73"/>
        <v>2430</v>
      </c>
      <c r="AD36" s="203">
        <f t="shared" si="74"/>
        <v>243</v>
      </c>
      <c r="AE36" s="203">
        <f t="shared" si="75"/>
        <v>2430</v>
      </c>
      <c r="AF36" s="203">
        <f t="shared" si="76"/>
        <v>243</v>
      </c>
      <c r="AG36" s="203">
        <f t="shared" si="77"/>
        <v>2430</v>
      </c>
      <c r="AH36" s="203">
        <f t="shared" si="78"/>
        <v>243</v>
      </c>
      <c r="AI36" s="203">
        <f t="shared" si="79"/>
        <v>2430</v>
      </c>
      <c r="AJ36" s="203">
        <f t="shared" si="80"/>
        <v>243</v>
      </c>
      <c r="AK36" s="203">
        <f t="shared" si="81"/>
        <v>2430</v>
      </c>
      <c r="AL36" s="203">
        <f t="shared" si="82"/>
        <v>243</v>
      </c>
      <c r="AM36" s="203">
        <f t="shared" si="83"/>
        <v>2430</v>
      </c>
      <c r="AN36" s="35">
        <f t="shared" si="84"/>
        <v>0.86785714285714288</v>
      </c>
      <c r="AO36" s="36">
        <f t="shared" si="85"/>
        <v>17010</v>
      </c>
      <c r="AQ36" s="223">
        <f t="shared" si="86"/>
        <v>0.78121107398501766</v>
      </c>
      <c r="AR36" s="38">
        <f t="shared" si="87"/>
        <v>72629.193548387091</v>
      </c>
      <c r="AS36" s="197">
        <f t="shared" si="88"/>
        <v>0</v>
      </c>
      <c r="AT36" s="340"/>
      <c r="AU36" s="548"/>
      <c r="AV36" s="485">
        <f t="shared" si="89"/>
        <v>1.026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7</v>
      </c>
      <c r="AT37" s="203">
        <f>SUM(AT6:AT36)</f>
        <v>55460</v>
      </c>
      <c r="AU37" s="544">
        <f>SUM(AU6:AU36)/AS37</f>
        <v>1.0154285714285716</v>
      </c>
      <c r="AX37" s="203">
        <f>SUM(AX6:AX36)</f>
        <v>-26011.258064516129</v>
      </c>
      <c r="AY37" s="203">
        <f>SUM(AY6:AY36)</f>
        <v>-33179.258064516129</v>
      </c>
    </row>
    <row r="38" spans="1:63">
      <c r="AS38" s="206"/>
      <c r="AT38" s="82">
        <f>+AT37*AU37</f>
        <v>56315.668571428578</v>
      </c>
    </row>
    <row r="40" spans="1:63">
      <c r="AS40" s="165">
        <f>SUM(AS6:AS36)/'EDl log'!A35</f>
        <v>-2369.9470046082947</v>
      </c>
      <c r="AT40" s="203"/>
    </row>
    <row r="41" spans="1:63">
      <c r="AX41">
        <v>43309</v>
      </c>
    </row>
    <row r="42" spans="1:63">
      <c r="AR42" s="203">
        <f>AR36-22000</f>
        <v>50629.193548387091</v>
      </c>
      <c r="AU42" s="203"/>
      <c r="AX42">
        <f>AX37/AX41</f>
        <v>-0.60059705983781964</v>
      </c>
    </row>
    <row r="43" spans="1:63">
      <c r="AR43">
        <f>AR42/5500</f>
        <v>9.2053079178885628</v>
      </c>
    </row>
    <row r="44" spans="1:63">
      <c r="AR44">
        <f>AR43*2</f>
        <v>18.410615835777126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V26" sqref="V2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1446.7564239631258</v>
      </c>
      <c r="R4" s="285">
        <f>SUM(P4:Q4)</f>
        <v>1609.13757198645</v>
      </c>
      <c r="S4" s="287">
        <f>SUM(ELEC!N4)</f>
        <v>6721</v>
      </c>
      <c r="T4" s="321">
        <f>IF(S4&gt;0,R4/S4,0)</f>
        <v>0.23941936794918167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6"/>
      <c r="AC4" s="667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2371.1239815668105</v>
      </c>
      <c r="R5" s="285">
        <f t="shared" ref="R5:R30" si="13">SUM(P5:Q5)</f>
        <v>2525.9270201373984</v>
      </c>
      <c r="S5" s="287">
        <f>SUM(ELEC!N5)</f>
        <v>5888</v>
      </c>
      <c r="T5" s="321">
        <f>IF(S5&gt;0,R5/S5,0)</f>
        <v>0.42899575749616142</v>
      </c>
      <c r="U5" s="245"/>
      <c r="V5" s="660"/>
      <c r="W5" s="661"/>
      <c r="X5" s="661"/>
      <c r="Y5" s="662"/>
      <c r="Z5" s="26" t="s">
        <v>202</v>
      </c>
      <c r="AA5" s="26">
        <v>5000</v>
      </c>
      <c r="AB5" s="668"/>
      <c r="AC5" s="669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2077.9926820276673</v>
      </c>
      <c r="R6" s="285">
        <f t="shared" si="13"/>
        <v>2270.378473500411</v>
      </c>
      <c r="S6" s="287">
        <f>SUM(ELEC!N6)</f>
        <v>5727</v>
      </c>
      <c r="T6" s="321">
        <f t="shared" ref="T6:T30" si="16">IF(S6&gt;0,R6/S6,0)</f>
        <v>0.39643416684134991</v>
      </c>
      <c r="V6" s="663"/>
      <c r="W6" s="664"/>
      <c r="X6" s="664"/>
      <c r="Y6" s="665"/>
      <c r="Z6" s="672"/>
      <c r="AA6" s="673"/>
      <c r="AB6" s="668"/>
      <c r="AC6" s="669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5" t="s">
        <v>203</v>
      </c>
      <c r="W7" s="656"/>
      <c r="X7" s="657" t="s">
        <v>204</v>
      </c>
      <c r="Y7" s="658"/>
      <c r="Z7" s="659"/>
      <c r="AA7" s="170"/>
      <c r="AB7" s="670"/>
      <c r="AC7" s="671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1955.1258248847953</v>
      </c>
      <c r="R9" s="285">
        <f>SUM(P9:Q9)</f>
        <v>2127.4306876676551</v>
      </c>
      <c r="S9" s="287">
        <f>SUM(ELEC!N9)</f>
        <v>6030</v>
      </c>
      <c r="T9" s="321">
        <f t="shared" si="16"/>
        <v>0.35280774256511693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1717.1552258064426</v>
      </c>
      <c r="R10" s="285">
        <f t="shared" si="13"/>
        <v>1885.1828083239625</v>
      </c>
      <c r="S10" s="287">
        <f>SUM(ELEC!N10)</f>
        <v>4353</v>
      </c>
      <c r="T10" s="321">
        <f t="shared" si="16"/>
        <v>0.43307668465976623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1545.5477972350288</v>
      </c>
      <c r="R11" s="285">
        <f t="shared" si="13"/>
        <v>1720.7077180610065</v>
      </c>
      <c r="S11" s="287">
        <f>SUM(ELEC!N11)</f>
        <v>5098</v>
      </c>
      <c r="T11" s="321">
        <f t="shared" si="16"/>
        <v>0.33752603335837711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535.85148387096899</v>
      </c>
      <c r="R12" s="285">
        <f t="shared" si="13"/>
        <v>691.62035992082724</v>
      </c>
      <c r="S12" s="287">
        <f>SUM(ELEC!N12)</f>
        <v>4939</v>
      </c>
      <c r="T12" s="321">
        <f t="shared" si="16"/>
        <v>0.14003246809492351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v>1113370</v>
      </c>
      <c r="C13" s="254">
        <f t="shared" si="0"/>
        <v>191</v>
      </c>
      <c r="D13" s="295">
        <f t="shared" si="14"/>
        <v>191</v>
      </c>
      <c r="E13" s="295">
        <f t="shared" si="15"/>
        <v>1113370</v>
      </c>
      <c r="F13" s="604">
        <f t="shared" si="8"/>
        <v>161138</v>
      </c>
      <c r="G13" s="160">
        <f t="shared" si="1"/>
        <v>0</v>
      </c>
      <c r="H13" s="604">
        <v>551078</v>
      </c>
      <c r="I13" s="161">
        <f t="shared" si="2"/>
        <v>191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14.190381426202322</v>
      </c>
      <c r="N13" s="284">
        <f t="shared" si="5"/>
        <v>0</v>
      </c>
      <c r="O13" s="284">
        <f t="shared" si="6"/>
        <v>154.80303857058792</v>
      </c>
      <c r="P13" s="285">
        <f t="shared" si="12"/>
        <v>168.99341999679024</v>
      </c>
      <c r="Q13" s="285">
        <f>SUM(-tanks!AX15*tanks!$AU$37)</f>
        <v>-1179.9279999999928</v>
      </c>
      <c r="R13" s="285">
        <f t="shared" si="13"/>
        <v>-1010.9345800032027</v>
      </c>
      <c r="S13" s="287">
        <f>SUM(ELEC!N13)</f>
        <v>5500</v>
      </c>
      <c r="T13" s="321">
        <f>IF(S13&gt;0,R13/S13,0)</f>
        <v>-0.18380628727330958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1113370</v>
      </c>
      <c r="C14" s="254">
        <f t="shared" si="0"/>
        <v>0</v>
      </c>
      <c r="D14" s="295">
        <f t="shared" si="14"/>
        <v>0</v>
      </c>
      <c r="E14" s="295">
        <f t="shared" si="15"/>
        <v>1113370</v>
      </c>
      <c r="F14" s="604">
        <f t="shared" si="8"/>
        <v>161138</v>
      </c>
      <c r="G14" s="160">
        <f t="shared" si="1"/>
        <v>0</v>
      </c>
      <c r="H14" s="604">
        <f t="shared" si="9"/>
        <v>551078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1819.3859539170437</v>
      </c>
      <c r="R14" s="285">
        <f>SUM(P14:Q14)</f>
        <v>1974.1889924876316</v>
      </c>
      <c r="S14" s="287">
        <f>SUM(ELEC!N14)</f>
        <v>5222</v>
      </c>
      <c r="T14" s="321">
        <f>IF(S14&gt;0,R14/S14,0)</f>
        <v>0.37805227738177549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1113370</v>
      </c>
      <c r="C15" s="254">
        <f t="shared" si="0"/>
        <v>0</v>
      </c>
      <c r="D15" s="295">
        <f t="shared" si="14"/>
        <v>0</v>
      </c>
      <c r="E15" s="295">
        <f t="shared" si="15"/>
        <v>1113370</v>
      </c>
      <c r="F15" s="604">
        <f t="shared" si="8"/>
        <v>161138</v>
      </c>
      <c r="G15" s="160">
        <f t="shared" si="1"/>
        <v>0</v>
      </c>
      <c r="H15" s="604">
        <f t="shared" si="9"/>
        <v>551078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v>1113639</v>
      </c>
      <c r="C16" s="254">
        <f t="shared" si="0"/>
        <v>269</v>
      </c>
      <c r="D16" s="295">
        <f t="shared" si="14"/>
        <v>269</v>
      </c>
      <c r="E16" s="295">
        <f t="shared" si="15"/>
        <v>1113639</v>
      </c>
      <c r="F16" s="604">
        <f t="shared" si="8"/>
        <v>161138</v>
      </c>
      <c r="G16" s="160">
        <f t="shared" si="1"/>
        <v>0</v>
      </c>
      <c r="H16" s="604">
        <v>551269</v>
      </c>
      <c r="I16" s="161">
        <f t="shared" si="2"/>
        <v>191</v>
      </c>
      <c r="J16" s="604">
        <v>401232</v>
      </c>
      <c r="K16" s="162">
        <f>J16-J15</f>
        <v>78</v>
      </c>
      <c r="L16" s="284">
        <f>SUM(G16*$Y$28)/1507.5</f>
        <v>0</v>
      </c>
      <c r="M16" s="284">
        <f>SUM(I16*$Y$27)/1507.5</f>
        <v>14.190381426202322</v>
      </c>
      <c r="N16" s="284">
        <f>SUM(K16*$Y$26)/1507.5</f>
        <v>4.1393034825870645</v>
      </c>
      <c r="O16" s="284">
        <f t="shared" si="6"/>
        <v>154.80303857058792</v>
      </c>
      <c r="P16" s="285">
        <f>SUM(L16:O16)</f>
        <v>173.13272347937729</v>
      </c>
      <c r="Q16" s="285">
        <f>SUM(-tanks!AX18*tanks!$AU$37)</f>
        <v>946.0846267280898</v>
      </c>
      <c r="R16" s="285">
        <f>SUM(P16:Q16)</f>
        <v>1119.217350207467</v>
      </c>
      <c r="S16" s="287">
        <f>SUM(ELEC!N16)</f>
        <v>3565</v>
      </c>
      <c r="T16" s="321">
        <f>IF(S16&gt;0,R16/S16,0)</f>
        <v>0.31394596078750825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1113639</v>
      </c>
      <c r="C17" s="254">
        <f t="shared" si="0"/>
        <v>0</v>
      </c>
      <c r="D17" s="295">
        <f t="shared" si="14"/>
        <v>0</v>
      </c>
      <c r="E17" s="295">
        <f t="shared" si="15"/>
        <v>1113639</v>
      </c>
      <c r="F17" s="604">
        <f t="shared" si="8"/>
        <v>161138</v>
      </c>
      <c r="G17" s="160">
        <f>F17-F16</f>
        <v>0</v>
      </c>
      <c r="H17" s="604">
        <f t="shared" si="9"/>
        <v>551269</v>
      </c>
      <c r="I17" s="161">
        <f t="shared" si="2"/>
        <v>0</v>
      </c>
      <c r="J17" s="604">
        <f t="shared" si="10"/>
        <v>401232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2152.8068387097046</v>
      </c>
      <c r="R17" s="285">
        <f>SUM(P17:Q17)</f>
        <v>2307.6098772802925</v>
      </c>
      <c r="S17" s="287">
        <f>SUM(ELEC!N17)</f>
        <v>5257</v>
      </c>
      <c r="T17" s="321">
        <f>IF(S17&gt;0,R17/S17,0)</f>
        <v>0.43895945925057878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v>1113783</v>
      </c>
      <c r="C18" s="254">
        <f>SUM(B18-B17)</f>
        <v>144</v>
      </c>
      <c r="D18" s="295">
        <f>SUM(G18+I18+K18)</f>
        <v>143</v>
      </c>
      <c r="E18" s="295">
        <f t="shared" si="15"/>
        <v>1113782</v>
      </c>
      <c r="F18" s="604">
        <f t="shared" si="8"/>
        <v>161138</v>
      </c>
      <c r="G18" s="160">
        <f t="shared" si="1"/>
        <v>0</v>
      </c>
      <c r="H18" s="604">
        <v>551412</v>
      </c>
      <c r="I18" s="161">
        <f t="shared" si="2"/>
        <v>143</v>
      </c>
      <c r="J18" s="604">
        <f t="shared" si="10"/>
        <v>401232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10.624212271973466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165.42725084256139</v>
      </c>
      <c r="Q18" s="285">
        <f>SUM(-tanks!AX20*tanks!$AU$37)</f>
        <v>2520.064423963111</v>
      </c>
      <c r="R18" s="285">
        <f t="shared" si="13"/>
        <v>2685.4916748056726</v>
      </c>
      <c r="S18" s="287">
        <f>SUM(ELEC!N18)</f>
        <v>5713</v>
      </c>
      <c r="T18" s="321">
        <f t="shared" si="16"/>
        <v>0.47006680812282031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v>1114016</v>
      </c>
      <c r="C19" s="254">
        <f t="shared" si="0"/>
        <v>233</v>
      </c>
      <c r="D19" s="295">
        <f t="shared" si="14"/>
        <v>244</v>
      </c>
      <c r="E19" s="295">
        <f t="shared" si="15"/>
        <v>1114027</v>
      </c>
      <c r="F19" s="604">
        <v>161240</v>
      </c>
      <c r="G19" s="160">
        <f t="shared" si="1"/>
        <v>102</v>
      </c>
      <c r="H19" s="604">
        <v>551554</v>
      </c>
      <c r="I19" s="161">
        <f t="shared" si="2"/>
        <v>142</v>
      </c>
      <c r="J19" s="604">
        <v>401232</v>
      </c>
      <c r="K19" s="162">
        <f t="shared" si="11"/>
        <v>0</v>
      </c>
      <c r="L19" s="284">
        <f>SUM(G19*$Y$28)/1507.5</f>
        <v>21.651741293532339</v>
      </c>
      <c r="M19" s="284">
        <f>SUM(I19*$Y$27)/1507.5</f>
        <v>10.549917081260364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187.0046969453806</v>
      </c>
      <c r="Q19" s="285">
        <f>SUM(-tanks!AX21*tanks!$AU$37)</f>
        <v>978.44731797236273</v>
      </c>
      <c r="R19" s="285">
        <f>SUM(P19:Q19)</f>
        <v>1165.4520149177433</v>
      </c>
      <c r="S19" s="287">
        <f>SUM(ELEC!N19)</f>
        <v>5689</v>
      </c>
      <c r="T19" s="321">
        <f>IF(S19&gt;0,R19/S19,0)</f>
        <v>0.20486061081345461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v>1114193</v>
      </c>
      <c r="C20" s="254">
        <f t="shared" si="0"/>
        <v>177</v>
      </c>
      <c r="D20" s="295">
        <f t="shared" si="14"/>
        <v>166</v>
      </c>
      <c r="E20" s="295">
        <v>160188</v>
      </c>
      <c r="F20" s="604">
        <v>161240</v>
      </c>
      <c r="G20" s="160">
        <f t="shared" si="1"/>
        <v>0</v>
      </c>
      <c r="H20" s="604">
        <v>551720</v>
      </c>
      <c r="I20" s="161">
        <f t="shared" si="2"/>
        <v>166</v>
      </c>
      <c r="J20" s="604">
        <f t="shared" si="10"/>
        <v>401232</v>
      </c>
      <c r="K20" s="162">
        <f t="shared" si="11"/>
        <v>0</v>
      </c>
      <c r="L20" s="284">
        <f t="shared" si="17"/>
        <v>0</v>
      </c>
      <c r="M20" s="284">
        <f t="shared" si="18"/>
        <v>12.333001658374792</v>
      </c>
      <c r="N20" s="284">
        <f t="shared" si="19"/>
        <v>0</v>
      </c>
      <c r="O20" s="284">
        <f t="shared" si="6"/>
        <v>154.80303857058792</v>
      </c>
      <c r="P20" s="285">
        <f t="shared" si="12"/>
        <v>167.13604022896271</v>
      </c>
      <c r="Q20" s="285">
        <f>SUM(-tanks!AX22*tanks!$AU$37)</f>
        <v>1082.2503225806511</v>
      </c>
      <c r="R20" s="285">
        <f t="shared" si="13"/>
        <v>1249.3863628096137</v>
      </c>
      <c r="S20" s="287">
        <f>SUM(ELEC!N20)</f>
        <v>5365</v>
      </c>
      <c r="T20" s="321">
        <f t="shared" si="16"/>
        <v>0.2328772344472719</v>
      </c>
      <c r="AB20" s="527"/>
    </row>
    <row r="21" spans="1:32" ht="20.100000000000001" customHeight="1">
      <c r="A21" s="163">
        <f>ELEC!C21</f>
        <v>44638</v>
      </c>
      <c r="B21" s="604">
        <f t="shared" si="7"/>
        <v>1114193</v>
      </c>
      <c r="C21" s="254">
        <f t="shared" si="0"/>
        <v>0</v>
      </c>
      <c r="D21" s="295">
        <f t="shared" si="14"/>
        <v>0</v>
      </c>
      <c r="E21" s="295">
        <f t="shared" si="15"/>
        <v>1114193</v>
      </c>
      <c r="F21" s="604">
        <f t="shared" si="8"/>
        <v>161240</v>
      </c>
      <c r="G21" s="160">
        <f t="shared" si="1"/>
        <v>0</v>
      </c>
      <c r="H21" s="604">
        <f t="shared" si="9"/>
        <v>551720</v>
      </c>
      <c r="I21" s="161">
        <f t="shared" si="2"/>
        <v>0</v>
      </c>
      <c r="J21" s="604">
        <f t="shared" si="10"/>
        <v>401232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6"/>
      <c r="AC21" s="667"/>
    </row>
    <row r="22" spans="1:32" ht="20.100000000000001" customHeight="1">
      <c r="A22" s="163">
        <f>ELEC!C22</f>
        <v>44639</v>
      </c>
      <c r="B22" s="604">
        <f t="shared" si="7"/>
        <v>1114193</v>
      </c>
      <c r="C22" s="254">
        <f t="shared" si="0"/>
        <v>0</v>
      </c>
      <c r="D22" s="295">
        <f t="shared" si="14"/>
        <v>0</v>
      </c>
      <c r="E22" s="295">
        <f t="shared" si="15"/>
        <v>1114193</v>
      </c>
      <c r="F22" s="604">
        <f t="shared" si="8"/>
        <v>161240</v>
      </c>
      <c r="G22" s="160">
        <f t="shared" si="1"/>
        <v>0</v>
      </c>
      <c r="H22" s="604">
        <f t="shared" si="9"/>
        <v>551720</v>
      </c>
      <c r="I22" s="161">
        <f t="shared" si="2"/>
        <v>0</v>
      </c>
      <c r="J22" s="604">
        <f t="shared" si="10"/>
        <v>401232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60"/>
      <c r="W22" s="661"/>
      <c r="X22" s="661"/>
      <c r="Y22" s="662"/>
      <c r="Z22" s="26" t="s">
        <v>202</v>
      </c>
      <c r="AA22" s="26">
        <v>5000</v>
      </c>
      <c r="AB22" s="668"/>
      <c r="AC22" s="669"/>
    </row>
    <row r="23" spans="1:32" ht="20.100000000000001" customHeight="1">
      <c r="A23" s="163">
        <f>ELEC!C23</f>
        <v>44640</v>
      </c>
      <c r="B23" s="604">
        <v>1114254</v>
      </c>
      <c r="C23" s="254">
        <f t="shared" si="0"/>
        <v>61</v>
      </c>
      <c r="D23" s="295">
        <f t="shared" si="14"/>
        <v>61</v>
      </c>
      <c r="E23" s="295">
        <f t="shared" si="15"/>
        <v>1114254</v>
      </c>
      <c r="F23" s="604">
        <f t="shared" si="8"/>
        <v>161240</v>
      </c>
      <c r="G23" s="160">
        <f t="shared" si="1"/>
        <v>0</v>
      </c>
      <c r="H23" s="604">
        <v>551781</v>
      </c>
      <c r="I23" s="161">
        <f t="shared" si="2"/>
        <v>61</v>
      </c>
      <c r="J23" s="604">
        <f t="shared" si="10"/>
        <v>401232</v>
      </c>
      <c r="K23" s="162">
        <f t="shared" si="11"/>
        <v>0</v>
      </c>
      <c r="L23" s="284">
        <f t="shared" si="17"/>
        <v>0</v>
      </c>
      <c r="M23" s="284">
        <f t="shared" si="18"/>
        <v>4.5320066334991704</v>
      </c>
      <c r="N23" s="284">
        <f t="shared" si="19"/>
        <v>0</v>
      </c>
      <c r="O23" s="284">
        <f t="shared" si="6"/>
        <v>154.80303857058792</v>
      </c>
      <c r="P23" s="285">
        <f t="shared" si="12"/>
        <v>159.33504520408709</v>
      </c>
      <c r="Q23" s="285">
        <f>SUM(-tanks!AX25*tanks!$AU$37)</f>
        <v>1317.3056589861815</v>
      </c>
      <c r="R23" s="285">
        <f t="shared" si="13"/>
        <v>1476.6407041902685</v>
      </c>
      <c r="S23" s="287">
        <f>SUM(ELEC!N23)</f>
        <v>5488</v>
      </c>
      <c r="T23" s="321">
        <f t="shared" si="16"/>
        <v>0.26906718370813931</v>
      </c>
      <c r="V23" s="663"/>
      <c r="W23" s="664"/>
      <c r="X23" s="664"/>
      <c r="Y23" s="665"/>
      <c r="Z23" s="672"/>
      <c r="AA23" s="673"/>
      <c r="AB23" s="668"/>
      <c r="AC23" s="669"/>
    </row>
    <row r="24" spans="1:32" ht="20.100000000000001" customHeight="1">
      <c r="A24" s="163">
        <f>ELEC!C24</f>
        <v>44641</v>
      </c>
      <c r="B24" s="604">
        <v>1114436</v>
      </c>
      <c r="C24" s="254">
        <f t="shared" si="0"/>
        <v>182</v>
      </c>
      <c r="D24" s="295">
        <f t="shared" si="14"/>
        <v>181</v>
      </c>
      <c r="E24" s="295">
        <f t="shared" si="15"/>
        <v>1114435</v>
      </c>
      <c r="F24" s="604">
        <f t="shared" si="8"/>
        <v>161240</v>
      </c>
      <c r="G24" s="160">
        <f t="shared" si="1"/>
        <v>0</v>
      </c>
      <c r="H24" s="604">
        <v>551962</v>
      </c>
      <c r="I24" s="161">
        <f t="shared" si="2"/>
        <v>181</v>
      </c>
      <c r="J24" s="604">
        <f t="shared" si="10"/>
        <v>401232</v>
      </c>
      <c r="K24" s="162">
        <f t="shared" si="11"/>
        <v>0</v>
      </c>
      <c r="L24" s="284">
        <f t="shared" si="17"/>
        <v>0</v>
      </c>
      <c r="M24" s="284">
        <f t="shared" si="18"/>
        <v>13.44742951907131</v>
      </c>
      <c r="N24" s="284">
        <f t="shared" si="19"/>
        <v>0</v>
      </c>
      <c r="O24" s="284">
        <f t="shared" si="6"/>
        <v>154.80303857058792</v>
      </c>
      <c r="P24" s="285">
        <f t="shared" si="12"/>
        <v>168.25046808965922</v>
      </c>
      <c r="Q24" s="285">
        <f>SUM(-tanks!AX26*tanks!$AU$37)</f>
        <v>2032.298396313352</v>
      </c>
      <c r="R24" s="285">
        <f t="shared" si="13"/>
        <v>2200.5488644030111</v>
      </c>
      <c r="S24" s="287">
        <f>SUM(ELEC!N24)</f>
        <v>5011</v>
      </c>
      <c r="T24" s="321">
        <f t="shared" si="16"/>
        <v>0.439143656835564</v>
      </c>
      <c r="V24" s="655" t="s">
        <v>203</v>
      </c>
      <c r="W24" s="656"/>
      <c r="X24" s="657" t="s">
        <v>204</v>
      </c>
      <c r="Y24" s="658"/>
      <c r="Z24" s="659"/>
      <c r="AA24" s="170"/>
      <c r="AB24" s="670"/>
      <c r="AC24" s="671"/>
    </row>
    <row r="25" spans="1:32" ht="20.100000000000001" customHeight="1">
      <c r="A25" s="163">
        <f>ELEC!C25</f>
        <v>44642</v>
      </c>
      <c r="B25" s="604">
        <f t="shared" si="7"/>
        <v>1114436</v>
      </c>
      <c r="C25" s="254">
        <f t="shared" si="0"/>
        <v>0</v>
      </c>
      <c r="D25" s="295">
        <f t="shared" si="14"/>
        <v>0</v>
      </c>
      <c r="E25" s="295">
        <f t="shared" si="15"/>
        <v>1114436</v>
      </c>
      <c r="F25" s="604">
        <f t="shared" si="8"/>
        <v>161240</v>
      </c>
      <c r="G25" s="160">
        <f t="shared" si="1"/>
        <v>0</v>
      </c>
      <c r="H25" s="604">
        <f t="shared" si="9"/>
        <v>551962</v>
      </c>
      <c r="I25" s="161">
        <f t="shared" si="2"/>
        <v>0</v>
      </c>
      <c r="J25" s="604">
        <f t="shared" si="10"/>
        <v>401232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1586.164940092179</v>
      </c>
      <c r="R25" s="285">
        <f t="shared" si="13"/>
        <v>1740.9679786627669</v>
      </c>
      <c r="S25" s="287">
        <f>SUM(ELEC!N25)</f>
        <v>5054</v>
      </c>
      <c r="T25" s="321">
        <f t="shared" si="16"/>
        <v>0.34447328426251816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v>1114696</v>
      </c>
      <c r="C26" s="254">
        <f t="shared" si="0"/>
        <v>260</v>
      </c>
      <c r="D26" s="295">
        <f t="shared" si="14"/>
        <v>261</v>
      </c>
      <c r="E26" s="295">
        <f t="shared" si="15"/>
        <v>1114697</v>
      </c>
      <c r="F26" s="604">
        <v>161294</v>
      </c>
      <c r="G26" s="160">
        <f t="shared" si="1"/>
        <v>54</v>
      </c>
      <c r="H26" s="604">
        <v>552168</v>
      </c>
      <c r="I26" s="161">
        <f t="shared" si="2"/>
        <v>206</v>
      </c>
      <c r="J26" s="604">
        <v>401233</v>
      </c>
      <c r="K26" s="162">
        <f t="shared" si="11"/>
        <v>1</v>
      </c>
      <c r="L26" s="284">
        <f t="shared" si="17"/>
        <v>11.462686567164178</v>
      </c>
      <c r="M26" s="284">
        <f t="shared" si="18"/>
        <v>15.304809286898839</v>
      </c>
      <c r="N26" s="284">
        <f t="shared" si="19"/>
        <v>5.306799336650083E-2</v>
      </c>
      <c r="O26" s="284">
        <f t="shared" si="6"/>
        <v>154.80303857058792</v>
      </c>
      <c r="P26" s="285">
        <f t="shared" si="12"/>
        <v>181.62360241801744</v>
      </c>
      <c r="Q26" s="285">
        <f>SUM(-tanks!AX28*tanks!$AU$37)</f>
        <v>1508.1407188940027</v>
      </c>
      <c r="R26" s="285">
        <f t="shared" si="13"/>
        <v>1689.7643213120202</v>
      </c>
      <c r="S26" s="287">
        <f>SUM(ELEC!N26)</f>
        <v>5601</v>
      </c>
      <c r="T26" s="321">
        <f t="shared" si="16"/>
        <v>0.30168975563506878</v>
      </c>
      <c r="V26" s="246">
        <f>W9</f>
        <v>400976</v>
      </c>
      <c r="W26" s="170">
        <f>J34</f>
        <v>401233</v>
      </c>
      <c r="X26" s="172" t="s">
        <v>199</v>
      </c>
      <c r="Y26" s="172">
        <v>80</v>
      </c>
      <c r="Z26" s="172">
        <v>1</v>
      </c>
      <c r="AA26" s="323">
        <f>(W26-V26)*Z26</f>
        <v>257</v>
      </c>
      <c r="AB26" s="323">
        <f>AA26*Y26</f>
        <v>20560</v>
      </c>
      <c r="AC26" s="244">
        <f>AC9</f>
        <v>1033333</v>
      </c>
      <c r="AD26" s="476">
        <f>SUM(K36)</f>
        <v>9.5716945996275615E-2</v>
      </c>
    </row>
    <row r="27" spans="1:32" ht="20.100000000000001" customHeight="1">
      <c r="A27" s="163">
        <f>ELEC!C27</f>
        <v>44644</v>
      </c>
      <c r="B27" s="604">
        <f t="shared" si="7"/>
        <v>1114696</v>
      </c>
      <c r="C27" s="254">
        <f t="shared" si="0"/>
        <v>0</v>
      </c>
      <c r="D27" s="295">
        <f t="shared" si="14"/>
        <v>0</v>
      </c>
      <c r="E27" s="295">
        <f t="shared" si="15"/>
        <v>1114696</v>
      </c>
      <c r="F27" s="604">
        <f t="shared" si="8"/>
        <v>161294</v>
      </c>
      <c r="G27" s="160">
        <f t="shared" si="1"/>
        <v>0</v>
      </c>
      <c r="H27" s="604">
        <f t="shared" si="9"/>
        <v>552168</v>
      </c>
      <c r="I27" s="161">
        <f t="shared" si="2"/>
        <v>0</v>
      </c>
      <c r="J27" s="604">
        <f t="shared" si="10"/>
        <v>401233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552168</v>
      </c>
      <c r="X27" s="172" t="s">
        <v>212</v>
      </c>
      <c r="Y27" s="172">
        <v>112</v>
      </c>
      <c r="Z27" s="172">
        <v>1</v>
      </c>
      <c r="AA27" s="323">
        <f>(W27-V27)*Z27</f>
        <v>2168</v>
      </c>
      <c r="AB27" s="323">
        <f>SUM(AA27*Y27)</f>
        <v>242816</v>
      </c>
      <c r="AC27" s="244">
        <f>AC10</f>
        <v>6200000</v>
      </c>
      <c r="AD27" s="476">
        <f>SUM(I36)</f>
        <v>0.80744878957169464</v>
      </c>
    </row>
    <row r="28" spans="1:32" ht="20.100000000000001" customHeight="1">
      <c r="A28" s="163">
        <f>ELEC!C28</f>
        <v>44645</v>
      </c>
      <c r="B28" s="604">
        <f t="shared" si="7"/>
        <v>1114696</v>
      </c>
      <c r="C28" s="254">
        <f t="shared" si="0"/>
        <v>0</v>
      </c>
      <c r="D28" s="295">
        <f t="shared" si="14"/>
        <v>0</v>
      </c>
      <c r="E28" s="295">
        <f>B27+D28</f>
        <v>1114696</v>
      </c>
      <c r="F28" s="604">
        <f t="shared" si="8"/>
        <v>161294</v>
      </c>
      <c r="G28" s="160">
        <f t="shared" si="1"/>
        <v>0</v>
      </c>
      <c r="H28" s="604">
        <f t="shared" si="9"/>
        <v>552168</v>
      </c>
      <c r="I28" s="161">
        <f t="shared" si="2"/>
        <v>0</v>
      </c>
      <c r="J28" s="604">
        <f t="shared" si="10"/>
        <v>401233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161294</v>
      </c>
      <c r="X28" s="172" t="s">
        <v>197</v>
      </c>
      <c r="Y28" s="172">
        <v>320</v>
      </c>
      <c r="Z28" s="172">
        <v>1</v>
      </c>
      <c r="AA28" s="323">
        <f>(W28-V28)*Z28</f>
        <v>259</v>
      </c>
      <c r="AB28" s="323">
        <f>SUM(AA28*Y28)</f>
        <v>82880</v>
      </c>
      <c r="AC28" s="244">
        <f>AC11</f>
        <v>1000</v>
      </c>
      <c r="AD28" s="476">
        <f>SUM(G36)</f>
        <v>9.6461824953445074E-2</v>
      </c>
      <c r="AE28" s="40">
        <f>SUM(AB28*5%)</f>
        <v>4144</v>
      </c>
      <c r="AF28" s="82">
        <f>SUM(AE28/7)*31</f>
        <v>18352</v>
      </c>
    </row>
    <row r="29" spans="1:32" ht="20.100000000000001" customHeight="1">
      <c r="A29" s="163">
        <f>ELEC!C29</f>
        <v>44646</v>
      </c>
      <c r="B29" s="604">
        <f t="shared" si="7"/>
        <v>1114696</v>
      </c>
      <c r="C29" s="254">
        <f t="shared" si="0"/>
        <v>0</v>
      </c>
      <c r="D29" s="295">
        <f t="shared" si="14"/>
        <v>0</v>
      </c>
      <c r="E29" s="295">
        <f>B28+D29</f>
        <v>1114696</v>
      </c>
      <c r="F29" s="604">
        <f t="shared" si="8"/>
        <v>161294</v>
      </c>
      <c r="G29" s="160">
        <f t="shared" si="1"/>
        <v>0</v>
      </c>
      <c r="H29" s="604">
        <f t="shared" si="9"/>
        <v>552168</v>
      </c>
      <c r="I29" s="161">
        <f t="shared" si="2"/>
        <v>0</v>
      </c>
      <c r="J29" s="604">
        <f t="shared" si="10"/>
        <v>401233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2684</v>
      </c>
      <c r="AB29" s="323">
        <f>SUM(AB26:AB28)</f>
        <v>346256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1114696</v>
      </c>
      <c r="C30" s="254">
        <f t="shared" si="0"/>
        <v>0</v>
      </c>
      <c r="D30" s="295">
        <f t="shared" si="14"/>
        <v>0</v>
      </c>
      <c r="E30" s="295">
        <f t="shared" si="15"/>
        <v>1114696</v>
      </c>
      <c r="F30" s="604">
        <f t="shared" si="8"/>
        <v>161294</v>
      </c>
      <c r="G30" s="160">
        <f t="shared" si="1"/>
        <v>0</v>
      </c>
      <c r="H30" s="604">
        <f t="shared" si="9"/>
        <v>552168</v>
      </c>
      <c r="I30" s="161">
        <f t="shared" si="2"/>
        <v>0</v>
      </c>
      <c r="J30" s="604">
        <f t="shared" si="10"/>
        <v>401233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7580589</v>
      </c>
      <c r="AC30" s="244"/>
    </row>
    <row r="31" spans="1:32" ht="20.100000000000001" customHeight="1">
      <c r="A31" s="163">
        <f>ELEC!C31</f>
        <v>44648</v>
      </c>
      <c r="B31" s="604">
        <f t="shared" si="7"/>
        <v>1114696</v>
      </c>
      <c r="C31" s="254">
        <f>SUM(B31-B30)</f>
        <v>0</v>
      </c>
      <c r="D31" s="295">
        <f t="shared" si="14"/>
        <v>0</v>
      </c>
      <c r="E31" s="295">
        <f>B30+D31</f>
        <v>1114696</v>
      </c>
      <c r="F31" s="604">
        <f t="shared" si="8"/>
        <v>161294</v>
      </c>
      <c r="G31" s="160">
        <f>F31-F30</f>
        <v>0</v>
      </c>
      <c r="H31" s="604">
        <f t="shared" si="9"/>
        <v>552168</v>
      </c>
      <c r="I31" s="161">
        <f>H31-H30</f>
        <v>0</v>
      </c>
      <c r="J31" s="604">
        <f t="shared" si="10"/>
        <v>401233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1114696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1114696</v>
      </c>
      <c r="F32" s="604">
        <f t="shared" si="8"/>
        <v>161294</v>
      </c>
      <c r="G32" s="160">
        <f t="shared" ref="G32:G34" si="23">F32-F31</f>
        <v>0</v>
      </c>
      <c r="H32" s="604">
        <f t="shared" si="9"/>
        <v>552168</v>
      </c>
      <c r="I32" s="161">
        <f t="shared" ref="I32:I34" si="24">H32-H31</f>
        <v>0</v>
      </c>
      <c r="J32" s="604">
        <f t="shared" si="10"/>
        <v>401233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191</v>
      </c>
      <c r="X32" s="222">
        <f>SUM(W32/A35)</f>
        <v>13.642857142857142</v>
      </c>
      <c r="Y32" s="250">
        <f>SUM(X32/1)</f>
        <v>13.642857142857142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1114696</v>
      </c>
      <c r="C33" s="254">
        <f t="shared" si="20"/>
        <v>0</v>
      </c>
      <c r="D33" s="295">
        <f t="shared" si="21"/>
        <v>0</v>
      </c>
      <c r="E33" s="295">
        <f t="shared" si="22"/>
        <v>1114696</v>
      </c>
      <c r="F33" s="604">
        <f t="shared" si="8"/>
        <v>161294</v>
      </c>
      <c r="G33" s="160">
        <f t="shared" si="23"/>
        <v>0</v>
      </c>
      <c r="H33" s="604">
        <f t="shared" si="9"/>
        <v>552168</v>
      </c>
      <c r="I33" s="161">
        <f t="shared" si="24"/>
        <v>0</v>
      </c>
      <c r="J33" s="604">
        <f t="shared" si="10"/>
        <v>401233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833864.79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1114696</v>
      </c>
      <c r="C34" s="254">
        <f t="shared" si="20"/>
        <v>0</v>
      </c>
      <c r="D34" s="295">
        <f t="shared" si="21"/>
        <v>0</v>
      </c>
      <c r="E34" s="295">
        <f t="shared" si="22"/>
        <v>1114696</v>
      </c>
      <c r="F34" s="604">
        <f t="shared" si="8"/>
        <v>161294</v>
      </c>
      <c r="G34" s="160">
        <f t="shared" si="23"/>
        <v>0</v>
      </c>
      <c r="H34" s="604">
        <f t="shared" si="9"/>
        <v>552168</v>
      </c>
      <c r="I34" s="161">
        <f t="shared" si="24"/>
        <v>0</v>
      </c>
      <c r="J34" s="604">
        <f t="shared" si="10"/>
        <v>401233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8414453.7899999991</v>
      </c>
      <c r="AC34" s="244">
        <f>SUM(AC30)</f>
        <v>0</v>
      </c>
    </row>
    <row r="35" spans="1:32" ht="15.75" thickBot="1">
      <c r="A35" s="501">
        <f>A37-COUNTIF(C4:C34,0)</f>
        <v>14</v>
      </c>
      <c r="C35" s="173">
        <f>SUM(C4:C34)/A35</f>
        <v>191.78571428571428</v>
      </c>
      <c r="D35" s="173"/>
      <c r="E35" s="173"/>
      <c r="F35" s="564"/>
      <c r="G35" s="564">
        <f>SUM(G4:G34)/A35</f>
        <v>18.5</v>
      </c>
      <c r="H35" s="173"/>
      <c r="I35" s="173">
        <f>SUM(I4:I34)/A35</f>
        <v>154.85714285714286</v>
      </c>
      <c r="K35" s="173">
        <f>SUM(K4:K34)/A35</f>
        <v>18.357142857142858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0.99962756052141533</v>
      </c>
      <c r="G36" s="225">
        <f>IF(C35&gt;0,G35/C35,0)</f>
        <v>9.6461824953445074E-2</v>
      </c>
      <c r="H36" s="212"/>
      <c r="I36" s="225">
        <f>SUM(I35/C35)</f>
        <v>0.80744878957169464</v>
      </c>
      <c r="J36" s="212"/>
      <c r="K36" s="225">
        <f>SUM(K35/C35)</f>
        <v>9.5716945996275615E-2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5028.5830845771143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5028.5830845771143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2"/>
      <c r="AC45" s="652"/>
      <c r="AD45" s="542"/>
      <c r="AE45" s="17"/>
      <c r="AF45" s="17"/>
    </row>
    <row r="46" spans="1:32">
      <c r="V46" s="652"/>
      <c r="W46" s="652"/>
      <c r="X46" s="652"/>
      <c r="Y46" s="652"/>
      <c r="Z46" s="508"/>
      <c r="AA46" s="508"/>
      <c r="AB46" s="652"/>
      <c r="AC46" s="652"/>
      <c r="AD46" s="542"/>
      <c r="AE46" s="17"/>
      <c r="AF46" s="17"/>
    </row>
    <row r="47" spans="1:32">
      <c r="V47" s="652"/>
      <c r="W47" s="652"/>
      <c r="X47" s="652"/>
      <c r="Y47" s="652"/>
      <c r="Z47" s="652"/>
      <c r="AA47" s="652"/>
      <c r="AB47" s="652"/>
      <c r="AC47" s="652"/>
      <c r="AD47" s="542"/>
      <c r="AE47" s="17"/>
      <c r="AF47" s="17"/>
    </row>
    <row r="48" spans="1:32">
      <c r="V48" s="653"/>
      <c r="W48" s="653"/>
      <c r="X48" s="654"/>
      <c r="Y48" s="654"/>
      <c r="Z48" s="654"/>
      <c r="AA48" s="509"/>
      <c r="AB48" s="652"/>
      <c r="AC48" s="652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7" sqref="F2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>
        <v>14</v>
      </c>
      <c r="C14" s="37">
        <v>11</v>
      </c>
      <c r="D14" s="26">
        <f t="shared" si="3"/>
        <v>12.5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>
        <v>14</v>
      </c>
      <c r="C15" s="37">
        <v>9</v>
      </c>
      <c r="D15" s="26">
        <f>(C15+B15)/2</f>
        <v>11.5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>
        <v>13</v>
      </c>
      <c r="C17" s="37">
        <v>9</v>
      </c>
      <c r="D17" s="26">
        <f t="shared" si="3"/>
        <v>11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>
        <v>12</v>
      </c>
      <c r="C18" s="37">
        <v>8</v>
      </c>
      <c r="D18" s="26">
        <f t="shared" si="3"/>
        <v>10</v>
      </c>
      <c r="E18" s="325">
        <v>0.62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>
        <v>10</v>
      </c>
      <c r="C19" s="37">
        <v>5</v>
      </c>
      <c r="D19" s="26">
        <f t="shared" si="3"/>
        <v>7.5</v>
      </c>
      <c r="E19" s="325">
        <v>0.62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>
        <v>16</v>
      </c>
      <c r="C21" s="37">
        <v>9</v>
      </c>
      <c r="D21" s="26">
        <f t="shared" si="3"/>
        <v>12.5</v>
      </c>
      <c r="E21" s="325">
        <v>0.56000000000000005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>
        <v>11</v>
      </c>
      <c r="C24" s="37">
        <v>9</v>
      </c>
      <c r="D24" s="26">
        <f t="shared" si="3"/>
        <v>10</v>
      </c>
      <c r="E24" s="325">
        <v>0.37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>
        <v>14</v>
      </c>
      <c r="C25" s="37">
        <v>8</v>
      </c>
      <c r="D25" s="26">
        <f t="shared" si="3"/>
        <v>11</v>
      </c>
      <c r="E25" s="325">
        <v>0.46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>
        <v>15</v>
      </c>
      <c r="C26" s="37">
        <v>11</v>
      </c>
      <c r="D26" s="26">
        <f t="shared" si="3"/>
        <v>13</v>
      </c>
      <c r="E26" s="378">
        <v>0.54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>
        <v>15</v>
      </c>
      <c r="C27" s="37">
        <v>9</v>
      </c>
      <c r="D27" s="26">
        <f t="shared" si="3"/>
        <v>12</v>
      </c>
      <c r="E27" s="378">
        <v>0.56000000000000005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15.75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-4981.9999999999709</v>
      </c>
      <c r="E6" s="3">
        <f>ELEC!Q25</f>
        <v>4981.9999999999709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5500</v>
      </c>
      <c r="D11" s="3">
        <f t="shared" si="0"/>
        <v>120.00000000261934</v>
      </c>
      <c r="E11" s="3">
        <f>ELEC!Q13</f>
        <v>5379.9999999973807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-26.199999999999989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5222</v>
      </c>
      <c r="D12" s="3">
        <f t="shared" si="0"/>
        <v>325.99999999935972</v>
      </c>
      <c r="E12" s="3">
        <f>ELEC!Q14</f>
        <v>4896.0000000006403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19.400000000000006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56.899999999999991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3565</v>
      </c>
      <c r="D14" s="3">
        <f t="shared" si="0"/>
        <v>-71.000000002240995</v>
      </c>
      <c r="E14" s="3">
        <f>ELEC!Q16</f>
        <v>3636.000000002241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-2.9000000000000341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5257</v>
      </c>
      <c r="D15" s="3">
        <f t="shared" si="0"/>
        <v>142.00000000203727</v>
      </c>
      <c r="E15" s="3">
        <f>ELEC!Q17</f>
        <v>5114.9999999979627</v>
      </c>
      <c r="F15" s="3">
        <f>GEN!Z15</f>
        <v>7</v>
      </c>
      <c r="G15" s="3">
        <f>WATER!C18+WATER!H18</f>
        <v>0</v>
      </c>
      <c r="H15" s="3">
        <f>WATER!L18</f>
        <v>0</v>
      </c>
      <c r="I15" s="15">
        <f>WATER!BC18+WATER!BD18+WATER!BE19-Sheet1!G15</f>
        <v>134.19999999999999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5713</v>
      </c>
      <c r="D16" s="3">
        <f t="shared" si="0"/>
        <v>-84.999999998864951</v>
      </c>
      <c r="E16" s="3">
        <f>ELEC!Q18</f>
        <v>5797.999999998865</v>
      </c>
      <c r="F16" s="3">
        <f>GEN!Z16</f>
        <v>11</v>
      </c>
      <c r="G16" s="3">
        <f>WATER!C19+WATER!H19</f>
        <v>250</v>
      </c>
      <c r="H16" s="3">
        <f>WATER!L19</f>
        <v>0</v>
      </c>
      <c r="I16" s="15">
        <f>WATER!BC19+WATER!BD19+WATER!BE20-Sheet1!G16</f>
        <v>-266.7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5689</v>
      </c>
      <c r="D17" s="3">
        <f t="shared" si="0"/>
        <v>310.99999999938882</v>
      </c>
      <c r="E17" s="3">
        <f>ELEC!Q19</f>
        <v>5378.0000000006112</v>
      </c>
      <c r="F17" s="3">
        <f>GEN!Z17</f>
        <v>12</v>
      </c>
      <c r="G17" s="3">
        <f>WATER!C20+WATER!H20</f>
        <v>0</v>
      </c>
      <c r="H17" s="3">
        <f>WATER!L20</f>
        <v>10</v>
      </c>
      <c r="I17" s="15">
        <f>WATER!BC20+WATER!BD20+WATER!BE21-Sheet1!G17</f>
        <v>-20.700000000000017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5365</v>
      </c>
      <c r="D18" s="3">
        <f t="shared" si="0"/>
        <v>58.999999999505235</v>
      </c>
      <c r="E18" s="3">
        <f>ELEC!Q20</f>
        <v>5306.0000000004948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-21.799999999999969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12</v>
      </c>
      <c r="G19" s="3">
        <f>WATER!C22+WATER!H22</f>
        <v>0</v>
      </c>
      <c r="H19" s="3">
        <f>WATER!L22</f>
        <v>0</v>
      </c>
      <c r="I19" s="15">
        <f>WATER!BC22+WATER!BD22+WATER!BE23-Sheet1!G19</f>
        <v>-12.69999999999996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5488</v>
      </c>
      <c r="D21" s="3">
        <f t="shared" si="0"/>
        <v>266.99999999863212</v>
      </c>
      <c r="E21" s="3">
        <f>ELEC!Q23</f>
        <v>5221.0000000013679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-17.100000000000023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5011</v>
      </c>
      <c r="D22" s="3">
        <f t="shared" si="0"/>
        <v>372.0000000007858</v>
      </c>
      <c r="E22" s="3">
        <f>ELEC!Q24</f>
        <v>4638.9999999992142</v>
      </c>
      <c r="F22" s="3">
        <f>GEN!Z22</f>
        <v>11</v>
      </c>
      <c r="G22" s="3">
        <f>WATER!C25+WATER!H25</f>
        <v>0</v>
      </c>
      <c r="H22" s="3">
        <f>WATER!L25</f>
        <v>0</v>
      </c>
      <c r="I22" s="15">
        <f>WATER!BC25+WATER!BD25+WATER!BE26-Sheet1!G22</f>
        <v>46.300000000000011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5054</v>
      </c>
      <c r="D23" s="3">
        <f t="shared" si="0"/>
        <v>72.000000000029104</v>
      </c>
      <c r="E23" s="3">
        <f>ELEC!Q25</f>
        <v>4981.9999999999709</v>
      </c>
      <c r="F23" s="3">
        <f>GEN!Z23</f>
        <v>10</v>
      </c>
      <c r="G23" s="3">
        <f>WATER!C26+WATER!H26</f>
        <v>181</v>
      </c>
      <c r="H23" s="3">
        <f>WATER!L26</f>
        <v>0</v>
      </c>
      <c r="I23" s="15">
        <f>WATER!BC26+WATER!BD26+WATER!BE27-Sheet1!G23</f>
        <v>-95.600000000000009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5601</v>
      </c>
      <c r="D24" s="3">
        <f t="shared" si="0"/>
        <v>133.99999999944703</v>
      </c>
      <c r="E24" s="3">
        <f>ELEC!Q26</f>
        <v>5467.000000000553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-25.800000000000026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-12.699999999999974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3"/>
      <c r="B1" s="680" t="s">
        <v>119</v>
      </c>
      <c r="C1" s="680" t="s">
        <v>118</v>
      </c>
      <c r="D1" s="685" t="s">
        <v>113</v>
      </c>
      <c r="E1" s="685" t="s">
        <v>114</v>
      </c>
      <c r="F1" s="686" t="s">
        <v>120</v>
      </c>
      <c r="G1" s="687" t="s">
        <v>75</v>
      </c>
      <c r="H1" s="688" t="s">
        <v>115</v>
      </c>
      <c r="I1" s="689" t="s">
        <v>116</v>
      </c>
      <c r="J1" s="688" t="s">
        <v>117</v>
      </c>
      <c r="K1" s="682" t="s">
        <v>121</v>
      </c>
      <c r="L1" s="682" t="s">
        <v>122</v>
      </c>
      <c r="M1" s="682" t="s">
        <v>123</v>
      </c>
      <c r="N1" s="682" t="s">
        <v>124</v>
      </c>
    </row>
    <row r="2" spans="1:14">
      <c r="A2" s="684"/>
      <c r="B2" s="681"/>
      <c r="C2" s="681"/>
      <c r="D2" s="685"/>
      <c r="E2" s="685"/>
      <c r="F2" s="686"/>
      <c r="G2" s="687"/>
      <c r="H2" s="688"/>
      <c r="I2" s="690"/>
      <c r="J2" s="688"/>
      <c r="K2" s="682"/>
      <c r="L2" s="682"/>
      <c r="M2" s="682"/>
      <c r="N2" s="68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218</v>
      </c>
      <c r="C14" s="76">
        <f>'B5'!AH14</f>
        <v>0</v>
      </c>
      <c r="D14" s="76">
        <f>GEN!AI12</f>
        <v>1384.7257383959504</v>
      </c>
      <c r="E14" s="239">
        <f t="shared" si="0"/>
        <v>1602.7257383959504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5379.9999999973807</v>
      </c>
      <c r="J14" s="79">
        <f>ELEC!R13</f>
        <v>120.00000000261934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425</v>
      </c>
      <c r="C15" s="76">
        <f>'B5'!AH15</f>
        <v>0</v>
      </c>
      <c r="D15" s="76">
        <f>GEN!AI13</f>
        <v>1260.151898734342</v>
      </c>
      <c r="E15" s="239">
        <f t="shared" si="0"/>
        <v>1685.151898734342</v>
      </c>
      <c r="F15" s="75">
        <f>WATER!L15</f>
        <v>0</v>
      </c>
      <c r="G15" s="78">
        <f>WATER!BG15</f>
        <v>-20.400000000000006</v>
      </c>
      <c r="H15" s="79">
        <f>ELEC!AF14</f>
        <v>0</v>
      </c>
      <c r="I15" s="79">
        <f>ELEC!Q14</f>
        <v>4896.0000000006403</v>
      </c>
      <c r="J15" s="79">
        <f>ELEC!R14</f>
        <v>325.99999999935972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-25.900000000000006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295</v>
      </c>
      <c r="C17" s="76">
        <f>'B5'!AH17</f>
        <v>0</v>
      </c>
      <c r="D17" s="76">
        <f>GEN!AI15</f>
        <v>935.84810126639968</v>
      </c>
      <c r="E17" s="239">
        <f t="shared" si="0"/>
        <v>1230.8481012663997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3636.000000002241</v>
      </c>
      <c r="J17" s="79">
        <f>ELEC!R16</f>
        <v>-71.000000002240995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570</v>
      </c>
      <c r="C18" s="76">
        <f>'B5'!AH18</f>
        <v>0</v>
      </c>
      <c r="D18" s="76">
        <f>GEN!AI16</f>
        <v>1316.5189873412478</v>
      </c>
      <c r="E18" s="239">
        <f t="shared" si="0"/>
        <v>1886.5189873412478</v>
      </c>
      <c r="F18" s="75">
        <f>WATER!L18</f>
        <v>0</v>
      </c>
      <c r="G18" s="78">
        <f>WATER!BG18</f>
        <v>-2.9000000000000341</v>
      </c>
      <c r="H18" s="79">
        <f>ELEC!AF17</f>
        <v>0</v>
      </c>
      <c r="I18" s="79">
        <f>ELEC!Q17</f>
        <v>5114.9999999979627</v>
      </c>
      <c r="J18" s="79">
        <f>ELEC!R17</f>
        <v>142.00000000203727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515</v>
      </c>
      <c r="C19" s="76">
        <f>'B5'!AH19</f>
        <v>0</v>
      </c>
      <c r="D19" s="76">
        <f>GEN!AI17</f>
        <v>1492.3122362866279</v>
      </c>
      <c r="E19" s="239">
        <f t="shared" si="0"/>
        <v>2007.3122362866279</v>
      </c>
      <c r="F19" s="75">
        <f>WATER!L19</f>
        <v>0</v>
      </c>
      <c r="G19" s="78">
        <f>WATER!BG19</f>
        <v>137.10000000000002</v>
      </c>
      <c r="H19" s="79">
        <f>ELEC!AF18</f>
        <v>0</v>
      </c>
      <c r="I19" s="79">
        <f>ELEC!Q18</f>
        <v>5797.999999998865</v>
      </c>
      <c r="J19" s="79">
        <f>ELEC!R18</f>
        <v>-84.999999998864951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589</v>
      </c>
      <c r="C20" s="76">
        <f>'B5'!AH20</f>
        <v>64</v>
      </c>
      <c r="D20" s="76">
        <f>GEN!AI18</f>
        <v>1384.2109704642924</v>
      </c>
      <c r="E20" s="239">
        <f t="shared" si="0"/>
        <v>2037.2109704642924</v>
      </c>
      <c r="F20" s="75">
        <f>WATER!L20</f>
        <v>10</v>
      </c>
      <c r="G20" s="78">
        <f>WATER!BG20</f>
        <v>-9.7999999999999972</v>
      </c>
      <c r="H20" s="79">
        <f>ELEC!AF19</f>
        <v>0</v>
      </c>
      <c r="I20" s="79">
        <f>ELEC!Q19</f>
        <v>5378.0000000006112</v>
      </c>
      <c r="J20" s="79">
        <f>ELEC!R19</f>
        <v>310.99999999938882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414</v>
      </c>
      <c r="C21" s="76">
        <f>'B5'!AH21</f>
        <v>0</v>
      </c>
      <c r="D21" s="76">
        <f>GEN!AI19</f>
        <v>1365.6793248946421</v>
      </c>
      <c r="E21" s="239">
        <f t="shared" si="0"/>
        <v>1779.6793248946421</v>
      </c>
      <c r="F21" s="75">
        <f>WATER!L21</f>
        <v>0</v>
      </c>
      <c r="G21" s="78">
        <f>WATER!BG21</f>
        <v>-10.90000000000002</v>
      </c>
      <c r="H21" s="79">
        <f>ELEC!AF20</f>
        <v>0</v>
      </c>
      <c r="I21" s="79">
        <f>ELEC!Q20</f>
        <v>5306.0000000004948</v>
      </c>
      <c r="J21" s="79">
        <f>ELEC!R20</f>
        <v>58.999999999505235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-12.69999999999996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426</v>
      </c>
      <c r="C24" s="76">
        <f>'B5'!AH24</f>
        <v>0</v>
      </c>
      <c r="D24" s="76">
        <f>GEN!AI22</f>
        <v>1343.8016877640653</v>
      </c>
      <c r="E24" s="239">
        <f t="shared" si="0"/>
        <v>1769.8016877640653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5221.0000000013679</v>
      </c>
      <c r="J24" s="79">
        <f>ELEC!R23</f>
        <v>266.99999999863212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386</v>
      </c>
      <c r="C25" s="76">
        <f>'B5'!AH25</f>
        <v>66</v>
      </c>
      <c r="D25" s="76">
        <f>GEN!AI23</f>
        <v>1194.0042194090806</v>
      </c>
      <c r="E25" s="239">
        <f t="shared" si="0"/>
        <v>1646.0042194090806</v>
      </c>
      <c r="F25" s="75">
        <f>WATER!L25</f>
        <v>0</v>
      </c>
      <c r="G25" s="78">
        <f>WATER!BG25</f>
        <v>-17.100000000000023</v>
      </c>
      <c r="H25" s="79">
        <f>ELEC!AF24</f>
        <v>0</v>
      </c>
      <c r="I25" s="79">
        <f>ELEC!Q24</f>
        <v>4638.9999999992142</v>
      </c>
      <c r="J25" s="79">
        <f>ELEC!R24</f>
        <v>372.0000000007858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348</v>
      </c>
      <c r="C26" s="76">
        <f>'B5'!AH26</f>
        <v>0</v>
      </c>
      <c r="D26" s="76">
        <f>GEN!AI24</f>
        <v>1282.2869198312162</v>
      </c>
      <c r="E26" s="239">
        <f t="shared" si="0"/>
        <v>1630.2869198312162</v>
      </c>
      <c r="F26" s="75">
        <f>WATER!L26</f>
        <v>0</v>
      </c>
      <c r="G26" s="78">
        <f>WATER!BG26</f>
        <v>63.400000000000034</v>
      </c>
      <c r="H26" s="79">
        <f>ELEC!AF25</f>
        <v>0</v>
      </c>
      <c r="I26" s="79">
        <f>ELEC!Q25</f>
        <v>4981.9999999999709</v>
      </c>
      <c r="J26" s="79">
        <f>ELEC!R25</f>
        <v>72.000000000029104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378</v>
      </c>
      <c r="C27" s="76">
        <f>'B5'!AH27</f>
        <v>0</v>
      </c>
      <c r="D27" s="76">
        <f>GEN!AI25</f>
        <v>1407.118143460058</v>
      </c>
      <c r="E27" s="239">
        <f t="shared" si="0"/>
        <v>1785.118143460058</v>
      </c>
      <c r="F27" s="75">
        <f>WATER!L27</f>
        <v>0</v>
      </c>
      <c r="G27" s="78">
        <f>WATER!BG27</f>
        <v>-13.100000000000051</v>
      </c>
      <c r="H27" s="79">
        <f>ELEC!AF26</f>
        <v>0</v>
      </c>
      <c r="I27" s="79">
        <f>ELEC!Q26</f>
        <v>5467.000000000553</v>
      </c>
      <c r="J27" s="79">
        <f>ELEC!R26</f>
        <v>133.99999999944703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-12.699999999999974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8</v>
      </c>
      <c r="E19">
        <f t="shared" si="0"/>
        <v>720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6</v>
      </c>
      <c r="E20">
        <f t="shared" si="0"/>
        <v>540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8</v>
      </c>
      <c r="E21">
        <f t="shared" si="0"/>
        <v>720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1</v>
      </c>
      <c r="G26">
        <f t="shared" si="1"/>
        <v>107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6</v>
      </c>
      <c r="E28">
        <f t="shared" si="0"/>
        <v>540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19" sqref="J19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>
        <v>1</v>
      </c>
      <c r="C20" s="604">
        <v>8</v>
      </c>
      <c r="D20" s="604">
        <v>0</v>
      </c>
      <c r="E20" s="604">
        <v>0</v>
      </c>
      <c r="F20" s="604">
        <v>0</v>
      </c>
      <c r="G20" s="605">
        <v>0</v>
      </c>
      <c r="H20" s="246">
        <v>7033</v>
      </c>
      <c r="I20" s="477">
        <f t="shared" si="4"/>
        <v>10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>
        <v>1</v>
      </c>
      <c r="C21" s="604">
        <v>8</v>
      </c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7033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7033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7033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7033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7033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7033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7033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7033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7033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7033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7033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7033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7033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7033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7033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7033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404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.7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.75" thickBot="1">
      <c r="A7" s="712" t="s">
        <v>163</v>
      </c>
      <c r="B7" s="713"/>
      <c r="C7" s="714" t="s">
        <v>164</v>
      </c>
      <c r="D7" s="715"/>
      <c r="E7" s="715"/>
      <c r="F7" s="715"/>
      <c r="G7" s="715"/>
      <c r="H7" s="715"/>
      <c r="I7" s="715"/>
      <c r="J7" s="715"/>
      <c r="K7" s="71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11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14</v>
      </c>
      <c r="K19" s="261">
        <f>'General information '!C14</f>
        <v>11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9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14</v>
      </c>
      <c r="K20" s="261">
        <f>'General information '!C15</f>
        <v>9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9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13</v>
      </c>
      <c r="K22" s="261">
        <f>'General information '!C17</f>
        <v>9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8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12</v>
      </c>
      <c r="K23" s="261">
        <f>'General information '!C18</f>
        <v>8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5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10</v>
      </c>
      <c r="K24" s="261">
        <f>'General information '!C19</f>
        <v>5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9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16</v>
      </c>
      <c r="K26" s="261">
        <f>'General information '!C21</f>
        <v>9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9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11</v>
      </c>
      <c r="K29" s="261">
        <f>'General information '!C24</f>
        <v>9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8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14</v>
      </c>
      <c r="K30" s="261">
        <f>'General information '!C25</f>
        <v>8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11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15</v>
      </c>
      <c r="K31" s="261">
        <f>'General information '!C26</f>
        <v>11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9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15</v>
      </c>
      <c r="K32" s="261">
        <f>'General information '!C27</f>
        <v>9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7" t="s">
        <v>174</v>
      </c>
      <c r="O84" s="717" t="s">
        <v>175</v>
      </c>
      <c r="P84" s="134"/>
      <c r="T84" s="134"/>
      <c r="X84" s="134"/>
    </row>
    <row r="85" spans="1:24" ht="20.25" thickBot="1">
      <c r="D85" s="134"/>
      <c r="I85" s="719" t="s">
        <v>182</v>
      </c>
      <c r="J85" s="720"/>
      <c r="K85" s="720"/>
      <c r="L85" s="720"/>
      <c r="N85" s="718"/>
      <c r="O85" s="718"/>
      <c r="P85" s="134"/>
      <c r="R85" s="17"/>
      <c r="S85" s="17"/>
      <c r="T85" s="140"/>
      <c r="U85" s="141"/>
      <c r="X85" s="134"/>
    </row>
    <row r="86" spans="1:24" ht="18.75" thickBot="1">
      <c r="D86" s="134"/>
      <c r="I86" s="721" t="s">
        <v>183</v>
      </c>
      <c r="J86" s="721"/>
      <c r="K86" s="721"/>
      <c r="L86" s="721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711"/>
      <c r="O88" s="711"/>
      <c r="P88" s="711"/>
      <c r="Q88" s="711"/>
      <c r="R88" s="711"/>
      <c r="S88" s="711"/>
      <c r="T88" s="711"/>
      <c r="U88" s="711"/>
      <c r="V88" s="711"/>
      <c r="W88" s="71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tabSelected="1"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23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431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55460</v>
      </c>
      <c r="C8" s="466">
        <f>SUM(tanks!AU37)</f>
        <v>1.0154285714285716</v>
      </c>
      <c r="D8" s="191">
        <f>SUM(B8*C8)*D4</f>
        <v>84895870.371428579</v>
      </c>
      <c r="E8" s="192">
        <f>SUM(D8/D4/F4)</f>
        <v>1816.6344700460832</v>
      </c>
      <c r="F8" s="192">
        <f>SUM(E8*F4)</f>
        <v>56315.668571428578</v>
      </c>
      <c r="G8" s="570">
        <f>E8*$G$4</f>
        <v>41782.592811059912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2684</v>
      </c>
      <c r="C10" s="181"/>
      <c r="D10" s="183">
        <f>'EDl log'!AB30</f>
        <v>7580589</v>
      </c>
      <c r="E10" s="182">
        <f>SUM(D10/D4/F4)</f>
        <v>162.21235756700369</v>
      </c>
      <c r="F10" s="182">
        <f>SUM(E10*F4)</f>
        <v>5028.5830845771143</v>
      </c>
      <c r="G10" s="478">
        <f>E10*$G$4</f>
        <v>3730.884224041085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2243.3629566453451</v>
      </c>
      <c r="F12" s="180">
        <f>SUM(F6:F10)</f>
        <v>69544.251656005697</v>
      </c>
      <c r="G12" s="179">
        <f>SUM(G6:G10)</f>
        <v>53713.477035100994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-26415.422964899</v>
      </c>
      <c r="I14" s="406">
        <f>SUM(G12-I12)</f>
        <v>2469.5573146708848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15.75</v>
      </c>
      <c r="C16" s="415">
        <f>'[13]Utility Cost '!$B$16</f>
        <v>15.064516129032258</v>
      </c>
      <c r="D16" s="415"/>
      <c r="E16" s="576">
        <f>B16-C16</f>
        <v>0.68548387096774199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191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-38</v>
      </c>
      <c r="F18" s="495">
        <f>B18-D18</f>
        <v>-11.666666666666657</v>
      </c>
    </row>
    <row r="19" spans="1:10">
      <c r="A19" s="489" t="s">
        <v>412</v>
      </c>
      <c r="B19" s="493">
        <f>GEN!AL34</f>
        <v>18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10.611111111111111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2022-03-24T08:14:26Z</dcterms:modified>
</cp:coreProperties>
</file>