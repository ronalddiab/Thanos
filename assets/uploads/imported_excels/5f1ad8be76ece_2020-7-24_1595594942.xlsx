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M4" i="7" l="1"/>
  <c r="CQ13" i="7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<sst xmlns="http://schemas.openxmlformats.org/spreadsheetml/2006/main" count="308" uniqueCount="145">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</sst>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>
        <f>Submetering!E11+Submetering!F11+Submetering!G11+Submetering!H11+Submetering!J11-Submetering!AV11</f>
        <v>3579.9999999992983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24.7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3430.0000000003224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18.300000000000004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3060.0000000002938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8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3219.999999999608</v>
      </c>
      <c r="F14" s="11">
        <f t="shared" si="1"/>
        <v>0.58765030286592534</v>
      </c>
      <c r="G14" s="12">
        <f>(Submetering!AX14+Submetering!AY14+Submetering!AZ14+Submetering!BA14+Submetering!BB14)</f>
        <v>8749.0755000000008</v>
      </c>
      <c r="H14" s="11">
        <f t="shared" si="2"/>
        <v>0.99</v>
      </c>
      <c r="I14" s="12">
        <f>'FS Desroches Daily'!CM16</f>
        <v>28.099999999999994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3040.0000000002783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17.900000000000006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3520.0000000002415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31.099999999999994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3129.9999999995762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89.2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3290.0000000002906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17.199999999999989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3249.9999999998026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15.900000000000006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2800.0000000000346</v>
      </c>
      <c r="F20" s="11">
        <f t="shared" si="1"/>
        <v>0.58765030286592534</v>
      </c>
      <c r="G20" s="12">
        <f>(Submetering!AX20+Submetering!AY20+Submetering!AZ20+Submetering!BA20+Submetering!BB20)</f>
        <v>3.6629999999999998</v>
      </c>
      <c r="H20" s="11">
        <f t="shared" si="2"/>
        <v>0.99</v>
      </c>
      <c r="I20" s="12">
        <f>'FS Desroches Daily'!CM22</f>
        <v>6.5999999999999943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3120.0000000000973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19.5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3410.0000000000728</v>
      </c>
      <c r="F22" s="11">
        <f t="shared" si="1"/>
        <v>0.58765030286592534</v>
      </c>
      <c r="G22" s="12">
        <f>(Submetering!AX22+Submetering!AY22+Submetering!AZ22+Submetering!BA22+Submetering!BB22)</f>
        <v>3.6629999999999998</v>
      </c>
      <c r="H22" s="11">
        <f t="shared" si="2"/>
        <v>0.99</v>
      </c>
      <c r="I22" s="12">
        <f>'FS Desroches Daily'!CM24</f>
        <v>14.100000000000023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3379.9999999997649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14.299999999999983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3810.0000000004729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22.700000000000017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>
        <f>'FS Desroches Daily'!D13</f>
        <v>699.99999999992292</v>
      </c>
      <c r="F11" s="32">
        <f>'FS Desroches Daily'!F13</f>
        <v>599.99999999993395</v>
      </c>
      <c r="G11" s="31">
        <f>'FS Desroches Daily'!H13</f>
        <v>1499.9999999996128</v>
      </c>
      <c r="H11" s="32">
        <f>'FS Desroches Daily'!J13</f>
        <v>699.99999999992292</v>
      </c>
      <c r="I11" s="31">
        <f>'FS Desroches Daily'!L13</f>
        <v>1700.0000000000348</v>
      </c>
      <c r="J11" s="32">
        <f>'FS Desroches Daily'!N13</f>
        <v>399.99999999995595</v>
      </c>
      <c r="K11" s="13">
        <f>'FS Desroches Daily'!P13</f>
        <v>0</v>
      </c>
      <c r="L11" s="31">
        <f>'FS Desroches Daily'!R13</f>
        <v>3</v>
      </c>
      <c r="M11" s="31">
        <f>'FS Desroches Daily'!T13</f>
        <v>171</v>
      </c>
      <c r="N11" s="31">
        <f>'FS Desroches Daily'!V13</f>
        <v>41.299999999988358</v>
      </c>
      <c r="O11" s="31">
        <f>'FS Desroches Daily'!X13</f>
        <v>69.999999999993179</v>
      </c>
      <c r="P11" s="31">
        <f>'FS Desroches Daily'!Z13</f>
        <v>399.99999999995595</v>
      </c>
      <c r="Q11" s="31">
        <f>'FS Desroches Daily'!AB13</f>
        <v>60.000000000002274</v>
      </c>
      <c r="R11" s="31">
        <f>'FS Desroches Daily'!AD13</f>
        <v>120.00000000000455</v>
      </c>
      <c r="S11" s="31">
        <f>'FS Desroches Daily'!AF13</f>
        <v>149.99999999997726</v>
      </c>
      <c r="T11" s="31">
        <f>'FS Desroches Daily'!AH13</f>
        <v>1.5</v>
      </c>
      <c r="U11" s="35">
        <f>'FS Desroches Daily'!AJ13</f>
        <v>189.99999999999773</v>
      </c>
      <c r="V11" s="35">
        <f>'FS Desroches Daily'!AL13</f>
        <v>30.000000000001137</v>
      </c>
      <c r="W11" s="35">
        <f>'FS Desroches Daily'!AN13</f>
        <v>40.000000000020464</v>
      </c>
      <c r="X11" s="35">
        <f>'FS Desroches Daily'!AP13</f>
        <v>20.000000000010232</v>
      </c>
      <c r="Y11" s="35">
        <f>'FS Desroches Daily'!AR13</f>
        <v>30.000000000001137</v>
      </c>
      <c r="Z11" s="35">
        <f>'FS Desroches Daily'!AT13</f>
        <v>30.000000000029559</v>
      </c>
      <c r="AA11" s="35">
        <f>'FS Desroches Daily'!AT13</f>
        <v>30.000000000029559</v>
      </c>
      <c r="AB11" s="35">
        <f>'FS Desroches Daily'!AV13</f>
        <v>40.000000000020464</v>
      </c>
      <c r="AC11" s="35">
        <f>'FS Desroches Daily'!AZ13</f>
        <v>19.99999999998181</v>
      </c>
      <c r="AD11" s="35">
        <f>'FS Desroches Daily'!BB13</f>
        <v>9.9999999999909051</v>
      </c>
      <c r="AE11" s="35">
        <f>'FS Desroches Daily'!BD13</f>
        <v>20.000000000010232</v>
      </c>
      <c r="AF11" s="31">
        <f>'FS Desroches Daily'!BF13</f>
        <v>18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10.000000000019327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13</v>
      </c>
      <c r="AM11" s="32">
        <f>'FS Desroches Daily'!BT13</f>
        <v>0</v>
      </c>
      <c r="AN11" s="32">
        <f>'FS Desroches Daily'!BV13</f>
        <v>8</v>
      </c>
      <c r="AO11" s="32">
        <f>'FS Desroches Daily'!BX13</f>
        <v>10.000000000019327</v>
      </c>
      <c r="AP11" s="32">
        <f>'FS Desroches Daily'!BZ13</f>
        <v>12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43.099999999998545</v>
      </c>
      <c r="AU11" s="31">
        <f>'FS Desroches Daily'!CJ13</f>
        <v>200</v>
      </c>
      <c r="AV11" s="31">
        <f>'FS Desroches Daily'!CL13</f>
        <v>320.00000000005002</v>
      </c>
      <c r="AW11" s="31">
        <f>'FS Desroches Daily'!CM13</f>
        <v>24.7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600.00000000015598</v>
      </c>
      <c r="F12" s="32">
        <f>'FS Desroches Daily'!F14</f>
        <v>500.00000000016701</v>
      </c>
      <c r="G12" s="31">
        <f>'FS Desroches Daily'!H14</f>
        <v>1700.0000000000348</v>
      </c>
      <c r="H12" s="32">
        <f>'FS Desroches Daily'!J14</f>
        <v>699.99999999992292</v>
      </c>
      <c r="I12" s="31">
        <f>'FS Desroches Daily'!L14</f>
        <v>1699.9999999998129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3</v>
      </c>
      <c r="M12" s="31">
        <f>'FS Desroches Daily'!T14</f>
        <v>153.30000000004657</v>
      </c>
      <c r="N12" s="31">
        <f>'FS Desroches Daily'!V14</f>
        <v>62.700000000011642</v>
      </c>
      <c r="O12" s="31">
        <f>'FS Desroches Daily'!X14</f>
        <v>69.999999999993179</v>
      </c>
      <c r="P12" s="31">
        <f>'FS Desroches Daily'!Z14</f>
        <v>300.000000000189</v>
      </c>
      <c r="Q12" s="31">
        <f>'FS Desroches Daily'!AB14</f>
        <v>60.000000000002274</v>
      </c>
      <c r="R12" s="31">
        <f>'FS Desroches Daily'!AD14</f>
        <v>109.9999999999568</v>
      </c>
      <c r="S12" s="31">
        <f>'FS Desroches Daily'!AF14</f>
        <v>180.00000000000682</v>
      </c>
      <c r="T12" s="31">
        <f>'FS Desroches Daily'!AH14</f>
        <v>1.3999999999998636</v>
      </c>
      <c r="U12" s="35">
        <f>'FS Desroches Daily'!AJ14</f>
        <v>220.00000000002728</v>
      </c>
      <c r="V12" s="35">
        <f>'FS Desroches Daily'!AL14</f>
        <v>39.999999999992042</v>
      </c>
      <c r="W12" s="35">
        <f>'FS Desroches Daily'!AN14</f>
        <v>30.000000000001137</v>
      </c>
      <c r="X12" s="35">
        <f>'FS Desroches Daily'!AP14</f>
        <v>30.000000000001137</v>
      </c>
      <c r="Y12" s="35">
        <f>'FS Desroches Daily'!AR14</f>
        <v>20.000000000010232</v>
      </c>
      <c r="Z12" s="35">
        <f>'FS Desroches Daily'!AT14</f>
        <v>19.99999999998181</v>
      </c>
      <c r="AA12" s="35">
        <f>'FS Desroches Daily'!AT14</f>
        <v>19.99999999998181</v>
      </c>
      <c r="AB12" s="35">
        <f>'FS Desroches Daily'!AV14</f>
        <v>19.99999999998181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19.99999999998181</v>
      </c>
      <c r="AF12" s="31">
        <f>'FS Desroches Daily'!BF14</f>
        <v>22</v>
      </c>
      <c r="AG12" s="32">
        <f>'FS Desroches Daily'!BH14</f>
        <v>9.9999999999909051</v>
      </c>
      <c r="AH12" s="32">
        <f>'FS Desroches Daily'!BJ14</f>
        <v>10.000000000047748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9.9999999999909051</v>
      </c>
      <c r="AL12" s="32">
        <f>'FS Desroches Daily'!BR14</f>
        <v>12</v>
      </c>
      <c r="AM12" s="32">
        <f>'FS Desroches Daily'!BT14</f>
        <v>9.9999999999909051</v>
      </c>
      <c r="AN12" s="32">
        <f>'FS Desroches Daily'!BV14</f>
        <v>26</v>
      </c>
      <c r="AO12" s="32">
        <f>'FS Desroches Daily'!BX14</f>
        <v>9.9999999999909051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16.900000000001455</v>
      </c>
      <c r="AU12" s="31">
        <f>'FS Desroches Daily'!CJ14</f>
        <v>203</v>
      </c>
      <c r="AV12" s="31">
        <f>'FS Desroches Daily'!CL14</f>
        <v>469.9999999999136</v>
      </c>
      <c r="AW12" s="31">
        <f>'FS Desroches Daily'!CM14</f>
        <v>18.300000000000004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499.99999999994492</v>
      </c>
      <c r="F13" s="32">
        <f>'FS Desroches Daily'!F15</f>
        <v>599.99999999993395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1500.0000000000568</v>
      </c>
      <c r="J13" s="32">
        <f>'FS Desroches Daily'!N15</f>
        <v>400.00000000017798</v>
      </c>
      <c r="K13" s="13">
        <f>'FS Desroches Daily'!P15</f>
        <v>3</v>
      </c>
      <c r="L13" s="31">
        <f>'FS Desroches Daily'!R15</f>
        <v>3</v>
      </c>
      <c r="M13" s="31">
        <f>'FS Desroches Daily'!T15</f>
        <v>90.900000000023283</v>
      </c>
      <c r="N13" s="31">
        <f>'FS Desroches Daily'!V15</f>
        <v>44.100000000034925</v>
      </c>
      <c r="O13" s="31">
        <f>'FS Desroches Daily'!X15</f>
        <v>60.000000000002274</v>
      </c>
      <c r="P13" s="31">
        <f>'FS Desroches Daily'!Z15</f>
        <v>399.99999999995595</v>
      </c>
      <c r="Q13" s="31">
        <f>'FS Desroches Daily'!AB15</f>
        <v>50.000000000011369</v>
      </c>
      <c r="R13" s="31">
        <f>'FS Desroches Daily'!AD15</f>
        <v>110.00000000001364</v>
      </c>
      <c r="S13" s="31">
        <f>'FS Desroches Daily'!AF15</f>
        <v>129.99999999999545</v>
      </c>
      <c r="T13" s="31">
        <f>'FS Desroches Daily'!AH15</f>
        <v>1.1000000000001364</v>
      </c>
      <c r="U13" s="35">
        <f>'FS Desroches Daily'!AJ15</f>
        <v>169.99999999995907</v>
      </c>
      <c r="V13" s="35">
        <f>'FS Desroches Daily'!AL15</f>
        <v>20.000000000010232</v>
      </c>
      <c r="W13" s="35">
        <f>'FS Desroches Daily'!AN15</f>
        <v>30.000000000001137</v>
      </c>
      <c r="X13" s="35">
        <f>'FS Desroches Daily'!AP15</f>
        <v>20.000000000010232</v>
      </c>
      <c r="Y13" s="35">
        <f>'FS Desroches Daily'!AR15</f>
        <v>9.9999999999909051</v>
      </c>
      <c r="Z13" s="35">
        <f>'FS Desroches Daily'!AT15</f>
        <v>20.000000000038654</v>
      </c>
      <c r="AA13" s="35">
        <f>'FS Desroches Daily'!AT15</f>
        <v>20.000000000038654</v>
      </c>
      <c r="AB13" s="35">
        <f>'FS Desroches Daily'!AV15</f>
        <v>20.000000000038654</v>
      </c>
      <c r="AC13" s="35">
        <f>'FS Desroches Daily'!AZ15</f>
        <v>10.000000000047748</v>
      </c>
      <c r="AD13" s="35">
        <f>'FS Desroches Daily'!BB15</f>
        <v>9.9999999999909051</v>
      </c>
      <c r="AE13" s="35">
        <f>'FS Desroches Daily'!BD15</f>
        <v>20.000000000010232</v>
      </c>
      <c r="AF13" s="31">
        <f>'FS Desroches Daily'!BF15</f>
        <v>18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0</v>
      </c>
      <c r="AJ13" s="32">
        <f>'FS Desroches Daily'!BN15</f>
        <v>9.9999999999909051</v>
      </c>
      <c r="AK13" s="32">
        <f>'FS Desroches Daily'!BP15</f>
        <v>19.99999999998181</v>
      </c>
      <c r="AL13" s="32">
        <f>'FS Desroches Daily'!BR15</f>
        <v>13</v>
      </c>
      <c r="AM13" s="32">
        <f>'FS Desroches Daily'!BT15</f>
        <v>0</v>
      </c>
      <c r="AN13" s="32">
        <f>'FS Desroches Daily'!BV15</f>
        <v>28</v>
      </c>
      <c r="AO13" s="32">
        <f>'FS Desroches Daily'!BX15</f>
        <v>20.000000000010232</v>
      </c>
      <c r="AP13" s="32">
        <f>'FS Desroches Daily'!BZ15</f>
        <v>12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36.299999999995634</v>
      </c>
      <c r="AU13" s="31">
        <f>'FS Desroches Daily'!CJ15</f>
        <v>174</v>
      </c>
      <c r="AV13" s="31">
        <f>'FS Desroches Daily'!CL15</f>
        <v>240.00000000000909</v>
      </c>
      <c r="AW13" s="31">
        <f>'FS Desroches Daily'!CM15</f>
        <v>8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599.99999999993395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599.99999999993395</v>
      </c>
      <c r="I14" s="31">
        <f>'FS Desroches Daily'!L16</f>
        <v>1600.0000000000459</v>
      </c>
      <c r="J14" s="32">
        <f>'FS Desroches Daily'!N16</f>
        <v>399.99999999995595</v>
      </c>
      <c r="K14" s="13">
        <f>'FS Desroches Daily'!P16</f>
        <v>0</v>
      </c>
      <c r="L14" s="31">
        <f>'FS Desroches Daily'!R16</f>
        <v>3</v>
      </c>
      <c r="M14" s="31">
        <f>'FS Desroches Daily'!T16</f>
        <v>153.29999999993015</v>
      </c>
      <c r="N14" s="31">
        <f>'FS Desroches Daily'!V16</f>
        <v>70.599999999976717</v>
      </c>
      <c r="O14" s="31">
        <f>'FS Desroches Daily'!X16</f>
        <v>100.00000000002274</v>
      </c>
      <c r="P14" s="31">
        <f>'FS Desroches Daily'!Z16</f>
        <v>399.99999999995595</v>
      </c>
      <c r="Q14" s="31">
        <f>'FS Desroches Daily'!AB16</f>
        <v>40.000000000020464</v>
      </c>
      <c r="R14" s="31">
        <f>'FS Desroches Daily'!AD16</f>
        <v>90.000000000031832</v>
      </c>
      <c r="S14" s="31">
        <f>'FS Desroches Daily'!AF16</f>
        <v>139.99999999998636</v>
      </c>
      <c r="T14" s="31">
        <f>'FS Desroches Daily'!AH16</f>
        <v>1</v>
      </c>
      <c r="U14" s="35">
        <f>'FS Desroches Daily'!AJ16</f>
        <v>180.00000000000682</v>
      </c>
      <c r="V14" s="35">
        <f>'FS Desroches Daily'!AL16</f>
        <v>39.999999999992042</v>
      </c>
      <c r="W14" s="35">
        <f>'FS Desroches Daily'!AN16</f>
        <v>39.999999999992042</v>
      </c>
      <c r="X14" s="35">
        <f>'FS Desroches Daily'!AP16</f>
        <v>30.000000000001137</v>
      </c>
      <c r="Y14" s="35">
        <f>'FS Desroches Daily'!AR16</f>
        <v>20.000000000010232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9.9999999999909051</v>
      </c>
      <c r="AE14" s="35">
        <f>'FS Desroches Daily'!BD16</f>
        <v>9.9999999999909051</v>
      </c>
      <c r="AF14" s="31">
        <f>'FS Desroches Daily'!BF16</f>
        <v>25</v>
      </c>
      <c r="AG14" s="32">
        <f>'FS Desroches Daily'!BH16</f>
        <v>10.000000000019327</v>
      </c>
      <c r="AH14" s="32">
        <f>'FS Desroches Daily'!BJ16</f>
        <v>9.9999999999909051</v>
      </c>
      <c r="AI14" s="32">
        <f>'FS Desroches Daily'!BL16</f>
        <v>0</v>
      </c>
      <c r="AJ14" s="32">
        <f>'FS Desroches Daily'!BN16</f>
        <v>9.9999999999909051</v>
      </c>
      <c r="AK14" s="32">
        <f>'FS Desroches Daily'!BP16</f>
        <v>20.000000000038654</v>
      </c>
      <c r="AL14" s="32">
        <f>'FS Desroches Daily'!BR16</f>
        <v>11</v>
      </c>
      <c r="AM14" s="32">
        <f>'FS Desroches Daily'!BT16</f>
        <v>10.000000000019327</v>
      </c>
      <c r="AN14" s="32">
        <f>'FS Desroches Daily'!BV16</f>
        <v>23</v>
      </c>
      <c r="AO14" s="32">
        <f>'FS Desroches Daily'!BX16</f>
        <v>9.9999999999909051</v>
      </c>
      <c r="AP14" s="32">
        <f>'FS Desroches Daily'!BZ16</f>
        <v>11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24.700000000004366</v>
      </c>
      <c r="AU14" s="31">
        <f>'FS Desroches Daily'!CJ16</f>
        <v>185</v>
      </c>
      <c r="AV14" s="31">
        <f>'FS Desroches Daily'!CL16</f>
        <v>379.99999999999545</v>
      </c>
      <c r="AW14" s="31">
        <f>'FS Desroches Daily'!CM16</f>
        <v>28.099999999999994</v>
      </c>
      <c r="AX14" s="31">
        <f>IF(LPG!F21-LPG!G21&lt;0,"0",(LPG!F21-LPG!G21)*1.8315)</f>
        <v>8745.4125000000004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600.00000000015598</v>
      </c>
      <c r="F15" s="32">
        <f>'FS Desroches Daily'!F17</f>
        <v>399.99999999995595</v>
      </c>
      <c r="G15" s="31">
        <f>'FS Desroches Daily'!H17</f>
        <v>1400.0000000002899</v>
      </c>
      <c r="H15" s="32">
        <f>'FS Desroches Daily'!J17</f>
        <v>599.99999999993395</v>
      </c>
      <c r="I15" s="31">
        <f>'FS Desroches Daily'!L17</f>
        <v>1500.0000000000568</v>
      </c>
      <c r="J15" s="32">
        <f>'FS Desroches Daily'!N17</f>
        <v>399.99999999995595</v>
      </c>
      <c r="K15" s="13">
        <f>'FS Desroches Daily'!P17</f>
        <v>1</v>
      </c>
      <c r="L15" s="31">
        <f>'FS Desroches Daily'!R17</f>
        <v>2</v>
      </c>
      <c r="M15" s="31">
        <f>'FS Desroches Daily'!T17</f>
        <v>81.599999999976717</v>
      </c>
      <c r="N15" s="31">
        <f>'FS Desroches Daily'!V17</f>
        <v>42.200000000011642</v>
      </c>
      <c r="O15" s="31">
        <f>'FS Desroches Daily'!X17</f>
        <v>69.999999999993179</v>
      </c>
      <c r="P15" s="31">
        <f>'FS Desroches Daily'!Z17</f>
        <v>300.000000000189</v>
      </c>
      <c r="Q15" s="31">
        <f>'FS Desroches Daily'!AB17</f>
        <v>50.000000000011369</v>
      </c>
      <c r="R15" s="31">
        <f>'FS Desroches Daily'!AD17</f>
        <v>79.999999999984084</v>
      </c>
      <c r="S15" s="31">
        <f>'FS Desroches Daily'!AF17</f>
        <v>160.00000000002501</v>
      </c>
      <c r="T15" s="31">
        <f>'FS Desroches Daily'!AH17</f>
        <v>0.79999999999995453</v>
      </c>
      <c r="U15" s="35">
        <f>'FS Desroches Daily'!AJ17</f>
        <v>170.00000000001592</v>
      </c>
      <c r="V15" s="35">
        <f>'FS Desroches Daily'!AL17</f>
        <v>20.000000000010232</v>
      </c>
      <c r="W15" s="35">
        <f>'FS Desroches Daily'!AN17</f>
        <v>30.000000000001137</v>
      </c>
      <c r="X15" s="35">
        <f>'FS Desroches Daily'!AP17</f>
        <v>19.99999999998181</v>
      </c>
      <c r="Y15" s="35">
        <f>'FS Desroches Daily'!AR17</f>
        <v>19.99999999998181</v>
      </c>
      <c r="Z15" s="35">
        <f>'FS Desroches Daily'!AT17</f>
        <v>19.99999999998181</v>
      </c>
      <c r="AA15" s="35">
        <f>'FS Desroches Daily'!AT17</f>
        <v>19.99999999998181</v>
      </c>
      <c r="AB15" s="35">
        <f>'FS Desroches Daily'!AV17</f>
        <v>9.9999999999909051</v>
      </c>
      <c r="AC15" s="35">
        <f>'FS Desroches Daily'!AZ17</f>
        <v>19.99999999998181</v>
      </c>
      <c r="AD15" s="35">
        <f>'FS Desroches Daily'!BB17</f>
        <v>9.9999999999909051</v>
      </c>
      <c r="AE15" s="35">
        <f>'FS Desroches Daily'!BD17</f>
        <v>20.000000000010232</v>
      </c>
      <c r="AF15" s="31">
        <f>'FS Desroches Daily'!BF17</f>
        <v>15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10.000000000019327</v>
      </c>
      <c r="AK15" s="32">
        <f>'FS Desroches Daily'!BP17</f>
        <v>9.9999999999909051</v>
      </c>
      <c r="AL15" s="32">
        <f>'FS Desroches Daily'!BR17</f>
        <v>9</v>
      </c>
      <c r="AM15" s="32">
        <f>'FS Desroches Daily'!BT17</f>
        <v>0</v>
      </c>
      <c r="AN15" s="32">
        <f>'FS Desroches Daily'!BV17</f>
        <v>19</v>
      </c>
      <c r="AO15" s="32">
        <f>'FS Desroches Daily'!BX17</f>
        <v>9.9999999999909051</v>
      </c>
      <c r="AP15" s="32">
        <f>'FS Desroches Daily'!BZ17</f>
        <v>6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65.799999999995634</v>
      </c>
      <c r="AU15" s="31">
        <f>'FS Desroches Daily'!CJ17</f>
        <v>180</v>
      </c>
      <c r="AV15" s="31">
        <f>'FS Desroches Daily'!CL17</f>
        <v>360.00000000001364</v>
      </c>
      <c r="AW15" s="31">
        <f>'FS Desroches Daily'!CM17</f>
        <v>17.900000000000006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599.99999999993395</v>
      </c>
      <c r="F16" s="32">
        <f>'FS Desroches Daily'!F18</f>
        <v>600.00000000037801</v>
      </c>
      <c r="G16" s="31">
        <f>'FS Desroches Daily'!H18</f>
        <v>1399.9999999998458</v>
      </c>
      <c r="H16" s="32">
        <f>'FS Desroches Daily'!J18</f>
        <v>800.00000000013392</v>
      </c>
      <c r="I16" s="31">
        <f>'FS Desroches Daily'!L18</f>
        <v>1800.0000000000239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3</v>
      </c>
      <c r="M16" s="31">
        <f>'FS Desroches Daily'!T18</f>
        <v>247</v>
      </c>
      <c r="N16" s="31">
        <f>'FS Desroches Daily'!V18</f>
        <v>103.39999999996508</v>
      </c>
      <c r="O16" s="31">
        <f>'FS Desroches Daily'!X18</f>
        <v>99.999999999965894</v>
      </c>
      <c r="P16" s="31">
        <f>'FS Desroches Daily'!Z18</f>
        <v>399.99999999995595</v>
      </c>
      <c r="Q16" s="31">
        <f>'FS Desroches Daily'!AB18</f>
        <v>60.000000000002274</v>
      </c>
      <c r="R16" s="31">
        <f>'FS Desroches Daily'!AD18</f>
        <v>120.00000000000455</v>
      </c>
      <c r="S16" s="31">
        <f>'FS Desroches Daily'!AF18</f>
        <v>149.99999999997726</v>
      </c>
      <c r="T16" s="31">
        <f>'FS Desroches Daily'!AH18</f>
        <v>1.4000000000000909</v>
      </c>
      <c r="U16" s="35">
        <f>'FS Desroches Daily'!AJ18</f>
        <v>180.00000000000682</v>
      </c>
      <c r="V16" s="35">
        <f>'FS Desroches Daily'!AL18</f>
        <v>49.999999999982947</v>
      </c>
      <c r="W16" s="35">
        <f>'FS Desroches Daily'!AN18</f>
        <v>30.000000000001137</v>
      </c>
      <c r="X16" s="35">
        <f>'FS Desroches Daily'!AP18</f>
        <v>30.000000000001137</v>
      </c>
      <c r="Y16" s="35">
        <f>'FS Desroches Daily'!AR18</f>
        <v>20.000000000010232</v>
      </c>
      <c r="Z16" s="35">
        <f>'FS Desroches Daily'!AT18</f>
        <v>20.000000000038654</v>
      </c>
      <c r="AA16" s="35">
        <f>'FS Desroches Daily'!AT18</f>
        <v>20.000000000038654</v>
      </c>
      <c r="AB16" s="35">
        <f>'FS Desroches Daily'!AV18</f>
        <v>19.99999999998181</v>
      </c>
      <c r="AC16" s="35">
        <f>'FS Desroches Daily'!AZ18</f>
        <v>20.000000000038654</v>
      </c>
      <c r="AD16" s="35">
        <f>'FS Desroches Daily'!BB18</f>
        <v>20.000000000038654</v>
      </c>
      <c r="AE16" s="35">
        <f>'FS Desroches Daily'!BD18</f>
        <v>20.000000000010232</v>
      </c>
      <c r="AF16" s="31">
        <f>'FS Desroches Daily'!BF18</f>
        <v>23</v>
      </c>
      <c r="AG16" s="32">
        <f>'FS Desroches Daily'!BH18</f>
        <v>9.9999999999909051</v>
      </c>
      <c r="AH16" s="32">
        <f>'FS Desroches Daily'!BJ18</f>
        <v>9.9999999999909051</v>
      </c>
      <c r="AI16" s="32">
        <f>'FS Desroches Daily'!BL18</f>
        <v>9.9999999999909051</v>
      </c>
      <c r="AJ16" s="32">
        <f>'FS Desroches Daily'!BN18</f>
        <v>9.9999999999909051</v>
      </c>
      <c r="AK16" s="32">
        <f>'FS Desroches Daily'!BP18</f>
        <v>19.99999999998181</v>
      </c>
      <c r="AL16" s="32">
        <f>'FS Desroches Daily'!BR18</f>
        <v>13</v>
      </c>
      <c r="AM16" s="32">
        <f>'FS Desroches Daily'!BT18</f>
        <v>0</v>
      </c>
      <c r="AN16" s="32">
        <f>'FS Desroches Daily'!BV18</f>
        <v>25</v>
      </c>
      <c r="AO16" s="32">
        <f>'FS Desroches Daily'!BX18</f>
        <v>10.000000000019327</v>
      </c>
      <c r="AP16" s="32">
        <f>'FS Desroches Daily'!BZ18</f>
        <v>12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41.600000000005821</v>
      </c>
      <c r="AU16" s="31">
        <f>'FS Desroches Daily'!CJ18</f>
        <v>189</v>
      </c>
      <c r="AV16" s="31">
        <f>'FS Desroches Daily'!CL18</f>
        <v>379.99999999999545</v>
      </c>
      <c r="AW16" s="31">
        <f>'FS Desroches Daily'!CM18</f>
        <v>31.099999999999994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599.99999999993395</v>
      </c>
      <c r="F17" s="32">
        <f>'FS Desroches Daily'!F19</f>
        <v>499.99999999972289</v>
      </c>
      <c r="G17" s="31">
        <f>'FS Desroches Daily'!H19</f>
        <v>1500.0000000000568</v>
      </c>
      <c r="H17" s="32">
        <f>'FS Desroches Daily'!J19</f>
        <v>599.99999999993395</v>
      </c>
      <c r="I17" s="31">
        <f>'FS Desroches Daily'!L19</f>
        <v>1599.9999999998238</v>
      </c>
      <c r="J17" s="32">
        <f>'FS Desroches Daily'!N19</f>
        <v>399.99999999995595</v>
      </c>
      <c r="K17" s="13">
        <f>'FS Desroches Daily'!P19</f>
        <v>1</v>
      </c>
      <c r="L17" s="31">
        <f>'FS Desroches Daily'!R19</f>
        <v>2</v>
      </c>
      <c r="M17" s="31">
        <f>'FS Desroches Daily'!T19</f>
        <v>210.40000000002328</v>
      </c>
      <c r="N17" s="31">
        <f>'FS Desroches Daily'!V19</f>
        <v>81.300000000046566</v>
      </c>
      <c r="O17" s="31">
        <f>'FS Desroches Daily'!X19</f>
        <v>70.000000000050022</v>
      </c>
      <c r="P17" s="31">
        <f>'FS Desroches Daily'!Z19</f>
        <v>299.99999999974489</v>
      </c>
      <c r="Q17" s="31">
        <f>'FS Desroches Daily'!AB19</f>
        <v>49.999999999954525</v>
      </c>
      <c r="R17" s="31">
        <f>'FS Desroches Daily'!AD19</f>
        <v>69.999999999993179</v>
      </c>
      <c r="S17" s="31">
        <f>'FS Desroches Daily'!AF19</f>
        <v>170.00000000001592</v>
      </c>
      <c r="T17" s="31">
        <f>'FS Desroches Daily'!AH19</f>
        <v>0.89999999999986358</v>
      </c>
      <c r="U17" s="35">
        <f>'FS Desroches Daily'!AJ19</f>
        <v>199.99999999998863</v>
      </c>
      <c r="V17" s="35">
        <f>'FS Desroches Daily'!AL19</f>
        <v>20.000000000010232</v>
      </c>
      <c r="W17" s="35">
        <f>'FS Desroches Daily'!AN19</f>
        <v>60.000000000002274</v>
      </c>
      <c r="X17" s="35">
        <f>'FS Desroches Daily'!AP19</f>
        <v>30.000000000001137</v>
      </c>
      <c r="Y17" s="35">
        <f>'FS Desroches Daily'!AR19</f>
        <v>20.000000000010232</v>
      </c>
      <c r="Z17" s="35">
        <f>'FS Desroches Daily'!AU20</f>
        <v>266.32</v>
      </c>
      <c r="AA17" s="35">
        <f>'FS Desroches Daily'!AU20</f>
        <v>266.32</v>
      </c>
      <c r="AB17" s="35">
        <f>'FS Desroches Daily'!AV19</f>
        <v>20.000000000038654</v>
      </c>
      <c r="AC17" s="35">
        <f>'FS Desroches Daily'!AZ19</f>
        <v>9.9999999999909051</v>
      </c>
      <c r="AD17" s="35">
        <f>'FS Desroches Daily'!BB19</f>
        <v>9.9999999999909051</v>
      </c>
      <c r="AE17" s="35">
        <f>'FS Desroches Daily'!BD19</f>
        <v>9.9999999999909051</v>
      </c>
      <c r="AF17" s="31">
        <f>'FS Desroches Daily'!BF19</f>
        <v>19</v>
      </c>
      <c r="AG17" s="32">
        <f>'FS Desroches Daily'!BH19</f>
        <v>10.000000000019327</v>
      </c>
      <c r="AH17" s="32">
        <f>'FS Desroches Daily'!BJ19</f>
        <v>20.000000000038654</v>
      </c>
      <c r="AI17" s="32">
        <f>'FS Desroches Daily'!BL19</f>
        <v>0</v>
      </c>
      <c r="AJ17" s="32">
        <f>'FS Desroches Daily'!BN19</f>
        <v>9.9999999999909051</v>
      </c>
      <c r="AK17" s="32">
        <f>'FS Desroches Daily'!BP19</f>
        <v>9.9999999999909051</v>
      </c>
      <c r="AL17" s="32">
        <f>'FS Desroches Daily'!BR19</f>
        <v>9</v>
      </c>
      <c r="AM17" s="32">
        <f>'FS Desroches Daily'!BT19</f>
        <v>0</v>
      </c>
      <c r="AN17" s="32">
        <f>'FS Desroches Daily'!BV19</f>
        <v>19</v>
      </c>
      <c r="AO17" s="32">
        <f>'FS Desroches Daily'!BX19</f>
        <v>9.9999999999909051</v>
      </c>
      <c r="AP17" s="32">
        <f>'FS Desroches Daily'!BZ19</f>
        <v>6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35.799999999995634</v>
      </c>
      <c r="AU17" s="31">
        <f>'FS Desroches Daily'!CJ19</f>
        <v>176</v>
      </c>
      <c r="AV17" s="31">
        <f>'FS Desroches Daily'!CL19</f>
        <v>470.00000000002728</v>
      </c>
      <c r="AW17" s="31">
        <f>'FS Desroches Daily'!CM19</f>
        <v>89.2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599.99999999993395</v>
      </c>
      <c r="F18" s="32">
        <f>'FS Desroches Daily'!F20</f>
        <v>500.00000000016701</v>
      </c>
      <c r="G18" s="31">
        <f>'FS Desroches Daily'!H20</f>
        <v>1500.0000000000568</v>
      </c>
      <c r="H18" s="32">
        <f>'FS Desroches Daily'!J20</f>
        <v>699.99999999992292</v>
      </c>
      <c r="I18" s="31">
        <f>'FS Desroches Daily'!L20</f>
        <v>1800.0000000000239</v>
      </c>
      <c r="J18" s="32">
        <f>'FS Desroches Daily'!N20</f>
        <v>400.00000000017798</v>
      </c>
      <c r="K18" s="13">
        <f>'FS Desroches Daily'!P20</f>
        <v>0</v>
      </c>
      <c r="L18" s="31">
        <f>'FS Desroches Daily'!R20</f>
        <v>3</v>
      </c>
      <c r="M18" s="31">
        <f>'FS Desroches Daily'!T20</f>
        <v>69</v>
      </c>
      <c r="N18" s="31">
        <f>'FS Desroches Daily'!V20</f>
        <v>30.399999999965075</v>
      </c>
      <c r="O18" s="31">
        <f>'FS Desroches Daily'!X20</f>
        <v>79.999999999984084</v>
      </c>
      <c r="P18" s="31">
        <f>'FS Desroches Daily'!Z20</f>
        <v>300.000000000189</v>
      </c>
      <c r="Q18" s="31">
        <f>'FS Desroches Daily'!AB20</f>
        <v>50.000000000011369</v>
      </c>
      <c r="R18" s="31">
        <f>'FS Desroches Daily'!AD20</f>
        <v>110.00000000001364</v>
      </c>
      <c r="S18" s="31">
        <f>'FS Desroches Daily'!AF20</f>
        <v>160.00000000002501</v>
      </c>
      <c r="T18" s="31">
        <f>'FS Desroches Daily'!AH20</f>
        <v>1.1000000000001364</v>
      </c>
      <c r="U18" s="35">
        <f>'FS Desroches Daily'!AJ20</f>
        <v>180.00000000000682</v>
      </c>
      <c r="V18" s="35">
        <f>'FS Desroches Daily'!AL20</f>
        <v>39.999999999992042</v>
      </c>
      <c r="W18" s="35">
        <f>'FS Desroches Daily'!AN20</f>
        <v>9.9999999999909051</v>
      </c>
      <c r="X18" s="35">
        <f>'FS Desroches Daily'!AP20</f>
        <v>20.000000000010232</v>
      </c>
      <c r="Y18" s="35">
        <f>'FS Desroches Daily'!AR20</f>
        <v>19.99999999998181</v>
      </c>
      <c r="Z18" s="35">
        <f>'FS Desroches Daily'!AT20</f>
        <v>19.99999999998181</v>
      </c>
      <c r="AA18" s="35">
        <f>'FS Desroches Daily'!AT20</f>
        <v>19.99999999998181</v>
      </c>
      <c r="AB18" s="35">
        <f>'FS Desroches Daily'!AV20</f>
        <v>19.99999999998181</v>
      </c>
      <c r="AC18" s="35">
        <f>'FS Desroches Daily'!AZ20</f>
        <v>19.99999999998181</v>
      </c>
      <c r="AD18" s="35">
        <f>'FS Desroches Daily'!BB20</f>
        <v>19.99999999998181</v>
      </c>
      <c r="AE18" s="35">
        <f>'FS Desroches Daily'!BD20</f>
        <v>20.000000000010232</v>
      </c>
      <c r="AF18" s="31">
        <f>'FS Desroches Daily'!BF20</f>
        <v>20</v>
      </c>
      <c r="AG18" s="32">
        <f>'FS Desroches Daily'!BH20</f>
        <v>9.9999999999909051</v>
      </c>
      <c r="AH18" s="32">
        <f>'FS Desroches Daily'!BJ20</f>
        <v>9.9999999999909051</v>
      </c>
      <c r="AI18" s="32">
        <f>'FS Desroches Daily'!BL20</f>
        <v>0</v>
      </c>
      <c r="AJ18" s="32">
        <f>'FS Desroches Daily'!BN20</f>
        <v>10.000000000019327</v>
      </c>
      <c r="AK18" s="32">
        <f>'FS Desroches Daily'!BP20</f>
        <v>20.000000000038654</v>
      </c>
      <c r="AL18" s="32">
        <f>'FS Desroches Daily'!BR20</f>
        <v>10</v>
      </c>
      <c r="AM18" s="32">
        <f>'FS Desroches Daily'!BT20</f>
        <v>9.9999999999909051</v>
      </c>
      <c r="AN18" s="32">
        <f>'FS Desroches Daily'!BV20</f>
        <v>20</v>
      </c>
      <c r="AO18" s="32">
        <f>'FS Desroches Daily'!BX20</f>
        <v>20.000000000010232</v>
      </c>
      <c r="AP18" s="32">
        <f>'FS Desroches Daily'!BZ20</f>
        <v>9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40.400000000001455</v>
      </c>
      <c r="AU18" s="31">
        <f>'FS Desroches Daily'!CJ20</f>
        <v>184</v>
      </c>
      <c r="AV18" s="31">
        <f>'FS Desroches Daily'!CL20</f>
        <v>409.99999999996817</v>
      </c>
      <c r="AW18" s="31">
        <f>'FS Desroches Daily'!CM20</f>
        <v>17.199999999999989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600.00000000015598</v>
      </c>
      <c r="F19" s="32">
        <f>'FS Desroches Daily'!F21</f>
        <v>499.99999999972289</v>
      </c>
      <c r="G19" s="31">
        <f>'FS Desroches Daily'!H21</f>
        <v>1399.9999999998458</v>
      </c>
      <c r="H19" s="32">
        <f>'FS Desroches Daily'!J21</f>
        <v>700.00000000014495</v>
      </c>
      <c r="I19" s="31">
        <f>'FS Desroches Daily'!L21</f>
        <v>1900.0000000000127</v>
      </c>
      <c r="J19" s="32">
        <f>'FS Desroches Daily'!N21</f>
        <v>399.99999999995595</v>
      </c>
      <c r="K19" s="13">
        <f>'FS Desroches Daily'!P21</f>
        <v>0</v>
      </c>
      <c r="L19" s="31">
        <f>'FS Desroches Daily'!R21</f>
        <v>2</v>
      </c>
      <c r="M19" s="31">
        <f>'FS Desroches Daily'!T21</f>
        <v>122.80000000004657</v>
      </c>
      <c r="N19" s="31">
        <f>'FS Desroches Daily'!V21</f>
        <v>65.900000000023283</v>
      </c>
      <c r="O19" s="31">
        <f>'FS Desroches Daily'!X21</f>
        <v>89.999999999974989</v>
      </c>
      <c r="P19" s="31">
        <f>'FS Desroches Daily'!Z21</f>
        <v>399.99999999995595</v>
      </c>
      <c r="Q19" s="31">
        <f>'FS Desroches Daily'!AB21</f>
        <v>60.000000000002274</v>
      </c>
      <c r="R19" s="31">
        <f>'FS Desroches Daily'!AD21</f>
        <v>89.999999999974989</v>
      </c>
      <c r="S19" s="31">
        <f>'FS Desroches Daily'!AF21</f>
        <v>159.99999999996817</v>
      </c>
      <c r="T19" s="31">
        <f>'FS Desroches Daily'!AH21</f>
        <v>1.1999999999998181</v>
      </c>
      <c r="U19" s="35">
        <f>'FS Desroches Daily'!AJ21</f>
        <v>189.99999999999773</v>
      </c>
      <c r="V19" s="35">
        <f>'FS Desroches Daily'!AL21</f>
        <v>70.0000000000216</v>
      </c>
      <c r="W19" s="35">
        <f>'FS Desroches Daily'!AN21</f>
        <v>39.999999999992042</v>
      </c>
      <c r="X19" s="35">
        <f>'FS Desroches Daily'!AP21</f>
        <v>30.000000000001137</v>
      </c>
      <c r="Y19" s="35">
        <f>'FS Desroches Daily'!AR21</f>
        <v>20.000000000010232</v>
      </c>
      <c r="Z19" s="35">
        <f>'FS Desroches Daily'!AT21</f>
        <v>20.000000000038654</v>
      </c>
      <c r="AA19" s="35">
        <f>'FS Desroches Daily'!AT21</f>
        <v>20.000000000038654</v>
      </c>
      <c r="AB19" s="35">
        <f>'FS Desroches Daily'!AV21</f>
        <v>9.9999999999909051</v>
      </c>
      <c r="AC19" s="35">
        <f>'FS Desroches Daily'!AZ21</f>
        <v>19.99999999998181</v>
      </c>
      <c r="AD19" s="35">
        <f>'FS Desroches Daily'!BB21</f>
        <v>9.9999999999909051</v>
      </c>
      <c r="AE19" s="35">
        <f>'FS Desroches Daily'!BD21</f>
        <v>19.99999999998181</v>
      </c>
      <c r="AF19" s="31">
        <f>'FS Desroches Daily'!BF21</f>
        <v>20</v>
      </c>
      <c r="AG19" s="32">
        <f>'FS Desroches Daily'!BH21</f>
        <v>9.9999999999909051</v>
      </c>
      <c r="AH19" s="32">
        <f>'FS Desroches Daily'!BJ21</f>
        <v>9.9999999999909051</v>
      </c>
      <c r="AI19" s="32">
        <f>'FS Desroches Daily'!BL21</f>
        <v>9.9999999999909051</v>
      </c>
      <c r="AJ19" s="32">
        <f>'FS Desroches Daily'!BN21</f>
        <v>9.9999999999909051</v>
      </c>
      <c r="AK19" s="32">
        <f>'FS Desroches Daily'!BP21</f>
        <v>19.99999999998181</v>
      </c>
      <c r="AL19" s="32">
        <f>'FS Desroches Daily'!BR21</f>
        <v>11</v>
      </c>
      <c r="AM19" s="32">
        <f>'FS Desroches Daily'!BT21</f>
        <v>0</v>
      </c>
      <c r="AN19" s="32">
        <f>'FS Desroches Daily'!BV21</f>
        <v>23</v>
      </c>
      <c r="AO19" s="32">
        <f>'FS Desroches Daily'!BX21</f>
        <v>19.99999999998181</v>
      </c>
      <c r="AP19" s="32">
        <f>'FS Desroches Daily'!BZ21</f>
        <v>14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37.599999999998545</v>
      </c>
      <c r="AU19" s="31">
        <f>'FS Desroches Daily'!CJ21</f>
        <v>197</v>
      </c>
      <c r="AV19" s="31">
        <f>'FS Desroches Daily'!CL21</f>
        <v>350.00000000002274</v>
      </c>
      <c r="AW19" s="31">
        <f>'FS Desroches Daily'!CM21</f>
        <v>15.900000000000006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499.99999999994492</v>
      </c>
      <c r="F20" s="32">
        <f>'FS Desroches Daily'!F22</f>
        <v>500.00000000016701</v>
      </c>
      <c r="G20" s="31">
        <f>'FS Desroches Daily'!H22</f>
        <v>1100.000000000101</v>
      </c>
      <c r="H20" s="32">
        <f>'FS Desroches Daily'!J22</f>
        <v>599.99999999993395</v>
      </c>
      <c r="I20" s="31">
        <f>'FS Desroches Daily'!L22</f>
        <v>1500.0000000000568</v>
      </c>
      <c r="J20" s="32">
        <f>'FS Desroches Daily'!N22</f>
        <v>399.99999999995595</v>
      </c>
      <c r="K20" s="13">
        <f>'FS Desroches Daily'!P22</f>
        <v>2</v>
      </c>
      <c r="L20" s="31">
        <f>'FS Desroches Daily'!R22</f>
        <v>3</v>
      </c>
      <c r="M20" s="31">
        <f>'FS Desroches Daily'!T22</f>
        <v>112.19999999995343</v>
      </c>
      <c r="N20" s="31">
        <f>'FS Desroches Daily'!V22</f>
        <v>51.099999999976717</v>
      </c>
      <c r="O20" s="31">
        <f>'FS Desroches Daily'!X22</f>
        <v>69.999999999993179</v>
      </c>
      <c r="P20" s="31">
        <f>'FS Desroches Daily'!Z22</f>
        <v>300.000000000189</v>
      </c>
      <c r="Q20" s="31">
        <f>'FS Desroches Daily'!AB22</f>
        <v>50.000000000011369</v>
      </c>
      <c r="R20" s="31">
        <f>'FS Desroches Daily'!AD22</f>
        <v>79.999999999984084</v>
      </c>
      <c r="S20" s="31">
        <f>'FS Desroches Daily'!AF22</f>
        <v>120.00000000000455</v>
      </c>
      <c r="T20" s="31">
        <f>'FS Desroches Daily'!AH22</f>
        <v>1.1000000000001364</v>
      </c>
      <c r="U20" s="35">
        <f>'FS Desroches Daily'!AJ22</f>
        <v>170.00000000001592</v>
      </c>
      <c r="V20" s="35">
        <f>'FS Desroches Daily'!AL22</f>
        <v>30.000000000001137</v>
      </c>
      <c r="W20" s="35">
        <f>'FS Desroches Daily'!AN22</f>
        <v>30.000000000001137</v>
      </c>
      <c r="X20" s="35">
        <f>'FS Desroches Daily'!AP22</f>
        <v>19.99999999998181</v>
      </c>
      <c r="Y20" s="35">
        <f>'FS Desroches Daily'!AR22</f>
        <v>9.9999999999909051</v>
      </c>
      <c r="Z20" s="35">
        <f>'FS Desroches Daily'!AT22</f>
        <v>19.99999999998181</v>
      </c>
      <c r="AA20" s="35">
        <f>'FS Desroches Daily'!AT22</f>
        <v>19.99999999998181</v>
      </c>
      <c r="AB20" s="35">
        <f>'FS Desroches Daily'!AV22</f>
        <v>20.000000000038654</v>
      </c>
      <c r="AC20" s="35">
        <f>'FS Desroches Daily'!AZ22</f>
        <v>20.000000000038654</v>
      </c>
      <c r="AD20" s="35">
        <f>'FS Desroches Daily'!BB22</f>
        <v>20.000000000038654</v>
      </c>
      <c r="AE20" s="35">
        <f>'FS Desroches Daily'!BD22</f>
        <v>10.000000000019327</v>
      </c>
      <c r="AF20" s="31">
        <f>'FS Desroches Daily'!BF22</f>
        <v>22</v>
      </c>
      <c r="AG20" s="32">
        <f>'FS Desroches Daily'!BH22</f>
        <v>10.000000000019327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9.9999999999909051</v>
      </c>
      <c r="AK20" s="32">
        <f>'FS Desroches Daily'!BP22</f>
        <v>9.9999999999909051</v>
      </c>
      <c r="AL20" s="32">
        <f>'FS Desroches Daily'!BR22</f>
        <v>9</v>
      </c>
      <c r="AM20" s="32">
        <f>'FS Desroches Daily'!BT22</f>
        <v>0</v>
      </c>
      <c r="AN20" s="32">
        <f>'FS Desroches Daily'!BV22</f>
        <v>21</v>
      </c>
      <c r="AO20" s="32">
        <f>'FS Desroches Daily'!BX22</f>
        <v>9.9999999999909051</v>
      </c>
      <c r="AP20" s="32">
        <f>'FS Desroches Daily'!BZ22</f>
        <v>10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24.5</v>
      </c>
      <c r="AU20" s="31">
        <f>'FS Desroches Daily'!CJ22</f>
        <v>171</v>
      </c>
      <c r="AV20" s="31">
        <f>'FS Desroches Daily'!CL22</f>
        <v>300.00000000006821</v>
      </c>
      <c r="AW20" s="31">
        <f>'FS Desroches Daily'!CM22</f>
        <v>6.5999999999999943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699.99999999992292</v>
      </c>
      <c r="F21" s="32">
        <f>'FS Desroches Daily'!F23</f>
        <v>500.00000000016701</v>
      </c>
      <c r="G21" s="31">
        <f>'FS Desroches Daily'!H23</f>
        <v>1300.0000000000789</v>
      </c>
      <c r="H21" s="32">
        <f>'FS Desroches Daily'!J23</f>
        <v>599.99999999993395</v>
      </c>
      <c r="I21" s="31">
        <f>'FS Desroches Daily'!L23</f>
        <v>1600.0000000000459</v>
      </c>
      <c r="J21" s="32">
        <f>'FS Desroches Daily'!N23</f>
        <v>299.99999999996697</v>
      </c>
      <c r="K21" s="13">
        <f>'FS Desroches Daily'!P23</f>
        <v>1</v>
      </c>
      <c r="L21" s="31">
        <f>'FS Desroches Daily'!R23</f>
        <v>2</v>
      </c>
      <c r="M21" s="31">
        <f>'FS Desroches Daily'!T23</f>
        <v>110.40000000002328</v>
      </c>
      <c r="N21" s="31">
        <f>'FS Desroches Daily'!V23</f>
        <v>61.5</v>
      </c>
      <c r="O21" s="31">
        <f>'FS Desroches Daily'!X23</f>
        <v>80.000000000040927</v>
      </c>
      <c r="P21" s="31">
        <f>'FS Desroches Daily'!Z23</f>
        <v>299.99999999974489</v>
      </c>
      <c r="Q21" s="31">
        <f>'FS Desroches Daily'!AB23</f>
        <v>40.000000000020464</v>
      </c>
      <c r="R21" s="31">
        <f>'FS Desroches Daily'!AD23</f>
        <v>70.000000000050022</v>
      </c>
      <c r="S21" s="31">
        <f>'FS Desroches Daily'!AF23</f>
        <v>139.99999999998636</v>
      </c>
      <c r="T21" s="31">
        <f>'FS Desroches Daily'!AH23</f>
        <v>1.0999999999999091</v>
      </c>
      <c r="U21" s="35">
        <f>'FS Desroches Daily'!AJ23</f>
        <v>169.99999999995907</v>
      </c>
      <c r="V21" s="35">
        <f>'FS Desroches Daily'!AL23</f>
        <v>119.99999999997613</v>
      </c>
      <c r="W21" s="35">
        <f>'FS Desroches Daily'!AN23</f>
        <v>50.000000000011369</v>
      </c>
      <c r="X21" s="35">
        <f>'FS Desroches Daily'!AP23</f>
        <v>20.000000000010232</v>
      </c>
      <c r="Y21" s="35">
        <f>'FS Desroches Daily'!AR23</f>
        <v>20.000000000010232</v>
      </c>
      <c r="Z21" s="35">
        <f>'FS Desroches Daily'!AT23</f>
        <v>9.9999999999909051</v>
      </c>
      <c r="AA21" s="35">
        <f>'FS Desroches Daily'!AT23</f>
        <v>9.9999999999909051</v>
      </c>
      <c r="AB21" s="35">
        <f>'FS Desroches Daily'!AV23</f>
        <v>9.9999999999909051</v>
      </c>
      <c r="AC21" s="35">
        <f>'FS Desroches Daily'!AZ23</f>
        <v>9.9999999999909051</v>
      </c>
      <c r="AD21" s="35">
        <f>'FS Desroches Daily'!BB23</f>
        <v>9.9999999999909051</v>
      </c>
      <c r="AE21" s="35">
        <f>'FS Desroches Daily'!BD23</f>
        <v>19.99999999998181</v>
      </c>
      <c r="AF21" s="31">
        <f>'FS Desroches Daily'!BF23</f>
        <v>22</v>
      </c>
      <c r="AG21" s="32">
        <f>'FS Desroches Daily'!BH23</f>
        <v>9.9999999999909051</v>
      </c>
      <c r="AH21" s="32">
        <f>'FS Desroches Daily'!BJ23</f>
        <v>9.9999999999909051</v>
      </c>
      <c r="AI21" s="32">
        <f>'FS Desroches Daily'!BL23</f>
        <v>0</v>
      </c>
      <c r="AJ21" s="32">
        <f>'FS Desroches Daily'!BN23</f>
        <v>10.000000000019327</v>
      </c>
      <c r="AK21" s="32">
        <f>'FS Desroches Daily'!BP23</f>
        <v>20.000000000038654</v>
      </c>
      <c r="AL21" s="32">
        <f>'FS Desroches Daily'!BR23</f>
        <v>10</v>
      </c>
      <c r="AM21" s="32">
        <f>'FS Desroches Daily'!BT23</f>
        <v>9.9999999999909051</v>
      </c>
      <c r="AN21" s="32">
        <f>'FS Desroches Daily'!BV23</f>
        <v>19</v>
      </c>
      <c r="AO21" s="32">
        <f>'FS Desroches Daily'!BX23</f>
        <v>10.000000000019327</v>
      </c>
      <c r="AP21" s="32">
        <f>'FS Desroches Daily'!BZ23</f>
        <v>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61.599999999998545</v>
      </c>
      <c r="AU21" s="31">
        <f>'FS Desroches Daily'!CJ23</f>
        <v>181</v>
      </c>
      <c r="AV21" s="31">
        <f>'FS Desroches Daily'!CL23</f>
        <v>279.99999999997272</v>
      </c>
      <c r="AW21" s="31">
        <f>'FS Desroches Daily'!CM23</f>
        <v>19.5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800.00000000013392</v>
      </c>
      <c r="F22" s="32">
        <f>'FS Desroches Daily'!F24</f>
        <v>499.99999999972289</v>
      </c>
      <c r="G22" s="31">
        <f>'FS Desroches Daily'!H24</f>
        <v>1300.0000000000789</v>
      </c>
      <c r="H22" s="32">
        <f>'FS Desroches Daily'!J24</f>
        <v>700.00000000014495</v>
      </c>
      <c r="I22" s="31">
        <f>'FS Desroches Daily'!L24</f>
        <v>1700.0000000000348</v>
      </c>
      <c r="J22" s="32">
        <f>'FS Desroches Daily'!N24</f>
        <v>399.99999999995595</v>
      </c>
      <c r="K22" s="13">
        <f>'FS Desroches Daily'!P24</f>
        <v>1</v>
      </c>
      <c r="L22" s="31">
        <f>'FS Desroches Daily'!R24</f>
        <v>3</v>
      </c>
      <c r="M22" s="31">
        <f>'FS Desroches Daily'!T24</f>
        <v>172</v>
      </c>
      <c r="N22" s="31">
        <f>'FS Desroches Daily'!V24</f>
        <v>70.799999999988358</v>
      </c>
      <c r="O22" s="31">
        <f>'FS Desroches Daily'!X24</f>
        <v>79.999999999984084</v>
      </c>
      <c r="P22" s="31">
        <f>'FS Desroches Daily'!Z24</f>
        <v>300.000000000189</v>
      </c>
      <c r="Q22" s="31">
        <f>'FS Desroches Daily'!AB24</f>
        <v>49.999999999954525</v>
      </c>
      <c r="R22" s="31">
        <f>'FS Desroches Daily'!AD24</f>
        <v>69.999999999993179</v>
      </c>
      <c r="S22" s="31">
        <f>'FS Desroches Daily'!AF24</f>
        <v>150.00000000003411</v>
      </c>
      <c r="T22" s="31">
        <f>'FS Desroches Daily'!AH24</f>
        <v>1.2999999999999545</v>
      </c>
      <c r="U22" s="35">
        <f>'FS Desroches Daily'!AJ24</f>
        <v>189.99999999999773</v>
      </c>
      <c r="V22" s="35">
        <f>'FS Desroches Daily'!AL24</f>
        <v>130.00000000002387</v>
      </c>
      <c r="W22" s="35">
        <f>'FS Desroches Daily'!AN24</f>
        <v>90.000000000003411</v>
      </c>
      <c r="X22" s="35">
        <f>'FS Desroches Daily'!AP24</f>
        <v>60.000000000002274</v>
      </c>
      <c r="Y22" s="35">
        <f>'FS Desroches Daily'!AR24</f>
        <v>30.000000000001137</v>
      </c>
      <c r="Z22" s="35">
        <f>'FS Desroches Daily'!AT24</f>
        <v>29.999999999972715</v>
      </c>
      <c r="AA22" s="35">
        <f>'FS Desroches Daily'!AT24</f>
        <v>29.999999999972715</v>
      </c>
      <c r="AB22" s="35">
        <f>'FS Desroches Daily'!AV24</f>
        <v>19.99999999998181</v>
      </c>
      <c r="AC22" s="35">
        <f>'FS Desroches Daily'!AZ24</f>
        <v>19.99999999998181</v>
      </c>
      <c r="AD22" s="35">
        <f>'FS Desroches Daily'!BB24</f>
        <v>19.99999999998181</v>
      </c>
      <c r="AE22" s="35">
        <f>'FS Desroches Daily'!BD24</f>
        <v>20.000000000010232</v>
      </c>
      <c r="AF22" s="31">
        <f>'FS Desroches Daily'!BF24</f>
        <v>12</v>
      </c>
      <c r="AG22" s="32">
        <f>'FS Desroches Daily'!BH24</f>
        <v>9.9999999999909051</v>
      </c>
      <c r="AH22" s="32">
        <f>'FS Desroches Daily'!BJ24</f>
        <v>19.99999999998181</v>
      </c>
      <c r="AI22" s="32">
        <f>'FS Desroches Daily'!BL24</f>
        <v>10.000000000019327</v>
      </c>
      <c r="AJ22" s="32">
        <f>'FS Desroches Daily'!BN24</f>
        <v>9.9999999999909051</v>
      </c>
      <c r="AK22" s="32">
        <f>'FS Desroches Daily'!BP24</f>
        <v>9.9999999999909051</v>
      </c>
      <c r="AL22" s="32">
        <f>'FS Desroches Daily'!BR24</f>
        <v>11</v>
      </c>
      <c r="AM22" s="32">
        <f>'FS Desroches Daily'!BT24</f>
        <v>0</v>
      </c>
      <c r="AN22" s="32">
        <f>'FS Desroches Daily'!BV24</f>
        <v>22</v>
      </c>
      <c r="AO22" s="32">
        <f>'FS Desroches Daily'!BX24</f>
        <v>9.9999999999909051</v>
      </c>
      <c r="AP22" s="32">
        <f>'FS Desroches Daily'!BZ24</f>
        <v>10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35.80000000000291</v>
      </c>
      <c r="AU22" s="31">
        <f>'FS Desroches Daily'!CJ24</f>
        <v>187</v>
      </c>
      <c r="AV22" s="31">
        <f>'FS Desroches Daily'!CL24</f>
        <v>289.99999999996362</v>
      </c>
      <c r="AW22" s="31">
        <f>'FS Desroches Daily'!CM24</f>
        <v>14.100000000000023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699.99999999992292</v>
      </c>
      <c r="F23" s="32">
        <f>'FS Desroches Daily'!F25</f>
        <v>500.00000000016701</v>
      </c>
      <c r="G23" s="31">
        <f>'FS Desroches Daily'!H25</f>
        <v>1299.9999999996348</v>
      </c>
      <c r="H23" s="32">
        <f>'FS Desroches Daily'!J25</f>
        <v>699.99999999992292</v>
      </c>
      <c r="I23" s="31">
        <f>'FS Desroches Daily'!L25</f>
        <v>1599.9999999998238</v>
      </c>
      <c r="J23" s="32">
        <f>'FS Desroches Daily'!N25</f>
        <v>500.00000000016701</v>
      </c>
      <c r="K23" s="13">
        <f>'FS Desroches Daily'!P25</f>
        <v>0</v>
      </c>
      <c r="L23" s="31">
        <f>'FS Desroches Daily'!R25</f>
        <v>3</v>
      </c>
      <c r="M23" s="31">
        <f>'FS Desroches Daily'!T25</f>
        <v>174.90000000002328</v>
      </c>
      <c r="N23" s="31">
        <f>'FS Desroches Daily'!V25</f>
        <v>56.100000000034925</v>
      </c>
      <c r="O23" s="31">
        <f>'FS Desroches Daily'!X25</f>
        <v>79.999999999984084</v>
      </c>
      <c r="P23" s="31">
        <f>'FS Desroches Daily'!Z25</f>
        <v>299.99999999974489</v>
      </c>
      <c r="Q23" s="31">
        <f>'FS Desroches Daily'!AB25</f>
        <v>50.000000000011369</v>
      </c>
      <c r="R23" s="31">
        <f>'FS Desroches Daily'!AD25</f>
        <v>139.99999999998636</v>
      </c>
      <c r="S23" s="31">
        <f>'FS Desroches Daily'!AF25</f>
        <v>180.00000000000682</v>
      </c>
      <c r="T23" s="31">
        <f>'FS Desroches Daily'!AH25</f>
        <v>1.4000000000000909</v>
      </c>
      <c r="U23" s="35">
        <f>'FS Desroches Daily'!AJ25</f>
        <v>189.99999999999773</v>
      </c>
      <c r="V23" s="35">
        <f>'FS Desroches Daily'!AL25</f>
        <v>129.99999999999545</v>
      </c>
      <c r="W23" s="35">
        <f>'FS Desroches Daily'!AN25</f>
        <v>69.999999999993179</v>
      </c>
      <c r="X23" s="35">
        <f>'FS Desroches Daily'!AP25</f>
        <v>60.000000000002274</v>
      </c>
      <c r="Y23" s="35">
        <f>'FS Desroches Daily'!AR25</f>
        <v>9.9999999999909051</v>
      </c>
      <c r="Z23" s="35">
        <f>'FS Desroches Daily'!AT25</f>
        <v>10.000000000047748</v>
      </c>
      <c r="AA23" s="35">
        <f>'FS Desroches Daily'!AT25</f>
        <v>10.000000000047748</v>
      </c>
      <c r="AB23" s="35">
        <f>'FS Desroches Daily'!AV25</f>
        <v>19.99999999998181</v>
      </c>
      <c r="AC23" s="35">
        <f>'FS Desroches Daily'!AZ25</f>
        <v>20.000000000038654</v>
      </c>
      <c r="AD23" s="35">
        <f>'FS Desroches Daily'!BB25</f>
        <v>9.9999999999909051</v>
      </c>
      <c r="AE23" s="35">
        <f>'FS Desroches Daily'!BD25</f>
        <v>19.99999999998181</v>
      </c>
      <c r="AF23" s="31">
        <f>'FS Desroches Daily'!BF25</f>
        <v>11</v>
      </c>
      <c r="AG23" s="32">
        <f>'FS Desroches Daily'!BH25</f>
        <v>9.9999999999909051</v>
      </c>
      <c r="AH23" s="32">
        <f>'FS Desroches Daily'!BJ25</f>
        <v>10.000000000047748</v>
      </c>
      <c r="AI23" s="32">
        <f>'FS Desroches Daily'!BL25</f>
        <v>0</v>
      </c>
      <c r="AJ23" s="32">
        <f>'FS Desroches Daily'!BN25</f>
        <v>20.000000000010232</v>
      </c>
      <c r="AK23" s="32">
        <f>'FS Desroches Daily'!BP25</f>
        <v>19.99999999998181</v>
      </c>
      <c r="AL23" s="32">
        <f>'FS Desroches Daily'!BR25</f>
        <v>12</v>
      </c>
      <c r="AM23" s="32">
        <f>'FS Desroches Daily'!BT25</f>
        <v>0</v>
      </c>
      <c r="AN23" s="32">
        <f>'FS Desroches Daily'!BV25</f>
        <v>24</v>
      </c>
      <c r="AO23" s="32">
        <f>'FS Desroches Daily'!BX25</f>
        <v>20.000000000010232</v>
      </c>
      <c r="AP23" s="32">
        <f>'FS Desroches Daily'!BZ25</f>
        <v>10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53.19999999999709</v>
      </c>
      <c r="AU23" s="31">
        <f>'FS Desroches Daily'!CJ25</f>
        <v>186</v>
      </c>
      <c r="AV23" s="31">
        <f>'FS Desroches Daily'!CL25</f>
        <v>320.00000000005002</v>
      </c>
      <c r="AW23" s="31">
        <f>'FS Desroches Daily'!CM25</f>
        <v>14.299999999999983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900.0000000001229</v>
      </c>
      <c r="F24" s="32">
        <f>'FS Desroches Daily'!F26</f>
        <v>500.00000000016701</v>
      </c>
      <c r="G24" s="31">
        <f>'FS Desroches Daily'!H26</f>
        <v>1600.0000000002678</v>
      </c>
      <c r="H24" s="32">
        <f>'FS Desroches Daily'!J26</f>
        <v>699.99999999992292</v>
      </c>
      <c r="I24" s="31">
        <f>'FS Desroches Daily'!L26</f>
        <v>1500.0000000000568</v>
      </c>
      <c r="J24" s="32">
        <f>'FS Desroches Daily'!N26</f>
        <v>399.99999999995595</v>
      </c>
      <c r="K24" s="13">
        <f>'FS Desroches Daily'!P26</f>
        <v>1</v>
      </c>
      <c r="L24" s="31">
        <f>'FS Desroches Daily'!R26</f>
        <v>3</v>
      </c>
      <c r="M24" s="31">
        <f>'FS Desroches Daily'!T26</f>
        <v>369.5</v>
      </c>
      <c r="N24" s="31">
        <f>'FS Desroches Daily'!V26</f>
        <v>152.79999999998836</v>
      </c>
      <c r="O24" s="31">
        <f>'FS Desroches Daily'!X26</f>
        <v>69.999999999993179</v>
      </c>
      <c r="P24" s="31">
        <f>'FS Desroches Daily'!Z26</f>
        <v>400.00000000040006</v>
      </c>
      <c r="Q24" s="31">
        <f>'FS Desroches Daily'!AB26</f>
        <v>50.000000000011369</v>
      </c>
      <c r="R24" s="31">
        <f>'FS Desroches Daily'!AD26</f>
        <v>89.999999999974989</v>
      </c>
      <c r="S24" s="31">
        <f>'FS Desroches Daily'!AF26</f>
        <v>149.99999999997726</v>
      </c>
      <c r="T24" s="31">
        <f>'FS Desroches Daily'!AH26</f>
        <v>1.5</v>
      </c>
      <c r="U24" s="35">
        <f>'FS Desroches Daily'!AJ26</f>
        <v>240.00000000000909</v>
      </c>
      <c r="V24" s="35">
        <f>'FS Desroches Daily'!AL26</f>
        <v>90.000000000003411</v>
      </c>
      <c r="W24" s="35">
        <f>'FS Desroches Daily'!AN26</f>
        <v>120.00000000000455</v>
      </c>
      <c r="X24" s="35">
        <f>'FS Desroches Daily'!AP26</f>
        <v>60.000000000002274</v>
      </c>
      <c r="Y24" s="35">
        <f>'FS Desroches Daily'!AR26</f>
        <v>30.000000000001137</v>
      </c>
      <c r="Z24" s="35">
        <f>'FS Desroches Daily'!AT26</f>
        <v>19.99999999998181</v>
      </c>
      <c r="AA24" s="35">
        <f>'FS Desroches Daily'!AT26</f>
        <v>19.99999999998181</v>
      </c>
      <c r="AB24" s="35">
        <f>'FS Desroches Daily'!AV26</f>
        <v>20.000000000038654</v>
      </c>
      <c r="AC24" s="35">
        <f>'FS Desroches Daily'!AZ26</f>
        <v>19.99999999998181</v>
      </c>
      <c r="AD24" s="35">
        <f>'FS Desroches Daily'!BB26</f>
        <v>20.000000000038654</v>
      </c>
      <c r="AE24" s="35">
        <f>'FS Desroches Daily'!BD26</f>
        <v>10.000000000019327</v>
      </c>
      <c r="AF24" s="31">
        <f>'FS Desroches Daily'!BF26</f>
        <v>16</v>
      </c>
      <c r="AG24" s="32">
        <f>'FS Desroches Daily'!BH26</f>
        <v>10.000000000019327</v>
      </c>
      <c r="AH24" s="32">
        <f>'FS Desroches Daily'!BJ26</f>
        <v>19.99999999998181</v>
      </c>
      <c r="AI24" s="32">
        <f>'FS Desroches Daily'!BL26</f>
        <v>0</v>
      </c>
      <c r="AJ24" s="32">
        <f>'FS Desroches Daily'!BN26</f>
        <v>9.9999999999909051</v>
      </c>
      <c r="AK24" s="32">
        <f>'FS Desroches Daily'!BP26</f>
        <v>19.99999999998181</v>
      </c>
      <c r="AL24" s="32">
        <f>'FS Desroches Daily'!BR26</f>
        <v>11</v>
      </c>
      <c r="AM24" s="32">
        <f>'FS Desroches Daily'!BT26</f>
        <v>10.000000000019327</v>
      </c>
      <c r="AN24" s="32">
        <f>'FS Desroches Daily'!BV26</f>
        <v>24</v>
      </c>
      <c r="AO24" s="32">
        <f>'FS Desroches Daily'!BX26</f>
        <v>9.9999999999909051</v>
      </c>
      <c r="AP24" s="32">
        <f>'FS Desroches Daily'!BZ26</f>
        <v>10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17.80000000000291</v>
      </c>
      <c r="AU24" s="31">
        <f>'FS Desroches Daily'!CJ26</f>
        <v>186</v>
      </c>
      <c r="AV24" s="31">
        <f>'FS Desroches Daily'!CL26</f>
        <v>289.99999999996362</v>
      </c>
      <c r="AW24" s="31">
        <f>'FS Desroches Daily'!CM26</f>
        <v>22.700000000000017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18500.000000000193</v>
      </c>
      <c r="F33" s="17">
        <f t="shared" ref="F33:BC33" si="1">SUM(F2:F32)</f>
        <v>12300.000000000204</v>
      </c>
      <c r="G33" s="17">
        <f t="shared" si="1"/>
        <v>33799.99999999984</v>
      </c>
      <c r="H33" s="17">
        <f t="shared" si="1"/>
        <v>16899.99999999992</v>
      </c>
      <c r="I33" s="17">
        <f t="shared" si="1"/>
        <v>38100.000000000036</v>
      </c>
      <c r="J33" s="17">
        <f t="shared" si="1"/>
        <v>9500.0000000000673</v>
      </c>
      <c r="K33" s="17">
        <f t="shared" si="1"/>
        <v>16</v>
      </c>
      <c r="L33" s="17">
        <f t="shared" si="1"/>
        <v>64</v>
      </c>
      <c r="M33" s="17">
        <f t="shared" si="1"/>
        <v>4138.4000000000233</v>
      </c>
      <c r="N33" s="17">
        <f t="shared" si="1"/>
        <v>1774.2999999999884</v>
      </c>
      <c r="O33" s="17">
        <f t="shared" si="1"/>
        <v>1759.9999999999909</v>
      </c>
      <c r="P33" s="17">
        <f t="shared" si="1"/>
        <v>8199.9999999999873</v>
      </c>
      <c r="Q33" s="17">
        <f t="shared" si="1"/>
        <v>1240.0000000000091</v>
      </c>
      <c r="R33" s="17">
        <f t="shared" si="1"/>
        <v>2250</v>
      </c>
      <c r="S33" s="17">
        <f t="shared" si="1"/>
        <v>3560.0000000000023</v>
      </c>
      <c r="T33" s="17">
        <f t="shared" si="1"/>
        <v>27.599999999999909</v>
      </c>
      <c r="U33" s="35">
        <f t="shared" si="1"/>
        <v>8599.9999999999691</v>
      </c>
      <c r="V33" s="35">
        <f t="shared" si="1"/>
        <v>1130.0000000000239</v>
      </c>
      <c r="W33" s="35">
        <f t="shared" si="1"/>
        <v>960.00000000000796</v>
      </c>
      <c r="X33" s="35">
        <f t="shared" si="1"/>
        <v>700.00000000001705</v>
      </c>
      <c r="Y33" s="35">
        <f t="shared" si="1"/>
        <v>479.99999999998977</v>
      </c>
      <c r="Z33" s="35">
        <f t="shared" si="1"/>
        <v>686.32000000001585</v>
      </c>
      <c r="AA33" s="35">
        <f t="shared" si="1"/>
        <v>686.32000000001585</v>
      </c>
      <c r="AB33" s="35">
        <f t="shared" si="1"/>
        <v>420.00000000001592</v>
      </c>
      <c r="AC33" s="35">
        <f t="shared" si="1"/>
        <v>420.00000000001592</v>
      </c>
      <c r="AD33" s="35">
        <f t="shared" si="1"/>
        <v>330.00000000004093</v>
      </c>
      <c r="AE33" s="35">
        <f t="shared" si="1"/>
        <v>400.00000000000568</v>
      </c>
      <c r="AF33" s="17">
        <f t="shared" si="1"/>
        <v>447</v>
      </c>
      <c r="AG33" s="32">
        <f t="shared" si="1"/>
        <v>280.00000000000114</v>
      </c>
      <c r="AH33" s="32">
        <f t="shared" si="1"/>
        <v>399.99999999997726</v>
      </c>
      <c r="AI33" s="32">
        <f t="shared" si="1"/>
        <v>140.00000000001478</v>
      </c>
      <c r="AJ33" s="32">
        <f t="shared" si="1"/>
        <v>439.99999999999773</v>
      </c>
      <c r="AK33" s="32">
        <f t="shared" si="1"/>
        <v>500</v>
      </c>
      <c r="AL33" s="32">
        <f t="shared" si="1"/>
        <v>275</v>
      </c>
      <c r="AM33" s="32">
        <f t="shared" si="1"/>
        <v>120.00000000000455</v>
      </c>
      <c r="AN33" s="32">
        <f t="shared" si="1"/>
        <v>366</v>
      </c>
      <c r="AO33" s="32">
        <f t="shared" si="1"/>
        <v>340.00000000000341</v>
      </c>
      <c r="AP33" s="32">
        <f t="shared" si="1"/>
        <v>226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947</v>
      </c>
      <c r="AU33" s="17">
        <f t="shared" si="1"/>
        <v>4422</v>
      </c>
      <c r="AV33" s="17">
        <f t="shared" si="1"/>
        <v>8259.9999999999909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119.04749999999999</v>
      </c>
      <c r="BC33" s="17">
        <f t="shared" si="1"/>
        <v>0</v>
      </c>
    </row>
    <row r="35" spans="5:55" x14ac:dyDescent="0.25">
      <c r="E35" s="38">
        <f>E33/E37</f>
        <v>0.22523070929411654</v>
      </c>
      <c r="G35" s="29">
        <f>G33-M36</f>
        <v>27887.299999999828</v>
      </c>
      <c r="AE35" s="35">
        <f>SUM(U33:AE33)</f>
        <v>14812.640000000118</v>
      </c>
      <c r="AG35" s="32">
        <f>SUM(AG33:AP33)</f>
        <v>3086.9999999999991</v>
      </c>
    </row>
    <row r="36" spans="5:55" x14ac:dyDescent="0.25">
      <c r="G36" s="29">
        <f>G35-633*14</f>
        <v>19025.299999999828</v>
      </c>
      <c r="M36" s="29">
        <f>M33+N33</f>
        <v>5912.7000000000116</v>
      </c>
    </row>
    <row r="37" spans="5:55" x14ac:dyDescent="0.25">
      <c r="E37" s="17">
        <f>E33+F33+G33+H33+J33-633*14</f>
        <v>82138.000000000218</v>
      </c>
      <c r="G37" s="37">
        <f>M36/E37</f>
        <v>7.1984952153692522E-2</v>
      </c>
      <c r="M37" s="35">
        <f>AE35</f>
        <v>14812.640000000118</v>
      </c>
    </row>
    <row r="38" spans="5:55" x14ac:dyDescent="0.25">
      <c r="L38" s="27">
        <f>M38/E37</f>
        <v>3.7583091869780018E-2</v>
      </c>
      <c r="M38" s="29">
        <f>AG35</f>
        <v>3086.9999999999991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D1" zoomScale="80" zoomScaleNormal="80" workbookViewId="0">
      <pane ySplit="1" topLeftCell="A9" activePane="bottomLeft" state="frozen"/>
      <selection pane="bottomLeft" activeCell="BH30" sqref="BH3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>IF((CP10-CP9&lt;0), "",CP10-CP9)</f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>IF((CP12-CP11&lt;0), "",CP12-CP11)</f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>
        <v>1.7406999999999999</v>
      </c>
      <c r="D13" s="64">
        <f t="shared" si="0"/>
        <v>699.99999999992292</v>
      </c>
      <c r="E13" s="58">
        <v>2.7332999999999998</v>
      </c>
      <c r="F13" s="64">
        <f t="shared" si="1"/>
        <v>599.99999999993395</v>
      </c>
      <c r="G13" s="58">
        <v>2.6145999999999998</v>
      </c>
      <c r="H13" s="64">
        <f t="shared" si="2"/>
        <v>1499.9999999996128</v>
      </c>
      <c r="I13" s="58">
        <v>1.2664</v>
      </c>
      <c r="J13" s="64">
        <f t="shared" si="3"/>
        <v>699.99999999992292</v>
      </c>
      <c r="K13" s="58">
        <v>1.9728000000000001</v>
      </c>
      <c r="L13" s="64">
        <f t="shared" si="4"/>
        <v>1700.0000000000348</v>
      </c>
      <c r="M13" s="58">
        <v>1.2181999999999999</v>
      </c>
      <c r="N13" s="64">
        <f t="shared" si="5"/>
        <v>399.99999999995595</v>
      </c>
      <c r="O13" s="58">
        <v>12602</v>
      </c>
      <c r="P13" s="67">
        <f t="shared" si="44"/>
        <v>0</v>
      </c>
      <c r="Q13" s="58">
        <v>5566</v>
      </c>
      <c r="R13" s="67">
        <f t="shared" si="6"/>
        <v>3</v>
      </c>
      <c r="S13" s="58">
        <v>838290.1</v>
      </c>
      <c r="T13" s="67">
        <f t="shared" si="7"/>
        <v>171</v>
      </c>
      <c r="U13" s="58">
        <v>341715.6</v>
      </c>
      <c r="V13" s="67">
        <f t="shared" si="8"/>
        <v>41.299999999988358</v>
      </c>
      <c r="W13" s="58">
        <v>335.25</v>
      </c>
      <c r="X13" s="65">
        <f t="shared" si="9"/>
        <v>69.999999999993179</v>
      </c>
      <c r="Y13" s="58">
        <v>2.4070999999999998</v>
      </c>
      <c r="Z13" s="65">
        <f t="shared" si="10"/>
        <v>399.99999999995595</v>
      </c>
      <c r="AA13" s="58">
        <v>329.34</v>
      </c>
      <c r="AB13" s="65">
        <f t="shared" si="11"/>
        <v>60.000000000002274</v>
      </c>
      <c r="AC13" s="58">
        <v>312.54000000000002</v>
      </c>
      <c r="AD13" s="65">
        <f t="shared" si="12"/>
        <v>120.00000000000455</v>
      </c>
      <c r="AE13" s="58">
        <v>489.08</v>
      </c>
      <c r="AF13" s="65">
        <f t="shared" si="13"/>
        <v>149.99999999997726</v>
      </c>
      <c r="AG13" s="58">
        <v>1281.7</v>
      </c>
      <c r="AH13" s="67">
        <f t="shared" si="14"/>
        <v>1.5</v>
      </c>
      <c r="AI13" s="58">
        <v>431.19</v>
      </c>
      <c r="AJ13" s="65">
        <f t="shared" si="15"/>
        <v>189.99999999999773</v>
      </c>
      <c r="AK13" s="58">
        <v>151.72</v>
      </c>
      <c r="AL13" s="65">
        <f t="shared" si="15"/>
        <v>30.000000000001137</v>
      </c>
      <c r="AM13" s="58">
        <v>151.27000000000001</v>
      </c>
      <c r="AN13" s="65">
        <f t="shared" si="15"/>
        <v>40.000000000020464</v>
      </c>
      <c r="AO13" s="58">
        <v>147.66</v>
      </c>
      <c r="AP13" s="65">
        <f t="shared" si="15"/>
        <v>20.000000000010232</v>
      </c>
      <c r="AQ13" s="58">
        <v>218.75</v>
      </c>
      <c r="AR13" s="65">
        <f t="shared" si="16"/>
        <v>30.000000000001137</v>
      </c>
      <c r="AS13" s="58">
        <v>345.06</v>
      </c>
      <c r="AT13" s="65">
        <f t="shared" si="17"/>
        <v>30.000000000029559</v>
      </c>
      <c r="AU13" s="58">
        <v>266.19</v>
      </c>
      <c r="AV13" s="65">
        <f t="shared" si="18"/>
        <v>40.000000000020464</v>
      </c>
      <c r="AW13" s="58">
        <v>293.70999999999998</v>
      </c>
      <c r="AX13" s="65">
        <f t="shared" si="19"/>
        <v>19.99999999998181</v>
      </c>
      <c r="AY13" s="58">
        <v>345.01</v>
      </c>
      <c r="AZ13" s="65">
        <f t="shared" si="20"/>
        <v>19.99999999998181</v>
      </c>
      <c r="BA13" s="58">
        <v>364.78</v>
      </c>
      <c r="BB13" s="65">
        <f t="shared" si="21"/>
        <v>9.9999999999909051</v>
      </c>
      <c r="BC13" s="58">
        <v>231.46</v>
      </c>
      <c r="BD13" s="65">
        <f t="shared" si="22"/>
        <v>20.000000000010232</v>
      </c>
      <c r="BE13" s="59">
        <v>29803</v>
      </c>
      <c r="BF13" s="67">
        <f t="shared" si="39"/>
        <v>18</v>
      </c>
      <c r="BG13" s="60">
        <v>225.27</v>
      </c>
      <c r="BH13" s="65">
        <f t="shared" si="23"/>
        <v>10.000000000019327</v>
      </c>
      <c r="BI13" s="60">
        <v>283.14999999999998</v>
      </c>
      <c r="BJ13" s="65">
        <f t="shared" si="40"/>
        <v>9.9999999999909051</v>
      </c>
      <c r="BK13" s="60">
        <v>230.74</v>
      </c>
      <c r="BL13" s="65">
        <f t="shared" si="24"/>
        <v>10.000000000019327</v>
      </c>
      <c r="BM13" s="60">
        <v>214.22</v>
      </c>
      <c r="BN13" s="65">
        <f t="shared" si="25"/>
        <v>39.999999999992042</v>
      </c>
      <c r="BO13" s="60">
        <v>279.06</v>
      </c>
      <c r="BP13" s="65">
        <f t="shared" si="26"/>
        <v>19.99999999998181</v>
      </c>
      <c r="BQ13" s="60">
        <v>39135</v>
      </c>
      <c r="BR13" s="65">
        <f t="shared" si="27"/>
        <v>13</v>
      </c>
      <c r="BS13" s="60">
        <v>193.5</v>
      </c>
      <c r="BT13" s="65">
        <f t="shared" si="43"/>
        <v>0</v>
      </c>
      <c r="BU13" s="60">
        <v>30279</v>
      </c>
      <c r="BV13" s="65">
        <f t="shared" si="29"/>
        <v>8</v>
      </c>
      <c r="BW13" s="60">
        <v>224.27</v>
      </c>
      <c r="BX13" s="65">
        <f t="shared" si="30"/>
        <v>10.000000000019327</v>
      </c>
      <c r="BY13" s="60">
        <v>49233</v>
      </c>
      <c r="BZ13" s="67">
        <f t="shared" si="31"/>
        <v>12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47455</v>
      </c>
      <c r="CH13" s="67">
        <f t="shared" si="35"/>
        <v>43.099999999998545</v>
      </c>
      <c r="CI13" s="60">
        <v>864379</v>
      </c>
      <c r="CJ13" s="67">
        <f t="shared" si="36"/>
        <v>200</v>
      </c>
      <c r="CK13" s="60">
        <v>582.58000000000004</v>
      </c>
      <c r="CL13" s="64">
        <f t="shared" si="37"/>
        <v>320.00000000005002</v>
      </c>
      <c r="CM13" s="65">
        <f t="shared" si="41"/>
        <v>24.7</v>
      </c>
      <c r="CN13" s="62">
        <v>0</v>
      </c>
      <c r="CO13" s="62">
        <v>0</v>
      </c>
      <c r="CP13" s="68">
        <v>43.9</v>
      </c>
      <c r="CQ13" s="67">
        <f>IF((CP13-CP12&lt;0), "",CP13-CP12)</f>
        <v>18.7</v>
      </c>
      <c r="CR13" s="68">
        <v>9651</v>
      </c>
      <c r="CS13" s="67">
        <f t="shared" si="38"/>
        <v>6</v>
      </c>
      <c r="CT13" s="75">
        <v>2117</v>
      </c>
      <c r="CU13" s="67">
        <f t="shared" si="38"/>
        <v>12</v>
      </c>
      <c r="CV13" s="68">
        <v>5370</v>
      </c>
      <c r="CW13" s="67">
        <f t="shared" si="38"/>
        <v>23</v>
      </c>
    </row>
    <row r="14" spans="1:102" ht="25.5" customHeight="1" thickBot="1" x14ac:dyDescent="0.45">
      <c r="A14" s="63">
        <v>44023</v>
      </c>
      <c r="B14" s="44"/>
      <c r="C14" s="58">
        <v>1.7413000000000001</v>
      </c>
      <c r="D14" s="64">
        <f t="shared" si="0"/>
        <v>600.00000000015598</v>
      </c>
      <c r="E14" s="58">
        <v>2.7338</v>
      </c>
      <c r="F14" s="64">
        <f t="shared" si="1"/>
        <v>500.00000000016701</v>
      </c>
      <c r="G14" s="58">
        <v>2.6162999999999998</v>
      </c>
      <c r="H14" s="64">
        <f t="shared" si="2"/>
        <v>1700.0000000000348</v>
      </c>
      <c r="I14" s="58">
        <v>1.2670999999999999</v>
      </c>
      <c r="J14" s="64">
        <f t="shared" si="3"/>
        <v>699.99999999992292</v>
      </c>
      <c r="K14" s="58">
        <v>1.9744999999999999</v>
      </c>
      <c r="L14" s="64">
        <f t="shared" si="4"/>
        <v>1699.9999999998129</v>
      </c>
      <c r="M14" s="58">
        <v>1.2185999999999999</v>
      </c>
      <c r="N14" s="64">
        <f t="shared" si="5"/>
        <v>399.99999999995595</v>
      </c>
      <c r="O14" s="58">
        <v>12602</v>
      </c>
      <c r="P14" s="67">
        <f t="shared" si="44"/>
        <v>0</v>
      </c>
      <c r="Q14" s="58">
        <v>5569</v>
      </c>
      <c r="R14" s="67">
        <f t="shared" si="6"/>
        <v>3</v>
      </c>
      <c r="S14" s="58">
        <v>838443.4</v>
      </c>
      <c r="T14" s="67">
        <f t="shared" si="7"/>
        <v>153.30000000004657</v>
      </c>
      <c r="U14" s="58">
        <v>341778.3</v>
      </c>
      <c r="V14" s="67">
        <f t="shared" si="8"/>
        <v>62.700000000011642</v>
      </c>
      <c r="W14" s="58">
        <v>335.32</v>
      </c>
      <c r="X14" s="65">
        <f t="shared" si="9"/>
        <v>69.999999999993179</v>
      </c>
      <c r="Y14" s="58">
        <v>2.4074</v>
      </c>
      <c r="Z14" s="65">
        <f t="shared" si="10"/>
        <v>300.000000000189</v>
      </c>
      <c r="AA14" s="58">
        <v>329.4</v>
      </c>
      <c r="AB14" s="65">
        <f t="shared" si="11"/>
        <v>60.000000000002274</v>
      </c>
      <c r="AC14" s="58">
        <v>312.64999999999998</v>
      </c>
      <c r="AD14" s="65">
        <f t="shared" si="12"/>
        <v>109.9999999999568</v>
      </c>
      <c r="AE14" s="58">
        <v>489.26</v>
      </c>
      <c r="AF14" s="65">
        <f t="shared" si="13"/>
        <v>180.00000000000682</v>
      </c>
      <c r="AG14" s="58">
        <v>1283.0999999999999</v>
      </c>
      <c r="AH14" s="67">
        <f t="shared" si="14"/>
        <v>1.3999999999998636</v>
      </c>
      <c r="AI14" s="58">
        <v>431.41</v>
      </c>
      <c r="AJ14" s="65">
        <f t="shared" si="15"/>
        <v>220.00000000002728</v>
      </c>
      <c r="AK14" s="58">
        <v>151.76</v>
      </c>
      <c r="AL14" s="65">
        <f t="shared" si="15"/>
        <v>39.999999999992042</v>
      </c>
      <c r="AM14" s="58">
        <v>151.30000000000001</v>
      </c>
      <c r="AN14" s="65">
        <f t="shared" si="15"/>
        <v>30.000000000001137</v>
      </c>
      <c r="AO14" s="58">
        <v>147.69</v>
      </c>
      <c r="AP14" s="65">
        <f t="shared" si="15"/>
        <v>30.000000000001137</v>
      </c>
      <c r="AQ14" s="58">
        <v>218.77</v>
      </c>
      <c r="AR14" s="65">
        <f t="shared" si="16"/>
        <v>20.000000000010232</v>
      </c>
      <c r="AS14" s="58">
        <v>345.08</v>
      </c>
      <c r="AT14" s="65">
        <f t="shared" si="17"/>
        <v>19.99999999998181</v>
      </c>
      <c r="AU14" s="58">
        <v>266.20999999999998</v>
      </c>
      <c r="AV14" s="65">
        <f t="shared" si="18"/>
        <v>19.99999999998181</v>
      </c>
      <c r="AW14" s="58">
        <v>293.73</v>
      </c>
      <c r="AX14" s="65">
        <f t="shared" si="19"/>
        <v>20.000000000038654</v>
      </c>
      <c r="AY14" s="58">
        <v>345.03</v>
      </c>
      <c r="AZ14" s="65">
        <f t="shared" si="20"/>
        <v>19.99999999998181</v>
      </c>
      <c r="BA14" s="58">
        <v>364.8</v>
      </c>
      <c r="BB14" s="65">
        <f t="shared" si="21"/>
        <v>20.000000000038654</v>
      </c>
      <c r="BC14" s="58">
        <v>231.48</v>
      </c>
      <c r="BD14" s="65">
        <f t="shared" si="22"/>
        <v>19.99999999998181</v>
      </c>
      <c r="BE14" s="59">
        <v>29825</v>
      </c>
      <c r="BF14" s="67">
        <f t="shared" si="39"/>
        <v>22</v>
      </c>
      <c r="BG14" s="60">
        <v>225.28</v>
      </c>
      <c r="BH14" s="65">
        <f t="shared" si="23"/>
        <v>9.9999999999909051</v>
      </c>
      <c r="BI14" s="60">
        <v>283.16000000000003</v>
      </c>
      <c r="BJ14" s="65">
        <f t="shared" si="40"/>
        <v>10.000000000047748</v>
      </c>
      <c r="BK14" s="60">
        <v>230.74</v>
      </c>
      <c r="BL14" s="65">
        <f t="shared" si="24"/>
        <v>0</v>
      </c>
      <c r="BM14" s="60">
        <v>214.24</v>
      </c>
      <c r="BN14" s="65">
        <f t="shared" si="25"/>
        <v>20.000000000010232</v>
      </c>
      <c r="BO14" s="60">
        <v>279.07</v>
      </c>
      <c r="BP14" s="65">
        <f t="shared" si="26"/>
        <v>9.9999999999909051</v>
      </c>
      <c r="BQ14" s="60">
        <v>39147</v>
      </c>
      <c r="BR14" s="65">
        <f t="shared" si="27"/>
        <v>12</v>
      </c>
      <c r="BS14" s="60">
        <v>193.51</v>
      </c>
      <c r="BT14" s="65">
        <f t="shared" si="43"/>
        <v>9.9999999999909051</v>
      </c>
      <c r="BU14" s="60">
        <v>30305</v>
      </c>
      <c r="BV14" s="65">
        <f t="shared" si="29"/>
        <v>26</v>
      </c>
      <c r="BW14" s="60">
        <v>224.28</v>
      </c>
      <c r="BX14" s="65">
        <f t="shared" si="30"/>
        <v>9.9999999999909051</v>
      </c>
      <c r="BY14" s="60">
        <v>49242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47471.9</v>
      </c>
      <c r="CH14" s="67">
        <f t="shared" si="35"/>
        <v>16.900000000001455</v>
      </c>
      <c r="CI14" s="60">
        <v>864582</v>
      </c>
      <c r="CJ14" s="67">
        <f t="shared" si="36"/>
        <v>203</v>
      </c>
      <c r="CK14" s="60">
        <v>583.04999999999995</v>
      </c>
      <c r="CL14" s="64">
        <f t="shared" si="37"/>
        <v>469.9999999999136</v>
      </c>
      <c r="CM14" s="65">
        <f t="shared" si="41"/>
        <v>18.300000000000004</v>
      </c>
      <c r="CN14" s="62">
        <v>0</v>
      </c>
      <c r="CO14" s="62">
        <v>0</v>
      </c>
      <c r="CP14" s="68">
        <v>56.2</v>
      </c>
      <c r="CQ14" s="67">
        <f t="shared" si="38"/>
        <v>12.300000000000004</v>
      </c>
      <c r="CR14" s="68">
        <v>9657</v>
      </c>
      <c r="CS14" s="67">
        <f t="shared" si="38"/>
        <v>6</v>
      </c>
      <c r="CT14" s="75">
        <v>2130</v>
      </c>
      <c r="CU14" s="67">
        <f t="shared" si="38"/>
        <v>13</v>
      </c>
      <c r="CV14" s="68">
        <v>5402</v>
      </c>
      <c r="CW14" s="67">
        <f t="shared" si="38"/>
        <v>32</v>
      </c>
    </row>
    <row r="15" spans="1:102" ht="25.5" customHeight="1" thickBot="1" x14ac:dyDescent="0.45">
      <c r="A15" s="63">
        <v>44024</v>
      </c>
      <c r="B15" s="44"/>
      <c r="C15" s="58">
        <v>1.7418</v>
      </c>
      <c r="D15" s="64">
        <f t="shared" si="0"/>
        <v>499.99999999994492</v>
      </c>
      <c r="E15" s="58">
        <v>2.7343999999999999</v>
      </c>
      <c r="F15" s="64">
        <f t="shared" si="1"/>
        <v>599.99999999993395</v>
      </c>
      <c r="G15" s="58">
        <v>2.6173999999999999</v>
      </c>
      <c r="H15" s="64">
        <f t="shared" si="2"/>
        <v>1100.000000000101</v>
      </c>
      <c r="I15" s="58">
        <v>1.2678</v>
      </c>
      <c r="J15" s="64">
        <f t="shared" si="3"/>
        <v>700.00000000014495</v>
      </c>
      <c r="K15" s="58">
        <v>1.976</v>
      </c>
      <c r="L15" s="64">
        <f t="shared" si="4"/>
        <v>1500.0000000000568</v>
      </c>
      <c r="M15" s="58">
        <v>1.2190000000000001</v>
      </c>
      <c r="N15" s="64">
        <f t="shared" si="5"/>
        <v>400.00000000017798</v>
      </c>
      <c r="O15" s="58">
        <v>12605</v>
      </c>
      <c r="P15" s="67">
        <f t="shared" si="44"/>
        <v>3</v>
      </c>
      <c r="Q15" s="58">
        <v>5572</v>
      </c>
      <c r="R15" s="67">
        <f t="shared" si="6"/>
        <v>3</v>
      </c>
      <c r="S15" s="58">
        <v>838534.3</v>
      </c>
      <c r="T15" s="67">
        <f t="shared" si="7"/>
        <v>90.900000000023283</v>
      </c>
      <c r="U15" s="58">
        <v>341822.4</v>
      </c>
      <c r="V15" s="67">
        <f t="shared" si="8"/>
        <v>44.100000000034925</v>
      </c>
      <c r="W15" s="58">
        <v>335.38</v>
      </c>
      <c r="X15" s="65">
        <f t="shared" si="9"/>
        <v>60.000000000002274</v>
      </c>
      <c r="Y15" s="58">
        <v>2.4077999999999999</v>
      </c>
      <c r="Z15" s="65">
        <f t="shared" si="10"/>
        <v>399.99999999995595</v>
      </c>
      <c r="AA15" s="58">
        <v>329.45</v>
      </c>
      <c r="AB15" s="65">
        <f t="shared" si="11"/>
        <v>50.000000000011369</v>
      </c>
      <c r="AC15" s="58">
        <v>312.76</v>
      </c>
      <c r="AD15" s="65">
        <f t="shared" si="12"/>
        <v>110.00000000001364</v>
      </c>
      <c r="AE15" s="58">
        <v>489.39</v>
      </c>
      <c r="AF15" s="65">
        <f t="shared" si="13"/>
        <v>129.99999999999545</v>
      </c>
      <c r="AG15" s="58">
        <v>1284.2</v>
      </c>
      <c r="AH15" s="67">
        <f t="shared" si="14"/>
        <v>1.1000000000001364</v>
      </c>
      <c r="AI15" s="58">
        <v>431.58</v>
      </c>
      <c r="AJ15" s="65">
        <f t="shared" si="15"/>
        <v>169.99999999995907</v>
      </c>
      <c r="AK15" s="58">
        <v>151.78</v>
      </c>
      <c r="AL15" s="65">
        <f t="shared" si="15"/>
        <v>20.000000000010232</v>
      </c>
      <c r="AM15" s="58">
        <v>151.33000000000001</v>
      </c>
      <c r="AN15" s="65">
        <f t="shared" si="15"/>
        <v>30.000000000001137</v>
      </c>
      <c r="AO15" s="58">
        <v>147.71</v>
      </c>
      <c r="AP15" s="65">
        <f t="shared" si="15"/>
        <v>20.000000000010232</v>
      </c>
      <c r="AQ15" s="58">
        <v>218.78</v>
      </c>
      <c r="AR15" s="65">
        <f t="shared" si="16"/>
        <v>9.9999999999909051</v>
      </c>
      <c r="AS15" s="58">
        <v>345.1</v>
      </c>
      <c r="AT15" s="65">
        <f t="shared" si="17"/>
        <v>20.000000000038654</v>
      </c>
      <c r="AU15" s="58">
        <v>266.23</v>
      </c>
      <c r="AV15" s="65">
        <f t="shared" si="18"/>
        <v>20.000000000038654</v>
      </c>
      <c r="AW15" s="58">
        <v>293.75</v>
      </c>
      <c r="AX15" s="65">
        <f t="shared" si="19"/>
        <v>19.99999999998181</v>
      </c>
      <c r="AY15" s="58">
        <v>345.04</v>
      </c>
      <c r="AZ15" s="65">
        <f t="shared" si="20"/>
        <v>10.000000000047748</v>
      </c>
      <c r="BA15" s="58">
        <v>364.81</v>
      </c>
      <c r="BB15" s="65">
        <f t="shared" si="21"/>
        <v>9.9999999999909051</v>
      </c>
      <c r="BC15" s="58">
        <v>231.5</v>
      </c>
      <c r="BD15" s="65">
        <f t="shared" si="22"/>
        <v>20.000000000010232</v>
      </c>
      <c r="BE15" s="59">
        <v>29843</v>
      </c>
      <c r="BF15" s="67">
        <f t="shared" si="39"/>
        <v>18</v>
      </c>
      <c r="BG15" s="60">
        <v>225.29</v>
      </c>
      <c r="BH15" s="65">
        <f t="shared" si="23"/>
        <v>9.9999999999909051</v>
      </c>
      <c r="BI15" s="60">
        <v>283.17</v>
      </c>
      <c r="BJ15" s="65">
        <f t="shared" si="40"/>
        <v>9.9999999999909051</v>
      </c>
      <c r="BK15" s="60">
        <v>230.74</v>
      </c>
      <c r="BL15" s="65">
        <f t="shared" si="24"/>
        <v>0</v>
      </c>
      <c r="BM15" s="60">
        <v>214.25</v>
      </c>
      <c r="BN15" s="65">
        <f t="shared" si="25"/>
        <v>9.9999999999909051</v>
      </c>
      <c r="BO15" s="60">
        <v>279.08999999999997</v>
      </c>
      <c r="BP15" s="65">
        <f t="shared" si="26"/>
        <v>19.99999999998181</v>
      </c>
      <c r="BQ15" s="60">
        <v>39160</v>
      </c>
      <c r="BR15" s="65">
        <f t="shared" si="27"/>
        <v>13</v>
      </c>
      <c r="BS15" s="60">
        <v>193.51</v>
      </c>
      <c r="BT15" s="65">
        <f t="shared" si="43"/>
        <v>0</v>
      </c>
      <c r="BU15" s="60">
        <v>30333</v>
      </c>
      <c r="BV15" s="65">
        <f t="shared" si="29"/>
        <v>28</v>
      </c>
      <c r="BW15" s="60">
        <v>224.3</v>
      </c>
      <c r="BX15" s="65">
        <f t="shared" si="30"/>
        <v>20.000000000010232</v>
      </c>
      <c r="BY15" s="60">
        <v>49254</v>
      </c>
      <c r="BZ15" s="67">
        <f t="shared" si="31"/>
        <v>12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47508.2</v>
      </c>
      <c r="CH15" s="67">
        <f t="shared" si="35"/>
        <v>36.299999999995634</v>
      </c>
      <c r="CI15" s="60">
        <v>864756</v>
      </c>
      <c r="CJ15" s="67">
        <f t="shared" si="36"/>
        <v>174</v>
      </c>
      <c r="CK15" s="60">
        <v>583.29</v>
      </c>
      <c r="CL15" s="64">
        <f t="shared" si="37"/>
        <v>240.00000000000909</v>
      </c>
      <c r="CM15" s="65">
        <f t="shared" si="41"/>
        <v>8</v>
      </c>
      <c r="CN15" s="62">
        <v>0</v>
      </c>
      <c r="CO15" s="62">
        <v>0</v>
      </c>
      <c r="CP15" s="68">
        <v>60.2</v>
      </c>
      <c r="CQ15" s="67">
        <f t="shared" si="38"/>
        <v>4</v>
      </c>
      <c r="CR15" s="68">
        <v>9661</v>
      </c>
      <c r="CS15" s="67">
        <f t="shared" si="38"/>
        <v>4</v>
      </c>
      <c r="CT15" s="75">
        <v>2140</v>
      </c>
      <c r="CU15" s="67">
        <f t="shared" si="38"/>
        <v>10</v>
      </c>
      <c r="CV15" s="68">
        <v>5420</v>
      </c>
      <c r="CW15" s="67">
        <f t="shared" si="38"/>
        <v>18</v>
      </c>
    </row>
    <row r="16" spans="1:102" ht="25.5" customHeight="1" thickBot="1" x14ac:dyDescent="0.45">
      <c r="A16" s="63">
        <v>44025</v>
      </c>
      <c r="B16" s="44"/>
      <c r="C16" s="58">
        <v>1.7423999999999999</v>
      </c>
      <c r="D16" s="64">
        <f t="shared" si="0"/>
        <v>599.99999999993395</v>
      </c>
      <c r="E16" s="58">
        <v>2.7349999999999999</v>
      </c>
      <c r="F16" s="64">
        <f t="shared" si="1"/>
        <v>599.99999999993395</v>
      </c>
      <c r="G16" s="58">
        <v>2.6187999999999998</v>
      </c>
      <c r="H16" s="64">
        <f t="shared" si="2"/>
        <v>1399.9999999998458</v>
      </c>
      <c r="I16" s="58">
        <v>1.2684</v>
      </c>
      <c r="J16" s="64">
        <f t="shared" si="3"/>
        <v>599.99999999993395</v>
      </c>
      <c r="K16" s="58">
        <v>1.9776</v>
      </c>
      <c r="L16" s="64">
        <f t="shared" si="4"/>
        <v>1600.0000000000459</v>
      </c>
      <c r="M16" s="58">
        <v>1.2194</v>
      </c>
      <c r="N16" s="64">
        <f t="shared" si="5"/>
        <v>399.99999999995595</v>
      </c>
      <c r="O16" s="58">
        <v>12605</v>
      </c>
      <c r="P16" s="67">
        <f t="shared" si="44"/>
        <v>0</v>
      </c>
      <c r="Q16" s="58">
        <v>5575</v>
      </c>
      <c r="R16" s="67">
        <f t="shared" si="6"/>
        <v>3</v>
      </c>
      <c r="S16" s="58">
        <v>838687.6</v>
      </c>
      <c r="T16" s="67">
        <f t="shared" si="7"/>
        <v>153.29999999993015</v>
      </c>
      <c r="U16" s="58">
        <v>341893</v>
      </c>
      <c r="V16" s="67">
        <f t="shared" si="8"/>
        <v>70.599999999976717</v>
      </c>
      <c r="W16" s="58">
        <v>335.48</v>
      </c>
      <c r="X16" s="65">
        <f t="shared" si="9"/>
        <v>100.00000000002274</v>
      </c>
      <c r="Y16" s="58">
        <v>2.4081999999999999</v>
      </c>
      <c r="Z16" s="65">
        <f t="shared" si="10"/>
        <v>399.99999999995595</v>
      </c>
      <c r="AA16" s="58">
        <v>329.49</v>
      </c>
      <c r="AB16" s="65">
        <f t="shared" si="11"/>
        <v>40.000000000020464</v>
      </c>
      <c r="AC16" s="58">
        <v>312.85000000000002</v>
      </c>
      <c r="AD16" s="65">
        <f t="shared" si="12"/>
        <v>90.000000000031832</v>
      </c>
      <c r="AE16" s="58">
        <v>489.53</v>
      </c>
      <c r="AF16" s="65">
        <f t="shared" si="13"/>
        <v>139.99999999998636</v>
      </c>
      <c r="AG16" s="58">
        <v>1285.2</v>
      </c>
      <c r="AH16" s="67">
        <f t="shared" si="14"/>
        <v>1</v>
      </c>
      <c r="AI16" s="58">
        <v>431.76</v>
      </c>
      <c r="AJ16" s="65">
        <f t="shared" si="15"/>
        <v>180.00000000000682</v>
      </c>
      <c r="AK16" s="58">
        <v>151.82</v>
      </c>
      <c r="AL16" s="65">
        <f t="shared" si="15"/>
        <v>39.999999999992042</v>
      </c>
      <c r="AM16" s="58">
        <v>151.37</v>
      </c>
      <c r="AN16" s="65">
        <f t="shared" si="15"/>
        <v>39.999999999992042</v>
      </c>
      <c r="AO16" s="58">
        <v>147.74</v>
      </c>
      <c r="AP16" s="65">
        <f t="shared" si="15"/>
        <v>30.000000000001137</v>
      </c>
      <c r="AQ16" s="58">
        <v>218.8</v>
      </c>
      <c r="AR16" s="65">
        <f t="shared" si="16"/>
        <v>20.000000000010232</v>
      </c>
      <c r="AS16" s="58">
        <v>345.12</v>
      </c>
      <c r="AT16" s="65">
        <f t="shared" si="17"/>
        <v>19.99999999998181</v>
      </c>
      <c r="AU16" s="58">
        <v>266.25</v>
      </c>
      <c r="AV16" s="65">
        <f t="shared" si="18"/>
        <v>19.99999999998181</v>
      </c>
      <c r="AW16" s="58">
        <v>293.77</v>
      </c>
      <c r="AX16" s="65">
        <f t="shared" si="19"/>
        <v>19.99999999998181</v>
      </c>
      <c r="AY16" s="58">
        <v>345.06</v>
      </c>
      <c r="AZ16" s="65">
        <f t="shared" si="20"/>
        <v>19.99999999998181</v>
      </c>
      <c r="BA16" s="58">
        <v>364.82</v>
      </c>
      <c r="BB16" s="65">
        <f t="shared" si="21"/>
        <v>9.9999999999909051</v>
      </c>
      <c r="BC16" s="58">
        <v>231.51</v>
      </c>
      <c r="BD16" s="65">
        <f t="shared" si="22"/>
        <v>9.9999999999909051</v>
      </c>
      <c r="BE16" s="59">
        <v>29868</v>
      </c>
      <c r="BF16" s="67">
        <f t="shared" si="39"/>
        <v>25</v>
      </c>
      <c r="BG16" s="60">
        <v>225.3</v>
      </c>
      <c r="BH16" s="65">
        <f t="shared" si="23"/>
        <v>10.000000000019327</v>
      </c>
      <c r="BI16" s="60">
        <v>283.18</v>
      </c>
      <c r="BJ16" s="65">
        <f t="shared" si="40"/>
        <v>9.9999999999909051</v>
      </c>
      <c r="BK16" s="60">
        <v>230.74</v>
      </c>
      <c r="BL16" s="65">
        <f t="shared" si="24"/>
        <v>0</v>
      </c>
      <c r="BM16" s="60">
        <v>214.26</v>
      </c>
      <c r="BN16" s="65">
        <f t="shared" si="25"/>
        <v>9.9999999999909051</v>
      </c>
      <c r="BO16" s="60">
        <v>279.11</v>
      </c>
      <c r="BP16" s="65">
        <f t="shared" si="26"/>
        <v>20.000000000038654</v>
      </c>
      <c r="BQ16" s="60">
        <v>39171</v>
      </c>
      <c r="BR16" s="65">
        <f t="shared" si="27"/>
        <v>11</v>
      </c>
      <c r="BS16" s="60">
        <v>193.52</v>
      </c>
      <c r="BT16" s="65">
        <f t="shared" si="43"/>
        <v>10.000000000019327</v>
      </c>
      <c r="BU16" s="60">
        <v>30356</v>
      </c>
      <c r="BV16" s="65">
        <f t="shared" si="29"/>
        <v>23</v>
      </c>
      <c r="BW16" s="60">
        <v>224.31</v>
      </c>
      <c r="BX16" s="65">
        <f t="shared" si="30"/>
        <v>9.9999999999909051</v>
      </c>
      <c r="BY16" s="60">
        <v>49265</v>
      </c>
      <c r="BZ16" s="67">
        <f t="shared" si="31"/>
        <v>11</v>
      </c>
      <c r="CA16" s="60">
        <v>27508.400000000001</v>
      </c>
      <c r="CB16" s="67">
        <f t="shared" si="32"/>
        <v>0</v>
      </c>
      <c r="CC16" s="60">
        <v>11251.4</v>
      </c>
      <c r="CD16" s="67">
        <f t="shared" si="33"/>
        <v>0</v>
      </c>
      <c r="CE16" s="60">
        <v>5488.9</v>
      </c>
      <c r="CF16" s="67">
        <f t="shared" si="34"/>
        <v>0</v>
      </c>
      <c r="CG16" s="60">
        <v>47532.9</v>
      </c>
      <c r="CH16" s="67">
        <f t="shared" si="35"/>
        <v>24.700000000004366</v>
      </c>
      <c r="CI16" s="60">
        <v>864941</v>
      </c>
      <c r="CJ16" s="67">
        <f t="shared" si="36"/>
        <v>185</v>
      </c>
      <c r="CK16" s="60">
        <v>583.66999999999996</v>
      </c>
      <c r="CL16" s="64">
        <f t="shared" si="37"/>
        <v>379.99999999999545</v>
      </c>
      <c r="CM16" s="65">
        <f t="shared" si="41"/>
        <v>28.099999999999994</v>
      </c>
      <c r="CN16" s="62">
        <v>0</v>
      </c>
      <c r="CO16" s="62">
        <v>0</v>
      </c>
      <c r="CP16" s="68">
        <v>75.3</v>
      </c>
      <c r="CQ16" s="67">
        <f t="shared" si="38"/>
        <v>15.099999999999994</v>
      </c>
      <c r="CR16" s="68">
        <v>9674</v>
      </c>
      <c r="CS16" s="67">
        <f t="shared" si="38"/>
        <v>13</v>
      </c>
      <c r="CT16" s="75">
        <v>2151</v>
      </c>
      <c r="CU16" s="67">
        <f t="shared" si="38"/>
        <v>11</v>
      </c>
      <c r="CV16" s="68">
        <v>5442</v>
      </c>
      <c r="CW16" s="67">
        <f t="shared" si="38"/>
        <v>22</v>
      </c>
    </row>
    <row r="17" spans="1:101" ht="25.5" customHeight="1" thickBot="1" x14ac:dyDescent="0.45">
      <c r="A17" s="63">
        <v>44026</v>
      </c>
      <c r="B17" s="44"/>
      <c r="C17" s="58">
        <v>1.7430000000000001</v>
      </c>
      <c r="D17" s="64">
        <f t="shared" si="0"/>
        <v>600.00000000015598</v>
      </c>
      <c r="E17" s="58">
        <v>2.7353999999999998</v>
      </c>
      <c r="F17" s="64">
        <f t="shared" si="1"/>
        <v>399.99999999995595</v>
      </c>
      <c r="G17" s="58">
        <v>2.6202000000000001</v>
      </c>
      <c r="H17" s="64">
        <f t="shared" si="2"/>
        <v>1400.0000000002899</v>
      </c>
      <c r="I17" s="58">
        <v>1.2689999999999999</v>
      </c>
      <c r="J17" s="64">
        <f t="shared" si="3"/>
        <v>599.99999999993395</v>
      </c>
      <c r="K17" s="58">
        <v>1.9791000000000001</v>
      </c>
      <c r="L17" s="64">
        <f t="shared" si="4"/>
        <v>1500.0000000000568</v>
      </c>
      <c r="M17" s="58">
        <v>1.2198</v>
      </c>
      <c r="N17" s="64">
        <f t="shared" si="5"/>
        <v>399.99999999995595</v>
      </c>
      <c r="O17" s="58">
        <v>12606</v>
      </c>
      <c r="P17" s="67">
        <f t="shared" si="44"/>
        <v>1</v>
      </c>
      <c r="Q17" s="58">
        <v>5577</v>
      </c>
      <c r="R17" s="67">
        <f t="shared" si="6"/>
        <v>2</v>
      </c>
      <c r="S17" s="58">
        <v>838769.2</v>
      </c>
      <c r="T17" s="67">
        <f t="shared" si="7"/>
        <v>81.599999999976717</v>
      </c>
      <c r="U17" s="58">
        <v>341935.2</v>
      </c>
      <c r="V17" s="67">
        <f t="shared" si="8"/>
        <v>42.200000000011642</v>
      </c>
      <c r="W17" s="58">
        <v>335.55</v>
      </c>
      <c r="X17" s="65">
        <f t="shared" si="9"/>
        <v>69.999999999993179</v>
      </c>
      <c r="Y17" s="58">
        <v>2.4085000000000001</v>
      </c>
      <c r="Z17" s="65">
        <f t="shared" si="10"/>
        <v>300.000000000189</v>
      </c>
      <c r="AA17" s="58">
        <v>329.54</v>
      </c>
      <c r="AB17" s="65">
        <f t="shared" si="11"/>
        <v>50.000000000011369</v>
      </c>
      <c r="AC17" s="58">
        <v>312.93</v>
      </c>
      <c r="AD17" s="65">
        <f t="shared" si="12"/>
        <v>79.999999999984084</v>
      </c>
      <c r="AE17" s="58">
        <v>489.69</v>
      </c>
      <c r="AF17" s="65">
        <f t="shared" si="13"/>
        <v>160.00000000002501</v>
      </c>
      <c r="AG17" s="58">
        <v>1286</v>
      </c>
      <c r="AH17" s="67">
        <f t="shared" si="14"/>
        <v>0.79999999999995453</v>
      </c>
      <c r="AI17" s="58">
        <v>431.93</v>
      </c>
      <c r="AJ17" s="65">
        <f t="shared" si="15"/>
        <v>170.00000000001592</v>
      </c>
      <c r="AK17" s="58">
        <v>151.84</v>
      </c>
      <c r="AL17" s="65">
        <f t="shared" si="15"/>
        <v>20.000000000010232</v>
      </c>
      <c r="AM17" s="58">
        <v>151.4</v>
      </c>
      <c r="AN17" s="65">
        <f t="shared" si="15"/>
        <v>30.000000000001137</v>
      </c>
      <c r="AO17" s="58">
        <v>147.76</v>
      </c>
      <c r="AP17" s="65">
        <f t="shared" si="15"/>
        <v>19.99999999998181</v>
      </c>
      <c r="AQ17" s="58">
        <v>218.82</v>
      </c>
      <c r="AR17" s="65">
        <f t="shared" si="16"/>
        <v>19.99999999998181</v>
      </c>
      <c r="AS17" s="58">
        <v>345.14</v>
      </c>
      <c r="AT17" s="65">
        <f t="shared" si="17"/>
        <v>19.99999999998181</v>
      </c>
      <c r="AU17" s="58">
        <v>266.26</v>
      </c>
      <c r="AV17" s="65">
        <f t="shared" si="18"/>
        <v>9.9999999999909051</v>
      </c>
      <c r="AW17" s="58">
        <v>293.77999999999997</v>
      </c>
      <c r="AX17" s="65">
        <f t="shared" si="19"/>
        <v>9.9999999999909051</v>
      </c>
      <c r="AY17" s="58">
        <v>345.08</v>
      </c>
      <c r="AZ17" s="65">
        <f t="shared" si="20"/>
        <v>19.99999999998181</v>
      </c>
      <c r="BA17" s="58">
        <v>364.83</v>
      </c>
      <c r="BB17" s="65">
        <f t="shared" si="21"/>
        <v>9.9999999999909051</v>
      </c>
      <c r="BC17" s="58">
        <v>231.53</v>
      </c>
      <c r="BD17" s="65">
        <f t="shared" si="22"/>
        <v>20.000000000010232</v>
      </c>
      <c r="BE17" s="59">
        <v>29883</v>
      </c>
      <c r="BF17" s="67">
        <f t="shared" si="39"/>
        <v>15</v>
      </c>
      <c r="BG17" s="60">
        <v>225.31</v>
      </c>
      <c r="BH17" s="65">
        <f t="shared" si="23"/>
        <v>9.9999999999909051</v>
      </c>
      <c r="BI17" s="60">
        <v>283.19</v>
      </c>
      <c r="BJ17" s="65">
        <f t="shared" si="40"/>
        <v>9.9999999999909051</v>
      </c>
      <c r="BK17" s="60">
        <v>230.74</v>
      </c>
      <c r="BL17" s="65">
        <f t="shared" si="24"/>
        <v>0</v>
      </c>
      <c r="BM17" s="60">
        <v>214.27</v>
      </c>
      <c r="BN17" s="65">
        <f t="shared" si="25"/>
        <v>10.000000000019327</v>
      </c>
      <c r="BO17" s="60">
        <v>279.12</v>
      </c>
      <c r="BP17" s="65">
        <f t="shared" si="26"/>
        <v>9.9999999999909051</v>
      </c>
      <c r="BQ17" s="60">
        <v>39180</v>
      </c>
      <c r="BR17" s="65">
        <f t="shared" si="27"/>
        <v>9</v>
      </c>
      <c r="BS17" s="60">
        <v>193.52</v>
      </c>
      <c r="BT17" s="65">
        <f t="shared" si="43"/>
        <v>0</v>
      </c>
      <c r="BU17" s="60">
        <v>30375</v>
      </c>
      <c r="BV17" s="65">
        <f t="shared" si="29"/>
        <v>19</v>
      </c>
      <c r="BW17" s="60">
        <v>224.32</v>
      </c>
      <c r="BX17" s="65">
        <f t="shared" si="30"/>
        <v>9.9999999999909051</v>
      </c>
      <c r="BY17" s="60">
        <v>49271</v>
      </c>
      <c r="BZ17" s="67">
        <f t="shared" si="31"/>
        <v>6</v>
      </c>
      <c r="CA17" s="60">
        <v>27508.400000000001</v>
      </c>
      <c r="CB17" s="67">
        <f t="shared" si="32"/>
        <v>0</v>
      </c>
      <c r="CC17" s="60">
        <v>11251.4</v>
      </c>
      <c r="CD17" s="67">
        <f t="shared" si="33"/>
        <v>0</v>
      </c>
      <c r="CE17" s="60">
        <v>5488.9</v>
      </c>
      <c r="CF17" s="67">
        <f t="shared" si="34"/>
        <v>0</v>
      </c>
      <c r="CG17" s="60">
        <v>47598.7</v>
      </c>
      <c r="CH17" s="67">
        <f t="shared" si="35"/>
        <v>65.799999999995634</v>
      </c>
      <c r="CI17" s="60">
        <v>865121</v>
      </c>
      <c r="CJ17" s="67">
        <f t="shared" si="36"/>
        <v>180</v>
      </c>
      <c r="CK17" s="60">
        <v>584.03</v>
      </c>
      <c r="CL17" s="64">
        <f t="shared" si="37"/>
        <v>360.00000000001364</v>
      </c>
      <c r="CM17" s="65">
        <f t="shared" si="41"/>
        <v>17.900000000000006</v>
      </c>
      <c r="CN17" s="62">
        <v>0</v>
      </c>
      <c r="CO17" s="62">
        <v>0</v>
      </c>
      <c r="CP17" s="68">
        <v>90.2</v>
      </c>
      <c r="CQ17" s="67">
        <f t="shared" si="38"/>
        <v>14.900000000000006</v>
      </c>
      <c r="CR17" s="68">
        <v>9677</v>
      </c>
      <c r="CS17" s="67">
        <f t="shared" si="38"/>
        <v>3</v>
      </c>
      <c r="CT17" s="75">
        <v>2162</v>
      </c>
      <c r="CU17" s="67">
        <f t="shared" si="38"/>
        <v>11</v>
      </c>
      <c r="CV17" s="68">
        <v>5462</v>
      </c>
      <c r="CW17" s="67">
        <f t="shared" si="38"/>
        <v>20</v>
      </c>
    </row>
    <row r="18" spans="1:101" ht="25.5" customHeight="1" thickBot="1" x14ac:dyDescent="0.45">
      <c r="A18" s="63">
        <v>44027</v>
      </c>
      <c r="B18" s="44"/>
      <c r="C18" s="58">
        <v>1.7436</v>
      </c>
      <c r="D18" s="64">
        <f t="shared" si="0"/>
        <v>599.99999999993395</v>
      </c>
      <c r="E18" s="58">
        <v>2.7360000000000002</v>
      </c>
      <c r="F18" s="64">
        <f t="shared" si="1"/>
        <v>600.00000000037801</v>
      </c>
      <c r="G18" s="58">
        <v>2.6215999999999999</v>
      </c>
      <c r="H18" s="64">
        <f t="shared" si="2"/>
        <v>1399.9999999998458</v>
      </c>
      <c r="I18" s="58">
        <v>1.2698</v>
      </c>
      <c r="J18" s="64">
        <f t="shared" si="3"/>
        <v>800.00000000013392</v>
      </c>
      <c r="K18" s="58">
        <v>1.9809000000000001</v>
      </c>
      <c r="L18" s="64">
        <f t="shared" si="4"/>
        <v>1800.0000000000239</v>
      </c>
      <c r="M18" s="58">
        <v>1.2202999999999999</v>
      </c>
      <c r="N18" s="64">
        <f t="shared" si="5"/>
        <v>499.99999999994492</v>
      </c>
      <c r="O18" s="58">
        <v>12606</v>
      </c>
      <c r="P18" s="67">
        <f t="shared" si="44"/>
        <v>0</v>
      </c>
      <c r="Q18" s="58">
        <v>5580</v>
      </c>
      <c r="R18" s="67">
        <f t="shared" si="6"/>
        <v>3</v>
      </c>
      <c r="S18" s="58">
        <v>839016.2</v>
      </c>
      <c r="T18" s="67">
        <f t="shared" si="7"/>
        <v>247</v>
      </c>
      <c r="U18" s="58">
        <v>342038.6</v>
      </c>
      <c r="V18" s="67">
        <f t="shared" si="8"/>
        <v>103.39999999996508</v>
      </c>
      <c r="W18" s="58">
        <v>335.65</v>
      </c>
      <c r="X18" s="65">
        <f t="shared" si="9"/>
        <v>99.999999999965894</v>
      </c>
      <c r="Y18" s="58">
        <v>2.4089</v>
      </c>
      <c r="Z18" s="65">
        <f t="shared" si="10"/>
        <v>399.99999999995595</v>
      </c>
      <c r="AA18" s="58">
        <v>329.6</v>
      </c>
      <c r="AB18" s="65">
        <f t="shared" si="11"/>
        <v>60.000000000002274</v>
      </c>
      <c r="AC18" s="58">
        <v>313.05</v>
      </c>
      <c r="AD18" s="65">
        <f t="shared" si="12"/>
        <v>120.00000000000455</v>
      </c>
      <c r="AE18" s="58">
        <v>489.84</v>
      </c>
      <c r="AF18" s="65">
        <f t="shared" si="13"/>
        <v>149.99999999997726</v>
      </c>
      <c r="AG18" s="58">
        <v>1287.4000000000001</v>
      </c>
      <c r="AH18" s="67">
        <f t="shared" si="14"/>
        <v>1.4000000000000909</v>
      </c>
      <c r="AI18" s="58">
        <v>432.11</v>
      </c>
      <c r="AJ18" s="65">
        <f t="shared" si="15"/>
        <v>180.00000000000682</v>
      </c>
      <c r="AK18" s="58">
        <v>151.88999999999999</v>
      </c>
      <c r="AL18" s="65">
        <f t="shared" si="15"/>
        <v>49.999999999982947</v>
      </c>
      <c r="AM18" s="58">
        <v>151.43</v>
      </c>
      <c r="AN18" s="65">
        <f t="shared" si="15"/>
        <v>30.000000000001137</v>
      </c>
      <c r="AO18" s="58">
        <v>147.79</v>
      </c>
      <c r="AP18" s="65">
        <f t="shared" si="15"/>
        <v>30.000000000001137</v>
      </c>
      <c r="AQ18" s="58">
        <v>218.84</v>
      </c>
      <c r="AR18" s="65">
        <f t="shared" si="16"/>
        <v>20.000000000010232</v>
      </c>
      <c r="AS18" s="58">
        <v>345.16</v>
      </c>
      <c r="AT18" s="65">
        <f t="shared" si="17"/>
        <v>20.000000000038654</v>
      </c>
      <c r="AU18" s="58">
        <v>266.27999999999997</v>
      </c>
      <c r="AV18" s="65">
        <f t="shared" si="18"/>
        <v>19.99999999998181</v>
      </c>
      <c r="AW18" s="58">
        <v>293.8</v>
      </c>
      <c r="AX18" s="65">
        <f t="shared" si="19"/>
        <v>20.000000000038654</v>
      </c>
      <c r="AY18" s="58">
        <v>345.1</v>
      </c>
      <c r="AZ18" s="65">
        <f t="shared" si="20"/>
        <v>20.000000000038654</v>
      </c>
      <c r="BA18" s="58">
        <v>364.85</v>
      </c>
      <c r="BB18" s="65">
        <f t="shared" si="21"/>
        <v>20.000000000038654</v>
      </c>
      <c r="BC18" s="58">
        <v>231.55</v>
      </c>
      <c r="BD18" s="65">
        <f t="shared" si="22"/>
        <v>20.000000000010232</v>
      </c>
      <c r="BE18" s="59">
        <v>29906</v>
      </c>
      <c r="BF18" s="67">
        <f t="shared" si="39"/>
        <v>23</v>
      </c>
      <c r="BG18" s="60">
        <v>225.32</v>
      </c>
      <c r="BH18" s="65">
        <f t="shared" si="23"/>
        <v>9.9999999999909051</v>
      </c>
      <c r="BI18" s="60">
        <v>283.2</v>
      </c>
      <c r="BJ18" s="65">
        <f t="shared" si="40"/>
        <v>9.9999999999909051</v>
      </c>
      <c r="BK18" s="60">
        <v>230.75</v>
      </c>
      <c r="BL18" s="65">
        <f t="shared" si="24"/>
        <v>9.9999999999909051</v>
      </c>
      <c r="BM18" s="60">
        <v>214.28</v>
      </c>
      <c r="BN18" s="65">
        <f t="shared" si="25"/>
        <v>9.9999999999909051</v>
      </c>
      <c r="BO18" s="60">
        <v>279.14</v>
      </c>
      <c r="BP18" s="65">
        <f t="shared" si="26"/>
        <v>19.99999999998181</v>
      </c>
      <c r="BQ18" s="60">
        <v>39193</v>
      </c>
      <c r="BR18" s="65">
        <f t="shared" si="27"/>
        <v>13</v>
      </c>
      <c r="BS18" s="60">
        <v>193.52</v>
      </c>
      <c r="BT18" s="65">
        <f t="shared" si="43"/>
        <v>0</v>
      </c>
      <c r="BU18" s="60">
        <v>30400</v>
      </c>
      <c r="BV18" s="65">
        <f t="shared" si="29"/>
        <v>25</v>
      </c>
      <c r="BW18" s="60">
        <v>224.33</v>
      </c>
      <c r="BX18" s="65">
        <f t="shared" si="30"/>
        <v>10.000000000019327</v>
      </c>
      <c r="BY18" s="60">
        <v>49283</v>
      </c>
      <c r="BZ18" s="67">
        <f t="shared" si="31"/>
        <v>12</v>
      </c>
      <c r="CA18" s="60">
        <v>27508.400000000001</v>
      </c>
      <c r="CB18" s="67">
        <f t="shared" si="32"/>
        <v>0</v>
      </c>
      <c r="CC18" s="60">
        <v>11251.4</v>
      </c>
      <c r="CD18" s="67">
        <f t="shared" si="33"/>
        <v>0</v>
      </c>
      <c r="CE18" s="60">
        <v>5488.9</v>
      </c>
      <c r="CF18" s="67">
        <f t="shared" si="34"/>
        <v>0</v>
      </c>
      <c r="CG18" s="60">
        <v>47640.3</v>
      </c>
      <c r="CH18" s="67">
        <f t="shared" si="35"/>
        <v>41.600000000005821</v>
      </c>
      <c r="CI18" s="60">
        <v>865310</v>
      </c>
      <c r="CJ18" s="67">
        <f t="shared" si="36"/>
        <v>189</v>
      </c>
      <c r="CK18" s="60">
        <v>584.41</v>
      </c>
      <c r="CL18" s="64">
        <f t="shared" si="37"/>
        <v>379.99999999999545</v>
      </c>
      <c r="CM18" s="65">
        <f t="shared" si="41"/>
        <v>31.099999999999994</v>
      </c>
      <c r="CN18" s="62">
        <v>0</v>
      </c>
      <c r="CO18" s="62">
        <v>0</v>
      </c>
      <c r="CP18" s="68">
        <v>104.3</v>
      </c>
      <c r="CQ18" s="67">
        <f t="shared" si="38"/>
        <v>14.099999999999994</v>
      </c>
      <c r="CR18" s="68">
        <v>9694</v>
      </c>
      <c r="CS18" s="67">
        <f t="shared" si="38"/>
        <v>17</v>
      </c>
      <c r="CT18" s="75">
        <v>2175</v>
      </c>
      <c r="CU18" s="67">
        <f t="shared" si="38"/>
        <v>13</v>
      </c>
      <c r="CV18" s="68">
        <v>5486</v>
      </c>
      <c r="CW18" s="67">
        <f t="shared" si="38"/>
        <v>24</v>
      </c>
    </row>
    <row r="19" spans="1:101" ht="25.5" customHeight="1" thickBot="1" x14ac:dyDescent="0.45">
      <c r="A19" s="63">
        <v>44028</v>
      </c>
      <c r="B19" s="44"/>
      <c r="C19" s="58">
        <v>1.7442</v>
      </c>
      <c r="D19" s="64">
        <f t="shared" si="0"/>
        <v>599.99999999993395</v>
      </c>
      <c r="E19" s="58">
        <v>2.7364999999999999</v>
      </c>
      <c r="F19" s="64">
        <f t="shared" si="1"/>
        <v>499.99999999972289</v>
      </c>
      <c r="G19" s="58">
        <v>2.6231</v>
      </c>
      <c r="H19" s="64">
        <f t="shared" si="2"/>
        <v>1500.0000000000568</v>
      </c>
      <c r="I19" s="58">
        <v>1.2704</v>
      </c>
      <c r="J19" s="64">
        <f t="shared" si="3"/>
        <v>599.99999999993395</v>
      </c>
      <c r="K19" s="58">
        <v>1.9824999999999999</v>
      </c>
      <c r="L19" s="64">
        <f t="shared" si="4"/>
        <v>1599.9999999998238</v>
      </c>
      <c r="M19" s="58">
        <v>1.2206999999999999</v>
      </c>
      <c r="N19" s="64">
        <f t="shared" si="5"/>
        <v>399.99999999995595</v>
      </c>
      <c r="O19" s="58">
        <v>12607</v>
      </c>
      <c r="P19" s="67">
        <f t="shared" si="44"/>
        <v>1</v>
      </c>
      <c r="Q19" s="58">
        <v>5582</v>
      </c>
      <c r="R19" s="67">
        <f t="shared" si="6"/>
        <v>2</v>
      </c>
      <c r="S19" s="58">
        <v>839226.6</v>
      </c>
      <c r="T19" s="67">
        <f t="shared" si="7"/>
        <v>210.40000000002328</v>
      </c>
      <c r="U19" s="58">
        <v>342119.9</v>
      </c>
      <c r="V19" s="67">
        <f t="shared" si="8"/>
        <v>81.300000000046566</v>
      </c>
      <c r="W19" s="58">
        <v>335.72</v>
      </c>
      <c r="X19" s="65">
        <f t="shared" si="9"/>
        <v>70.000000000050022</v>
      </c>
      <c r="Y19" s="58">
        <v>2.4091999999999998</v>
      </c>
      <c r="Z19" s="65">
        <f t="shared" si="10"/>
        <v>299.99999999974489</v>
      </c>
      <c r="AA19" s="58">
        <v>329.65</v>
      </c>
      <c r="AB19" s="65">
        <f t="shared" si="11"/>
        <v>49.999999999954525</v>
      </c>
      <c r="AC19" s="58">
        <v>313.12</v>
      </c>
      <c r="AD19" s="65">
        <f t="shared" si="12"/>
        <v>69.999999999993179</v>
      </c>
      <c r="AE19" s="58">
        <v>490.01</v>
      </c>
      <c r="AF19" s="65">
        <f t="shared" si="13"/>
        <v>170.00000000001592</v>
      </c>
      <c r="AG19" s="58">
        <v>1288.3</v>
      </c>
      <c r="AH19" s="67">
        <f t="shared" si="14"/>
        <v>0.89999999999986358</v>
      </c>
      <c r="AI19" s="58">
        <v>432.31</v>
      </c>
      <c r="AJ19" s="65">
        <f t="shared" si="15"/>
        <v>199.99999999998863</v>
      </c>
      <c r="AK19" s="58">
        <v>151.91</v>
      </c>
      <c r="AL19" s="65">
        <f t="shared" si="15"/>
        <v>20.000000000010232</v>
      </c>
      <c r="AM19" s="58">
        <v>151.49</v>
      </c>
      <c r="AN19" s="65">
        <f t="shared" si="15"/>
        <v>60.000000000002274</v>
      </c>
      <c r="AO19" s="58">
        <v>147.82</v>
      </c>
      <c r="AP19" s="65">
        <f t="shared" si="15"/>
        <v>30.000000000001137</v>
      </c>
      <c r="AQ19" s="58">
        <v>218.86</v>
      </c>
      <c r="AR19" s="65">
        <f t="shared" si="16"/>
        <v>20.000000000010232</v>
      </c>
      <c r="AS19" s="58">
        <v>345.18</v>
      </c>
      <c r="AT19" s="65">
        <f t="shared" si="17"/>
        <v>19.99999999998181</v>
      </c>
      <c r="AU19" s="58">
        <v>266.3</v>
      </c>
      <c r="AV19" s="65">
        <f t="shared" si="18"/>
        <v>20.000000000038654</v>
      </c>
      <c r="AW19" s="58">
        <v>293.82</v>
      </c>
      <c r="AX19" s="65">
        <f t="shared" si="19"/>
        <v>19.99999999998181</v>
      </c>
      <c r="AY19" s="58">
        <v>345.11</v>
      </c>
      <c r="AZ19" s="65">
        <f t="shared" si="20"/>
        <v>9.9999999999909051</v>
      </c>
      <c r="BA19" s="58">
        <v>364.86</v>
      </c>
      <c r="BB19" s="65">
        <f t="shared" si="21"/>
        <v>9.9999999999909051</v>
      </c>
      <c r="BC19" s="58">
        <v>231.56</v>
      </c>
      <c r="BD19" s="65">
        <f t="shared" si="22"/>
        <v>9.9999999999909051</v>
      </c>
      <c r="BE19" s="59">
        <v>29925</v>
      </c>
      <c r="BF19" s="67">
        <f t="shared" si="39"/>
        <v>19</v>
      </c>
      <c r="BG19" s="60">
        <v>225.33</v>
      </c>
      <c r="BH19" s="65">
        <f t="shared" si="23"/>
        <v>10.000000000019327</v>
      </c>
      <c r="BI19" s="60">
        <v>283.22000000000003</v>
      </c>
      <c r="BJ19" s="65">
        <f t="shared" si="40"/>
        <v>20.000000000038654</v>
      </c>
      <c r="BK19" s="60">
        <v>230.75</v>
      </c>
      <c r="BL19" s="65">
        <f t="shared" si="24"/>
        <v>0</v>
      </c>
      <c r="BM19" s="60">
        <v>214.29</v>
      </c>
      <c r="BN19" s="65">
        <f t="shared" si="25"/>
        <v>9.9999999999909051</v>
      </c>
      <c r="BO19" s="60">
        <v>279.14999999999998</v>
      </c>
      <c r="BP19" s="65">
        <f t="shared" si="26"/>
        <v>9.9999999999909051</v>
      </c>
      <c r="BQ19" s="60">
        <v>39202</v>
      </c>
      <c r="BR19" s="65">
        <f t="shared" si="27"/>
        <v>9</v>
      </c>
      <c r="BS19" s="60">
        <v>193.52</v>
      </c>
      <c r="BT19" s="65">
        <f t="shared" si="43"/>
        <v>0</v>
      </c>
      <c r="BU19" s="60">
        <v>30419</v>
      </c>
      <c r="BV19" s="65">
        <f t="shared" si="29"/>
        <v>19</v>
      </c>
      <c r="BW19" s="60">
        <v>224.34</v>
      </c>
      <c r="BX19" s="65">
        <f t="shared" si="30"/>
        <v>9.9999999999909051</v>
      </c>
      <c r="BY19" s="60">
        <v>49289</v>
      </c>
      <c r="BZ19" s="67">
        <f t="shared" si="31"/>
        <v>6</v>
      </c>
      <c r="CA19" s="60">
        <v>27508.400000000001</v>
      </c>
      <c r="CB19" s="67">
        <f t="shared" si="32"/>
        <v>0</v>
      </c>
      <c r="CC19" s="60">
        <v>11251.4</v>
      </c>
      <c r="CD19" s="67">
        <f t="shared" si="33"/>
        <v>0</v>
      </c>
      <c r="CE19" s="60">
        <v>5488.9</v>
      </c>
      <c r="CF19" s="67">
        <f t="shared" si="34"/>
        <v>0</v>
      </c>
      <c r="CG19" s="60">
        <v>47676.1</v>
      </c>
      <c r="CH19" s="67">
        <f t="shared" si="35"/>
        <v>35.799999999995634</v>
      </c>
      <c r="CI19" s="60">
        <v>865486</v>
      </c>
      <c r="CJ19" s="67">
        <f t="shared" si="36"/>
        <v>176</v>
      </c>
      <c r="CK19" s="60">
        <v>584.88</v>
      </c>
      <c r="CL19" s="64">
        <f t="shared" si="37"/>
        <v>470.00000000002728</v>
      </c>
      <c r="CM19" s="65">
        <f t="shared" si="41"/>
        <v>89.2</v>
      </c>
      <c r="CN19" s="62">
        <v>0</v>
      </c>
      <c r="CO19" s="62">
        <v>0</v>
      </c>
      <c r="CP19" s="68">
        <v>122.5</v>
      </c>
      <c r="CQ19" s="67">
        <f t="shared" si="38"/>
        <v>18.200000000000003</v>
      </c>
      <c r="CR19" s="68">
        <v>9765</v>
      </c>
      <c r="CS19" s="67">
        <f t="shared" si="38"/>
        <v>71</v>
      </c>
      <c r="CT19" s="75">
        <v>2189</v>
      </c>
      <c r="CU19" s="67">
        <f t="shared" si="38"/>
        <v>14</v>
      </c>
      <c r="CV19" s="68">
        <v>5514</v>
      </c>
      <c r="CW19" s="67">
        <f t="shared" si="38"/>
        <v>28</v>
      </c>
    </row>
    <row r="20" spans="1:101" ht="25.5" customHeight="1" thickBot="1" x14ac:dyDescent="0.45">
      <c r="A20" s="63">
        <v>44029</v>
      </c>
      <c r="B20" s="44"/>
      <c r="C20" s="58">
        <v>1.7447999999999999</v>
      </c>
      <c r="D20" s="64">
        <f t="shared" si="0"/>
        <v>599.99999999993395</v>
      </c>
      <c r="E20" s="58">
        <v>2.7370000000000001</v>
      </c>
      <c r="F20" s="64">
        <f t="shared" si="1"/>
        <v>500.00000000016701</v>
      </c>
      <c r="G20" s="58">
        <v>2.6246</v>
      </c>
      <c r="H20" s="64">
        <f t="shared" si="2"/>
        <v>1500.0000000000568</v>
      </c>
      <c r="I20" s="58">
        <v>1.2710999999999999</v>
      </c>
      <c r="J20" s="64">
        <f t="shared" si="3"/>
        <v>699.99999999992292</v>
      </c>
      <c r="K20" s="58">
        <v>1.9843</v>
      </c>
      <c r="L20" s="64">
        <f t="shared" si="4"/>
        <v>1800.0000000000239</v>
      </c>
      <c r="M20" s="58">
        <v>1.2211000000000001</v>
      </c>
      <c r="N20" s="64">
        <f t="shared" si="5"/>
        <v>400.00000000017798</v>
      </c>
      <c r="O20" s="58">
        <v>12607</v>
      </c>
      <c r="P20" s="67">
        <f t="shared" si="44"/>
        <v>0</v>
      </c>
      <c r="Q20" s="58">
        <v>5585</v>
      </c>
      <c r="R20" s="67">
        <f t="shared" si="6"/>
        <v>3</v>
      </c>
      <c r="S20" s="58">
        <v>839295.6</v>
      </c>
      <c r="T20" s="67">
        <f t="shared" si="7"/>
        <v>69</v>
      </c>
      <c r="U20" s="58">
        <v>342150.3</v>
      </c>
      <c r="V20" s="67">
        <f t="shared" si="8"/>
        <v>30.399999999965075</v>
      </c>
      <c r="W20" s="58">
        <v>335.8</v>
      </c>
      <c r="X20" s="65">
        <f t="shared" si="9"/>
        <v>79.999999999984084</v>
      </c>
      <c r="Y20" s="58">
        <v>2.4095</v>
      </c>
      <c r="Z20" s="65">
        <f t="shared" si="10"/>
        <v>300.000000000189</v>
      </c>
      <c r="AA20" s="58">
        <v>329.7</v>
      </c>
      <c r="AB20" s="65">
        <f t="shared" si="11"/>
        <v>50.000000000011369</v>
      </c>
      <c r="AC20" s="58">
        <v>313.23</v>
      </c>
      <c r="AD20" s="65">
        <f t="shared" si="12"/>
        <v>110.00000000001364</v>
      </c>
      <c r="AE20" s="58">
        <v>490.17</v>
      </c>
      <c r="AF20" s="65">
        <f t="shared" si="13"/>
        <v>160.00000000002501</v>
      </c>
      <c r="AG20" s="58">
        <v>1289.4000000000001</v>
      </c>
      <c r="AH20" s="67">
        <f t="shared" si="14"/>
        <v>1.1000000000001364</v>
      </c>
      <c r="AI20" s="58">
        <v>432.49</v>
      </c>
      <c r="AJ20" s="65">
        <f t="shared" si="15"/>
        <v>180.00000000000682</v>
      </c>
      <c r="AK20" s="58">
        <v>151.94999999999999</v>
      </c>
      <c r="AL20" s="65">
        <f t="shared" si="15"/>
        <v>39.999999999992042</v>
      </c>
      <c r="AM20" s="58">
        <v>151.5</v>
      </c>
      <c r="AN20" s="65">
        <f t="shared" si="15"/>
        <v>9.9999999999909051</v>
      </c>
      <c r="AO20" s="58">
        <v>147.84</v>
      </c>
      <c r="AP20" s="65">
        <f t="shared" si="15"/>
        <v>20.000000000010232</v>
      </c>
      <c r="AQ20" s="58">
        <v>218.88</v>
      </c>
      <c r="AR20" s="65">
        <f t="shared" si="16"/>
        <v>19.99999999998181</v>
      </c>
      <c r="AS20" s="58">
        <v>345.2</v>
      </c>
      <c r="AT20" s="65">
        <f t="shared" si="17"/>
        <v>19.99999999998181</v>
      </c>
      <c r="AU20" s="58">
        <v>266.32</v>
      </c>
      <c r="AV20" s="65">
        <f t="shared" si="18"/>
        <v>19.99999999998181</v>
      </c>
      <c r="AW20" s="58">
        <v>293.83999999999997</v>
      </c>
      <c r="AX20" s="65">
        <f t="shared" si="19"/>
        <v>19.99999999998181</v>
      </c>
      <c r="AY20" s="58">
        <v>345.13</v>
      </c>
      <c r="AZ20" s="65">
        <f t="shared" si="20"/>
        <v>19.99999999998181</v>
      </c>
      <c r="BA20" s="58">
        <v>364.88</v>
      </c>
      <c r="BB20" s="65">
        <f t="shared" si="21"/>
        <v>19.99999999998181</v>
      </c>
      <c r="BC20" s="58">
        <v>231.58</v>
      </c>
      <c r="BD20" s="65">
        <f t="shared" si="22"/>
        <v>20.000000000010232</v>
      </c>
      <c r="BE20" s="59">
        <v>29945</v>
      </c>
      <c r="BF20" s="67">
        <f t="shared" si="39"/>
        <v>20</v>
      </c>
      <c r="BG20" s="60">
        <v>225.34</v>
      </c>
      <c r="BH20" s="65">
        <f t="shared" si="23"/>
        <v>9.9999999999909051</v>
      </c>
      <c r="BI20" s="60">
        <v>283.23</v>
      </c>
      <c r="BJ20" s="65">
        <f t="shared" si="40"/>
        <v>9.9999999999909051</v>
      </c>
      <c r="BK20" s="60">
        <v>230.75</v>
      </c>
      <c r="BL20" s="65">
        <f t="shared" si="24"/>
        <v>0</v>
      </c>
      <c r="BM20" s="60">
        <v>214.3</v>
      </c>
      <c r="BN20" s="65">
        <f t="shared" si="25"/>
        <v>10.000000000019327</v>
      </c>
      <c r="BO20" s="60">
        <v>279.17</v>
      </c>
      <c r="BP20" s="65">
        <f t="shared" si="26"/>
        <v>20.000000000038654</v>
      </c>
      <c r="BQ20" s="60">
        <v>39212</v>
      </c>
      <c r="BR20" s="65">
        <f t="shared" si="27"/>
        <v>10</v>
      </c>
      <c r="BS20" s="60">
        <v>193.53</v>
      </c>
      <c r="BT20" s="65">
        <f t="shared" si="43"/>
        <v>9.9999999999909051</v>
      </c>
      <c r="BU20" s="60">
        <v>30439</v>
      </c>
      <c r="BV20" s="65">
        <f t="shared" si="29"/>
        <v>20</v>
      </c>
      <c r="BW20" s="60">
        <v>224.36</v>
      </c>
      <c r="BX20" s="65">
        <f t="shared" si="30"/>
        <v>20.000000000010232</v>
      </c>
      <c r="BY20" s="60">
        <v>49298</v>
      </c>
      <c r="BZ20" s="67">
        <f t="shared" si="31"/>
        <v>9</v>
      </c>
      <c r="CA20" s="60">
        <v>27508.400000000001</v>
      </c>
      <c r="CB20" s="67">
        <f t="shared" si="32"/>
        <v>0</v>
      </c>
      <c r="CC20" s="60">
        <v>11251.4</v>
      </c>
      <c r="CD20" s="67">
        <f t="shared" si="33"/>
        <v>0</v>
      </c>
      <c r="CE20" s="60">
        <v>5488.9</v>
      </c>
      <c r="CF20" s="67">
        <f t="shared" si="34"/>
        <v>0</v>
      </c>
      <c r="CG20" s="60">
        <v>47716.5</v>
      </c>
      <c r="CH20" s="67">
        <f t="shared" si="35"/>
        <v>40.400000000001455</v>
      </c>
      <c r="CI20" s="60">
        <v>865670</v>
      </c>
      <c r="CJ20" s="67">
        <f t="shared" si="36"/>
        <v>184</v>
      </c>
      <c r="CK20" s="60">
        <v>585.29</v>
      </c>
      <c r="CL20" s="64">
        <f t="shared" si="37"/>
        <v>409.99999999996817</v>
      </c>
      <c r="CM20" s="65">
        <f t="shared" si="41"/>
        <v>17.199999999999989</v>
      </c>
      <c r="CN20" s="62">
        <v>0</v>
      </c>
      <c r="CO20" s="62">
        <v>0</v>
      </c>
      <c r="CP20" s="68">
        <v>135.69999999999999</v>
      </c>
      <c r="CQ20" s="67">
        <f t="shared" si="38"/>
        <v>13.199999999999989</v>
      </c>
      <c r="CR20" s="68">
        <v>9769</v>
      </c>
      <c r="CS20" s="67">
        <f t="shared" si="38"/>
        <v>4</v>
      </c>
      <c r="CT20" s="75">
        <v>2199</v>
      </c>
      <c r="CU20" s="67">
        <f t="shared" si="38"/>
        <v>10</v>
      </c>
      <c r="CV20" s="68">
        <v>5536</v>
      </c>
      <c r="CW20" s="67">
        <f t="shared" si="38"/>
        <v>22</v>
      </c>
    </row>
    <row r="21" spans="1:101" ht="25.5" customHeight="1" thickBot="1" x14ac:dyDescent="0.45">
      <c r="A21" s="63">
        <v>44030</v>
      </c>
      <c r="B21" s="44"/>
      <c r="C21" s="58">
        <v>1.7454000000000001</v>
      </c>
      <c r="D21" s="64">
        <f t="shared" si="0"/>
        <v>600.00000000015598</v>
      </c>
      <c r="E21" s="58">
        <v>2.7374999999999998</v>
      </c>
      <c r="F21" s="64">
        <f t="shared" si="1"/>
        <v>499.99999999972289</v>
      </c>
      <c r="G21" s="58">
        <v>2.6259999999999999</v>
      </c>
      <c r="H21" s="64">
        <f t="shared" si="2"/>
        <v>1399.9999999998458</v>
      </c>
      <c r="I21" s="58">
        <v>1.2718</v>
      </c>
      <c r="J21" s="64">
        <f t="shared" si="3"/>
        <v>700.00000000014495</v>
      </c>
      <c r="K21" s="58">
        <v>1.9862</v>
      </c>
      <c r="L21" s="64">
        <f t="shared" si="4"/>
        <v>1900.0000000000127</v>
      </c>
      <c r="M21" s="58">
        <v>1.2215</v>
      </c>
      <c r="N21" s="64">
        <f t="shared" si="5"/>
        <v>399.99999999995595</v>
      </c>
      <c r="O21" s="58">
        <v>12607</v>
      </c>
      <c r="P21" s="67">
        <f t="shared" si="44"/>
        <v>0</v>
      </c>
      <c r="Q21" s="58">
        <v>5587</v>
      </c>
      <c r="R21" s="67">
        <f t="shared" si="6"/>
        <v>2</v>
      </c>
      <c r="S21" s="58">
        <v>839418.4</v>
      </c>
      <c r="T21" s="67">
        <f t="shared" si="7"/>
        <v>122.80000000004657</v>
      </c>
      <c r="U21" s="58">
        <v>342216.2</v>
      </c>
      <c r="V21" s="67">
        <f t="shared" si="8"/>
        <v>65.900000000023283</v>
      </c>
      <c r="W21" s="58">
        <v>335.89</v>
      </c>
      <c r="X21" s="65">
        <f t="shared" si="9"/>
        <v>89.999999999974989</v>
      </c>
      <c r="Y21" s="58">
        <v>2.4098999999999999</v>
      </c>
      <c r="Z21" s="65">
        <f t="shared" si="10"/>
        <v>399.99999999995595</v>
      </c>
      <c r="AA21" s="58">
        <v>329.76</v>
      </c>
      <c r="AB21" s="65">
        <f t="shared" si="11"/>
        <v>60.000000000002274</v>
      </c>
      <c r="AC21" s="58">
        <v>313.32</v>
      </c>
      <c r="AD21" s="65">
        <f t="shared" si="12"/>
        <v>89.999999999974989</v>
      </c>
      <c r="AE21" s="58">
        <v>490.33</v>
      </c>
      <c r="AF21" s="65">
        <f t="shared" si="13"/>
        <v>159.99999999996817</v>
      </c>
      <c r="AG21" s="58">
        <v>1290.5999999999999</v>
      </c>
      <c r="AH21" s="67">
        <f t="shared" si="14"/>
        <v>1.1999999999998181</v>
      </c>
      <c r="AI21" s="58">
        <v>432.68</v>
      </c>
      <c r="AJ21" s="65">
        <f t="shared" si="15"/>
        <v>189.99999999999773</v>
      </c>
      <c r="AK21" s="58">
        <v>152.02000000000001</v>
      </c>
      <c r="AL21" s="65">
        <f t="shared" si="15"/>
        <v>70.0000000000216</v>
      </c>
      <c r="AM21" s="58">
        <v>151.54</v>
      </c>
      <c r="AN21" s="65">
        <f t="shared" si="15"/>
        <v>39.999999999992042</v>
      </c>
      <c r="AO21" s="58">
        <v>147.87</v>
      </c>
      <c r="AP21" s="65">
        <f t="shared" si="15"/>
        <v>30.000000000001137</v>
      </c>
      <c r="AQ21" s="58">
        <v>218.9</v>
      </c>
      <c r="AR21" s="65">
        <f t="shared" si="16"/>
        <v>20.000000000010232</v>
      </c>
      <c r="AS21" s="58">
        <v>345.22</v>
      </c>
      <c r="AT21" s="65">
        <f t="shared" si="17"/>
        <v>20.000000000038654</v>
      </c>
      <c r="AU21" s="58">
        <v>266.33</v>
      </c>
      <c r="AV21" s="65">
        <f t="shared" si="18"/>
        <v>9.9999999999909051</v>
      </c>
      <c r="AW21" s="58">
        <v>293.86</v>
      </c>
      <c r="AX21" s="65">
        <f t="shared" si="19"/>
        <v>20.000000000038654</v>
      </c>
      <c r="AY21" s="58">
        <v>345.15</v>
      </c>
      <c r="AZ21" s="65">
        <f t="shared" si="20"/>
        <v>19.99999999998181</v>
      </c>
      <c r="BA21" s="58">
        <v>364.89</v>
      </c>
      <c r="BB21" s="65">
        <f t="shared" si="21"/>
        <v>9.9999999999909051</v>
      </c>
      <c r="BC21" s="58">
        <v>231.6</v>
      </c>
      <c r="BD21" s="65">
        <f t="shared" si="22"/>
        <v>19.99999999998181</v>
      </c>
      <c r="BE21" s="59">
        <v>29965</v>
      </c>
      <c r="BF21" s="67">
        <f t="shared" si="39"/>
        <v>20</v>
      </c>
      <c r="BG21" s="60">
        <v>225.35</v>
      </c>
      <c r="BH21" s="65">
        <f t="shared" si="23"/>
        <v>9.9999999999909051</v>
      </c>
      <c r="BI21" s="60">
        <v>283.24</v>
      </c>
      <c r="BJ21" s="65">
        <f t="shared" si="40"/>
        <v>9.9999999999909051</v>
      </c>
      <c r="BK21" s="60">
        <v>230.76</v>
      </c>
      <c r="BL21" s="65">
        <f t="shared" si="24"/>
        <v>9.9999999999909051</v>
      </c>
      <c r="BM21" s="60">
        <v>214.31</v>
      </c>
      <c r="BN21" s="65">
        <f t="shared" si="25"/>
        <v>9.9999999999909051</v>
      </c>
      <c r="BO21" s="60">
        <v>279.19</v>
      </c>
      <c r="BP21" s="65">
        <f t="shared" si="26"/>
        <v>19.99999999998181</v>
      </c>
      <c r="BQ21" s="60">
        <v>39223</v>
      </c>
      <c r="BR21" s="65">
        <f t="shared" si="27"/>
        <v>11</v>
      </c>
      <c r="BS21" s="60">
        <v>193.53</v>
      </c>
      <c r="BT21" s="65">
        <f t="shared" si="43"/>
        <v>0</v>
      </c>
      <c r="BU21" s="60">
        <v>30462</v>
      </c>
      <c r="BV21" s="65">
        <f t="shared" si="29"/>
        <v>23</v>
      </c>
      <c r="BW21" s="60">
        <v>224.38</v>
      </c>
      <c r="BX21" s="65">
        <f t="shared" si="30"/>
        <v>19.99999999998181</v>
      </c>
      <c r="BY21" s="60">
        <v>49312</v>
      </c>
      <c r="BZ21" s="67">
        <f t="shared" si="31"/>
        <v>14</v>
      </c>
      <c r="CA21" s="60">
        <v>27508.400000000001</v>
      </c>
      <c r="CB21" s="67">
        <f t="shared" si="32"/>
        <v>0</v>
      </c>
      <c r="CC21" s="60">
        <v>11251.4</v>
      </c>
      <c r="CD21" s="67">
        <f t="shared" si="33"/>
        <v>0</v>
      </c>
      <c r="CE21" s="60">
        <v>5488.9</v>
      </c>
      <c r="CF21" s="67">
        <f t="shared" si="34"/>
        <v>0</v>
      </c>
      <c r="CG21" s="60">
        <v>47754.1</v>
      </c>
      <c r="CH21" s="67">
        <f t="shared" si="35"/>
        <v>37.599999999998545</v>
      </c>
      <c r="CI21" s="60">
        <v>865867</v>
      </c>
      <c r="CJ21" s="67">
        <f t="shared" si="36"/>
        <v>197</v>
      </c>
      <c r="CK21" s="60">
        <v>585.64</v>
      </c>
      <c r="CL21" s="64">
        <f t="shared" si="37"/>
        <v>350.00000000002274</v>
      </c>
      <c r="CM21" s="65">
        <f t="shared" si="41"/>
        <v>15.900000000000006</v>
      </c>
      <c r="CN21" s="62">
        <v>0</v>
      </c>
      <c r="CO21" s="62">
        <v>0</v>
      </c>
      <c r="CP21" s="68">
        <v>145.6</v>
      </c>
      <c r="CQ21" s="67">
        <f t="shared" si="38"/>
        <v>9.9000000000000057</v>
      </c>
      <c r="CR21" s="68">
        <v>9775</v>
      </c>
      <c r="CS21" s="67">
        <f t="shared" si="38"/>
        <v>6</v>
      </c>
      <c r="CT21" s="75">
        <v>2212</v>
      </c>
      <c r="CU21" s="67">
        <f t="shared" si="38"/>
        <v>13</v>
      </c>
      <c r="CV21" s="68">
        <v>5559</v>
      </c>
      <c r="CW21" s="67">
        <f t="shared" si="38"/>
        <v>23</v>
      </c>
    </row>
    <row r="22" spans="1:101" ht="25.5" customHeight="1" thickBot="1" x14ac:dyDescent="0.45">
      <c r="A22" s="63">
        <v>44031</v>
      </c>
      <c r="B22" s="44"/>
      <c r="C22" s="58">
        <v>1.7459</v>
      </c>
      <c r="D22" s="64">
        <f t="shared" si="0"/>
        <v>499.99999999994492</v>
      </c>
      <c r="E22" s="58">
        <v>2.738</v>
      </c>
      <c r="F22" s="64">
        <f t="shared" si="1"/>
        <v>500.00000000016701</v>
      </c>
      <c r="G22" s="58">
        <v>2.6271</v>
      </c>
      <c r="H22" s="64">
        <f t="shared" si="2"/>
        <v>1100.000000000101</v>
      </c>
      <c r="I22" s="58">
        <v>1.2724</v>
      </c>
      <c r="J22" s="64">
        <f t="shared" si="3"/>
        <v>599.99999999993395</v>
      </c>
      <c r="K22" s="58">
        <v>1.9877</v>
      </c>
      <c r="L22" s="64">
        <f t="shared" si="4"/>
        <v>1500.0000000000568</v>
      </c>
      <c r="M22" s="58">
        <v>1.2219</v>
      </c>
      <c r="N22" s="64">
        <f t="shared" si="5"/>
        <v>399.99999999995595</v>
      </c>
      <c r="O22" s="58">
        <v>12609</v>
      </c>
      <c r="P22" s="67">
        <f t="shared" si="44"/>
        <v>2</v>
      </c>
      <c r="Q22" s="58">
        <v>5590</v>
      </c>
      <c r="R22" s="67">
        <f t="shared" si="6"/>
        <v>3</v>
      </c>
      <c r="S22" s="58">
        <v>839530.6</v>
      </c>
      <c r="T22" s="67">
        <f t="shared" si="7"/>
        <v>112.19999999995343</v>
      </c>
      <c r="U22" s="58">
        <v>342267.3</v>
      </c>
      <c r="V22" s="67">
        <f t="shared" si="8"/>
        <v>51.099999999976717</v>
      </c>
      <c r="W22" s="58">
        <v>335.96</v>
      </c>
      <c r="X22" s="65">
        <f t="shared" si="9"/>
        <v>69.999999999993179</v>
      </c>
      <c r="Y22" s="58">
        <v>2.4102000000000001</v>
      </c>
      <c r="Z22" s="65">
        <f t="shared" si="10"/>
        <v>300.000000000189</v>
      </c>
      <c r="AA22" s="58">
        <v>329.81</v>
      </c>
      <c r="AB22" s="65">
        <f t="shared" si="11"/>
        <v>50.000000000011369</v>
      </c>
      <c r="AC22" s="58">
        <v>313.39999999999998</v>
      </c>
      <c r="AD22" s="65">
        <f t="shared" si="12"/>
        <v>79.999999999984084</v>
      </c>
      <c r="AE22" s="58">
        <v>490.45</v>
      </c>
      <c r="AF22" s="65">
        <f t="shared" si="13"/>
        <v>120.00000000000455</v>
      </c>
      <c r="AG22" s="58">
        <v>1291.7</v>
      </c>
      <c r="AH22" s="67">
        <f t="shared" si="14"/>
        <v>1.1000000000001364</v>
      </c>
      <c r="AI22" s="58">
        <v>432.85</v>
      </c>
      <c r="AJ22" s="65">
        <f t="shared" si="15"/>
        <v>170.00000000001592</v>
      </c>
      <c r="AK22" s="58">
        <v>152.05000000000001</v>
      </c>
      <c r="AL22" s="65">
        <f t="shared" si="15"/>
        <v>30.000000000001137</v>
      </c>
      <c r="AM22" s="58">
        <v>151.57</v>
      </c>
      <c r="AN22" s="65">
        <f t="shared" si="15"/>
        <v>30.000000000001137</v>
      </c>
      <c r="AO22" s="58">
        <v>147.88999999999999</v>
      </c>
      <c r="AP22" s="65">
        <f t="shared" si="15"/>
        <v>19.99999999998181</v>
      </c>
      <c r="AQ22" s="58">
        <v>218.91</v>
      </c>
      <c r="AR22" s="65">
        <f t="shared" si="16"/>
        <v>9.9999999999909051</v>
      </c>
      <c r="AS22" s="58">
        <v>345.24</v>
      </c>
      <c r="AT22" s="65">
        <f t="shared" si="17"/>
        <v>19.99999999998181</v>
      </c>
      <c r="AU22" s="58">
        <v>266.35000000000002</v>
      </c>
      <c r="AV22" s="65">
        <f t="shared" si="18"/>
        <v>20.000000000038654</v>
      </c>
      <c r="AW22" s="58">
        <v>293.87</v>
      </c>
      <c r="AX22" s="65">
        <f t="shared" si="19"/>
        <v>9.9999999999909051</v>
      </c>
      <c r="AY22" s="58">
        <v>345.17</v>
      </c>
      <c r="AZ22" s="65">
        <f t="shared" si="20"/>
        <v>20.000000000038654</v>
      </c>
      <c r="BA22" s="58">
        <v>364.91</v>
      </c>
      <c r="BB22" s="65">
        <f t="shared" si="21"/>
        <v>20.000000000038654</v>
      </c>
      <c r="BC22" s="58">
        <v>231.61</v>
      </c>
      <c r="BD22" s="65">
        <f t="shared" si="22"/>
        <v>10.000000000019327</v>
      </c>
      <c r="BE22" s="59">
        <v>29987</v>
      </c>
      <c r="BF22" s="67">
        <f t="shared" si="39"/>
        <v>22</v>
      </c>
      <c r="BG22" s="60">
        <v>225.36</v>
      </c>
      <c r="BH22" s="65">
        <f t="shared" si="23"/>
        <v>10.000000000019327</v>
      </c>
      <c r="BI22" s="60">
        <v>283.25</v>
      </c>
      <c r="BJ22" s="65">
        <f t="shared" si="40"/>
        <v>9.9999999999909051</v>
      </c>
      <c r="BK22" s="60">
        <v>230.76</v>
      </c>
      <c r="BL22" s="65">
        <f t="shared" si="24"/>
        <v>0</v>
      </c>
      <c r="BM22" s="60">
        <v>214.32</v>
      </c>
      <c r="BN22" s="65">
        <f t="shared" si="25"/>
        <v>9.9999999999909051</v>
      </c>
      <c r="BO22" s="60">
        <v>279.2</v>
      </c>
      <c r="BP22" s="65">
        <f t="shared" si="26"/>
        <v>9.9999999999909051</v>
      </c>
      <c r="BQ22" s="60">
        <v>39232</v>
      </c>
      <c r="BR22" s="65">
        <f t="shared" si="27"/>
        <v>9</v>
      </c>
      <c r="BS22" s="60">
        <v>193.53</v>
      </c>
      <c r="BT22" s="65">
        <f t="shared" si="43"/>
        <v>0</v>
      </c>
      <c r="BU22" s="60">
        <v>30483</v>
      </c>
      <c r="BV22" s="65">
        <f t="shared" si="29"/>
        <v>21</v>
      </c>
      <c r="BW22" s="60">
        <v>224.39</v>
      </c>
      <c r="BX22" s="65">
        <f t="shared" si="30"/>
        <v>9.9999999999909051</v>
      </c>
      <c r="BY22" s="60">
        <v>49322</v>
      </c>
      <c r="BZ22" s="67">
        <f t="shared" si="31"/>
        <v>10</v>
      </c>
      <c r="CA22" s="60">
        <v>27508.400000000001</v>
      </c>
      <c r="CB22" s="67">
        <f t="shared" si="32"/>
        <v>0</v>
      </c>
      <c r="CC22" s="60">
        <v>11251.4</v>
      </c>
      <c r="CD22" s="67">
        <f t="shared" si="33"/>
        <v>0</v>
      </c>
      <c r="CE22" s="60">
        <v>5488.9</v>
      </c>
      <c r="CF22" s="67">
        <f t="shared" si="34"/>
        <v>0</v>
      </c>
      <c r="CG22" s="60">
        <v>47778.6</v>
      </c>
      <c r="CH22" s="67">
        <f t="shared" si="35"/>
        <v>24.5</v>
      </c>
      <c r="CI22" s="60">
        <v>866038</v>
      </c>
      <c r="CJ22" s="67">
        <f t="shared" si="36"/>
        <v>171</v>
      </c>
      <c r="CK22" s="60">
        <v>585.94000000000005</v>
      </c>
      <c r="CL22" s="64">
        <f t="shared" si="37"/>
        <v>300.00000000006821</v>
      </c>
      <c r="CM22" s="65">
        <f t="shared" si="41"/>
        <v>6.5999999999999943</v>
      </c>
      <c r="CN22" s="62">
        <v>0</v>
      </c>
      <c r="CO22" s="62">
        <v>0</v>
      </c>
      <c r="CP22" s="68">
        <v>150.19999999999999</v>
      </c>
      <c r="CQ22" s="67">
        <f t="shared" si="38"/>
        <v>4.5999999999999943</v>
      </c>
      <c r="CR22" s="68">
        <v>9777</v>
      </c>
      <c r="CS22" s="67">
        <f t="shared" si="38"/>
        <v>2</v>
      </c>
      <c r="CT22" s="75">
        <v>2223</v>
      </c>
      <c r="CU22" s="67">
        <f t="shared" si="38"/>
        <v>11</v>
      </c>
      <c r="CV22" s="68">
        <v>5581</v>
      </c>
      <c r="CW22" s="67">
        <f t="shared" si="38"/>
        <v>22</v>
      </c>
    </row>
    <row r="23" spans="1:101" ht="25.5" customHeight="1" thickBot="1" x14ac:dyDescent="0.45">
      <c r="A23" s="63">
        <v>44032</v>
      </c>
      <c r="B23" s="44"/>
      <c r="C23" s="58">
        <v>1.7465999999999999</v>
      </c>
      <c r="D23" s="64">
        <f t="shared" si="0"/>
        <v>699.99999999992292</v>
      </c>
      <c r="E23" s="58">
        <v>2.7385000000000002</v>
      </c>
      <c r="F23" s="64">
        <f t="shared" si="1"/>
        <v>500.00000000016701</v>
      </c>
      <c r="G23" s="58">
        <v>2.6284000000000001</v>
      </c>
      <c r="H23" s="64">
        <f t="shared" si="2"/>
        <v>1300.0000000000789</v>
      </c>
      <c r="I23" s="58">
        <v>1.2729999999999999</v>
      </c>
      <c r="J23" s="64">
        <f t="shared" si="3"/>
        <v>599.99999999993395</v>
      </c>
      <c r="K23" s="58">
        <v>1.9893000000000001</v>
      </c>
      <c r="L23" s="64">
        <f t="shared" si="4"/>
        <v>1600.0000000000459</v>
      </c>
      <c r="M23" s="58">
        <v>1.2222</v>
      </c>
      <c r="N23" s="64">
        <f t="shared" si="5"/>
        <v>299.99999999996697</v>
      </c>
      <c r="O23" s="58">
        <v>12610</v>
      </c>
      <c r="P23" s="67">
        <f t="shared" si="44"/>
        <v>1</v>
      </c>
      <c r="Q23" s="58">
        <v>5592</v>
      </c>
      <c r="R23" s="67">
        <f t="shared" si="6"/>
        <v>2</v>
      </c>
      <c r="S23" s="58">
        <v>839641</v>
      </c>
      <c r="T23" s="67">
        <f t="shared" si="7"/>
        <v>110.40000000002328</v>
      </c>
      <c r="U23" s="58">
        <v>342328.8</v>
      </c>
      <c r="V23" s="67">
        <f t="shared" si="8"/>
        <v>61.5</v>
      </c>
      <c r="W23" s="58">
        <v>336.04</v>
      </c>
      <c r="X23" s="65">
        <f t="shared" si="9"/>
        <v>80.000000000040927</v>
      </c>
      <c r="Y23" s="58">
        <v>2.4104999999999999</v>
      </c>
      <c r="Z23" s="65">
        <f t="shared" si="10"/>
        <v>299.99999999974489</v>
      </c>
      <c r="AA23" s="58">
        <v>329.85</v>
      </c>
      <c r="AB23" s="65">
        <f t="shared" si="11"/>
        <v>40.000000000020464</v>
      </c>
      <c r="AC23" s="58">
        <v>313.47000000000003</v>
      </c>
      <c r="AD23" s="65">
        <f t="shared" si="12"/>
        <v>70.000000000050022</v>
      </c>
      <c r="AE23" s="58">
        <v>490.59</v>
      </c>
      <c r="AF23" s="65">
        <f t="shared" si="13"/>
        <v>139.99999999998636</v>
      </c>
      <c r="AG23" s="58">
        <v>1292.8</v>
      </c>
      <c r="AH23" s="67">
        <f t="shared" si="14"/>
        <v>1.0999999999999091</v>
      </c>
      <c r="AI23" s="58">
        <v>433.02</v>
      </c>
      <c r="AJ23" s="65">
        <f t="shared" si="15"/>
        <v>169.99999999995907</v>
      </c>
      <c r="AK23" s="58">
        <v>152.16999999999999</v>
      </c>
      <c r="AL23" s="65">
        <f t="shared" si="15"/>
        <v>119.99999999997613</v>
      </c>
      <c r="AM23" s="58">
        <v>151.62</v>
      </c>
      <c r="AN23" s="65">
        <f t="shared" si="15"/>
        <v>50.000000000011369</v>
      </c>
      <c r="AO23" s="58">
        <v>147.91</v>
      </c>
      <c r="AP23" s="65">
        <f t="shared" si="15"/>
        <v>20.000000000010232</v>
      </c>
      <c r="AQ23" s="58">
        <v>218.93</v>
      </c>
      <c r="AR23" s="65">
        <f t="shared" si="16"/>
        <v>20.000000000010232</v>
      </c>
      <c r="AS23" s="58">
        <v>345.25</v>
      </c>
      <c r="AT23" s="65">
        <f t="shared" si="17"/>
        <v>9.9999999999909051</v>
      </c>
      <c r="AU23" s="58">
        <v>266.36</v>
      </c>
      <c r="AV23" s="65">
        <f t="shared" si="18"/>
        <v>9.9999999999909051</v>
      </c>
      <c r="AW23" s="58">
        <v>293.89</v>
      </c>
      <c r="AX23" s="65">
        <f t="shared" si="19"/>
        <v>19.99999999998181</v>
      </c>
      <c r="AY23" s="58">
        <v>345.18</v>
      </c>
      <c r="AZ23" s="65">
        <f t="shared" si="20"/>
        <v>9.9999999999909051</v>
      </c>
      <c r="BA23" s="58">
        <v>364.92</v>
      </c>
      <c r="BB23" s="65">
        <f t="shared" si="21"/>
        <v>9.9999999999909051</v>
      </c>
      <c r="BC23" s="58">
        <v>231.63</v>
      </c>
      <c r="BD23" s="65">
        <f t="shared" si="22"/>
        <v>19.99999999998181</v>
      </c>
      <c r="BE23" s="59">
        <v>30009</v>
      </c>
      <c r="BF23" s="67">
        <f t="shared" si="39"/>
        <v>22</v>
      </c>
      <c r="BG23" s="60">
        <v>225.37</v>
      </c>
      <c r="BH23" s="65">
        <f t="shared" si="23"/>
        <v>9.9999999999909051</v>
      </c>
      <c r="BI23" s="60">
        <v>283.26</v>
      </c>
      <c r="BJ23" s="65">
        <f t="shared" si="40"/>
        <v>9.9999999999909051</v>
      </c>
      <c r="BK23" s="60">
        <v>230.76</v>
      </c>
      <c r="BL23" s="65">
        <f t="shared" si="24"/>
        <v>0</v>
      </c>
      <c r="BM23" s="60">
        <v>214.33</v>
      </c>
      <c r="BN23" s="65">
        <f t="shared" si="25"/>
        <v>10.000000000019327</v>
      </c>
      <c r="BO23" s="60">
        <v>279.22000000000003</v>
      </c>
      <c r="BP23" s="65">
        <f t="shared" si="26"/>
        <v>20.000000000038654</v>
      </c>
      <c r="BQ23" s="60">
        <v>39242</v>
      </c>
      <c r="BR23" s="65">
        <f t="shared" si="27"/>
        <v>10</v>
      </c>
      <c r="BS23" s="60">
        <v>193.54</v>
      </c>
      <c r="BT23" s="65">
        <f t="shared" si="43"/>
        <v>9.9999999999909051</v>
      </c>
      <c r="BU23" s="60">
        <v>30502</v>
      </c>
      <c r="BV23" s="65">
        <f t="shared" si="29"/>
        <v>19</v>
      </c>
      <c r="BW23" s="60">
        <v>224.4</v>
      </c>
      <c r="BX23" s="65">
        <f t="shared" si="30"/>
        <v>10.000000000019327</v>
      </c>
      <c r="BY23" s="60">
        <v>49329</v>
      </c>
      <c r="BZ23" s="67">
        <f t="shared" si="31"/>
        <v>7</v>
      </c>
      <c r="CA23" s="60">
        <v>27508.400000000001</v>
      </c>
      <c r="CB23" s="67">
        <f t="shared" si="32"/>
        <v>0</v>
      </c>
      <c r="CC23" s="60">
        <v>11251.4</v>
      </c>
      <c r="CD23" s="67">
        <f t="shared" si="33"/>
        <v>0</v>
      </c>
      <c r="CE23" s="60">
        <v>5488.9</v>
      </c>
      <c r="CF23" s="67">
        <f t="shared" si="34"/>
        <v>0</v>
      </c>
      <c r="CG23" s="60">
        <v>47840.2</v>
      </c>
      <c r="CH23" s="67">
        <f t="shared" si="35"/>
        <v>61.599999999998545</v>
      </c>
      <c r="CI23" s="60">
        <v>866219</v>
      </c>
      <c r="CJ23" s="67">
        <f t="shared" si="36"/>
        <v>181</v>
      </c>
      <c r="CK23" s="60">
        <v>586.22</v>
      </c>
      <c r="CL23" s="64">
        <f t="shared" si="37"/>
        <v>279.99999999997272</v>
      </c>
      <c r="CM23" s="65">
        <f t="shared" si="41"/>
        <v>19.5</v>
      </c>
      <c r="CN23" s="62">
        <v>0</v>
      </c>
      <c r="CO23" s="62">
        <v>0</v>
      </c>
      <c r="CP23" s="68">
        <v>162.69999999999999</v>
      </c>
      <c r="CQ23" s="67">
        <f t="shared" si="38"/>
        <v>12.5</v>
      </c>
      <c r="CR23" s="68">
        <v>9784</v>
      </c>
      <c r="CS23" s="67">
        <f t="shared" si="38"/>
        <v>7</v>
      </c>
      <c r="CT23" s="75">
        <v>2234</v>
      </c>
      <c r="CU23" s="67">
        <f t="shared" si="38"/>
        <v>11</v>
      </c>
      <c r="CV23" s="68">
        <v>5604</v>
      </c>
      <c r="CW23" s="67">
        <f t="shared" si="38"/>
        <v>23</v>
      </c>
    </row>
    <row r="24" spans="1:101" ht="25.5" customHeight="1" thickBot="1" x14ac:dyDescent="0.45">
      <c r="A24" s="63">
        <v>44033</v>
      </c>
      <c r="B24" s="44"/>
      <c r="C24" s="58">
        <v>1.7474000000000001</v>
      </c>
      <c r="D24" s="64">
        <f t="shared" si="0"/>
        <v>800.00000000013392</v>
      </c>
      <c r="E24" s="58">
        <v>2.7389999999999999</v>
      </c>
      <c r="F24" s="64">
        <f t="shared" si="1"/>
        <v>499.99999999972289</v>
      </c>
      <c r="G24" s="58">
        <v>2.6297000000000001</v>
      </c>
      <c r="H24" s="64">
        <f t="shared" si="2"/>
        <v>1300.0000000000789</v>
      </c>
      <c r="I24" s="58">
        <v>1.2737000000000001</v>
      </c>
      <c r="J24" s="64">
        <f t="shared" si="3"/>
        <v>700.00000000014495</v>
      </c>
      <c r="K24" s="58">
        <v>1.9910000000000001</v>
      </c>
      <c r="L24" s="64">
        <f t="shared" si="4"/>
        <v>1700.0000000000348</v>
      </c>
      <c r="M24" s="58">
        <v>1.2225999999999999</v>
      </c>
      <c r="N24" s="64">
        <f t="shared" si="5"/>
        <v>399.99999999995595</v>
      </c>
      <c r="O24" s="58">
        <v>12611</v>
      </c>
      <c r="P24" s="67">
        <f t="shared" si="44"/>
        <v>1</v>
      </c>
      <c r="Q24" s="58">
        <v>5595</v>
      </c>
      <c r="R24" s="67">
        <f t="shared" si="6"/>
        <v>3</v>
      </c>
      <c r="S24" s="58">
        <v>839813</v>
      </c>
      <c r="T24" s="67">
        <f t="shared" si="7"/>
        <v>172</v>
      </c>
      <c r="U24" s="58">
        <v>342399.6</v>
      </c>
      <c r="V24" s="67">
        <f t="shared" si="8"/>
        <v>70.799999999988358</v>
      </c>
      <c r="W24" s="58">
        <v>336.12</v>
      </c>
      <c r="X24" s="65">
        <f t="shared" si="9"/>
        <v>79.999999999984084</v>
      </c>
      <c r="Y24" s="58">
        <v>2.4108000000000001</v>
      </c>
      <c r="Z24" s="65">
        <f t="shared" si="10"/>
        <v>300.000000000189</v>
      </c>
      <c r="AA24" s="58">
        <v>329.9</v>
      </c>
      <c r="AB24" s="65">
        <f t="shared" si="11"/>
        <v>49.999999999954525</v>
      </c>
      <c r="AC24" s="58">
        <v>313.54000000000002</v>
      </c>
      <c r="AD24" s="65">
        <f t="shared" si="12"/>
        <v>69.999999999993179</v>
      </c>
      <c r="AE24" s="58">
        <v>490.74</v>
      </c>
      <c r="AF24" s="65">
        <f t="shared" si="13"/>
        <v>150.00000000003411</v>
      </c>
      <c r="AG24" s="58">
        <v>1294.0999999999999</v>
      </c>
      <c r="AH24" s="67">
        <f t="shared" si="14"/>
        <v>1.2999999999999545</v>
      </c>
      <c r="AI24" s="58">
        <v>433.21</v>
      </c>
      <c r="AJ24" s="65">
        <f t="shared" si="15"/>
        <v>189.99999999999773</v>
      </c>
      <c r="AK24" s="58">
        <v>152.30000000000001</v>
      </c>
      <c r="AL24" s="65">
        <f t="shared" si="15"/>
        <v>130.00000000002387</v>
      </c>
      <c r="AM24" s="58">
        <v>151.71</v>
      </c>
      <c r="AN24" s="65">
        <f t="shared" si="15"/>
        <v>90.000000000003411</v>
      </c>
      <c r="AO24" s="58">
        <v>147.97</v>
      </c>
      <c r="AP24" s="65">
        <f t="shared" si="15"/>
        <v>60.000000000002274</v>
      </c>
      <c r="AQ24" s="58">
        <v>218.96</v>
      </c>
      <c r="AR24" s="65">
        <f t="shared" si="16"/>
        <v>30.000000000001137</v>
      </c>
      <c r="AS24" s="58">
        <v>345.28</v>
      </c>
      <c r="AT24" s="65">
        <f t="shared" si="17"/>
        <v>29.999999999972715</v>
      </c>
      <c r="AU24" s="58">
        <v>266.38</v>
      </c>
      <c r="AV24" s="65">
        <f t="shared" si="18"/>
        <v>19.99999999998181</v>
      </c>
      <c r="AW24" s="58">
        <v>293.91000000000003</v>
      </c>
      <c r="AX24" s="65">
        <f t="shared" si="19"/>
        <v>20.000000000038654</v>
      </c>
      <c r="AY24" s="58">
        <v>345.2</v>
      </c>
      <c r="AZ24" s="65">
        <f t="shared" si="20"/>
        <v>19.99999999998181</v>
      </c>
      <c r="BA24" s="58">
        <v>364.94</v>
      </c>
      <c r="BB24" s="65">
        <f t="shared" si="21"/>
        <v>19.99999999998181</v>
      </c>
      <c r="BC24" s="58">
        <v>231.65</v>
      </c>
      <c r="BD24" s="65">
        <f t="shared" si="22"/>
        <v>20.000000000010232</v>
      </c>
      <c r="BE24" s="59">
        <v>30021</v>
      </c>
      <c r="BF24" s="67">
        <f t="shared" si="39"/>
        <v>12</v>
      </c>
      <c r="BG24" s="60">
        <v>225.38</v>
      </c>
      <c r="BH24" s="65">
        <f t="shared" si="23"/>
        <v>9.9999999999909051</v>
      </c>
      <c r="BI24" s="60">
        <v>283.27999999999997</v>
      </c>
      <c r="BJ24" s="65">
        <f t="shared" si="40"/>
        <v>19.99999999998181</v>
      </c>
      <c r="BK24" s="60">
        <v>230.77</v>
      </c>
      <c r="BL24" s="65">
        <f t="shared" si="24"/>
        <v>10.000000000019327</v>
      </c>
      <c r="BM24" s="60">
        <v>214.34</v>
      </c>
      <c r="BN24" s="65">
        <f t="shared" si="25"/>
        <v>9.9999999999909051</v>
      </c>
      <c r="BO24" s="60">
        <v>279.23</v>
      </c>
      <c r="BP24" s="65">
        <f t="shared" si="26"/>
        <v>9.9999999999909051</v>
      </c>
      <c r="BQ24" s="60">
        <v>39253</v>
      </c>
      <c r="BR24" s="65">
        <f t="shared" si="27"/>
        <v>11</v>
      </c>
      <c r="BS24" s="60">
        <v>193.54</v>
      </c>
      <c r="BT24" s="65">
        <f t="shared" si="43"/>
        <v>0</v>
      </c>
      <c r="BU24" s="60">
        <v>30524</v>
      </c>
      <c r="BV24" s="65">
        <f t="shared" si="29"/>
        <v>22</v>
      </c>
      <c r="BW24" s="60">
        <v>224.41</v>
      </c>
      <c r="BX24" s="65">
        <f t="shared" si="30"/>
        <v>9.9999999999909051</v>
      </c>
      <c r="BY24" s="60">
        <v>49339</v>
      </c>
      <c r="BZ24" s="67">
        <f t="shared" si="31"/>
        <v>10</v>
      </c>
      <c r="CA24" s="60">
        <v>27508.400000000001</v>
      </c>
      <c r="CB24" s="67">
        <f t="shared" si="32"/>
        <v>0</v>
      </c>
      <c r="CC24" s="60">
        <v>11251.4</v>
      </c>
      <c r="CD24" s="67">
        <f t="shared" si="33"/>
        <v>0</v>
      </c>
      <c r="CE24" s="60">
        <v>5488.9</v>
      </c>
      <c r="CF24" s="67">
        <f t="shared" si="34"/>
        <v>0</v>
      </c>
      <c r="CG24" s="60">
        <v>47876</v>
      </c>
      <c r="CH24" s="67">
        <f t="shared" si="35"/>
        <v>35.80000000000291</v>
      </c>
      <c r="CI24" s="60">
        <v>866406</v>
      </c>
      <c r="CJ24" s="67">
        <f t="shared" si="36"/>
        <v>187</v>
      </c>
      <c r="CK24" s="60">
        <v>586.51</v>
      </c>
      <c r="CL24" s="64">
        <f t="shared" si="37"/>
        <v>289.99999999996362</v>
      </c>
      <c r="CM24" s="65">
        <f t="shared" si="41"/>
        <v>14.100000000000023</v>
      </c>
      <c r="CN24" s="62">
        <v>0</v>
      </c>
      <c r="CO24" s="62">
        <v>0</v>
      </c>
      <c r="CP24" s="68">
        <v>172.8</v>
      </c>
      <c r="CQ24" s="67">
        <f t="shared" si="38"/>
        <v>10.100000000000023</v>
      </c>
      <c r="CR24" s="68">
        <v>9788</v>
      </c>
      <c r="CS24" s="67">
        <f t="shared" si="38"/>
        <v>4</v>
      </c>
      <c r="CT24" s="75">
        <v>2246</v>
      </c>
      <c r="CU24" s="67">
        <f t="shared" si="38"/>
        <v>12</v>
      </c>
      <c r="CV24" s="68">
        <v>5635</v>
      </c>
      <c r="CW24" s="67">
        <f t="shared" si="38"/>
        <v>31</v>
      </c>
    </row>
    <row r="25" spans="1:101" ht="25.5" customHeight="1" thickBot="1" x14ac:dyDescent="0.45">
      <c r="A25" s="63">
        <v>44034</v>
      </c>
      <c r="B25" s="44"/>
      <c r="C25" s="58">
        <v>1.7481</v>
      </c>
      <c r="D25" s="64">
        <f t="shared" si="0"/>
        <v>699.99999999992292</v>
      </c>
      <c r="E25" s="58">
        <v>2.7395</v>
      </c>
      <c r="F25" s="64">
        <f t="shared" si="1"/>
        <v>500.00000000016701</v>
      </c>
      <c r="G25" s="58">
        <v>2.6309999999999998</v>
      </c>
      <c r="H25" s="64">
        <f t="shared" si="2"/>
        <v>1299.9999999996348</v>
      </c>
      <c r="I25" s="58">
        <v>1.2744</v>
      </c>
      <c r="J25" s="64">
        <f t="shared" si="3"/>
        <v>699.99999999992292</v>
      </c>
      <c r="K25" s="58">
        <v>1.9925999999999999</v>
      </c>
      <c r="L25" s="64">
        <f t="shared" si="4"/>
        <v>1599.9999999998238</v>
      </c>
      <c r="M25" s="58">
        <v>1.2231000000000001</v>
      </c>
      <c r="N25" s="64">
        <f t="shared" si="5"/>
        <v>500.00000000016701</v>
      </c>
      <c r="O25" s="58">
        <v>12611</v>
      </c>
      <c r="P25" s="67">
        <f t="shared" si="44"/>
        <v>0</v>
      </c>
      <c r="Q25" s="58">
        <v>5598</v>
      </c>
      <c r="R25" s="67">
        <f t="shared" si="6"/>
        <v>3</v>
      </c>
      <c r="S25" s="58">
        <v>839987.9</v>
      </c>
      <c r="T25" s="67">
        <f t="shared" si="7"/>
        <v>174.90000000002328</v>
      </c>
      <c r="U25" s="58">
        <v>342455.7</v>
      </c>
      <c r="V25" s="67">
        <f t="shared" si="8"/>
        <v>56.100000000034925</v>
      </c>
      <c r="W25" s="58">
        <v>336.2</v>
      </c>
      <c r="X25" s="65">
        <f t="shared" si="9"/>
        <v>79.999999999984084</v>
      </c>
      <c r="Y25" s="58">
        <v>2.4110999999999998</v>
      </c>
      <c r="Z25" s="65">
        <f t="shared" si="10"/>
        <v>299.99999999974489</v>
      </c>
      <c r="AA25" s="58">
        <v>329.95</v>
      </c>
      <c r="AB25" s="65">
        <f t="shared" si="11"/>
        <v>50.000000000011369</v>
      </c>
      <c r="AC25" s="58">
        <v>313.68</v>
      </c>
      <c r="AD25" s="65">
        <f t="shared" si="12"/>
        <v>139.99999999998636</v>
      </c>
      <c r="AE25" s="58">
        <v>490.92</v>
      </c>
      <c r="AF25" s="65">
        <f t="shared" si="13"/>
        <v>180.00000000000682</v>
      </c>
      <c r="AG25" s="58">
        <v>1295.5</v>
      </c>
      <c r="AH25" s="67">
        <f t="shared" si="14"/>
        <v>1.4000000000000909</v>
      </c>
      <c r="AI25" s="58">
        <v>433.4</v>
      </c>
      <c r="AJ25" s="65">
        <f t="shared" si="15"/>
        <v>189.99999999999773</v>
      </c>
      <c r="AK25" s="58">
        <v>152.43</v>
      </c>
      <c r="AL25" s="65">
        <f t="shared" si="15"/>
        <v>129.99999999999545</v>
      </c>
      <c r="AM25" s="58">
        <v>151.78</v>
      </c>
      <c r="AN25" s="65">
        <f t="shared" si="15"/>
        <v>69.999999999993179</v>
      </c>
      <c r="AO25" s="58">
        <v>148.03</v>
      </c>
      <c r="AP25" s="65">
        <f t="shared" si="15"/>
        <v>60.000000000002274</v>
      </c>
      <c r="AQ25" s="58">
        <v>218.97</v>
      </c>
      <c r="AR25" s="65">
        <f t="shared" si="16"/>
        <v>9.9999999999909051</v>
      </c>
      <c r="AS25" s="58">
        <v>345.29</v>
      </c>
      <c r="AT25" s="65">
        <f t="shared" si="17"/>
        <v>10.000000000047748</v>
      </c>
      <c r="AU25" s="58">
        <v>266.39999999999998</v>
      </c>
      <c r="AV25" s="65">
        <f t="shared" si="18"/>
        <v>19.99999999998181</v>
      </c>
      <c r="AW25" s="58">
        <v>293.93</v>
      </c>
      <c r="AX25" s="65">
        <f t="shared" si="19"/>
        <v>19.99999999998181</v>
      </c>
      <c r="AY25" s="58">
        <v>345.22</v>
      </c>
      <c r="AZ25" s="65">
        <f t="shared" si="20"/>
        <v>20.000000000038654</v>
      </c>
      <c r="BA25" s="58">
        <v>364.95</v>
      </c>
      <c r="BB25" s="65">
        <f t="shared" si="21"/>
        <v>9.9999999999909051</v>
      </c>
      <c r="BC25" s="58">
        <v>231.67</v>
      </c>
      <c r="BD25" s="65">
        <f t="shared" si="22"/>
        <v>19.99999999998181</v>
      </c>
      <c r="BE25" s="59">
        <v>30032</v>
      </c>
      <c r="BF25" s="67">
        <f t="shared" si="39"/>
        <v>11</v>
      </c>
      <c r="BG25" s="60">
        <v>225.39</v>
      </c>
      <c r="BH25" s="65">
        <f t="shared" si="23"/>
        <v>9.9999999999909051</v>
      </c>
      <c r="BI25" s="60">
        <v>283.29000000000002</v>
      </c>
      <c r="BJ25" s="65">
        <f t="shared" si="40"/>
        <v>10.000000000047748</v>
      </c>
      <c r="BK25" s="60">
        <v>230.77</v>
      </c>
      <c r="BL25" s="65">
        <f t="shared" si="24"/>
        <v>0</v>
      </c>
      <c r="BM25" s="60">
        <v>214.36</v>
      </c>
      <c r="BN25" s="65">
        <f t="shared" si="25"/>
        <v>20.000000000010232</v>
      </c>
      <c r="BO25" s="60">
        <v>279.25</v>
      </c>
      <c r="BP25" s="65">
        <f t="shared" si="26"/>
        <v>19.99999999998181</v>
      </c>
      <c r="BQ25" s="60">
        <v>39265</v>
      </c>
      <c r="BR25" s="65">
        <f t="shared" si="27"/>
        <v>12</v>
      </c>
      <c r="BS25" s="60">
        <v>193.54</v>
      </c>
      <c r="BT25" s="65">
        <f t="shared" si="43"/>
        <v>0</v>
      </c>
      <c r="BU25" s="60">
        <v>30548</v>
      </c>
      <c r="BV25" s="65">
        <f t="shared" si="29"/>
        <v>24</v>
      </c>
      <c r="BW25" s="60">
        <v>224.43</v>
      </c>
      <c r="BX25" s="65">
        <f t="shared" si="30"/>
        <v>20.000000000010232</v>
      </c>
      <c r="BY25" s="60">
        <v>49349</v>
      </c>
      <c r="BZ25" s="67">
        <f t="shared" si="31"/>
        <v>10</v>
      </c>
      <c r="CA25" s="60">
        <v>27508.400000000001</v>
      </c>
      <c r="CB25" s="67">
        <f t="shared" si="32"/>
        <v>0</v>
      </c>
      <c r="CC25" s="60">
        <v>11251.4</v>
      </c>
      <c r="CD25" s="67">
        <f t="shared" si="33"/>
        <v>0</v>
      </c>
      <c r="CE25" s="60">
        <v>5488.9</v>
      </c>
      <c r="CF25" s="67">
        <f t="shared" si="34"/>
        <v>0</v>
      </c>
      <c r="CG25" s="60">
        <v>47929.2</v>
      </c>
      <c r="CH25" s="67">
        <f t="shared" si="35"/>
        <v>53.19999999999709</v>
      </c>
      <c r="CI25" s="60">
        <v>866592</v>
      </c>
      <c r="CJ25" s="67">
        <f t="shared" si="36"/>
        <v>186</v>
      </c>
      <c r="CK25" s="60">
        <v>586.83000000000004</v>
      </c>
      <c r="CL25" s="64">
        <f t="shared" si="37"/>
        <v>320.00000000005002</v>
      </c>
      <c r="CM25" s="65">
        <f t="shared" si="41"/>
        <v>14.299999999999983</v>
      </c>
      <c r="CN25" s="62">
        <v>0</v>
      </c>
      <c r="CO25" s="62">
        <v>0</v>
      </c>
      <c r="CP25" s="68">
        <v>181.1</v>
      </c>
      <c r="CQ25" s="67">
        <f t="shared" si="38"/>
        <v>8.2999999999999829</v>
      </c>
      <c r="CR25" s="68">
        <v>9794</v>
      </c>
      <c r="CS25" s="67">
        <f t="shared" si="38"/>
        <v>6</v>
      </c>
      <c r="CT25" s="75">
        <v>2257</v>
      </c>
      <c r="CU25" s="67">
        <f t="shared" si="38"/>
        <v>11</v>
      </c>
      <c r="CV25" s="68">
        <v>5661</v>
      </c>
      <c r="CW25" s="67">
        <f t="shared" si="38"/>
        <v>26</v>
      </c>
    </row>
    <row r="26" spans="1:101" ht="25.5" customHeight="1" thickBot="1" x14ac:dyDescent="0.45">
      <c r="A26" s="63">
        <v>44035</v>
      </c>
      <c r="B26" s="44"/>
      <c r="C26" s="58">
        <v>1.7490000000000001</v>
      </c>
      <c r="D26" s="64">
        <f t="shared" si="0"/>
        <v>900.0000000001229</v>
      </c>
      <c r="E26" s="58">
        <v>2.74</v>
      </c>
      <c r="F26" s="64">
        <f t="shared" si="1"/>
        <v>500.00000000016701</v>
      </c>
      <c r="G26" s="58">
        <v>2.6326000000000001</v>
      </c>
      <c r="H26" s="64">
        <f t="shared" si="2"/>
        <v>1600.0000000002678</v>
      </c>
      <c r="I26" s="58">
        <v>1.2750999999999999</v>
      </c>
      <c r="J26" s="64">
        <f t="shared" si="3"/>
        <v>699.99999999992292</v>
      </c>
      <c r="K26" s="58">
        <v>1.9941</v>
      </c>
      <c r="L26" s="64">
        <f t="shared" si="4"/>
        <v>1500.0000000000568</v>
      </c>
      <c r="M26" s="58">
        <v>1.2235</v>
      </c>
      <c r="N26" s="64">
        <f t="shared" si="5"/>
        <v>399.99999999995595</v>
      </c>
      <c r="O26" s="58">
        <v>12612</v>
      </c>
      <c r="P26" s="67">
        <f t="shared" si="44"/>
        <v>1</v>
      </c>
      <c r="Q26" s="58">
        <v>5601</v>
      </c>
      <c r="R26" s="67">
        <f t="shared" si="6"/>
        <v>3</v>
      </c>
      <c r="S26" s="58">
        <v>840357.4</v>
      </c>
      <c r="T26" s="67">
        <f t="shared" si="7"/>
        <v>369.5</v>
      </c>
      <c r="U26" s="58">
        <v>342608.5</v>
      </c>
      <c r="V26" s="67">
        <f t="shared" si="8"/>
        <v>152.79999999998836</v>
      </c>
      <c r="W26" s="58">
        <v>336.27</v>
      </c>
      <c r="X26" s="65">
        <f t="shared" si="9"/>
        <v>69.999999999993179</v>
      </c>
      <c r="Y26" s="58">
        <v>2.4115000000000002</v>
      </c>
      <c r="Z26" s="65">
        <f t="shared" si="10"/>
        <v>400.00000000040006</v>
      </c>
      <c r="AA26" s="58">
        <v>330</v>
      </c>
      <c r="AB26" s="65">
        <f t="shared" si="11"/>
        <v>50.000000000011369</v>
      </c>
      <c r="AC26" s="58">
        <v>313.77</v>
      </c>
      <c r="AD26" s="65">
        <f t="shared" si="12"/>
        <v>89.999999999974989</v>
      </c>
      <c r="AE26" s="58">
        <v>491.07</v>
      </c>
      <c r="AF26" s="65">
        <f t="shared" si="13"/>
        <v>149.99999999997726</v>
      </c>
      <c r="AG26" s="58">
        <v>1297</v>
      </c>
      <c r="AH26" s="67">
        <f t="shared" si="14"/>
        <v>1.5</v>
      </c>
      <c r="AI26" s="58">
        <v>433.64</v>
      </c>
      <c r="AJ26" s="65">
        <f t="shared" si="15"/>
        <v>240.00000000000909</v>
      </c>
      <c r="AK26" s="58">
        <v>152.52000000000001</v>
      </c>
      <c r="AL26" s="65">
        <f t="shared" si="15"/>
        <v>90.000000000003411</v>
      </c>
      <c r="AM26" s="58">
        <v>151.9</v>
      </c>
      <c r="AN26" s="65">
        <f t="shared" si="15"/>
        <v>120.00000000000455</v>
      </c>
      <c r="AO26" s="58">
        <v>148.09</v>
      </c>
      <c r="AP26" s="65">
        <f t="shared" si="15"/>
        <v>60.000000000002274</v>
      </c>
      <c r="AQ26" s="58">
        <v>219</v>
      </c>
      <c r="AR26" s="65">
        <f t="shared" si="16"/>
        <v>30.000000000001137</v>
      </c>
      <c r="AS26" s="58">
        <v>345.31</v>
      </c>
      <c r="AT26" s="65">
        <f t="shared" si="17"/>
        <v>19.99999999998181</v>
      </c>
      <c r="AU26" s="58">
        <v>266.42</v>
      </c>
      <c r="AV26" s="65">
        <f t="shared" si="18"/>
        <v>20.000000000038654</v>
      </c>
      <c r="AW26" s="58">
        <v>293.95</v>
      </c>
      <c r="AX26" s="65">
        <f t="shared" si="19"/>
        <v>19.99999999998181</v>
      </c>
      <c r="AY26" s="58">
        <v>345.24</v>
      </c>
      <c r="AZ26" s="65">
        <f t="shared" si="20"/>
        <v>19.99999999998181</v>
      </c>
      <c r="BA26" s="58">
        <v>364.97</v>
      </c>
      <c r="BB26" s="65">
        <f t="shared" si="21"/>
        <v>20.000000000038654</v>
      </c>
      <c r="BC26" s="58">
        <v>231.68</v>
      </c>
      <c r="BD26" s="65">
        <f t="shared" si="22"/>
        <v>10.000000000019327</v>
      </c>
      <c r="BE26" s="59">
        <v>30048</v>
      </c>
      <c r="BF26" s="67">
        <f t="shared" si="39"/>
        <v>16</v>
      </c>
      <c r="BG26" s="60">
        <v>225.4</v>
      </c>
      <c r="BH26" s="65">
        <f t="shared" si="23"/>
        <v>10.000000000019327</v>
      </c>
      <c r="BI26" s="60">
        <v>283.31</v>
      </c>
      <c r="BJ26" s="65">
        <f t="shared" si="40"/>
        <v>19.99999999998181</v>
      </c>
      <c r="BK26" s="60">
        <v>230.77</v>
      </c>
      <c r="BL26" s="65">
        <f t="shared" si="24"/>
        <v>0</v>
      </c>
      <c r="BM26" s="60">
        <v>214.37</v>
      </c>
      <c r="BN26" s="65">
        <f t="shared" si="25"/>
        <v>9.9999999999909051</v>
      </c>
      <c r="BO26" s="60">
        <v>279.27</v>
      </c>
      <c r="BP26" s="65">
        <f t="shared" si="26"/>
        <v>19.99999999998181</v>
      </c>
      <c r="BQ26" s="60">
        <v>39276</v>
      </c>
      <c r="BR26" s="65">
        <f t="shared" si="27"/>
        <v>11</v>
      </c>
      <c r="BS26" s="60">
        <v>193.55</v>
      </c>
      <c r="BT26" s="65">
        <f t="shared" si="43"/>
        <v>10.000000000019327</v>
      </c>
      <c r="BU26" s="60">
        <v>30572</v>
      </c>
      <c r="BV26" s="65">
        <f t="shared" si="29"/>
        <v>24</v>
      </c>
      <c r="BW26" s="60">
        <v>224.44</v>
      </c>
      <c r="BX26" s="65">
        <f t="shared" si="30"/>
        <v>9.9999999999909051</v>
      </c>
      <c r="BY26" s="60">
        <v>49359</v>
      </c>
      <c r="BZ26" s="67">
        <f t="shared" si="31"/>
        <v>10</v>
      </c>
      <c r="CA26" s="60">
        <v>27508.400000000001</v>
      </c>
      <c r="CB26" s="67">
        <f t="shared" si="32"/>
        <v>0</v>
      </c>
      <c r="CC26" s="60">
        <v>11251.4</v>
      </c>
      <c r="CD26" s="67">
        <f t="shared" si="33"/>
        <v>0</v>
      </c>
      <c r="CE26" s="60">
        <v>5488.9</v>
      </c>
      <c r="CF26" s="67">
        <f t="shared" si="34"/>
        <v>0</v>
      </c>
      <c r="CG26" s="60">
        <v>47947</v>
      </c>
      <c r="CH26" s="67">
        <f t="shared" si="35"/>
        <v>17.80000000000291</v>
      </c>
      <c r="CI26" s="60">
        <v>866778</v>
      </c>
      <c r="CJ26" s="67">
        <f t="shared" si="36"/>
        <v>186</v>
      </c>
      <c r="CK26" s="60">
        <v>587.12</v>
      </c>
      <c r="CL26" s="64">
        <f t="shared" si="37"/>
        <v>289.99999999996362</v>
      </c>
      <c r="CM26" s="65">
        <f t="shared" si="41"/>
        <v>22.700000000000017</v>
      </c>
      <c r="CN26" s="62">
        <v>0</v>
      </c>
      <c r="CO26" s="62">
        <v>0</v>
      </c>
      <c r="CP26" s="68">
        <v>193.8</v>
      </c>
      <c r="CQ26" s="67">
        <f t="shared" si="38"/>
        <v>12.700000000000017</v>
      </c>
      <c r="CR26" s="68">
        <v>9804</v>
      </c>
      <c r="CS26" s="67">
        <f t="shared" si="38"/>
        <v>10</v>
      </c>
      <c r="CT26" s="75">
        <v>2268</v>
      </c>
      <c r="CU26" s="67">
        <f t="shared" si="38"/>
        <v>11</v>
      </c>
      <c r="CV26" s="68">
        <v>5692</v>
      </c>
      <c r="CW26" s="67">
        <f t="shared" si="38"/>
        <v>31</v>
      </c>
    </row>
    <row r="27" spans="1:101" ht="25.5" customHeight="1" thickBot="1" x14ac:dyDescent="0.45">
      <c r="A27" s="63">
        <v>44036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3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6" zoomScaleNormal="100" workbookViewId="0">
      <selection activeCell="Y36" sqref="Y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>
        <v>15</v>
      </c>
      <c r="F18" s="41">
        <v>4775</v>
      </c>
      <c r="G18" s="41">
        <v>0</v>
      </c>
      <c r="H18" s="41">
        <v>1374</v>
      </c>
      <c r="I18" s="41">
        <v>85</v>
      </c>
      <c r="J18" s="41">
        <v>273</v>
      </c>
      <c r="K18" s="42">
        <v>85</v>
      </c>
      <c r="L18" s="42">
        <v>45</v>
      </c>
      <c r="M18" s="42">
        <v>1152</v>
      </c>
      <c r="N18" s="39">
        <v>84</v>
      </c>
      <c r="O18" s="39">
        <v>87</v>
      </c>
      <c r="P18" s="39">
        <v>46</v>
      </c>
      <c r="Q18" s="39">
        <v>2654</v>
      </c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>
        <v>15</v>
      </c>
      <c r="F19" s="41">
        <v>4775</v>
      </c>
      <c r="G19" s="41">
        <v>0</v>
      </c>
      <c r="H19" s="41">
        <v>1374</v>
      </c>
      <c r="I19" s="41">
        <v>85</v>
      </c>
      <c r="J19" s="41">
        <v>273</v>
      </c>
      <c r="K19" s="42">
        <v>85</v>
      </c>
      <c r="L19" s="42">
        <v>45</v>
      </c>
      <c r="M19" s="42">
        <v>1152</v>
      </c>
      <c r="N19" s="39">
        <v>84</v>
      </c>
      <c r="O19" s="39">
        <v>87</v>
      </c>
      <c r="P19" s="39">
        <v>44</v>
      </c>
      <c r="Q19" s="39">
        <v>2657</v>
      </c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>
        <v>15</v>
      </c>
      <c r="F20" s="41">
        <v>4775</v>
      </c>
      <c r="G20" s="41">
        <v>0</v>
      </c>
      <c r="H20" s="41">
        <v>1374</v>
      </c>
      <c r="I20" s="41">
        <v>85</v>
      </c>
      <c r="J20" s="41">
        <v>273</v>
      </c>
      <c r="K20" s="42">
        <v>85</v>
      </c>
      <c r="L20" s="42">
        <v>45</v>
      </c>
      <c r="M20" s="42">
        <v>1152</v>
      </c>
      <c r="N20" s="39">
        <v>84</v>
      </c>
      <c r="O20" s="39">
        <v>87</v>
      </c>
      <c r="P20" s="39">
        <v>42</v>
      </c>
      <c r="Q20" s="39">
        <v>2659</v>
      </c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>
        <v>15</v>
      </c>
      <c r="F21" s="41">
        <v>4775</v>
      </c>
      <c r="G21" s="41">
        <v>0</v>
      </c>
      <c r="H21" s="41">
        <v>1374</v>
      </c>
      <c r="I21" s="41">
        <v>85</v>
      </c>
      <c r="J21" s="41">
        <v>273</v>
      </c>
      <c r="K21" s="42">
        <v>85</v>
      </c>
      <c r="L21" s="42">
        <v>45</v>
      </c>
      <c r="M21" s="42">
        <v>1152</v>
      </c>
      <c r="N21" s="39">
        <v>84</v>
      </c>
      <c r="O21" s="39">
        <v>87</v>
      </c>
      <c r="P21" s="39">
        <v>40</v>
      </c>
      <c r="Q21" s="39">
        <v>2661</v>
      </c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>
        <v>15</v>
      </c>
      <c r="F22" s="41">
        <v>4775</v>
      </c>
      <c r="G22" s="41">
        <v>0</v>
      </c>
      <c r="H22" s="41">
        <v>1374</v>
      </c>
      <c r="I22" s="41">
        <v>85</v>
      </c>
      <c r="J22" s="41">
        <v>273</v>
      </c>
      <c r="K22" s="42">
        <v>85</v>
      </c>
      <c r="L22" s="42">
        <v>45</v>
      </c>
      <c r="M22" s="42">
        <v>1152</v>
      </c>
      <c r="N22" s="39">
        <v>84</v>
      </c>
      <c r="O22" s="39">
        <v>87</v>
      </c>
      <c r="P22" s="39">
        <v>36</v>
      </c>
      <c r="Q22" s="39">
        <v>2663</v>
      </c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>
        <v>15</v>
      </c>
      <c r="F23" s="41">
        <v>4775</v>
      </c>
      <c r="G23" s="41">
        <v>0</v>
      </c>
      <c r="H23" s="41">
        <v>1374</v>
      </c>
      <c r="I23" s="41">
        <v>85</v>
      </c>
      <c r="J23" s="41">
        <v>273</v>
      </c>
      <c r="K23" s="42">
        <v>85</v>
      </c>
      <c r="L23" s="42">
        <v>45</v>
      </c>
      <c r="M23" s="42">
        <v>1152</v>
      </c>
      <c r="N23" s="39">
        <v>84</v>
      </c>
      <c r="O23" s="39">
        <v>87</v>
      </c>
      <c r="P23" s="39">
        <v>33</v>
      </c>
      <c r="Q23" s="39">
        <v>2666</v>
      </c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>
        <v>15</v>
      </c>
      <c r="F24" s="41">
        <v>4775</v>
      </c>
      <c r="G24" s="41">
        <v>0</v>
      </c>
      <c r="H24" s="41">
        <v>1374</v>
      </c>
      <c r="I24" s="41">
        <v>85</v>
      </c>
      <c r="J24" s="41">
        <v>273</v>
      </c>
      <c r="K24" s="42">
        <v>85</v>
      </c>
      <c r="L24" s="42">
        <v>45</v>
      </c>
      <c r="M24" s="42">
        <v>1152</v>
      </c>
      <c r="N24" s="39">
        <v>84</v>
      </c>
      <c r="O24" s="39">
        <v>87</v>
      </c>
      <c r="P24" s="39">
        <v>30</v>
      </c>
      <c r="Q24" s="39">
        <v>2668</v>
      </c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>
        <v>15</v>
      </c>
      <c r="F25" s="41">
        <v>4775</v>
      </c>
      <c r="G25" s="41">
        <v>0</v>
      </c>
      <c r="H25" s="41">
        <v>1374</v>
      </c>
      <c r="I25" s="41">
        <v>85</v>
      </c>
      <c r="J25" s="41">
        <v>273</v>
      </c>
      <c r="K25" s="42">
        <v>85</v>
      </c>
      <c r="L25" s="42">
        <v>45</v>
      </c>
      <c r="M25" s="42">
        <v>1152</v>
      </c>
      <c r="N25" s="39">
        <v>84</v>
      </c>
      <c r="O25" s="39">
        <v>87</v>
      </c>
      <c r="P25" s="39">
        <v>28</v>
      </c>
      <c r="Q25" s="39">
        <v>2671</v>
      </c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84</v>
      </c>
      <c r="O26" s="39">
        <v>87</v>
      </c>
      <c r="P26" s="39">
        <v>84</v>
      </c>
      <c r="Q26" s="39">
        <v>2674</v>
      </c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84</v>
      </c>
      <c r="O27" s="39">
        <v>87</v>
      </c>
      <c r="P27" s="39">
        <v>82</v>
      </c>
      <c r="Q27" s="39">
        <v>2676</v>
      </c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84</v>
      </c>
      <c r="O28" s="39">
        <v>87</v>
      </c>
      <c r="P28" s="39">
        <v>79</v>
      </c>
      <c r="Q28" s="39">
        <v>2679</v>
      </c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84</v>
      </c>
      <c r="O29" s="39">
        <v>87</v>
      </c>
      <c r="P29" s="39">
        <v>78</v>
      </c>
      <c r="Q29" s="39">
        <v>2681</v>
      </c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84</v>
      </c>
      <c r="O30" s="39">
        <v>87</v>
      </c>
      <c r="P30" s="39">
        <v>75</v>
      </c>
      <c r="Q30" s="39">
        <v>2684</v>
      </c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84</v>
      </c>
      <c r="O31" s="39">
        <v>87</v>
      </c>
      <c r="P31" s="39">
        <v>70</v>
      </c>
      <c r="Q31" s="39">
        <v>2687</v>
      </c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2020-07-24T12:46:36Z</dcterms:modified>
</cp:coreProperties>
</file>