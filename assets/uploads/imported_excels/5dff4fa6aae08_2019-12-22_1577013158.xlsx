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P23" i="9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N23" i="9"/>
  <c r="N28" i="9"/>
  <c r="T20" i="7"/>
  <c r="T21" i="7"/>
  <c r="AI21" i="7" s="1"/>
  <c r="F22" i="9"/>
  <c r="F25" i="9"/>
  <c r="I27" i="9"/>
  <c r="Q30" i="9"/>
  <c r="AJ35" i="7"/>
  <c r="AO31" i="7"/>
  <c r="AO11" i="7"/>
  <c r="AI31" i="7"/>
  <c r="M23" i="9"/>
  <c r="K26" i="9"/>
  <c r="AJ30" i="7"/>
  <c r="K7" i="9"/>
  <c r="R29" i="9"/>
  <c r="G29" i="5" s="1"/>
  <c r="L29" i="9"/>
  <c r="AL19" i="7"/>
  <c r="AM22" i="7"/>
  <c r="F19" i="9"/>
  <c r="AN36" i="7"/>
  <c r="AN25" i="7"/>
  <c r="F31" i="9"/>
  <c r="I29" i="9"/>
  <c r="AO29" i="7"/>
  <c r="AR12" i="7"/>
  <c r="AN14" i="7"/>
  <c r="K12" i="9"/>
  <c r="P17" i="9"/>
  <c r="R10" i="9"/>
  <c r="G10" i="5" s="1"/>
  <c r="K20" i="9"/>
  <c r="AL16" i="7"/>
  <c r="AN11" i="7"/>
  <c r="AP35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AG33" i="7"/>
  <c r="F27" i="9"/>
  <c r="M28" i="9"/>
  <c r="AO35" i="7"/>
  <c r="AH35" i="7"/>
  <c r="F30" i="9"/>
  <c r="R30" i="9"/>
  <c r="G30" i="5" s="1"/>
  <c r="AR36" i="7"/>
  <c r="AL35" i="7"/>
  <c r="AK35" i="7"/>
  <c r="R21" i="9"/>
  <c r="G21" i="5" s="1"/>
  <c r="AJ36" i="7"/>
  <c r="P26" i="9"/>
  <c r="K25" i="9"/>
  <c r="P22" i="9"/>
  <c r="AI35" i="7"/>
  <c r="P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AM28" i="7" l="1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26" i="7" l="1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<sst xmlns="http://schemas.openxmlformats.org/spreadsheetml/2006/main" count="127" uniqueCount="49">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</sst>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60150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 t="str">
        <f>Hotel!AB27</f>
        <v>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1" zoomScale="93" zoomScaleNormal="93" workbookViewId="0">
      <selection activeCell="R38" sqref="R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8446730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 t="str">
        <f t="shared" si="32"/>
        <v>0</v>
      </c>
      <c r="AC27" s="37">
        <f t="shared" si="32"/>
        <v>15060</v>
      </c>
      <c r="AD27" s="35">
        <f t="shared" si="28"/>
        <v>60150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0</v>
      </c>
      <c r="AR27" s="20">
        <f t="shared" si="13"/>
        <v>75.3</v>
      </c>
      <c r="AS27" s="35">
        <f t="shared" si="29"/>
        <v>300.75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43822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43823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43824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43825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43826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43827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43828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43829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>
        <v>43830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19750</v>
      </c>
      <c r="R38" s="30">
        <f t="shared" si="35"/>
        <v>237740</v>
      </c>
      <c r="S38" s="30">
        <f t="shared" si="35"/>
        <v>270</v>
      </c>
      <c r="T38" s="30">
        <f t="shared" si="35"/>
        <v>31940</v>
      </c>
      <c r="U38" s="30">
        <f t="shared" si="35"/>
        <v>136970</v>
      </c>
      <c r="V38" s="30">
        <f t="shared" si="35"/>
        <v>93580</v>
      </c>
      <c r="W38" s="30">
        <f t="shared" si="35"/>
        <v>73630</v>
      </c>
      <c r="X38" s="30">
        <f t="shared" si="35"/>
        <v>96180</v>
      </c>
      <c r="Y38" s="30">
        <f t="shared" si="35"/>
        <v>106160</v>
      </c>
      <c r="Z38" s="30">
        <f t="shared" si="35"/>
        <v>60410</v>
      </c>
      <c r="AA38" s="30">
        <f t="shared" si="35"/>
        <v>78370</v>
      </c>
      <c r="AB38" s="30">
        <f t="shared" si="35"/>
        <v>157520</v>
      </c>
      <c r="AC38" s="30">
        <f t="shared" si="35"/>
        <v>309340</v>
      </c>
      <c r="AD38" s="35">
        <f t="shared" si="35"/>
        <v>1401860</v>
      </c>
      <c r="AF38" s="35">
        <f t="shared" ref="AF38:AS38" si="36">SUM(AF7:AF34)</f>
        <v>98.75</v>
      </c>
      <c r="AG38" s="35">
        <f t="shared" si="36"/>
        <v>1188.7</v>
      </c>
      <c r="AH38" s="35">
        <f t="shared" si="36"/>
        <v>1.35</v>
      </c>
      <c r="AI38" s="35">
        <f t="shared" si="36"/>
        <v>159.69999999999999</v>
      </c>
      <c r="AJ38" s="35">
        <f t="shared" si="36"/>
        <v>684.85000000000025</v>
      </c>
      <c r="AK38" s="35">
        <f t="shared" si="36"/>
        <v>467.89999999999992</v>
      </c>
      <c r="AL38" s="35">
        <f t="shared" si="36"/>
        <v>368.15</v>
      </c>
      <c r="AM38" s="35">
        <f t="shared" si="36"/>
        <v>480.90000000000003</v>
      </c>
      <c r="AN38" s="35">
        <f t="shared" si="36"/>
        <v>530.79999999999995</v>
      </c>
      <c r="AO38" s="35">
        <f t="shared" si="36"/>
        <v>302.05000000000007</v>
      </c>
      <c r="AP38" s="35">
        <f t="shared" si="36"/>
        <v>391.84999999999991</v>
      </c>
      <c r="AQ38" s="35">
        <f t="shared" si="36"/>
        <v>787.59999999999991</v>
      </c>
      <c r="AR38" s="35">
        <f t="shared" si="36"/>
        <v>1546.7</v>
      </c>
      <c r="AS38" s="35">
        <f t="shared" si="36"/>
        <v>7009.3</v>
      </c>
      <c r="AU38" s="48"/>
      <c r="AV38" s="35">
        <f>SUM(AV7:AV34)</f>
        <v>35709</v>
      </c>
      <c r="AW38" s="35">
        <f>SUM(AW7:AW34)</f>
        <v>63.703999999999994</v>
      </c>
    </row>
    <row r="39" spans="1:49" x14ac:dyDescent="0.25">
      <c r="D39">
        <v>5.0000000000000001E-3</v>
      </c>
      <c r="AV39" s="36">
        <f>AV38*0.00378541*1000</f>
        <v>135173.20569</v>
      </c>
    </row>
    <row r="40" spans="1:49" x14ac:dyDescent="0.25">
      <c r="D40">
        <v>2E-3</v>
      </c>
      <c r="AV40">
        <f>AV39/31</f>
        <v>4360.4259899999997</v>
      </c>
    </row>
    <row r="41" spans="1:49" x14ac:dyDescent="0.25">
      <c r="AV41">
        <f>AV38*0.00378541</f>
        <v>135.17320569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2019-12-22T11:11:15Z</dcterms:modified>
</cp:coreProperties>
</file>