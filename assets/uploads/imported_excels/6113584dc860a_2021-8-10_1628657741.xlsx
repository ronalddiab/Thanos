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CF6B0AF0-6B58-425A-BB09-25C5A66EE6FD}" xr6:coauthVersionLast="36" xr6:coauthVersionMax="47" xr10:uidLastSave="{00000000-0000-0000-0000-000000000000}"/>
  <bookViews>
    <workbookView xWindow="0" yWindow="0" windowWidth="2880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V8" i="2"/>
  <c r="O17" i="8"/>
  <c r="C17" i="2"/>
  <c r="C18" i="2"/>
  <c r="C19" i="2"/>
  <c r="G17" i="8"/>
  <c r="B8" i="8"/>
  <c r="B10" i="8"/>
  <c r="S27" i="2"/>
  <c r="B20" i="4"/>
  <c r="B3" i="4"/>
  <c r="B34" i="4" s="1"/>
  <c r="H21" i="2"/>
  <c r="C21" i="2"/>
  <c r="C22" i="2"/>
  <c r="C24" i="2"/>
  <c r="B5" i="8"/>
  <c r="B6" i="8"/>
  <c r="B7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H14" i="8" s="1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35" i="2" s="1"/>
  <c r="B7" i="2"/>
  <c r="B9" i="2"/>
  <c r="V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 s="1"/>
  <c r="D12" i="2"/>
  <c r="D11" i="4"/>
  <c r="D13" i="2"/>
  <c r="D35" i="2" s="1"/>
  <c r="D12" i="4"/>
  <c r="D14" i="2"/>
  <c r="D13" i="4"/>
  <c r="D15" i="2"/>
  <c r="D14" i="4"/>
  <c r="D16" i="2"/>
  <c r="D15" i="4"/>
  <c r="D17" i="2"/>
  <c r="D16" i="4"/>
  <c r="D18" i="2"/>
  <c r="D17" i="4"/>
  <c r="D19" i="2"/>
  <c r="D18" i="4"/>
  <c r="D20" i="2"/>
  <c r="D19" i="4"/>
  <c r="D21" i="2"/>
  <c r="D20" i="4"/>
  <c r="D22" i="2"/>
  <c r="D21" i="4"/>
  <c r="D22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G6" i="3" s="1"/>
  <c r="B7" i="3"/>
  <c r="B8" i="3"/>
  <c r="B9" i="3"/>
  <c r="B10" i="3"/>
  <c r="B11" i="3"/>
  <c r="B12" i="3"/>
  <c r="B13" i="3"/>
  <c r="B14" i="3"/>
  <c r="M14" i="3" s="1"/>
  <c r="B15" i="3"/>
  <c r="B16" i="3"/>
  <c r="B17" i="3"/>
  <c r="B18" i="3"/>
  <c r="B19" i="3"/>
  <c r="F19" i="3" s="1"/>
  <c r="B20" i="3"/>
  <c r="B21" i="3"/>
  <c r="B22" i="3"/>
  <c r="L22" i="3" s="1"/>
  <c r="B23" i="3"/>
  <c r="B24" i="3"/>
  <c r="B25" i="3"/>
  <c r="B26" i="3"/>
  <c r="B27" i="3"/>
  <c r="G27" i="3" s="1"/>
  <c r="B28" i="3"/>
  <c r="B29" i="3"/>
  <c r="B30" i="3"/>
  <c r="H30" i="3" s="1"/>
  <c r="B31" i="3"/>
  <c r="B32" i="3"/>
  <c r="B33" i="3"/>
  <c r="B3" i="3"/>
  <c r="D3" i="4"/>
  <c r="D33" i="4"/>
  <c r="C33" i="3"/>
  <c r="D33" i="3"/>
  <c r="E33" i="3"/>
  <c r="J33" i="3"/>
  <c r="K33" i="3"/>
  <c r="L33" i="3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F14" i="8" s="1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X11" i="8" s="1"/>
  <c r="U11" i="8"/>
  <c r="S11" i="8"/>
  <c r="Q11" i="8"/>
  <c r="O11" i="8"/>
  <c r="M11" i="8"/>
  <c r="I11" i="8"/>
  <c r="E11" i="8"/>
  <c r="C11" i="8"/>
  <c r="T11" i="8" s="1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J15" i="8"/>
  <c r="R7" i="8"/>
  <c r="J7" i="8"/>
  <c r="T8" i="8"/>
  <c r="X6" i="8"/>
  <c r="P10" i="8"/>
  <c r="X10" i="8"/>
  <c r="P6" i="8"/>
  <c r="P26" i="8"/>
  <c r="X26" i="8"/>
  <c r="J26" i="8"/>
  <c r="J23" i="8"/>
  <c r="R23" i="8"/>
  <c r="P22" i="8"/>
  <c r="X22" i="8"/>
  <c r="J22" i="8"/>
  <c r="R22" i="8"/>
  <c r="T20" i="8"/>
  <c r="T24" i="8"/>
  <c r="R15" i="8"/>
  <c r="T16" i="8"/>
  <c r="R26" i="8"/>
  <c r="J6" i="8"/>
  <c r="R6" i="8"/>
  <c r="J10" i="8"/>
  <c r="R10" i="8"/>
  <c r="J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6" i="8"/>
  <c r="X16" i="8"/>
  <c r="P20" i="8"/>
  <c r="T26" i="8"/>
  <c r="D5" i="8"/>
  <c r="H5" i="8"/>
  <c r="N9" i="8"/>
  <c r="D17" i="8"/>
  <c r="H17" i="8"/>
  <c r="D21" i="8"/>
  <c r="H21" i="8"/>
  <c r="V25" i="8"/>
  <c r="D29" i="8"/>
  <c r="H29" i="8"/>
  <c r="V29" i="8"/>
  <c r="P4" i="8"/>
  <c r="U35" i="8"/>
  <c r="V4" i="8"/>
  <c r="P5" i="8"/>
  <c r="X5" i="8"/>
  <c r="T7" i="8"/>
  <c r="D8" i="8"/>
  <c r="H8" i="8"/>
  <c r="N8" i="8"/>
  <c r="V8" i="8"/>
  <c r="P9" i="8"/>
  <c r="X9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T4" i="8"/>
  <c r="V5" i="8"/>
  <c r="D9" i="8"/>
  <c r="H9" i="8"/>
  <c r="V17" i="8"/>
  <c r="V21" i="8"/>
  <c r="N25" i="8"/>
  <c r="H4" i="8"/>
  <c r="J5" i="8"/>
  <c r="V7" i="8"/>
  <c r="J9" i="8"/>
  <c r="R9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N17" i="8"/>
  <c r="N21" i="8"/>
  <c r="D25" i="8"/>
  <c r="H25" i="8"/>
  <c r="N29" i="8"/>
  <c r="X4" i="8"/>
  <c r="R5" i="8"/>
  <c r="D7" i="8"/>
  <c r="H7" i="8"/>
  <c r="N7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D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E35" i="8"/>
  <c r="F4" i="8"/>
  <c r="F5" i="8"/>
  <c r="F6" i="8"/>
  <c r="F7" i="8"/>
  <c r="F8" i="8"/>
  <c r="F9" i="8"/>
  <c r="F10" i="8"/>
  <c r="F13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L5" i="8"/>
  <c r="L6" i="8"/>
  <c r="L7" i="8"/>
  <c r="L8" i="8"/>
  <c r="L9" i="8"/>
  <c r="L10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Z6" i="8"/>
  <c r="Y7" i="8"/>
  <c r="Z7" i="8"/>
  <c r="Y8" i="8"/>
  <c r="Z8" i="8"/>
  <c r="Y9" i="8"/>
  <c r="Z9" i="8"/>
  <c r="Y10" i="8"/>
  <c r="Z10" i="8"/>
  <c r="Y16" i="8"/>
  <c r="Z16" i="8"/>
  <c r="Y17" i="8"/>
  <c r="Z17" i="8"/>
  <c r="Y18" i="8"/>
  <c r="Z18" i="8"/>
  <c r="Y19" i="8"/>
  <c r="Z19" i="8"/>
  <c r="Y20" i="8"/>
  <c r="Y21" i="8"/>
  <c r="Z21" i="8"/>
  <c r="Y22" i="8"/>
  <c r="Z22" i="8"/>
  <c r="Y23" i="8"/>
  <c r="Z23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5" i="8"/>
  <c r="Z15" i="8"/>
  <c r="Y24" i="8"/>
  <c r="Z24" i="8"/>
  <c r="Y4" i="8"/>
  <c r="Z20" i="8"/>
  <c r="Z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G10" i="3" s="1"/>
  <c r="C11" i="2"/>
  <c r="C10" i="4" s="1"/>
  <c r="C10" i="3"/>
  <c r="C9" i="3"/>
  <c r="C8" i="3"/>
  <c r="C7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35" i="2" s="1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 s="1"/>
  <c r="U13" i="2"/>
  <c r="K12" i="4" s="1"/>
  <c r="U14" i="2"/>
  <c r="K13" i="4" s="1"/>
  <c r="U15" i="2"/>
  <c r="U16" i="2"/>
  <c r="K15" i="4"/>
  <c r="U17" i="2"/>
  <c r="L16" i="3"/>
  <c r="U18" i="2"/>
  <c r="L17" i="3"/>
  <c r="U19" i="2"/>
  <c r="L18" i="3"/>
  <c r="U20" i="2"/>
  <c r="L19" i="3"/>
  <c r="U21" i="2"/>
  <c r="K20" i="4"/>
  <c r="U22" i="2"/>
  <c r="K21" i="4"/>
  <c r="U24" i="2"/>
  <c r="K23" i="4"/>
  <c r="U25" i="2"/>
  <c r="K24" i="4"/>
  <c r="U26" i="2"/>
  <c r="K25" i="4"/>
  <c r="U27" i="2"/>
  <c r="K26" i="4"/>
  <c r="U28" i="2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35" i="2" s="1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5" i="2"/>
  <c r="E6" i="2"/>
  <c r="F5" i="3"/>
  <c r="E7" i="2"/>
  <c r="E6" i="4"/>
  <c r="E7" i="4"/>
  <c r="E11" i="2"/>
  <c r="F10" i="3" s="1"/>
  <c r="E12" i="2"/>
  <c r="E13" i="2"/>
  <c r="E12" i="4" s="1"/>
  <c r="E14" i="2"/>
  <c r="F13" i="3" s="1"/>
  <c r="E15" i="2"/>
  <c r="E14" i="4"/>
  <c r="E16" i="2"/>
  <c r="E17" i="2"/>
  <c r="E16" i="4"/>
  <c r="E18" i="2"/>
  <c r="E19" i="2"/>
  <c r="F18" i="3"/>
  <c r="E20" i="2"/>
  <c r="E21" i="2"/>
  <c r="F20" i="3"/>
  <c r="E22" i="2"/>
  <c r="E21" i="4"/>
  <c r="E24" i="2"/>
  <c r="F23" i="3"/>
  <c r="E25" i="2"/>
  <c r="F24" i="3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I12" i="3" s="1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1" i="3"/>
  <c r="C32" i="3"/>
  <c r="D32" i="3"/>
  <c r="A29" i="3"/>
  <c r="T5" i="2"/>
  <c r="T6" i="2"/>
  <c r="T7" i="2"/>
  <c r="T11" i="2"/>
  <c r="T12" i="2"/>
  <c r="T13" i="2"/>
  <c r="T14" i="2"/>
  <c r="T35" i="2" s="1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V11" i="2" s="1"/>
  <c r="S12" i="2"/>
  <c r="J11" i="4" s="1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11" i="3"/>
  <c r="C12" i="3"/>
  <c r="C13" i="3"/>
  <c r="C15" i="3"/>
  <c r="C16" i="3"/>
  <c r="C17" i="3"/>
  <c r="C18" i="3"/>
  <c r="C19" i="3"/>
  <c r="C20" i="3"/>
  <c r="C21" i="3"/>
  <c r="C23" i="3"/>
  <c r="C24" i="3"/>
  <c r="C25" i="3"/>
  <c r="C26" i="3"/>
  <c r="C27" i="3"/>
  <c r="C28" i="3"/>
  <c r="V5" i="2"/>
  <c r="M4" i="3"/>
  <c r="V7" i="2"/>
  <c r="M6" i="3" s="1"/>
  <c r="V20" i="2"/>
  <c r="K35" i="2"/>
  <c r="P35" i="2"/>
  <c r="O35" i="2"/>
  <c r="V32" i="2"/>
  <c r="V24" i="2"/>
  <c r="V16" i="2"/>
  <c r="M15" i="3"/>
  <c r="F4" i="3"/>
  <c r="V31" i="2"/>
  <c r="V23" i="2"/>
  <c r="V15" i="2"/>
  <c r="I35" i="2"/>
  <c r="S35" i="2"/>
  <c r="R35" i="2"/>
  <c r="E3" i="4"/>
  <c r="V4" i="2"/>
  <c r="M3" i="3"/>
  <c r="F17" i="3"/>
  <c r="V18" i="2"/>
  <c r="M17" i="3"/>
  <c r="V30" i="2"/>
  <c r="V26" i="2"/>
  <c r="M25" i="3"/>
  <c r="D21" i="3"/>
  <c r="V22" i="2"/>
  <c r="M21" i="3"/>
  <c r="J35" i="2"/>
  <c r="V10" i="2"/>
  <c r="M9" i="3" s="1"/>
  <c r="V28" i="2"/>
  <c r="C11" i="4"/>
  <c r="G35" i="2"/>
  <c r="V27" i="2"/>
  <c r="V19" i="2"/>
  <c r="M7" i="3"/>
  <c r="K3" i="4"/>
  <c r="U35" i="2"/>
  <c r="V29" i="2"/>
  <c r="M28" i="3"/>
  <c r="V25" i="2"/>
  <c r="C20" i="4"/>
  <c r="V21" i="2"/>
  <c r="M20" i="3"/>
  <c r="V17" i="2"/>
  <c r="C12" i="4"/>
  <c r="C35" i="2"/>
  <c r="C31" i="4"/>
  <c r="C26" i="4"/>
  <c r="D24" i="3"/>
  <c r="C23" i="4"/>
  <c r="C30" i="4"/>
  <c r="C25" i="4"/>
  <c r="C29" i="4"/>
  <c r="H15" i="4"/>
  <c r="D28" i="3"/>
  <c r="E8" i="3"/>
  <c r="C18" i="4"/>
  <c r="C15" i="4"/>
  <c r="H29" i="3"/>
  <c r="C14" i="4"/>
  <c r="C13" i="4"/>
  <c r="K17" i="4"/>
  <c r="H17" i="4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I3" i="3"/>
  <c r="I4" i="3"/>
  <c r="H29" i="4"/>
  <c r="G28" i="3"/>
  <c r="F28" i="4"/>
  <c r="D26" i="3"/>
  <c r="H24" i="3"/>
  <c r="L25" i="3"/>
  <c r="J23" i="4"/>
  <c r="G21" i="4"/>
  <c r="K19" i="4"/>
  <c r="G20" i="3"/>
  <c r="G18" i="3"/>
  <c r="K18" i="3"/>
  <c r="L11" i="3"/>
  <c r="J10" i="4"/>
  <c r="H7" i="3"/>
  <c r="F7" i="3"/>
  <c r="G7" i="4"/>
  <c r="G7" i="3"/>
  <c r="H7" i="4"/>
  <c r="L5" i="3"/>
  <c r="C5" i="4"/>
  <c r="I5" i="3"/>
  <c r="D15" i="3"/>
  <c r="E7" i="3"/>
  <c r="F16" i="3"/>
  <c r="L26" i="3"/>
  <c r="K18" i="4"/>
  <c r="J15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G29" i="3"/>
  <c r="E28" i="3"/>
  <c r="H28" i="3"/>
  <c r="J28" i="4"/>
  <c r="J27" i="4"/>
  <c r="H28" i="4"/>
  <c r="H27" i="3"/>
  <c r="G26" i="4"/>
  <c r="G27" i="4"/>
  <c r="F27" i="4"/>
  <c r="H27" i="4"/>
  <c r="G26" i="3"/>
  <c r="K25" i="3"/>
  <c r="F25" i="4"/>
  <c r="F24" i="4"/>
  <c r="G24" i="4"/>
  <c r="I23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G12" i="4"/>
  <c r="E10" i="4"/>
  <c r="H11" i="4"/>
  <c r="H10" i="3"/>
  <c r="H9" i="4"/>
  <c r="K7" i="4"/>
  <c r="I7" i="4"/>
  <c r="F7" i="4"/>
  <c r="I7" i="3"/>
  <c r="I8" i="3"/>
  <c r="J7" i="4"/>
  <c r="H5" i="3"/>
  <c r="F5" i="4"/>
  <c r="J6" i="4"/>
  <c r="J4" i="3"/>
  <c r="H5" i="4"/>
  <c r="E5" i="3"/>
  <c r="F6" i="4"/>
  <c r="K16" i="4"/>
  <c r="D29" i="3"/>
  <c r="J5" i="3"/>
  <c r="G5" i="3"/>
  <c r="D13" i="3"/>
  <c r="K5" i="3"/>
  <c r="I6" i="4"/>
  <c r="G22" i="4"/>
  <c r="G4" i="4"/>
  <c r="F4" i="4"/>
  <c r="F3" i="3"/>
  <c r="E4" i="3"/>
  <c r="E17" i="4"/>
  <c r="H26" i="3"/>
  <c r="H6" i="4"/>
  <c r="G10" i="4"/>
  <c r="I4" i="4"/>
  <c r="I5" i="4"/>
  <c r="K6" i="4"/>
  <c r="L28" i="3"/>
  <c r="G31" i="3"/>
  <c r="J9" i="3"/>
  <c r="F10" i="4"/>
  <c r="F26" i="4"/>
  <c r="F21" i="3"/>
  <c r="J4" i="4"/>
  <c r="H9" i="3"/>
  <c r="I16" i="4"/>
  <c r="G28" i="4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F31" i="4"/>
  <c r="J31" i="4"/>
  <c r="E30" i="4"/>
  <c r="G29" i="4"/>
  <c r="G30" i="4"/>
  <c r="I30" i="4"/>
  <c r="I29" i="4"/>
  <c r="F29" i="4"/>
  <c r="H30" i="4"/>
  <c r="J29" i="4"/>
  <c r="K29" i="3"/>
  <c r="C28" i="4"/>
  <c r="L29" i="3"/>
  <c r="J29" i="3"/>
  <c r="I29" i="3"/>
  <c r="E29" i="3"/>
  <c r="E29" i="4"/>
  <c r="J28" i="3"/>
  <c r="I28" i="3"/>
  <c r="I28" i="4"/>
  <c r="I27" i="4"/>
  <c r="K28" i="3"/>
  <c r="F28" i="3"/>
  <c r="K27" i="4"/>
  <c r="J26" i="3"/>
  <c r="E26" i="3"/>
  <c r="J26" i="4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G22" i="3"/>
  <c r="F23" i="4"/>
  <c r="H23" i="4"/>
  <c r="J22" i="4"/>
  <c r="K23" i="3"/>
  <c r="D22" i="3"/>
  <c r="G21" i="3"/>
  <c r="I21" i="3"/>
  <c r="I22" i="4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H20" i="4"/>
  <c r="I20" i="3"/>
  <c r="J20" i="4"/>
  <c r="J19" i="4"/>
  <c r="K20" i="3"/>
  <c r="E20" i="4"/>
  <c r="H18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I14" i="4"/>
  <c r="G14" i="3"/>
  <c r="H13" i="4"/>
  <c r="I13" i="3"/>
  <c r="H13" i="3"/>
  <c r="L12" i="3"/>
  <c r="G12" i="3"/>
  <c r="F13" i="4"/>
  <c r="J13" i="3"/>
  <c r="I13" i="4"/>
  <c r="E13" i="3"/>
  <c r="F12" i="3"/>
  <c r="H11" i="3"/>
  <c r="J12" i="4"/>
  <c r="K12" i="3"/>
  <c r="E11" i="4"/>
  <c r="L10" i="3"/>
  <c r="J10" i="3"/>
  <c r="F11" i="4"/>
  <c r="E10" i="3"/>
  <c r="F8" i="4"/>
  <c r="J8" i="4"/>
  <c r="E9" i="4"/>
  <c r="I9" i="4"/>
  <c r="G8" i="4"/>
  <c r="F9" i="4"/>
  <c r="J9" i="4"/>
  <c r="H8" i="4"/>
  <c r="G9" i="4"/>
  <c r="K9" i="4"/>
  <c r="L7" i="4"/>
  <c r="L5" i="4"/>
  <c r="L14" i="4"/>
  <c r="L9" i="4"/>
  <c r="L8" i="4"/>
  <c r="L6" i="4"/>
  <c r="L3" i="4"/>
  <c r="L15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29" i="3"/>
  <c r="M26" i="3"/>
  <c r="M24" i="3"/>
  <c r="M23" i="3"/>
  <c r="M18" i="3"/>
  <c r="M16" i="3"/>
  <c r="M8" i="3"/>
  <c r="B35" i="8" l="1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R35" i="8" s="1"/>
  <c r="Y11" i="8"/>
  <c r="Z11" i="8" s="1"/>
  <c r="S35" i="8"/>
  <c r="Y12" i="8"/>
  <c r="Z12" i="8" s="1"/>
  <c r="G35" i="8"/>
  <c r="L13" i="8"/>
  <c r="R13" i="8"/>
  <c r="V13" i="8"/>
  <c r="J13" i="8"/>
  <c r="P13" i="8"/>
  <c r="C35" i="8"/>
  <c r="F35" i="8" s="1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C34" i="4"/>
  <c r="C36" i="4" s="1"/>
  <c r="D10" i="3"/>
  <c r="G34" i="4"/>
  <c r="G36" i="4" s="1"/>
  <c r="V13" i="2"/>
  <c r="M12" i="3" s="1"/>
  <c r="J12" i="3"/>
  <c r="I11" i="4"/>
  <c r="K34" i="4"/>
  <c r="K36" i="4" s="1"/>
  <c r="I12" i="4"/>
  <c r="M35" i="2"/>
  <c r="G13" i="3"/>
  <c r="H35" i="2"/>
  <c r="F34" i="4"/>
  <c r="F36" i="4" s="1"/>
  <c r="F35" i="2"/>
  <c r="H12" i="4"/>
  <c r="H34" i="4" s="1"/>
  <c r="H10" i="4"/>
  <c r="N35" i="2"/>
  <c r="I10" i="4"/>
  <c r="L10" i="4" s="1"/>
  <c r="D34" i="4"/>
  <c r="D36" i="4" s="1"/>
  <c r="K10" i="3"/>
  <c r="V12" i="2"/>
  <c r="M11" i="3" s="1"/>
  <c r="J34" i="4"/>
  <c r="J36" i="4" s="1"/>
  <c r="K11" i="3"/>
  <c r="V14" i="2"/>
  <c r="M13" i="3" s="1"/>
  <c r="E13" i="4"/>
  <c r="L13" i="4" s="1"/>
  <c r="E35" i="2"/>
  <c r="E34" i="4"/>
  <c r="E36" i="4" s="1"/>
  <c r="M10" i="3"/>
  <c r="I10" i="3"/>
  <c r="I22" i="3"/>
  <c r="J22" i="3"/>
  <c r="K27" i="3"/>
  <c r="E30" i="3"/>
  <c r="K14" i="3"/>
  <c r="K6" i="3"/>
  <c r="F14" i="3"/>
  <c r="D19" i="3"/>
  <c r="M22" i="3"/>
  <c r="M30" i="3"/>
  <c r="G11" i="3"/>
  <c r="G34" i="3" s="1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M27" i="3"/>
  <c r="L27" i="3"/>
  <c r="C6" i="3"/>
  <c r="C34" i="3" s="1"/>
  <c r="M19" i="3"/>
  <c r="J19" i="3"/>
  <c r="J30" i="3"/>
  <c r="E22" i="3"/>
  <c r="H6" i="3"/>
  <c r="H34" i="3" s="1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Y35" i="8" l="1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H36" i="4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<sst xmlns="http://schemas.openxmlformats.org/spreadsheetml/2006/main" count="201" uniqueCount="128">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</sst>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0.15</v>
      </c>
      <c r="G2" s="107">
        <v>5872</v>
      </c>
      <c r="H2" s="48">
        <v>0.5927</v>
      </c>
      <c r="I2" s="65">
        <v>320</v>
      </c>
      <c r="J2" s="76">
        <v>1.133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0.15</v>
      </c>
      <c r="G3" s="107">
        <v>5616</v>
      </c>
      <c r="H3" s="48">
        <v>0.5927</v>
      </c>
      <c r="I3" s="65">
        <v>269</v>
      </c>
      <c r="J3" s="76">
        <v>1.133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0.15</v>
      </c>
      <c r="G4" s="107">
        <v>6176</v>
      </c>
      <c r="H4" s="48">
        <v>0.5927</v>
      </c>
      <c r="I4" s="65">
        <v>435</v>
      </c>
      <c r="J4" s="76">
        <v>1.133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0.15</v>
      </c>
      <c r="G5" s="107">
        <v>6476</v>
      </c>
      <c r="H5" s="48">
        <v>0.5927</v>
      </c>
      <c r="I5" s="65">
        <v>400</v>
      </c>
      <c r="J5" s="76">
        <v>1.133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16619.999999999891</v>
      </c>
      <c r="F6" s="48">
        <v>0.15</v>
      </c>
      <c r="G6" s="107">
        <v>6218</v>
      </c>
      <c r="H6" s="48">
        <v>0.5927</v>
      </c>
      <c r="I6" s="65">
        <v>371</v>
      </c>
      <c r="J6" s="76">
        <v>1.133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27349.999999999909</v>
      </c>
      <c r="F7" s="48">
        <v>0.15</v>
      </c>
      <c r="G7" s="107">
        <v>5743</v>
      </c>
      <c r="H7" s="48">
        <v>0.5927</v>
      </c>
      <c r="I7" s="65">
        <v>256</v>
      </c>
      <c r="J7" s="76">
        <v>1.133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0.15</v>
      </c>
      <c r="G8" s="107">
        <v>6796</v>
      </c>
      <c r="H8" s="48">
        <v>0.5927</v>
      </c>
      <c r="I8" s="65">
        <v>366</v>
      </c>
      <c r="J8" s="76">
        <v>1.133</v>
      </c>
      <c r="K8" s="108"/>
      <c r="L8" s="76"/>
      <c r="M8" s="72">
        <v>26</v>
      </c>
      <c r="N8" s="72">
        <v>76</v>
      </c>
      <c r="O8" s="72">
        <v>176</v>
      </c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>
        <v>22709.999999998217</v>
      </c>
      <c r="F9" s="48">
        <v>0.15</v>
      </c>
      <c r="G9" s="107">
        <v>6277</v>
      </c>
      <c r="H9" s="48">
        <v>0.5927</v>
      </c>
      <c r="I9" s="65">
        <v>369</v>
      </c>
      <c r="J9" s="76">
        <v>1.133</v>
      </c>
      <c r="K9" s="108"/>
      <c r="L9" s="76"/>
      <c r="M9" s="72">
        <v>25</v>
      </c>
      <c r="N9" s="72">
        <v>69</v>
      </c>
      <c r="O9" s="72">
        <v>159</v>
      </c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>
        <v>24239.999999999778</v>
      </c>
      <c r="F10" s="48">
        <v>0.15</v>
      </c>
      <c r="G10" s="107">
        <v>6738</v>
      </c>
      <c r="H10" s="48">
        <v>0.5927</v>
      </c>
      <c r="I10" s="65">
        <v>579</v>
      </c>
      <c r="J10" s="76">
        <v>1.133</v>
      </c>
      <c r="K10" s="108"/>
      <c r="L10" s="76"/>
      <c r="M10" s="72">
        <v>24</v>
      </c>
      <c r="N10" s="72">
        <v>64</v>
      </c>
      <c r="O10" s="72">
        <v>158</v>
      </c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>
        <v>24410.000000000313</v>
      </c>
      <c r="F11" s="48">
        <v>0.15</v>
      </c>
      <c r="G11" s="107">
        <v>6771</v>
      </c>
      <c r="H11" s="48">
        <v>0.5927</v>
      </c>
      <c r="I11" s="65">
        <v>179</v>
      </c>
      <c r="J11" s="76">
        <v>1.133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/>
      <c r="F12" s="48">
        <v>0.15</v>
      </c>
      <c r="G12" s="107"/>
      <c r="H12" s="48">
        <v>0.5927</v>
      </c>
      <c r="I12" s="65"/>
      <c r="J12" s="76">
        <v>1.133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/>
      <c r="F13" s="48">
        <v>0.15</v>
      </c>
      <c r="G13" s="107"/>
      <c r="H13" s="48">
        <v>0.5927</v>
      </c>
      <c r="I13" s="65"/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227109.99999999901</v>
      </c>
      <c r="F33" s="104">
        <v>0</v>
      </c>
      <c r="G33" s="101">
        <f>SUM(G2:G32)</f>
        <v>62683</v>
      </c>
      <c r="H33" s="102">
        <v>0</v>
      </c>
      <c r="I33" s="103">
        <f>SUM(I2:I32)</f>
        <v>3544</v>
      </c>
      <c r="J33" s="104">
        <v>0</v>
      </c>
      <c r="K33" s="105">
        <v>0</v>
      </c>
      <c r="L33" s="102">
        <v>0</v>
      </c>
      <c r="M33" s="106">
        <f t="shared" ref="M33:O33" si="1">SUM(M2:M32)</f>
        <v>233</v>
      </c>
      <c r="N33" s="106">
        <f t="shared" si="1"/>
        <v>611</v>
      </c>
      <c r="O33" s="106">
        <f t="shared" si="1"/>
        <v>1595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>
        <v>26</v>
      </c>
      <c r="W10" s="71">
        <v>76</v>
      </c>
      <c r="X10" s="71">
        <v>176</v>
      </c>
      <c r="Y10" s="17"/>
    </row>
    <row r="11" spans="1:25" ht="21" customHeight="1" x14ac:dyDescent="0.25">
      <c r="A11" s="8">
        <v>44416</v>
      </c>
      <c r="B11" s="1">
        <v>1032.9000000000001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>
        <v>25</v>
      </c>
      <c r="W11" s="71">
        <v>69</v>
      </c>
      <c r="X11" s="71">
        <v>159</v>
      </c>
      <c r="Y11" s="17"/>
    </row>
    <row r="12" spans="1:25" ht="21" customHeight="1" x14ac:dyDescent="0.25">
      <c r="A12" s="8">
        <v>44417</v>
      </c>
      <c r="B12" s="1">
        <v>1034.2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71">
        <v>24</v>
      </c>
      <c r="W12" s="71">
        <v>64</v>
      </c>
      <c r="X12" s="71">
        <v>158</v>
      </c>
      <c r="Y12" s="17"/>
    </row>
    <row r="13" spans="1:25" ht="21" customHeight="1" x14ac:dyDescent="0.25">
      <c r="A13" s="8">
        <v>44418</v>
      </c>
      <c r="B13" s="1">
        <v>1035.5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71"/>
      <c r="W13" s="71"/>
      <c r="X13" s="71"/>
      <c r="Y13" s="17"/>
    </row>
    <row r="14" spans="1:25" ht="21" customHeight="1" x14ac:dyDescent="0.25">
      <c r="A14" s="8">
        <v>44419</v>
      </c>
      <c r="B14" s="1">
        <v>1036.8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71"/>
      <c r="W14" s="71"/>
      <c r="X14" s="71"/>
      <c r="Y14" s="17"/>
    </row>
    <row r="15" spans="1:25" ht="21" customHeight="1" x14ac:dyDescent="0.25">
      <c r="A15" s="8">
        <v>44420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233</v>
      </c>
      <c r="W35" s="78">
        <f>SUM(W4:W34)</f>
        <v>611</v>
      </c>
      <c r="X35" s="78">
        <f>SUM(X4:X34)</f>
        <v>1595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16619.999999999891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495.61000000030072</v>
      </c>
    </row>
    <row r="9" spans="1:22" x14ac:dyDescent="0.25">
      <c r="A9" s="3">
        <f>'Kwh Reading'!A9</f>
        <v>44414</v>
      </c>
      <c r="B9" s="26">
        <f>TOTAL!E7</f>
        <v>27349.999999999909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12301.529999999319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</f>
        <v>1400.0000000000909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5571.0000000009131</v>
      </c>
    </row>
    <row r="11" spans="1:22" x14ac:dyDescent="0.25">
      <c r="A11" s="3">
        <f>'Kwh Reading'!A11</f>
        <v>44416</v>
      </c>
      <c r="B11" s="26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</f>
        <v>1299.9999999999545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4">
        <f>'Kwh Reading'!E12-'Kwh Reading'!E11</f>
        <v>3161.2099999999627</v>
      </c>
      <c r="T11" s="34">
        <f>'Kwh Reading'!D12-'Kwh Reading'!D11</f>
        <v>2162.5400000000373</v>
      </c>
      <c r="U11" s="27">
        <f>('Kwh Reading'!O12-'Kwh Reading'!O11)*1000</f>
        <v>219.99999999999886</v>
      </c>
      <c r="V11" s="16">
        <f t="shared" si="1"/>
        <v>6596.249999997819</v>
      </c>
    </row>
    <row r="12" spans="1:22" x14ac:dyDescent="0.25">
      <c r="A12" s="3">
        <f>'Kwh Reading'!A12</f>
        <v>44417</v>
      </c>
      <c r="B12" s="26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</f>
        <v>1299.9999999999545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4">
        <f>'Kwh Reading'!E13-'Kwh Reading'!E12</f>
        <v>3697.0299999993294</v>
      </c>
      <c r="T12" s="34">
        <f>'Kwh Reading'!D13-'Kwh Reading'!D12</f>
        <v>2400.3400000007823</v>
      </c>
      <c r="U12" s="27">
        <f>('Kwh Reading'!O13-'Kwh Reading'!O12)*1000</f>
        <v>230.00000000001819</v>
      </c>
      <c r="V12" s="16">
        <f t="shared" si="1"/>
        <v>7032.6300000000774</v>
      </c>
    </row>
    <row r="13" spans="1:22" x14ac:dyDescent="0.25">
      <c r="A13" s="3">
        <f>'Kwh Reading'!A13</f>
        <v>44418</v>
      </c>
      <c r="B13" s="26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</f>
        <v>1299.9999999999545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4">
        <f>'Kwh Reading'!E14-'Kwh Reading'!E13</f>
        <v>3756.2099999999627</v>
      </c>
      <c r="T13" s="34">
        <f>'Kwh Reading'!D14-'Kwh Reading'!D13</f>
        <v>2288.9499999992549</v>
      </c>
      <c r="U13" s="27">
        <f>('Kwh Reading'!O14-'Kwh Reading'!O13)*1000</f>
        <v>219.99999999999886</v>
      </c>
      <c r="V13" s="16">
        <f t="shared" si="1"/>
        <v>7534.8400000010588</v>
      </c>
    </row>
    <row r="14" spans="1:22" x14ac:dyDescent="0.25">
      <c r="A14" s="3">
        <f>'Kwh Reading'!A14</f>
        <v>44419</v>
      </c>
      <c r="B14" s="26">
        <f>TOTAL!E12</f>
        <v>0</v>
      </c>
      <c r="C14" s="4">
        <f>('Kwh Reading'!T15-'Kwh Reading'!T14)*1000</f>
        <v>-439550</v>
      </c>
      <c r="D14" s="2">
        <f>('Kwh Reading'!F15-'Kwh Reading'!F14)*1000000</f>
        <v>-2480400</v>
      </c>
      <c r="E14" s="2">
        <f>('Kwh Reading'!C15-'Kwh Reading'!C14)*1000</f>
        <v>-239420</v>
      </c>
      <c r="F14" s="2">
        <f>('Kwh Reading'!J15-'Kwh Reading'!J14)*1000</f>
        <v>-326970</v>
      </c>
      <c r="G14" s="2">
        <f>('Kwh Reading'!K15-'Kwh Reading'!K14)*1000</f>
        <v>-352420</v>
      </c>
      <c r="H14" s="2">
        <f>('Kwh Reading'!L15-'Kwh Reading'!L14)*1000</f>
        <v>-242100</v>
      </c>
      <c r="I14" s="2">
        <f>('Kwh Reading'!R15-'Kwh Reading'!R14)*1000</f>
        <v>-168810</v>
      </c>
      <c r="J14" s="2">
        <f>('Kwh Reading'!S15-'Kwh Reading'!S14)*1000</f>
        <v>-120250</v>
      </c>
      <c r="K14" s="2">
        <f>('Kwh Reading'!I15-'Kwh Reading'!I14)*1000</f>
        <v>-249540</v>
      </c>
      <c r="L14" s="2">
        <f>('Kwh Reading'!B15-'Kwh Reading'!B14)*1000</f>
        <v>-1036800</v>
      </c>
      <c r="M14" s="2">
        <f>('Kwh Reading'!M15-'Kwh Reading'!M14)*1000</f>
        <v>-549490</v>
      </c>
      <c r="N14" s="2">
        <f>('Kwh Reading'!H15-'Kwh Reading'!H14)*1000</f>
        <v>-640960</v>
      </c>
      <c r="O14" s="2">
        <f>('Kwh Reading'!P15-'Kwh Reading'!P14)*1000</f>
        <v>-661160</v>
      </c>
      <c r="P14" s="2">
        <f>('Kwh Reading'!G15-'Kwh Reading'!G14)*1000</f>
        <v>-780870</v>
      </c>
      <c r="Q14" s="2">
        <f>('Kwh Reading'!Q15-'Kwh Reading'!Q14)*1000</f>
        <v>-490030</v>
      </c>
      <c r="R14" s="2">
        <f>('Kwh Reading'!N15-'Kwh Reading'!N14)*1000</f>
        <v>-501990</v>
      </c>
      <c r="S14" s="34">
        <f>'Kwh Reading'!E15-'Kwh Reading'!E14</f>
        <v>-8316315.5199999996</v>
      </c>
      <c r="T14" s="34">
        <f>'Kwh Reading'!D15-'Kwh Reading'!D14</f>
        <v>-7577866.4299999997</v>
      </c>
      <c r="U14" s="27">
        <f>('Kwh Reading'!O15-'Kwh Reading'!O14)*1000</f>
        <v>-160840</v>
      </c>
      <c r="V14" s="16">
        <f t="shared" si="1"/>
        <v>25335781.949999999</v>
      </c>
    </row>
    <row r="15" spans="1:22" x14ac:dyDescent="0.25">
      <c r="A15" s="3">
        <f>'Kwh Reading'!A15</f>
        <v>44420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44421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44422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44423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231159.99999999965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-324199.99999999994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-166730</v>
      </c>
      <c r="J35" s="75">
        <f t="shared" si="6"/>
        <v>-119010</v>
      </c>
      <c r="K35" s="75">
        <f t="shared" si="6"/>
        <v>-246180.00000000003</v>
      </c>
      <c r="L35" s="75">
        <f t="shared" si="6"/>
        <v>-1023100.0000000001</v>
      </c>
      <c r="M35" s="75">
        <f t="shared" si="6"/>
        <v>-542350</v>
      </c>
      <c r="N35" s="75">
        <f t="shared" si="6"/>
        <v>-635870</v>
      </c>
      <c r="O35" s="75">
        <f t="shared" si="6"/>
        <v>-651110</v>
      </c>
      <c r="P35" s="75">
        <f t="shared" si="6"/>
        <v>-771870</v>
      </c>
      <c r="Q35" s="75">
        <f t="shared" si="6"/>
        <v>-483180.00000000006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</v>
      </c>
      <c r="V35" s="75">
        <f>SUM(V4:V34)</f>
        <v>25405509.099999998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16619.999999999891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495.61000000030253</v>
      </c>
    </row>
    <row r="8" spans="1:12" x14ac:dyDescent="0.25">
      <c r="A8" s="14">
        <f>'Kwh Reading'!A9</f>
        <v>44414</v>
      </c>
      <c r="B8" s="83">
        <f>TOTAL!E7</f>
        <v>27349.999999999909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12301.529999999322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1730.0000000001035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5571.0000000009077</v>
      </c>
    </row>
    <row r="10" spans="1:12" x14ac:dyDescent="0.25">
      <c r="A10" s="14">
        <f>'Kwh Reading'!A11</f>
        <v>44416</v>
      </c>
      <c r="B10" s="83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6">
        <f>('Kwh Consumption'!I11+'Kwh Consumption'!J11)</f>
        <v>340.00000000001762</v>
      </c>
      <c r="H10" s="1">
        <f>('Kwh Consumption'!K11+'Kwh Consumption'!L11)</f>
        <v>1639.9999999999579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2">
        <f t="shared" si="0"/>
        <v>6596.2499999978254</v>
      </c>
    </row>
    <row r="11" spans="1:12" x14ac:dyDescent="0.25">
      <c r="A11" s="14">
        <f>'Kwh Reading'!A12</f>
        <v>44417</v>
      </c>
      <c r="B11" s="83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6">
        <f>('Kwh Consumption'!I12+'Kwh Consumption'!J12)</f>
        <v>379.99999999998124</v>
      </c>
      <c r="H11" s="1">
        <f>('Kwh Consumption'!K12+'Kwh Consumption'!L12)</f>
        <v>1639.9999999999295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2">
        <f t="shared" si="0"/>
        <v>7032.6300000000811</v>
      </c>
    </row>
    <row r="12" spans="1:12" x14ac:dyDescent="0.25">
      <c r="A12" s="14">
        <f>'Kwh Reading'!A13</f>
        <v>44418</v>
      </c>
      <c r="B12" s="83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6">
        <f>('Kwh Consumption'!I13+'Kwh Consumption'!J13)</f>
        <v>430.00000000000682</v>
      </c>
      <c r="H12" s="1">
        <f>('Kwh Consumption'!K13+'Kwh Consumption'!L13)</f>
        <v>1669.9999999999591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2">
        <f t="shared" si="0"/>
        <v>7534.8400000010524</v>
      </c>
    </row>
    <row r="13" spans="1:12" x14ac:dyDescent="0.25">
      <c r="A13" s="14">
        <f>'Kwh Reading'!A14</f>
        <v>44419</v>
      </c>
      <c r="B13" s="83">
        <f>TOTAL!E12</f>
        <v>0</v>
      </c>
      <c r="C13" s="1">
        <f>'Kwh Consumption'!C14</f>
        <v>-439550</v>
      </c>
      <c r="D13" s="1">
        <f>'Kwh Consumption'!D14</f>
        <v>-2480400</v>
      </c>
      <c r="E13" s="1">
        <f>'Kwh Consumption'!E14</f>
        <v>-239420</v>
      </c>
      <c r="F13" s="1">
        <f>('Kwh Consumption'!F14+'Kwh Consumption'!G14+'Kwh Consumption'!H14)</f>
        <v>-921490</v>
      </c>
      <c r="G13" s="16">
        <f>('Kwh Consumption'!I14+'Kwh Consumption'!J14)</f>
        <v>-289060</v>
      </c>
      <c r="H13" s="1">
        <f>('Kwh Consumption'!K14+'Kwh Consumption'!L14)</f>
        <v>-1286340</v>
      </c>
      <c r="I13" s="1">
        <f>('Kwh Consumption'!M14+'Kwh Consumption'!N14+'Kwh Consumption'!O14+'Kwh Consumption'!P14+'Kwh Consumption'!Q14+'Kwh Consumption'!R14)</f>
        <v>-3624500</v>
      </c>
      <c r="J13" s="1">
        <f>('Kwh Consumption'!S14+'Kwh Consumption'!T14)</f>
        <v>-15894181.949999999</v>
      </c>
      <c r="K13" s="1">
        <f>'Kwh Consumption'!U14</f>
        <v>-160840</v>
      </c>
      <c r="L13" s="32">
        <f t="shared" si="0"/>
        <v>25335781.949999999</v>
      </c>
    </row>
    <row r="14" spans="1:12" x14ac:dyDescent="0.25">
      <c r="A14" s="14">
        <f>'Kwh Reading'!A15</f>
        <v>44420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44421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44422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44423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227109.99999999901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</v>
      </c>
      <c r="K34" s="75">
        <f t="shared" si="1"/>
        <v>-158490</v>
      </c>
      <c r="L34" s="75">
        <f t="shared" si="1"/>
        <v>25401459.099999998</v>
      </c>
      <c r="M34" s="84">
        <f>C34+D34+E34+F34+G34+H34+I34+J34+K34+L34</f>
        <v>227109.99999999627</v>
      </c>
    </row>
    <row r="36" spans="1:13" ht="15.75" x14ac:dyDescent="0.25">
      <c r="A36" s="85" t="s">
        <v>64</v>
      </c>
      <c r="B36" s="86">
        <f>TOTAL!F2</f>
        <v>0.15</v>
      </c>
      <c r="C36" s="75">
        <f>C34*B36</f>
        <v>-65241</v>
      </c>
      <c r="D36" s="75">
        <f>D34*B36</f>
        <v>-368400</v>
      </c>
      <c r="E36" s="75">
        <f>E34*B36</f>
        <v>-35551.5</v>
      </c>
      <c r="F36" s="75">
        <f>F34*B36</f>
        <v>-137082</v>
      </c>
      <c r="G36" s="75">
        <f>G34*B36</f>
        <v>-42861</v>
      </c>
      <c r="H36" s="75">
        <f>H34*B36</f>
        <v>-190392</v>
      </c>
      <c r="I36" s="75">
        <f>I34*B36</f>
        <v>-536905.5</v>
      </c>
      <c r="J36" s="75">
        <f>J34*B36</f>
        <v>-2375945.8649999998</v>
      </c>
      <c r="K36" s="75">
        <f>K34*B36</f>
        <v>-23773.5</v>
      </c>
      <c r="L36" s="75">
        <f>L34*B36</f>
        <v>3810218.8649999993</v>
      </c>
      <c r="M36" s="84">
        <f>C36+D36+E36+F36+G36+H36+I36+J36+K36+L36</f>
        <v>34066.499999999534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6">
        <f>('Kwh Consumption'!I4+'Kwh Consumption'!J4)*' Kwh area wise $ '!B3</f>
        <v>51.000000000000512</v>
      </c>
      <c r="I3" s="1">
        <f>('Kwh Consumption'!K4+'Kwh Consumption'!L4)*' Kwh area wise $ '!B3</f>
        <v>262.49999999999574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1437.9255000000137</v>
      </c>
    </row>
    <row r="4" spans="1:13" x14ac:dyDescent="0.25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6">
        <f>('Kwh Consumption'!I5+'Kwh Consumption'!J5)*' Kwh area wise $ '!B4</f>
        <v>43.499999999998806</v>
      </c>
      <c r="I4" s="1">
        <f>('Kwh Consumption'!K5+'Kwh Consumption'!L5)*' Kwh area wise $ '!B4</f>
        <v>258.00000000001262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883.23149999981706</v>
      </c>
    </row>
    <row r="5" spans="1:13" x14ac:dyDescent="0.25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6">
        <f>('Kwh Consumption'!I6+'Kwh Consumption'!J6)*' Kwh area wise $ '!B5</f>
        <v>45.000000000001705</v>
      </c>
      <c r="I5" s="1">
        <f>('Kwh Consumption'!K6+'Kwh Consumption'!L6)*' Kwh area wise $ '!B5</f>
        <v>272.99999999999898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1127.3745000002755</v>
      </c>
    </row>
    <row r="6" spans="1:13" x14ac:dyDescent="0.25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6">
        <f>('Kwh Consumption'!I7+'Kwh Consumption'!J7)*' Kwh area wise $ '!B6</f>
        <v>43.499999999998806</v>
      </c>
      <c r="I6" s="1">
        <f>('Kwh Consumption'!K7+'Kwh Consumption'!L7)*' Kwh area wise $ '!B6</f>
        <v>274.50000000000188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1080.7619999999904</v>
      </c>
    </row>
    <row r="7" spans="1:13" x14ac:dyDescent="0.25">
      <c r="A7" s="14">
        <f>'Kwh Reading'!A8</f>
        <v>44413</v>
      </c>
      <c r="B7" s="11">
        <f>TOTAL!F6</f>
        <v>0.15</v>
      </c>
      <c r="C7" s="11">
        <f>'Kwh Consumption'!B8*' Kwh area wise $ '!B7</f>
        <v>2492.9999999999836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6">
        <f>('Kwh Consumption'!I8+'Kwh Consumption'!J8)*' Kwh area wise $ '!B7</f>
        <v>48.000000000001108</v>
      </c>
      <c r="I7" s="1">
        <f>('Kwh Consumption'!K8+'Kwh Consumption'!L8)*' Kwh area wise $ '!B7</f>
        <v>259.49999999998141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74.341500000045102</v>
      </c>
    </row>
    <row r="8" spans="1:13" x14ac:dyDescent="0.25">
      <c r="A8" s="14">
        <f>'Kwh Reading'!A9</f>
        <v>44414</v>
      </c>
      <c r="B8" s="11">
        <f>TOTAL!F7</f>
        <v>0.15</v>
      </c>
      <c r="C8" s="11">
        <f>'Kwh Consumption'!B9*' Kwh area wise $ '!B8</f>
        <v>4102.4999999999864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6">
        <f>('Kwh Consumption'!I9+'Kwh Consumption'!J9)*' Kwh area wise $ '!B8</f>
        <v>48.000000000001108</v>
      </c>
      <c r="I8" s="1">
        <f>('Kwh Consumption'!K9+'Kwh Consumption'!L9)*' Kwh area wise $ '!B8</f>
        <v>229.50000000000443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1845.2294999998976</v>
      </c>
    </row>
    <row r="9" spans="1:13" x14ac:dyDescent="0.25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259.50000000001552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835.65000000013697</v>
      </c>
    </row>
    <row r="10" spans="1:13" x14ac:dyDescent="0.25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6">
        <f>('Kwh Consumption'!I11+'Kwh Consumption'!J11)*' Kwh area wise $ '!B10</f>
        <v>51.000000000002643</v>
      </c>
      <c r="I10" s="1">
        <f>('Kwh Consumption'!K11+'Kwh Consumption'!L11)*' Kwh area wise $ '!B10</f>
        <v>245.99999999999369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989.43749999967281</v>
      </c>
    </row>
    <row r="11" spans="1:13" x14ac:dyDescent="0.25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6">
        <f>('Kwh Consumption'!I12+'Kwh Consumption'!J12)*' Kwh area wise $ '!B11</f>
        <v>56.999999999997186</v>
      </c>
      <c r="I11" s="1">
        <f>('Kwh Consumption'!K12+'Kwh Consumption'!L12)*' Kwh area wise $ '!B11</f>
        <v>245.99999999998943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1054.8945000000115</v>
      </c>
    </row>
    <row r="12" spans="1:13" x14ac:dyDescent="0.25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6">
        <f>('Kwh Consumption'!I13+'Kwh Consumption'!J13)*' Kwh area wise $ '!B12</f>
        <v>64.500000000001023</v>
      </c>
      <c r="I12" s="1">
        <f>('Kwh Consumption'!K13+'Kwh Consumption'!L13)*' Kwh area wise $ '!B12</f>
        <v>250.49999999999386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1130.2260000001588</v>
      </c>
    </row>
    <row r="13" spans="1:13" x14ac:dyDescent="0.25">
      <c r="A13" s="14">
        <f>'Kwh Reading'!A14</f>
        <v>44419</v>
      </c>
      <c r="B13" s="11">
        <f>TOTAL!F12</f>
        <v>0.15</v>
      </c>
      <c r="C13" s="11">
        <f>'Kwh Consumption'!B14*' Kwh area wise $ '!B13</f>
        <v>0</v>
      </c>
      <c r="D13" s="1">
        <f>'Kwh Consumption'!C14*' Kwh area wise $ '!B13</f>
        <v>-65932.5</v>
      </c>
      <c r="E13" s="1">
        <f>'Kwh Consumption'!D14*' Kwh area wise $ '!B13</f>
        <v>-372060</v>
      </c>
      <c r="F13" s="1">
        <f>'Kwh Consumption'!E14*' Kwh area wise $ '!B13</f>
        <v>-35913</v>
      </c>
      <c r="G13" s="1">
        <f>('Kwh Consumption'!F14+'Kwh Consumption'!G14+'Kwh Consumption'!H14)*' Kwh area wise $ '!B13</f>
        <v>-138223.5</v>
      </c>
      <c r="H13" s="16">
        <f>('Kwh Consumption'!I14+'Kwh Consumption'!J14)*' Kwh area wise $ '!B13</f>
        <v>-43359</v>
      </c>
      <c r="I13" s="1">
        <f>('Kwh Consumption'!K14+'Kwh Consumption'!L14)*' Kwh area wise $ '!B13</f>
        <v>-192951</v>
      </c>
      <c r="J13" s="1">
        <f>('Kwh Consumption'!M14+'Kwh Consumption'!N14+'Kwh Consumption'!O14+'Kwh Consumption'!P14+'Kwh Consumption'!Q14+'Kwh Consumption'!R14)*' Kwh area wise $ '!B13</f>
        <v>-543675</v>
      </c>
      <c r="K13" s="1">
        <f>('Kwh Consumption'!S14+'Kwh Consumption'!T14)*' Kwh area wise $ '!B13</f>
        <v>-2384127.2925</v>
      </c>
      <c r="L13" s="1">
        <f>'Kwh Consumption'!U14*' Kwh area wise $ '!B13</f>
        <v>-24126</v>
      </c>
      <c r="M13" s="1">
        <f>'Kwh Consumption'!V14*' Kwh area wise $ '!B13</f>
        <v>3800367.2924999995</v>
      </c>
    </row>
    <row r="14" spans="1:13" x14ac:dyDescent="0.25">
      <c r="A14" s="14">
        <f>'Kwh Reading'!A15</f>
        <v>44420</v>
      </c>
      <c r="B14" s="11">
        <f>TOTAL!F13</f>
        <v>0.15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44421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44422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44423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44424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44425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34673.999999999949</v>
      </c>
      <c r="D34" s="75">
        <f t="shared" si="0"/>
        <v>-65241</v>
      </c>
      <c r="E34" s="75">
        <f t="shared" si="0"/>
        <v>-368400</v>
      </c>
      <c r="F34" s="75">
        <f t="shared" si="0"/>
        <v>-35551.5</v>
      </c>
      <c r="G34" s="75">
        <f t="shared" si="0"/>
        <v>-137082</v>
      </c>
      <c r="H34" s="75">
        <f t="shared" si="0"/>
        <v>-42861</v>
      </c>
      <c r="I34" s="75">
        <f t="shared" si="0"/>
        <v>-190392</v>
      </c>
      <c r="J34" s="75">
        <f t="shared" si="0"/>
        <v>-536905.5</v>
      </c>
      <c r="K34" s="75">
        <f t="shared" si="0"/>
        <v>-2375945.8650000002</v>
      </c>
      <c r="L34" s="75">
        <f t="shared" si="0"/>
        <v>-23773.5</v>
      </c>
      <c r="M34" s="75">
        <f>SUM(M3:M33)</f>
        <v>3810826.3649999998</v>
      </c>
      <c r="N34" s="84">
        <f>D34+E34+F34+G34+H34+I34+J34+K34+L34+M34</f>
        <v>34673.999999999534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3" sqref="R1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>
        <v>175554</v>
      </c>
      <c r="C11" s="33">
        <v>137362</v>
      </c>
      <c r="D11" s="55">
        <v>215566</v>
      </c>
      <c r="E11" s="55">
        <v>250149</v>
      </c>
      <c r="F11" s="55">
        <v>66962</v>
      </c>
      <c r="G11" s="55">
        <v>112333</v>
      </c>
      <c r="H11" s="33">
        <v>54588</v>
      </c>
      <c r="I11" s="55">
        <v>64662</v>
      </c>
      <c r="J11" s="55">
        <v>20753</v>
      </c>
      <c r="K11" s="55">
        <v>1024</v>
      </c>
      <c r="L11" s="55">
        <v>17529</v>
      </c>
      <c r="M11" s="55">
        <v>24782</v>
      </c>
      <c r="N11" s="55">
        <v>7457</v>
      </c>
      <c r="O11" s="55">
        <v>1709</v>
      </c>
      <c r="P11" s="55">
        <v>27359</v>
      </c>
      <c r="Q11" s="33">
        <v>815</v>
      </c>
      <c r="R11" s="55">
        <v>6450</v>
      </c>
    </row>
    <row r="12" spans="1:21" x14ac:dyDescent="0.25">
      <c r="A12" s="54">
        <v>44418</v>
      </c>
      <c r="B12" s="33">
        <v>175759</v>
      </c>
      <c r="C12" s="56">
        <v>137472</v>
      </c>
      <c r="D12" s="55">
        <v>215898</v>
      </c>
      <c r="E12" s="55">
        <v>250203</v>
      </c>
      <c r="F12" s="55">
        <v>66962</v>
      </c>
      <c r="G12" s="55">
        <v>112353</v>
      </c>
      <c r="H12" s="33">
        <v>54618</v>
      </c>
      <c r="I12" s="55">
        <v>64689</v>
      </c>
      <c r="J12" s="55">
        <v>20764</v>
      </c>
      <c r="K12" s="55">
        <v>1024</v>
      </c>
      <c r="L12" s="55">
        <v>17536</v>
      </c>
      <c r="M12" s="55">
        <v>24798</v>
      </c>
      <c r="N12" s="55">
        <v>7459</v>
      </c>
      <c r="O12" s="55">
        <v>1709</v>
      </c>
      <c r="P12" s="55">
        <v>27370</v>
      </c>
      <c r="Q12" s="33">
        <v>825</v>
      </c>
      <c r="R12" s="55">
        <v>6454</v>
      </c>
    </row>
    <row r="13" spans="1:21" x14ac:dyDescent="0.25">
      <c r="A13" s="54">
        <v>44419</v>
      </c>
      <c r="B13" s="56">
        <v>175924</v>
      </c>
      <c r="C13" s="33">
        <v>137631</v>
      </c>
      <c r="D13" s="55">
        <v>216153</v>
      </c>
      <c r="E13" s="55">
        <v>250255</v>
      </c>
      <c r="F13" s="55">
        <v>66963</v>
      </c>
      <c r="G13" s="55">
        <v>112369</v>
      </c>
      <c r="H13" s="33">
        <v>54650</v>
      </c>
      <c r="I13" s="55">
        <v>64708</v>
      </c>
      <c r="J13" s="55">
        <v>20775</v>
      </c>
      <c r="K13" s="55">
        <v>1024</v>
      </c>
      <c r="L13" s="55">
        <v>17543</v>
      </c>
      <c r="M13" s="55">
        <v>24812</v>
      </c>
      <c r="N13" s="55">
        <v>7460</v>
      </c>
      <c r="O13" s="55">
        <v>1711</v>
      </c>
      <c r="P13" s="55">
        <v>27370</v>
      </c>
      <c r="Q13" s="33">
        <v>830</v>
      </c>
      <c r="R13" s="55">
        <v>6464</v>
      </c>
    </row>
    <row r="14" spans="1:21" x14ac:dyDescent="0.25">
      <c r="A14" s="54">
        <v>44420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44421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44422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44423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44424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369</v>
      </c>
      <c r="C11" s="66">
        <f>('Water Reading'!B11-'Water Reading'!B10)+('Water Reading'!C11-'Water Reading'!C10)</f>
        <v>381</v>
      </c>
      <c r="D11" s="67">
        <f t="shared" si="2"/>
        <v>1.032520325203252</v>
      </c>
      <c r="E11" s="88">
        <f>'Water Reading'!H11-'Water Reading'!H10</f>
        <v>28</v>
      </c>
      <c r="F11" s="89">
        <f t="shared" si="3"/>
        <v>7.3490813648293962E-2</v>
      </c>
      <c r="G11" s="93">
        <f>('Water Reading'!D11-'Water Reading'!D10)-('Water Reading'!R11-'Water Reading'!R10)-('Water Reading'!Q11-'Water Reading'!Q10)</f>
        <v>190</v>
      </c>
      <c r="H11" s="89">
        <f t="shared" si="4"/>
        <v>0.49868766404199477</v>
      </c>
      <c r="I11" s="90">
        <f>'Water Reading'!P11-'Water Reading'!P10</f>
        <v>8</v>
      </c>
      <c r="J11" s="68">
        <f t="shared" si="5"/>
        <v>2.0997375328083989E-2</v>
      </c>
      <c r="K11" s="91">
        <f>('Water Reading'!I11-'Water Reading'!I10)-('Water Reading'!P11-'Water Reading'!P10)</f>
        <v>20</v>
      </c>
      <c r="L11" s="68">
        <f t="shared" si="6"/>
        <v>5.2493438320209973E-2</v>
      </c>
      <c r="M11" s="90">
        <f>'Water Reading'!R11-'Water Reading'!R10</f>
        <v>10</v>
      </c>
      <c r="N11" s="92">
        <f t="shared" si="7"/>
        <v>2.6246719160104987E-2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1</v>
      </c>
      <c r="R11" s="100">
        <f t="shared" si="9"/>
        <v>2.6246719160104987E-3</v>
      </c>
      <c r="S11" s="90">
        <f>'Water Reading'!E11-'Water Reading'!E10</f>
        <v>55</v>
      </c>
      <c r="T11" s="100">
        <f t="shared" si="10"/>
        <v>0.14435695538057744</v>
      </c>
      <c r="U11" s="90">
        <f>'Water Reading'!G11-'Water Reading'!G10</f>
        <v>20</v>
      </c>
      <c r="V11" s="100">
        <f t="shared" si="11"/>
        <v>5.2493438320209973E-2</v>
      </c>
      <c r="W11" s="90">
        <f>'Water Reading'!J11-'Water Reading'!J10</f>
        <v>11</v>
      </c>
      <c r="X11" s="100">
        <f t="shared" si="12"/>
        <v>2.8871391076115485E-2</v>
      </c>
      <c r="Y11" s="66">
        <f t="shared" si="0"/>
        <v>343</v>
      </c>
      <c r="Z11" s="67">
        <f t="shared" si="1"/>
        <v>0.92953929539295388</v>
      </c>
    </row>
    <row r="12" spans="1:26" x14ac:dyDescent="0.25">
      <c r="A12" s="8">
        <f>'Water Reading'!A11</f>
        <v>44417</v>
      </c>
      <c r="B12" s="65">
        <f>TOTAL!I10</f>
        <v>579</v>
      </c>
      <c r="C12" s="66">
        <f>('Water Reading'!B12-'Water Reading'!B11)+('Water Reading'!C12-'Water Reading'!C11)</f>
        <v>315</v>
      </c>
      <c r="D12" s="67">
        <f t="shared" si="2"/>
        <v>0.54404145077720212</v>
      </c>
      <c r="E12" s="88">
        <f>'Water Reading'!H12-'Water Reading'!H11</f>
        <v>30</v>
      </c>
      <c r="F12" s="89">
        <f t="shared" si="3"/>
        <v>9.5238095238095233E-2</v>
      </c>
      <c r="G12" s="93">
        <f>('Water Reading'!D12-'Water Reading'!D11)-('Water Reading'!R12-'Water Reading'!R11)-('Water Reading'!Q12-'Water Reading'!Q11)</f>
        <v>318</v>
      </c>
      <c r="H12" s="89">
        <f t="shared" si="4"/>
        <v>1.0095238095238095</v>
      </c>
      <c r="I12" s="90">
        <f>'Water Reading'!P12-'Water Reading'!P11</f>
        <v>11</v>
      </c>
      <c r="J12" s="68">
        <f t="shared" si="5"/>
        <v>3.4920634920634921E-2</v>
      </c>
      <c r="K12" s="91">
        <f>('Water Reading'!I12-'Water Reading'!I11)-('Water Reading'!P12-'Water Reading'!P11)</f>
        <v>16</v>
      </c>
      <c r="L12" s="68">
        <f t="shared" si="6"/>
        <v>5.0793650793650794E-2</v>
      </c>
      <c r="M12" s="90">
        <f>'Water Reading'!R12-'Water Reading'!R11</f>
        <v>4</v>
      </c>
      <c r="N12" s="92">
        <f t="shared" si="7"/>
        <v>1.2698412698412698E-2</v>
      </c>
      <c r="O12" s="98">
        <f>'Water Reading'!Q12-'Water Reading'!Q11</f>
        <v>10</v>
      </c>
      <c r="P12" s="99">
        <f t="shared" si="8"/>
        <v>3.1746031746031744E-2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54</v>
      </c>
      <c r="T12" s="100">
        <f t="shared" si="10"/>
        <v>0.17142857142857143</v>
      </c>
      <c r="U12" s="90">
        <f>'Water Reading'!G12-'Water Reading'!G11</f>
        <v>20</v>
      </c>
      <c r="V12" s="100">
        <f t="shared" si="11"/>
        <v>6.3492063492063489E-2</v>
      </c>
      <c r="W12" s="90">
        <f>'Water Reading'!J12-'Water Reading'!J11</f>
        <v>11</v>
      </c>
      <c r="X12" s="100">
        <f t="shared" si="12"/>
        <v>3.4920634920634921E-2</v>
      </c>
      <c r="Y12" s="66">
        <f t="shared" si="0"/>
        <v>474</v>
      </c>
      <c r="Z12" s="67">
        <f t="shared" si="1"/>
        <v>0.81865284974093266</v>
      </c>
    </row>
    <row r="13" spans="1:26" x14ac:dyDescent="0.25">
      <c r="A13" s="8">
        <f>'Water Reading'!A12</f>
        <v>44418</v>
      </c>
      <c r="B13" s="65">
        <f>TOTAL!I11</f>
        <v>179</v>
      </c>
      <c r="C13" s="66">
        <f>('Water Reading'!B13-'Water Reading'!B12)+('Water Reading'!C13-'Water Reading'!C12)</f>
        <v>324</v>
      </c>
      <c r="D13" s="67">
        <f t="shared" si="2"/>
        <v>1.8100558659217878</v>
      </c>
      <c r="E13" s="87">
        <f>'Water Reading'!H13-'Water Reading'!H12</f>
        <v>32</v>
      </c>
      <c r="F13" s="89">
        <f t="shared" si="3"/>
        <v>9.8765432098765427E-2</v>
      </c>
      <c r="G13" s="93">
        <f>('Water Reading'!D13-'Water Reading'!D12)-('Water Reading'!R13-'Water Reading'!R12)-('Water Reading'!Q13-'Water Reading'!Q12)</f>
        <v>240</v>
      </c>
      <c r="H13" s="89">
        <f t="shared" si="4"/>
        <v>0.7407407407407407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5.8641975308641972E-2</v>
      </c>
      <c r="M13" s="90">
        <f>'Water Reading'!R13-'Water Reading'!R12</f>
        <v>10</v>
      </c>
      <c r="N13" s="92">
        <f t="shared" si="7"/>
        <v>3.0864197530864196E-2</v>
      </c>
      <c r="O13" s="90">
        <f>'Water Reading'!Q13-'Water Reading'!Q12</f>
        <v>5</v>
      </c>
      <c r="P13" s="99">
        <f t="shared" si="8"/>
        <v>1.5432098765432098E-2</v>
      </c>
      <c r="Q13" s="91">
        <f>'Water Reading'!F13-'Water Reading'!F12</f>
        <v>1</v>
      </c>
      <c r="R13" s="100">
        <f t="shared" si="9"/>
        <v>3.0864197530864196E-3</v>
      </c>
      <c r="S13" s="94">
        <f>'Water Reading'!E13-'Water Reading'!E12</f>
        <v>52</v>
      </c>
      <c r="T13" s="100">
        <f t="shared" si="10"/>
        <v>0.16049382716049382</v>
      </c>
      <c r="U13" s="90">
        <f>'Water Reading'!G13-'Water Reading'!G12</f>
        <v>16</v>
      </c>
      <c r="V13" s="100">
        <f t="shared" si="11"/>
        <v>4.9382716049382713E-2</v>
      </c>
      <c r="W13" s="90">
        <f>'Water Reading'!J13-'Water Reading'!J12</f>
        <v>11</v>
      </c>
      <c r="X13" s="100">
        <f t="shared" si="12"/>
        <v>3.3950617283950615E-2</v>
      </c>
      <c r="Y13" s="66">
        <f t="shared" si="0"/>
        <v>386</v>
      </c>
      <c r="Z13" s="67">
        <f t="shared" si="1"/>
        <v>2.1564245810055866</v>
      </c>
    </row>
    <row r="14" spans="1:26" x14ac:dyDescent="0.25">
      <c r="A14" s="8">
        <f>'Water Reading'!A13</f>
        <v>44419</v>
      </c>
      <c r="B14" s="65">
        <f>TOTAL!I12</f>
        <v>0</v>
      </c>
      <c r="C14" s="66">
        <f>('Water Reading'!B14-'Water Reading'!B13)+('Water Reading'!C14-'Water Reading'!C13)</f>
        <v>-313555</v>
      </c>
      <c r="D14" s="67" t="e">
        <f t="shared" si="2"/>
        <v>#DIV/0!</v>
      </c>
      <c r="E14" s="88">
        <f>'Water Reading'!H14-'Water Reading'!H13</f>
        <v>-54650</v>
      </c>
      <c r="F14" s="89">
        <f t="shared" si="3"/>
        <v>0.17429159158680296</v>
      </c>
      <c r="G14" s="93">
        <f>('Water Reading'!D14-'Water Reading'!D13)-('Water Reading'!R14-'Water Reading'!R13)-('Water Reading'!Q14-'Water Reading'!Q13)</f>
        <v>-208859</v>
      </c>
      <c r="H14" s="89">
        <f t="shared" si="4"/>
        <v>0.66610004624388064</v>
      </c>
      <c r="I14" s="90">
        <f>'Water Reading'!P14-'Water Reading'!P13</f>
        <v>-27370</v>
      </c>
      <c r="J14" s="68">
        <f t="shared" si="5"/>
        <v>8.7289311285101492E-2</v>
      </c>
      <c r="K14" s="91">
        <f>('Water Reading'!I14-'Water Reading'!I13)-('Water Reading'!P14-'Water Reading'!P13)</f>
        <v>-37338</v>
      </c>
      <c r="L14" s="68">
        <f t="shared" si="6"/>
        <v>0.11907958731323054</v>
      </c>
      <c r="M14" s="90">
        <f>'Water Reading'!R14-'Water Reading'!R13</f>
        <v>-6464</v>
      </c>
      <c r="N14" s="92">
        <f t="shared" si="7"/>
        <v>2.0615203074420756E-2</v>
      </c>
      <c r="O14" s="90">
        <f>'Water Reading'!Q14-'Water Reading'!Q13</f>
        <v>-830</v>
      </c>
      <c r="P14" s="99">
        <f t="shared" si="8"/>
        <v>2.6470635135781603E-3</v>
      </c>
      <c r="Q14" s="91">
        <f>'Water Reading'!F14-'Water Reading'!F13</f>
        <v>-66963</v>
      </c>
      <c r="R14" s="100">
        <f t="shared" si="9"/>
        <v>0.21356061934907752</v>
      </c>
      <c r="S14" s="94">
        <f>'Water Reading'!E14-'Water Reading'!E13</f>
        <v>-250255</v>
      </c>
      <c r="T14" s="100">
        <f t="shared" si="10"/>
        <v>0.79812154167530414</v>
      </c>
      <c r="U14" s="90">
        <f>'Water Reading'!G14-'Water Reading'!G13</f>
        <v>-112369</v>
      </c>
      <c r="V14" s="100">
        <f t="shared" si="11"/>
        <v>0.3583709397075473</v>
      </c>
      <c r="W14" s="90">
        <f>'Water Reading'!J14-'Water Reading'!J13</f>
        <v>-20775</v>
      </c>
      <c r="X14" s="100">
        <f t="shared" si="12"/>
        <v>6.6256318668176231E-2</v>
      </c>
      <c r="Y14" s="66">
        <f t="shared" si="0"/>
        <v>-785873</v>
      </c>
      <c r="Z14" s="67" t="e">
        <f t="shared" si="1"/>
        <v>#DIV/0!</v>
      </c>
    </row>
    <row r="15" spans="1:26" x14ac:dyDescent="0.25">
      <c r="A15" s="8">
        <f>'Water Reading'!A14</f>
        <v>44420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44421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44422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44423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3693</v>
      </c>
      <c r="C35" s="75">
        <f>SUM(C4:C34)</f>
        <v>-309074</v>
      </c>
      <c r="D35" s="96">
        <f>C35/B35</f>
        <v>-83.691849444895752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-211.78120769022476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2021-08-11T04:54:34Z</dcterms:modified>
  <cp:category/>
  <cp:contentStatus/>
</cp:coreProperties>
</file>