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F16" i="119"/>
  <c r="F22" i="119"/>
  <c r="F24" i="119"/>
  <c r="D18" i="119"/>
  <c r="D26" i="119"/>
  <c r="D33" i="119"/>
  <c r="D34" i="119"/>
  <c r="F34" i="119"/>
  <c r="H33" i="119"/>
  <c r="I30" i="117" s="1"/>
  <c r="F33" i="119"/>
  <c r="H32" i="119"/>
  <c r="I29" i="117"/>
  <c r="F32" i="119"/>
  <c r="D32" i="119"/>
  <c r="H31" i="119"/>
  <c r="I28" i="117"/>
  <c r="F31" i="119"/>
  <c r="D31" i="119"/>
  <c r="H30" i="119"/>
  <c r="I27" i="117" s="1"/>
  <c r="F30" i="119"/>
  <c r="D30" i="119"/>
  <c r="H29" i="119"/>
  <c r="I26" i="117" s="1"/>
  <c r="F29" i="119"/>
  <c r="D29" i="119"/>
  <c r="H28" i="119"/>
  <c r="I25" i="117" s="1"/>
  <c r="F28" i="119"/>
  <c r="D28" i="119"/>
  <c r="H27" i="119"/>
  <c r="I24" i="117"/>
  <c r="F27" i="119"/>
  <c r="D27" i="119"/>
  <c r="H26" i="119"/>
  <c r="I23" i="117"/>
  <c r="F26" i="119"/>
  <c r="H25" i="119"/>
  <c r="I22" i="117"/>
  <c r="F25" i="119"/>
  <c r="D25" i="119"/>
  <c r="H24" i="119"/>
  <c r="I21" i="117"/>
  <c r="D24" i="119"/>
  <c r="H23" i="119"/>
  <c r="I20" i="117" s="1"/>
  <c r="F23" i="119"/>
  <c r="D23" i="119"/>
  <c r="H22" i="119"/>
  <c r="I19" i="117" s="1"/>
  <c r="D22" i="119"/>
  <c r="H21" i="119"/>
  <c r="I18" i="117" s="1"/>
  <c r="F21" i="119"/>
  <c r="D21" i="119"/>
  <c r="H20" i="119"/>
  <c r="I17" i="117" s="1"/>
  <c r="F20" i="119"/>
  <c r="D20" i="119"/>
  <c r="H19" i="119"/>
  <c r="I16" i="117" s="1"/>
  <c r="F19" i="119"/>
  <c r="D19" i="119"/>
  <c r="H18" i="119"/>
  <c r="I15" i="117" s="1"/>
  <c r="F18" i="119"/>
  <c r="H17" i="119"/>
  <c r="I14" i="117" s="1"/>
  <c r="F17" i="119"/>
  <c r="D17" i="119"/>
  <c r="H16" i="119"/>
  <c r="I13" i="117" s="1"/>
  <c r="D16" i="119"/>
  <c r="H15" i="119"/>
  <c r="I12" i="117" s="1"/>
  <c r="F15" i="119"/>
  <c r="D15" i="119"/>
  <c r="H14" i="119"/>
  <c r="I11" i="117" s="1"/>
  <c r="D14" i="119"/>
  <c r="H13" i="119"/>
  <c r="I10" i="117" s="1"/>
  <c r="F13" i="119"/>
  <c r="D13" i="119"/>
  <c r="H12" i="119"/>
  <c r="I9" i="117" s="1"/>
  <c r="F12" i="119"/>
  <c r="D12" i="119"/>
  <c r="H11" i="119"/>
  <c r="I8" i="117" s="1"/>
  <c r="F11" i="119"/>
  <c r="D11" i="119"/>
  <c r="H10" i="119"/>
  <c r="I7" i="117" s="1"/>
  <c r="F10" i="119"/>
  <c r="D10" i="119"/>
  <c r="H9" i="119"/>
  <c r="I6" i="117" s="1"/>
  <c r="F9" i="119"/>
  <c r="D9" i="119"/>
  <c r="H8" i="119"/>
  <c r="I5" i="117" s="1"/>
  <c r="F8" i="119"/>
  <c r="D8" i="119"/>
  <c r="H7" i="119"/>
  <c r="I4" i="117" s="1"/>
  <c r="F7" i="119"/>
  <c r="D7" i="119"/>
  <c r="H6" i="119"/>
  <c r="I3" i="117" s="1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<sst xmlns="http://schemas.openxmlformats.org/spreadsheetml/2006/main" count="55" uniqueCount="25">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</sst>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P11" sqref="P1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11</v>
      </c>
      <c r="D2" s="7">
        <v>2021</v>
      </c>
      <c r="E2" s="9">
        <v>29343.999999999687</v>
      </c>
      <c r="F2" s="30">
        <v>0.71699999999999997</v>
      </c>
      <c r="G2" s="9">
        <v>1452</v>
      </c>
      <c r="H2" s="30">
        <v>4.3899999999999997</v>
      </c>
      <c r="I2" s="9">
        <f>'Shenzhen Daily'!H5</f>
        <v>408</v>
      </c>
      <c r="J2" s="30">
        <v>5.09</v>
      </c>
      <c r="K2" s="9">
        <f>'Shenzhen Daily'!I5</f>
        <v>223</v>
      </c>
      <c r="L2" s="9">
        <f>'Shenzhen Daily'!J5</f>
        <v>312</v>
      </c>
    </row>
    <row r="3" spans="1:12" ht="15" x14ac:dyDescent="0.25">
      <c r="A3" s="6" t="s">
        <v>22</v>
      </c>
      <c r="B3" s="7">
        <f>B2+1</f>
        <v>2</v>
      </c>
      <c r="C3" s="8">
        <v>11</v>
      </c>
      <c r="D3" s="7">
        <v>2021</v>
      </c>
      <c r="E3" s="9">
        <v>28181.999999999211</v>
      </c>
      <c r="F3" s="30">
        <v>0.71699999999999997</v>
      </c>
      <c r="G3" s="9">
        <v>1569</v>
      </c>
      <c r="H3" s="30">
        <v>4.3899999999999997</v>
      </c>
      <c r="I3" s="9">
        <f>'Shenzhen Daily'!H6</f>
        <v>443</v>
      </c>
      <c r="J3" s="30">
        <v>5.09</v>
      </c>
      <c r="K3" s="9">
        <f>'Shenzhen Daily'!I6</f>
        <v>248</v>
      </c>
      <c r="L3" s="9">
        <f>'Shenzhen Daily'!J6</f>
        <v>399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11</v>
      </c>
      <c r="D4" s="7">
        <v>2021</v>
      </c>
      <c r="E4" s="9">
        <v>28983.000000000444</v>
      </c>
      <c r="F4" s="30">
        <v>0.71699999999999997</v>
      </c>
      <c r="G4" s="9">
        <v>1538</v>
      </c>
      <c r="H4" s="30">
        <v>4.3899999999999997</v>
      </c>
      <c r="I4" s="9">
        <f>'Shenzhen Daily'!H7</f>
        <v>423</v>
      </c>
      <c r="J4" s="30">
        <v>5.09</v>
      </c>
      <c r="K4" s="9">
        <f>'Shenzhen Daily'!I7</f>
        <v>255</v>
      </c>
      <c r="L4" s="9">
        <f>'Shenzhen Daily'!J7</f>
        <v>466</v>
      </c>
    </row>
    <row r="5" spans="1:12" ht="15" x14ac:dyDescent="0.25">
      <c r="A5" s="6" t="s">
        <v>22</v>
      </c>
      <c r="B5" s="7">
        <f t="shared" si="0"/>
        <v>4</v>
      </c>
      <c r="C5" s="8">
        <v>11</v>
      </c>
      <c r="D5" s="7">
        <v>2021</v>
      </c>
      <c r="E5" s="9">
        <v>31958.00000000096</v>
      </c>
      <c r="F5" s="30">
        <v>0.71699999999999997</v>
      </c>
      <c r="G5" s="9">
        <v>1475</v>
      </c>
      <c r="H5" s="30">
        <v>4.3899999999999997</v>
      </c>
      <c r="I5" s="9">
        <f>'Shenzhen Daily'!H8</f>
        <v>445</v>
      </c>
      <c r="J5" s="30">
        <v>5.09</v>
      </c>
      <c r="K5" s="9">
        <f>'Shenzhen Daily'!I8</f>
        <v>240</v>
      </c>
      <c r="L5" s="9">
        <f>'Shenzhen Daily'!J8</f>
        <v>390</v>
      </c>
    </row>
    <row r="6" spans="1:12" ht="15" x14ac:dyDescent="0.25">
      <c r="A6" s="6" t="s">
        <v>22</v>
      </c>
      <c r="B6" s="7">
        <f t="shared" si="0"/>
        <v>5</v>
      </c>
      <c r="C6" s="8">
        <v>11</v>
      </c>
      <c r="D6" s="7">
        <v>2021</v>
      </c>
      <c r="E6" s="9">
        <v>32075.999999998963</v>
      </c>
      <c r="F6" s="30">
        <v>0.71699999999999997</v>
      </c>
      <c r="G6" s="9">
        <v>1467</v>
      </c>
      <c r="H6" s="30">
        <v>4.3899999999999997</v>
      </c>
      <c r="I6" s="9">
        <f>'Shenzhen Daily'!H9</f>
        <v>467</v>
      </c>
      <c r="J6" s="30">
        <v>5.09</v>
      </c>
      <c r="K6" s="9">
        <f>'Shenzhen Daily'!I9</f>
        <v>246</v>
      </c>
      <c r="L6" s="9">
        <f>'Shenzhen Daily'!J9</f>
        <v>514</v>
      </c>
    </row>
    <row r="7" spans="1:12" ht="15" x14ac:dyDescent="0.25">
      <c r="A7" s="6" t="s">
        <v>22</v>
      </c>
      <c r="B7" s="7">
        <f t="shared" si="0"/>
        <v>6</v>
      </c>
      <c r="C7" s="8">
        <v>11</v>
      </c>
      <c r="D7" s="7">
        <v>2021</v>
      </c>
      <c r="E7" s="9">
        <v>34053.000000000422</v>
      </c>
      <c r="F7" s="30">
        <v>0.71699999999999997</v>
      </c>
      <c r="G7" s="9">
        <v>1748</v>
      </c>
      <c r="H7" s="30">
        <v>4.3899999999999997</v>
      </c>
      <c r="I7" s="9">
        <f>'Shenzhen Daily'!H10</f>
        <v>539</v>
      </c>
      <c r="J7" s="30">
        <v>5.09</v>
      </c>
      <c r="K7" s="9">
        <f>'Shenzhen Daily'!I10</f>
        <v>232</v>
      </c>
      <c r="L7" s="9">
        <f>'Shenzhen Daily'!J10</f>
        <v>534</v>
      </c>
    </row>
    <row r="8" spans="1:12" ht="15" x14ac:dyDescent="0.25">
      <c r="A8" s="6" t="s">
        <v>22</v>
      </c>
      <c r="B8" s="7">
        <f t="shared" si="0"/>
        <v>7</v>
      </c>
      <c r="C8" s="8">
        <v>11</v>
      </c>
      <c r="D8" s="7">
        <v>2021</v>
      </c>
      <c r="E8" s="9">
        <v>32864.999999999927</v>
      </c>
      <c r="F8" s="30">
        <v>0.71699999999999997</v>
      </c>
      <c r="G8" s="9">
        <v>1465</v>
      </c>
      <c r="H8" s="30">
        <v>4.3899999999999997</v>
      </c>
      <c r="I8" s="9">
        <f>'Shenzhen Daily'!H11</f>
        <v>460</v>
      </c>
      <c r="J8" s="30">
        <v>5.09</v>
      </c>
      <c r="K8" s="9">
        <f>'Shenzhen Daily'!I11</f>
        <v>144</v>
      </c>
      <c r="L8" s="9">
        <f>'Shenzhen Daily'!J11</f>
        <v>744</v>
      </c>
    </row>
    <row r="9" spans="1:12" ht="15" x14ac:dyDescent="0.25">
      <c r="A9" s="6" t="s">
        <v>22</v>
      </c>
      <c r="B9" s="7">
        <f t="shared" si="0"/>
        <v>8</v>
      </c>
      <c r="C9" s="8">
        <v>11</v>
      </c>
      <c r="D9" s="7">
        <v>2021</v>
      </c>
      <c r="E9" s="9">
        <v>27816.000000000262</v>
      </c>
      <c r="F9" s="30">
        <v>0.71699999999999997</v>
      </c>
      <c r="G9" s="9">
        <v>1552</v>
      </c>
      <c r="H9" s="30">
        <v>4.3899999999999997</v>
      </c>
      <c r="I9" s="9">
        <f>'Shenzhen Daily'!H12</f>
        <v>439</v>
      </c>
      <c r="J9" s="30">
        <v>5.09</v>
      </c>
      <c r="K9" s="9">
        <f>'Shenzhen Daily'!I12</f>
        <v>210</v>
      </c>
      <c r="L9" s="9">
        <f>'Shenzhen Daily'!J12</f>
        <v>317</v>
      </c>
    </row>
    <row r="10" spans="1:12" ht="15" x14ac:dyDescent="0.25">
      <c r="A10" s="6" t="s">
        <v>22</v>
      </c>
      <c r="B10" s="7">
        <f t="shared" si="0"/>
        <v>9</v>
      </c>
      <c r="C10" s="8">
        <v>11</v>
      </c>
      <c r="D10" s="7">
        <v>2021</v>
      </c>
      <c r="E10" s="9">
        <v>25701.00000000016</v>
      </c>
      <c r="F10" s="30">
        <v>0.71699999999999997</v>
      </c>
      <c r="G10" s="9">
        <v>1571</v>
      </c>
      <c r="H10" s="30">
        <v>4.3899999999999997</v>
      </c>
      <c r="I10" s="9">
        <f>'Shenzhen Daily'!H13</f>
        <v>447</v>
      </c>
      <c r="J10" s="30">
        <v>5.09</v>
      </c>
      <c r="K10" s="9">
        <f>'Shenzhen Daily'!I13</f>
        <v>262</v>
      </c>
      <c r="L10" s="9">
        <f>'Shenzhen Daily'!J13</f>
        <v>393</v>
      </c>
    </row>
    <row r="11" spans="1:12" ht="15" x14ac:dyDescent="0.25">
      <c r="A11" s="6" t="s">
        <v>22</v>
      </c>
      <c r="B11" s="7">
        <f t="shared" si="0"/>
        <v>10</v>
      </c>
      <c r="C11" s="8">
        <v>11</v>
      </c>
      <c r="D11" s="7">
        <v>2021</v>
      </c>
      <c r="E11" s="9">
        <v>26068.000000000429</v>
      </c>
      <c r="F11" s="30">
        <v>0.71699999999999997</v>
      </c>
      <c r="G11" s="9">
        <v>1707</v>
      </c>
      <c r="H11" s="30">
        <v>4.3899999999999997</v>
      </c>
      <c r="I11" s="9">
        <f>'Shenzhen Daily'!H14</f>
        <v>461</v>
      </c>
      <c r="J11" s="30">
        <v>5.09</v>
      </c>
      <c r="K11" s="9">
        <f>'Shenzhen Daily'!I14</f>
        <v>224</v>
      </c>
      <c r="L11" s="9">
        <f>'Shenzhen Daily'!J14</f>
        <v>565</v>
      </c>
    </row>
    <row r="12" spans="1:12" ht="15" x14ac:dyDescent="0.25">
      <c r="A12" s="6" t="s">
        <v>22</v>
      </c>
      <c r="B12" s="7">
        <f t="shared" si="0"/>
        <v>11</v>
      </c>
      <c r="C12" s="8">
        <v>11</v>
      </c>
      <c r="D12" s="7">
        <v>2021</v>
      </c>
      <c r="E12" s="9">
        <v>24581.999999998585</v>
      </c>
      <c r="F12" s="30">
        <v>0.71699999999999997</v>
      </c>
      <c r="G12" s="9">
        <v>1683</v>
      </c>
      <c r="H12" s="30">
        <v>4.3899999999999997</v>
      </c>
      <c r="I12" s="9">
        <f>'Shenzhen Daily'!H15</f>
        <v>454</v>
      </c>
      <c r="J12" s="30">
        <v>5.09</v>
      </c>
      <c r="K12" s="9">
        <f>'Shenzhen Daily'!I15</f>
        <v>244</v>
      </c>
      <c r="L12" s="9">
        <f>'Shenzhen Daily'!J15</f>
        <v>424</v>
      </c>
    </row>
    <row r="13" spans="1:12" ht="15" x14ac:dyDescent="0.25">
      <c r="A13" s="6" t="s">
        <v>22</v>
      </c>
      <c r="B13" s="7">
        <f t="shared" si="0"/>
        <v>12</v>
      </c>
      <c r="C13" s="8">
        <v>11</v>
      </c>
      <c r="D13" s="7">
        <v>2021</v>
      </c>
      <c r="E13" s="9">
        <v>26801.000000000637</v>
      </c>
      <c r="F13" s="30">
        <v>0.71699999999999997</v>
      </c>
      <c r="G13" s="9">
        <v>1743</v>
      </c>
      <c r="H13" s="30">
        <v>4.3899999999999997</v>
      </c>
      <c r="I13" s="9">
        <f>'Shenzhen Daily'!H16</f>
        <v>432</v>
      </c>
      <c r="J13" s="30">
        <v>5.09</v>
      </c>
      <c r="K13" s="9">
        <f>'Shenzhen Daily'!I16</f>
        <v>222</v>
      </c>
      <c r="L13" s="9">
        <f>'Shenzhen Daily'!J16</f>
        <v>434</v>
      </c>
    </row>
    <row r="14" spans="1:12" ht="15" x14ac:dyDescent="0.25">
      <c r="A14" s="6" t="s">
        <v>22</v>
      </c>
      <c r="B14" s="7">
        <f t="shared" si="0"/>
        <v>13</v>
      </c>
      <c r="C14" s="8">
        <v>11</v>
      </c>
      <c r="D14" s="7">
        <v>2021</v>
      </c>
      <c r="E14" s="9">
        <v>27626.99999999992</v>
      </c>
      <c r="F14" s="30">
        <v>0.71699999999999997</v>
      </c>
      <c r="G14" s="9">
        <v>1714</v>
      </c>
      <c r="H14" s="30">
        <v>4.3899999999999997</v>
      </c>
      <c r="I14" s="9">
        <f>'Shenzhen Daily'!H17</f>
        <v>424</v>
      </c>
      <c r="J14" s="30">
        <v>5.09</v>
      </c>
      <c r="K14" s="9">
        <f>'Shenzhen Daily'!I17</f>
        <v>176</v>
      </c>
      <c r="L14" s="9">
        <f>'Shenzhen Daily'!J17</f>
        <v>444</v>
      </c>
    </row>
    <row r="15" spans="1:12" ht="15" x14ac:dyDescent="0.25">
      <c r="A15" s="6" t="s">
        <v>22</v>
      </c>
      <c r="B15" s="7">
        <f t="shared" si="0"/>
        <v>14</v>
      </c>
      <c r="C15" s="8">
        <v>11</v>
      </c>
      <c r="D15" s="7">
        <v>2021</v>
      </c>
      <c r="E15" s="9">
        <v>25734.999999999673</v>
      </c>
      <c r="F15" s="30">
        <v>0.71699999999999997</v>
      </c>
      <c r="G15" s="9">
        <v>1577</v>
      </c>
      <c r="H15" s="30">
        <v>4.3899999999999997</v>
      </c>
      <c r="I15" s="9">
        <f>'Shenzhen Daily'!H18</f>
        <v>359</v>
      </c>
      <c r="J15" s="30">
        <v>5.09</v>
      </c>
      <c r="K15" s="9">
        <f>'Shenzhen Daily'!I18</f>
        <v>119</v>
      </c>
      <c r="L15" s="9">
        <f>'Shenzhen Daily'!J18</f>
        <v>342</v>
      </c>
    </row>
    <row r="16" spans="1:12" ht="15" x14ac:dyDescent="0.25">
      <c r="A16" s="6" t="s">
        <v>22</v>
      </c>
      <c r="B16" s="7">
        <f t="shared" si="0"/>
        <v>15</v>
      </c>
      <c r="C16" s="8">
        <v>11</v>
      </c>
      <c r="D16" s="7">
        <v>2021</v>
      </c>
      <c r="E16" s="9">
        <v>25862.000000000637</v>
      </c>
      <c r="F16" s="30">
        <v>0.71699999999999997</v>
      </c>
      <c r="G16" s="9">
        <v>1523</v>
      </c>
      <c r="H16" s="30">
        <v>4.3899999999999997</v>
      </c>
      <c r="I16" s="9">
        <f>'Shenzhen Daily'!H19</f>
        <v>381</v>
      </c>
      <c r="J16" s="30">
        <v>5.09</v>
      </c>
      <c r="K16" s="9">
        <f>'Shenzhen Daily'!I19</f>
        <v>179</v>
      </c>
      <c r="L16" s="9">
        <f>'Shenzhen Daily'!J19</f>
        <v>371</v>
      </c>
    </row>
    <row r="17" spans="1:12" ht="15" x14ac:dyDescent="0.25">
      <c r="A17" s="6" t="s">
        <v>22</v>
      </c>
      <c r="B17" s="7">
        <f t="shared" si="0"/>
        <v>16</v>
      </c>
      <c r="C17" s="8">
        <v>11</v>
      </c>
      <c r="D17" s="7">
        <v>2021</v>
      </c>
      <c r="E17" s="9">
        <v>27427.999999999472</v>
      </c>
      <c r="F17" s="30">
        <v>0.71699999999999997</v>
      </c>
      <c r="G17" s="9">
        <v>1538</v>
      </c>
      <c r="H17" s="30">
        <v>4.3899999999999997</v>
      </c>
      <c r="I17" s="9">
        <f>'Shenzhen Daily'!H20</f>
        <v>367</v>
      </c>
      <c r="J17" s="30">
        <v>5.09</v>
      </c>
      <c r="K17" s="9">
        <f>'Shenzhen Daily'!I20</f>
        <v>194</v>
      </c>
      <c r="L17" s="9">
        <f>'Shenzhen Daily'!J20</f>
        <v>310</v>
      </c>
    </row>
    <row r="18" spans="1:12" ht="15" x14ac:dyDescent="0.25">
      <c r="A18" s="6" t="s">
        <v>22</v>
      </c>
      <c r="B18" s="7">
        <f t="shared" si="0"/>
        <v>17</v>
      </c>
      <c r="C18" s="8">
        <v>11</v>
      </c>
      <c r="D18" s="7">
        <v>2021</v>
      </c>
      <c r="E18" s="9">
        <v>26872.000000000851</v>
      </c>
      <c r="F18" s="30">
        <v>0.71699999999999997</v>
      </c>
      <c r="G18" s="9">
        <v>1553</v>
      </c>
      <c r="H18" s="30">
        <v>4.3899999999999997</v>
      </c>
      <c r="I18" s="9">
        <f>'Shenzhen Daily'!H21</f>
        <v>395</v>
      </c>
      <c r="J18" s="30">
        <v>5.09</v>
      </c>
      <c r="K18" s="9">
        <f>'Shenzhen Daily'!I21</f>
        <v>240</v>
      </c>
      <c r="L18" s="9">
        <f>'Shenzhen Daily'!J21</f>
        <v>401</v>
      </c>
    </row>
    <row r="19" spans="1:12" ht="15" x14ac:dyDescent="0.25">
      <c r="A19" s="6" t="s">
        <v>22</v>
      </c>
      <c r="B19" s="7">
        <f t="shared" si="0"/>
        <v>18</v>
      </c>
      <c r="C19" s="8">
        <v>11</v>
      </c>
      <c r="D19" s="7">
        <v>2021</v>
      </c>
      <c r="E19" s="9">
        <v>26667.999999999622</v>
      </c>
      <c r="F19" s="30">
        <v>0.71699999999999997</v>
      </c>
      <c r="G19" s="9">
        <v>1543</v>
      </c>
      <c r="H19" s="30">
        <v>4.3899999999999997</v>
      </c>
      <c r="I19" s="9">
        <f>'Shenzhen Daily'!H22</f>
        <v>344</v>
      </c>
      <c r="J19" s="30">
        <v>5.09</v>
      </c>
      <c r="K19" s="9">
        <f>'Shenzhen Daily'!I22</f>
        <v>265</v>
      </c>
      <c r="L19" s="9">
        <f>'Shenzhen Daily'!J22</f>
        <v>471</v>
      </c>
    </row>
    <row r="20" spans="1:12" ht="15" x14ac:dyDescent="0.25">
      <c r="A20" s="6" t="s">
        <v>22</v>
      </c>
      <c r="B20" s="7">
        <f t="shared" si="0"/>
        <v>19</v>
      </c>
      <c r="C20" s="8">
        <v>11</v>
      </c>
      <c r="D20" s="7">
        <v>2021</v>
      </c>
      <c r="E20" s="9">
        <v>28320.000000000593</v>
      </c>
      <c r="F20" s="30">
        <v>0.71699999999999997</v>
      </c>
      <c r="G20" s="9">
        <v>1645</v>
      </c>
      <c r="H20" s="30">
        <v>4.3899999999999997</v>
      </c>
      <c r="I20" s="9">
        <f>'Shenzhen Daily'!H23</f>
        <v>434</v>
      </c>
      <c r="J20" s="30">
        <v>5.09</v>
      </c>
      <c r="K20" s="9">
        <f>'Shenzhen Daily'!I23</f>
        <v>265</v>
      </c>
      <c r="L20" s="9">
        <f>'Shenzhen Daily'!J23</f>
        <v>477</v>
      </c>
    </row>
    <row r="21" spans="1:12" ht="15" x14ac:dyDescent="0.25">
      <c r="A21" s="6" t="s">
        <v>22</v>
      </c>
      <c r="B21" s="7">
        <f t="shared" si="0"/>
        <v>20</v>
      </c>
      <c r="C21" s="8">
        <v>11</v>
      </c>
      <c r="D21" s="7">
        <v>2021</v>
      </c>
      <c r="E21" s="9">
        <v>28035.999999999345</v>
      </c>
      <c r="F21" s="30">
        <v>0.71699999999999997</v>
      </c>
      <c r="G21" s="9">
        <v>1524</v>
      </c>
      <c r="H21" s="30">
        <v>4.3899999999999997</v>
      </c>
      <c r="I21" s="9">
        <f>'Shenzhen Daily'!H24</f>
        <v>417</v>
      </c>
      <c r="J21" s="30">
        <v>5.09</v>
      </c>
      <c r="K21" s="9">
        <f>'Shenzhen Daily'!I24</f>
        <v>189</v>
      </c>
      <c r="L21" s="9">
        <f>'Shenzhen Daily'!J24</f>
        <v>449</v>
      </c>
    </row>
    <row r="22" spans="1:12" ht="15" x14ac:dyDescent="0.25">
      <c r="A22" s="6" t="s">
        <v>22</v>
      </c>
      <c r="B22" s="7">
        <f t="shared" si="0"/>
        <v>21</v>
      </c>
      <c r="C22" s="8">
        <v>11</v>
      </c>
      <c r="D22" s="7">
        <v>2021</v>
      </c>
      <c r="E22" s="9">
        <v>28068.000000000073</v>
      </c>
      <c r="F22" s="30">
        <v>0.71699999999999997</v>
      </c>
      <c r="G22" s="9">
        <v>1435</v>
      </c>
      <c r="H22" s="30">
        <v>4.3899999999999997</v>
      </c>
      <c r="I22" s="9">
        <f>'Shenzhen Daily'!H25</f>
        <v>386</v>
      </c>
      <c r="J22" s="30">
        <v>5.09</v>
      </c>
      <c r="K22" s="9">
        <f>'Shenzhen Daily'!I25</f>
        <v>167</v>
      </c>
      <c r="L22" s="9">
        <f>'Shenzhen Daily'!J25</f>
        <v>444</v>
      </c>
    </row>
    <row r="23" spans="1:12" ht="15" x14ac:dyDescent="0.25">
      <c r="A23" s="6" t="s">
        <v>22</v>
      </c>
      <c r="B23" s="7">
        <f t="shared" si="0"/>
        <v>22</v>
      </c>
      <c r="C23" s="8">
        <v>11</v>
      </c>
      <c r="D23" s="7">
        <v>2021</v>
      </c>
      <c r="E23" s="9">
        <v>26960.999999999862</v>
      </c>
      <c r="F23" s="30">
        <v>0.71699999999999997</v>
      </c>
      <c r="G23" s="9">
        <v>1592</v>
      </c>
      <c r="H23" s="30">
        <v>4.3899999999999997</v>
      </c>
      <c r="I23" s="9">
        <f>'Shenzhen Daily'!H26</f>
        <v>346</v>
      </c>
      <c r="J23" s="30">
        <v>5.09</v>
      </c>
      <c r="K23" s="9">
        <f>'Shenzhen Daily'!I26</f>
        <v>207</v>
      </c>
      <c r="L23" s="9">
        <f>'Shenzhen Daily'!J26</f>
        <v>416</v>
      </c>
    </row>
    <row r="24" spans="1:12" ht="15" x14ac:dyDescent="0.25">
      <c r="A24" s="6" t="s">
        <v>22</v>
      </c>
      <c r="B24" s="7">
        <f t="shared" si="0"/>
        <v>23</v>
      </c>
      <c r="C24" s="8">
        <v>11</v>
      </c>
      <c r="D24" s="7">
        <v>2021</v>
      </c>
      <c r="E24" s="9">
        <v>23871.999999999545</v>
      </c>
      <c r="F24" s="30">
        <v>0.71699999999999997</v>
      </c>
      <c r="G24" s="9">
        <v>1641</v>
      </c>
      <c r="H24" s="30">
        <v>4.3899999999999997</v>
      </c>
      <c r="I24" s="9">
        <f>'Shenzhen Daily'!H27</f>
        <v>439</v>
      </c>
      <c r="J24" s="30">
        <v>5.09</v>
      </c>
      <c r="K24" s="9">
        <f>'Shenzhen Daily'!I27</f>
        <v>250</v>
      </c>
      <c r="L24" s="9">
        <f>'Shenzhen Daily'!J27</f>
        <v>474</v>
      </c>
    </row>
    <row r="25" spans="1:12" ht="15" x14ac:dyDescent="0.25">
      <c r="A25" s="6" t="s">
        <v>22</v>
      </c>
      <c r="B25" s="7">
        <f t="shared" si="0"/>
        <v>24</v>
      </c>
      <c r="C25" s="8">
        <v>11</v>
      </c>
      <c r="D25" s="7">
        <v>2021</v>
      </c>
      <c r="E25" s="9">
        <v>24861.000000000466</v>
      </c>
      <c r="F25" s="30">
        <v>0.71699999999999997</v>
      </c>
      <c r="G25" s="9">
        <v>1734</v>
      </c>
      <c r="H25" s="30">
        <v>4.3899999999999997</v>
      </c>
      <c r="I25" s="9">
        <f>'Shenzhen Daily'!H28</f>
        <v>440</v>
      </c>
      <c r="J25" s="30">
        <v>5.09</v>
      </c>
      <c r="K25" s="9">
        <f>'Shenzhen Daily'!I28</f>
        <v>264</v>
      </c>
      <c r="L25" s="9">
        <f>'Shenzhen Daily'!J28</f>
        <v>466</v>
      </c>
    </row>
    <row r="26" spans="1:12" ht="15" x14ac:dyDescent="0.25">
      <c r="A26" s="6" t="s">
        <v>22</v>
      </c>
      <c r="B26" s="7">
        <f>B25+1</f>
        <v>25</v>
      </c>
      <c r="C26" s="8">
        <v>11</v>
      </c>
      <c r="D26" s="7">
        <v>2021</v>
      </c>
      <c r="E26" s="9">
        <v>26806.999999999869</v>
      </c>
      <c r="F26" s="30">
        <v>0.71699999999999997</v>
      </c>
      <c r="G26" s="9">
        <v>1812</v>
      </c>
      <c r="H26" s="30">
        <v>4.3899999999999997</v>
      </c>
      <c r="I26" s="9">
        <f>'Shenzhen Daily'!H29</f>
        <v>504</v>
      </c>
      <c r="J26" s="30">
        <v>5.09</v>
      </c>
      <c r="K26" s="9">
        <f>'Shenzhen Daily'!I29</f>
        <v>262</v>
      </c>
      <c r="L26" s="9">
        <f>'Shenzhen Daily'!J29</f>
        <v>530</v>
      </c>
    </row>
    <row r="27" spans="1:12" ht="15" x14ac:dyDescent="0.25">
      <c r="A27" s="6" t="s">
        <v>22</v>
      </c>
      <c r="B27" s="7">
        <f t="shared" si="0"/>
        <v>26</v>
      </c>
      <c r="C27" s="8">
        <v>11</v>
      </c>
      <c r="D27" s="7">
        <v>2021</v>
      </c>
      <c r="E27" s="9">
        <v>25523.000000000528</v>
      </c>
      <c r="F27" s="30">
        <v>0.71699999999999997</v>
      </c>
      <c r="G27" s="9">
        <v>1775</v>
      </c>
      <c r="H27" s="30">
        <v>4.3899999999999997</v>
      </c>
      <c r="I27" s="9">
        <f>'Shenzhen Daily'!H30</f>
        <v>461</v>
      </c>
      <c r="J27" s="30">
        <v>5.09</v>
      </c>
      <c r="K27" s="9">
        <f>'Shenzhen Daily'!I30</f>
        <v>238</v>
      </c>
      <c r="L27" s="9">
        <f>'Shenzhen Daily'!J30</f>
        <v>498</v>
      </c>
    </row>
    <row r="28" spans="1:12" ht="15" x14ac:dyDescent="0.25">
      <c r="A28" s="6" t="s">
        <v>22</v>
      </c>
      <c r="B28" s="7">
        <f t="shared" si="0"/>
        <v>27</v>
      </c>
      <c r="C28" s="8">
        <v>11</v>
      </c>
      <c r="D28" s="7">
        <v>2021</v>
      </c>
      <c r="E28" s="9">
        <v>26749.999999999491</v>
      </c>
      <c r="F28" s="30">
        <v>0.71699999999999997</v>
      </c>
      <c r="G28" s="9">
        <v>1918</v>
      </c>
      <c r="H28" s="30">
        <v>4.3899999999999997</v>
      </c>
      <c r="I28" s="9">
        <f>'Shenzhen Daily'!H31</f>
        <v>517</v>
      </c>
      <c r="J28" s="30">
        <v>5.09</v>
      </c>
      <c r="K28" s="9">
        <f>'Shenzhen Daily'!I31</f>
        <v>200</v>
      </c>
      <c r="L28" s="9">
        <f>'Shenzhen Daily'!J31</f>
        <v>448</v>
      </c>
    </row>
    <row r="29" spans="1:12" ht="15" x14ac:dyDescent="0.25">
      <c r="A29" s="6" t="s">
        <v>22</v>
      </c>
      <c r="B29" s="7">
        <f t="shared" si="0"/>
        <v>28</v>
      </c>
      <c r="C29" s="8">
        <v>11</v>
      </c>
      <c r="D29" s="7">
        <v>2021</v>
      </c>
      <c r="E29" s="9">
        <v>25210.00000000072</v>
      </c>
      <c r="F29" s="30">
        <v>0.71699999999999997</v>
      </c>
      <c r="G29" s="9">
        <v>1701</v>
      </c>
      <c r="H29" s="30">
        <v>4.3899999999999997</v>
      </c>
      <c r="I29" s="9">
        <f>'Shenzhen Daily'!H32</f>
        <v>472</v>
      </c>
      <c r="J29" s="30">
        <v>5.09</v>
      </c>
      <c r="K29" s="9">
        <f>'Shenzhen Daily'!I32</f>
        <v>184</v>
      </c>
      <c r="L29" s="9">
        <f>'Shenzhen Daily'!J32</f>
        <v>344</v>
      </c>
    </row>
    <row r="30" spans="1:12" ht="15" x14ac:dyDescent="0.25">
      <c r="A30" s="6" t="s">
        <v>22</v>
      </c>
      <c r="B30" s="7">
        <f t="shared" si="0"/>
        <v>29</v>
      </c>
      <c r="C30" s="8">
        <v>11</v>
      </c>
      <c r="D30" s="7">
        <v>2021</v>
      </c>
      <c r="E30" s="9">
        <v>26129.999999998654</v>
      </c>
      <c r="F30" s="30">
        <v>0.71699999999999997</v>
      </c>
      <c r="G30" s="9">
        <v>1622</v>
      </c>
      <c r="H30" s="30">
        <v>4.3899999999999997</v>
      </c>
      <c r="I30" s="9">
        <f>'Shenzhen Daily'!H33</f>
        <v>474</v>
      </c>
      <c r="J30" s="30">
        <v>5.09</v>
      </c>
      <c r="K30" s="9">
        <f>'Shenzhen Daily'!I33</f>
        <v>199</v>
      </c>
      <c r="L30" s="9">
        <f>'Shenzhen Daily'!J33</f>
        <v>340</v>
      </c>
    </row>
    <row r="31" spans="1:12" ht="15" x14ac:dyDescent="0.25">
      <c r="A31" s="6" t="s">
        <v>22</v>
      </c>
      <c r="B31" s="7">
        <f t="shared" si="0"/>
        <v>30</v>
      </c>
      <c r="C31" s="8">
        <v>11</v>
      </c>
      <c r="D31" s="7">
        <v>2021</v>
      </c>
      <c r="E31" s="9">
        <v>26111.000000001321</v>
      </c>
      <c r="F31" s="30">
        <v>0.71699999999999997</v>
      </c>
      <c r="G31" s="9">
        <v>1716</v>
      </c>
      <c r="H31" s="30">
        <v>4.3899999999999997</v>
      </c>
      <c r="I31" s="9">
        <f>'Shenzhen Daily'!H34</f>
        <v>434</v>
      </c>
      <c r="J31" s="30">
        <v>5.09</v>
      </c>
      <c r="K31" s="9">
        <f>'Shenzhen Daily'!I34</f>
        <v>247</v>
      </c>
      <c r="L31" s="9">
        <f>'Shenzhen Daily'!J34</f>
        <v>338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Q7" sqref="Q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44500</v>
      </c>
      <c r="B4" s="51"/>
      <c r="C4" s="40">
        <v>33726.193059999998</v>
      </c>
      <c r="D4" s="41"/>
      <c r="E4" s="40">
        <v>2904321</v>
      </c>
      <c r="F4" s="44"/>
      <c r="G4" s="40">
        <v>521509</v>
      </c>
      <c r="H4" s="46"/>
      <c r="I4" s="23">
        <v>190</v>
      </c>
      <c r="J4" s="23">
        <v>469</v>
      </c>
    </row>
    <row r="5" spans="1:10" ht="33" customHeight="1" x14ac:dyDescent="0.2">
      <c r="A5" s="24">
        <v>44501</v>
      </c>
      <c r="B5" s="51"/>
      <c r="C5" s="40">
        <v>33746.86</v>
      </c>
      <c r="D5" s="42">
        <f t="shared" ref="D5:D22" si="0">IF((C5-C4&lt;0), "0",C5-C4)</f>
        <v>20.666940000002796</v>
      </c>
      <c r="E5" s="40">
        <v>2905774</v>
      </c>
      <c r="F5" s="42">
        <f>IF((E5-E4&lt;0), "0",E5-E4)</f>
        <v>1453</v>
      </c>
      <c r="G5" s="40">
        <v>521917</v>
      </c>
      <c r="H5" s="38">
        <f>IF((G5-G4&lt;0), "0",G5-G4)</f>
        <v>408</v>
      </c>
      <c r="I5" s="26">
        <v>223</v>
      </c>
      <c r="J5" s="26">
        <v>312</v>
      </c>
    </row>
    <row r="6" spans="1:10" ht="45" customHeight="1" x14ac:dyDescent="0.2">
      <c r="A6" s="24">
        <v>44502</v>
      </c>
      <c r="B6" s="51"/>
      <c r="C6" s="40">
        <v>33766.74</v>
      </c>
      <c r="D6" s="42">
        <f t="shared" si="0"/>
        <v>19.879999999997381</v>
      </c>
      <c r="E6" s="40">
        <v>2907344</v>
      </c>
      <c r="F6" s="42">
        <f t="shared" ref="F6:F34" si="1">IF((E6-E5&lt;0), "0",E6-E5)</f>
        <v>1570</v>
      </c>
      <c r="G6" s="40">
        <v>522360</v>
      </c>
      <c r="H6" s="47">
        <f t="shared" ref="H6:H34" si="2">IF((G6-G5&lt;0), "0",G6-G5)</f>
        <v>443</v>
      </c>
      <c r="I6" s="12">
        <v>248</v>
      </c>
      <c r="J6" s="37">
        <v>399</v>
      </c>
    </row>
    <row r="7" spans="1:10" ht="45" customHeight="1" x14ac:dyDescent="0.2">
      <c r="A7" s="24">
        <v>44503</v>
      </c>
      <c r="B7" s="51"/>
      <c r="C7" s="40">
        <v>33789.97</v>
      </c>
      <c r="D7" s="42">
        <f t="shared" si="0"/>
        <v>23.230000000003201</v>
      </c>
      <c r="E7" s="40">
        <v>2908887</v>
      </c>
      <c r="F7" s="42">
        <f t="shared" si="1"/>
        <v>1543</v>
      </c>
      <c r="G7" s="40">
        <v>522783</v>
      </c>
      <c r="H7" s="38">
        <f t="shared" si="2"/>
        <v>423</v>
      </c>
      <c r="I7" s="12">
        <v>255</v>
      </c>
      <c r="J7" s="12">
        <v>466</v>
      </c>
    </row>
    <row r="8" spans="1:10" ht="45" customHeight="1" x14ac:dyDescent="0.2">
      <c r="A8" s="24">
        <v>44504</v>
      </c>
      <c r="B8" s="50"/>
      <c r="C8" s="31">
        <v>33811.61</v>
      </c>
      <c r="D8" s="36">
        <f t="shared" si="0"/>
        <v>21.639999999999418</v>
      </c>
      <c r="E8" s="31">
        <v>2910364</v>
      </c>
      <c r="F8" s="45">
        <f t="shared" si="1"/>
        <v>1477</v>
      </c>
      <c r="G8" s="40">
        <v>523228</v>
      </c>
      <c r="H8" s="38">
        <f t="shared" si="2"/>
        <v>445</v>
      </c>
      <c r="I8" s="12">
        <v>240</v>
      </c>
      <c r="J8" s="12">
        <v>390</v>
      </c>
    </row>
    <row r="9" spans="1:10" ht="45" customHeight="1" x14ac:dyDescent="0.2">
      <c r="A9" s="24">
        <v>44505</v>
      </c>
      <c r="B9" s="50"/>
      <c r="C9" s="31">
        <v>33833.100000000006</v>
      </c>
      <c r="D9" s="25">
        <f t="shared" si="0"/>
        <v>21.490000000005239</v>
      </c>
      <c r="E9" s="31">
        <v>2911833</v>
      </c>
      <c r="F9" s="25">
        <f t="shared" si="1"/>
        <v>1469</v>
      </c>
      <c r="G9" s="31">
        <v>523695</v>
      </c>
      <c r="H9" s="25">
        <f t="shared" si="2"/>
        <v>467</v>
      </c>
      <c r="I9" s="12">
        <v>246</v>
      </c>
      <c r="J9" s="12">
        <v>514</v>
      </c>
    </row>
    <row r="10" spans="1:10" ht="45" customHeight="1" x14ac:dyDescent="0.2">
      <c r="A10" s="24">
        <v>44506</v>
      </c>
      <c r="B10" s="50"/>
      <c r="C10" s="31">
        <v>33855.270000000004</v>
      </c>
      <c r="D10" s="25">
        <f t="shared" si="0"/>
        <v>22.169999999998254</v>
      </c>
      <c r="E10" s="31">
        <v>2913583</v>
      </c>
      <c r="F10" s="25">
        <f t="shared" si="1"/>
        <v>1750</v>
      </c>
      <c r="G10" s="31">
        <v>524234</v>
      </c>
      <c r="H10" s="25">
        <f t="shared" si="2"/>
        <v>539</v>
      </c>
      <c r="I10" s="12">
        <v>232</v>
      </c>
      <c r="J10" s="12">
        <v>534</v>
      </c>
    </row>
    <row r="11" spans="1:10" ht="45" customHeight="1" x14ac:dyDescent="0.2">
      <c r="A11" s="24">
        <v>44507</v>
      </c>
      <c r="B11" s="50"/>
      <c r="C11" s="31">
        <v>33876.58</v>
      </c>
      <c r="D11" s="25">
        <f t="shared" si="0"/>
        <v>21.309999999997672</v>
      </c>
      <c r="E11" s="31">
        <v>2915049</v>
      </c>
      <c r="F11" s="25">
        <f t="shared" si="1"/>
        <v>1466</v>
      </c>
      <c r="G11" s="31">
        <v>524694</v>
      </c>
      <c r="H11" s="25">
        <f t="shared" si="2"/>
        <v>460</v>
      </c>
      <c r="I11" s="12">
        <v>144</v>
      </c>
      <c r="J11" s="12">
        <v>744</v>
      </c>
    </row>
    <row r="12" spans="1:10" ht="45" customHeight="1" x14ac:dyDescent="0.2">
      <c r="A12" s="24">
        <v>44508</v>
      </c>
      <c r="B12" s="50"/>
      <c r="C12" s="31">
        <v>33895.840000000004</v>
      </c>
      <c r="D12" s="25">
        <f t="shared" si="0"/>
        <v>19.260000000002037</v>
      </c>
      <c r="E12" s="31">
        <v>2916603</v>
      </c>
      <c r="F12" s="25">
        <f t="shared" si="1"/>
        <v>1554</v>
      </c>
      <c r="G12" s="31">
        <v>525133</v>
      </c>
      <c r="H12" s="25">
        <f t="shared" si="2"/>
        <v>439</v>
      </c>
      <c r="I12" s="12">
        <v>210</v>
      </c>
      <c r="J12" s="12">
        <v>317</v>
      </c>
    </row>
    <row r="13" spans="1:10" ht="45" customHeight="1" x14ac:dyDescent="0.2">
      <c r="A13" s="24">
        <v>44509</v>
      </c>
      <c r="B13" s="50"/>
      <c r="C13" s="31">
        <v>33919.160000000003</v>
      </c>
      <c r="D13" s="25">
        <f t="shared" si="0"/>
        <v>23.319999999999709</v>
      </c>
      <c r="E13" s="31">
        <v>2918176</v>
      </c>
      <c r="F13" s="25">
        <f t="shared" si="1"/>
        <v>1573</v>
      </c>
      <c r="G13" s="31">
        <v>525580</v>
      </c>
      <c r="H13" s="25">
        <f t="shared" si="2"/>
        <v>447</v>
      </c>
      <c r="I13" s="12">
        <v>262</v>
      </c>
      <c r="J13" s="12">
        <v>393</v>
      </c>
    </row>
    <row r="14" spans="1:10" ht="45" customHeight="1" x14ac:dyDescent="0.2">
      <c r="A14" s="24">
        <v>44510</v>
      </c>
      <c r="B14" s="50"/>
      <c r="C14" s="31">
        <v>33941.229999999996</v>
      </c>
      <c r="D14" s="25">
        <f t="shared" si="0"/>
        <v>22.069999999992433</v>
      </c>
      <c r="E14" s="31">
        <v>2919884</v>
      </c>
      <c r="F14" s="25">
        <f t="shared" si="1"/>
        <v>1708</v>
      </c>
      <c r="G14" s="31">
        <v>526041</v>
      </c>
      <c r="H14" s="25">
        <f t="shared" si="2"/>
        <v>461</v>
      </c>
      <c r="I14" s="12">
        <v>224</v>
      </c>
      <c r="J14" s="12">
        <v>565</v>
      </c>
    </row>
    <row r="15" spans="1:10" ht="45" customHeight="1" x14ac:dyDescent="0.2">
      <c r="A15" s="24">
        <v>44511</v>
      </c>
      <c r="B15" s="50"/>
      <c r="C15" s="31">
        <v>33962.58</v>
      </c>
      <c r="D15" s="25">
        <f t="shared" si="0"/>
        <v>21.350000000005821</v>
      </c>
      <c r="E15" s="31">
        <v>2921569</v>
      </c>
      <c r="F15" s="25">
        <f t="shared" si="1"/>
        <v>1685</v>
      </c>
      <c r="G15" s="31">
        <v>526495</v>
      </c>
      <c r="H15" s="25">
        <f t="shared" si="2"/>
        <v>454</v>
      </c>
      <c r="I15" s="12">
        <v>244</v>
      </c>
      <c r="J15" s="12">
        <v>424</v>
      </c>
    </row>
    <row r="16" spans="1:10" ht="45" customHeight="1" x14ac:dyDescent="0.2">
      <c r="A16" s="24">
        <v>44512</v>
      </c>
      <c r="B16" s="50"/>
      <c r="C16" s="31">
        <v>33984.879999999997</v>
      </c>
      <c r="D16" s="25">
        <f t="shared" si="0"/>
        <v>22.299999999995634</v>
      </c>
      <c r="E16" s="31">
        <v>2923313</v>
      </c>
      <c r="F16" s="25">
        <f t="shared" si="1"/>
        <v>1744</v>
      </c>
      <c r="G16" s="31">
        <v>526927</v>
      </c>
      <c r="H16" s="25">
        <f t="shared" si="2"/>
        <v>432</v>
      </c>
      <c r="I16" s="12">
        <v>222</v>
      </c>
      <c r="J16" s="12">
        <v>434</v>
      </c>
    </row>
    <row r="17" spans="1:15" ht="45" customHeight="1" x14ac:dyDescent="0.2">
      <c r="A17" s="24">
        <v>44513</v>
      </c>
      <c r="B17" s="50"/>
      <c r="C17" s="31">
        <v>34013.759999999995</v>
      </c>
      <c r="D17" s="25">
        <f t="shared" si="0"/>
        <v>28.879999999997381</v>
      </c>
      <c r="E17" s="31">
        <v>2925031</v>
      </c>
      <c r="F17" s="25">
        <f t="shared" si="1"/>
        <v>1718</v>
      </c>
      <c r="G17" s="31">
        <v>527351</v>
      </c>
      <c r="H17" s="25">
        <f t="shared" si="2"/>
        <v>424</v>
      </c>
      <c r="I17" s="12">
        <v>176</v>
      </c>
      <c r="J17" s="12">
        <v>444</v>
      </c>
    </row>
    <row r="18" spans="1:15" ht="45" customHeight="1" x14ac:dyDescent="0.2">
      <c r="A18" s="24">
        <v>44514</v>
      </c>
      <c r="B18" s="50"/>
      <c r="C18" s="31">
        <v>34033.07</v>
      </c>
      <c r="D18" s="25">
        <f t="shared" si="0"/>
        <v>19.310000000004948</v>
      </c>
      <c r="E18" s="31">
        <v>2926610</v>
      </c>
      <c r="F18" s="25">
        <f t="shared" si="1"/>
        <v>1579</v>
      </c>
      <c r="G18" s="31">
        <v>527710</v>
      </c>
      <c r="H18" s="25">
        <f t="shared" si="2"/>
        <v>359</v>
      </c>
      <c r="I18" s="12">
        <v>119</v>
      </c>
      <c r="J18" s="12">
        <v>342</v>
      </c>
    </row>
    <row r="19" spans="1:15" ht="45" customHeight="1" x14ac:dyDescent="0.2">
      <c r="A19" s="24">
        <v>44515</v>
      </c>
      <c r="B19" s="50"/>
      <c r="C19" s="31">
        <v>34058.939999999995</v>
      </c>
      <c r="D19" s="25">
        <f t="shared" si="0"/>
        <v>25.869999999995343</v>
      </c>
      <c r="E19" s="31">
        <v>2928135</v>
      </c>
      <c r="F19" s="25">
        <f t="shared" si="1"/>
        <v>1525</v>
      </c>
      <c r="G19" s="31">
        <v>528091</v>
      </c>
      <c r="H19" s="25">
        <f t="shared" si="2"/>
        <v>381</v>
      </c>
      <c r="I19" s="12">
        <v>179</v>
      </c>
      <c r="J19" s="12">
        <v>371</v>
      </c>
    </row>
    <row r="20" spans="1:15" ht="45" customHeight="1" x14ac:dyDescent="0.2">
      <c r="A20" s="24">
        <v>44516</v>
      </c>
      <c r="B20" s="50"/>
      <c r="C20" s="31">
        <v>34082.880000000005</v>
      </c>
      <c r="D20" s="25">
        <f t="shared" si="0"/>
        <v>23.940000000009604</v>
      </c>
      <c r="E20" s="31">
        <v>2929678</v>
      </c>
      <c r="F20" s="25">
        <f t="shared" si="1"/>
        <v>1543</v>
      </c>
      <c r="G20" s="31">
        <v>528458</v>
      </c>
      <c r="H20" s="25">
        <f t="shared" si="2"/>
        <v>367</v>
      </c>
      <c r="I20" s="12">
        <v>194</v>
      </c>
      <c r="J20" s="12">
        <v>310</v>
      </c>
    </row>
    <row r="21" spans="1:15" ht="45" customHeight="1" x14ac:dyDescent="0.2">
      <c r="A21" s="24">
        <v>44517</v>
      </c>
      <c r="B21" s="50"/>
      <c r="C21" s="31">
        <v>34109.29</v>
      </c>
      <c r="D21" s="25">
        <f t="shared" si="0"/>
        <v>26.409999999996217</v>
      </c>
      <c r="E21" s="31">
        <v>2931233</v>
      </c>
      <c r="F21" s="25">
        <f t="shared" si="1"/>
        <v>1555</v>
      </c>
      <c r="G21" s="31">
        <v>528853</v>
      </c>
      <c r="H21" s="25">
        <f t="shared" si="2"/>
        <v>395</v>
      </c>
      <c r="I21" s="12">
        <v>240</v>
      </c>
      <c r="J21" s="12">
        <v>401</v>
      </c>
    </row>
    <row r="22" spans="1:15" ht="45" customHeight="1" x14ac:dyDescent="0.2">
      <c r="A22" s="24">
        <v>44518</v>
      </c>
      <c r="B22" s="50"/>
      <c r="C22" s="31">
        <v>34136.160000000003</v>
      </c>
      <c r="D22" s="25">
        <f t="shared" si="0"/>
        <v>26.870000000002619</v>
      </c>
      <c r="E22" s="31">
        <v>2932778</v>
      </c>
      <c r="F22" s="25">
        <f t="shared" si="1"/>
        <v>1545</v>
      </c>
      <c r="G22" s="31">
        <v>529197</v>
      </c>
      <c r="H22" s="25">
        <f t="shared" si="2"/>
        <v>344</v>
      </c>
      <c r="I22" s="12">
        <v>265</v>
      </c>
      <c r="J22" s="12">
        <v>471</v>
      </c>
    </row>
    <row r="23" spans="1:15" ht="45" customHeight="1" x14ac:dyDescent="0.2">
      <c r="A23" s="24">
        <v>44519</v>
      </c>
      <c r="B23" s="50"/>
      <c r="C23" s="31">
        <v>34163.54</v>
      </c>
      <c r="D23" s="25">
        <f>IF((C23-C22&lt;0), "0",C23-C22)</f>
        <v>27.379999999997381</v>
      </c>
      <c r="E23" s="31">
        <v>2934424</v>
      </c>
      <c r="F23" s="25">
        <f t="shared" si="1"/>
        <v>1646</v>
      </c>
      <c r="G23" s="31">
        <v>529631</v>
      </c>
      <c r="H23" s="25">
        <f t="shared" si="2"/>
        <v>434</v>
      </c>
      <c r="I23" s="12">
        <v>265</v>
      </c>
      <c r="J23" s="12">
        <v>477</v>
      </c>
    </row>
    <row r="24" spans="1:15" ht="45" customHeight="1" x14ac:dyDescent="0.2">
      <c r="A24" s="24">
        <v>44520</v>
      </c>
      <c r="B24" s="50"/>
      <c r="C24" s="31">
        <v>34192.28</v>
      </c>
      <c r="D24" s="25">
        <f t="shared" ref="D24:D34" si="3">IF((C24-C23&lt;0), "0",C24-C23)</f>
        <v>28.739999999997963</v>
      </c>
      <c r="E24" s="31">
        <v>2935950</v>
      </c>
      <c r="F24" s="25">
        <f t="shared" si="1"/>
        <v>1526</v>
      </c>
      <c r="G24" s="31">
        <v>530048</v>
      </c>
      <c r="H24" s="25">
        <f t="shared" si="2"/>
        <v>417</v>
      </c>
      <c r="I24" s="12">
        <v>189</v>
      </c>
      <c r="J24" s="12">
        <v>449</v>
      </c>
    </row>
    <row r="25" spans="1:15" ht="45" customHeight="1" x14ac:dyDescent="0.2">
      <c r="A25" s="24">
        <v>44521</v>
      </c>
      <c r="B25" s="50"/>
      <c r="C25" s="31">
        <v>34215.03</v>
      </c>
      <c r="D25" s="25">
        <f t="shared" si="3"/>
        <v>22.75</v>
      </c>
      <c r="E25" s="31">
        <v>2937386</v>
      </c>
      <c r="F25" s="25">
        <f t="shared" si="1"/>
        <v>1436</v>
      </c>
      <c r="G25" s="31">
        <v>530434</v>
      </c>
      <c r="H25" s="25">
        <f t="shared" si="2"/>
        <v>386</v>
      </c>
      <c r="I25" s="12">
        <v>167</v>
      </c>
      <c r="J25" s="12">
        <v>444</v>
      </c>
    </row>
    <row r="26" spans="1:15" ht="45" customHeight="1" x14ac:dyDescent="0.2">
      <c r="A26" s="24">
        <v>44522</v>
      </c>
      <c r="B26" s="50"/>
      <c r="C26" s="31">
        <v>34238.240000000005</v>
      </c>
      <c r="D26" s="25">
        <f t="shared" si="3"/>
        <v>23.210000000006403</v>
      </c>
      <c r="E26" s="31">
        <v>2938979</v>
      </c>
      <c r="F26" s="25">
        <f t="shared" si="1"/>
        <v>1593</v>
      </c>
      <c r="G26" s="31">
        <v>530780</v>
      </c>
      <c r="H26" s="25">
        <f t="shared" si="2"/>
        <v>346</v>
      </c>
      <c r="I26" s="12">
        <v>207</v>
      </c>
      <c r="J26" s="12">
        <v>416</v>
      </c>
    </row>
    <row r="27" spans="1:15" ht="45" customHeight="1" x14ac:dyDescent="0.2">
      <c r="A27" s="24">
        <v>44523</v>
      </c>
      <c r="B27" s="50"/>
      <c r="C27" s="31">
        <v>34259.629999999997</v>
      </c>
      <c r="D27" s="25">
        <f t="shared" si="3"/>
        <v>21.389999999992142</v>
      </c>
      <c r="E27" s="31">
        <v>2940622</v>
      </c>
      <c r="F27" s="25">
        <f t="shared" si="1"/>
        <v>1643</v>
      </c>
      <c r="G27" s="31">
        <v>531219</v>
      </c>
      <c r="H27" s="25">
        <f t="shared" si="2"/>
        <v>439</v>
      </c>
      <c r="I27" s="12">
        <v>250</v>
      </c>
      <c r="J27" s="12">
        <v>474</v>
      </c>
    </row>
    <row r="28" spans="1:15" ht="45" customHeight="1" x14ac:dyDescent="0.2">
      <c r="A28" s="24">
        <v>44524</v>
      </c>
      <c r="B28" s="50"/>
      <c r="C28" s="31">
        <v>34281.94</v>
      </c>
      <c r="D28" s="25">
        <f t="shared" si="3"/>
        <v>22.310000000004948</v>
      </c>
      <c r="E28" s="31">
        <v>2942357</v>
      </c>
      <c r="F28" s="25">
        <f t="shared" si="1"/>
        <v>1735</v>
      </c>
      <c r="G28" s="31">
        <v>531659</v>
      </c>
      <c r="H28" s="25">
        <f t="shared" si="2"/>
        <v>440</v>
      </c>
      <c r="I28" s="12">
        <v>264</v>
      </c>
      <c r="J28" s="12">
        <v>466</v>
      </c>
    </row>
    <row r="29" spans="1:15" ht="45" customHeight="1" x14ac:dyDescent="0.2">
      <c r="A29" s="24">
        <v>44525</v>
      </c>
      <c r="B29" s="50"/>
      <c r="C29" s="31">
        <v>34309.719999999994</v>
      </c>
      <c r="D29" s="25">
        <f t="shared" si="3"/>
        <v>27.77999999999156</v>
      </c>
      <c r="E29" s="31">
        <v>2944175</v>
      </c>
      <c r="F29" s="25">
        <f t="shared" si="1"/>
        <v>1818</v>
      </c>
      <c r="G29" s="31">
        <v>532163</v>
      </c>
      <c r="H29" s="25">
        <f t="shared" si="2"/>
        <v>504</v>
      </c>
      <c r="I29" s="12">
        <v>262</v>
      </c>
      <c r="J29" s="12">
        <v>530</v>
      </c>
    </row>
    <row r="30" spans="1:15" ht="45" customHeight="1" x14ac:dyDescent="0.2">
      <c r="A30" s="24">
        <v>44526</v>
      </c>
      <c r="B30" s="50"/>
      <c r="C30" s="31">
        <v>34330.71</v>
      </c>
      <c r="D30" s="25">
        <f t="shared" si="3"/>
        <v>20.990000000005239</v>
      </c>
      <c r="E30" s="31">
        <v>2945952</v>
      </c>
      <c r="F30" s="25">
        <f t="shared" si="1"/>
        <v>1777</v>
      </c>
      <c r="G30" s="31">
        <v>532624</v>
      </c>
      <c r="H30" s="25">
        <f t="shared" si="2"/>
        <v>461</v>
      </c>
      <c r="I30" s="12">
        <v>238</v>
      </c>
      <c r="J30" s="12">
        <v>498</v>
      </c>
      <c r="O30" s="34"/>
    </row>
    <row r="31" spans="1:15" ht="45" customHeight="1" x14ac:dyDescent="0.2">
      <c r="A31" s="24">
        <v>44527</v>
      </c>
      <c r="B31" s="50"/>
      <c r="C31" s="31">
        <v>34353.440000000002</v>
      </c>
      <c r="D31" s="25">
        <f t="shared" si="3"/>
        <v>22.730000000003201</v>
      </c>
      <c r="E31" s="31">
        <v>2947872</v>
      </c>
      <c r="F31" s="25">
        <f t="shared" si="1"/>
        <v>1920</v>
      </c>
      <c r="G31" s="31">
        <v>533141</v>
      </c>
      <c r="H31" s="25">
        <f t="shared" si="2"/>
        <v>517</v>
      </c>
      <c r="I31" s="12">
        <v>200</v>
      </c>
      <c r="J31" s="12">
        <v>448</v>
      </c>
    </row>
    <row r="32" spans="1:15" ht="45" customHeight="1" x14ac:dyDescent="0.2">
      <c r="A32" s="24">
        <v>44528</v>
      </c>
      <c r="B32" s="50"/>
      <c r="C32" s="31">
        <v>34375.89</v>
      </c>
      <c r="D32" s="25">
        <f t="shared" si="3"/>
        <v>22.44999999999709</v>
      </c>
      <c r="E32" s="31">
        <v>2949575</v>
      </c>
      <c r="F32" s="25">
        <f t="shared" si="1"/>
        <v>1703</v>
      </c>
      <c r="G32" s="31">
        <v>533613</v>
      </c>
      <c r="H32" s="25">
        <f t="shared" si="2"/>
        <v>472</v>
      </c>
      <c r="I32" s="12">
        <v>184</v>
      </c>
      <c r="J32" s="12">
        <v>344</v>
      </c>
    </row>
    <row r="33" spans="1:10" ht="36" customHeight="1" x14ac:dyDescent="0.2">
      <c r="A33" s="24">
        <v>44529</v>
      </c>
      <c r="B33" s="35"/>
      <c r="C33" s="31">
        <v>34401.509999999995</v>
      </c>
      <c r="D33" s="25">
        <f t="shared" si="3"/>
        <v>25.619999999995343</v>
      </c>
      <c r="E33" s="31">
        <v>2951198</v>
      </c>
      <c r="F33" s="25">
        <f t="shared" si="1"/>
        <v>1623</v>
      </c>
      <c r="G33" s="31">
        <v>534087</v>
      </c>
      <c r="H33" s="25">
        <f t="shared" si="2"/>
        <v>474</v>
      </c>
      <c r="I33" s="12">
        <v>199</v>
      </c>
      <c r="J33" s="12">
        <v>340</v>
      </c>
    </row>
    <row r="34" spans="1:10" ht="45.6" customHeight="1" x14ac:dyDescent="0.2">
      <c r="A34" s="24">
        <v>44530</v>
      </c>
      <c r="B34" s="48"/>
      <c r="C34" s="40">
        <v>34423.450000000004</v>
      </c>
      <c r="D34" s="49">
        <f t="shared" si="3"/>
        <v>21.940000000009604</v>
      </c>
      <c r="E34" s="31">
        <v>2952916</v>
      </c>
      <c r="F34" s="32">
        <f t="shared" si="1"/>
        <v>1718</v>
      </c>
      <c r="G34" s="31">
        <v>534521</v>
      </c>
      <c r="H34" s="25">
        <f t="shared" si="2"/>
        <v>434</v>
      </c>
      <c r="I34" s="12">
        <v>247</v>
      </c>
      <c r="J34" s="33">
        <v>338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2023-03-24T04:07:26Z</dcterms:modified>
</cp:coreProperties>
</file>