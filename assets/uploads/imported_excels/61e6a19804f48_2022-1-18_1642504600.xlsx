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filterPrivacy="1"/>
  <xr:revisionPtr revIDLastSave="0" documentId="13_ncr:1_{A6583A10-70B7-46E9-BE12-24DF8FD941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Y39" i="3"/>
  <c r="Q37" i="3" l="1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27" i="2"/>
  <c r="K28" i="2"/>
  <c r="K29" i="2"/>
  <c r="K30" i="2"/>
  <c r="K31" i="2"/>
  <c r="K3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2" i="2" l="1"/>
  <c r="I2" i="1" s="1"/>
  <c r="T39" i="3"/>
  <c r="I2" i="2"/>
  <c r="O39" i="3"/>
  <c r="H2" i="2"/>
  <c r="M39" i="3"/>
  <c r="G2" i="2"/>
  <c r="G39" i="3"/>
  <c r="F2" i="2"/>
  <c r="E39" i="3"/>
  <c r="E2" i="2"/>
  <c r="C39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39" i="3"/>
  <c r="R39" i="3"/>
  <c r="Q39" i="3"/>
  <c r="K9" i="3"/>
  <c r="K39" i="3" s="1"/>
  <c r="I39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9" i="3" s="1"/>
  <c r="Z9" i="3" l="1"/>
  <c r="Z39" i="3" s="1"/>
</calcChain>
</file>

<file path=xl/sharedStrings.xml><?xml version="1.0" encoding="utf-8"?>
<sst xmlns="http://schemas.openxmlformats.org/spreadsheetml/2006/main" count="308" uniqueCount="123">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</sst>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%20El%20Khoury/AppData/Local/Microsoft/Windows/INetCache/Content.Outlook/1ZNWHPSO/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24" workbookViewId="0">
      <selection activeCell="A32" sqref="A32:XFD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11</v>
      </c>
      <c r="D2" s="6">
        <v>2021</v>
      </c>
      <c r="E2" s="8">
        <f>Submetring!E2+Submetring!F2+Submetring!G2</f>
        <v>10314</v>
      </c>
      <c r="F2" s="6">
        <v>0.251</v>
      </c>
      <c r="G2" s="8">
        <f>Submetring!H2+Submetring!I2</f>
        <v>1691</v>
      </c>
      <c r="H2" s="6">
        <v>0.56711199999999995</v>
      </c>
      <c r="I2" s="8">
        <f>Submetring!J2</f>
        <v>218</v>
      </c>
      <c r="J2" s="6">
        <v>3.03</v>
      </c>
      <c r="K2" s="8">
        <f>Hotel!Y9</f>
        <v>117</v>
      </c>
    </row>
    <row r="3" spans="1:11" x14ac:dyDescent="0.25">
      <c r="A3" s="6" t="s">
        <v>11</v>
      </c>
      <c r="B3" s="9">
        <f>B2+1</f>
        <v>2</v>
      </c>
      <c r="C3" s="7">
        <v>11</v>
      </c>
      <c r="D3" s="6">
        <v>2021</v>
      </c>
      <c r="E3" s="8">
        <f>Submetring!E3+Submetring!F3+Submetring!G3</f>
        <v>11337</v>
      </c>
      <c r="F3" s="6">
        <v>0.251</v>
      </c>
      <c r="G3" s="8">
        <f>Submetring!H3+Submetring!I3</f>
        <v>1680</v>
      </c>
      <c r="H3" s="6">
        <v>0.56711199999999995</v>
      </c>
      <c r="I3" s="8">
        <f>Submetring!J3</f>
        <v>177</v>
      </c>
      <c r="J3" s="6">
        <v>3.03</v>
      </c>
      <c r="K3" s="8">
        <f>Hotel!Y10</f>
        <v>88</v>
      </c>
    </row>
    <row r="4" spans="1:11" x14ac:dyDescent="0.25">
      <c r="A4" s="6" t="s">
        <v>11</v>
      </c>
      <c r="B4" s="9">
        <f t="shared" ref="B4:B31" si="0">B3+1</f>
        <v>3</v>
      </c>
      <c r="C4" s="7">
        <v>11</v>
      </c>
      <c r="D4" s="6">
        <v>2021</v>
      </c>
      <c r="E4" s="8">
        <f>Submetring!E4+Submetring!F4+Submetring!G4</f>
        <v>10911</v>
      </c>
      <c r="F4" s="6">
        <v>0.251</v>
      </c>
      <c r="G4" s="8">
        <f>Submetring!H4+Submetring!I4</f>
        <v>1612</v>
      </c>
      <c r="H4" s="6">
        <v>0.56711199999999995</v>
      </c>
      <c r="I4" s="8">
        <f>Submetring!J4</f>
        <v>191</v>
      </c>
      <c r="J4" s="6">
        <v>3.03</v>
      </c>
      <c r="K4" s="8">
        <f>Hotel!Y11</f>
        <v>95</v>
      </c>
    </row>
    <row r="5" spans="1:11" x14ac:dyDescent="0.25">
      <c r="A5" s="6" t="s">
        <v>11</v>
      </c>
      <c r="B5" s="9">
        <f t="shared" si="0"/>
        <v>4</v>
      </c>
      <c r="C5" s="7">
        <v>11</v>
      </c>
      <c r="D5" s="6">
        <v>2021</v>
      </c>
      <c r="E5" s="8">
        <f>Submetring!E5+Submetring!F5+Submetring!G5</f>
        <v>10764</v>
      </c>
      <c r="F5" s="6">
        <v>0.251</v>
      </c>
      <c r="G5" s="8">
        <f>Submetring!H5+Submetring!I5</f>
        <v>1605</v>
      </c>
      <c r="H5" s="6">
        <v>0.56711199999999995</v>
      </c>
      <c r="I5" s="8">
        <f>Submetring!J5</f>
        <v>165</v>
      </c>
      <c r="J5" s="6">
        <v>3.03</v>
      </c>
      <c r="K5" s="8">
        <f>Hotel!Y12</f>
        <v>95</v>
      </c>
    </row>
    <row r="6" spans="1:11" x14ac:dyDescent="0.25">
      <c r="A6" s="6" t="s">
        <v>11</v>
      </c>
      <c r="B6" s="9">
        <f t="shared" si="0"/>
        <v>5</v>
      </c>
      <c r="C6" s="7">
        <v>11</v>
      </c>
      <c r="D6" s="6">
        <v>2021</v>
      </c>
      <c r="E6" s="8">
        <f>Submetring!E6+Submetring!F6+Submetring!G6</f>
        <v>10573</v>
      </c>
      <c r="F6" s="6">
        <v>0.251</v>
      </c>
      <c r="G6" s="8">
        <f>Submetring!H6+Submetring!I6</f>
        <v>1616</v>
      </c>
      <c r="H6" s="6">
        <v>0.56711199999999995</v>
      </c>
      <c r="I6" s="8">
        <f>Submetring!J6</f>
        <v>176</v>
      </c>
      <c r="J6" s="6">
        <v>3.03</v>
      </c>
      <c r="K6" s="8">
        <f>Hotel!Y13</f>
        <v>113</v>
      </c>
    </row>
    <row r="7" spans="1:11" x14ac:dyDescent="0.25">
      <c r="A7" s="6" t="s">
        <v>11</v>
      </c>
      <c r="B7" s="9">
        <f t="shared" si="0"/>
        <v>6</v>
      </c>
      <c r="C7" s="7">
        <v>11</v>
      </c>
      <c r="D7" s="6">
        <v>2021</v>
      </c>
      <c r="E7" s="8">
        <f>Submetring!E7+Submetring!F7+Submetring!G7</f>
        <v>10610</v>
      </c>
      <c r="F7" s="6">
        <v>0.251</v>
      </c>
      <c r="G7" s="8">
        <f>Submetring!H7+Submetring!I7</f>
        <v>1630</v>
      </c>
      <c r="H7" s="6">
        <v>0.56711199999999995</v>
      </c>
      <c r="I7" s="8">
        <f>Submetring!J7</f>
        <v>188</v>
      </c>
      <c r="J7" s="6">
        <v>3.03</v>
      </c>
      <c r="K7" s="8">
        <f>Hotel!Y14</f>
        <v>88</v>
      </c>
    </row>
    <row r="8" spans="1:11" x14ac:dyDescent="0.25">
      <c r="A8" s="6" t="s">
        <v>11</v>
      </c>
      <c r="B8" s="9">
        <f t="shared" si="0"/>
        <v>7</v>
      </c>
      <c r="C8" s="7">
        <v>11</v>
      </c>
      <c r="D8" s="6">
        <v>2021</v>
      </c>
      <c r="E8" s="8">
        <f>Submetring!E8+Submetring!F8+Submetring!G8</f>
        <v>9836</v>
      </c>
      <c r="F8" s="6">
        <v>0.251</v>
      </c>
      <c r="G8" s="8">
        <f>Submetring!H8+Submetring!I8</f>
        <v>1484</v>
      </c>
      <c r="H8" s="6">
        <v>0.56711199999999995</v>
      </c>
      <c r="I8" s="8">
        <f>Submetring!J8</f>
        <v>192</v>
      </c>
      <c r="J8" s="6">
        <v>3.03</v>
      </c>
      <c r="K8" s="8">
        <f>Hotel!Y15</f>
        <v>97</v>
      </c>
    </row>
    <row r="9" spans="1:11" x14ac:dyDescent="0.25">
      <c r="A9" s="6" t="s">
        <v>11</v>
      </c>
      <c r="B9" s="9">
        <f t="shared" si="0"/>
        <v>8</v>
      </c>
      <c r="C9" s="7">
        <v>11</v>
      </c>
      <c r="D9" s="6">
        <v>2021</v>
      </c>
      <c r="E9" s="8">
        <f>Submetring!E9+Submetring!F9+Submetring!G9</f>
        <v>8891</v>
      </c>
      <c r="F9" s="6">
        <v>0.251</v>
      </c>
      <c r="G9" s="8">
        <f>Submetring!H9+Submetring!I9</f>
        <v>1425</v>
      </c>
      <c r="H9" s="6">
        <v>0.56711199999999995</v>
      </c>
      <c r="I9" s="8">
        <f>Submetring!J9</f>
        <v>194</v>
      </c>
      <c r="J9" s="6">
        <v>3.03</v>
      </c>
      <c r="K9" s="8">
        <f>Hotel!Y16</f>
        <v>91</v>
      </c>
    </row>
    <row r="10" spans="1:11" x14ac:dyDescent="0.25">
      <c r="A10" s="6" t="s">
        <v>11</v>
      </c>
      <c r="B10" s="9">
        <f t="shared" si="0"/>
        <v>9</v>
      </c>
      <c r="C10" s="7">
        <v>11</v>
      </c>
      <c r="D10" s="6">
        <v>2021</v>
      </c>
      <c r="E10" s="8">
        <f>Submetring!E10+Submetring!F10+Submetring!G10</f>
        <v>9160</v>
      </c>
      <c r="F10" s="6">
        <v>0.251</v>
      </c>
      <c r="G10" s="8">
        <f>Submetring!H10+Submetring!I10</f>
        <v>1539</v>
      </c>
      <c r="H10" s="6">
        <v>0.56711199999999995</v>
      </c>
      <c r="I10" s="8">
        <f>Submetring!J10</f>
        <v>169</v>
      </c>
      <c r="J10" s="6">
        <v>3.03</v>
      </c>
      <c r="K10" s="8">
        <f>Hotel!Y17</f>
        <v>86</v>
      </c>
    </row>
    <row r="11" spans="1:11" x14ac:dyDescent="0.25">
      <c r="A11" s="6" t="s">
        <v>11</v>
      </c>
      <c r="B11" s="9">
        <f t="shared" si="0"/>
        <v>10</v>
      </c>
      <c r="C11" s="7">
        <v>11</v>
      </c>
      <c r="D11" s="6">
        <v>2021</v>
      </c>
      <c r="E11" s="8">
        <f>Submetring!E11+Submetring!F11+Submetring!G11</f>
        <v>9352</v>
      </c>
      <c r="F11" s="6">
        <v>0.251</v>
      </c>
      <c r="G11" s="8">
        <f>Submetring!H11+Submetring!I11</f>
        <v>1695</v>
      </c>
      <c r="H11" s="6">
        <v>0.56711199999999995</v>
      </c>
      <c r="I11" s="8">
        <f>Submetring!J11</f>
        <v>174</v>
      </c>
      <c r="J11" s="6">
        <v>3.03</v>
      </c>
      <c r="K11" s="8">
        <f>Hotel!Y18</f>
        <v>86</v>
      </c>
    </row>
    <row r="12" spans="1:11" x14ac:dyDescent="0.25">
      <c r="A12" s="6" t="s">
        <v>11</v>
      </c>
      <c r="B12" s="9">
        <f t="shared" si="0"/>
        <v>11</v>
      </c>
      <c r="C12" s="7">
        <v>11</v>
      </c>
      <c r="D12" s="6">
        <v>2021</v>
      </c>
      <c r="E12" s="8">
        <f>Submetring!E12+Submetring!F12+Submetring!G12</f>
        <v>9114</v>
      </c>
      <c r="F12" s="6">
        <v>0.251</v>
      </c>
      <c r="G12" s="8">
        <f>Submetring!H12+Submetring!I12</f>
        <v>1713</v>
      </c>
      <c r="H12" s="6">
        <v>0.56711199999999995</v>
      </c>
      <c r="I12" s="8">
        <f>Submetring!J12</f>
        <v>207</v>
      </c>
      <c r="J12" s="6">
        <v>3.03</v>
      </c>
      <c r="K12" s="8">
        <f>Hotel!Y19</f>
        <v>90</v>
      </c>
    </row>
    <row r="13" spans="1:11" x14ac:dyDescent="0.25">
      <c r="A13" s="6" t="s">
        <v>11</v>
      </c>
      <c r="B13" s="9">
        <f t="shared" si="0"/>
        <v>12</v>
      </c>
      <c r="C13" s="7">
        <v>11</v>
      </c>
      <c r="D13" s="6">
        <v>2021</v>
      </c>
      <c r="E13" s="8">
        <f>Submetring!E13+Submetring!F13+Submetring!G13</f>
        <v>7849</v>
      </c>
      <c r="F13" s="6">
        <v>0.251</v>
      </c>
      <c r="G13" s="8">
        <f>Submetring!H13+Submetring!I13</f>
        <v>1594</v>
      </c>
      <c r="H13" s="6">
        <v>0.56711199999999995</v>
      </c>
      <c r="I13" s="8">
        <f>Submetring!J13</f>
        <v>191</v>
      </c>
      <c r="J13" s="6">
        <v>3.03</v>
      </c>
      <c r="K13" s="8">
        <f>Hotel!Y20</f>
        <v>102</v>
      </c>
    </row>
    <row r="14" spans="1:11" x14ac:dyDescent="0.25">
      <c r="A14" s="6" t="s">
        <v>11</v>
      </c>
      <c r="B14" s="9">
        <f t="shared" si="0"/>
        <v>13</v>
      </c>
      <c r="C14" s="7">
        <v>11</v>
      </c>
      <c r="D14" s="6">
        <v>2021</v>
      </c>
      <c r="E14" s="8">
        <f>Submetring!E14+Submetring!F14+Submetring!G14</f>
        <v>10176</v>
      </c>
      <c r="F14" s="6">
        <v>0.251</v>
      </c>
      <c r="G14" s="8">
        <f>Submetring!H14+Submetring!I14</f>
        <v>1664</v>
      </c>
      <c r="H14" s="6">
        <v>0.56711199999999995</v>
      </c>
      <c r="I14" s="8">
        <f>Submetring!J14</f>
        <v>309</v>
      </c>
      <c r="J14" s="6">
        <v>3.03</v>
      </c>
      <c r="K14" s="8">
        <f>Hotel!Y21</f>
        <v>102</v>
      </c>
    </row>
    <row r="15" spans="1:11" x14ac:dyDescent="0.25">
      <c r="A15" s="6" t="s">
        <v>11</v>
      </c>
      <c r="B15" s="9">
        <f t="shared" si="0"/>
        <v>14</v>
      </c>
      <c r="C15" s="7">
        <v>11</v>
      </c>
      <c r="D15" s="6">
        <v>2021</v>
      </c>
      <c r="E15" s="8">
        <f>Submetring!E15+Submetring!F15+Submetring!G15</f>
        <v>9600</v>
      </c>
      <c r="F15" s="6">
        <v>0.251</v>
      </c>
      <c r="G15" s="8">
        <f>Submetring!H15+Submetring!I15</f>
        <v>1638</v>
      </c>
      <c r="H15" s="6">
        <v>0.56711199999999995</v>
      </c>
      <c r="I15" s="8">
        <f>Submetring!J15</f>
        <v>205</v>
      </c>
      <c r="J15" s="6">
        <v>3.03</v>
      </c>
      <c r="K15" s="8">
        <f>Hotel!Y22</f>
        <v>90</v>
      </c>
    </row>
    <row r="16" spans="1:11" x14ac:dyDescent="0.25">
      <c r="A16" s="6" t="s">
        <v>11</v>
      </c>
      <c r="B16" s="9">
        <f t="shared" si="0"/>
        <v>15</v>
      </c>
      <c r="C16" s="7">
        <v>11</v>
      </c>
      <c r="D16" s="6">
        <v>2021</v>
      </c>
      <c r="E16" s="8">
        <f>Submetring!E16+Submetring!F16+Submetring!G16</f>
        <v>9240</v>
      </c>
      <c r="F16" s="6">
        <v>0.251</v>
      </c>
      <c r="G16" s="8">
        <f>Submetring!H16+Submetring!I16</f>
        <v>1754</v>
      </c>
      <c r="H16" s="6">
        <v>0.56711199999999995</v>
      </c>
      <c r="I16" s="8">
        <f>Submetring!J16</f>
        <v>202</v>
      </c>
      <c r="J16" s="6">
        <v>3.03</v>
      </c>
      <c r="K16" s="8">
        <f>Hotel!Y23</f>
        <v>66</v>
      </c>
    </row>
    <row r="17" spans="1:11" x14ac:dyDescent="0.25">
      <c r="A17" s="6" t="s">
        <v>11</v>
      </c>
      <c r="B17" s="9">
        <f t="shared" si="0"/>
        <v>16</v>
      </c>
      <c r="C17" s="7">
        <v>11</v>
      </c>
      <c r="D17" s="6">
        <v>2021</v>
      </c>
      <c r="E17" s="8">
        <f>Submetring!E17+Submetring!F17+Submetring!G17</f>
        <v>8934</v>
      </c>
      <c r="F17" s="6">
        <v>0.251</v>
      </c>
      <c r="G17" s="8">
        <f>Submetring!H17+Submetring!I17</f>
        <v>1742</v>
      </c>
      <c r="H17" s="6">
        <v>0.56711199999999995</v>
      </c>
      <c r="I17" s="8">
        <f>Submetring!J17</f>
        <v>182</v>
      </c>
      <c r="J17" s="6">
        <v>3.03</v>
      </c>
      <c r="K17" s="8">
        <f>Hotel!Y24</f>
        <v>77</v>
      </c>
    </row>
    <row r="18" spans="1:11" x14ac:dyDescent="0.25">
      <c r="A18" s="6" t="s">
        <v>11</v>
      </c>
      <c r="B18" s="9">
        <f t="shared" si="0"/>
        <v>17</v>
      </c>
      <c r="C18" s="7">
        <v>11</v>
      </c>
      <c r="D18" s="6">
        <v>2021</v>
      </c>
      <c r="E18" s="8">
        <f>Submetring!E18+Submetring!F18+Submetring!G18</f>
        <v>9189</v>
      </c>
      <c r="F18" s="6">
        <v>0.251</v>
      </c>
      <c r="G18" s="8">
        <f>Submetring!H18+Submetring!I18</f>
        <v>1988</v>
      </c>
      <c r="H18" s="6">
        <v>0.56711199999999995</v>
      </c>
      <c r="I18" s="8">
        <f>Submetring!J18</f>
        <v>160</v>
      </c>
      <c r="J18" s="6">
        <v>3.03</v>
      </c>
      <c r="K18" s="8">
        <f>Hotel!Y25</f>
        <v>87</v>
      </c>
    </row>
    <row r="19" spans="1:11" x14ac:dyDescent="0.25">
      <c r="A19" s="6" t="s">
        <v>11</v>
      </c>
      <c r="B19" s="9">
        <f t="shared" si="0"/>
        <v>18</v>
      </c>
      <c r="C19" s="7">
        <v>11</v>
      </c>
      <c r="D19" s="6">
        <v>2021</v>
      </c>
      <c r="E19" s="8">
        <f>Submetring!E19+Submetring!F19+Submetring!G19</f>
        <v>9086</v>
      </c>
      <c r="F19" s="6">
        <v>0.251</v>
      </c>
      <c r="G19" s="8">
        <f>Submetring!H19+Submetring!I19</f>
        <v>1992</v>
      </c>
      <c r="H19" s="6">
        <v>0.56711199999999995</v>
      </c>
      <c r="I19" s="8">
        <f>Submetring!J19</f>
        <v>172</v>
      </c>
      <c r="J19" s="6">
        <v>3.03</v>
      </c>
      <c r="K19" s="8">
        <f>Hotel!Y26</f>
        <v>101</v>
      </c>
    </row>
    <row r="20" spans="1:11" x14ac:dyDescent="0.25">
      <c r="A20" s="6" t="s">
        <v>11</v>
      </c>
      <c r="B20" s="9">
        <f t="shared" si="0"/>
        <v>19</v>
      </c>
      <c r="C20" s="7">
        <v>11</v>
      </c>
      <c r="D20" s="6">
        <v>2021</v>
      </c>
      <c r="E20" s="8">
        <f>Submetring!E20+Submetring!F20+Submetring!G20</f>
        <v>9295</v>
      </c>
      <c r="F20" s="6">
        <v>0.251</v>
      </c>
      <c r="G20" s="8">
        <f>Submetring!H20+Submetring!I20</f>
        <v>1993</v>
      </c>
      <c r="H20" s="6">
        <v>0.56711199999999995</v>
      </c>
      <c r="I20" s="8">
        <f>Submetring!J20</f>
        <v>157</v>
      </c>
      <c r="J20" s="6">
        <v>3.03</v>
      </c>
      <c r="K20" s="8">
        <f>Hotel!Y27</f>
        <v>105</v>
      </c>
    </row>
    <row r="21" spans="1:11" x14ac:dyDescent="0.25">
      <c r="A21" s="6" t="s">
        <v>11</v>
      </c>
      <c r="B21" s="9">
        <f t="shared" si="0"/>
        <v>20</v>
      </c>
      <c r="C21" s="7">
        <v>11</v>
      </c>
      <c r="D21" s="6">
        <v>2021</v>
      </c>
      <c r="E21" s="8">
        <f>Submetring!E21+Submetring!F21+Submetring!G21</f>
        <v>9679</v>
      </c>
      <c r="F21" s="6">
        <v>0.251</v>
      </c>
      <c r="G21" s="8">
        <f>Submetring!H21+Submetring!I21</f>
        <v>2036</v>
      </c>
      <c r="H21" s="6">
        <v>0.56711199999999995</v>
      </c>
      <c r="I21" s="8">
        <f>Submetring!J21</f>
        <v>185</v>
      </c>
      <c r="J21" s="6">
        <v>3.03</v>
      </c>
      <c r="K21" s="8">
        <f>Hotel!Y28</f>
        <v>109</v>
      </c>
    </row>
    <row r="22" spans="1:11" x14ac:dyDescent="0.25">
      <c r="A22" s="6" t="s">
        <v>11</v>
      </c>
      <c r="B22" s="9">
        <f t="shared" si="0"/>
        <v>21</v>
      </c>
      <c r="C22" s="7">
        <v>11</v>
      </c>
      <c r="D22" s="6">
        <v>2021</v>
      </c>
      <c r="E22" s="8">
        <f>Submetring!E22+Submetring!F22+Submetring!G22</f>
        <v>9664</v>
      </c>
      <c r="F22" s="6">
        <v>0.251</v>
      </c>
      <c r="G22" s="8">
        <f>Submetring!H22+Submetring!I22</f>
        <v>2028</v>
      </c>
      <c r="H22" s="6">
        <v>0.56711199999999995</v>
      </c>
      <c r="I22" s="8">
        <f>Submetring!J22</f>
        <v>221</v>
      </c>
      <c r="J22" s="6">
        <v>3.03</v>
      </c>
      <c r="K22" s="8">
        <f>Hotel!Y29</f>
        <v>114</v>
      </c>
    </row>
    <row r="23" spans="1:11" x14ac:dyDescent="0.25">
      <c r="A23" s="6" t="s">
        <v>11</v>
      </c>
      <c r="B23" s="9">
        <f t="shared" si="0"/>
        <v>22</v>
      </c>
      <c r="C23" s="7">
        <v>11</v>
      </c>
      <c r="D23" s="6">
        <v>2021</v>
      </c>
      <c r="E23" s="8">
        <f>Submetring!E23+Submetring!F23+Submetring!G23</f>
        <v>9495</v>
      </c>
      <c r="F23" s="6">
        <v>0.251</v>
      </c>
      <c r="G23" s="8">
        <f>Submetring!H23+Submetring!I23</f>
        <v>2260</v>
      </c>
      <c r="H23" s="6">
        <v>0.56711199999999995</v>
      </c>
      <c r="I23" s="8">
        <f>Submetring!J23</f>
        <v>233</v>
      </c>
      <c r="J23" s="6">
        <v>3.03</v>
      </c>
      <c r="K23" s="8">
        <f>Hotel!Y30</f>
        <v>99</v>
      </c>
    </row>
    <row r="24" spans="1:11" x14ac:dyDescent="0.25">
      <c r="A24" s="6" t="s">
        <v>11</v>
      </c>
      <c r="B24" s="9">
        <f t="shared" si="0"/>
        <v>23</v>
      </c>
      <c r="C24" s="7">
        <v>11</v>
      </c>
      <c r="D24" s="6">
        <v>2021</v>
      </c>
      <c r="E24" s="8">
        <f>Submetring!E24+Submetring!F24+Submetring!G24</f>
        <v>9828</v>
      </c>
      <c r="F24" s="6">
        <v>0.251</v>
      </c>
      <c r="G24" s="8">
        <f>Submetring!H24+Submetring!I24</f>
        <v>2086</v>
      </c>
      <c r="H24" s="6">
        <v>0.56711199999999995</v>
      </c>
      <c r="I24" s="8">
        <f>Submetring!J24</f>
        <v>208</v>
      </c>
      <c r="J24" s="6">
        <v>3.03</v>
      </c>
      <c r="K24" s="8">
        <f>Hotel!Y31</f>
        <v>117</v>
      </c>
    </row>
    <row r="25" spans="1:11" x14ac:dyDescent="0.25">
      <c r="A25" s="6" t="s">
        <v>11</v>
      </c>
      <c r="B25" s="9">
        <f t="shared" si="0"/>
        <v>24</v>
      </c>
      <c r="C25" s="7">
        <v>11</v>
      </c>
      <c r="D25" s="6">
        <v>2021</v>
      </c>
      <c r="E25" s="8">
        <f>Submetring!E25+Submetring!F25+Submetring!G25</f>
        <v>9580</v>
      </c>
      <c r="F25" s="6">
        <v>0.251</v>
      </c>
      <c r="G25" s="8">
        <f>Submetring!H25+Submetring!I25</f>
        <v>2125</v>
      </c>
      <c r="H25" s="6">
        <v>0.56711199999999995</v>
      </c>
      <c r="I25" s="8">
        <f>Submetring!J25</f>
        <v>187</v>
      </c>
      <c r="J25" s="6">
        <v>3.03</v>
      </c>
      <c r="K25" s="8">
        <f>Hotel!Y32</f>
        <v>110</v>
      </c>
    </row>
    <row r="26" spans="1:11" x14ac:dyDescent="0.25">
      <c r="A26" s="6" t="s">
        <v>11</v>
      </c>
      <c r="B26" s="9">
        <f>B25+1</f>
        <v>25</v>
      </c>
      <c r="C26" s="7">
        <v>11</v>
      </c>
      <c r="D26" s="6">
        <v>2021</v>
      </c>
      <c r="E26" s="8">
        <f>Submetring!E26+Submetring!F26+Submetring!G26</f>
        <v>9844</v>
      </c>
      <c r="F26" s="6">
        <v>0.251</v>
      </c>
      <c r="G26" s="8">
        <f>Submetring!H26+Submetring!I26</f>
        <v>2232</v>
      </c>
      <c r="H26" s="6">
        <v>0.56711199999999995</v>
      </c>
      <c r="I26" s="8">
        <f>Submetring!J26</f>
        <v>203</v>
      </c>
      <c r="J26" s="6">
        <v>3.03</v>
      </c>
      <c r="K26" s="8">
        <f>Hotel!Y33</f>
        <v>89</v>
      </c>
    </row>
    <row r="27" spans="1:11" x14ac:dyDescent="0.25">
      <c r="A27" s="6" t="s">
        <v>11</v>
      </c>
      <c r="B27" s="9">
        <f t="shared" si="0"/>
        <v>26</v>
      </c>
      <c r="C27" s="7">
        <v>11</v>
      </c>
      <c r="D27" s="6">
        <v>2021</v>
      </c>
      <c r="E27" s="8">
        <f>Submetring!E27+Submetring!F27+Submetring!G27</f>
        <v>10511</v>
      </c>
      <c r="F27" s="6">
        <v>0.251</v>
      </c>
      <c r="G27" s="8">
        <f>Submetring!H27+Submetring!I27</f>
        <v>2070</v>
      </c>
      <c r="H27" s="6">
        <v>0.56711199999999995</v>
      </c>
      <c r="I27" s="8">
        <f>Submetring!J27</f>
        <v>178</v>
      </c>
      <c r="J27" s="6">
        <v>3.03</v>
      </c>
      <c r="K27" s="8">
        <f>Hotel!Y34</f>
        <v>83</v>
      </c>
    </row>
    <row r="28" spans="1:11" x14ac:dyDescent="0.25">
      <c r="A28" s="6" t="s">
        <v>11</v>
      </c>
      <c r="B28" s="9">
        <f t="shared" si="0"/>
        <v>27</v>
      </c>
      <c r="C28" s="7">
        <v>11</v>
      </c>
      <c r="D28" s="6">
        <v>2021</v>
      </c>
      <c r="E28" s="8">
        <f>Submetring!E28+Submetring!F28+Submetring!G28</f>
        <v>8393</v>
      </c>
      <c r="F28" s="6">
        <v>0.251</v>
      </c>
      <c r="G28" s="8">
        <f>Submetring!H28+Submetring!I28</f>
        <v>2254</v>
      </c>
      <c r="H28" s="6">
        <v>0.56711199999999995</v>
      </c>
      <c r="I28" s="8">
        <f>Submetring!J28</f>
        <v>169</v>
      </c>
      <c r="J28" s="6">
        <v>3.03</v>
      </c>
      <c r="K28" s="8">
        <f>Hotel!Y35</f>
        <v>87</v>
      </c>
    </row>
    <row r="29" spans="1:11" x14ac:dyDescent="0.25">
      <c r="A29" s="6" t="s">
        <v>11</v>
      </c>
      <c r="B29" s="9">
        <f t="shared" si="0"/>
        <v>28</v>
      </c>
      <c r="C29" s="7">
        <v>11</v>
      </c>
      <c r="D29" s="6">
        <v>2021</v>
      </c>
      <c r="E29" s="8">
        <f>Submetring!E29+Submetring!F29+Submetring!G29</f>
        <v>9402</v>
      </c>
      <c r="F29" s="6">
        <v>0.251</v>
      </c>
      <c r="G29" s="8">
        <f>Submetring!H29+Submetring!I29</f>
        <v>2318</v>
      </c>
      <c r="H29" s="6">
        <v>0.56711199999999995</v>
      </c>
      <c r="I29" s="8">
        <f>Submetring!J29</f>
        <v>180</v>
      </c>
      <c r="J29" s="6">
        <v>3.03</v>
      </c>
      <c r="K29" s="8">
        <f>Hotel!Y36</f>
        <v>83</v>
      </c>
    </row>
    <row r="30" spans="1:11" x14ac:dyDescent="0.25">
      <c r="A30" s="6" t="s">
        <v>11</v>
      </c>
      <c r="B30" s="9">
        <f t="shared" si="0"/>
        <v>29</v>
      </c>
      <c r="C30" s="7">
        <v>11</v>
      </c>
      <c r="D30" s="6">
        <v>2021</v>
      </c>
      <c r="E30" s="8">
        <f>Submetring!E30+Submetring!F30+Submetring!G30</f>
        <v>8870</v>
      </c>
      <c r="F30" s="6">
        <v>0.251</v>
      </c>
      <c r="G30" s="8">
        <f>Submetring!H30+Submetring!I30</f>
        <v>2271</v>
      </c>
      <c r="H30" s="6">
        <v>0.56711199999999995</v>
      </c>
      <c r="I30" s="8">
        <f>Submetring!J30</f>
        <v>187</v>
      </c>
      <c r="J30" s="6">
        <v>3.03</v>
      </c>
      <c r="K30" s="8">
        <f>Hotel!Y37</f>
        <v>76</v>
      </c>
    </row>
    <row r="31" spans="1:11" x14ac:dyDescent="0.25">
      <c r="A31" s="6" t="s">
        <v>11</v>
      </c>
      <c r="B31" s="9">
        <f t="shared" si="0"/>
        <v>30</v>
      </c>
      <c r="C31" s="7">
        <v>11</v>
      </c>
      <c r="D31" s="6">
        <v>2021</v>
      </c>
      <c r="E31" s="8">
        <f>Submetring!E31+Submetring!F31+Submetring!G31</f>
        <v>8295</v>
      </c>
      <c r="F31" s="6">
        <v>0.251</v>
      </c>
      <c r="G31" s="8">
        <f>Submetring!H31+Submetring!I31</f>
        <v>2500</v>
      </c>
      <c r="H31" s="6">
        <v>0.56711199999999995</v>
      </c>
      <c r="I31" s="8">
        <f>Submetring!J31</f>
        <v>240</v>
      </c>
      <c r="J31" s="6">
        <v>3.03</v>
      </c>
      <c r="K31" s="8">
        <f>Hotel!Y38</f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32"/>
  <sheetViews>
    <sheetView topLeftCell="A2" workbookViewId="0">
      <selection activeCell="J27" sqref="J27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11</v>
      </c>
      <c r="D2" s="10">
        <v>2021</v>
      </c>
      <c r="E2" s="11">
        <f>Hotel!D9</f>
        <v>3527</v>
      </c>
      <c r="F2" s="11">
        <f>Hotel!F9</f>
        <v>3512</v>
      </c>
      <c r="G2" s="11">
        <f>Hotel!H9</f>
        <v>3275</v>
      </c>
      <c r="H2" s="11">
        <f>Hotel!N9</f>
        <v>132</v>
      </c>
      <c r="I2" s="11">
        <f>Hotel!P9</f>
        <v>1559</v>
      </c>
      <c r="J2" s="11">
        <f>Hotel!U9</f>
        <v>218</v>
      </c>
      <c r="K2" s="11">
        <f>Hotel!Y9</f>
        <v>117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11</v>
      </c>
      <c r="D3" s="10">
        <v>2021</v>
      </c>
      <c r="E3" s="11">
        <f>Hotel!D10</f>
        <v>3870</v>
      </c>
      <c r="F3" s="11">
        <f>Hotel!F10</f>
        <v>3856</v>
      </c>
      <c r="G3" s="11">
        <f>Hotel!H10</f>
        <v>3611</v>
      </c>
      <c r="H3" s="11">
        <f>Hotel!N10</f>
        <v>140</v>
      </c>
      <c r="I3" s="11">
        <f>Hotel!P10</f>
        <v>1540</v>
      </c>
      <c r="J3" s="11">
        <f>Hotel!U10</f>
        <v>177</v>
      </c>
      <c r="K3" s="11">
        <f>Hotel!Y10</f>
        <v>88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11</v>
      </c>
      <c r="D4" s="10">
        <v>2021</v>
      </c>
      <c r="E4" s="11">
        <f>Hotel!D11</f>
        <v>3727</v>
      </c>
      <c r="F4" s="11">
        <f>Hotel!F11</f>
        <v>3708</v>
      </c>
      <c r="G4" s="11">
        <f>Hotel!H11</f>
        <v>3476</v>
      </c>
      <c r="H4" s="11">
        <f>Hotel!N11</f>
        <v>128</v>
      </c>
      <c r="I4" s="11">
        <f>Hotel!P11</f>
        <v>1484</v>
      </c>
      <c r="J4" s="11">
        <f>Hotel!U11</f>
        <v>191</v>
      </c>
      <c r="K4" s="11">
        <f>Hotel!Y11</f>
        <v>95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11</v>
      </c>
      <c r="D5" s="10">
        <v>2021</v>
      </c>
      <c r="E5" s="11">
        <f>Hotel!D12</f>
        <v>3671</v>
      </c>
      <c r="F5" s="11">
        <f>Hotel!F12</f>
        <v>3662</v>
      </c>
      <c r="G5" s="11">
        <f>Hotel!H12</f>
        <v>3431</v>
      </c>
      <c r="H5" s="11">
        <f>Hotel!N12</f>
        <v>109</v>
      </c>
      <c r="I5" s="11">
        <f>Hotel!P12</f>
        <v>1496</v>
      </c>
      <c r="J5" s="11">
        <f>Hotel!U12</f>
        <v>165</v>
      </c>
      <c r="K5" s="11">
        <f>Hotel!Y12</f>
        <v>95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11</v>
      </c>
      <c r="D6" s="10">
        <v>2021</v>
      </c>
      <c r="E6" s="11">
        <f>Hotel!D13</f>
        <v>3617</v>
      </c>
      <c r="F6" s="11">
        <f>Hotel!F13</f>
        <v>3594</v>
      </c>
      <c r="G6" s="11">
        <f>Hotel!H13</f>
        <v>3362</v>
      </c>
      <c r="H6" s="11">
        <f>Hotel!N13</f>
        <v>123</v>
      </c>
      <c r="I6" s="11">
        <f>Hotel!P13</f>
        <v>1493</v>
      </c>
      <c r="J6" s="11">
        <f>Hotel!U13</f>
        <v>176</v>
      </c>
      <c r="K6" s="11">
        <f>Hotel!Y13</f>
        <v>113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11</v>
      </c>
      <c r="D7" s="10">
        <v>2021</v>
      </c>
      <c r="E7" s="11">
        <f>Hotel!D14</f>
        <v>3621</v>
      </c>
      <c r="F7" s="11">
        <f>Hotel!F14</f>
        <v>3623</v>
      </c>
      <c r="G7" s="11">
        <f>Hotel!H14</f>
        <v>3366</v>
      </c>
      <c r="H7" s="11">
        <f>Hotel!N14</f>
        <v>126</v>
      </c>
      <c r="I7" s="11">
        <f>Hotel!P14</f>
        <v>1504</v>
      </c>
      <c r="J7" s="11">
        <f>Hotel!U14</f>
        <v>188</v>
      </c>
      <c r="K7" s="11">
        <f>Hotel!Y14</f>
        <v>88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11</v>
      </c>
      <c r="D8" s="10">
        <v>2021</v>
      </c>
      <c r="E8" s="11">
        <f>Hotel!D15</f>
        <v>3370</v>
      </c>
      <c r="F8" s="11">
        <f>Hotel!F15</f>
        <v>3362</v>
      </c>
      <c r="G8" s="11">
        <f>Hotel!H15</f>
        <v>3104</v>
      </c>
      <c r="H8" s="11">
        <f>Hotel!N15</f>
        <v>139</v>
      </c>
      <c r="I8" s="11">
        <f>Hotel!P15</f>
        <v>1345</v>
      </c>
      <c r="J8" s="11">
        <f>Hotel!U15</f>
        <v>192</v>
      </c>
      <c r="K8" s="11">
        <f>Hotel!Y15</f>
        <v>97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11</v>
      </c>
      <c r="D9" s="10">
        <v>2021</v>
      </c>
      <c r="E9" s="11">
        <f>Hotel!D16</f>
        <v>3053</v>
      </c>
      <c r="F9" s="11">
        <f>Hotel!F16</f>
        <v>3035</v>
      </c>
      <c r="G9" s="11">
        <f>Hotel!H16</f>
        <v>2803</v>
      </c>
      <c r="H9" s="11">
        <f>Hotel!N16</f>
        <v>120</v>
      </c>
      <c r="I9" s="11">
        <f>Hotel!P16</f>
        <v>1305</v>
      </c>
      <c r="J9" s="11">
        <f>Hotel!U16</f>
        <v>194</v>
      </c>
      <c r="K9" s="11">
        <f>Hotel!Y16</f>
        <v>91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11</v>
      </c>
      <c r="D10" s="10">
        <v>2021</v>
      </c>
      <c r="E10" s="11">
        <f>Hotel!D17</f>
        <v>3142</v>
      </c>
      <c r="F10" s="11">
        <f>Hotel!F17</f>
        <v>3133</v>
      </c>
      <c r="G10" s="11">
        <f>Hotel!H17</f>
        <v>2885</v>
      </c>
      <c r="H10" s="11">
        <f>Hotel!N17</f>
        <v>124</v>
      </c>
      <c r="I10" s="11">
        <f>Hotel!P17</f>
        <v>1415</v>
      </c>
      <c r="J10" s="11">
        <f>Hotel!U17</f>
        <v>169</v>
      </c>
      <c r="K10" s="11">
        <f>Hotel!Y17</f>
        <v>86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11</v>
      </c>
      <c r="D11" s="10">
        <v>2021</v>
      </c>
      <c r="E11" s="11">
        <f>Hotel!D18</f>
        <v>3202</v>
      </c>
      <c r="F11" s="11">
        <f>Hotel!F18</f>
        <v>3195</v>
      </c>
      <c r="G11" s="11">
        <f>Hotel!H18</f>
        <v>2955</v>
      </c>
      <c r="H11" s="11">
        <f>Hotel!N18</f>
        <v>133</v>
      </c>
      <c r="I11" s="11">
        <f>Hotel!P18</f>
        <v>1562</v>
      </c>
      <c r="J11" s="11">
        <f>Hotel!U18</f>
        <v>174</v>
      </c>
      <c r="K11" s="11">
        <f>Hotel!Y18</f>
        <v>86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11</v>
      </c>
      <c r="D12" s="10">
        <v>2021</v>
      </c>
      <c r="E12" s="11">
        <f>Hotel!D19</f>
        <v>3118</v>
      </c>
      <c r="F12" s="11">
        <f>Hotel!F19</f>
        <v>3105</v>
      </c>
      <c r="G12" s="11">
        <f>Hotel!H19</f>
        <v>2891</v>
      </c>
      <c r="H12" s="11">
        <f>Hotel!N19</f>
        <v>125</v>
      </c>
      <c r="I12" s="11">
        <f>Hotel!P19</f>
        <v>1588</v>
      </c>
      <c r="J12" s="11">
        <f>Hotel!U19</f>
        <v>207</v>
      </c>
      <c r="K12" s="11">
        <f>Hotel!Y19</f>
        <v>90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11</v>
      </c>
      <c r="D13" s="10">
        <v>2021</v>
      </c>
      <c r="E13" s="11">
        <f>Hotel!D20</f>
        <v>2032</v>
      </c>
      <c r="F13" s="11">
        <f>Hotel!F20</f>
        <v>3020</v>
      </c>
      <c r="G13" s="11">
        <f>Hotel!H20</f>
        <v>2797</v>
      </c>
      <c r="H13" s="11">
        <f>Hotel!N20</f>
        <v>125</v>
      </c>
      <c r="I13" s="11">
        <f>Hotel!P20</f>
        <v>1469</v>
      </c>
      <c r="J13" s="11">
        <f>Hotel!U20</f>
        <v>191</v>
      </c>
      <c r="K13" s="11">
        <f>Hotel!Y20</f>
        <v>102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11</v>
      </c>
      <c r="D14" s="10">
        <v>2021</v>
      </c>
      <c r="E14" s="11">
        <f>Hotel!D21</f>
        <v>4136</v>
      </c>
      <c r="F14" s="11">
        <f>Hotel!F21</f>
        <v>3134</v>
      </c>
      <c r="G14" s="11">
        <f>Hotel!H21</f>
        <v>2906</v>
      </c>
      <c r="H14" s="11">
        <f>Hotel!N21</f>
        <v>141</v>
      </c>
      <c r="I14" s="11">
        <f>Hotel!P21</f>
        <v>1523</v>
      </c>
      <c r="J14" s="11">
        <f>Hotel!U21</f>
        <v>309</v>
      </c>
      <c r="K14" s="11">
        <f>Hotel!Y21</f>
        <v>102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11</v>
      </c>
      <c r="D15" s="10">
        <v>2021</v>
      </c>
      <c r="E15" s="11">
        <f>Hotel!D22</f>
        <v>3294</v>
      </c>
      <c r="F15" s="11">
        <f>Hotel!F22</f>
        <v>3259</v>
      </c>
      <c r="G15" s="11">
        <f>Hotel!H22</f>
        <v>3047</v>
      </c>
      <c r="H15" s="11">
        <f>Hotel!N22</f>
        <v>144</v>
      </c>
      <c r="I15" s="11">
        <f>Hotel!P22</f>
        <v>1494</v>
      </c>
      <c r="J15" s="11">
        <f>Hotel!U22</f>
        <v>205</v>
      </c>
      <c r="K15" s="11">
        <f>Hotel!Y22</f>
        <v>90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11</v>
      </c>
      <c r="D16" s="10">
        <v>2021</v>
      </c>
      <c r="E16" s="11">
        <f>Hotel!D23</f>
        <v>3175</v>
      </c>
      <c r="F16" s="11">
        <f>Hotel!F23</f>
        <v>3140</v>
      </c>
      <c r="G16" s="11">
        <f>Hotel!H23</f>
        <v>2925</v>
      </c>
      <c r="H16" s="11">
        <f>Hotel!N23</f>
        <v>127</v>
      </c>
      <c r="I16" s="11">
        <f>Hotel!P23</f>
        <v>1627</v>
      </c>
      <c r="J16" s="11">
        <f>Hotel!U23</f>
        <v>202</v>
      </c>
      <c r="K16" s="11">
        <f>Hotel!Y23</f>
        <v>66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11</v>
      </c>
      <c r="D17" s="10">
        <v>2021</v>
      </c>
      <c r="E17" s="11">
        <f>Hotel!D24</f>
        <v>3069</v>
      </c>
      <c r="F17" s="11">
        <f>Hotel!F24</f>
        <v>3031</v>
      </c>
      <c r="G17" s="11">
        <f>Hotel!H24</f>
        <v>2834</v>
      </c>
      <c r="H17" s="11">
        <f>Hotel!N24</f>
        <v>128</v>
      </c>
      <c r="I17" s="11">
        <f>Hotel!P24</f>
        <v>1614</v>
      </c>
      <c r="J17" s="11">
        <f>Hotel!U24</f>
        <v>182</v>
      </c>
      <c r="K17" s="11">
        <f>Hotel!Y24</f>
        <v>77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11</v>
      </c>
      <c r="D18" s="10">
        <v>2021</v>
      </c>
      <c r="E18" s="11">
        <f>Hotel!D25</f>
        <v>3154</v>
      </c>
      <c r="F18" s="11">
        <f>Hotel!F25</f>
        <v>3116</v>
      </c>
      <c r="G18" s="11">
        <f>Hotel!H25</f>
        <v>2919</v>
      </c>
      <c r="H18" s="11">
        <f>Hotel!N25</f>
        <v>132</v>
      </c>
      <c r="I18" s="11">
        <f>Hotel!P25</f>
        <v>1856</v>
      </c>
      <c r="J18" s="11">
        <f>Hotel!U25</f>
        <v>160</v>
      </c>
      <c r="K18" s="11">
        <f>Hotel!Y25</f>
        <v>87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11</v>
      </c>
      <c r="D19" s="10">
        <v>2021</v>
      </c>
      <c r="E19" s="11">
        <f>Hotel!D26</f>
        <v>3125</v>
      </c>
      <c r="F19" s="11">
        <f>Hotel!F26</f>
        <v>3084</v>
      </c>
      <c r="G19" s="11">
        <f>Hotel!H26</f>
        <v>2877</v>
      </c>
      <c r="H19" s="11">
        <f>Hotel!N26</f>
        <v>138</v>
      </c>
      <c r="I19" s="11">
        <f>Hotel!P26</f>
        <v>1854</v>
      </c>
      <c r="J19" s="11">
        <f>Hotel!U26</f>
        <v>172</v>
      </c>
      <c r="K19" s="11">
        <f>Hotel!Y26</f>
        <v>101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11</v>
      </c>
      <c r="D20" s="10">
        <v>2021</v>
      </c>
      <c r="E20" s="11">
        <f>Hotel!D27</f>
        <v>3189</v>
      </c>
      <c r="F20" s="11">
        <f>Hotel!F27</f>
        <v>3153</v>
      </c>
      <c r="G20" s="11">
        <f>Hotel!H27</f>
        <v>2953</v>
      </c>
      <c r="H20" s="11">
        <f>Hotel!N27</f>
        <v>139</v>
      </c>
      <c r="I20" s="11">
        <f>Hotel!P27</f>
        <v>1854</v>
      </c>
      <c r="J20" s="11">
        <f>Hotel!U27</f>
        <v>157</v>
      </c>
      <c r="K20" s="11">
        <f>Hotel!Y27</f>
        <v>105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11</v>
      </c>
      <c r="D21" s="10">
        <v>2021</v>
      </c>
      <c r="E21" s="11">
        <f>Hotel!D28</f>
        <v>3324</v>
      </c>
      <c r="F21" s="11">
        <f>Hotel!F28</f>
        <v>3273</v>
      </c>
      <c r="G21" s="11">
        <f>Hotel!H28</f>
        <v>3082</v>
      </c>
      <c r="H21" s="11">
        <f>Hotel!N28</f>
        <v>135</v>
      </c>
      <c r="I21" s="11">
        <f>Hotel!P28</f>
        <v>1901</v>
      </c>
      <c r="J21" s="11">
        <f>Hotel!U28</f>
        <v>185</v>
      </c>
      <c r="K21" s="11">
        <f>Hotel!Y28</f>
        <v>109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11</v>
      </c>
      <c r="D22" s="10">
        <v>2021</v>
      </c>
      <c r="E22" s="11">
        <f>Hotel!D29</f>
        <v>3307</v>
      </c>
      <c r="F22" s="11">
        <f>Hotel!F29</f>
        <v>3272</v>
      </c>
      <c r="G22" s="11">
        <f>Hotel!H29</f>
        <v>3085</v>
      </c>
      <c r="H22" s="11">
        <f>Hotel!N29</f>
        <v>134</v>
      </c>
      <c r="I22" s="11">
        <f>Hotel!P29</f>
        <v>1894</v>
      </c>
      <c r="J22" s="11">
        <f>Hotel!U29</f>
        <v>221</v>
      </c>
      <c r="K22" s="11">
        <f>Hotel!Y29</f>
        <v>114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11</v>
      </c>
      <c r="D23" s="10">
        <v>2021</v>
      </c>
      <c r="E23" s="11">
        <f>Hotel!D30</f>
        <v>3258</v>
      </c>
      <c r="F23" s="11">
        <f>Hotel!F30</f>
        <v>3213</v>
      </c>
      <c r="G23" s="11">
        <f>Hotel!H30</f>
        <v>3024</v>
      </c>
      <c r="H23" s="11">
        <f>Hotel!N30</f>
        <v>135</v>
      </c>
      <c r="I23" s="11">
        <f>Hotel!P30</f>
        <v>2125</v>
      </c>
      <c r="J23" s="11">
        <f>Hotel!U30</f>
        <v>233</v>
      </c>
      <c r="K23" s="11">
        <f>Hotel!Y30</f>
        <v>99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11</v>
      </c>
      <c r="D24" s="10">
        <v>2021</v>
      </c>
      <c r="E24" s="11">
        <f>Hotel!D31</f>
        <v>3377</v>
      </c>
      <c r="F24" s="11">
        <f>Hotel!F31</f>
        <v>3310</v>
      </c>
      <c r="G24" s="11">
        <f>Hotel!H31</f>
        <v>3141</v>
      </c>
      <c r="H24" s="11">
        <f>Hotel!N31</f>
        <v>121</v>
      </c>
      <c r="I24" s="11">
        <f>Hotel!P31</f>
        <v>1965</v>
      </c>
      <c r="J24" s="11">
        <f>Hotel!U31</f>
        <v>208</v>
      </c>
      <c r="K24" s="11">
        <f>Hotel!Y31</f>
        <v>117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11</v>
      </c>
      <c r="D25" s="10">
        <v>2021</v>
      </c>
      <c r="E25" s="11">
        <f>Hotel!D32</f>
        <v>3291</v>
      </c>
      <c r="F25" s="11">
        <f>Hotel!F32</f>
        <v>3264</v>
      </c>
      <c r="G25" s="11">
        <f>Hotel!H32</f>
        <v>3025</v>
      </c>
      <c r="H25" s="11">
        <f>Hotel!N32</f>
        <v>119</v>
      </c>
      <c r="I25" s="11">
        <f>Hotel!P32</f>
        <v>2006</v>
      </c>
      <c r="J25" s="11">
        <f>Hotel!U32</f>
        <v>187</v>
      </c>
      <c r="K25" s="11">
        <f>Hotel!Y32</f>
        <v>110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11</v>
      </c>
      <c r="D26" s="10">
        <v>2021</v>
      </c>
      <c r="E26" s="11">
        <f>Hotel!D33</f>
        <v>3374</v>
      </c>
      <c r="F26" s="11">
        <f>Hotel!F33</f>
        <v>3348</v>
      </c>
      <c r="G26" s="11">
        <f>Hotel!H33</f>
        <v>3122</v>
      </c>
      <c r="H26" s="11">
        <f>Hotel!N33</f>
        <v>109</v>
      </c>
      <c r="I26" s="11">
        <f>Hotel!P33</f>
        <v>2123</v>
      </c>
      <c r="J26" s="11">
        <f>Hotel!U33</f>
        <v>203</v>
      </c>
      <c r="K26" s="11">
        <f>Hotel!Y33</f>
        <v>89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11</v>
      </c>
      <c r="D27" s="10">
        <v>2021</v>
      </c>
      <c r="E27" s="11">
        <f>Hotel!D34</f>
        <v>3262</v>
      </c>
      <c r="F27" s="11">
        <f>Hotel!F34</f>
        <v>3233</v>
      </c>
      <c r="G27" s="11">
        <f>Hotel!H34</f>
        <v>4016</v>
      </c>
      <c r="H27" s="11">
        <f>Hotel!N34</f>
        <v>106</v>
      </c>
      <c r="I27" s="11">
        <f>Hotel!P34</f>
        <v>1964</v>
      </c>
      <c r="J27" s="11">
        <f>Hotel!U34</f>
        <v>178</v>
      </c>
      <c r="K27" s="11">
        <f>Hotel!Y34</f>
        <v>83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11</v>
      </c>
      <c r="D28" s="10">
        <v>2021</v>
      </c>
      <c r="E28" s="11">
        <f>Hotel!D35</f>
        <v>3228</v>
      </c>
      <c r="F28" s="11">
        <f>Hotel!F35</f>
        <v>3173</v>
      </c>
      <c r="G28" s="11">
        <f>Hotel!H35</f>
        <v>1992</v>
      </c>
      <c r="H28" s="11">
        <f>Hotel!N35</f>
        <v>116</v>
      </c>
      <c r="I28" s="11">
        <f>Hotel!P35</f>
        <v>2138</v>
      </c>
      <c r="J28" s="11">
        <f>Hotel!U35</f>
        <v>169</v>
      </c>
      <c r="K28" s="11">
        <f>Hotel!Y35</f>
        <v>87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11</v>
      </c>
      <c r="D29" s="10">
        <v>2021</v>
      </c>
      <c r="E29" s="11">
        <f>Hotel!D36</f>
        <v>3235</v>
      </c>
      <c r="F29" s="11">
        <f>Hotel!F36</f>
        <v>3176</v>
      </c>
      <c r="G29" s="11">
        <f>Hotel!H36</f>
        <v>2991</v>
      </c>
      <c r="H29" s="11">
        <f>Hotel!N36</f>
        <v>127</v>
      </c>
      <c r="I29" s="11">
        <f>Hotel!P36</f>
        <v>2191</v>
      </c>
      <c r="J29" s="11">
        <f>Hotel!U36</f>
        <v>180</v>
      </c>
      <c r="K29" s="11">
        <f>Hotel!Y36</f>
        <v>83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11</v>
      </c>
      <c r="D30" s="10">
        <v>2021</v>
      </c>
      <c r="E30" s="11">
        <f>Hotel!D37</f>
        <v>3062</v>
      </c>
      <c r="F30" s="11">
        <f>Hotel!F37</f>
        <v>2998</v>
      </c>
      <c r="G30" s="11">
        <f>Hotel!H37</f>
        <v>2810</v>
      </c>
      <c r="H30" s="11">
        <f>Hotel!N37</f>
        <v>103</v>
      </c>
      <c r="I30" s="11">
        <f>Hotel!P37</f>
        <v>2168</v>
      </c>
      <c r="J30" s="11">
        <f>Hotel!U37</f>
        <v>187</v>
      </c>
      <c r="K30" s="11">
        <f>Hotel!Y37</f>
        <v>76</v>
      </c>
    </row>
    <row r="31" spans="1:93" x14ac:dyDescent="0.25">
      <c r="A31" t="s">
        <v>11</v>
      </c>
      <c r="B31" s="10">
        <f t="shared" si="0"/>
        <v>30</v>
      </c>
      <c r="C31" s="10">
        <v>11</v>
      </c>
      <c r="D31" s="10">
        <v>2021</v>
      </c>
      <c r="E31" s="11">
        <f>Hotel!D38</f>
        <v>2844</v>
      </c>
      <c r="F31" s="11">
        <f>Hotel!F38</f>
        <v>2818</v>
      </c>
      <c r="G31" s="11">
        <f>Hotel!H38</f>
        <v>2633</v>
      </c>
      <c r="H31" s="11">
        <f>Hotel!N38</f>
        <v>96</v>
      </c>
      <c r="I31" s="11">
        <f>Hotel!P38</f>
        <v>2404</v>
      </c>
      <c r="J31" s="11">
        <f>Hotel!U38</f>
        <v>240</v>
      </c>
      <c r="K31" s="11">
        <f>Hotel!Y38</f>
        <v>89</v>
      </c>
    </row>
    <row r="32" spans="1:93" x14ac:dyDescent="0.25">
      <c r="A32" t="s">
        <v>11</v>
      </c>
      <c r="B32" s="10">
        <f t="shared" si="0"/>
        <v>31</v>
      </c>
      <c r="C32" s="10">
        <v>11</v>
      </c>
      <c r="D32" s="10">
        <v>2021</v>
      </c>
      <c r="E32" s="11" t="e">
        <f>Hotel!#REF!</f>
        <v>#REF!</v>
      </c>
      <c r="F32" s="11" t="e">
        <f>Hotel!#REF!</f>
        <v>#REF!</v>
      </c>
      <c r="G32" s="11" t="e">
        <f>Hotel!#REF!</f>
        <v>#REF!</v>
      </c>
      <c r="H32" s="11" t="e">
        <f>Hotel!#REF!</f>
        <v>#REF!</v>
      </c>
      <c r="I32" s="11" t="e">
        <f>Hotel!#REF!</f>
        <v>#REF!</v>
      </c>
      <c r="J32" s="11" t="e">
        <f>Hotel!#REF!</f>
        <v>#REF!</v>
      </c>
      <c r="K32" s="11" t="e">
        <f>Hotel!#REF!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9"/>
  <sheetViews>
    <sheetView zoomScale="91" zoomScaleNormal="91" workbookViewId="0">
      <selection activeCell="R25" sqref="R25"/>
    </sheetView>
  </sheetViews>
  <sheetFormatPr defaultRowHeight="15" x14ac:dyDescent="0.25"/>
  <cols>
    <col min="4" max="4" width="9.28515625" bestFit="1" customWidth="1"/>
    <col min="11" max="11" width="10.28515625" bestFit="1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0"/>
      <c r="C1" s="130"/>
      <c r="D1" s="130"/>
      <c r="E1" s="130"/>
      <c r="F1" s="131" t="s">
        <v>95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31" t="s">
        <v>122</v>
      </c>
      <c r="X1" s="132"/>
      <c r="Y1" s="132"/>
      <c r="Z1" s="133"/>
    </row>
    <row r="2" spans="1:27" x14ac:dyDescent="0.25">
      <c r="A2" s="10"/>
      <c r="B2" s="130"/>
      <c r="C2" s="130"/>
      <c r="D2" s="130"/>
      <c r="E2" s="130"/>
      <c r="F2" s="134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34"/>
      <c r="X2" s="135"/>
      <c r="Y2" s="135"/>
      <c r="Z2" s="136"/>
    </row>
    <row r="3" spans="1:27" x14ac:dyDescent="0.25">
      <c r="A3" s="10"/>
      <c r="B3" s="130"/>
      <c r="C3" s="130"/>
      <c r="D3" s="130"/>
      <c r="E3" s="130"/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6"/>
      <c r="W3" s="134">
        <v>2021</v>
      </c>
      <c r="X3" s="135"/>
      <c r="Y3" s="135"/>
      <c r="Z3" s="136"/>
    </row>
    <row r="4" spans="1:27" x14ac:dyDescent="0.25">
      <c r="A4" s="10"/>
      <c r="B4" s="130"/>
      <c r="C4" s="130"/>
      <c r="D4" s="130"/>
      <c r="E4" s="130"/>
      <c r="F4" s="137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9"/>
      <c r="W4" s="137"/>
      <c r="X4" s="138"/>
      <c r="Y4" s="138"/>
      <c r="Z4" s="139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6066027</v>
      </c>
      <c r="D6" s="28"/>
      <c r="E6" s="29">
        <v>6017334</v>
      </c>
      <c r="F6" s="30"/>
      <c r="G6" s="122">
        <v>5682373</v>
      </c>
      <c r="H6" s="31">
        <f>G6-G5</f>
        <v>5682373</v>
      </c>
      <c r="I6" s="32"/>
      <c r="J6" s="33">
        <f>D6+F6+H6</f>
        <v>5682373</v>
      </c>
      <c r="K6" s="33" t="e">
        <f>D6*0.152+F6*0.238+H6*0.115+#REF!*0.218</f>
        <v>#REF!</v>
      </c>
      <c r="L6" s="34"/>
      <c r="M6" s="35">
        <v>161222</v>
      </c>
      <c r="N6" s="31" t="e">
        <f>M6-#REF!</f>
        <v>#REF!</v>
      </c>
      <c r="O6" s="36">
        <v>2363786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316994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0" t="s">
        <v>97</v>
      </c>
      <c r="D7" s="141"/>
      <c r="E7" s="141"/>
      <c r="F7" s="141"/>
      <c r="G7" s="141"/>
      <c r="H7" s="141"/>
      <c r="I7" s="141"/>
      <c r="J7" s="141"/>
      <c r="K7" s="142"/>
      <c r="L7" s="41"/>
      <c r="M7" s="140" t="s">
        <v>98</v>
      </c>
      <c r="N7" s="141"/>
      <c r="O7" s="141"/>
      <c r="P7" s="141"/>
      <c r="Q7" s="141"/>
      <c r="R7" s="142"/>
      <c r="S7" s="41"/>
      <c r="T7" s="143" t="s">
        <v>99</v>
      </c>
      <c r="U7" s="143"/>
      <c r="V7" s="144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6069554</v>
      </c>
      <c r="D9" s="61">
        <f>IF((C9-C6&lt;0), "0",C9-C6)</f>
        <v>3527</v>
      </c>
      <c r="E9" s="62">
        <v>6020846</v>
      </c>
      <c r="F9" s="61">
        <f>IF((E9-E6&lt;0), "0",E9-E6)</f>
        <v>3512</v>
      </c>
      <c r="G9" s="63">
        <v>5685648</v>
      </c>
      <c r="H9" s="61">
        <f>IF((G9-G6&lt;0), "0",G9-G6)</f>
        <v>3275</v>
      </c>
      <c r="I9" s="60">
        <f>H9+F9+D9</f>
        <v>10314</v>
      </c>
      <c r="J9" s="64">
        <v>0.99</v>
      </c>
      <c r="K9" s="65">
        <f>I9*0.251</f>
        <v>2588.8139999999999</v>
      </c>
      <c r="L9" s="66"/>
      <c r="M9" s="60">
        <v>161354</v>
      </c>
      <c r="N9" s="61">
        <f>IF((M9-M6&lt;0), "0",M9-M6)</f>
        <v>132</v>
      </c>
      <c r="O9" s="60">
        <v>2365345</v>
      </c>
      <c r="P9" s="61">
        <f>IF((O9-O6&lt;0), "0",O9-O6)</f>
        <v>1559</v>
      </c>
      <c r="Q9" s="67">
        <f t="shared" ref="Q9:Q38" si="0">N9+P9</f>
        <v>1691</v>
      </c>
      <c r="R9" s="68">
        <f>(P9+N9*1.2285)*0.056*10.127</f>
        <v>976.09162414400009</v>
      </c>
      <c r="S9" s="69"/>
      <c r="T9" s="70">
        <v>317212</v>
      </c>
      <c r="U9" s="61">
        <f>IF((T9-T6&lt;0), "0",T9-T6)</f>
        <v>218</v>
      </c>
      <c r="V9" s="71">
        <f>U9*(1.315+1.54)</f>
        <v>622.39</v>
      </c>
      <c r="W9" s="72"/>
      <c r="X9" s="73">
        <f t="shared" ref="X9:X38" si="1">K9+R9+V9</f>
        <v>4187.2956241439997</v>
      </c>
      <c r="Y9" s="74">
        <v>117</v>
      </c>
      <c r="Z9" s="75">
        <f>X9/Y9</f>
        <v>35.788851488410252</v>
      </c>
    </row>
    <row r="10" spans="1:27" x14ac:dyDescent="0.25">
      <c r="A10" s="10" t="s">
        <v>120</v>
      </c>
      <c r="B10" s="59">
        <f>B9+1</f>
        <v>2</v>
      </c>
      <c r="C10" s="62">
        <v>6073424</v>
      </c>
      <c r="D10" s="61">
        <f t="shared" ref="D10:D38" si="2">IF((C10-C9&lt;0), "0",C10-C9)</f>
        <v>3870</v>
      </c>
      <c r="E10" s="62">
        <v>6024702</v>
      </c>
      <c r="F10" s="61">
        <f>IF((E10-E9&lt;0), "0",E10-E9)</f>
        <v>3856</v>
      </c>
      <c r="G10" s="63">
        <v>5689259</v>
      </c>
      <c r="H10" s="61">
        <f t="shared" ref="H10:H38" si="3">IF((G10-G9&lt;0), "0",G10-G9)</f>
        <v>3611</v>
      </c>
      <c r="I10" s="60">
        <f t="shared" ref="I10:I38" si="4">H10+F10+D10</f>
        <v>11337</v>
      </c>
      <c r="J10" s="64">
        <v>0.99</v>
      </c>
      <c r="K10" s="65">
        <f t="shared" ref="K10:K38" si="5">I10*0.251</f>
        <v>2845.587</v>
      </c>
      <c r="L10" s="66"/>
      <c r="M10" s="60">
        <v>161494</v>
      </c>
      <c r="N10" s="61">
        <f>IF((M10-M9&lt;0), "0",M10-M9)</f>
        <v>140</v>
      </c>
      <c r="O10" s="60">
        <v>2366885</v>
      </c>
      <c r="P10" s="61">
        <f>IF((O10-O9&lt;0), "0",O10-O9)</f>
        <v>1540</v>
      </c>
      <c r="Q10" s="67">
        <f t="shared" si="0"/>
        <v>1680</v>
      </c>
      <c r="R10" s="68">
        <f t="shared" ref="R10:R38" si="6">(P10+N10*1.2285)*0.056*10.127</f>
        <v>970.89007288000016</v>
      </c>
      <c r="S10" s="69"/>
      <c r="T10" s="70">
        <v>317389</v>
      </c>
      <c r="U10" s="61">
        <f>IF((T10-T9&lt;0), "0",T10-T9)</f>
        <v>177</v>
      </c>
      <c r="V10" s="71">
        <f t="shared" ref="V10:V38" si="7">U10*(1.315+1.54)</f>
        <v>505.33499999999998</v>
      </c>
      <c r="W10" s="72"/>
      <c r="X10" s="77">
        <f t="shared" si="1"/>
        <v>4321.8120728800004</v>
      </c>
      <c r="Y10" s="78">
        <v>88</v>
      </c>
      <c r="Z10" s="79">
        <f t="shared" ref="Z10:Z38" si="8">X10/Y10</f>
        <v>49.111500828181825</v>
      </c>
    </row>
    <row r="11" spans="1:27" x14ac:dyDescent="0.25">
      <c r="A11" s="10" t="s">
        <v>121</v>
      </c>
      <c r="B11" s="59">
        <f t="shared" ref="B11:B38" si="9">B10+1</f>
        <v>3</v>
      </c>
      <c r="C11" s="62">
        <v>6077151</v>
      </c>
      <c r="D11" s="61">
        <f t="shared" si="2"/>
        <v>3727</v>
      </c>
      <c r="E11" s="62">
        <v>6028410</v>
      </c>
      <c r="F11" s="61">
        <f t="shared" ref="F11:F38" si="10">IF((E11-E10&lt;0), "0",E11-E10)</f>
        <v>3708</v>
      </c>
      <c r="G11" s="63">
        <v>5692735</v>
      </c>
      <c r="H11" s="61">
        <f t="shared" si="3"/>
        <v>3476</v>
      </c>
      <c r="I11" s="60">
        <f t="shared" si="4"/>
        <v>10911</v>
      </c>
      <c r="J11" s="64">
        <v>0.99</v>
      </c>
      <c r="K11" s="65">
        <f t="shared" si="5"/>
        <v>2738.6610000000001</v>
      </c>
      <c r="L11" s="66"/>
      <c r="M11" s="60">
        <v>161622</v>
      </c>
      <c r="N11" s="61">
        <f t="shared" ref="N11:N38" si="11">IF((M11-M10&lt;0), "0",M11-M10)</f>
        <v>128</v>
      </c>
      <c r="O11" s="60">
        <v>2368369</v>
      </c>
      <c r="P11" s="61">
        <f t="shared" ref="P11:P38" si="12">IF((O11-O10&lt;0), "0",O11-O10)</f>
        <v>1484</v>
      </c>
      <c r="Q11" s="67">
        <f t="shared" si="0"/>
        <v>1612</v>
      </c>
      <c r="R11" s="68">
        <f t="shared" si="6"/>
        <v>930.7714357760002</v>
      </c>
      <c r="S11" s="69"/>
      <c r="T11" s="70">
        <v>317580</v>
      </c>
      <c r="U11" s="61">
        <f t="shared" ref="U11:U38" si="13">IF((T11-T10&lt;0), "0",T11-T10)</f>
        <v>191</v>
      </c>
      <c r="V11" s="71">
        <f t="shared" si="7"/>
        <v>545.30499999999995</v>
      </c>
      <c r="W11" s="72"/>
      <c r="X11" s="77">
        <f t="shared" si="1"/>
        <v>4214.737435776</v>
      </c>
      <c r="Y11" s="78">
        <v>95</v>
      </c>
      <c r="Z11" s="79">
        <f t="shared" si="8"/>
        <v>44.365657218694736</v>
      </c>
    </row>
    <row r="12" spans="1:27" x14ac:dyDescent="0.25">
      <c r="A12" s="10" t="s">
        <v>96</v>
      </c>
      <c r="B12" s="59">
        <f t="shared" si="9"/>
        <v>4</v>
      </c>
      <c r="C12" s="62">
        <v>6080822</v>
      </c>
      <c r="D12" s="61">
        <f t="shared" si="2"/>
        <v>3671</v>
      </c>
      <c r="E12" s="62">
        <v>6032072</v>
      </c>
      <c r="F12" s="61">
        <f t="shared" si="10"/>
        <v>3662</v>
      </c>
      <c r="G12" s="63">
        <v>5696166</v>
      </c>
      <c r="H12" s="61">
        <f t="shared" si="3"/>
        <v>3431</v>
      </c>
      <c r="I12" s="60">
        <f t="shared" si="4"/>
        <v>10764</v>
      </c>
      <c r="J12" s="64">
        <v>0.99</v>
      </c>
      <c r="K12" s="65">
        <f t="shared" si="5"/>
        <v>2701.7640000000001</v>
      </c>
      <c r="L12" s="66"/>
      <c r="M12" s="60">
        <v>161731</v>
      </c>
      <c r="N12" s="61">
        <f t="shared" si="11"/>
        <v>109</v>
      </c>
      <c r="O12" s="60">
        <v>2369865</v>
      </c>
      <c r="P12" s="61">
        <f t="shared" si="12"/>
        <v>1496</v>
      </c>
      <c r="Q12" s="67">
        <f t="shared" si="0"/>
        <v>1605</v>
      </c>
      <c r="R12" s="68">
        <f t="shared" si="6"/>
        <v>924.33953502800011</v>
      </c>
      <c r="S12" s="69"/>
      <c r="T12" s="70">
        <v>317745</v>
      </c>
      <c r="U12" s="61">
        <f t="shared" si="13"/>
        <v>165</v>
      </c>
      <c r="V12" s="71">
        <f t="shared" si="7"/>
        <v>471.07499999999999</v>
      </c>
      <c r="W12" s="72"/>
      <c r="X12" s="77">
        <f t="shared" si="1"/>
        <v>4097.1785350280006</v>
      </c>
      <c r="Y12" s="78">
        <v>95</v>
      </c>
      <c r="Z12" s="79">
        <f t="shared" si="8"/>
        <v>43.1281951055579</v>
      </c>
    </row>
    <row r="13" spans="1:27" x14ac:dyDescent="0.25">
      <c r="A13" s="10" t="s">
        <v>116</v>
      </c>
      <c r="B13" s="59">
        <f t="shared" si="9"/>
        <v>5</v>
      </c>
      <c r="C13" s="62">
        <v>6084439</v>
      </c>
      <c r="D13" s="61">
        <f t="shared" si="2"/>
        <v>3617</v>
      </c>
      <c r="E13" s="62">
        <v>6035666</v>
      </c>
      <c r="F13" s="61">
        <f t="shared" si="10"/>
        <v>3594</v>
      </c>
      <c r="G13" s="63">
        <v>5699528</v>
      </c>
      <c r="H13" s="61">
        <f t="shared" si="3"/>
        <v>3362</v>
      </c>
      <c r="I13" s="60">
        <f t="shared" si="4"/>
        <v>10573</v>
      </c>
      <c r="J13" s="64">
        <v>0.99</v>
      </c>
      <c r="K13" s="65">
        <f t="shared" si="5"/>
        <v>2653.8229999999999</v>
      </c>
      <c r="L13" s="66"/>
      <c r="M13" s="60">
        <v>161854</v>
      </c>
      <c r="N13" s="61">
        <f t="shared" si="11"/>
        <v>123</v>
      </c>
      <c r="O13" s="60">
        <v>2371358</v>
      </c>
      <c r="P13" s="61">
        <f t="shared" si="12"/>
        <v>1493</v>
      </c>
      <c r="Q13" s="67">
        <f t="shared" si="0"/>
        <v>1616</v>
      </c>
      <c r="R13" s="68">
        <f t="shared" si="6"/>
        <v>932.391958316</v>
      </c>
      <c r="S13" s="69"/>
      <c r="T13" s="70">
        <v>317921</v>
      </c>
      <c r="U13" s="61">
        <f t="shared" si="13"/>
        <v>176</v>
      </c>
      <c r="V13" s="71">
        <f t="shared" si="7"/>
        <v>502.48</v>
      </c>
      <c r="W13" s="72"/>
      <c r="X13" s="77">
        <f t="shared" si="1"/>
        <v>4088.6949583159999</v>
      </c>
      <c r="Y13" s="78">
        <v>113</v>
      </c>
      <c r="Z13" s="79">
        <f t="shared" si="8"/>
        <v>36.183141224035396</v>
      </c>
    </row>
    <row r="14" spans="1:27" x14ac:dyDescent="0.25">
      <c r="A14" s="10" t="s">
        <v>117</v>
      </c>
      <c r="B14" s="59">
        <f t="shared" si="9"/>
        <v>6</v>
      </c>
      <c r="C14" s="62">
        <v>6088060</v>
      </c>
      <c r="D14" s="61">
        <f t="shared" si="2"/>
        <v>3621</v>
      </c>
      <c r="E14" s="62">
        <v>6039289</v>
      </c>
      <c r="F14" s="61">
        <f t="shared" si="10"/>
        <v>3623</v>
      </c>
      <c r="G14" s="63">
        <v>5702894</v>
      </c>
      <c r="H14" s="61">
        <f t="shared" si="3"/>
        <v>3366</v>
      </c>
      <c r="I14" s="60">
        <f t="shared" si="4"/>
        <v>10610</v>
      </c>
      <c r="J14" s="64">
        <v>0.99</v>
      </c>
      <c r="K14" s="65">
        <f t="shared" si="5"/>
        <v>2663.11</v>
      </c>
      <c r="L14" s="66"/>
      <c r="M14" s="60">
        <v>161980</v>
      </c>
      <c r="N14" s="61">
        <f t="shared" si="11"/>
        <v>126</v>
      </c>
      <c r="O14" s="60">
        <v>2372862</v>
      </c>
      <c r="P14" s="61">
        <f t="shared" si="12"/>
        <v>1504</v>
      </c>
      <c r="Q14" s="67">
        <f t="shared" si="0"/>
        <v>1630</v>
      </c>
      <c r="R14" s="68">
        <f t="shared" si="6"/>
        <v>940.72028159200011</v>
      </c>
      <c r="S14" s="69"/>
      <c r="T14" s="70">
        <v>318109</v>
      </c>
      <c r="U14" s="61">
        <f t="shared" si="13"/>
        <v>188</v>
      </c>
      <c r="V14" s="71">
        <f t="shared" si="7"/>
        <v>536.74</v>
      </c>
      <c r="W14" s="72"/>
      <c r="X14" s="77">
        <f t="shared" si="1"/>
        <v>4140.5702815920004</v>
      </c>
      <c r="Y14" s="78">
        <v>88</v>
      </c>
      <c r="Z14" s="79">
        <f t="shared" si="8"/>
        <v>47.051935018090916</v>
      </c>
    </row>
    <row r="15" spans="1:27" x14ac:dyDescent="0.25">
      <c r="A15" s="10" t="s">
        <v>118</v>
      </c>
      <c r="B15" s="59">
        <f t="shared" si="9"/>
        <v>7</v>
      </c>
      <c r="C15" s="62">
        <v>6091430</v>
      </c>
      <c r="D15" s="61">
        <f t="shared" si="2"/>
        <v>3370</v>
      </c>
      <c r="E15" s="62">
        <v>6042651</v>
      </c>
      <c r="F15" s="61">
        <f t="shared" si="10"/>
        <v>3362</v>
      </c>
      <c r="G15" s="63">
        <v>5705998</v>
      </c>
      <c r="H15" s="61">
        <f t="shared" si="3"/>
        <v>3104</v>
      </c>
      <c r="I15" s="60">
        <f t="shared" si="4"/>
        <v>9836</v>
      </c>
      <c r="J15" s="64">
        <v>0.99</v>
      </c>
      <c r="K15" s="65">
        <f t="shared" si="5"/>
        <v>2468.8359999999998</v>
      </c>
      <c r="L15" s="66"/>
      <c r="M15" s="60">
        <v>162119</v>
      </c>
      <c r="N15" s="61">
        <f t="shared" si="11"/>
        <v>139</v>
      </c>
      <c r="O15" s="60">
        <v>2374207</v>
      </c>
      <c r="P15" s="61">
        <f t="shared" si="12"/>
        <v>1345</v>
      </c>
      <c r="Q15" s="67">
        <f t="shared" si="0"/>
        <v>1484</v>
      </c>
      <c r="R15" s="68">
        <f t="shared" si="6"/>
        <v>859.60653578800009</v>
      </c>
      <c r="S15" s="69"/>
      <c r="T15" s="70">
        <v>318301</v>
      </c>
      <c r="U15" s="61">
        <f t="shared" si="13"/>
        <v>192</v>
      </c>
      <c r="V15" s="71">
        <f t="shared" si="7"/>
        <v>548.16</v>
      </c>
      <c r="W15" s="72"/>
      <c r="X15" s="77">
        <f t="shared" si="1"/>
        <v>3876.6025357879998</v>
      </c>
      <c r="Y15" s="78">
        <v>97</v>
      </c>
      <c r="Z15" s="79">
        <f t="shared" si="8"/>
        <v>39.964974595752572</v>
      </c>
    </row>
    <row r="16" spans="1:27" x14ac:dyDescent="0.25">
      <c r="A16" s="10" t="s">
        <v>119</v>
      </c>
      <c r="B16" s="59">
        <f t="shared" si="9"/>
        <v>8</v>
      </c>
      <c r="C16" s="62">
        <v>6094483</v>
      </c>
      <c r="D16" s="61">
        <f t="shared" si="2"/>
        <v>3053</v>
      </c>
      <c r="E16" s="62">
        <v>6045686</v>
      </c>
      <c r="F16" s="61">
        <f t="shared" si="10"/>
        <v>3035</v>
      </c>
      <c r="G16" s="63">
        <v>5708801</v>
      </c>
      <c r="H16" s="61">
        <f t="shared" si="3"/>
        <v>2803</v>
      </c>
      <c r="I16" s="60">
        <f t="shared" si="4"/>
        <v>8891</v>
      </c>
      <c r="J16" s="64">
        <v>0.99</v>
      </c>
      <c r="K16" s="65">
        <f t="shared" si="5"/>
        <v>2231.6410000000001</v>
      </c>
      <c r="L16" s="66"/>
      <c r="M16" s="60">
        <v>162239</v>
      </c>
      <c r="N16" s="61">
        <f t="shared" si="11"/>
        <v>120</v>
      </c>
      <c r="O16" s="60">
        <v>2375512</v>
      </c>
      <c r="P16" s="61">
        <f t="shared" si="12"/>
        <v>1305</v>
      </c>
      <c r="Q16" s="67">
        <f t="shared" si="0"/>
        <v>1425</v>
      </c>
      <c r="R16" s="68">
        <f t="shared" si="6"/>
        <v>823.68481104000011</v>
      </c>
      <c r="S16" s="69"/>
      <c r="T16" s="70">
        <v>318495</v>
      </c>
      <c r="U16" s="61">
        <f t="shared" si="13"/>
        <v>194</v>
      </c>
      <c r="V16" s="71">
        <f t="shared" si="7"/>
        <v>553.87</v>
      </c>
      <c r="W16" s="72"/>
      <c r="X16" s="77">
        <f t="shared" si="1"/>
        <v>3609.1958110400001</v>
      </c>
      <c r="Y16" s="78">
        <v>91</v>
      </c>
      <c r="Z16" s="79">
        <f t="shared" si="8"/>
        <v>39.661492429010991</v>
      </c>
    </row>
    <row r="17" spans="1:26" x14ac:dyDescent="0.25">
      <c r="A17" s="10" t="s">
        <v>120</v>
      </c>
      <c r="B17" s="59">
        <v>9</v>
      </c>
      <c r="C17" s="62">
        <v>6097625</v>
      </c>
      <c r="D17" s="61">
        <f t="shared" si="2"/>
        <v>3142</v>
      </c>
      <c r="E17" s="62">
        <v>6048819</v>
      </c>
      <c r="F17" s="61">
        <f t="shared" si="10"/>
        <v>3133</v>
      </c>
      <c r="G17" s="63">
        <v>5711686</v>
      </c>
      <c r="H17" s="61">
        <f t="shared" si="3"/>
        <v>2885</v>
      </c>
      <c r="I17" s="60">
        <f t="shared" si="4"/>
        <v>9160</v>
      </c>
      <c r="J17" s="64">
        <v>0.99</v>
      </c>
      <c r="K17" s="65">
        <f t="shared" si="5"/>
        <v>2299.16</v>
      </c>
      <c r="L17" s="66"/>
      <c r="M17" s="60">
        <v>162363</v>
      </c>
      <c r="N17" s="61">
        <f t="shared" si="11"/>
        <v>124</v>
      </c>
      <c r="O17" s="60">
        <v>2376927</v>
      </c>
      <c r="P17" s="61">
        <f t="shared" si="12"/>
        <v>1415</v>
      </c>
      <c r="Q17" s="67">
        <f t="shared" si="0"/>
        <v>1539</v>
      </c>
      <c r="R17" s="68">
        <f t="shared" si="6"/>
        <v>888.85391940800014</v>
      </c>
      <c r="S17" s="69"/>
      <c r="T17" s="70">
        <v>318664</v>
      </c>
      <c r="U17" s="61">
        <f t="shared" si="13"/>
        <v>169</v>
      </c>
      <c r="V17" s="71">
        <f t="shared" si="7"/>
        <v>482.495</v>
      </c>
      <c r="W17" s="72"/>
      <c r="X17" s="77">
        <f t="shared" si="1"/>
        <v>3670.5089194080001</v>
      </c>
      <c r="Y17" s="78">
        <v>86</v>
      </c>
      <c r="Z17" s="79">
        <f t="shared" si="8"/>
        <v>42.680336272186047</v>
      </c>
    </row>
    <row r="18" spans="1:26" x14ac:dyDescent="0.25">
      <c r="A18" s="10" t="s">
        <v>121</v>
      </c>
      <c r="B18" s="80">
        <f t="shared" si="9"/>
        <v>10</v>
      </c>
      <c r="C18" s="62">
        <v>6100827</v>
      </c>
      <c r="D18" s="61">
        <f t="shared" si="2"/>
        <v>3202</v>
      </c>
      <c r="E18" s="62">
        <v>6052014</v>
      </c>
      <c r="F18" s="61">
        <f t="shared" si="10"/>
        <v>3195</v>
      </c>
      <c r="G18" s="63">
        <v>5714641</v>
      </c>
      <c r="H18" s="61">
        <f t="shared" si="3"/>
        <v>2955</v>
      </c>
      <c r="I18" s="60">
        <f t="shared" si="4"/>
        <v>9352</v>
      </c>
      <c r="J18" s="64">
        <v>0.99</v>
      </c>
      <c r="K18" s="65">
        <f t="shared" si="5"/>
        <v>2347.3519999999999</v>
      </c>
      <c r="L18" s="81"/>
      <c r="M18" s="60">
        <v>162496</v>
      </c>
      <c r="N18" s="61">
        <f t="shared" si="11"/>
        <v>133</v>
      </c>
      <c r="O18" s="60">
        <v>2378489</v>
      </c>
      <c r="P18" s="61">
        <f t="shared" si="12"/>
        <v>1562</v>
      </c>
      <c r="Q18" s="67">
        <f t="shared" si="0"/>
        <v>1695</v>
      </c>
      <c r="R18" s="68">
        <f t="shared" si="6"/>
        <v>978.48965723600008</v>
      </c>
      <c r="S18" s="82"/>
      <c r="T18" s="70">
        <v>318838</v>
      </c>
      <c r="U18" s="61">
        <f t="shared" si="13"/>
        <v>174</v>
      </c>
      <c r="V18" s="71">
        <f t="shared" si="7"/>
        <v>496.77</v>
      </c>
      <c r="W18" s="72"/>
      <c r="X18" s="77">
        <f t="shared" si="1"/>
        <v>3822.6116572360002</v>
      </c>
      <c r="Y18" s="78">
        <v>86</v>
      </c>
      <c r="Z18" s="83">
        <f t="shared" si="8"/>
        <v>44.448972758558142</v>
      </c>
    </row>
    <row r="19" spans="1:26" x14ac:dyDescent="0.25">
      <c r="A19" s="10" t="s">
        <v>96</v>
      </c>
      <c r="B19" s="84">
        <f t="shared" si="9"/>
        <v>11</v>
      </c>
      <c r="C19" s="62">
        <v>6103945</v>
      </c>
      <c r="D19" s="61">
        <f t="shared" si="2"/>
        <v>3118</v>
      </c>
      <c r="E19" s="62">
        <v>6055119</v>
      </c>
      <c r="F19" s="61">
        <f t="shared" si="10"/>
        <v>3105</v>
      </c>
      <c r="G19" s="63">
        <v>5717532</v>
      </c>
      <c r="H19" s="61">
        <f t="shared" si="3"/>
        <v>2891</v>
      </c>
      <c r="I19" s="60">
        <f t="shared" si="4"/>
        <v>9114</v>
      </c>
      <c r="J19" s="64">
        <v>0.99</v>
      </c>
      <c r="K19" s="65">
        <f t="shared" si="5"/>
        <v>2287.614</v>
      </c>
      <c r="L19" s="66"/>
      <c r="M19" s="60">
        <v>162621</v>
      </c>
      <c r="N19" s="61">
        <f t="shared" si="11"/>
        <v>125</v>
      </c>
      <c r="O19" s="60">
        <v>2380077</v>
      </c>
      <c r="P19" s="61">
        <f t="shared" si="12"/>
        <v>1588</v>
      </c>
      <c r="Q19" s="67">
        <f t="shared" si="0"/>
        <v>1713</v>
      </c>
      <c r="R19" s="68">
        <f t="shared" si="6"/>
        <v>987.66099250000013</v>
      </c>
      <c r="S19" s="69"/>
      <c r="T19" s="70">
        <v>319045</v>
      </c>
      <c r="U19" s="61">
        <f t="shared" si="13"/>
        <v>207</v>
      </c>
      <c r="V19" s="71">
        <f t="shared" si="7"/>
        <v>590.98500000000001</v>
      </c>
      <c r="W19" s="72"/>
      <c r="X19" s="77">
        <f t="shared" si="1"/>
        <v>3866.2599925000004</v>
      </c>
      <c r="Y19" s="78">
        <v>90</v>
      </c>
      <c r="Z19" s="75">
        <f t="shared" si="8"/>
        <v>42.958444361111113</v>
      </c>
    </row>
    <row r="20" spans="1:26" x14ac:dyDescent="0.25">
      <c r="A20" s="10" t="s">
        <v>116</v>
      </c>
      <c r="B20" s="59">
        <f t="shared" si="9"/>
        <v>12</v>
      </c>
      <c r="C20" s="62">
        <v>6105977</v>
      </c>
      <c r="D20" s="61">
        <f t="shared" si="2"/>
        <v>2032</v>
      </c>
      <c r="E20" s="62">
        <v>6058139</v>
      </c>
      <c r="F20" s="61">
        <f t="shared" si="10"/>
        <v>3020</v>
      </c>
      <c r="G20" s="63">
        <v>5720329</v>
      </c>
      <c r="H20" s="61">
        <f t="shared" si="3"/>
        <v>2797</v>
      </c>
      <c r="I20" s="60">
        <f t="shared" si="4"/>
        <v>7849</v>
      </c>
      <c r="J20" s="64">
        <v>0.99</v>
      </c>
      <c r="K20" s="65">
        <f t="shared" si="5"/>
        <v>1970.0989999999999</v>
      </c>
      <c r="L20" s="66"/>
      <c r="M20" s="60">
        <v>162746</v>
      </c>
      <c r="N20" s="61">
        <f t="shared" si="11"/>
        <v>125</v>
      </c>
      <c r="O20" s="60">
        <v>2381546</v>
      </c>
      <c r="P20" s="61">
        <f t="shared" si="12"/>
        <v>1469</v>
      </c>
      <c r="Q20" s="67">
        <f t="shared" si="0"/>
        <v>1594</v>
      </c>
      <c r="R20" s="68">
        <f t="shared" si="6"/>
        <v>920.17466450000006</v>
      </c>
      <c r="S20" s="69"/>
      <c r="T20" s="70">
        <v>319236</v>
      </c>
      <c r="U20" s="61">
        <f t="shared" si="13"/>
        <v>191</v>
      </c>
      <c r="V20" s="71">
        <f t="shared" si="7"/>
        <v>545.30499999999995</v>
      </c>
      <c r="W20" s="72"/>
      <c r="X20" s="77">
        <f t="shared" si="1"/>
        <v>3435.5786644999998</v>
      </c>
      <c r="Y20" s="78">
        <v>102</v>
      </c>
      <c r="Z20" s="79">
        <f t="shared" si="8"/>
        <v>33.682143769607841</v>
      </c>
    </row>
    <row r="21" spans="1:26" x14ac:dyDescent="0.25">
      <c r="A21" s="10" t="s">
        <v>117</v>
      </c>
      <c r="B21" s="59">
        <f t="shared" si="9"/>
        <v>13</v>
      </c>
      <c r="C21" s="62">
        <v>6110113</v>
      </c>
      <c r="D21" s="61">
        <f t="shared" si="2"/>
        <v>4136</v>
      </c>
      <c r="E21" s="62">
        <v>6061273</v>
      </c>
      <c r="F21" s="61">
        <f t="shared" si="10"/>
        <v>3134</v>
      </c>
      <c r="G21" s="63">
        <v>5723235</v>
      </c>
      <c r="H21" s="61">
        <f t="shared" si="3"/>
        <v>2906</v>
      </c>
      <c r="I21" s="60">
        <f t="shared" si="4"/>
        <v>10176</v>
      </c>
      <c r="J21" s="64">
        <v>0.99</v>
      </c>
      <c r="K21" s="65">
        <f t="shared" si="5"/>
        <v>2554.1759999999999</v>
      </c>
      <c r="L21" s="66"/>
      <c r="M21" s="60">
        <v>162887</v>
      </c>
      <c r="N21" s="61">
        <f t="shared" si="11"/>
        <v>141</v>
      </c>
      <c r="O21" s="60">
        <v>2383069</v>
      </c>
      <c r="P21" s="61">
        <f t="shared" si="12"/>
        <v>1523</v>
      </c>
      <c r="Q21" s="67">
        <f t="shared" si="0"/>
        <v>1664</v>
      </c>
      <c r="R21" s="68">
        <f t="shared" si="6"/>
        <v>961.94586597200009</v>
      </c>
      <c r="S21" s="69"/>
      <c r="T21" s="70">
        <v>319545</v>
      </c>
      <c r="U21" s="61">
        <f t="shared" si="13"/>
        <v>309</v>
      </c>
      <c r="V21" s="71">
        <f t="shared" si="7"/>
        <v>882.19500000000005</v>
      </c>
      <c r="W21" s="72"/>
      <c r="X21" s="77">
        <f t="shared" si="1"/>
        <v>4398.3168659719995</v>
      </c>
      <c r="Y21" s="78">
        <v>102</v>
      </c>
      <c r="Z21" s="79">
        <f t="shared" si="8"/>
        <v>43.120753587960778</v>
      </c>
    </row>
    <row r="22" spans="1:26" x14ac:dyDescent="0.25">
      <c r="A22" s="10" t="s">
        <v>118</v>
      </c>
      <c r="B22" s="59">
        <f t="shared" si="9"/>
        <v>14</v>
      </c>
      <c r="C22" s="62">
        <v>6113407</v>
      </c>
      <c r="D22" s="61">
        <f t="shared" si="2"/>
        <v>3294</v>
      </c>
      <c r="E22" s="62">
        <v>6064532</v>
      </c>
      <c r="F22" s="61">
        <f t="shared" si="10"/>
        <v>3259</v>
      </c>
      <c r="G22" s="63">
        <v>5726282</v>
      </c>
      <c r="H22" s="61">
        <f t="shared" si="3"/>
        <v>3047</v>
      </c>
      <c r="I22" s="60">
        <f t="shared" si="4"/>
        <v>9600</v>
      </c>
      <c r="J22" s="64">
        <v>0.99</v>
      </c>
      <c r="K22" s="65">
        <f t="shared" si="5"/>
        <v>2409.6</v>
      </c>
      <c r="L22" s="66"/>
      <c r="M22" s="60">
        <v>163031</v>
      </c>
      <c r="N22" s="61">
        <f t="shared" si="11"/>
        <v>144</v>
      </c>
      <c r="O22" s="60">
        <v>2384563</v>
      </c>
      <c r="P22" s="61">
        <f t="shared" si="12"/>
        <v>1494</v>
      </c>
      <c r="Q22" s="67">
        <f t="shared" si="0"/>
        <v>1638</v>
      </c>
      <c r="R22" s="68">
        <f t="shared" si="6"/>
        <v>947.58970924799996</v>
      </c>
      <c r="S22" s="69"/>
      <c r="T22" s="70">
        <v>319750</v>
      </c>
      <c r="U22" s="61">
        <f t="shared" si="13"/>
        <v>205</v>
      </c>
      <c r="V22" s="71">
        <f t="shared" si="7"/>
        <v>585.27499999999998</v>
      </c>
      <c r="W22" s="72"/>
      <c r="X22" s="77">
        <f t="shared" si="1"/>
        <v>3942.464709248</v>
      </c>
      <c r="Y22" s="78">
        <v>90</v>
      </c>
      <c r="Z22" s="79">
        <f t="shared" si="8"/>
        <v>43.80516343608889</v>
      </c>
    </row>
    <row r="23" spans="1:26" x14ac:dyDescent="0.25">
      <c r="A23" s="10" t="s">
        <v>119</v>
      </c>
      <c r="B23" s="59">
        <f t="shared" si="9"/>
        <v>15</v>
      </c>
      <c r="C23" s="62">
        <v>6116582</v>
      </c>
      <c r="D23" s="61">
        <f t="shared" si="2"/>
        <v>3175</v>
      </c>
      <c r="E23" s="62">
        <v>6067672</v>
      </c>
      <c r="F23" s="61">
        <f t="shared" si="10"/>
        <v>3140</v>
      </c>
      <c r="G23" s="63">
        <v>5729207</v>
      </c>
      <c r="H23" s="61">
        <f t="shared" si="3"/>
        <v>2925</v>
      </c>
      <c r="I23" s="60">
        <f t="shared" si="4"/>
        <v>9240</v>
      </c>
      <c r="J23" s="64">
        <v>0.99</v>
      </c>
      <c r="K23" s="65">
        <f t="shared" si="5"/>
        <v>2319.2399999999998</v>
      </c>
      <c r="L23" s="66"/>
      <c r="M23" s="60">
        <v>163158</v>
      </c>
      <c r="N23" s="61">
        <f t="shared" si="11"/>
        <v>127</v>
      </c>
      <c r="O23" s="60">
        <v>2386190</v>
      </c>
      <c r="P23" s="61">
        <f t="shared" si="12"/>
        <v>1627</v>
      </c>
      <c r="Q23" s="67">
        <f t="shared" si="0"/>
        <v>1754</v>
      </c>
      <c r="R23" s="68">
        <f t="shared" si="6"/>
        <v>1011.171754684</v>
      </c>
      <c r="S23" s="69"/>
      <c r="T23" s="70">
        <v>319952</v>
      </c>
      <c r="U23" s="61">
        <f t="shared" si="13"/>
        <v>202</v>
      </c>
      <c r="V23" s="71">
        <f t="shared" si="7"/>
        <v>576.71</v>
      </c>
      <c r="W23" s="72"/>
      <c r="X23" s="77">
        <f t="shared" si="1"/>
        <v>3907.1217546839998</v>
      </c>
      <c r="Y23" s="78">
        <v>66</v>
      </c>
      <c r="Z23" s="79">
        <f t="shared" si="8"/>
        <v>59.198814464909091</v>
      </c>
    </row>
    <row r="24" spans="1:26" x14ac:dyDescent="0.25">
      <c r="A24" s="10" t="s">
        <v>120</v>
      </c>
      <c r="B24" s="59">
        <f t="shared" si="9"/>
        <v>16</v>
      </c>
      <c r="C24" s="62">
        <v>6119651</v>
      </c>
      <c r="D24" s="61">
        <f t="shared" si="2"/>
        <v>3069</v>
      </c>
      <c r="E24" s="62">
        <v>6070703</v>
      </c>
      <c r="F24" s="61">
        <f t="shared" si="10"/>
        <v>3031</v>
      </c>
      <c r="G24" s="63">
        <v>5732041</v>
      </c>
      <c r="H24" s="61">
        <f t="shared" si="3"/>
        <v>2834</v>
      </c>
      <c r="I24" s="60">
        <f t="shared" si="4"/>
        <v>8934</v>
      </c>
      <c r="J24" s="64">
        <v>0.99</v>
      </c>
      <c r="K24" s="65">
        <f t="shared" si="5"/>
        <v>2242.4340000000002</v>
      </c>
      <c r="L24" s="66"/>
      <c r="M24" s="60">
        <v>163286</v>
      </c>
      <c r="N24" s="61">
        <f t="shared" si="11"/>
        <v>128</v>
      </c>
      <c r="O24" s="60">
        <v>2387804</v>
      </c>
      <c r="P24" s="61">
        <f t="shared" si="12"/>
        <v>1614</v>
      </c>
      <c r="Q24" s="67">
        <f t="shared" si="0"/>
        <v>1742</v>
      </c>
      <c r="R24" s="68">
        <f t="shared" si="6"/>
        <v>1004.4959957760002</v>
      </c>
      <c r="S24" s="69"/>
      <c r="T24" s="70">
        <v>320134</v>
      </c>
      <c r="U24" s="61">
        <f t="shared" si="13"/>
        <v>182</v>
      </c>
      <c r="V24" s="71">
        <f t="shared" si="7"/>
        <v>519.61</v>
      </c>
      <c r="W24" s="72"/>
      <c r="X24" s="77">
        <f t="shared" si="1"/>
        <v>3766.5399957760005</v>
      </c>
      <c r="Y24" s="78">
        <v>77</v>
      </c>
      <c r="Z24" s="79">
        <f t="shared" si="8"/>
        <v>48.916103841246759</v>
      </c>
    </row>
    <row r="25" spans="1:26" x14ac:dyDescent="0.25">
      <c r="A25" s="10" t="s">
        <v>121</v>
      </c>
      <c r="B25" s="59">
        <f t="shared" si="9"/>
        <v>17</v>
      </c>
      <c r="C25" s="62">
        <v>6122805</v>
      </c>
      <c r="D25" s="61">
        <f t="shared" si="2"/>
        <v>3154</v>
      </c>
      <c r="E25" s="62">
        <v>6073819</v>
      </c>
      <c r="F25" s="61">
        <f t="shared" si="10"/>
        <v>3116</v>
      </c>
      <c r="G25" s="63">
        <v>5734960</v>
      </c>
      <c r="H25" s="61">
        <f t="shared" si="3"/>
        <v>2919</v>
      </c>
      <c r="I25" s="60">
        <f t="shared" si="4"/>
        <v>9189</v>
      </c>
      <c r="J25" s="64">
        <v>0.99</v>
      </c>
      <c r="K25" s="65">
        <f t="shared" si="5"/>
        <v>2306.4389999999999</v>
      </c>
      <c r="L25" s="66"/>
      <c r="M25" s="60">
        <v>163418</v>
      </c>
      <c r="N25" s="61">
        <f t="shared" si="11"/>
        <v>132</v>
      </c>
      <c r="O25" s="60">
        <v>2389660</v>
      </c>
      <c r="P25" s="61">
        <f t="shared" si="12"/>
        <v>1856</v>
      </c>
      <c r="Q25" s="67">
        <f t="shared" si="0"/>
        <v>1988</v>
      </c>
      <c r="R25" s="68">
        <f t="shared" si="6"/>
        <v>1144.523888144</v>
      </c>
      <c r="S25" s="69"/>
      <c r="T25" s="70">
        <v>320294</v>
      </c>
      <c r="U25" s="61">
        <f t="shared" si="13"/>
        <v>160</v>
      </c>
      <c r="V25" s="71">
        <f t="shared" si="7"/>
        <v>456.8</v>
      </c>
      <c r="W25" s="72"/>
      <c r="X25" s="77">
        <f t="shared" si="1"/>
        <v>3907.762888144</v>
      </c>
      <c r="Y25" s="78">
        <v>87</v>
      </c>
      <c r="Z25" s="79">
        <f t="shared" si="8"/>
        <v>44.916814806252873</v>
      </c>
    </row>
    <row r="26" spans="1:26" x14ac:dyDescent="0.25">
      <c r="A26" s="10" t="s">
        <v>96</v>
      </c>
      <c r="B26" s="59">
        <f t="shared" si="9"/>
        <v>18</v>
      </c>
      <c r="C26" s="62">
        <v>6125930</v>
      </c>
      <c r="D26" s="61">
        <f t="shared" si="2"/>
        <v>3125</v>
      </c>
      <c r="E26" s="62">
        <v>6076903</v>
      </c>
      <c r="F26" s="61">
        <f t="shared" si="10"/>
        <v>3084</v>
      </c>
      <c r="G26" s="63">
        <v>5737837</v>
      </c>
      <c r="H26" s="61">
        <f t="shared" si="3"/>
        <v>2877</v>
      </c>
      <c r="I26" s="60">
        <f t="shared" si="4"/>
        <v>9086</v>
      </c>
      <c r="J26" s="64">
        <v>0.99</v>
      </c>
      <c r="K26" s="65">
        <f t="shared" si="5"/>
        <v>2280.5859999999998</v>
      </c>
      <c r="L26" s="66"/>
      <c r="M26" s="60">
        <v>163556</v>
      </c>
      <c r="N26" s="61">
        <f t="shared" si="11"/>
        <v>138</v>
      </c>
      <c r="O26" s="60">
        <v>2391514</v>
      </c>
      <c r="P26" s="61">
        <f t="shared" si="12"/>
        <v>1854</v>
      </c>
      <c r="Q26" s="67">
        <f t="shared" si="0"/>
        <v>1992</v>
      </c>
      <c r="R26" s="68">
        <f t="shared" si="6"/>
        <v>1147.569846696</v>
      </c>
      <c r="S26" s="69"/>
      <c r="T26" s="70">
        <v>320466</v>
      </c>
      <c r="U26" s="61">
        <f t="shared" si="13"/>
        <v>172</v>
      </c>
      <c r="V26" s="71">
        <f t="shared" si="7"/>
        <v>491.06</v>
      </c>
      <c r="W26" s="72"/>
      <c r="X26" s="77">
        <f t="shared" si="1"/>
        <v>3919.2158466959995</v>
      </c>
      <c r="Y26" s="78">
        <v>101</v>
      </c>
      <c r="Z26" s="79">
        <f t="shared" si="8"/>
        <v>38.804117294019797</v>
      </c>
    </row>
    <row r="27" spans="1:26" x14ac:dyDescent="0.25">
      <c r="A27" s="10" t="s">
        <v>116</v>
      </c>
      <c r="B27" s="59">
        <f t="shared" si="9"/>
        <v>19</v>
      </c>
      <c r="C27" s="62">
        <v>6129119</v>
      </c>
      <c r="D27" s="61">
        <f t="shared" si="2"/>
        <v>3189</v>
      </c>
      <c r="E27" s="62">
        <v>6080056</v>
      </c>
      <c r="F27" s="61">
        <f t="shared" si="10"/>
        <v>3153</v>
      </c>
      <c r="G27" s="63">
        <v>5740790</v>
      </c>
      <c r="H27" s="61">
        <f t="shared" si="3"/>
        <v>2953</v>
      </c>
      <c r="I27" s="60">
        <f t="shared" si="4"/>
        <v>9295</v>
      </c>
      <c r="J27" s="64">
        <v>0.99</v>
      </c>
      <c r="K27" s="65">
        <f t="shared" si="5"/>
        <v>2333.0450000000001</v>
      </c>
      <c r="L27" s="85"/>
      <c r="M27" s="60">
        <v>163695</v>
      </c>
      <c r="N27" s="61">
        <f t="shared" si="11"/>
        <v>139</v>
      </c>
      <c r="O27" s="60">
        <v>2393368</v>
      </c>
      <c r="P27" s="61">
        <f t="shared" si="12"/>
        <v>1854</v>
      </c>
      <c r="Q27" s="67">
        <f t="shared" si="0"/>
        <v>1993</v>
      </c>
      <c r="R27" s="68">
        <f t="shared" si="6"/>
        <v>1148.266543788</v>
      </c>
      <c r="S27" s="69"/>
      <c r="T27" s="70">
        <v>320623</v>
      </c>
      <c r="U27" s="61">
        <f t="shared" si="13"/>
        <v>157</v>
      </c>
      <c r="V27" s="71">
        <f t="shared" si="7"/>
        <v>448.23500000000001</v>
      </c>
      <c r="W27" s="72"/>
      <c r="X27" s="77">
        <f t="shared" si="1"/>
        <v>3929.5465437880002</v>
      </c>
      <c r="Y27" s="78">
        <v>105</v>
      </c>
      <c r="Z27" s="79">
        <f t="shared" si="8"/>
        <v>37.424252797980955</v>
      </c>
    </row>
    <row r="28" spans="1:26" x14ac:dyDescent="0.25">
      <c r="A28" s="10" t="s">
        <v>117</v>
      </c>
      <c r="B28" s="80">
        <f t="shared" si="9"/>
        <v>20</v>
      </c>
      <c r="C28" s="62">
        <v>6132443</v>
      </c>
      <c r="D28" s="61">
        <f t="shared" si="2"/>
        <v>3324</v>
      </c>
      <c r="E28" s="62">
        <v>6083329</v>
      </c>
      <c r="F28" s="61">
        <f t="shared" si="10"/>
        <v>3273</v>
      </c>
      <c r="G28" s="63">
        <v>5743872</v>
      </c>
      <c r="H28" s="61">
        <f t="shared" si="3"/>
        <v>3082</v>
      </c>
      <c r="I28" s="60">
        <f t="shared" si="4"/>
        <v>9679</v>
      </c>
      <c r="J28" s="64">
        <v>0.99</v>
      </c>
      <c r="K28" s="65">
        <f t="shared" si="5"/>
        <v>2429.4290000000001</v>
      </c>
      <c r="L28" s="86"/>
      <c r="M28" s="60">
        <v>163830</v>
      </c>
      <c r="N28" s="61">
        <f t="shared" si="11"/>
        <v>135</v>
      </c>
      <c r="O28" s="60">
        <v>2395269</v>
      </c>
      <c r="P28" s="61">
        <f t="shared" si="12"/>
        <v>1901</v>
      </c>
      <c r="Q28" s="67">
        <f t="shared" si="0"/>
        <v>2036</v>
      </c>
      <c r="R28" s="68">
        <f t="shared" si="6"/>
        <v>1172.13401942</v>
      </c>
      <c r="S28" s="76"/>
      <c r="T28" s="70">
        <v>320808</v>
      </c>
      <c r="U28" s="61">
        <f t="shared" si="13"/>
        <v>185</v>
      </c>
      <c r="V28" s="71">
        <f t="shared" si="7"/>
        <v>528.17499999999995</v>
      </c>
      <c r="W28" s="72"/>
      <c r="X28" s="87">
        <f t="shared" si="1"/>
        <v>4129.7380194200005</v>
      </c>
      <c r="Y28" s="78">
        <v>109</v>
      </c>
      <c r="Z28" s="83">
        <f t="shared" si="8"/>
        <v>37.887504765321104</v>
      </c>
    </row>
    <row r="29" spans="1:26" x14ac:dyDescent="0.25">
      <c r="A29" s="10" t="s">
        <v>118</v>
      </c>
      <c r="B29" s="84">
        <f t="shared" si="9"/>
        <v>21</v>
      </c>
      <c r="C29" s="62">
        <v>6135750</v>
      </c>
      <c r="D29" s="61">
        <f t="shared" si="2"/>
        <v>3307</v>
      </c>
      <c r="E29" s="62">
        <v>6086601</v>
      </c>
      <c r="F29" s="61">
        <f t="shared" si="10"/>
        <v>3272</v>
      </c>
      <c r="G29" s="63">
        <v>5746957</v>
      </c>
      <c r="H29" s="61">
        <f t="shared" si="3"/>
        <v>3085</v>
      </c>
      <c r="I29" s="60">
        <f t="shared" si="4"/>
        <v>9664</v>
      </c>
      <c r="J29" s="64">
        <v>0.99</v>
      </c>
      <c r="K29" s="65">
        <f t="shared" si="5"/>
        <v>2425.6640000000002</v>
      </c>
      <c r="L29" s="66"/>
      <c r="M29" s="60">
        <v>163964</v>
      </c>
      <c r="N29" s="61">
        <f t="shared" si="11"/>
        <v>134</v>
      </c>
      <c r="O29" s="60">
        <v>2397163</v>
      </c>
      <c r="P29" s="61">
        <f t="shared" si="12"/>
        <v>1894</v>
      </c>
      <c r="Q29" s="67">
        <f t="shared" si="0"/>
        <v>2028</v>
      </c>
      <c r="R29" s="68">
        <f t="shared" si="6"/>
        <v>1167.4675383280003</v>
      </c>
      <c r="S29" s="69"/>
      <c r="T29" s="70">
        <v>321029</v>
      </c>
      <c r="U29" s="61">
        <f t="shared" si="13"/>
        <v>221</v>
      </c>
      <c r="V29" s="71">
        <f t="shared" si="7"/>
        <v>630.95500000000004</v>
      </c>
      <c r="W29" s="72"/>
      <c r="X29" s="73">
        <f t="shared" si="1"/>
        <v>4224.0865383280006</v>
      </c>
      <c r="Y29" s="78">
        <v>114</v>
      </c>
      <c r="Z29" s="75">
        <f t="shared" si="8"/>
        <v>37.053390687087727</v>
      </c>
    </row>
    <row r="30" spans="1:26" x14ac:dyDescent="0.25">
      <c r="A30" s="10" t="s">
        <v>119</v>
      </c>
      <c r="B30" s="59">
        <f t="shared" si="9"/>
        <v>22</v>
      </c>
      <c r="C30" s="62">
        <v>6139008</v>
      </c>
      <c r="D30" s="61">
        <f t="shared" si="2"/>
        <v>3258</v>
      </c>
      <c r="E30" s="62">
        <v>6089814</v>
      </c>
      <c r="F30" s="61">
        <f t="shared" si="10"/>
        <v>3213</v>
      </c>
      <c r="G30" s="63">
        <v>5749981</v>
      </c>
      <c r="H30" s="61">
        <f t="shared" si="3"/>
        <v>3024</v>
      </c>
      <c r="I30" s="60">
        <f t="shared" si="4"/>
        <v>9495</v>
      </c>
      <c r="J30" s="64">
        <v>0.99</v>
      </c>
      <c r="K30" s="65">
        <f t="shared" si="5"/>
        <v>2383.2449999999999</v>
      </c>
      <c r="L30" s="66"/>
      <c r="M30" s="60">
        <v>164099</v>
      </c>
      <c r="N30" s="61">
        <f t="shared" si="11"/>
        <v>135</v>
      </c>
      <c r="O30" s="60">
        <v>2399288</v>
      </c>
      <c r="P30" s="61">
        <f t="shared" si="12"/>
        <v>2125</v>
      </c>
      <c r="Q30" s="67">
        <f t="shared" si="0"/>
        <v>2260</v>
      </c>
      <c r="R30" s="68">
        <f t="shared" si="6"/>
        <v>1299.1671074199999</v>
      </c>
      <c r="S30" s="69"/>
      <c r="T30" s="70">
        <v>321262</v>
      </c>
      <c r="U30" s="61">
        <f t="shared" si="13"/>
        <v>233</v>
      </c>
      <c r="V30" s="71">
        <f t="shared" si="7"/>
        <v>665.21500000000003</v>
      </c>
      <c r="W30" s="72"/>
      <c r="X30" s="77">
        <f t="shared" si="1"/>
        <v>4347.6271074199994</v>
      </c>
      <c r="Y30" s="78">
        <v>99</v>
      </c>
      <c r="Z30" s="79">
        <f t="shared" si="8"/>
        <v>43.915425327474743</v>
      </c>
    </row>
    <row r="31" spans="1:26" x14ac:dyDescent="0.25">
      <c r="A31" s="10" t="s">
        <v>120</v>
      </c>
      <c r="B31" s="59">
        <f t="shared" si="9"/>
        <v>23</v>
      </c>
      <c r="C31" s="62">
        <v>6142385</v>
      </c>
      <c r="D31" s="61">
        <f t="shared" si="2"/>
        <v>3377</v>
      </c>
      <c r="E31" s="62">
        <v>6093124</v>
      </c>
      <c r="F31" s="61">
        <f t="shared" si="10"/>
        <v>3310</v>
      </c>
      <c r="G31" s="63">
        <v>5753122</v>
      </c>
      <c r="H31" s="61">
        <f t="shared" si="3"/>
        <v>3141</v>
      </c>
      <c r="I31" s="60">
        <f t="shared" si="4"/>
        <v>9828</v>
      </c>
      <c r="J31" s="64">
        <v>0.99</v>
      </c>
      <c r="K31" s="65">
        <f t="shared" si="5"/>
        <v>2466.828</v>
      </c>
      <c r="L31" s="66"/>
      <c r="M31" s="60">
        <v>164220</v>
      </c>
      <c r="N31" s="61">
        <f t="shared" si="11"/>
        <v>121</v>
      </c>
      <c r="O31" s="60">
        <v>2401253</v>
      </c>
      <c r="P31" s="61">
        <f t="shared" si="12"/>
        <v>1965</v>
      </c>
      <c r="Q31" s="67">
        <f t="shared" si="0"/>
        <v>2086</v>
      </c>
      <c r="R31" s="68">
        <f t="shared" si="6"/>
        <v>1198.675428132</v>
      </c>
      <c r="S31" s="69"/>
      <c r="T31" s="70">
        <v>321470</v>
      </c>
      <c r="U31" s="61">
        <f t="shared" si="13"/>
        <v>208</v>
      </c>
      <c r="V31" s="71">
        <f t="shared" si="7"/>
        <v>593.84</v>
      </c>
      <c r="W31" s="72"/>
      <c r="X31" s="88">
        <f t="shared" si="1"/>
        <v>4259.3434281319996</v>
      </c>
      <c r="Y31" s="78">
        <v>117</v>
      </c>
      <c r="Z31" s="79">
        <f t="shared" si="8"/>
        <v>36.404644684888886</v>
      </c>
    </row>
    <row r="32" spans="1:26" x14ac:dyDescent="0.25">
      <c r="A32" s="10" t="s">
        <v>121</v>
      </c>
      <c r="B32" s="59">
        <f t="shared" si="9"/>
        <v>24</v>
      </c>
      <c r="C32" s="62">
        <v>6145676</v>
      </c>
      <c r="D32" s="61">
        <f t="shared" si="2"/>
        <v>3291</v>
      </c>
      <c r="E32" s="62">
        <v>6096388</v>
      </c>
      <c r="F32" s="61">
        <f t="shared" si="10"/>
        <v>3264</v>
      </c>
      <c r="G32" s="63">
        <v>5756147</v>
      </c>
      <c r="H32" s="61">
        <f t="shared" si="3"/>
        <v>3025</v>
      </c>
      <c r="I32" s="60">
        <f t="shared" si="4"/>
        <v>9580</v>
      </c>
      <c r="J32" s="64">
        <v>0.99</v>
      </c>
      <c r="K32" s="65">
        <f t="shared" si="5"/>
        <v>2404.58</v>
      </c>
      <c r="L32" s="66"/>
      <c r="M32" s="60">
        <v>164339</v>
      </c>
      <c r="N32" s="61">
        <f t="shared" si="11"/>
        <v>119</v>
      </c>
      <c r="O32" s="60">
        <v>2403259</v>
      </c>
      <c r="P32" s="61">
        <f t="shared" si="12"/>
        <v>2006</v>
      </c>
      <c r="Q32" s="67">
        <f t="shared" si="0"/>
        <v>2125</v>
      </c>
      <c r="R32" s="68">
        <f t="shared" si="6"/>
        <v>1220.533625948</v>
      </c>
      <c r="S32" s="69"/>
      <c r="T32" s="70">
        <v>321657</v>
      </c>
      <c r="U32" s="61">
        <f t="shared" si="13"/>
        <v>187</v>
      </c>
      <c r="V32" s="71">
        <f t="shared" si="7"/>
        <v>533.88499999999999</v>
      </c>
      <c r="W32" s="72"/>
      <c r="X32" s="88">
        <f t="shared" si="1"/>
        <v>4158.9986259480002</v>
      </c>
      <c r="Y32" s="78">
        <v>110</v>
      </c>
      <c r="Z32" s="79">
        <f t="shared" si="8"/>
        <v>37.809078417709095</v>
      </c>
    </row>
    <row r="33" spans="1:26" x14ac:dyDescent="0.25">
      <c r="A33" s="10" t="s">
        <v>96</v>
      </c>
      <c r="B33" s="59">
        <f t="shared" si="9"/>
        <v>25</v>
      </c>
      <c r="C33" s="62">
        <v>6149050</v>
      </c>
      <c r="D33" s="61">
        <f t="shared" si="2"/>
        <v>3374</v>
      </c>
      <c r="E33" s="62">
        <v>6099736</v>
      </c>
      <c r="F33" s="61">
        <f t="shared" si="10"/>
        <v>3348</v>
      </c>
      <c r="G33" s="63">
        <v>5759269</v>
      </c>
      <c r="H33" s="61">
        <f t="shared" si="3"/>
        <v>3122</v>
      </c>
      <c r="I33" s="60">
        <f t="shared" si="4"/>
        <v>9844</v>
      </c>
      <c r="J33" s="64">
        <v>0.99</v>
      </c>
      <c r="K33" s="65">
        <f t="shared" si="5"/>
        <v>2470.8440000000001</v>
      </c>
      <c r="L33" s="66"/>
      <c r="M33" s="60">
        <v>164448</v>
      </c>
      <c r="N33" s="61">
        <f t="shared" si="11"/>
        <v>109</v>
      </c>
      <c r="O33" s="60">
        <v>2405382</v>
      </c>
      <c r="P33" s="61">
        <f t="shared" si="12"/>
        <v>2123</v>
      </c>
      <c r="Q33" s="67">
        <f t="shared" si="0"/>
        <v>2232</v>
      </c>
      <c r="R33" s="68">
        <f t="shared" si="6"/>
        <v>1279.9187590280001</v>
      </c>
      <c r="S33" s="69"/>
      <c r="T33" s="70">
        <v>321860</v>
      </c>
      <c r="U33" s="61">
        <f t="shared" si="13"/>
        <v>203</v>
      </c>
      <c r="V33" s="71">
        <f t="shared" si="7"/>
        <v>579.56499999999994</v>
      </c>
      <c r="W33" s="72"/>
      <c r="X33" s="88">
        <f t="shared" si="1"/>
        <v>4330.3277590279995</v>
      </c>
      <c r="Y33" s="78">
        <v>89</v>
      </c>
      <c r="Z33" s="79">
        <f t="shared" si="8"/>
        <v>48.655368078966283</v>
      </c>
    </row>
    <row r="34" spans="1:26" x14ac:dyDescent="0.25">
      <c r="A34" s="10" t="s">
        <v>116</v>
      </c>
      <c r="B34" s="59">
        <f t="shared" si="9"/>
        <v>26</v>
      </c>
      <c r="C34" s="62">
        <v>6152312</v>
      </c>
      <c r="D34" s="61">
        <f t="shared" si="2"/>
        <v>3262</v>
      </c>
      <c r="E34" s="62">
        <v>6102969</v>
      </c>
      <c r="F34" s="61">
        <f t="shared" si="10"/>
        <v>3233</v>
      </c>
      <c r="G34" s="63">
        <v>5763285</v>
      </c>
      <c r="H34" s="61">
        <f t="shared" si="3"/>
        <v>4016</v>
      </c>
      <c r="I34" s="60">
        <f t="shared" si="4"/>
        <v>10511</v>
      </c>
      <c r="J34" s="64">
        <v>0.99</v>
      </c>
      <c r="K34" s="65">
        <f t="shared" si="5"/>
        <v>2638.261</v>
      </c>
      <c r="L34" s="66"/>
      <c r="M34" s="60">
        <v>164554</v>
      </c>
      <c r="N34" s="61">
        <f t="shared" si="11"/>
        <v>106</v>
      </c>
      <c r="O34" s="60">
        <v>2407346</v>
      </c>
      <c r="P34" s="61">
        <f t="shared" si="12"/>
        <v>1964</v>
      </c>
      <c r="Q34" s="67">
        <f t="shared" si="0"/>
        <v>2070</v>
      </c>
      <c r="R34" s="68">
        <f t="shared" si="6"/>
        <v>1187.6578597520001</v>
      </c>
      <c r="S34" s="69"/>
      <c r="T34" s="70">
        <v>322038</v>
      </c>
      <c r="U34" s="61">
        <f t="shared" si="13"/>
        <v>178</v>
      </c>
      <c r="V34" s="71">
        <f t="shared" si="7"/>
        <v>508.19</v>
      </c>
      <c r="W34" s="72"/>
      <c r="X34" s="88">
        <f t="shared" si="1"/>
        <v>4334.1088597520002</v>
      </c>
      <c r="Y34" s="78">
        <v>83</v>
      </c>
      <c r="Z34" s="79">
        <f t="shared" si="8"/>
        <v>52.21817903315663</v>
      </c>
    </row>
    <row r="35" spans="1:26" x14ac:dyDescent="0.25">
      <c r="A35" s="10" t="s">
        <v>117</v>
      </c>
      <c r="B35" s="59">
        <f t="shared" si="9"/>
        <v>27</v>
      </c>
      <c r="C35" s="62">
        <v>6155540</v>
      </c>
      <c r="D35" s="61">
        <f t="shared" si="2"/>
        <v>3228</v>
      </c>
      <c r="E35" s="62">
        <v>6106142</v>
      </c>
      <c r="F35" s="61">
        <f t="shared" si="10"/>
        <v>3173</v>
      </c>
      <c r="G35" s="63">
        <v>5765277</v>
      </c>
      <c r="H35" s="61">
        <f t="shared" si="3"/>
        <v>1992</v>
      </c>
      <c r="I35" s="60">
        <f t="shared" si="4"/>
        <v>8393</v>
      </c>
      <c r="J35" s="64">
        <v>0.99</v>
      </c>
      <c r="K35" s="65">
        <f t="shared" si="5"/>
        <v>2106.643</v>
      </c>
      <c r="L35" s="66"/>
      <c r="M35" s="60">
        <v>164670</v>
      </c>
      <c r="N35" s="61">
        <f t="shared" si="11"/>
        <v>116</v>
      </c>
      <c r="O35" s="60">
        <v>2409484</v>
      </c>
      <c r="P35" s="61">
        <f t="shared" si="12"/>
        <v>2138</v>
      </c>
      <c r="Q35" s="67">
        <f t="shared" si="0"/>
        <v>2254</v>
      </c>
      <c r="R35" s="68">
        <f t="shared" si="6"/>
        <v>1293.302318672</v>
      </c>
      <c r="S35" s="69"/>
      <c r="T35" s="70">
        <v>322207</v>
      </c>
      <c r="U35" s="61">
        <f t="shared" si="13"/>
        <v>169</v>
      </c>
      <c r="V35" s="71">
        <f t="shared" si="7"/>
        <v>482.495</v>
      </c>
      <c r="W35" s="72"/>
      <c r="X35" s="88">
        <f t="shared" si="1"/>
        <v>3882.4403186720001</v>
      </c>
      <c r="Y35" s="78">
        <v>87</v>
      </c>
      <c r="Z35" s="79">
        <f t="shared" si="8"/>
        <v>44.625750789333331</v>
      </c>
    </row>
    <row r="36" spans="1:26" x14ac:dyDescent="0.25">
      <c r="A36" s="10" t="s">
        <v>118</v>
      </c>
      <c r="B36" s="59">
        <f t="shared" si="9"/>
        <v>28</v>
      </c>
      <c r="C36" s="62">
        <v>6158775</v>
      </c>
      <c r="D36" s="61">
        <f t="shared" si="2"/>
        <v>3235</v>
      </c>
      <c r="E36" s="62">
        <v>6109318</v>
      </c>
      <c r="F36" s="61">
        <f t="shared" si="10"/>
        <v>3176</v>
      </c>
      <c r="G36" s="63">
        <v>5768268</v>
      </c>
      <c r="H36" s="61">
        <f t="shared" si="3"/>
        <v>2991</v>
      </c>
      <c r="I36" s="60">
        <f t="shared" si="4"/>
        <v>9402</v>
      </c>
      <c r="J36" s="64">
        <v>0.99</v>
      </c>
      <c r="K36" s="65">
        <f t="shared" si="5"/>
        <v>2359.902</v>
      </c>
      <c r="L36" s="66"/>
      <c r="M36" s="60">
        <v>164797</v>
      </c>
      <c r="N36" s="61">
        <f t="shared" si="11"/>
        <v>127</v>
      </c>
      <c r="O36" s="60">
        <v>2411675</v>
      </c>
      <c r="P36" s="61">
        <f t="shared" si="12"/>
        <v>2191</v>
      </c>
      <c r="Q36" s="67">
        <f t="shared" si="0"/>
        <v>2318</v>
      </c>
      <c r="R36" s="68">
        <f t="shared" si="6"/>
        <v>1331.0229226839999</v>
      </c>
      <c r="S36" s="69"/>
      <c r="T36" s="70">
        <v>322387</v>
      </c>
      <c r="U36" s="61">
        <f t="shared" si="13"/>
        <v>180</v>
      </c>
      <c r="V36" s="71">
        <f t="shared" si="7"/>
        <v>513.9</v>
      </c>
      <c r="W36" s="72"/>
      <c r="X36" s="88">
        <f t="shared" si="1"/>
        <v>4204.8249226839998</v>
      </c>
      <c r="Y36" s="78">
        <v>83</v>
      </c>
      <c r="Z36" s="79">
        <f t="shared" si="8"/>
        <v>50.660541237156622</v>
      </c>
    </row>
    <row r="37" spans="1:26" x14ac:dyDescent="0.25">
      <c r="A37" s="10" t="s">
        <v>119</v>
      </c>
      <c r="B37" s="59">
        <f t="shared" si="9"/>
        <v>29</v>
      </c>
      <c r="C37" s="62">
        <v>6161837</v>
      </c>
      <c r="D37" s="61">
        <f t="shared" si="2"/>
        <v>3062</v>
      </c>
      <c r="E37" s="62">
        <v>6112316</v>
      </c>
      <c r="F37" s="61">
        <f t="shared" si="10"/>
        <v>2998</v>
      </c>
      <c r="G37" s="63">
        <v>5771078</v>
      </c>
      <c r="H37" s="61">
        <f t="shared" si="3"/>
        <v>2810</v>
      </c>
      <c r="I37" s="60">
        <f t="shared" si="4"/>
        <v>8870</v>
      </c>
      <c r="J37" s="64">
        <v>0.99</v>
      </c>
      <c r="K37" s="65">
        <f t="shared" si="5"/>
        <v>2226.37</v>
      </c>
      <c r="L37" s="66"/>
      <c r="M37" s="60">
        <v>164900</v>
      </c>
      <c r="N37" s="61">
        <f t="shared" si="11"/>
        <v>103</v>
      </c>
      <c r="O37" s="60">
        <v>2413843</v>
      </c>
      <c r="P37" s="61">
        <f t="shared" si="12"/>
        <v>2168</v>
      </c>
      <c r="Q37" s="67">
        <f t="shared" si="0"/>
        <v>2271</v>
      </c>
      <c r="R37" s="68">
        <f t="shared" si="6"/>
        <v>1301.258616476</v>
      </c>
      <c r="S37" s="69"/>
      <c r="T37" s="70">
        <v>322574</v>
      </c>
      <c r="U37" s="61">
        <f t="shared" si="13"/>
        <v>187</v>
      </c>
      <c r="V37" s="71">
        <f t="shared" si="7"/>
        <v>533.88499999999999</v>
      </c>
      <c r="W37" s="72"/>
      <c r="X37" s="88">
        <f t="shared" si="1"/>
        <v>4061.5136164759997</v>
      </c>
      <c r="Y37" s="101">
        <v>76</v>
      </c>
      <c r="Z37" s="79">
        <f t="shared" si="8"/>
        <v>53.440968637842104</v>
      </c>
    </row>
    <row r="38" spans="1:26" x14ac:dyDescent="0.25">
      <c r="A38" s="10" t="s">
        <v>120</v>
      </c>
      <c r="B38" s="59">
        <f t="shared" si="9"/>
        <v>30</v>
      </c>
      <c r="C38" s="62">
        <v>6164681</v>
      </c>
      <c r="D38" s="61">
        <f t="shared" si="2"/>
        <v>2844</v>
      </c>
      <c r="E38" s="62">
        <v>6115134</v>
      </c>
      <c r="F38" s="61">
        <f t="shared" si="10"/>
        <v>2818</v>
      </c>
      <c r="G38" s="63">
        <v>5773711</v>
      </c>
      <c r="H38" s="61">
        <f t="shared" si="3"/>
        <v>2633</v>
      </c>
      <c r="I38" s="60">
        <f t="shared" si="4"/>
        <v>8295</v>
      </c>
      <c r="J38" s="64">
        <v>0.99</v>
      </c>
      <c r="K38" s="65">
        <f t="shared" si="5"/>
        <v>2082.0450000000001</v>
      </c>
      <c r="L38" s="66"/>
      <c r="M38" s="60">
        <v>164996</v>
      </c>
      <c r="N38" s="61">
        <f t="shared" si="11"/>
        <v>96</v>
      </c>
      <c r="O38" s="60">
        <v>2416247</v>
      </c>
      <c r="P38" s="61">
        <f t="shared" si="12"/>
        <v>2404</v>
      </c>
      <c r="Q38" s="67">
        <f t="shared" si="0"/>
        <v>2500</v>
      </c>
      <c r="R38" s="68">
        <f t="shared" si="6"/>
        <v>1430.2201688320001</v>
      </c>
      <c r="S38" s="69"/>
      <c r="T38" s="70">
        <v>322814</v>
      </c>
      <c r="U38" s="61">
        <f t="shared" si="13"/>
        <v>240</v>
      </c>
      <c r="V38" s="71">
        <f t="shared" si="7"/>
        <v>685.2</v>
      </c>
      <c r="W38" s="72"/>
      <c r="X38" s="88">
        <f t="shared" si="1"/>
        <v>4197.465168832</v>
      </c>
      <c r="Y38" s="101">
        <v>89</v>
      </c>
      <c r="Z38" s="79">
        <f t="shared" si="8"/>
        <v>47.162529986876407</v>
      </c>
    </row>
    <row r="39" spans="1:26" x14ac:dyDescent="0.25">
      <c r="A39" s="10"/>
      <c r="B39" s="89"/>
      <c r="C39" s="90">
        <f>SUMIF(D9:D36,"&gt;0")</f>
        <v>92748</v>
      </c>
      <c r="D39" s="91"/>
      <c r="E39" s="125">
        <f>SUMIF(F9:F36,"&gt;0")</f>
        <v>91984</v>
      </c>
      <c r="F39" s="126"/>
      <c r="G39" s="127">
        <f>SUMIF(H9:H36,"&gt;0")</f>
        <v>85895</v>
      </c>
      <c r="H39" s="126"/>
      <c r="I39" s="92">
        <f>SUMIF(I9:I36,"&gt;0")</f>
        <v>270627</v>
      </c>
      <c r="J39" s="93"/>
      <c r="K39" s="94">
        <f>SUMIF(K9:K36,"&gt;0")</f>
        <v>67927.377000000008</v>
      </c>
      <c r="L39" s="92"/>
      <c r="M39" s="127">
        <f>SUMIF(N9:N36,"&gt;0")</f>
        <v>3575</v>
      </c>
      <c r="N39" s="126"/>
      <c r="O39" s="127">
        <f>SUMIF(P9:P36,"&gt;0")</f>
        <v>47889</v>
      </c>
      <c r="P39" s="126"/>
      <c r="Q39" s="93">
        <f>SUMIF(Q9:Q36,"&gt;0")</f>
        <v>51464</v>
      </c>
      <c r="R39" s="94">
        <f>SUMIF(R9:R36,"&gt;0")</f>
        <v>29649.118671899996</v>
      </c>
      <c r="S39" s="95"/>
      <c r="T39" s="128">
        <f>SUMIF(U9:U36,"&gt;0")</f>
        <v>5393</v>
      </c>
      <c r="U39" s="129"/>
      <c r="V39" s="96">
        <f>SUMIF(V9:V36,"&gt;0")</f>
        <v>15397.014999999999</v>
      </c>
      <c r="W39" s="97"/>
      <c r="X39" s="98">
        <f>SUMIF(X9:X36,"&gt;0")</f>
        <v>112973.5106719</v>
      </c>
      <c r="Y39" s="99">
        <f>SUM(Y9:Y38)</f>
        <v>2832</v>
      </c>
      <c r="Z39" s="100">
        <f>(SUMIF(Z9:Z36,"&gt;0")/31)</f>
        <v>38.852953171572622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39:F39"/>
    <mergeCell ref="G39:H39"/>
    <mergeCell ref="M39:N39"/>
    <mergeCell ref="O39:P39"/>
    <mergeCell ref="T39:U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E50"/>
  <sheetViews>
    <sheetView zoomScale="68" zoomScaleNormal="68" workbookViewId="0">
      <selection activeCell="N29" sqref="N29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86707</v>
      </c>
      <c r="C8" s="113">
        <v>119520</v>
      </c>
      <c r="D8" s="113">
        <v>20777</v>
      </c>
      <c r="E8" s="113">
        <v>23690</v>
      </c>
      <c r="F8" s="113">
        <v>290486</v>
      </c>
      <c r="G8" s="113">
        <v>5292</v>
      </c>
      <c r="H8" s="113">
        <v>11782</v>
      </c>
      <c r="I8" s="113">
        <v>575850</v>
      </c>
      <c r="J8" s="113">
        <v>96718</v>
      </c>
      <c r="K8" s="113">
        <v>8134</v>
      </c>
      <c r="L8" s="113">
        <v>42476</v>
      </c>
      <c r="M8" s="113">
        <v>63759</v>
      </c>
      <c r="N8" s="113">
        <v>58937</v>
      </c>
      <c r="O8" s="113">
        <v>288461</v>
      </c>
      <c r="P8" s="113">
        <v>608706</v>
      </c>
      <c r="Q8" s="113">
        <v>5850</v>
      </c>
      <c r="R8" s="113">
        <v>27737</v>
      </c>
      <c r="S8" s="113">
        <v>25503</v>
      </c>
      <c r="T8" s="113">
        <v>392720</v>
      </c>
      <c r="U8" s="113">
        <v>571025</v>
      </c>
      <c r="V8" s="113">
        <v>63393</v>
      </c>
      <c r="W8" s="113">
        <v>8241</v>
      </c>
      <c r="X8" s="113">
        <v>23745</v>
      </c>
      <c r="Y8" s="113">
        <v>131542</v>
      </c>
      <c r="Z8" s="113">
        <v>1335</v>
      </c>
      <c r="AA8" s="113">
        <v>250381</v>
      </c>
      <c r="AB8" s="113">
        <v>11744</v>
      </c>
      <c r="AC8" s="113">
        <v>2923</v>
      </c>
      <c r="AD8" s="113">
        <v>26747</v>
      </c>
      <c r="AE8" s="113">
        <v>130848</v>
      </c>
      <c r="AF8" s="113">
        <v>332222</v>
      </c>
      <c r="AG8" s="113">
        <v>1607834</v>
      </c>
      <c r="AH8" s="113">
        <v>14467</v>
      </c>
      <c r="AI8" s="113">
        <v>511555</v>
      </c>
      <c r="AJ8" s="113">
        <v>975399</v>
      </c>
      <c r="AK8" s="113">
        <v>15692</v>
      </c>
      <c r="AL8" s="114">
        <v>55011</v>
      </c>
      <c r="AM8" s="113">
        <v>52513</v>
      </c>
      <c r="AN8" s="115">
        <v>906834</v>
      </c>
      <c r="AO8" s="115">
        <v>5710</v>
      </c>
      <c r="AP8" s="115">
        <v>0</v>
      </c>
      <c r="AQ8" s="113">
        <v>163443</v>
      </c>
      <c r="AR8" s="113">
        <v>325352</v>
      </c>
      <c r="AS8" s="113">
        <v>91674</v>
      </c>
      <c r="AT8" s="113">
        <v>923</v>
      </c>
      <c r="AU8" s="113">
        <v>176240</v>
      </c>
      <c r="AV8" s="113">
        <v>65213</v>
      </c>
      <c r="AW8" s="113">
        <v>54416</v>
      </c>
      <c r="AX8" s="113">
        <v>274483</v>
      </c>
      <c r="AY8" s="124">
        <v>745337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86788</v>
      </c>
      <c r="C9" s="103">
        <v>119520</v>
      </c>
      <c r="D9" s="103">
        <v>20785</v>
      </c>
      <c r="E9" s="103">
        <v>23704</v>
      </c>
      <c r="F9" s="103">
        <v>290660</v>
      </c>
      <c r="G9" s="103">
        <v>5297</v>
      </c>
      <c r="H9" s="103">
        <v>11808</v>
      </c>
      <c r="I9" s="103">
        <v>576230</v>
      </c>
      <c r="J9" s="103">
        <v>96798</v>
      </c>
      <c r="K9" s="103">
        <v>8134</v>
      </c>
      <c r="L9" s="103">
        <v>42505</v>
      </c>
      <c r="M9" s="103">
        <v>63769</v>
      </c>
      <c r="N9" s="103">
        <v>58974</v>
      </c>
      <c r="O9" s="103">
        <v>288660</v>
      </c>
      <c r="P9" s="103">
        <v>609095</v>
      </c>
      <c r="Q9" s="103">
        <v>5861</v>
      </c>
      <c r="R9" s="103">
        <v>27748</v>
      </c>
      <c r="S9" s="103">
        <v>25503</v>
      </c>
      <c r="T9" s="103">
        <v>392919</v>
      </c>
      <c r="U9" s="103">
        <v>571376</v>
      </c>
      <c r="V9" s="103">
        <v>63436</v>
      </c>
      <c r="W9" s="103">
        <v>8248</v>
      </c>
      <c r="X9" s="103">
        <v>23770</v>
      </c>
      <c r="Y9" s="103">
        <v>131630</v>
      </c>
      <c r="Z9" s="103">
        <v>1335</v>
      </c>
      <c r="AA9" s="103">
        <v>250770</v>
      </c>
      <c r="AB9" s="103">
        <v>11749</v>
      </c>
      <c r="AC9" s="103">
        <v>2925</v>
      </c>
      <c r="AD9" s="103">
        <v>26757</v>
      </c>
      <c r="AE9" s="103">
        <v>130942</v>
      </c>
      <c r="AF9" s="103">
        <v>332441</v>
      </c>
      <c r="AG9" s="103">
        <v>1608576</v>
      </c>
      <c r="AH9" s="103">
        <v>14480</v>
      </c>
      <c r="AI9" s="103">
        <v>511572</v>
      </c>
      <c r="AJ9" s="103">
        <v>976239</v>
      </c>
      <c r="AK9" s="103">
        <v>15710</v>
      </c>
      <c r="AL9" s="117">
        <v>55026</v>
      </c>
      <c r="AM9" s="103">
        <v>52530</v>
      </c>
      <c r="AN9" s="107">
        <v>907216</v>
      </c>
      <c r="AO9" s="107">
        <v>5710</v>
      </c>
      <c r="AP9" s="107">
        <v>0</v>
      </c>
      <c r="AQ9" s="103">
        <v>163574</v>
      </c>
      <c r="AR9" s="103">
        <v>325601</v>
      </c>
      <c r="AS9" s="103">
        <v>91754</v>
      </c>
      <c r="AT9" s="103">
        <v>924</v>
      </c>
      <c r="AU9" s="103">
        <v>176405</v>
      </c>
      <c r="AV9" s="103">
        <v>65266</v>
      </c>
      <c r="AW9" s="103">
        <v>54461</v>
      </c>
      <c r="AX9" s="103">
        <v>274647</v>
      </c>
      <c r="AY9" s="103">
        <v>745957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86866</v>
      </c>
      <c r="C10" s="103">
        <v>119520</v>
      </c>
      <c r="D10" s="103">
        <v>20798</v>
      </c>
      <c r="E10" s="103">
        <v>23715</v>
      </c>
      <c r="F10" s="103">
        <v>290832</v>
      </c>
      <c r="G10" s="103">
        <v>5302</v>
      </c>
      <c r="H10" s="103">
        <v>11828</v>
      </c>
      <c r="I10" s="103">
        <v>576594</v>
      </c>
      <c r="J10" s="103">
        <v>96871</v>
      </c>
      <c r="K10" s="103">
        <v>8135</v>
      </c>
      <c r="L10" s="103">
        <v>42529</v>
      </c>
      <c r="M10" s="103">
        <v>63782</v>
      </c>
      <c r="N10" s="103">
        <v>59011</v>
      </c>
      <c r="O10" s="103">
        <v>288871</v>
      </c>
      <c r="P10" s="103">
        <v>609426</v>
      </c>
      <c r="Q10" s="103">
        <v>5871</v>
      </c>
      <c r="R10" s="103">
        <v>27757</v>
      </c>
      <c r="S10" s="103">
        <v>25503</v>
      </c>
      <c r="T10" s="103">
        <v>393144</v>
      </c>
      <c r="U10" s="103">
        <v>571717</v>
      </c>
      <c r="V10" s="103">
        <v>63479</v>
      </c>
      <c r="W10" s="103">
        <v>8260</v>
      </c>
      <c r="X10" s="103">
        <v>23804</v>
      </c>
      <c r="Y10" s="103">
        <v>131722</v>
      </c>
      <c r="Z10" s="103">
        <v>1336</v>
      </c>
      <c r="AA10" s="103">
        <v>250955</v>
      </c>
      <c r="AB10" s="103">
        <v>11760</v>
      </c>
      <c r="AC10" s="103">
        <v>2926</v>
      </c>
      <c r="AD10" s="103">
        <v>26768</v>
      </c>
      <c r="AE10" s="103">
        <v>131036</v>
      </c>
      <c r="AF10" s="103">
        <v>332661</v>
      </c>
      <c r="AG10" s="103">
        <v>1609371</v>
      </c>
      <c r="AH10" s="103">
        <v>14485</v>
      </c>
      <c r="AI10" s="103">
        <v>511589</v>
      </c>
      <c r="AJ10" s="103">
        <v>976893</v>
      </c>
      <c r="AK10" s="103">
        <v>15723</v>
      </c>
      <c r="AL10" s="117">
        <v>55041</v>
      </c>
      <c r="AM10" s="103">
        <v>52546</v>
      </c>
      <c r="AN10" s="107">
        <v>907562</v>
      </c>
      <c r="AO10" s="107">
        <v>5710</v>
      </c>
      <c r="AP10" s="107">
        <v>0</v>
      </c>
      <c r="AQ10" s="103">
        <v>163704</v>
      </c>
      <c r="AR10" s="103">
        <v>325842</v>
      </c>
      <c r="AS10" s="103">
        <v>91830</v>
      </c>
      <c r="AT10" s="103">
        <v>925</v>
      </c>
      <c r="AU10" s="103">
        <v>176569</v>
      </c>
      <c r="AV10" s="103">
        <v>65321</v>
      </c>
      <c r="AW10" s="103">
        <v>54504</v>
      </c>
      <c r="AX10" s="103">
        <v>274816</v>
      </c>
      <c r="AY10" s="103">
        <v>746582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86946</v>
      </c>
      <c r="C11" s="103">
        <v>119520</v>
      </c>
      <c r="D11" s="103">
        <v>20812</v>
      </c>
      <c r="E11" s="103">
        <v>23728</v>
      </c>
      <c r="F11" s="103">
        <v>291022</v>
      </c>
      <c r="G11" s="103">
        <v>5307</v>
      </c>
      <c r="H11" s="103">
        <v>11849</v>
      </c>
      <c r="I11" s="103">
        <v>576967</v>
      </c>
      <c r="J11" s="103">
        <v>96949</v>
      </c>
      <c r="K11" s="103">
        <v>8137</v>
      </c>
      <c r="L11" s="103">
        <v>42552</v>
      </c>
      <c r="M11" s="103">
        <v>63805</v>
      </c>
      <c r="N11" s="103">
        <v>59047</v>
      </c>
      <c r="O11" s="103">
        <v>289068</v>
      </c>
      <c r="P11" s="103">
        <v>609774</v>
      </c>
      <c r="Q11" s="103">
        <v>5880</v>
      </c>
      <c r="R11" s="103">
        <v>27767</v>
      </c>
      <c r="S11" s="103">
        <v>25503</v>
      </c>
      <c r="T11" s="103">
        <v>393368</v>
      </c>
      <c r="U11" s="103">
        <v>572072</v>
      </c>
      <c r="V11" s="103">
        <v>63524</v>
      </c>
      <c r="W11" s="103">
        <v>8262</v>
      </c>
      <c r="X11" s="103">
        <v>23830</v>
      </c>
      <c r="Y11" s="103">
        <v>131805</v>
      </c>
      <c r="Z11" s="103">
        <v>1337</v>
      </c>
      <c r="AA11" s="103">
        <v>251141</v>
      </c>
      <c r="AB11" s="103">
        <v>11766</v>
      </c>
      <c r="AC11" s="103">
        <v>2929</v>
      </c>
      <c r="AD11" s="103">
        <v>26780</v>
      </c>
      <c r="AE11" s="103">
        <v>131133</v>
      </c>
      <c r="AF11" s="103">
        <v>332859</v>
      </c>
      <c r="AG11" s="103">
        <v>1610273</v>
      </c>
      <c r="AH11" s="103">
        <v>14488</v>
      </c>
      <c r="AI11" s="103">
        <v>511606</v>
      </c>
      <c r="AJ11" s="103">
        <v>977667</v>
      </c>
      <c r="AK11" s="103">
        <v>15732</v>
      </c>
      <c r="AL11" s="117">
        <v>55056</v>
      </c>
      <c r="AM11" s="103">
        <v>52563</v>
      </c>
      <c r="AN11" s="107">
        <v>908070</v>
      </c>
      <c r="AO11" s="107">
        <v>5710</v>
      </c>
      <c r="AP11" s="107">
        <v>0</v>
      </c>
      <c r="AQ11" s="103">
        <v>163841</v>
      </c>
      <c r="AR11" s="103">
        <v>326097</v>
      </c>
      <c r="AS11" s="103">
        <v>91910</v>
      </c>
      <c r="AT11" s="103">
        <v>925</v>
      </c>
      <c r="AU11" s="103">
        <v>176733</v>
      </c>
      <c r="AV11" s="103">
        <v>65381</v>
      </c>
      <c r="AW11" s="103">
        <v>54548</v>
      </c>
      <c r="AX11" s="103">
        <v>274980</v>
      </c>
      <c r="AY11" s="103">
        <v>747186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87025</v>
      </c>
      <c r="C12" s="103">
        <v>119520</v>
      </c>
      <c r="D12" s="103">
        <v>20821</v>
      </c>
      <c r="E12" s="103">
        <v>23744</v>
      </c>
      <c r="F12" s="103">
        <v>291210</v>
      </c>
      <c r="G12" s="103">
        <v>5314</v>
      </c>
      <c r="H12" s="103">
        <v>11857</v>
      </c>
      <c r="I12" s="103">
        <v>577346</v>
      </c>
      <c r="J12" s="103">
        <v>97032</v>
      </c>
      <c r="K12" s="103">
        <v>8138</v>
      </c>
      <c r="L12" s="103">
        <v>42573</v>
      </c>
      <c r="M12" s="103">
        <v>63818</v>
      </c>
      <c r="N12" s="103">
        <v>59086</v>
      </c>
      <c r="O12" s="103">
        <v>289269</v>
      </c>
      <c r="P12" s="103">
        <v>610110</v>
      </c>
      <c r="Q12" s="103">
        <v>5890</v>
      </c>
      <c r="R12" s="103">
        <v>27777</v>
      </c>
      <c r="S12" s="103">
        <v>25503</v>
      </c>
      <c r="T12" s="103">
        <v>393591</v>
      </c>
      <c r="U12" s="103">
        <v>572377</v>
      </c>
      <c r="V12" s="103">
        <v>63568</v>
      </c>
      <c r="W12" s="103">
        <v>8264</v>
      </c>
      <c r="X12" s="103">
        <v>23859</v>
      </c>
      <c r="Y12" s="103">
        <v>131896</v>
      </c>
      <c r="Z12" s="103">
        <v>1338</v>
      </c>
      <c r="AA12" s="103">
        <v>251328</v>
      </c>
      <c r="AB12" s="103">
        <v>11779</v>
      </c>
      <c r="AC12" s="103">
        <v>2933</v>
      </c>
      <c r="AD12" s="103">
        <v>26790</v>
      </c>
      <c r="AE12" s="103">
        <v>131230</v>
      </c>
      <c r="AF12" s="103">
        <v>333053</v>
      </c>
      <c r="AG12" s="103">
        <v>1611192</v>
      </c>
      <c r="AH12" s="103">
        <v>14491</v>
      </c>
      <c r="AI12" s="103">
        <v>511624</v>
      </c>
      <c r="AJ12" s="103">
        <v>978526</v>
      </c>
      <c r="AK12" s="103">
        <v>15742</v>
      </c>
      <c r="AL12" s="103">
        <v>55071</v>
      </c>
      <c r="AM12" s="103">
        <v>52580</v>
      </c>
      <c r="AN12" s="103">
        <v>908600</v>
      </c>
      <c r="AO12" s="103">
        <v>5710</v>
      </c>
      <c r="AP12" s="103">
        <v>0</v>
      </c>
      <c r="AQ12" s="103">
        <v>163989</v>
      </c>
      <c r="AR12" s="103">
        <v>326365</v>
      </c>
      <c r="AS12" s="103">
        <v>91993</v>
      </c>
      <c r="AT12" s="103">
        <v>926</v>
      </c>
      <c r="AU12" s="103">
        <v>176895</v>
      </c>
      <c r="AV12" s="103">
        <v>65442</v>
      </c>
      <c r="AW12" s="103">
        <v>54595</v>
      </c>
      <c r="AX12" s="103">
        <v>275147</v>
      </c>
      <c r="AY12" s="103">
        <v>747779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87106</v>
      </c>
      <c r="C13" s="103">
        <v>119520</v>
      </c>
      <c r="D13" s="103">
        <v>20827</v>
      </c>
      <c r="E13" s="103">
        <v>23759</v>
      </c>
      <c r="F13" s="103">
        <v>291392</v>
      </c>
      <c r="G13" s="103">
        <v>5320</v>
      </c>
      <c r="H13" s="103">
        <v>11866</v>
      </c>
      <c r="I13" s="103">
        <v>577731</v>
      </c>
      <c r="J13" s="103">
        <v>97118</v>
      </c>
      <c r="K13" s="103">
        <v>8139</v>
      </c>
      <c r="L13" s="103">
        <v>42603</v>
      </c>
      <c r="M13" s="103">
        <v>63830</v>
      </c>
      <c r="N13" s="103">
        <v>59123</v>
      </c>
      <c r="O13" s="103">
        <v>289476</v>
      </c>
      <c r="P13" s="103">
        <v>610466</v>
      </c>
      <c r="Q13" s="103">
        <v>5900</v>
      </c>
      <c r="R13" s="103">
        <v>27789</v>
      </c>
      <c r="S13" s="103">
        <v>25503</v>
      </c>
      <c r="T13" s="103">
        <v>393816</v>
      </c>
      <c r="U13" s="103">
        <v>572743</v>
      </c>
      <c r="V13" s="103">
        <v>63617</v>
      </c>
      <c r="W13" s="103">
        <v>8274</v>
      </c>
      <c r="X13" s="103">
        <v>23881</v>
      </c>
      <c r="Y13" s="103">
        <v>131975</v>
      </c>
      <c r="Z13" s="103">
        <v>1338</v>
      </c>
      <c r="AA13" s="103">
        <v>251514</v>
      </c>
      <c r="AB13" s="103">
        <v>11781</v>
      </c>
      <c r="AC13" s="103">
        <v>2938</v>
      </c>
      <c r="AD13" s="103">
        <v>26803</v>
      </c>
      <c r="AE13" s="103">
        <v>131325</v>
      </c>
      <c r="AF13" s="103">
        <v>333284</v>
      </c>
      <c r="AG13" s="103">
        <v>1612076</v>
      </c>
      <c r="AH13" s="103">
        <v>14492</v>
      </c>
      <c r="AI13" s="103">
        <v>511642</v>
      </c>
      <c r="AJ13" s="103">
        <v>979398</v>
      </c>
      <c r="AK13" s="103">
        <v>15754</v>
      </c>
      <c r="AL13" s="117">
        <v>55087</v>
      </c>
      <c r="AM13" s="103">
        <v>52597</v>
      </c>
      <c r="AN13" s="107">
        <v>909003</v>
      </c>
      <c r="AO13" s="107">
        <v>5710</v>
      </c>
      <c r="AP13" s="107">
        <v>0</v>
      </c>
      <c r="AQ13" s="103">
        <v>164137</v>
      </c>
      <c r="AR13" s="103">
        <v>326631</v>
      </c>
      <c r="AS13" s="103">
        <v>92071</v>
      </c>
      <c r="AT13" s="103">
        <v>927</v>
      </c>
      <c r="AU13" s="103">
        <v>177065</v>
      </c>
      <c r="AV13" s="103">
        <v>65496</v>
      </c>
      <c r="AW13" s="103">
        <v>54633</v>
      </c>
      <c r="AX13" s="103">
        <v>275326</v>
      </c>
      <c r="AY13" s="103">
        <v>748397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87172</v>
      </c>
      <c r="C14" s="103">
        <v>119520</v>
      </c>
      <c r="D14" s="103">
        <v>20830</v>
      </c>
      <c r="E14" s="103">
        <v>23773</v>
      </c>
      <c r="F14" s="103">
        <v>291563</v>
      </c>
      <c r="G14" s="103">
        <v>5325</v>
      </c>
      <c r="H14" s="103">
        <v>11876</v>
      </c>
      <c r="I14" s="103">
        <v>578104</v>
      </c>
      <c r="J14" s="103">
        <v>97197</v>
      </c>
      <c r="K14" s="103">
        <v>8140</v>
      </c>
      <c r="L14" s="103">
        <v>42632</v>
      </c>
      <c r="M14" s="103">
        <v>63842</v>
      </c>
      <c r="N14" s="103">
        <v>59160</v>
      </c>
      <c r="O14" s="103">
        <v>289664</v>
      </c>
      <c r="P14" s="103">
        <v>610781</v>
      </c>
      <c r="Q14" s="103">
        <v>5907</v>
      </c>
      <c r="R14" s="103">
        <v>27800</v>
      </c>
      <c r="S14" s="103">
        <v>25503</v>
      </c>
      <c r="T14" s="103">
        <v>394027</v>
      </c>
      <c r="U14" s="103">
        <v>573091</v>
      </c>
      <c r="V14" s="103">
        <v>63659</v>
      </c>
      <c r="W14" s="103">
        <v>8282</v>
      </c>
      <c r="X14" s="103">
        <v>23897</v>
      </c>
      <c r="Y14" s="103">
        <v>132047</v>
      </c>
      <c r="Z14" s="103">
        <v>1338</v>
      </c>
      <c r="AA14" s="103">
        <v>251693</v>
      </c>
      <c r="AB14" s="103">
        <v>11793</v>
      </c>
      <c r="AC14" s="103">
        <v>2940</v>
      </c>
      <c r="AD14" s="103">
        <v>26819</v>
      </c>
      <c r="AE14" s="103">
        <v>131417</v>
      </c>
      <c r="AF14" s="103">
        <v>333504</v>
      </c>
      <c r="AG14" s="103">
        <v>1612825</v>
      </c>
      <c r="AH14" s="103">
        <v>14492</v>
      </c>
      <c r="AI14" s="103">
        <v>511659</v>
      </c>
      <c r="AJ14" s="103">
        <v>980238</v>
      </c>
      <c r="AK14" s="103">
        <v>15767</v>
      </c>
      <c r="AL14" s="117">
        <v>55101</v>
      </c>
      <c r="AM14" s="103">
        <v>52613</v>
      </c>
      <c r="AN14" s="107">
        <v>909296</v>
      </c>
      <c r="AO14" s="107">
        <v>5710</v>
      </c>
      <c r="AP14" s="107">
        <v>0</v>
      </c>
      <c r="AQ14" s="103">
        <v>164270</v>
      </c>
      <c r="AR14" s="103">
        <v>326886</v>
      </c>
      <c r="AS14" s="103">
        <v>92146</v>
      </c>
      <c r="AT14" s="103">
        <v>927</v>
      </c>
      <c r="AU14" s="103">
        <v>177227</v>
      </c>
      <c r="AV14" s="103">
        <v>65552</v>
      </c>
      <c r="AW14" s="103">
        <v>54675</v>
      </c>
      <c r="AX14" s="103">
        <v>275487</v>
      </c>
      <c r="AY14" s="103">
        <v>748950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87241</v>
      </c>
      <c r="C15" s="103">
        <v>119520</v>
      </c>
      <c r="D15" s="103">
        <v>20848</v>
      </c>
      <c r="E15" s="103">
        <v>23804</v>
      </c>
      <c r="F15" s="103">
        <v>291734</v>
      </c>
      <c r="G15" s="103">
        <v>5330</v>
      </c>
      <c r="H15" s="103">
        <v>11888</v>
      </c>
      <c r="I15" s="103">
        <v>578481</v>
      </c>
      <c r="J15" s="103">
        <v>97287</v>
      </c>
      <c r="K15" s="103">
        <v>8141</v>
      </c>
      <c r="L15" s="103">
        <v>42663</v>
      </c>
      <c r="M15" s="103">
        <v>63855</v>
      </c>
      <c r="N15" s="103">
        <v>59195</v>
      </c>
      <c r="O15" s="103">
        <v>289869</v>
      </c>
      <c r="P15" s="103">
        <v>611121</v>
      </c>
      <c r="Q15" s="103">
        <v>5915</v>
      </c>
      <c r="R15" s="103">
        <v>27812</v>
      </c>
      <c r="S15" s="103">
        <v>25503</v>
      </c>
      <c r="T15" s="103">
        <v>394241</v>
      </c>
      <c r="U15" s="103">
        <v>573451</v>
      </c>
      <c r="V15" s="103">
        <v>63699</v>
      </c>
      <c r="W15" s="103">
        <v>8287</v>
      </c>
      <c r="X15" s="103">
        <v>23918</v>
      </c>
      <c r="Y15" s="103">
        <v>132140</v>
      </c>
      <c r="Z15" s="103">
        <v>1338</v>
      </c>
      <c r="AA15" s="103">
        <v>251874</v>
      </c>
      <c r="AB15" s="103">
        <v>11801</v>
      </c>
      <c r="AC15" s="103">
        <v>2941</v>
      </c>
      <c r="AD15" s="103">
        <v>26832</v>
      </c>
      <c r="AE15" s="103">
        <v>131511</v>
      </c>
      <c r="AF15" s="103">
        <v>333734</v>
      </c>
      <c r="AG15" s="103">
        <v>1613616</v>
      </c>
      <c r="AH15" s="103">
        <v>14493</v>
      </c>
      <c r="AI15" s="103">
        <v>511676</v>
      </c>
      <c r="AJ15" s="103">
        <v>981041</v>
      </c>
      <c r="AK15" s="103">
        <v>15778</v>
      </c>
      <c r="AL15" s="117">
        <v>55116</v>
      </c>
      <c r="AM15" s="103">
        <v>52630</v>
      </c>
      <c r="AN15" s="107">
        <v>909596</v>
      </c>
      <c r="AO15" s="107">
        <v>5710</v>
      </c>
      <c r="AP15" s="107">
        <v>0</v>
      </c>
      <c r="AQ15" s="103">
        <v>164398</v>
      </c>
      <c r="AR15" s="103">
        <v>327157</v>
      </c>
      <c r="AS15" s="103">
        <v>92228</v>
      </c>
      <c r="AT15" s="103">
        <v>928</v>
      </c>
      <c r="AU15" s="103">
        <v>177358</v>
      </c>
      <c r="AV15" s="103">
        <v>65608</v>
      </c>
      <c r="AW15" s="103">
        <v>54714</v>
      </c>
      <c r="AX15" s="103">
        <v>275647</v>
      </c>
      <c r="AY15" s="103">
        <v>749514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87313</v>
      </c>
      <c r="C16" s="103">
        <v>119520</v>
      </c>
      <c r="D16" s="103">
        <v>20860</v>
      </c>
      <c r="E16" s="103">
        <v>23835</v>
      </c>
      <c r="F16" s="103">
        <v>291903</v>
      </c>
      <c r="G16" s="103">
        <v>5335</v>
      </c>
      <c r="H16" s="103">
        <v>11901</v>
      </c>
      <c r="I16" s="103">
        <v>578862</v>
      </c>
      <c r="J16" s="103">
        <v>97371</v>
      </c>
      <c r="K16" s="103">
        <v>8141</v>
      </c>
      <c r="L16" s="103">
        <v>42689</v>
      </c>
      <c r="M16" s="103">
        <v>63866</v>
      </c>
      <c r="N16" s="103">
        <v>59233</v>
      </c>
      <c r="O16" s="103">
        <v>290067</v>
      </c>
      <c r="P16" s="103">
        <v>611464</v>
      </c>
      <c r="Q16" s="103">
        <v>5922</v>
      </c>
      <c r="R16" s="103">
        <v>27828</v>
      </c>
      <c r="S16" s="103">
        <v>25503</v>
      </c>
      <c r="T16" s="103">
        <v>394458</v>
      </c>
      <c r="U16" s="103">
        <v>573801</v>
      </c>
      <c r="V16" s="103">
        <v>63740</v>
      </c>
      <c r="W16" s="103">
        <v>8289</v>
      </c>
      <c r="X16" s="103">
        <v>23937</v>
      </c>
      <c r="Y16" s="103">
        <v>132230</v>
      </c>
      <c r="Z16" s="103">
        <v>1338</v>
      </c>
      <c r="AA16" s="103">
        <v>252057</v>
      </c>
      <c r="AB16" s="103">
        <v>11808</v>
      </c>
      <c r="AC16" s="103">
        <v>2943</v>
      </c>
      <c r="AD16" s="103">
        <v>26847</v>
      </c>
      <c r="AE16" s="103">
        <v>131604</v>
      </c>
      <c r="AF16" s="103">
        <v>333976</v>
      </c>
      <c r="AG16" s="103">
        <v>1614392</v>
      </c>
      <c r="AH16" s="103">
        <v>14493</v>
      </c>
      <c r="AI16" s="103">
        <v>511694</v>
      </c>
      <c r="AJ16" s="103">
        <v>981878</v>
      </c>
      <c r="AK16" s="103">
        <v>15793</v>
      </c>
      <c r="AL16" s="117">
        <v>55131</v>
      </c>
      <c r="AM16" s="103">
        <v>52646</v>
      </c>
      <c r="AN16" s="107">
        <v>910040</v>
      </c>
      <c r="AO16" s="107">
        <v>5710</v>
      </c>
      <c r="AP16" s="107">
        <v>0</v>
      </c>
      <c r="AQ16" s="103">
        <v>164508</v>
      </c>
      <c r="AR16" s="103">
        <v>327417</v>
      </c>
      <c r="AS16" s="103">
        <v>92308</v>
      </c>
      <c r="AT16" s="103">
        <v>929</v>
      </c>
      <c r="AU16" s="103">
        <v>177472</v>
      </c>
      <c r="AV16" s="103">
        <v>65666</v>
      </c>
      <c r="AW16" s="103">
        <v>54756</v>
      </c>
      <c r="AX16" s="103">
        <v>275808</v>
      </c>
      <c r="AY16" s="103">
        <v>750075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87374</v>
      </c>
      <c r="C17" s="103">
        <v>119520</v>
      </c>
      <c r="D17" s="103">
        <v>20874</v>
      </c>
      <c r="E17" s="103">
        <v>23852</v>
      </c>
      <c r="F17" s="103">
        <v>292059</v>
      </c>
      <c r="G17" s="103">
        <v>5340</v>
      </c>
      <c r="H17" s="103">
        <v>11916</v>
      </c>
      <c r="I17" s="103">
        <v>579230</v>
      </c>
      <c r="J17" s="103">
        <v>97446</v>
      </c>
      <c r="K17" s="103">
        <v>8142</v>
      </c>
      <c r="L17" s="103">
        <v>42715</v>
      </c>
      <c r="M17" s="103">
        <v>63880</v>
      </c>
      <c r="N17" s="103">
        <v>59268</v>
      </c>
      <c r="O17" s="103">
        <v>290281</v>
      </c>
      <c r="P17" s="103">
        <v>611801</v>
      </c>
      <c r="Q17" s="103">
        <v>5929</v>
      </c>
      <c r="R17" s="103">
        <v>27840</v>
      </c>
      <c r="S17" s="103">
        <v>25503</v>
      </c>
      <c r="T17" s="103">
        <v>394659</v>
      </c>
      <c r="U17" s="103">
        <v>574161</v>
      </c>
      <c r="V17" s="103">
        <v>63780</v>
      </c>
      <c r="W17" s="103">
        <v>8289</v>
      </c>
      <c r="X17" s="103">
        <v>23961</v>
      </c>
      <c r="Y17" s="103">
        <v>132316</v>
      </c>
      <c r="Z17" s="103">
        <v>1338</v>
      </c>
      <c r="AA17" s="103">
        <v>252243</v>
      </c>
      <c r="AB17" s="103">
        <v>11817</v>
      </c>
      <c r="AC17" s="103">
        <v>2944</v>
      </c>
      <c r="AD17" s="103">
        <v>26860</v>
      </c>
      <c r="AE17" s="103">
        <v>131697</v>
      </c>
      <c r="AF17" s="103">
        <v>334208</v>
      </c>
      <c r="AG17" s="103">
        <v>1615065</v>
      </c>
      <c r="AH17" s="103">
        <v>14494</v>
      </c>
      <c r="AI17" s="103">
        <v>511711</v>
      </c>
      <c r="AJ17" s="103">
        <v>982566</v>
      </c>
      <c r="AK17" s="103">
        <v>15805</v>
      </c>
      <c r="AL17" s="117">
        <v>55146</v>
      </c>
      <c r="AM17" s="103">
        <v>52663</v>
      </c>
      <c r="AN17" s="107">
        <v>910530</v>
      </c>
      <c r="AO17" s="107">
        <v>5710</v>
      </c>
      <c r="AP17" s="107">
        <v>0</v>
      </c>
      <c r="AQ17" s="103">
        <v>164623</v>
      </c>
      <c r="AR17" s="103">
        <v>327672</v>
      </c>
      <c r="AS17" s="103">
        <v>92391</v>
      </c>
      <c r="AT17" s="103">
        <v>929</v>
      </c>
      <c r="AU17" s="103">
        <v>177598</v>
      </c>
      <c r="AV17" s="103">
        <v>65724</v>
      </c>
      <c r="AW17" s="103">
        <v>54797</v>
      </c>
      <c r="AX17" s="103">
        <v>275969</v>
      </c>
      <c r="AY17" s="103">
        <v>750641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87439</v>
      </c>
      <c r="C18" s="103">
        <v>119520</v>
      </c>
      <c r="D18" s="103">
        <v>20890</v>
      </c>
      <c r="E18" s="103">
        <v>23879</v>
      </c>
      <c r="F18" s="103">
        <v>292238</v>
      </c>
      <c r="G18" s="103">
        <v>5346</v>
      </c>
      <c r="H18" s="103">
        <v>11924</v>
      </c>
      <c r="I18" s="103">
        <v>579612</v>
      </c>
      <c r="J18" s="103">
        <v>97519</v>
      </c>
      <c r="K18" s="103">
        <v>8142</v>
      </c>
      <c r="L18" s="103">
        <v>42744</v>
      </c>
      <c r="M18" s="103">
        <v>63889</v>
      </c>
      <c r="N18" s="103">
        <v>59306</v>
      </c>
      <c r="O18" s="103">
        <v>290478</v>
      </c>
      <c r="P18" s="103">
        <v>612089</v>
      </c>
      <c r="Q18" s="103">
        <v>5937</v>
      </c>
      <c r="R18" s="103">
        <v>27850</v>
      </c>
      <c r="S18" s="103">
        <v>25503</v>
      </c>
      <c r="T18" s="103">
        <v>394868</v>
      </c>
      <c r="U18" s="103">
        <v>574497</v>
      </c>
      <c r="V18" s="103">
        <v>63825</v>
      </c>
      <c r="W18" s="103">
        <v>8289</v>
      </c>
      <c r="X18" s="103">
        <v>23984</v>
      </c>
      <c r="Y18" s="103">
        <v>132404</v>
      </c>
      <c r="Z18" s="103">
        <v>1338</v>
      </c>
      <c r="AA18" s="103">
        <v>252420</v>
      </c>
      <c r="AB18" s="103">
        <v>11817</v>
      </c>
      <c r="AC18" s="103">
        <v>2945</v>
      </c>
      <c r="AD18" s="103">
        <v>26875</v>
      </c>
      <c r="AE18" s="103">
        <v>131790</v>
      </c>
      <c r="AF18" s="103">
        <v>334395</v>
      </c>
      <c r="AG18" s="103">
        <v>1615754</v>
      </c>
      <c r="AH18" s="103">
        <v>14494</v>
      </c>
      <c r="AI18" s="103">
        <v>511728</v>
      </c>
      <c r="AJ18" s="103">
        <v>983177</v>
      </c>
      <c r="AK18" s="103">
        <v>15815</v>
      </c>
      <c r="AL18" s="117">
        <v>55161</v>
      </c>
      <c r="AM18" s="103">
        <v>52679</v>
      </c>
      <c r="AN18" s="107">
        <v>910840</v>
      </c>
      <c r="AO18" s="107">
        <v>5710</v>
      </c>
      <c r="AP18" s="107">
        <v>0</v>
      </c>
      <c r="AQ18" s="103">
        <v>164730</v>
      </c>
      <c r="AR18" s="103">
        <v>327921</v>
      </c>
      <c r="AS18" s="103">
        <v>92470</v>
      </c>
      <c r="AT18" s="103">
        <v>930</v>
      </c>
      <c r="AU18" s="103">
        <v>177721</v>
      </c>
      <c r="AV18" s="103">
        <v>65783</v>
      </c>
      <c r="AW18" s="103">
        <v>54846</v>
      </c>
      <c r="AX18" s="103">
        <v>276124</v>
      </c>
      <c r="AY18" s="103">
        <v>751214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87510</v>
      </c>
      <c r="C19" s="103">
        <v>119520</v>
      </c>
      <c r="D19" s="103">
        <v>20903</v>
      </c>
      <c r="E19" s="103">
        <v>23895</v>
      </c>
      <c r="F19" s="103">
        <v>292429</v>
      </c>
      <c r="G19" s="103">
        <v>5350</v>
      </c>
      <c r="H19" s="103">
        <v>11936</v>
      </c>
      <c r="I19" s="103">
        <v>579994</v>
      </c>
      <c r="J19" s="103">
        <v>97590</v>
      </c>
      <c r="K19" s="103">
        <v>8143</v>
      </c>
      <c r="L19" s="103">
        <v>42775</v>
      </c>
      <c r="M19" s="103">
        <v>63904</v>
      </c>
      <c r="N19" s="103">
        <v>59344</v>
      </c>
      <c r="O19" s="103">
        <v>290681</v>
      </c>
      <c r="P19" s="103">
        <v>612382</v>
      </c>
      <c r="Q19" s="103">
        <v>5945</v>
      </c>
      <c r="R19" s="103">
        <v>27860</v>
      </c>
      <c r="S19" s="103">
        <v>25503</v>
      </c>
      <c r="T19" s="103">
        <v>395077</v>
      </c>
      <c r="U19" s="103">
        <v>574862</v>
      </c>
      <c r="V19" s="103">
        <v>63869</v>
      </c>
      <c r="W19" s="103">
        <v>8289</v>
      </c>
      <c r="X19" s="103">
        <v>24009</v>
      </c>
      <c r="Y19" s="103">
        <v>132491</v>
      </c>
      <c r="Z19" s="103">
        <v>1338</v>
      </c>
      <c r="AA19" s="103">
        <v>252605</v>
      </c>
      <c r="AB19" s="103">
        <v>11829</v>
      </c>
      <c r="AC19" s="103">
        <v>2947</v>
      </c>
      <c r="AD19" s="103">
        <v>26886</v>
      </c>
      <c r="AE19" s="103">
        <v>131884</v>
      </c>
      <c r="AF19" s="103">
        <v>334581</v>
      </c>
      <c r="AG19" s="103">
        <v>1616513</v>
      </c>
      <c r="AH19" s="103">
        <v>14494</v>
      </c>
      <c r="AI19" s="103">
        <v>511745</v>
      </c>
      <c r="AJ19" s="103">
        <v>983944</v>
      </c>
      <c r="AK19" s="103">
        <v>15826</v>
      </c>
      <c r="AL19" s="117">
        <v>55176</v>
      </c>
      <c r="AM19" s="103">
        <v>52696</v>
      </c>
      <c r="AN19" s="107">
        <v>911228</v>
      </c>
      <c r="AO19" s="107">
        <v>5710</v>
      </c>
      <c r="AP19" s="107">
        <v>0</v>
      </c>
      <c r="AQ19" s="103">
        <v>164850</v>
      </c>
      <c r="AR19" s="103">
        <v>328186</v>
      </c>
      <c r="AS19" s="103">
        <v>92551</v>
      </c>
      <c r="AT19" s="103">
        <v>930</v>
      </c>
      <c r="AU19" s="103">
        <v>177850</v>
      </c>
      <c r="AV19" s="103">
        <v>65839</v>
      </c>
      <c r="AW19" s="103">
        <v>54891</v>
      </c>
      <c r="AX19" s="103">
        <v>276276</v>
      </c>
      <c r="AY19" s="103">
        <v>751790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87575</v>
      </c>
      <c r="C20" s="103">
        <v>119520</v>
      </c>
      <c r="D20" s="103">
        <v>20904</v>
      </c>
      <c r="E20" s="103">
        <v>23916</v>
      </c>
      <c r="F20" s="103">
        <v>292606</v>
      </c>
      <c r="G20" s="103">
        <v>5356</v>
      </c>
      <c r="H20" s="103">
        <v>11942</v>
      </c>
      <c r="I20" s="103">
        <v>580370</v>
      </c>
      <c r="J20" s="103">
        <v>97657</v>
      </c>
      <c r="K20" s="103">
        <v>8144</v>
      </c>
      <c r="L20" s="103">
        <v>42803</v>
      </c>
      <c r="M20" s="103">
        <v>63914</v>
      </c>
      <c r="N20" s="103">
        <v>59381</v>
      </c>
      <c r="O20" s="103">
        <v>290891</v>
      </c>
      <c r="P20" s="103">
        <v>612696</v>
      </c>
      <c r="Q20" s="103">
        <v>5953</v>
      </c>
      <c r="R20" s="103">
        <v>27870</v>
      </c>
      <c r="S20" s="103">
        <v>25503</v>
      </c>
      <c r="T20" s="103">
        <v>395301</v>
      </c>
      <c r="U20" s="103">
        <v>575213</v>
      </c>
      <c r="V20" s="103">
        <v>63912</v>
      </c>
      <c r="W20" s="103">
        <v>8289</v>
      </c>
      <c r="X20" s="103">
        <v>24034</v>
      </c>
      <c r="Y20" s="103">
        <v>132568</v>
      </c>
      <c r="Z20" s="103">
        <v>1338</v>
      </c>
      <c r="AA20" s="103">
        <v>252786</v>
      </c>
      <c r="AB20" s="103">
        <v>11840</v>
      </c>
      <c r="AC20" s="103">
        <v>2948</v>
      </c>
      <c r="AD20" s="103">
        <v>26898</v>
      </c>
      <c r="AE20" s="103">
        <v>131981</v>
      </c>
      <c r="AF20" s="103">
        <v>334757</v>
      </c>
      <c r="AG20" s="103">
        <v>1617747</v>
      </c>
      <c r="AH20" s="103">
        <v>14495</v>
      </c>
      <c r="AI20" s="103">
        <v>511763</v>
      </c>
      <c r="AJ20" s="107">
        <v>984779</v>
      </c>
      <c r="AK20" s="107">
        <v>15841</v>
      </c>
      <c r="AL20" s="117">
        <v>55191</v>
      </c>
      <c r="AM20" s="107">
        <v>52713</v>
      </c>
      <c r="AN20" s="107">
        <v>911548</v>
      </c>
      <c r="AO20" s="107">
        <v>5710</v>
      </c>
      <c r="AP20" s="107">
        <v>0</v>
      </c>
      <c r="AQ20" s="107">
        <v>164962</v>
      </c>
      <c r="AR20" s="107">
        <v>328451</v>
      </c>
      <c r="AS20" s="107">
        <v>92623</v>
      </c>
      <c r="AT20" s="107">
        <v>931</v>
      </c>
      <c r="AU20" s="107">
        <v>177977</v>
      </c>
      <c r="AV20" s="107">
        <v>65904</v>
      </c>
      <c r="AW20" s="107">
        <v>54942</v>
      </c>
      <c r="AX20" s="107">
        <v>276408</v>
      </c>
      <c r="AY20" s="107">
        <v>752364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87642</v>
      </c>
      <c r="C21" s="103">
        <v>119520</v>
      </c>
      <c r="D21" s="103">
        <v>20907</v>
      </c>
      <c r="E21" s="103">
        <v>23930</v>
      </c>
      <c r="F21" s="103">
        <v>292783</v>
      </c>
      <c r="G21" s="103">
        <v>5361</v>
      </c>
      <c r="H21" s="103">
        <v>11957</v>
      </c>
      <c r="I21" s="103">
        <v>580741</v>
      </c>
      <c r="J21" s="103">
        <v>97722</v>
      </c>
      <c r="K21" s="103">
        <v>8144</v>
      </c>
      <c r="L21" s="103">
        <v>42827</v>
      </c>
      <c r="M21" s="103">
        <v>63939</v>
      </c>
      <c r="N21" s="103">
        <v>59416</v>
      </c>
      <c r="O21" s="103">
        <v>291093</v>
      </c>
      <c r="P21" s="103">
        <v>613005</v>
      </c>
      <c r="Q21" s="103">
        <v>5960</v>
      </c>
      <c r="R21" s="103">
        <v>27883</v>
      </c>
      <c r="S21" s="103">
        <v>25503</v>
      </c>
      <c r="T21" s="103">
        <v>395505</v>
      </c>
      <c r="U21" s="103">
        <v>575562</v>
      </c>
      <c r="V21" s="103">
        <v>63953</v>
      </c>
      <c r="W21" s="103">
        <v>8289</v>
      </c>
      <c r="X21" s="103">
        <v>24060</v>
      </c>
      <c r="Y21" s="103">
        <v>132644</v>
      </c>
      <c r="Z21" s="103">
        <v>1338</v>
      </c>
      <c r="AA21" s="103">
        <v>252963</v>
      </c>
      <c r="AB21" s="103">
        <v>11848</v>
      </c>
      <c r="AC21" s="103">
        <v>2951</v>
      </c>
      <c r="AD21" s="103">
        <v>26915</v>
      </c>
      <c r="AE21" s="103">
        <v>132075</v>
      </c>
      <c r="AF21" s="103">
        <v>334898</v>
      </c>
      <c r="AG21" s="103">
        <v>1618843</v>
      </c>
      <c r="AH21" s="103">
        <v>14495</v>
      </c>
      <c r="AI21" s="103">
        <v>511781</v>
      </c>
      <c r="AJ21" s="107">
        <v>985596</v>
      </c>
      <c r="AK21" s="107">
        <v>15853</v>
      </c>
      <c r="AL21" s="117">
        <v>55206</v>
      </c>
      <c r="AM21" s="107">
        <v>52729</v>
      </c>
      <c r="AN21" s="107">
        <v>911898</v>
      </c>
      <c r="AO21" s="107">
        <v>5710</v>
      </c>
      <c r="AP21" s="107">
        <v>0</v>
      </c>
      <c r="AQ21" s="107">
        <v>165070</v>
      </c>
      <c r="AR21" s="107">
        <v>328705</v>
      </c>
      <c r="AS21" s="107">
        <v>92699</v>
      </c>
      <c r="AT21" s="107">
        <v>932</v>
      </c>
      <c r="AU21" s="107">
        <v>178089</v>
      </c>
      <c r="AV21" s="107">
        <v>65966</v>
      </c>
      <c r="AW21" s="107">
        <v>54993</v>
      </c>
      <c r="AX21" s="107">
        <v>276566</v>
      </c>
      <c r="AY21" s="107">
        <v>752942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87706</v>
      </c>
      <c r="C22" s="103">
        <v>119520</v>
      </c>
      <c r="D22" s="103">
        <v>20918</v>
      </c>
      <c r="E22" s="103">
        <v>23944</v>
      </c>
      <c r="F22" s="103">
        <v>292954</v>
      </c>
      <c r="G22" s="103">
        <v>5366</v>
      </c>
      <c r="H22" s="103">
        <v>11977</v>
      </c>
      <c r="I22" s="103">
        <v>581103</v>
      </c>
      <c r="J22" s="103">
        <v>97779</v>
      </c>
      <c r="K22" s="103">
        <v>8145</v>
      </c>
      <c r="L22" s="103">
        <v>42847</v>
      </c>
      <c r="M22" s="103">
        <v>63974</v>
      </c>
      <c r="N22" s="103">
        <v>59451</v>
      </c>
      <c r="O22" s="103">
        <v>291290</v>
      </c>
      <c r="P22" s="103">
        <v>613295</v>
      </c>
      <c r="Q22" s="103">
        <v>5966</v>
      </c>
      <c r="R22" s="103">
        <v>27893</v>
      </c>
      <c r="S22" s="103">
        <v>25503</v>
      </c>
      <c r="T22" s="103">
        <v>395703</v>
      </c>
      <c r="U22" s="103">
        <v>575938</v>
      </c>
      <c r="V22" s="103">
        <v>63995</v>
      </c>
      <c r="W22" s="103">
        <v>8289</v>
      </c>
      <c r="X22" s="103">
        <v>24086</v>
      </c>
      <c r="Y22" s="103">
        <v>132734</v>
      </c>
      <c r="Z22" s="103">
        <v>1339</v>
      </c>
      <c r="AA22" s="103">
        <v>253138</v>
      </c>
      <c r="AB22" s="103">
        <v>11852</v>
      </c>
      <c r="AC22" s="103">
        <v>2954</v>
      </c>
      <c r="AD22" s="103">
        <v>26926</v>
      </c>
      <c r="AE22" s="103">
        <v>132161</v>
      </c>
      <c r="AF22" s="103">
        <v>335086</v>
      </c>
      <c r="AG22" s="103">
        <v>1619842</v>
      </c>
      <c r="AH22" s="103">
        <v>14496</v>
      </c>
      <c r="AI22" s="103">
        <v>511798</v>
      </c>
      <c r="AJ22" s="107">
        <v>986287</v>
      </c>
      <c r="AK22" s="107">
        <v>15861</v>
      </c>
      <c r="AL22" s="117">
        <v>55221</v>
      </c>
      <c r="AM22" s="107">
        <v>52746</v>
      </c>
      <c r="AN22" s="107">
        <v>912323</v>
      </c>
      <c r="AO22" s="107">
        <v>5710</v>
      </c>
      <c r="AP22" s="107">
        <v>0</v>
      </c>
      <c r="AQ22" s="107">
        <v>165189</v>
      </c>
      <c r="AR22" s="107">
        <v>328949</v>
      </c>
      <c r="AS22" s="107">
        <v>92758</v>
      </c>
      <c r="AT22" s="107">
        <v>932</v>
      </c>
      <c r="AU22" s="107">
        <v>178162</v>
      </c>
      <c r="AV22" s="107">
        <v>66010</v>
      </c>
      <c r="AW22" s="107">
        <v>55033</v>
      </c>
      <c r="AX22" s="107">
        <v>276723</v>
      </c>
      <c r="AY22" s="107">
        <v>753501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17"/>
      <c r="AM23" s="103"/>
      <c r="AN23" s="107"/>
      <c r="AO23" s="107"/>
      <c r="AP23" s="107"/>
      <c r="AQ23" s="103"/>
      <c r="AR23" s="103"/>
      <c r="AS23" s="103"/>
      <c r="AT23" s="103"/>
      <c r="AU23" s="103"/>
      <c r="AV23" s="103"/>
      <c r="AW23" s="103"/>
      <c r="AX23" s="103"/>
      <c r="AY23" s="103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2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23"/>
      <c r="AF24" s="103"/>
      <c r="AG24" s="103"/>
      <c r="AH24" s="103"/>
      <c r="AI24" s="103"/>
      <c r="AJ24" s="103"/>
      <c r="AK24" s="103"/>
      <c r="AL24" s="103"/>
      <c r="AM24" s="117"/>
      <c r="AN24" s="103"/>
      <c r="AO24" s="107"/>
      <c r="AP24" s="107"/>
      <c r="AQ24" s="103"/>
      <c r="AR24" s="103"/>
      <c r="AS24" s="103"/>
      <c r="AT24" s="103"/>
      <c r="AU24" s="103"/>
      <c r="AV24" s="103"/>
      <c r="AW24" s="103"/>
      <c r="AX24" s="103"/>
      <c r="AY24" s="103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17"/>
      <c r="AM25" s="103"/>
      <c r="AN25" s="107"/>
      <c r="AO25" s="107"/>
      <c r="AP25" s="107"/>
      <c r="AQ25" s="103"/>
      <c r="AR25" s="103"/>
      <c r="AS25" s="103"/>
      <c r="AT25" s="103"/>
      <c r="AU25" s="103"/>
      <c r="AV25" s="103"/>
      <c r="AW25" s="103"/>
      <c r="AX25" s="103"/>
      <c r="AY25" s="103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17"/>
      <c r="AM26" s="103"/>
      <c r="AN26" s="107"/>
      <c r="AO26" s="107"/>
      <c r="AP26" s="107"/>
      <c r="AQ26" s="103"/>
      <c r="AR26" s="103"/>
      <c r="AS26" s="103"/>
      <c r="AT26" s="103"/>
      <c r="AU26" s="103"/>
      <c r="AV26" s="103"/>
      <c r="AW26" s="103"/>
      <c r="AX26" s="103"/>
      <c r="AY26" s="103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17"/>
      <c r="AM27" s="103"/>
      <c r="AN27" s="107"/>
      <c r="AO27" s="107"/>
      <c r="AP27" s="107"/>
      <c r="AQ27" s="103"/>
      <c r="AR27" s="103"/>
      <c r="AS27" s="103"/>
      <c r="AT27" s="103"/>
      <c r="AU27" s="103"/>
      <c r="AV27" s="103"/>
      <c r="AW27" s="103"/>
      <c r="AX27" s="103"/>
      <c r="AY27" s="103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17"/>
      <c r="AM28" s="123"/>
      <c r="AN28" s="103"/>
      <c r="AO28" s="107"/>
      <c r="AP28" s="107"/>
      <c r="AQ28" s="103"/>
      <c r="AR28" s="103"/>
      <c r="AS28" s="103"/>
      <c r="AT28" s="103"/>
      <c r="AU28" s="103"/>
      <c r="AV28" s="103"/>
      <c r="AW28" s="103"/>
      <c r="AX28" s="103"/>
      <c r="AY28" s="103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17"/>
      <c r="AM29" s="103"/>
      <c r="AN29" s="107"/>
      <c r="AO29" s="107"/>
      <c r="AP29" s="107"/>
      <c r="AQ29" s="103"/>
      <c r="AR29" s="103"/>
      <c r="AS29" s="103"/>
      <c r="AT29" s="103"/>
      <c r="AU29" s="103"/>
      <c r="AV29" s="103"/>
      <c r="AW29" s="103"/>
      <c r="AX29" s="103"/>
      <c r="AY29" s="103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17"/>
      <c r="AM30" s="103"/>
      <c r="AN30" s="107"/>
      <c r="AO30" s="107"/>
      <c r="AP30" s="107"/>
      <c r="AQ30" s="103"/>
      <c r="AR30" s="107"/>
      <c r="AS30" s="103"/>
      <c r="AT30" s="103"/>
      <c r="AU30" s="103"/>
      <c r="AV30" s="103"/>
      <c r="AW30" s="103"/>
      <c r="AX30" s="103"/>
      <c r="AY30" s="103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17"/>
      <c r="AM31" s="103"/>
      <c r="AN31" s="107"/>
      <c r="AO31" s="107"/>
      <c r="AP31" s="107"/>
      <c r="AQ31" s="103"/>
      <c r="AR31" s="103"/>
      <c r="AS31" s="103"/>
      <c r="AT31" s="103"/>
      <c r="AU31" s="103"/>
      <c r="AV31" s="103"/>
      <c r="AW31" s="103"/>
      <c r="AX31" s="103"/>
      <c r="AY31" s="103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17"/>
      <c r="AM32" s="103"/>
      <c r="AN32" s="107"/>
      <c r="AO32" s="107"/>
      <c r="AP32" s="107"/>
      <c r="AQ32" s="103"/>
      <c r="AR32" s="103"/>
      <c r="AS32" s="103"/>
      <c r="AT32" s="103"/>
      <c r="AU32" s="103"/>
      <c r="AV32" s="103"/>
      <c r="AW32" s="103"/>
      <c r="AX32" s="103"/>
      <c r="AY32" s="103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23"/>
      <c r="AE33" s="103"/>
      <c r="AF33" s="103"/>
      <c r="AG33" s="103"/>
      <c r="AH33" s="103"/>
      <c r="AI33" s="103"/>
      <c r="AJ33" s="103"/>
      <c r="AK33" s="103"/>
      <c r="AL33" s="117"/>
      <c r="AM33" s="103"/>
      <c r="AN33" s="107"/>
      <c r="AO33" s="107"/>
      <c r="AP33" s="107"/>
      <c r="AQ33" s="103"/>
      <c r="AR33" s="103"/>
      <c r="AS33" s="103"/>
      <c r="AT33" s="103"/>
      <c r="AU33" s="103"/>
      <c r="AV33" s="103"/>
      <c r="AW33" s="103"/>
      <c r="AX33" s="103"/>
      <c r="AY33" s="103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9"/>
      <c r="AE34" s="103"/>
      <c r="AF34" s="103"/>
      <c r="AG34" s="103"/>
      <c r="AH34" s="103"/>
      <c r="AI34" s="103"/>
      <c r="AJ34" s="103"/>
      <c r="AK34" s="103"/>
      <c r="AL34" s="103"/>
      <c r="AM34" s="117"/>
      <c r="AN34" s="103"/>
      <c r="AO34" s="107"/>
      <c r="AP34" s="107"/>
      <c r="AQ34" s="103"/>
      <c r="AR34" s="103"/>
      <c r="AS34" s="103"/>
      <c r="AT34" s="103"/>
      <c r="AU34" s="103"/>
      <c r="AV34" s="103"/>
      <c r="AW34" s="103"/>
      <c r="AX34" s="103"/>
      <c r="AY34" s="103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17"/>
      <c r="AM35" s="103"/>
      <c r="AN35" s="107"/>
      <c r="AO35" s="107"/>
      <c r="AP35" s="107"/>
      <c r="AQ35" s="103"/>
      <c r="AR35" s="103"/>
      <c r="AS35" s="103"/>
      <c r="AT35" s="103"/>
      <c r="AU35" s="103"/>
      <c r="AV35" s="103"/>
      <c r="AW35" s="103"/>
      <c r="AX35" s="103"/>
      <c r="AY35" s="103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2022-01-18T11:14:05Z</dcterms:modified>
</cp:coreProperties>
</file>