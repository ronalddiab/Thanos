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<sst xmlns="http://schemas.openxmlformats.org/spreadsheetml/2006/main" count="605" uniqueCount="75">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</sst>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70" workbookViewId="0">
      <selection activeCell="M195" sqref="M19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2.4300000000000002</v>
      </c>
      <c r="G187" s="4">
        <f>'Gas Water'!M190</f>
        <v>1863</v>
      </c>
      <c r="H187" s="132">
        <v>16.5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2.4300000000000002</v>
      </c>
      <c r="G188" s="4">
        <f>'Gas Water'!M191</f>
        <v>1805</v>
      </c>
      <c r="H188" s="132">
        <v>16.5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2.4300000000000002</v>
      </c>
      <c r="G189" s="4">
        <f>'Gas Water'!M192</f>
        <v>1713</v>
      </c>
      <c r="H189" s="132">
        <v>16.5</v>
      </c>
      <c r="I189" s="2">
        <f>'Gas Water'!L192</f>
        <v>284</v>
      </c>
      <c r="J189" s="132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2">
        <v>2.4300000000000002</v>
      </c>
      <c r="G190" s="4">
        <f>'Gas Water'!M193</f>
        <v>1713</v>
      </c>
      <c r="H190" s="132">
        <v>16.5</v>
      </c>
      <c r="I190" s="2">
        <f>'Gas Water'!L193</f>
        <v>301</v>
      </c>
      <c r="J190" s="132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2">
        <v>2.4300000000000002</v>
      </c>
      <c r="G191" s="4">
        <f>'Gas Water'!M194</f>
        <v>1701</v>
      </c>
      <c r="H191" s="132">
        <v>16.5</v>
      </c>
      <c r="I191" s="2">
        <f>'Gas Water'!L194</f>
        <v>309</v>
      </c>
      <c r="J191" s="132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2">
        <v>2.4300000000000002</v>
      </c>
      <c r="G192" s="4">
        <f>'Gas Water'!M195</f>
        <v>1818</v>
      </c>
      <c r="H192" s="132">
        <v>16.5</v>
      </c>
      <c r="I192" s="2">
        <f>'Gas Water'!L195</f>
        <v>228</v>
      </c>
      <c r="J192" s="132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2">
        <v>2.4300000000000002</v>
      </c>
      <c r="G193" s="4">
        <f>'Gas Water'!M196</f>
        <v>1805</v>
      </c>
      <c r="H193" s="132">
        <v>16.5</v>
      </c>
      <c r="I193" s="2">
        <f>'Gas Water'!L196</f>
        <v>255</v>
      </c>
      <c r="J193" s="132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2">
        <v>2.4300000000000002</v>
      </c>
      <c r="G194" s="4">
        <f>'Gas Water'!M197</f>
        <v>1739</v>
      </c>
      <c r="H194" s="132">
        <v>16.5</v>
      </c>
      <c r="I194" s="2">
        <f>'Gas Water'!L197</f>
        <v>263</v>
      </c>
      <c r="J194" s="132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2">
        <v>2.4300000000000002</v>
      </c>
      <c r="G195" s="4">
        <f>'Gas Water'!M198</f>
        <v>1769</v>
      </c>
      <c r="H195" s="132">
        <v>16.5</v>
      </c>
      <c r="I195" s="2">
        <f>'Gas Water'!L198</f>
        <v>275</v>
      </c>
      <c r="J195" s="132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2">
        <v>2.4300000000000002</v>
      </c>
      <c r="G196" s="4">
        <f>'Gas Water'!M199</f>
        <v>1871</v>
      </c>
      <c r="H196" s="132">
        <v>16.5</v>
      </c>
      <c r="I196" s="2">
        <f>'Gas Water'!L199</f>
        <v>298</v>
      </c>
      <c r="J196" s="132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2">
        <v>2.4300000000000002</v>
      </c>
      <c r="G197" s="4">
        <f>'Gas Water'!M200</f>
        <v>1622</v>
      </c>
      <c r="H197" s="132">
        <v>16.5</v>
      </c>
      <c r="I197" s="2">
        <f>'Gas Water'!L200</f>
        <v>282</v>
      </c>
      <c r="J197" s="132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2">
        <v>2.4300000000000002</v>
      </c>
      <c r="G198" s="4">
        <f>'Gas Water'!M201</f>
        <v>1532</v>
      </c>
      <c r="H198" s="132">
        <v>16.5</v>
      </c>
      <c r="I198" s="2">
        <f>'Gas Water'!L201</f>
        <v>342</v>
      </c>
      <c r="J198" s="132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2">
        <v>2.4300000000000002</v>
      </c>
      <c r="G199" s="4">
        <f>'Gas Water'!M202</f>
        <v>1513</v>
      </c>
      <c r="H199" s="132">
        <v>16.5</v>
      </c>
      <c r="I199" s="2">
        <f>'Gas Water'!L202</f>
        <v>315</v>
      </c>
      <c r="J199" s="132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2">
        <v>2.4300000000000002</v>
      </c>
      <c r="G200" s="4">
        <f>'Gas Water'!M203</f>
        <v>1752</v>
      </c>
      <c r="H200" s="132">
        <v>16.5</v>
      </c>
      <c r="I200" s="2">
        <f>'Gas Water'!L203</f>
        <v>334</v>
      </c>
      <c r="J200" s="132">
        <v>22.4</v>
      </c>
      <c r="K200" s="5">
        <v>160</v>
      </c>
      <c r="L200" s="5">
        <v>329</v>
      </c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2">
        <v>2.4300000000000002</v>
      </c>
      <c r="G201" s="4">
        <f>'Gas Water'!M204</f>
        <v>1761</v>
      </c>
      <c r="H201" s="132">
        <v>16.5</v>
      </c>
      <c r="I201" s="2">
        <f>'Gas Water'!L204</f>
        <v>384</v>
      </c>
      <c r="J201" s="132">
        <v>22.4</v>
      </c>
      <c r="K201" s="5">
        <v>157</v>
      </c>
      <c r="L201" s="5">
        <v>308</v>
      </c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X199" sqref="X199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>
        <v>0.14199999999999999</v>
      </c>
      <c r="E192" s="137">
        <v>3059.84</v>
      </c>
      <c r="F192" s="138">
        <v>89.347999999999999</v>
      </c>
      <c r="G192" s="56"/>
      <c r="H192" s="56">
        <v>4140</v>
      </c>
      <c r="I192" s="56">
        <f t="shared" si="76"/>
        <v>33923.159999999836</v>
      </c>
      <c r="J192" s="56">
        <f t="shared" si="77"/>
        <v>1233.7200000000075</v>
      </c>
      <c r="K192" s="57">
        <f t="shared" si="72"/>
        <v>3.6368074200635009E-2</v>
      </c>
      <c r="L192" s="56">
        <f t="shared" si="73"/>
        <v>1233.7200000000075</v>
      </c>
      <c r="M192" s="57">
        <f t="shared" si="74"/>
        <v>3.6368074200635009E-2</v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>
        <v>0.14199999999999999</v>
      </c>
      <c r="E193" s="137">
        <v>3068.49</v>
      </c>
      <c r="F193" s="138">
        <v>89.661000000000001</v>
      </c>
      <c r="G193" s="56"/>
      <c r="H193" s="56">
        <v>4140</v>
      </c>
      <c r="I193" s="56">
        <f t="shared" si="76"/>
        <v>35810.999999998494</v>
      </c>
      <c r="J193" s="56">
        <f t="shared" si="77"/>
        <v>1295.8200000000099</v>
      </c>
      <c r="K193" s="57">
        <f t="shared" si="72"/>
        <v>3.6184971098267696E-2</v>
      </c>
      <c r="L193" s="56">
        <f t="shared" si="73"/>
        <v>1295.8200000000099</v>
      </c>
      <c r="M193" s="57">
        <f t="shared" si="74"/>
        <v>3.6184971098267696E-2</v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>
        <v>0.14199999999999999</v>
      </c>
      <c r="E194" s="137">
        <v>3076.598</v>
      </c>
      <c r="F194" s="138">
        <v>89.864000000000004</v>
      </c>
      <c r="G194" s="56"/>
      <c r="H194" s="56">
        <v>4140</v>
      </c>
      <c r="I194" s="56">
        <f t="shared" si="76"/>
        <v>33567.120000000723</v>
      </c>
      <c r="J194" s="56">
        <f t="shared" si="77"/>
        <v>840.42000000001224</v>
      </c>
      <c r="K194" s="57">
        <f t="shared" si="72"/>
        <v>2.5037000493339737E-2</v>
      </c>
      <c r="L194" s="56">
        <f t="shared" si="73"/>
        <v>840.42000000001224</v>
      </c>
      <c r="M194" s="57">
        <f t="shared" si="74"/>
        <v>2.5037000493339737E-2</v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>
        <v>0.14199999999999999</v>
      </c>
      <c r="E195" s="137">
        <v>3084.5369999999998</v>
      </c>
      <c r="F195" s="138">
        <v>90.12</v>
      </c>
      <c r="G195" s="56"/>
      <c r="H195" s="56">
        <v>4140</v>
      </c>
      <c r="I195" s="56">
        <f t="shared" si="76"/>
        <v>32867.459999999381</v>
      </c>
      <c r="J195" s="56">
        <f t="shared" si="77"/>
        <v>1059.8400000000011</v>
      </c>
      <c r="K195" s="57">
        <f t="shared" si="72"/>
        <v>3.2245874795314912E-2</v>
      </c>
      <c r="L195" s="56">
        <f t="shared" si="73"/>
        <v>1059.8400000000011</v>
      </c>
      <c r="M195" s="57">
        <f t="shared" si="74"/>
        <v>3.2245874795314912E-2</v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>
        <v>0.14199999999999999</v>
      </c>
      <c r="E196" s="137">
        <v>3092.6619999999998</v>
      </c>
      <c r="F196" s="138">
        <v>90.462000000000003</v>
      </c>
      <c r="G196" s="56"/>
      <c r="H196" s="56">
        <v>4140</v>
      </c>
      <c r="I196" s="56">
        <f t="shared" si="76"/>
        <v>33637.5</v>
      </c>
      <c r="J196" s="56">
        <f t="shared" si="77"/>
        <v>1415.8799999999949</v>
      </c>
      <c r="K196" s="57">
        <f t="shared" si="72"/>
        <v>4.209230769230754E-2</v>
      </c>
      <c r="L196" s="56">
        <f t="shared" si="73"/>
        <v>1415.8799999999949</v>
      </c>
      <c r="M196" s="57">
        <f t="shared" si="74"/>
        <v>4.209230769230754E-2</v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>
        <v>0.14199999999999999</v>
      </c>
      <c r="E197" s="137">
        <v>3100.788</v>
      </c>
      <c r="F197" s="138">
        <v>90.685000000000002</v>
      </c>
      <c r="G197" s="56"/>
      <c r="H197" s="56">
        <v>4140</v>
      </c>
      <c r="I197" s="56">
        <f t="shared" si="76"/>
        <v>33641.640000000843</v>
      </c>
      <c r="J197" s="56">
        <f t="shared" si="77"/>
        <v>923.21999999999571</v>
      </c>
      <c r="K197" s="57">
        <f t="shared" si="72"/>
        <v>2.7442776273688577E-2</v>
      </c>
      <c r="L197" s="56">
        <f t="shared" si="73"/>
        <v>923.21999999999571</v>
      </c>
      <c r="M197" s="57">
        <f t="shared" si="74"/>
        <v>2.7442776273688577E-2</v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>
        <v>0.14199999999999999</v>
      </c>
      <c r="E198" s="137">
        <v>3109.0790000000002</v>
      </c>
      <c r="F198" s="138">
        <v>90.914000000000001</v>
      </c>
      <c r="G198" s="56"/>
      <c r="H198" s="56">
        <v>4140</v>
      </c>
      <c r="I198" s="56">
        <f t="shared" si="76"/>
        <v>34324.740000000689</v>
      </c>
      <c r="J198" s="56">
        <f t="shared" si="77"/>
        <v>948.05999999999676</v>
      </c>
      <c r="K198" s="57">
        <f t="shared" si="72"/>
        <v>2.7620311180797809E-2</v>
      </c>
      <c r="L198" s="56">
        <f t="shared" si="73"/>
        <v>948.05999999999676</v>
      </c>
      <c r="M198" s="57">
        <f t="shared" si="74"/>
        <v>2.7620311180797809E-2</v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>
        <v>0.14199999999999999</v>
      </c>
      <c r="E199" s="137">
        <v>3117.413</v>
      </c>
      <c r="F199" s="138">
        <v>91.177999999999997</v>
      </c>
      <c r="G199" s="56"/>
      <c r="H199" s="56">
        <v>4140</v>
      </c>
      <c r="I199" s="56">
        <f t="shared" si="76"/>
        <v>34502.759999999311</v>
      </c>
      <c r="J199" s="56">
        <f t="shared" si="77"/>
        <v>1092.9599999999825</v>
      </c>
      <c r="K199" s="57">
        <f t="shared" si="72"/>
        <v>3.1677465802735907E-2</v>
      </c>
      <c r="L199" s="56">
        <f t="shared" si="73"/>
        <v>1092.9599999999825</v>
      </c>
      <c r="M199" s="57">
        <f t="shared" si="74"/>
        <v>3.1677465802735907E-2</v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>
        <v>0.14199999999999999</v>
      </c>
      <c r="E200" s="137">
        <v>3125.893</v>
      </c>
      <c r="F200" s="138">
        <v>91.488</v>
      </c>
      <c r="G200" s="56"/>
      <c r="H200" s="56">
        <v>4140</v>
      </c>
      <c r="I200" s="56">
        <f t="shared" si="76"/>
        <v>35107.200000000077</v>
      </c>
      <c r="J200" s="56">
        <f t="shared" si="77"/>
        <v>1283.4000000000094</v>
      </c>
      <c r="K200" s="57">
        <f t="shared" si="72"/>
        <v>3.6556603773585092E-2</v>
      </c>
      <c r="L200" s="56">
        <f t="shared" si="73"/>
        <v>1283.4000000000094</v>
      </c>
      <c r="M200" s="57">
        <f t="shared" si="74"/>
        <v>3.6556603773585092E-2</v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>
        <v>0.14199999999999999</v>
      </c>
      <c r="E201" s="137">
        <v>3134.2260000000001</v>
      </c>
      <c r="F201" s="138">
        <v>91.734999999999999</v>
      </c>
      <c r="G201" s="56"/>
      <c r="H201" s="56">
        <v>4140</v>
      </c>
      <c r="I201" s="56">
        <f t="shared" si="76"/>
        <v>34498.620000000345</v>
      </c>
      <c r="J201" s="56">
        <f t="shared" si="77"/>
        <v>1022.5799999999995</v>
      </c>
      <c r="K201" s="57">
        <f t="shared" si="72"/>
        <v>2.9641185647425586E-2</v>
      </c>
      <c r="L201" s="56">
        <f t="shared" si="73"/>
        <v>1022.5799999999995</v>
      </c>
      <c r="M201" s="57">
        <f t="shared" si="74"/>
        <v>2.9641185647425586E-2</v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>
        <v>0.14199999999999999</v>
      </c>
      <c r="E202" s="137">
        <v>3142.636</v>
      </c>
      <c r="F202" s="138">
        <v>92.018000000000001</v>
      </c>
      <c r="G202" s="56"/>
      <c r="H202" s="56">
        <v>4140</v>
      </c>
      <c r="I202" s="56">
        <f t="shared" si="76"/>
        <v>34817.399999999398</v>
      </c>
      <c r="J202" s="56">
        <f t="shared" si="77"/>
        <v>1171.6200000000051</v>
      </c>
      <c r="K202" s="57">
        <f t="shared" si="72"/>
        <v>3.365041617122546E-2</v>
      </c>
      <c r="L202" s="56">
        <f t="shared" si="73"/>
        <v>1171.6200000000051</v>
      </c>
      <c r="M202" s="57">
        <f t="shared" si="74"/>
        <v>3.365041617122546E-2</v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>
        <v>0.14199999999999999</v>
      </c>
      <c r="E203" s="137">
        <v>3150.5450000000001</v>
      </c>
      <c r="F203" s="138">
        <v>92.278000000000006</v>
      </c>
      <c r="G203" s="56"/>
      <c r="H203" s="56">
        <v>4140</v>
      </c>
      <c r="I203" s="56">
        <f t="shared" si="76"/>
        <v>32743.260000000439</v>
      </c>
      <c r="J203" s="56">
        <f t="shared" si="77"/>
        <v>1076.4000000000212</v>
      </c>
      <c r="K203" s="57">
        <f t="shared" si="72"/>
        <v>3.2873941079782733E-2</v>
      </c>
      <c r="L203" s="56">
        <f t="shared" si="73"/>
        <v>1076.4000000000212</v>
      </c>
      <c r="M203" s="57">
        <f t="shared" si="74"/>
        <v>3.2873941079782733E-2</v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3.3538684767104462E-2</v>
      </c>
      <c r="Q206" s="66">
        <f>IF(L185="",0,+SUM(L185:L215)/SUM(I185:I215))</f>
        <v>3.3538684767104462E-2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69" workbookViewId="0">
      <selection activeCell="T192" sqref="T192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4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N202" s="43"/>
      <c r="Q202" s="19">
        <f t="shared" si="96"/>
        <v>0</v>
      </c>
    </row>
    <row r="203" spans="2:17" ht="12.95" customHeight="1" x14ac:dyDescent="0.2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 x14ac:dyDescent="0.2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5864</v>
      </c>
      <c r="O209" s="30">
        <f>SUM(M186:M216)</f>
        <v>33163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308.63157894736844</v>
      </c>
      <c r="O212" s="30">
        <f>AVERAGE(M186:M216)</f>
        <v>1745.421052631579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2022-07-20T06:15:41Z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