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sudhakar appa\desktop\Report HLP 2020\HLP 2022\"/>
    </mc:Choice>
  </mc:AlternateContent>
  <xr:revisionPtr revIDLastSave="0" documentId="13_ncr:1_{04275537-FDDB-400A-ABAA-567F1C3AF619}" xr6:coauthVersionLast="47" xr6:coauthVersionMax="47" xr10:uidLastSave="{00000000-0000-0000-0000-000000000000}"/>
  <bookViews>
    <workbookView xWindow="-120" yWindow="-120" windowWidth="20730" windowHeight="11160" tabRatio="193" xr2:uid="{00000000-000D-0000-FFFF-FFFF00000000}"/>
  </bookViews>
  <sheets>
    <sheet name="Sheet1" sheetId="1" r:id="rId1"/>
    <sheet name="Occupancy&amp; 2021" sheetId="3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2" i="1"/>
  <c r="W12" i="1"/>
  <c r="W10" i="1"/>
  <c r="W7" i="1"/>
  <c r="W6" i="1"/>
  <c r="W4" i="1"/>
  <c r="W3" i="1"/>
  <c r="W5" i="1"/>
  <c r="W8" i="1"/>
  <c r="W9" i="1"/>
  <c r="W11" i="1"/>
  <c r="W13" i="1"/>
  <c r="W14" i="1"/>
  <c r="W15" i="1"/>
  <c r="W2" i="1"/>
  <c r="S7" i="1"/>
  <c r="D42" i="3"/>
  <c r="D41" i="3"/>
  <c r="D40" i="3"/>
  <c r="D39" i="3"/>
  <c r="D38" i="3"/>
  <c r="D37" i="3"/>
  <c r="E36" i="3"/>
  <c r="D36" i="3"/>
  <c r="D35" i="3"/>
  <c r="E35" i="3" s="1"/>
  <c r="E34" i="3"/>
  <c r="D34" i="3"/>
  <c r="D33" i="3"/>
  <c r="E33" i="3" s="1"/>
  <c r="E32" i="3"/>
  <c r="D32" i="3"/>
  <c r="D31" i="3"/>
  <c r="E31" i="3" s="1"/>
  <c r="R3" i="1"/>
  <c r="R4" i="1"/>
  <c r="R5" i="1"/>
  <c r="R6" i="1"/>
  <c r="R7" i="1"/>
  <c r="R8" i="1"/>
  <c r="R9" i="1"/>
  <c r="R10" i="1"/>
  <c r="R11" i="1"/>
  <c r="R12" i="1"/>
  <c r="R13" i="1"/>
  <c r="R2" i="1"/>
  <c r="N3" i="1"/>
  <c r="N4" i="1"/>
  <c r="N5" i="1"/>
  <c r="N6" i="1"/>
  <c r="N7" i="1"/>
  <c r="N8" i="1"/>
  <c r="N9" i="1"/>
  <c r="N10" i="1"/>
  <c r="N11" i="1"/>
  <c r="N12" i="1"/>
  <c r="N13" i="1"/>
  <c r="N2" i="1"/>
  <c r="J3" i="1"/>
  <c r="J4" i="1"/>
  <c r="J5" i="1"/>
  <c r="J6" i="1"/>
  <c r="J7" i="1"/>
  <c r="J8" i="1"/>
  <c r="J9" i="1"/>
  <c r="J10" i="1"/>
  <c r="J11" i="1"/>
  <c r="J12" i="1"/>
  <c r="J13" i="1"/>
  <c r="J2" i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7" i="3"/>
  <c r="D20" i="3"/>
  <c r="D30" i="3"/>
  <c r="D29" i="3"/>
  <c r="D28" i="3"/>
  <c r="D27" i="3"/>
  <c r="D26" i="3"/>
  <c r="D25" i="3"/>
  <c r="D24" i="3"/>
  <c r="D23" i="3"/>
  <c r="D22" i="3"/>
  <c r="D21" i="3"/>
  <c r="D19" i="3"/>
  <c r="D17" i="3"/>
  <c r="D15" i="3"/>
  <c r="D12" i="3"/>
  <c r="D10" i="3"/>
  <c r="D8" i="3"/>
  <c r="D9" i="3"/>
  <c r="D11" i="3"/>
  <c r="D13" i="3"/>
  <c r="D14" i="3"/>
  <c r="D16" i="3"/>
  <c r="D18" i="3"/>
  <c r="D7" i="3"/>
</calcChain>
</file>

<file path=xl/sharedStrings.xml><?xml version="1.0" encoding="utf-8"?>
<sst xmlns="http://schemas.openxmlformats.org/spreadsheetml/2006/main" count="72" uniqueCount="37">
  <si>
    <t>Site Name</t>
  </si>
  <si>
    <t>Month</t>
  </si>
  <si>
    <t>Year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</si>
  <si>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</si>
  <si>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</si>
  <si>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</si>
  <si>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</si>
  <si>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Natural Gas Hot-Water Boilers (m3) m3</t>
  </si>
  <si>
    <t>Natural Gas Hot-Water Boilers (m3) $/m3</t>
  </si>
  <si>
    <t>Water Total Budgeted</t>
  </si>
  <si>
    <t>Water Total Budgeted Cost ($)</t>
  </si>
  <si>
    <t xml:space="preserve">Room Nights </t>
  </si>
  <si>
    <t>Food Covers</t>
  </si>
  <si>
    <t>Forex</t>
  </si>
  <si>
    <t>Mumbai</t>
  </si>
  <si>
    <t>Maximum Demand KVA/KW</t>
  </si>
  <si>
    <t>Maximum Demand Tariff ($/KVA || $/KW)</t>
  </si>
  <si>
    <t>Fixed Fees Cost ($)</t>
  </si>
  <si>
    <t>Water Utility Supply (m3) m3</t>
  </si>
  <si>
    <t>Water Utility Supply (m3) $/m3</t>
  </si>
  <si>
    <t>Natural Gas Total Budgeted</t>
  </si>
  <si>
    <t>Natural Gas Total Budgeted Cost ($)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</si>
  <si>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</si>
  <si>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</si>
  <si>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</si>
  <si>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</si>
  <si>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</si>
  <si>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</si>
  <si>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</si>
  <si>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</si>
  <si>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</si>
  <si>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</si>
  <si>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</si>
  <si>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</si>
  <si>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Rooms</t>
  </si>
  <si>
    <t>available rooms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</si>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</sst>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0.00000"/>
    <numFmt numFmtId="167" formatCode="#,##0.00000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ill="0" applyBorder="0" applyAlignment="0" applyProtection="0"/>
  </cellStyleXfs>
  <cellXfs count="25">
    <xf numFmtId="0" fontId="0" fillId="0" borderId="0" xfId="0"/>
    <xf numFmtId="1" fontId="0" fillId="0" borderId="0" xfId="0" applyNumberForma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Font="1" applyFill="1"/>
    <xf numFmtId="1" fontId="0" fillId="0" borderId="0" xfId="1" applyNumberFormat="1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/>
    </xf>
    <xf numFmtId="4" fontId="0" fillId="0" borderId="0" xfId="0" applyNumberFormat="1"/>
    <xf numFmtId="0" fontId="0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/>
    </xf>
    <xf numFmtId="166" fontId="0" fillId="0" borderId="0" xfId="0" applyNumberFormat="1" applyFill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2" xfId="0" applyBorder="1"/>
    <xf numFmtId="1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9"/>
  <sheetViews>
    <sheetView tabSelected="1" zoomScale="85" zoomScaleNormal="85" workbookViewId="0">
      <pane xSplit="3" topLeftCell="J1" activePane="topRight" state="frozen"/>
      <selection pane="topRight" activeCell="G17" sqref="G17"/>
    </sheetView>
  </sheetViews>
  <sheetFormatPr defaultColWidth="11.5703125" defaultRowHeight="12.75" x14ac:dyDescent="0.2"/>
  <cols>
    <col min="1" max="1" width="10.5703125" customWidth="1"/>
    <col min="3" max="3" width="13.42578125" customWidth="1"/>
    <col min="4" max="5" width="12.5703125" style="6" customWidth="1"/>
    <col min="6" max="8" width="15" style="6" customWidth="1"/>
    <col min="9" max="10" width="11.5703125" style="22"/>
    <col min="11" max="11" width="11.5703125" style="6"/>
    <col min="12" max="12" width="12.85546875" style="8" customWidth="1"/>
    <col min="13" max="19" width="11.5703125" style="6"/>
  </cols>
  <sheetData>
    <row r="1" spans="1:30" s="2" customFormat="1" ht="63.75" x14ac:dyDescent="0.2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17" t="s">
        <v>15</v>
      </c>
      <c r="G1" s="17" t="s">
        <v>16</v>
      </c>
      <c r="H1" s="17" t="s">
        <v>17</v>
      </c>
      <c r="I1" s="11" t="s">
        <v>5</v>
      </c>
      <c r="J1" s="11" t="s">
        <v>6</v>
      </c>
      <c r="K1" s="4" t="s">
        <v>7</v>
      </c>
      <c r="L1" s="5" t="s">
        <v>8</v>
      </c>
      <c r="M1" s="11" t="s">
        <v>20</v>
      </c>
      <c r="N1" s="11" t="s">
        <v>21</v>
      </c>
      <c r="O1" s="4" t="s">
        <v>18</v>
      </c>
      <c r="P1" s="4" t="s">
        <v>19</v>
      </c>
      <c r="Q1" s="11" t="s">
        <v>9</v>
      </c>
      <c r="R1" s="11" t="s">
        <v>10</v>
      </c>
      <c r="S1" s="4" t="s">
        <v>11</v>
      </c>
      <c r="T1" s="4" t="s">
        <v>12</v>
      </c>
      <c r="U1" s="3" t="s">
        <v>13</v>
      </c>
    </row>
    <row r="2" spans="1:30" x14ac:dyDescent="0.2">
      <c r="A2" t="s">
        <v>14</v>
      </c>
      <c r="B2" s="9">
        <v>1</v>
      </c>
      <c r="C2" s="9">
        <v>2022</v>
      </c>
      <c r="D2" s="7">
        <v>556372</v>
      </c>
      <c r="E2" s="19">
        <v>8.82</v>
      </c>
      <c r="F2" s="7">
        <v>1080</v>
      </c>
      <c r="I2" s="12">
        <v>583077</v>
      </c>
      <c r="J2" s="12">
        <f>I2*9.1</f>
        <v>5306000.7</v>
      </c>
      <c r="K2" s="7">
        <v>28203</v>
      </c>
      <c r="L2" s="19">
        <v>70.25</v>
      </c>
      <c r="M2" s="12">
        <v>27451</v>
      </c>
      <c r="N2" s="12">
        <f>M2*75</f>
        <v>2058825</v>
      </c>
      <c r="O2" s="7">
        <v>5296</v>
      </c>
      <c r="P2" s="7">
        <v>101</v>
      </c>
      <c r="Q2" s="12">
        <v>7152</v>
      </c>
      <c r="R2" s="15">
        <f>Q2*100</f>
        <v>715200</v>
      </c>
      <c r="S2" s="14">
        <v>3236</v>
      </c>
      <c r="T2" s="14">
        <v>115518</v>
      </c>
      <c r="U2" s="16">
        <v>1.2999999999999999E-2</v>
      </c>
      <c r="V2" s="1">
        <f>S2/W2%</f>
        <v>51.676780581283936</v>
      </c>
      <c r="W2">
        <f>202*31</f>
        <v>6262</v>
      </c>
    </row>
    <row r="3" spans="1:30" x14ac:dyDescent="0.2">
      <c r="A3" t="s">
        <v>14</v>
      </c>
      <c r="B3" s="9">
        <v>2</v>
      </c>
      <c r="C3" s="9">
        <v>2022</v>
      </c>
      <c r="D3" s="7">
        <v>549607</v>
      </c>
      <c r="E3" s="19">
        <v>8.98</v>
      </c>
      <c r="F3" s="7">
        <v>1293</v>
      </c>
      <c r="I3" s="12">
        <v>674066</v>
      </c>
      <c r="J3" s="12">
        <f t="shared" ref="J3:J13" si="0">I3*9.1</f>
        <v>6134000.5999999996</v>
      </c>
      <c r="K3" s="7">
        <v>30361</v>
      </c>
      <c r="L3" s="7">
        <v>73.09</v>
      </c>
      <c r="M3" s="12">
        <v>26889</v>
      </c>
      <c r="N3" s="12">
        <f t="shared" ref="N3:N13" si="1">M3*75</f>
        <v>2016675</v>
      </c>
      <c r="O3" s="7">
        <v>7933</v>
      </c>
      <c r="P3" s="7">
        <v>92.5</v>
      </c>
      <c r="Q3" s="12">
        <v>6556</v>
      </c>
      <c r="R3" s="15">
        <f t="shared" ref="R3:R13" si="2">Q3*100</f>
        <v>655600</v>
      </c>
      <c r="S3" s="14">
        <v>4322</v>
      </c>
      <c r="T3" s="14">
        <v>17145</v>
      </c>
      <c r="U3" s="16">
        <v>1.2999999999999999E-2</v>
      </c>
      <c r="V3" s="1">
        <f t="shared" ref="V3:V15" si="3">S3/W3%</f>
        <v>76.414427157001413</v>
      </c>
      <c r="W3">
        <f>202*28</f>
        <v>5656</v>
      </c>
      <c r="X3" s="13"/>
      <c r="Y3" s="13"/>
    </row>
    <row r="4" spans="1:30" x14ac:dyDescent="0.2">
      <c r="A4" t="s">
        <v>14</v>
      </c>
      <c r="B4" s="9">
        <v>3</v>
      </c>
      <c r="C4" s="9">
        <v>2022</v>
      </c>
      <c r="D4" s="7">
        <v>764205</v>
      </c>
      <c r="E4" s="19">
        <v>9</v>
      </c>
      <c r="F4" s="7">
        <v>1518</v>
      </c>
      <c r="I4" s="12">
        <v>665000</v>
      </c>
      <c r="J4" s="12">
        <f t="shared" si="0"/>
        <v>6051500</v>
      </c>
      <c r="K4" s="7">
        <v>33947</v>
      </c>
      <c r="L4" s="7">
        <v>74.959999999999994</v>
      </c>
      <c r="M4" s="12">
        <v>28593</v>
      </c>
      <c r="N4" s="12">
        <f t="shared" si="1"/>
        <v>2144475</v>
      </c>
      <c r="O4" s="7">
        <v>8295</v>
      </c>
      <c r="P4" s="7">
        <v>92.69</v>
      </c>
      <c r="Q4" s="12">
        <v>5939</v>
      </c>
      <c r="R4" s="15">
        <f t="shared" si="2"/>
        <v>593900</v>
      </c>
      <c r="S4" s="14">
        <v>4976</v>
      </c>
      <c r="T4" s="14">
        <v>22395</v>
      </c>
      <c r="U4" s="16">
        <v>1.2999999999999999E-2</v>
      </c>
      <c r="V4" s="1">
        <f t="shared" si="3"/>
        <v>82.112211221122109</v>
      </c>
      <c r="W4">
        <f>202*30</f>
        <v>6060</v>
      </c>
      <c r="X4" s="13"/>
      <c r="Y4" s="13"/>
    </row>
    <row r="5" spans="1:30" x14ac:dyDescent="0.2">
      <c r="A5" t="s">
        <v>14</v>
      </c>
      <c r="B5" s="9">
        <v>4</v>
      </c>
      <c r="C5" s="9">
        <v>2022</v>
      </c>
      <c r="D5" s="7">
        <v>844622.4</v>
      </c>
      <c r="E5" s="19">
        <v>8.67</v>
      </c>
      <c r="F5" s="7">
        <v>1566</v>
      </c>
      <c r="I5" s="12">
        <v>681505</v>
      </c>
      <c r="J5" s="12">
        <f t="shared" si="0"/>
        <v>6201695.5</v>
      </c>
      <c r="K5" s="7">
        <v>32798</v>
      </c>
      <c r="L5" s="7">
        <v>77.11</v>
      </c>
      <c r="M5" s="12">
        <v>27767</v>
      </c>
      <c r="N5" s="12">
        <f t="shared" si="1"/>
        <v>2082525</v>
      </c>
      <c r="O5" s="7">
        <v>9025</v>
      </c>
      <c r="P5" s="7">
        <v>98</v>
      </c>
      <c r="Q5" s="12">
        <v>5966</v>
      </c>
      <c r="R5" s="15">
        <f t="shared" si="2"/>
        <v>596600</v>
      </c>
      <c r="S5" s="14">
        <v>5001</v>
      </c>
      <c r="T5" s="14">
        <v>21959</v>
      </c>
      <c r="U5" s="18">
        <v>1.2999999999999999E-2</v>
      </c>
      <c r="V5" s="1">
        <f t="shared" si="3"/>
        <v>79.862663685723419</v>
      </c>
      <c r="W5">
        <f t="shared" ref="W5:W15" si="4">202*31</f>
        <v>6262</v>
      </c>
      <c r="X5" s="13"/>
      <c r="Y5" s="13"/>
      <c r="Z5" s="13"/>
      <c r="AA5" s="13"/>
    </row>
    <row r="6" spans="1:30" x14ac:dyDescent="0.2">
      <c r="A6" t="s">
        <v>14</v>
      </c>
      <c r="B6" s="9">
        <v>5</v>
      </c>
      <c r="C6" s="9">
        <v>2022</v>
      </c>
      <c r="D6" s="7">
        <v>866812</v>
      </c>
      <c r="E6" s="19">
        <v>8.65</v>
      </c>
      <c r="F6" s="6">
        <v>1536</v>
      </c>
      <c r="I6" s="12">
        <v>688000</v>
      </c>
      <c r="J6" s="12">
        <f t="shared" si="0"/>
        <v>6260800</v>
      </c>
      <c r="K6" s="10">
        <v>33380</v>
      </c>
      <c r="L6" s="10">
        <v>84.01</v>
      </c>
      <c r="M6" s="12">
        <v>26747</v>
      </c>
      <c r="N6" s="12">
        <f t="shared" si="1"/>
        <v>2006025</v>
      </c>
      <c r="O6" s="7">
        <v>9220</v>
      </c>
      <c r="P6" s="10">
        <v>88</v>
      </c>
      <c r="Q6" s="12">
        <v>5832</v>
      </c>
      <c r="R6" s="15">
        <f t="shared" si="2"/>
        <v>583200</v>
      </c>
      <c r="S6" s="14">
        <v>4855</v>
      </c>
      <c r="T6" s="14">
        <v>16958</v>
      </c>
      <c r="U6" s="18">
        <v>1.2999999999999999E-2</v>
      </c>
      <c r="V6" s="1">
        <f t="shared" si="3"/>
        <v>80.115511551155109</v>
      </c>
      <c r="W6">
        <f>202*30</f>
        <v>6060</v>
      </c>
      <c r="X6" s="13"/>
      <c r="Y6" s="13"/>
      <c r="Z6" s="13"/>
      <c r="AA6" s="13"/>
      <c r="AB6" s="13"/>
    </row>
    <row r="7" spans="1:30" x14ac:dyDescent="0.2">
      <c r="A7" t="s">
        <v>14</v>
      </c>
      <c r="B7" s="9">
        <v>6</v>
      </c>
      <c r="C7" s="9">
        <v>2022</v>
      </c>
      <c r="D7" s="7">
        <v>839147</v>
      </c>
      <c r="E7" s="19">
        <v>8.7200000000000006</v>
      </c>
      <c r="F7" s="6">
        <v>1671</v>
      </c>
      <c r="I7" s="12">
        <v>690505</v>
      </c>
      <c r="J7" s="12">
        <f t="shared" si="0"/>
        <v>6283595.5</v>
      </c>
      <c r="K7" s="7">
        <v>30970</v>
      </c>
      <c r="L7" s="7">
        <v>76.72</v>
      </c>
      <c r="M7" s="12">
        <v>27027</v>
      </c>
      <c r="N7" s="12">
        <f t="shared" si="1"/>
        <v>2027025</v>
      </c>
      <c r="O7" s="7">
        <v>7750</v>
      </c>
      <c r="P7" s="7">
        <v>119.84</v>
      </c>
      <c r="Q7" s="12">
        <v>5991</v>
      </c>
      <c r="R7" s="15">
        <f t="shared" si="2"/>
        <v>599100</v>
      </c>
      <c r="S7" s="14">
        <f>4123+146</f>
        <v>4269</v>
      </c>
      <c r="T7" s="14">
        <v>13038</v>
      </c>
      <c r="U7" s="18">
        <v>1.2999999999999999E-2</v>
      </c>
      <c r="V7" s="1">
        <f t="shared" si="3"/>
        <v>70.445544554455438</v>
      </c>
      <c r="W7">
        <f>202*30</f>
        <v>6060</v>
      </c>
      <c r="X7" s="13"/>
      <c r="Y7" s="13"/>
      <c r="Z7" s="13"/>
      <c r="AA7" s="13"/>
      <c r="AB7" s="13"/>
      <c r="AC7" s="13"/>
      <c r="AD7" s="13"/>
    </row>
    <row r="8" spans="1:30" x14ac:dyDescent="0.2">
      <c r="A8" t="s">
        <v>14</v>
      </c>
      <c r="B8" s="9">
        <v>7</v>
      </c>
      <c r="C8" s="9">
        <v>2022</v>
      </c>
      <c r="D8" s="7">
        <v>812319</v>
      </c>
      <c r="E8" s="19">
        <v>9.9600000000000009</v>
      </c>
      <c r="F8" s="6">
        <v>1449</v>
      </c>
      <c r="I8" s="12">
        <v>692253</v>
      </c>
      <c r="J8" s="12">
        <f t="shared" si="0"/>
        <v>6299502.2999999998</v>
      </c>
      <c r="K8" s="7">
        <v>32809</v>
      </c>
      <c r="L8" s="7">
        <v>90.2</v>
      </c>
      <c r="M8" s="12">
        <v>29639</v>
      </c>
      <c r="N8" s="12">
        <f t="shared" si="1"/>
        <v>2222925</v>
      </c>
      <c r="O8" s="7">
        <v>7372</v>
      </c>
      <c r="P8" s="7">
        <v>101</v>
      </c>
      <c r="Q8" s="12">
        <v>5767</v>
      </c>
      <c r="R8" s="15">
        <f t="shared" si="2"/>
        <v>576700</v>
      </c>
      <c r="S8" s="14">
        <v>3954</v>
      </c>
      <c r="T8" s="14">
        <v>13730</v>
      </c>
      <c r="U8" s="18">
        <v>1.2999999999999999E-2</v>
      </c>
      <c r="V8">
        <f t="shared" si="3"/>
        <v>63.142765889492175</v>
      </c>
      <c r="W8">
        <f t="shared" si="4"/>
        <v>6262</v>
      </c>
      <c r="X8" s="13"/>
      <c r="Y8" s="13"/>
      <c r="Z8" s="13"/>
      <c r="AA8" s="13"/>
      <c r="AB8" s="13"/>
      <c r="AC8" s="13"/>
      <c r="AD8" s="13"/>
    </row>
    <row r="9" spans="1:30" x14ac:dyDescent="0.2">
      <c r="A9" t="s">
        <v>14</v>
      </c>
      <c r="B9" s="9">
        <v>8</v>
      </c>
      <c r="C9" s="9">
        <v>2022</v>
      </c>
      <c r="D9" s="7">
        <v>785651</v>
      </c>
      <c r="E9" s="19">
        <v>9.9600000000000009</v>
      </c>
      <c r="F9" s="6">
        <v>1450</v>
      </c>
      <c r="I9" s="12">
        <v>725198</v>
      </c>
      <c r="J9" s="12">
        <f t="shared" si="0"/>
        <v>6599301.7999999998</v>
      </c>
      <c r="K9" s="7">
        <v>30932</v>
      </c>
      <c r="L9" s="7">
        <v>65.83</v>
      </c>
      <c r="M9" s="12">
        <v>29549</v>
      </c>
      <c r="N9" s="12">
        <f t="shared" si="1"/>
        <v>2216175</v>
      </c>
      <c r="O9" s="7">
        <v>6586</v>
      </c>
      <c r="P9" s="7">
        <v>102.91</v>
      </c>
      <c r="Q9" s="12">
        <v>4698</v>
      </c>
      <c r="R9" s="15">
        <f t="shared" si="2"/>
        <v>469800</v>
      </c>
      <c r="S9" s="14"/>
      <c r="T9" s="14"/>
      <c r="U9" s="18"/>
      <c r="V9">
        <f t="shared" si="3"/>
        <v>0</v>
      </c>
      <c r="W9">
        <f t="shared" si="4"/>
        <v>6262</v>
      </c>
      <c r="X9" s="13"/>
      <c r="Y9" s="13"/>
      <c r="Z9" s="13"/>
      <c r="AA9" s="13"/>
      <c r="AB9" s="13"/>
      <c r="AC9" s="13"/>
      <c r="AD9" s="13"/>
    </row>
    <row r="10" spans="1:30" x14ac:dyDescent="0.2">
      <c r="A10" t="s">
        <v>14</v>
      </c>
      <c r="B10" s="9">
        <v>9</v>
      </c>
      <c r="C10" s="9">
        <v>2022</v>
      </c>
      <c r="D10" s="7"/>
      <c r="E10" s="19"/>
      <c r="I10" s="12">
        <v>706253</v>
      </c>
      <c r="J10" s="12">
        <f t="shared" si="0"/>
        <v>6426902.2999999998</v>
      </c>
      <c r="K10" s="7"/>
      <c r="L10" s="7"/>
      <c r="M10" s="12">
        <v>29075</v>
      </c>
      <c r="N10" s="12">
        <f t="shared" si="1"/>
        <v>2180625</v>
      </c>
      <c r="O10" s="7"/>
      <c r="P10" s="7"/>
      <c r="Q10" s="12">
        <v>6437</v>
      </c>
      <c r="R10" s="15">
        <f t="shared" si="2"/>
        <v>643700</v>
      </c>
      <c r="T10" s="14"/>
      <c r="U10" s="18"/>
      <c r="V10">
        <f t="shared" si="3"/>
        <v>0</v>
      </c>
      <c r="W10">
        <f>202*30</f>
        <v>6060</v>
      </c>
    </row>
    <row r="11" spans="1:30" x14ac:dyDescent="0.2">
      <c r="A11" t="s">
        <v>14</v>
      </c>
      <c r="B11" s="9">
        <v>10</v>
      </c>
      <c r="C11" s="9">
        <v>2022</v>
      </c>
      <c r="D11" s="7"/>
      <c r="E11" s="7"/>
      <c r="I11" s="12">
        <v>761000</v>
      </c>
      <c r="J11" s="12">
        <f t="shared" si="0"/>
        <v>6925100</v>
      </c>
      <c r="K11" s="7"/>
      <c r="L11" s="7"/>
      <c r="M11" s="12">
        <v>30959</v>
      </c>
      <c r="N11" s="12">
        <f t="shared" si="1"/>
        <v>2321925</v>
      </c>
      <c r="O11" s="7"/>
      <c r="P11" s="7"/>
      <c r="Q11" s="12">
        <v>6558</v>
      </c>
      <c r="R11" s="15">
        <f t="shared" si="2"/>
        <v>655800</v>
      </c>
      <c r="V11">
        <f t="shared" si="3"/>
        <v>0</v>
      </c>
      <c r="W11">
        <f t="shared" si="4"/>
        <v>6262</v>
      </c>
    </row>
    <row r="12" spans="1:30" x14ac:dyDescent="0.2">
      <c r="A12" t="s">
        <v>14</v>
      </c>
      <c r="B12" s="9">
        <v>11</v>
      </c>
      <c r="C12" s="9">
        <v>2022</v>
      </c>
      <c r="D12" s="7"/>
      <c r="E12" s="7"/>
      <c r="I12" s="12">
        <v>777121</v>
      </c>
      <c r="J12" s="12">
        <f t="shared" si="0"/>
        <v>7071801.0999999996</v>
      </c>
      <c r="K12" s="7"/>
      <c r="L12" s="7"/>
      <c r="M12" s="12">
        <v>29811</v>
      </c>
      <c r="N12" s="12">
        <f t="shared" si="1"/>
        <v>2235825</v>
      </c>
      <c r="O12" s="7"/>
      <c r="P12" s="7"/>
      <c r="Q12" s="12">
        <v>5128</v>
      </c>
      <c r="R12" s="15">
        <f t="shared" si="2"/>
        <v>512800</v>
      </c>
      <c r="V12">
        <f t="shared" si="3"/>
        <v>0</v>
      </c>
      <c r="W12">
        <f>202*30</f>
        <v>6060</v>
      </c>
    </row>
    <row r="13" spans="1:30" x14ac:dyDescent="0.2">
      <c r="A13" t="s">
        <v>14</v>
      </c>
      <c r="B13" s="9">
        <v>12</v>
      </c>
      <c r="C13" s="9">
        <v>2022</v>
      </c>
      <c r="D13" s="7"/>
      <c r="E13" s="7"/>
      <c r="I13" s="12">
        <v>692770</v>
      </c>
      <c r="J13" s="12">
        <f t="shared" si="0"/>
        <v>6304207</v>
      </c>
      <c r="K13" s="7"/>
      <c r="L13" s="7"/>
      <c r="M13" s="12">
        <v>31555</v>
      </c>
      <c r="N13" s="12">
        <f t="shared" si="1"/>
        <v>2366625</v>
      </c>
      <c r="O13" s="7"/>
      <c r="P13" s="7"/>
      <c r="Q13" s="12">
        <v>4856</v>
      </c>
      <c r="R13" s="15">
        <f t="shared" si="2"/>
        <v>485600</v>
      </c>
      <c r="V13">
        <f t="shared" si="3"/>
        <v>0</v>
      </c>
      <c r="W13">
        <f t="shared" si="4"/>
        <v>6262</v>
      </c>
    </row>
    <row r="14" spans="1:30" x14ac:dyDescent="0.2">
      <c r="B14" s="1"/>
      <c r="C14" s="1"/>
      <c r="D14" s="7"/>
      <c r="E14" s="7"/>
      <c r="I14" s="7"/>
      <c r="J14" s="7"/>
      <c r="K14" s="7"/>
      <c r="M14" s="7"/>
      <c r="N14" s="7"/>
      <c r="O14" s="7"/>
      <c r="P14" s="7"/>
      <c r="Q14" s="7"/>
      <c r="V14">
        <f t="shared" si="3"/>
        <v>0</v>
      </c>
      <c r="W14">
        <f t="shared" si="4"/>
        <v>6262</v>
      </c>
    </row>
    <row r="15" spans="1:30" x14ac:dyDescent="0.2">
      <c r="B15" s="1"/>
      <c r="C15" s="1"/>
      <c r="D15" s="7"/>
      <c r="E15" s="7"/>
      <c r="I15" s="7"/>
      <c r="J15" s="7"/>
      <c r="K15" s="7"/>
      <c r="M15" s="7"/>
      <c r="N15" s="7"/>
      <c r="O15" s="7"/>
      <c r="P15" s="7"/>
      <c r="Q15" s="7"/>
      <c r="V15">
        <f t="shared" si="3"/>
        <v>0</v>
      </c>
      <c r="W15">
        <f t="shared" si="4"/>
        <v>6262</v>
      </c>
    </row>
    <row r="16" spans="1:30" x14ac:dyDescent="0.2">
      <c r="B16" s="1"/>
      <c r="C16" s="1"/>
      <c r="D16" s="7"/>
      <c r="E16" s="7"/>
      <c r="I16" s="7"/>
      <c r="J16" s="7"/>
      <c r="K16" s="7"/>
      <c r="M16" s="7"/>
      <c r="N16" s="7"/>
      <c r="O16" s="7"/>
      <c r="P16" s="7"/>
      <c r="Q16" s="7"/>
    </row>
    <row r="17" spans="2:19" x14ac:dyDescent="0.2">
      <c r="B17" s="1"/>
      <c r="C17" s="1"/>
      <c r="D17" s="7">
        <f>D9/31</f>
        <v>25343.580645161292</v>
      </c>
      <c r="E17" s="7"/>
      <c r="I17" s="7"/>
      <c r="J17" s="7"/>
      <c r="K17" s="7"/>
      <c r="M17" s="7"/>
      <c r="N17" s="7"/>
      <c r="O17" s="7"/>
      <c r="P17" s="7"/>
      <c r="Q17" s="7"/>
    </row>
    <row r="18" spans="2:19" x14ac:dyDescent="0.2">
      <c r="B18" s="1"/>
      <c r="C18" s="1"/>
      <c r="D18" s="7"/>
      <c r="E18" s="7"/>
      <c r="I18" s="7"/>
      <c r="J18" s="7"/>
      <c r="K18" s="7"/>
      <c r="M18" s="7"/>
      <c r="N18" s="7"/>
      <c r="O18" s="7"/>
      <c r="P18" s="7"/>
      <c r="Q18" s="7"/>
    </row>
    <row r="19" spans="2:19" x14ac:dyDescent="0.2">
      <c r="B19" s="1"/>
      <c r="C19" s="1"/>
      <c r="D19" s="7"/>
      <c r="E19" s="7"/>
      <c r="I19" s="7"/>
      <c r="J19" s="7"/>
      <c r="K19" s="7"/>
      <c r="M19" s="7"/>
      <c r="N19" s="7"/>
      <c r="O19" s="7"/>
      <c r="P19" s="7"/>
      <c r="Q19" s="7"/>
    </row>
    <row r="20" spans="2:19" x14ac:dyDescent="0.2">
      <c r="B20" s="1"/>
      <c r="C20" s="1"/>
      <c r="D20" s="7"/>
      <c r="E20" s="7"/>
      <c r="I20" s="7"/>
      <c r="J20" s="7"/>
      <c r="K20" s="7"/>
      <c r="M20" s="7"/>
      <c r="N20" s="7"/>
      <c r="O20" s="7"/>
      <c r="P20" s="7"/>
      <c r="Q20" s="7"/>
    </row>
    <row r="21" spans="2:19" x14ac:dyDescent="0.2">
      <c r="B21" s="1"/>
      <c r="C21" s="1"/>
      <c r="D21" s="7"/>
      <c r="E21" s="7"/>
      <c r="I21" s="7"/>
      <c r="J21" s="7"/>
      <c r="K21" s="7"/>
      <c r="M21" s="7"/>
      <c r="N21" s="7"/>
      <c r="O21" s="7"/>
      <c r="P21" s="7"/>
      <c r="Q21" s="7"/>
    </row>
    <row r="22" spans="2:19" x14ac:dyDescent="0.2">
      <c r="B22" s="1"/>
      <c r="C22" s="1"/>
      <c r="D22" s="7"/>
      <c r="E22" s="7"/>
      <c r="I22" s="7"/>
      <c r="J22" s="7"/>
      <c r="K22" s="7"/>
      <c r="M22" s="7"/>
      <c r="N22" s="7"/>
      <c r="O22" s="7"/>
      <c r="P22" s="7"/>
      <c r="Q22" s="7"/>
    </row>
    <row r="23" spans="2:19" x14ac:dyDescent="0.2">
      <c r="B23" s="1"/>
      <c r="C23" s="1"/>
      <c r="D23" s="7"/>
      <c r="E23" s="7"/>
      <c r="I23" s="7"/>
      <c r="J23" s="7"/>
      <c r="K23" s="7"/>
      <c r="M23" s="7"/>
      <c r="N23" s="7"/>
      <c r="O23" s="7"/>
      <c r="P23" s="7"/>
      <c r="Q23" s="7"/>
      <c r="S23" s="7">
        <v>51.676780581283936</v>
      </c>
    </row>
    <row r="24" spans="2:19" x14ac:dyDescent="0.2">
      <c r="B24" s="1"/>
      <c r="C24" s="1"/>
      <c r="D24" s="7"/>
      <c r="E24" s="7"/>
      <c r="I24" s="7"/>
      <c r="J24" s="7"/>
      <c r="K24" s="7"/>
      <c r="M24" s="7"/>
      <c r="N24" s="7"/>
      <c r="O24" s="7"/>
      <c r="P24" s="7"/>
      <c r="Q24" s="7"/>
      <c r="S24" s="7">
        <v>76.414427157001413</v>
      </c>
    </row>
    <row r="25" spans="2:19" x14ac:dyDescent="0.2">
      <c r="B25" s="1"/>
      <c r="C25" s="1"/>
      <c r="D25" s="7"/>
      <c r="E25" s="7"/>
      <c r="I25" s="7"/>
      <c r="J25" s="7"/>
      <c r="K25" s="7"/>
      <c r="M25" s="7"/>
      <c r="N25" s="7"/>
      <c r="O25" s="7"/>
      <c r="P25" s="7"/>
      <c r="Q25" s="7"/>
      <c r="S25" s="7">
        <v>82.112211221122109</v>
      </c>
    </row>
    <row r="26" spans="2:19" x14ac:dyDescent="0.2">
      <c r="B26" s="1"/>
      <c r="C26" s="1"/>
      <c r="D26" s="7"/>
      <c r="E26" s="7"/>
      <c r="I26" s="7"/>
      <c r="J26" s="7"/>
      <c r="K26" s="7"/>
      <c r="M26" s="7"/>
      <c r="N26" s="7"/>
      <c r="O26" s="7"/>
      <c r="P26" s="7"/>
      <c r="Q26" s="7"/>
      <c r="S26" s="7">
        <v>79.862663685723419</v>
      </c>
    </row>
    <row r="27" spans="2:19" x14ac:dyDescent="0.2">
      <c r="B27" s="1"/>
      <c r="C27" s="1"/>
      <c r="D27" s="7"/>
      <c r="E27" s="7"/>
      <c r="I27" s="7"/>
      <c r="J27" s="7"/>
      <c r="K27" s="7"/>
      <c r="M27" s="7"/>
      <c r="N27" s="7"/>
      <c r="O27" s="7"/>
      <c r="P27" s="7"/>
      <c r="Q27" s="7"/>
      <c r="S27" s="7">
        <v>80.115511551155109</v>
      </c>
    </row>
    <row r="28" spans="2:19" x14ac:dyDescent="0.2">
      <c r="B28" s="1"/>
      <c r="C28" s="1"/>
      <c r="D28" s="7"/>
      <c r="E28" s="7"/>
      <c r="I28" s="7"/>
      <c r="J28" s="7"/>
      <c r="K28" s="7"/>
      <c r="M28" s="7"/>
      <c r="N28" s="7"/>
      <c r="O28" s="7"/>
      <c r="P28" s="7"/>
      <c r="Q28" s="7"/>
      <c r="S28" s="7">
        <v>70.445544554455438</v>
      </c>
    </row>
    <row r="29" spans="2:19" x14ac:dyDescent="0.2">
      <c r="B29" s="1"/>
      <c r="C29" s="1"/>
      <c r="D29" s="7"/>
      <c r="E29" s="7"/>
      <c r="I29" s="7"/>
      <c r="J29" s="7"/>
      <c r="K29" s="7"/>
      <c r="M29" s="7"/>
      <c r="N29" s="7"/>
      <c r="O29" s="7"/>
      <c r="P29" s="7"/>
      <c r="Q29" s="7"/>
    </row>
    <row r="30" spans="2:19" x14ac:dyDescent="0.2">
      <c r="B30" s="1"/>
      <c r="C30" s="1"/>
      <c r="D30" s="7"/>
      <c r="E30" s="7"/>
      <c r="I30" s="7"/>
      <c r="J30" s="7"/>
      <c r="K30" s="7"/>
      <c r="M30" s="7"/>
      <c r="N30" s="7"/>
      <c r="O30" s="7"/>
      <c r="P30" s="7"/>
      <c r="Q30" s="7"/>
    </row>
    <row r="31" spans="2:19" x14ac:dyDescent="0.2">
      <c r="B31" s="1"/>
      <c r="C31" s="1"/>
      <c r="D31" s="7"/>
      <c r="E31" s="7"/>
      <c r="I31" s="7"/>
      <c r="J31" s="7"/>
      <c r="K31" s="7"/>
      <c r="M31" s="7"/>
      <c r="N31" s="7"/>
      <c r="O31" s="7"/>
      <c r="P31" s="7"/>
      <c r="Q31" s="7"/>
    </row>
    <row r="32" spans="2:19" x14ac:dyDescent="0.2">
      <c r="B32" s="1"/>
      <c r="C32" s="1"/>
      <c r="D32" s="7"/>
      <c r="E32" s="7"/>
      <c r="I32" s="7"/>
      <c r="J32" s="7"/>
      <c r="K32" s="7"/>
      <c r="M32" s="7"/>
      <c r="N32" s="7"/>
      <c r="O32" s="7"/>
      <c r="P32" s="7"/>
      <c r="Q32" s="7"/>
    </row>
    <row r="33" spans="2:17" x14ac:dyDescent="0.2">
      <c r="B33" s="1"/>
      <c r="C33" s="1"/>
      <c r="D33" s="7"/>
      <c r="E33" s="7"/>
      <c r="I33" s="7"/>
      <c r="J33" s="7"/>
      <c r="K33" s="7"/>
      <c r="M33" s="7"/>
      <c r="N33" s="7"/>
      <c r="O33" s="7"/>
      <c r="P33" s="7"/>
      <c r="Q33" s="7"/>
    </row>
    <row r="34" spans="2:17" x14ac:dyDescent="0.2">
      <c r="B34" s="1"/>
      <c r="C34" s="1"/>
      <c r="D34" s="7"/>
      <c r="E34" s="7"/>
      <c r="I34" s="7"/>
      <c r="J34" s="7"/>
      <c r="K34" s="7"/>
      <c r="M34" s="7"/>
      <c r="N34" s="7"/>
      <c r="O34" s="7"/>
      <c r="P34" s="7"/>
      <c r="Q34" s="7"/>
    </row>
    <row r="35" spans="2:17" x14ac:dyDescent="0.2">
      <c r="B35" s="1"/>
      <c r="C35" s="1"/>
      <c r="D35" s="7"/>
      <c r="E35" s="7"/>
      <c r="I35" s="7"/>
      <c r="J35" s="7"/>
      <c r="K35" s="7"/>
      <c r="M35" s="7"/>
      <c r="N35" s="7"/>
      <c r="O35" s="7"/>
      <c r="P35" s="7"/>
      <c r="Q35" s="7"/>
    </row>
    <row r="36" spans="2:17" x14ac:dyDescent="0.2">
      <c r="B36" s="1"/>
      <c r="C36" s="1"/>
      <c r="D36" s="7"/>
      <c r="E36" s="7"/>
      <c r="I36" s="7"/>
      <c r="J36" s="7"/>
      <c r="K36" s="7"/>
      <c r="M36" s="7"/>
      <c r="N36" s="7"/>
      <c r="O36" s="7"/>
      <c r="P36" s="7"/>
      <c r="Q36" s="7"/>
    </row>
    <row r="37" spans="2:17" x14ac:dyDescent="0.2">
      <c r="B37" s="1"/>
      <c r="C37" s="1"/>
      <c r="D37" s="7"/>
      <c r="E37" s="7"/>
      <c r="I37" s="7"/>
      <c r="J37" s="7"/>
      <c r="K37" s="7"/>
      <c r="M37" s="7"/>
      <c r="N37" s="7"/>
      <c r="O37" s="7"/>
      <c r="P37" s="7"/>
      <c r="Q37" s="7"/>
    </row>
    <row r="38" spans="2:17" x14ac:dyDescent="0.2">
      <c r="B38" s="1"/>
      <c r="C38" s="1"/>
      <c r="D38" s="7"/>
      <c r="E38" s="7"/>
      <c r="I38" s="7"/>
      <c r="J38" s="7"/>
      <c r="K38" s="7"/>
      <c r="M38" s="7"/>
      <c r="N38" s="7"/>
      <c r="O38" s="7"/>
      <c r="P38" s="7"/>
      <c r="Q38" s="7"/>
    </row>
    <row r="39" spans="2:17" x14ac:dyDescent="0.2">
      <c r="B39" s="1"/>
      <c r="C39" s="1"/>
      <c r="D39" s="7"/>
      <c r="E39" s="7"/>
      <c r="I39" s="7"/>
      <c r="J39" s="7"/>
      <c r="K39" s="7"/>
      <c r="M39" s="7"/>
      <c r="N39" s="7"/>
      <c r="O39" s="7"/>
      <c r="P39" s="7"/>
      <c r="Q39" s="7"/>
    </row>
    <row r="40" spans="2:17" x14ac:dyDescent="0.2">
      <c r="B40" s="1"/>
      <c r="C40" s="1"/>
      <c r="D40" s="7"/>
      <c r="E40" s="7"/>
      <c r="I40" s="7"/>
      <c r="J40" s="7"/>
      <c r="K40" s="7"/>
      <c r="M40" s="7"/>
      <c r="N40" s="7"/>
      <c r="O40" s="7"/>
      <c r="P40" s="7"/>
      <c r="Q40" s="7"/>
    </row>
    <row r="41" spans="2:17" x14ac:dyDescent="0.2">
      <c r="B41" s="1"/>
      <c r="C41" s="1"/>
      <c r="D41" s="7"/>
      <c r="E41" s="7"/>
      <c r="I41" s="7"/>
      <c r="J41" s="7"/>
      <c r="K41" s="7"/>
      <c r="M41" s="7"/>
      <c r="N41" s="7"/>
      <c r="O41" s="7"/>
      <c r="P41" s="7"/>
      <c r="Q41" s="7"/>
    </row>
    <row r="42" spans="2:17" x14ac:dyDescent="0.2">
      <c r="B42" s="1"/>
      <c r="C42" s="1"/>
      <c r="D42" s="7"/>
      <c r="E42" s="7"/>
      <c r="I42" s="7"/>
      <c r="J42" s="7"/>
      <c r="K42" s="7"/>
      <c r="M42" s="7"/>
      <c r="N42" s="7"/>
      <c r="O42" s="7"/>
      <c r="P42" s="7"/>
      <c r="Q42" s="7"/>
    </row>
    <row r="43" spans="2:17" x14ac:dyDescent="0.2">
      <c r="B43" s="1"/>
      <c r="C43" s="1"/>
      <c r="D43" s="7"/>
      <c r="E43" s="7"/>
      <c r="I43" s="7"/>
      <c r="J43" s="7"/>
      <c r="K43" s="7"/>
      <c r="M43" s="7"/>
      <c r="N43" s="7"/>
      <c r="O43" s="7"/>
      <c r="P43" s="7"/>
      <c r="Q43" s="7"/>
    </row>
    <row r="44" spans="2:17" x14ac:dyDescent="0.2">
      <c r="B44" s="1"/>
      <c r="C44" s="1"/>
      <c r="D44" s="7"/>
      <c r="E44" s="7"/>
      <c r="I44" s="7"/>
      <c r="J44" s="7"/>
      <c r="K44" s="7"/>
      <c r="M44" s="7"/>
      <c r="N44" s="7"/>
      <c r="O44" s="7"/>
      <c r="P44" s="7"/>
      <c r="Q44" s="7"/>
    </row>
    <row r="45" spans="2:17" x14ac:dyDescent="0.2">
      <c r="B45" s="1"/>
      <c r="C45" s="1"/>
      <c r="D45" s="7"/>
      <c r="E45" s="7"/>
      <c r="I45" s="7"/>
      <c r="J45" s="7"/>
      <c r="K45" s="7"/>
      <c r="M45" s="7"/>
      <c r="N45" s="7"/>
      <c r="O45" s="7"/>
      <c r="P45" s="7"/>
      <c r="Q45" s="7"/>
    </row>
    <row r="46" spans="2:17" x14ac:dyDescent="0.2">
      <c r="B46" s="1"/>
      <c r="C46" s="1"/>
      <c r="D46" s="7"/>
      <c r="E46" s="7"/>
      <c r="I46" s="7"/>
      <c r="J46" s="7"/>
      <c r="K46" s="7"/>
      <c r="M46" s="7"/>
      <c r="N46" s="7"/>
      <c r="O46" s="7"/>
      <c r="P46" s="7"/>
      <c r="Q46" s="7"/>
    </row>
    <row r="47" spans="2:17" x14ac:dyDescent="0.2">
      <c r="B47" s="1"/>
      <c r="C47" s="1"/>
      <c r="D47" s="7"/>
      <c r="E47" s="7"/>
      <c r="I47" s="7"/>
      <c r="J47" s="7"/>
      <c r="K47" s="7"/>
      <c r="M47" s="7"/>
      <c r="N47" s="7"/>
      <c r="O47" s="7"/>
      <c r="P47" s="7"/>
      <c r="Q47" s="7"/>
    </row>
    <row r="48" spans="2:17" x14ac:dyDescent="0.2">
      <c r="B48" s="1"/>
      <c r="C48" s="1"/>
      <c r="D48" s="7"/>
      <c r="E48" s="7"/>
      <c r="I48" s="7"/>
      <c r="J48" s="7"/>
      <c r="K48" s="7"/>
      <c r="M48" s="7"/>
      <c r="N48" s="7"/>
      <c r="O48" s="7"/>
      <c r="P48" s="7"/>
      <c r="Q48" s="7"/>
    </row>
    <row r="49" spans="2:17" x14ac:dyDescent="0.2">
      <c r="B49" s="1"/>
      <c r="C49" s="1"/>
      <c r="D49" s="7"/>
      <c r="E49" s="7"/>
      <c r="I49" s="7"/>
      <c r="J49" s="7"/>
      <c r="K49" s="7"/>
      <c r="M49" s="7"/>
      <c r="N49" s="7"/>
      <c r="O49" s="7"/>
      <c r="P49" s="7"/>
      <c r="Q49" s="7"/>
    </row>
    <row r="50" spans="2:17" x14ac:dyDescent="0.2">
      <c r="B50" s="1"/>
      <c r="C50" s="1"/>
      <c r="D50" s="7"/>
      <c r="E50" s="7"/>
      <c r="I50" s="7"/>
      <c r="J50" s="7"/>
      <c r="K50" s="7"/>
      <c r="M50" s="7"/>
      <c r="N50" s="7"/>
      <c r="O50" s="7"/>
      <c r="P50" s="7"/>
      <c r="Q50" s="7"/>
    </row>
    <row r="51" spans="2:17" x14ac:dyDescent="0.2">
      <c r="B51" s="1"/>
      <c r="C51" s="1"/>
      <c r="D51" s="7"/>
      <c r="E51" s="7"/>
      <c r="I51" s="7"/>
      <c r="J51" s="7"/>
      <c r="K51" s="7"/>
      <c r="M51" s="7"/>
      <c r="N51" s="7"/>
      <c r="O51" s="7"/>
      <c r="P51" s="7"/>
      <c r="Q51" s="7"/>
    </row>
    <row r="52" spans="2:17" x14ac:dyDescent="0.2">
      <c r="B52" s="1"/>
      <c r="C52" s="1"/>
      <c r="D52" s="7"/>
      <c r="E52" s="7"/>
      <c r="I52" s="7"/>
      <c r="J52" s="7"/>
      <c r="K52" s="7"/>
      <c r="M52" s="7"/>
      <c r="N52" s="7"/>
      <c r="O52" s="7"/>
      <c r="P52" s="7"/>
      <c r="Q52" s="7"/>
    </row>
    <row r="53" spans="2:17" x14ac:dyDescent="0.2">
      <c r="B53" s="1"/>
      <c r="C53" s="1"/>
      <c r="D53" s="7"/>
      <c r="E53" s="7"/>
      <c r="I53" s="7"/>
      <c r="J53" s="7"/>
      <c r="K53" s="7"/>
      <c r="M53" s="7"/>
      <c r="N53" s="7"/>
      <c r="O53" s="7"/>
      <c r="P53" s="7"/>
      <c r="Q53" s="7"/>
    </row>
    <row r="54" spans="2:17" x14ac:dyDescent="0.2">
      <c r="B54" s="1"/>
      <c r="C54" s="1"/>
      <c r="D54" s="7"/>
      <c r="E54" s="7"/>
      <c r="I54" s="7"/>
      <c r="J54" s="7"/>
      <c r="K54" s="7"/>
      <c r="M54" s="7"/>
      <c r="N54" s="7"/>
      <c r="O54" s="7"/>
      <c r="P54" s="7"/>
      <c r="Q54" s="7"/>
    </row>
    <row r="55" spans="2:17" x14ac:dyDescent="0.2">
      <c r="B55" s="1"/>
      <c r="C55" s="1"/>
      <c r="D55" s="7"/>
      <c r="E55" s="7"/>
      <c r="I55" s="7"/>
      <c r="J55" s="7"/>
      <c r="K55" s="7"/>
      <c r="M55" s="7"/>
      <c r="N55" s="7"/>
      <c r="O55" s="7"/>
      <c r="P55" s="7"/>
      <c r="Q55" s="7"/>
    </row>
    <row r="56" spans="2:17" x14ac:dyDescent="0.2">
      <c r="B56" s="1"/>
      <c r="C56" s="1"/>
      <c r="D56" s="7"/>
      <c r="E56" s="7"/>
      <c r="I56" s="7"/>
      <c r="J56" s="7"/>
      <c r="K56" s="7"/>
      <c r="M56" s="7"/>
      <c r="N56" s="7"/>
      <c r="O56" s="7"/>
      <c r="P56" s="7"/>
      <c r="Q56" s="7"/>
    </row>
    <row r="57" spans="2:17" x14ac:dyDescent="0.2">
      <c r="B57" s="1"/>
      <c r="C57" s="1"/>
      <c r="D57" s="7"/>
      <c r="E57" s="7"/>
      <c r="I57" s="7"/>
      <c r="J57" s="7"/>
      <c r="K57" s="7"/>
      <c r="M57" s="7"/>
      <c r="N57" s="7"/>
      <c r="O57" s="7"/>
      <c r="P57" s="7"/>
      <c r="Q57" s="7"/>
    </row>
    <row r="58" spans="2:17" x14ac:dyDescent="0.2">
      <c r="B58" s="1"/>
      <c r="C58" s="1"/>
      <c r="D58" s="7"/>
      <c r="E58" s="7"/>
      <c r="I58" s="7"/>
      <c r="J58" s="7"/>
      <c r="K58" s="7"/>
      <c r="M58" s="7"/>
      <c r="N58" s="7"/>
      <c r="O58" s="7"/>
      <c r="P58" s="7"/>
      <c r="Q58" s="7"/>
    </row>
    <row r="59" spans="2:17" x14ac:dyDescent="0.2">
      <c r="B59" s="1"/>
      <c r="C59" s="1"/>
      <c r="D59" s="7"/>
      <c r="E59" s="7"/>
      <c r="I59" s="7"/>
      <c r="J59" s="7"/>
      <c r="K59" s="7"/>
      <c r="M59" s="7"/>
      <c r="N59" s="7"/>
      <c r="O59" s="7"/>
      <c r="P59" s="7"/>
      <c r="Q59" s="7"/>
    </row>
    <row r="60" spans="2:17" x14ac:dyDescent="0.2">
      <c r="B60" s="1"/>
      <c r="C60" s="1"/>
      <c r="D60" s="7"/>
      <c r="E60" s="7"/>
      <c r="I60" s="7"/>
      <c r="J60" s="7"/>
      <c r="K60" s="7"/>
      <c r="M60" s="7"/>
      <c r="N60" s="7"/>
      <c r="O60" s="7"/>
      <c r="P60" s="7"/>
      <c r="Q60" s="7"/>
    </row>
    <row r="61" spans="2:17" x14ac:dyDescent="0.2">
      <c r="B61" s="1"/>
      <c r="C61" s="1"/>
      <c r="D61" s="7"/>
      <c r="E61" s="7"/>
      <c r="I61" s="7"/>
      <c r="J61" s="7"/>
      <c r="K61" s="7"/>
      <c r="M61" s="7"/>
      <c r="N61" s="7"/>
      <c r="O61" s="7"/>
      <c r="P61" s="7"/>
      <c r="Q61" s="7"/>
    </row>
    <row r="62" spans="2:17" x14ac:dyDescent="0.2">
      <c r="B62" s="1"/>
      <c r="C62" s="1"/>
      <c r="D62" s="7"/>
      <c r="E62" s="7"/>
      <c r="I62" s="7"/>
      <c r="J62" s="7"/>
      <c r="K62" s="7"/>
      <c r="M62" s="7"/>
      <c r="N62" s="7"/>
      <c r="O62" s="7"/>
      <c r="P62" s="7"/>
      <c r="Q62" s="7"/>
    </row>
    <row r="63" spans="2:17" x14ac:dyDescent="0.2">
      <c r="B63" s="1"/>
      <c r="C63" s="1"/>
      <c r="D63" s="7"/>
      <c r="E63" s="7"/>
      <c r="I63" s="7"/>
      <c r="J63" s="7"/>
      <c r="K63" s="7"/>
      <c r="M63" s="7"/>
      <c r="N63" s="7"/>
      <c r="O63" s="7"/>
      <c r="P63" s="7"/>
      <c r="Q63" s="7"/>
    </row>
    <row r="64" spans="2:17" x14ac:dyDescent="0.2">
      <c r="B64" s="1"/>
      <c r="C64" s="1"/>
      <c r="D64" s="7"/>
      <c r="E64" s="7"/>
      <c r="I64" s="7"/>
      <c r="J64" s="7"/>
      <c r="K64" s="7"/>
      <c r="M64" s="7"/>
      <c r="N64" s="7"/>
      <c r="O64" s="7"/>
      <c r="P64" s="7"/>
      <c r="Q64" s="7"/>
    </row>
    <row r="65" spans="2:17" x14ac:dyDescent="0.2">
      <c r="B65" s="1"/>
      <c r="C65" s="1"/>
      <c r="D65" s="7"/>
      <c r="E65" s="7"/>
      <c r="I65" s="7"/>
      <c r="J65" s="7"/>
      <c r="K65" s="7"/>
      <c r="M65" s="7"/>
      <c r="N65" s="7"/>
      <c r="O65" s="7"/>
      <c r="P65" s="7"/>
      <c r="Q65" s="7"/>
    </row>
    <row r="66" spans="2:17" x14ac:dyDescent="0.2">
      <c r="B66" s="1"/>
      <c r="C66" s="1"/>
      <c r="D66" s="7"/>
      <c r="E66" s="7"/>
      <c r="I66" s="7"/>
      <c r="J66" s="7"/>
      <c r="K66" s="7"/>
      <c r="M66" s="7"/>
      <c r="N66" s="7"/>
      <c r="O66" s="7"/>
      <c r="P66" s="7"/>
      <c r="Q66" s="7"/>
    </row>
    <row r="67" spans="2:17" x14ac:dyDescent="0.2">
      <c r="B67" s="1"/>
      <c r="C67" s="1"/>
      <c r="D67" s="7"/>
      <c r="E67" s="7"/>
      <c r="I67" s="7"/>
      <c r="J67" s="7"/>
      <c r="K67" s="7"/>
      <c r="M67" s="7"/>
      <c r="N67" s="7"/>
      <c r="O67" s="7"/>
      <c r="P67" s="7"/>
      <c r="Q67" s="7"/>
    </row>
    <row r="68" spans="2:17" x14ac:dyDescent="0.2">
      <c r="B68" s="1"/>
      <c r="C68" s="1"/>
      <c r="D68" s="7"/>
      <c r="E68" s="7"/>
      <c r="I68" s="7"/>
      <c r="J68" s="7"/>
      <c r="K68" s="7"/>
      <c r="M68" s="7"/>
      <c r="N68" s="7"/>
      <c r="O68" s="7"/>
      <c r="P68" s="7"/>
      <c r="Q68" s="7"/>
    </row>
    <row r="69" spans="2:17" x14ac:dyDescent="0.2">
      <c r="B69" s="1"/>
      <c r="C69" s="1"/>
      <c r="D69" s="7"/>
      <c r="E69" s="7"/>
      <c r="I69" s="7"/>
      <c r="J69" s="7"/>
      <c r="K69" s="7"/>
      <c r="M69" s="7"/>
      <c r="N69" s="7"/>
      <c r="O69" s="7"/>
      <c r="P69" s="7"/>
      <c r="Q69" s="7"/>
    </row>
    <row r="70" spans="2:17" x14ac:dyDescent="0.2">
      <c r="B70" s="1"/>
      <c r="C70" s="1"/>
      <c r="D70" s="7"/>
      <c r="E70" s="7"/>
      <c r="I70" s="7"/>
      <c r="J70" s="7"/>
      <c r="K70" s="7"/>
      <c r="M70" s="7"/>
      <c r="N70" s="7"/>
      <c r="O70" s="7"/>
      <c r="P70" s="7"/>
      <c r="Q70" s="7"/>
    </row>
    <row r="71" spans="2:17" x14ac:dyDescent="0.2">
      <c r="B71" s="1"/>
      <c r="C71" s="1"/>
      <c r="D71" s="7"/>
      <c r="E71" s="7"/>
      <c r="I71" s="7"/>
      <c r="J71" s="7"/>
      <c r="K71" s="7"/>
      <c r="M71" s="7"/>
      <c r="N71" s="7"/>
      <c r="O71" s="7"/>
      <c r="P71" s="7"/>
      <c r="Q71" s="7"/>
    </row>
    <row r="72" spans="2:17" x14ac:dyDescent="0.2">
      <c r="B72" s="1"/>
      <c r="C72" s="1"/>
      <c r="D72" s="7"/>
      <c r="E72" s="7"/>
      <c r="I72" s="7"/>
      <c r="J72" s="7"/>
      <c r="K72" s="7"/>
      <c r="M72" s="7"/>
      <c r="N72" s="7"/>
      <c r="O72" s="7"/>
      <c r="P72" s="7"/>
      <c r="Q72" s="7"/>
    </row>
    <row r="73" spans="2:17" x14ac:dyDescent="0.2">
      <c r="B73" s="1"/>
      <c r="C73" s="1"/>
      <c r="D73" s="7"/>
      <c r="E73" s="7"/>
      <c r="I73" s="7"/>
      <c r="J73" s="7"/>
      <c r="K73" s="7"/>
      <c r="M73" s="7"/>
      <c r="N73" s="7"/>
      <c r="O73" s="7"/>
      <c r="P73" s="7"/>
      <c r="Q73" s="7"/>
    </row>
    <row r="74" spans="2:17" x14ac:dyDescent="0.2">
      <c r="B74" s="1"/>
      <c r="C74" s="1"/>
      <c r="D74" s="7"/>
      <c r="E74" s="7"/>
      <c r="I74" s="7"/>
      <c r="J74" s="7"/>
      <c r="K74" s="7"/>
      <c r="M74" s="7"/>
      <c r="N74" s="7"/>
      <c r="O74" s="7"/>
      <c r="P74" s="7"/>
      <c r="Q74" s="7"/>
    </row>
    <row r="75" spans="2:17" x14ac:dyDescent="0.2">
      <c r="B75" s="1"/>
      <c r="C75" s="1"/>
      <c r="D75" s="7"/>
      <c r="E75" s="7"/>
      <c r="I75" s="7"/>
      <c r="J75" s="7"/>
      <c r="K75" s="7"/>
      <c r="M75" s="7"/>
      <c r="N75" s="7"/>
      <c r="O75" s="7"/>
      <c r="P75" s="7"/>
      <c r="Q75" s="7"/>
    </row>
    <row r="76" spans="2:17" x14ac:dyDescent="0.2">
      <c r="B76" s="1"/>
      <c r="C76" s="1"/>
      <c r="D76" s="7"/>
      <c r="E76" s="7"/>
      <c r="I76" s="7"/>
      <c r="J76" s="7"/>
      <c r="K76" s="7"/>
      <c r="M76" s="7"/>
      <c r="N76" s="7"/>
      <c r="O76" s="7"/>
      <c r="P76" s="7"/>
      <c r="Q76" s="7"/>
    </row>
    <row r="77" spans="2:17" x14ac:dyDescent="0.2">
      <c r="B77" s="1"/>
      <c r="C77" s="1"/>
      <c r="D77" s="7"/>
      <c r="E77" s="7"/>
      <c r="I77" s="7"/>
      <c r="J77" s="7"/>
      <c r="K77" s="7"/>
      <c r="M77" s="7"/>
      <c r="N77" s="7"/>
      <c r="O77" s="7"/>
      <c r="P77" s="7"/>
      <c r="Q77" s="7"/>
    </row>
    <row r="78" spans="2:17" x14ac:dyDescent="0.2">
      <c r="B78" s="1"/>
      <c r="C78" s="1"/>
      <c r="D78" s="7"/>
      <c r="E78" s="7"/>
      <c r="I78" s="7"/>
      <c r="J78" s="7"/>
      <c r="K78" s="7"/>
      <c r="M78" s="7"/>
      <c r="N78" s="7"/>
      <c r="O78" s="7"/>
      <c r="P78" s="7"/>
      <c r="Q78" s="7"/>
    </row>
    <row r="79" spans="2:17" x14ac:dyDescent="0.2">
      <c r="B79" s="1"/>
      <c r="C79" s="1"/>
      <c r="D79" s="7"/>
      <c r="E79" s="7"/>
      <c r="I79" s="7"/>
      <c r="J79" s="7"/>
      <c r="K79" s="7"/>
      <c r="M79" s="7"/>
      <c r="N79" s="7"/>
      <c r="O79" s="7"/>
      <c r="P79" s="7"/>
      <c r="Q79" s="7"/>
    </row>
    <row r="80" spans="2:17" x14ac:dyDescent="0.2">
      <c r="B80" s="1"/>
      <c r="C80" s="1"/>
      <c r="D80" s="7"/>
      <c r="E80" s="7"/>
      <c r="I80" s="7"/>
      <c r="J80" s="7"/>
      <c r="K80" s="7"/>
      <c r="M80" s="7"/>
      <c r="N80" s="7"/>
      <c r="O80" s="7"/>
      <c r="P80" s="7"/>
      <c r="Q80" s="7"/>
    </row>
    <row r="81" spans="2:17" x14ac:dyDescent="0.2">
      <c r="B81" s="1"/>
      <c r="C81" s="1"/>
      <c r="D81" s="7"/>
      <c r="E81" s="7"/>
      <c r="I81" s="7"/>
      <c r="J81" s="7"/>
      <c r="K81" s="7"/>
      <c r="M81" s="7"/>
      <c r="N81" s="7"/>
      <c r="O81" s="7"/>
      <c r="P81" s="7"/>
      <c r="Q81" s="7"/>
    </row>
    <row r="82" spans="2:17" x14ac:dyDescent="0.2">
      <c r="B82" s="1"/>
      <c r="C82" s="1"/>
      <c r="D82" s="7"/>
      <c r="E82" s="7"/>
      <c r="I82" s="7"/>
      <c r="J82" s="7"/>
      <c r="K82" s="7"/>
      <c r="M82" s="7"/>
      <c r="N82" s="7"/>
      <c r="O82" s="7"/>
      <c r="P82" s="7"/>
      <c r="Q82" s="7"/>
    </row>
    <row r="83" spans="2:17" x14ac:dyDescent="0.2">
      <c r="B83" s="1"/>
      <c r="C83" s="1"/>
      <c r="D83" s="7"/>
      <c r="E83" s="7"/>
      <c r="I83" s="7"/>
      <c r="J83" s="7"/>
      <c r="K83" s="7"/>
      <c r="M83" s="7"/>
      <c r="N83" s="7"/>
      <c r="O83" s="7"/>
      <c r="P83" s="7"/>
      <c r="Q83" s="7"/>
    </row>
    <row r="84" spans="2:17" x14ac:dyDescent="0.2">
      <c r="B84" s="1"/>
      <c r="C84" s="1"/>
      <c r="D84" s="7"/>
      <c r="E84" s="7"/>
      <c r="I84" s="7"/>
      <c r="J84" s="7"/>
      <c r="K84" s="7"/>
      <c r="M84" s="7"/>
      <c r="N84" s="7"/>
      <c r="O84" s="7"/>
      <c r="P84" s="7"/>
      <c r="Q84" s="7"/>
    </row>
    <row r="85" spans="2:17" x14ac:dyDescent="0.2">
      <c r="B85" s="1"/>
      <c r="C85" s="1"/>
      <c r="D85" s="7"/>
      <c r="E85" s="7"/>
      <c r="I85" s="7"/>
      <c r="J85" s="7"/>
      <c r="K85" s="7"/>
      <c r="M85" s="7"/>
      <c r="N85" s="7"/>
      <c r="O85" s="7"/>
      <c r="P85" s="7"/>
      <c r="Q85" s="7"/>
    </row>
    <row r="86" spans="2:17" x14ac:dyDescent="0.2">
      <c r="B86" s="1"/>
      <c r="C86" s="1"/>
      <c r="D86" s="7"/>
      <c r="E86" s="7"/>
      <c r="I86" s="7"/>
      <c r="J86" s="7"/>
      <c r="K86" s="7"/>
      <c r="M86" s="7"/>
      <c r="N86" s="7"/>
      <c r="O86" s="7"/>
      <c r="P86" s="7"/>
      <c r="Q86" s="7"/>
    </row>
    <row r="87" spans="2:17" x14ac:dyDescent="0.2">
      <c r="B87" s="1"/>
      <c r="C87" s="1"/>
      <c r="D87" s="7"/>
      <c r="E87" s="7"/>
      <c r="I87" s="7"/>
      <c r="J87" s="7"/>
      <c r="K87" s="7"/>
      <c r="M87" s="7"/>
      <c r="N87" s="7"/>
      <c r="O87" s="7"/>
      <c r="P87" s="7"/>
      <c r="Q87" s="7"/>
    </row>
    <row r="88" spans="2:17" x14ac:dyDescent="0.2">
      <c r="B88" s="1"/>
      <c r="C88" s="1"/>
      <c r="D88" s="7"/>
      <c r="E88" s="7"/>
      <c r="I88" s="7"/>
      <c r="J88" s="7"/>
      <c r="K88" s="7"/>
      <c r="M88" s="7"/>
      <c r="N88" s="7"/>
      <c r="O88" s="7"/>
      <c r="P88" s="7"/>
      <c r="Q88" s="7"/>
    </row>
    <row r="89" spans="2:17" x14ac:dyDescent="0.2">
      <c r="B89" s="1"/>
      <c r="C89" s="1"/>
      <c r="D89" s="7"/>
      <c r="E89" s="7"/>
      <c r="I89" s="7"/>
      <c r="J89" s="7"/>
      <c r="K89" s="7"/>
      <c r="M89" s="7"/>
      <c r="N89" s="7"/>
      <c r="O89" s="7"/>
      <c r="P89" s="7"/>
      <c r="Q89" s="7"/>
    </row>
    <row r="90" spans="2:17" x14ac:dyDescent="0.2">
      <c r="B90" s="1"/>
      <c r="C90" s="1"/>
      <c r="D90" s="7"/>
      <c r="E90" s="7"/>
      <c r="I90" s="7"/>
      <c r="J90" s="7"/>
      <c r="K90" s="7"/>
      <c r="M90" s="7"/>
      <c r="N90" s="7"/>
      <c r="O90" s="7"/>
      <c r="P90" s="7"/>
      <c r="Q90" s="7"/>
    </row>
    <row r="91" spans="2:17" x14ac:dyDescent="0.2">
      <c r="B91" s="1"/>
      <c r="C91" s="1"/>
      <c r="D91" s="7"/>
      <c r="E91" s="7"/>
      <c r="I91" s="7"/>
      <c r="J91" s="7"/>
      <c r="K91" s="7"/>
      <c r="M91" s="7"/>
      <c r="N91" s="7"/>
      <c r="O91" s="7"/>
      <c r="P91" s="7"/>
      <c r="Q91" s="7"/>
    </row>
    <row r="92" spans="2:17" x14ac:dyDescent="0.2">
      <c r="B92" s="1"/>
      <c r="C92" s="1"/>
      <c r="D92" s="7"/>
      <c r="E92" s="7"/>
      <c r="I92" s="7"/>
      <c r="J92" s="7"/>
      <c r="K92" s="7"/>
      <c r="M92" s="7"/>
      <c r="N92" s="7"/>
      <c r="O92" s="7"/>
      <c r="P92" s="7"/>
      <c r="Q92" s="7"/>
    </row>
    <row r="93" spans="2:17" x14ac:dyDescent="0.2">
      <c r="B93" s="1"/>
      <c r="C93" s="1"/>
      <c r="D93" s="7"/>
      <c r="E93" s="7"/>
      <c r="I93" s="7"/>
      <c r="J93" s="7"/>
      <c r="K93" s="7"/>
      <c r="M93" s="7"/>
      <c r="N93" s="7"/>
      <c r="O93" s="7"/>
      <c r="P93" s="7"/>
      <c r="Q93" s="7"/>
    </row>
    <row r="94" spans="2:17" x14ac:dyDescent="0.2">
      <c r="B94" s="1"/>
      <c r="C94" s="1"/>
      <c r="D94" s="7"/>
      <c r="E94" s="7"/>
      <c r="I94" s="7"/>
      <c r="J94" s="7"/>
      <c r="K94" s="7"/>
      <c r="M94" s="7"/>
      <c r="N94" s="7"/>
      <c r="O94" s="7"/>
      <c r="P94" s="7"/>
      <c r="Q94" s="7"/>
    </row>
    <row r="95" spans="2:17" x14ac:dyDescent="0.2">
      <c r="B95" s="1"/>
      <c r="C95" s="1"/>
      <c r="D95" s="7"/>
      <c r="E95" s="7"/>
      <c r="I95" s="7"/>
      <c r="J95" s="7"/>
      <c r="K95" s="7"/>
      <c r="M95" s="7"/>
      <c r="N95" s="7"/>
      <c r="O95" s="7"/>
      <c r="P95" s="7"/>
      <c r="Q95" s="7"/>
    </row>
    <row r="96" spans="2:17" x14ac:dyDescent="0.2">
      <c r="B96" s="1"/>
      <c r="C96" s="1"/>
      <c r="D96" s="7"/>
      <c r="E96" s="7"/>
      <c r="I96" s="7"/>
      <c r="J96" s="7"/>
      <c r="K96" s="7"/>
      <c r="M96" s="7"/>
      <c r="N96" s="7"/>
      <c r="O96" s="7"/>
      <c r="P96" s="7"/>
      <c r="Q96" s="7"/>
    </row>
    <row r="97" spans="2:17" x14ac:dyDescent="0.2">
      <c r="B97" s="1"/>
      <c r="C97" s="1"/>
      <c r="D97" s="7"/>
      <c r="E97" s="7"/>
      <c r="I97" s="7"/>
      <c r="J97" s="7"/>
      <c r="K97" s="7"/>
      <c r="M97" s="7"/>
      <c r="N97" s="7"/>
      <c r="O97" s="7"/>
      <c r="P97" s="7"/>
      <c r="Q97" s="7"/>
    </row>
    <row r="98" spans="2:17" x14ac:dyDescent="0.2">
      <c r="B98" s="1"/>
      <c r="C98" s="1"/>
      <c r="D98" s="7"/>
      <c r="E98" s="7"/>
      <c r="I98" s="7"/>
      <c r="J98" s="7"/>
      <c r="K98" s="7"/>
      <c r="M98" s="7"/>
      <c r="N98" s="7"/>
      <c r="O98" s="7"/>
      <c r="P98" s="7"/>
      <c r="Q98" s="7"/>
    </row>
    <row r="99" spans="2:17" x14ac:dyDescent="0.2">
      <c r="B99" s="1"/>
      <c r="C99" s="1"/>
      <c r="D99" s="7"/>
      <c r="E99" s="7"/>
      <c r="I99" s="7"/>
      <c r="J99" s="7"/>
      <c r="K99" s="7"/>
      <c r="M99" s="7"/>
      <c r="N99" s="7"/>
      <c r="O99" s="7"/>
      <c r="P99" s="7"/>
      <c r="Q99" s="7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E42"/>
  <sheetViews>
    <sheetView topLeftCell="A10" workbookViewId="0">
      <selection activeCell="C31" sqref="C31"/>
    </sheetView>
  </sheetViews>
  <sheetFormatPr defaultColWidth="11.5703125" defaultRowHeight="12.75" x14ac:dyDescent="0.2"/>
  <sheetData>
    <row r="6" spans="1:5" x14ac:dyDescent="0.2">
      <c r="B6" s="20"/>
      <c r="C6" s="20" t="s">
        <v>34</v>
      </c>
      <c r="D6" s="20" t="s">
        <v>35</v>
      </c>
      <c r="E6" s="20" t="s">
        <v>36</v>
      </c>
    </row>
    <row r="7" spans="1:5" x14ac:dyDescent="0.2">
      <c r="A7" s="23">
        <v>2020</v>
      </c>
      <c r="B7" s="20" t="s">
        <v>22</v>
      </c>
      <c r="C7" s="20">
        <v>4869</v>
      </c>
      <c r="D7" s="20">
        <f>202*31</f>
        <v>6262</v>
      </c>
      <c r="E7" s="21">
        <f>C7/D7%</f>
        <v>77.75471095496647</v>
      </c>
    </row>
    <row r="8" spans="1:5" x14ac:dyDescent="0.2">
      <c r="A8" s="23"/>
      <c r="B8" s="20" t="s">
        <v>23</v>
      </c>
      <c r="C8" s="20">
        <v>5078</v>
      </c>
      <c r="D8" s="20">
        <f>202*29</f>
        <v>5858</v>
      </c>
      <c r="E8" s="21">
        <f t="shared" ref="E8:E24" si="0">C8/D8%</f>
        <v>86.684875384090134</v>
      </c>
    </row>
    <row r="9" spans="1:5" x14ac:dyDescent="0.2">
      <c r="A9" s="23"/>
      <c r="B9" s="20" t="s">
        <v>24</v>
      </c>
      <c r="C9" s="20">
        <v>2193</v>
      </c>
      <c r="D9" s="20">
        <f t="shared" ref="D9:D30" si="1">202*31</f>
        <v>6262</v>
      </c>
      <c r="E9" s="21">
        <f t="shared" si="0"/>
        <v>35.020760140530186</v>
      </c>
    </row>
    <row r="10" spans="1:5" x14ac:dyDescent="0.2">
      <c r="A10" s="23"/>
      <c r="B10" s="20" t="s">
        <v>25</v>
      </c>
      <c r="C10" s="20">
        <v>1955</v>
      </c>
      <c r="D10" s="20">
        <f>202*30</f>
        <v>6060</v>
      </c>
      <c r="E10" s="21">
        <f t="shared" si="0"/>
        <v>32.260726072607262</v>
      </c>
    </row>
    <row r="11" spans="1:5" x14ac:dyDescent="0.2">
      <c r="A11" s="23"/>
      <c r="B11" s="20" t="s">
        <v>26</v>
      </c>
      <c r="C11" s="20">
        <v>3058</v>
      </c>
      <c r="D11" s="20">
        <f t="shared" si="1"/>
        <v>6262</v>
      </c>
      <c r="E11" s="21">
        <f t="shared" si="0"/>
        <v>48.834238262535933</v>
      </c>
    </row>
    <row r="12" spans="1:5" x14ac:dyDescent="0.2">
      <c r="A12" s="23"/>
      <c r="B12" s="20" t="s">
        <v>27</v>
      </c>
      <c r="C12" s="20">
        <v>3178</v>
      </c>
      <c r="D12" s="20">
        <f>202*30</f>
        <v>6060</v>
      </c>
      <c r="E12" s="21">
        <f t="shared" si="0"/>
        <v>52.442244224422438</v>
      </c>
    </row>
    <row r="13" spans="1:5" x14ac:dyDescent="0.2">
      <c r="A13" s="23"/>
      <c r="B13" s="20" t="s">
        <v>28</v>
      </c>
      <c r="C13" s="20">
        <v>2895</v>
      </c>
      <c r="D13" s="20">
        <f t="shared" si="1"/>
        <v>6262</v>
      </c>
      <c r="E13" s="21">
        <f t="shared" si="0"/>
        <v>46.231236026828491</v>
      </c>
    </row>
    <row r="14" spans="1:5" x14ac:dyDescent="0.2">
      <c r="A14" s="23"/>
      <c r="B14" s="20" t="s">
        <v>29</v>
      </c>
      <c r="C14" s="20">
        <v>3030</v>
      </c>
      <c r="D14" s="20">
        <f t="shared" si="1"/>
        <v>6262</v>
      </c>
      <c r="E14" s="21">
        <f t="shared" si="0"/>
        <v>48.387096774193552</v>
      </c>
    </row>
    <row r="15" spans="1:5" x14ac:dyDescent="0.2">
      <c r="A15" s="23"/>
      <c r="B15" s="20" t="s">
        <v>30</v>
      </c>
      <c r="C15" s="20">
        <v>3152</v>
      </c>
      <c r="D15" s="20">
        <f>202*30</f>
        <v>6060</v>
      </c>
      <c r="E15" s="21">
        <f t="shared" si="0"/>
        <v>52.013201320132012</v>
      </c>
    </row>
    <row r="16" spans="1:5" x14ac:dyDescent="0.2">
      <c r="A16" s="23"/>
      <c r="B16" s="20" t="s">
        <v>31</v>
      </c>
      <c r="C16" s="20">
        <v>3697</v>
      </c>
      <c r="D16" s="20">
        <f t="shared" si="1"/>
        <v>6262</v>
      </c>
      <c r="E16" s="21">
        <f t="shared" si="0"/>
        <v>59.038645800063883</v>
      </c>
    </row>
    <row r="17" spans="1:5" x14ac:dyDescent="0.2">
      <c r="A17" s="23"/>
      <c r="B17" s="20" t="s">
        <v>32</v>
      </c>
      <c r="C17" s="20">
        <v>3992</v>
      </c>
      <c r="D17" s="20">
        <f>202*30</f>
        <v>6060</v>
      </c>
      <c r="E17" s="21">
        <f t="shared" si="0"/>
        <v>65.874587458745879</v>
      </c>
    </row>
    <row r="18" spans="1:5" x14ac:dyDescent="0.2">
      <c r="A18" s="23"/>
      <c r="B18" s="20" t="s">
        <v>33</v>
      </c>
      <c r="C18" s="20">
        <v>4264</v>
      </c>
      <c r="D18" s="20">
        <f t="shared" si="1"/>
        <v>6262</v>
      </c>
      <c r="E18" s="21">
        <f t="shared" si="0"/>
        <v>68.093260938997133</v>
      </c>
    </row>
    <row r="19" spans="1:5" x14ac:dyDescent="0.2">
      <c r="A19" s="24">
        <v>2021</v>
      </c>
      <c r="B19" s="20" t="s">
        <v>22</v>
      </c>
      <c r="C19" s="20">
        <v>4259</v>
      </c>
      <c r="D19" s="20">
        <f>202*31</f>
        <v>6262</v>
      </c>
      <c r="E19" s="21">
        <f t="shared" si="0"/>
        <v>68.013414244650278</v>
      </c>
    </row>
    <row r="20" spans="1:5" x14ac:dyDescent="0.2">
      <c r="A20" s="24"/>
      <c r="B20" s="20" t="s">
        <v>23</v>
      </c>
      <c r="C20" s="20">
        <v>3554</v>
      </c>
      <c r="D20" s="20">
        <f>202*28</f>
        <v>5656</v>
      </c>
      <c r="E20" s="21">
        <f t="shared" si="0"/>
        <v>62.835926449787834</v>
      </c>
    </row>
    <row r="21" spans="1:5" x14ac:dyDescent="0.2">
      <c r="A21" s="24"/>
      <c r="B21" s="20" t="s">
        <v>24</v>
      </c>
      <c r="C21" s="20">
        <v>3301</v>
      </c>
      <c r="D21" s="20">
        <f t="shared" si="1"/>
        <v>6262</v>
      </c>
      <c r="E21" s="21">
        <f t="shared" si="0"/>
        <v>52.714787607793042</v>
      </c>
    </row>
    <row r="22" spans="1:5" x14ac:dyDescent="0.2">
      <c r="A22" s="24"/>
      <c r="B22" s="20" t="s">
        <v>25</v>
      </c>
      <c r="C22" s="20">
        <v>4693</v>
      </c>
      <c r="D22" s="20">
        <f>202*30</f>
        <v>6060</v>
      </c>
      <c r="E22" s="21">
        <f t="shared" si="0"/>
        <v>77.442244224422438</v>
      </c>
    </row>
    <row r="23" spans="1:5" x14ac:dyDescent="0.2">
      <c r="A23" s="24"/>
      <c r="B23" s="20" t="s">
        <v>26</v>
      </c>
      <c r="C23" s="20">
        <v>2184</v>
      </c>
      <c r="D23" s="20">
        <f t="shared" si="1"/>
        <v>6262</v>
      </c>
      <c r="E23" s="21">
        <f t="shared" si="0"/>
        <v>34.877036090705843</v>
      </c>
    </row>
    <row r="24" spans="1:5" x14ac:dyDescent="0.2">
      <c r="A24" s="24"/>
      <c r="B24" s="20" t="s">
        <v>27</v>
      </c>
      <c r="C24" s="20">
        <v>3253</v>
      </c>
      <c r="D24" s="20">
        <f>202*30</f>
        <v>6060</v>
      </c>
      <c r="E24" s="21">
        <f t="shared" si="0"/>
        <v>53.679867986798676</v>
      </c>
    </row>
    <row r="25" spans="1:5" x14ac:dyDescent="0.2">
      <c r="A25" s="24"/>
      <c r="B25" s="20" t="s">
        <v>28</v>
      </c>
      <c r="C25" s="20">
        <v>4495</v>
      </c>
      <c r="D25" s="20">
        <f t="shared" si="1"/>
        <v>6262</v>
      </c>
      <c r="E25" s="20"/>
    </row>
    <row r="26" spans="1:5" x14ac:dyDescent="0.2">
      <c r="B26" s="20" t="s">
        <v>29</v>
      </c>
      <c r="C26" s="20"/>
      <c r="D26" s="20">
        <f t="shared" si="1"/>
        <v>6262</v>
      </c>
      <c r="E26" s="20"/>
    </row>
    <row r="27" spans="1:5" x14ac:dyDescent="0.2">
      <c r="B27" s="20" t="s">
        <v>30</v>
      </c>
      <c r="C27" s="20"/>
      <c r="D27" s="20">
        <f>202*30</f>
        <v>6060</v>
      </c>
      <c r="E27" s="20"/>
    </row>
    <row r="28" spans="1:5" x14ac:dyDescent="0.2">
      <c r="B28" s="20" t="s">
        <v>31</v>
      </c>
      <c r="C28" s="20"/>
      <c r="D28" s="20">
        <f t="shared" si="1"/>
        <v>6262</v>
      </c>
      <c r="E28" s="20"/>
    </row>
    <row r="29" spans="1:5" x14ac:dyDescent="0.2">
      <c r="B29" s="20" t="s">
        <v>32</v>
      </c>
      <c r="C29" s="20"/>
      <c r="D29" s="20">
        <f>202*30</f>
        <v>6060</v>
      </c>
      <c r="E29" s="20"/>
    </row>
    <row r="30" spans="1:5" x14ac:dyDescent="0.2">
      <c r="B30" s="20" t="s">
        <v>33</v>
      </c>
      <c r="C30" s="20"/>
      <c r="D30" s="20">
        <f t="shared" si="1"/>
        <v>6262</v>
      </c>
      <c r="E30" s="20"/>
    </row>
    <row r="31" spans="1:5" x14ac:dyDescent="0.2">
      <c r="A31" s="24">
        <v>2022</v>
      </c>
      <c r="B31" s="20" t="s">
        <v>22</v>
      </c>
      <c r="C31" s="20">
        <v>4259</v>
      </c>
      <c r="D31" s="20">
        <f>202*31</f>
        <v>6262</v>
      </c>
      <c r="E31" s="21">
        <f t="shared" ref="E31:E36" si="2">C31/D31%</f>
        <v>68.013414244650278</v>
      </c>
    </row>
    <row r="32" spans="1:5" x14ac:dyDescent="0.2">
      <c r="A32" s="24"/>
      <c r="B32" s="20" t="s">
        <v>23</v>
      </c>
      <c r="C32" s="20">
        <v>3554</v>
      </c>
      <c r="D32" s="20">
        <f>202*28</f>
        <v>5656</v>
      </c>
      <c r="E32" s="21">
        <f t="shared" si="2"/>
        <v>62.835926449787834</v>
      </c>
    </row>
    <row r="33" spans="1:5" x14ac:dyDescent="0.2">
      <c r="A33" s="24"/>
      <c r="B33" s="20" t="s">
        <v>24</v>
      </c>
      <c r="C33" s="20">
        <v>3301</v>
      </c>
      <c r="D33" s="20">
        <f t="shared" ref="D33:D42" si="3">202*31</f>
        <v>6262</v>
      </c>
      <c r="E33" s="21">
        <f t="shared" si="2"/>
        <v>52.714787607793042</v>
      </c>
    </row>
    <row r="34" spans="1:5" x14ac:dyDescent="0.2">
      <c r="A34" s="24"/>
      <c r="B34" s="20" t="s">
        <v>25</v>
      </c>
      <c r="C34" s="20">
        <v>4693</v>
      </c>
      <c r="D34" s="20">
        <f>202*30</f>
        <v>6060</v>
      </c>
      <c r="E34" s="21">
        <f t="shared" si="2"/>
        <v>77.442244224422438</v>
      </c>
    </row>
    <row r="35" spans="1:5" x14ac:dyDescent="0.2">
      <c r="A35" s="24"/>
      <c r="B35" s="20" t="s">
        <v>26</v>
      </c>
      <c r="C35" s="20">
        <v>2184</v>
      </c>
      <c r="D35" s="20">
        <f t="shared" si="3"/>
        <v>6262</v>
      </c>
      <c r="E35" s="21">
        <f t="shared" si="2"/>
        <v>34.877036090705843</v>
      </c>
    </row>
    <row r="36" spans="1:5" x14ac:dyDescent="0.2">
      <c r="A36" s="24"/>
      <c r="B36" s="20" t="s">
        <v>27</v>
      </c>
      <c r="C36" s="20">
        <v>3253</v>
      </c>
      <c r="D36" s="20">
        <f>202*30</f>
        <v>6060</v>
      </c>
      <c r="E36" s="21">
        <f t="shared" si="2"/>
        <v>53.679867986798676</v>
      </c>
    </row>
    <row r="37" spans="1:5" x14ac:dyDescent="0.2">
      <c r="A37" s="24"/>
      <c r="B37" s="20" t="s">
        <v>28</v>
      </c>
      <c r="C37" s="20">
        <v>4495</v>
      </c>
      <c r="D37" s="20">
        <f t="shared" si="3"/>
        <v>6262</v>
      </c>
      <c r="E37" s="20"/>
    </row>
    <row r="38" spans="1:5" x14ac:dyDescent="0.2">
      <c r="B38" s="20" t="s">
        <v>29</v>
      </c>
      <c r="C38" s="20"/>
      <c r="D38" s="20">
        <f t="shared" si="3"/>
        <v>6262</v>
      </c>
      <c r="E38" s="20"/>
    </row>
    <row r="39" spans="1:5" x14ac:dyDescent="0.2">
      <c r="B39" s="20" t="s">
        <v>30</v>
      </c>
      <c r="C39" s="20"/>
      <c r="D39" s="20">
        <f>202*30</f>
        <v>6060</v>
      </c>
      <c r="E39" s="20"/>
    </row>
    <row r="40" spans="1:5" x14ac:dyDescent="0.2">
      <c r="B40" s="20" t="s">
        <v>31</v>
      </c>
      <c r="C40" s="20"/>
      <c r="D40" s="20">
        <f t="shared" si="3"/>
        <v>6262</v>
      </c>
      <c r="E40" s="20"/>
    </row>
    <row r="41" spans="1:5" x14ac:dyDescent="0.2">
      <c r="B41" s="20" t="s">
        <v>32</v>
      </c>
      <c r="C41" s="20"/>
      <c r="D41" s="20">
        <f>202*30</f>
        <v>6060</v>
      </c>
      <c r="E41" s="20"/>
    </row>
    <row r="42" spans="1:5" x14ac:dyDescent="0.2">
      <c r="B42" s="20" t="s">
        <v>33</v>
      </c>
      <c r="C42" s="20"/>
      <c r="D42" s="20">
        <f t="shared" si="3"/>
        <v>6262</v>
      </c>
      <c r="E42" s="20"/>
    </row>
  </sheetData>
  <sheetProtection selectLockedCells="1" selectUnlockedCells="1"/>
  <mergeCells count="3">
    <mergeCell ref="A7:A18"/>
    <mergeCell ref="A19:A25"/>
    <mergeCell ref="A31:A37"/>
  </mergeCells>
  <phoneticPr fontId="6" type="noConversion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Occupancy&amp; 2021</vt:lpstr>
      <vt:lpstr>Sheet2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Sudhakar Appa</cp:lastModifiedBy>
  <cp:revision/>
  <dcterms:created xsi:type="dcterms:W3CDTF">2016-09-19T10:41:46Z</dcterms:created>
  <dcterms:modified xsi:type="dcterms:W3CDTF">2022-09-03T09:44:11Z</dcterms:modified>
</cp:coreProperties>
</file>