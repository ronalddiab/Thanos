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R26" i="9" l="1"/>
  <c r="R27" i="9"/>
  <c r="R28" i="9"/>
  <c r="R29" i="9"/>
  <c r="R30" i="9"/>
  <c r="R31" i="9"/>
  <c r="R32" i="9"/>
  <c r="Q26" i="9"/>
  <c r="Q27" i="9"/>
  <c r="Q28" i="9"/>
  <c r="Q29" i="9"/>
  <c r="Q30" i="9"/>
  <c r="Q31" i="9"/>
  <c r="Q32" i="9"/>
  <c r="P26" i="9"/>
  <c r="P27" i="9"/>
  <c r="P28" i="9"/>
  <c r="P29" i="9"/>
  <c r="P30" i="9"/>
  <c r="P31" i="9"/>
  <c r="P32" i="9"/>
  <c r="O26" i="9"/>
  <c r="O27" i="9"/>
  <c r="O28" i="9"/>
  <c r="O29" i="9"/>
  <c r="O30" i="9"/>
  <c r="O31" i="9"/>
  <c r="O32" i="9"/>
  <c r="N26" i="9"/>
  <c r="N27" i="9"/>
  <c r="N28" i="9"/>
  <c r="N29" i="9"/>
  <c r="N30" i="9"/>
  <c r="N31" i="9"/>
  <c r="M26" i="9"/>
  <c r="M27" i="9"/>
  <c r="M28" i="9"/>
  <c r="M29" i="9"/>
  <c r="M30" i="9"/>
  <c r="M31" i="9"/>
  <c r="M32" i="9"/>
  <c r="L26" i="9"/>
  <c r="L27" i="9"/>
  <c r="L28" i="9"/>
  <c r="L29" i="9"/>
  <c r="L30" i="9"/>
  <c r="L31" i="9"/>
  <c r="L32" i="9"/>
  <c r="K26" i="9"/>
  <c r="K27" i="9"/>
  <c r="K28" i="9"/>
  <c r="K29" i="9"/>
  <c r="K30" i="9"/>
  <c r="K31" i="9"/>
  <c r="K32" i="9"/>
  <c r="J26" i="9"/>
  <c r="J27" i="9"/>
  <c r="J28" i="9"/>
  <c r="J29" i="9"/>
  <c r="J30" i="9"/>
  <c r="J31" i="9"/>
  <c r="J32" i="9"/>
  <c r="I26" i="9"/>
  <c r="I27" i="9"/>
  <c r="I28" i="9"/>
  <c r="I29" i="9"/>
  <c r="I30" i="9"/>
  <c r="I31" i="9"/>
  <c r="I32" i="9"/>
  <c r="H26" i="9"/>
  <c r="H27" i="9"/>
  <c r="H28" i="9"/>
  <c r="H29" i="9"/>
  <c r="H30" i="9"/>
  <c r="H31" i="9"/>
  <c r="H32" i="9"/>
  <c r="G26" i="9"/>
  <c r="G27" i="9"/>
  <c r="G28" i="9"/>
  <c r="G29" i="9"/>
  <c r="G30" i="9"/>
  <c r="G31" i="9"/>
  <c r="G32" i="9"/>
  <c r="F26" i="9"/>
  <c r="F27" i="9"/>
  <c r="F28" i="9"/>
  <c r="F29" i="9"/>
  <c r="F30" i="9"/>
  <c r="F31" i="9"/>
  <c r="F32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G25" i="5" l="1"/>
  <c r="R25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L25" i="7"/>
  <c r="K20" i="9"/>
  <c r="AG25" i="7"/>
  <c r="F20" i="9"/>
  <c r="AR25" i="7"/>
  <c r="Q20" i="9"/>
  <c r="AJ25" i="7"/>
  <c r="I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<sst xmlns="http://schemas.openxmlformats.org/spreadsheetml/2006/main" count="128" uniqueCount="49">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</sst>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Submetering!R18</f>
        <v>702.95063700000003</v>
      </c>
      <c r="H18" s="11">
        <v>0.52800000000000002</v>
      </c>
      <c r="I18" s="12">
        <f>Hotel!B23</f>
        <v>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51910</v>
      </c>
      <c r="F19" s="11">
        <v>5.0000000000000001E-3</v>
      </c>
      <c r="G19" s="12">
        <f>Submetering!R19</f>
        <v>578.41064800000004</v>
      </c>
      <c r="H19" s="11">
        <v>0.52800000000000002</v>
      </c>
      <c r="I19" s="12">
        <f>Hotel!B24</f>
        <v>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48530</v>
      </c>
      <c r="F20" s="11">
        <v>5.0000000000000001E-3</v>
      </c>
      <c r="G20" s="12">
        <f>Submetering!R20</f>
        <v>673.42443900000001</v>
      </c>
      <c r="H20" s="11">
        <v>0.52800000000000002</v>
      </c>
      <c r="I20" s="12">
        <f>Hotel!B25</f>
        <v>47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50480</v>
      </c>
      <c r="F21" s="11">
        <v>5.0000000000000001E-3</v>
      </c>
      <c r="G21" s="12">
        <f>Submetering!R21</f>
        <v>571.59690999999998</v>
      </c>
      <c r="H21" s="11">
        <v>0.52800000000000002</v>
      </c>
      <c r="I21" s="12">
        <f>Hotel!B26</f>
        <v>55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55740</v>
      </c>
      <c r="F22" s="11">
        <v>5.0000000000000001E-3</v>
      </c>
      <c r="G22" s="12">
        <f>Submetering!R22</f>
        <v>582.95313999999996</v>
      </c>
      <c r="H22" s="11">
        <v>0.52800000000000002</v>
      </c>
      <c r="I22" s="12">
        <f>Hotel!B27</f>
        <v>110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53540</v>
      </c>
      <c r="F23" s="11">
        <v>5.0000000000000001E-3</v>
      </c>
      <c r="G23" s="12">
        <f>Submetering!R23</f>
        <v>738.15494999999999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54830</v>
      </c>
      <c r="F24" s="11">
        <v>5.0000000000000001E-3</v>
      </c>
      <c r="G24" s="12">
        <f>Submetering!R24</f>
        <v>631.02784700000007</v>
      </c>
      <c r="H24" s="11">
        <v>0.52800000000000002</v>
      </c>
      <c r="I24" s="12">
        <f>Hotel!B29</f>
        <v>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Hotel!AV23*0.00378541*100</f>
        <v>702.95063700000003</v>
      </c>
      <c r="S18" s="4">
        <f>Hotel!B23</f>
        <v>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550</v>
      </c>
      <c r="F19" s="4">
        <f>Hotel!R24</f>
        <v>1910</v>
      </c>
      <c r="G19" s="4">
        <f>Hotel!S24</f>
        <v>2710</v>
      </c>
      <c r="H19" s="4">
        <f>Hotel!T24</f>
        <v>1450</v>
      </c>
      <c r="I19" s="4">
        <f>Hotel!U24</f>
        <v>5060</v>
      </c>
      <c r="J19" s="4">
        <f>Hotel!V24</f>
        <v>3330</v>
      </c>
      <c r="K19" s="4">
        <f>Hotel!W24</f>
        <v>2430</v>
      </c>
      <c r="L19" s="4">
        <f>Hotel!X24</f>
        <v>3920</v>
      </c>
      <c r="M19" s="4">
        <f>Hotel!Y24</f>
        <v>5740</v>
      </c>
      <c r="N19" s="4">
        <f>Hotel!Z24</f>
        <v>2620</v>
      </c>
      <c r="O19" s="4">
        <f>Hotel!AA24</f>
        <v>3260</v>
      </c>
      <c r="P19" s="4">
        <f>Hotel!AB24</f>
        <v>6850</v>
      </c>
      <c r="Q19" s="4">
        <f>Hotel!AC24</f>
        <v>12080</v>
      </c>
      <c r="R19" s="4">
        <f>Hotel!AV24*0.00378541*100</f>
        <v>578.41064800000004</v>
      </c>
      <c r="S19" s="4">
        <f>Hotel!B24</f>
        <v>53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520</v>
      </c>
      <c r="F20" s="4">
        <f>Hotel!R25</f>
        <v>1810</v>
      </c>
      <c r="G20" s="4">
        <f>Hotel!S25</f>
        <v>2520</v>
      </c>
      <c r="H20" s="4">
        <f>Hotel!T25</f>
        <v>1520</v>
      </c>
      <c r="I20" s="4">
        <f>Hotel!U25</f>
        <v>4870</v>
      </c>
      <c r="J20" s="4">
        <f>Hotel!V25</f>
        <v>3110</v>
      </c>
      <c r="K20" s="4">
        <f>Hotel!W25</f>
        <v>2330</v>
      </c>
      <c r="L20" s="4">
        <f>Hotel!X25</f>
        <v>3830</v>
      </c>
      <c r="M20" s="4">
        <f>Hotel!Y25</f>
        <v>5240</v>
      </c>
      <c r="N20" s="4">
        <f>Hotel!Z25</f>
        <v>2490</v>
      </c>
      <c r="O20" s="4">
        <f>Hotel!AA25</f>
        <v>3170</v>
      </c>
      <c r="P20" s="4">
        <f>Hotel!AB25</f>
        <v>6650</v>
      </c>
      <c r="Q20" s="4">
        <f>Hotel!AC25</f>
        <v>10470</v>
      </c>
      <c r="R20" s="4">
        <f>Hotel!AV25*0.00378541*100</f>
        <v>673.42443900000001</v>
      </c>
      <c r="S20" s="4">
        <f>Hotel!B25</f>
        <v>47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550</v>
      </c>
      <c r="F21" s="4">
        <f>Hotel!R26</f>
        <v>1890</v>
      </c>
      <c r="G21" s="4">
        <f>Hotel!S26</f>
        <v>2630</v>
      </c>
      <c r="H21" s="4">
        <f>Hotel!T26</f>
        <v>1430</v>
      </c>
      <c r="I21" s="4">
        <f>Hotel!U26</f>
        <v>4880</v>
      </c>
      <c r="J21" s="4">
        <f>Hotel!V26</f>
        <v>3150</v>
      </c>
      <c r="K21" s="4">
        <f>Hotel!W26</f>
        <v>2380</v>
      </c>
      <c r="L21" s="4">
        <f>Hotel!X26</f>
        <v>4160</v>
      </c>
      <c r="M21" s="4">
        <f>Hotel!Y26</f>
        <v>5630</v>
      </c>
      <c r="N21" s="4">
        <f>Hotel!Z26</f>
        <v>2590</v>
      </c>
      <c r="O21" s="4">
        <f>Hotel!AA26</f>
        <v>3320</v>
      </c>
      <c r="P21" s="4">
        <f>Hotel!AB26</f>
        <v>6720</v>
      </c>
      <c r="Q21" s="4">
        <f>Hotel!AC26</f>
        <v>11150</v>
      </c>
      <c r="R21" s="4">
        <f>Hotel!AV26*0.00378541*100</f>
        <v>571.59690999999998</v>
      </c>
      <c r="S21" s="4">
        <f>Hotel!B26</f>
        <v>55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560</v>
      </c>
      <c r="F22" s="4">
        <f>Hotel!R27</f>
        <v>1940</v>
      </c>
      <c r="G22" s="4">
        <f>Hotel!S27</f>
        <v>2370</v>
      </c>
      <c r="H22" s="4">
        <f>Hotel!T27</f>
        <v>1600</v>
      </c>
      <c r="I22" s="4">
        <f>Hotel!U27</f>
        <v>5390</v>
      </c>
      <c r="J22" s="4">
        <f>Hotel!V27</f>
        <v>3540</v>
      </c>
      <c r="K22" s="4">
        <f>Hotel!W27</f>
        <v>2500</v>
      </c>
      <c r="L22" s="4">
        <f>Hotel!X27</f>
        <v>4550</v>
      </c>
      <c r="M22" s="4">
        <f>Hotel!Y27</f>
        <v>6080</v>
      </c>
      <c r="N22" s="4">
        <f>Hotel!Z27</f>
        <v>2660</v>
      </c>
      <c r="O22" s="4">
        <f>Hotel!AA27</f>
        <v>3620</v>
      </c>
      <c r="P22" s="4">
        <f>Hotel!AB27</f>
        <v>6860</v>
      </c>
      <c r="Q22" s="4">
        <f>Hotel!AC27</f>
        <v>14070</v>
      </c>
      <c r="R22" s="4">
        <f>Hotel!AV27*0.00378541*100</f>
        <v>582.95313999999996</v>
      </c>
      <c r="S22" s="4">
        <f>Hotel!B27</f>
        <v>110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530</v>
      </c>
      <c r="F23" s="4">
        <f>Hotel!R28</f>
        <v>1800</v>
      </c>
      <c r="G23" s="4">
        <f>Hotel!S28</f>
        <v>2280</v>
      </c>
      <c r="H23" s="4">
        <f>Hotel!T28</f>
        <v>1470</v>
      </c>
      <c r="I23" s="4">
        <f>Hotel!U28</f>
        <v>5550</v>
      </c>
      <c r="J23" s="4">
        <f>Hotel!V28</f>
        <v>3400</v>
      </c>
      <c r="K23" s="4">
        <f>Hotel!W28</f>
        <v>2280</v>
      </c>
      <c r="L23" s="4">
        <f>Hotel!X28</f>
        <v>4350</v>
      </c>
      <c r="M23" s="4">
        <f>Hotel!Y28</f>
        <v>5660</v>
      </c>
      <c r="N23" s="4">
        <f>Hotel!Z28</f>
        <v>2560</v>
      </c>
      <c r="O23" s="4">
        <f>Hotel!AA28</f>
        <v>3500</v>
      </c>
      <c r="P23" s="4">
        <f>Hotel!AB28</f>
        <v>6620</v>
      </c>
      <c r="Q23" s="4">
        <f>Hotel!AC28</f>
        <v>13540</v>
      </c>
      <c r="R23" s="4">
        <f>Hotel!AV28*0.00378541*100</f>
        <v>738.15494999999999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540</v>
      </c>
      <c r="F24" s="4">
        <f>Hotel!R29</f>
        <v>1870</v>
      </c>
      <c r="G24" s="4">
        <f>Hotel!S29</f>
        <v>2290</v>
      </c>
      <c r="H24" s="4">
        <f>Hotel!T29</f>
        <v>1320</v>
      </c>
      <c r="I24" s="4">
        <f>Hotel!U29</f>
        <v>5650</v>
      </c>
      <c r="J24" s="4">
        <f>Hotel!V29</f>
        <v>3430</v>
      </c>
      <c r="K24" s="4">
        <f>Hotel!W29</f>
        <v>2340</v>
      </c>
      <c r="L24" s="4">
        <f>Hotel!X29</f>
        <v>4390</v>
      </c>
      <c r="M24" s="4">
        <f>Hotel!Y29</f>
        <v>5640</v>
      </c>
      <c r="N24" s="4">
        <f>Hotel!Z29</f>
        <v>2660</v>
      </c>
      <c r="O24" s="4">
        <f>Hotel!AA29</f>
        <v>3640</v>
      </c>
      <c r="P24" s="4">
        <f>Hotel!AB29</f>
        <v>7040</v>
      </c>
      <c r="Q24" s="4">
        <f>Hotel!AC29</f>
        <v>14020</v>
      </c>
      <c r="R24" s="4">
        <f>Hotel!AV29*0.00378541*100</f>
        <v>631.02784700000007</v>
      </c>
      <c r="S24" s="4">
        <f>Hotel!B29</f>
        <v>68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N31" sqref="AN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16"/>
        <v>560</v>
      </c>
      <c r="R23" s="37">
        <f t="shared" si="17"/>
        <v>1910</v>
      </c>
      <c r="S23" s="37">
        <f t="shared" si="15"/>
        <v>2860</v>
      </c>
      <c r="T23" s="37">
        <f t="shared" si="18"/>
        <v>1470</v>
      </c>
      <c r="U23" s="37">
        <f t="shared" si="19"/>
        <v>5390</v>
      </c>
      <c r="V23" s="37">
        <f t="shared" si="20"/>
        <v>3410</v>
      </c>
      <c r="W23" s="37">
        <f t="shared" si="21"/>
        <v>2430</v>
      </c>
      <c r="X23" s="37">
        <f t="shared" si="22"/>
        <v>3730</v>
      </c>
      <c r="Y23" s="37">
        <f t="shared" si="23"/>
        <v>5880</v>
      </c>
      <c r="Z23" s="37">
        <f t="shared" si="24"/>
        <v>2610</v>
      </c>
      <c r="AA23" s="37">
        <f t="shared" si="25"/>
        <v>3580</v>
      </c>
      <c r="AB23" s="37">
        <f t="shared" si="26"/>
        <v>6940</v>
      </c>
      <c r="AC23" s="37">
        <f t="shared" si="27"/>
        <v>10870</v>
      </c>
      <c r="AD23" s="35">
        <f t="shared" si="28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29"/>
        <v>258.20000000000005</v>
      </c>
      <c r="AU23" s="47">
        <v>412882</v>
      </c>
      <c r="AV23" s="37">
        <f t="shared" si="31"/>
        <v>1857</v>
      </c>
      <c r="AW23" s="35">
        <f t="shared" si="30"/>
        <v>3.714</v>
      </c>
    </row>
    <row r="24" spans="1:49" x14ac:dyDescent="0.25">
      <c r="A24" s="23">
        <v>44214</v>
      </c>
      <c r="B24" s="40">
        <v>53</v>
      </c>
      <c r="C24" s="24">
        <v>6517290</v>
      </c>
      <c r="D24" s="24">
        <v>15068780</v>
      </c>
      <c r="E24" s="24">
        <v>2307590</v>
      </c>
      <c r="F24" s="24">
        <v>3259570</v>
      </c>
      <c r="G24" s="24">
        <v>9797300</v>
      </c>
      <c r="H24" s="24">
        <v>5079350</v>
      </c>
      <c r="I24" s="24">
        <v>4753520</v>
      </c>
      <c r="J24" s="24">
        <v>5453740</v>
      </c>
      <c r="K24" s="24">
        <v>8539310</v>
      </c>
      <c r="L24" s="24">
        <v>3488930</v>
      </c>
      <c r="M24" s="24">
        <v>7444060</v>
      </c>
      <c r="N24" s="24">
        <v>11086220</v>
      </c>
      <c r="O24" s="24">
        <v>15203500</v>
      </c>
      <c r="Q24" s="37">
        <f t="shared" si="16"/>
        <v>550</v>
      </c>
      <c r="R24" s="37">
        <f t="shared" si="17"/>
        <v>1910</v>
      </c>
      <c r="S24" s="37">
        <f t="shared" si="15"/>
        <v>2710</v>
      </c>
      <c r="T24" s="37">
        <f t="shared" si="18"/>
        <v>1450</v>
      </c>
      <c r="U24" s="37">
        <f t="shared" si="19"/>
        <v>5060</v>
      </c>
      <c r="V24" s="37">
        <f t="shared" si="20"/>
        <v>3330</v>
      </c>
      <c r="W24" s="37">
        <f t="shared" si="21"/>
        <v>2430</v>
      </c>
      <c r="X24" s="37">
        <f t="shared" si="22"/>
        <v>3920</v>
      </c>
      <c r="Y24" s="37">
        <f t="shared" si="23"/>
        <v>5740</v>
      </c>
      <c r="Z24" s="37">
        <f t="shared" si="24"/>
        <v>2620</v>
      </c>
      <c r="AA24" s="37">
        <f t="shared" si="25"/>
        <v>3260</v>
      </c>
      <c r="AB24" s="37">
        <f t="shared" si="26"/>
        <v>6850</v>
      </c>
      <c r="AC24" s="37">
        <f t="shared" si="27"/>
        <v>12080</v>
      </c>
      <c r="AD24" s="35">
        <f t="shared" si="28"/>
        <v>51910</v>
      </c>
      <c r="AF24" s="20">
        <f t="shared" si="1"/>
        <v>2.75</v>
      </c>
      <c r="AG24" s="20">
        <f t="shared" si="2"/>
        <v>9.5500000000000007</v>
      </c>
      <c r="AH24" s="20">
        <f t="shared" si="3"/>
        <v>13.55</v>
      </c>
      <c r="AI24" s="20">
        <f t="shared" si="4"/>
        <v>7.25</v>
      </c>
      <c r="AJ24" s="20">
        <f t="shared" si="5"/>
        <v>25.3</v>
      </c>
      <c r="AK24" s="20">
        <f t="shared" si="6"/>
        <v>16.649999999999999</v>
      </c>
      <c r="AL24" s="20">
        <f t="shared" si="7"/>
        <v>12.15</v>
      </c>
      <c r="AM24" s="20">
        <f t="shared" si="8"/>
        <v>19.600000000000001</v>
      </c>
      <c r="AN24" s="20">
        <f t="shared" si="9"/>
        <v>28.7</v>
      </c>
      <c r="AO24" s="20">
        <f t="shared" si="10"/>
        <v>13.1</v>
      </c>
      <c r="AP24" s="20">
        <f t="shared" si="11"/>
        <v>16.3</v>
      </c>
      <c r="AQ24" s="20">
        <f t="shared" si="12"/>
        <v>34.25</v>
      </c>
      <c r="AR24" s="20">
        <f t="shared" si="13"/>
        <v>60.4</v>
      </c>
      <c r="AS24" s="35">
        <f t="shared" si="29"/>
        <v>259.55</v>
      </c>
      <c r="AU24" s="47">
        <v>414410</v>
      </c>
      <c r="AV24" s="37">
        <f t="shared" si="31"/>
        <v>1528</v>
      </c>
      <c r="AW24" s="35">
        <f t="shared" si="30"/>
        <v>3.056</v>
      </c>
    </row>
    <row r="25" spans="1:49" x14ac:dyDescent="0.25">
      <c r="A25" s="23">
        <v>44215</v>
      </c>
      <c r="B25" s="40">
        <v>47</v>
      </c>
      <c r="C25" s="24">
        <v>6517810</v>
      </c>
      <c r="D25" s="24">
        <v>15070590</v>
      </c>
      <c r="E25" s="24">
        <v>2310110</v>
      </c>
      <c r="F25" s="24">
        <v>3261090</v>
      </c>
      <c r="G25" s="24">
        <v>9802170</v>
      </c>
      <c r="H25" s="24">
        <v>5082460</v>
      </c>
      <c r="I25" s="24">
        <v>4755850</v>
      </c>
      <c r="J25" s="24">
        <v>5457570</v>
      </c>
      <c r="K25" s="24">
        <v>8544550</v>
      </c>
      <c r="L25" s="24">
        <v>3491420</v>
      </c>
      <c r="M25" s="24">
        <v>7447230</v>
      </c>
      <c r="N25" s="24">
        <v>11092870</v>
      </c>
      <c r="O25" s="24">
        <v>15213970</v>
      </c>
      <c r="Q25" s="37">
        <f t="shared" ref="Q25:AC27" si="33">IF((C25-C24&lt;0), "0",C25-C24)</f>
        <v>520</v>
      </c>
      <c r="R25" s="37">
        <f t="shared" si="33"/>
        <v>1810</v>
      </c>
      <c r="S25" s="37">
        <f t="shared" si="33"/>
        <v>2520</v>
      </c>
      <c r="T25" s="37">
        <f t="shared" si="33"/>
        <v>1520</v>
      </c>
      <c r="U25" s="37">
        <f t="shared" si="33"/>
        <v>4870</v>
      </c>
      <c r="V25" s="37">
        <f t="shared" si="33"/>
        <v>3110</v>
      </c>
      <c r="W25" s="37">
        <f t="shared" si="33"/>
        <v>2330</v>
      </c>
      <c r="X25" s="37">
        <f t="shared" si="33"/>
        <v>3830</v>
      </c>
      <c r="Y25" s="37">
        <f t="shared" si="33"/>
        <v>5240</v>
      </c>
      <c r="Z25" s="37">
        <f t="shared" si="33"/>
        <v>2490</v>
      </c>
      <c r="AA25" s="37">
        <f t="shared" si="33"/>
        <v>3170</v>
      </c>
      <c r="AB25" s="37">
        <f t="shared" si="33"/>
        <v>6650</v>
      </c>
      <c r="AC25" s="37">
        <f t="shared" si="33"/>
        <v>10470</v>
      </c>
      <c r="AD25" s="35">
        <f t="shared" si="28"/>
        <v>48530</v>
      </c>
      <c r="AF25" s="20">
        <f t="shared" si="1"/>
        <v>2.6</v>
      </c>
      <c r="AG25" s="20">
        <f t="shared" si="2"/>
        <v>9.0500000000000007</v>
      </c>
      <c r="AH25" s="20">
        <f t="shared" si="3"/>
        <v>12.6</v>
      </c>
      <c r="AI25" s="20">
        <f t="shared" si="4"/>
        <v>7.6000000000000005</v>
      </c>
      <c r="AJ25" s="20">
        <f t="shared" si="5"/>
        <v>24.35</v>
      </c>
      <c r="AK25" s="20">
        <f t="shared" si="6"/>
        <v>15.55</v>
      </c>
      <c r="AL25" s="20">
        <f t="shared" si="7"/>
        <v>11.65</v>
      </c>
      <c r="AM25" s="20">
        <f t="shared" si="8"/>
        <v>19.150000000000002</v>
      </c>
      <c r="AN25" s="20">
        <f t="shared" si="9"/>
        <v>26.2</v>
      </c>
      <c r="AO25" s="20">
        <f t="shared" si="10"/>
        <v>12.450000000000001</v>
      </c>
      <c r="AP25" s="20">
        <f t="shared" si="11"/>
        <v>15.85</v>
      </c>
      <c r="AQ25" s="20">
        <f t="shared" si="12"/>
        <v>33.25</v>
      </c>
      <c r="AR25" s="20">
        <f t="shared" si="13"/>
        <v>52.35</v>
      </c>
      <c r="AS25" s="35">
        <f t="shared" si="29"/>
        <v>242.64999999999998</v>
      </c>
      <c r="AU25" s="47">
        <v>416189</v>
      </c>
      <c r="AV25" s="37">
        <f t="shared" si="31"/>
        <v>1779</v>
      </c>
      <c r="AW25" s="35">
        <f t="shared" si="30"/>
        <v>3.5580000000000003</v>
      </c>
    </row>
    <row r="26" spans="1:49" x14ac:dyDescent="0.25">
      <c r="A26" s="23">
        <v>44216</v>
      </c>
      <c r="B26" s="40">
        <v>55</v>
      </c>
      <c r="C26" s="24">
        <v>6518360</v>
      </c>
      <c r="D26" s="24">
        <v>15072480</v>
      </c>
      <c r="E26" s="24">
        <v>2312740</v>
      </c>
      <c r="F26" s="24">
        <v>3262520</v>
      </c>
      <c r="G26" s="24">
        <v>9807050</v>
      </c>
      <c r="H26" s="24">
        <v>5085610</v>
      </c>
      <c r="I26" s="24">
        <v>4758230</v>
      </c>
      <c r="J26" s="24">
        <v>5461730</v>
      </c>
      <c r="K26" s="24">
        <v>8550180</v>
      </c>
      <c r="L26" s="24">
        <v>3494010</v>
      </c>
      <c r="M26" s="24">
        <v>7450550</v>
      </c>
      <c r="N26" s="24">
        <v>11099590</v>
      </c>
      <c r="O26" s="24">
        <v>15225120</v>
      </c>
      <c r="Q26" s="37">
        <f t="shared" si="33"/>
        <v>550</v>
      </c>
      <c r="R26" s="37">
        <f t="shared" si="33"/>
        <v>1890</v>
      </c>
      <c r="S26" s="37">
        <f t="shared" si="33"/>
        <v>2630</v>
      </c>
      <c r="T26" s="37">
        <f t="shared" si="33"/>
        <v>1430</v>
      </c>
      <c r="U26" s="37">
        <f t="shared" si="33"/>
        <v>4880</v>
      </c>
      <c r="V26" s="37">
        <f t="shared" si="33"/>
        <v>3150</v>
      </c>
      <c r="W26" s="37">
        <f t="shared" si="33"/>
        <v>2380</v>
      </c>
      <c r="X26" s="37">
        <f t="shared" si="33"/>
        <v>4160</v>
      </c>
      <c r="Y26" s="37">
        <f t="shared" si="33"/>
        <v>5630</v>
      </c>
      <c r="Z26" s="37">
        <f t="shared" si="33"/>
        <v>2590</v>
      </c>
      <c r="AA26" s="37">
        <f t="shared" si="33"/>
        <v>3320</v>
      </c>
      <c r="AB26" s="37">
        <f t="shared" si="33"/>
        <v>6720</v>
      </c>
      <c r="AC26" s="37">
        <f t="shared" si="33"/>
        <v>11150</v>
      </c>
      <c r="AD26" s="35">
        <f t="shared" si="28"/>
        <v>50480</v>
      </c>
      <c r="AF26" s="20">
        <f t="shared" si="1"/>
        <v>2.75</v>
      </c>
      <c r="AG26" s="20">
        <f t="shared" si="2"/>
        <v>9.4500000000000011</v>
      </c>
      <c r="AH26" s="20">
        <f t="shared" si="3"/>
        <v>13.15</v>
      </c>
      <c r="AI26" s="20">
        <f t="shared" si="4"/>
        <v>7.15</v>
      </c>
      <c r="AJ26" s="20">
        <f t="shared" si="5"/>
        <v>24.400000000000002</v>
      </c>
      <c r="AK26" s="20">
        <f t="shared" si="6"/>
        <v>15.75</v>
      </c>
      <c r="AL26" s="20">
        <f t="shared" si="7"/>
        <v>11.9</v>
      </c>
      <c r="AM26" s="20">
        <f t="shared" si="8"/>
        <v>20.8</v>
      </c>
      <c r="AN26" s="20">
        <f t="shared" si="9"/>
        <v>28.150000000000002</v>
      </c>
      <c r="AO26" s="20">
        <f t="shared" si="10"/>
        <v>12.950000000000001</v>
      </c>
      <c r="AP26" s="20">
        <f t="shared" si="11"/>
        <v>16.600000000000001</v>
      </c>
      <c r="AQ26" s="20">
        <f t="shared" si="12"/>
        <v>33.6</v>
      </c>
      <c r="AR26" s="20">
        <f t="shared" si="13"/>
        <v>55.75</v>
      </c>
      <c r="AS26" s="35">
        <f t="shared" si="29"/>
        <v>252.39999999999998</v>
      </c>
      <c r="AU26" s="47">
        <v>417699</v>
      </c>
      <c r="AV26" s="37">
        <f t="shared" si="31"/>
        <v>1510</v>
      </c>
      <c r="AW26" s="35">
        <f t="shared" si="30"/>
        <v>3.02</v>
      </c>
    </row>
    <row r="27" spans="1:49" x14ac:dyDescent="0.25">
      <c r="A27" s="23">
        <v>44217</v>
      </c>
      <c r="B27" s="40">
        <v>110</v>
      </c>
      <c r="C27" s="24">
        <v>6518920</v>
      </c>
      <c r="D27" s="24">
        <v>15074420</v>
      </c>
      <c r="E27" s="24">
        <v>2315110</v>
      </c>
      <c r="F27" s="24">
        <v>3264120</v>
      </c>
      <c r="G27" s="24">
        <v>9812440</v>
      </c>
      <c r="H27" s="24">
        <v>5089150</v>
      </c>
      <c r="I27" s="24">
        <v>4760730</v>
      </c>
      <c r="J27" s="24">
        <v>5466280</v>
      </c>
      <c r="K27" s="24">
        <v>8556260</v>
      </c>
      <c r="L27" s="24">
        <v>3496670</v>
      </c>
      <c r="M27" s="24">
        <v>7454170</v>
      </c>
      <c r="N27" s="24">
        <v>11106450</v>
      </c>
      <c r="O27" s="24">
        <v>15239190</v>
      </c>
      <c r="Q27" s="37">
        <f t="shared" si="33"/>
        <v>560</v>
      </c>
      <c r="R27" s="37">
        <f t="shared" si="33"/>
        <v>1940</v>
      </c>
      <c r="S27" s="37">
        <f t="shared" si="33"/>
        <v>2370</v>
      </c>
      <c r="T27" s="37">
        <f t="shared" si="33"/>
        <v>1600</v>
      </c>
      <c r="U27" s="37">
        <f t="shared" si="33"/>
        <v>5390</v>
      </c>
      <c r="V27" s="37">
        <f t="shared" si="33"/>
        <v>3540</v>
      </c>
      <c r="W27" s="37">
        <f t="shared" si="33"/>
        <v>2500</v>
      </c>
      <c r="X27" s="37">
        <f t="shared" si="33"/>
        <v>4550</v>
      </c>
      <c r="Y27" s="37">
        <f t="shared" si="33"/>
        <v>6080</v>
      </c>
      <c r="Z27" s="37">
        <f t="shared" si="33"/>
        <v>2660</v>
      </c>
      <c r="AA27" s="37">
        <f t="shared" si="33"/>
        <v>3620</v>
      </c>
      <c r="AB27" s="37">
        <f t="shared" si="33"/>
        <v>6860</v>
      </c>
      <c r="AC27" s="37">
        <f t="shared" si="33"/>
        <v>14070</v>
      </c>
      <c r="AD27" s="35">
        <f t="shared" si="28"/>
        <v>55740</v>
      </c>
      <c r="AF27" s="20">
        <f t="shared" si="1"/>
        <v>2.8000000000000003</v>
      </c>
      <c r="AG27" s="20">
        <f t="shared" si="2"/>
        <v>9.7000000000000011</v>
      </c>
      <c r="AH27" s="20">
        <f t="shared" si="3"/>
        <v>11.85</v>
      </c>
      <c r="AI27" s="20">
        <f t="shared" si="4"/>
        <v>8</v>
      </c>
      <c r="AJ27" s="20">
        <f t="shared" si="5"/>
        <v>26.95</v>
      </c>
      <c r="AK27" s="20">
        <f t="shared" si="6"/>
        <v>17.7</v>
      </c>
      <c r="AL27" s="20">
        <f t="shared" si="7"/>
        <v>12.5</v>
      </c>
      <c r="AM27" s="20">
        <f t="shared" si="8"/>
        <v>22.75</v>
      </c>
      <c r="AN27" s="20">
        <f t="shared" si="9"/>
        <v>30.400000000000002</v>
      </c>
      <c r="AO27" s="20">
        <f t="shared" si="10"/>
        <v>13.3</v>
      </c>
      <c r="AP27" s="20">
        <f t="shared" si="11"/>
        <v>18.100000000000001</v>
      </c>
      <c r="AQ27" s="20">
        <f t="shared" si="12"/>
        <v>34.300000000000004</v>
      </c>
      <c r="AR27" s="20">
        <f t="shared" si="13"/>
        <v>70.350000000000009</v>
      </c>
      <c r="AS27" s="35">
        <f t="shared" si="29"/>
        <v>278.70000000000005</v>
      </c>
      <c r="AU27" s="47">
        <v>419239</v>
      </c>
      <c r="AV27" s="37">
        <f>IF((AU27-AU26&lt;0),"0",AU27-AU26)</f>
        <v>1540</v>
      </c>
      <c r="AW27" s="35">
        <f t="shared" si="30"/>
        <v>3.08</v>
      </c>
    </row>
    <row r="28" spans="1:49" x14ac:dyDescent="0.25">
      <c r="A28" s="23">
        <v>44218</v>
      </c>
      <c r="B28" s="40">
        <v>126</v>
      </c>
      <c r="C28" s="24">
        <v>6519450</v>
      </c>
      <c r="D28" s="24">
        <v>15076220</v>
      </c>
      <c r="E28" s="24">
        <v>2317390</v>
      </c>
      <c r="F28" s="24">
        <v>3265590</v>
      </c>
      <c r="G28" s="24">
        <v>9817990</v>
      </c>
      <c r="H28" s="24">
        <v>5092550</v>
      </c>
      <c r="I28" s="24">
        <v>4763010</v>
      </c>
      <c r="J28" s="24">
        <v>5470630</v>
      </c>
      <c r="K28" s="24">
        <v>8561920</v>
      </c>
      <c r="L28" s="24">
        <v>3499230</v>
      </c>
      <c r="M28" s="24">
        <v>7457670</v>
      </c>
      <c r="N28" s="24">
        <v>11113070</v>
      </c>
      <c r="O28" s="24">
        <v>15252730</v>
      </c>
      <c r="Q28" s="37">
        <f t="shared" si="16"/>
        <v>530</v>
      </c>
      <c r="R28" s="37">
        <f t="shared" si="17"/>
        <v>1800</v>
      </c>
      <c r="S28" s="37">
        <f t="shared" si="15"/>
        <v>2280</v>
      </c>
      <c r="T28" s="37">
        <f t="shared" si="18"/>
        <v>1470</v>
      </c>
      <c r="U28" s="37">
        <f t="shared" si="19"/>
        <v>5550</v>
      </c>
      <c r="V28" s="37">
        <f t="shared" si="20"/>
        <v>3400</v>
      </c>
      <c r="W28" s="37">
        <f t="shared" si="21"/>
        <v>2280</v>
      </c>
      <c r="X28" s="37">
        <f t="shared" si="22"/>
        <v>4350</v>
      </c>
      <c r="Y28" s="37">
        <f t="shared" si="23"/>
        <v>5660</v>
      </c>
      <c r="Z28" s="37">
        <f t="shared" si="24"/>
        <v>2560</v>
      </c>
      <c r="AA28" s="37">
        <f t="shared" si="25"/>
        <v>3500</v>
      </c>
      <c r="AB28" s="37">
        <f t="shared" si="26"/>
        <v>6620</v>
      </c>
      <c r="AC28" s="37">
        <f t="shared" si="27"/>
        <v>13540</v>
      </c>
      <c r="AD28" s="35">
        <f t="shared" si="28"/>
        <v>53540</v>
      </c>
      <c r="AF28" s="20">
        <f t="shared" si="1"/>
        <v>2.65</v>
      </c>
      <c r="AG28" s="20">
        <f t="shared" si="2"/>
        <v>9</v>
      </c>
      <c r="AH28" s="20">
        <f t="shared" si="3"/>
        <v>11.4</v>
      </c>
      <c r="AI28" s="20">
        <f t="shared" si="4"/>
        <v>7.3500000000000005</v>
      </c>
      <c r="AJ28" s="20">
        <f t="shared" si="5"/>
        <v>27.75</v>
      </c>
      <c r="AK28" s="20">
        <f t="shared" si="6"/>
        <v>17</v>
      </c>
      <c r="AL28" s="20">
        <f t="shared" si="7"/>
        <v>11.4</v>
      </c>
      <c r="AM28" s="20">
        <f t="shared" si="8"/>
        <v>21.75</v>
      </c>
      <c r="AN28" s="20">
        <f t="shared" si="9"/>
        <v>28.3</v>
      </c>
      <c r="AO28" s="20">
        <f t="shared" si="10"/>
        <v>12.8</v>
      </c>
      <c r="AP28" s="20">
        <f t="shared" si="11"/>
        <v>17.5</v>
      </c>
      <c r="AQ28" s="20">
        <f t="shared" si="12"/>
        <v>33.1</v>
      </c>
      <c r="AR28" s="20">
        <f t="shared" si="13"/>
        <v>67.7</v>
      </c>
      <c r="AS28" s="35">
        <f t="shared" si="29"/>
        <v>267.70000000000005</v>
      </c>
      <c r="AU28" s="47">
        <v>421189</v>
      </c>
      <c r="AV28" s="37">
        <f>IF((AU28-AU27&lt;0),"0",AU28-AU27)</f>
        <v>1950</v>
      </c>
      <c r="AW28" s="35">
        <f t="shared" si="30"/>
        <v>3.9</v>
      </c>
    </row>
    <row r="29" spans="1:49" x14ac:dyDescent="0.25">
      <c r="A29" s="23">
        <v>44219</v>
      </c>
      <c r="B29" s="40">
        <v>68</v>
      </c>
      <c r="C29" s="24">
        <v>6519990</v>
      </c>
      <c r="D29" s="24">
        <v>15078090</v>
      </c>
      <c r="E29" s="24">
        <v>2319680</v>
      </c>
      <c r="F29" s="24">
        <v>3266910</v>
      </c>
      <c r="G29" s="24">
        <v>9823640</v>
      </c>
      <c r="H29" s="24">
        <v>5095980</v>
      </c>
      <c r="I29" s="24">
        <v>4765350</v>
      </c>
      <c r="J29" s="24">
        <v>5475020</v>
      </c>
      <c r="K29" s="24">
        <v>8567560</v>
      </c>
      <c r="L29" s="24">
        <v>3501890</v>
      </c>
      <c r="M29" s="24">
        <v>7461310</v>
      </c>
      <c r="N29" s="24">
        <v>11120110</v>
      </c>
      <c r="O29" s="24">
        <v>15266750</v>
      </c>
      <c r="Q29" s="37">
        <f t="shared" si="16"/>
        <v>540</v>
      </c>
      <c r="R29" s="37">
        <f t="shared" si="17"/>
        <v>1870</v>
      </c>
      <c r="S29" s="37">
        <f t="shared" si="15"/>
        <v>2290</v>
      </c>
      <c r="T29" s="37">
        <f t="shared" si="18"/>
        <v>1320</v>
      </c>
      <c r="U29" s="37">
        <f t="shared" si="19"/>
        <v>5650</v>
      </c>
      <c r="V29" s="37">
        <f t="shared" si="20"/>
        <v>3430</v>
      </c>
      <c r="W29" s="37">
        <f t="shared" si="21"/>
        <v>2340</v>
      </c>
      <c r="X29" s="37">
        <f t="shared" si="22"/>
        <v>4390</v>
      </c>
      <c r="Y29" s="37">
        <f t="shared" si="23"/>
        <v>5640</v>
      </c>
      <c r="Z29" s="37">
        <f t="shared" si="24"/>
        <v>2660</v>
      </c>
      <c r="AA29" s="37">
        <f t="shared" si="25"/>
        <v>3640</v>
      </c>
      <c r="AB29" s="37">
        <f t="shared" si="26"/>
        <v>7040</v>
      </c>
      <c r="AC29" s="37">
        <f t="shared" si="27"/>
        <v>14020</v>
      </c>
      <c r="AD29" s="35">
        <f t="shared" si="28"/>
        <v>54830</v>
      </c>
      <c r="AF29" s="20">
        <f t="shared" si="1"/>
        <v>2.7</v>
      </c>
      <c r="AG29" s="20">
        <f t="shared" si="2"/>
        <v>9.35</v>
      </c>
      <c r="AH29" s="20">
        <f t="shared" si="3"/>
        <v>11.450000000000001</v>
      </c>
      <c r="AI29" s="20">
        <f t="shared" si="4"/>
        <v>6.6000000000000005</v>
      </c>
      <c r="AJ29" s="20">
        <f t="shared" si="5"/>
        <v>28.25</v>
      </c>
      <c r="AK29" s="20">
        <f t="shared" si="6"/>
        <v>17.150000000000002</v>
      </c>
      <c r="AL29" s="20">
        <f t="shared" si="7"/>
        <v>11.700000000000001</v>
      </c>
      <c r="AM29" s="20">
        <f t="shared" si="8"/>
        <v>21.95</v>
      </c>
      <c r="AN29" s="20">
        <f t="shared" si="9"/>
        <v>28.2</v>
      </c>
      <c r="AO29" s="20">
        <f t="shared" si="10"/>
        <v>13.3</v>
      </c>
      <c r="AP29" s="20">
        <f t="shared" si="11"/>
        <v>18.2</v>
      </c>
      <c r="AQ29" s="20">
        <f t="shared" si="12"/>
        <v>35.200000000000003</v>
      </c>
      <c r="AR29" s="20">
        <f t="shared" si="13"/>
        <v>70.100000000000009</v>
      </c>
      <c r="AS29" s="35">
        <f t="shared" si="29"/>
        <v>274.15000000000003</v>
      </c>
      <c r="AU29" s="47">
        <v>422856</v>
      </c>
      <c r="AV29" s="37">
        <f t="shared" ref="AV29:AV35" si="34">IF((AU29-AU28&lt;0),"0",AU29-AU28)</f>
        <v>1667</v>
      </c>
      <c r="AW29" s="35">
        <f t="shared" si="30"/>
        <v>3.3340000000000001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6"/>
        <v>0</v>
      </c>
      <c r="R30" s="37" t="str">
        <f t="shared" si="17"/>
        <v>0</v>
      </c>
      <c r="S30" s="37" t="str">
        <f t="shared" si="15"/>
        <v>0</v>
      </c>
      <c r="T30" s="37" t="str">
        <f t="shared" si="18"/>
        <v>0</v>
      </c>
      <c r="U30" s="37" t="str">
        <f t="shared" si="19"/>
        <v>0</v>
      </c>
      <c r="V30" s="37" t="str">
        <f t="shared" si="20"/>
        <v>0</v>
      </c>
      <c r="W30" s="37" t="str">
        <f t="shared" si="21"/>
        <v>0</v>
      </c>
      <c r="X30" s="37" t="str">
        <f t="shared" si="22"/>
        <v>0</v>
      </c>
      <c r="Y30" s="37" t="str">
        <f t="shared" si="23"/>
        <v>0</v>
      </c>
      <c r="Z30" s="37" t="str">
        <f t="shared" si="24"/>
        <v>0</v>
      </c>
      <c r="AA30" s="37" t="str">
        <f t="shared" si="25"/>
        <v>0</v>
      </c>
      <c r="AB30" s="37" t="str">
        <f t="shared" si="26"/>
        <v>0</v>
      </c>
      <c r="AC30" s="37" t="str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12580</v>
      </c>
      <c r="R38" s="30">
        <f t="shared" si="62"/>
        <v>43140</v>
      </c>
      <c r="S38" s="30">
        <f t="shared" si="62"/>
        <v>52350</v>
      </c>
      <c r="T38" s="30">
        <f t="shared" si="62"/>
        <v>40600</v>
      </c>
      <c r="U38" s="30">
        <f t="shared" si="62"/>
        <v>125920</v>
      </c>
      <c r="V38" s="30">
        <f t="shared" si="62"/>
        <v>78280</v>
      </c>
      <c r="W38" s="30">
        <f t="shared" si="62"/>
        <v>54460</v>
      </c>
      <c r="X38" s="30">
        <f t="shared" si="62"/>
        <v>90280</v>
      </c>
      <c r="Y38" s="30">
        <f t="shared" si="62"/>
        <v>130040</v>
      </c>
      <c r="Z38" s="30">
        <f t="shared" si="62"/>
        <v>59550</v>
      </c>
      <c r="AA38" s="30">
        <f t="shared" si="62"/>
        <v>82170</v>
      </c>
      <c r="AB38" s="30">
        <f t="shared" si="62"/>
        <v>154820</v>
      </c>
      <c r="AC38" s="30">
        <f t="shared" si="62"/>
        <v>271590</v>
      </c>
      <c r="AD38" s="35">
        <f t="shared" si="62"/>
        <v>1195780</v>
      </c>
      <c r="AF38" s="35">
        <f t="shared" ref="AF38:AS38" si="63">SUM(AF7:AF34)</f>
        <v>62.900000000000006</v>
      </c>
      <c r="AG38" s="35">
        <f t="shared" si="63"/>
        <v>215.70000000000005</v>
      </c>
      <c r="AH38" s="35">
        <f t="shared" si="63"/>
        <v>261.75000000000006</v>
      </c>
      <c r="AI38" s="35">
        <f t="shared" si="63"/>
        <v>202.99999999999997</v>
      </c>
      <c r="AJ38" s="35">
        <f t="shared" si="63"/>
        <v>629.6</v>
      </c>
      <c r="AK38" s="35">
        <f t="shared" si="63"/>
        <v>391.40000000000003</v>
      </c>
      <c r="AL38" s="35">
        <f t="shared" si="63"/>
        <v>272.3</v>
      </c>
      <c r="AM38" s="35">
        <f t="shared" si="63"/>
        <v>451.4</v>
      </c>
      <c r="AN38" s="35">
        <f t="shared" si="63"/>
        <v>650.19999999999993</v>
      </c>
      <c r="AO38" s="35">
        <f t="shared" si="63"/>
        <v>297.75</v>
      </c>
      <c r="AP38" s="35">
        <f t="shared" si="63"/>
        <v>410.85</v>
      </c>
      <c r="AQ38" s="35">
        <f t="shared" si="63"/>
        <v>774.10000000000014</v>
      </c>
      <c r="AR38" s="35">
        <f t="shared" si="63"/>
        <v>1357.9499999999998</v>
      </c>
      <c r="AS38" s="35">
        <f t="shared" si="63"/>
        <v>5978.9</v>
      </c>
      <c r="AU38" s="48"/>
      <c r="AV38" s="35">
        <f>SUM(AV7:AV34)</f>
        <v>40043</v>
      </c>
      <c r="AW38" s="35">
        <f>SUM(AW7:AW34)</f>
        <v>71.928000000000011</v>
      </c>
    </row>
    <row r="39" spans="1:49" x14ac:dyDescent="0.25">
      <c r="D39">
        <v>5.0000000000000001E-3</v>
      </c>
      <c r="AV39" s="36">
        <f>AV38*0.00378541*1000</f>
        <v>151579.17262999999</v>
      </c>
    </row>
    <row r="40" spans="1:49" x14ac:dyDescent="0.25">
      <c r="D40">
        <v>2E-3</v>
      </c>
      <c r="AV40">
        <f>AV39/31</f>
        <v>4889.6507299999994</v>
      </c>
    </row>
    <row r="41" spans="1:49" x14ac:dyDescent="0.25">
      <c r="AV41">
        <f>AV38*0.00378541</f>
        <v>151.57917262999999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2021-01-24T05:14:09Z</dcterms:modified>
</cp:coreProperties>
</file>