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OCt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20" i="9" l="1"/>
  <c r="R21" i="9"/>
  <c r="R22" i="9"/>
  <c r="R23" i="9"/>
  <c r="R24" i="9"/>
  <c r="R25" i="9"/>
  <c r="R26" i="9"/>
  <c r="R27" i="9"/>
  <c r="R28" i="9"/>
  <c r="R29" i="9"/>
  <c r="R30" i="9"/>
  <c r="R31" i="9"/>
  <c r="R32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20" i="9"/>
  <c r="N21" i="9"/>
  <c r="N22" i="9"/>
  <c r="N23" i="9"/>
  <c r="N24" i="9"/>
  <c r="N25" i="9"/>
  <c r="N26" i="9"/>
  <c r="N27" i="9"/>
  <c r="N28" i="9"/>
  <c r="N29" i="9"/>
  <c r="N30" i="9"/>
  <c r="N31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AB26" i="7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G20" i="5" s="1"/>
  <c r="AV26" i="7"/>
  <c r="AW26" i="7" s="1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Q26" i="7"/>
  <c r="Q27" i="7"/>
  <c r="AF27" i="7" s="1"/>
  <c r="Q28" i="7"/>
  <c r="AF28" i="7" s="1"/>
  <c r="Q29" i="7"/>
  <c r="AF29" i="7" s="1"/>
  <c r="Q30" i="7"/>
  <c r="AF32" i="7"/>
  <c r="AF33" i="7"/>
  <c r="Q8" i="7"/>
  <c r="E3" i="9" s="1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J9" i="7" l="1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C38" i="7"/>
  <c r="AQ12" i="7"/>
  <c r="AM13" i="7"/>
  <c r="AG13" i="7"/>
  <c r="AD13" i="7"/>
  <c r="AJ31" i="7"/>
  <c r="AM25" i="7"/>
  <c r="AI15" i="7"/>
  <c r="AI36" i="7"/>
  <c r="U38" i="7"/>
  <c r="AA38" i="7"/>
  <c r="Y38" i="7"/>
  <c r="AD23" i="7"/>
  <c r="AP26" i="7"/>
  <c r="AI33" i="7"/>
  <c r="AK28" i="7"/>
  <c r="AQ20" i="7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S38" i="7"/>
  <c r="AV38" i="7"/>
  <c r="Z38" i="7"/>
  <c r="AD19" i="7"/>
  <c r="AO25" i="7"/>
  <c r="AH20" i="7"/>
  <c r="Q38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S34" i="7" l="1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<sst xmlns="http://schemas.openxmlformats.org/spreadsheetml/2006/main" count="128" uniqueCount="49">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</sst>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5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10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67340</v>
      </c>
      <c r="F2" s="11">
        <v>5.0000000000000001E-3</v>
      </c>
      <c r="G2" s="12">
        <f>Submetering!R2</f>
        <v>925.53274499999998</v>
      </c>
      <c r="H2" s="11">
        <v>0.52800000000000002</v>
      </c>
      <c r="I2" s="12">
        <f>Hotel!B7</f>
        <v>162</v>
      </c>
    </row>
    <row r="3" spans="1:9" s="15" customFormat="1" x14ac:dyDescent="0.25">
      <c r="A3" s="21" t="s">
        <v>31</v>
      </c>
      <c r="B3" s="14">
        <f>B2+1</f>
        <v>2</v>
      </c>
      <c r="C3" s="3">
        <v>10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65080</v>
      </c>
      <c r="F3" s="11">
        <v>5.0000000000000001E-3</v>
      </c>
      <c r="G3" s="12">
        <f>Submetering!R3</f>
        <v>793.800477</v>
      </c>
      <c r="H3" s="11">
        <v>0.52800000000000002</v>
      </c>
      <c r="I3" s="12">
        <f>Hotel!B8</f>
        <v>177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10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63390</v>
      </c>
      <c r="F4" s="11">
        <v>5.0000000000000001E-3</v>
      </c>
      <c r="G4" s="12">
        <f>Submetering!R4</f>
        <v>1055.372308</v>
      </c>
      <c r="H4" s="11">
        <v>0.52800000000000002</v>
      </c>
      <c r="I4" s="12">
        <f>Hotel!B9</f>
        <v>93</v>
      </c>
    </row>
    <row r="5" spans="1:9" s="15" customFormat="1" x14ac:dyDescent="0.25">
      <c r="A5" s="21" t="s">
        <v>31</v>
      </c>
      <c r="B5" s="14">
        <f t="shared" si="0"/>
        <v>4</v>
      </c>
      <c r="C5" s="3">
        <v>10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66200</v>
      </c>
      <c r="F5" s="11">
        <v>5.0000000000000001E-3</v>
      </c>
      <c r="G5" s="12">
        <f>Submetering!R5</f>
        <v>908.87694099999999</v>
      </c>
      <c r="H5" s="11">
        <v>0.52800000000000002</v>
      </c>
      <c r="I5" s="12">
        <f>Hotel!B10</f>
        <v>65</v>
      </c>
    </row>
    <row r="6" spans="1:9" s="15" customFormat="1" x14ac:dyDescent="0.25">
      <c r="A6" s="21" t="s">
        <v>31</v>
      </c>
      <c r="B6" s="14">
        <f t="shared" si="0"/>
        <v>5</v>
      </c>
      <c r="C6" s="3">
        <v>10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57310</v>
      </c>
      <c r="F6" s="11">
        <v>5.0000000000000001E-3</v>
      </c>
      <c r="G6" s="12">
        <f>Submetering!R6</f>
        <v>718.09227699999997</v>
      </c>
      <c r="H6" s="11">
        <v>0.52800000000000002</v>
      </c>
      <c r="I6" s="12">
        <f>Hotel!B11</f>
        <v>57</v>
      </c>
    </row>
    <row r="7" spans="1:9" s="15" customFormat="1" x14ac:dyDescent="0.25">
      <c r="A7" s="21" t="s">
        <v>31</v>
      </c>
      <c r="B7" s="14">
        <f t="shared" si="0"/>
        <v>6</v>
      </c>
      <c r="C7" s="3">
        <v>10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62890</v>
      </c>
      <c r="F7" s="11">
        <v>5.0000000000000001E-3</v>
      </c>
      <c r="G7" s="12">
        <f>Submetering!R7</f>
        <v>791.15069000000005</v>
      </c>
      <c r="H7" s="11">
        <v>0.52800000000000002</v>
      </c>
      <c r="I7" s="12">
        <f>Hotel!B12</f>
        <v>61</v>
      </c>
    </row>
    <row r="8" spans="1:9" s="15" customFormat="1" x14ac:dyDescent="0.25">
      <c r="A8" s="21" t="s">
        <v>31</v>
      </c>
      <c r="B8" s="14">
        <f t="shared" si="0"/>
        <v>7</v>
      </c>
      <c r="C8" s="3">
        <v>10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62050</v>
      </c>
      <c r="F8" s="11">
        <v>5.0000000000000001E-3</v>
      </c>
      <c r="G8" s="12">
        <f>Submetering!R8</f>
        <v>1016.0040439999999</v>
      </c>
      <c r="H8" s="11">
        <v>0.52800000000000002</v>
      </c>
      <c r="I8" s="12">
        <f>Hotel!B13</f>
        <v>63</v>
      </c>
    </row>
    <row r="9" spans="1:9" s="15" customFormat="1" x14ac:dyDescent="0.25">
      <c r="A9" s="21" t="s">
        <v>31</v>
      </c>
      <c r="B9" s="14">
        <f t="shared" si="0"/>
        <v>8</v>
      </c>
      <c r="C9" s="3">
        <v>10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0</v>
      </c>
      <c r="F9" s="11">
        <v>5.0000000000000001E-3</v>
      </c>
      <c r="G9" s="12">
        <f>Submetering!R9</f>
        <v>0</v>
      </c>
      <c r="H9" s="11">
        <v>0.52800000000000002</v>
      </c>
      <c r="I9" s="12">
        <f>Hotel!B14</f>
        <v>0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10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10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10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10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10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10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10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10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10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10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10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10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10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10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10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10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10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10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10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10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10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10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10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10</v>
      </c>
      <c r="D2" s="2">
        <v>2020</v>
      </c>
      <c r="E2" s="4">
        <f>Hotel!Q7</f>
        <v>1010</v>
      </c>
      <c r="F2" s="4">
        <f>Hotel!R7</f>
        <v>16790</v>
      </c>
      <c r="G2" s="4">
        <f>Hotel!S7</f>
        <v>4560</v>
      </c>
      <c r="H2" s="4">
        <f>Hotel!T7</f>
        <v>1640</v>
      </c>
      <c r="I2" s="4">
        <f>Hotel!U7</f>
        <v>5270</v>
      </c>
      <c r="J2" s="4">
        <f>Hotel!V7</f>
        <v>3500</v>
      </c>
      <c r="K2" s="4">
        <f>Hotel!W7</f>
        <v>2390</v>
      </c>
      <c r="L2" s="4">
        <f>Hotel!X7</f>
        <v>3690</v>
      </c>
      <c r="M2" s="4">
        <f>Hotel!Y7</f>
        <v>5250</v>
      </c>
      <c r="N2" s="4">
        <f>Hotel!Z7</f>
        <v>3140</v>
      </c>
      <c r="O2" s="4">
        <f>Hotel!AA7</f>
        <v>3710</v>
      </c>
      <c r="P2" s="4">
        <f>Hotel!AB7</f>
        <v>7040</v>
      </c>
      <c r="Q2" s="4">
        <f>Hotel!AC7</f>
        <v>9350</v>
      </c>
      <c r="R2" s="4">
        <f>Hotel!AV7*0.00378541*100</f>
        <v>925.53274499999998</v>
      </c>
      <c r="S2" s="4">
        <f>Hotel!B7</f>
        <v>162</v>
      </c>
    </row>
    <row r="3" spans="1:19" x14ac:dyDescent="0.25">
      <c r="A3" s="21" t="s">
        <v>31</v>
      </c>
      <c r="B3" s="2">
        <f>B2+1</f>
        <v>2</v>
      </c>
      <c r="C3" s="10">
        <v>10</v>
      </c>
      <c r="D3" s="2">
        <v>2020</v>
      </c>
      <c r="E3" s="4">
        <f>Hotel!Q8</f>
        <v>970</v>
      </c>
      <c r="F3" s="4">
        <f>Hotel!R8</f>
        <v>16000</v>
      </c>
      <c r="G3" s="4">
        <f>Hotel!S8</f>
        <v>4320</v>
      </c>
      <c r="H3" s="4">
        <f>Hotel!T8</f>
        <v>1580</v>
      </c>
      <c r="I3" s="4">
        <f>Hotel!U8</f>
        <v>5320</v>
      </c>
      <c r="J3" s="4">
        <f>Hotel!V8</f>
        <v>3400</v>
      </c>
      <c r="K3" s="4">
        <f>Hotel!W8</f>
        <v>2310</v>
      </c>
      <c r="L3" s="4">
        <f>Hotel!X8</f>
        <v>3650</v>
      </c>
      <c r="M3" s="4">
        <f>Hotel!Y8</f>
        <v>5320</v>
      </c>
      <c r="N3" s="4">
        <f>Hotel!Z8</f>
        <v>3020</v>
      </c>
      <c r="O3" s="4">
        <f>Hotel!AA8</f>
        <v>3730</v>
      </c>
      <c r="P3" s="4">
        <f>Hotel!AB8</f>
        <v>6940</v>
      </c>
      <c r="Q3" s="4">
        <f>Hotel!AC8</f>
        <v>8520</v>
      </c>
      <c r="R3" s="4">
        <f>Hotel!AV8*0.00378541*100</f>
        <v>793.800477</v>
      </c>
      <c r="S3" s="4">
        <f>Hotel!B8</f>
        <v>177</v>
      </c>
    </row>
    <row r="4" spans="1:19" x14ac:dyDescent="0.25">
      <c r="A4" s="21" t="s">
        <v>31</v>
      </c>
      <c r="B4" s="2">
        <f t="shared" ref="B4:B29" si="0">B3+1</f>
        <v>3</v>
      </c>
      <c r="C4" s="10">
        <v>10</v>
      </c>
      <c r="D4" s="2">
        <v>2020</v>
      </c>
      <c r="E4" s="4">
        <f>Hotel!Q9</f>
        <v>1000</v>
      </c>
      <c r="F4" s="4">
        <f>Hotel!R9</f>
        <v>14420</v>
      </c>
      <c r="G4" s="4">
        <f>Hotel!S9</f>
        <v>3740</v>
      </c>
      <c r="H4" s="4">
        <f>Hotel!T9</f>
        <v>1610</v>
      </c>
      <c r="I4" s="4">
        <f>Hotel!U9</f>
        <v>4980</v>
      </c>
      <c r="J4" s="4">
        <f>Hotel!V9</f>
        <v>3380</v>
      </c>
      <c r="K4" s="4">
        <f>Hotel!W9</f>
        <v>2380</v>
      </c>
      <c r="L4" s="4">
        <f>Hotel!X9</f>
        <v>3600</v>
      </c>
      <c r="M4" s="4">
        <f>Hotel!Y9</f>
        <v>5540</v>
      </c>
      <c r="N4" s="4">
        <f>Hotel!Z9</f>
        <v>2890</v>
      </c>
      <c r="O4" s="4">
        <f>Hotel!AA9</f>
        <v>3530</v>
      </c>
      <c r="P4" s="4">
        <f>Hotel!AB9</f>
        <v>7010</v>
      </c>
      <c r="Q4" s="4">
        <f>Hotel!AC9</f>
        <v>9310</v>
      </c>
      <c r="R4" s="4">
        <f>Hotel!AV9*0.00378541*100</f>
        <v>1055.372308</v>
      </c>
      <c r="S4" s="4">
        <f>Hotel!B9</f>
        <v>93</v>
      </c>
    </row>
    <row r="5" spans="1:19" x14ac:dyDescent="0.25">
      <c r="A5" s="21" t="s">
        <v>31</v>
      </c>
      <c r="B5" s="2">
        <f t="shared" si="0"/>
        <v>4</v>
      </c>
      <c r="C5" s="10">
        <v>10</v>
      </c>
      <c r="D5" s="2">
        <v>2020</v>
      </c>
      <c r="E5" s="4">
        <f>Hotel!Q10</f>
        <v>1100</v>
      </c>
      <c r="F5" s="4">
        <f>Hotel!R10</f>
        <v>14960</v>
      </c>
      <c r="G5" s="4">
        <f>Hotel!S10</f>
        <v>3810</v>
      </c>
      <c r="H5" s="4">
        <f>Hotel!T10</f>
        <v>1720</v>
      </c>
      <c r="I5" s="4">
        <f>Hotel!U10</f>
        <v>4920</v>
      </c>
      <c r="J5" s="4">
        <f>Hotel!V10</f>
        <v>3590</v>
      </c>
      <c r="K5" s="4">
        <f>Hotel!W10</f>
        <v>2570</v>
      </c>
      <c r="L5" s="4">
        <f>Hotel!X10</f>
        <v>3780</v>
      </c>
      <c r="M5" s="4">
        <f>Hotel!Y10</f>
        <v>5570</v>
      </c>
      <c r="N5" s="4">
        <f>Hotel!Z10</f>
        <v>2860</v>
      </c>
      <c r="O5" s="4">
        <f>Hotel!AA10</f>
        <v>3520</v>
      </c>
      <c r="P5" s="4">
        <f>Hotel!AB10</f>
        <v>7360</v>
      </c>
      <c r="Q5" s="4">
        <f>Hotel!AC10</f>
        <v>10440</v>
      </c>
      <c r="R5" s="4">
        <f>Hotel!AV10*0.00378541*100</f>
        <v>908.87694099999999</v>
      </c>
      <c r="S5" s="4">
        <f>Hotel!B10</f>
        <v>65</v>
      </c>
    </row>
    <row r="6" spans="1:19" x14ac:dyDescent="0.25">
      <c r="A6" s="21" t="s">
        <v>31</v>
      </c>
      <c r="B6" s="2">
        <f t="shared" si="0"/>
        <v>5</v>
      </c>
      <c r="C6" s="10">
        <v>10</v>
      </c>
      <c r="D6" s="2">
        <v>2020</v>
      </c>
      <c r="E6" s="4">
        <f>Hotel!Q11</f>
        <v>910</v>
      </c>
      <c r="F6" s="4">
        <f>Hotel!R11</f>
        <v>13620</v>
      </c>
      <c r="G6" s="4">
        <f>Hotel!S11</f>
        <v>3580</v>
      </c>
      <c r="H6" s="4">
        <f>Hotel!T11</f>
        <v>1430</v>
      </c>
      <c r="I6" s="4">
        <f>Hotel!U11</f>
        <v>4210</v>
      </c>
      <c r="J6" s="4">
        <f>Hotel!V11</f>
        <v>3110</v>
      </c>
      <c r="K6" s="4">
        <f>Hotel!W11</f>
        <v>2170</v>
      </c>
      <c r="L6" s="4">
        <f>Hotel!X11</f>
        <v>3500</v>
      </c>
      <c r="M6" s="4">
        <f>Hotel!Y11</f>
        <v>4730</v>
      </c>
      <c r="N6" s="4">
        <f>Hotel!Z11</f>
        <v>2270</v>
      </c>
      <c r="O6" s="4">
        <f>Hotel!AA11</f>
        <v>2730</v>
      </c>
      <c r="P6" s="4">
        <f>Hotel!AB11</f>
        <v>6160</v>
      </c>
      <c r="Q6" s="4">
        <f>Hotel!AC11</f>
        <v>8890</v>
      </c>
      <c r="R6" s="4">
        <f>Hotel!AV11*0.00378541*100</f>
        <v>718.09227699999997</v>
      </c>
      <c r="S6" s="4">
        <f>Hotel!B11</f>
        <v>57</v>
      </c>
    </row>
    <row r="7" spans="1:19" x14ac:dyDescent="0.25">
      <c r="A7" s="21" t="s">
        <v>31</v>
      </c>
      <c r="B7" s="2">
        <f t="shared" si="0"/>
        <v>6</v>
      </c>
      <c r="C7" s="10">
        <v>10</v>
      </c>
      <c r="D7" s="2">
        <v>2020</v>
      </c>
      <c r="E7" s="4">
        <f>Hotel!Q12</f>
        <v>1020</v>
      </c>
      <c r="F7" s="4">
        <f>Hotel!R12</f>
        <v>15190</v>
      </c>
      <c r="G7" s="4">
        <f>Hotel!S12</f>
        <v>3980</v>
      </c>
      <c r="H7" s="4">
        <f>Hotel!T12</f>
        <v>1610</v>
      </c>
      <c r="I7" s="4">
        <f>Hotel!U12</f>
        <v>4540</v>
      </c>
      <c r="J7" s="4">
        <f>Hotel!V12</f>
        <v>3350</v>
      </c>
      <c r="K7" s="4">
        <f>Hotel!W12</f>
        <v>2370</v>
      </c>
      <c r="L7" s="4">
        <f>Hotel!X12</f>
        <v>3730</v>
      </c>
      <c r="M7" s="4">
        <f>Hotel!Y12</f>
        <v>5050</v>
      </c>
      <c r="N7" s="4">
        <f>Hotel!Z12</f>
        <v>2510</v>
      </c>
      <c r="O7" s="4">
        <f>Hotel!AA12</f>
        <v>3050</v>
      </c>
      <c r="P7" s="4">
        <f>Hotel!AB12</f>
        <v>6650</v>
      </c>
      <c r="Q7" s="4">
        <f>Hotel!AC12</f>
        <v>9840</v>
      </c>
      <c r="R7" s="4">
        <f>Hotel!AV12*0.00378541*100</f>
        <v>791.15069000000005</v>
      </c>
      <c r="S7" s="4">
        <f>Hotel!B12</f>
        <v>61</v>
      </c>
    </row>
    <row r="8" spans="1:19" x14ac:dyDescent="0.25">
      <c r="A8" s="21" t="s">
        <v>31</v>
      </c>
      <c r="B8" s="2">
        <f t="shared" si="0"/>
        <v>7</v>
      </c>
      <c r="C8" s="10">
        <v>10</v>
      </c>
      <c r="D8" s="2">
        <v>2020</v>
      </c>
      <c r="E8" s="4">
        <f>Hotel!Q13</f>
        <v>1040</v>
      </c>
      <c r="F8" s="4">
        <f>Hotel!R13</f>
        <v>13460</v>
      </c>
      <c r="G8" s="4">
        <f>Hotel!S13</f>
        <v>3320</v>
      </c>
      <c r="H8" s="4">
        <f>Hotel!T13</f>
        <v>1610</v>
      </c>
      <c r="I8" s="4">
        <f>Hotel!U13</f>
        <v>4650</v>
      </c>
      <c r="J8" s="4">
        <f>Hotel!V13</f>
        <v>3330</v>
      </c>
      <c r="K8" s="4">
        <f>Hotel!W13</f>
        <v>2450</v>
      </c>
      <c r="L8" s="4">
        <f>Hotel!X13</f>
        <v>3770</v>
      </c>
      <c r="M8" s="4">
        <f>Hotel!Y13</f>
        <v>5070</v>
      </c>
      <c r="N8" s="4">
        <f>Hotel!Z13</f>
        <v>2660</v>
      </c>
      <c r="O8" s="4">
        <f>Hotel!AA13</f>
        <v>3030</v>
      </c>
      <c r="P8" s="4">
        <f>Hotel!AB13</f>
        <v>6880</v>
      </c>
      <c r="Q8" s="4">
        <f>Hotel!AC13</f>
        <v>10780</v>
      </c>
      <c r="R8" s="4">
        <f>Hotel!AV13*0.00378541*100</f>
        <v>1016.0040439999999</v>
      </c>
      <c r="S8" s="4">
        <f>Hotel!B13</f>
        <v>63</v>
      </c>
    </row>
    <row r="9" spans="1:19" x14ac:dyDescent="0.25">
      <c r="A9" s="21" t="s">
        <v>31</v>
      </c>
      <c r="B9" s="2">
        <f t="shared" si="0"/>
        <v>8</v>
      </c>
      <c r="C9" s="10">
        <v>10</v>
      </c>
      <c r="D9" s="2">
        <v>2020</v>
      </c>
      <c r="E9" s="4" t="str">
        <f>Hotel!Q14</f>
        <v>0</v>
      </c>
      <c r="F9" s="4" t="str">
        <f>Hotel!R14</f>
        <v>0</v>
      </c>
      <c r="G9" s="4" t="str">
        <f>Hotel!S14</f>
        <v>0</v>
      </c>
      <c r="H9" s="4" t="str">
        <f>Hotel!T14</f>
        <v>0</v>
      </c>
      <c r="I9" s="4" t="str">
        <f>Hotel!U14</f>
        <v>0</v>
      </c>
      <c r="J9" s="4" t="str">
        <f>Hotel!V14</f>
        <v>0</v>
      </c>
      <c r="K9" s="4" t="str">
        <f>Hotel!W14</f>
        <v>0</v>
      </c>
      <c r="L9" s="4" t="str">
        <f>Hotel!X14</f>
        <v>0</v>
      </c>
      <c r="M9" s="4" t="str">
        <f>Hotel!Y14</f>
        <v>0</v>
      </c>
      <c r="N9" s="4" t="str">
        <f>Hotel!Z14</f>
        <v>0</v>
      </c>
      <c r="O9" s="4" t="str">
        <f>Hotel!AA14</f>
        <v>0</v>
      </c>
      <c r="P9" s="4" t="str">
        <f>Hotel!AB14</f>
        <v>0</v>
      </c>
      <c r="Q9" s="4" t="str">
        <f>Hotel!AC14</f>
        <v>0</v>
      </c>
      <c r="R9" s="4">
        <f>Hotel!AV14*0.00378541*100</f>
        <v>0</v>
      </c>
      <c r="S9" s="4">
        <f>Hotel!B14</f>
        <v>0</v>
      </c>
    </row>
    <row r="10" spans="1:19" x14ac:dyDescent="0.25">
      <c r="A10" s="21" t="s">
        <v>31</v>
      </c>
      <c r="B10" s="2">
        <f t="shared" si="0"/>
        <v>9</v>
      </c>
      <c r="C10" s="10">
        <v>10</v>
      </c>
      <c r="D10" s="2">
        <v>2020</v>
      </c>
      <c r="E10" s="4">
        <f>Hotel!Q15</f>
        <v>0</v>
      </c>
      <c r="F10" s="4">
        <f>Hotel!R15</f>
        <v>0</v>
      </c>
      <c r="G10" s="4">
        <f>Hotel!S15</f>
        <v>0</v>
      </c>
      <c r="H10" s="4">
        <f>Hotel!T15</f>
        <v>0</v>
      </c>
      <c r="I10" s="4">
        <f>Hotel!U15</f>
        <v>0</v>
      </c>
      <c r="J10" s="4">
        <f>Hotel!V15</f>
        <v>0</v>
      </c>
      <c r="K10" s="4">
        <f>Hotel!W15</f>
        <v>0</v>
      </c>
      <c r="L10" s="4">
        <f>Hotel!X15</f>
        <v>0</v>
      </c>
      <c r="M10" s="4">
        <f>Hotel!Y15</f>
        <v>0</v>
      </c>
      <c r="N10" s="4">
        <f>Hotel!Z15</f>
        <v>0</v>
      </c>
      <c r="O10" s="4">
        <f>Hotel!AA15</f>
        <v>0</v>
      </c>
      <c r="P10" s="4">
        <f>Hotel!AB15</f>
        <v>0</v>
      </c>
      <c r="Q10" s="4">
        <f>Hotel!AC15</f>
        <v>0</v>
      </c>
      <c r="R10" s="4">
        <f>Hotel!AV15*0.00378541*100</f>
        <v>0</v>
      </c>
      <c r="S10" s="4">
        <f>Hotel!B15</f>
        <v>0</v>
      </c>
    </row>
    <row r="11" spans="1:19" x14ac:dyDescent="0.25">
      <c r="A11" s="21" t="s">
        <v>31</v>
      </c>
      <c r="B11" s="2">
        <f t="shared" si="0"/>
        <v>10</v>
      </c>
      <c r="C11" s="10">
        <v>10</v>
      </c>
      <c r="D11" s="2">
        <v>2020</v>
      </c>
      <c r="E11" s="4">
        <f>Hotel!Q16</f>
        <v>0</v>
      </c>
      <c r="F11" s="4">
        <f>Hotel!R16</f>
        <v>0</v>
      </c>
      <c r="G11" s="4">
        <f>Hotel!S16</f>
        <v>0</v>
      </c>
      <c r="H11" s="4">
        <f>Hotel!T16</f>
        <v>0</v>
      </c>
      <c r="I11" s="4">
        <f>Hotel!U16</f>
        <v>0</v>
      </c>
      <c r="J11" s="4">
        <f>Hotel!V16</f>
        <v>0</v>
      </c>
      <c r="K11" s="4">
        <f>Hotel!W16</f>
        <v>0</v>
      </c>
      <c r="L11" s="4">
        <f>Hotel!X16</f>
        <v>0</v>
      </c>
      <c r="M11" s="4">
        <f>Hotel!Y16</f>
        <v>0</v>
      </c>
      <c r="N11" s="4">
        <f>Hotel!Z16</f>
        <v>0</v>
      </c>
      <c r="O11" s="4">
        <f>Hotel!AA16</f>
        <v>0</v>
      </c>
      <c r="P11" s="4">
        <f>Hotel!AB16</f>
        <v>0</v>
      </c>
      <c r="Q11" s="4">
        <f>Hotel!AC16</f>
        <v>0</v>
      </c>
      <c r="R11" s="4">
        <f>Hotel!AV16*0.00378541*100</f>
        <v>0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10">
        <v>10</v>
      </c>
      <c r="D12" s="2">
        <v>2020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10">
        <v>10</v>
      </c>
      <c r="D13" s="2">
        <v>2020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10">
        <v>10</v>
      </c>
      <c r="D14" s="2">
        <v>2020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10">
        <v>10</v>
      </c>
      <c r="D15" s="2">
        <v>2020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10">
        <v>10</v>
      </c>
      <c r="D16" s="2">
        <v>2020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10</v>
      </c>
      <c r="D17" s="2">
        <v>2020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10</v>
      </c>
      <c r="D18" s="2">
        <v>2020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10">
        <v>10</v>
      </c>
      <c r="D19" s="2">
        <v>2020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10">
        <v>10</v>
      </c>
      <c r="D20" s="2">
        <v>2020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10">
        <v>10</v>
      </c>
      <c r="D21" s="2">
        <v>2020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10</v>
      </c>
      <c r="D22" s="2">
        <v>2020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10</v>
      </c>
      <c r="D23" s="2">
        <v>2020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10</v>
      </c>
      <c r="D24" s="2">
        <v>2020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10</v>
      </c>
      <c r="D25" s="2">
        <v>2020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10</v>
      </c>
      <c r="D26" s="2">
        <v>2020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10</v>
      </c>
      <c r="D27" s="2">
        <v>2020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10</v>
      </c>
      <c r="D28" s="2">
        <v>2020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10</v>
      </c>
      <c r="D29" s="2">
        <v>2020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10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10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10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S1" zoomScale="93" zoomScaleNormal="93" workbookViewId="0">
      <selection activeCell="AN25" sqref="AN25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0.7109375" style="2" bestFit="1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44104</v>
      </c>
      <c r="B2" s="40">
        <v>129</v>
      </c>
      <c r="C2" s="24">
        <v>6372950</v>
      </c>
      <c r="D2" s="24">
        <v>14333460</v>
      </c>
      <c r="E2" s="24">
        <v>2079800</v>
      </c>
      <c r="F2" s="24">
        <v>3047500</v>
      </c>
      <c r="G2" s="24">
        <v>9246040</v>
      </c>
      <c r="H2" s="24">
        <v>4705110</v>
      </c>
      <c r="I2" s="24">
        <v>4488810</v>
      </c>
      <c r="J2" s="53">
        <v>5038520</v>
      </c>
      <c r="K2" s="24">
        <v>7911320</v>
      </c>
      <c r="L2" s="24">
        <v>3202030</v>
      </c>
      <c r="M2" s="24">
        <v>7073920</v>
      </c>
      <c r="N2" s="24">
        <v>10320730</v>
      </c>
      <c r="O2" s="24">
        <v>13944190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211195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211195</v>
      </c>
    </row>
    <row r="7" spans="1:49" x14ac:dyDescent="0.25">
      <c r="A7" s="23">
        <v>44105</v>
      </c>
      <c r="B7" s="40">
        <v>162</v>
      </c>
      <c r="C7" s="24">
        <v>6373960</v>
      </c>
      <c r="D7" s="24">
        <v>14350250</v>
      </c>
      <c r="E7" s="24">
        <v>2084360</v>
      </c>
      <c r="F7" s="24">
        <v>3049140</v>
      </c>
      <c r="G7" s="24">
        <v>9251310</v>
      </c>
      <c r="H7" s="24">
        <v>4708610</v>
      </c>
      <c r="I7" s="24">
        <v>4491200</v>
      </c>
      <c r="J7" s="24">
        <v>5042210</v>
      </c>
      <c r="K7" s="24">
        <v>7916570</v>
      </c>
      <c r="L7" s="24">
        <v>3205170</v>
      </c>
      <c r="M7" s="24">
        <v>7077630</v>
      </c>
      <c r="N7" s="24">
        <v>10327770</v>
      </c>
      <c r="O7" s="24">
        <v>13953540</v>
      </c>
      <c r="Q7" s="37">
        <f>IF((C7-C2&lt;0), "0",C7-C2)</f>
        <v>1010</v>
      </c>
      <c r="R7" s="37">
        <f t="shared" ref="R7:AC7" si="0">IF((D7-D2&lt;0), "0",D7-D2)</f>
        <v>16790</v>
      </c>
      <c r="S7" s="37">
        <f>IF((E7-E2&lt;0), "0",E7-E2)</f>
        <v>4560</v>
      </c>
      <c r="T7" s="37">
        <f t="shared" si="0"/>
        <v>1640</v>
      </c>
      <c r="U7" s="37">
        <f t="shared" si="0"/>
        <v>5270</v>
      </c>
      <c r="V7" s="37">
        <f t="shared" si="0"/>
        <v>3500</v>
      </c>
      <c r="W7" s="37">
        <f t="shared" si="0"/>
        <v>2390</v>
      </c>
      <c r="X7" s="37">
        <f t="shared" si="0"/>
        <v>3690</v>
      </c>
      <c r="Y7" s="37">
        <f t="shared" si="0"/>
        <v>5250</v>
      </c>
      <c r="Z7" s="37">
        <f t="shared" si="0"/>
        <v>3140</v>
      </c>
      <c r="AA7" s="37">
        <f t="shared" si="0"/>
        <v>3710</v>
      </c>
      <c r="AB7" s="37">
        <f t="shared" si="0"/>
        <v>7040</v>
      </c>
      <c r="AC7" s="37">
        <f t="shared" si="0"/>
        <v>9350</v>
      </c>
      <c r="AD7" s="34">
        <f>SUM(Q7:AC7)</f>
        <v>67340</v>
      </c>
      <c r="AF7" s="20">
        <f t="shared" ref="AF7:AF36" si="1">Q7*$D$39</f>
        <v>5.05</v>
      </c>
      <c r="AG7" s="20">
        <f t="shared" ref="AG7:AG36" si="2">R7*$D$39</f>
        <v>83.95</v>
      </c>
      <c r="AH7" s="20">
        <f t="shared" ref="AH7:AH36" si="3">S7*$D$39</f>
        <v>22.8</v>
      </c>
      <c r="AI7" s="20">
        <f t="shared" ref="AI7:AI36" si="4">T7*$D$39</f>
        <v>8.1999999999999993</v>
      </c>
      <c r="AJ7" s="20">
        <f t="shared" ref="AJ7:AJ36" si="5">U7*$D$39</f>
        <v>26.35</v>
      </c>
      <c r="AK7" s="20">
        <f t="shared" ref="AK7:AK36" si="6">V7*$D$39</f>
        <v>17.5</v>
      </c>
      <c r="AL7" s="20">
        <f t="shared" ref="AL7:AL36" si="7">W7*$D$39</f>
        <v>11.950000000000001</v>
      </c>
      <c r="AM7" s="20">
        <f t="shared" ref="AM7:AM36" si="8">X7*$D$39</f>
        <v>18.45</v>
      </c>
      <c r="AN7" s="20">
        <f t="shared" ref="AN7:AN36" si="9">Y7*$D$39</f>
        <v>26.25</v>
      </c>
      <c r="AO7" s="20">
        <f t="shared" ref="AO7:AO36" si="10">Z7*$D$39</f>
        <v>15.700000000000001</v>
      </c>
      <c r="AP7" s="20">
        <f t="shared" ref="AP7:AP36" si="11">AA7*$D$39</f>
        <v>18.55</v>
      </c>
      <c r="AQ7" s="20">
        <f t="shared" ref="AQ7:AQ36" si="12">AB7*$D$39</f>
        <v>35.200000000000003</v>
      </c>
      <c r="AR7" s="20">
        <f t="shared" ref="AR7:AR36" si="13">AC7*$D$39</f>
        <v>46.75</v>
      </c>
      <c r="AS7" s="35">
        <f>SUM(AF7:AR7)</f>
        <v>336.7</v>
      </c>
      <c r="AU7" s="47">
        <v>213640</v>
      </c>
      <c r="AV7" s="37">
        <f>IF((AU7-AU6&lt;0),"0",AU7-AU6)</f>
        <v>2445</v>
      </c>
      <c r="AW7" s="50">
        <v>0</v>
      </c>
    </row>
    <row r="8" spans="1:49" x14ac:dyDescent="0.25">
      <c r="A8" s="23">
        <v>44106</v>
      </c>
      <c r="B8" s="40">
        <v>177</v>
      </c>
      <c r="C8" s="24">
        <v>6374930</v>
      </c>
      <c r="D8" s="24">
        <v>14366250</v>
      </c>
      <c r="E8" s="24">
        <v>2088680</v>
      </c>
      <c r="F8" s="24">
        <v>3050720</v>
      </c>
      <c r="G8" s="24">
        <v>9256630</v>
      </c>
      <c r="H8" s="24">
        <v>4712010</v>
      </c>
      <c r="I8" s="24">
        <v>4493510</v>
      </c>
      <c r="J8" s="24">
        <v>5045860</v>
      </c>
      <c r="K8" s="24">
        <v>7921890</v>
      </c>
      <c r="L8" s="24">
        <v>3208190</v>
      </c>
      <c r="M8" s="24">
        <v>7081360</v>
      </c>
      <c r="N8" s="24">
        <v>10334710</v>
      </c>
      <c r="O8" s="24">
        <v>13962060</v>
      </c>
      <c r="Q8" s="37">
        <f>IF((C8-C7&lt;0), "0",C8-C7)</f>
        <v>970</v>
      </c>
      <c r="R8" s="37">
        <f t="shared" ref="R8:AC8" si="14">IF((D8-D7&lt;0), "0",D8-D7)</f>
        <v>16000</v>
      </c>
      <c r="S8" s="37">
        <f t="shared" ref="S8:S35" si="15">IF((E8-E7&lt;0), "0",E8-E7)</f>
        <v>4320</v>
      </c>
      <c r="T8" s="37">
        <f t="shared" si="14"/>
        <v>1580</v>
      </c>
      <c r="U8" s="37">
        <f t="shared" si="14"/>
        <v>5320</v>
      </c>
      <c r="V8" s="37">
        <f t="shared" si="14"/>
        <v>3400</v>
      </c>
      <c r="W8" s="37">
        <f t="shared" si="14"/>
        <v>2310</v>
      </c>
      <c r="X8" s="37">
        <f t="shared" si="14"/>
        <v>3650</v>
      </c>
      <c r="Y8" s="37">
        <f t="shared" si="14"/>
        <v>5320</v>
      </c>
      <c r="Z8" s="37">
        <f t="shared" si="14"/>
        <v>3020</v>
      </c>
      <c r="AA8" s="37">
        <f t="shared" si="14"/>
        <v>3730</v>
      </c>
      <c r="AB8" s="37">
        <f t="shared" si="14"/>
        <v>6940</v>
      </c>
      <c r="AC8" s="37">
        <f t="shared" si="14"/>
        <v>8520</v>
      </c>
      <c r="AD8" s="35">
        <f>SUM(Q8:AC8)</f>
        <v>65080</v>
      </c>
      <c r="AF8" s="20">
        <f t="shared" si="1"/>
        <v>4.8500000000000005</v>
      </c>
      <c r="AG8" s="20">
        <f t="shared" si="2"/>
        <v>80</v>
      </c>
      <c r="AH8" s="20">
        <f t="shared" si="3"/>
        <v>21.6</v>
      </c>
      <c r="AI8" s="20">
        <f t="shared" si="4"/>
        <v>7.9</v>
      </c>
      <c r="AJ8" s="20">
        <f t="shared" si="5"/>
        <v>26.6</v>
      </c>
      <c r="AK8" s="20">
        <f t="shared" si="6"/>
        <v>17</v>
      </c>
      <c r="AL8" s="20">
        <f t="shared" si="7"/>
        <v>11.55</v>
      </c>
      <c r="AM8" s="20">
        <f t="shared" si="8"/>
        <v>18.25</v>
      </c>
      <c r="AN8" s="20">
        <f t="shared" si="9"/>
        <v>26.6</v>
      </c>
      <c r="AO8" s="20">
        <f t="shared" si="10"/>
        <v>15.1</v>
      </c>
      <c r="AP8" s="20">
        <f t="shared" si="11"/>
        <v>18.650000000000002</v>
      </c>
      <c r="AQ8" s="20">
        <f t="shared" si="12"/>
        <v>34.700000000000003</v>
      </c>
      <c r="AR8" s="20">
        <f t="shared" si="13"/>
        <v>42.6</v>
      </c>
      <c r="AS8" s="35">
        <f>SUM(AF8:AR8)</f>
        <v>325.40000000000003</v>
      </c>
      <c r="AU8" s="47">
        <v>215737</v>
      </c>
      <c r="AV8" s="37">
        <f>IF((AU8-AU7&lt;0),"0",AU8-AU7)</f>
        <v>2097</v>
      </c>
      <c r="AW8" s="35">
        <v>0</v>
      </c>
    </row>
    <row r="9" spans="1:49" x14ac:dyDescent="0.25">
      <c r="A9" s="23">
        <v>44107</v>
      </c>
      <c r="B9" s="40">
        <v>93</v>
      </c>
      <c r="C9" s="24">
        <v>6375930</v>
      </c>
      <c r="D9" s="24">
        <v>14380670</v>
      </c>
      <c r="E9" s="24">
        <v>2092420</v>
      </c>
      <c r="F9" s="24">
        <v>3052330</v>
      </c>
      <c r="G9" s="24">
        <v>9261610</v>
      </c>
      <c r="H9" s="24">
        <v>4715390</v>
      </c>
      <c r="I9" s="24">
        <v>4495890</v>
      </c>
      <c r="J9" s="24">
        <v>5049460</v>
      </c>
      <c r="K9" s="24">
        <v>7927430</v>
      </c>
      <c r="L9" s="24">
        <v>3211080</v>
      </c>
      <c r="M9" s="24">
        <v>7084890</v>
      </c>
      <c r="N9" s="24">
        <v>10341720</v>
      </c>
      <c r="O9" s="24">
        <v>13971370</v>
      </c>
      <c r="Q9" s="37">
        <f t="shared" ref="Q9:Q30" si="16">IF((C9-C8&lt;0), "0",C9-C8)</f>
        <v>1000</v>
      </c>
      <c r="R9" s="37">
        <f t="shared" ref="R9:R35" si="17">IF((D9-D8&lt;0), "0",D9-D8)</f>
        <v>14420</v>
      </c>
      <c r="S9" s="37">
        <f t="shared" si="15"/>
        <v>3740</v>
      </c>
      <c r="T9" s="37">
        <f t="shared" ref="T9:T35" si="18">IF((F9-F8&lt;0), "0",F9-F8)</f>
        <v>1610</v>
      </c>
      <c r="U9" s="37">
        <f t="shared" ref="U9:U35" si="19">IF((G9-G8&lt;0), "0",G9-G8)</f>
        <v>4980</v>
      </c>
      <c r="V9" s="37">
        <f t="shared" ref="V9:V35" si="20">IF((H9-H8&lt;0), "0",H9-H8)</f>
        <v>3380</v>
      </c>
      <c r="W9" s="37">
        <f t="shared" ref="W9:W35" si="21">IF((I9-I8&lt;0), "0",I9-I8)</f>
        <v>2380</v>
      </c>
      <c r="X9" s="37">
        <f t="shared" ref="X9:X35" si="22">IF((J9-J8&lt;0), "0",J9-J8)</f>
        <v>3600</v>
      </c>
      <c r="Y9" s="37">
        <f t="shared" ref="Y9:Y35" si="23">IF((K9-K8&lt;0), "0",K9-K8)</f>
        <v>5540</v>
      </c>
      <c r="Z9" s="37">
        <f t="shared" ref="Z9:Z35" si="24">IF((L9-L8&lt;0), "0",L9-L8)</f>
        <v>2890</v>
      </c>
      <c r="AA9" s="37">
        <f t="shared" ref="AA9:AA35" si="25">IF((M9-M8&lt;0), "0",M9-M8)</f>
        <v>3530</v>
      </c>
      <c r="AB9" s="37">
        <f t="shared" ref="AB9:AB37" si="26">IF((N9-N8&lt;0), "0",N9-N8)</f>
        <v>7010</v>
      </c>
      <c r="AC9" s="37">
        <f t="shared" ref="AC9:AC37" si="27">IF((O9-O8&lt;0), "0",O9-O8)</f>
        <v>9310</v>
      </c>
      <c r="AD9" s="35">
        <f t="shared" ref="AD9:AD37" si="28">SUM(Q9:AC9)</f>
        <v>63390</v>
      </c>
      <c r="AF9" s="20">
        <f t="shared" si="1"/>
        <v>5</v>
      </c>
      <c r="AG9" s="20">
        <f t="shared" si="2"/>
        <v>72.100000000000009</v>
      </c>
      <c r="AH9" s="20">
        <f t="shared" si="3"/>
        <v>18.7</v>
      </c>
      <c r="AI9" s="20">
        <f t="shared" si="4"/>
        <v>8.0500000000000007</v>
      </c>
      <c r="AJ9" s="20">
        <f t="shared" si="5"/>
        <v>24.900000000000002</v>
      </c>
      <c r="AK9" s="20">
        <f t="shared" si="6"/>
        <v>16.899999999999999</v>
      </c>
      <c r="AL9" s="20">
        <f t="shared" si="7"/>
        <v>11.9</v>
      </c>
      <c r="AM9" s="20">
        <f t="shared" si="8"/>
        <v>18</v>
      </c>
      <c r="AN9" s="20">
        <f t="shared" si="9"/>
        <v>27.7</v>
      </c>
      <c r="AO9" s="20">
        <f t="shared" si="10"/>
        <v>14.450000000000001</v>
      </c>
      <c r="AP9" s="20">
        <f t="shared" si="11"/>
        <v>17.650000000000002</v>
      </c>
      <c r="AQ9" s="20">
        <f t="shared" si="12"/>
        <v>35.050000000000004</v>
      </c>
      <c r="AR9" s="20">
        <f t="shared" si="13"/>
        <v>46.550000000000004</v>
      </c>
      <c r="AS9" s="35">
        <f t="shared" ref="AS9:AS33" si="29">SUM(AF9:AR9)</f>
        <v>316.95</v>
      </c>
      <c r="AU9" s="47">
        <v>218525</v>
      </c>
      <c r="AV9" s="37">
        <f>IF((AU9-AU8&lt;0),"0",AU9-AU8)</f>
        <v>2788</v>
      </c>
      <c r="AW9" s="35">
        <f t="shared" ref="AW9:AW35" si="30">AV9*$D$40</f>
        <v>5.5760000000000005</v>
      </c>
    </row>
    <row r="10" spans="1:49" x14ac:dyDescent="0.25">
      <c r="A10" s="23">
        <v>44108</v>
      </c>
      <c r="B10" s="40">
        <v>65</v>
      </c>
      <c r="C10" s="24">
        <v>6377030</v>
      </c>
      <c r="D10" s="24">
        <v>14395630</v>
      </c>
      <c r="E10" s="24">
        <v>2096230</v>
      </c>
      <c r="F10" s="24">
        <v>3054050</v>
      </c>
      <c r="G10" s="24">
        <v>9266530</v>
      </c>
      <c r="H10" s="24">
        <v>4718980</v>
      </c>
      <c r="I10" s="24">
        <v>4498460</v>
      </c>
      <c r="J10" s="24">
        <v>5053240</v>
      </c>
      <c r="K10" s="24">
        <v>7933000</v>
      </c>
      <c r="L10" s="24">
        <v>3213940</v>
      </c>
      <c r="M10" s="24">
        <v>7088410</v>
      </c>
      <c r="N10" s="24">
        <v>10349080</v>
      </c>
      <c r="O10" s="24">
        <v>13981810</v>
      </c>
      <c r="Q10" s="37">
        <f t="shared" si="16"/>
        <v>1100</v>
      </c>
      <c r="R10" s="37">
        <f t="shared" si="17"/>
        <v>14960</v>
      </c>
      <c r="S10" s="37">
        <f t="shared" si="15"/>
        <v>3810</v>
      </c>
      <c r="T10" s="37">
        <f t="shared" si="18"/>
        <v>1720</v>
      </c>
      <c r="U10" s="37">
        <f t="shared" si="19"/>
        <v>4920</v>
      </c>
      <c r="V10" s="37">
        <f t="shared" si="20"/>
        <v>3590</v>
      </c>
      <c r="W10" s="37">
        <f t="shared" si="21"/>
        <v>2570</v>
      </c>
      <c r="X10" s="37">
        <f t="shared" si="22"/>
        <v>3780</v>
      </c>
      <c r="Y10" s="37">
        <f t="shared" si="23"/>
        <v>5570</v>
      </c>
      <c r="Z10" s="37">
        <f t="shared" si="24"/>
        <v>2860</v>
      </c>
      <c r="AA10" s="37">
        <f t="shared" si="25"/>
        <v>3520</v>
      </c>
      <c r="AB10" s="37">
        <f t="shared" si="26"/>
        <v>7360</v>
      </c>
      <c r="AC10" s="37">
        <f t="shared" si="27"/>
        <v>10440</v>
      </c>
      <c r="AD10" s="35">
        <f t="shared" si="28"/>
        <v>66200</v>
      </c>
      <c r="AF10" s="20">
        <f t="shared" si="1"/>
        <v>5.5</v>
      </c>
      <c r="AG10" s="20">
        <f t="shared" si="2"/>
        <v>74.8</v>
      </c>
      <c r="AH10" s="20">
        <f t="shared" si="3"/>
        <v>19.05</v>
      </c>
      <c r="AI10" s="20">
        <f t="shared" si="4"/>
        <v>8.6</v>
      </c>
      <c r="AJ10" s="20">
        <f t="shared" si="5"/>
        <v>24.6</v>
      </c>
      <c r="AK10" s="20">
        <f t="shared" si="6"/>
        <v>17.95</v>
      </c>
      <c r="AL10" s="20">
        <f t="shared" si="7"/>
        <v>12.85</v>
      </c>
      <c r="AM10" s="20">
        <f t="shared" si="8"/>
        <v>18.900000000000002</v>
      </c>
      <c r="AN10" s="20">
        <f t="shared" si="9"/>
        <v>27.85</v>
      </c>
      <c r="AO10" s="20">
        <f t="shared" si="10"/>
        <v>14.3</v>
      </c>
      <c r="AP10" s="20">
        <f t="shared" si="11"/>
        <v>17.600000000000001</v>
      </c>
      <c r="AQ10" s="20">
        <f t="shared" si="12"/>
        <v>36.800000000000004</v>
      </c>
      <c r="AR10" s="20">
        <f t="shared" si="13"/>
        <v>52.2</v>
      </c>
      <c r="AS10" s="35">
        <f t="shared" si="29"/>
        <v>330.99999999999994</v>
      </c>
      <c r="AU10" s="47">
        <v>220926</v>
      </c>
      <c r="AV10" s="37">
        <f t="shared" ref="AV10:AV26" si="31">IF((AU10-AU9&lt;0),"0",AU10-AU9)</f>
        <v>2401</v>
      </c>
      <c r="AW10" s="35">
        <f t="shared" si="30"/>
        <v>4.8020000000000005</v>
      </c>
    </row>
    <row r="11" spans="1:49" x14ac:dyDescent="0.25">
      <c r="A11" s="23">
        <v>44109</v>
      </c>
      <c r="B11" s="40">
        <v>57</v>
      </c>
      <c r="C11" s="24">
        <v>6377940</v>
      </c>
      <c r="D11" s="24">
        <v>14409250</v>
      </c>
      <c r="E11" s="24">
        <v>2099810</v>
      </c>
      <c r="F11" s="24">
        <v>3055480</v>
      </c>
      <c r="G11" s="24">
        <v>9270740</v>
      </c>
      <c r="H11" s="24">
        <v>4722090</v>
      </c>
      <c r="I11" s="24">
        <v>4500630</v>
      </c>
      <c r="J11" s="24">
        <v>5056740</v>
      </c>
      <c r="K11" s="24">
        <v>7937730</v>
      </c>
      <c r="L11" s="24">
        <v>3216210</v>
      </c>
      <c r="M11" s="24">
        <v>7091140</v>
      </c>
      <c r="N11" s="24">
        <v>10355240</v>
      </c>
      <c r="O11" s="24">
        <v>13990700</v>
      </c>
      <c r="Q11" s="37">
        <f t="shared" si="16"/>
        <v>910</v>
      </c>
      <c r="R11" s="37">
        <f t="shared" si="17"/>
        <v>13620</v>
      </c>
      <c r="S11" s="37">
        <f t="shared" si="15"/>
        <v>3580</v>
      </c>
      <c r="T11" s="37">
        <f t="shared" si="18"/>
        <v>1430</v>
      </c>
      <c r="U11" s="37">
        <f t="shared" si="19"/>
        <v>4210</v>
      </c>
      <c r="V11" s="37">
        <f t="shared" si="20"/>
        <v>3110</v>
      </c>
      <c r="W11" s="37">
        <f t="shared" si="21"/>
        <v>2170</v>
      </c>
      <c r="X11" s="37">
        <f t="shared" si="22"/>
        <v>3500</v>
      </c>
      <c r="Y11" s="37">
        <f t="shared" si="23"/>
        <v>4730</v>
      </c>
      <c r="Z11" s="37">
        <f t="shared" si="24"/>
        <v>2270</v>
      </c>
      <c r="AA11" s="37">
        <f t="shared" si="25"/>
        <v>2730</v>
      </c>
      <c r="AB11" s="37">
        <f t="shared" si="26"/>
        <v>6160</v>
      </c>
      <c r="AC11" s="37">
        <f t="shared" si="27"/>
        <v>8890</v>
      </c>
      <c r="AD11" s="35">
        <f t="shared" si="28"/>
        <v>57310</v>
      </c>
      <c r="AF11" s="20">
        <f t="shared" si="1"/>
        <v>4.55</v>
      </c>
      <c r="AG11" s="20">
        <f t="shared" si="2"/>
        <v>68.099999999999994</v>
      </c>
      <c r="AH11" s="20">
        <f t="shared" si="3"/>
        <v>17.900000000000002</v>
      </c>
      <c r="AI11" s="20">
        <f t="shared" si="4"/>
        <v>7.15</v>
      </c>
      <c r="AJ11" s="20">
        <f t="shared" si="5"/>
        <v>21.05</v>
      </c>
      <c r="AK11" s="20">
        <f t="shared" si="6"/>
        <v>15.55</v>
      </c>
      <c r="AL11" s="20">
        <f t="shared" si="7"/>
        <v>10.85</v>
      </c>
      <c r="AM11" s="20">
        <f t="shared" si="8"/>
        <v>17.5</v>
      </c>
      <c r="AN11" s="20">
        <f t="shared" si="9"/>
        <v>23.650000000000002</v>
      </c>
      <c r="AO11" s="20">
        <f t="shared" si="10"/>
        <v>11.35</v>
      </c>
      <c r="AP11" s="20">
        <f t="shared" si="11"/>
        <v>13.65</v>
      </c>
      <c r="AQ11" s="20">
        <f t="shared" si="12"/>
        <v>30.8</v>
      </c>
      <c r="AR11" s="20">
        <f t="shared" si="13"/>
        <v>44.45</v>
      </c>
      <c r="AS11" s="35">
        <f t="shared" si="29"/>
        <v>286.55</v>
      </c>
      <c r="AU11" s="47">
        <v>222823</v>
      </c>
      <c r="AV11" s="37">
        <f t="shared" si="31"/>
        <v>1897</v>
      </c>
      <c r="AW11" s="35">
        <f t="shared" si="30"/>
        <v>3.794</v>
      </c>
    </row>
    <row r="12" spans="1:49" x14ac:dyDescent="0.25">
      <c r="A12" s="23">
        <v>44110</v>
      </c>
      <c r="B12" s="40">
        <v>61</v>
      </c>
      <c r="C12" s="49">
        <v>6378960</v>
      </c>
      <c r="D12" s="24">
        <v>14424440</v>
      </c>
      <c r="E12" s="24">
        <v>2103790</v>
      </c>
      <c r="F12" s="24">
        <v>3057090</v>
      </c>
      <c r="G12" s="24">
        <v>9275280</v>
      </c>
      <c r="H12" s="24">
        <v>4725440</v>
      </c>
      <c r="I12" s="24">
        <v>4503000</v>
      </c>
      <c r="J12" s="24">
        <v>5060470</v>
      </c>
      <c r="K12" s="24">
        <v>7942780</v>
      </c>
      <c r="L12" s="24">
        <v>3218720</v>
      </c>
      <c r="M12" s="24">
        <v>7094190</v>
      </c>
      <c r="N12" s="24">
        <v>10361890</v>
      </c>
      <c r="O12" s="24">
        <v>14000540</v>
      </c>
      <c r="Q12" s="37">
        <f t="shared" si="16"/>
        <v>1020</v>
      </c>
      <c r="R12" s="37">
        <f t="shared" si="17"/>
        <v>15190</v>
      </c>
      <c r="S12" s="37">
        <f t="shared" si="15"/>
        <v>3980</v>
      </c>
      <c r="T12" s="37">
        <f t="shared" ref="T12:W14" si="32">IF((F12-F11&lt;0), "0",F12-F11)</f>
        <v>1610</v>
      </c>
      <c r="U12" s="37">
        <f t="shared" si="32"/>
        <v>4540</v>
      </c>
      <c r="V12" s="37">
        <f t="shared" si="32"/>
        <v>3350</v>
      </c>
      <c r="W12" s="37">
        <f t="shared" si="32"/>
        <v>2370</v>
      </c>
      <c r="X12" s="37">
        <f t="shared" si="22"/>
        <v>3730</v>
      </c>
      <c r="Y12" s="37">
        <f t="shared" si="23"/>
        <v>5050</v>
      </c>
      <c r="Z12" s="37">
        <f>IF((L12-L11&lt;0), "0",L12-L11)</f>
        <v>2510</v>
      </c>
      <c r="AA12" s="37">
        <f t="shared" si="25"/>
        <v>3050</v>
      </c>
      <c r="AB12" s="37">
        <f t="shared" si="26"/>
        <v>6650</v>
      </c>
      <c r="AC12" s="37">
        <f t="shared" si="27"/>
        <v>9840</v>
      </c>
      <c r="AD12" s="35">
        <f t="shared" si="28"/>
        <v>62890</v>
      </c>
      <c r="AF12" s="20">
        <f t="shared" si="1"/>
        <v>5.1000000000000005</v>
      </c>
      <c r="AG12" s="20">
        <f t="shared" si="2"/>
        <v>75.95</v>
      </c>
      <c r="AH12" s="20">
        <f t="shared" si="3"/>
        <v>19.900000000000002</v>
      </c>
      <c r="AI12" s="20">
        <f t="shared" si="4"/>
        <v>8.0500000000000007</v>
      </c>
      <c r="AJ12" s="20">
        <f t="shared" si="5"/>
        <v>22.7</v>
      </c>
      <c r="AK12" s="20">
        <f t="shared" si="6"/>
        <v>16.75</v>
      </c>
      <c r="AL12" s="20">
        <f t="shared" si="7"/>
        <v>11.85</v>
      </c>
      <c r="AM12" s="20">
        <f t="shared" si="8"/>
        <v>18.650000000000002</v>
      </c>
      <c r="AN12" s="20">
        <f t="shared" si="9"/>
        <v>25.25</v>
      </c>
      <c r="AO12" s="20">
        <f t="shared" si="10"/>
        <v>12.55</v>
      </c>
      <c r="AP12" s="20">
        <f t="shared" si="11"/>
        <v>15.25</v>
      </c>
      <c r="AQ12" s="20">
        <f t="shared" si="12"/>
        <v>33.25</v>
      </c>
      <c r="AR12" s="20">
        <f t="shared" si="13"/>
        <v>49.2</v>
      </c>
      <c r="AS12" s="35">
        <f t="shared" si="29"/>
        <v>314.45</v>
      </c>
      <c r="AU12" s="47">
        <v>224913</v>
      </c>
      <c r="AV12" s="37">
        <f t="shared" si="31"/>
        <v>2090</v>
      </c>
      <c r="AW12" s="35">
        <f t="shared" si="30"/>
        <v>4.18</v>
      </c>
    </row>
    <row r="13" spans="1:49" x14ac:dyDescent="0.25">
      <c r="A13" s="23">
        <v>44111</v>
      </c>
      <c r="B13" s="40">
        <v>63</v>
      </c>
      <c r="C13" s="24">
        <v>6380000</v>
      </c>
      <c r="D13" s="24">
        <v>14437900</v>
      </c>
      <c r="E13" s="24">
        <v>2107110</v>
      </c>
      <c r="F13" s="24">
        <v>3058700</v>
      </c>
      <c r="G13" s="24">
        <v>9279930</v>
      </c>
      <c r="H13" s="24">
        <v>4728770</v>
      </c>
      <c r="I13" s="24">
        <v>4505450</v>
      </c>
      <c r="J13" s="24">
        <v>5064240</v>
      </c>
      <c r="K13" s="24">
        <v>7947850</v>
      </c>
      <c r="L13" s="24">
        <v>3221380</v>
      </c>
      <c r="M13" s="24">
        <v>7097220</v>
      </c>
      <c r="N13" s="24">
        <v>10368770</v>
      </c>
      <c r="O13" s="24">
        <v>14011320</v>
      </c>
      <c r="Q13" s="37">
        <f t="shared" si="16"/>
        <v>1040</v>
      </c>
      <c r="R13" s="37">
        <f t="shared" si="17"/>
        <v>13460</v>
      </c>
      <c r="S13" s="37">
        <f t="shared" si="15"/>
        <v>3320</v>
      </c>
      <c r="T13" s="37">
        <f t="shared" si="32"/>
        <v>1610</v>
      </c>
      <c r="U13" s="37">
        <f t="shared" si="32"/>
        <v>4650</v>
      </c>
      <c r="V13" s="37">
        <f t="shared" si="32"/>
        <v>3330</v>
      </c>
      <c r="W13" s="37">
        <f t="shared" si="32"/>
        <v>2450</v>
      </c>
      <c r="X13" s="37">
        <f t="shared" si="22"/>
        <v>3770</v>
      </c>
      <c r="Y13" s="37">
        <f t="shared" si="23"/>
        <v>5070</v>
      </c>
      <c r="Z13" s="37">
        <f>IF((L13-L12&lt;0), "0",L13-L12)</f>
        <v>2660</v>
      </c>
      <c r="AA13" s="37">
        <f t="shared" si="25"/>
        <v>3030</v>
      </c>
      <c r="AB13" s="37">
        <f t="shared" si="26"/>
        <v>6880</v>
      </c>
      <c r="AC13" s="37">
        <f t="shared" si="27"/>
        <v>10780</v>
      </c>
      <c r="AD13" s="35">
        <f t="shared" si="28"/>
        <v>62050</v>
      </c>
      <c r="AF13" s="20">
        <f t="shared" si="1"/>
        <v>5.2</v>
      </c>
      <c r="AG13" s="20">
        <f t="shared" si="2"/>
        <v>67.3</v>
      </c>
      <c r="AH13" s="20">
        <f t="shared" si="3"/>
        <v>16.600000000000001</v>
      </c>
      <c r="AI13" s="20">
        <f t="shared" si="4"/>
        <v>8.0500000000000007</v>
      </c>
      <c r="AJ13" s="20">
        <f t="shared" si="5"/>
        <v>23.25</v>
      </c>
      <c r="AK13" s="20">
        <f t="shared" si="6"/>
        <v>16.649999999999999</v>
      </c>
      <c r="AL13" s="20">
        <f t="shared" si="7"/>
        <v>12.25</v>
      </c>
      <c r="AM13" s="20">
        <f t="shared" si="8"/>
        <v>18.850000000000001</v>
      </c>
      <c r="AN13" s="20">
        <f t="shared" si="9"/>
        <v>25.35</v>
      </c>
      <c r="AO13" s="20">
        <f t="shared" si="10"/>
        <v>13.3</v>
      </c>
      <c r="AP13" s="20">
        <f t="shared" si="11"/>
        <v>15.15</v>
      </c>
      <c r="AQ13" s="20">
        <f t="shared" si="12"/>
        <v>34.4</v>
      </c>
      <c r="AR13" s="20">
        <f t="shared" si="13"/>
        <v>53.9</v>
      </c>
      <c r="AS13" s="35">
        <f t="shared" si="29"/>
        <v>310.24999999999994</v>
      </c>
      <c r="AU13" s="47">
        <v>227597</v>
      </c>
      <c r="AV13" s="37">
        <f t="shared" si="31"/>
        <v>2684</v>
      </c>
      <c r="AW13" s="35">
        <f t="shared" si="30"/>
        <v>5.3680000000000003</v>
      </c>
    </row>
    <row r="14" spans="1:49" x14ac:dyDescent="0.25">
      <c r="A14" s="23">
        <v>44112</v>
      </c>
      <c r="B14" s="40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54"/>
      <c r="Q14" s="37" t="str">
        <f t="shared" si="16"/>
        <v>0</v>
      </c>
      <c r="R14" s="37" t="str">
        <f t="shared" si="17"/>
        <v>0</v>
      </c>
      <c r="S14" s="37" t="str">
        <f t="shared" si="15"/>
        <v>0</v>
      </c>
      <c r="T14" s="37" t="str">
        <f t="shared" si="32"/>
        <v>0</v>
      </c>
      <c r="U14" s="37" t="str">
        <f t="shared" si="32"/>
        <v>0</v>
      </c>
      <c r="V14" s="37" t="str">
        <f t="shared" si="32"/>
        <v>0</v>
      </c>
      <c r="W14" s="37" t="str">
        <f t="shared" si="32"/>
        <v>0</v>
      </c>
      <c r="X14" s="37" t="str">
        <f t="shared" si="22"/>
        <v>0</v>
      </c>
      <c r="Y14" s="37" t="str">
        <f t="shared" si="23"/>
        <v>0</v>
      </c>
      <c r="Z14" s="37" t="str">
        <f>IF((L14-L13&lt;0), "0",L14-L13)</f>
        <v>0</v>
      </c>
      <c r="AA14" s="37" t="str">
        <f t="shared" si="25"/>
        <v>0</v>
      </c>
      <c r="AB14" s="37" t="str">
        <f t="shared" si="26"/>
        <v>0</v>
      </c>
      <c r="AC14" s="37" t="str">
        <f t="shared" si="27"/>
        <v>0</v>
      </c>
      <c r="AD14" s="35">
        <f t="shared" si="28"/>
        <v>0</v>
      </c>
      <c r="AF14" s="20">
        <f t="shared" si="1"/>
        <v>0</v>
      </c>
      <c r="AG14" s="20">
        <f t="shared" si="2"/>
        <v>0</v>
      </c>
      <c r="AH14" s="20">
        <f t="shared" si="3"/>
        <v>0</v>
      </c>
      <c r="AI14" s="20">
        <f t="shared" si="4"/>
        <v>0</v>
      </c>
      <c r="AJ14" s="20">
        <f t="shared" si="5"/>
        <v>0</v>
      </c>
      <c r="AK14" s="20">
        <f t="shared" si="6"/>
        <v>0</v>
      </c>
      <c r="AL14" s="20">
        <f t="shared" si="7"/>
        <v>0</v>
      </c>
      <c r="AM14" s="20">
        <f t="shared" si="8"/>
        <v>0</v>
      </c>
      <c r="AN14" s="20">
        <f t="shared" si="9"/>
        <v>0</v>
      </c>
      <c r="AO14" s="20">
        <f t="shared" si="10"/>
        <v>0</v>
      </c>
      <c r="AP14" s="20">
        <f t="shared" si="11"/>
        <v>0</v>
      </c>
      <c r="AQ14" s="20">
        <f t="shared" si="12"/>
        <v>0</v>
      </c>
      <c r="AR14" s="20">
        <f t="shared" si="13"/>
        <v>0</v>
      </c>
      <c r="AS14" s="35">
        <f t="shared" si="29"/>
        <v>0</v>
      </c>
      <c r="AU14" s="47"/>
      <c r="AV14" s="37" t="str">
        <f t="shared" si="31"/>
        <v>0</v>
      </c>
      <c r="AW14" s="35">
        <f t="shared" si="30"/>
        <v>0</v>
      </c>
    </row>
    <row r="15" spans="1:49" x14ac:dyDescent="0.25">
      <c r="A15" s="23">
        <v>44113</v>
      </c>
      <c r="B15" s="40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Q15" s="37">
        <f t="shared" si="16"/>
        <v>0</v>
      </c>
      <c r="R15" s="37">
        <f t="shared" si="17"/>
        <v>0</v>
      </c>
      <c r="S15" s="37">
        <f t="shared" si="15"/>
        <v>0</v>
      </c>
      <c r="T15" s="37">
        <f t="shared" si="18"/>
        <v>0</v>
      </c>
      <c r="U15" s="37">
        <f t="shared" si="19"/>
        <v>0</v>
      </c>
      <c r="V15" s="37">
        <f t="shared" si="20"/>
        <v>0</v>
      </c>
      <c r="W15" s="37">
        <f t="shared" si="21"/>
        <v>0</v>
      </c>
      <c r="X15" s="37">
        <f t="shared" si="22"/>
        <v>0</v>
      </c>
      <c r="Y15" s="37">
        <f t="shared" si="23"/>
        <v>0</v>
      </c>
      <c r="Z15" s="37">
        <f t="shared" si="24"/>
        <v>0</v>
      </c>
      <c r="AA15" s="37">
        <f t="shared" si="25"/>
        <v>0</v>
      </c>
      <c r="AB15" s="37">
        <f t="shared" si="26"/>
        <v>0</v>
      </c>
      <c r="AC15" s="37">
        <f t="shared" si="27"/>
        <v>0</v>
      </c>
      <c r="AD15" s="35">
        <f t="shared" si="28"/>
        <v>0</v>
      </c>
      <c r="AF15" s="20">
        <f t="shared" si="1"/>
        <v>0</v>
      </c>
      <c r="AG15" s="20">
        <f t="shared" si="2"/>
        <v>0</v>
      </c>
      <c r="AH15" s="20">
        <f t="shared" si="3"/>
        <v>0</v>
      </c>
      <c r="AI15" s="20">
        <f t="shared" si="4"/>
        <v>0</v>
      </c>
      <c r="AJ15" s="20">
        <f t="shared" si="5"/>
        <v>0</v>
      </c>
      <c r="AK15" s="20">
        <f t="shared" si="6"/>
        <v>0</v>
      </c>
      <c r="AL15" s="20">
        <f t="shared" si="7"/>
        <v>0</v>
      </c>
      <c r="AM15" s="20">
        <f t="shared" si="8"/>
        <v>0</v>
      </c>
      <c r="AN15" s="20">
        <f t="shared" si="9"/>
        <v>0</v>
      </c>
      <c r="AO15" s="20">
        <f t="shared" si="10"/>
        <v>0</v>
      </c>
      <c r="AP15" s="20">
        <f t="shared" si="11"/>
        <v>0</v>
      </c>
      <c r="AQ15" s="20">
        <f t="shared" si="12"/>
        <v>0</v>
      </c>
      <c r="AR15" s="20">
        <f t="shared" si="13"/>
        <v>0</v>
      </c>
      <c r="AS15" s="35">
        <f t="shared" si="29"/>
        <v>0</v>
      </c>
      <c r="AU15" s="47"/>
      <c r="AV15" s="37">
        <f t="shared" si="31"/>
        <v>0</v>
      </c>
      <c r="AW15" s="35">
        <f t="shared" si="30"/>
        <v>0</v>
      </c>
    </row>
    <row r="16" spans="1:49" x14ac:dyDescent="0.25">
      <c r="A16" s="23">
        <v>44114</v>
      </c>
      <c r="B16" s="40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Q16" s="37">
        <f t="shared" si="16"/>
        <v>0</v>
      </c>
      <c r="R16" s="37">
        <f t="shared" si="17"/>
        <v>0</v>
      </c>
      <c r="S16" s="37">
        <f t="shared" si="15"/>
        <v>0</v>
      </c>
      <c r="T16" s="37">
        <f t="shared" si="18"/>
        <v>0</v>
      </c>
      <c r="U16" s="37">
        <f t="shared" si="19"/>
        <v>0</v>
      </c>
      <c r="V16" s="37">
        <f t="shared" si="20"/>
        <v>0</v>
      </c>
      <c r="W16" s="37">
        <f t="shared" si="21"/>
        <v>0</v>
      </c>
      <c r="X16" s="37">
        <f t="shared" si="22"/>
        <v>0</v>
      </c>
      <c r="Y16" s="37">
        <f t="shared" si="23"/>
        <v>0</v>
      </c>
      <c r="Z16" s="37">
        <f t="shared" si="24"/>
        <v>0</v>
      </c>
      <c r="AA16" s="37">
        <f t="shared" si="25"/>
        <v>0</v>
      </c>
      <c r="AB16" s="37">
        <f t="shared" si="26"/>
        <v>0</v>
      </c>
      <c r="AC16" s="37">
        <f t="shared" si="27"/>
        <v>0</v>
      </c>
      <c r="AD16" s="35">
        <f t="shared" si="28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29"/>
        <v>0</v>
      </c>
      <c r="AU16" s="47"/>
      <c r="AV16" s="37">
        <f t="shared" si="31"/>
        <v>0</v>
      </c>
      <c r="AW16" s="35">
        <f t="shared" si="30"/>
        <v>0</v>
      </c>
    </row>
    <row r="17" spans="1:49" x14ac:dyDescent="0.25">
      <c r="A17" s="23">
        <v>44115</v>
      </c>
      <c r="B17" s="4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Q17" s="37">
        <f t="shared" si="16"/>
        <v>0</v>
      </c>
      <c r="R17" s="37">
        <f t="shared" si="17"/>
        <v>0</v>
      </c>
      <c r="S17" s="37">
        <f t="shared" si="15"/>
        <v>0</v>
      </c>
      <c r="T17" s="37">
        <f t="shared" si="18"/>
        <v>0</v>
      </c>
      <c r="U17" s="37">
        <f t="shared" si="19"/>
        <v>0</v>
      </c>
      <c r="V17" s="37">
        <f t="shared" si="20"/>
        <v>0</v>
      </c>
      <c r="W17" s="37">
        <f t="shared" si="21"/>
        <v>0</v>
      </c>
      <c r="X17" s="37">
        <f t="shared" si="22"/>
        <v>0</v>
      </c>
      <c r="Y17" s="37">
        <f t="shared" si="23"/>
        <v>0</v>
      </c>
      <c r="Z17" s="37">
        <f t="shared" si="24"/>
        <v>0</v>
      </c>
      <c r="AA17" s="37">
        <f t="shared" si="25"/>
        <v>0</v>
      </c>
      <c r="AB17" s="37">
        <f t="shared" si="26"/>
        <v>0</v>
      </c>
      <c r="AC17" s="37">
        <f t="shared" si="27"/>
        <v>0</v>
      </c>
      <c r="AD17" s="35">
        <f t="shared" si="28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29"/>
        <v>0</v>
      </c>
      <c r="AU17" s="47"/>
      <c r="AV17" s="37">
        <f t="shared" si="31"/>
        <v>0</v>
      </c>
      <c r="AW17" s="35">
        <f t="shared" si="30"/>
        <v>0</v>
      </c>
    </row>
    <row r="18" spans="1:49" x14ac:dyDescent="0.25">
      <c r="A18" s="23">
        <v>44116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>
        <f t="shared" si="16"/>
        <v>0</v>
      </c>
      <c r="R18" s="37">
        <f t="shared" si="17"/>
        <v>0</v>
      </c>
      <c r="S18" s="37">
        <f t="shared" si="15"/>
        <v>0</v>
      </c>
      <c r="T18" s="37">
        <f t="shared" si="18"/>
        <v>0</v>
      </c>
      <c r="U18" s="37">
        <f t="shared" si="19"/>
        <v>0</v>
      </c>
      <c r="V18" s="37">
        <f t="shared" si="20"/>
        <v>0</v>
      </c>
      <c r="W18" s="37">
        <f t="shared" si="21"/>
        <v>0</v>
      </c>
      <c r="X18" s="37">
        <f t="shared" si="22"/>
        <v>0</v>
      </c>
      <c r="Y18" s="37">
        <f t="shared" si="23"/>
        <v>0</v>
      </c>
      <c r="Z18" s="37">
        <f t="shared" si="24"/>
        <v>0</v>
      </c>
      <c r="AA18" s="37">
        <f t="shared" si="25"/>
        <v>0</v>
      </c>
      <c r="AB18" s="37">
        <f t="shared" si="26"/>
        <v>0</v>
      </c>
      <c r="AC18" s="37">
        <f t="shared" si="27"/>
        <v>0</v>
      </c>
      <c r="AD18" s="35">
        <f t="shared" si="28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29"/>
        <v>0</v>
      </c>
      <c r="AU18" s="47"/>
      <c r="AV18" s="37">
        <f t="shared" si="31"/>
        <v>0</v>
      </c>
      <c r="AW18" s="35">
        <f t="shared" si="30"/>
        <v>0</v>
      </c>
    </row>
    <row r="19" spans="1:49" x14ac:dyDescent="0.25">
      <c r="A19" s="23">
        <v>44117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6"/>
        <v>0</v>
      </c>
      <c r="R19" s="37">
        <f t="shared" si="17"/>
        <v>0</v>
      </c>
      <c r="S19" s="37">
        <f t="shared" si="15"/>
        <v>0</v>
      </c>
      <c r="T19" s="37">
        <f t="shared" si="18"/>
        <v>0</v>
      </c>
      <c r="U19" s="37">
        <f t="shared" si="19"/>
        <v>0</v>
      </c>
      <c r="V19" s="37">
        <f t="shared" si="20"/>
        <v>0</v>
      </c>
      <c r="W19" s="37">
        <f t="shared" si="21"/>
        <v>0</v>
      </c>
      <c r="X19" s="37">
        <f t="shared" si="22"/>
        <v>0</v>
      </c>
      <c r="Y19" s="37">
        <f t="shared" si="23"/>
        <v>0</v>
      </c>
      <c r="Z19" s="37">
        <f t="shared" si="24"/>
        <v>0</v>
      </c>
      <c r="AA19" s="37">
        <f t="shared" si="25"/>
        <v>0</v>
      </c>
      <c r="AB19" s="37">
        <f t="shared" si="26"/>
        <v>0</v>
      </c>
      <c r="AC19" s="37">
        <f t="shared" si="27"/>
        <v>0</v>
      </c>
      <c r="AD19" s="35">
        <f t="shared" si="28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29"/>
        <v>0</v>
      </c>
      <c r="AU19" s="47"/>
      <c r="AV19" s="37">
        <f t="shared" si="31"/>
        <v>0</v>
      </c>
      <c r="AW19" s="35">
        <f t="shared" si="30"/>
        <v>0</v>
      </c>
    </row>
    <row r="20" spans="1:49" x14ac:dyDescent="0.25">
      <c r="A20" s="23">
        <v>44118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6"/>
        <v>0</v>
      </c>
      <c r="R20" s="37">
        <f t="shared" si="17"/>
        <v>0</v>
      </c>
      <c r="S20" s="37">
        <f t="shared" si="15"/>
        <v>0</v>
      </c>
      <c r="T20" s="37">
        <f t="shared" si="18"/>
        <v>0</v>
      </c>
      <c r="U20" s="37">
        <f t="shared" si="19"/>
        <v>0</v>
      </c>
      <c r="V20" s="37">
        <f t="shared" si="20"/>
        <v>0</v>
      </c>
      <c r="W20" s="37">
        <f t="shared" si="21"/>
        <v>0</v>
      </c>
      <c r="X20" s="37">
        <f t="shared" si="22"/>
        <v>0</v>
      </c>
      <c r="Y20" s="37">
        <f t="shared" si="23"/>
        <v>0</v>
      </c>
      <c r="Z20" s="37">
        <f t="shared" si="24"/>
        <v>0</v>
      </c>
      <c r="AA20" s="37">
        <f t="shared" si="25"/>
        <v>0</v>
      </c>
      <c r="AB20" s="37">
        <f t="shared" si="26"/>
        <v>0</v>
      </c>
      <c r="AC20" s="37">
        <f t="shared" si="27"/>
        <v>0</v>
      </c>
      <c r="AD20" s="35">
        <f t="shared" si="28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29"/>
        <v>0</v>
      </c>
      <c r="AU20" s="47"/>
      <c r="AV20" s="37">
        <f t="shared" si="31"/>
        <v>0</v>
      </c>
      <c r="AW20" s="35">
        <f t="shared" si="30"/>
        <v>0</v>
      </c>
    </row>
    <row r="21" spans="1:49" x14ac:dyDescent="0.25">
      <c r="A21" s="23">
        <v>44119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6"/>
        <v>0</v>
      </c>
      <c r="R21" s="37">
        <f t="shared" si="17"/>
        <v>0</v>
      </c>
      <c r="S21" s="37">
        <f t="shared" si="15"/>
        <v>0</v>
      </c>
      <c r="T21" s="37">
        <f t="shared" si="18"/>
        <v>0</v>
      </c>
      <c r="U21" s="37">
        <f t="shared" si="19"/>
        <v>0</v>
      </c>
      <c r="V21" s="37">
        <f t="shared" si="20"/>
        <v>0</v>
      </c>
      <c r="W21" s="37">
        <f t="shared" si="21"/>
        <v>0</v>
      </c>
      <c r="X21" s="37">
        <f t="shared" si="22"/>
        <v>0</v>
      </c>
      <c r="Y21" s="37">
        <f t="shared" si="23"/>
        <v>0</v>
      </c>
      <c r="Z21" s="37">
        <f t="shared" si="24"/>
        <v>0</v>
      </c>
      <c r="AA21" s="37">
        <f t="shared" si="25"/>
        <v>0</v>
      </c>
      <c r="AB21" s="37">
        <f t="shared" si="26"/>
        <v>0</v>
      </c>
      <c r="AC21" s="37">
        <f t="shared" si="27"/>
        <v>0</v>
      </c>
      <c r="AD21" s="35">
        <f t="shared" si="28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29"/>
        <v>0</v>
      </c>
      <c r="AU21" s="47"/>
      <c r="AV21" s="37">
        <f t="shared" si="31"/>
        <v>0</v>
      </c>
      <c r="AW21" s="35">
        <f t="shared" si="30"/>
        <v>0</v>
      </c>
    </row>
    <row r="22" spans="1:49" x14ac:dyDescent="0.25">
      <c r="A22" s="23">
        <v>44120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6"/>
        <v>0</v>
      </c>
      <c r="R22" s="37">
        <f t="shared" si="17"/>
        <v>0</v>
      </c>
      <c r="S22" s="37">
        <f t="shared" si="15"/>
        <v>0</v>
      </c>
      <c r="T22" s="37">
        <f t="shared" si="18"/>
        <v>0</v>
      </c>
      <c r="U22" s="37">
        <f t="shared" si="19"/>
        <v>0</v>
      </c>
      <c r="V22" s="37">
        <f t="shared" si="20"/>
        <v>0</v>
      </c>
      <c r="W22" s="37">
        <f t="shared" si="21"/>
        <v>0</v>
      </c>
      <c r="X22" s="37">
        <f t="shared" si="22"/>
        <v>0</v>
      </c>
      <c r="Y22" s="37">
        <f t="shared" si="23"/>
        <v>0</v>
      </c>
      <c r="Z22" s="37">
        <f t="shared" si="24"/>
        <v>0</v>
      </c>
      <c r="AA22" s="37">
        <f t="shared" si="25"/>
        <v>0</v>
      </c>
      <c r="AB22" s="37">
        <f t="shared" si="26"/>
        <v>0</v>
      </c>
      <c r="AC22" s="37">
        <f t="shared" si="27"/>
        <v>0</v>
      </c>
      <c r="AD22" s="35">
        <f t="shared" si="28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29"/>
        <v>0</v>
      </c>
      <c r="AU22" s="47"/>
      <c r="AV22" s="37">
        <f t="shared" si="31"/>
        <v>0</v>
      </c>
      <c r="AW22" s="35">
        <f t="shared" si="30"/>
        <v>0</v>
      </c>
    </row>
    <row r="23" spans="1:49" x14ac:dyDescent="0.25">
      <c r="A23" s="23">
        <v>44121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6"/>
        <v>0</v>
      </c>
      <c r="R23" s="37">
        <f t="shared" si="17"/>
        <v>0</v>
      </c>
      <c r="S23" s="37">
        <f t="shared" si="15"/>
        <v>0</v>
      </c>
      <c r="T23" s="37">
        <f t="shared" si="18"/>
        <v>0</v>
      </c>
      <c r="U23" s="37">
        <f t="shared" si="19"/>
        <v>0</v>
      </c>
      <c r="V23" s="37">
        <f t="shared" si="20"/>
        <v>0</v>
      </c>
      <c r="W23" s="37">
        <f t="shared" si="21"/>
        <v>0</v>
      </c>
      <c r="X23" s="37">
        <f t="shared" si="22"/>
        <v>0</v>
      </c>
      <c r="Y23" s="37">
        <f t="shared" si="23"/>
        <v>0</v>
      </c>
      <c r="Z23" s="37">
        <f t="shared" si="24"/>
        <v>0</v>
      </c>
      <c r="AA23" s="37">
        <f t="shared" si="25"/>
        <v>0</v>
      </c>
      <c r="AB23" s="37">
        <f t="shared" si="26"/>
        <v>0</v>
      </c>
      <c r="AC23" s="37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>
        <f t="shared" si="31"/>
        <v>0</v>
      </c>
      <c r="AW23" s="35">
        <f t="shared" si="30"/>
        <v>0</v>
      </c>
    </row>
    <row r="24" spans="1:49" x14ac:dyDescent="0.25">
      <c r="A24" s="23">
        <v>44122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44123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44124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44125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44126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44127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44128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44129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44130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44131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44132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44133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44134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44135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2">SUM(Q7:Q34)</f>
        <v>7050</v>
      </c>
      <c r="R38" s="30">
        <f t="shared" si="62"/>
        <v>104440</v>
      </c>
      <c r="S38" s="30">
        <f t="shared" si="62"/>
        <v>27310</v>
      </c>
      <c r="T38" s="30">
        <f t="shared" si="62"/>
        <v>11200</v>
      </c>
      <c r="U38" s="30">
        <f t="shared" si="62"/>
        <v>33890</v>
      </c>
      <c r="V38" s="30">
        <f t="shared" si="62"/>
        <v>23660</v>
      </c>
      <c r="W38" s="30">
        <f t="shared" si="62"/>
        <v>16640</v>
      </c>
      <c r="X38" s="30">
        <f t="shared" si="62"/>
        <v>25720</v>
      </c>
      <c r="Y38" s="30">
        <f t="shared" si="62"/>
        <v>36530</v>
      </c>
      <c r="Z38" s="30">
        <f t="shared" si="62"/>
        <v>19350</v>
      </c>
      <c r="AA38" s="30">
        <f t="shared" si="62"/>
        <v>23300</v>
      </c>
      <c r="AB38" s="30">
        <f t="shared" si="62"/>
        <v>48040</v>
      </c>
      <c r="AC38" s="30">
        <f t="shared" si="62"/>
        <v>67130</v>
      </c>
      <c r="AD38" s="35">
        <f t="shared" si="62"/>
        <v>444260</v>
      </c>
      <c r="AF38" s="35">
        <f t="shared" ref="AF38:AS38" si="63">SUM(AF7:AF34)</f>
        <v>35.25</v>
      </c>
      <c r="AG38" s="35">
        <f t="shared" si="63"/>
        <v>522.20000000000005</v>
      </c>
      <c r="AH38" s="35">
        <f t="shared" si="63"/>
        <v>136.55000000000001</v>
      </c>
      <c r="AI38" s="35">
        <f t="shared" si="63"/>
        <v>56</v>
      </c>
      <c r="AJ38" s="35">
        <f t="shared" si="63"/>
        <v>169.45000000000002</v>
      </c>
      <c r="AK38" s="35">
        <f t="shared" si="63"/>
        <v>118.29999999999998</v>
      </c>
      <c r="AL38" s="35">
        <f t="shared" si="63"/>
        <v>83.2</v>
      </c>
      <c r="AM38" s="35">
        <f t="shared" si="63"/>
        <v>128.60000000000002</v>
      </c>
      <c r="AN38" s="35">
        <f t="shared" si="63"/>
        <v>182.65</v>
      </c>
      <c r="AO38" s="35">
        <f t="shared" si="63"/>
        <v>96.749999999999986</v>
      </c>
      <c r="AP38" s="35">
        <f t="shared" si="63"/>
        <v>116.50000000000003</v>
      </c>
      <c r="AQ38" s="35">
        <f t="shared" si="63"/>
        <v>240.20000000000005</v>
      </c>
      <c r="AR38" s="35">
        <f t="shared" si="63"/>
        <v>335.65</v>
      </c>
      <c r="AS38" s="35">
        <f t="shared" si="63"/>
        <v>2221.2999999999997</v>
      </c>
      <c r="AU38" s="48"/>
      <c r="AV38" s="35">
        <f>SUM(AV7:AV34)</f>
        <v>16402</v>
      </c>
      <c r="AW38" s="35">
        <f>SUM(AW7:AW34)</f>
        <v>23.72</v>
      </c>
    </row>
    <row r="39" spans="1:49" x14ac:dyDescent="0.25">
      <c r="D39">
        <v>5.0000000000000001E-3</v>
      </c>
      <c r="AV39" s="36">
        <f>AV38*0.00378541*1000</f>
        <v>62088.294820000003</v>
      </c>
    </row>
    <row r="40" spans="1:49" x14ac:dyDescent="0.25">
      <c r="D40">
        <v>2E-3</v>
      </c>
      <c r="AV40">
        <f>AV39/31</f>
        <v>2002.8482200000001</v>
      </c>
    </row>
    <row r="41" spans="1:49" x14ac:dyDescent="0.25">
      <c r="AV41">
        <f>AV38*0.00378541</f>
        <v>62.088294820000002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2020-10-08T06:57:50Z</dcterms:modified>
</cp:coreProperties>
</file>