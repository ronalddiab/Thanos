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2" l="1"/>
  <c r="S28" i="4" l="1"/>
  <c r="P30" i="2" l="1"/>
  <c r="P31" i="2" s="1"/>
  <c r="P32" i="2" s="1"/>
  <c r="P33" i="2" s="1"/>
  <c r="H19" i="4" l="1"/>
  <c r="H20" i="4"/>
  <c r="B34" i="4" l="1"/>
  <c r="T30" i="2" l="1"/>
  <c r="T31" i="2" s="1"/>
  <c r="T32" i="2" s="1"/>
  <c r="T33" i="2" s="1"/>
  <c r="N30" i="2"/>
  <c r="N31" i="2" s="1"/>
  <c r="N32" i="2" s="1"/>
  <c r="N33" i="2" s="1"/>
  <c r="L30" i="2"/>
  <c r="L31" i="2" s="1"/>
  <c r="L32" i="2" s="1"/>
  <c r="L33" i="2" s="1"/>
  <c r="J30" i="2"/>
  <c r="J31" i="2" s="1"/>
  <c r="J32" i="2" s="1"/>
  <c r="J33" i="2" s="1"/>
  <c r="H30" i="2"/>
  <c r="H31" i="2" s="1"/>
  <c r="H32" i="2" s="1"/>
  <c r="H33" i="2" s="1"/>
  <c r="F30" i="2"/>
  <c r="F31" i="2" s="1"/>
  <c r="F32" i="2" s="1"/>
  <c r="F33" i="2" s="1"/>
  <c r="B30" i="2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Q34" i="2" l="1"/>
  <c r="U34" i="2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G32" i="9"/>
  <c r="B32" i="9"/>
  <c r="AB32" i="8"/>
  <c r="AA32" i="8"/>
  <c r="X32" i="8"/>
  <c r="W32" i="8"/>
  <c r="V32" i="8"/>
  <c r="U32" i="8"/>
  <c r="T32" i="8"/>
  <c r="S32" i="8"/>
  <c r="R32" i="8"/>
  <c r="I32" i="8"/>
  <c r="G32" i="8"/>
  <c r="F32" i="8"/>
  <c r="E32" i="8"/>
  <c r="B32" i="8"/>
  <c r="E12" i="2" l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H32" i="8" s="1"/>
  <c r="G33" i="3"/>
  <c r="E33" i="3"/>
  <c r="C33" i="3"/>
  <c r="J2" i="3"/>
  <c r="K2" i="3" s="1"/>
  <c r="V30" i="4"/>
  <c r="V31" i="4" s="1"/>
  <c r="V32" i="4" s="1"/>
  <c r="V33" i="4" s="1"/>
  <c r="W33" i="4" s="1"/>
  <c r="P32" i="8" s="1"/>
  <c r="R30" i="4"/>
  <c r="R31" i="4" s="1"/>
  <c r="R32" i="4" s="1"/>
  <c r="R33" i="4" s="1"/>
  <c r="S33" i="4" s="1"/>
  <c r="O32" i="8" s="1"/>
  <c r="P30" i="4"/>
  <c r="P31" i="4" s="1"/>
  <c r="P32" i="4" s="1"/>
  <c r="P33" i="4" s="1"/>
  <c r="Q33" i="4" s="1"/>
  <c r="N32" i="8" s="1"/>
  <c r="N30" i="4"/>
  <c r="N31" i="4" s="1"/>
  <c r="N32" i="4" s="1"/>
  <c r="N33" i="4" s="1"/>
  <c r="O33" i="4" s="1"/>
  <c r="M32" i="8" s="1"/>
  <c r="L30" i="4"/>
  <c r="L31" i="4" s="1"/>
  <c r="L32" i="4" s="1"/>
  <c r="L33" i="4" s="1"/>
  <c r="M33" i="4" s="1"/>
  <c r="L32" i="8" s="1"/>
  <c r="J30" i="4"/>
  <c r="J31" i="4" s="1"/>
  <c r="J32" i="4" s="1"/>
  <c r="J33" i="4" s="1"/>
  <c r="K33" i="4" s="1"/>
  <c r="K32" i="8" s="1"/>
  <c r="F33" i="4"/>
  <c r="C30" i="4"/>
  <c r="C31" i="4" s="1"/>
  <c r="C32" i="4" s="1"/>
  <c r="C33" i="4" s="1"/>
  <c r="D33" i="4" s="1"/>
  <c r="Q32" i="8" s="1"/>
  <c r="U34" i="4"/>
  <c r="T34" i="4"/>
  <c r="Z2" i="4"/>
  <c r="X2" i="4"/>
  <c r="Y2" i="4" s="1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T2" i="1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G30" i="4" l="1"/>
  <c r="G31" i="4" s="1"/>
  <c r="G32" i="4" s="1"/>
  <c r="G33" i="4" s="1"/>
  <c r="H33" i="4" s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4" i="4" l="1"/>
  <c r="E34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E21" i="2"/>
  <c r="AE7" i="1"/>
  <c r="E22" i="2" l="1"/>
  <c r="AE8" i="1"/>
  <c r="AC6" i="8"/>
  <c r="E23" i="2" l="1"/>
  <c r="M3" i="2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<sst xmlns="http://schemas.openxmlformats.org/spreadsheetml/2006/main" count="514" uniqueCount="151">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</sst>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27" sqref="L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55981.216011999997</v>
      </c>
      <c r="F14" s="138">
        <v>1.27</v>
      </c>
      <c r="G14" s="36">
        <f>Gas!C15*0.9147</f>
        <v>1492.7903999999999</v>
      </c>
      <c r="H14" s="139">
        <v>3.65</v>
      </c>
      <c r="I14" s="141">
        <f>Submetering!H14+Submetering!AD14+Submetering!AE14</f>
        <v>36.000000000000014</v>
      </c>
      <c r="J14" s="141">
        <v>10.029999999999999</v>
      </c>
      <c r="K14" s="36">
        <f>ELECT.!B15</f>
        <v>250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65416.487236000001</v>
      </c>
      <c r="F15" s="138">
        <v>1.27</v>
      </c>
      <c r="G15" s="36">
        <f>Gas!C16*0.9147</f>
        <v>1690.3655999999999</v>
      </c>
      <c r="H15" s="139">
        <v>3.65</v>
      </c>
      <c r="I15" s="141">
        <f>Submetering!H15+Submetering!AD15+Submetering!AE15</f>
        <v>895.99999999999989</v>
      </c>
      <c r="J15" s="141">
        <v>10.029999999999999</v>
      </c>
      <c r="K15" s="36">
        <f>ELECT.!B16</f>
        <v>225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84222.216547999997</v>
      </c>
      <c r="F16" s="138">
        <v>1.27</v>
      </c>
      <c r="G16" s="36">
        <f>Gas!C17*0.9147</f>
        <v>1850.4380999999998</v>
      </c>
      <c r="H16" s="139">
        <v>3.65</v>
      </c>
      <c r="I16" s="141">
        <f>Submetering!H16+Submetering!AD16+Submetering!AE16</f>
        <v>795.99999999999989</v>
      </c>
      <c r="J16" s="141">
        <v>10.029999999999999</v>
      </c>
      <c r="K16" s="36">
        <f>ELECT.!B17</f>
        <v>243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57542.049623999999</v>
      </c>
      <c r="F17" s="138">
        <v>1.27</v>
      </c>
      <c r="G17" s="36">
        <f>Gas!C18*0.9147</f>
        <v>1551.3311999999999</v>
      </c>
      <c r="H17" s="139">
        <v>3.65</v>
      </c>
      <c r="I17" s="141">
        <f>Submetering!H17+Submetering!AD17+Submetering!AE17</f>
        <v>846</v>
      </c>
      <c r="J17" s="141">
        <v>10.029999999999999</v>
      </c>
      <c r="K17" s="36">
        <f>ELECT.!B18</f>
        <v>282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72742.499020000003</v>
      </c>
      <c r="F18" s="138">
        <v>1.27</v>
      </c>
      <c r="G18" s="36">
        <f>Gas!C19*0.9147</f>
        <v>1917.2112</v>
      </c>
      <c r="H18" s="139">
        <v>3.65</v>
      </c>
      <c r="I18" s="141">
        <f>Submetering!H18+Submetering!AD18+Submetering!AE18</f>
        <v>726</v>
      </c>
      <c r="J18" s="141">
        <v>10.029999999999999</v>
      </c>
      <c r="K18" s="36">
        <f>ELECT.!B19</f>
        <v>247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96242.789179999992</v>
      </c>
      <c r="F19" s="138">
        <v>1.27</v>
      </c>
      <c r="G19" s="36">
        <f>Gas!C20*0.9147</f>
        <v>1482.7286999999999</v>
      </c>
      <c r="H19" s="139">
        <v>3.65</v>
      </c>
      <c r="I19" s="141">
        <f>Submetering!H19+Submetering!AD19+Submetering!AE19</f>
        <v>1126</v>
      </c>
      <c r="J19" s="141">
        <v>10.029999999999999</v>
      </c>
      <c r="K19" s="36">
        <f>ELECT.!B20</f>
        <v>111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65919.686172000002</v>
      </c>
      <c r="F20" s="138">
        <v>1.27</v>
      </c>
      <c r="G20" s="36">
        <f>Gas!C21*0.9147</f>
        <v>1777.2620999999999</v>
      </c>
      <c r="H20" s="139">
        <v>3.65</v>
      </c>
      <c r="I20" s="141">
        <f>Submetering!H20+Submetering!AD20+Submetering!AE20</f>
        <v>855.99999999999989</v>
      </c>
      <c r="J20" s="141">
        <v>10.029999999999999</v>
      </c>
      <c r="K20" s="36">
        <f>ELECT.!B21</f>
        <v>224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76532.386288000009</v>
      </c>
      <c r="F21" s="138">
        <v>1.27</v>
      </c>
      <c r="G21" s="36">
        <f>Gas!C22*0.9147</f>
        <v>1725.1242</v>
      </c>
      <c r="H21" s="139">
        <v>3.65</v>
      </c>
      <c r="I21" s="141">
        <f>Submetering!H21+Submetering!AD21+Submetering!AE21</f>
        <v>885.99999999999989</v>
      </c>
      <c r="J21" s="141">
        <v>10.029999999999999</v>
      </c>
      <c r="K21" s="36">
        <f>ELECT.!B22</f>
        <v>230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73032.04291199999</v>
      </c>
      <c r="F22" s="138">
        <v>1.27</v>
      </c>
      <c r="G22" s="36">
        <f>Gas!C23*0.9147</f>
        <v>1758.0534</v>
      </c>
      <c r="H22" s="139">
        <v>3.65</v>
      </c>
      <c r="I22" s="141">
        <f>Submetering!H22+Submetering!AD22+Submetering!AE22</f>
        <v>906.00000000000011</v>
      </c>
      <c r="J22" s="141">
        <v>10.029999999999999</v>
      </c>
      <c r="K22" s="36">
        <f>ELECT.!B23</f>
        <v>272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87948.951675999997</v>
      </c>
      <c r="F23" s="138">
        <v>1.27</v>
      </c>
      <c r="G23" s="36">
        <f>Gas!C24*0.9147</f>
        <v>1667.4981</v>
      </c>
      <c r="H23" s="139">
        <v>3.65</v>
      </c>
      <c r="I23" s="141">
        <f>Submetering!H23+Submetering!AD23+Submetering!AE23</f>
        <v>796</v>
      </c>
      <c r="J23" s="141">
        <v>10.029999999999999</v>
      </c>
      <c r="K23" s="36">
        <f>ELECT.!B24</f>
        <v>250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62939.144344</v>
      </c>
      <c r="F24" s="138">
        <v>1.27</v>
      </c>
      <c r="G24" s="36">
        <f>Gas!C25*0.9147</f>
        <v>1820.2529999999999</v>
      </c>
      <c r="H24" s="139">
        <v>3.65</v>
      </c>
      <c r="I24" s="141">
        <f>Submetering!H24+Submetering!AD24+Submetering!AE24</f>
        <v>806</v>
      </c>
      <c r="J24" s="141">
        <v>10.029999999999999</v>
      </c>
      <c r="K24" s="36">
        <f>ELECT.!B25</f>
        <v>198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82616.078703999985</v>
      </c>
      <c r="F25" s="138">
        <v>1.27</v>
      </c>
      <c r="G25" s="36">
        <f>Gas!C26*0.9147</f>
        <v>1955.6286</v>
      </c>
      <c r="H25" s="139">
        <v>3.65</v>
      </c>
      <c r="I25" s="141">
        <f>Submetering!H25+Submetering!AD25+Submetering!AE25</f>
        <v>846.00000000000011</v>
      </c>
      <c r="J25" s="141">
        <v>10.029999999999999</v>
      </c>
      <c r="K25" s="36">
        <f>ELECT.!B26</f>
        <v>304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80540.992436</v>
      </c>
      <c r="F26" s="138">
        <v>1.27</v>
      </c>
      <c r="G26" s="36">
        <f>Gas!C27*0.9147</f>
        <v>1701.3419999999999</v>
      </c>
      <c r="H26" s="139">
        <v>3.65</v>
      </c>
      <c r="I26" s="141">
        <f>Submetering!H26+Submetering!AD26+Submetering!AE26</f>
        <v>836.00000000000011</v>
      </c>
      <c r="J26" s="141">
        <v>10.029999999999999</v>
      </c>
      <c r="K26" s="36">
        <f>ELECT.!B27</f>
        <v>296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66410.019480000003</v>
      </c>
      <c r="F27" s="138">
        <v>1.27</v>
      </c>
      <c r="G27" s="36">
        <f>Gas!C28*0.9147</f>
        <v>1830.3146999999999</v>
      </c>
      <c r="H27" s="139">
        <v>3.65</v>
      </c>
      <c r="I27" s="141">
        <f>Submetering!H27+Submetering!AD27+Submetering!AE27</f>
        <v>1066.0000000000002</v>
      </c>
      <c r="J27" s="141">
        <v>10.029999999999999</v>
      </c>
      <c r="K27" s="36">
        <f>ELECT.!B28</f>
        <v>260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81605.968644000008</v>
      </c>
      <c r="F28" s="138">
        <v>1.27</v>
      </c>
      <c r="G28" s="36">
        <f>Gas!C29*0.9147</f>
        <v>1766.2856999999999</v>
      </c>
      <c r="H28" s="139">
        <v>3.65</v>
      </c>
      <c r="I28" s="141">
        <f>Submetering!H28+Submetering!AD28+Submetering!AE28</f>
        <v>726</v>
      </c>
      <c r="J28" s="141">
        <v>10.029999999999999</v>
      </c>
      <c r="K28" s="36">
        <f>ELECT.!B29</f>
        <v>299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E1"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230</v>
      </c>
      <c r="F14" s="36">
        <f>Water!E15</f>
        <v>370</v>
      </c>
      <c r="G14" s="36">
        <f>Water!G15</f>
        <v>731.7</v>
      </c>
      <c r="H14" s="36">
        <f>Water!I15</f>
        <v>1.89</v>
      </c>
      <c r="I14" s="36">
        <f>ELECT.!F15</f>
        <v>16785</v>
      </c>
      <c r="J14" s="36">
        <f>ELECT.!H15</f>
        <v>41454</v>
      </c>
      <c r="K14" s="36">
        <f>ELECT.!K15</f>
        <v>8394</v>
      </c>
      <c r="L14" s="36">
        <f>ELECT.!M15</f>
        <v>4894</v>
      </c>
      <c r="M14" s="36">
        <f>ELECT.!O15</f>
        <v>11740</v>
      </c>
      <c r="N14" s="36">
        <f>ELECT.!Q15</f>
        <v>10185</v>
      </c>
      <c r="O14" s="36">
        <f>ELECT.!S15</f>
        <v>8231</v>
      </c>
      <c r="P14" s="36">
        <f>ELECT.!W15*2</f>
        <v>17562</v>
      </c>
      <c r="Q14" s="36">
        <f>ELECT.!D15</f>
        <v>640</v>
      </c>
      <c r="R14" s="141">
        <f>BTU!C15</f>
        <v>12.229999999999563</v>
      </c>
      <c r="S14" s="141">
        <f>BTU!F15</f>
        <v>2.0520000000005894</v>
      </c>
      <c r="T14" s="141">
        <f>BTU!I15</f>
        <v>5</v>
      </c>
      <c r="U14" s="141">
        <f>BTU!O15</f>
        <v>1.0590000000001965</v>
      </c>
      <c r="V14" s="141">
        <f>BTU!L15</f>
        <v>3.8700000000008004</v>
      </c>
      <c r="W14" s="141">
        <f>BTU!R15</f>
        <v>2.089999999999236</v>
      </c>
      <c r="X14" s="34">
        <f>ELECT.!B15</f>
        <v>250</v>
      </c>
      <c r="Y14" s="34">
        <f t="shared" si="0"/>
        <v>-2767</v>
      </c>
      <c r="Z14">
        <f>'Mall, Citadel, Rotana'!C15+'Mall, Citadel, Rotana'!E15+'Mall, Citadel, Rotana'!G15+'Mall, Citadel, Rotana'!I15</f>
        <v>1234</v>
      </c>
      <c r="AA14">
        <f>'Mall, Citadel, Rotana'!K15+'Mall, Citadel, Rotana'!M15</f>
        <v>249</v>
      </c>
      <c r="AB14">
        <f>'Mall, Citadel, Rotana'!O15</f>
        <v>4</v>
      </c>
      <c r="AC14">
        <f>'Mall, Citadel, Rotana'!Q15+'Mall, Citadel, Rotana'!S15</f>
        <v>0</v>
      </c>
      <c r="AD14" s="34">
        <f t="shared" si="1"/>
        <v>4.4956980000000017</v>
      </c>
      <c r="AE14" s="34">
        <f t="shared" si="2"/>
        <v>29.614302000000009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1090</v>
      </c>
      <c r="F15" s="36">
        <f>Water!E16</f>
        <v>390</v>
      </c>
      <c r="G15" s="36">
        <f>Water!G16</f>
        <v>561.6</v>
      </c>
      <c r="H15" s="36">
        <f>Water!I16</f>
        <v>3.4289999999999998</v>
      </c>
      <c r="I15" s="36">
        <f>ELECT.!F16</f>
        <v>19133</v>
      </c>
      <c r="J15" s="36">
        <f>ELECT.!H16</f>
        <v>48702</v>
      </c>
      <c r="K15" s="36">
        <f>ELECT.!K16</f>
        <v>9740</v>
      </c>
      <c r="L15" s="36">
        <f>ELECT.!M16</f>
        <v>5238</v>
      </c>
      <c r="M15" s="36">
        <f>ELECT.!O16</f>
        <v>13596</v>
      </c>
      <c r="N15" s="36">
        <f>ELECT.!Q16</f>
        <v>12953</v>
      </c>
      <c r="O15" s="36">
        <f>ELECT.!S16</f>
        <v>9563</v>
      </c>
      <c r="P15" s="36">
        <f>ELECT.!W16*2</f>
        <v>20816</v>
      </c>
      <c r="Q15" s="36">
        <f>ELECT.!D16</f>
        <v>320</v>
      </c>
      <c r="R15" s="141">
        <f>BTU!C16</f>
        <v>14.911000000000058</v>
      </c>
      <c r="S15" s="141">
        <f>BTU!F16</f>
        <v>2.2169999999996435</v>
      </c>
      <c r="T15" s="141">
        <f>BTU!I16</f>
        <v>6</v>
      </c>
      <c r="U15" s="141">
        <f>BTU!O16</f>
        <v>1.9960000000000946</v>
      </c>
      <c r="V15" s="141">
        <f>BTU!L16</f>
        <v>3</v>
      </c>
      <c r="W15" s="141">
        <f>BTU!R16</f>
        <v>2.0799999999999272</v>
      </c>
      <c r="X15" s="34">
        <f>ELECT.!B16</f>
        <v>225</v>
      </c>
      <c r="Y15" s="34">
        <f t="shared" si="0"/>
        <v>-4071</v>
      </c>
      <c r="Z15">
        <f>'Mall, Citadel, Rotana'!C16+'Mall, Citadel, Rotana'!E16+'Mall, Citadel, Rotana'!G16+'Mall, Citadel, Rotana'!I16</f>
        <v>1223</v>
      </c>
      <c r="AA15">
        <f>'Mall, Citadel, Rotana'!K16+'Mall, Citadel, Rotana'!M16</f>
        <v>223</v>
      </c>
      <c r="AB15">
        <f>'Mall, Citadel, Rotana'!O16</f>
        <v>3</v>
      </c>
      <c r="AC15">
        <f>'Mall, Citadel, Rotana'!Q16+'Mall, Citadel, Rotana'!S16</f>
        <v>0</v>
      </c>
      <c r="AD15" s="34">
        <f t="shared" si="1"/>
        <v>117.64085779999999</v>
      </c>
      <c r="AE15" s="34">
        <f t="shared" si="2"/>
        <v>774.93014219999986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990</v>
      </c>
      <c r="F16" s="36">
        <f>Water!E17</f>
        <v>430</v>
      </c>
      <c r="G16" s="36">
        <f>Water!G17</f>
        <v>548.1</v>
      </c>
      <c r="H16" s="36">
        <f>Water!I17</f>
        <v>3.0510000000000002</v>
      </c>
      <c r="I16" s="36">
        <f>ELECT.!F17</f>
        <v>24680</v>
      </c>
      <c r="J16" s="36">
        <f>ELECT.!H17</f>
        <v>63867</v>
      </c>
      <c r="K16" s="36">
        <f>ELECT.!K17</f>
        <v>12682</v>
      </c>
      <c r="L16" s="36">
        <f>ELECT.!M17</f>
        <v>7093</v>
      </c>
      <c r="M16" s="36">
        <f>ELECT.!O17</f>
        <v>17496</v>
      </c>
      <c r="N16" s="36">
        <f>ELECT.!Q17</f>
        <v>15663</v>
      </c>
      <c r="O16" s="36">
        <f>ELECT.!S17</f>
        <v>12499</v>
      </c>
      <c r="P16" s="36">
        <f>ELECT.!W17*2</f>
        <v>27948</v>
      </c>
      <c r="Q16" s="36">
        <f>ELECT.!D17</f>
        <v>640</v>
      </c>
      <c r="R16" s="141">
        <f>BTU!C17</f>
        <v>11.710999999999331</v>
      </c>
      <c r="S16" s="141">
        <f>BTU!F17</f>
        <v>1.8770000000004075</v>
      </c>
      <c r="T16" s="141">
        <f>BTU!I17</f>
        <v>5</v>
      </c>
      <c r="U16" s="141">
        <f>BTU!O17</f>
        <v>1.5389999999997599</v>
      </c>
      <c r="V16" s="141">
        <f>BTU!L17</f>
        <v>2.2700000000004366</v>
      </c>
      <c r="W16" s="141">
        <f>BTU!R17</f>
        <v>1.6500000000005457</v>
      </c>
      <c r="X16" s="34">
        <f>ELECT.!B17</f>
        <v>243</v>
      </c>
      <c r="Y16" s="34">
        <f t="shared" si="0"/>
        <v>-4834</v>
      </c>
      <c r="Z16">
        <f>'Mall, Citadel, Rotana'!C17+'Mall, Citadel, Rotana'!E17+'Mall, Citadel, Rotana'!G17+'Mall, Citadel, Rotana'!I17</f>
        <v>1364</v>
      </c>
      <c r="AA16">
        <f>'Mall, Citadel, Rotana'!K17+'Mall, Citadel, Rotana'!M17</f>
        <v>227</v>
      </c>
      <c r="AB16">
        <f>'Mall, Citadel, Rotana'!O17</f>
        <v>3</v>
      </c>
      <c r="AC16">
        <f>'Mall, Citadel, Rotana'!Q17+'Mall, Citadel, Rotana'!S17</f>
        <v>1525</v>
      </c>
      <c r="AD16" s="34">
        <f t="shared" si="1"/>
        <v>104.5106782</v>
      </c>
      <c r="AE16" s="34">
        <f t="shared" si="2"/>
        <v>688.43832179999993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1040</v>
      </c>
      <c r="F17" s="36">
        <f>Water!E18</f>
        <v>480</v>
      </c>
      <c r="G17" s="36">
        <f>Water!G18</f>
        <v>542.70000000000005</v>
      </c>
      <c r="H17" s="36">
        <f>Water!I18</f>
        <v>4.2119999999999997</v>
      </c>
      <c r="I17" s="36">
        <f>ELECT.!F18</f>
        <v>16735</v>
      </c>
      <c r="J17" s="36">
        <f>ELECT.!H18</f>
        <v>43227</v>
      </c>
      <c r="K17" s="36">
        <f>ELECT.!K18</f>
        <v>8848</v>
      </c>
      <c r="L17" s="36">
        <f>ELECT.!M18</f>
        <v>4891</v>
      </c>
      <c r="M17" s="36">
        <f>ELECT.!O18</f>
        <v>11668</v>
      </c>
      <c r="N17" s="36">
        <f>ELECT.!Q18</f>
        <v>10620</v>
      </c>
      <c r="O17" s="36">
        <f>ELECT.!S18</f>
        <v>8090</v>
      </c>
      <c r="P17" s="36">
        <f>ELECT.!W18*2</f>
        <v>19196</v>
      </c>
      <c r="Q17" s="36">
        <f>ELECT.!D18</f>
        <v>800</v>
      </c>
      <c r="R17" s="141">
        <f>BTU!C18</f>
        <v>11.332999999998719</v>
      </c>
      <c r="S17" s="141">
        <f>BTU!F18</f>
        <v>1.9349999999994907</v>
      </c>
      <c r="T17" s="141">
        <f>BTU!I18</f>
        <v>5</v>
      </c>
      <c r="U17" s="141">
        <f>BTU!O18</f>
        <v>1.443000000000211</v>
      </c>
      <c r="V17" s="141">
        <f>BTU!L18</f>
        <v>2.1199999999989814</v>
      </c>
      <c r="W17" s="141">
        <f>BTU!R18</f>
        <v>1.7200000000002547</v>
      </c>
      <c r="X17" s="34">
        <f>ELECT.!B18</f>
        <v>282</v>
      </c>
      <c r="Y17" s="34">
        <f t="shared" si="0"/>
        <v>-3351</v>
      </c>
      <c r="Z17">
        <f>'Mall, Citadel, Rotana'!C18+'Mall, Citadel, Rotana'!E18+'Mall, Citadel, Rotana'!G18+'Mall, Citadel, Rotana'!I18</f>
        <v>1215</v>
      </c>
      <c r="AA17">
        <f>'Mall, Citadel, Rotana'!K18+'Mall, Citadel, Rotana'!M18</f>
        <v>326</v>
      </c>
      <c r="AB17">
        <f>'Mall, Citadel, Rotana'!O18</f>
        <v>3</v>
      </c>
      <c r="AC17">
        <f>'Mall, Citadel, Rotana'!Q18+'Mall, Citadel, Rotana'!S18</f>
        <v>123</v>
      </c>
      <c r="AD17" s="34">
        <f t="shared" si="1"/>
        <v>110.94765840000001</v>
      </c>
      <c r="AE17" s="34">
        <f t="shared" si="2"/>
        <v>730.84034159999999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920</v>
      </c>
      <c r="F18" s="36">
        <f>Water!E19</f>
        <v>480</v>
      </c>
      <c r="G18" s="36">
        <f>Water!G19</f>
        <v>561.6</v>
      </c>
      <c r="H18" s="36">
        <f>Water!I19</f>
        <v>4.3469999999999995</v>
      </c>
      <c r="I18" s="36">
        <f>ELECT.!F19</f>
        <v>21621</v>
      </c>
      <c r="J18" s="36">
        <f>ELECT.!H19</f>
        <v>53956</v>
      </c>
      <c r="K18" s="36">
        <f>ELECT.!K19</f>
        <v>11184</v>
      </c>
      <c r="L18" s="36">
        <f>ELECT.!M19</f>
        <v>6443</v>
      </c>
      <c r="M18" s="36">
        <f>ELECT.!O19</f>
        <v>14994</v>
      </c>
      <c r="N18" s="36">
        <f>ELECT.!Q19</f>
        <v>8899</v>
      </c>
      <c r="O18" s="36">
        <f>ELECT.!S19</f>
        <v>10415</v>
      </c>
      <c r="P18" s="36">
        <f>ELECT.!W19*2</f>
        <v>22990</v>
      </c>
      <c r="Q18" s="36">
        <f>ELECT.!D19</f>
        <v>640</v>
      </c>
      <c r="R18" s="141">
        <f>BTU!C19</f>
        <v>12.466000000000349</v>
      </c>
      <c r="S18" s="141">
        <f>BTU!F19</f>
        <v>2.6010000000005675</v>
      </c>
      <c r="T18" s="141">
        <f>BTU!I19</f>
        <v>6</v>
      </c>
      <c r="U18" s="141">
        <f>BTU!O19</f>
        <v>1.7579999999998108</v>
      </c>
      <c r="V18" s="141">
        <f>BTU!L19</f>
        <v>2.1200000000008004</v>
      </c>
      <c r="W18" s="141">
        <f>BTU!R19</f>
        <v>1.8899999999994179</v>
      </c>
      <c r="X18" s="34">
        <f>ELECT.!B19</f>
        <v>247</v>
      </c>
      <c r="Y18" s="34">
        <f t="shared" si="0"/>
        <v>652</v>
      </c>
      <c r="Z18">
        <f>'Mall, Citadel, Rotana'!C19+'Mall, Citadel, Rotana'!E19+'Mall, Citadel, Rotana'!G19+'Mall, Citadel, Rotana'!I19</f>
        <v>1399</v>
      </c>
      <c r="AA18">
        <f>'Mall, Citadel, Rotana'!K19+'Mall, Citadel, Rotana'!M19</f>
        <v>415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95.113865400000009</v>
      </c>
      <c r="AE18" s="34">
        <f t="shared" si="2"/>
        <v>626.53913460000001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1320</v>
      </c>
      <c r="F19" s="36">
        <f>Water!E20</f>
        <v>440</v>
      </c>
      <c r="G19" s="36">
        <f>Water!G20</f>
        <v>556.20000000000005</v>
      </c>
      <c r="H19" s="36">
        <f>Water!I20</f>
        <v>4.077</v>
      </c>
      <c r="I19" s="36">
        <f>ELECT.!F20</f>
        <v>28934</v>
      </c>
      <c r="J19" s="36">
        <f>ELECT.!H20</f>
        <v>70207</v>
      </c>
      <c r="K19" s="36">
        <f>ELECT.!K20</f>
        <v>14544</v>
      </c>
      <c r="L19" s="36">
        <f>ELECT.!M20</f>
        <v>8625</v>
      </c>
      <c r="M19" s="36">
        <f>ELECT.!O20</f>
        <v>20076</v>
      </c>
      <c r="N19" s="36">
        <f>ELECT.!Q20</f>
        <v>23766</v>
      </c>
      <c r="O19" s="36">
        <f>ELECT.!S20</f>
        <v>13293</v>
      </c>
      <c r="P19" s="36">
        <f>ELECT.!W20*2</f>
        <v>29452</v>
      </c>
      <c r="Q19" s="36">
        <f>ELECT.!D20</f>
        <v>800</v>
      </c>
      <c r="R19" s="141">
        <f>BTU!C20</f>
        <v>14.738000000001193</v>
      </c>
      <c r="S19" s="141">
        <f>BTU!F20</f>
        <v>3.9699999999993452</v>
      </c>
      <c r="T19" s="141">
        <f>BTU!I20</f>
        <v>7</v>
      </c>
      <c r="U19" s="141">
        <f>BTU!O20</f>
        <v>2.4000000000000909</v>
      </c>
      <c r="V19" s="141">
        <f>BTU!L20</f>
        <v>2.4399999999986903</v>
      </c>
      <c r="W19" s="141">
        <f>BTU!R20</f>
        <v>2.3200000000006185</v>
      </c>
      <c r="X19" s="34">
        <f>ELECT.!B20</f>
        <v>111</v>
      </c>
      <c r="Y19" s="34">
        <f t="shared" si="0"/>
        <v>-10615</v>
      </c>
      <c r="Z19">
        <f>'Mall, Citadel, Rotana'!C20+'Mall, Citadel, Rotana'!E20+'Mall, Citadel, Rotana'!G20+'Mall, Citadel, Rotana'!I20</f>
        <v>1183</v>
      </c>
      <c r="AA19">
        <f>'Mall, Citadel, Rotana'!K20+'Mall, Citadel, Rotana'!M20</f>
        <v>347</v>
      </c>
      <c r="AB19">
        <f>'Mall, Citadel, Rotana'!O20</f>
        <v>3</v>
      </c>
      <c r="AC19">
        <f>'Mall, Citadel, Rotana'!Q20+'Mall, Citadel, Rotana'!S20</f>
        <v>0</v>
      </c>
      <c r="AD19" s="34">
        <f t="shared" si="1"/>
        <v>147.8694514</v>
      </c>
      <c r="AE19" s="34">
        <f t="shared" si="2"/>
        <v>974.05354859999989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1050</v>
      </c>
      <c r="F20" s="36">
        <f>Water!E21</f>
        <v>450</v>
      </c>
      <c r="G20" s="36">
        <f>Water!G21</f>
        <v>572.4</v>
      </c>
      <c r="H20" s="36">
        <f>Water!I21</f>
        <v>4.5359999999999996</v>
      </c>
      <c r="I20" s="36">
        <f>ELECT.!F21</f>
        <v>20180</v>
      </c>
      <c r="J20" s="36">
        <f>ELECT.!H21</f>
        <v>48350</v>
      </c>
      <c r="K20" s="36">
        <f>ELECT.!K21</f>
        <v>10352</v>
      </c>
      <c r="L20" s="36">
        <f>ELECT.!M21</f>
        <v>5738</v>
      </c>
      <c r="M20" s="36">
        <f>ELECT.!O21</f>
        <v>14250</v>
      </c>
      <c r="N20" s="36">
        <f>ELECT.!Q21</f>
        <v>12968</v>
      </c>
      <c r="O20" s="36">
        <f>ELECT.!S21</f>
        <v>9119</v>
      </c>
      <c r="P20" s="36">
        <f>ELECT.!W21*2</f>
        <v>22114</v>
      </c>
      <c r="Q20" s="36">
        <f>ELECT.!D21</f>
        <v>640</v>
      </c>
      <c r="R20" s="141">
        <f>BTU!C21</f>
        <v>13.468000000000757</v>
      </c>
      <c r="S20" s="141">
        <f>BTU!F21</f>
        <v>3.2409999999999854</v>
      </c>
      <c r="T20" s="141">
        <f>BTU!I21</f>
        <v>8</v>
      </c>
      <c r="U20" s="141">
        <f>BTU!O21</f>
        <v>1.4890000000000327</v>
      </c>
      <c r="V20" s="141">
        <f>BTU!L21</f>
        <v>2.2100000000009459</v>
      </c>
      <c r="W20" s="141">
        <f>BTU!R21</f>
        <v>2.6199999999998909</v>
      </c>
      <c r="X20" s="34">
        <f>ELECT.!B21</f>
        <v>224</v>
      </c>
      <c r="Y20" s="34">
        <f t="shared" si="0"/>
        <v>-6011</v>
      </c>
      <c r="Z20">
        <f>'Mall, Citadel, Rotana'!C21+'Mall, Citadel, Rotana'!E21+'Mall, Citadel, Rotana'!G21+'Mall, Citadel, Rotana'!I21</f>
        <v>1362</v>
      </c>
      <c r="AA20">
        <f>'Mall, Citadel, Rotana'!K21+'Mall, Citadel, Rotana'!M21</f>
        <v>358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112.22295519999999</v>
      </c>
      <c r="AE20" s="34">
        <f t="shared" si="2"/>
        <v>739.24104479999994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1080</v>
      </c>
      <c r="F21" s="36">
        <f>Water!E22</f>
        <v>460</v>
      </c>
      <c r="G21" s="36">
        <f>Water!G22</f>
        <v>558.9</v>
      </c>
      <c r="H21" s="36">
        <f>Water!I22</f>
        <v>5.2649999999999997</v>
      </c>
      <c r="I21" s="36">
        <f>ELECT.!F22</f>
        <v>23455</v>
      </c>
      <c r="J21" s="36">
        <f>ELECT.!H22</f>
        <v>55881</v>
      </c>
      <c r="K21" s="36">
        <f>ELECT.!K22</f>
        <v>11460</v>
      </c>
      <c r="L21" s="36">
        <f>ELECT.!M22</f>
        <v>6591</v>
      </c>
      <c r="M21" s="36">
        <f>ELECT.!O22</f>
        <v>16666</v>
      </c>
      <c r="N21" s="36">
        <f>ELECT.!Q22</f>
        <v>15184</v>
      </c>
      <c r="O21" s="36">
        <f>ELECT.!S22</f>
        <v>10830</v>
      </c>
      <c r="P21" s="36">
        <f>ELECT.!W22*2</f>
        <v>21002</v>
      </c>
      <c r="Q21" s="36">
        <f>ELECT.!D22</f>
        <v>800</v>
      </c>
      <c r="R21" s="141">
        <f>BTU!C22</f>
        <v>14.204999999998108</v>
      </c>
      <c r="S21" s="141">
        <f>BTU!F22</f>
        <v>3.581000000000131</v>
      </c>
      <c r="T21" s="141">
        <f>BTU!I22</f>
        <v>6</v>
      </c>
      <c r="U21" s="141">
        <f>BTU!O22</f>
        <v>1.6469999999999345</v>
      </c>
      <c r="V21" s="141">
        <f>BTU!L22</f>
        <v>2.4099999999998545</v>
      </c>
      <c r="W21" s="141">
        <f>BTU!R22</f>
        <v>2.069999999999709</v>
      </c>
      <c r="X21" s="34">
        <f>ELECT.!B22</f>
        <v>230</v>
      </c>
      <c r="Y21" s="34">
        <f t="shared" si="0"/>
        <v>-2397</v>
      </c>
      <c r="Z21">
        <f>'Mall, Citadel, Rotana'!C22+'Mall, Citadel, Rotana'!E22+'Mall, Citadel, Rotana'!G22+'Mall, Citadel, Rotana'!I22</f>
        <v>1243</v>
      </c>
      <c r="AA21">
        <f>'Mall, Citadel, Rotana'!K22+'Mall, Citadel, Rotana'!M22</f>
        <v>414</v>
      </c>
      <c r="AB21">
        <f>'Mall, Citadel, Rotana'!O22</f>
        <v>4</v>
      </c>
      <c r="AC21">
        <f>'Mall, Citadel, Rotana'!Q22+'Mall, Citadel, Rotana'!S22</f>
        <v>0</v>
      </c>
      <c r="AD21" s="34">
        <f t="shared" si="1"/>
        <v>116.08087299999998</v>
      </c>
      <c r="AE21" s="34">
        <f t="shared" si="2"/>
        <v>764.6541269999999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1100</v>
      </c>
      <c r="F22" s="36">
        <f>Water!E23</f>
        <v>470</v>
      </c>
      <c r="G22" s="36">
        <f>Water!G23</f>
        <v>564.29999999999995</v>
      </c>
      <c r="H22" s="36">
        <f>Water!I23</f>
        <v>4.4550000000000001</v>
      </c>
      <c r="I22" s="36">
        <f>ELECT.!F23</f>
        <v>22817</v>
      </c>
      <c r="J22" s="36">
        <f>ELECT.!H23</f>
        <v>54075</v>
      </c>
      <c r="K22" s="36">
        <f>ELECT.!K23</f>
        <v>11216</v>
      </c>
      <c r="L22" s="36">
        <f>ELECT.!M23</f>
        <v>6556</v>
      </c>
      <c r="M22" s="36">
        <f>ELECT.!O23</f>
        <v>16036</v>
      </c>
      <c r="N22" s="36">
        <f>ELECT.!Q23</f>
        <v>14417</v>
      </c>
      <c r="O22" s="36">
        <f>ELECT.!S23</f>
        <v>10688</v>
      </c>
      <c r="P22" s="36">
        <f>ELECT.!W23*2</f>
        <v>22280</v>
      </c>
      <c r="Q22" s="36">
        <f>ELECT.!D23</f>
        <v>640</v>
      </c>
      <c r="R22" s="141">
        <f>BTU!C23</f>
        <v>14.796999999998661</v>
      </c>
      <c r="S22" s="141">
        <f>BTU!F23</f>
        <v>3.6350000000002183</v>
      </c>
      <c r="T22" s="141">
        <f>BTU!I23</f>
        <v>7</v>
      </c>
      <c r="U22" s="141">
        <f>BTU!O23</f>
        <v>1.7930000000001201</v>
      </c>
      <c r="V22" s="141">
        <f>BTU!L23</f>
        <v>2.6399999999994179</v>
      </c>
      <c r="W22" s="141">
        <f>BTU!R23</f>
        <v>2.2299999999995634</v>
      </c>
      <c r="X22" s="34">
        <f>ELECT.!B23</f>
        <v>272</v>
      </c>
      <c r="Y22" s="34">
        <f t="shared" si="0"/>
        <v>-4301</v>
      </c>
      <c r="Z22">
        <f>'Mall, Citadel, Rotana'!C23+'Mall, Citadel, Rotana'!E23+'Mall, Citadel, Rotana'!G23+'Mall, Citadel, Rotana'!I23</f>
        <v>1412</v>
      </c>
      <c r="AA22">
        <f>'Mall, Citadel, Rotana'!K23+'Mall, Citadel, Rotana'!M23</f>
        <v>426</v>
      </c>
      <c r="AB22">
        <f>'Mall, Citadel, Rotana'!O23</f>
        <v>3</v>
      </c>
      <c r="AC22">
        <f>'Mall, Citadel, Rotana'!Q23+'Mall, Citadel, Rotana'!S23</f>
        <v>952</v>
      </c>
      <c r="AD22" s="34">
        <f t="shared" si="1"/>
        <v>118.82363100000001</v>
      </c>
      <c r="AE22" s="34">
        <f t="shared" si="2"/>
        <v>782.7213690000001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990</v>
      </c>
      <c r="F23" s="36">
        <f>Water!E24</f>
        <v>420</v>
      </c>
      <c r="G23" s="36">
        <f>Water!G24</f>
        <v>561.6</v>
      </c>
      <c r="H23" s="36">
        <f>Water!I24</f>
        <v>2.8079999999999998</v>
      </c>
      <c r="I23" s="36">
        <f>ELECT.!F24</f>
        <v>27461</v>
      </c>
      <c r="J23" s="36">
        <f>ELECT.!H24</f>
        <v>63535</v>
      </c>
      <c r="K23" s="36">
        <f>ELECT.!K24</f>
        <v>11956</v>
      </c>
      <c r="L23" s="36">
        <f>ELECT.!M24</f>
        <v>7441</v>
      </c>
      <c r="M23" s="36">
        <f>ELECT.!O24</f>
        <v>19822</v>
      </c>
      <c r="N23" s="36">
        <f>ELECT.!Q24</f>
        <v>15795</v>
      </c>
      <c r="O23" s="36">
        <f>ELECT.!S24</f>
        <v>13023</v>
      </c>
      <c r="P23" s="36">
        <f>ELECT.!W24*2</f>
        <v>27366</v>
      </c>
      <c r="Q23" s="36">
        <f>ELECT.!D24</f>
        <v>640</v>
      </c>
      <c r="R23" s="141">
        <f>BTU!C24</f>
        <v>13.231000000003405</v>
      </c>
      <c r="S23" s="141">
        <f>BTU!F24</f>
        <v>2.1580000000003565</v>
      </c>
      <c r="T23" s="141">
        <f>BTU!I24</f>
        <v>5</v>
      </c>
      <c r="U23" s="141">
        <f>BTU!O24</f>
        <v>1.7689999999997781</v>
      </c>
      <c r="V23" s="141">
        <f>BTU!L24</f>
        <v>2.5900000000001455</v>
      </c>
      <c r="W23" s="141">
        <f>BTU!R24</f>
        <v>2.0300000000006548</v>
      </c>
      <c r="X23" s="34">
        <f>ELECT.!B24</f>
        <v>250</v>
      </c>
      <c r="Y23" s="34">
        <f t="shared" si="0"/>
        <v>-4407</v>
      </c>
      <c r="Z23">
        <f>'Mall, Citadel, Rotana'!C24+'Mall, Citadel, Rotana'!E24+'Mall, Citadel, Rotana'!G24+'Mall, Citadel, Rotana'!I24</f>
        <v>1383</v>
      </c>
      <c r="AA23">
        <f>'Mall, Citadel, Rotana'!K24+'Mall, Citadel, Rotana'!M24</f>
        <v>244</v>
      </c>
      <c r="AB23">
        <f>'Mall, Citadel, Rotana'!O24</f>
        <v>3</v>
      </c>
      <c r="AC23">
        <f>'Mall, Citadel, Rotana'!Q24+'Mall, Citadel, Rotana'!S24</f>
        <v>116</v>
      </c>
      <c r="AD23" s="34">
        <f t="shared" si="1"/>
        <v>104.54270560000001</v>
      </c>
      <c r="AE23" s="34">
        <f t="shared" si="2"/>
        <v>688.64929440000003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1000</v>
      </c>
      <c r="F24" s="36">
        <f>Water!E25</f>
        <v>420</v>
      </c>
      <c r="G24" s="36">
        <f>Water!G25</f>
        <v>585.9</v>
      </c>
      <c r="H24" s="36">
        <f>Water!I25</f>
        <v>3.294</v>
      </c>
      <c r="I24" s="36">
        <f>ELECT.!F25</f>
        <v>19851</v>
      </c>
      <c r="J24" s="36">
        <f>ELECT.!H25</f>
        <v>45442</v>
      </c>
      <c r="K24" s="36">
        <f>ELECT.!K25</f>
        <v>9112</v>
      </c>
      <c r="L24" s="36">
        <f>ELECT.!M25</f>
        <v>5291</v>
      </c>
      <c r="M24" s="36">
        <f>ELECT.!O25</f>
        <v>14372</v>
      </c>
      <c r="N24" s="36">
        <f>ELECT.!Q25</f>
        <v>11375</v>
      </c>
      <c r="O24" s="36">
        <f>ELECT.!S25</f>
        <v>8674</v>
      </c>
      <c r="P24" s="36">
        <f>ELECT.!W25*2</f>
        <v>19792</v>
      </c>
      <c r="Q24" s="36">
        <f>ELECT.!D25</f>
        <v>480</v>
      </c>
      <c r="R24" s="141">
        <f>BTU!C25</f>
        <v>13.288999999997031</v>
      </c>
      <c r="S24" s="141">
        <f>BTU!F25</f>
        <v>2.3119999999998981</v>
      </c>
      <c r="T24" s="141">
        <f>BTU!I25</f>
        <v>5</v>
      </c>
      <c r="U24" s="141">
        <f>BTU!O25</f>
        <v>1.7110000000002401</v>
      </c>
      <c r="V24" s="141">
        <f>BTU!L25</f>
        <v>2.6000000000003638</v>
      </c>
      <c r="W24" s="141">
        <f>BTU!R25</f>
        <v>2</v>
      </c>
      <c r="X24" s="34">
        <f>ELECT.!B25</f>
        <v>198</v>
      </c>
      <c r="Y24" s="34">
        <f t="shared" si="0"/>
        <v>-3323</v>
      </c>
      <c r="Z24">
        <f>'Mall, Citadel, Rotana'!C25+'Mall, Citadel, Rotana'!E25+'Mall, Citadel, Rotana'!G25+'Mall, Citadel, Rotana'!I25</f>
        <v>1040</v>
      </c>
      <c r="AA24">
        <f>'Mall, Citadel, Rotana'!K25+'Mall, Citadel, Rotana'!M25</f>
        <v>261</v>
      </c>
      <c r="AB24">
        <f>'Mall, Citadel, Rotana'!O25</f>
        <v>3</v>
      </c>
      <c r="AC24">
        <f>'Mall, Citadel, Rotana'!Q25+'Mall, Citadel, Rotana'!S25</f>
        <v>123</v>
      </c>
      <c r="AD24" s="34">
        <f t="shared" si="1"/>
        <v>105.79665080000001</v>
      </c>
      <c r="AE24" s="34">
        <f t="shared" si="2"/>
        <v>696.90934919999995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1040</v>
      </c>
      <c r="F25" s="36">
        <f>Water!E26</f>
        <v>550</v>
      </c>
      <c r="G25" s="36">
        <f>Water!G26</f>
        <v>639.9</v>
      </c>
      <c r="H25" s="36">
        <f>Water!I26</f>
        <v>3.8879999999999999</v>
      </c>
      <c r="I25" s="36">
        <f>ELECT.!F26</f>
        <v>26262</v>
      </c>
      <c r="J25" s="36">
        <f>ELECT.!H26</f>
        <v>60095</v>
      </c>
      <c r="K25" s="36">
        <f>ELECT.!K26</f>
        <v>12250</v>
      </c>
      <c r="L25" s="36">
        <f>ELECT.!M26</f>
        <v>7105</v>
      </c>
      <c r="M25" s="36">
        <f>ELECT.!O26</f>
        <v>18876</v>
      </c>
      <c r="N25" s="36">
        <f>ELECT.!Q26</f>
        <v>15172</v>
      </c>
      <c r="O25" s="36">
        <f>ELECT.!S26</f>
        <v>1804</v>
      </c>
      <c r="P25" s="36">
        <f>ELECT.!W26*2</f>
        <v>25552</v>
      </c>
      <c r="Q25" s="36">
        <f>ELECT.!D26</f>
        <v>640</v>
      </c>
      <c r="R25" s="141">
        <f>BTU!C26</f>
        <v>15.265999999999622</v>
      </c>
      <c r="S25" s="141">
        <f>BTU!F26</f>
        <v>3.407999999999447</v>
      </c>
      <c r="T25" s="141">
        <f>BTU!I26</f>
        <v>6</v>
      </c>
      <c r="U25" s="141">
        <f>BTU!O26</f>
        <v>2.0589999999997417</v>
      </c>
      <c r="V25" s="141">
        <f>BTU!L26</f>
        <v>3.2000000000007276</v>
      </c>
      <c r="W25" s="141">
        <f>BTU!R26</f>
        <v>2.319999999999709</v>
      </c>
      <c r="X25" s="34">
        <f>ELECT.!B26</f>
        <v>304</v>
      </c>
      <c r="Y25" s="34">
        <f t="shared" si="0"/>
        <v>5598</v>
      </c>
      <c r="Z25">
        <f>'Mall, Citadel, Rotana'!C26+'Mall, Citadel, Rotana'!E26+'Mall, Citadel, Rotana'!G26+'Mall, Citadel, Rotana'!I26</f>
        <v>1719</v>
      </c>
      <c r="AA25">
        <f>'Mall, Citadel, Rotana'!K26+'Mall, Citadel, Rotana'!M26</f>
        <v>404</v>
      </c>
      <c r="AB25">
        <f>'Mall, Citadel, Rotana'!O26</f>
        <v>3</v>
      </c>
      <c r="AC25">
        <f>'Mall, Citadel, Rotana'!Q26+'Mall, Citadel, Rotana'!S26</f>
        <v>150</v>
      </c>
      <c r="AD25" s="34">
        <f t="shared" si="1"/>
        <v>110.99036160000001</v>
      </c>
      <c r="AE25" s="34">
        <f t="shared" si="2"/>
        <v>731.12163840000005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1030</v>
      </c>
      <c r="F26" s="36">
        <f>Water!E27</f>
        <v>390</v>
      </c>
      <c r="G26" s="36">
        <f>Water!G27</f>
        <v>542.70000000000005</v>
      </c>
      <c r="H26" s="36">
        <f>Water!I27</f>
        <v>2.8889999999999998</v>
      </c>
      <c r="I26" s="36">
        <f>ELECT.!F27</f>
        <v>25015</v>
      </c>
      <c r="J26" s="36">
        <f>ELECT.!H27</f>
        <v>58278</v>
      </c>
      <c r="K26" s="36">
        <f>ELECT.!K27</f>
        <v>11900</v>
      </c>
      <c r="L26" s="36">
        <f>ELECT.!M27</f>
        <v>6623</v>
      </c>
      <c r="M26" s="36">
        <f>ELECT.!O27</f>
        <v>18256</v>
      </c>
      <c r="N26" s="36">
        <f>ELECT.!Q27</f>
        <v>14302</v>
      </c>
      <c r="O26" s="36">
        <f>ELECT.!S27</f>
        <v>21285</v>
      </c>
      <c r="P26" s="36">
        <f>ELECT.!W27*2</f>
        <v>25294</v>
      </c>
      <c r="Q26" s="36">
        <f>ELECT.!D27</f>
        <v>640</v>
      </c>
      <c r="R26" s="141">
        <f>BTU!C27</f>
        <v>12.715000000000146</v>
      </c>
      <c r="S26" s="141">
        <f>BTU!F27</f>
        <v>3.0340000000005602</v>
      </c>
      <c r="T26" s="141">
        <f>BTU!I27</f>
        <v>6</v>
      </c>
      <c r="U26" s="141">
        <f>BTU!O27</f>
        <v>1.7360000000003311</v>
      </c>
      <c r="V26" s="141">
        <f>BTU!L27</f>
        <v>2.3999999999996362</v>
      </c>
      <c r="W26" s="141">
        <f>BTU!R27</f>
        <v>1.5500000000001819</v>
      </c>
      <c r="X26" s="34">
        <f>ELECT.!B27</f>
        <v>296</v>
      </c>
      <c r="Y26" s="34">
        <f t="shared" si="0"/>
        <v>-14367</v>
      </c>
      <c r="Z26">
        <f>'Mall, Citadel, Rotana'!C27+'Mall, Citadel, Rotana'!E27+'Mall, Citadel, Rotana'!G27+'Mall, Citadel, Rotana'!I27</f>
        <v>1352</v>
      </c>
      <c r="AA26">
        <f>'Mall, Citadel, Rotana'!K27+'Mall, Citadel, Rotana'!M27</f>
        <v>355</v>
      </c>
      <c r="AB26">
        <f>'Mall, Citadel, Rotana'!O27</f>
        <v>3</v>
      </c>
      <c r="AC26">
        <f>'Mall, Citadel, Rotana'!Q27+'Mall, Citadel, Rotana'!S27</f>
        <v>118</v>
      </c>
      <c r="AD26" s="34">
        <f t="shared" si="1"/>
        <v>109.80402980000001</v>
      </c>
      <c r="AE26" s="34">
        <f t="shared" si="2"/>
        <v>723.30697020000014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1260</v>
      </c>
      <c r="F27" s="36">
        <f>Water!E28</f>
        <v>500</v>
      </c>
      <c r="G27" s="36">
        <f>Water!G28</f>
        <v>648</v>
      </c>
      <c r="H27" s="36">
        <f>Water!I28</f>
        <v>4.32</v>
      </c>
      <c r="I27" s="36">
        <f>ELECT.!F28</f>
        <v>20665</v>
      </c>
      <c r="J27" s="36">
        <f>ELECT.!H28</f>
        <v>48405</v>
      </c>
      <c r="K27" s="36">
        <f>ELECT.!K28</f>
        <v>10112</v>
      </c>
      <c r="L27" s="36">
        <f>ELECT.!M28</f>
        <v>5692</v>
      </c>
      <c r="M27" s="36">
        <f>ELECT.!O28</f>
        <v>14786</v>
      </c>
      <c r="N27" s="36">
        <f>ELECT.!Q28</f>
        <v>11011</v>
      </c>
      <c r="O27" s="36">
        <f>ELECT.!S28</f>
        <v>9604</v>
      </c>
      <c r="P27" s="36">
        <f>ELECT.!W28*2</f>
        <v>21166</v>
      </c>
      <c r="Q27" s="36">
        <f>ELECT.!D28</f>
        <v>640</v>
      </c>
      <c r="R27" s="141">
        <f>BTU!C28</f>
        <v>12.83100000000195</v>
      </c>
      <c r="S27" s="141">
        <f>BTU!F28</f>
        <v>3.1350000000002183</v>
      </c>
      <c r="T27" s="141">
        <f>BTU!I28</f>
        <v>6</v>
      </c>
      <c r="U27" s="141">
        <f>BTU!O28</f>
        <v>1.7349999999996726</v>
      </c>
      <c r="V27" s="141">
        <f>BTU!L28</f>
        <v>2.4799999999995634</v>
      </c>
      <c r="W27" s="141">
        <f>BTU!R28</f>
        <v>2.5999999999994543</v>
      </c>
      <c r="X27" s="34">
        <f>ELECT.!B28</f>
        <v>260</v>
      </c>
      <c r="Y27" s="34">
        <f t="shared" si="0"/>
        <v>-3301</v>
      </c>
      <c r="Z27">
        <f>'Mall, Citadel, Rotana'!C28+'Mall, Citadel, Rotana'!E28+'Mall, Citadel, Rotana'!G28+'Mall, Citadel, Rotana'!I28</f>
        <v>1202</v>
      </c>
      <c r="AA27">
        <f>'Mall, Citadel, Rotana'!K28+'Mall, Citadel, Rotana'!M28</f>
        <v>407</v>
      </c>
      <c r="AB27">
        <f>'Mall, Citadel, Rotana'!O28</f>
        <v>3</v>
      </c>
      <c r="AC27">
        <f>'Mall, Citadel, Rotana'!Q28+'Mall, Citadel, Rotana'!S28</f>
        <v>122</v>
      </c>
      <c r="AD27" s="34">
        <f t="shared" si="1"/>
        <v>139.92942400000001</v>
      </c>
      <c r="AE27" s="34">
        <f t="shared" si="2"/>
        <v>921.75057600000014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920</v>
      </c>
      <c r="F28" s="36">
        <f>Water!E29</f>
        <v>410</v>
      </c>
      <c r="G28" s="36">
        <f>Water!G29</f>
        <v>575.1</v>
      </c>
      <c r="H28" s="36">
        <f>Water!I29</f>
        <v>3.3210000000000002</v>
      </c>
      <c r="I28" s="36">
        <f>ELECT.!F29</f>
        <v>25934</v>
      </c>
      <c r="J28" s="36">
        <f>ELECT.!H29</f>
        <v>58571</v>
      </c>
      <c r="K28" s="36">
        <f>ELECT.!K29</f>
        <v>11680</v>
      </c>
      <c r="L28" s="36">
        <f>ELECT.!M29</f>
        <v>6823</v>
      </c>
      <c r="M28" s="36">
        <f>ELECT.!O29</f>
        <v>18042</v>
      </c>
      <c r="N28" s="36">
        <f>ELECT.!Q29</f>
        <v>14647</v>
      </c>
      <c r="O28" s="36">
        <f>ELECT.!S29</f>
        <v>11527</v>
      </c>
      <c r="P28" s="36">
        <f>ELECT.!W29*2</f>
        <v>25864</v>
      </c>
      <c r="Q28" s="36">
        <f>ELECT.!D29</f>
        <v>640</v>
      </c>
      <c r="R28" s="141">
        <f>BTU!C29</f>
        <v>15.422999999998865</v>
      </c>
      <c r="S28" s="141">
        <f>BTU!F29</f>
        <v>3.7229999999999563</v>
      </c>
      <c r="T28" s="141">
        <f>BTU!I29</f>
        <v>7</v>
      </c>
      <c r="U28" s="141">
        <f>BTU!O29</f>
        <v>2.1010000000001128</v>
      </c>
      <c r="V28" s="141">
        <f>BTU!L29</f>
        <v>3.069999999999709</v>
      </c>
      <c r="W28" s="141">
        <f>BTU!R29</f>
        <v>1.3900000000003274</v>
      </c>
      <c r="X28" s="34">
        <f>ELECT.!B29</f>
        <v>299</v>
      </c>
      <c r="Y28" s="34">
        <f t="shared" si="0"/>
        <v>-4078</v>
      </c>
      <c r="Z28">
        <f>'Mall, Citadel, Rotana'!C29+'Mall, Citadel, Rotana'!E29+'Mall, Citadel, Rotana'!G29+'Mall, Citadel, Rotana'!I29</f>
        <v>1202</v>
      </c>
      <c r="AA28">
        <f>'Mall, Citadel, Rotana'!K29+'Mall, Citadel, Rotana'!M29</f>
        <v>499</v>
      </c>
      <c r="AB28">
        <f>'Mall, Citadel, Rotana'!O29</f>
        <v>4</v>
      </c>
      <c r="AC28">
        <f>'Mall, Citadel, Rotana'!Q29+'Mall, Citadel, Rotana'!S29</f>
        <v>6</v>
      </c>
      <c r="AD28" s="34">
        <f t="shared" si="1"/>
        <v>95.249092199999993</v>
      </c>
      <c r="AE28" s="34">
        <f t="shared" si="2"/>
        <v>627.42990780000002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 t="str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 t="str">
        <f>BTU!C30</f>
        <v>0</v>
      </c>
      <c r="S29" s="141" t="str">
        <f>BTU!F30</f>
        <v>0</v>
      </c>
      <c r="T29" s="141" t="str">
        <f>BTU!I30</f>
        <v>0</v>
      </c>
      <c r="U29" s="141" t="str">
        <f>BTU!O30</f>
        <v>0</v>
      </c>
      <c r="V29" s="141" t="str">
        <f>BTU!L30</f>
        <v>0</v>
      </c>
      <c r="W29" s="141" t="str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v>47288</v>
      </c>
      <c r="C15" s="14">
        <f t="shared" si="1"/>
        <v>640</v>
      </c>
      <c r="D15" s="32">
        <v>40776</v>
      </c>
      <c r="E15" s="14">
        <f t="shared" si="2"/>
        <v>480</v>
      </c>
      <c r="F15" s="32">
        <v>21838</v>
      </c>
      <c r="G15" s="14">
        <f t="shared" si="3"/>
        <v>80</v>
      </c>
      <c r="H15" s="32">
        <v>256533</v>
      </c>
      <c r="I15" s="14">
        <f t="shared" si="4"/>
        <v>34</v>
      </c>
      <c r="J15" s="32">
        <v>322928</v>
      </c>
      <c r="K15" s="14">
        <f t="shared" si="5"/>
        <v>129</v>
      </c>
      <c r="L15" s="32">
        <v>26300</v>
      </c>
      <c r="M15" s="14">
        <f t="shared" si="6"/>
        <v>120</v>
      </c>
      <c r="N15" s="32">
        <v>226174</v>
      </c>
      <c r="O15" s="14">
        <f t="shared" si="7"/>
        <v>4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v>4021</v>
      </c>
      <c r="U15" s="14">
        <f t="shared" si="8"/>
        <v>160</v>
      </c>
      <c r="X15" t="s">
        <v>12</v>
      </c>
    </row>
    <row r="16" spans="1:24" ht="13.5" thickBot="1" x14ac:dyDescent="0.25">
      <c r="A16" s="9">
        <v>44756</v>
      </c>
      <c r="B16" s="32">
        <v>47292</v>
      </c>
      <c r="C16" s="14">
        <f t="shared" si="1"/>
        <v>640</v>
      </c>
      <c r="D16" s="32">
        <v>40779</v>
      </c>
      <c r="E16" s="14">
        <f t="shared" si="2"/>
        <v>480</v>
      </c>
      <c r="F16" s="32">
        <v>21842</v>
      </c>
      <c r="G16" s="14">
        <f t="shared" si="3"/>
        <v>80</v>
      </c>
      <c r="H16" s="32">
        <v>256556</v>
      </c>
      <c r="I16" s="14">
        <f t="shared" si="4"/>
        <v>23</v>
      </c>
      <c r="J16" s="32">
        <v>323031</v>
      </c>
      <c r="K16" s="14">
        <f t="shared" si="5"/>
        <v>103</v>
      </c>
      <c r="L16" s="32">
        <v>26302</v>
      </c>
      <c r="M16" s="14">
        <f t="shared" si="6"/>
        <v>120</v>
      </c>
      <c r="N16" s="32">
        <v>226177</v>
      </c>
      <c r="O16" s="14">
        <f t="shared" si="7"/>
        <v>3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v>4021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v>47297</v>
      </c>
      <c r="C17" s="14">
        <f t="shared" si="1"/>
        <v>800</v>
      </c>
      <c r="D17" s="32">
        <v>40782</v>
      </c>
      <c r="E17" s="14">
        <f t="shared" si="2"/>
        <v>480</v>
      </c>
      <c r="F17" s="32">
        <v>21845</v>
      </c>
      <c r="G17" s="14">
        <f t="shared" si="3"/>
        <v>60</v>
      </c>
      <c r="H17" s="32">
        <v>256580</v>
      </c>
      <c r="I17" s="14">
        <f t="shared" si="4"/>
        <v>24</v>
      </c>
      <c r="J17" s="32">
        <v>323138</v>
      </c>
      <c r="K17" s="14">
        <f t="shared" si="5"/>
        <v>107</v>
      </c>
      <c r="L17" s="32">
        <v>26304</v>
      </c>
      <c r="M17" s="14">
        <f t="shared" si="6"/>
        <v>120</v>
      </c>
      <c r="N17" s="32">
        <v>226180</v>
      </c>
      <c r="O17" s="14">
        <f t="shared" si="7"/>
        <v>3</v>
      </c>
      <c r="P17" s="32">
        <v>160539</v>
      </c>
      <c r="Q17" s="14">
        <f t="shared" si="0"/>
        <v>1525</v>
      </c>
      <c r="R17" s="1">
        <v>55047</v>
      </c>
      <c r="S17" s="14">
        <f>S16</f>
        <v>0</v>
      </c>
      <c r="T17" s="32">
        <v>4021</v>
      </c>
      <c r="U17" s="14">
        <f t="shared" si="8"/>
        <v>0</v>
      </c>
    </row>
    <row r="18" spans="1:23" ht="13.5" thickBot="1" x14ac:dyDescent="0.25">
      <c r="A18" s="9">
        <v>44758</v>
      </c>
      <c r="B18" s="32">
        <v>47301</v>
      </c>
      <c r="C18" s="14">
        <f t="shared" si="1"/>
        <v>640</v>
      </c>
      <c r="D18" s="32">
        <v>40785</v>
      </c>
      <c r="E18" s="14">
        <f t="shared" si="2"/>
        <v>480</v>
      </c>
      <c r="F18" s="32">
        <v>21848</v>
      </c>
      <c r="G18" s="14">
        <f t="shared" si="3"/>
        <v>60</v>
      </c>
      <c r="H18" s="32">
        <v>256615</v>
      </c>
      <c r="I18" s="14">
        <f t="shared" si="4"/>
        <v>35</v>
      </c>
      <c r="J18" s="32">
        <v>323284</v>
      </c>
      <c r="K18" s="14">
        <f t="shared" si="5"/>
        <v>146</v>
      </c>
      <c r="L18" s="32">
        <v>26307</v>
      </c>
      <c r="M18" s="14">
        <f t="shared" si="6"/>
        <v>180</v>
      </c>
      <c r="N18" s="32">
        <v>226183</v>
      </c>
      <c r="O18" s="14">
        <f t="shared" si="7"/>
        <v>3</v>
      </c>
      <c r="P18" s="32">
        <v>160662</v>
      </c>
      <c r="Q18" s="14">
        <f t="shared" si="0"/>
        <v>123</v>
      </c>
      <c r="R18" s="1">
        <v>55047</v>
      </c>
      <c r="S18" s="14">
        <f t="shared" si="9"/>
        <v>0</v>
      </c>
      <c r="T18" s="32">
        <v>4022</v>
      </c>
      <c r="U18" s="14">
        <f t="shared" si="8"/>
        <v>160</v>
      </c>
    </row>
    <row r="19" spans="1:23" ht="13.5" thickBot="1" x14ac:dyDescent="0.25">
      <c r="A19" s="9">
        <v>44759</v>
      </c>
      <c r="B19" s="32">
        <v>47306</v>
      </c>
      <c r="C19" s="14">
        <f t="shared" si="1"/>
        <v>800</v>
      </c>
      <c r="D19" s="32">
        <v>40788</v>
      </c>
      <c r="E19" s="14">
        <f t="shared" si="2"/>
        <v>480</v>
      </c>
      <c r="F19" s="32">
        <v>21853</v>
      </c>
      <c r="G19" s="14">
        <f t="shared" si="3"/>
        <v>100</v>
      </c>
      <c r="H19" s="32">
        <v>256634</v>
      </c>
      <c r="I19" s="14">
        <f t="shared" si="4"/>
        <v>19</v>
      </c>
      <c r="J19" s="32">
        <v>323459</v>
      </c>
      <c r="K19" s="14">
        <f t="shared" si="5"/>
        <v>175</v>
      </c>
      <c r="L19" s="32">
        <v>26311</v>
      </c>
      <c r="M19" s="14">
        <f t="shared" si="6"/>
        <v>240</v>
      </c>
      <c r="N19" s="32">
        <v>226186</v>
      </c>
      <c r="O19" s="14">
        <f t="shared" si="7"/>
        <v>3</v>
      </c>
      <c r="P19" s="32">
        <v>160539</v>
      </c>
      <c r="Q19" s="14">
        <v>0</v>
      </c>
      <c r="R19" s="1">
        <v>55047</v>
      </c>
      <c r="S19" s="14">
        <f t="shared" si="9"/>
        <v>0</v>
      </c>
      <c r="T19" s="32">
        <v>4022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v>47310</v>
      </c>
      <c r="C20" s="14">
        <f t="shared" si="1"/>
        <v>640</v>
      </c>
      <c r="D20" s="32">
        <v>40791</v>
      </c>
      <c r="E20" s="14">
        <f t="shared" si="2"/>
        <v>480</v>
      </c>
      <c r="F20" s="32">
        <v>21855</v>
      </c>
      <c r="G20" s="14">
        <f t="shared" si="3"/>
        <v>40</v>
      </c>
      <c r="H20" s="32">
        <v>256657</v>
      </c>
      <c r="I20" s="14">
        <f t="shared" si="4"/>
        <v>23</v>
      </c>
      <c r="J20" s="32">
        <v>323626</v>
      </c>
      <c r="K20" s="14">
        <f t="shared" si="5"/>
        <v>167</v>
      </c>
      <c r="L20" s="32">
        <v>26314</v>
      </c>
      <c r="M20" s="14">
        <f t="shared" si="6"/>
        <v>180</v>
      </c>
      <c r="N20" s="32">
        <v>226189</v>
      </c>
      <c r="O20" s="14">
        <f t="shared" si="7"/>
        <v>3</v>
      </c>
      <c r="P20" s="32">
        <v>160539</v>
      </c>
      <c r="Q20" s="14">
        <f t="shared" si="0"/>
        <v>0</v>
      </c>
      <c r="R20" s="1">
        <v>55047</v>
      </c>
      <c r="S20" s="14">
        <f t="shared" si="9"/>
        <v>0</v>
      </c>
      <c r="T20" s="32">
        <v>4023</v>
      </c>
      <c r="U20" s="14">
        <f t="shared" si="8"/>
        <v>160</v>
      </c>
    </row>
    <row r="21" spans="1:23" ht="13.5" thickBot="1" x14ac:dyDescent="0.25">
      <c r="A21" s="9">
        <v>44761</v>
      </c>
      <c r="B21" s="32">
        <v>47315</v>
      </c>
      <c r="C21" s="14">
        <f t="shared" si="1"/>
        <v>800</v>
      </c>
      <c r="D21" s="32">
        <v>40794</v>
      </c>
      <c r="E21" s="14">
        <f t="shared" si="2"/>
        <v>480</v>
      </c>
      <c r="F21" s="32">
        <v>21858</v>
      </c>
      <c r="G21" s="14">
        <f t="shared" si="3"/>
        <v>60</v>
      </c>
      <c r="H21" s="32">
        <v>256679</v>
      </c>
      <c r="I21" s="14">
        <f t="shared" si="4"/>
        <v>22</v>
      </c>
      <c r="J21" s="32">
        <v>323804</v>
      </c>
      <c r="K21" s="14">
        <f t="shared" si="5"/>
        <v>178</v>
      </c>
      <c r="L21" s="32">
        <v>26317</v>
      </c>
      <c r="M21" s="14">
        <f t="shared" si="6"/>
        <v>180</v>
      </c>
      <c r="N21" s="32">
        <v>226192</v>
      </c>
      <c r="O21" s="14">
        <f t="shared" si="7"/>
        <v>3</v>
      </c>
      <c r="P21" s="32">
        <v>160539</v>
      </c>
      <c r="Q21" s="14">
        <f t="shared" si="0"/>
        <v>0</v>
      </c>
      <c r="R21" s="1">
        <v>55047</v>
      </c>
      <c r="S21" s="14">
        <f t="shared" si="9"/>
        <v>0</v>
      </c>
      <c r="T21" s="32">
        <v>4024</v>
      </c>
      <c r="U21" s="14">
        <f t="shared" si="8"/>
        <v>160</v>
      </c>
    </row>
    <row r="22" spans="1:23" ht="13.5" thickBot="1" x14ac:dyDescent="0.25">
      <c r="A22" s="9">
        <v>44762</v>
      </c>
      <c r="B22" s="32">
        <v>47319</v>
      </c>
      <c r="C22" s="14">
        <f t="shared" si="1"/>
        <v>640</v>
      </c>
      <c r="D22" s="32">
        <v>40797</v>
      </c>
      <c r="E22" s="14">
        <f t="shared" si="2"/>
        <v>480</v>
      </c>
      <c r="F22" s="32">
        <v>21862</v>
      </c>
      <c r="G22" s="14">
        <f t="shared" si="3"/>
        <v>80</v>
      </c>
      <c r="H22" s="32">
        <v>256722</v>
      </c>
      <c r="I22" s="14">
        <f t="shared" si="4"/>
        <v>43</v>
      </c>
      <c r="J22" s="32">
        <v>323978</v>
      </c>
      <c r="K22" s="14">
        <f t="shared" si="5"/>
        <v>174</v>
      </c>
      <c r="L22" s="32">
        <v>26321</v>
      </c>
      <c r="M22" s="14">
        <f t="shared" si="6"/>
        <v>240</v>
      </c>
      <c r="N22" s="32">
        <v>226196</v>
      </c>
      <c r="O22" s="14">
        <f t="shared" si="7"/>
        <v>4</v>
      </c>
      <c r="P22" s="32">
        <v>160539</v>
      </c>
      <c r="Q22" s="14">
        <f t="shared" si="0"/>
        <v>0</v>
      </c>
      <c r="R22" s="1">
        <v>55047</v>
      </c>
      <c r="S22" s="14">
        <f t="shared" si="9"/>
        <v>0</v>
      </c>
      <c r="T22" s="32">
        <v>4024</v>
      </c>
      <c r="U22" s="14">
        <f t="shared" si="8"/>
        <v>0</v>
      </c>
    </row>
    <row r="23" spans="1:23" ht="13.5" thickBot="1" x14ac:dyDescent="0.25">
      <c r="A23" s="9">
        <v>44763</v>
      </c>
      <c r="B23" s="32">
        <v>47324</v>
      </c>
      <c r="C23" s="14">
        <f t="shared" si="1"/>
        <v>800</v>
      </c>
      <c r="D23" s="32">
        <v>40800</v>
      </c>
      <c r="E23" s="14">
        <f t="shared" si="2"/>
        <v>480</v>
      </c>
      <c r="F23" s="32">
        <v>21866</v>
      </c>
      <c r="G23" s="14">
        <f t="shared" si="3"/>
        <v>80</v>
      </c>
      <c r="H23" s="32">
        <v>256774</v>
      </c>
      <c r="I23" s="14">
        <f t="shared" si="4"/>
        <v>52</v>
      </c>
      <c r="J23" s="32">
        <v>324164</v>
      </c>
      <c r="K23" s="14">
        <f t="shared" si="5"/>
        <v>186</v>
      </c>
      <c r="L23" s="32">
        <v>26325</v>
      </c>
      <c r="M23" s="14">
        <f t="shared" si="6"/>
        <v>240</v>
      </c>
      <c r="N23" s="32">
        <v>226199</v>
      </c>
      <c r="O23" s="14">
        <f t="shared" si="7"/>
        <v>3</v>
      </c>
      <c r="P23" s="32">
        <v>161491</v>
      </c>
      <c r="Q23" s="14">
        <f t="shared" si="0"/>
        <v>952</v>
      </c>
      <c r="R23" s="1">
        <v>55047</v>
      </c>
      <c r="S23" s="14">
        <f t="shared" si="9"/>
        <v>0</v>
      </c>
      <c r="T23" s="32">
        <v>4025</v>
      </c>
      <c r="U23" s="14">
        <f t="shared" si="8"/>
        <v>160</v>
      </c>
    </row>
    <row r="24" spans="1:23" s="131" customFormat="1" ht="13.5" thickBot="1" x14ac:dyDescent="0.25">
      <c r="A24" s="9">
        <v>44764</v>
      </c>
      <c r="B24" s="32">
        <v>47329</v>
      </c>
      <c r="C24" s="14">
        <f t="shared" si="1"/>
        <v>800</v>
      </c>
      <c r="D24" s="32">
        <v>40803</v>
      </c>
      <c r="E24" s="14">
        <f t="shared" si="2"/>
        <v>480</v>
      </c>
      <c r="F24" s="32">
        <v>21870</v>
      </c>
      <c r="G24" s="14">
        <f t="shared" si="3"/>
        <v>80</v>
      </c>
      <c r="H24" s="32">
        <v>256797</v>
      </c>
      <c r="I24" s="14">
        <f t="shared" si="4"/>
        <v>23</v>
      </c>
      <c r="J24" s="32">
        <v>324288</v>
      </c>
      <c r="K24" s="14">
        <f t="shared" si="5"/>
        <v>124</v>
      </c>
      <c r="L24" s="32">
        <v>26327</v>
      </c>
      <c r="M24" s="14">
        <f t="shared" si="6"/>
        <v>120</v>
      </c>
      <c r="N24" s="32">
        <v>226202</v>
      </c>
      <c r="O24" s="14">
        <f t="shared" si="7"/>
        <v>3</v>
      </c>
      <c r="P24" s="32">
        <v>161607</v>
      </c>
      <c r="Q24" s="14">
        <f t="shared" si="0"/>
        <v>116</v>
      </c>
      <c r="R24" s="1">
        <v>55047</v>
      </c>
      <c r="S24" s="14">
        <f t="shared" si="9"/>
        <v>0</v>
      </c>
      <c r="T24" s="32">
        <v>4025</v>
      </c>
      <c r="U24" s="14">
        <f t="shared" si="8"/>
        <v>0</v>
      </c>
    </row>
    <row r="25" spans="1:23" ht="13.5" thickBot="1" x14ac:dyDescent="0.25">
      <c r="A25" s="9">
        <v>44765</v>
      </c>
      <c r="B25" s="32">
        <v>47331</v>
      </c>
      <c r="C25" s="14">
        <f t="shared" si="1"/>
        <v>320</v>
      </c>
      <c r="D25" s="32">
        <v>40807</v>
      </c>
      <c r="E25" s="14">
        <f t="shared" si="2"/>
        <v>640</v>
      </c>
      <c r="F25" s="32">
        <v>21873</v>
      </c>
      <c r="G25" s="14">
        <f t="shared" si="3"/>
        <v>60</v>
      </c>
      <c r="H25" s="32">
        <v>256817</v>
      </c>
      <c r="I25" s="14">
        <f t="shared" si="4"/>
        <v>20</v>
      </c>
      <c r="J25" s="32">
        <v>324429</v>
      </c>
      <c r="K25" s="14">
        <f t="shared" si="5"/>
        <v>141</v>
      </c>
      <c r="L25" s="32">
        <v>26329</v>
      </c>
      <c r="M25" s="14">
        <f t="shared" si="6"/>
        <v>120</v>
      </c>
      <c r="N25" s="32">
        <v>226205</v>
      </c>
      <c r="O25" s="14">
        <f t="shared" si="7"/>
        <v>3</v>
      </c>
      <c r="P25" s="32">
        <v>161730</v>
      </c>
      <c r="Q25" s="14">
        <f t="shared" si="0"/>
        <v>123</v>
      </c>
      <c r="R25" s="1">
        <v>55047</v>
      </c>
      <c r="S25" s="14">
        <f t="shared" si="9"/>
        <v>0</v>
      </c>
      <c r="T25" s="32">
        <v>4025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v>47338</v>
      </c>
      <c r="C26" s="14">
        <f t="shared" si="1"/>
        <v>1120</v>
      </c>
      <c r="D26" s="32">
        <v>40810</v>
      </c>
      <c r="E26" s="14">
        <f t="shared" si="2"/>
        <v>480</v>
      </c>
      <c r="F26" s="32">
        <v>21876</v>
      </c>
      <c r="G26" s="14">
        <f t="shared" si="3"/>
        <v>60</v>
      </c>
      <c r="H26" s="32">
        <v>256876</v>
      </c>
      <c r="I26" s="14">
        <f t="shared" si="4"/>
        <v>59</v>
      </c>
      <c r="J26" s="32">
        <v>324593</v>
      </c>
      <c r="K26" s="14">
        <f t="shared" si="5"/>
        <v>164</v>
      </c>
      <c r="L26" s="32">
        <v>26333</v>
      </c>
      <c r="M26" s="14">
        <f t="shared" si="6"/>
        <v>240</v>
      </c>
      <c r="N26" s="32">
        <v>226208</v>
      </c>
      <c r="O26" s="14">
        <f t="shared" si="7"/>
        <v>3</v>
      </c>
      <c r="P26" s="32">
        <v>161880</v>
      </c>
      <c r="Q26" s="14">
        <f t="shared" si="0"/>
        <v>150</v>
      </c>
      <c r="R26" s="1">
        <v>55047</v>
      </c>
      <c r="S26" s="14">
        <f t="shared" si="9"/>
        <v>0</v>
      </c>
      <c r="T26" s="32">
        <v>4026</v>
      </c>
      <c r="U26" s="14">
        <f t="shared" si="8"/>
        <v>160</v>
      </c>
      <c r="W26" t="s">
        <v>12</v>
      </c>
    </row>
    <row r="27" spans="1:23" ht="13.5" thickBot="1" x14ac:dyDescent="0.25">
      <c r="A27" s="9">
        <v>44767</v>
      </c>
      <c r="B27" s="32">
        <v>47343</v>
      </c>
      <c r="C27" s="14">
        <f t="shared" si="1"/>
        <v>800</v>
      </c>
      <c r="D27" s="32">
        <v>40813</v>
      </c>
      <c r="E27" s="14">
        <f t="shared" si="2"/>
        <v>480</v>
      </c>
      <c r="F27" s="32">
        <v>21879</v>
      </c>
      <c r="G27" s="14">
        <f t="shared" si="3"/>
        <v>60</v>
      </c>
      <c r="H27" s="32">
        <v>256888</v>
      </c>
      <c r="I27" s="14">
        <f t="shared" si="4"/>
        <v>12</v>
      </c>
      <c r="J27" s="32">
        <v>324768</v>
      </c>
      <c r="K27" s="14">
        <f t="shared" si="5"/>
        <v>175</v>
      </c>
      <c r="L27" s="32">
        <v>26336</v>
      </c>
      <c r="M27" s="14">
        <f t="shared" si="6"/>
        <v>180</v>
      </c>
      <c r="N27" s="32">
        <v>226211</v>
      </c>
      <c r="O27" s="14">
        <f t="shared" si="7"/>
        <v>3</v>
      </c>
      <c r="P27" s="32">
        <v>161998</v>
      </c>
      <c r="Q27" s="14">
        <f t="shared" si="0"/>
        <v>118</v>
      </c>
      <c r="R27" s="1">
        <v>55047</v>
      </c>
      <c r="S27" s="14">
        <f t="shared" si="9"/>
        <v>0</v>
      </c>
      <c r="T27" s="32">
        <v>4026</v>
      </c>
      <c r="U27" s="14">
        <f t="shared" si="8"/>
        <v>0</v>
      </c>
    </row>
    <row r="28" spans="1:23" ht="13.5" thickBot="1" x14ac:dyDescent="0.25">
      <c r="A28" s="9">
        <v>44768</v>
      </c>
      <c r="B28" s="32">
        <v>47347</v>
      </c>
      <c r="C28" s="14">
        <f t="shared" si="1"/>
        <v>640</v>
      </c>
      <c r="D28" s="32">
        <v>40816</v>
      </c>
      <c r="E28" s="14">
        <f t="shared" si="2"/>
        <v>480</v>
      </c>
      <c r="F28" s="32">
        <v>21883</v>
      </c>
      <c r="G28" s="14">
        <f t="shared" si="3"/>
        <v>80</v>
      </c>
      <c r="H28" s="32">
        <v>256890</v>
      </c>
      <c r="I28" s="14">
        <f t="shared" si="4"/>
        <v>2</v>
      </c>
      <c r="J28" s="32">
        <v>324935</v>
      </c>
      <c r="K28" s="14">
        <f t="shared" si="5"/>
        <v>167</v>
      </c>
      <c r="L28" s="32">
        <v>26340</v>
      </c>
      <c r="M28" s="14">
        <f t="shared" si="6"/>
        <v>240</v>
      </c>
      <c r="N28" s="32">
        <v>226214</v>
      </c>
      <c r="O28" s="14">
        <f t="shared" si="7"/>
        <v>3</v>
      </c>
      <c r="P28" s="32">
        <v>162120</v>
      </c>
      <c r="Q28" s="14">
        <f t="shared" si="0"/>
        <v>122</v>
      </c>
      <c r="R28" s="1">
        <v>55047</v>
      </c>
      <c r="S28" s="15">
        <f t="shared" si="9"/>
        <v>0</v>
      </c>
      <c r="T28" s="32">
        <v>4027</v>
      </c>
      <c r="U28" s="14">
        <f t="shared" si="8"/>
        <v>160</v>
      </c>
    </row>
    <row r="29" spans="1:23" ht="13.5" thickBot="1" x14ac:dyDescent="0.25">
      <c r="A29" s="9">
        <v>44769</v>
      </c>
      <c r="B29" s="32">
        <v>47351</v>
      </c>
      <c r="C29" s="14">
        <f t="shared" si="1"/>
        <v>640</v>
      </c>
      <c r="D29" s="32">
        <v>40819</v>
      </c>
      <c r="E29" s="14">
        <f t="shared" si="2"/>
        <v>480</v>
      </c>
      <c r="F29" s="32">
        <v>21887</v>
      </c>
      <c r="G29" s="14">
        <f t="shared" si="3"/>
        <v>80</v>
      </c>
      <c r="H29" s="32">
        <v>256892</v>
      </c>
      <c r="I29" s="14">
        <f t="shared" si="4"/>
        <v>2</v>
      </c>
      <c r="J29" s="32">
        <v>325194</v>
      </c>
      <c r="K29" s="14">
        <f t="shared" si="5"/>
        <v>259</v>
      </c>
      <c r="L29" s="32">
        <v>26344</v>
      </c>
      <c r="M29" s="14">
        <f t="shared" si="6"/>
        <v>240</v>
      </c>
      <c r="N29" s="32">
        <v>226218</v>
      </c>
      <c r="O29" s="14">
        <f t="shared" si="7"/>
        <v>4</v>
      </c>
      <c r="P29" s="32">
        <v>162126</v>
      </c>
      <c r="Q29" s="14">
        <f t="shared" si="0"/>
        <v>6</v>
      </c>
      <c r="R29" s="1">
        <v>55047</v>
      </c>
      <c r="S29" s="14">
        <f t="shared" si="9"/>
        <v>0</v>
      </c>
      <c r="T29" s="32">
        <v>4027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ref="B29:B33" si="10">B29</f>
        <v>47351</v>
      </c>
      <c r="C30" s="14">
        <f t="shared" si="1"/>
        <v>0</v>
      </c>
      <c r="D30" s="32">
        <f>D29</f>
        <v>40819</v>
      </c>
      <c r="E30" s="14">
        <f t="shared" si="2"/>
        <v>0</v>
      </c>
      <c r="F30" s="32">
        <f t="shared" ref="F29:F33" si="11">F29</f>
        <v>21887</v>
      </c>
      <c r="G30" s="14">
        <f t="shared" si="3"/>
        <v>0</v>
      </c>
      <c r="H30" s="32">
        <f t="shared" ref="H29:H33" si="12">H29</f>
        <v>256892</v>
      </c>
      <c r="I30" s="14">
        <f t="shared" si="4"/>
        <v>0</v>
      </c>
      <c r="J30" s="32">
        <f t="shared" ref="J29:J33" si="13">J29</f>
        <v>325194</v>
      </c>
      <c r="K30" s="14">
        <f t="shared" si="5"/>
        <v>0</v>
      </c>
      <c r="L30" s="32">
        <f t="shared" ref="L29:L33" si="14">L29</f>
        <v>26344</v>
      </c>
      <c r="M30" s="14">
        <f t="shared" si="6"/>
        <v>0</v>
      </c>
      <c r="N30" s="32">
        <f t="shared" ref="N29:N33" si="15">N29</f>
        <v>226218</v>
      </c>
      <c r="O30" s="14">
        <f t="shared" si="7"/>
        <v>0</v>
      </c>
      <c r="P30" s="32">
        <f t="shared" ref="P29:P33" si="16">P29</f>
        <v>162126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ref="T29:T33" si="17">T29</f>
        <v>4027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47351</v>
      </c>
      <c r="C31" s="14">
        <f t="shared" si="1"/>
        <v>0</v>
      </c>
      <c r="D31" s="32">
        <f t="shared" ref="D29:D33" si="18">D30</f>
        <v>40819</v>
      </c>
      <c r="E31" s="14">
        <f t="shared" si="2"/>
        <v>0</v>
      </c>
      <c r="F31" s="32">
        <f t="shared" si="11"/>
        <v>21887</v>
      </c>
      <c r="G31" s="14">
        <f t="shared" si="3"/>
        <v>0</v>
      </c>
      <c r="H31" s="32">
        <f t="shared" si="12"/>
        <v>256892</v>
      </c>
      <c r="I31" s="14">
        <f t="shared" si="4"/>
        <v>0</v>
      </c>
      <c r="J31" s="32">
        <f t="shared" si="13"/>
        <v>325194</v>
      </c>
      <c r="K31" s="14">
        <f t="shared" si="5"/>
        <v>0</v>
      </c>
      <c r="L31" s="32">
        <f t="shared" si="14"/>
        <v>26344</v>
      </c>
      <c r="M31" s="14">
        <f t="shared" si="6"/>
        <v>0</v>
      </c>
      <c r="N31" s="32">
        <f t="shared" si="15"/>
        <v>226218</v>
      </c>
      <c r="O31" s="14">
        <f t="shared" si="7"/>
        <v>0</v>
      </c>
      <c r="P31" s="32">
        <f t="shared" si="16"/>
        <v>162126</v>
      </c>
      <c r="Q31" s="14">
        <f t="shared" si="0"/>
        <v>0</v>
      </c>
      <c r="R31" s="1">
        <v>55047</v>
      </c>
      <c r="S31" s="14">
        <v>0</v>
      </c>
      <c r="T31" s="32">
        <f t="shared" si="17"/>
        <v>4027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47351</v>
      </c>
      <c r="C32" s="14">
        <f t="shared" si="1"/>
        <v>0</v>
      </c>
      <c r="D32" s="32">
        <f t="shared" si="18"/>
        <v>40819</v>
      </c>
      <c r="E32" s="14">
        <f t="shared" si="2"/>
        <v>0</v>
      </c>
      <c r="F32" s="32">
        <f t="shared" si="11"/>
        <v>21887</v>
      </c>
      <c r="G32" s="14">
        <f t="shared" si="3"/>
        <v>0</v>
      </c>
      <c r="H32" s="32">
        <f t="shared" si="12"/>
        <v>256892</v>
      </c>
      <c r="I32" s="14">
        <f t="shared" si="4"/>
        <v>0</v>
      </c>
      <c r="J32" s="32">
        <f t="shared" si="13"/>
        <v>325194</v>
      </c>
      <c r="K32" s="14">
        <f t="shared" si="5"/>
        <v>0</v>
      </c>
      <c r="L32" s="32">
        <f t="shared" si="14"/>
        <v>26344</v>
      </c>
      <c r="M32" s="14">
        <f t="shared" si="6"/>
        <v>0</v>
      </c>
      <c r="N32" s="32">
        <f t="shared" si="15"/>
        <v>226218</v>
      </c>
      <c r="O32" s="14">
        <f t="shared" si="7"/>
        <v>0</v>
      </c>
      <c r="P32" s="32">
        <f t="shared" si="16"/>
        <v>162126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7"/>
        <v>4027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47351</v>
      </c>
      <c r="C33" s="14">
        <f t="shared" si="1"/>
        <v>0</v>
      </c>
      <c r="D33" s="32">
        <f t="shared" si="18"/>
        <v>40819</v>
      </c>
      <c r="E33" s="14">
        <f t="shared" si="2"/>
        <v>0</v>
      </c>
      <c r="F33" s="32">
        <f t="shared" si="11"/>
        <v>21887</v>
      </c>
      <c r="G33" s="14">
        <f t="shared" si="3"/>
        <v>0</v>
      </c>
      <c r="H33" s="32">
        <f t="shared" si="12"/>
        <v>256892</v>
      </c>
      <c r="I33" s="14">
        <f t="shared" si="4"/>
        <v>0</v>
      </c>
      <c r="J33" s="32">
        <f t="shared" si="13"/>
        <v>325194</v>
      </c>
      <c r="K33" s="14">
        <f t="shared" si="5"/>
        <v>0</v>
      </c>
      <c r="L33" s="32">
        <f t="shared" si="14"/>
        <v>26344</v>
      </c>
      <c r="M33" s="14">
        <f t="shared" si="6"/>
        <v>0</v>
      </c>
      <c r="N33" s="32">
        <f t="shared" si="15"/>
        <v>226218</v>
      </c>
      <c r="O33" s="14">
        <f t="shared" si="7"/>
        <v>0</v>
      </c>
      <c r="P33" s="32">
        <f t="shared" si="16"/>
        <v>162126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7"/>
        <v>4027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19520</v>
      </c>
      <c r="D34" s="14"/>
      <c r="E34" s="14">
        <f>SUM(E3:E33)</f>
        <v>13440</v>
      </c>
      <c r="F34" s="14"/>
      <c r="G34" s="14">
        <f>SUM(G3:G33)</f>
        <v>1820</v>
      </c>
      <c r="H34" s="14"/>
      <c r="I34" s="14">
        <f>SUM(I3:I33)</f>
        <v>779</v>
      </c>
      <c r="J34" s="14"/>
      <c r="K34" s="14">
        <f>SUM(K3:K33)</f>
        <v>4164</v>
      </c>
      <c r="L34" s="14"/>
      <c r="M34" s="14">
        <f>SUM(M3:M33)</f>
        <v>4740</v>
      </c>
      <c r="N34" s="14"/>
      <c r="O34" s="14">
        <f>SUM(O3:O33)</f>
        <v>86</v>
      </c>
      <c r="P34" s="14"/>
      <c r="Q34" s="14">
        <f>SUM(Q3:Q33)</f>
        <v>3665</v>
      </c>
      <c r="R34" s="14"/>
      <c r="S34" s="14">
        <f>SUM(S3:S33)</f>
        <v>0</v>
      </c>
      <c r="T34" s="14"/>
      <c r="U34" s="14">
        <f>SUM(U3:U33)</f>
        <v>1920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8" activePane="bottomLeft" state="frozen"/>
      <selection pane="bottomLeft" activeCell="A29" sqref="A29:XFD2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>
        <v>250</v>
      </c>
      <c r="C15" s="144">
        <v>19853</v>
      </c>
      <c r="D15" s="38">
        <f t="shared" si="3"/>
        <v>640</v>
      </c>
      <c r="E15" s="145">
        <v>32027197</v>
      </c>
      <c r="F15" s="38">
        <f t="shared" si="4"/>
        <v>16785</v>
      </c>
      <c r="G15" s="146">
        <v>1933990</v>
      </c>
      <c r="H15" s="38">
        <f t="shared" si="5"/>
        <v>41454</v>
      </c>
      <c r="I15" s="147">
        <f t="shared" si="6"/>
        <v>58239</v>
      </c>
      <c r="J15" s="145">
        <v>146009</v>
      </c>
      <c r="K15" s="38">
        <f t="shared" si="14"/>
        <v>8394</v>
      </c>
      <c r="L15" s="148">
        <v>381501</v>
      </c>
      <c r="M15" s="38">
        <f t="shared" si="7"/>
        <v>4894</v>
      </c>
      <c r="N15" s="145">
        <v>6964517</v>
      </c>
      <c r="O15" s="38">
        <f t="shared" si="15"/>
        <v>11740</v>
      </c>
      <c r="P15" s="148">
        <v>7216074</v>
      </c>
      <c r="Q15" s="38">
        <f t="shared" si="8"/>
        <v>10185</v>
      </c>
      <c r="R15" s="145">
        <v>21676457</v>
      </c>
      <c r="S15" s="38">
        <f>IF((R15-R14)&lt;0,"0",(R15-R14))</f>
        <v>8231</v>
      </c>
      <c r="T15" s="145">
        <v>0</v>
      </c>
      <c r="U15" s="149"/>
      <c r="V15" s="145">
        <v>9652312</v>
      </c>
      <c r="W15" s="38">
        <f t="shared" si="10"/>
        <v>8781</v>
      </c>
      <c r="X15" s="19">
        <f t="shared" si="11"/>
        <v>52225</v>
      </c>
      <c r="Y15" s="150">
        <f t="shared" si="12"/>
        <v>6014</v>
      </c>
      <c r="Z15" s="3">
        <f t="shared" si="13"/>
        <v>7303.1093824</v>
      </c>
      <c r="AA15" s="3">
        <f>SUM(Z1:Z15)</f>
        <v>124036.7949808</v>
      </c>
    </row>
    <row r="16" spans="1:27" ht="16.5" thickBot="1" x14ac:dyDescent="0.3">
      <c r="A16" s="9">
        <v>44756</v>
      </c>
      <c r="B16" s="38">
        <v>225</v>
      </c>
      <c r="C16" s="144">
        <v>19855</v>
      </c>
      <c r="D16" s="38">
        <f t="shared" si="3"/>
        <v>320</v>
      </c>
      <c r="E16" s="145">
        <v>32046330</v>
      </c>
      <c r="F16" s="38">
        <f t="shared" si="4"/>
        <v>19133</v>
      </c>
      <c r="G16" s="146">
        <v>1982692</v>
      </c>
      <c r="H16" s="38">
        <f t="shared" si="5"/>
        <v>48702</v>
      </c>
      <c r="I16" s="147">
        <f t="shared" si="6"/>
        <v>67835</v>
      </c>
      <c r="J16" s="145">
        <v>150879</v>
      </c>
      <c r="K16" s="38">
        <f t="shared" si="14"/>
        <v>9740</v>
      </c>
      <c r="L16" s="148">
        <v>386739</v>
      </c>
      <c r="M16" s="38">
        <f t="shared" si="7"/>
        <v>5238</v>
      </c>
      <c r="N16" s="145">
        <v>6971315</v>
      </c>
      <c r="O16" s="38">
        <f t="shared" si="15"/>
        <v>13596</v>
      </c>
      <c r="P16" s="148">
        <v>7229027</v>
      </c>
      <c r="Q16" s="38">
        <f t="shared" si="8"/>
        <v>12953</v>
      </c>
      <c r="R16" s="145">
        <v>21686020</v>
      </c>
      <c r="S16" s="38">
        <f t="shared" si="9"/>
        <v>9563</v>
      </c>
      <c r="T16" s="145">
        <v>0</v>
      </c>
      <c r="U16" s="149"/>
      <c r="V16" s="145">
        <v>9662720</v>
      </c>
      <c r="W16" s="38">
        <f t="shared" si="10"/>
        <v>10408</v>
      </c>
      <c r="X16" s="19">
        <f t="shared" si="11"/>
        <v>61498</v>
      </c>
      <c r="Y16" s="150">
        <f t="shared" si="12"/>
        <v>6337</v>
      </c>
      <c r="Z16" s="3">
        <f t="shared" si="13"/>
        <v>8690.7108912000003</v>
      </c>
      <c r="AA16" s="3">
        <f>SUM(Z1:Z16)</f>
        <v>132727.50587200001</v>
      </c>
    </row>
    <row r="17" spans="1:27" s="130" customFormat="1" ht="16.5" thickBot="1" x14ac:dyDescent="0.3">
      <c r="A17" s="9">
        <v>44757</v>
      </c>
      <c r="B17" s="38">
        <v>243</v>
      </c>
      <c r="C17" s="144">
        <v>19859</v>
      </c>
      <c r="D17" s="38">
        <f t="shared" si="3"/>
        <v>640</v>
      </c>
      <c r="E17" s="145">
        <v>32071010</v>
      </c>
      <c r="F17" s="38">
        <f t="shared" si="4"/>
        <v>24680</v>
      </c>
      <c r="G17" s="146">
        <v>2046559</v>
      </c>
      <c r="H17" s="38">
        <f t="shared" si="5"/>
        <v>63867</v>
      </c>
      <c r="I17" s="151">
        <f t="shared" si="6"/>
        <v>88547</v>
      </c>
      <c r="J17" s="145">
        <v>157220</v>
      </c>
      <c r="K17" s="129">
        <f t="shared" si="14"/>
        <v>12682</v>
      </c>
      <c r="L17" s="148">
        <v>393832</v>
      </c>
      <c r="M17" s="129">
        <f t="shared" si="7"/>
        <v>7093</v>
      </c>
      <c r="N17" s="145">
        <v>6980063</v>
      </c>
      <c r="O17" s="129">
        <f t="shared" si="15"/>
        <v>17496</v>
      </c>
      <c r="P17" s="148">
        <v>7244690</v>
      </c>
      <c r="Q17" s="129">
        <f t="shared" si="8"/>
        <v>15663</v>
      </c>
      <c r="R17" s="145">
        <v>21698519</v>
      </c>
      <c r="S17" s="129">
        <f t="shared" si="9"/>
        <v>12499</v>
      </c>
      <c r="T17" s="152">
        <v>0</v>
      </c>
      <c r="U17" s="149"/>
      <c r="V17" s="145">
        <v>9676694</v>
      </c>
      <c r="W17" s="129">
        <f t="shared" si="10"/>
        <v>13974</v>
      </c>
      <c r="X17" s="19">
        <f t="shared" si="11"/>
        <v>79407</v>
      </c>
      <c r="Y17" s="153">
        <f t="shared" si="12"/>
        <v>9140</v>
      </c>
      <c r="Z17" s="154">
        <f t="shared" si="13"/>
        <v>11225.761601600001</v>
      </c>
      <c r="AA17" s="3">
        <f>SUM(Z1:Z17)</f>
        <v>143953.26747360002</v>
      </c>
    </row>
    <row r="18" spans="1:27" s="130" customFormat="1" ht="16.5" thickBot="1" x14ac:dyDescent="0.3">
      <c r="A18" s="9">
        <v>44758</v>
      </c>
      <c r="B18" s="38">
        <v>282</v>
      </c>
      <c r="C18" s="144">
        <v>19864</v>
      </c>
      <c r="D18" s="38">
        <f t="shared" si="3"/>
        <v>800</v>
      </c>
      <c r="E18" s="145">
        <v>32087745</v>
      </c>
      <c r="F18" s="38">
        <f t="shared" si="4"/>
        <v>16735</v>
      </c>
      <c r="G18" s="146">
        <v>2089786</v>
      </c>
      <c r="H18" s="38">
        <f t="shared" si="5"/>
        <v>43227</v>
      </c>
      <c r="I18" s="151">
        <f t="shared" si="6"/>
        <v>59962</v>
      </c>
      <c r="J18" s="145">
        <v>161644</v>
      </c>
      <c r="K18" s="129">
        <f t="shared" si="14"/>
        <v>8848</v>
      </c>
      <c r="L18" s="148">
        <v>398723</v>
      </c>
      <c r="M18" s="129">
        <f t="shared" si="7"/>
        <v>4891</v>
      </c>
      <c r="N18" s="145">
        <v>6985897</v>
      </c>
      <c r="O18" s="129">
        <f t="shared" si="15"/>
        <v>11668</v>
      </c>
      <c r="P18" s="148">
        <v>7255310</v>
      </c>
      <c r="Q18" s="129">
        <f t="shared" si="8"/>
        <v>10620</v>
      </c>
      <c r="R18" s="145">
        <v>21706609</v>
      </c>
      <c r="S18" s="129">
        <f t="shared" si="9"/>
        <v>8090</v>
      </c>
      <c r="T18" s="152">
        <v>0</v>
      </c>
      <c r="U18" s="149"/>
      <c r="V18" s="145">
        <v>9686292</v>
      </c>
      <c r="W18" s="129">
        <f t="shared" si="10"/>
        <v>9598</v>
      </c>
      <c r="X18" s="19">
        <f t="shared" si="11"/>
        <v>53715</v>
      </c>
      <c r="Y18" s="153">
        <f t="shared" si="12"/>
        <v>6247</v>
      </c>
      <c r="Z18" s="154">
        <f t="shared" si="13"/>
        <v>7519.7356416000002</v>
      </c>
      <c r="AA18" s="3">
        <f>SUM(Z1:Z18)</f>
        <v>151473.00311520003</v>
      </c>
    </row>
    <row r="19" spans="1:27" s="130" customFormat="1" ht="16.5" thickBot="1" x14ac:dyDescent="0.3">
      <c r="A19" s="9">
        <v>44759</v>
      </c>
      <c r="B19" s="38">
        <v>247</v>
      </c>
      <c r="C19" s="144">
        <v>19868</v>
      </c>
      <c r="D19" s="38">
        <f t="shared" si="3"/>
        <v>640</v>
      </c>
      <c r="E19" s="145">
        <v>32109366</v>
      </c>
      <c r="F19" s="38">
        <f t="shared" si="4"/>
        <v>21621</v>
      </c>
      <c r="G19" s="146">
        <v>2143742</v>
      </c>
      <c r="H19" s="38">
        <f t="shared" si="5"/>
        <v>53956</v>
      </c>
      <c r="I19" s="151">
        <f t="shared" si="6"/>
        <v>75577</v>
      </c>
      <c r="J19" s="145">
        <v>167236</v>
      </c>
      <c r="K19" s="129">
        <f t="shared" si="14"/>
        <v>11184</v>
      </c>
      <c r="L19" s="148">
        <v>405166</v>
      </c>
      <c r="M19" s="129">
        <f t="shared" si="7"/>
        <v>6443</v>
      </c>
      <c r="N19" s="145">
        <v>6993394</v>
      </c>
      <c r="O19" s="129">
        <f t="shared" si="15"/>
        <v>14994</v>
      </c>
      <c r="P19" s="148">
        <v>7264209</v>
      </c>
      <c r="Q19" s="129">
        <f t="shared" si="8"/>
        <v>8899</v>
      </c>
      <c r="R19" s="145">
        <v>21717024</v>
      </c>
      <c r="S19" s="129">
        <f t="shared" si="9"/>
        <v>10415</v>
      </c>
      <c r="T19" s="152">
        <v>0</v>
      </c>
      <c r="U19" s="149"/>
      <c r="V19" s="145">
        <v>9697787</v>
      </c>
      <c r="W19" s="129">
        <f t="shared" si="10"/>
        <v>11495</v>
      </c>
      <c r="X19" s="19">
        <f t="shared" si="11"/>
        <v>63430</v>
      </c>
      <c r="Y19" s="153">
        <f t="shared" si="12"/>
        <v>12147</v>
      </c>
      <c r="Z19" s="154">
        <f t="shared" si="13"/>
        <v>8776.8318559999989</v>
      </c>
      <c r="AA19" s="3">
        <f>SUM(Z1:Z19)</f>
        <v>160249.83497120003</v>
      </c>
    </row>
    <row r="20" spans="1:27" s="130" customFormat="1" ht="16.5" thickBot="1" x14ac:dyDescent="0.3">
      <c r="A20" s="9">
        <v>44760</v>
      </c>
      <c r="B20" s="38">
        <v>111</v>
      </c>
      <c r="C20" s="144">
        <v>19873</v>
      </c>
      <c r="D20" s="38">
        <f t="shared" si="3"/>
        <v>800</v>
      </c>
      <c r="E20" s="145">
        <v>32138300</v>
      </c>
      <c r="F20" s="38">
        <f t="shared" si="4"/>
        <v>28934</v>
      </c>
      <c r="G20" s="146">
        <v>2213949</v>
      </c>
      <c r="H20" s="38">
        <f t="shared" si="5"/>
        <v>70207</v>
      </c>
      <c r="I20" s="151">
        <f t="shared" si="6"/>
        <v>99141</v>
      </c>
      <c r="J20" s="145">
        <v>174508</v>
      </c>
      <c r="K20" s="129">
        <f t="shared" si="14"/>
        <v>14544</v>
      </c>
      <c r="L20" s="148">
        <v>413791</v>
      </c>
      <c r="M20" s="129">
        <f t="shared" si="7"/>
        <v>8625</v>
      </c>
      <c r="N20" s="145">
        <v>7003432</v>
      </c>
      <c r="O20" s="129">
        <f t="shared" si="15"/>
        <v>20076</v>
      </c>
      <c r="P20" s="148">
        <v>7287975</v>
      </c>
      <c r="Q20" s="129">
        <f t="shared" si="8"/>
        <v>23766</v>
      </c>
      <c r="R20" s="145">
        <v>21730317</v>
      </c>
      <c r="S20" s="129">
        <f t="shared" si="9"/>
        <v>13293</v>
      </c>
      <c r="T20" s="152">
        <v>0</v>
      </c>
      <c r="U20" s="149"/>
      <c r="V20" s="145">
        <v>9712513</v>
      </c>
      <c r="W20" s="129">
        <f t="shared" si="10"/>
        <v>14726</v>
      </c>
      <c r="X20" s="19">
        <f t="shared" si="11"/>
        <v>95030</v>
      </c>
      <c r="Y20" s="153">
        <f t="shared" si="12"/>
        <v>4111</v>
      </c>
      <c r="Z20" s="154">
        <f t="shared" si="13"/>
        <v>13147.555844800001</v>
      </c>
      <c r="AA20" s="3">
        <f>SUM(Z1:Z20)</f>
        <v>173397.39081600003</v>
      </c>
    </row>
    <row r="21" spans="1:27" s="130" customFormat="1" ht="16.5" thickBot="1" x14ac:dyDescent="0.3">
      <c r="A21" s="9">
        <v>44761</v>
      </c>
      <c r="B21" s="38">
        <v>224</v>
      </c>
      <c r="C21" s="144">
        <v>19877</v>
      </c>
      <c r="D21" s="38">
        <f t="shared" si="3"/>
        <v>640</v>
      </c>
      <c r="E21" s="145">
        <v>32158480</v>
      </c>
      <c r="F21" s="38">
        <f t="shared" si="4"/>
        <v>20180</v>
      </c>
      <c r="G21" s="146">
        <v>2262299</v>
      </c>
      <c r="H21" s="38">
        <f t="shared" si="5"/>
        <v>48350</v>
      </c>
      <c r="I21" s="151">
        <f t="shared" si="6"/>
        <v>68530</v>
      </c>
      <c r="J21" s="145">
        <v>179684</v>
      </c>
      <c r="K21" s="129">
        <f t="shared" si="14"/>
        <v>10352</v>
      </c>
      <c r="L21" s="148">
        <v>419529</v>
      </c>
      <c r="M21" s="129">
        <f t="shared" si="7"/>
        <v>5738</v>
      </c>
      <c r="N21" s="145">
        <v>7010557</v>
      </c>
      <c r="O21" s="129">
        <f t="shared" si="15"/>
        <v>14250</v>
      </c>
      <c r="P21" s="148">
        <v>7300943</v>
      </c>
      <c r="Q21" s="129">
        <f t="shared" si="8"/>
        <v>12968</v>
      </c>
      <c r="R21" s="145">
        <v>21739436</v>
      </c>
      <c r="S21" s="129">
        <f t="shared" si="9"/>
        <v>9119</v>
      </c>
      <c r="T21" s="152">
        <v>0</v>
      </c>
      <c r="U21" s="149"/>
      <c r="V21" s="145">
        <v>9723570</v>
      </c>
      <c r="W21" s="129">
        <f t="shared" si="10"/>
        <v>11057</v>
      </c>
      <c r="X21" s="19">
        <f t="shared" si="11"/>
        <v>63484</v>
      </c>
      <c r="Y21" s="153">
        <f t="shared" si="12"/>
        <v>5046</v>
      </c>
      <c r="Z21" s="154">
        <f t="shared" si="13"/>
        <v>8837.3172992000018</v>
      </c>
      <c r="AA21" s="3">
        <f>SUM(Z1:Z21)</f>
        <v>182234.70811520002</v>
      </c>
    </row>
    <row r="22" spans="1:27" ht="16.5" thickBot="1" x14ac:dyDescent="0.3">
      <c r="A22" s="9">
        <v>44762</v>
      </c>
      <c r="B22" s="38">
        <v>230</v>
      </c>
      <c r="C22" s="144">
        <v>19882</v>
      </c>
      <c r="D22" s="38">
        <f t="shared" si="3"/>
        <v>800</v>
      </c>
      <c r="E22" s="145">
        <v>32181935</v>
      </c>
      <c r="F22" s="38">
        <f t="shared" si="4"/>
        <v>23455</v>
      </c>
      <c r="G22" s="146">
        <v>2318180</v>
      </c>
      <c r="H22" s="38">
        <f t="shared" si="5"/>
        <v>55881</v>
      </c>
      <c r="I22" s="147">
        <f t="shared" si="6"/>
        <v>79336</v>
      </c>
      <c r="J22" s="145">
        <v>185414</v>
      </c>
      <c r="K22" s="129">
        <f t="shared" si="14"/>
        <v>11460</v>
      </c>
      <c r="L22" s="148">
        <v>426120</v>
      </c>
      <c r="M22" s="38">
        <f t="shared" si="7"/>
        <v>6591</v>
      </c>
      <c r="N22" s="145">
        <v>7018890</v>
      </c>
      <c r="O22" s="38">
        <f t="shared" si="15"/>
        <v>16666</v>
      </c>
      <c r="P22" s="148">
        <v>7316127</v>
      </c>
      <c r="Q22" s="38">
        <f t="shared" si="8"/>
        <v>15184</v>
      </c>
      <c r="R22" s="145">
        <v>21750266</v>
      </c>
      <c r="S22" s="38">
        <f t="shared" si="9"/>
        <v>10830</v>
      </c>
      <c r="T22" s="145">
        <v>0</v>
      </c>
      <c r="U22" s="149"/>
      <c r="V22" s="145">
        <v>9734071</v>
      </c>
      <c r="W22" s="38">
        <f t="shared" si="10"/>
        <v>10501</v>
      </c>
      <c r="X22" s="19">
        <f t="shared" si="11"/>
        <v>71232</v>
      </c>
      <c r="Y22" s="150">
        <f t="shared" si="12"/>
        <v>8104</v>
      </c>
      <c r="Z22" s="3">
        <f t="shared" si="13"/>
        <v>9788.2187312000005</v>
      </c>
      <c r="AA22" s="3">
        <f>SUM(Z1:Z22)</f>
        <v>192022.92684640002</v>
      </c>
    </row>
    <row r="23" spans="1:27" ht="16.5" thickBot="1" x14ac:dyDescent="0.3">
      <c r="A23" s="9">
        <v>44763</v>
      </c>
      <c r="B23" s="38">
        <v>272</v>
      </c>
      <c r="C23" s="144">
        <v>19886</v>
      </c>
      <c r="D23" s="38">
        <f t="shared" si="3"/>
        <v>640</v>
      </c>
      <c r="E23" s="145">
        <v>32204752</v>
      </c>
      <c r="F23" s="38">
        <f t="shared" si="4"/>
        <v>22817</v>
      </c>
      <c r="G23" s="146">
        <v>2372255</v>
      </c>
      <c r="H23" s="38">
        <f t="shared" si="5"/>
        <v>54075</v>
      </c>
      <c r="I23" s="147">
        <f t="shared" si="6"/>
        <v>76892</v>
      </c>
      <c r="J23" s="145">
        <v>191022</v>
      </c>
      <c r="K23" s="129">
        <f t="shared" si="14"/>
        <v>11216</v>
      </c>
      <c r="L23" s="148">
        <v>432676</v>
      </c>
      <c r="M23" s="38">
        <f t="shared" si="7"/>
        <v>6556</v>
      </c>
      <c r="N23" s="145">
        <v>7026908</v>
      </c>
      <c r="O23" s="38">
        <f t="shared" si="15"/>
        <v>16036</v>
      </c>
      <c r="P23" s="148">
        <v>7330544</v>
      </c>
      <c r="Q23" s="38">
        <f t="shared" si="8"/>
        <v>14417</v>
      </c>
      <c r="R23" s="145">
        <v>21760954</v>
      </c>
      <c r="S23" s="38">
        <f t="shared" si="9"/>
        <v>10688</v>
      </c>
      <c r="T23" s="145">
        <v>0</v>
      </c>
      <c r="U23" s="149"/>
      <c r="V23" s="145">
        <v>9745211</v>
      </c>
      <c r="W23" s="38">
        <f t="shared" si="10"/>
        <v>11140</v>
      </c>
      <c r="X23" s="19">
        <f t="shared" si="11"/>
        <v>70053</v>
      </c>
      <c r="Y23" s="150">
        <f t="shared" si="12"/>
        <v>6839</v>
      </c>
      <c r="Z23" s="3">
        <f t="shared" si="13"/>
        <v>9706.6072895999987</v>
      </c>
      <c r="AA23" s="3">
        <f>SUM(Z1:Z23)</f>
        <v>201729.53413600003</v>
      </c>
    </row>
    <row r="24" spans="1:27" ht="16.5" thickBot="1" x14ac:dyDescent="0.3">
      <c r="A24" s="9">
        <v>44764</v>
      </c>
      <c r="B24" s="38">
        <v>250</v>
      </c>
      <c r="C24" s="144">
        <v>19890</v>
      </c>
      <c r="D24" s="38">
        <f t="shared" si="3"/>
        <v>640</v>
      </c>
      <c r="E24" s="145">
        <v>32232213</v>
      </c>
      <c r="F24" s="38">
        <f t="shared" si="4"/>
        <v>27461</v>
      </c>
      <c r="G24" s="146">
        <v>2435790</v>
      </c>
      <c r="H24" s="38">
        <f t="shared" si="5"/>
        <v>63535</v>
      </c>
      <c r="I24" s="147">
        <f t="shared" si="6"/>
        <v>90996</v>
      </c>
      <c r="J24" s="145">
        <v>197000</v>
      </c>
      <c r="K24" s="129">
        <f t="shared" si="14"/>
        <v>11956</v>
      </c>
      <c r="L24" s="148">
        <v>440117</v>
      </c>
      <c r="M24" s="38">
        <f t="shared" si="7"/>
        <v>7441</v>
      </c>
      <c r="N24" s="145">
        <v>7036819</v>
      </c>
      <c r="O24" s="38">
        <f t="shared" si="15"/>
        <v>19822</v>
      </c>
      <c r="P24" s="148">
        <v>7346339</v>
      </c>
      <c r="Q24" s="38">
        <f t="shared" si="8"/>
        <v>15795</v>
      </c>
      <c r="R24" s="145">
        <v>21773977</v>
      </c>
      <c r="S24" s="38">
        <f t="shared" si="9"/>
        <v>13023</v>
      </c>
      <c r="T24" s="145">
        <v>0</v>
      </c>
      <c r="U24" s="149"/>
      <c r="V24" s="145">
        <v>9758894</v>
      </c>
      <c r="W24" s="38">
        <f t="shared" si="10"/>
        <v>13683</v>
      </c>
      <c r="X24" s="19">
        <f t="shared" si="11"/>
        <v>81720</v>
      </c>
      <c r="Y24" s="150">
        <f t="shared" si="12"/>
        <v>9276</v>
      </c>
      <c r="Z24" s="3">
        <f t="shared" si="13"/>
        <v>11638.153987200001</v>
      </c>
      <c r="AA24" s="3">
        <f>SUM(Z1:Z24)</f>
        <v>213367.68812320003</v>
      </c>
    </row>
    <row r="25" spans="1:27" ht="16.5" thickBot="1" x14ac:dyDescent="0.3">
      <c r="A25" s="9">
        <v>44765</v>
      </c>
      <c r="B25" s="38">
        <v>198</v>
      </c>
      <c r="C25" s="144">
        <v>19893</v>
      </c>
      <c r="D25" s="38">
        <f t="shared" si="3"/>
        <v>480</v>
      </c>
      <c r="E25" s="145">
        <v>32252064</v>
      </c>
      <c r="F25" s="38">
        <f t="shared" si="4"/>
        <v>19851</v>
      </c>
      <c r="G25" s="146">
        <v>2481232</v>
      </c>
      <c r="H25" s="38">
        <f t="shared" si="5"/>
        <v>45442</v>
      </c>
      <c r="I25" s="147">
        <f t="shared" si="6"/>
        <v>65293</v>
      </c>
      <c r="J25" s="145">
        <v>201556</v>
      </c>
      <c r="K25" s="129">
        <f t="shared" si="14"/>
        <v>9112</v>
      </c>
      <c r="L25" s="148">
        <v>445408</v>
      </c>
      <c r="M25" s="38">
        <f t="shared" si="7"/>
        <v>5291</v>
      </c>
      <c r="N25" s="145">
        <v>7044005</v>
      </c>
      <c r="O25" s="38">
        <f t="shared" si="15"/>
        <v>14372</v>
      </c>
      <c r="P25" s="148">
        <v>7357714</v>
      </c>
      <c r="Q25" s="38">
        <f t="shared" si="8"/>
        <v>11375</v>
      </c>
      <c r="R25" s="145">
        <v>21782651</v>
      </c>
      <c r="S25" s="38">
        <f t="shared" si="9"/>
        <v>8674</v>
      </c>
      <c r="T25" s="145">
        <v>0</v>
      </c>
      <c r="U25" s="149"/>
      <c r="V25" s="145">
        <v>9768790</v>
      </c>
      <c r="W25" s="38">
        <f t="shared" si="10"/>
        <v>9896</v>
      </c>
      <c r="X25" s="19">
        <f t="shared" si="11"/>
        <v>58720</v>
      </c>
      <c r="Y25" s="150">
        <f t="shared" si="12"/>
        <v>6573</v>
      </c>
      <c r="Z25" s="3">
        <f t="shared" si="13"/>
        <v>8234.5629600000011</v>
      </c>
      <c r="AA25" s="3">
        <f>SUM(Z1:Z25)</f>
        <v>221602.25108320004</v>
      </c>
    </row>
    <row r="26" spans="1:27" ht="16.5" thickBot="1" x14ac:dyDescent="0.3">
      <c r="A26" s="9">
        <v>44766</v>
      </c>
      <c r="B26" s="38">
        <v>304</v>
      </c>
      <c r="C26" s="144">
        <v>19897</v>
      </c>
      <c r="D26" s="38">
        <f t="shared" si="3"/>
        <v>640</v>
      </c>
      <c r="E26" s="145">
        <v>32278326</v>
      </c>
      <c r="F26" s="38">
        <f t="shared" si="4"/>
        <v>26262</v>
      </c>
      <c r="G26" s="146">
        <v>2541327</v>
      </c>
      <c r="H26" s="38">
        <f t="shared" si="5"/>
        <v>60095</v>
      </c>
      <c r="I26" s="147">
        <f t="shared" si="6"/>
        <v>86357</v>
      </c>
      <c r="J26" s="145">
        <v>207681</v>
      </c>
      <c r="K26" s="129">
        <f t="shared" si="14"/>
        <v>12250</v>
      </c>
      <c r="L26" s="148">
        <v>452513</v>
      </c>
      <c r="M26" s="38">
        <f t="shared" si="7"/>
        <v>7105</v>
      </c>
      <c r="N26" s="145">
        <v>7053443</v>
      </c>
      <c r="O26" s="38">
        <f t="shared" si="15"/>
        <v>18876</v>
      </c>
      <c r="P26" s="148">
        <v>7372886</v>
      </c>
      <c r="Q26" s="38">
        <f t="shared" si="8"/>
        <v>15172</v>
      </c>
      <c r="R26" s="145">
        <v>21784455</v>
      </c>
      <c r="S26" s="38">
        <f t="shared" si="9"/>
        <v>1804</v>
      </c>
      <c r="T26" s="145">
        <v>0</v>
      </c>
      <c r="U26" s="149"/>
      <c r="V26" s="145">
        <v>9781566</v>
      </c>
      <c r="W26" s="38">
        <f t="shared" si="10"/>
        <v>12776</v>
      </c>
      <c r="X26" s="19">
        <f t="shared" si="11"/>
        <v>67983</v>
      </c>
      <c r="Y26" s="150">
        <f t="shared" si="12"/>
        <v>18374</v>
      </c>
      <c r="Z26" s="3">
        <f t="shared" si="13"/>
        <v>8467.8484800000006</v>
      </c>
      <c r="AA26" s="3">
        <f>SUM(Z1:Z26)</f>
        <v>230070.09956320003</v>
      </c>
    </row>
    <row r="27" spans="1:27" ht="16.5" thickBot="1" x14ac:dyDescent="0.3">
      <c r="A27" s="9">
        <v>44767</v>
      </c>
      <c r="B27" s="38">
        <v>296</v>
      </c>
      <c r="C27" s="144">
        <v>19901</v>
      </c>
      <c r="D27" s="38">
        <f t="shared" si="3"/>
        <v>640</v>
      </c>
      <c r="E27" s="145">
        <v>32303341</v>
      </c>
      <c r="F27" s="38">
        <f t="shared" si="4"/>
        <v>25015</v>
      </c>
      <c r="G27" s="146">
        <v>2599605</v>
      </c>
      <c r="H27" s="38">
        <f t="shared" si="5"/>
        <v>58278</v>
      </c>
      <c r="I27" s="147">
        <f t="shared" si="6"/>
        <v>83293</v>
      </c>
      <c r="J27" s="145">
        <v>213631</v>
      </c>
      <c r="K27" s="129">
        <f t="shared" si="14"/>
        <v>11900</v>
      </c>
      <c r="L27" s="148">
        <v>459136</v>
      </c>
      <c r="M27" s="38">
        <f t="shared" si="7"/>
        <v>6623</v>
      </c>
      <c r="N27" s="145">
        <v>7062571</v>
      </c>
      <c r="O27" s="38">
        <f t="shared" si="15"/>
        <v>18256</v>
      </c>
      <c r="P27" s="148">
        <v>7387188</v>
      </c>
      <c r="Q27" s="38">
        <f t="shared" si="8"/>
        <v>14302</v>
      </c>
      <c r="R27" s="145">
        <v>21805740</v>
      </c>
      <c r="S27" s="38">
        <f t="shared" si="9"/>
        <v>21285</v>
      </c>
      <c r="T27" s="145">
        <v>0</v>
      </c>
      <c r="U27" s="149"/>
      <c r="V27" s="145">
        <v>9794213</v>
      </c>
      <c r="W27" s="38">
        <f t="shared" si="10"/>
        <v>12647</v>
      </c>
      <c r="X27" s="19">
        <f t="shared" si="11"/>
        <v>85013</v>
      </c>
      <c r="Y27" s="150">
        <f t="shared" si="12"/>
        <v>-1720</v>
      </c>
      <c r="Z27" s="3">
        <f t="shared" si="13"/>
        <v>12949.168710399999</v>
      </c>
      <c r="AA27" s="3">
        <f>SUM(Z1:Z27)</f>
        <v>243019.26827360003</v>
      </c>
    </row>
    <row r="28" spans="1:27" ht="16.5" thickBot="1" x14ac:dyDescent="0.3">
      <c r="A28" s="9">
        <v>44768</v>
      </c>
      <c r="B28" s="38">
        <v>260</v>
      </c>
      <c r="C28" s="144">
        <v>19905</v>
      </c>
      <c r="D28" s="38">
        <f t="shared" si="3"/>
        <v>640</v>
      </c>
      <c r="E28" s="145">
        <v>32324006</v>
      </c>
      <c r="F28" s="38">
        <f t="shared" si="4"/>
        <v>20665</v>
      </c>
      <c r="G28" s="146">
        <v>2648010</v>
      </c>
      <c r="H28" s="38">
        <f t="shared" si="5"/>
        <v>48405</v>
      </c>
      <c r="I28" s="147">
        <f t="shared" si="6"/>
        <v>69070</v>
      </c>
      <c r="J28" s="145">
        <v>218687</v>
      </c>
      <c r="K28" s="129">
        <f t="shared" si="14"/>
        <v>10112</v>
      </c>
      <c r="L28" s="148">
        <v>464828</v>
      </c>
      <c r="M28" s="38">
        <f t="shared" si="7"/>
        <v>5692</v>
      </c>
      <c r="N28" s="145">
        <v>7069964</v>
      </c>
      <c r="O28" s="38">
        <f t="shared" si="15"/>
        <v>14786</v>
      </c>
      <c r="P28" s="148">
        <v>7398199</v>
      </c>
      <c r="Q28" s="38">
        <f t="shared" si="8"/>
        <v>11011</v>
      </c>
      <c r="R28" s="145">
        <v>21815344</v>
      </c>
      <c r="S28" s="38">
        <f t="shared" si="9"/>
        <v>9604</v>
      </c>
      <c r="T28" s="145">
        <v>0</v>
      </c>
      <c r="U28" s="149"/>
      <c r="V28" s="145">
        <v>9804796</v>
      </c>
      <c r="W28" s="38">
        <f t="shared" si="10"/>
        <v>10583</v>
      </c>
      <c r="X28" s="19">
        <f t="shared" si="11"/>
        <v>61788</v>
      </c>
      <c r="Y28" s="150">
        <f t="shared" si="12"/>
        <v>7282</v>
      </c>
      <c r="Z28" s="3">
        <f t="shared" si="13"/>
        <v>8634.2718384</v>
      </c>
      <c r="AA28" s="3">
        <f>SUM(Z1:Z28)</f>
        <v>251653.54011200002</v>
      </c>
    </row>
    <row r="29" spans="1:27" ht="16.5" thickBot="1" x14ac:dyDescent="0.3">
      <c r="A29" s="9">
        <v>44769</v>
      </c>
      <c r="B29" s="38">
        <v>299</v>
      </c>
      <c r="C29" s="144">
        <v>19909</v>
      </c>
      <c r="D29" s="38">
        <f t="shared" si="3"/>
        <v>640</v>
      </c>
      <c r="E29" s="145">
        <v>32349940</v>
      </c>
      <c r="F29" s="38">
        <f t="shared" si="4"/>
        <v>25934</v>
      </c>
      <c r="G29" s="146">
        <v>2706581</v>
      </c>
      <c r="H29" s="38">
        <f t="shared" si="5"/>
        <v>58571</v>
      </c>
      <c r="I29" s="147">
        <f t="shared" si="6"/>
        <v>84505</v>
      </c>
      <c r="J29" s="145">
        <v>224527</v>
      </c>
      <c r="K29" s="129">
        <f t="shared" si="14"/>
        <v>11680</v>
      </c>
      <c r="L29" s="148">
        <v>471651</v>
      </c>
      <c r="M29" s="38">
        <f t="shared" si="7"/>
        <v>6823</v>
      </c>
      <c r="N29" s="145">
        <v>7078985</v>
      </c>
      <c r="O29" s="38">
        <f t="shared" si="15"/>
        <v>18042</v>
      </c>
      <c r="P29" s="148">
        <v>7412846</v>
      </c>
      <c r="Q29" s="38">
        <f t="shared" si="8"/>
        <v>14647</v>
      </c>
      <c r="R29" s="145">
        <v>21826871</v>
      </c>
      <c r="S29" s="38">
        <f t="shared" si="9"/>
        <v>11527</v>
      </c>
      <c r="T29" s="145">
        <v>0</v>
      </c>
      <c r="U29" s="149"/>
      <c r="V29" s="145">
        <v>9817728</v>
      </c>
      <c r="W29" s="38">
        <f t="shared" si="10"/>
        <v>12932</v>
      </c>
      <c r="X29" s="19">
        <f t="shared" si="11"/>
        <v>75651</v>
      </c>
      <c r="Y29" s="150">
        <f t="shared" si="12"/>
        <v>8854</v>
      </c>
      <c r="Z29" s="3">
        <f t="shared" si="13"/>
        <v>10668.892228800001</v>
      </c>
      <c r="AA29" s="3">
        <f>SUM(Z1:Z29)</f>
        <v>262322.43234080001</v>
      </c>
    </row>
    <row r="30" spans="1:27" ht="16.5" thickBot="1" x14ac:dyDescent="0.3">
      <c r="A30" s="9">
        <v>44770</v>
      </c>
      <c r="B30" s="38"/>
      <c r="C30" s="144">
        <f t="shared" ref="C29:C33" si="27">C29</f>
        <v>19909</v>
      </c>
      <c r="D30" s="38">
        <f>IF((C30-C29)&lt;0,"0",(C30-C29))*160</f>
        <v>0</v>
      </c>
      <c r="E30" s="145"/>
      <c r="F30" s="38" t="str">
        <f>IF((E30-E29)&lt;0,"0",(E30-E29))</f>
        <v>0</v>
      </c>
      <c r="G30" s="146">
        <f t="shared" ref="G29:G33" si="28">G29</f>
        <v>2706581</v>
      </c>
      <c r="H30" s="38">
        <f t="shared" si="5"/>
        <v>0</v>
      </c>
      <c r="I30" s="147">
        <f t="shared" si="6"/>
        <v>0</v>
      </c>
      <c r="J30" s="145">
        <f t="shared" ref="J29:J33" si="29">J29</f>
        <v>224527</v>
      </c>
      <c r="K30" s="129">
        <f t="shared" si="14"/>
        <v>0</v>
      </c>
      <c r="L30" s="148">
        <f t="shared" ref="L29:L33" si="30">L29</f>
        <v>471651</v>
      </c>
      <c r="M30" s="38">
        <f>IF((L30-L29)&lt;0,"0",(L30-L29))</f>
        <v>0</v>
      </c>
      <c r="N30" s="145">
        <f t="shared" ref="N29:N33" si="31">N29</f>
        <v>7078985</v>
      </c>
      <c r="O30" s="38">
        <f>(IF((N30-N29)&lt;0,"0",(N30-N29)))*2</f>
        <v>0</v>
      </c>
      <c r="P30" s="148">
        <f t="shared" ref="P29:P33" si="32">P29</f>
        <v>7412846</v>
      </c>
      <c r="Q30" s="38">
        <f>IF((P30-P29)&lt;0,"0",(P30-P29))</f>
        <v>0</v>
      </c>
      <c r="R30" s="145">
        <f t="shared" ref="R29:R33" si="33">R29</f>
        <v>21826871</v>
      </c>
      <c r="S30" s="38">
        <f>IF((R30-R29)&lt;0,"0",(R30-R29))</f>
        <v>0</v>
      </c>
      <c r="T30" s="145">
        <v>0</v>
      </c>
      <c r="U30" s="149"/>
      <c r="V30" s="145">
        <f t="shared" ref="V29:V33" si="34">V29</f>
        <v>9817728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262322.43234080001</v>
      </c>
    </row>
    <row r="31" spans="1:27" ht="16.5" thickBot="1" x14ac:dyDescent="0.3">
      <c r="A31" s="9">
        <v>44771</v>
      </c>
      <c r="B31" s="38"/>
      <c r="C31" s="144">
        <f t="shared" si="27"/>
        <v>19909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2706581</v>
      </c>
      <c r="H31" s="38">
        <f t="shared" si="5"/>
        <v>0</v>
      </c>
      <c r="I31" s="147">
        <f t="shared" ref="I31:I33" si="37">F31+H31</f>
        <v>0</v>
      </c>
      <c r="J31" s="145">
        <f t="shared" si="29"/>
        <v>224527</v>
      </c>
      <c r="K31" s="129">
        <f t="shared" si="14"/>
        <v>0</v>
      </c>
      <c r="L31" s="148">
        <f t="shared" si="30"/>
        <v>471651</v>
      </c>
      <c r="M31" s="38">
        <f t="shared" ref="M31:M33" si="38">IF((L31-L30)&lt;0,"0",(L31-L30))</f>
        <v>0</v>
      </c>
      <c r="N31" s="145">
        <f t="shared" si="31"/>
        <v>7078985</v>
      </c>
      <c r="O31" s="38">
        <f t="shared" ref="O31:O33" si="39">(IF((N31-N30)&lt;0,"0",(N31-N30)))*2</f>
        <v>0</v>
      </c>
      <c r="P31" s="148">
        <f t="shared" si="32"/>
        <v>7412846</v>
      </c>
      <c r="Q31" s="38">
        <f t="shared" ref="Q31:Q33" si="40">IF((P31-P30)&lt;0,"0",(P31-P30))</f>
        <v>0</v>
      </c>
      <c r="R31" s="145">
        <f t="shared" si="33"/>
        <v>21826871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9817728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262322.43234080001</v>
      </c>
    </row>
    <row r="32" spans="1:27" ht="16.5" thickBot="1" x14ac:dyDescent="0.3">
      <c r="A32" s="9">
        <v>44772</v>
      </c>
      <c r="B32" s="38"/>
      <c r="C32" s="144">
        <f t="shared" si="27"/>
        <v>19909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2706581</v>
      </c>
      <c r="H32" s="38">
        <f t="shared" si="5"/>
        <v>0</v>
      </c>
      <c r="I32" s="147">
        <f t="shared" si="37"/>
        <v>0</v>
      </c>
      <c r="J32" s="145">
        <f t="shared" si="29"/>
        <v>224527</v>
      </c>
      <c r="K32" s="129">
        <f t="shared" si="14"/>
        <v>0</v>
      </c>
      <c r="L32" s="148">
        <f t="shared" si="30"/>
        <v>471651</v>
      </c>
      <c r="M32" s="38">
        <f t="shared" si="38"/>
        <v>0</v>
      </c>
      <c r="N32" s="145">
        <f t="shared" si="31"/>
        <v>7078985</v>
      </c>
      <c r="O32" s="38">
        <f t="shared" si="39"/>
        <v>0</v>
      </c>
      <c r="P32" s="148">
        <f t="shared" si="32"/>
        <v>7412846</v>
      </c>
      <c r="Q32" s="38">
        <f t="shared" si="40"/>
        <v>0</v>
      </c>
      <c r="R32" s="145">
        <f t="shared" si="33"/>
        <v>21826871</v>
      </c>
      <c r="S32" s="38">
        <f t="shared" si="41"/>
        <v>0</v>
      </c>
      <c r="T32" s="145">
        <v>0</v>
      </c>
      <c r="U32" s="149"/>
      <c r="V32" s="145">
        <f t="shared" si="34"/>
        <v>9817728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262322.43234080001</v>
      </c>
    </row>
    <row r="33" spans="1:27" ht="16.5" thickBot="1" x14ac:dyDescent="0.3">
      <c r="A33" s="9">
        <v>44773</v>
      </c>
      <c r="B33" s="38"/>
      <c r="C33" s="144">
        <f t="shared" si="27"/>
        <v>19909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2706581</v>
      </c>
      <c r="H33" s="38">
        <f t="shared" si="5"/>
        <v>0</v>
      </c>
      <c r="I33" s="147">
        <f t="shared" si="37"/>
        <v>0</v>
      </c>
      <c r="J33" s="145">
        <f t="shared" si="29"/>
        <v>224527</v>
      </c>
      <c r="K33" s="129">
        <f t="shared" si="14"/>
        <v>0</v>
      </c>
      <c r="L33" s="148">
        <f t="shared" si="30"/>
        <v>471651</v>
      </c>
      <c r="M33" s="38">
        <f t="shared" si="38"/>
        <v>0</v>
      </c>
      <c r="N33" s="145">
        <f t="shared" si="31"/>
        <v>7078985</v>
      </c>
      <c r="O33" s="38">
        <f t="shared" si="39"/>
        <v>0</v>
      </c>
      <c r="P33" s="148">
        <f t="shared" si="32"/>
        <v>7412846</v>
      </c>
      <c r="Q33" s="38">
        <f t="shared" si="40"/>
        <v>0</v>
      </c>
      <c r="R33" s="145">
        <f t="shared" si="33"/>
        <v>21826871</v>
      </c>
      <c r="S33" s="38">
        <f t="shared" si="41"/>
        <v>0</v>
      </c>
      <c r="T33" s="145">
        <v>0</v>
      </c>
      <c r="U33" s="55"/>
      <c r="V33" s="145">
        <f t="shared" si="34"/>
        <v>9817728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262322.43234080001</v>
      </c>
    </row>
    <row r="34" spans="1:27" ht="16.5" thickBot="1" x14ac:dyDescent="0.3">
      <c r="A34" s="136" t="s">
        <v>23</v>
      </c>
      <c r="B34" s="136">
        <f>SUM(B3:B33)</f>
        <v>5836</v>
      </c>
      <c r="C34" s="136">
        <v>0</v>
      </c>
      <c r="D34" s="136">
        <f>SUM(D3:D33)</f>
        <v>17600</v>
      </c>
      <c r="E34" s="55">
        <v>0</v>
      </c>
      <c r="F34" s="136">
        <f>SUM(F3:F33)</f>
        <v>609682</v>
      </c>
      <c r="G34" s="55">
        <v>0</v>
      </c>
      <c r="H34" s="136">
        <f>SUM(H3:H33)</f>
        <v>1471931</v>
      </c>
      <c r="I34" s="55">
        <v>92693</v>
      </c>
      <c r="J34" s="55">
        <v>0</v>
      </c>
      <c r="K34" s="136">
        <f>SUM(K3:K33)</f>
        <v>300990</v>
      </c>
      <c r="L34" s="55">
        <v>0</v>
      </c>
      <c r="M34" s="136">
        <f>SUM(M3:M33)</f>
        <v>175168</v>
      </c>
      <c r="N34" s="55">
        <v>0</v>
      </c>
      <c r="O34" s="136">
        <f>SUM(O3:O33)</f>
        <v>428308</v>
      </c>
      <c r="P34" s="55">
        <v>0</v>
      </c>
      <c r="Q34" s="136">
        <f>SUM(Q3:Q33)</f>
        <v>378184</v>
      </c>
      <c r="R34" s="55">
        <v>0</v>
      </c>
      <c r="S34" s="136">
        <f>SUM(S3:S33)</f>
        <v>286618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313131</v>
      </c>
      <c r="X34" s="136">
        <f>SUM(X3:X33)</f>
        <v>1882399</v>
      </c>
      <c r="Y34" s="136">
        <f>SUM(Y3:Y33)</f>
        <v>199214</v>
      </c>
      <c r="Z34" s="136">
        <f>SUM(Z3:Z33)</f>
        <v>262322.43234080001</v>
      </c>
      <c r="AA34" s="136">
        <f>SUM(AA3:AA33)</f>
        <v>4695976.2793007996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>
        <v>454618</v>
      </c>
      <c r="C15" s="38">
        <f t="shared" si="7"/>
        <v>230</v>
      </c>
      <c r="D15" s="3">
        <v>10807</v>
      </c>
      <c r="E15" s="38">
        <f t="shared" si="2"/>
        <v>370</v>
      </c>
      <c r="F15" s="3">
        <v>10141600</v>
      </c>
      <c r="G15" s="38">
        <f t="shared" si="5"/>
        <v>731.7</v>
      </c>
      <c r="H15" s="3">
        <v>801564</v>
      </c>
      <c r="I15" s="43">
        <f t="shared" si="6"/>
        <v>1.89</v>
      </c>
      <c r="J15" s="19">
        <f t="shared" si="3"/>
        <v>1333.5900000000001</v>
      </c>
      <c r="K15" s="20">
        <f t="shared" si="4"/>
        <v>7814.8374000000013</v>
      </c>
    </row>
    <row r="16" spans="1:14" ht="16.5" thickBot="1" x14ac:dyDescent="0.3">
      <c r="A16" s="9">
        <v>44756</v>
      </c>
      <c r="B16" s="3">
        <v>454727</v>
      </c>
      <c r="C16" s="38">
        <f t="shared" si="7"/>
        <v>1090</v>
      </c>
      <c r="D16" s="3">
        <v>10846</v>
      </c>
      <c r="E16" s="38">
        <f t="shared" si="2"/>
        <v>390</v>
      </c>
      <c r="F16" s="3">
        <v>10162400</v>
      </c>
      <c r="G16" s="38">
        <f t="shared" si="5"/>
        <v>561.6</v>
      </c>
      <c r="H16" s="3">
        <v>801691</v>
      </c>
      <c r="I16" s="43">
        <f t="shared" si="6"/>
        <v>3.4289999999999998</v>
      </c>
      <c r="J16" s="19">
        <f t="shared" si="3"/>
        <v>2045.029</v>
      </c>
      <c r="K16" s="20">
        <f t="shared" si="4"/>
        <v>11983.86994</v>
      </c>
    </row>
    <row r="17" spans="1:25" ht="16.5" thickBot="1" x14ac:dyDescent="0.3">
      <c r="A17" s="9">
        <v>44757</v>
      </c>
      <c r="B17" s="3">
        <v>454826</v>
      </c>
      <c r="C17" s="38">
        <f t="shared" si="7"/>
        <v>990</v>
      </c>
      <c r="D17" s="3">
        <v>10889</v>
      </c>
      <c r="E17" s="38">
        <f t="shared" si="2"/>
        <v>430</v>
      </c>
      <c r="F17" s="3">
        <v>10182700</v>
      </c>
      <c r="G17" s="38">
        <f t="shared" si="5"/>
        <v>548.1</v>
      </c>
      <c r="H17" s="3">
        <v>801804</v>
      </c>
      <c r="I17" s="43">
        <f t="shared" si="6"/>
        <v>3.0510000000000002</v>
      </c>
      <c r="J17" s="19">
        <f t="shared" si="3"/>
        <v>1971.1509999999998</v>
      </c>
      <c r="K17" s="20">
        <f t="shared" si="4"/>
        <v>11550.94486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>
        <v>454930</v>
      </c>
      <c r="C18" s="38">
        <f t="shared" si="7"/>
        <v>1040</v>
      </c>
      <c r="D18" s="3">
        <v>10937</v>
      </c>
      <c r="E18" s="38">
        <f t="shared" si="2"/>
        <v>480</v>
      </c>
      <c r="F18" s="3">
        <v>10202800</v>
      </c>
      <c r="G18" s="38">
        <f t="shared" si="5"/>
        <v>542.70000000000005</v>
      </c>
      <c r="H18" s="3">
        <v>801960</v>
      </c>
      <c r="I18" s="43">
        <f t="shared" si="6"/>
        <v>4.2119999999999997</v>
      </c>
      <c r="J18" s="19">
        <f t="shared" si="3"/>
        <v>2066.9119999999998</v>
      </c>
      <c r="K18" s="20">
        <f t="shared" si="4"/>
        <v>12112.10432</v>
      </c>
      <c r="Q18" t="s">
        <v>43</v>
      </c>
    </row>
    <row r="19" spans="1:25" ht="16.5" thickBot="1" x14ac:dyDescent="0.3">
      <c r="A19" s="9">
        <v>44759</v>
      </c>
      <c r="B19" s="3">
        <v>455022</v>
      </c>
      <c r="C19" s="38">
        <f t="shared" si="7"/>
        <v>920</v>
      </c>
      <c r="D19" s="3">
        <v>10985</v>
      </c>
      <c r="E19" s="38">
        <f t="shared" ref="E19:E33" si="8">(IF((D19-D18)&lt;0,"0",(D19-D18)))*10</f>
        <v>480</v>
      </c>
      <c r="F19" s="3">
        <v>10223600</v>
      </c>
      <c r="G19" s="38">
        <f t="shared" si="5"/>
        <v>561.6</v>
      </c>
      <c r="H19" s="3">
        <v>802121</v>
      </c>
      <c r="I19" s="43">
        <f t="shared" si="6"/>
        <v>4.3469999999999995</v>
      </c>
      <c r="J19" s="19">
        <f t="shared" si="3"/>
        <v>1965.9469999999999</v>
      </c>
      <c r="K19" s="20">
        <f t="shared" si="4"/>
        <v>11520.449420000001</v>
      </c>
      <c r="Q19" t="s">
        <v>12</v>
      </c>
    </row>
    <row r="20" spans="1:25" ht="16.5" thickBot="1" x14ac:dyDescent="0.3">
      <c r="A20" s="9">
        <v>44760</v>
      </c>
      <c r="B20" s="3">
        <v>455154</v>
      </c>
      <c r="C20" s="38">
        <f t="shared" si="7"/>
        <v>1320</v>
      </c>
      <c r="D20" s="3">
        <v>11029</v>
      </c>
      <c r="E20" s="38">
        <f t="shared" si="8"/>
        <v>440</v>
      </c>
      <c r="F20" s="3">
        <v>10244200</v>
      </c>
      <c r="G20" s="38">
        <f t="shared" si="5"/>
        <v>556.20000000000005</v>
      </c>
      <c r="H20" s="3">
        <v>802272</v>
      </c>
      <c r="I20" s="43">
        <f t="shared" si="6"/>
        <v>4.077</v>
      </c>
      <c r="J20" s="19">
        <f t="shared" si="3"/>
        <v>2320.277</v>
      </c>
      <c r="K20" s="20">
        <f t="shared" si="4"/>
        <v>13596.82322</v>
      </c>
    </row>
    <row r="21" spans="1:25" ht="16.5" thickBot="1" x14ac:dyDescent="0.3">
      <c r="A21" s="9">
        <v>44761</v>
      </c>
      <c r="B21" s="3">
        <v>455259</v>
      </c>
      <c r="C21" s="38">
        <f t="shared" si="7"/>
        <v>1050</v>
      </c>
      <c r="D21" s="3">
        <v>11074</v>
      </c>
      <c r="E21" s="38">
        <f t="shared" si="8"/>
        <v>450</v>
      </c>
      <c r="F21" s="3">
        <v>10265400</v>
      </c>
      <c r="G21" s="38">
        <f t="shared" si="5"/>
        <v>572.4</v>
      </c>
      <c r="H21" s="3">
        <v>802440</v>
      </c>
      <c r="I21" s="43">
        <f t="shared" si="6"/>
        <v>4.5359999999999996</v>
      </c>
      <c r="J21" s="19">
        <f t="shared" si="3"/>
        <v>2076.9360000000001</v>
      </c>
      <c r="K21" s="20">
        <f t="shared" si="4"/>
        <v>12170.844960000002</v>
      </c>
    </row>
    <row r="22" spans="1:25" ht="16.5" thickBot="1" x14ac:dyDescent="0.3">
      <c r="A22" s="9">
        <v>44762</v>
      </c>
      <c r="B22" s="3">
        <v>455367</v>
      </c>
      <c r="C22" s="38">
        <f t="shared" si="7"/>
        <v>1080</v>
      </c>
      <c r="D22" s="3">
        <v>11120</v>
      </c>
      <c r="E22" s="38">
        <f t="shared" si="8"/>
        <v>460</v>
      </c>
      <c r="F22" s="3">
        <v>10286100</v>
      </c>
      <c r="G22" s="38">
        <f t="shared" si="5"/>
        <v>558.9</v>
      </c>
      <c r="H22" s="3">
        <v>802635</v>
      </c>
      <c r="I22" s="43">
        <f t="shared" si="6"/>
        <v>5.2649999999999997</v>
      </c>
      <c r="J22" s="19">
        <f t="shared" si="3"/>
        <v>2104.165</v>
      </c>
      <c r="K22" s="20">
        <f t="shared" si="4"/>
        <v>12330.4069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>
        <v>455477</v>
      </c>
      <c r="C23" s="38">
        <f t="shared" si="7"/>
        <v>1100</v>
      </c>
      <c r="D23" s="3">
        <v>11167</v>
      </c>
      <c r="E23" s="38">
        <f t="shared" si="8"/>
        <v>470</v>
      </c>
      <c r="F23" s="3">
        <v>10307000</v>
      </c>
      <c r="G23" s="38">
        <f t="shared" si="5"/>
        <v>564.29999999999995</v>
      </c>
      <c r="H23" s="3">
        <v>802800</v>
      </c>
      <c r="I23" s="43">
        <f t="shared" si="6"/>
        <v>4.4550000000000001</v>
      </c>
      <c r="J23" s="19">
        <f t="shared" si="3"/>
        <v>2138.7550000000001</v>
      </c>
      <c r="K23" s="20">
        <f t="shared" si="4"/>
        <v>12533.104300000001</v>
      </c>
      <c r="Q23" t="s">
        <v>12</v>
      </c>
    </row>
    <row r="24" spans="1:25" ht="16.5" thickBot="1" x14ac:dyDescent="0.3">
      <c r="A24" s="9">
        <v>44764</v>
      </c>
      <c r="B24" s="3">
        <v>455576</v>
      </c>
      <c r="C24" s="38">
        <f t="shared" si="7"/>
        <v>990</v>
      </c>
      <c r="D24" s="3">
        <v>11209</v>
      </c>
      <c r="E24" s="38">
        <f t="shared" si="8"/>
        <v>420</v>
      </c>
      <c r="F24" s="3">
        <v>10327800</v>
      </c>
      <c r="G24" s="38">
        <f t="shared" si="5"/>
        <v>561.6</v>
      </c>
      <c r="H24" s="3">
        <v>802904</v>
      </c>
      <c r="I24" s="43">
        <f t="shared" si="6"/>
        <v>2.8079999999999998</v>
      </c>
      <c r="J24" s="19">
        <f t="shared" si="3"/>
        <v>1974.4079999999999</v>
      </c>
      <c r="K24" s="20">
        <f t="shared" si="4"/>
        <v>11570.03088</v>
      </c>
    </row>
    <row r="25" spans="1:25" ht="17.25" customHeight="1" thickBot="1" x14ac:dyDescent="0.4">
      <c r="A25" s="9">
        <v>44765</v>
      </c>
      <c r="B25" s="3">
        <v>455676</v>
      </c>
      <c r="C25" s="38">
        <f t="shared" si="7"/>
        <v>1000</v>
      </c>
      <c r="D25" s="3">
        <v>11251</v>
      </c>
      <c r="E25" s="38">
        <f t="shared" si="8"/>
        <v>420</v>
      </c>
      <c r="F25" s="3">
        <v>10349500</v>
      </c>
      <c r="G25" s="38">
        <f t="shared" si="5"/>
        <v>585.9</v>
      </c>
      <c r="H25" s="3">
        <v>803026</v>
      </c>
      <c r="I25" s="43">
        <f t="shared" si="6"/>
        <v>3.294</v>
      </c>
      <c r="J25" s="19">
        <f t="shared" si="3"/>
        <v>2009.1940000000002</v>
      </c>
      <c r="K25" s="20">
        <f t="shared" si="4"/>
        <v>11773.876840000003</v>
      </c>
      <c r="Y25" s="54"/>
    </row>
    <row r="26" spans="1:25" ht="16.5" thickBot="1" x14ac:dyDescent="0.3">
      <c r="A26" s="9">
        <v>44766</v>
      </c>
      <c r="B26" s="3">
        <v>455780</v>
      </c>
      <c r="C26" s="38">
        <f t="shared" si="7"/>
        <v>1040</v>
      </c>
      <c r="D26" s="3">
        <v>11306</v>
      </c>
      <c r="E26" s="38">
        <f t="shared" si="8"/>
        <v>550</v>
      </c>
      <c r="F26" s="3">
        <v>10373200</v>
      </c>
      <c r="G26" s="38">
        <f t="shared" si="5"/>
        <v>639.9</v>
      </c>
      <c r="H26" s="3">
        <v>803170</v>
      </c>
      <c r="I26" s="43">
        <f t="shared" si="6"/>
        <v>3.8879999999999999</v>
      </c>
      <c r="J26" s="19">
        <f t="shared" si="3"/>
        <v>2233.788</v>
      </c>
      <c r="K26" s="20">
        <f t="shared" si="4"/>
        <v>13089.99768</v>
      </c>
      <c r="L26" t="s">
        <v>12</v>
      </c>
    </row>
    <row r="27" spans="1:25" ht="16.5" thickBot="1" x14ac:dyDescent="0.3">
      <c r="A27" s="9">
        <v>44767</v>
      </c>
      <c r="B27" s="3">
        <v>455883</v>
      </c>
      <c r="C27" s="38">
        <f t="shared" si="7"/>
        <v>1030</v>
      </c>
      <c r="D27" s="3">
        <v>11345</v>
      </c>
      <c r="E27" s="38">
        <f t="shared" si="8"/>
        <v>390</v>
      </c>
      <c r="F27" s="3">
        <v>10393300</v>
      </c>
      <c r="G27" s="38">
        <f t="shared" si="5"/>
        <v>542.70000000000005</v>
      </c>
      <c r="H27" s="3">
        <v>803277</v>
      </c>
      <c r="I27" s="43">
        <f t="shared" si="6"/>
        <v>2.8889999999999998</v>
      </c>
      <c r="J27" s="19">
        <f t="shared" si="3"/>
        <v>1965.5889999999999</v>
      </c>
      <c r="K27" s="20">
        <f t="shared" si="4"/>
        <v>11518.35154</v>
      </c>
      <c r="O27" t="s">
        <v>12</v>
      </c>
    </row>
    <row r="28" spans="1:25" ht="16.5" thickBot="1" x14ac:dyDescent="0.3">
      <c r="A28" s="9">
        <v>44768</v>
      </c>
      <c r="B28" s="3">
        <v>456009</v>
      </c>
      <c r="C28" s="38">
        <f t="shared" si="7"/>
        <v>1260</v>
      </c>
      <c r="D28" s="3">
        <v>11395</v>
      </c>
      <c r="E28" s="38">
        <f t="shared" si="8"/>
        <v>500</v>
      </c>
      <c r="F28" s="3">
        <v>10417300</v>
      </c>
      <c r="G28" s="38">
        <f t="shared" si="5"/>
        <v>648</v>
      </c>
      <c r="H28" s="3">
        <v>803437</v>
      </c>
      <c r="I28" s="43">
        <f t="shared" si="6"/>
        <v>4.32</v>
      </c>
      <c r="J28" s="19">
        <f t="shared" si="3"/>
        <v>2412.3200000000002</v>
      </c>
      <c r="K28" s="20">
        <f t="shared" si="4"/>
        <v>14136.195200000002</v>
      </c>
    </row>
    <row r="29" spans="1:25" ht="16.5" thickBot="1" x14ac:dyDescent="0.3">
      <c r="A29" s="9">
        <v>44769</v>
      </c>
      <c r="B29" s="3">
        <v>456101</v>
      </c>
      <c r="C29" s="38">
        <f t="shared" si="7"/>
        <v>920</v>
      </c>
      <c r="D29" s="3">
        <v>11436</v>
      </c>
      <c r="E29" s="38">
        <f t="shared" si="8"/>
        <v>410</v>
      </c>
      <c r="F29" s="3">
        <v>10438600</v>
      </c>
      <c r="G29" s="38">
        <f t="shared" si="5"/>
        <v>575.1</v>
      </c>
      <c r="H29" s="3">
        <v>803560</v>
      </c>
      <c r="I29" s="43">
        <f t="shared" si="6"/>
        <v>3.3210000000000002</v>
      </c>
      <c r="J29" s="19">
        <f t="shared" si="3"/>
        <v>1908.4209999999998</v>
      </c>
      <c r="K29" s="20">
        <f t="shared" si="4"/>
        <v>11183.34706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27710</v>
      </c>
      <c r="D34" s="55"/>
      <c r="E34" s="55">
        <f>SUM(E3:E33)</f>
        <v>12050</v>
      </c>
      <c r="F34" s="55"/>
      <c r="G34" s="55">
        <f>SUM(G3:G33)</f>
        <v>14904.000000000002</v>
      </c>
      <c r="H34" s="55"/>
      <c r="I34" s="55">
        <f>SUM(I3:I33)</f>
        <v>109.07999999999998</v>
      </c>
      <c r="J34" s="55">
        <v>0</v>
      </c>
      <c r="K34" s="55">
        <f>SUM(K4:K33)</f>
        <v>309455.13198000001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29" sqref="A29:XFD2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>
        <v>18387152</v>
      </c>
      <c r="C15" s="44">
        <f t="shared" si="0"/>
        <v>1632</v>
      </c>
      <c r="I15" t="s">
        <v>12</v>
      </c>
    </row>
    <row r="16" spans="1:9" ht="26.25" customHeight="1" thickBot="1" x14ac:dyDescent="0.4">
      <c r="A16" s="9">
        <v>44756</v>
      </c>
      <c r="B16" s="132">
        <v>18389000</v>
      </c>
      <c r="C16" s="44">
        <f t="shared" si="0"/>
        <v>1848</v>
      </c>
      <c r="F16" s="155"/>
    </row>
    <row r="17" spans="1:9" ht="25.5" customHeight="1" thickBot="1" x14ac:dyDescent="0.4">
      <c r="A17" s="9">
        <v>44757</v>
      </c>
      <c r="B17" s="132">
        <v>18391023</v>
      </c>
      <c r="C17" s="44">
        <f t="shared" si="0"/>
        <v>2023</v>
      </c>
    </row>
    <row r="18" spans="1:9" ht="24" thickBot="1" x14ac:dyDescent="0.4">
      <c r="A18" s="9">
        <v>44758</v>
      </c>
      <c r="B18" s="132">
        <v>18392719</v>
      </c>
      <c r="C18" s="44">
        <f t="shared" si="0"/>
        <v>1696</v>
      </c>
      <c r="I18" s="34"/>
    </row>
    <row r="19" spans="1:9" ht="24" thickBot="1" x14ac:dyDescent="0.4">
      <c r="A19" s="9">
        <v>44759</v>
      </c>
      <c r="B19" s="132">
        <v>18394815</v>
      </c>
      <c r="C19" s="44">
        <f t="shared" si="0"/>
        <v>2096</v>
      </c>
    </row>
    <row r="20" spans="1:9" ht="24" thickBot="1" x14ac:dyDescent="0.4">
      <c r="A20" s="9">
        <v>44760</v>
      </c>
      <c r="B20" s="132">
        <v>18396436</v>
      </c>
      <c r="C20" s="44">
        <f t="shared" si="0"/>
        <v>1621</v>
      </c>
    </row>
    <row r="21" spans="1:9" ht="24" thickBot="1" x14ac:dyDescent="0.4">
      <c r="A21" s="9">
        <v>44761</v>
      </c>
      <c r="B21" s="132">
        <v>18398379</v>
      </c>
      <c r="C21" s="44">
        <f t="shared" si="0"/>
        <v>1943</v>
      </c>
    </row>
    <row r="22" spans="1:9" ht="24" thickBot="1" x14ac:dyDescent="0.4">
      <c r="A22" s="9">
        <v>44762</v>
      </c>
      <c r="B22" s="132">
        <v>18400265</v>
      </c>
      <c r="C22" s="44">
        <f t="shared" si="0"/>
        <v>1886</v>
      </c>
    </row>
    <row r="23" spans="1:9" ht="24" thickBot="1" x14ac:dyDescent="0.4">
      <c r="A23" s="9">
        <v>44763</v>
      </c>
      <c r="B23" s="132">
        <v>18402187</v>
      </c>
      <c r="C23" s="44">
        <f t="shared" si="0"/>
        <v>1922</v>
      </c>
      <c r="F23" t="s">
        <v>12</v>
      </c>
    </row>
    <row r="24" spans="1:9" ht="24" thickBot="1" x14ac:dyDescent="0.4">
      <c r="A24" s="9">
        <v>44764</v>
      </c>
      <c r="B24" s="132">
        <v>18404010</v>
      </c>
      <c r="C24" s="44">
        <f t="shared" si="0"/>
        <v>1823</v>
      </c>
      <c r="E24" t="s">
        <v>12</v>
      </c>
    </row>
    <row r="25" spans="1:9" ht="24" thickBot="1" x14ac:dyDescent="0.4">
      <c r="A25" s="9">
        <v>44765</v>
      </c>
      <c r="B25" s="132">
        <v>18406000</v>
      </c>
      <c r="C25" s="44">
        <f t="shared" si="0"/>
        <v>1990</v>
      </c>
    </row>
    <row r="26" spans="1:9" ht="24" thickBot="1" x14ac:dyDescent="0.4">
      <c r="A26" s="9">
        <v>44766</v>
      </c>
      <c r="B26" s="132">
        <v>18408138</v>
      </c>
      <c r="C26" s="44">
        <f t="shared" si="0"/>
        <v>2138</v>
      </c>
    </row>
    <row r="27" spans="1:9" ht="24" thickBot="1" x14ac:dyDescent="0.4">
      <c r="A27" s="9">
        <v>44767</v>
      </c>
      <c r="B27" s="132">
        <v>18409998</v>
      </c>
      <c r="C27" s="44">
        <f t="shared" si="0"/>
        <v>1860</v>
      </c>
    </row>
    <row r="28" spans="1:9" ht="24" thickBot="1" x14ac:dyDescent="0.4">
      <c r="A28" s="9">
        <v>44768</v>
      </c>
      <c r="B28" s="132">
        <v>18411999</v>
      </c>
      <c r="C28" s="44">
        <f t="shared" si="0"/>
        <v>2001</v>
      </c>
      <c r="I28" t="s">
        <v>12</v>
      </c>
    </row>
    <row r="29" spans="1:9" ht="24" thickBot="1" x14ac:dyDescent="0.4">
      <c r="A29" s="9">
        <v>44769</v>
      </c>
      <c r="B29" s="132">
        <v>18413930</v>
      </c>
      <c r="C29" s="44">
        <f t="shared" si="0"/>
        <v>1931</v>
      </c>
    </row>
    <row r="30" spans="1:9" ht="24" thickBot="1" x14ac:dyDescent="0.4">
      <c r="A30" s="9">
        <v>44770</v>
      </c>
      <c r="B30" s="132"/>
      <c r="C30" s="44" t="str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47143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>
        <v>24055.488000000001</v>
      </c>
      <c r="C15" s="43">
        <f t="shared" ref="C15" si="35">IF((B15-B14)&lt;0,"0",(B15-B14))</f>
        <v>12.229999999999563</v>
      </c>
      <c r="D15" s="28">
        <f t="shared" ref="D15" si="36">C15*1.9*1000</f>
        <v>23236.999999999171</v>
      </c>
      <c r="E15" s="1">
        <v>4352.2330000000002</v>
      </c>
      <c r="F15" s="43">
        <f t="shared" ref="F15" si="37">IF((E15-E14)&lt;0,"0",(E15-E14))</f>
        <v>2.0520000000005894</v>
      </c>
      <c r="G15" s="28">
        <f t="shared" ref="G15" si="38">F15*1.9*1000</f>
        <v>3898.8000000011198</v>
      </c>
      <c r="H15" s="1">
        <v>5626</v>
      </c>
      <c r="I15" s="43">
        <f t="shared" ref="I15" si="39">IF((H15-H14)&lt;0,"0",(H15-H14))</f>
        <v>5</v>
      </c>
      <c r="J15" s="28">
        <f t="shared" ref="J15" si="40">I15*1.9*1000</f>
        <v>9500</v>
      </c>
      <c r="K15" s="7">
        <v>14074.43</v>
      </c>
      <c r="L15" s="43">
        <f t="shared" ref="L15" si="41">IF((K15-K14)&lt;0,"0",(K15-K14))</f>
        <v>3.8700000000008004</v>
      </c>
      <c r="M15" s="28">
        <f t="shared" ref="M15" si="42">L15*1.9*1000</f>
        <v>7353.0000000015207</v>
      </c>
      <c r="N15" s="7">
        <v>3625.248</v>
      </c>
      <c r="O15" s="43">
        <f>IF((N15-N14)&lt;0,"0",(N15-N14))</f>
        <v>1.0590000000001965</v>
      </c>
      <c r="P15" s="28">
        <f t="shared" ref="P15" si="43">O15*1.9*1000</f>
        <v>2012.1000000003733</v>
      </c>
      <c r="Q15" s="7">
        <v>5437.65</v>
      </c>
      <c r="R15" s="43">
        <f t="shared" ref="R15" si="44">IF((Q15-Q14)&lt;0,"0",(Q15-Q14))</f>
        <v>2.089999999999236</v>
      </c>
      <c r="S15" s="28">
        <f t="shared" ref="S15" si="45">R15*1.9*1000</f>
        <v>3970.9999999985484</v>
      </c>
      <c r="T15" s="8">
        <f t="shared" ref="T15" si="46">C15+F15+I15+L15+O15+R15</f>
        <v>26.301000000000386</v>
      </c>
      <c r="U15" s="30">
        <f t="shared" ref="U15" si="47">T15*1.9*1000</f>
        <v>49971.900000000729</v>
      </c>
      <c r="W15" s="156">
        <v>44755</v>
      </c>
      <c r="X15" s="157">
        <v>188165</v>
      </c>
      <c r="Y15" s="162">
        <f t="shared" si="20"/>
        <v>0</v>
      </c>
      <c r="Z15" s="157">
        <v>9558</v>
      </c>
      <c r="AA15" s="162">
        <f t="shared" si="20"/>
        <v>0</v>
      </c>
      <c r="AB15" s="157">
        <v>31</v>
      </c>
      <c r="AC15" s="162">
        <f t="shared" si="20"/>
        <v>0</v>
      </c>
      <c r="AD15" s="157">
        <v>588</v>
      </c>
      <c r="AE15" s="162">
        <f t="shared" si="20"/>
        <v>0</v>
      </c>
      <c r="AF15" s="157">
        <v>8182</v>
      </c>
      <c r="AG15" s="162">
        <f t="shared" si="20"/>
        <v>0</v>
      </c>
    </row>
    <row r="16" spans="1:33" ht="16.5" thickBot="1" x14ac:dyDescent="0.25">
      <c r="A16" s="9">
        <v>44756</v>
      </c>
      <c r="B16" s="159">
        <v>24070.399000000001</v>
      </c>
      <c r="C16" s="43">
        <f t="shared" si="21"/>
        <v>14.911000000000058</v>
      </c>
      <c r="D16" s="28">
        <f t="shared" si="22"/>
        <v>28330.900000000111</v>
      </c>
      <c r="E16" s="1">
        <v>4354.45</v>
      </c>
      <c r="F16" s="43">
        <f t="shared" si="23"/>
        <v>2.2169999999996435</v>
      </c>
      <c r="G16" s="28">
        <f t="shared" si="24"/>
        <v>4212.2999999993226</v>
      </c>
      <c r="H16" s="1">
        <v>5632</v>
      </c>
      <c r="I16" s="43">
        <f t="shared" si="25"/>
        <v>6</v>
      </c>
      <c r="J16" s="28">
        <f t="shared" si="26"/>
        <v>11399.999999999998</v>
      </c>
      <c r="K16" s="7">
        <v>14077.43</v>
      </c>
      <c r="L16" s="43">
        <f t="shared" si="27"/>
        <v>3</v>
      </c>
      <c r="M16" s="28">
        <f t="shared" si="28"/>
        <v>5699.9999999999991</v>
      </c>
      <c r="N16" s="7">
        <v>3627.2440000000001</v>
      </c>
      <c r="O16" s="43">
        <f t="shared" si="29"/>
        <v>1.9960000000000946</v>
      </c>
      <c r="P16" s="28">
        <f t="shared" si="30"/>
        <v>3792.4000000001797</v>
      </c>
      <c r="Q16" s="7">
        <v>5439.73</v>
      </c>
      <c r="R16" s="43">
        <f t="shared" si="31"/>
        <v>2.0799999999999272</v>
      </c>
      <c r="S16" s="28">
        <f t="shared" si="32"/>
        <v>3951.9999999998613</v>
      </c>
      <c r="T16" s="8">
        <f t="shared" si="34"/>
        <v>30.203999999999724</v>
      </c>
      <c r="U16" s="30">
        <f t="shared" si="33"/>
        <v>57387.599999999475</v>
      </c>
      <c r="W16" s="156">
        <v>44756</v>
      </c>
      <c r="X16" s="157">
        <v>188165</v>
      </c>
      <c r="Y16" s="162">
        <f t="shared" si="20"/>
        <v>0</v>
      </c>
      <c r="Z16" s="157">
        <v>9558</v>
      </c>
      <c r="AA16" s="162">
        <f t="shared" si="20"/>
        <v>0</v>
      </c>
      <c r="AB16" s="157">
        <v>31</v>
      </c>
      <c r="AC16" s="162">
        <f t="shared" si="20"/>
        <v>0</v>
      </c>
      <c r="AD16" s="157">
        <v>588</v>
      </c>
      <c r="AE16" s="162">
        <f t="shared" si="20"/>
        <v>0</v>
      </c>
      <c r="AF16" s="157">
        <v>8182</v>
      </c>
      <c r="AG16" s="162">
        <f t="shared" si="20"/>
        <v>0</v>
      </c>
    </row>
    <row r="17" spans="1:33" ht="16.5" thickBot="1" x14ac:dyDescent="0.25">
      <c r="A17" s="9">
        <v>44757</v>
      </c>
      <c r="B17" s="159">
        <v>24082.11</v>
      </c>
      <c r="C17" s="43">
        <f t="shared" si="21"/>
        <v>11.710999999999331</v>
      </c>
      <c r="D17" s="28">
        <f t="shared" si="22"/>
        <v>22250.899999998725</v>
      </c>
      <c r="E17" s="1">
        <v>4356.3270000000002</v>
      </c>
      <c r="F17" s="43">
        <f t="shared" si="23"/>
        <v>1.8770000000004075</v>
      </c>
      <c r="G17" s="28">
        <f t="shared" si="24"/>
        <v>3566.3000000007742</v>
      </c>
      <c r="H17" s="1">
        <v>5637</v>
      </c>
      <c r="I17" s="43">
        <f t="shared" si="25"/>
        <v>5</v>
      </c>
      <c r="J17" s="28">
        <f t="shared" si="26"/>
        <v>9500</v>
      </c>
      <c r="K17" s="7">
        <v>14079.7</v>
      </c>
      <c r="L17" s="43">
        <f t="shared" si="27"/>
        <v>2.2700000000004366</v>
      </c>
      <c r="M17" s="28">
        <f t="shared" si="28"/>
        <v>4313.0000000008295</v>
      </c>
      <c r="N17" s="7">
        <v>3628.7829999999999</v>
      </c>
      <c r="O17" s="43">
        <f t="shared" si="29"/>
        <v>1.5389999999997599</v>
      </c>
      <c r="P17" s="28">
        <f t="shared" si="30"/>
        <v>2924.0999999995438</v>
      </c>
      <c r="Q17" s="7">
        <v>5441.38</v>
      </c>
      <c r="R17" s="43">
        <f t="shared" si="31"/>
        <v>1.6500000000005457</v>
      </c>
      <c r="S17" s="28">
        <f t="shared" si="32"/>
        <v>3135.0000000010368</v>
      </c>
      <c r="T17" s="8">
        <f t="shared" si="34"/>
        <v>24.04700000000048</v>
      </c>
      <c r="U17" s="30">
        <f t="shared" si="33"/>
        <v>45689.300000000912</v>
      </c>
      <c r="W17" s="156">
        <v>44757</v>
      </c>
      <c r="X17" s="157">
        <v>188879</v>
      </c>
      <c r="Y17" s="162">
        <f t="shared" si="20"/>
        <v>714</v>
      </c>
      <c r="Z17" s="157">
        <v>9573</v>
      </c>
      <c r="AA17" s="162">
        <f t="shared" si="20"/>
        <v>15</v>
      </c>
      <c r="AB17" s="157">
        <v>31</v>
      </c>
      <c r="AC17" s="162">
        <f t="shared" si="20"/>
        <v>0</v>
      </c>
      <c r="AD17" s="157">
        <v>594</v>
      </c>
      <c r="AE17" s="162">
        <f t="shared" si="20"/>
        <v>6</v>
      </c>
      <c r="AF17" s="157">
        <v>8211</v>
      </c>
      <c r="AG17" s="162">
        <f t="shared" si="20"/>
        <v>29</v>
      </c>
    </row>
    <row r="18" spans="1:33" ht="16.5" thickBot="1" x14ac:dyDescent="0.25">
      <c r="A18" s="9">
        <v>44758</v>
      </c>
      <c r="B18" s="159">
        <v>24093.442999999999</v>
      </c>
      <c r="C18" s="43">
        <f t="shared" si="21"/>
        <v>11.332999999998719</v>
      </c>
      <c r="D18" s="28">
        <f t="shared" si="22"/>
        <v>21532.699999997563</v>
      </c>
      <c r="E18" s="1">
        <v>4358.2619999999997</v>
      </c>
      <c r="F18" s="43">
        <f t="shared" si="23"/>
        <v>1.9349999999994907</v>
      </c>
      <c r="G18" s="28">
        <f t="shared" si="24"/>
        <v>3676.4999999990323</v>
      </c>
      <c r="H18" s="1">
        <v>5642</v>
      </c>
      <c r="I18" s="43">
        <f t="shared" si="25"/>
        <v>5</v>
      </c>
      <c r="J18" s="28">
        <f t="shared" si="26"/>
        <v>9500</v>
      </c>
      <c r="K18" s="7">
        <v>14081.82</v>
      </c>
      <c r="L18" s="43">
        <f t="shared" si="27"/>
        <v>2.1199999999989814</v>
      </c>
      <c r="M18" s="28">
        <f t="shared" si="28"/>
        <v>4027.9999999980641</v>
      </c>
      <c r="N18" s="7">
        <v>3630.2260000000001</v>
      </c>
      <c r="O18" s="43">
        <f t="shared" si="29"/>
        <v>1.443000000000211</v>
      </c>
      <c r="P18" s="28">
        <f t="shared" si="30"/>
        <v>2741.7000000004009</v>
      </c>
      <c r="Q18" s="7">
        <v>5443.1</v>
      </c>
      <c r="R18" s="43">
        <f t="shared" si="31"/>
        <v>1.7200000000002547</v>
      </c>
      <c r="S18" s="28">
        <f t="shared" si="32"/>
        <v>3268.0000000004839</v>
      </c>
      <c r="T18" s="8">
        <f t="shared" si="34"/>
        <v>23.550999999997657</v>
      </c>
      <c r="U18" s="30">
        <f t="shared" si="33"/>
        <v>44746.899999995549</v>
      </c>
      <c r="W18" s="156">
        <v>44758</v>
      </c>
      <c r="X18" s="157">
        <v>189127</v>
      </c>
      <c r="Y18" s="162">
        <f t="shared" si="20"/>
        <v>248</v>
      </c>
      <c r="Z18" s="157">
        <v>9577</v>
      </c>
      <c r="AA18" s="162">
        <f t="shared" si="20"/>
        <v>4</v>
      </c>
      <c r="AB18" s="157">
        <v>31</v>
      </c>
      <c r="AC18" s="162">
        <f t="shared" si="20"/>
        <v>0</v>
      </c>
      <c r="AD18" s="157">
        <v>597</v>
      </c>
      <c r="AE18" s="162">
        <f t="shared" si="20"/>
        <v>3</v>
      </c>
      <c r="AF18" s="157">
        <v>8219</v>
      </c>
      <c r="AG18" s="162">
        <f t="shared" si="20"/>
        <v>8</v>
      </c>
    </row>
    <row r="19" spans="1:33" ht="16.5" thickBot="1" x14ac:dyDescent="0.25">
      <c r="A19" s="9">
        <v>44759</v>
      </c>
      <c r="B19" s="159">
        <v>24105.909</v>
      </c>
      <c r="C19" s="43">
        <f t="shared" si="21"/>
        <v>12.466000000000349</v>
      </c>
      <c r="D19" s="28">
        <f t="shared" si="22"/>
        <v>23685.400000000664</v>
      </c>
      <c r="E19" s="1">
        <v>4360.8630000000003</v>
      </c>
      <c r="F19" s="43">
        <f t="shared" si="23"/>
        <v>2.6010000000005675</v>
      </c>
      <c r="G19" s="28">
        <f t="shared" si="24"/>
        <v>4941.9000000010774</v>
      </c>
      <c r="H19" s="1">
        <v>5648</v>
      </c>
      <c r="I19" s="43">
        <f t="shared" si="25"/>
        <v>6</v>
      </c>
      <c r="J19" s="28">
        <f t="shared" si="26"/>
        <v>11399.999999999998</v>
      </c>
      <c r="K19" s="7">
        <v>14083.94</v>
      </c>
      <c r="L19" s="43">
        <f t="shared" si="27"/>
        <v>2.1200000000008004</v>
      </c>
      <c r="M19" s="28">
        <f t="shared" si="28"/>
        <v>4028.0000000015202</v>
      </c>
      <c r="N19" s="7">
        <v>3631.9839999999999</v>
      </c>
      <c r="O19" s="43">
        <f t="shared" si="29"/>
        <v>1.7579999999998108</v>
      </c>
      <c r="P19" s="28">
        <f t="shared" si="30"/>
        <v>3340.1999999996406</v>
      </c>
      <c r="Q19" s="7">
        <v>5444.99</v>
      </c>
      <c r="R19" s="43">
        <f t="shared" si="31"/>
        <v>1.8899999999994179</v>
      </c>
      <c r="S19" s="28">
        <f t="shared" si="32"/>
        <v>3590.9999999988941</v>
      </c>
      <c r="T19" s="8">
        <f t="shared" si="34"/>
        <v>26.835000000000946</v>
      </c>
      <c r="U19" s="30">
        <f t="shared" si="33"/>
        <v>50986.500000001797</v>
      </c>
      <c r="W19" s="156">
        <v>44759</v>
      </c>
      <c r="X19" s="157">
        <v>189418</v>
      </c>
      <c r="Y19" s="162">
        <f t="shared" si="20"/>
        <v>291</v>
      </c>
      <c r="Z19" s="157">
        <v>9581</v>
      </c>
      <c r="AA19" s="162">
        <f t="shared" si="20"/>
        <v>4</v>
      </c>
      <c r="AB19" s="157">
        <v>31</v>
      </c>
      <c r="AC19" s="162">
        <f t="shared" si="20"/>
        <v>0</v>
      </c>
      <c r="AD19" s="157">
        <v>603</v>
      </c>
      <c r="AE19" s="162">
        <f t="shared" si="20"/>
        <v>6</v>
      </c>
      <c r="AF19" s="157">
        <v>8239</v>
      </c>
      <c r="AG19" s="162">
        <f t="shared" si="20"/>
        <v>20</v>
      </c>
    </row>
    <row r="20" spans="1:33" ht="16.5" thickBot="1" x14ac:dyDescent="0.25">
      <c r="A20" s="9">
        <v>44760</v>
      </c>
      <c r="B20" s="159">
        <v>24120.647000000001</v>
      </c>
      <c r="C20" s="43">
        <f t="shared" si="21"/>
        <v>14.738000000001193</v>
      </c>
      <c r="D20" s="28">
        <f t="shared" si="22"/>
        <v>28002.200000002264</v>
      </c>
      <c r="E20" s="1">
        <v>4364.8329999999996</v>
      </c>
      <c r="F20" s="43">
        <f t="shared" si="23"/>
        <v>3.9699999999993452</v>
      </c>
      <c r="G20" s="28">
        <f t="shared" si="24"/>
        <v>7542.9999999987558</v>
      </c>
      <c r="H20" s="1">
        <v>5655</v>
      </c>
      <c r="I20" s="43">
        <f t="shared" si="25"/>
        <v>7</v>
      </c>
      <c r="J20" s="28">
        <f t="shared" si="26"/>
        <v>13299.999999999998</v>
      </c>
      <c r="K20" s="7">
        <v>14086.38</v>
      </c>
      <c r="L20" s="43">
        <f t="shared" si="27"/>
        <v>2.4399999999986903</v>
      </c>
      <c r="M20" s="28">
        <f t="shared" si="28"/>
        <v>4635.9999999975116</v>
      </c>
      <c r="N20" s="7">
        <v>3634.384</v>
      </c>
      <c r="O20" s="43">
        <f t="shared" si="29"/>
        <v>2.4000000000000909</v>
      </c>
      <c r="P20" s="28">
        <f t="shared" si="30"/>
        <v>4560.0000000001728</v>
      </c>
      <c r="Q20" s="7">
        <v>5447.31</v>
      </c>
      <c r="R20" s="43">
        <f t="shared" si="31"/>
        <v>2.3200000000006185</v>
      </c>
      <c r="S20" s="28">
        <f t="shared" si="32"/>
        <v>4408.0000000011742</v>
      </c>
      <c r="T20" s="8">
        <f t="shared" si="34"/>
        <v>32.867999999999938</v>
      </c>
      <c r="U20" s="30">
        <f t="shared" si="33"/>
        <v>62449.199999999873</v>
      </c>
      <c r="W20" s="156">
        <v>44760</v>
      </c>
      <c r="X20" s="157">
        <v>189667</v>
      </c>
      <c r="Y20" s="162">
        <f t="shared" si="20"/>
        <v>249</v>
      </c>
      <c r="Z20" s="157">
        <v>9587</v>
      </c>
      <c r="AA20" s="162">
        <f t="shared" si="20"/>
        <v>6</v>
      </c>
      <c r="AB20" s="157">
        <v>31</v>
      </c>
      <c r="AC20" s="162">
        <f t="shared" si="20"/>
        <v>0</v>
      </c>
      <c r="AD20" s="157">
        <v>605</v>
      </c>
      <c r="AE20" s="162">
        <f t="shared" si="20"/>
        <v>2</v>
      </c>
      <c r="AF20" s="157">
        <v>8255</v>
      </c>
      <c r="AG20" s="162">
        <f t="shared" si="20"/>
        <v>16</v>
      </c>
    </row>
    <row r="21" spans="1:33" ht="16.5" thickBot="1" x14ac:dyDescent="0.25">
      <c r="A21" s="9">
        <v>44761</v>
      </c>
      <c r="B21" s="159">
        <v>24134.115000000002</v>
      </c>
      <c r="C21" s="43">
        <f t="shared" si="21"/>
        <v>13.468000000000757</v>
      </c>
      <c r="D21" s="28">
        <f t="shared" si="22"/>
        <v>25589.200000001438</v>
      </c>
      <c r="E21" s="1">
        <v>4368.0739999999996</v>
      </c>
      <c r="F21" s="43">
        <f t="shared" si="23"/>
        <v>3.2409999999999854</v>
      </c>
      <c r="G21" s="28">
        <f t="shared" si="24"/>
        <v>6157.8999999999724</v>
      </c>
      <c r="H21" s="1">
        <v>5663</v>
      </c>
      <c r="I21" s="43">
        <f t="shared" si="25"/>
        <v>8</v>
      </c>
      <c r="J21" s="28">
        <f t="shared" si="26"/>
        <v>15200</v>
      </c>
      <c r="K21" s="7">
        <v>14088.59</v>
      </c>
      <c r="L21" s="43">
        <f t="shared" si="27"/>
        <v>2.2100000000009459</v>
      </c>
      <c r="M21" s="28">
        <f t="shared" si="28"/>
        <v>4199.0000000017963</v>
      </c>
      <c r="N21" s="7">
        <v>3635.873</v>
      </c>
      <c r="O21" s="43">
        <f t="shared" si="29"/>
        <v>1.4890000000000327</v>
      </c>
      <c r="P21" s="28">
        <f t="shared" si="30"/>
        <v>2829.1000000000622</v>
      </c>
      <c r="Q21" s="7">
        <v>5449.93</v>
      </c>
      <c r="R21" s="43">
        <f t="shared" si="31"/>
        <v>2.6199999999998909</v>
      </c>
      <c r="S21" s="28">
        <f t="shared" si="32"/>
        <v>4977.9999999997926</v>
      </c>
      <c r="T21" s="8">
        <f t="shared" si="34"/>
        <v>31.028000000001612</v>
      </c>
      <c r="U21" s="30">
        <f t="shared" si="33"/>
        <v>58953.20000000306</v>
      </c>
      <c r="W21" s="156">
        <v>44761</v>
      </c>
      <c r="X21" s="157">
        <v>189972</v>
      </c>
      <c r="Y21" s="162">
        <f t="shared" si="20"/>
        <v>305</v>
      </c>
      <c r="Z21" s="157">
        <v>9592</v>
      </c>
      <c r="AA21" s="162">
        <f t="shared" si="20"/>
        <v>5</v>
      </c>
      <c r="AB21" s="157">
        <v>31</v>
      </c>
      <c r="AC21" s="162">
        <f t="shared" si="20"/>
        <v>0</v>
      </c>
      <c r="AD21" s="157">
        <v>607</v>
      </c>
      <c r="AE21" s="162">
        <f t="shared" si="20"/>
        <v>2</v>
      </c>
      <c r="AF21" s="157">
        <v>8270</v>
      </c>
      <c r="AG21" s="162">
        <f t="shared" si="20"/>
        <v>15</v>
      </c>
    </row>
    <row r="22" spans="1:33" ht="16.5" thickBot="1" x14ac:dyDescent="0.25">
      <c r="A22" s="9">
        <v>44762</v>
      </c>
      <c r="B22" s="159">
        <v>24148.32</v>
      </c>
      <c r="C22" s="43">
        <f t="shared" si="21"/>
        <v>14.204999999998108</v>
      </c>
      <c r="D22" s="28">
        <f t="shared" si="22"/>
        <v>26989.499999996406</v>
      </c>
      <c r="E22" s="1">
        <v>4371.6549999999997</v>
      </c>
      <c r="F22" s="43">
        <f t="shared" si="23"/>
        <v>3.581000000000131</v>
      </c>
      <c r="G22" s="28">
        <f t="shared" si="24"/>
        <v>6803.9000000002479</v>
      </c>
      <c r="H22" s="1">
        <v>5669</v>
      </c>
      <c r="I22" s="43">
        <f t="shared" si="25"/>
        <v>6</v>
      </c>
      <c r="J22" s="28">
        <f t="shared" si="26"/>
        <v>11399.999999999998</v>
      </c>
      <c r="K22" s="7">
        <v>14091</v>
      </c>
      <c r="L22" s="43">
        <f t="shared" si="27"/>
        <v>2.4099999999998545</v>
      </c>
      <c r="M22" s="28">
        <f t="shared" si="28"/>
        <v>4578.9999999997235</v>
      </c>
      <c r="N22" s="7">
        <v>3637.52</v>
      </c>
      <c r="O22" s="43">
        <f t="shared" si="29"/>
        <v>1.6469999999999345</v>
      </c>
      <c r="P22" s="28">
        <f t="shared" si="30"/>
        <v>3129.2999999998756</v>
      </c>
      <c r="Q22" s="7">
        <v>5452</v>
      </c>
      <c r="R22" s="43">
        <f t="shared" si="31"/>
        <v>2.069999999999709</v>
      </c>
      <c r="S22" s="28">
        <f t="shared" si="32"/>
        <v>3932.999999999447</v>
      </c>
      <c r="T22" s="8">
        <f t="shared" si="34"/>
        <v>29.912999999997737</v>
      </c>
      <c r="U22" s="30">
        <f t="shared" si="33"/>
        <v>56834.699999995697</v>
      </c>
      <c r="W22" s="156">
        <v>44762</v>
      </c>
      <c r="X22" s="157">
        <v>190249</v>
      </c>
      <c r="Y22" s="162">
        <f t="shared" si="20"/>
        <v>277</v>
      </c>
      <c r="Z22" s="157">
        <v>9597</v>
      </c>
      <c r="AA22" s="162">
        <f t="shared" si="20"/>
        <v>5</v>
      </c>
      <c r="AB22" s="157">
        <v>31</v>
      </c>
      <c r="AC22" s="162">
        <f t="shared" si="20"/>
        <v>0</v>
      </c>
      <c r="AD22" s="157">
        <v>615</v>
      </c>
      <c r="AE22" s="162">
        <f t="shared" si="20"/>
        <v>8</v>
      </c>
      <c r="AF22" s="157">
        <v>8283</v>
      </c>
      <c r="AG22" s="162">
        <f t="shared" si="20"/>
        <v>13</v>
      </c>
    </row>
    <row r="23" spans="1:33" ht="16.5" thickBot="1" x14ac:dyDescent="0.25">
      <c r="A23" s="9">
        <v>44763</v>
      </c>
      <c r="B23" s="159">
        <v>24163.116999999998</v>
      </c>
      <c r="C23" s="43">
        <f t="shared" si="21"/>
        <v>14.796999999998661</v>
      </c>
      <c r="D23" s="28">
        <f t="shared" si="22"/>
        <v>28114.299999997456</v>
      </c>
      <c r="E23" s="1">
        <v>4375.29</v>
      </c>
      <c r="F23" s="43">
        <f t="shared" si="23"/>
        <v>3.6350000000002183</v>
      </c>
      <c r="G23" s="28">
        <f t="shared" si="24"/>
        <v>6906.5000000004138</v>
      </c>
      <c r="H23" s="1">
        <v>5676</v>
      </c>
      <c r="I23" s="43">
        <f t="shared" si="25"/>
        <v>7</v>
      </c>
      <c r="J23" s="28">
        <f t="shared" si="26"/>
        <v>13299.999999999998</v>
      </c>
      <c r="K23" s="7">
        <v>14093.64</v>
      </c>
      <c r="L23" s="43">
        <f t="shared" si="27"/>
        <v>2.6399999999994179</v>
      </c>
      <c r="M23" s="28">
        <f t="shared" si="28"/>
        <v>5015.9999999988941</v>
      </c>
      <c r="N23" s="7">
        <v>3639.3130000000001</v>
      </c>
      <c r="O23" s="43">
        <f t="shared" si="29"/>
        <v>1.7930000000001201</v>
      </c>
      <c r="P23" s="28">
        <f t="shared" si="30"/>
        <v>3406.7000000002281</v>
      </c>
      <c r="Q23" s="7">
        <v>5454.23</v>
      </c>
      <c r="R23" s="43">
        <f t="shared" si="31"/>
        <v>2.2299999999995634</v>
      </c>
      <c r="S23" s="28">
        <f t="shared" si="32"/>
        <v>4236.9999999991705</v>
      </c>
      <c r="T23" s="8">
        <f t="shared" si="34"/>
        <v>32.094999999997981</v>
      </c>
      <c r="U23" s="30">
        <f t="shared" si="33"/>
        <v>60980.499999996166</v>
      </c>
      <c r="W23" s="156">
        <v>44763</v>
      </c>
      <c r="X23" s="157">
        <v>190552</v>
      </c>
      <c r="Y23" s="162">
        <f t="shared" si="20"/>
        <v>303</v>
      </c>
      <c r="Z23" s="157">
        <v>9602</v>
      </c>
      <c r="AA23" s="162">
        <f t="shared" si="20"/>
        <v>5</v>
      </c>
      <c r="AB23" s="157">
        <v>31</v>
      </c>
      <c r="AC23" s="162">
        <f t="shared" si="20"/>
        <v>0</v>
      </c>
      <c r="AD23" s="157">
        <v>618</v>
      </c>
      <c r="AE23" s="162">
        <f t="shared" si="20"/>
        <v>3</v>
      </c>
      <c r="AF23" s="157">
        <v>8298</v>
      </c>
      <c r="AG23" s="162">
        <f t="shared" si="20"/>
        <v>15</v>
      </c>
    </row>
    <row r="24" spans="1:33" ht="16.5" thickBot="1" x14ac:dyDescent="0.25">
      <c r="A24" s="9">
        <v>44764</v>
      </c>
      <c r="B24" s="159">
        <v>24176.348000000002</v>
      </c>
      <c r="C24" s="43">
        <f t="shared" si="21"/>
        <v>13.231000000003405</v>
      </c>
      <c r="D24" s="28">
        <f t="shared" si="22"/>
        <v>25138.90000000647</v>
      </c>
      <c r="E24" s="1">
        <v>4377.4480000000003</v>
      </c>
      <c r="F24" s="43">
        <f t="shared" si="23"/>
        <v>2.1580000000003565</v>
      </c>
      <c r="G24" s="28">
        <f t="shared" si="24"/>
        <v>4100.2000000006765</v>
      </c>
      <c r="H24" s="1">
        <v>5681</v>
      </c>
      <c r="I24" s="43">
        <f t="shared" si="25"/>
        <v>5</v>
      </c>
      <c r="J24" s="28">
        <f t="shared" si="26"/>
        <v>9500</v>
      </c>
      <c r="K24" s="7">
        <v>14096.23</v>
      </c>
      <c r="L24" s="43">
        <f t="shared" si="27"/>
        <v>2.5900000000001455</v>
      </c>
      <c r="M24" s="28">
        <f t="shared" si="28"/>
        <v>4921.0000000002765</v>
      </c>
      <c r="N24" s="7">
        <v>3641.0819999999999</v>
      </c>
      <c r="O24" s="43">
        <f t="shared" si="29"/>
        <v>1.7689999999997781</v>
      </c>
      <c r="P24" s="28">
        <f t="shared" si="30"/>
        <v>3361.0999999995779</v>
      </c>
      <c r="Q24" s="7">
        <v>5456.26</v>
      </c>
      <c r="R24" s="43">
        <f t="shared" si="31"/>
        <v>2.0300000000006548</v>
      </c>
      <c r="S24" s="28">
        <f t="shared" si="32"/>
        <v>3857.0000000012442</v>
      </c>
      <c r="T24" s="8">
        <f t="shared" si="34"/>
        <v>26.77800000000434</v>
      </c>
      <c r="U24" s="30">
        <f t="shared" si="33"/>
        <v>50878.200000008241</v>
      </c>
      <c r="W24" s="156">
        <v>44764</v>
      </c>
      <c r="X24" s="157">
        <v>190805</v>
      </c>
      <c r="Y24" s="162">
        <f t="shared" si="20"/>
        <v>253</v>
      </c>
      <c r="Z24" s="157">
        <v>9607</v>
      </c>
      <c r="AA24" s="162">
        <f t="shared" si="20"/>
        <v>5</v>
      </c>
      <c r="AB24" s="157">
        <v>31</v>
      </c>
      <c r="AC24" s="162">
        <f t="shared" si="20"/>
        <v>0</v>
      </c>
      <c r="AD24" s="157">
        <v>621</v>
      </c>
      <c r="AE24" s="162">
        <f t="shared" si="20"/>
        <v>3</v>
      </c>
      <c r="AF24" s="157">
        <v>8308</v>
      </c>
      <c r="AG24" s="162">
        <f t="shared" si="20"/>
        <v>10</v>
      </c>
    </row>
    <row r="25" spans="1:33" ht="16.5" thickBot="1" x14ac:dyDescent="0.25">
      <c r="A25" s="9">
        <v>44765</v>
      </c>
      <c r="B25" s="159">
        <v>24189.636999999999</v>
      </c>
      <c r="C25" s="43">
        <f t="shared" si="21"/>
        <v>13.288999999997031</v>
      </c>
      <c r="D25" s="28">
        <f t="shared" si="22"/>
        <v>25249.099999994356</v>
      </c>
      <c r="E25" s="1">
        <v>4379.76</v>
      </c>
      <c r="F25" s="43">
        <f t="shared" si="23"/>
        <v>2.3119999999998981</v>
      </c>
      <c r="G25" s="28">
        <f t="shared" si="24"/>
        <v>4392.7999999998065</v>
      </c>
      <c r="H25" s="1">
        <v>5686</v>
      </c>
      <c r="I25" s="43">
        <f t="shared" si="25"/>
        <v>5</v>
      </c>
      <c r="J25" s="28">
        <f t="shared" si="26"/>
        <v>9500</v>
      </c>
      <c r="K25" s="7">
        <v>14098.83</v>
      </c>
      <c r="L25" s="43">
        <f t="shared" si="27"/>
        <v>2.6000000000003638</v>
      </c>
      <c r="M25" s="28">
        <f t="shared" si="28"/>
        <v>4940.0000000006912</v>
      </c>
      <c r="N25" s="7">
        <v>3642.7930000000001</v>
      </c>
      <c r="O25" s="43">
        <f t="shared" si="29"/>
        <v>1.7110000000002401</v>
      </c>
      <c r="P25" s="28">
        <f t="shared" si="30"/>
        <v>3250.9000000004562</v>
      </c>
      <c r="Q25" s="7">
        <v>5458.26</v>
      </c>
      <c r="R25" s="43">
        <f t="shared" si="31"/>
        <v>2</v>
      </c>
      <c r="S25" s="28">
        <f t="shared" si="32"/>
        <v>3800</v>
      </c>
      <c r="T25" s="8">
        <f t="shared" si="34"/>
        <v>26.911999999997533</v>
      </c>
      <c r="U25" s="30">
        <f t="shared" si="33"/>
        <v>51132.799999995317</v>
      </c>
      <c r="W25" s="156">
        <v>44765</v>
      </c>
      <c r="X25" s="157">
        <v>191097</v>
      </c>
      <c r="Y25" s="162">
        <f t="shared" si="20"/>
        <v>292</v>
      </c>
      <c r="Z25" s="157">
        <v>9612</v>
      </c>
      <c r="AA25" s="162">
        <f t="shared" si="20"/>
        <v>5</v>
      </c>
      <c r="AB25" s="157">
        <v>31</v>
      </c>
      <c r="AC25" s="162">
        <f t="shared" si="20"/>
        <v>0</v>
      </c>
      <c r="AD25" s="157">
        <v>625</v>
      </c>
      <c r="AE25" s="162">
        <f t="shared" si="20"/>
        <v>4</v>
      </c>
      <c r="AF25" s="157">
        <v>8319</v>
      </c>
      <c r="AG25" s="162">
        <f t="shared" si="20"/>
        <v>11</v>
      </c>
    </row>
    <row r="26" spans="1:33" ht="16.5" thickBot="1" x14ac:dyDescent="0.25">
      <c r="A26" s="9">
        <v>44766</v>
      </c>
      <c r="B26" s="159">
        <v>24204.902999999998</v>
      </c>
      <c r="C26" s="43">
        <f t="shared" si="21"/>
        <v>15.265999999999622</v>
      </c>
      <c r="D26" s="28">
        <f t="shared" si="22"/>
        <v>29005.399999999281</v>
      </c>
      <c r="E26" s="1">
        <v>4383.1679999999997</v>
      </c>
      <c r="F26" s="43">
        <f t="shared" si="23"/>
        <v>3.407999999999447</v>
      </c>
      <c r="G26" s="28">
        <f t="shared" si="24"/>
        <v>6475.1999999989494</v>
      </c>
      <c r="H26" s="1">
        <v>5692</v>
      </c>
      <c r="I26" s="43">
        <f t="shared" si="25"/>
        <v>6</v>
      </c>
      <c r="J26" s="28">
        <f t="shared" si="26"/>
        <v>11399.999999999998</v>
      </c>
      <c r="K26" s="7">
        <v>14102.03</v>
      </c>
      <c r="L26" s="43">
        <f>IF((K26-K25)&lt;0,"0",(K26-K25))</f>
        <v>3.2000000000007276</v>
      </c>
      <c r="M26" s="28">
        <f t="shared" si="28"/>
        <v>6080.0000000013824</v>
      </c>
      <c r="N26" s="7">
        <v>3644.8519999999999</v>
      </c>
      <c r="O26" s="43">
        <f t="shared" si="29"/>
        <v>2.0589999999997417</v>
      </c>
      <c r="P26" s="28">
        <f t="shared" si="30"/>
        <v>3912.0999999995088</v>
      </c>
      <c r="Q26" s="7">
        <v>5460.58</v>
      </c>
      <c r="R26" s="43">
        <f t="shared" si="31"/>
        <v>2.319999999999709</v>
      </c>
      <c r="S26" s="28">
        <f t="shared" si="32"/>
        <v>4407.999999999447</v>
      </c>
      <c r="T26" s="8">
        <f t="shared" si="34"/>
        <v>32.252999999999247</v>
      </c>
      <c r="U26" s="30">
        <f t="shared" si="33"/>
        <v>61280.699999998571</v>
      </c>
      <c r="V26" t="s">
        <v>12</v>
      </c>
      <c r="W26" s="156">
        <v>44766</v>
      </c>
      <c r="X26" s="157">
        <v>191265</v>
      </c>
      <c r="Y26" s="162">
        <f t="shared" si="20"/>
        <v>168</v>
      </c>
      <c r="Z26" s="157">
        <v>9617</v>
      </c>
      <c r="AA26" s="162">
        <f t="shared" si="20"/>
        <v>5</v>
      </c>
      <c r="AB26" s="157">
        <v>31</v>
      </c>
      <c r="AC26" s="162">
        <f t="shared" si="20"/>
        <v>0</v>
      </c>
      <c r="AD26" s="157">
        <v>628</v>
      </c>
      <c r="AE26" s="162">
        <f t="shared" si="20"/>
        <v>3</v>
      </c>
      <c r="AF26" s="157">
        <v>8328</v>
      </c>
      <c r="AG26" s="162">
        <f t="shared" si="20"/>
        <v>9</v>
      </c>
    </row>
    <row r="27" spans="1:33" ht="16.5" thickBot="1" x14ac:dyDescent="0.25">
      <c r="A27" s="9">
        <v>44767</v>
      </c>
      <c r="B27" s="159">
        <v>24217.617999999999</v>
      </c>
      <c r="C27" s="43">
        <f t="shared" si="21"/>
        <v>12.715000000000146</v>
      </c>
      <c r="D27" s="28">
        <f t="shared" si="22"/>
        <v>24158.500000000273</v>
      </c>
      <c r="E27" s="1">
        <v>4386.2020000000002</v>
      </c>
      <c r="F27" s="43">
        <f t="shared" si="23"/>
        <v>3.0340000000005602</v>
      </c>
      <c r="G27" s="28">
        <f t="shared" si="24"/>
        <v>5764.6000000010636</v>
      </c>
      <c r="H27" s="1">
        <v>5698</v>
      </c>
      <c r="I27" s="43">
        <f t="shared" si="25"/>
        <v>6</v>
      </c>
      <c r="J27" s="28">
        <f t="shared" si="26"/>
        <v>11399.999999999998</v>
      </c>
      <c r="K27" s="7">
        <v>14104.43</v>
      </c>
      <c r="L27" s="43">
        <f t="shared" si="27"/>
        <v>2.3999999999996362</v>
      </c>
      <c r="M27" s="28">
        <f t="shared" si="28"/>
        <v>4559.9999999993088</v>
      </c>
      <c r="N27" s="7">
        <v>3646.5880000000002</v>
      </c>
      <c r="O27" s="43">
        <f t="shared" si="29"/>
        <v>1.7360000000003311</v>
      </c>
      <c r="P27" s="28">
        <f t="shared" si="30"/>
        <v>3298.400000000629</v>
      </c>
      <c r="Q27" s="7">
        <v>5462.13</v>
      </c>
      <c r="R27" s="43">
        <f t="shared" si="31"/>
        <v>1.5500000000001819</v>
      </c>
      <c r="S27" s="28">
        <f t="shared" si="32"/>
        <v>2945.0000000003452</v>
      </c>
      <c r="T27" s="8">
        <f t="shared" si="34"/>
        <v>27.435000000000855</v>
      </c>
      <c r="U27" s="30">
        <f t="shared" si="33"/>
        <v>52126.500000001623</v>
      </c>
      <c r="V27" t="s">
        <v>12</v>
      </c>
      <c r="W27" s="156">
        <v>44767</v>
      </c>
      <c r="X27" s="157">
        <v>191477</v>
      </c>
      <c r="Y27" s="162">
        <f t="shared" si="20"/>
        <v>212</v>
      </c>
      <c r="Z27" s="157">
        <v>9621</v>
      </c>
      <c r="AA27" s="162">
        <f t="shared" si="20"/>
        <v>4</v>
      </c>
      <c r="AB27" s="157">
        <v>31</v>
      </c>
      <c r="AC27" s="162">
        <f t="shared" si="20"/>
        <v>0</v>
      </c>
      <c r="AD27" s="157">
        <v>632</v>
      </c>
      <c r="AE27" s="162">
        <f t="shared" si="20"/>
        <v>4</v>
      </c>
      <c r="AF27" s="157">
        <v>8340</v>
      </c>
      <c r="AG27" s="162">
        <f t="shared" si="20"/>
        <v>12</v>
      </c>
    </row>
    <row r="28" spans="1:33" ht="16.5" thickBot="1" x14ac:dyDescent="0.25">
      <c r="A28" s="9">
        <v>44768</v>
      </c>
      <c r="B28" s="159">
        <v>24230.449000000001</v>
      </c>
      <c r="C28" s="43">
        <f t="shared" si="21"/>
        <v>12.83100000000195</v>
      </c>
      <c r="D28" s="28">
        <f t="shared" si="22"/>
        <v>24378.900000003705</v>
      </c>
      <c r="E28" s="1">
        <v>4389.3370000000004</v>
      </c>
      <c r="F28" s="43">
        <f t="shared" si="23"/>
        <v>3.1350000000002183</v>
      </c>
      <c r="G28" s="28">
        <f t="shared" si="24"/>
        <v>5956.5000000004138</v>
      </c>
      <c r="H28" s="1">
        <v>5704</v>
      </c>
      <c r="I28" s="43">
        <f t="shared" si="25"/>
        <v>6</v>
      </c>
      <c r="J28" s="28">
        <f t="shared" si="26"/>
        <v>11399.999999999998</v>
      </c>
      <c r="K28" s="7">
        <v>14106.91</v>
      </c>
      <c r="L28" s="43">
        <f t="shared" si="27"/>
        <v>2.4799999999995634</v>
      </c>
      <c r="M28" s="28">
        <f t="shared" si="28"/>
        <v>4711.9999999991705</v>
      </c>
      <c r="N28" s="7">
        <v>3648.3229999999999</v>
      </c>
      <c r="O28" s="43">
        <f t="shared" si="29"/>
        <v>1.7349999999996726</v>
      </c>
      <c r="P28" s="28">
        <f t="shared" si="30"/>
        <v>3296.4999999993779</v>
      </c>
      <c r="Q28" s="7">
        <v>5464.73</v>
      </c>
      <c r="R28" s="43">
        <f t="shared" si="31"/>
        <v>2.5999999999994543</v>
      </c>
      <c r="S28" s="28">
        <f t="shared" si="32"/>
        <v>4939.9999999989632</v>
      </c>
      <c r="T28" s="8">
        <f t="shared" si="34"/>
        <v>28.781000000000859</v>
      </c>
      <c r="U28" s="30">
        <f t="shared" si="33"/>
        <v>54683.900000001631</v>
      </c>
      <c r="W28" s="156">
        <v>44768</v>
      </c>
      <c r="X28" s="157">
        <v>192000</v>
      </c>
      <c r="Y28" s="162">
        <f t="shared" si="20"/>
        <v>523</v>
      </c>
      <c r="Z28" s="157">
        <v>9628</v>
      </c>
      <c r="AA28" s="162">
        <f t="shared" si="20"/>
        <v>7</v>
      </c>
      <c r="AB28" s="157">
        <v>31</v>
      </c>
      <c r="AC28" s="162">
        <f t="shared" si="20"/>
        <v>0</v>
      </c>
      <c r="AD28" s="157">
        <v>635</v>
      </c>
      <c r="AE28" s="162">
        <f t="shared" si="20"/>
        <v>3</v>
      </c>
      <c r="AF28" s="157">
        <v>8352</v>
      </c>
      <c r="AG28" s="162">
        <f t="shared" si="20"/>
        <v>12</v>
      </c>
    </row>
    <row r="29" spans="1:33" ht="16.5" thickBot="1" x14ac:dyDescent="0.25">
      <c r="A29" s="9">
        <v>44769</v>
      </c>
      <c r="B29" s="159">
        <v>24245.871999999999</v>
      </c>
      <c r="C29" s="43">
        <f t="shared" si="21"/>
        <v>15.422999999998865</v>
      </c>
      <c r="D29" s="28">
        <f t="shared" si="22"/>
        <v>29303.699999997843</v>
      </c>
      <c r="E29" s="1">
        <v>4393.0600000000004</v>
      </c>
      <c r="F29" s="43">
        <f t="shared" si="23"/>
        <v>3.7229999999999563</v>
      </c>
      <c r="G29" s="28">
        <f t="shared" si="24"/>
        <v>7073.6999999999171</v>
      </c>
      <c r="H29" s="1">
        <v>5711</v>
      </c>
      <c r="I29" s="43">
        <f t="shared" si="25"/>
        <v>7</v>
      </c>
      <c r="J29" s="28">
        <f t="shared" si="26"/>
        <v>13299.999999999998</v>
      </c>
      <c r="K29" s="7">
        <v>14109.98</v>
      </c>
      <c r="L29" s="43">
        <f t="shared" si="27"/>
        <v>3.069999999999709</v>
      </c>
      <c r="M29" s="28">
        <f t="shared" si="28"/>
        <v>5832.999999999447</v>
      </c>
      <c r="N29" s="7">
        <v>3650.424</v>
      </c>
      <c r="O29" s="43">
        <f t="shared" si="29"/>
        <v>2.1010000000001128</v>
      </c>
      <c r="P29" s="28">
        <f t="shared" si="30"/>
        <v>3991.9000000002143</v>
      </c>
      <c r="Q29" s="7">
        <v>5466.12</v>
      </c>
      <c r="R29" s="43">
        <f t="shared" si="31"/>
        <v>1.3900000000003274</v>
      </c>
      <c r="S29" s="28">
        <f t="shared" si="32"/>
        <v>2641.0000000006221</v>
      </c>
      <c r="T29" s="8">
        <f t="shared" si="34"/>
        <v>32.70699999999897</v>
      </c>
      <c r="U29" s="30">
        <f t="shared" si="33"/>
        <v>62143.299999998046</v>
      </c>
      <c r="W29" s="156">
        <v>44769</v>
      </c>
      <c r="X29" s="157">
        <v>19240</v>
      </c>
      <c r="Y29" s="162" t="str">
        <f t="shared" si="20"/>
        <v>0</v>
      </c>
      <c r="Z29" s="157">
        <v>9634</v>
      </c>
      <c r="AA29" s="162">
        <f t="shared" si="20"/>
        <v>6</v>
      </c>
      <c r="AB29" s="157">
        <v>31</v>
      </c>
      <c r="AC29" s="162">
        <f t="shared" si="20"/>
        <v>0</v>
      </c>
      <c r="AD29" s="157">
        <v>639</v>
      </c>
      <c r="AE29" s="162">
        <f t="shared" si="20"/>
        <v>4</v>
      </c>
      <c r="AF29" s="157">
        <v>9634</v>
      </c>
      <c r="AG29" s="162">
        <f t="shared" si="20"/>
        <v>1282</v>
      </c>
    </row>
    <row r="30" spans="1:33" ht="16.5" thickBot="1" x14ac:dyDescent="0.25">
      <c r="A30" s="9">
        <v>44770</v>
      </c>
      <c r="B30" s="159"/>
      <c r="C30" s="43" t="str">
        <f t="shared" si="21"/>
        <v>0</v>
      </c>
      <c r="D30" s="28">
        <f t="shared" si="22"/>
        <v>0</v>
      </c>
      <c r="E30" s="1"/>
      <c r="F30" s="43" t="str">
        <f t="shared" si="23"/>
        <v>0</v>
      </c>
      <c r="G30" s="28">
        <f t="shared" si="24"/>
        <v>0</v>
      </c>
      <c r="H30" s="1"/>
      <c r="I30" s="43" t="str">
        <f t="shared" si="25"/>
        <v>0</v>
      </c>
      <c r="J30" s="28">
        <f t="shared" si="26"/>
        <v>0</v>
      </c>
      <c r="K30" s="7"/>
      <c r="L30" s="43" t="str">
        <f t="shared" si="27"/>
        <v>0</v>
      </c>
      <c r="M30" s="28">
        <f t="shared" si="28"/>
        <v>0</v>
      </c>
      <c r="N30" s="7"/>
      <c r="O30" s="43" t="str">
        <f t="shared" si="29"/>
        <v>0</v>
      </c>
      <c r="P30" s="28">
        <f t="shared" si="30"/>
        <v>0</v>
      </c>
      <c r="Q30" s="7"/>
      <c r="R30" s="43" t="str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 t="str">
        <f t="shared" si="20"/>
        <v>0</v>
      </c>
      <c r="Z30" s="157"/>
      <c r="AA30" s="162" t="str">
        <f t="shared" si="20"/>
        <v>0</v>
      </c>
      <c r="AB30" s="157"/>
      <c r="AC30" s="162" t="str">
        <f t="shared" si="20"/>
        <v>0</v>
      </c>
      <c r="AD30" s="157"/>
      <c r="AE30" s="162" t="str">
        <f t="shared" si="20"/>
        <v>0</v>
      </c>
      <c r="AF30" s="157"/>
      <c r="AG30" s="162" t="str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355.14899999999761</v>
      </c>
      <c r="D34" s="136">
        <f>SUM(D4:D33)</f>
        <v>651405.50000000233</v>
      </c>
      <c r="E34" s="136"/>
      <c r="F34" s="136">
        <f>SUM(F3:F33)</f>
        <v>70.014000000000124</v>
      </c>
      <c r="G34" s="136">
        <f>SUM(G4:G33)</f>
        <v>130184.20000000004</v>
      </c>
      <c r="H34" s="136"/>
      <c r="I34" s="136">
        <f>SUM(I3:I33)</f>
        <v>170</v>
      </c>
      <c r="J34" s="136">
        <f>SUM(J4:J33)</f>
        <v>311600</v>
      </c>
      <c r="K34" s="136"/>
      <c r="L34" s="136">
        <f>SUM(L3:L33)</f>
        <v>69.859999999998763</v>
      </c>
      <c r="M34" s="136">
        <f>SUM(M4:M33)</f>
        <v>129009.99999999929</v>
      </c>
      <c r="N34" s="136"/>
      <c r="O34" s="136">
        <f>SUM(O3:O33)</f>
        <v>45.954000000000178</v>
      </c>
      <c r="P34" s="136">
        <f>SUM(P4:P33)</f>
        <v>84491.100000000122</v>
      </c>
      <c r="Q34" s="136"/>
      <c r="R34" s="136">
        <v>2.21</v>
      </c>
      <c r="S34" s="136">
        <f>SUM(S4:S33)</f>
        <v>98800</v>
      </c>
      <c r="T34" s="136">
        <v>22.454999999999998</v>
      </c>
      <c r="U34" s="136">
        <f>SUM(U4:U33)</f>
        <v>1405490.8000000017</v>
      </c>
      <c r="V34"/>
      <c r="W34" s="136" t="s">
        <v>141</v>
      </c>
      <c r="X34" s="136"/>
      <c r="Y34" s="136">
        <f>SUM(Y3:Y33)</f>
        <v>7001</v>
      </c>
      <c r="Z34" s="136"/>
      <c r="AA34" s="136">
        <f>SUM(AA3:AA33)</f>
        <v>145</v>
      </c>
      <c r="AB34" s="136"/>
      <c r="AC34" s="136">
        <f>SUM(AC3:AC33)</f>
        <v>4.8000000000000007</v>
      </c>
      <c r="AD34" s="136"/>
      <c r="AE34" s="136">
        <f>SUM(AE3:AE33)</f>
        <v>75</v>
      </c>
      <c r="AF34" s="136">
        <v>0</v>
      </c>
      <c r="AG34" s="136">
        <f>SUM(AG3:AG33)</f>
        <v>1625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-31506870</v>
      </c>
      <c r="D2" s="96">
        <f>C2*1.27</f>
        <v>-40013724.899999999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2706581</v>
      </c>
      <c r="K4" s="166">
        <f>J4-I4</f>
        <v>1471931</v>
      </c>
    </row>
    <row r="5" spans="1:13" ht="13.5" thickBot="1" x14ac:dyDescent="0.25">
      <c r="A5" s="94"/>
      <c r="B5" s="100" t="s">
        <v>27</v>
      </c>
      <c r="C5" s="104">
        <f>(K10+K12)*0.842284+K26</f>
        <v>786504.21792000008</v>
      </c>
      <c r="D5" s="104">
        <f t="shared" ref="D5:D11" si="0">C5*1.27</f>
        <v>998860.3567584001</v>
      </c>
      <c r="E5" s="105"/>
      <c r="F5" s="94"/>
      <c r="G5" s="94"/>
      <c r="H5" s="100" t="s">
        <v>23</v>
      </c>
      <c r="I5" s="106"/>
      <c r="J5" s="106"/>
      <c r="K5" s="126">
        <f>K3+K4</f>
        <v>-30268327</v>
      </c>
    </row>
    <row r="6" spans="1:13" ht="13.5" thickBot="1" x14ac:dyDescent="0.25">
      <c r="A6" s="94"/>
      <c r="B6" s="100" t="s">
        <v>99</v>
      </c>
      <c r="C6" s="104">
        <f>(K10+K12+K26)*0.1488</f>
        <v>138455.424</v>
      </c>
      <c r="D6" s="104">
        <f t="shared" si="0"/>
        <v>175838.38847999999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224527</v>
      </c>
      <c r="K6" s="166">
        <f>J6-I6</f>
        <v>150495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255032</v>
      </c>
      <c r="D7" s="104">
        <f t="shared" si="0"/>
        <v>323890.64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471651</v>
      </c>
      <c r="K7" s="166">
        <f>J7-I7</f>
        <v>175168</v>
      </c>
    </row>
    <row r="8" spans="1:13" ht="13.5" thickBot="1" x14ac:dyDescent="0.25">
      <c r="A8" s="94"/>
      <c r="B8" s="100" t="s">
        <v>103</v>
      </c>
      <c r="C8" s="104">
        <f>K21+K22+K23+K24</f>
        <v>30679</v>
      </c>
      <c r="D8" s="104">
        <f t="shared" si="0"/>
        <v>38962.33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7078985</v>
      </c>
      <c r="K8" s="91">
        <f>(J8-I8)*2</f>
        <v>428308</v>
      </c>
    </row>
    <row r="9" spans="1:13" ht="13.5" thickBot="1" x14ac:dyDescent="0.25">
      <c r="A9" s="94"/>
      <c r="B9" s="100" t="s">
        <v>137</v>
      </c>
      <c r="C9" s="104">
        <f>K25+K16+K17</f>
        <v>6170</v>
      </c>
      <c r="D9" s="104">
        <f t="shared" si="0"/>
        <v>7835.9000000000005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7412846</v>
      </c>
      <c r="K9" s="91">
        <f>J9-I9</f>
        <v>378184</v>
      </c>
    </row>
    <row r="10" spans="1:13" ht="13.5" thickBot="1" x14ac:dyDescent="0.25">
      <c r="A10" s="94"/>
      <c r="B10" s="100" t="s">
        <v>106</v>
      </c>
      <c r="C10" s="104">
        <f>K18</f>
        <v>12640</v>
      </c>
      <c r="D10" s="104">
        <f t="shared" si="0"/>
        <v>16052.800000000001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21826871</v>
      </c>
      <c r="K10" s="91">
        <f>J10-I10</f>
        <v>286618</v>
      </c>
    </row>
    <row r="11" spans="1:13" ht="13.5" thickBot="1" x14ac:dyDescent="0.25">
      <c r="A11" s="94"/>
      <c r="B11" s="100" t="s">
        <v>108</v>
      </c>
      <c r="C11" s="104">
        <f>K19+K20</f>
        <v>3542</v>
      </c>
      <c r="D11" s="104">
        <f t="shared" si="0"/>
        <v>4498.34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9817728</v>
      </c>
      <c r="K12" s="91">
        <f>(J12-I12)*2</f>
        <v>626262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2045035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-32313362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4027</v>
      </c>
      <c r="K16" s="93">
        <f>(J16-I16)*160</f>
        <v>1920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325194</v>
      </c>
      <c r="K17" s="93">
        <f>(J17-I17)</f>
        <v>4164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26344</v>
      </c>
      <c r="K18" s="93">
        <f>(J18-I18)*160</f>
        <v>12640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162126</v>
      </c>
      <c r="K19" s="93">
        <f>J19-I19</f>
        <v>3542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47351</v>
      </c>
      <c r="K21" s="93">
        <f>(J21-I21)*120</f>
        <v>14640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40819</v>
      </c>
      <c r="K22" s="93">
        <f>(J22-I22)*160</f>
        <v>13440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21887</v>
      </c>
      <c r="K23" s="93">
        <f>(J23-I23)*20</f>
        <v>1820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256892</v>
      </c>
      <c r="K24" s="93">
        <f>J24-I24</f>
        <v>779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226218</v>
      </c>
      <c r="K25" s="93">
        <f>J25-I25</f>
        <v>86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19909</v>
      </c>
      <c r="K26" s="93">
        <f>(J26-I26)*160</f>
        <v>17600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2022-07-28T02:10:57Z</dcterms:modified>
</cp:coreProperties>
</file>