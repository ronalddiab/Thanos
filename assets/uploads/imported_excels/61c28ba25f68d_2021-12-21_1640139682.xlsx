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B24" i="2"/>
  <c r="B25" i="2" s="1"/>
  <c r="B26" i="2" s="1"/>
  <c r="B27" i="2" s="1"/>
  <c r="B28" i="2" s="1"/>
  <c r="B29" i="2" s="1"/>
  <c r="B30" i="2" s="1"/>
  <c r="B31" i="2" s="1"/>
  <c r="B32" i="2" s="1"/>
  <c r="B33" i="2" s="1"/>
  <c r="C20" i="2"/>
  <c r="G20" i="2"/>
  <c r="I20" i="2"/>
  <c r="O20" i="2"/>
  <c r="Q20" i="2"/>
  <c r="U20" i="2"/>
  <c r="M20" i="2"/>
  <c r="S20" i="2"/>
  <c r="AF24" i="1" l="1"/>
  <c r="AF25" i="1" s="1"/>
  <c r="AF26" i="1" s="1"/>
  <c r="AF27" i="1" s="1"/>
  <c r="AF28" i="1" s="1"/>
  <c r="AF29" i="1" s="1"/>
  <c r="AF30" i="1" s="1"/>
  <c r="AF31" i="1" s="1"/>
  <c r="AF32" i="1" s="1"/>
  <c r="AF33" i="1" s="1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D8" i="1"/>
  <c r="AD9" i="1" s="1"/>
  <c r="AD10" i="1" s="1"/>
  <c r="AB5" i="1"/>
  <c r="AB9" i="1"/>
  <c r="AB10" i="1" s="1"/>
  <c r="AB15" i="1" s="1"/>
  <c r="AB16" i="1" s="1"/>
  <c r="AB20" i="1" s="1"/>
  <c r="AB21" i="1" s="1"/>
  <c r="AB22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Z24" i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24" i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24" i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24" i="1"/>
  <c r="N25" i="1" s="1"/>
  <c r="N26" i="1" s="1"/>
  <c r="N27" i="1" s="1"/>
  <c r="N28" i="1" s="1"/>
  <c r="N29" i="1" s="1"/>
  <c r="N30" i="1" s="1"/>
  <c r="N31" i="1" s="1"/>
  <c r="N32" i="1" s="1"/>
  <c r="N33" i="1" s="1"/>
  <c r="O34" i="1" s="1"/>
  <c r="K24" i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H24" i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E24" i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B24" i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S2" i="1"/>
  <c r="P2" i="1"/>
  <c r="M2" i="1"/>
  <c r="J2" i="1"/>
  <c r="G2" i="1"/>
  <c r="D2" i="1"/>
  <c r="B24" i="5"/>
  <c r="B25" i="5" s="1"/>
  <c r="B26" i="5" s="1"/>
  <c r="B27" i="5" s="1"/>
  <c r="B28" i="5" s="1"/>
  <c r="B29" i="5" s="1"/>
  <c r="B30" i="5" s="1"/>
  <c r="B31" i="5" s="1"/>
  <c r="B32" i="5" s="1"/>
  <c r="B33" i="5" s="1"/>
  <c r="C33" i="5" s="1"/>
  <c r="G32" i="9" s="1"/>
  <c r="J2" i="3"/>
  <c r="K2" i="3" s="1"/>
  <c r="H24" i="3"/>
  <c r="H25" i="3" s="1"/>
  <c r="H26" i="3" s="1"/>
  <c r="H27" i="3" s="1"/>
  <c r="H28" i="3" s="1"/>
  <c r="H29" i="3" s="1"/>
  <c r="H30" i="3" s="1"/>
  <c r="H31" i="3" s="1"/>
  <c r="H32" i="3" s="1"/>
  <c r="H33" i="3" s="1"/>
  <c r="I33" i="3" s="1"/>
  <c r="H32" i="8" s="1"/>
  <c r="F24" i="3"/>
  <c r="F25" i="3" s="1"/>
  <c r="F26" i="3" s="1"/>
  <c r="F27" i="3" s="1"/>
  <c r="F28" i="3" s="1"/>
  <c r="F29" i="3" s="1"/>
  <c r="F30" i="3" s="1"/>
  <c r="F31" i="3" s="1"/>
  <c r="F32" i="3" s="1"/>
  <c r="F33" i="3" s="1"/>
  <c r="G33" i="3" s="1"/>
  <c r="I32" i="8" s="1"/>
  <c r="B24" i="3"/>
  <c r="B25" i="3" s="1"/>
  <c r="B26" i="3" s="1"/>
  <c r="B27" i="3" s="1"/>
  <c r="B28" i="3" s="1"/>
  <c r="B29" i="3" s="1"/>
  <c r="B30" i="3" s="1"/>
  <c r="B31" i="3" s="1"/>
  <c r="B32" i="3" s="1"/>
  <c r="B33" i="3" s="1"/>
  <c r="C33" i="3" s="1"/>
  <c r="T24" i="2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P7" i="2"/>
  <c r="P8" i="2" s="1"/>
  <c r="P9" i="2" s="1"/>
  <c r="P10" i="2" s="1"/>
  <c r="P11" i="2" s="1"/>
  <c r="P13" i="2" s="1"/>
  <c r="P14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24" i="2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AA32" i="8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24" i="2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24" i="2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C33" i="2"/>
  <c r="K34" i="2"/>
  <c r="V24" i="4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R24" i="4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P24" i="4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24" i="4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L24" i="4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G24" i="4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J32" i="8" s="1"/>
  <c r="E24" i="4"/>
  <c r="E25" i="4" s="1"/>
  <c r="E26" i="4" s="1"/>
  <c r="E27" i="4" s="1"/>
  <c r="E28" i="4" s="1"/>
  <c r="E29" i="4" s="1"/>
  <c r="E30" i="4" s="1"/>
  <c r="E31" i="4" s="1"/>
  <c r="E32" i="4" s="1"/>
  <c r="E33" i="4" s="1"/>
  <c r="F33" i="4" s="1"/>
  <c r="C24" i="4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U34" i="4"/>
  <c r="T34" i="4"/>
  <c r="Z2" i="4"/>
  <c r="X2" i="4"/>
  <c r="I2" i="4"/>
  <c r="AD23" i="1" l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R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J24" i="4"/>
  <c r="AG29" i="1"/>
  <c r="E22" i="3" l="1"/>
  <c r="J25" i="4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D24" i="3" l="1"/>
  <c r="E23" i="3"/>
  <c r="J26" i="4"/>
  <c r="K25" i="4"/>
  <c r="AG31" i="1"/>
  <c r="AG32" i="1"/>
  <c r="AC25" i="1"/>
  <c r="D25" i="3" l="1"/>
  <c r="E24" i="3"/>
  <c r="K26" i="4"/>
  <c r="J27" i="4"/>
  <c r="AC27" i="1"/>
  <c r="AC26" i="1"/>
  <c r="D18" i="4"/>
  <c r="D26" i="3" l="1"/>
  <c r="E25" i="3"/>
  <c r="J28" i="4"/>
  <c r="K27" i="4"/>
  <c r="AA30" i="1"/>
  <c r="AC28" i="1"/>
  <c r="AC4" i="1"/>
  <c r="AC5" i="1"/>
  <c r="AC6" i="1"/>
  <c r="AC7" i="1"/>
  <c r="AC8" i="1"/>
  <c r="D27" i="3" l="1"/>
  <c r="E26" i="3"/>
  <c r="J29" i="4"/>
  <c r="K28" i="4"/>
  <c r="AC29" i="1"/>
  <c r="D28" i="3" l="1"/>
  <c r="E27" i="3"/>
  <c r="K29" i="4"/>
  <c r="J30" i="4"/>
  <c r="AC30" i="1"/>
  <c r="C9" i="5"/>
  <c r="O10" i="1"/>
  <c r="D29" i="3" l="1"/>
  <c r="E28" i="3"/>
  <c r="J31" i="4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D30" i="3" l="1"/>
  <c r="E29" i="3"/>
  <c r="J32" i="4"/>
  <c r="K31" i="4"/>
  <c r="Y3" i="1"/>
  <c r="AA4" i="1"/>
  <c r="J3" i="2"/>
  <c r="D31" i="3" l="1"/>
  <c r="E30" i="3"/>
  <c r="K32" i="4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D32" i="3" l="1"/>
  <c r="E31" i="3"/>
  <c r="E15" i="2"/>
  <c r="G25" i="2"/>
  <c r="D33" i="3" l="1"/>
  <c r="E33" i="3" s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34" i="2" s="1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<sst xmlns="http://schemas.openxmlformats.org/spreadsheetml/2006/main" count="445" uniqueCount="149">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</sst>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6" sqref="I16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1737.0153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19946.859368000001</v>
      </c>
      <c r="F8" s="144">
        <v>1.27</v>
      </c>
      <c r="G8" s="41">
        <f>Gas!C9*0.9147</f>
        <v>1684.8773999999999</v>
      </c>
      <c r="H8" s="145">
        <v>3.65</v>
      </c>
      <c r="I8" s="147">
        <f>Submetering!H8+Submetering!AD8+Submetering!AE8</f>
        <v>866</v>
      </c>
      <c r="J8" s="147">
        <v>10.029999999999999</v>
      </c>
      <c r="K8" s="41">
        <f>ELECT.!B9</f>
        <v>206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86265.326432000002</v>
      </c>
      <c r="F9" s="144">
        <v>1.27</v>
      </c>
      <c r="G9" s="41">
        <f>Gas!C10*0.9147</f>
        <v>1348.2677999999999</v>
      </c>
      <c r="H9" s="145">
        <v>3.65</v>
      </c>
      <c r="I9" s="147">
        <f>Submetering!H9+Submetering!AD9+Submetering!AE9</f>
        <v>716</v>
      </c>
      <c r="J9" s="147">
        <v>10.029999999999999</v>
      </c>
      <c r="K9" s="41">
        <f>ELECT.!B10</f>
        <v>216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46204.552204000007</v>
      </c>
      <c r="F10" s="144">
        <v>1.27</v>
      </c>
      <c r="G10" s="41">
        <f>Gas!C11*0.9147</f>
        <v>3034.0598999999997</v>
      </c>
      <c r="H10" s="145">
        <v>3.65</v>
      </c>
      <c r="I10" s="147">
        <f>Submetering!H10+Submetering!AD10+Submetering!AE10</f>
        <v>716</v>
      </c>
      <c r="J10" s="147">
        <v>10.029999999999999</v>
      </c>
      <c r="K10" s="41">
        <f>ELECT.!B11</f>
        <v>210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86075.683564000006</v>
      </c>
      <c r="F11" s="144">
        <v>1.27</v>
      </c>
      <c r="G11" s="41">
        <f>Gas!C12*0.9147</f>
        <v>2464.2017999999998</v>
      </c>
      <c r="H11" s="145">
        <v>3.65</v>
      </c>
      <c r="I11" s="147">
        <f>Submetering!H11+Submetering!AD11+Submetering!AE11</f>
        <v>325.99999999999994</v>
      </c>
      <c r="J11" s="147">
        <v>10.029999999999999</v>
      </c>
      <c r="K11" s="41">
        <f>ELECT.!B12</f>
        <v>230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19667.757020000001</v>
      </c>
      <c r="F12" s="144">
        <v>1.27</v>
      </c>
      <c r="G12" s="41">
        <f>Gas!C13*0.9147</f>
        <v>1406.8085999999998</v>
      </c>
      <c r="H12" s="145">
        <v>3.65</v>
      </c>
      <c r="I12" s="147">
        <f>Submetering!H12+Submetering!AD12+Submetering!AE12</f>
        <v>505.99999999999989</v>
      </c>
      <c r="J12" s="147">
        <v>10.029999999999999</v>
      </c>
      <c r="K12" s="41">
        <f>ELECT.!B13</f>
        <v>218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51557.672727999998</v>
      </c>
      <c r="F13" s="144">
        <v>1.27</v>
      </c>
      <c r="G13" s="41">
        <f>Gas!C14*0.9147</f>
        <v>1610.7866999999999</v>
      </c>
      <c r="H13" s="145">
        <v>3.65</v>
      </c>
      <c r="I13" s="147">
        <f>Submetering!H13+Submetering!AD13+Submetering!AE13</f>
        <v>686</v>
      </c>
      <c r="J13" s="147">
        <v>10.029999999999999</v>
      </c>
      <c r="K13" s="41">
        <f>ELECT.!B14</f>
        <v>199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43457.121875999997</v>
      </c>
      <c r="F14" s="144">
        <v>1.27</v>
      </c>
      <c r="G14" s="41">
        <f>Gas!C15*0.9147</f>
        <v>4119.8087999999998</v>
      </c>
      <c r="H14" s="145">
        <v>3.65</v>
      </c>
      <c r="I14" s="147">
        <f>Submetering!H14+Submetering!AD14+Submetering!AE14</f>
        <v>586</v>
      </c>
      <c r="J14" s="147">
        <v>10.029999999999999</v>
      </c>
      <c r="K14" s="41">
        <f>ELECT.!B15</f>
        <v>209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69009.014328000005</v>
      </c>
      <c r="F15" s="144">
        <v>1.27</v>
      </c>
      <c r="G15" s="41">
        <f>Gas!C16*0.9147</f>
        <v>2058.0749999999998</v>
      </c>
      <c r="H15" s="145">
        <v>3.65</v>
      </c>
      <c r="I15" s="147">
        <f>Submetering!H15+Submetering!AD15+Submetering!AE15</f>
        <v>676</v>
      </c>
      <c r="J15" s="147">
        <v>10.029999999999999</v>
      </c>
      <c r="K15" s="41">
        <f>ELECT.!B16</f>
        <v>208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36719.182108000001</v>
      </c>
      <c r="F16" s="144">
        <v>1.27</v>
      </c>
      <c r="G16" s="41">
        <f>Gas!C17*0.9147</f>
        <v>2030.634</v>
      </c>
      <c r="H16" s="145">
        <v>3.65</v>
      </c>
      <c r="I16" s="147">
        <f>Submetering!H16+Submetering!AD16+Submetering!AE16</f>
        <v>576</v>
      </c>
      <c r="J16" s="147">
        <v>10.029999999999999</v>
      </c>
      <c r="K16" s="41">
        <f>ELECT.!B17</f>
        <v>191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46816.760496000003</v>
      </c>
      <c r="F17" s="144">
        <v>1.27</v>
      </c>
      <c r="G17" s="41">
        <f>Gas!C18*0.9147</f>
        <v>2133.9951000000001</v>
      </c>
      <c r="H17" s="145">
        <v>3.65</v>
      </c>
      <c r="I17" s="147">
        <f>Submetering!H17+Submetering!AD17+Submetering!AE17</f>
        <v>566</v>
      </c>
      <c r="J17" s="147">
        <v>10.029999999999999</v>
      </c>
      <c r="K17" s="41">
        <f>ELECT.!B18</f>
        <v>204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68280.151763999995</v>
      </c>
      <c r="F18" s="144">
        <v>1.27</v>
      </c>
      <c r="G18" s="41">
        <f>Gas!C19*0.9147</f>
        <v>2938.9310999999998</v>
      </c>
      <c r="H18" s="145">
        <v>3.65</v>
      </c>
      <c r="I18" s="147">
        <f>Submetering!H18+Submetering!AD18+Submetering!AE18</f>
        <v>536</v>
      </c>
      <c r="J18" s="147">
        <v>10.029999999999999</v>
      </c>
      <c r="K18" s="41">
        <f>ELECT.!B19</f>
        <v>241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34655.236015999995</v>
      </c>
      <c r="F19" s="144">
        <v>1.27</v>
      </c>
      <c r="G19" s="41">
        <f>Gas!C20*0.9147</f>
        <v>2543.7806999999998</v>
      </c>
      <c r="H19" s="145">
        <v>3.65</v>
      </c>
      <c r="I19" s="147">
        <f>Submetering!H19+Submetering!AD19+Submetering!AE19</f>
        <v>516</v>
      </c>
      <c r="J19" s="147">
        <v>10.029999999999999</v>
      </c>
      <c r="K19" s="41">
        <f>ELECT.!B20</f>
        <v>210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51874.825816000011</v>
      </c>
      <c r="F20" s="144">
        <v>1.27</v>
      </c>
      <c r="G20" s="41">
        <f>Gas!C21*0.9147</f>
        <v>3100.8329999999996</v>
      </c>
      <c r="H20" s="145">
        <v>3.65</v>
      </c>
      <c r="I20" s="147">
        <f>Submetering!H20+Submetering!AD20+Submetering!AE20</f>
        <v>606</v>
      </c>
      <c r="J20" s="147">
        <v>10.029999999999999</v>
      </c>
      <c r="K20" s="41">
        <f>ELECT.!B21</f>
        <v>256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50532.225019999998</v>
      </c>
      <c r="F21" s="144">
        <v>1.27</v>
      </c>
      <c r="G21" s="41">
        <f>Gas!C22*0.9147</f>
        <v>2628.8478</v>
      </c>
      <c r="H21" s="145">
        <v>3.65</v>
      </c>
      <c r="I21" s="147">
        <f>Submetering!H21+Submetering!AD21+Submetering!AE21</f>
        <v>506</v>
      </c>
      <c r="J21" s="147">
        <v>10.029999999999999</v>
      </c>
      <c r="K21" s="41">
        <f>ELECT.!B22</f>
        <v>247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32793.525460000004</v>
      </c>
      <c r="F22" s="144">
        <v>1.27</v>
      </c>
      <c r="G22" s="41">
        <f>Gas!C23*0.9147</f>
        <v>1883.3672999999999</v>
      </c>
      <c r="H22" s="145">
        <v>3.65</v>
      </c>
      <c r="I22" s="147">
        <f>Submetering!H22+Submetering!AD22+Submetering!AE22</f>
        <v>526</v>
      </c>
      <c r="J22" s="147">
        <v>10.029999999999999</v>
      </c>
      <c r="K22" s="41">
        <f>ELECT.!B23</f>
        <v>190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0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0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0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1060</v>
      </c>
      <c r="F8" s="41">
        <f>Water!E9</f>
        <v>390</v>
      </c>
      <c r="G8" s="41">
        <f>Water!G9</f>
        <v>653.4</v>
      </c>
      <c r="H8" s="41">
        <f>Water!I9</f>
        <v>5.4</v>
      </c>
      <c r="I8" s="41">
        <f>ELECT.!F9</f>
        <v>11001</v>
      </c>
      <c r="J8" s="41">
        <f>ELECT.!H9</f>
        <v>10426</v>
      </c>
      <c r="K8" s="41">
        <f>ELECT.!K9</f>
        <v>8596</v>
      </c>
      <c r="L8" s="41">
        <f>ELECT.!M9</f>
        <v>6820</v>
      </c>
      <c r="M8" s="41">
        <f>ELECT.!O9</f>
        <v>8426</v>
      </c>
      <c r="N8" s="41">
        <f>ELECT.!Q9</f>
        <v>2678</v>
      </c>
      <c r="O8" s="41">
        <f>ELECT.!S9</f>
        <v>7416</v>
      </c>
      <c r="P8" s="41">
        <f>ELECT.!W9*2</f>
        <v>20586</v>
      </c>
      <c r="Q8" s="41">
        <f>ELECT.!D9</f>
        <v>480</v>
      </c>
      <c r="R8" s="42">
        <f>BTU!C9</f>
        <v>2.4099999999998545</v>
      </c>
      <c r="S8" s="42">
        <f>BTU!F9</f>
        <v>1.3229999999998654</v>
      </c>
      <c r="T8" s="42">
        <f>BTU!I9</f>
        <v>5</v>
      </c>
      <c r="U8" s="42">
        <f>BTU!O9</f>
        <v>1.8429999999998472</v>
      </c>
      <c r="V8" s="42">
        <f>BTU!L9</f>
        <v>3.7000000000007276</v>
      </c>
      <c r="W8" s="42">
        <f>BTU!R9</f>
        <v>0</v>
      </c>
      <c r="X8" s="39">
        <f>ELECT.!B9</f>
        <v>206</v>
      </c>
      <c r="Y8" s="39">
        <f t="shared" si="0"/>
        <v>-33095</v>
      </c>
      <c r="Z8">
        <f>'Mall, Citadel, Rotana'!C9+'Mall, Citadel, Rotana'!E9+'Mall, Citadel, Rotana'!G9+'Mall, Citadel, Rotana'!I9</f>
        <v>1388</v>
      </c>
      <c r="AA8">
        <f>'Mall, Citadel, Rotana'!K9+'Mall, Citadel, Rotana'!M9</f>
        <v>640</v>
      </c>
      <c r="AB8">
        <f>'Mall, Citadel, Rotana'!O9</f>
        <v>4</v>
      </c>
      <c r="AC8">
        <f>'Mall, Citadel, Rotana'!Q9+'Mall, Citadel, Rotana'!S9</f>
        <v>0</v>
      </c>
      <c r="AD8" s="39">
        <f t="shared" si="1"/>
        <v>113.42707999999999</v>
      </c>
      <c r="AE8" s="39">
        <f t="shared" si="2"/>
        <v>747.17291999999998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910</v>
      </c>
      <c r="F9" s="41">
        <f>Water!E10</f>
        <v>400</v>
      </c>
      <c r="G9" s="41">
        <f>Water!G10</f>
        <v>399.6</v>
      </c>
      <c r="H9" s="41">
        <f>Water!I10</f>
        <v>2.6189999999999998</v>
      </c>
      <c r="I9" s="41">
        <f>ELECT.!F10</f>
        <v>19459</v>
      </c>
      <c r="J9" s="41">
        <f>ELECT.!H10</f>
        <v>70121</v>
      </c>
      <c r="K9" s="41">
        <f>ELECT.!K10</f>
        <v>9546</v>
      </c>
      <c r="L9" s="41">
        <f>ELECT.!M10</f>
        <v>6785</v>
      </c>
      <c r="M9" s="41">
        <f>ELECT.!O10</f>
        <v>8142</v>
      </c>
      <c r="N9" s="41">
        <f>ELECT.!Q10</f>
        <v>2920</v>
      </c>
      <c r="O9" s="41">
        <f>ELECT.!S10</f>
        <v>12602</v>
      </c>
      <c r="P9" s="41">
        <f>ELECT.!W10*2</f>
        <v>23346</v>
      </c>
      <c r="Q9" s="41">
        <f>ELECT.!D10</f>
        <v>640</v>
      </c>
      <c r="R9" s="42">
        <f>BTU!C10</f>
        <v>3.3260000000009313</v>
      </c>
      <c r="S9" s="42">
        <f>BTU!F10</f>
        <v>0.77999999999974534</v>
      </c>
      <c r="T9" s="42">
        <f>BTU!I10</f>
        <v>6</v>
      </c>
      <c r="U9" s="42">
        <f>BTU!O10</f>
        <v>1.3609999999998763</v>
      </c>
      <c r="V9" s="42">
        <f>BTU!L10</f>
        <v>2.8799999999991996</v>
      </c>
      <c r="W9" s="42">
        <f>BTU!R10</f>
        <v>0</v>
      </c>
      <c r="X9" s="39">
        <f>ELECT.!B10</f>
        <v>216</v>
      </c>
      <c r="Y9" s="39">
        <f t="shared" si="0"/>
        <v>26239</v>
      </c>
      <c r="Z9">
        <f>'Mall, Citadel, Rotana'!C10+'Mall, Citadel, Rotana'!E10+'Mall, Citadel, Rotana'!G10+'Mall, Citadel, Rotana'!I10</f>
        <v>1243</v>
      </c>
      <c r="AA9">
        <f>'Mall, Citadel, Rotana'!K10+'Mall, Citadel, Rotana'!M10</f>
        <v>480</v>
      </c>
      <c r="AB9">
        <f>'Mall, Citadel, Rotana'!O10</f>
        <v>128</v>
      </c>
      <c r="AC9">
        <f>'Mall, Citadel, Rotana'!Q10+'Mall, Citadel, Rotana'!S10</f>
        <v>0</v>
      </c>
      <c r="AD9" s="39">
        <f t="shared" si="1"/>
        <v>94.023615800000002</v>
      </c>
      <c r="AE9" s="39">
        <f t="shared" si="2"/>
        <v>619.35738419999996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910</v>
      </c>
      <c r="F10" s="41">
        <f>Water!E11</f>
        <v>420</v>
      </c>
      <c r="G10" s="41">
        <f>Water!G11</f>
        <v>291.60000000000002</v>
      </c>
      <c r="H10" s="41">
        <f>Water!I11</f>
        <v>8.1809999999999992</v>
      </c>
      <c r="I10" s="41">
        <f>ELECT.!F11</f>
        <v>11014</v>
      </c>
      <c r="J10" s="41">
        <f>ELECT.!H11</f>
        <v>37894</v>
      </c>
      <c r="K10" s="41">
        <f>ELECT.!K11</f>
        <v>8842</v>
      </c>
      <c r="L10" s="41">
        <f>ELECT.!M11</f>
        <v>5613</v>
      </c>
      <c r="M10" s="41">
        <f>ELECT.!O11</f>
        <v>7228</v>
      </c>
      <c r="N10" s="41">
        <f>ELECT.!Q11</f>
        <v>2425</v>
      </c>
      <c r="O10" s="41">
        <f>ELECT.!S11</f>
        <v>9033</v>
      </c>
      <c r="P10" s="41">
        <f>ELECT.!W11*2</f>
        <v>19248</v>
      </c>
      <c r="Q10" s="41">
        <f>ELECT.!D11</f>
        <v>320</v>
      </c>
      <c r="R10" s="42">
        <f>BTU!C11</f>
        <v>1.8129999999982829</v>
      </c>
      <c r="S10" s="42">
        <f>BTU!F11</f>
        <v>0.76300000000037471</v>
      </c>
      <c r="T10" s="42">
        <f>BTU!I11</f>
        <v>3</v>
      </c>
      <c r="U10" s="42">
        <f>BTU!O11</f>
        <v>0.77199999999993452</v>
      </c>
      <c r="V10" s="42">
        <f>BTU!L11</f>
        <v>0.8500000000003638</v>
      </c>
      <c r="W10" s="42">
        <f>BTU!R11</f>
        <v>0</v>
      </c>
      <c r="X10" s="39">
        <f>ELECT.!B11</f>
        <v>210</v>
      </c>
      <c r="Y10" s="39">
        <f t="shared" si="0"/>
        <v>-3481</v>
      </c>
      <c r="Z10">
        <f>'Mall, Citadel, Rotana'!C11+'Mall, Citadel, Rotana'!E11+'Mall, Citadel, Rotana'!G11+'Mall, Citadel, Rotana'!I11</f>
        <v>1539</v>
      </c>
      <c r="AA10">
        <f>'Mall, Citadel, Rotana'!K11+'Mall, Citadel, Rotana'!M11</f>
        <v>640</v>
      </c>
      <c r="AB10">
        <f>'Mall, Citadel, Rotana'!O11</f>
        <v>115</v>
      </c>
      <c r="AC10">
        <f>'Mall, Citadel, Rotana'!Q11+'Mall, Citadel, Rotana'!S11</f>
        <v>0</v>
      </c>
      <c r="AD10" s="39">
        <f t="shared" si="1"/>
        <v>93.290544199999999</v>
      </c>
      <c r="AE10" s="39">
        <f t="shared" si="2"/>
        <v>614.52845579999996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520</v>
      </c>
      <c r="F11" s="41">
        <f>Water!E12</f>
        <v>370</v>
      </c>
      <c r="G11" s="41">
        <f>Water!G12</f>
        <v>307.8</v>
      </c>
      <c r="H11" s="41">
        <f>Water!I12</f>
        <v>4.4550000000000001</v>
      </c>
      <c r="I11" s="41">
        <f>ELECT.!F12</f>
        <v>16993</v>
      </c>
      <c r="J11" s="41">
        <f>ELECT.!H12</f>
        <v>72710</v>
      </c>
      <c r="K11" s="41">
        <f>ELECT.!K12</f>
        <v>11752</v>
      </c>
      <c r="L11" s="41">
        <f>ELECT.!M12</f>
        <v>6861</v>
      </c>
      <c r="M11" s="41">
        <f>ELECT.!O12</f>
        <v>9926</v>
      </c>
      <c r="N11" s="41">
        <f>ELECT.!Q12</f>
        <v>3099</v>
      </c>
      <c r="O11" s="41">
        <f>ELECT.!S12</f>
        <v>11753</v>
      </c>
      <c r="P11" s="41">
        <f>ELECT.!W12*2</f>
        <v>24668</v>
      </c>
      <c r="Q11" s="41">
        <f>ELECT.!D12</f>
        <v>480</v>
      </c>
      <c r="R11" s="42">
        <f>BTU!C12</f>
        <v>2.3800000000010186</v>
      </c>
      <c r="S11" s="42">
        <f>BTU!F12</f>
        <v>0.30999999999994543</v>
      </c>
      <c r="T11" s="42">
        <f>BTU!I12</f>
        <v>13</v>
      </c>
      <c r="U11" s="42">
        <f>BTU!O12</f>
        <v>0.97299999999995634</v>
      </c>
      <c r="V11" s="42">
        <f>BTU!L12</f>
        <v>1.7199999999993452</v>
      </c>
      <c r="W11" s="42">
        <f>BTU!R12</f>
        <v>0</v>
      </c>
      <c r="X11" s="39">
        <f>ELECT.!B12</f>
        <v>230</v>
      </c>
      <c r="Y11" s="39">
        <f t="shared" si="0"/>
        <v>21644</v>
      </c>
      <c r="Z11">
        <f>'Mall, Citadel, Rotana'!C12+'Mall, Citadel, Rotana'!E12+'Mall, Citadel, Rotana'!G12+'Mall, Citadel, Rotana'!I12</f>
        <v>1266</v>
      </c>
      <c r="AA11">
        <f>'Mall, Citadel, Rotana'!K12+'Mall, Citadel, Rotana'!M12</f>
        <v>320</v>
      </c>
      <c r="AB11">
        <f>'Mall, Citadel, Rotana'!O12</f>
        <v>55</v>
      </c>
      <c r="AC11">
        <f>'Mall, Citadel, Rotana'!Q12+'Mall, Citadel, Rotana'!S12</f>
        <v>582</v>
      </c>
      <c r="AD11" s="39">
        <f t="shared" si="1"/>
        <v>42.379630999999996</v>
      </c>
      <c r="AE11" s="39">
        <f t="shared" si="2"/>
        <v>279.16536899999994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700</v>
      </c>
      <c r="F12" s="41">
        <f>Water!E13</f>
        <v>310</v>
      </c>
      <c r="G12" s="41">
        <f>Water!G13</f>
        <v>240.3</v>
      </c>
      <c r="H12" s="41">
        <f>Water!I13</f>
        <v>4.9409999999999998</v>
      </c>
      <c r="I12" s="41">
        <f>ELECT.!F13</f>
        <v>13446</v>
      </c>
      <c r="J12" s="41">
        <f>ELECT.!H13</f>
        <v>7403</v>
      </c>
      <c r="K12" s="41">
        <f>ELECT.!K13</f>
        <v>9074</v>
      </c>
      <c r="L12" s="41">
        <f>ELECT.!M13</f>
        <v>5690</v>
      </c>
      <c r="M12" s="41">
        <f>ELECT.!O13</f>
        <v>7608</v>
      </c>
      <c r="N12" s="41">
        <f>ELECT.!Q13</f>
        <v>2236</v>
      </c>
      <c r="O12" s="41">
        <f>ELECT.!S13</f>
        <v>12173</v>
      </c>
      <c r="P12" s="41">
        <f>ELECT.!W13*2</f>
        <v>18232</v>
      </c>
      <c r="Q12" s="41">
        <f>ELECT.!D13</f>
        <v>480</v>
      </c>
      <c r="R12" s="42">
        <f>BTU!C13</f>
        <v>2.7849999999998545</v>
      </c>
      <c r="S12" s="42">
        <f>BTU!F13</f>
        <v>0.56299999999964712</v>
      </c>
      <c r="T12" s="42">
        <f>BTU!I13</f>
        <v>3</v>
      </c>
      <c r="U12" s="42">
        <f>BTU!O13</f>
        <v>1.0900000000001455</v>
      </c>
      <c r="V12" s="42">
        <f>BTU!L13</f>
        <v>1.430000000000291</v>
      </c>
      <c r="W12" s="42">
        <f>BTU!R13</f>
        <v>1.3499999999994543</v>
      </c>
      <c r="X12" s="39">
        <f>ELECT.!B13</f>
        <v>218</v>
      </c>
      <c r="Y12" s="39">
        <f t="shared" si="0"/>
        <v>-34164</v>
      </c>
      <c r="Z12">
        <f>'Mall, Citadel, Rotana'!C13+'Mall, Citadel, Rotana'!E13+'Mall, Citadel, Rotana'!G13+'Mall, Citadel, Rotana'!I13</f>
        <v>1371</v>
      </c>
      <c r="AA12">
        <f>'Mall, Citadel, Rotana'!K13+'Mall, Citadel, Rotana'!M13</f>
        <v>320</v>
      </c>
      <c r="AB12">
        <f>'Mall, Citadel, Rotana'!O13</f>
        <v>98</v>
      </c>
      <c r="AC12">
        <f>'Mall, Citadel, Rotana'!Q13+'Mall, Citadel, Rotana'!S13</f>
        <v>0</v>
      </c>
      <c r="AD12" s="39">
        <f t="shared" si="1"/>
        <v>66.039576199999999</v>
      </c>
      <c r="AE12" s="39">
        <f t="shared" si="2"/>
        <v>435.01942379999991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880</v>
      </c>
      <c r="F13" s="41">
        <f>Water!E14</f>
        <v>400</v>
      </c>
      <c r="G13" s="41">
        <f>Water!G14</f>
        <v>318.60000000000002</v>
      </c>
      <c r="H13" s="41">
        <f>Water!I14</f>
        <v>5.4809999999999999</v>
      </c>
      <c r="I13" s="41">
        <f>ELECT.!F14</f>
        <v>15152</v>
      </c>
      <c r="J13" s="41">
        <f>ELECT.!H14</f>
        <v>38726</v>
      </c>
      <c r="K13" s="41">
        <f>ELECT.!K14</f>
        <v>10844</v>
      </c>
      <c r="L13" s="41">
        <f>ELECT.!M14</f>
        <v>6235</v>
      </c>
      <c r="M13" s="41">
        <f>ELECT.!O14</f>
        <v>9754</v>
      </c>
      <c r="N13" s="41">
        <f>ELECT.!Q14</f>
        <v>2546</v>
      </c>
      <c r="O13" s="41">
        <f>ELECT.!S14</f>
        <v>5662</v>
      </c>
      <c r="P13" s="41">
        <f>ELECT.!W14*2</f>
        <v>20280</v>
      </c>
      <c r="Q13" s="41">
        <f>ELECT.!D14</f>
        <v>480</v>
      </c>
      <c r="R13" s="42">
        <f>BTU!C14</f>
        <v>3.8539999999993597</v>
      </c>
      <c r="S13" s="42">
        <f>BTU!F14</f>
        <v>1.218000000000302</v>
      </c>
      <c r="T13" s="42">
        <f>BTU!I14</f>
        <v>0</v>
      </c>
      <c r="U13" s="42">
        <f>BTU!O14</f>
        <v>1.44399999999996</v>
      </c>
      <c r="V13" s="42">
        <f>BTU!L14</f>
        <v>2.6100000000005821</v>
      </c>
      <c r="W13" s="42">
        <f>BTU!R14</f>
        <v>1.2899999999999636</v>
      </c>
      <c r="X13" s="39">
        <f>ELECT.!B14</f>
        <v>199</v>
      </c>
      <c r="Y13" s="39">
        <f t="shared" si="0"/>
        <v>-1443</v>
      </c>
      <c r="Z13">
        <f>'Mall, Citadel, Rotana'!C14+'Mall, Citadel, Rotana'!E14+'Mall, Citadel, Rotana'!G14+'Mall, Citadel, Rotana'!I14</f>
        <v>1195</v>
      </c>
      <c r="AA13">
        <f>'Mall, Citadel, Rotana'!K14+'Mall, Citadel, Rotana'!M14</f>
        <v>480</v>
      </c>
      <c r="AB13">
        <f>'Mall, Citadel, Rotana'!O14</f>
        <v>125</v>
      </c>
      <c r="AC13">
        <f>'Mall, Citadel, Rotana'!Q14+'Mall, Citadel, Rotana'!S14</f>
        <v>0</v>
      </c>
      <c r="AD13" s="39">
        <f t="shared" si="1"/>
        <v>89.692404199999999</v>
      </c>
      <c r="AE13" s="39">
        <f t="shared" si="2"/>
        <v>590.82659579999995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780</v>
      </c>
      <c r="F14" s="41">
        <f>Water!E15</f>
        <v>410</v>
      </c>
      <c r="G14" s="41">
        <f>Water!G15</f>
        <v>337.5</v>
      </c>
      <c r="H14" s="41">
        <f>Water!I15</f>
        <v>5.13</v>
      </c>
      <c r="I14" s="41">
        <f>ELECT.!F15</f>
        <v>13269</v>
      </c>
      <c r="J14" s="41">
        <f>ELECT.!H15</f>
        <v>33013</v>
      </c>
      <c r="K14" s="41">
        <f>ELECT.!K15</f>
        <v>8838</v>
      </c>
      <c r="L14" s="41">
        <f>ELECT.!M15</f>
        <v>5054</v>
      </c>
      <c r="M14" s="41">
        <f>ELECT.!O15</f>
        <v>7078</v>
      </c>
      <c r="N14" s="41">
        <f>ELECT.!Q15</f>
        <v>2139</v>
      </c>
      <c r="O14" s="41">
        <f>ELECT.!S15</f>
        <v>8191</v>
      </c>
      <c r="P14" s="41">
        <f>ELECT.!W15*2</f>
        <v>17548</v>
      </c>
      <c r="Q14" s="41">
        <f>ELECT.!D15</f>
        <v>480</v>
      </c>
      <c r="R14" s="42">
        <f>BTU!C15</f>
        <v>2.1749999999992724</v>
      </c>
      <c r="S14" s="42">
        <f>BTU!F15</f>
        <v>0.69200000000000728</v>
      </c>
      <c r="T14" s="42">
        <f>BTU!I15</f>
        <v>3</v>
      </c>
      <c r="U14" s="42">
        <f>BTU!O15</f>
        <v>0.78900000000021464</v>
      </c>
      <c r="V14" s="42">
        <f>BTU!L15</f>
        <v>0.3999999999996362</v>
      </c>
      <c r="W14" s="42">
        <f>BTU!R15</f>
        <v>0.47000000000025466</v>
      </c>
      <c r="X14" s="39">
        <f>ELECT.!B15</f>
        <v>209</v>
      </c>
      <c r="Y14" s="39">
        <f t="shared" si="0"/>
        <v>-2566</v>
      </c>
      <c r="Z14">
        <f>'Mall, Citadel, Rotana'!C15+'Mall, Citadel, Rotana'!E15+'Mall, Citadel, Rotana'!G15+'Mall, Citadel, Rotana'!I15</f>
        <v>1379</v>
      </c>
      <c r="AA14">
        <f>'Mall, Citadel, Rotana'!K15+'Mall, Citadel, Rotana'!M15</f>
        <v>640</v>
      </c>
      <c r="AB14">
        <f>'Mall, Citadel, Rotana'!O15</f>
        <v>121</v>
      </c>
      <c r="AC14">
        <f>'Mall, Citadel, Rotana'!Q15+'Mall, Citadel, Rotana'!S15</f>
        <v>306</v>
      </c>
      <c r="AD14" s="39">
        <f t="shared" si="1"/>
        <v>76.558666000000002</v>
      </c>
      <c r="AE14" s="39">
        <f t="shared" si="2"/>
        <v>504.31133399999999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870</v>
      </c>
      <c r="F15" s="41">
        <f>Water!E16</f>
        <v>380</v>
      </c>
      <c r="G15" s="41">
        <f>Water!G16</f>
        <v>359.1</v>
      </c>
      <c r="H15" s="41">
        <f>Water!I16</f>
        <v>4.8600000000000003</v>
      </c>
      <c r="I15" s="41">
        <f>ELECT.!F16</f>
        <v>20280</v>
      </c>
      <c r="J15" s="41">
        <f>ELECT.!H16</f>
        <v>51413</v>
      </c>
      <c r="K15" s="41">
        <f>ELECT.!K16</f>
        <v>14298</v>
      </c>
      <c r="L15" s="41">
        <f>ELECT.!M16</f>
        <v>8391</v>
      </c>
      <c r="M15" s="41">
        <f>ELECT.!O16</f>
        <v>11686</v>
      </c>
      <c r="N15" s="41">
        <f>ELECT.!Q16</f>
        <v>3341</v>
      </c>
      <c r="O15" s="41">
        <f>ELECT.!S16</f>
        <v>12814</v>
      </c>
      <c r="P15" s="41">
        <f>ELECT.!W16*2</f>
        <v>27028</v>
      </c>
      <c r="Q15" s="41">
        <f>ELECT.!D16</f>
        <v>480</v>
      </c>
      <c r="R15" s="42">
        <f>BTU!C16</f>
        <v>2.941000000002532</v>
      </c>
      <c r="S15" s="42">
        <f>BTU!F16</f>
        <v>0.85500000000001819</v>
      </c>
      <c r="T15" s="42">
        <f>BTU!I16</f>
        <v>4</v>
      </c>
      <c r="U15" s="42">
        <f>BTU!O16</f>
        <v>1.0629999999996471</v>
      </c>
      <c r="V15" s="42">
        <f>BTU!L16</f>
        <v>3.0499999999992724</v>
      </c>
      <c r="W15" s="42">
        <f>BTU!R16</f>
        <v>0.6499999999996362</v>
      </c>
      <c r="X15" s="39">
        <f>ELECT.!B16</f>
        <v>208</v>
      </c>
      <c r="Y15" s="39">
        <f t="shared" si="0"/>
        <v>-5865</v>
      </c>
      <c r="Z15">
        <f>'Mall, Citadel, Rotana'!C16+'Mall, Citadel, Rotana'!E16+'Mall, Citadel, Rotana'!G16+'Mall, Citadel, Rotana'!I16</f>
        <v>1354</v>
      </c>
      <c r="AA15">
        <f>'Mall, Citadel, Rotana'!K16+'Mall, Citadel, Rotana'!M16</f>
        <v>480</v>
      </c>
      <c r="AB15">
        <f>'Mall, Citadel, Rotana'!O16</f>
        <v>135</v>
      </c>
      <c r="AC15">
        <f>'Mall, Citadel, Rotana'!Q16+'Mall, Citadel, Rotana'!S16</f>
        <v>127</v>
      </c>
      <c r="AD15" s="39">
        <f t="shared" si="1"/>
        <v>88.456251999999992</v>
      </c>
      <c r="AE15" s="39">
        <f t="shared" si="2"/>
        <v>582.68374800000004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770</v>
      </c>
      <c r="F16" s="41">
        <f>Water!E17</f>
        <v>380</v>
      </c>
      <c r="G16" s="41">
        <f>Water!G17</f>
        <v>310.5</v>
      </c>
      <c r="H16" s="41">
        <f>Water!I17</f>
        <v>5.2919999999999998</v>
      </c>
      <c r="I16" s="41">
        <f>ELECT.!F17</f>
        <v>11757</v>
      </c>
      <c r="J16" s="41">
        <f>ELECT.!H17</f>
        <v>26948</v>
      </c>
      <c r="K16" s="41">
        <f>ELECT.!K17</f>
        <v>8040</v>
      </c>
      <c r="L16" s="41">
        <f>ELECT.!M17</f>
        <v>5269</v>
      </c>
      <c r="M16" s="41">
        <f>ELECT.!O17</f>
        <v>6340</v>
      </c>
      <c r="N16" s="41">
        <f>ELECT.!Q17</f>
        <v>2211</v>
      </c>
      <c r="O16" s="41">
        <f>ELECT.!S17</f>
        <v>8273</v>
      </c>
      <c r="P16" s="41">
        <f>ELECT.!W17*2</f>
        <v>16464</v>
      </c>
      <c r="Q16" s="41">
        <f>ELECT.!D17</f>
        <v>320</v>
      </c>
      <c r="R16" s="42">
        <f>BTU!C17</f>
        <v>2.672999999998865</v>
      </c>
      <c r="S16" s="42">
        <f>BTU!F17</f>
        <v>0.8589999999999236</v>
      </c>
      <c r="T16" s="42">
        <f>BTU!I17</f>
        <v>4</v>
      </c>
      <c r="U16" s="42">
        <f>BTU!O17</f>
        <v>1.0770000000002256</v>
      </c>
      <c r="V16" s="42">
        <f>BTU!L17</f>
        <v>1.5400000000008731</v>
      </c>
      <c r="W16" s="42">
        <f>BTU!R17</f>
        <v>0.26000000000021828</v>
      </c>
      <c r="X16" s="39">
        <f>ELECT.!B17</f>
        <v>191</v>
      </c>
      <c r="Y16" s="39">
        <f t="shared" si="0"/>
        <v>-7892</v>
      </c>
      <c r="Z16">
        <f>'Mall, Citadel, Rotana'!C17+'Mall, Citadel, Rotana'!E17+'Mall, Citadel, Rotana'!G17+'Mall, Citadel, Rotana'!I17</f>
        <v>1074</v>
      </c>
      <c r="AA16">
        <f>'Mall, Citadel, Rotana'!K17+'Mall, Citadel, Rotana'!M17</f>
        <v>480</v>
      </c>
      <c r="AB16">
        <f>'Mall, Citadel, Rotana'!O17</f>
        <v>121</v>
      </c>
      <c r="AC16">
        <f>'Mall, Citadel, Rotana'!Q17+'Mall, Citadel, Rotana'!S17</f>
        <v>116</v>
      </c>
      <c r="AD16" s="39">
        <f t="shared" si="1"/>
        <v>75.219314400000002</v>
      </c>
      <c r="AE16" s="39">
        <f t="shared" si="2"/>
        <v>495.48868559999994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760</v>
      </c>
      <c r="F17" s="41">
        <f>Water!E18</f>
        <v>380</v>
      </c>
      <c r="G17" s="41">
        <f>Water!G18</f>
        <v>359.1</v>
      </c>
      <c r="H17" s="41">
        <f>Water!I18</f>
        <v>5.7240000000000002</v>
      </c>
      <c r="I17" s="41">
        <f>ELECT.!F18</f>
        <v>11886</v>
      </c>
      <c r="J17" s="41">
        <f>ELECT.!H18</f>
        <v>37278</v>
      </c>
      <c r="K17" s="41">
        <f>ELECT.!K18</f>
        <v>7930</v>
      </c>
      <c r="L17" s="41">
        <f>ELECT.!M18</f>
        <v>5192</v>
      </c>
      <c r="M17" s="41">
        <f>ELECT.!O18</f>
        <v>6556</v>
      </c>
      <c r="N17" s="41">
        <f>ELECT.!Q18</f>
        <v>2299</v>
      </c>
      <c r="O17" s="41">
        <f>ELECT.!S18</f>
        <v>8480</v>
      </c>
      <c r="P17" s="41">
        <f>ELECT.!W18*2</f>
        <v>17164</v>
      </c>
      <c r="Q17" s="41">
        <f>ELECT.!D18</f>
        <v>320</v>
      </c>
      <c r="R17" s="42">
        <f>BTU!C18</f>
        <v>2.2900000000008731</v>
      </c>
      <c r="S17" s="42">
        <f>BTU!F18</f>
        <v>0.86000000000012733</v>
      </c>
      <c r="T17" s="42">
        <f>BTU!I18</f>
        <v>5</v>
      </c>
      <c r="U17" s="42">
        <f>BTU!O18</f>
        <v>1.0850000000000364</v>
      </c>
      <c r="V17" s="42">
        <f>BTU!L18</f>
        <v>1.7000000000007276</v>
      </c>
      <c r="W17" s="42">
        <f>BTU!R18</f>
        <v>0.23999999999978172</v>
      </c>
      <c r="X17" s="39">
        <f>ELECT.!B18</f>
        <v>204</v>
      </c>
      <c r="Y17" s="39">
        <f t="shared" si="0"/>
        <v>1543</v>
      </c>
      <c r="Z17">
        <f>'Mall, Citadel, Rotana'!C18+'Mall, Citadel, Rotana'!E18+'Mall, Citadel, Rotana'!G18+'Mall, Citadel, Rotana'!I18</f>
        <v>1095</v>
      </c>
      <c r="AA17">
        <f>'Mall, Citadel, Rotana'!K18+'Mall, Citadel, Rotana'!M18</f>
        <v>480</v>
      </c>
      <c r="AB17">
        <f>'Mall, Citadel, Rotana'!O18</f>
        <v>118</v>
      </c>
      <c r="AC17">
        <f>'Mall, Citadel, Rotana'!Q18+'Mall, Citadel, Rotana'!S18</f>
        <v>128</v>
      </c>
      <c r="AD17" s="39">
        <f t="shared" si="1"/>
        <v>73.844376799999992</v>
      </c>
      <c r="AE17" s="39">
        <f t="shared" si="2"/>
        <v>486.43162319999999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730</v>
      </c>
      <c r="F18" s="41">
        <f>Water!E19</f>
        <v>320</v>
      </c>
      <c r="G18" s="41">
        <f>Water!G19</f>
        <v>275.39999999999998</v>
      </c>
      <c r="H18" s="41">
        <f>Water!I19</f>
        <v>4.5090000000000003</v>
      </c>
      <c r="I18" s="41">
        <f>ELECT.!F19</f>
        <v>18580</v>
      </c>
      <c r="J18" s="41">
        <f>ELECT.!H19</f>
        <v>52371</v>
      </c>
      <c r="K18" s="41">
        <f>ELECT.!K19</f>
        <v>11016</v>
      </c>
      <c r="L18" s="41">
        <f>ELECT.!M19</f>
        <v>8044</v>
      </c>
      <c r="M18" s="41">
        <f>ELECT.!O19</f>
        <v>10316</v>
      </c>
      <c r="N18" s="41">
        <f>ELECT.!Q19</f>
        <v>3533</v>
      </c>
      <c r="O18" s="41">
        <f>ELECT.!S19</f>
        <v>13469</v>
      </c>
      <c r="P18" s="41">
        <f>ELECT.!W19*2</f>
        <v>28802</v>
      </c>
      <c r="Q18" s="41">
        <f>ELECT.!D19</f>
        <v>480</v>
      </c>
      <c r="R18" s="42">
        <f>BTU!C19</f>
        <v>2.3930000000000291</v>
      </c>
      <c r="S18" s="42">
        <f>BTU!F19</f>
        <v>0.62799999999970169</v>
      </c>
      <c r="T18" s="42">
        <f>BTU!I19</f>
        <v>5</v>
      </c>
      <c r="U18" s="42">
        <f>BTU!O19</f>
        <v>1.1449999999999818</v>
      </c>
      <c r="V18" s="42">
        <f>BTU!L19</f>
        <v>2.0299999999988358</v>
      </c>
      <c r="W18" s="42">
        <f>BTU!R19</f>
        <v>1.2700000000004366</v>
      </c>
      <c r="X18" s="39">
        <f>ELECT.!B19</f>
        <v>241</v>
      </c>
      <c r="Y18" s="39">
        <f t="shared" si="0"/>
        <v>-4229</v>
      </c>
      <c r="Z18">
        <f>'Mall, Citadel, Rotana'!C19+'Mall, Citadel, Rotana'!E19+'Mall, Citadel, Rotana'!G19+'Mall, Citadel, Rotana'!I19</f>
        <v>1342</v>
      </c>
      <c r="AA18">
        <f>'Mall, Citadel, Rotana'!K19+'Mall, Citadel, Rotana'!M19</f>
        <v>480</v>
      </c>
      <c r="AB18">
        <f>'Mall, Citadel, Rotana'!O19</f>
        <v>98</v>
      </c>
      <c r="AC18">
        <f>'Mall, Citadel, Rotana'!Q19+'Mall, Citadel, Rotana'!S19</f>
        <v>126</v>
      </c>
      <c r="AD18" s="39">
        <f t="shared" si="1"/>
        <v>70.050513800000004</v>
      </c>
      <c r="AE18" s="39">
        <f t="shared" si="2"/>
        <v>461.44048620000001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710</v>
      </c>
      <c r="F19" s="41">
        <f>Water!E20</f>
        <v>340</v>
      </c>
      <c r="G19" s="41">
        <f>Water!G20</f>
        <v>299.7</v>
      </c>
      <c r="H19" s="41">
        <f>Water!I20</f>
        <v>4.8600000000000003</v>
      </c>
      <c r="I19" s="41">
        <f>ELECT.!F20</f>
        <v>9699</v>
      </c>
      <c r="J19" s="41">
        <f>ELECT.!H20</f>
        <v>27285</v>
      </c>
      <c r="K19" s="41">
        <f>ELECT.!K20</f>
        <v>6326</v>
      </c>
      <c r="L19" s="41">
        <f>ELECT.!M20</f>
        <v>4586</v>
      </c>
      <c r="M19" s="41">
        <f>ELECT.!O20</f>
        <v>4992</v>
      </c>
      <c r="N19" s="41">
        <f>ELECT.!Q20</f>
        <v>1608</v>
      </c>
      <c r="O19" s="41">
        <f>ELECT.!S20</f>
        <v>6646</v>
      </c>
      <c r="P19" s="41">
        <f>ELECT.!W20*2</f>
        <v>15278</v>
      </c>
      <c r="Q19" s="41">
        <f>ELECT.!D20</f>
        <v>480</v>
      </c>
      <c r="R19" s="42">
        <f>BTU!C20</f>
        <v>2.2009999999972933</v>
      </c>
      <c r="S19" s="42">
        <f>BTU!F20</f>
        <v>0.47900000000026921</v>
      </c>
      <c r="T19" s="42">
        <f>BTU!I20</f>
        <v>4</v>
      </c>
      <c r="U19" s="42">
        <f>BTU!O20</f>
        <v>1.0259999999998399</v>
      </c>
      <c r="V19" s="42">
        <f>BTU!L20</f>
        <v>0.9500000000007276</v>
      </c>
      <c r="W19" s="42" t="str">
        <f>BTU!R20</f>
        <v>0</v>
      </c>
      <c r="X19" s="39">
        <f>ELECT.!B20</f>
        <v>210</v>
      </c>
      <c r="Y19" s="39">
        <f t="shared" si="0"/>
        <v>-2452</v>
      </c>
      <c r="Z19">
        <f>'Mall, Citadel, Rotana'!C20+'Mall, Citadel, Rotana'!E20+'Mall, Citadel, Rotana'!G20+'Mall, Citadel, Rotana'!I20</f>
        <v>1550</v>
      </c>
      <c r="AA19">
        <f>'Mall, Citadel, Rotana'!K20+'Mall, Citadel, Rotana'!M20</f>
        <v>320</v>
      </c>
      <c r="AB19">
        <f>'Mall, Citadel, Rotana'!O20</f>
        <v>93</v>
      </c>
      <c r="AC19">
        <f>'Mall, Citadel, Rotana'!Q20+'Mall, Citadel, Rotana'!S20</f>
        <v>104</v>
      </c>
      <c r="AD19" s="39">
        <f t="shared" si="1"/>
        <v>67.368251999999998</v>
      </c>
      <c r="AE19" s="39">
        <f t="shared" si="2"/>
        <v>443.771748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800</v>
      </c>
      <c r="F20" s="41">
        <f>Water!E21</f>
        <v>390</v>
      </c>
      <c r="G20" s="41">
        <f>Water!G21</f>
        <v>259.2</v>
      </c>
      <c r="H20" s="41">
        <f>Water!I21</f>
        <v>4.806</v>
      </c>
      <c r="I20" s="41">
        <f>ELECT.!F21</f>
        <v>13462</v>
      </c>
      <c r="J20" s="41">
        <f>ELECT.!H21</f>
        <v>40571</v>
      </c>
      <c r="K20" s="41">
        <f>ELECT.!K21</f>
        <v>9084</v>
      </c>
      <c r="L20" s="41">
        <f>ELECT.!M21</f>
        <v>6277</v>
      </c>
      <c r="M20" s="41">
        <f>ELECT.!O21</f>
        <v>7020</v>
      </c>
      <c r="N20" s="41">
        <f>ELECT.!Q21</f>
        <v>2336</v>
      </c>
      <c r="O20" s="41">
        <f>ELECT.!S21</f>
        <v>9960</v>
      </c>
      <c r="P20" s="41">
        <f>ELECT.!W21*2</f>
        <v>22914</v>
      </c>
      <c r="Q20" s="41">
        <f>ELECT.!D21</f>
        <v>480</v>
      </c>
      <c r="R20" s="42">
        <f>BTU!C21</f>
        <v>2.1700000000018917</v>
      </c>
      <c r="S20" s="42">
        <f>BTU!F21</f>
        <v>0.56899999999995998</v>
      </c>
      <c r="T20" s="42">
        <f>BTU!I21</f>
        <v>5</v>
      </c>
      <c r="U20" s="42">
        <f>BTU!O21</f>
        <v>0.87300000000004729</v>
      </c>
      <c r="V20" s="42">
        <f>BTU!L21</f>
        <v>0.40999999999985448</v>
      </c>
      <c r="W20" s="42">
        <f>BTU!R21</f>
        <v>0</v>
      </c>
      <c r="X20" s="39">
        <f>ELECT.!B21</f>
        <v>256</v>
      </c>
      <c r="Y20" s="39">
        <f t="shared" si="0"/>
        <v>-3558</v>
      </c>
      <c r="Z20">
        <f>'Mall, Citadel, Rotana'!C21+'Mall, Citadel, Rotana'!E21+'Mall, Citadel, Rotana'!G21+'Mall, Citadel, Rotana'!I21</f>
        <v>1039</v>
      </c>
      <c r="AA20">
        <f>'Mall, Citadel, Rotana'!K21+'Mall, Citadel, Rotana'!M21</f>
        <v>480</v>
      </c>
      <c r="AB20">
        <f>'Mall, Citadel, Rotana'!O21</f>
        <v>115</v>
      </c>
      <c r="AC20">
        <f>'Mall, Citadel, Rotana'!Q21+'Mall, Citadel, Rotana'!S21</f>
        <v>110</v>
      </c>
      <c r="AD20" s="39">
        <f t="shared" si="1"/>
        <v>79.237369199999989</v>
      </c>
      <c r="AE20" s="39">
        <f t="shared" si="2"/>
        <v>521.95663079999997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700</v>
      </c>
      <c r="F21" s="41">
        <f>Water!E22</f>
        <v>350</v>
      </c>
      <c r="G21" s="41">
        <f>Water!G22</f>
        <v>286.2</v>
      </c>
      <c r="H21" s="41">
        <f>Water!I22</f>
        <v>4.968</v>
      </c>
      <c r="I21" s="41">
        <f>ELECT.!F22</f>
        <v>12497</v>
      </c>
      <c r="J21" s="41">
        <f>ELECT.!H22</f>
        <v>40383</v>
      </c>
      <c r="K21" s="41">
        <f>ELECT.!K22</f>
        <v>9514</v>
      </c>
      <c r="L21" s="41">
        <f>ELECT.!M22</f>
        <v>5508</v>
      </c>
      <c r="M21" s="41">
        <f>ELECT.!O22</f>
        <v>6836</v>
      </c>
      <c r="N21" s="41">
        <f>ELECT.!Q22</f>
        <v>2411</v>
      </c>
      <c r="O21" s="41">
        <f>ELECT.!S22</f>
        <v>9655</v>
      </c>
      <c r="P21" s="41">
        <f>ELECT.!W22*2</f>
        <v>22650</v>
      </c>
      <c r="Q21" s="41">
        <f>ELECT.!D22</f>
        <v>320</v>
      </c>
      <c r="R21" s="42">
        <f>BTU!C22</f>
        <v>2.077000000001135</v>
      </c>
      <c r="S21" s="42">
        <f>BTU!F22</f>
        <v>0.63900000000012369</v>
      </c>
      <c r="T21" s="42">
        <f>BTU!I22</f>
        <v>4</v>
      </c>
      <c r="U21" s="42">
        <f>BTU!O22</f>
        <v>0.87200000000029831</v>
      </c>
      <c r="V21" s="42">
        <f>BTU!L22</f>
        <v>0</v>
      </c>
      <c r="W21" s="42">
        <f>BTU!R22</f>
        <v>0</v>
      </c>
      <c r="X21" s="39">
        <f>ELECT.!B22</f>
        <v>247</v>
      </c>
      <c r="Y21" s="39">
        <f t="shared" si="0"/>
        <v>-3694</v>
      </c>
      <c r="Z21">
        <f>'Mall, Citadel, Rotana'!C22+'Mall, Citadel, Rotana'!E22+'Mall, Citadel, Rotana'!G22+'Mall, Citadel, Rotana'!I22</f>
        <v>1192</v>
      </c>
      <c r="AA21">
        <f>'Mall, Citadel, Rotana'!K22+'Mall, Citadel, Rotana'!M22</f>
        <v>480</v>
      </c>
      <c r="AB21">
        <f>'Mall, Citadel, Rotana'!O22</f>
        <v>122</v>
      </c>
      <c r="AC21">
        <f>'Mall, Citadel, Rotana'!Q22+'Mall, Citadel, Rotana'!S22</f>
        <v>129</v>
      </c>
      <c r="AD21" s="39">
        <f t="shared" si="1"/>
        <v>66.036017600000008</v>
      </c>
      <c r="AE21" s="39">
        <f t="shared" si="2"/>
        <v>434.9959824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720</v>
      </c>
      <c r="F22" s="41">
        <f>Water!E23</f>
        <v>380</v>
      </c>
      <c r="G22" s="41">
        <f>Water!G23</f>
        <v>248.4</v>
      </c>
      <c r="H22" s="41">
        <f>Water!I23</f>
        <v>4.7249999999999996</v>
      </c>
      <c r="I22" s="41">
        <f>ELECT.!F23</f>
        <v>5727</v>
      </c>
      <c r="J22" s="41">
        <f>ELECT.!H23</f>
        <v>29404</v>
      </c>
      <c r="K22" s="41">
        <f>ELECT.!K23</f>
        <v>6900</v>
      </c>
      <c r="L22" s="41">
        <f>ELECT.!M23</f>
        <v>4386</v>
      </c>
      <c r="M22" s="41">
        <f>ELECT.!O23</f>
        <v>1236</v>
      </c>
      <c r="N22" s="41">
        <f>ELECT.!Q23</f>
        <v>3564</v>
      </c>
      <c r="O22" s="41">
        <f>ELECT.!S23</f>
        <v>6549</v>
      </c>
      <c r="P22" s="41">
        <f>ELECT.!W23*2</f>
        <v>15266</v>
      </c>
      <c r="Q22" s="41">
        <f>ELECT.!D23</f>
        <v>480</v>
      </c>
      <c r="R22" s="42">
        <f>BTU!C23</f>
        <v>2.4199999999982538</v>
      </c>
      <c r="S22" s="42">
        <f>BTU!F23</f>
        <v>0.74899999999979627</v>
      </c>
      <c r="T22" s="42">
        <f>BTU!I23</f>
        <v>6</v>
      </c>
      <c r="U22" s="42">
        <f>BTU!O23</f>
        <v>1.1279999999997017</v>
      </c>
      <c r="V22" s="42">
        <f>BTU!L23</f>
        <v>0</v>
      </c>
      <c r="W22" s="42">
        <f>BTU!R23</f>
        <v>0</v>
      </c>
      <c r="X22" s="39">
        <f>ELECT.!B23</f>
        <v>190</v>
      </c>
      <c r="Y22" s="39">
        <f t="shared" si="0"/>
        <v>-2770</v>
      </c>
      <c r="Z22">
        <f>'Mall, Citadel, Rotana'!C23+'Mall, Citadel, Rotana'!E23+'Mall, Citadel, Rotana'!G23+'Mall, Citadel, Rotana'!I23</f>
        <v>1213</v>
      </c>
      <c r="AA22">
        <f>'Mall, Citadel, Rotana'!K23+'Mall, Citadel, Rotana'!M23</f>
        <v>640</v>
      </c>
      <c r="AB22">
        <f>'Mall, Citadel, Rotana'!O23</f>
        <v>113</v>
      </c>
      <c r="AC22">
        <f>'Mall, Citadel, Rotana'!Q23+'Mall, Citadel, Rotana'!S23</f>
        <v>181</v>
      </c>
      <c r="AD22" s="39">
        <f t="shared" si="1"/>
        <v>68.704044999999994</v>
      </c>
      <c r="AE22" s="39">
        <f t="shared" si="2"/>
        <v>452.57095500000003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0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0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0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0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0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v>46307</v>
      </c>
      <c r="C9" s="16">
        <f t="shared" si="0"/>
        <v>800</v>
      </c>
      <c r="D9" s="36">
        <v>40102</v>
      </c>
      <c r="E9" s="16">
        <f t="shared" si="1"/>
        <v>480</v>
      </c>
      <c r="F9" s="36">
        <v>21079</v>
      </c>
      <c r="G9" s="16">
        <f t="shared" si="2"/>
        <v>60</v>
      </c>
      <c r="H9" s="36">
        <v>252543</v>
      </c>
      <c r="I9" s="16">
        <f t="shared" si="3"/>
        <v>48</v>
      </c>
      <c r="J9" s="36">
        <v>303517</v>
      </c>
      <c r="K9" s="16">
        <v>0</v>
      </c>
      <c r="L9" s="36">
        <v>25658</v>
      </c>
      <c r="M9" s="16">
        <f t="shared" si="4"/>
        <v>640</v>
      </c>
      <c r="N9" s="36">
        <v>216141</v>
      </c>
      <c r="O9" s="16">
        <f t="shared" si="5"/>
        <v>4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v>3864</v>
      </c>
      <c r="U9" s="16">
        <f t="shared" si="8"/>
        <v>480</v>
      </c>
    </row>
    <row r="10" spans="1:24" ht="13.5" thickBot="1" x14ac:dyDescent="0.25">
      <c r="A10" s="10">
        <v>44538</v>
      </c>
      <c r="B10" s="36">
        <v>46311</v>
      </c>
      <c r="C10" s="16">
        <f t="shared" si="0"/>
        <v>640</v>
      </c>
      <c r="D10" s="36">
        <v>40105</v>
      </c>
      <c r="E10" s="16">
        <f t="shared" si="1"/>
        <v>480</v>
      </c>
      <c r="F10" s="36">
        <v>21083</v>
      </c>
      <c r="G10" s="16">
        <f t="shared" si="2"/>
        <v>80</v>
      </c>
      <c r="H10" s="36">
        <v>252586</v>
      </c>
      <c r="I10" s="16">
        <f t="shared" si="3"/>
        <v>43</v>
      </c>
      <c r="J10" s="36">
        <v>303517</v>
      </c>
      <c r="K10" s="16">
        <v>0</v>
      </c>
      <c r="L10" s="36">
        <v>25661</v>
      </c>
      <c r="M10" s="16">
        <f t="shared" si="4"/>
        <v>480</v>
      </c>
      <c r="N10" s="36">
        <v>216269</v>
      </c>
      <c r="O10" s="16">
        <f t="shared" si="5"/>
        <v>128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v>3865</v>
      </c>
      <c r="U10" s="16">
        <f t="shared" si="8"/>
        <v>160</v>
      </c>
    </row>
    <row r="11" spans="1:24" ht="13.5" thickBot="1" x14ac:dyDescent="0.25">
      <c r="A11" s="10">
        <v>44539</v>
      </c>
      <c r="B11" s="36">
        <v>46316</v>
      </c>
      <c r="C11" s="16">
        <f t="shared" si="0"/>
        <v>800</v>
      </c>
      <c r="D11" s="36">
        <v>40109</v>
      </c>
      <c r="E11" s="16">
        <f t="shared" si="1"/>
        <v>640</v>
      </c>
      <c r="F11" s="36">
        <v>21086</v>
      </c>
      <c r="G11" s="16">
        <f t="shared" si="2"/>
        <v>60</v>
      </c>
      <c r="H11" s="36">
        <v>252625</v>
      </c>
      <c r="I11" s="16">
        <f t="shared" si="3"/>
        <v>39</v>
      </c>
      <c r="J11" s="36">
        <v>303517</v>
      </c>
      <c r="K11" s="16">
        <v>0</v>
      </c>
      <c r="L11" s="36">
        <v>25665</v>
      </c>
      <c r="M11" s="16">
        <f t="shared" si="4"/>
        <v>640</v>
      </c>
      <c r="N11" s="36">
        <v>216384</v>
      </c>
      <c r="O11" s="16">
        <f t="shared" si="5"/>
        <v>115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v>3866</v>
      </c>
      <c r="U11" s="16">
        <f t="shared" si="8"/>
        <v>160</v>
      </c>
    </row>
    <row r="12" spans="1:24" ht="13.5" thickBot="1" x14ac:dyDescent="0.25">
      <c r="A12" s="10">
        <v>44540</v>
      </c>
      <c r="B12" s="36">
        <v>46320</v>
      </c>
      <c r="C12" s="16">
        <f t="shared" si="0"/>
        <v>640</v>
      </c>
      <c r="D12" s="36">
        <v>40112</v>
      </c>
      <c r="E12" s="16">
        <f t="shared" si="1"/>
        <v>480</v>
      </c>
      <c r="F12" s="36">
        <v>21091</v>
      </c>
      <c r="G12" s="16">
        <f t="shared" si="2"/>
        <v>100</v>
      </c>
      <c r="H12" s="36">
        <v>252671</v>
      </c>
      <c r="I12" s="16">
        <f t="shared" si="3"/>
        <v>46</v>
      </c>
      <c r="J12" s="36">
        <v>303517</v>
      </c>
      <c r="K12" s="16">
        <v>0</v>
      </c>
      <c r="L12" s="36">
        <v>25667</v>
      </c>
      <c r="M12" s="16">
        <f t="shared" si="4"/>
        <v>320</v>
      </c>
      <c r="N12" s="36">
        <v>216439</v>
      </c>
      <c r="O12" s="16">
        <f t="shared" si="5"/>
        <v>55</v>
      </c>
      <c r="P12" s="36">
        <v>133974</v>
      </c>
      <c r="Q12" s="16">
        <f t="shared" si="6"/>
        <v>582</v>
      </c>
      <c r="R12" s="1">
        <v>55047</v>
      </c>
      <c r="S12" s="16">
        <f t="shared" si="7"/>
        <v>0</v>
      </c>
      <c r="T12" s="36">
        <v>3867</v>
      </c>
      <c r="U12" s="16">
        <f t="shared" si="8"/>
        <v>160</v>
      </c>
    </row>
    <row r="13" spans="1:24" ht="13.5" thickBot="1" x14ac:dyDescent="0.25">
      <c r="A13" s="10">
        <v>44541</v>
      </c>
      <c r="B13" s="36">
        <v>46325</v>
      </c>
      <c r="C13" s="16">
        <f t="shared" si="0"/>
        <v>800</v>
      </c>
      <c r="D13" s="36">
        <v>40115</v>
      </c>
      <c r="E13" s="16">
        <f t="shared" si="1"/>
        <v>480</v>
      </c>
      <c r="F13" s="36">
        <v>21094</v>
      </c>
      <c r="G13" s="16">
        <f t="shared" si="2"/>
        <v>60</v>
      </c>
      <c r="H13" s="36">
        <v>252702</v>
      </c>
      <c r="I13" s="16">
        <f t="shared" si="3"/>
        <v>31</v>
      </c>
      <c r="J13" s="36">
        <v>303517</v>
      </c>
      <c r="K13" s="16">
        <v>0</v>
      </c>
      <c r="L13" s="36">
        <v>25669</v>
      </c>
      <c r="M13" s="16">
        <f t="shared" si="4"/>
        <v>320</v>
      </c>
      <c r="N13" s="36">
        <v>216537</v>
      </c>
      <c r="O13" s="16">
        <f t="shared" si="5"/>
        <v>98</v>
      </c>
      <c r="P13" s="36">
        <f t="shared" si="9"/>
        <v>133974</v>
      </c>
      <c r="Q13" s="16">
        <f t="shared" si="6"/>
        <v>0</v>
      </c>
      <c r="R13" s="1">
        <v>55047</v>
      </c>
      <c r="S13" s="16">
        <f t="shared" si="7"/>
        <v>0</v>
      </c>
      <c r="T13" s="36">
        <v>3868</v>
      </c>
      <c r="U13" s="16">
        <f t="shared" si="8"/>
        <v>160</v>
      </c>
    </row>
    <row r="14" spans="1:24" ht="13.5" thickBot="1" x14ac:dyDescent="0.25">
      <c r="A14" s="10">
        <v>44542</v>
      </c>
      <c r="B14" s="36">
        <v>46329</v>
      </c>
      <c r="C14" s="16">
        <f t="shared" si="0"/>
        <v>640</v>
      </c>
      <c r="D14" s="36">
        <v>40118</v>
      </c>
      <c r="E14" s="16">
        <f t="shared" si="1"/>
        <v>480</v>
      </c>
      <c r="F14" s="36">
        <v>21097</v>
      </c>
      <c r="G14" s="16">
        <f t="shared" si="2"/>
        <v>60</v>
      </c>
      <c r="H14" s="36">
        <v>252717</v>
      </c>
      <c r="I14" s="16">
        <f t="shared" si="3"/>
        <v>15</v>
      </c>
      <c r="J14" s="36">
        <v>303517</v>
      </c>
      <c r="K14" s="16">
        <v>0</v>
      </c>
      <c r="L14" s="36">
        <v>25672</v>
      </c>
      <c r="M14" s="16">
        <f t="shared" si="4"/>
        <v>480</v>
      </c>
      <c r="N14" s="36">
        <v>216662</v>
      </c>
      <c r="O14" s="16">
        <f t="shared" si="5"/>
        <v>125</v>
      </c>
      <c r="P14" s="36">
        <f t="shared" si="9"/>
        <v>133974</v>
      </c>
      <c r="Q14" s="16">
        <f t="shared" si="6"/>
        <v>0</v>
      </c>
      <c r="R14" s="1">
        <f t="shared" ref="R14:R27" si="10">R13</f>
        <v>55047</v>
      </c>
      <c r="S14" s="16">
        <v>0</v>
      </c>
      <c r="T14" s="36">
        <v>3869</v>
      </c>
      <c r="U14" s="16">
        <f t="shared" si="8"/>
        <v>160</v>
      </c>
    </row>
    <row r="15" spans="1:24" ht="13.5" thickBot="1" x14ac:dyDescent="0.25">
      <c r="A15" s="10">
        <v>44543</v>
      </c>
      <c r="B15" s="36">
        <v>46334</v>
      </c>
      <c r="C15" s="16">
        <f t="shared" si="0"/>
        <v>800</v>
      </c>
      <c r="D15" s="36">
        <v>40121</v>
      </c>
      <c r="E15" s="16">
        <f t="shared" si="1"/>
        <v>480</v>
      </c>
      <c r="F15" s="36">
        <v>21101</v>
      </c>
      <c r="G15" s="16">
        <f t="shared" ref="G15" si="11">(F15-F14)*100/5</f>
        <v>80</v>
      </c>
      <c r="H15" s="36">
        <v>252736</v>
      </c>
      <c r="I15" s="16">
        <f t="shared" ref="I15" si="12">(H15-H14)</f>
        <v>19</v>
      </c>
      <c r="J15" s="36">
        <v>303517</v>
      </c>
      <c r="K15" s="16">
        <v>0</v>
      </c>
      <c r="L15" s="36">
        <v>25676</v>
      </c>
      <c r="M15" s="16">
        <f t="shared" ref="M15" si="13">(L15-L14)*800/5</f>
        <v>640</v>
      </c>
      <c r="N15" s="36">
        <v>216783</v>
      </c>
      <c r="O15" s="16">
        <f t="shared" ref="O15" si="14">N15-N14</f>
        <v>121</v>
      </c>
      <c r="P15" s="36">
        <v>134280</v>
      </c>
      <c r="Q15" s="16">
        <f t="shared" ref="Q15" si="15">P15-P14</f>
        <v>306</v>
      </c>
      <c r="R15" s="1">
        <f t="shared" si="10"/>
        <v>55047</v>
      </c>
      <c r="S15" s="16">
        <v>0</v>
      </c>
      <c r="T15" s="36">
        <v>3871</v>
      </c>
      <c r="U15" s="16">
        <f t="shared" ref="U15" si="16">(T15-T14)*800/5</f>
        <v>320</v>
      </c>
      <c r="X15" t="s">
        <v>12</v>
      </c>
    </row>
    <row r="16" spans="1:24" ht="13.5" thickBot="1" x14ac:dyDescent="0.25">
      <c r="A16" s="10">
        <v>44544</v>
      </c>
      <c r="B16" s="36">
        <v>46339</v>
      </c>
      <c r="C16" s="16">
        <f t="shared" si="0"/>
        <v>800</v>
      </c>
      <c r="D16" s="36">
        <v>40124</v>
      </c>
      <c r="E16" s="16">
        <f t="shared" si="1"/>
        <v>480</v>
      </c>
      <c r="F16" s="36">
        <v>21104</v>
      </c>
      <c r="G16" s="16">
        <f t="shared" si="2"/>
        <v>60</v>
      </c>
      <c r="H16" s="36">
        <v>252750</v>
      </c>
      <c r="I16" s="16">
        <f t="shared" si="3"/>
        <v>14</v>
      </c>
      <c r="J16" s="36">
        <v>303517</v>
      </c>
      <c r="K16" s="16">
        <v>0</v>
      </c>
      <c r="L16" s="36">
        <v>25679</v>
      </c>
      <c r="M16" s="16">
        <f t="shared" si="4"/>
        <v>480</v>
      </c>
      <c r="N16" s="36">
        <v>216918</v>
      </c>
      <c r="O16" s="16">
        <f t="shared" si="5"/>
        <v>135</v>
      </c>
      <c r="P16" s="36">
        <v>134407</v>
      </c>
      <c r="Q16" s="16">
        <f t="shared" si="6"/>
        <v>127</v>
      </c>
      <c r="R16" s="1">
        <v>55047</v>
      </c>
      <c r="S16" s="16">
        <f t="shared" si="7"/>
        <v>0</v>
      </c>
      <c r="T16" s="36">
        <v>3872</v>
      </c>
      <c r="U16" s="16">
        <f t="shared" si="8"/>
        <v>160</v>
      </c>
      <c r="W16" t="s">
        <v>12</v>
      </c>
    </row>
    <row r="17" spans="1:23" ht="13.5" thickBot="1" x14ac:dyDescent="0.25">
      <c r="A17" s="10">
        <v>44545</v>
      </c>
      <c r="B17" s="36">
        <v>46342</v>
      </c>
      <c r="C17" s="16">
        <f t="shared" si="0"/>
        <v>480</v>
      </c>
      <c r="D17" s="36">
        <v>40127</v>
      </c>
      <c r="E17" s="16">
        <f t="shared" si="1"/>
        <v>480</v>
      </c>
      <c r="F17" s="36">
        <v>21108</v>
      </c>
      <c r="G17" s="16">
        <f t="shared" si="2"/>
        <v>80</v>
      </c>
      <c r="H17" s="36">
        <v>252784</v>
      </c>
      <c r="I17" s="16">
        <f t="shared" si="3"/>
        <v>34</v>
      </c>
      <c r="J17" s="36">
        <v>303517</v>
      </c>
      <c r="K17" s="16">
        <v>0</v>
      </c>
      <c r="L17" s="36">
        <v>25682</v>
      </c>
      <c r="M17" s="16">
        <f t="shared" si="4"/>
        <v>480</v>
      </c>
      <c r="N17" s="36">
        <v>217039</v>
      </c>
      <c r="O17" s="16">
        <f t="shared" si="5"/>
        <v>121</v>
      </c>
      <c r="P17" s="36">
        <v>134523</v>
      </c>
      <c r="Q17" s="16">
        <f t="shared" si="6"/>
        <v>116</v>
      </c>
      <c r="R17" s="1">
        <f t="shared" si="10"/>
        <v>55047</v>
      </c>
      <c r="S17" s="16">
        <f>S16</f>
        <v>0</v>
      </c>
      <c r="T17" s="36">
        <v>3873</v>
      </c>
      <c r="U17" s="16">
        <f t="shared" si="8"/>
        <v>160</v>
      </c>
    </row>
    <row r="18" spans="1:23" ht="13.5" thickBot="1" x14ac:dyDescent="0.25">
      <c r="A18" s="10">
        <v>44546</v>
      </c>
      <c r="B18" s="36">
        <v>46345</v>
      </c>
      <c r="C18" s="16">
        <f t="shared" si="0"/>
        <v>480</v>
      </c>
      <c r="D18" s="36">
        <v>40130</v>
      </c>
      <c r="E18" s="16">
        <f t="shared" si="1"/>
        <v>480</v>
      </c>
      <c r="F18" s="36">
        <v>21113</v>
      </c>
      <c r="G18" s="16">
        <f t="shared" si="2"/>
        <v>100</v>
      </c>
      <c r="H18" s="36">
        <v>252819</v>
      </c>
      <c r="I18" s="16">
        <f t="shared" si="3"/>
        <v>35</v>
      </c>
      <c r="J18" s="36">
        <v>303517</v>
      </c>
      <c r="K18" s="16">
        <v>0</v>
      </c>
      <c r="L18" s="36">
        <v>25685</v>
      </c>
      <c r="M18" s="16">
        <f t="shared" si="4"/>
        <v>480</v>
      </c>
      <c r="N18" s="36">
        <v>217157</v>
      </c>
      <c r="O18" s="16">
        <f t="shared" si="5"/>
        <v>118</v>
      </c>
      <c r="P18" s="36">
        <v>134651</v>
      </c>
      <c r="Q18" s="16">
        <f t="shared" si="6"/>
        <v>128</v>
      </c>
      <c r="R18" s="1">
        <f t="shared" si="10"/>
        <v>55047</v>
      </c>
      <c r="S18" s="16">
        <f t="shared" si="7"/>
        <v>0</v>
      </c>
      <c r="T18" s="36">
        <v>3874</v>
      </c>
      <c r="U18" s="16">
        <f t="shared" si="8"/>
        <v>160</v>
      </c>
    </row>
    <row r="19" spans="1:23" ht="13.5" thickBot="1" x14ac:dyDescent="0.25">
      <c r="A19" s="10">
        <v>44547</v>
      </c>
      <c r="B19" s="36">
        <v>46352</v>
      </c>
      <c r="C19" s="16">
        <f t="shared" si="0"/>
        <v>1120</v>
      </c>
      <c r="D19" s="36">
        <v>40131</v>
      </c>
      <c r="E19" s="16">
        <f t="shared" si="1"/>
        <v>160</v>
      </c>
      <c r="F19" s="36">
        <v>21115</v>
      </c>
      <c r="G19" s="16">
        <f t="shared" si="2"/>
        <v>40</v>
      </c>
      <c r="H19" s="36">
        <v>252841</v>
      </c>
      <c r="I19" s="16">
        <f t="shared" si="3"/>
        <v>22</v>
      </c>
      <c r="J19" s="36">
        <v>303517</v>
      </c>
      <c r="K19" s="16">
        <v>0</v>
      </c>
      <c r="L19" s="36">
        <v>25688</v>
      </c>
      <c r="M19" s="16">
        <f t="shared" si="4"/>
        <v>480</v>
      </c>
      <c r="N19" s="36">
        <v>217255</v>
      </c>
      <c r="O19" s="16">
        <f t="shared" si="5"/>
        <v>98</v>
      </c>
      <c r="P19" s="36">
        <v>134777</v>
      </c>
      <c r="Q19" s="16">
        <f t="shared" si="6"/>
        <v>126</v>
      </c>
      <c r="R19" s="1">
        <v>55047</v>
      </c>
      <c r="S19" s="16">
        <f t="shared" si="7"/>
        <v>0</v>
      </c>
      <c r="T19" s="36">
        <v>3875</v>
      </c>
      <c r="U19" s="16">
        <f t="shared" si="8"/>
        <v>160</v>
      </c>
      <c r="W19" t="s">
        <v>12</v>
      </c>
    </row>
    <row r="20" spans="1:23" ht="13.5" thickBot="1" x14ac:dyDescent="0.25">
      <c r="A20" s="10">
        <v>44548</v>
      </c>
      <c r="B20" s="36">
        <v>46358</v>
      </c>
      <c r="C20" s="16">
        <f t="shared" si="0"/>
        <v>960</v>
      </c>
      <c r="D20" s="36">
        <v>40134</v>
      </c>
      <c r="E20" s="16">
        <f t="shared" si="1"/>
        <v>480</v>
      </c>
      <c r="F20" s="36">
        <v>21119</v>
      </c>
      <c r="G20" s="16">
        <f t="shared" si="2"/>
        <v>80</v>
      </c>
      <c r="H20" s="36">
        <v>252871</v>
      </c>
      <c r="I20" s="16">
        <f t="shared" si="3"/>
        <v>30</v>
      </c>
      <c r="J20" s="36">
        <v>303517</v>
      </c>
      <c r="K20" s="16">
        <v>0</v>
      </c>
      <c r="L20" s="36">
        <v>25690</v>
      </c>
      <c r="M20" s="16">
        <f t="shared" si="4"/>
        <v>320</v>
      </c>
      <c r="N20" s="36">
        <v>217348</v>
      </c>
      <c r="O20" s="16">
        <f t="shared" si="5"/>
        <v>93</v>
      </c>
      <c r="P20" s="36">
        <v>134881</v>
      </c>
      <c r="Q20" s="16">
        <f>P20-P19</f>
        <v>104</v>
      </c>
      <c r="R20" s="1">
        <v>55047</v>
      </c>
      <c r="S20" s="16">
        <f t="shared" si="7"/>
        <v>0</v>
      </c>
      <c r="T20" s="36">
        <v>3876</v>
      </c>
      <c r="U20" s="16">
        <f t="shared" si="8"/>
        <v>160</v>
      </c>
    </row>
    <row r="21" spans="1:23" ht="13.5" thickBot="1" x14ac:dyDescent="0.25">
      <c r="A21" s="10">
        <v>44549</v>
      </c>
      <c r="B21" s="36">
        <v>46362</v>
      </c>
      <c r="C21" s="16">
        <f t="shared" si="0"/>
        <v>640</v>
      </c>
      <c r="D21" s="36">
        <v>40136</v>
      </c>
      <c r="E21" s="16">
        <f t="shared" si="1"/>
        <v>320</v>
      </c>
      <c r="F21" s="36">
        <v>21122</v>
      </c>
      <c r="G21" s="16">
        <f t="shared" si="2"/>
        <v>60</v>
      </c>
      <c r="H21" s="36">
        <v>252890</v>
      </c>
      <c r="I21" s="16">
        <f t="shared" si="3"/>
        <v>19</v>
      </c>
      <c r="J21" s="36">
        <v>303517</v>
      </c>
      <c r="K21" s="16">
        <v>0</v>
      </c>
      <c r="L21" s="36">
        <v>25693</v>
      </c>
      <c r="M21" s="16">
        <f t="shared" si="4"/>
        <v>480</v>
      </c>
      <c r="N21" s="36">
        <v>217463</v>
      </c>
      <c r="O21" s="16">
        <f t="shared" si="5"/>
        <v>115</v>
      </c>
      <c r="P21" s="36">
        <v>134991</v>
      </c>
      <c r="Q21" s="16">
        <f t="shared" si="6"/>
        <v>110</v>
      </c>
      <c r="R21" s="1">
        <v>55047</v>
      </c>
      <c r="S21" s="16">
        <f t="shared" si="7"/>
        <v>0</v>
      </c>
      <c r="T21" s="36">
        <v>3877</v>
      </c>
      <c r="U21" s="16">
        <f t="shared" si="8"/>
        <v>160</v>
      </c>
    </row>
    <row r="22" spans="1:23" ht="13.5" thickBot="1" x14ac:dyDescent="0.25">
      <c r="A22" s="10">
        <v>44550</v>
      </c>
      <c r="B22" s="36">
        <v>46367</v>
      </c>
      <c r="C22" s="16">
        <f t="shared" si="0"/>
        <v>800</v>
      </c>
      <c r="D22" s="36">
        <v>40138</v>
      </c>
      <c r="E22" s="16">
        <f t="shared" si="1"/>
        <v>320</v>
      </c>
      <c r="F22" s="36">
        <v>21125</v>
      </c>
      <c r="G22" s="16">
        <f t="shared" si="2"/>
        <v>60</v>
      </c>
      <c r="H22" s="36">
        <v>252902</v>
      </c>
      <c r="I22" s="16">
        <f t="shared" si="3"/>
        <v>12</v>
      </c>
      <c r="J22" s="36">
        <v>303517</v>
      </c>
      <c r="K22" s="16">
        <v>0</v>
      </c>
      <c r="L22" s="36">
        <v>25696</v>
      </c>
      <c r="M22" s="16">
        <f t="shared" si="4"/>
        <v>480</v>
      </c>
      <c r="N22" s="36">
        <v>217585</v>
      </c>
      <c r="O22" s="16">
        <f t="shared" si="5"/>
        <v>122</v>
      </c>
      <c r="P22" s="36">
        <v>135120</v>
      </c>
      <c r="Q22" s="16">
        <f>P22-P21</f>
        <v>129</v>
      </c>
      <c r="R22" s="1">
        <v>55047</v>
      </c>
      <c r="S22" s="16">
        <f t="shared" si="7"/>
        <v>0</v>
      </c>
      <c r="T22" s="36">
        <v>3878</v>
      </c>
      <c r="U22" s="16">
        <f t="shared" si="8"/>
        <v>160</v>
      </c>
    </row>
    <row r="23" spans="1:23" ht="13.5" thickBot="1" x14ac:dyDescent="0.25">
      <c r="A23" s="10">
        <v>44551</v>
      </c>
      <c r="B23" s="36">
        <v>46371</v>
      </c>
      <c r="C23" s="16">
        <f t="shared" si="0"/>
        <v>640</v>
      </c>
      <c r="D23" s="36">
        <v>40141</v>
      </c>
      <c r="E23" s="16">
        <f t="shared" si="1"/>
        <v>480</v>
      </c>
      <c r="F23" s="36">
        <v>21129</v>
      </c>
      <c r="G23" s="16">
        <f t="shared" si="2"/>
        <v>80</v>
      </c>
      <c r="H23" s="36">
        <v>252915</v>
      </c>
      <c r="I23" s="16">
        <f t="shared" si="3"/>
        <v>13</v>
      </c>
      <c r="J23" s="36">
        <v>303517</v>
      </c>
      <c r="K23" s="16">
        <v>0</v>
      </c>
      <c r="L23" s="36">
        <v>25700</v>
      </c>
      <c r="M23" s="16">
        <f t="shared" si="4"/>
        <v>640</v>
      </c>
      <c r="N23" s="36">
        <v>217698</v>
      </c>
      <c r="O23" s="16">
        <f t="shared" si="5"/>
        <v>113</v>
      </c>
      <c r="P23" s="36">
        <v>135301</v>
      </c>
      <c r="Q23" s="16">
        <f t="shared" si="6"/>
        <v>181</v>
      </c>
      <c r="R23" s="1">
        <v>55047</v>
      </c>
      <c r="S23" s="16">
        <f t="shared" si="7"/>
        <v>0</v>
      </c>
      <c r="T23" s="36">
        <v>3879</v>
      </c>
      <c r="U23" s="16">
        <f t="shared" si="8"/>
        <v>160</v>
      </c>
    </row>
    <row r="24" spans="1:23" s="136" customFormat="1" ht="13.5" thickBot="1" x14ac:dyDescent="0.25">
      <c r="A24" s="10">
        <v>44552</v>
      </c>
      <c r="B24" s="36">
        <f t="shared" ref="B23:B33" si="17">B23</f>
        <v>46371</v>
      </c>
      <c r="C24" s="16">
        <f t="shared" si="0"/>
        <v>0</v>
      </c>
      <c r="D24" s="36">
        <f t="shared" ref="D23:D33" si="18">D23</f>
        <v>40141</v>
      </c>
      <c r="E24" s="16">
        <f t="shared" si="1"/>
        <v>0</v>
      </c>
      <c r="F24" s="36">
        <f t="shared" ref="F23:F33" si="19">F23</f>
        <v>21129</v>
      </c>
      <c r="G24" s="16">
        <f t="shared" si="2"/>
        <v>0</v>
      </c>
      <c r="H24" s="36">
        <f t="shared" ref="H23:H33" si="20">H23</f>
        <v>252915</v>
      </c>
      <c r="I24" s="16">
        <f t="shared" si="3"/>
        <v>0</v>
      </c>
      <c r="J24" s="36">
        <v>303517</v>
      </c>
      <c r="K24" s="16">
        <v>0</v>
      </c>
      <c r="L24" s="36">
        <f t="shared" ref="L23:L33" si="21">L23</f>
        <v>25700</v>
      </c>
      <c r="M24" s="16">
        <f t="shared" si="4"/>
        <v>0</v>
      </c>
      <c r="N24" s="36">
        <f t="shared" ref="N23:N33" si="22">N23</f>
        <v>217698</v>
      </c>
      <c r="O24" s="16">
        <f t="shared" si="5"/>
        <v>0</v>
      </c>
      <c r="P24" s="36">
        <f t="shared" si="9"/>
        <v>135301</v>
      </c>
      <c r="Q24" s="16">
        <f t="shared" si="6"/>
        <v>0</v>
      </c>
      <c r="R24" s="1">
        <v>55047</v>
      </c>
      <c r="S24" s="16">
        <f t="shared" si="7"/>
        <v>0</v>
      </c>
      <c r="T24" s="36">
        <f t="shared" ref="T23:T33" si="23">T23</f>
        <v>3879</v>
      </c>
      <c r="U24" s="16">
        <f t="shared" si="8"/>
        <v>0</v>
      </c>
    </row>
    <row r="25" spans="1:23" ht="13.5" thickBot="1" x14ac:dyDescent="0.25">
      <c r="A25" s="10">
        <v>44553</v>
      </c>
      <c r="B25" s="36">
        <f t="shared" si="17"/>
        <v>46371</v>
      </c>
      <c r="C25" s="16">
        <f t="shared" si="0"/>
        <v>0</v>
      </c>
      <c r="D25" s="36">
        <f t="shared" si="18"/>
        <v>40141</v>
      </c>
      <c r="E25" s="16">
        <f t="shared" si="1"/>
        <v>0</v>
      </c>
      <c r="F25" s="36">
        <f t="shared" si="19"/>
        <v>21129</v>
      </c>
      <c r="G25" s="16">
        <f t="shared" si="2"/>
        <v>0</v>
      </c>
      <c r="H25" s="36">
        <f t="shared" si="20"/>
        <v>252915</v>
      </c>
      <c r="I25" s="16">
        <f t="shared" si="3"/>
        <v>0</v>
      </c>
      <c r="J25" s="36">
        <v>303517</v>
      </c>
      <c r="K25" s="16">
        <v>0</v>
      </c>
      <c r="L25" s="36">
        <f t="shared" si="21"/>
        <v>25700</v>
      </c>
      <c r="M25" s="16">
        <f t="shared" si="4"/>
        <v>0</v>
      </c>
      <c r="N25" s="36">
        <f t="shared" si="22"/>
        <v>217698</v>
      </c>
      <c r="O25" s="16">
        <f t="shared" si="5"/>
        <v>0</v>
      </c>
      <c r="P25" s="36">
        <f t="shared" si="9"/>
        <v>135301</v>
      </c>
      <c r="Q25" s="16">
        <f t="shared" si="6"/>
        <v>0</v>
      </c>
      <c r="R25" s="1">
        <v>55047</v>
      </c>
      <c r="S25" s="16">
        <f t="shared" si="7"/>
        <v>0</v>
      </c>
      <c r="T25" s="36">
        <f t="shared" si="23"/>
        <v>3879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f t="shared" si="17"/>
        <v>46371</v>
      </c>
      <c r="C26" s="16">
        <f t="shared" si="0"/>
        <v>0</v>
      </c>
      <c r="D26" s="36">
        <f t="shared" si="18"/>
        <v>40141</v>
      </c>
      <c r="E26" s="16">
        <f t="shared" si="1"/>
        <v>0</v>
      </c>
      <c r="F26" s="36">
        <f t="shared" si="19"/>
        <v>21129</v>
      </c>
      <c r="G26" s="16">
        <f t="shared" si="2"/>
        <v>0</v>
      </c>
      <c r="H26" s="36">
        <f t="shared" si="20"/>
        <v>252915</v>
      </c>
      <c r="I26" s="16">
        <f t="shared" si="3"/>
        <v>0</v>
      </c>
      <c r="J26" s="36">
        <v>303517</v>
      </c>
      <c r="K26" s="16">
        <v>0</v>
      </c>
      <c r="L26" s="36">
        <f t="shared" si="21"/>
        <v>25700</v>
      </c>
      <c r="M26" s="16">
        <f t="shared" si="4"/>
        <v>0</v>
      </c>
      <c r="N26" s="36">
        <f t="shared" si="22"/>
        <v>217698</v>
      </c>
      <c r="O26" s="16">
        <f t="shared" si="5"/>
        <v>0</v>
      </c>
      <c r="P26" s="36">
        <f t="shared" si="9"/>
        <v>135301</v>
      </c>
      <c r="Q26" s="16">
        <f t="shared" si="6"/>
        <v>0</v>
      </c>
      <c r="R26" s="1">
        <v>55047</v>
      </c>
      <c r="S26" s="16">
        <f t="shared" si="7"/>
        <v>0</v>
      </c>
      <c r="T26" s="36">
        <f t="shared" si="23"/>
        <v>3879</v>
      </c>
      <c r="U26" s="16">
        <f t="shared" si="8"/>
        <v>0</v>
      </c>
      <c r="W26" t="s">
        <v>12</v>
      </c>
    </row>
    <row r="27" spans="1:23" ht="13.5" thickBot="1" x14ac:dyDescent="0.25">
      <c r="A27" s="10">
        <v>44555</v>
      </c>
      <c r="B27" s="36">
        <f t="shared" si="17"/>
        <v>46371</v>
      </c>
      <c r="C27" s="16">
        <f t="shared" si="0"/>
        <v>0</v>
      </c>
      <c r="D27" s="36">
        <f t="shared" si="18"/>
        <v>40141</v>
      </c>
      <c r="E27" s="16">
        <f t="shared" si="1"/>
        <v>0</v>
      </c>
      <c r="F27" s="36">
        <f t="shared" si="19"/>
        <v>21129</v>
      </c>
      <c r="G27" s="16">
        <f t="shared" si="2"/>
        <v>0</v>
      </c>
      <c r="H27" s="36">
        <f t="shared" si="20"/>
        <v>252915</v>
      </c>
      <c r="I27" s="16">
        <f t="shared" si="3"/>
        <v>0</v>
      </c>
      <c r="J27" s="36">
        <v>303517</v>
      </c>
      <c r="K27" s="16">
        <v>0</v>
      </c>
      <c r="L27" s="36">
        <f t="shared" si="21"/>
        <v>25700</v>
      </c>
      <c r="M27" s="16">
        <f t="shared" si="4"/>
        <v>0</v>
      </c>
      <c r="N27" s="36">
        <f t="shared" si="22"/>
        <v>217698</v>
      </c>
      <c r="O27" s="16">
        <f t="shared" si="5"/>
        <v>0</v>
      </c>
      <c r="P27" s="36">
        <f t="shared" si="9"/>
        <v>135301</v>
      </c>
      <c r="Q27" s="16">
        <f t="shared" si="6"/>
        <v>0</v>
      </c>
      <c r="R27" s="1">
        <f t="shared" si="10"/>
        <v>55047</v>
      </c>
      <c r="S27" s="16">
        <f t="shared" si="7"/>
        <v>0</v>
      </c>
      <c r="T27" s="36">
        <f t="shared" si="23"/>
        <v>3879</v>
      </c>
      <c r="U27" s="16">
        <f t="shared" si="8"/>
        <v>0</v>
      </c>
    </row>
    <row r="28" spans="1:23" ht="13.5" thickBot="1" x14ac:dyDescent="0.25">
      <c r="A28" s="10">
        <v>44556</v>
      </c>
      <c r="B28" s="36">
        <f t="shared" si="17"/>
        <v>46371</v>
      </c>
      <c r="C28" s="16">
        <f t="shared" si="0"/>
        <v>0</v>
      </c>
      <c r="D28" s="36">
        <f t="shared" si="18"/>
        <v>40141</v>
      </c>
      <c r="E28" s="16">
        <f t="shared" si="1"/>
        <v>0</v>
      </c>
      <c r="F28" s="36">
        <f t="shared" si="19"/>
        <v>21129</v>
      </c>
      <c r="G28" s="16">
        <f t="shared" si="2"/>
        <v>0</v>
      </c>
      <c r="H28" s="36">
        <f t="shared" si="20"/>
        <v>252915</v>
      </c>
      <c r="I28" s="16">
        <f t="shared" si="3"/>
        <v>0</v>
      </c>
      <c r="J28" s="36">
        <v>303517</v>
      </c>
      <c r="K28" s="16">
        <v>0</v>
      </c>
      <c r="L28" s="36">
        <f t="shared" si="21"/>
        <v>25700</v>
      </c>
      <c r="M28" s="16">
        <f t="shared" si="4"/>
        <v>0</v>
      </c>
      <c r="N28" s="36">
        <f t="shared" si="22"/>
        <v>217698</v>
      </c>
      <c r="O28" s="16">
        <f t="shared" si="5"/>
        <v>0</v>
      </c>
      <c r="P28" s="36">
        <f t="shared" si="9"/>
        <v>135301</v>
      </c>
      <c r="Q28" s="17">
        <f t="shared" si="6"/>
        <v>0</v>
      </c>
      <c r="R28" s="1">
        <v>55047</v>
      </c>
      <c r="S28" s="17">
        <f t="shared" si="7"/>
        <v>0</v>
      </c>
      <c r="T28" s="36">
        <f t="shared" si="23"/>
        <v>3879</v>
      </c>
      <c r="U28" s="16">
        <f t="shared" si="8"/>
        <v>0</v>
      </c>
    </row>
    <row r="29" spans="1:23" ht="13.5" thickBot="1" x14ac:dyDescent="0.25">
      <c r="A29" s="10">
        <v>44557</v>
      </c>
      <c r="B29" s="36">
        <f t="shared" si="17"/>
        <v>46371</v>
      </c>
      <c r="C29" s="16">
        <f t="shared" si="0"/>
        <v>0</v>
      </c>
      <c r="D29" s="36">
        <f t="shared" si="18"/>
        <v>40141</v>
      </c>
      <c r="E29" s="16">
        <f t="shared" si="1"/>
        <v>0</v>
      </c>
      <c r="F29" s="36">
        <f t="shared" si="19"/>
        <v>21129</v>
      </c>
      <c r="G29" s="16">
        <f t="shared" si="2"/>
        <v>0</v>
      </c>
      <c r="H29" s="36">
        <f t="shared" si="20"/>
        <v>252915</v>
      </c>
      <c r="I29" s="16">
        <f t="shared" si="3"/>
        <v>0</v>
      </c>
      <c r="J29" s="36">
        <v>303517</v>
      </c>
      <c r="K29" s="16">
        <v>0</v>
      </c>
      <c r="L29" s="36">
        <f t="shared" si="21"/>
        <v>25700</v>
      </c>
      <c r="M29" s="16">
        <f t="shared" si="4"/>
        <v>0</v>
      </c>
      <c r="N29" s="36">
        <f t="shared" si="22"/>
        <v>217698</v>
      </c>
      <c r="O29" s="16">
        <f t="shared" si="5"/>
        <v>0</v>
      </c>
      <c r="P29" s="36">
        <f t="shared" si="9"/>
        <v>135301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23"/>
        <v>3879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17"/>
        <v>46371</v>
      </c>
      <c r="C30" s="16">
        <f t="shared" si="0"/>
        <v>0</v>
      </c>
      <c r="D30" s="36">
        <f t="shared" si="18"/>
        <v>40141</v>
      </c>
      <c r="E30" s="16">
        <f t="shared" si="1"/>
        <v>0</v>
      </c>
      <c r="F30" s="36">
        <f t="shared" si="19"/>
        <v>21129</v>
      </c>
      <c r="G30" s="16">
        <f t="shared" si="2"/>
        <v>0</v>
      </c>
      <c r="H30" s="36">
        <f t="shared" si="20"/>
        <v>252915</v>
      </c>
      <c r="I30" s="16">
        <f t="shared" si="3"/>
        <v>0</v>
      </c>
      <c r="J30" s="36">
        <v>303517</v>
      </c>
      <c r="K30" s="16">
        <v>0</v>
      </c>
      <c r="L30" s="36">
        <f t="shared" si="21"/>
        <v>25700</v>
      </c>
      <c r="M30" s="16">
        <f t="shared" si="4"/>
        <v>0</v>
      </c>
      <c r="N30" s="36">
        <f t="shared" si="22"/>
        <v>217698</v>
      </c>
      <c r="O30" s="16">
        <f t="shared" si="5"/>
        <v>0</v>
      </c>
      <c r="P30" s="36">
        <f t="shared" si="9"/>
        <v>135301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23"/>
        <v>3879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17"/>
        <v>46371</v>
      </c>
      <c r="C31" s="16">
        <f t="shared" si="0"/>
        <v>0</v>
      </c>
      <c r="D31" s="36">
        <f t="shared" si="18"/>
        <v>40141</v>
      </c>
      <c r="E31" s="16">
        <f t="shared" si="1"/>
        <v>0</v>
      </c>
      <c r="F31" s="36">
        <f t="shared" si="19"/>
        <v>21129</v>
      </c>
      <c r="G31" s="16">
        <f t="shared" si="2"/>
        <v>0</v>
      </c>
      <c r="H31" s="36">
        <f t="shared" si="20"/>
        <v>252915</v>
      </c>
      <c r="I31" s="16">
        <f t="shared" si="3"/>
        <v>0</v>
      </c>
      <c r="J31" s="36">
        <v>303517</v>
      </c>
      <c r="K31" s="16">
        <v>0</v>
      </c>
      <c r="L31" s="36">
        <f t="shared" si="21"/>
        <v>25700</v>
      </c>
      <c r="M31" s="16">
        <f t="shared" si="4"/>
        <v>0</v>
      </c>
      <c r="N31" s="36">
        <f t="shared" si="22"/>
        <v>217698</v>
      </c>
      <c r="O31" s="16">
        <f t="shared" si="5"/>
        <v>0</v>
      </c>
      <c r="P31" s="36">
        <f t="shared" si="9"/>
        <v>135301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23"/>
        <v>3879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17"/>
        <v>46371</v>
      </c>
      <c r="C32" s="16">
        <f t="shared" si="0"/>
        <v>0</v>
      </c>
      <c r="D32" s="36">
        <f t="shared" si="18"/>
        <v>40141</v>
      </c>
      <c r="E32" s="16">
        <f t="shared" si="1"/>
        <v>0</v>
      </c>
      <c r="F32" s="36">
        <f t="shared" si="19"/>
        <v>21129</v>
      </c>
      <c r="G32" s="16">
        <f t="shared" si="2"/>
        <v>0</v>
      </c>
      <c r="H32" s="36">
        <f t="shared" si="20"/>
        <v>252915</v>
      </c>
      <c r="I32" s="16">
        <f t="shared" si="3"/>
        <v>0</v>
      </c>
      <c r="J32" s="36">
        <v>303517</v>
      </c>
      <c r="K32" s="16">
        <v>0</v>
      </c>
      <c r="L32" s="36">
        <f t="shared" si="21"/>
        <v>25700</v>
      </c>
      <c r="M32" s="16">
        <f t="shared" si="4"/>
        <v>0</v>
      </c>
      <c r="N32" s="36">
        <f t="shared" si="22"/>
        <v>217698</v>
      </c>
      <c r="O32" s="16">
        <f t="shared" si="5"/>
        <v>0</v>
      </c>
      <c r="P32" s="36">
        <f t="shared" si="9"/>
        <v>135301</v>
      </c>
      <c r="Q32" s="16">
        <f t="shared" si="6"/>
        <v>0</v>
      </c>
      <c r="R32" s="1">
        <v>55047</v>
      </c>
      <c r="S32" s="16">
        <v>0</v>
      </c>
      <c r="T32" s="36">
        <f t="shared" si="23"/>
        <v>3879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17"/>
        <v>46371</v>
      </c>
      <c r="C33" s="16">
        <f t="shared" si="0"/>
        <v>0</v>
      </c>
      <c r="D33" s="36">
        <f t="shared" si="18"/>
        <v>40141</v>
      </c>
      <c r="E33" s="16">
        <f t="shared" si="1"/>
        <v>0</v>
      </c>
      <c r="F33" s="36">
        <f t="shared" si="19"/>
        <v>21129</v>
      </c>
      <c r="G33" s="16">
        <f t="shared" si="2"/>
        <v>0</v>
      </c>
      <c r="H33" s="36">
        <f t="shared" si="20"/>
        <v>252915</v>
      </c>
      <c r="I33" s="16">
        <f t="shared" si="3"/>
        <v>0</v>
      </c>
      <c r="J33" s="36">
        <v>303517</v>
      </c>
      <c r="K33" s="16">
        <v>0</v>
      </c>
      <c r="L33" s="36">
        <f t="shared" si="21"/>
        <v>25700</v>
      </c>
      <c r="M33" s="16">
        <f t="shared" si="4"/>
        <v>0</v>
      </c>
      <c r="N33" s="36">
        <f t="shared" si="22"/>
        <v>217698</v>
      </c>
      <c r="O33" s="16">
        <f t="shared" si="5"/>
        <v>0</v>
      </c>
      <c r="P33" s="36">
        <f t="shared" si="9"/>
        <v>135301</v>
      </c>
      <c r="Q33" s="16">
        <f t="shared" si="6"/>
        <v>0</v>
      </c>
      <c r="R33" s="1">
        <v>55047</v>
      </c>
      <c r="S33" s="16">
        <v>0</v>
      </c>
      <c r="T33" s="36">
        <f t="shared" si="23"/>
        <v>3879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14720</v>
      </c>
      <c r="D34" s="13"/>
      <c r="E34" s="11">
        <f>SUM(E4:E33)</f>
        <v>8640</v>
      </c>
      <c r="F34" s="13"/>
      <c r="G34" s="11">
        <f>SUM(G4:G33)</f>
        <v>1400</v>
      </c>
      <c r="H34" s="13"/>
      <c r="I34" s="11">
        <f>SUM(I4:I33)</f>
        <v>594</v>
      </c>
      <c r="J34" s="13"/>
      <c r="K34" s="11">
        <f>SUM(K4:K33)</f>
        <v>0</v>
      </c>
      <c r="L34" s="13"/>
      <c r="M34" s="11">
        <f>SUM(M4:M33)</f>
        <v>9280</v>
      </c>
      <c r="N34" s="37"/>
      <c r="O34" s="11">
        <f>SUM(O4:O33)</f>
        <v>1575</v>
      </c>
      <c r="P34" s="13"/>
      <c r="Q34" s="11">
        <f>SUM(Q4:Q33)</f>
        <v>2380</v>
      </c>
      <c r="R34" s="1"/>
      <c r="S34" s="11">
        <f>SUM(S4:S33)</f>
        <v>0</v>
      </c>
      <c r="T34" s="1"/>
      <c r="U34" s="11">
        <f>SUM(U4:U33)</f>
        <v>3520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5" activePane="bottomLeft" state="frozen"/>
      <selection pane="bottomLeft" activeCell="F38" sqref="F38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206</v>
      </c>
      <c r="C9" s="150">
        <v>19197</v>
      </c>
      <c r="D9" s="43">
        <f t="shared" si="3"/>
        <v>480</v>
      </c>
      <c r="E9" s="151">
        <v>29111602</v>
      </c>
      <c r="F9" s="43">
        <f t="shared" si="4"/>
        <v>11001</v>
      </c>
      <c r="G9" s="152">
        <v>92404319</v>
      </c>
      <c r="H9" s="43">
        <f t="shared" si="5"/>
        <v>10426</v>
      </c>
      <c r="I9" s="153">
        <f t="shared" si="6"/>
        <v>21427</v>
      </c>
      <c r="J9" s="151">
        <v>9133882</v>
      </c>
      <c r="K9" s="43">
        <f t="shared" si="14"/>
        <v>8596</v>
      </c>
      <c r="L9" s="154">
        <v>9100048</v>
      </c>
      <c r="M9" s="43">
        <f t="shared" si="7"/>
        <v>6820</v>
      </c>
      <c r="N9" s="151">
        <v>6165659</v>
      </c>
      <c r="O9" s="43">
        <f t="shared" si="15"/>
        <v>8426</v>
      </c>
      <c r="P9" s="154">
        <v>5644032</v>
      </c>
      <c r="Q9" s="43">
        <f t="shared" si="8"/>
        <v>2678</v>
      </c>
      <c r="R9" s="151">
        <v>19515461</v>
      </c>
      <c r="S9" s="43">
        <f t="shared" si="9"/>
        <v>7416</v>
      </c>
      <c r="T9" s="151">
        <v>0</v>
      </c>
      <c r="U9" s="155"/>
      <c r="V9" s="151">
        <v>7386617</v>
      </c>
      <c r="W9" s="43">
        <f t="shared" si="10"/>
        <v>10293</v>
      </c>
      <c r="X9" s="21">
        <f t="shared" si="11"/>
        <v>44229</v>
      </c>
      <c r="Y9" s="156">
        <f t="shared" si="12"/>
        <v>-22802</v>
      </c>
      <c r="Z9" s="3">
        <f t="shared" si="13"/>
        <v>5905.7473488000005</v>
      </c>
      <c r="AA9" s="3">
        <f t="shared" si="16"/>
        <v>26383.318187200002</v>
      </c>
    </row>
    <row r="10" spans="1:27" ht="16.5" thickBot="1" x14ac:dyDescent="0.3">
      <c r="A10" s="10">
        <v>44538</v>
      </c>
      <c r="B10" s="43">
        <v>216</v>
      </c>
      <c r="C10" s="150">
        <v>19201</v>
      </c>
      <c r="D10" s="43">
        <f t="shared" si="3"/>
        <v>640</v>
      </c>
      <c r="E10" s="151">
        <v>29131061</v>
      </c>
      <c r="F10" s="43">
        <f t="shared" si="4"/>
        <v>19459</v>
      </c>
      <c r="G10" s="152">
        <v>92474440</v>
      </c>
      <c r="H10" s="43">
        <f t="shared" si="5"/>
        <v>70121</v>
      </c>
      <c r="I10" s="153">
        <f t="shared" si="6"/>
        <v>89580</v>
      </c>
      <c r="J10" s="151">
        <v>9138655</v>
      </c>
      <c r="K10" s="43">
        <f t="shared" si="14"/>
        <v>9546</v>
      </c>
      <c r="L10" s="154">
        <v>9106833</v>
      </c>
      <c r="M10" s="43">
        <f t="shared" si="7"/>
        <v>6785</v>
      </c>
      <c r="N10" s="151">
        <v>6169730</v>
      </c>
      <c r="O10" s="43">
        <f t="shared" si="15"/>
        <v>8142</v>
      </c>
      <c r="P10" s="154">
        <v>5646952</v>
      </c>
      <c r="Q10" s="43">
        <f t="shared" si="8"/>
        <v>2920</v>
      </c>
      <c r="R10" s="151">
        <v>19528063</v>
      </c>
      <c r="S10" s="43">
        <f t="shared" si="9"/>
        <v>12602</v>
      </c>
      <c r="T10" s="151">
        <v>0</v>
      </c>
      <c r="U10" s="155"/>
      <c r="V10" s="151">
        <v>7398290</v>
      </c>
      <c r="W10" s="43">
        <f t="shared" si="10"/>
        <v>11673</v>
      </c>
      <c r="X10" s="21">
        <f t="shared" si="11"/>
        <v>51668</v>
      </c>
      <c r="Y10" s="156">
        <f t="shared" si="12"/>
        <v>37912</v>
      </c>
      <c r="Z10" s="3">
        <f t="shared" si="13"/>
        <v>7493.3350959999998</v>
      </c>
      <c r="AA10" s="3">
        <f t="shared" si="16"/>
        <v>27387.696315199999</v>
      </c>
    </row>
    <row r="11" spans="1:27" ht="15.75" customHeight="1" thickBot="1" x14ac:dyDescent="0.3">
      <c r="A11" s="10">
        <v>44539</v>
      </c>
      <c r="B11" s="43">
        <v>210</v>
      </c>
      <c r="C11" s="150">
        <v>19203</v>
      </c>
      <c r="D11" s="43">
        <f t="shared" si="3"/>
        <v>320</v>
      </c>
      <c r="E11" s="151">
        <v>29142075</v>
      </c>
      <c r="F11" s="43">
        <f t="shared" si="4"/>
        <v>11014</v>
      </c>
      <c r="G11" s="152">
        <v>92512334</v>
      </c>
      <c r="H11" s="43">
        <f t="shared" si="5"/>
        <v>37894</v>
      </c>
      <c r="I11" s="153">
        <f t="shared" si="6"/>
        <v>48908</v>
      </c>
      <c r="J11" s="151">
        <v>9143076</v>
      </c>
      <c r="K11" s="43">
        <f t="shared" si="14"/>
        <v>8842</v>
      </c>
      <c r="L11" s="154">
        <v>9112446</v>
      </c>
      <c r="M11" s="43">
        <f t="shared" si="7"/>
        <v>5613</v>
      </c>
      <c r="N11" s="151">
        <v>6173344</v>
      </c>
      <c r="O11" s="43">
        <f t="shared" si="15"/>
        <v>7228</v>
      </c>
      <c r="P11" s="154">
        <v>5649377</v>
      </c>
      <c r="Q11" s="43">
        <f t="shared" si="8"/>
        <v>2425</v>
      </c>
      <c r="R11" s="151">
        <v>19537096</v>
      </c>
      <c r="S11" s="43">
        <f t="shared" si="9"/>
        <v>9033</v>
      </c>
      <c r="T11" s="151">
        <v>0</v>
      </c>
      <c r="U11" s="155"/>
      <c r="V11" s="151">
        <v>7407914</v>
      </c>
      <c r="W11" s="43">
        <f t="shared" si="10"/>
        <v>9624</v>
      </c>
      <c r="X11" s="21">
        <f t="shared" si="11"/>
        <v>42765</v>
      </c>
      <c r="Y11" s="156">
        <f t="shared" si="12"/>
        <v>6143</v>
      </c>
      <c r="Z11" s="3">
        <f t="shared" si="13"/>
        <v>5925.7829903999991</v>
      </c>
      <c r="AA11" s="3">
        <f t="shared" si="16"/>
        <v>27349.385023999999</v>
      </c>
    </row>
    <row r="12" spans="1:27" ht="16.5" thickBot="1" x14ac:dyDescent="0.3">
      <c r="A12" s="10">
        <v>44540</v>
      </c>
      <c r="B12" s="43">
        <v>230</v>
      </c>
      <c r="C12" s="150">
        <v>19206</v>
      </c>
      <c r="D12" s="43">
        <f t="shared" si="3"/>
        <v>480</v>
      </c>
      <c r="E12" s="151">
        <v>29159068</v>
      </c>
      <c r="F12" s="43">
        <f t="shared" si="4"/>
        <v>16993</v>
      </c>
      <c r="G12" s="152">
        <v>92585044</v>
      </c>
      <c r="H12" s="43">
        <f t="shared" si="5"/>
        <v>72710</v>
      </c>
      <c r="I12" s="153">
        <f t="shared" si="6"/>
        <v>89703</v>
      </c>
      <c r="J12" s="151">
        <v>9148952</v>
      </c>
      <c r="K12" s="43">
        <f t="shared" si="14"/>
        <v>11752</v>
      </c>
      <c r="L12" s="154">
        <v>9119307</v>
      </c>
      <c r="M12" s="43">
        <f t="shared" si="7"/>
        <v>6861</v>
      </c>
      <c r="N12" s="151">
        <v>6178307</v>
      </c>
      <c r="O12" s="43">
        <f t="shared" si="15"/>
        <v>9926</v>
      </c>
      <c r="P12" s="154">
        <v>5652476</v>
      </c>
      <c r="Q12" s="43">
        <f t="shared" si="8"/>
        <v>3099</v>
      </c>
      <c r="R12" s="151">
        <v>19548849</v>
      </c>
      <c r="S12" s="43">
        <f t="shared" si="9"/>
        <v>11753</v>
      </c>
      <c r="T12" s="151">
        <v>0</v>
      </c>
      <c r="U12" s="155"/>
      <c r="V12" s="151">
        <v>7420248</v>
      </c>
      <c r="W12" s="43">
        <f t="shared" si="10"/>
        <v>12334</v>
      </c>
      <c r="X12" s="21">
        <f t="shared" si="11"/>
        <v>55725</v>
      </c>
      <c r="Y12" s="156">
        <f t="shared" si="12"/>
        <v>33978</v>
      </c>
      <c r="Z12" s="3">
        <f t="shared" si="13"/>
        <v>7731.8842224000009</v>
      </c>
      <c r="AA12" s="3">
        <f t="shared" si="16"/>
        <v>27056.749657600001</v>
      </c>
    </row>
    <row r="13" spans="1:27" ht="16.5" thickBot="1" x14ac:dyDescent="0.3">
      <c r="A13" s="10">
        <v>44541</v>
      </c>
      <c r="B13" s="43">
        <v>218</v>
      </c>
      <c r="C13" s="150">
        <v>19209</v>
      </c>
      <c r="D13" s="43">
        <f t="shared" si="3"/>
        <v>480</v>
      </c>
      <c r="E13" s="151">
        <v>29172514</v>
      </c>
      <c r="F13" s="43">
        <f t="shared" ref="F13" si="17">IF((E13-E12)&lt;0,"0",(E13-E12))</f>
        <v>13446</v>
      </c>
      <c r="G13" s="152">
        <v>92592447</v>
      </c>
      <c r="H13" s="43">
        <f t="shared" ref="H13" si="18">IF((G13-G12)&lt;0,"0",(G13-G12))</f>
        <v>7403</v>
      </c>
      <c r="I13" s="153">
        <f t="shared" ref="I13" si="19">F13+H13</f>
        <v>20849</v>
      </c>
      <c r="J13" s="151">
        <v>9153489</v>
      </c>
      <c r="K13" s="43">
        <f t="shared" si="14"/>
        <v>9074</v>
      </c>
      <c r="L13" s="154">
        <v>9124997</v>
      </c>
      <c r="M13" s="43">
        <f t="shared" ref="M13" si="20">IF((L13-L12)&lt;0,"0",(L13-L12))</f>
        <v>5690</v>
      </c>
      <c r="N13" s="151">
        <v>6182111</v>
      </c>
      <c r="O13" s="43">
        <f t="shared" ref="O13" si="21">(IF((N13-N12)&lt;0,"0",(N13-N12)))*2</f>
        <v>7608</v>
      </c>
      <c r="P13" s="154">
        <v>5654712</v>
      </c>
      <c r="Q13" s="43">
        <f t="shared" ref="Q13" si="22">IF((P13-P12)&lt;0,"0",(P13-P12))</f>
        <v>2236</v>
      </c>
      <c r="R13" s="151">
        <v>19561022</v>
      </c>
      <c r="S13" s="43">
        <f t="shared" ref="S13" si="23">IF((R13-R12)&lt;0,"0",(R13-R12))</f>
        <v>12173</v>
      </c>
      <c r="T13" s="151">
        <v>0</v>
      </c>
      <c r="U13" s="155"/>
      <c r="V13" s="151">
        <v>7429364</v>
      </c>
      <c r="W13" s="43">
        <f t="shared" ref="W13" si="24">IF((V13-V12)&lt;0,"0",(V13-V12))</f>
        <v>9116</v>
      </c>
      <c r="X13" s="21">
        <f t="shared" ref="X13" si="25">K13+M13+O13+Q13+S13+U13+W13</f>
        <v>45897</v>
      </c>
      <c r="Y13" s="156">
        <f t="shared" ref="Y13" si="26">I13-X13</f>
        <v>-25048</v>
      </c>
      <c r="Z13" s="3">
        <f t="shared" ref="Z13" si="27">(0.93352*(W13+S13)+0.5568*(Q13+O13))*0.26</f>
        <v>6592.2600848000002</v>
      </c>
      <c r="AA13" s="3">
        <f t="shared" ref="AA13" si="28">SUM(Z10:Z13)</f>
        <v>27743.262393599998</v>
      </c>
    </row>
    <row r="14" spans="1:27" ht="16.5" thickBot="1" x14ac:dyDescent="0.3">
      <c r="A14" s="10">
        <v>44542</v>
      </c>
      <c r="B14" s="43">
        <v>199</v>
      </c>
      <c r="C14" s="150">
        <v>19212</v>
      </c>
      <c r="D14" s="43">
        <f t="shared" si="3"/>
        <v>480</v>
      </c>
      <c r="E14" s="151">
        <v>29187666</v>
      </c>
      <c r="F14" s="43">
        <f t="shared" si="4"/>
        <v>15152</v>
      </c>
      <c r="G14" s="152">
        <v>92631173</v>
      </c>
      <c r="H14" s="43">
        <f t="shared" si="5"/>
        <v>38726</v>
      </c>
      <c r="I14" s="153">
        <f t="shared" si="6"/>
        <v>53878</v>
      </c>
      <c r="J14" s="151">
        <v>9158911</v>
      </c>
      <c r="K14" s="43">
        <f t="shared" si="14"/>
        <v>10844</v>
      </c>
      <c r="L14" s="154">
        <v>9131232</v>
      </c>
      <c r="M14" s="43">
        <f t="shared" si="7"/>
        <v>6235</v>
      </c>
      <c r="N14" s="151">
        <v>6186988</v>
      </c>
      <c r="O14" s="43">
        <f t="shared" si="15"/>
        <v>9754</v>
      </c>
      <c r="P14" s="154">
        <v>5657258</v>
      </c>
      <c r="Q14" s="43">
        <f t="shared" si="8"/>
        <v>2546</v>
      </c>
      <c r="R14" s="151">
        <v>19566684</v>
      </c>
      <c r="S14" s="43">
        <f>IF((R14-R13)&lt;0,"0",(R14-R13))</f>
        <v>5662</v>
      </c>
      <c r="T14" s="151">
        <v>0</v>
      </c>
      <c r="U14" s="155"/>
      <c r="V14" s="151">
        <v>7439504</v>
      </c>
      <c r="W14" s="43">
        <f t="shared" si="10"/>
        <v>10140</v>
      </c>
      <c r="X14" s="21">
        <f t="shared" si="11"/>
        <v>45181</v>
      </c>
      <c r="Y14" s="156">
        <f t="shared" si="12"/>
        <v>8697</v>
      </c>
      <c r="Z14" s="3">
        <f t="shared" si="13"/>
        <v>5616.0319903999998</v>
      </c>
      <c r="AA14" s="3">
        <f t="shared" si="16"/>
        <v>25865.959287999998</v>
      </c>
    </row>
    <row r="15" spans="1:27" ht="16.5" thickBot="1" x14ac:dyDescent="0.3">
      <c r="A15" s="10">
        <v>44543</v>
      </c>
      <c r="B15" s="43">
        <v>209</v>
      </c>
      <c r="C15" s="150">
        <v>19215</v>
      </c>
      <c r="D15" s="43">
        <f t="shared" si="3"/>
        <v>480</v>
      </c>
      <c r="E15" s="151">
        <v>29200935</v>
      </c>
      <c r="F15" s="43">
        <f t="shared" si="4"/>
        <v>13269</v>
      </c>
      <c r="G15" s="152">
        <v>92664186</v>
      </c>
      <c r="H15" s="43">
        <f t="shared" si="5"/>
        <v>33013</v>
      </c>
      <c r="I15" s="153">
        <f t="shared" si="6"/>
        <v>46282</v>
      </c>
      <c r="J15" s="151">
        <v>9163330</v>
      </c>
      <c r="K15" s="43">
        <f t="shared" si="14"/>
        <v>8838</v>
      </c>
      <c r="L15" s="154">
        <v>9136286</v>
      </c>
      <c r="M15" s="43">
        <f t="shared" si="7"/>
        <v>5054</v>
      </c>
      <c r="N15" s="151">
        <v>6190527</v>
      </c>
      <c r="O15" s="43">
        <f t="shared" si="15"/>
        <v>7078</v>
      </c>
      <c r="P15" s="154">
        <v>5659397</v>
      </c>
      <c r="Q15" s="43">
        <f t="shared" si="8"/>
        <v>2139</v>
      </c>
      <c r="R15" s="151">
        <v>19574875</v>
      </c>
      <c r="S15" s="43">
        <f>IF((R15-R14)&lt;0,"0",(R15-R14))</f>
        <v>8191</v>
      </c>
      <c r="T15" s="151">
        <v>0</v>
      </c>
      <c r="U15" s="155"/>
      <c r="V15" s="151">
        <v>7448278</v>
      </c>
      <c r="W15" s="43">
        <f t="shared" si="10"/>
        <v>8774</v>
      </c>
      <c r="X15" s="21">
        <f t="shared" si="11"/>
        <v>40074</v>
      </c>
      <c r="Y15" s="156">
        <f t="shared" si="12"/>
        <v>6208</v>
      </c>
      <c r="Z15" s="3">
        <f t="shared" si="13"/>
        <v>5451.9900239999997</v>
      </c>
      <c r="AA15" s="3">
        <f t="shared" si="16"/>
        <v>25392.166321599998</v>
      </c>
    </row>
    <row r="16" spans="1:27" ht="16.5" thickBot="1" x14ac:dyDescent="0.3">
      <c r="A16" s="10">
        <v>44544</v>
      </c>
      <c r="B16" s="43">
        <v>208</v>
      </c>
      <c r="C16" s="150">
        <v>19218</v>
      </c>
      <c r="D16" s="43">
        <f t="shared" si="3"/>
        <v>480</v>
      </c>
      <c r="E16" s="151">
        <v>29221215</v>
      </c>
      <c r="F16" s="43">
        <f t="shared" si="4"/>
        <v>20280</v>
      </c>
      <c r="G16" s="152">
        <v>92715599</v>
      </c>
      <c r="H16" s="43">
        <f t="shared" si="5"/>
        <v>51413</v>
      </c>
      <c r="I16" s="153">
        <f t="shared" si="6"/>
        <v>71693</v>
      </c>
      <c r="J16" s="151">
        <v>9170479</v>
      </c>
      <c r="K16" s="43">
        <f t="shared" si="14"/>
        <v>14298</v>
      </c>
      <c r="L16" s="154">
        <v>9144677</v>
      </c>
      <c r="M16" s="43">
        <f t="shared" si="7"/>
        <v>8391</v>
      </c>
      <c r="N16" s="151">
        <v>6196370</v>
      </c>
      <c r="O16" s="43">
        <f t="shared" si="15"/>
        <v>11686</v>
      </c>
      <c r="P16" s="154">
        <v>5662738</v>
      </c>
      <c r="Q16" s="43">
        <f t="shared" si="8"/>
        <v>3341</v>
      </c>
      <c r="R16" s="151">
        <v>19587689</v>
      </c>
      <c r="S16" s="43">
        <f t="shared" si="9"/>
        <v>12814</v>
      </c>
      <c r="T16" s="151">
        <v>0</v>
      </c>
      <c r="U16" s="155"/>
      <c r="V16" s="151">
        <v>7461792</v>
      </c>
      <c r="W16" s="43">
        <f t="shared" si="10"/>
        <v>13514</v>
      </c>
      <c r="X16" s="21">
        <f t="shared" si="11"/>
        <v>64044</v>
      </c>
      <c r="Y16" s="156">
        <f t="shared" si="12"/>
        <v>7649</v>
      </c>
      <c r="Z16" s="3">
        <f t="shared" si="13"/>
        <v>8565.6345216000009</v>
      </c>
      <c r="AA16" s="3">
        <f t="shared" si="16"/>
        <v>26225.916620799999</v>
      </c>
    </row>
    <row r="17" spans="1:27" s="135" customFormat="1" ht="16.5" thickBot="1" x14ac:dyDescent="0.3">
      <c r="A17" s="10">
        <v>44545</v>
      </c>
      <c r="B17" s="43">
        <v>191</v>
      </c>
      <c r="C17" s="150">
        <v>19220</v>
      </c>
      <c r="D17" s="43">
        <f t="shared" si="3"/>
        <v>320</v>
      </c>
      <c r="E17" s="151">
        <v>29232972</v>
      </c>
      <c r="F17" s="43">
        <f t="shared" si="4"/>
        <v>11757</v>
      </c>
      <c r="G17" s="152">
        <v>92742547</v>
      </c>
      <c r="H17" s="43">
        <f t="shared" si="5"/>
        <v>26948</v>
      </c>
      <c r="I17" s="157">
        <f t="shared" si="6"/>
        <v>38705</v>
      </c>
      <c r="J17" s="151">
        <v>9174499</v>
      </c>
      <c r="K17" s="134">
        <f t="shared" si="14"/>
        <v>8040</v>
      </c>
      <c r="L17" s="154">
        <v>9149946</v>
      </c>
      <c r="M17" s="134">
        <f t="shared" si="7"/>
        <v>5269</v>
      </c>
      <c r="N17" s="151">
        <v>6199540</v>
      </c>
      <c r="O17" s="134">
        <f t="shared" si="15"/>
        <v>6340</v>
      </c>
      <c r="P17" s="154">
        <v>5664949</v>
      </c>
      <c r="Q17" s="134">
        <f t="shared" si="8"/>
        <v>2211</v>
      </c>
      <c r="R17" s="151">
        <v>19595962</v>
      </c>
      <c r="S17" s="134">
        <f t="shared" si="9"/>
        <v>8273</v>
      </c>
      <c r="T17" s="158">
        <v>0</v>
      </c>
      <c r="U17" s="155"/>
      <c r="V17" s="151">
        <v>7470024</v>
      </c>
      <c r="W17" s="134">
        <f t="shared" si="10"/>
        <v>8232</v>
      </c>
      <c r="X17" s="21">
        <f t="shared" si="11"/>
        <v>38365</v>
      </c>
      <c r="Y17" s="159">
        <f t="shared" si="12"/>
        <v>340</v>
      </c>
      <c r="Z17" s="160">
        <f t="shared" si="13"/>
        <v>5243.9255440000006</v>
      </c>
      <c r="AA17" s="160">
        <f t="shared" si="16"/>
        <v>24877.582080000004</v>
      </c>
    </row>
    <row r="18" spans="1:27" s="135" customFormat="1" ht="16.5" thickBot="1" x14ac:dyDescent="0.3">
      <c r="A18" s="10">
        <v>44546</v>
      </c>
      <c r="B18" s="43">
        <v>204</v>
      </c>
      <c r="C18" s="150">
        <v>19222</v>
      </c>
      <c r="D18" s="43">
        <f t="shared" si="3"/>
        <v>320</v>
      </c>
      <c r="E18" s="151">
        <v>29244858</v>
      </c>
      <c r="F18" s="43">
        <f t="shared" si="4"/>
        <v>11886</v>
      </c>
      <c r="G18" s="152">
        <v>92779825</v>
      </c>
      <c r="H18" s="43">
        <f t="shared" si="5"/>
        <v>37278</v>
      </c>
      <c r="I18" s="157">
        <f t="shared" si="6"/>
        <v>49164</v>
      </c>
      <c r="J18" s="151">
        <v>9178464</v>
      </c>
      <c r="K18" s="134">
        <f t="shared" si="14"/>
        <v>7930</v>
      </c>
      <c r="L18" s="154">
        <v>9155138</v>
      </c>
      <c r="M18" s="134">
        <f t="shared" si="7"/>
        <v>5192</v>
      </c>
      <c r="N18" s="151">
        <v>6202818</v>
      </c>
      <c r="O18" s="134">
        <f t="shared" si="15"/>
        <v>6556</v>
      </c>
      <c r="P18" s="154">
        <v>5667248</v>
      </c>
      <c r="Q18" s="134">
        <f t="shared" si="8"/>
        <v>2299</v>
      </c>
      <c r="R18" s="151">
        <v>19604442</v>
      </c>
      <c r="S18" s="134">
        <f t="shared" si="9"/>
        <v>8480</v>
      </c>
      <c r="T18" s="158">
        <v>0</v>
      </c>
      <c r="U18" s="155"/>
      <c r="V18" s="151">
        <v>7478606</v>
      </c>
      <c r="W18" s="134">
        <f t="shared" si="10"/>
        <v>8582</v>
      </c>
      <c r="X18" s="21">
        <f t="shared" si="11"/>
        <v>39039</v>
      </c>
      <c r="Y18" s="159">
        <f t="shared" si="12"/>
        <v>10125</v>
      </c>
      <c r="Z18" s="160">
        <f t="shared" si="13"/>
        <v>5423.1273824000009</v>
      </c>
      <c r="AA18" s="160">
        <f t="shared" si="16"/>
        <v>24684.677472000003</v>
      </c>
    </row>
    <row r="19" spans="1:27" s="135" customFormat="1" ht="16.5" thickBot="1" x14ac:dyDescent="0.3">
      <c r="A19" s="10">
        <v>44547</v>
      </c>
      <c r="B19" s="43">
        <v>241</v>
      </c>
      <c r="C19" s="150">
        <v>19225</v>
      </c>
      <c r="D19" s="43">
        <f t="shared" si="3"/>
        <v>480</v>
      </c>
      <c r="E19" s="151">
        <v>29263438</v>
      </c>
      <c r="F19" s="43">
        <f t="shared" si="4"/>
        <v>18580</v>
      </c>
      <c r="G19" s="152">
        <v>92832196</v>
      </c>
      <c r="H19" s="43">
        <f t="shared" si="5"/>
        <v>52371</v>
      </c>
      <c r="I19" s="157">
        <f t="shared" si="6"/>
        <v>70951</v>
      </c>
      <c r="J19" s="151">
        <v>9183972</v>
      </c>
      <c r="K19" s="134">
        <f t="shared" si="14"/>
        <v>11016</v>
      </c>
      <c r="L19" s="154">
        <v>9163182</v>
      </c>
      <c r="M19" s="134">
        <f t="shared" si="7"/>
        <v>8044</v>
      </c>
      <c r="N19" s="151">
        <v>6207976</v>
      </c>
      <c r="O19" s="134">
        <f t="shared" si="15"/>
        <v>10316</v>
      </c>
      <c r="P19" s="154">
        <v>5670781</v>
      </c>
      <c r="Q19" s="134">
        <f t="shared" si="8"/>
        <v>3533</v>
      </c>
      <c r="R19" s="151">
        <v>19617911</v>
      </c>
      <c r="S19" s="134">
        <f t="shared" si="9"/>
        <v>13469</v>
      </c>
      <c r="T19" s="158">
        <v>0</v>
      </c>
      <c r="U19" s="155"/>
      <c r="V19" s="151">
        <v>7493007</v>
      </c>
      <c r="W19" s="134">
        <f t="shared" si="10"/>
        <v>14401</v>
      </c>
      <c r="X19" s="21">
        <f t="shared" si="11"/>
        <v>60779</v>
      </c>
      <c r="Y19" s="159">
        <f t="shared" si="12"/>
        <v>10172</v>
      </c>
      <c r="Z19" s="160">
        <f t="shared" si="13"/>
        <v>8769.3646560000016</v>
      </c>
      <c r="AA19" s="160">
        <f t="shared" si="16"/>
        <v>28002.052104000006</v>
      </c>
    </row>
    <row r="20" spans="1:27" s="135" customFormat="1" ht="16.5" thickBot="1" x14ac:dyDescent="0.3">
      <c r="A20" s="10">
        <v>44548</v>
      </c>
      <c r="B20" s="43">
        <v>210</v>
      </c>
      <c r="C20" s="150">
        <v>19228</v>
      </c>
      <c r="D20" s="43">
        <f t="shared" si="3"/>
        <v>480</v>
      </c>
      <c r="E20" s="151">
        <v>29273137</v>
      </c>
      <c r="F20" s="43">
        <f t="shared" si="4"/>
        <v>9699</v>
      </c>
      <c r="G20" s="152">
        <v>92859481</v>
      </c>
      <c r="H20" s="43">
        <f t="shared" si="5"/>
        <v>27285</v>
      </c>
      <c r="I20" s="157">
        <f t="shared" si="6"/>
        <v>36984</v>
      </c>
      <c r="J20" s="151">
        <v>9187135</v>
      </c>
      <c r="K20" s="134">
        <f t="shared" si="14"/>
        <v>6326</v>
      </c>
      <c r="L20" s="154">
        <v>9167768</v>
      </c>
      <c r="M20" s="134">
        <f t="shared" si="7"/>
        <v>4586</v>
      </c>
      <c r="N20" s="151">
        <v>6210472</v>
      </c>
      <c r="O20" s="134">
        <f t="shared" si="15"/>
        <v>4992</v>
      </c>
      <c r="P20" s="154">
        <v>5672389</v>
      </c>
      <c r="Q20" s="134">
        <f t="shared" si="8"/>
        <v>1608</v>
      </c>
      <c r="R20" s="151">
        <v>19624557</v>
      </c>
      <c r="S20" s="134">
        <f t="shared" si="9"/>
        <v>6646</v>
      </c>
      <c r="T20" s="158">
        <v>0</v>
      </c>
      <c r="U20" s="155"/>
      <c r="V20" s="151">
        <v>7500646</v>
      </c>
      <c r="W20" s="134">
        <f t="shared" si="10"/>
        <v>7639</v>
      </c>
      <c r="X20" s="21">
        <f t="shared" si="11"/>
        <v>31797</v>
      </c>
      <c r="Y20" s="159">
        <f t="shared" si="12"/>
        <v>5187</v>
      </c>
      <c r="Z20" s="160">
        <f t="shared" si="13"/>
        <v>4422.6554320000005</v>
      </c>
      <c r="AA20" s="160">
        <f t="shared" si="16"/>
        <v>23859.073014400004</v>
      </c>
    </row>
    <row r="21" spans="1:27" s="135" customFormat="1" ht="16.5" thickBot="1" x14ac:dyDescent="0.3">
      <c r="A21" s="10">
        <v>44549</v>
      </c>
      <c r="B21" s="43">
        <v>256</v>
      </c>
      <c r="C21" s="150">
        <v>19231</v>
      </c>
      <c r="D21" s="43">
        <f t="shared" si="3"/>
        <v>480</v>
      </c>
      <c r="E21" s="151">
        <v>29286599</v>
      </c>
      <c r="F21" s="43">
        <f t="shared" si="4"/>
        <v>13462</v>
      </c>
      <c r="G21" s="152">
        <v>92900052</v>
      </c>
      <c r="H21" s="43">
        <f t="shared" si="5"/>
        <v>40571</v>
      </c>
      <c r="I21" s="157">
        <f t="shared" si="6"/>
        <v>54033</v>
      </c>
      <c r="J21" s="151">
        <v>9191677</v>
      </c>
      <c r="K21" s="134">
        <f t="shared" si="14"/>
        <v>9084</v>
      </c>
      <c r="L21" s="154">
        <v>9174045</v>
      </c>
      <c r="M21" s="134">
        <f t="shared" si="7"/>
        <v>6277</v>
      </c>
      <c r="N21" s="151">
        <v>6213982</v>
      </c>
      <c r="O21" s="134">
        <f t="shared" si="15"/>
        <v>7020</v>
      </c>
      <c r="P21" s="154">
        <v>5674725</v>
      </c>
      <c r="Q21" s="134">
        <f t="shared" si="8"/>
        <v>2336</v>
      </c>
      <c r="R21" s="151">
        <v>19634517</v>
      </c>
      <c r="S21" s="134">
        <f t="shared" si="9"/>
        <v>9960</v>
      </c>
      <c r="T21" s="158">
        <v>0</v>
      </c>
      <c r="U21" s="155"/>
      <c r="V21" s="151">
        <v>7512103</v>
      </c>
      <c r="W21" s="134">
        <f t="shared" si="10"/>
        <v>11457</v>
      </c>
      <c r="X21" s="21">
        <f t="shared" si="11"/>
        <v>46134</v>
      </c>
      <c r="Y21" s="159">
        <f t="shared" si="12"/>
        <v>7899</v>
      </c>
      <c r="Z21" s="160">
        <f t="shared" si="13"/>
        <v>6552.6808464000005</v>
      </c>
      <c r="AA21" s="160">
        <f t="shared" si="16"/>
        <v>25167.828316800005</v>
      </c>
    </row>
    <row r="22" spans="1:27" ht="16.5" thickBot="1" x14ac:dyDescent="0.3">
      <c r="A22" s="10">
        <v>44550</v>
      </c>
      <c r="B22" s="43">
        <v>247</v>
      </c>
      <c r="C22" s="150">
        <v>19233</v>
      </c>
      <c r="D22" s="43">
        <f t="shared" si="3"/>
        <v>320</v>
      </c>
      <c r="E22" s="151">
        <v>29299096</v>
      </c>
      <c r="F22" s="43">
        <f t="shared" si="4"/>
        <v>12497</v>
      </c>
      <c r="G22" s="152">
        <v>92940435</v>
      </c>
      <c r="H22" s="43">
        <f t="shared" si="5"/>
        <v>40383</v>
      </c>
      <c r="I22" s="153">
        <f t="shared" si="6"/>
        <v>52880</v>
      </c>
      <c r="J22" s="151">
        <v>9196434</v>
      </c>
      <c r="K22" s="43">
        <f t="shared" si="14"/>
        <v>9514</v>
      </c>
      <c r="L22" s="154">
        <v>9179553</v>
      </c>
      <c r="M22" s="43">
        <f t="shared" si="7"/>
        <v>5508</v>
      </c>
      <c r="N22" s="151">
        <v>6217400</v>
      </c>
      <c r="O22" s="43">
        <f t="shared" si="15"/>
        <v>6836</v>
      </c>
      <c r="P22" s="154">
        <v>5677136</v>
      </c>
      <c r="Q22" s="43">
        <f t="shared" si="8"/>
        <v>2411</v>
      </c>
      <c r="R22" s="151">
        <v>19644172</v>
      </c>
      <c r="S22" s="43">
        <f t="shared" si="9"/>
        <v>9655</v>
      </c>
      <c r="T22" s="151">
        <v>0</v>
      </c>
      <c r="U22" s="155"/>
      <c r="V22" s="151">
        <v>7523428</v>
      </c>
      <c r="W22" s="43">
        <f t="shared" si="10"/>
        <v>11325</v>
      </c>
      <c r="X22" s="21">
        <f t="shared" si="11"/>
        <v>45249</v>
      </c>
      <c r="Y22" s="156">
        <f t="shared" si="12"/>
        <v>7631</v>
      </c>
      <c r="Z22" s="3">
        <f t="shared" si="13"/>
        <v>6430.8345919999992</v>
      </c>
      <c r="AA22" s="3">
        <f t="shared" si="16"/>
        <v>26175.535526400003</v>
      </c>
    </row>
    <row r="23" spans="1:27" ht="16.5" thickBot="1" x14ac:dyDescent="0.3">
      <c r="A23" s="10">
        <v>44551</v>
      </c>
      <c r="B23" s="43">
        <v>190</v>
      </c>
      <c r="C23" s="150">
        <v>19236</v>
      </c>
      <c r="D23" s="43">
        <f t="shared" si="3"/>
        <v>480</v>
      </c>
      <c r="E23" s="151">
        <v>29304823</v>
      </c>
      <c r="F23" s="43">
        <f t="shared" si="4"/>
        <v>5727</v>
      </c>
      <c r="G23" s="152">
        <v>92969839</v>
      </c>
      <c r="H23" s="43">
        <f t="shared" si="5"/>
        <v>29404</v>
      </c>
      <c r="I23" s="153">
        <f t="shared" si="6"/>
        <v>35131</v>
      </c>
      <c r="J23" s="151">
        <v>9199884</v>
      </c>
      <c r="K23" s="43">
        <f t="shared" si="14"/>
        <v>6900</v>
      </c>
      <c r="L23" s="154">
        <v>9183939</v>
      </c>
      <c r="M23" s="43">
        <f t="shared" si="7"/>
        <v>4386</v>
      </c>
      <c r="N23" s="151">
        <v>6218018</v>
      </c>
      <c r="O23" s="43">
        <f t="shared" si="15"/>
        <v>1236</v>
      </c>
      <c r="P23" s="154">
        <v>5680700</v>
      </c>
      <c r="Q23" s="43">
        <f t="shared" si="8"/>
        <v>3564</v>
      </c>
      <c r="R23" s="151">
        <v>19650721</v>
      </c>
      <c r="S23" s="43">
        <f t="shared" si="9"/>
        <v>6549</v>
      </c>
      <c r="T23" s="151">
        <v>0</v>
      </c>
      <c r="U23" s="155"/>
      <c r="V23" s="151">
        <v>7531061</v>
      </c>
      <c r="W23" s="43">
        <f t="shared" si="10"/>
        <v>7633</v>
      </c>
      <c r="X23" s="21">
        <f t="shared" si="11"/>
        <v>30268</v>
      </c>
      <c r="Y23" s="156">
        <f t="shared" si="12"/>
        <v>4863</v>
      </c>
      <c r="Z23" s="3">
        <f t="shared" si="13"/>
        <v>4137.0733663999999</v>
      </c>
      <c r="AA23" s="3">
        <f t="shared" si="16"/>
        <v>21543.244236800001</v>
      </c>
    </row>
    <row r="24" spans="1:27" ht="16.5" thickBot="1" x14ac:dyDescent="0.3">
      <c r="A24" s="10">
        <v>44552</v>
      </c>
      <c r="B24" s="43">
        <v>0</v>
      </c>
      <c r="C24" s="150">
        <f t="shared" ref="C22:C33" si="29">C23</f>
        <v>19236</v>
      </c>
      <c r="D24" s="43">
        <f t="shared" si="3"/>
        <v>0</v>
      </c>
      <c r="E24" s="151">
        <f t="shared" ref="E23:E33" si="30">E23</f>
        <v>29304823</v>
      </c>
      <c r="F24" s="43">
        <f t="shared" si="4"/>
        <v>0</v>
      </c>
      <c r="G24" s="152">
        <f t="shared" ref="G23:G33" si="31">G23</f>
        <v>92969839</v>
      </c>
      <c r="H24" s="43">
        <f t="shared" si="5"/>
        <v>0</v>
      </c>
      <c r="I24" s="153">
        <f t="shared" si="6"/>
        <v>0</v>
      </c>
      <c r="J24" s="151">
        <f t="shared" ref="J23:J33" si="32">J23</f>
        <v>9199884</v>
      </c>
      <c r="K24" s="43">
        <f t="shared" si="14"/>
        <v>0</v>
      </c>
      <c r="L24" s="154">
        <f t="shared" ref="L23:L33" si="33">L23</f>
        <v>9183939</v>
      </c>
      <c r="M24" s="43">
        <f t="shared" si="7"/>
        <v>0</v>
      </c>
      <c r="N24" s="151">
        <f t="shared" ref="N23:N33" si="34">N23</f>
        <v>6218018</v>
      </c>
      <c r="O24" s="43">
        <f t="shared" si="15"/>
        <v>0</v>
      </c>
      <c r="P24" s="154">
        <f t="shared" ref="P23:P33" si="35">P23</f>
        <v>5680700</v>
      </c>
      <c r="Q24" s="43">
        <f t="shared" si="8"/>
        <v>0</v>
      </c>
      <c r="R24" s="151">
        <f t="shared" ref="R23:R33" si="36">R23</f>
        <v>19650721</v>
      </c>
      <c r="S24" s="43">
        <f t="shared" si="9"/>
        <v>0</v>
      </c>
      <c r="T24" s="151">
        <v>0</v>
      </c>
      <c r="U24" s="155"/>
      <c r="V24" s="151">
        <f t="shared" ref="V23:V33" si="37">V23</f>
        <v>7531061</v>
      </c>
      <c r="W24" s="43">
        <f t="shared" si="10"/>
        <v>0</v>
      </c>
      <c r="X24" s="21">
        <f t="shared" si="11"/>
        <v>0</v>
      </c>
      <c r="Y24" s="156">
        <f t="shared" si="12"/>
        <v>0</v>
      </c>
      <c r="Z24" s="3">
        <f t="shared" si="13"/>
        <v>0</v>
      </c>
      <c r="AA24" s="3">
        <f t="shared" si="16"/>
        <v>17120.588804799998</v>
      </c>
    </row>
    <row r="25" spans="1:27" ht="16.5" thickBot="1" x14ac:dyDescent="0.3">
      <c r="A25" s="10">
        <v>44553</v>
      </c>
      <c r="B25" s="43">
        <v>0</v>
      </c>
      <c r="C25" s="150">
        <f t="shared" si="29"/>
        <v>19236</v>
      </c>
      <c r="D25" s="43">
        <f t="shared" si="3"/>
        <v>0</v>
      </c>
      <c r="E25" s="151">
        <f t="shared" si="30"/>
        <v>29304823</v>
      </c>
      <c r="F25" s="43">
        <f t="shared" si="4"/>
        <v>0</v>
      </c>
      <c r="G25" s="152">
        <f t="shared" si="31"/>
        <v>92969839</v>
      </c>
      <c r="H25" s="43">
        <f t="shared" si="5"/>
        <v>0</v>
      </c>
      <c r="I25" s="153">
        <f t="shared" si="6"/>
        <v>0</v>
      </c>
      <c r="J25" s="151">
        <f t="shared" si="32"/>
        <v>9199884</v>
      </c>
      <c r="K25" s="43">
        <f t="shared" si="14"/>
        <v>0</v>
      </c>
      <c r="L25" s="154">
        <f t="shared" si="33"/>
        <v>9183939</v>
      </c>
      <c r="M25" s="43">
        <f t="shared" si="7"/>
        <v>0</v>
      </c>
      <c r="N25" s="151">
        <f t="shared" si="34"/>
        <v>6218018</v>
      </c>
      <c r="O25" s="43">
        <f t="shared" si="15"/>
        <v>0</v>
      </c>
      <c r="P25" s="154">
        <f t="shared" si="35"/>
        <v>5680700</v>
      </c>
      <c r="Q25" s="43">
        <f t="shared" si="8"/>
        <v>0</v>
      </c>
      <c r="R25" s="151">
        <f t="shared" si="36"/>
        <v>19650721</v>
      </c>
      <c r="S25" s="43">
        <f t="shared" si="9"/>
        <v>0</v>
      </c>
      <c r="T25" s="151">
        <v>0</v>
      </c>
      <c r="U25" s="155"/>
      <c r="V25" s="151">
        <f t="shared" si="37"/>
        <v>7531061</v>
      </c>
      <c r="W25" s="43">
        <f t="shared" si="10"/>
        <v>0</v>
      </c>
      <c r="X25" s="21">
        <f t="shared" si="11"/>
        <v>0</v>
      </c>
      <c r="Y25" s="156">
        <f t="shared" si="12"/>
        <v>0</v>
      </c>
      <c r="Z25" s="3">
        <f t="shared" si="13"/>
        <v>0</v>
      </c>
      <c r="AA25" s="3">
        <f t="shared" si="16"/>
        <v>10567.907958399999</v>
      </c>
    </row>
    <row r="26" spans="1:27" ht="16.5" thickBot="1" x14ac:dyDescent="0.3">
      <c r="A26" s="10">
        <v>44554</v>
      </c>
      <c r="B26" s="43">
        <v>0</v>
      </c>
      <c r="C26" s="150">
        <f t="shared" si="29"/>
        <v>19236</v>
      </c>
      <c r="D26" s="43">
        <f t="shared" si="3"/>
        <v>0</v>
      </c>
      <c r="E26" s="151">
        <f t="shared" si="30"/>
        <v>29304823</v>
      </c>
      <c r="F26" s="43">
        <f t="shared" si="4"/>
        <v>0</v>
      </c>
      <c r="G26" s="152">
        <f t="shared" si="31"/>
        <v>92969839</v>
      </c>
      <c r="H26" s="43">
        <f t="shared" si="5"/>
        <v>0</v>
      </c>
      <c r="I26" s="153">
        <f t="shared" si="6"/>
        <v>0</v>
      </c>
      <c r="J26" s="151">
        <f t="shared" si="32"/>
        <v>9199884</v>
      </c>
      <c r="K26" s="43">
        <f t="shared" si="14"/>
        <v>0</v>
      </c>
      <c r="L26" s="154">
        <f t="shared" si="33"/>
        <v>9183939</v>
      </c>
      <c r="M26" s="43">
        <f t="shared" si="7"/>
        <v>0</v>
      </c>
      <c r="N26" s="151">
        <f t="shared" si="34"/>
        <v>6218018</v>
      </c>
      <c r="O26" s="43">
        <f t="shared" si="15"/>
        <v>0</v>
      </c>
      <c r="P26" s="154">
        <f t="shared" si="35"/>
        <v>5680700</v>
      </c>
      <c r="Q26" s="43">
        <f t="shared" si="8"/>
        <v>0</v>
      </c>
      <c r="R26" s="151">
        <f t="shared" si="36"/>
        <v>19650721</v>
      </c>
      <c r="S26" s="43">
        <f t="shared" si="9"/>
        <v>0</v>
      </c>
      <c r="T26" s="151">
        <v>0</v>
      </c>
      <c r="U26" s="155"/>
      <c r="V26" s="151">
        <f t="shared" si="37"/>
        <v>7531061</v>
      </c>
      <c r="W26" s="43">
        <f t="shared" si="10"/>
        <v>0</v>
      </c>
      <c r="X26" s="21">
        <f t="shared" si="11"/>
        <v>0</v>
      </c>
      <c r="Y26" s="156">
        <f t="shared" si="12"/>
        <v>0</v>
      </c>
      <c r="Z26" s="3">
        <f t="shared" si="13"/>
        <v>0</v>
      </c>
      <c r="AA26" s="3">
        <f t="shared" si="16"/>
        <v>4137.0733663999999</v>
      </c>
    </row>
    <row r="27" spans="1:27" ht="16.5" thickBot="1" x14ac:dyDescent="0.3">
      <c r="A27" s="10">
        <v>44555</v>
      </c>
      <c r="B27" s="43">
        <v>0</v>
      </c>
      <c r="C27" s="150">
        <f t="shared" si="29"/>
        <v>19236</v>
      </c>
      <c r="D27" s="43">
        <f t="shared" si="3"/>
        <v>0</v>
      </c>
      <c r="E27" s="151">
        <f t="shared" si="30"/>
        <v>29304823</v>
      </c>
      <c r="F27" s="43">
        <f t="shared" si="4"/>
        <v>0</v>
      </c>
      <c r="G27" s="152">
        <f t="shared" si="31"/>
        <v>92969839</v>
      </c>
      <c r="H27" s="43">
        <f t="shared" si="5"/>
        <v>0</v>
      </c>
      <c r="I27" s="153">
        <f t="shared" si="6"/>
        <v>0</v>
      </c>
      <c r="J27" s="151">
        <f t="shared" si="32"/>
        <v>9199884</v>
      </c>
      <c r="K27" s="43">
        <f t="shared" si="14"/>
        <v>0</v>
      </c>
      <c r="L27" s="154">
        <f t="shared" si="33"/>
        <v>9183939</v>
      </c>
      <c r="M27" s="43">
        <f t="shared" si="7"/>
        <v>0</v>
      </c>
      <c r="N27" s="151">
        <f t="shared" si="34"/>
        <v>6218018</v>
      </c>
      <c r="O27" s="43">
        <f t="shared" si="15"/>
        <v>0</v>
      </c>
      <c r="P27" s="154">
        <f t="shared" si="35"/>
        <v>5680700</v>
      </c>
      <c r="Q27" s="43">
        <f t="shared" si="8"/>
        <v>0</v>
      </c>
      <c r="R27" s="151">
        <f t="shared" si="36"/>
        <v>19650721</v>
      </c>
      <c r="S27" s="43">
        <f t="shared" si="9"/>
        <v>0</v>
      </c>
      <c r="T27" s="151">
        <v>0</v>
      </c>
      <c r="U27" s="155"/>
      <c r="V27" s="151">
        <f t="shared" si="37"/>
        <v>7531061</v>
      </c>
      <c r="W27" s="43">
        <f t="shared" si="10"/>
        <v>0</v>
      </c>
      <c r="X27" s="21">
        <f t="shared" si="11"/>
        <v>0</v>
      </c>
      <c r="Y27" s="156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10">
        <v>44556</v>
      </c>
      <c r="B28" s="43">
        <v>0</v>
      </c>
      <c r="C28" s="150">
        <f t="shared" si="29"/>
        <v>19236</v>
      </c>
      <c r="D28" s="43">
        <f t="shared" si="3"/>
        <v>0</v>
      </c>
      <c r="E28" s="151">
        <f t="shared" si="30"/>
        <v>29304823</v>
      </c>
      <c r="F28" s="43">
        <f t="shared" si="4"/>
        <v>0</v>
      </c>
      <c r="G28" s="152">
        <f t="shared" si="31"/>
        <v>92969839</v>
      </c>
      <c r="H28" s="43">
        <f t="shared" si="5"/>
        <v>0</v>
      </c>
      <c r="I28" s="153">
        <f t="shared" si="6"/>
        <v>0</v>
      </c>
      <c r="J28" s="151">
        <f t="shared" si="32"/>
        <v>9199884</v>
      </c>
      <c r="K28" s="43">
        <f t="shared" si="14"/>
        <v>0</v>
      </c>
      <c r="L28" s="154">
        <f t="shared" si="33"/>
        <v>9183939</v>
      </c>
      <c r="M28" s="43">
        <f t="shared" si="7"/>
        <v>0</v>
      </c>
      <c r="N28" s="151">
        <f t="shared" si="34"/>
        <v>6218018</v>
      </c>
      <c r="O28" s="43">
        <f t="shared" si="15"/>
        <v>0</v>
      </c>
      <c r="P28" s="154">
        <f t="shared" si="35"/>
        <v>5680700</v>
      </c>
      <c r="Q28" s="43">
        <f t="shared" si="8"/>
        <v>0</v>
      </c>
      <c r="R28" s="151">
        <f t="shared" si="36"/>
        <v>19650721</v>
      </c>
      <c r="S28" s="43">
        <f t="shared" si="9"/>
        <v>0</v>
      </c>
      <c r="T28" s="151">
        <v>0</v>
      </c>
      <c r="U28" s="155"/>
      <c r="V28" s="151">
        <f t="shared" si="37"/>
        <v>7531061</v>
      </c>
      <c r="W28" s="43">
        <f t="shared" si="10"/>
        <v>0</v>
      </c>
      <c r="X28" s="21">
        <f t="shared" si="11"/>
        <v>0</v>
      </c>
      <c r="Y28" s="156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10">
        <v>44557</v>
      </c>
      <c r="B29" s="43">
        <v>0</v>
      </c>
      <c r="C29" s="150">
        <f t="shared" si="29"/>
        <v>19236</v>
      </c>
      <c r="D29" s="43">
        <f t="shared" si="3"/>
        <v>0</v>
      </c>
      <c r="E29" s="151">
        <f t="shared" si="30"/>
        <v>29304823</v>
      </c>
      <c r="F29" s="43">
        <f t="shared" si="4"/>
        <v>0</v>
      </c>
      <c r="G29" s="152">
        <f t="shared" si="31"/>
        <v>92969839</v>
      </c>
      <c r="H29" s="43">
        <f t="shared" si="5"/>
        <v>0</v>
      </c>
      <c r="I29" s="153">
        <f t="shared" si="6"/>
        <v>0</v>
      </c>
      <c r="J29" s="151">
        <f t="shared" si="32"/>
        <v>9199884</v>
      </c>
      <c r="K29" s="43">
        <f t="shared" si="14"/>
        <v>0</v>
      </c>
      <c r="L29" s="154">
        <f t="shared" si="33"/>
        <v>9183939</v>
      </c>
      <c r="M29" s="43">
        <f t="shared" si="7"/>
        <v>0</v>
      </c>
      <c r="N29" s="151">
        <f t="shared" si="34"/>
        <v>6218018</v>
      </c>
      <c r="O29" s="43">
        <f t="shared" si="15"/>
        <v>0</v>
      </c>
      <c r="P29" s="154">
        <f t="shared" si="35"/>
        <v>5680700</v>
      </c>
      <c r="Q29" s="43">
        <f t="shared" si="8"/>
        <v>0</v>
      </c>
      <c r="R29" s="151">
        <f t="shared" si="36"/>
        <v>19650721</v>
      </c>
      <c r="S29" s="43">
        <f t="shared" si="9"/>
        <v>0</v>
      </c>
      <c r="T29" s="151">
        <v>0</v>
      </c>
      <c r="U29" s="155"/>
      <c r="V29" s="151">
        <f t="shared" si="37"/>
        <v>7531061</v>
      </c>
      <c r="W29" s="43">
        <f t="shared" si="10"/>
        <v>0</v>
      </c>
      <c r="X29" s="21">
        <f t="shared" si="11"/>
        <v>0</v>
      </c>
      <c r="Y29" s="156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10">
        <v>44558</v>
      </c>
      <c r="B30" s="43">
        <v>0</v>
      </c>
      <c r="C30" s="150">
        <f t="shared" si="29"/>
        <v>19236</v>
      </c>
      <c r="D30" s="43">
        <f t="shared" si="3"/>
        <v>0</v>
      </c>
      <c r="E30" s="151">
        <f t="shared" si="30"/>
        <v>29304823</v>
      </c>
      <c r="F30" s="43">
        <f t="shared" si="4"/>
        <v>0</v>
      </c>
      <c r="G30" s="152">
        <f t="shared" si="31"/>
        <v>92969839</v>
      </c>
      <c r="H30" s="43">
        <f t="shared" si="5"/>
        <v>0</v>
      </c>
      <c r="I30" s="153">
        <f t="shared" si="6"/>
        <v>0</v>
      </c>
      <c r="J30" s="151">
        <f t="shared" si="32"/>
        <v>9199884</v>
      </c>
      <c r="K30" s="43">
        <f t="shared" si="14"/>
        <v>0</v>
      </c>
      <c r="L30" s="154">
        <f t="shared" si="33"/>
        <v>9183939</v>
      </c>
      <c r="M30" s="43">
        <f t="shared" si="7"/>
        <v>0</v>
      </c>
      <c r="N30" s="151">
        <f t="shared" si="34"/>
        <v>6218018</v>
      </c>
      <c r="O30" s="43">
        <f t="shared" si="15"/>
        <v>0</v>
      </c>
      <c r="P30" s="154">
        <f t="shared" si="35"/>
        <v>5680700</v>
      </c>
      <c r="Q30" s="43">
        <f t="shared" si="8"/>
        <v>0</v>
      </c>
      <c r="R30" s="151">
        <f t="shared" si="36"/>
        <v>19650721</v>
      </c>
      <c r="S30" s="43">
        <f t="shared" si="9"/>
        <v>0</v>
      </c>
      <c r="T30" s="151">
        <v>0</v>
      </c>
      <c r="U30" s="155"/>
      <c r="V30" s="151">
        <f t="shared" si="37"/>
        <v>7531061</v>
      </c>
      <c r="W30" s="43">
        <f t="shared" si="10"/>
        <v>0</v>
      </c>
      <c r="X30" s="21">
        <f t="shared" si="11"/>
        <v>0</v>
      </c>
      <c r="Y30" s="156">
        <f t="shared" si="12"/>
        <v>0</v>
      </c>
      <c r="Z30" s="3">
        <f t="shared" si="13"/>
        <v>0</v>
      </c>
      <c r="AA30" s="3">
        <f t="shared" si="16"/>
        <v>0</v>
      </c>
    </row>
    <row r="31" spans="1:27" ht="16.5" thickBot="1" x14ac:dyDescent="0.3">
      <c r="A31" s="10">
        <v>44559</v>
      </c>
      <c r="B31" s="43">
        <v>0</v>
      </c>
      <c r="C31" s="150">
        <f t="shared" si="29"/>
        <v>19236</v>
      </c>
      <c r="D31" s="43">
        <f t="shared" si="3"/>
        <v>0</v>
      </c>
      <c r="E31" s="151">
        <f t="shared" si="30"/>
        <v>29304823</v>
      </c>
      <c r="F31" s="43">
        <f t="shared" si="4"/>
        <v>0</v>
      </c>
      <c r="G31" s="152">
        <f t="shared" si="31"/>
        <v>92969839</v>
      </c>
      <c r="H31" s="43">
        <f t="shared" si="5"/>
        <v>0</v>
      </c>
      <c r="I31" s="153">
        <f t="shared" si="6"/>
        <v>0</v>
      </c>
      <c r="J31" s="151">
        <f t="shared" si="32"/>
        <v>9199884</v>
      </c>
      <c r="K31" s="43">
        <f t="shared" si="14"/>
        <v>0</v>
      </c>
      <c r="L31" s="154">
        <f t="shared" si="33"/>
        <v>9183939</v>
      </c>
      <c r="M31" s="43">
        <f t="shared" si="7"/>
        <v>0</v>
      </c>
      <c r="N31" s="151">
        <f t="shared" si="34"/>
        <v>6218018</v>
      </c>
      <c r="O31" s="43">
        <f t="shared" si="15"/>
        <v>0</v>
      </c>
      <c r="P31" s="154">
        <f t="shared" si="35"/>
        <v>5680700</v>
      </c>
      <c r="Q31" s="43">
        <f t="shared" si="8"/>
        <v>0</v>
      </c>
      <c r="R31" s="151">
        <f t="shared" si="36"/>
        <v>19650721</v>
      </c>
      <c r="S31" s="43">
        <f t="shared" si="9"/>
        <v>0</v>
      </c>
      <c r="T31" s="151">
        <v>0</v>
      </c>
      <c r="U31" s="11"/>
      <c r="V31" s="151">
        <f t="shared" si="37"/>
        <v>7531061</v>
      </c>
      <c r="W31" s="43">
        <f t="shared" si="10"/>
        <v>0</v>
      </c>
      <c r="X31" s="21">
        <f t="shared" si="11"/>
        <v>0</v>
      </c>
      <c r="Y31" s="156">
        <f t="shared" si="12"/>
        <v>0</v>
      </c>
      <c r="Z31" s="3">
        <f t="shared" si="13"/>
        <v>0</v>
      </c>
      <c r="AA31" s="3">
        <f t="shared" si="16"/>
        <v>0</v>
      </c>
    </row>
    <row r="32" spans="1:27" ht="16.5" thickBot="1" x14ac:dyDescent="0.3">
      <c r="A32" s="10">
        <v>44560</v>
      </c>
      <c r="B32" s="43">
        <v>0</v>
      </c>
      <c r="C32" s="150">
        <f t="shared" si="29"/>
        <v>19236</v>
      </c>
      <c r="D32" s="43">
        <f t="shared" si="3"/>
        <v>0</v>
      </c>
      <c r="E32" s="151">
        <f t="shared" si="30"/>
        <v>29304823</v>
      </c>
      <c r="F32" s="43">
        <f t="shared" si="4"/>
        <v>0</v>
      </c>
      <c r="G32" s="152">
        <f t="shared" si="31"/>
        <v>92969839</v>
      </c>
      <c r="H32" s="43">
        <f t="shared" si="5"/>
        <v>0</v>
      </c>
      <c r="I32" s="21">
        <f>F32+H32</f>
        <v>0</v>
      </c>
      <c r="J32" s="151">
        <f t="shared" si="32"/>
        <v>9199884</v>
      </c>
      <c r="K32" s="43">
        <f t="shared" si="14"/>
        <v>0</v>
      </c>
      <c r="L32" s="154">
        <f t="shared" si="33"/>
        <v>9183939</v>
      </c>
      <c r="M32" s="43">
        <f t="shared" si="7"/>
        <v>0</v>
      </c>
      <c r="N32" s="151">
        <f t="shared" si="34"/>
        <v>6218018</v>
      </c>
      <c r="O32" s="43">
        <f t="shared" si="15"/>
        <v>0</v>
      </c>
      <c r="P32" s="154">
        <f t="shared" si="35"/>
        <v>5680700</v>
      </c>
      <c r="Q32" s="43">
        <f t="shared" si="8"/>
        <v>0</v>
      </c>
      <c r="R32" s="151">
        <f t="shared" si="36"/>
        <v>19650721</v>
      </c>
      <c r="S32" s="43">
        <f t="shared" si="9"/>
        <v>0</v>
      </c>
      <c r="T32" s="151">
        <v>0</v>
      </c>
      <c r="U32" s="11"/>
      <c r="V32" s="151">
        <f t="shared" si="37"/>
        <v>7531061</v>
      </c>
      <c r="W32" s="43">
        <f t="shared" si="10"/>
        <v>0</v>
      </c>
      <c r="X32" s="21">
        <f t="shared" si="11"/>
        <v>0</v>
      </c>
      <c r="Y32" s="156">
        <f t="shared" si="12"/>
        <v>0</v>
      </c>
      <c r="Z32" s="3">
        <f t="shared" si="13"/>
        <v>0</v>
      </c>
      <c r="AA32" s="3">
        <f t="shared" si="16"/>
        <v>0</v>
      </c>
    </row>
    <row r="33" spans="1:27" ht="16.5" thickBot="1" x14ac:dyDescent="0.3">
      <c r="A33" s="10">
        <v>44561</v>
      </c>
      <c r="B33" s="43">
        <v>0</v>
      </c>
      <c r="C33" s="150">
        <f t="shared" si="29"/>
        <v>19236</v>
      </c>
      <c r="D33" s="43">
        <f t="shared" si="3"/>
        <v>0</v>
      </c>
      <c r="E33" s="151">
        <f t="shared" si="30"/>
        <v>29304823</v>
      </c>
      <c r="F33" s="43">
        <f t="shared" si="4"/>
        <v>0</v>
      </c>
      <c r="G33" s="152">
        <f t="shared" si="31"/>
        <v>92969839</v>
      </c>
      <c r="H33" s="43">
        <f t="shared" si="5"/>
        <v>0</v>
      </c>
      <c r="I33" s="21">
        <f>F33+H33</f>
        <v>0</v>
      </c>
      <c r="J33" s="151">
        <f t="shared" si="32"/>
        <v>9199884</v>
      </c>
      <c r="K33" s="43">
        <f t="shared" si="14"/>
        <v>0</v>
      </c>
      <c r="L33" s="154">
        <f t="shared" si="33"/>
        <v>9183939</v>
      </c>
      <c r="M33" s="43">
        <f t="shared" si="7"/>
        <v>0</v>
      </c>
      <c r="N33" s="151">
        <f t="shared" si="34"/>
        <v>6218018</v>
      </c>
      <c r="O33" s="43">
        <f t="shared" si="15"/>
        <v>0</v>
      </c>
      <c r="P33" s="154">
        <f t="shared" si="35"/>
        <v>5680700</v>
      </c>
      <c r="Q33" s="43">
        <f t="shared" si="8"/>
        <v>0</v>
      </c>
      <c r="R33" s="151">
        <f t="shared" si="36"/>
        <v>19650721</v>
      </c>
      <c r="S33" s="43">
        <f t="shared" si="9"/>
        <v>0</v>
      </c>
      <c r="T33" s="151">
        <v>0</v>
      </c>
      <c r="U33" s="11"/>
      <c r="V33" s="151">
        <f t="shared" si="37"/>
        <v>7531061</v>
      </c>
      <c r="W33" s="43">
        <f t="shared" si="10"/>
        <v>0</v>
      </c>
      <c r="X33" s="21">
        <f t="shared" si="11"/>
        <v>0</v>
      </c>
      <c r="Y33" s="156">
        <f t="shared" si="12"/>
        <v>0</v>
      </c>
      <c r="Z33" s="3">
        <f t="shared" si="13"/>
        <v>0</v>
      </c>
      <c r="AA33" s="3">
        <f t="shared" si="16"/>
        <v>0</v>
      </c>
    </row>
    <row r="34" spans="1:27" ht="16.5" thickBot="1" x14ac:dyDescent="0.3">
      <c r="A34" s="6" t="s">
        <v>23</v>
      </c>
      <c r="B34" s="142">
        <f>SUM(B3:B33)</f>
        <v>4870</v>
      </c>
      <c r="C34" s="142"/>
      <c r="D34" s="142">
        <f>SUM(D3:D33)</f>
        <v>9920</v>
      </c>
      <c r="E34" s="60">
        <v>0</v>
      </c>
      <c r="F34" s="60">
        <f>SUM(F3:F33)</f>
        <v>301225</v>
      </c>
      <c r="G34" s="60">
        <v>0</v>
      </c>
      <c r="H34" s="60">
        <f>SUM(H3:H33)</f>
        <v>829929</v>
      </c>
      <c r="I34" s="60">
        <f>SUM(I6:I33)</f>
        <v>949331</v>
      </c>
      <c r="J34" s="60">
        <v>0</v>
      </c>
      <c r="K34" s="60">
        <f>SUM(K3:K33)</f>
        <v>199422</v>
      </c>
      <c r="L34" s="60">
        <v>0</v>
      </c>
      <c r="M34" s="60">
        <f>SUM(M3:M33)</f>
        <v>131712</v>
      </c>
      <c r="N34" s="60">
        <v>0</v>
      </c>
      <c r="O34" s="60">
        <f>SUM(O3:O33)</f>
        <v>168144</v>
      </c>
      <c r="P34" s="60">
        <v>0</v>
      </c>
      <c r="Q34" s="60">
        <f>SUM(Q3:Q33)</f>
        <v>62144</v>
      </c>
      <c r="R34" s="60">
        <v>0</v>
      </c>
      <c r="S34" s="60">
        <f>SUM(S3:S33)</f>
        <v>204295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221833</v>
      </c>
      <c r="X34" s="60">
        <f>SUM(X6:X33)</f>
        <v>827809</v>
      </c>
      <c r="Y34" s="60">
        <f>SUM(Y3:Y33)</f>
        <v>143604</v>
      </c>
      <c r="Z34" s="60">
        <f>SUM(Z3:Z33)</f>
        <v>136766.07592960002</v>
      </c>
      <c r="AA34" s="60">
        <f>SUM(AA3:AA33)</f>
        <v>538780.98256320006</v>
      </c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24" sqref="H2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v>433940</v>
      </c>
      <c r="C9" s="43">
        <f t="shared" ref="C9:C33" si="8">(IF((B9-B8)&lt;0,"0",(B9-B8)))*10</f>
        <v>1060</v>
      </c>
      <c r="D9" s="3">
        <v>370</v>
      </c>
      <c r="E9" s="43">
        <f t="shared" si="3"/>
        <v>390</v>
      </c>
      <c r="F9" s="3">
        <v>7106000</v>
      </c>
      <c r="G9" s="43">
        <f t="shared" si="6"/>
        <v>653.4</v>
      </c>
      <c r="H9" s="3">
        <v>761803</v>
      </c>
      <c r="I9" s="48">
        <f t="shared" si="7"/>
        <v>5.4</v>
      </c>
      <c r="J9" s="21">
        <f t="shared" si="4"/>
        <v>2108.8000000000002</v>
      </c>
      <c r="K9" s="22">
        <f t="shared" si="5"/>
        <v>12357.568000000001</v>
      </c>
    </row>
    <row r="10" spans="1:14" ht="16.5" thickBot="1" x14ac:dyDescent="0.3">
      <c r="A10" s="10">
        <v>44538</v>
      </c>
      <c r="B10" s="3">
        <v>434031</v>
      </c>
      <c r="C10" s="43">
        <f>(IF((B10-B9)&lt;0,"0",(B10-B9)))*10</f>
        <v>910</v>
      </c>
      <c r="D10" s="3">
        <v>410</v>
      </c>
      <c r="E10" s="43">
        <f t="shared" si="3"/>
        <v>400</v>
      </c>
      <c r="F10" s="3">
        <v>7120800</v>
      </c>
      <c r="G10" s="43">
        <f t="shared" si="6"/>
        <v>399.6</v>
      </c>
      <c r="H10" s="3">
        <v>761900</v>
      </c>
      <c r="I10" s="48">
        <f t="shared" si="7"/>
        <v>2.6189999999999998</v>
      </c>
      <c r="J10" s="21">
        <f t="shared" si="4"/>
        <v>1712.2189999999998</v>
      </c>
      <c r="K10" s="22">
        <f t="shared" si="5"/>
        <v>10033.60334</v>
      </c>
    </row>
    <row r="11" spans="1:14" ht="16.5" thickBot="1" x14ac:dyDescent="0.3">
      <c r="A11" s="10">
        <v>44539</v>
      </c>
      <c r="B11" s="3">
        <v>434122</v>
      </c>
      <c r="C11" s="43">
        <f t="shared" si="8"/>
        <v>910</v>
      </c>
      <c r="D11" s="3">
        <v>452</v>
      </c>
      <c r="E11" s="43">
        <f t="shared" si="3"/>
        <v>420</v>
      </c>
      <c r="F11" s="3">
        <v>7131600</v>
      </c>
      <c r="G11" s="43">
        <f t="shared" si="6"/>
        <v>291.60000000000002</v>
      </c>
      <c r="H11" s="3">
        <v>762203</v>
      </c>
      <c r="I11" s="48">
        <f t="shared" si="7"/>
        <v>8.1809999999999992</v>
      </c>
      <c r="J11" s="21">
        <f t="shared" si="4"/>
        <v>1629.7809999999999</v>
      </c>
      <c r="K11" s="22">
        <f t="shared" si="5"/>
        <v>9550.5166599999993</v>
      </c>
      <c r="N11" t="s">
        <v>12</v>
      </c>
    </row>
    <row r="12" spans="1:14" ht="16.5" thickBot="1" x14ac:dyDescent="0.3">
      <c r="A12" s="10">
        <v>44540</v>
      </c>
      <c r="B12" s="3">
        <v>434174</v>
      </c>
      <c r="C12" s="43">
        <f t="shared" si="8"/>
        <v>520</v>
      </c>
      <c r="D12" s="3">
        <v>489</v>
      </c>
      <c r="E12" s="43">
        <f t="shared" si="3"/>
        <v>370</v>
      </c>
      <c r="F12" s="3">
        <v>7143000</v>
      </c>
      <c r="G12" s="43">
        <f t="shared" si="6"/>
        <v>307.8</v>
      </c>
      <c r="H12" s="3">
        <v>762368</v>
      </c>
      <c r="I12" s="48">
        <f t="shared" si="7"/>
        <v>4.4550000000000001</v>
      </c>
      <c r="J12" s="21">
        <f t="shared" si="4"/>
        <v>1202.2549999999999</v>
      </c>
      <c r="K12" s="22">
        <f t="shared" si="5"/>
        <v>7045.2142999999996</v>
      </c>
    </row>
    <row r="13" spans="1:14" ht="16.5" thickBot="1" x14ac:dyDescent="0.3">
      <c r="A13" s="10">
        <v>44541</v>
      </c>
      <c r="B13" s="3">
        <v>434244</v>
      </c>
      <c r="C13" s="43">
        <f t="shared" si="8"/>
        <v>700</v>
      </c>
      <c r="D13" s="3">
        <v>520</v>
      </c>
      <c r="E13" s="43">
        <f t="shared" si="3"/>
        <v>310</v>
      </c>
      <c r="F13" s="3">
        <v>7151900</v>
      </c>
      <c r="G13" s="43">
        <f t="shared" si="6"/>
        <v>240.3</v>
      </c>
      <c r="H13" s="3">
        <v>762551</v>
      </c>
      <c r="I13" s="48">
        <f t="shared" si="7"/>
        <v>4.9409999999999998</v>
      </c>
      <c r="J13" s="21">
        <f t="shared" si="4"/>
        <v>1255.241</v>
      </c>
      <c r="K13" s="22">
        <f t="shared" si="5"/>
        <v>7355.7122600000002</v>
      </c>
    </row>
    <row r="14" spans="1:14" ht="16.5" thickBot="1" x14ac:dyDescent="0.3">
      <c r="A14" s="10">
        <v>44542</v>
      </c>
      <c r="B14" s="3">
        <v>434332</v>
      </c>
      <c r="C14" s="43">
        <f t="shared" si="8"/>
        <v>880</v>
      </c>
      <c r="D14" s="3">
        <v>560</v>
      </c>
      <c r="E14" s="43">
        <f t="shared" si="3"/>
        <v>400</v>
      </c>
      <c r="F14" s="3">
        <v>7163700</v>
      </c>
      <c r="G14" s="43">
        <f t="shared" si="6"/>
        <v>318.60000000000002</v>
      </c>
      <c r="H14" s="3">
        <v>762754</v>
      </c>
      <c r="I14" s="48">
        <f t="shared" si="7"/>
        <v>5.4809999999999999</v>
      </c>
      <c r="J14" s="21">
        <f t="shared" si="4"/>
        <v>1604.0809999999999</v>
      </c>
      <c r="K14" s="22">
        <f t="shared" si="5"/>
        <v>9399.9146600000004</v>
      </c>
    </row>
    <row r="15" spans="1:14" ht="16.5" thickBot="1" x14ac:dyDescent="0.3">
      <c r="A15" s="10">
        <v>44543</v>
      </c>
      <c r="B15" s="3">
        <v>434410</v>
      </c>
      <c r="C15" s="43">
        <f t="shared" si="8"/>
        <v>780</v>
      </c>
      <c r="D15" s="3">
        <v>601</v>
      </c>
      <c r="E15" s="43">
        <f t="shared" si="3"/>
        <v>410</v>
      </c>
      <c r="F15" s="3">
        <v>7176200</v>
      </c>
      <c r="G15" s="43">
        <f t="shared" si="6"/>
        <v>337.5</v>
      </c>
      <c r="H15" s="3">
        <v>762944</v>
      </c>
      <c r="I15" s="48">
        <f t="shared" si="7"/>
        <v>5.13</v>
      </c>
      <c r="J15" s="21">
        <f t="shared" si="4"/>
        <v>1532.63</v>
      </c>
      <c r="K15" s="22">
        <f t="shared" si="5"/>
        <v>8981.2118000000009</v>
      </c>
    </row>
    <row r="16" spans="1:14" ht="16.5" thickBot="1" x14ac:dyDescent="0.3">
      <c r="A16" s="10">
        <v>44544</v>
      </c>
      <c r="B16" s="3">
        <v>434497</v>
      </c>
      <c r="C16" s="43">
        <f t="shared" si="8"/>
        <v>870</v>
      </c>
      <c r="D16" s="3">
        <v>639</v>
      </c>
      <c r="E16" s="43">
        <f t="shared" si="3"/>
        <v>380</v>
      </c>
      <c r="F16" s="3">
        <v>7189500</v>
      </c>
      <c r="G16" s="43">
        <f t="shared" si="6"/>
        <v>359.1</v>
      </c>
      <c r="H16" s="3">
        <v>763124</v>
      </c>
      <c r="I16" s="48">
        <f t="shared" si="7"/>
        <v>4.8600000000000003</v>
      </c>
      <c r="J16" s="21">
        <f t="shared" si="4"/>
        <v>1613.9599999999998</v>
      </c>
      <c r="K16" s="22">
        <f t="shared" si="5"/>
        <v>9457.8055999999997</v>
      </c>
    </row>
    <row r="17" spans="1:25" ht="16.5" thickBot="1" x14ac:dyDescent="0.3">
      <c r="A17" s="10">
        <v>44545</v>
      </c>
      <c r="B17" s="3">
        <v>434574</v>
      </c>
      <c r="C17" s="43">
        <f t="shared" si="8"/>
        <v>770</v>
      </c>
      <c r="D17" s="3">
        <v>677</v>
      </c>
      <c r="E17" s="43">
        <f t="shared" si="3"/>
        <v>380</v>
      </c>
      <c r="F17" s="3">
        <v>7201000</v>
      </c>
      <c r="G17" s="43">
        <f t="shared" si="6"/>
        <v>310.5</v>
      </c>
      <c r="H17" s="3">
        <v>763320</v>
      </c>
      <c r="I17" s="48">
        <f t="shared" si="7"/>
        <v>5.2919999999999998</v>
      </c>
      <c r="J17" s="21">
        <f t="shared" si="4"/>
        <v>1465.7919999999999</v>
      </c>
      <c r="K17" s="22">
        <f t="shared" si="5"/>
        <v>8589.5411199999999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v>434650</v>
      </c>
      <c r="C18" s="43">
        <f t="shared" si="8"/>
        <v>760</v>
      </c>
      <c r="D18" s="3">
        <v>715</v>
      </c>
      <c r="E18" s="43">
        <f t="shared" si="3"/>
        <v>380</v>
      </c>
      <c r="F18" s="3">
        <v>7214300</v>
      </c>
      <c r="G18" s="43">
        <f t="shared" si="6"/>
        <v>359.1</v>
      </c>
      <c r="H18" s="3">
        <v>763532</v>
      </c>
      <c r="I18" s="48">
        <f t="shared" si="7"/>
        <v>5.7240000000000002</v>
      </c>
      <c r="J18" s="21">
        <f t="shared" si="4"/>
        <v>1504.8239999999998</v>
      </c>
      <c r="K18" s="22">
        <f t="shared" si="5"/>
        <v>8818.2686400000002</v>
      </c>
      <c r="Q18" t="s">
        <v>43</v>
      </c>
    </row>
    <row r="19" spans="1:25" ht="16.5" thickBot="1" x14ac:dyDescent="0.3">
      <c r="A19" s="10">
        <v>44547</v>
      </c>
      <c r="B19" s="3">
        <v>434723</v>
      </c>
      <c r="C19" s="43">
        <f t="shared" si="8"/>
        <v>730</v>
      </c>
      <c r="D19" s="3">
        <v>747</v>
      </c>
      <c r="E19" s="43">
        <f t="shared" si="3"/>
        <v>320</v>
      </c>
      <c r="F19" s="3">
        <v>7224500</v>
      </c>
      <c r="G19" s="43">
        <f t="shared" si="6"/>
        <v>275.39999999999998</v>
      </c>
      <c r="H19" s="3">
        <v>763699</v>
      </c>
      <c r="I19" s="48">
        <f t="shared" si="7"/>
        <v>4.5090000000000003</v>
      </c>
      <c r="J19" s="21">
        <f t="shared" si="4"/>
        <v>1329.9090000000001</v>
      </c>
      <c r="K19" s="22">
        <f t="shared" si="5"/>
        <v>7793.2667400000009</v>
      </c>
      <c r="Q19" t="s">
        <v>12</v>
      </c>
    </row>
    <row r="20" spans="1:25" ht="16.5" thickBot="1" x14ac:dyDescent="0.3">
      <c r="A20" s="10">
        <v>44548</v>
      </c>
      <c r="B20" s="3">
        <v>434794</v>
      </c>
      <c r="C20" s="43">
        <f t="shared" si="8"/>
        <v>710</v>
      </c>
      <c r="D20" s="3">
        <v>781</v>
      </c>
      <c r="E20" s="43">
        <f t="shared" si="3"/>
        <v>340</v>
      </c>
      <c r="F20" s="3">
        <v>7235600</v>
      </c>
      <c r="G20" s="43">
        <f t="shared" si="6"/>
        <v>299.7</v>
      </c>
      <c r="H20" s="3">
        <v>763879</v>
      </c>
      <c r="I20" s="48">
        <f t="shared" si="7"/>
        <v>4.8600000000000003</v>
      </c>
      <c r="J20" s="21">
        <f t="shared" si="4"/>
        <v>1354.56</v>
      </c>
      <c r="K20" s="22">
        <f t="shared" si="5"/>
        <v>7937.7215999999999</v>
      </c>
    </row>
    <row r="21" spans="1:25" ht="16.5" thickBot="1" x14ac:dyDescent="0.3">
      <c r="A21" s="10">
        <v>44549</v>
      </c>
      <c r="B21" s="3">
        <v>434874</v>
      </c>
      <c r="C21" s="43">
        <f t="shared" si="8"/>
        <v>800</v>
      </c>
      <c r="D21" s="3">
        <v>820</v>
      </c>
      <c r="E21" s="43">
        <f t="shared" si="3"/>
        <v>390</v>
      </c>
      <c r="F21" s="3">
        <v>7245200</v>
      </c>
      <c r="G21" s="43">
        <f t="shared" si="6"/>
        <v>259.2</v>
      </c>
      <c r="H21" s="3">
        <v>764057</v>
      </c>
      <c r="I21" s="48">
        <f t="shared" si="7"/>
        <v>4.806</v>
      </c>
      <c r="J21" s="21">
        <f t="shared" si="4"/>
        <v>1454.0060000000001</v>
      </c>
      <c r="K21" s="22">
        <f t="shared" si="5"/>
        <v>8520.4751600000018</v>
      </c>
    </row>
    <row r="22" spans="1:25" ht="16.5" thickBot="1" x14ac:dyDescent="0.3">
      <c r="A22" s="10">
        <v>44550</v>
      </c>
      <c r="B22" s="3">
        <v>434944</v>
      </c>
      <c r="C22" s="43">
        <f t="shared" si="8"/>
        <v>700</v>
      </c>
      <c r="D22" s="3">
        <v>855</v>
      </c>
      <c r="E22" s="43">
        <f t="shared" si="3"/>
        <v>350</v>
      </c>
      <c r="F22" s="3">
        <v>7255800</v>
      </c>
      <c r="G22" s="43">
        <f t="shared" si="6"/>
        <v>286.2</v>
      </c>
      <c r="H22" s="3">
        <v>764241</v>
      </c>
      <c r="I22" s="48">
        <f t="shared" si="7"/>
        <v>4.968</v>
      </c>
      <c r="J22" s="21">
        <f t="shared" si="4"/>
        <v>1341.1680000000001</v>
      </c>
      <c r="K22" s="22">
        <f t="shared" si="5"/>
        <v>7859.2444800000012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v>435016</v>
      </c>
      <c r="C23" s="43">
        <f t="shared" si="8"/>
        <v>720</v>
      </c>
      <c r="D23" s="3">
        <v>893</v>
      </c>
      <c r="E23" s="43">
        <f t="shared" si="3"/>
        <v>380</v>
      </c>
      <c r="F23" s="3">
        <v>7265000</v>
      </c>
      <c r="G23" s="43">
        <f t="shared" si="6"/>
        <v>248.4</v>
      </c>
      <c r="H23" s="3">
        <v>764416</v>
      </c>
      <c r="I23" s="48">
        <f t="shared" si="7"/>
        <v>4.7249999999999996</v>
      </c>
      <c r="J23" s="21">
        <f t="shared" si="4"/>
        <v>1353.125</v>
      </c>
      <c r="K23" s="22">
        <f t="shared" si="5"/>
        <v>7929.3125</v>
      </c>
      <c r="Q23" t="s">
        <v>12</v>
      </c>
    </row>
    <row r="24" spans="1:25" ht="16.5" thickBot="1" x14ac:dyDescent="0.3">
      <c r="A24" s="10">
        <v>44552</v>
      </c>
      <c r="B24" s="3">
        <f t="shared" ref="B23:B33" si="9">B23</f>
        <v>435016</v>
      </c>
      <c r="C24" s="43">
        <f t="shared" si="8"/>
        <v>0</v>
      </c>
      <c r="D24" s="3">
        <f t="shared" ref="D23:D33" si="10">D23</f>
        <v>893</v>
      </c>
      <c r="E24" s="43">
        <f t="shared" si="3"/>
        <v>0</v>
      </c>
      <c r="F24" s="3">
        <f t="shared" ref="F23:F33" si="11">F23</f>
        <v>7265000</v>
      </c>
      <c r="G24" s="43">
        <f t="shared" si="6"/>
        <v>0</v>
      </c>
      <c r="H24" s="3">
        <f t="shared" ref="H23:H33" si="12">H23</f>
        <v>764416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44553</v>
      </c>
      <c r="B25" s="3">
        <f t="shared" si="9"/>
        <v>435016</v>
      </c>
      <c r="C25" s="43">
        <f t="shared" si="8"/>
        <v>0</v>
      </c>
      <c r="D25" s="3">
        <f t="shared" si="10"/>
        <v>893</v>
      </c>
      <c r="E25" s="43">
        <f t="shared" si="3"/>
        <v>0</v>
      </c>
      <c r="F25" s="3">
        <f t="shared" si="11"/>
        <v>7265000</v>
      </c>
      <c r="G25" s="43">
        <f t="shared" si="6"/>
        <v>0</v>
      </c>
      <c r="H25" s="3">
        <f t="shared" si="12"/>
        <v>764416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44554</v>
      </c>
      <c r="B26" s="3">
        <f t="shared" si="9"/>
        <v>435016</v>
      </c>
      <c r="C26" s="43">
        <f t="shared" si="8"/>
        <v>0</v>
      </c>
      <c r="D26" s="3">
        <f t="shared" si="10"/>
        <v>893</v>
      </c>
      <c r="E26" s="43">
        <f t="shared" si="3"/>
        <v>0</v>
      </c>
      <c r="F26" s="3">
        <f t="shared" si="11"/>
        <v>7265000</v>
      </c>
      <c r="G26" s="43">
        <f t="shared" si="6"/>
        <v>0</v>
      </c>
      <c r="H26" s="3">
        <f t="shared" si="12"/>
        <v>764416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44555</v>
      </c>
      <c r="B27" s="3">
        <f t="shared" si="9"/>
        <v>435016</v>
      </c>
      <c r="C27" s="43">
        <f t="shared" si="8"/>
        <v>0</v>
      </c>
      <c r="D27" s="3">
        <f t="shared" si="10"/>
        <v>893</v>
      </c>
      <c r="E27" s="43">
        <f t="shared" si="3"/>
        <v>0</v>
      </c>
      <c r="F27" s="3">
        <f t="shared" si="11"/>
        <v>7265000</v>
      </c>
      <c r="G27" s="43">
        <f t="shared" si="6"/>
        <v>0</v>
      </c>
      <c r="H27" s="3">
        <f t="shared" si="12"/>
        <v>764416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44556</v>
      </c>
      <c r="B28" s="3">
        <f t="shared" si="9"/>
        <v>435016</v>
      </c>
      <c r="C28" s="43">
        <f t="shared" si="8"/>
        <v>0</v>
      </c>
      <c r="D28" s="3">
        <f t="shared" si="10"/>
        <v>893</v>
      </c>
      <c r="E28" s="43">
        <f t="shared" si="3"/>
        <v>0</v>
      </c>
      <c r="F28" s="3">
        <f t="shared" si="11"/>
        <v>7265000</v>
      </c>
      <c r="G28" s="43">
        <f t="shared" si="6"/>
        <v>0</v>
      </c>
      <c r="H28" s="3">
        <f t="shared" si="12"/>
        <v>764416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44557</v>
      </c>
      <c r="B29" s="3">
        <f t="shared" si="9"/>
        <v>435016</v>
      </c>
      <c r="C29" s="43">
        <f t="shared" si="8"/>
        <v>0</v>
      </c>
      <c r="D29" s="3">
        <f t="shared" si="10"/>
        <v>893</v>
      </c>
      <c r="E29" s="43">
        <f t="shared" si="3"/>
        <v>0</v>
      </c>
      <c r="F29" s="3">
        <f t="shared" si="11"/>
        <v>7265000</v>
      </c>
      <c r="G29" s="43">
        <f t="shared" si="6"/>
        <v>0</v>
      </c>
      <c r="H29" s="3">
        <f t="shared" si="12"/>
        <v>764416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9"/>
        <v>435016</v>
      </c>
      <c r="C30" s="43">
        <f t="shared" si="8"/>
        <v>0</v>
      </c>
      <c r="D30" s="3">
        <f t="shared" si="10"/>
        <v>893</v>
      </c>
      <c r="E30" s="43">
        <f t="shared" si="3"/>
        <v>0</v>
      </c>
      <c r="F30" s="3">
        <f t="shared" si="11"/>
        <v>7265000</v>
      </c>
      <c r="G30" s="43">
        <f t="shared" si="6"/>
        <v>0</v>
      </c>
      <c r="H30" s="3">
        <f t="shared" si="12"/>
        <v>764416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9"/>
        <v>435016</v>
      </c>
      <c r="C31" s="43">
        <f t="shared" si="8"/>
        <v>0</v>
      </c>
      <c r="D31" s="3">
        <f t="shared" si="10"/>
        <v>893</v>
      </c>
      <c r="E31" s="43">
        <f t="shared" si="3"/>
        <v>0</v>
      </c>
      <c r="F31" s="3">
        <f t="shared" si="11"/>
        <v>7265000</v>
      </c>
      <c r="G31" s="43">
        <f t="shared" si="6"/>
        <v>0</v>
      </c>
      <c r="H31" s="3">
        <f t="shared" si="12"/>
        <v>764416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9"/>
        <v>435016</v>
      </c>
      <c r="C32" s="43">
        <f t="shared" si="8"/>
        <v>0</v>
      </c>
      <c r="D32" s="3">
        <f t="shared" si="10"/>
        <v>893</v>
      </c>
      <c r="E32" s="43">
        <f t="shared" si="3"/>
        <v>0</v>
      </c>
      <c r="F32" s="3">
        <f t="shared" si="11"/>
        <v>7265000</v>
      </c>
      <c r="G32" s="43">
        <f t="shared" si="6"/>
        <v>0</v>
      </c>
      <c r="H32" s="3">
        <f t="shared" si="12"/>
        <v>764416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9"/>
        <v>435016</v>
      </c>
      <c r="C33" s="43">
        <f t="shared" si="8"/>
        <v>0</v>
      </c>
      <c r="D33" s="3">
        <f t="shared" si="10"/>
        <v>893</v>
      </c>
      <c r="E33" s="43">
        <f t="shared" si="3"/>
        <v>0</v>
      </c>
      <c r="F33" s="3">
        <f t="shared" si="11"/>
        <v>7265000</v>
      </c>
      <c r="G33" s="43">
        <f t="shared" si="6"/>
        <v>0</v>
      </c>
      <c r="H33" s="3">
        <f t="shared" si="12"/>
        <v>764416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17750</v>
      </c>
      <c r="D34" s="3"/>
      <c r="E34" s="60">
        <f>SUM(E4:E33)</f>
        <v>7850</v>
      </c>
      <c r="F34" s="3"/>
      <c r="G34" s="60">
        <f>SUM(G4:G33)</f>
        <v>8310.6</v>
      </c>
      <c r="H34" s="3"/>
      <c r="I34" s="60">
        <f>SUM(I4:I33)</f>
        <v>99.603000000000009</v>
      </c>
      <c r="J34" s="60">
        <f>SUM(J4:J33)</f>
        <v>34010.203000000009</v>
      </c>
      <c r="K34" s="60">
        <f>SUM(K4:K33)</f>
        <v>199299.78957999998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pane xSplit="1" topLeftCell="B1" activePane="topRight" state="frozen"/>
      <selection pane="topRight" activeCell="B23" sqref="B2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17798324</v>
      </c>
      <c r="C8" s="49">
        <f>IF((B8-B7)&lt;0,"0",(B8-B7))</f>
        <v>1899</v>
      </c>
    </row>
    <row r="9" spans="1:9" ht="24" thickBot="1" x14ac:dyDescent="0.4">
      <c r="A9" s="10">
        <v>44537</v>
      </c>
      <c r="B9" s="137">
        <v>17800166</v>
      </c>
      <c r="C9" s="49">
        <f>IF((B9-B8)&lt;0,"0",(B9-B8))</f>
        <v>1842</v>
      </c>
    </row>
    <row r="10" spans="1:9" ht="24" thickBot="1" x14ac:dyDescent="0.4">
      <c r="A10" s="10">
        <v>44538</v>
      </c>
      <c r="B10" s="137">
        <v>17801640</v>
      </c>
      <c r="C10" s="49">
        <f t="shared" si="0"/>
        <v>1474</v>
      </c>
    </row>
    <row r="11" spans="1:9" ht="24" thickBot="1" x14ac:dyDescent="0.4">
      <c r="A11" s="10">
        <v>44539</v>
      </c>
      <c r="B11" s="137">
        <v>17804957</v>
      </c>
      <c r="C11" s="49">
        <f>IF((B11-B10)&lt;0,"0",(B11-B10))</f>
        <v>3317</v>
      </c>
    </row>
    <row r="12" spans="1:9" ht="24" thickBot="1" x14ac:dyDescent="0.4">
      <c r="A12" s="10">
        <v>44540</v>
      </c>
      <c r="B12" s="137">
        <v>17807651</v>
      </c>
      <c r="C12" s="49">
        <f t="shared" si="0"/>
        <v>2694</v>
      </c>
    </row>
    <row r="13" spans="1:9" ht="24" thickBot="1" x14ac:dyDescent="0.4">
      <c r="A13" s="10">
        <v>44541</v>
      </c>
      <c r="B13" s="137">
        <v>17809189</v>
      </c>
      <c r="C13" s="49">
        <f t="shared" si="0"/>
        <v>1538</v>
      </c>
    </row>
    <row r="14" spans="1:9" ht="24" thickBot="1" x14ac:dyDescent="0.4">
      <c r="A14" s="10">
        <v>44542</v>
      </c>
      <c r="B14" s="137">
        <v>17810950</v>
      </c>
      <c r="C14" s="49">
        <f t="shared" si="0"/>
        <v>1761</v>
      </c>
    </row>
    <row r="15" spans="1:9" ht="24" thickBot="1" x14ac:dyDescent="0.4">
      <c r="A15" s="10">
        <v>44543</v>
      </c>
      <c r="B15" s="137">
        <v>17815454</v>
      </c>
      <c r="C15" s="49">
        <f t="shared" si="0"/>
        <v>4504</v>
      </c>
      <c r="I15" t="s">
        <v>12</v>
      </c>
    </row>
    <row r="16" spans="1:9" ht="26.25" customHeight="1" thickBot="1" x14ac:dyDescent="0.4">
      <c r="A16" s="10">
        <v>44544</v>
      </c>
      <c r="B16" s="137">
        <v>17817704</v>
      </c>
      <c r="C16" s="49">
        <f t="shared" si="0"/>
        <v>2250</v>
      </c>
    </row>
    <row r="17" spans="1:9" ht="25.5" customHeight="1" thickBot="1" x14ac:dyDescent="0.4">
      <c r="A17" s="10">
        <v>44545</v>
      </c>
      <c r="B17" s="137">
        <v>17819924</v>
      </c>
      <c r="C17" s="49">
        <f t="shared" si="0"/>
        <v>2220</v>
      </c>
    </row>
    <row r="18" spans="1:9" ht="24" thickBot="1" x14ac:dyDescent="0.4">
      <c r="A18" s="10">
        <v>44546</v>
      </c>
      <c r="B18" s="137">
        <v>17822257</v>
      </c>
      <c r="C18" s="49">
        <f t="shared" si="0"/>
        <v>2333</v>
      </c>
    </row>
    <row r="19" spans="1:9" ht="24" thickBot="1" x14ac:dyDescent="0.4">
      <c r="A19" s="10">
        <v>44547</v>
      </c>
      <c r="B19" s="137">
        <v>17825470</v>
      </c>
      <c r="C19" s="49">
        <f t="shared" si="0"/>
        <v>3213</v>
      </c>
    </row>
    <row r="20" spans="1:9" ht="24" thickBot="1" x14ac:dyDescent="0.4">
      <c r="A20" s="10">
        <v>44548</v>
      </c>
      <c r="B20" s="137">
        <v>17828251</v>
      </c>
      <c r="C20" s="49">
        <f t="shared" si="0"/>
        <v>2781</v>
      </c>
    </row>
    <row r="21" spans="1:9" ht="24" thickBot="1" x14ac:dyDescent="0.4">
      <c r="A21" s="10">
        <v>44549</v>
      </c>
      <c r="B21" s="137">
        <v>17831641</v>
      </c>
      <c r="C21" s="49">
        <f t="shared" si="0"/>
        <v>3390</v>
      </c>
    </row>
    <row r="22" spans="1:9" ht="24" thickBot="1" x14ac:dyDescent="0.4">
      <c r="A22" s="10">
        <v>44550</v>
      </c>
      <c r="B22" s="137">
        <v>17834515</v>
      </c>
      <c r="C22" s="49">
        <f t="shared" si="0"/>
        <v>2874</v>
      </c>
    </row>
    <row r="23" spans="1:9" ht="24" thickBot="1" x14ac:dyDescent="0.4">
      <c r="A23" s="10">
        <v>44551</v>
      </c>
      <c r="B23" s="137">
        <v>17836574</v>
      </c>
      <c r="C23" s="49">
        <f t="shared" si="0"/>
        <v>2059</v>
      </c>
      <c r="F23" t="s">
        <v>12</v>
      </c>
    </row>
    <row r="24" spans="1:9" ht="24" thickBot="1" x14ac:dyDescent="0.4">
      <c r="A24" s="10">
        <v>44552</v>
      </c>
      <c r="B24" s="137">
        <f t="shared" ref="B23:B33" si="1">B23</f>
        <v>17836574</v>
      </c>
      <c r="C24" s="49">
        <f t="shared" si="0"/>
        <v>0</v>
      </c>
      <c r="E24" t="s">
        <v>12</v>
      </c>
    </row>
    <row r="25" spans="1:9" ht="24" thickBot="1" x14ac:dyDescent="0.4">
      <c r="A25" s="10">
        <v>44553</v>
      </c>
      <c r="B25" s="137">
        <f t="shared" si="1"/>
        <v>17836574</v>
      </c>
      <c r="C25" s="49">
        <f t="shared" si="0"/>
        <v>0</v>
      </c>
    </row>
    <row r="26" spans="1:9" ht="24" thickBot="1" x14ac:dyDescent="0.4">
      <c r="A26" s="10">
        <v>44554</v>
      </c>
      <c r="B26" s="137">
        <f t="shared" si="1"/>
        <v>17836574</v>
      </c>
      <c r="C26" s="49">
        <f t="shared" si="0"/>
        <v>0</v>
      </c>
    </row>
    <row r="27" spans="1:9" ht="24" thickBot="1" x14ac:dyDescent="0.4">
      <c r="A27" s="10">
        <v>44555</v>
      </c>
      <c r="B27" s="137">
        <f t="shared" si="1"/>
        <v>17836574</v>
      </c>
      <c r="C27" s="49">
        <f t="shared" si="0"/>
        <v>0</v>
      </c>
    </row>
    <row r="28" spans="1:9" ht="24" thickBot="1" x14ac:dyDescent="0.4">
      <c r="A28" s="10">
        <v>44556</v>
      </c>
      <c r="B28" s="137">
        <f t="shared" si="1"/>
        <v>17836574</v>
      </c>
      <c r="C28" s="49">
        <f t="shared" si="0"/>
        <v>0</v>
      </c>
      <c r="I28" t="s">
        <v>12</v>
      </c>
    </row>
    <row r="29" spans="1:9" ht="24" thickBot="1" x14ac:dyDescent="0.4">
      <c r="A29" s="10">
        <v>44557</v>
      </c>
      <c r="B29" s="137">
        <f t="shared" si="1"/>
        <v>17836574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17836574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17836574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17836574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17836574</v>
      </c>
      <c r="C33" s="49">
        <f t="shared" si="0"/>
        <v>0</v>
      </c>
    </row>
    <row r="34" spans="1:3" ht="24" thickBot="1" x14ac:dyDescent="0.4">
      <c r="A34" s="170" t="s">
        <v>138</v>
      </c>
      <c r="B34" s="171"/>
      <c r="C34" s="140">
        <f>SUM(C4:C33)</f>
        <v>50753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K1" zoomScale="90" zoomScaleNormal="90" workbookViewId="0">
      <pane ySplit="1" topLeftCell="A2" activePane="bottomLeft" state="frozen"/>
      <selection pane="bottomLeft" activeCell="AD23" sqref="AD23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44532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44533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44534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5281.97</v>
      </c>
      <c r="R7" s="48">
        <f t="shared" si="25"/>
        <v>0</v>
      </c>
      <c r="S7" s="32">
        <f t="shared" si="26"/>
        <v>0</v>
      </c>
      <c r="T7" s="8">
        <f t="shared" si="34"/>
        <v>14.649999999999181</v>
      </c>
      <c r="U7" s="34">
        <f t="shared" si="27"/>
        <v>27834.999999998443</v>
      </c>
      <c r="W7" s="162">
        <v>44535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44536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v>22730</v>
      </c>
      <c r="C9" s="48">
        <f t="shared" si="15"/>
        <v>2.4099999999998545</v>
      </c>
      <c r="D9" s="32">
        <f t="shared" si="16"/>
        <v>4578.9999999997235</v>
      </c>
      <c r="E9" s="1">
        <v>4068.3620000000001</v>
      </c>
      <c r="F9" s="48">
        <f t="shared" si="17"/>
        <v>1.3229999999998654</v>
      </c>
      <c r="G9" s="32">
        <f t="shared" si="18"/>
        <v>2513.6999999997443</v>
      </c>
      <c r="H9" s="1">
        <v>4446</v>
      </c>
      <c r="I9" s="48">
        <f t="shared" si="19"/>
        <v>5</v>
      </c>
      <c r="J9" s="32">
        <f t="shared" si="20"/>
        <v>9500</v>
      </c>
      <c r="K9" s="7">
        <v>13863.52</v>
      </c>
      <c r="L9" s="48">
        <f t="shared" si="21"/>
        <v>3.7000000000007276</v>
      </c>
      <c r="M9" s="32">
        <f t="shared" si="22"/>
        <v>7030.0000000013824</v>
      </c>
      <c r="N9" s="7">
        <v>3343.806</v>
      </c>
      <c r="O9" s="48">
        <f t="shared" si="23"/>
        <v>1.8429999999998472</v>
      </c>
      <c r="P9" s="32">
        <f t="shared" si="24"/>
        <v>3501.6999999997097</v>
      </c>
      <c r="Q9" s="7">
        <v>5281.97</v>
      </c>
      <c r="R9" s="48">
        <f t="shared" si="25"/>
        <v>0</v>
      </c>
      <c r="S9" s="32">
        <f t="shared" si="26"/>
        <v>0</v>
      </c>
      <c r="T9" s="8">
        <f t="shared" si="34"/>
        <v>14.276000000000295</v>
      </c>
      <c r="U9" s="34">
        <f t="shared" si="27"/>
        <v>27124.400000000558</v>
      </c>
      <c r="W9" s="162">
        <v>44537</v>
      </c>
      <c r="X9" s="163">
        <v>162195</v>
      </c>
      <c r="Y9" s="169">
        <f t="shared" si="31"/>
        <v>353</v>
      </c>
      <c r="Z9" s="163">
        <v>8091</v>
      </c>
      <c r="AA9" s="169">
        <f t="shared" si="32"/>
        <v>7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v>4840</v>
      </c>
      <c r="AG9" s="169">
        <f t="shared" si="30"/>
        <v>35</v>
      </c>
    </row>
    <row r="10" spans="1:33" ht="16.5" thickBot="1" x14ac:dyDescent="0.25">
      <c r="A10" s="10">
        <v>44538</v>
      </c>
      <c r="B10" s="165">
        <v>22733.326000000001</v>
      </c>
      <c r="C10" s="48">
        <f t="shared" si="15"/>
        <v>3.3260000000009313</v>
      </c>
      <c r="D10" s="32">
        <f t="shared" si="16"/>
        <v>6319.4000000017695</v>
      </c>
      <c r="E10" s="1">
        <v>4069.1419999999998</v>
      </c>
      <c r="F10" s="48">
        <f t="shared" si="17"/>
        <v>0.77999999999974534</v>
      </c>
      <c r="G10" s="32">
        <f t="shared" si="18"/>
        <v>1481.9999999995161</v>
      </c>
      <c r="H10" s="1">
        <v>4452</v>
      </c>
      <c r="I10" s="48">
        <f t="shared" si="19"/>
        <v>6</v>
      </c>
      <c r="J10" s="32">
        <f t="shared" si="20"/>
        <v>11399.999999999998</v>
      </c>
      <c r="K10" s="7">
        <v>13866.4</v>
      </c>
      <c r="L10" s="48">
        <f t="shared" si="21"/>
        <v>2.8799999999991996</v>
      </c>
      <c r="M10" s="32">
        <f t="shared" si="22"/>
        <v>5471.9999999984793</v>
      </c>
      <c r="N10" s="7">
        <v>3345.1669999999999</v>
      </c>
      <c r="O10" s="48">
        <f>IF((N10-N9)&lt;0,"0",(N10-N9))</f>
        <v>1.3609999999998763</v>
      </c>
      <c r="P10" s="32">
        <f t="shared" si="24"/>
        <v>2585.8999999997645</v>
      </c>
      <c r="Q10" s="7">
        <v>5281.97</v>
      </c>
      <c r="R10" s="48">
        <f t="shared" si="25"/>
        <v>0</v>
      </c>
      <c r="S10" s="32">
        <f t="shared" si="26"/>
        <v>0</v>
      </c>
      <c r="T10" s="8">
        <f t="shared" si="34"/>
        <v>14.346999999999753</v>
      </c>
      <c r="U10" s="34">
        <f t="shared" si="27"/>
        <v>27259.299999999526</v>
      </c>
      <c r="W10" s="162">
        <v>44538</v>
      </c>
      <c r="X10" s="163">
        <v>162324</v>
      </c>
      <c r="Y10" s="169">
        <f t="shared" si="31"/>
        <v>129</v>
      </c>
      <c r="Z10" s="163">
        <v>8103</v>
      </c>
      <c r="AA10" s="169">
        <f t="shared" si="32"/>
        <v>12</v>
      </c>
      <c r="AB10" s="163">
        <f t="shared" si="33"/>
        <v>14.85</v>
      </c>
      <c r="AC10" s="169">
        <f t="shared" ref="AC10:AC31" si="36">AB10-AB9</f>
        <v>0</v>
      </c>
      <c r="AD10" s="163">
        <f t="shared" si="35"/>
        <v>18</v>
      </c>
      <c r="AE10" s="169">
        <f t="shared" si="29"/>
        <v>0</v>
      </c>
      <c r="AF10" s="163">
        <v>4859</v>
      </c>
      <c r="AG10" s="169">
        <f t="shared" si="30"/>
        <v>19</v>
      </c>
    </row>
    <row r="11" spans="1:33" ht="16.5" thickBot="1" x14ac:dyDescent="0.25">
      <c r="A11" s="10">
        <v>44539</v>
      </c>
      <c r="B11" s="165">
        <v>22735.138999999999</v>
      </c>
      <c r="C11" s="48">
        <f t="shared" si="15"/>
        <v>1.8129999999982829</v>
      </c>
      <c r="D11" s="32">
        <f t="shared" si="16"/>
        <v>3444.6999999967375</v>
      </c>
      <c r="E11" s="1">
        <v>4069.9050000000002</v>
      </c>
      <c r="F11" s="48">
        <f t="shared" si="17"/>
        <v>0.76300000000037471</v>
      </c>
      <c r="G11" s="32">
        <f t="shared" si="18"/>
        <v>1449.700000000712</v>
      </c>
      <c r="H11" s="1">
        <v>4455</v>
      </c>
      <c r="I11" s="48">
        <f t="shared" si="19"/>
        <v>3</v>
      </c>
      <c r="J11" s="32">
        <f t="shared" si="20"/>
        <v>5699.9999999999991</v>
      </c>
      <c r="K11" s="7">
        <v>13867.25</v>
      </c>
      <c r="L11" s="48">
        <f t="shared" si="21"/>
        <v>0.8500000000003638</v>
      </c>
      <c r="M11" s="32">
        <f t="shared" si="22"/>
        <v>1615.0000000006912</v>
      </c>
      <c r="N11" s="7">
        <v>3345.9389999999999</v>
      </c>
      <c r="O11" s="48">
        <f t="shared" si="23"/>
        <v>0.77199999999993452</v>
      </c>
      <c r="P11" s="32">
        <f t="shared" si="24"/>
        <v>1466.7999999998756</v>
      </c>
      <c r="Q11" s="7">
        <v>5281.97</v>
      </c>
      <c r="R11" s="48">
        <f t="shared" si="25"/>
        <v>0</v>
      </c>
      <c r="S11" s="32">
        <f t="shared" si="26"/>
        <v>0</v>
      </c>
      <c r="T11" s="8">
        <f t="shared" si="34"/>
        <v>7.1979999999989559</v>
      </c>
      <c r="U11" s="34">
        <f t="shared" si="27"/>
        <v>13676.199999998016</v>
      </c>
      <c r="W11" s="162">
        <v>44539</v>
      </c>
      <c r="X11" s="163">
        <v>162333</v>
      </c>
      <c r="Y11" s="169">
        <f t="shared" si="31"/>
        <v>9</v>
      </c>
      <c r="Z11" s="163">
        <v>8107</v>
      </c>
      <c r="AA11" s="169">
        <f t="shared" si="32"/>
        <v>4</v>
      </c>
      <c r="AB11" s="163">
        <v>14.85</v>
      </c>
      <c r="AC11" s="169">
        <f t="shared" si="36"/>
        <v>0</v>
      </c>
      <c r="AD11" s="163">
        <v>25</v>
      </c>
      <c r="AE11" s="169">
        <f t="shared" si="29"/>
        <v>7</v>
      </c>
      <c r="AF11" s="163">
        <v>4871</v>
      </c>
      <c r="AG11" s="169">
        <f t="shared" si="30"/>
        <v>12</v>
      </c>
    </row>
    <row r="12" spans="1:33" ht="16.5" thickBot="1" x14ac:dyDescent="0.25">
      <c r="A12" s="10">
        <v>44540</v>
      </c>
      <c r="B12" s="165">
        <v>22737.519</v>
      </c>
      <c r="C12" s="48">
        <f t="shared" si="15"/>
        <v>2.3800000000010186</v>
      </c>
      <c r="D12" s="32">
        <f t="shared" si="16"/>
        <v>4522.0000000019354</v>
      </c>
      <c r="E12" s="1">
        <v>4070.2150000000001</v>
      </c>
      <c r="F12" s="48">
        <f t="shared" si="17"/>
        <v>0.30999999999994543</v>
      </c>
      <c r="G12" s="32">
        <f t="shared" si="18"/>
        <v>588.99999999989632</v>
      </c>
      <c r="H12" s="1">
        <v>4468</v>
      </c>
      <c r="I12" s="48">
        <f t="shared" si="19"/>
        <v>13</v>
      </c>
      <c r="J12" s="32">
        <f t="shared" si="20"/>
        <v>24700</v>
      </c>
      <c r="K12" s="7">
        <v>13868.97</v>
      </c>
      <c r="L12" s="48">
        <f t="shared" si="21"/>
        <v>1.7199999999993452</v>
      </c>
      <c r="M12" s="32">
        <f t="shared" si="22"/>
        <v>3267.9999999987554</v>
      </c>
      <c r="N12" s="7">
        <v>3346.9119999999998</v>
      </c>
      <c r="O12" s="48">
        <f t="shared" si="23"/>
        <v>0.97299999999995634</v>
      </c>
      <c r="P12" s="32">
        <f t="shared" si="24"/>
        <v>1848.6999999999171</v>
      </c>
      <c r="Q12" s="7">
        <v>5281.97</v>
      </c>
      <c r="R12" s="48">
        <f t="shared" si="25"/>
        <v>0</v>
      </c>
      <c r="S12" s="32">
        <f t="shared" si="26"/>
        <v>0</v>
      </c>
      <c r="T12" s="8">
        <f t="shared" si="34"/>
        <v>18.383000000000266</v>
      </c>
      <c r="U12" s="34">
        <f t="shared" si="27"/>
        <v>34927.700000000506</v>
      </c>
      <c r="W12" s="162">
        <v>44540</v>
      </c>
      <c r="X12" s="163">
        <v>162338</v>
      </c>
      <c r="Y12" s="169">
        <f t="shared" si="31"/>
        <v>5</v>
      </c>
      <c r="Z12" s="163">
        <v>8114</v>
      </c>
      <c r="AA12" s="169">
        <f t="shared" si="32"/>
        <v>7</v>
      </c>
      <c r="AB12" s="163">
        <v>15</v>
      </c>
      <c r="AC12" s="169">
        <f t="shared" si="36"/>
        <v>0.15000000000000036</v>
      </c>
      <c r="AD12" s="163">
        <v>26</v>
      </c>
      <c r="AE12" s="169">
        <f t="shared" si="29"/>
        <v>1</v>
      </c>
      <c r="AF12" s="163">
        <v>4889</v>
      </c>
      <c r="AG12" s="169">
        <f t="shared" si="30"/>
        <v>18</v>
      </c>
    </row>
    <row r="13" spans="1:33" ht="16.5" thickBot="1" x14ac:dyDescent="0.25">
      <c r="A13" s="10">
        <v>44541</v>
      </c>
      <c r="B13" s="165">
        <v>22740.304</v>
      </c>
      <c r="C13" s="48">
        <f t="shared" si="15"/>
        <v>2.7849999999998545</v>
      </c>
      <c r="D13" s="32">
        <f t="shared" si="16"/>
        <v>5291.4999999997226</v>
      </c>
      <c r="E13" s="1">
        <v>4070.7779999999998</v>
      </c>
      <c r="F13" s="48">
        <f t="shared" si="17"/>
        <v>0.56299999999964712</v>
      </c>
      <c r="G13" s="32">
        <f t="shared" si="18"/>
        <v>1069.6999999993295</v>
      </c>
      <c r="H13" s="1">
        <v>4471</v>
      </c>
      <c r="I13" s="48">
        <f t="shared" si="19"/>
        <v>3</v>
      </c>
      <c r="J13" s="32">
        <f t="shared" si="20"/>
        <v>5699.9999999999991</v>
      </c>
      <c r="K13" s="7">
        <v>13870.4</v>
      </c>
      <c r="L13" s="48">
        <f t="shared" si="21"/>
        <v>1.430000000000291</v>
      </c>
      <c r="M13" s="32">
        <f t="shared" si="22"/>
        <v>2717.000000000553</v>
      </c>
      <c r="N13" s="7">
        <v>3348.002</v>
      </c>
      <c r="O13" s="48">
        <f t="shared" si="23"/>
        <v>1.0900000000001455</v>
      </c>
      <c r="P13" s="32">
        <f t="shared" si="24"/>
        <v>2071.0000000002765</v>
      </c>
      <c r="Q13" s="7">
        <v>5283.32</v>
      </c>
      <c r="R13" s="48">
        <f t="shared" si="25"/>
        <v>1.3499999999994543</v>
      </c>
      <c r="S13" s="32">
        <f t="shared" si="26"/>
        <v>2564.9999999989632</v>
      </c>
      <c r="T13" s="8">
        <f t="shared" si="34"/>
        <v>10.217999999999392</v>
      </c>
      <c r="U13" s="34">
        <f t="shared" si="27"/>
        <v>19414.199999998847</v>
      </c>
      <c r="W13" s="162">
        <v>44541</v>
      </c>
      <c r="X13" s="163">
        <v>162367</v>
      </c>
      <c r="Y13" s="169">
        <f t="shared" si="31"/>
        <v>29</v>
      </c>
      <c r="Z13" s="163">
        <v>8119</v>
      </c>
      <c r="AA13" s="169">
        <f t="shared" si="32"/>
        <v>5</v>
      </c>
      <c r="AB13" s="163">
        <v>16</v>
      </c>
      <c r="AC13" s="169">
        <f t="shared" si="36"/>
        <v>1</v>
      </c>
      <c r="AD13" s="163">
        <v>30</v>
      </c>
      <c r="AE13" s="169">
        <f t="shared" si="29"/>
        <v>4</v>
      </c>
      <c r="AF13" s="163">
        <v>4915</v>
      </c>
      <c r="AG13" s="169">
        <f t="shared" si="30"/>
        <v>26</v>
      </c>
    </row>
    <row r="14" spans="1:33" ht="16.5" thickBot="1" x14ac:dyDescent="0.25">
      <c r="A14" s="10">
        <v>44542</v>
      </c>
      <c r="B14" s="165">
        <v>22744.157999999999</v>
      </c>
      <c r="C14" s="48">
        <f t="shared" si="15"/>
        <v>3.8539999999993597</v>
      </c>
      <c r="D14" s="32">
        <f t="shared" si="16"/>
        <v>7322.5999999987826</v>
      </c>
      <c r="E14" s="1">
        <v>4071.9960000000001</v>
      </c>
      <c r="F14" s="48">
        <f t="shared" si="17"/>
        <v>1.218000000000302</v>
      </c>
      <c r="G14" s="32">
        <f t="shared" si="18"/>
        <v>2314.2000000005737</v>
      </c>
      <c r="H14" s="1">
        <v>4471</v>
      </c>
      <c r="I14" s="48">
        <f t="shared" si="19"/>
        <v>0</v>
      </c>
      <c r="J14" s="32">
        <f t="shared" si="20"/>
        <v>0</v>
      </c>
      <c r="K14" s="7">
        <v>13873.01</v>
      </c>
      <c r="L14" s="48">
        <f t="shared" si="21"/>
        <v>2.6100000000005821</v>
      </c>
      <c r="M14" s="32">
        <f t="shared" si="22"/>
        <v>4959.000000001105</v>
      </c>
      <c r="N14" s="7">
        <v>3349.4459999999999</v>
      </c>
      <c r="O14" s="48">
        <f>IF((N14-N13)&lt;0,"0",(N14-N13))</f>
        <v>1.44399999999996</v>
      </c>
      <c r="P14" s="32">
        <f t="shared" si="24"/>
        <v>2743.599999999924</v>
      </c>
      <c r="Q14" s="7">
        <v>5284.61</v>
      </c>
      <c r="R14" s="48">
        <f t="shared" si="25"/>
        <v>1.2899999999999636</v>
      </c>
      <c r="S14" s="32">
        <f t="shared" si="26"/>
        <v>2450.9999999999309</v>
      </c>
      <c r="T14" s="8">
        <f t="shared" si="34"/>
        <v>10.416000000000167</v>
      </c>
      <c r="U14" s="34">
        <f t="shared" si="27"/>
        <v>19790.400000000318</v>
      </c>
      <c r="W14" s="162">
        <v>44542</v>
      </c>
      <c r="X14" s="163">
        <v>162390</v>
      </c>
      <c r="Y14" s="169">
        <f t="shared" si="31"/>
        <v>23</v>
      </c>
      <c r="Z14" s="163">
        <v>8132</v>
      </c>
      <c r="AA14" s="169">
        <f t="shared" si="32"/>
        <v>13</v>
      </c>
      <c r="AB14" s="163">
        <v>16.47</v>
      </c>
      <c r="AC14" s="169">
        <f t="shared" si="36"/>
        <v>0.46999999999999886</v>
      </c>
      <c r="AD14" s="163">
        <v>33</v>
      </c>
      <c r="AE14" s="169">
        <f t="shared" si="29"/>
        <v>3</v>
      </c>
      <c r="AF14" s="163">
        <v>4935</v>
      </c>
      <c r="AG14" s="169">
        <f t="shared" si="30"/>
        <v>20</v>
      </c>
    </row>
    <row r="15" spans="1:33" ht="16.5" thickBot="1" x14ac:dyDescent="0.25">
      <c r="A15" s="10">
        <v>44543</v>
      </c>
      <c r="B15" s="165">
        <v>22746.332999999999</v>
      </c>
      <c r="C15" s="48">
        <f t="shared" ref="C15" si="37">IF((B15-B14)&lt;0,"0",(B15-B14))</f>
        <v>2.1749999999992724</v>
      </c>
      <c r="D15" s="32">
        <f t="shared" ref="D15" si="38">C15*1.9*1000</f>
        <v>4132.4999999986176</v>
      </c>
      <c r="E15" s="1">
        <v>4072.6880000000001</v>
      </c>
      <c r="F15" s="48">
        <f t="shared" ref="F15" si="39">IF((E15-E14)&lt;0,"0",(E15-E14))</f>
        <v>0.69200000000000728</v>
      </c>
      <c r="G15" s="32">
        <f t="shared" ref="G15" si="40">F15*1.9*1000</f>
        <v>1314.8000000000138</v>
      </c>
      <c r="H15" s="1">
        <v>4474</v>
      </c>
      <c r="I15" s="48">
        <f t="shared" ref="I15" si="41">IF((H15-H14)&lt;0,"0",(H15-H14))</f>
        <v>3</v>
      </c>
      <c r="J15" s="32">
        <f t="shared" ref="J15" si="42">I15*1.9*1000</f>
        <v>5699.9999999999991</v>
      </c>
      <c r="K15" s="7">
        <v>13873.41</v>
      </c>
      <c r="L15" s="48">
        <f t="shared" ref="L15" si="43">IF((K15-K14)&lt;0,"0",(K15-K14))</f>
        <v>0.3999999999996362</v>
      </c>
      <c r="M15" s="32">
        <f t="shared" ref="M15" si="44">L15*1.9*1000</f>
        <v>759.99999999930878</v>
      </c>
      <c r="N15" s="7">
        <v>3350.2350000000001</v>
      </c>
      <c r="O15" s="48">
        <f>IF((N15-N14)&lt;0,"0",(N15-N14))</f>
        <v>0.78900000000021464</v>
      </c>
      <c r="P15" s="32">
        <f t="shared" ref="P15" si="45">O15*1.9*1000</f>
        <v>1499.1000000004078</v>
      </c>
      <c r="Q15" s="7">
        <v>5285.08</v>
      </c>
      <c r="R15" s="48">
        <f t="shared" ref="R15" si="46">IF((Q15-Q14)&lt;0,"0",(Q15-Q14))</f>
        <v>0.47000000000025466</v>
      </c>
      <c r="S15" s="32">
        <f t="shared" ref="S15" si="47">R15*1.9*1000</f>
        <v>893.00000000048385</v>
      </c>
      <c r="T15" s="8">
        <f t="shared" ref="T15" si="48">C15+F15+I15+L15+O15+R15</f>
        <v>7.5259999999993852</v>
      </c>
      <c r="U15" s="34">
        <f t="shared" ref="U15" si="49">T15*1.9*1000</f>
        <v>14299.399999998832</v>
      </c>
      <c r="W15" s="162">
        <v>44543</v>
      </c>
      <c r="X15" s="163">
        <v>162412</v>
      </c>
      <c r="Y15" s="169">
        <f t="shared" ref="Y15" si="50">X15-X14</f>
        <v>22</v>
      </c>
      <c r="Z15" s="163">
        <v>8146</v>
      </c>
      <c r="AA15" s="169">
        <f t="shared" ref="AA15" si="51">Z15-Z14</f>
        <v>14</v>
      </c>
      <c r="AB15" s="163">
        <f t="shared" si="33"/>
        <v>16.47</v>
      </c>
      <c r="AC15" s="169">
        <f t="shared" ref="AC15" si="52">AB15-AB14</f>
        <v>0</v>
      </c>
      <c r="AD15" s="163">
        <v>36</v>
      </c>
      <c r="AE15" s="169">
        <f t="shared" si="29"/>
        <v>3</v>
      </c>
      <c r="AF15" s="163">
        <v>4945</v>
      </c>
      <c r="AG15" s="169">
        <f t="shared" si="30"/>
        <v>10</v>
      </c>
    </row>
    <row r="16" spans="1:33" ht="16.5" thickBot="1" x14ac:dyDescent="0.25">
      <c r="A16" s="10">
        <v>44544</v>
      </c>
      <c r="B16" s="165">
        <v>22749.274000000001</v>
      </c>
      <c r="C16" s="48">
        <f t="shared" si="15"/>
        <v>2.941000000002532</v>
      </c>
      <c r="D16" s="32">
        <f t="shared" si="16"/>
        <v>5587.9000000048109</v>
      </c>
      <c r="E16" s="1">
        <v>4073.5430000000001</v>
      </c>
      <c r="F16" s="48">
        <f t="shared" si="17"/>
        <v>0.85500000000001819</v>
      </c>
      <c r="G16" s="32">
        <f t="shared" si="18"/>
        <v>1624.5000000000346</v>
      </c>
      <c r="H16" s="1">
        <v>4478</v>
      </c>
      <c r="I16" s="48">
        <f t="shared" si="19"/>
        <v>4</v>
      </c>
      <c r="J16" s="32">
        <f t="shared" si="20"/>
        <v>7600</v>
      </c>
      <c r="K16" s="7">
        <v>13876.46</v>
      </c>
      <c r="L16" s="48">
        <f t="shared" si="21"/>
        <v>3.0499999999992724</v>
      </c>
      <c r="M16" s="32">
        <f t="shared" si="22"/>
        <v>5794.9999999986167</v>
      </c>
      <c r="N16" s="7">
        <v>3351.2979999999998</v>
      </c>
      <c r="O16" s="48">
        <f t="shared" si="23"/>
        <v>1.0629999999996471</v>
      </c>
      <c r="P16" s="32">
        <f t="shared" si="24"/>
        <v>2019.6999999993293</v>
      </c>
      <c r="Q16" s="7">
        <v>5285.73</v>
      </c>
      <c r="R16" s="48">
        <f t="shared" si="25"/>
        <v>0.6499999999996362</v>
      </c>
      <c r="S16" s="32">
        <f t="shared" si="26"/>
        <v>1234.9999999993086</v>
      </c>
      <c r="T16" s="8">
        <f t="shared" si="34"/>
        <v>12.559000000001106</v>
      </c>
      <c r="U16" s="34">
        <f t="shared" si="27"/>
        <v>23862.100000002101</v>
      </c>
      <c r="W16" s="162">
        <v>44544</v>
      </c>
      <c r="X16" s="163">
        <v>162520</v>
      </c>
      <c r="Y16" s="169">
        <f t="shared" si="31"/>
        <v>108</v>
      </c>
      <c r="Z16" s="163">
        <v>8151</v>
      </c>
      <c r="AA16" s="169">
        <f t="shared" si="32"/>
        <v>5</v>
      </c>
      <c r="AB16" s="163">
        <f t="shared" si="33"/>
        <v>16.47</v>
      </c>
      <c r="AC16" s="169">
        <f t="shared" si="36"/>
        <v>0</v>
      </c>
      <c r="AD16" s="163">
        <v>38</v>
      </c>
      <c r="AE16" s="169">
        <f t="shared" si="29"/>
        <v>2</v>
      </c>
      <c r="AF16" s="163">
        <v>4961</v>
      </c>
      <c r="AG16" s="169">
        <f t="shared" si="30"/>
        <v>16</v>
      </c>
    </row>
    <row r="17" spans="1:33" ht="16.5" thickBot="1" x14ac:dyDescent="0.25">
      <c r="A17" s="10">
        <v>44545</v>
      </c>
      <c r="B17" s="165">
        <v>22751.947</v>
      </c>
      <c r="C17" s="48">
        <f t="shared" si="15"/>
        <v>2.672999999998865</v>
      </c>
      <c r="D17" s="32">
        <f t="shared" si="16"/>
        <v>5078.6999999978434</v>
      </c>
      <c r="E17" s="1">
        <v>4074.402</v>
      </c>
      <c r="F17" s="48">
        <f t="shared" si="17"/>
        <v>0.8589999999999236</v>
      </c>
      <c r="G17" s="32">
        <f t="shared" si="18"/>
        <v>1632.0999999998546</v>
      </c>
      <c r="H17" s="1">
        <v>4482</v>
      </c>
      <c r="I17" s="48">
        <f t="shared" si="19"/>
        <v>4</v>
      </c>
      <c r="J17" s="32">
        <f t="shared" si="20"/>
        <v>7600</v>
      </c>
      <c r="K17" s="7">
        <v>13878</v>
      </c>
      <c r="L17" s="48">
        <f t="shared" si="21"/>
        <v>1.5400000000008731</v>
      </c>
      <c r="M17" s="32">
        <f t="shared" si="22"/>
        <v>2926.0000000016589</v>
      </c>
      <c r="N17" s="7">
        <v>3352.375</v>
      </c>
      <c r="O17" s="48">
        <f t="shared" si="23"/>
        <v>1.0770000000002256</v>
      </c>
      <c r="P17" s="32">
        <f t="shared" si="24"/>
        <v>2046.3000000004286</v>
      </c>
      <c r="Q17" s="7">
        <v>5285.99</v>
      </c>
      <c r="R17" s="48">
        <f t="shared" si="25"/>
        <v>0.26000000000021828</v>
      </c>
      <c r="S17" s="32">
        <f t="shared" si="26"/>
        <v>494.00000000041473</v>
      </c>
      <c r="T17" s="8">
        <f t="shared" si="34"/>
        <v>10.409000000000106</v>
      </c>
      <c r="U17" s="34">
        <f t="shared" si="27"/>
        <v>19777.100000000199</v>
      </c>
      <c r="W17" s="162">
        <v>44545</v>
      </c>
      <c r="X17" s="163">
        <v>162628</v>
      </c>
      <c r="Y17" s="169">
        <f t="shared" si="31"/>
        <v>108</v>
      </c>
      <c r="Z17" s="163">
        <v>8157</v>
      </c>
      <c r="AA17" s="169">
        <f t="shared" si="32"/>
        <v>6</v>
      </c>
      <c r="AB17" s="163">
        <v>17</v>
      </c>
      <c r="AC17" s="169">
        <f t="shared" si="36"/>
        <v>0.53000000000000114</v>
      </c>
      <c r="AD17" s="163">
        <v>41</v>
      </c>
      <c r="AE17" s="169">
        <f t="shared" si="29"/>
        <v>3</v>
      </c>
      <c r="AF17" s="163">
        <v>4978</v>
      </c>
      <c r="AG17" s="169">
        <f t="shared" si="30"/>
        <v>17</v>
      </c>
    </row>
    <row r="18" spans="1:33" ht="16.5" thickBot="1" x14ac:dyDescent="0.25">
      <c r="A18" s="10">
        <v>44546</v>
      </c>
      <c r="B18" s="165">
        <v>22754.237000000001</v>
      </c>
      <c r="C18" s="48">
        <f t="shared" si="15"/>
        <v>2.2900000000008731</v>
      </c>
      <c r="D18" s="32">
        <f t="shared" si="16"/>
        <v>4351.0000000016589</v>
      </c>
      <c r="E18" s="1">
        <v>4075.2620000000002</v>
      </c>
      <c r="F18" s="48">
        <f t="shared" si="17"/>
        <v>0.86000000000012733</v>
      </c>
      <c r="G18" s="32">
        <f t="shared" si="18"/>
        <v>1634.0000000002419</v>
      </c>
      <c r="H18" s="1">
        <v>4487</v>
      </c>
      <c r="I18" s="48">
        <f t="shared" si="19"/>
        <v>5</v>
      </c>
      <c r="J18" s="32">
        <f t="shared" si="20"/>
        <v>9500</v>
      </c>
      <c r="K18" s="7">
        <v>13879.7</v>
      </c>
      <c r="L18" s="48">
        <f t="shared" si="21"/>
        <v>1.7000000000007276</v>
      </c>
      <c r="M18" s="32">
        <f t="shared" si="22"/>
        <v>3230.0000000013824</v>
      </c>
      <c r="N18" s="7">
        <v>3353.46</v>
      </c>
      <c r="O18" s="48">
        <f t="shared" si="23"/>
        <v>1.0850000000000364</v>
      </c>
      <c r="P18" s="32">
        <f t="shared" si="24"/>
        <v>2061.5000000000691</v>
      </c>
      <c r="Q18" s="7">
        <v>5286.23</v>
      </c>
      <c r="R18" s="48">
        <f t="shared" si="25"/>
        <v>0.23999999999978172</v>
      </c>
      <c r="S18" s="32">
        <f t="shared" si="26"/>
        <v>455.99999999958521</v>
      </c>
      <c r="T18" s="8">
        <f t="shared" si="34"/>
        <v>11.175000000001546</v>
      </c>
      <c r="U18" s="34">
        <f t="shared" si="27"/>
        <v>21232.500000002936</v>
      </c>
      <c r="W18" s="162">
        <v>44546</v>
      </c>
      <c r="X18" s="163">
        <v>162698</v>
      </c>
      <c r="Y18" s="169">
        <f t="shared" si="31"/>
        <v>70</v>
      </c>
      <c r="Z18" s="163">
        <v>8167</v>
      </c>
      <c r="AA18" s="169">
        <f t="shared" si="32"/>
        <v>10</v>
      </c>
      <c r="AB18" s="163">
        <v>17.2</v>
      </c>
      <c r="AC18" s="169">
        <f t="shared" si="36"/>
        <v>0.19999999999999929</v>
      </c>
      <c r="AD18" s="163">
        <v>44</v>
      </c>
      <c r="AE18" s="169">
        <f t="shared" si="29"/>
        <v>3</v>
      </c>
      <c r="AF18" s="163">
        <v>4996</v>
      </c>
      <c r="AG18" s="169">
        <v>18</v>
      </c>
    </row>
    <row r="19" spans="1:33" ht="16.5" thickBot="1" x14ac:dyDescent="0.25">
      <c r="A19" s="10">
        <v>44547</v>
      </c>
      <c r="B19" s="165">
        <v>22756.63</v>
      </c>
      <c r="C19" s="48">
        <f t="shared" si="15"/>
        <v>2.3930000000000291</v>
      </c>
      <c r="D19" s="32">
        <f t="shared" si="16"/>
        <v>4546.7000000000553</v>
      </c>
      <c r="E19" s="1">
        <v>4075.89</v>
      </c>
      <c r="F19" s="48">
        <f t="shared" si="17"/>
        <v>0.62799999999970169</v>
      </c>
      <c r="G19" s="32">
        <f t="shared" si="18"/>
        <v>1193.1999999994332</v>
      </c>
      <c r="H19" s="1">
        <v>4492</v>
      </c>
      <c r="I19" s="48">
        <f t="shared" si="19"/>
        <v>5</v>
      </c>
      <c r="J19" s="32">
        <f t="shared" si="20"/>
        <v>9500</v>
      </c>
      <c r="K19" s="7">
        <v>13881.73</v>
      </c>
      <c r="L19" s="48">
        <f t="shared" si="21"/>
        <v>2.0299999999988358</v>
      </c>
      <c r="M19" s="32">
        <f t="shared" si="22"/>
        <v>3856.9999999977877</v>
      </c>
      <c r="N19" s="7">
        <v>3354.605</v>
      </c>
      <c r="O19" s="48">
        <f t="shared" si="23"/>
        <v>1.1449999999999818</v>
      </c>
      <c r="P19" s="32">
        <f t="shared" si="24"/>
        <v>2175.4999999999654</v>
      </c>
      <c r="Q19" s="7">
        <v>5287.5</v>
      </c>
      <c r="R19" s="48">
        <f t="shared" si="25"/>
        <v>1.2700000000004366</v>
      </c>
      <c r="S19" s="32">
        <f t="shared" si="26"/>
        <v>2413.0000000008295</v>
      </c>
      <c r="T19" s="8">
        <f t="shared" si="34"/>
        <v>12.465999999998985</v>
      </c>
      <c r="U19" s="34">
        <f t="shared" si="27"/>
        <v>23685.39999999807</v>
      </c>
      <c r="W19" s="162">
        <v>44547</v>
      </c>
      <c r="X19" s="163">
        <v>162753</v>
      </c>
      <c r="Y19" s="169">
        <f t="shared" si="31"/>
        <v>55</v>
      </c>
      <c r="Z19" s="163">
        <v>8172</v>
      </c>
      <c r="AA19" s="169">
        <f t="shared" si="32"/>
        <v>5</v>
      </c>
      <c r="AB19" s="163">
        <v>17.3</v>
      </c>
      <c r="AC19" s="169">
        <f t="shared" si="36"/>
        <v>0.10000000000000142</v>
      </c>
      <c r="AD19" s="163">
        <v>47</v>
      </c>
      <c r="AE19" s="169">
        <f t="shared" si="29"/>
        <v>3</v>
      </c>
      <c r="AF19" s="163">
        <v>5013</v>
      </c>
      <c r="AG19" s="169">
        <v>17</v>
      </c>
    </row>
    <row r="20" spans="1:33" ht="16.5" thickBot="1" x14ac:dyDescent="0.25">
      <c r="A20" s="10">
        <v>44548</v>
      </c>
      <c r="B20" s="165">
        <v>22758.830999999998</v>
      </c>
      <c r="C20" s="48">
        <f t="shared" si="15"/>
        <v>2.2009999999972933</v>
      </c>
      <c r="D20" s="32">
        <f t="shared" si="16"/>
        <v>4181.8999999948574</v>
      </c>
      <c r="E20" s="1">
        <v>4076.3690000000001</v>
      </c>
      <c r="F20" s="48">
        <f t="shared" si="17"/>
        <v>0.47900000000026921</v>
      </c>
      <c r="G20" s="32">
        <f t="shared" si="18"/>
        <v>910.1000000005115</v>
      </c>
      <c r="H20" s="1">
        <v>4496</v>
      </c>
      <c r="I20" s="48">
        <f t="shared" si="19"/>
        <v>4</v>
      </c>
      <c r="J20" s="32">
        <f t="shared" si="20"/>
        <v>7600</v>
      </c>
      <c r="K20" s="7">
        <v>13882.68</v>
      </c>
      <c r="L20" s="48">
        <f t="shared" si="21"/>
        <v>0.9500000000007276</v>
      </c>
      <c r="M20" s="32">
        <f t="shared" si="22"/>
        <v>1805.0000000013824</v>
      </c>
      <c r="N20" s="7">
        <v>3355.6309999999999</v>
      </c>
      <c r="O20" s="48">
        <f t="shared" si="23"/>
        <v>1.0259999999998399</v>
      </c>
      <c r="P20" s="32">
        <f t="shared" si="24"/>
        <v>1949.3999999996959</v>
      </c>
      <c r="Q20" s="7">
        <v>5286.52</v>
      </c>
      <c r="R20" s="48" t="str">
        <f t="shared" si="25"/>
        <v>0</v>
      </c>
      <c r="S20" s="32">
        <f t="shared" si="26"/>
        <v>0</v>
      </c>
      <c r="T20" s="8">
        <f t="shared" si="34"/>
        <v>8.6559999999981301</v>
      </c>
      <c r="U20" s="34">
        <f t="shared" si="27"/>
        <v>16446.399999996447</v>
      </c>
      <c r="W20" s="162">
        <v>44548</v>
      </c>
      <c r="X20" s="163">
        <v>162793</v>
      </c>
      <c r="Y20" s="169">
        <f t="shared" si="31"/>
        <v>40</v>
      </c>
      <c r="Z20" s="163">
        <v>8177</v>
      </c>
      <c r="AA20" s="169">
        <f t="shared" si="32"/>
        <v>5</v>
      </c>
      <c r="AB20" s="163">
        <f t="shared" si="33"/>
        <v>17.3</v>
      </c>
      <c r="AC20" s="169">
        <f t="shared" si="36"/>
        <v>0</v>
      </c>
      <c r="AD20" s="163">
        <v>49</v>
      </c>
      <c r="AE20" s="169">
        <v>2</v>
      </c>
      <c r="AF20" s="163">
        <v>5032</v>
      </c>
      <c r="AG20" s="169">
        <f t="shared" si="30"/>
        <v>19</v>
      </c>
    </row>
    <row r="21" spans="1:33" ht="16.5" thickBot="1" x14ac:dyDescent="0.25">
      <c r="A21" s="10">
        <v>44549</v>
      </c>
      <c r="B21" s="165">
        <v>22761.001</v>
      </c>
      <c r="C21" s="48">
        <f t="shared" si="15"/>
        <v>2.1700000000018917</v>
      </c>
      <c r="D21" s="32">
        <f t="shared" si="16"/>
        <v>4123.0000000035934</v>
      </c>
      <c r="E21" s="1">
        <v>4076.9380000000001</v>
      </c>
      <c r="F21" s="48">
        <f t="shared" si="17"/>
        <v>0.56899999999995998</v>
      </c>
      <c r="G21" s="32">
        <f t="shared" si="18"/>
        <v>1081.099999999924</v>
      </c>
      <c r="H21" s="1">
        <v>4501</v>
      </c>
      <c r="I21" s="48">
        <f t="shared" si="19"/>
        <v>5</v>
      </c>
      <c r="J21" s="32">
        <f t="shared" si="20"/>
        <v>9500</v>
      </c>
      <c r="K21" s="7">
        <v>13883.09</v>
      </c>
      <c r="L21" s="48">
        <f t="shared" si="21"/>
        <v>0.40999999999985448</v>
      </c>
      <c r="M21" s="32">
        <f t="shared" si="22"/>
        <v>778.99999999972351</v>
      </c>
      <c r="N21" s="7">
        <v>3356.5039999999999</v>
      </c>
      <c r="O21" s="48">
        <f t="shared" si="23"/>
        <v>0.87300000000004729</v>
      </c>
      <c r="P21" s="32">
        <f t="shared" si="24"/>
        <v>1658.7000000000899</v>
      </c>
      <c r="Q21" s="7">
        <v>5286.52</v>
      </c>
      <c r="R21" s="48">
        <f t="shared" si="25"/>
        <v>0</v>
      </c>
      <c r="S21" s="32">
        <f t="shared" si="26"/>
        <v>0</v>
      </c>
      <c r="T21" s="8">
        <f t="shared" si="34"/>
        <v>9.0220000000017535</v>
      </c>
      <c r="U21" s="34">
        <f t="shared" si="27"/>
        <v>17141.800000003332</v>
      </c>
      <c r="W21" s="162">
        <v>44549</v>
      </c>
      <c r="X21" s="163">
        <v>162843</v>
      </c>
      <c r="Y21" s="169">
        <f t="shared" si="31"/>
        <v>50</v>
      </c>
      <c r="Z21" s="163">
        <v>8183</v>
      </c>
      <c r="AA21" s="169">
        <f t="shared" si="32"/>
        <v>6</v>
      </c>
      <c r="AB21" s="163">
        <f t="shared" si="33"/>
        <v>17.3</v>
      </c>
      <c r="AC21" s="169">
        <f t="shared" si="36"/>
        <v>0</v>
      </c>
      <c r="AD21" s="163">
        <v>51</v>
      </c>
      <c r="AE21" s="169">
        <f t="shared" si="29"/>
        <v>2</v>
      </c>
      <c r="AF21" s="163">
        <v>5050</v>
      </c>
      <c r="AG21" s="169">
        <f t="shared" si="30"/>
        <v>18</v>
      </c>
    </row>
    <row r="22" spans="1:33" ht="16.5" thickBot="1" x14ac:dyDescent="0.25">
      <c r="A22" s="10">
        <v>44550</v>
      </c>
      <c r="B22" s="165">
        <v>22763.078000000001</v>
      </c>
      <c r="C22" s="48">
        <f t="shared" si="15"/>
        <v>2.077000000001135</v>
      </c>
      <c r="D22" s="32">
        <f t="shared" si="16"/>
        <v>3946.3000000021566</v>
      </c>
      <c r="E22" s="1">
        <v>4077.5770000000002</v>
      </c>
      <c r="F22" s="48">
        <f t="shared" si="17"/>
        <v>0.63900000000012369</v>
      </c>
      <c r="G22" s="32">
        <f t="shared" si="18"/>
        <v>1214.1000000002348</v>
      </c>
      <c r="H22" s="1">
        <v>4505</v>
      </c>
      <c r="I22" s="48">
        <f t="shared" si="19"/>
        <v>4</v>
      </c>
      <c r="J22" s="32">
        <f t="shared" si="20"/>
        <v>7600</v>
      </c>
      <c r="K22" s="7">
        <v>13883.09</v>
      </c>
      <c r="L22" s="48">
        <f t="shared" si="21"/>
        <v>0</v>
      </c>
      <c r="M22" s="32">
        <f t="shared" si="22"/>
        <v>0</v>
      </c>
      <c r="N22" s="7">
        <v>3357.3760000000002</v>
      </c>
      <c r="O22" s="48">
        <f t="shared" si="23"/>
        <v>0.87200000000029831</v>
      </c>
      <c r="P22" s="32">
        <f t="shared" si="24"/>
        <v>1656.8000000005668</v>
      </c>
      <c r="Q22" s="7">
        <v>5286.52</v>
      </c>
      <c r="R22" s="48">
        <f t="shared" si="25"/>
        <v>0</v>
      </c>
      <c r="S22" s="32">
        <f t="shared" si="26"/>
        <v>0</v>
      </c>
      <c r="T22" s="8">
        <f t="shared" si="34"/>
        <v>7.5880000000015571</v>
      </c>
      <c r="U22" s="34">
        <f t="shared" si="27"/>
        <v>14417.200000002957</v>
      </c>
      <c r="W22" s="162">
        <v>44550</v>
      </c>
      <c r="X22" s="163">
        <v>162878</v>
      </c>
      <c r="Y22" s="169">
        <f t="shared" si="31"/>
        <v>35</v>
      </c>
      <c r="Z22" s="163">
        <v>8188</v>
      </c>
      <c r="AA22" s="169">
        <f t="shared" si="32"/>
        <v>5</v>
      </c>
      <c r="AB22" s="163">
        <f t="shared" si="33"/>
        <v>17.3</v>
      </c>
      <c r="AC22" s="169">
        <f t="shared" si="36"/>
        <v>0</v>
      </c>
      <c r="AD22" s="163">
        <v>54</v>
      </c>
      <c r="AE22" s="169">
        <f t="shared" si="29"/>
        <v>3</v>
      </c>
      <c r="AF22" s="163">
        <v>5069</v>
      </c>
      <c r="AG22" s="169">
        <f t="shared" si="30"/>
        <v>19</v>
      </c>
    </row>
    <row r="23" spans="1:33" ht="16.5" thickBot="1" x14ac:dyDescent="0.25">
      <c r="A23" s="10">
        <v>44551</v>
      </c>
      <c r="B23" s="165">
        <v>22765.498</v>
      </c>
      <c r="C23" s="48">
        <f t="shared" si="15"/>
        <v>2.4199999999982538</v>
      </c>
      <c r="D23" s="32">
        <f t="shared" si="16"/>
        <v>4597.9999999966813</v>
      </c>
      <c r="E23" s="1">
        <v>4078.326</v>
      </c>
      <c r="F23" s="48">
        <f t="shared" si="17"/>
        <v>0.74899999999979627</v>
      </c>
      <c r="G23" s="32">
        <f t="shared" si="18"/>
        <v>1423.0999999996127</v>
      </c>
      <c r="H23" s="1">
        <v>4511</v>
      </c>
      <c r="I23" s="48">
        <f t="shared" si="19"/>
        <v>6</v>
      </c>
      <c r="J23" s="32">
        <f t="shared" si="20"/>
        <v>11399.999999999998</v>
      </c>
      <c r="K23" s="7">
        <v>13883.09</v>
      </c>
      <c r="L23" s="48">
        <f t="shared" si="21"/>
        <v>0</v>
      </c>
      <c r="M23" s="32">
        <f t="shared" si="22"/>
        <v>0</v>
      </c>
      <c r="N23" s="7">
        <v>3358.5039999999999</v>
      </c>
      <c r="O23" s="48">
        <f t="shared" si="23"/>
        <v>1.1279999999997017</v>
      </c>
      <c r="P23" s="32">
        <f t="shared" si="24"/>
        <v>2143.1999999994332</v>
      </c>
      <c r="Q23" s="7">
        <v>5286.52</v>
      </c>
      <c r="R23" s="48">
        <f t="shared" si="25"/>
        <v>0</v>
      </c>
      <c r="S23" s="32">
        <f t="shared" si="26"/>
        <v>0</v>
      </c>
      <c r="T23" s="8">
        <f t="shared" si="34"/>
        <v>10.296999999997752</v>
      </c>
      <c r="U23" s="34">
        <f t="shared" si="27"/>
        <v>19564.299999995728</v>
      </c>
      <c r="W23" s="162">
        <v>44551</v>
      </c>
      <c r="X23" s="163">
        <v>162895</v>
      </c>
      <c r="Y23" s="169">
        <f t="shared" si="31"/>
        <v>17</v>
      </c>
      <c r="Z23" s="163">
        <v>8194</v>
      </c>
      <c r="AA23" s="169">
        <f t="shared" si="32"/>
        <v>6</v>
      </c>
      <c r="AB23" s="163">
        <v>17.3</v>
      </c>
      <c r="AC23" s="169">
        <f t="shared" si="36"/>
        <v>0</v>
      </c>
      <c r="AD23" s="163">
        <f t="shared" si="35"/>
        <v>54</v>
      </c>
      <c r="AE23" s="169">
        <f t="shared" si="29"/>
        <v>0</v>
      </c>
      <c r="AF23" s="163">
        <v>5095</v>
      </c>
      <c r="AG23" s="169">
        <f t="shared" si="30"/>
        <v>26</v>
      </c>
    </row>
    <row r="24" spans="1:33" ht="16.5" thickBot="1" x14ac:dyDescent="0.25">
      <c r="A24" s="10">
        <v>44552</v>
      </c>
      <c r="B24" s="165">
        <f t="shared" ref="B23:B33" si="53">B23</f>
        <v>22765.498</v>
      </c>
      <c r="C24" s="48">
        <f t="shared" si="15"/>
        <v>0</v>
      </c>
      <c r="D24" s="32">
        <f t="shared" si="16"/>
        <v>0</v>
      </c>
      <c r="E24" s="1">
        <f t="shared" ref="E23:E33" si="54">E23</f>
        <v>4078.326</v>
      </c>
      <c r="F24" s="48">
        <f t="shared" si="17"/>
        <v>0</v>
      </c>
      <c r="G24" s="32">
        <f t="shared" si="18"/>
        <v>0</v>
      </c>
      <c r="H24" s="1">
        <f t="shared" ref="H23:H33" si="55">H23</f>
        <v>4511</v>
      </c>
      <c r="I24" s="48">
        <f t="shared" si="19"/>
        <v>0</v>
      </c>
      <c r="J24" s="32">
        <f t="shared" si="20"/>
        <v>0</v>
      </c>
      <c r="K24" s="7">
        <f t="shared" ref="K23:K33" si="56">K23</f>
        <v>13883.09</v>
      </c>
      <c r="L24" s="48">
        <f t="shared" si="21"/>
        <v>0</v>
      </c>
      <c r="M24" s="32">
        <f t="shared" si="22"/>
        <v>0</v>
      </c>
      <c r="N24" s="7">
        <f t="shared" ref="N23:N33" si="57">N23</f>
        <v>3358.5039999999999</v>
      </c>
      <c r="O24" s="48">
        <f t="shared" si="23"/>
        <v>0</v>
      </c>
      <c r="P24" s="32">
        <f t="shared" si="24"/>
        <v>0</v>
      </c>
      <c r="Q24" s="7">
        <f t="shared" ref="Q23:Q33" si="58">Q23</f>
        <v>5286.52</v>
      </c>
      <c r="R24" s="48">
        <f t="shared" si="25"/>
        <v>0</v>
      </c>
      <c r="S24" s="32">
        <f t="shared" si="26"/>
        <v>0</v>
      </c>
      <c r="T24" s="8">
        <f t="shared" si="34"/>
        <v>0</v>
      </c>
      <c r="U24" s="34">
        <f t="shared" si="27"/>
        <v>0</v>
      </c>
      <c r="W24" s="162">
        <v>44552</v>
      </c>
      <c r="X24" s="163">
        <f t="shared" ref="X23:X33" si="59">X23</f>
        <v>162895</v>
      </c>
      <c r="Y24" s="169">
        <f t="shared" si="31"/>
        <v>0</v>
      </c>
      <c r="Z24" s="163">
        <f t="shared" ref="Z23:Z33" si="60">Z23</f>
        <v>8194</v>
      </c>
      <c r="AA24" s="169">
        <f t="shared" si="32"/>
        <v>0</v>
      </c>
      <c r="AB24" s="163">
        <f t="shared" si="33"/>
        <v>17.3</v>
      </c>
      <c r="AC24" s="169">
        <f t="shared" si="36"/>
        <v>0</v>
      </c>
      <c r="AD24" s="163">
        <f t="shared" si="35"/>
        <v>54</v>
      </c>
      <c r="AE24" s="169">
        <f t="shared" si="29"/>
        <v>0</v>
      </c>
      <c r="AF24" s="163">
        <f t="shared" ref="AF23:AF33" si="61">AF23</f>
        <v>5095</v>
      </c>
      <c r="AG24" s="169">
        <f t="shared" si="30"/>
        <v>0</v>
      </c>
    </row>
    <row r="25" spans="1:33" ht="16.5" thickBot="1" x14ac:dyDescent="0.25">
      <c r="A25" s="10">
        <v>44553</v>
      </c>
      <c r="B25" s="165">
        <f t="shared" si="53"/>
        <v>22765.498</v>
      </c>
      <c r="C25" s="48">
        <f t="shared" si="15"/>
        <v>0</v>
      </c>
      <c r="D25" s="32">
        <f t="shared" si="16"/>
        <v>0</v>
      </c>
      <c r="E25" s="1">
        <f t="shared" si="54"/>
        <v>4078.326</v>
      </c>
      <c r="F25" s="48">
        <f t="shared" si="17"/>
        <v>0</v>
      </c>
      <c r="G25" s="32">
        <f t="shared" si="18"/>
        <v>0</v>
      </c>
      <c r="H25" s="1">
        <f t="shared" si="55"/>
        <v>4511</v>
      </c>
      <c r="I25" s="48">
        <f t="shared" si="19"/>
        <v>0</v>
      </c>
      <c r="J25" s="32">
        <f t="shared" si="20"/>
        <v>0</v>
      </c>
      <c r="K25" s="7">
        <f t="shared" si="56"/>
        <v>13883.09</v>
      </c>
      <c r="L25" s="48">
        <f t="shared" si="21"/>
        <v>0</v>
      </c>
      <c r="M25" s="32">
        <f t="shared" si="22"/>
        <v>0</v>
      </c>
      <c r="N25" s="7">
        <f t="shared" si="57"/>
        <v>3358.5039999999999</v>
      </c>
      <c r="O25" s="48">
        <f t="shared" si="23"/>
        <v>0</v>
      </c>
      <c r="P25" s="32">
        <f t="shared" si="24"/>
        <v>0</v>
      </c>
      <c r="Q25" s="7">
        <f t="shared" si="58"/>
        <v>5286.52</v>
      </c>
      <c r="R25" s="48">
        <f t="shared" si="25"/>
        <v>0</v>
      </c>
      <c r="S25" s="32">
        <f t="shared" si="26"/>
        <v>0</v>
      </c>
      <c r="T25" s="8">
        <f t="shared" si="34"/>
        <v>0</v>
      </c>
      <c r="U25" s="34">
        <f t="shared" si="27"/>
        <v>0</v>
      </c>
      <c r="W25" s="162">
        <v>44553</v>
      </c>
      <c r="X25" s="163">
        <f t="shared" si="59"/>
        <v>162895</v>
      </c>
      <c r="Y25" s="169">
        <f t="shared" si="31"/>
        <v>0</v>
      </c>
      <c r="Z25" s="163">
        <f t="shared" si="60"/>
        <v>8194</v>
      </c>
      <c r="AA25" s="169">
        <f t="shared" si="32"/>
        <v>0</v>
      </c>
      <c r="AB25" s="163">
        <f t="shared" si="33"/>
        <v>17.3</v>
      </c>
      <c r="AC25" s="169">
        <f t="shared" si="36"/>
        <v>0</v>
      </c>
      <c r="AD25" s="163">
        <f t="shared" si="35"/>
        <v>54</v>
      </c>
      <c r="AE25" s="169">
        <f t="shared" si="29"/>
        <v>0</v>
      </c>
      <c r="AF25" s="163">
        <f t="shared" si="61"/>
        <v>5095</v>
      </c>
      <c r="AG25" s="169">
        <f t="shared" si="30"/>
        <v>0</v>
      </c>
    </row>
    <row r="26" spans="1:33" ht="16.5" thickBot="1" x14ac:dyDescent="0.25">
      <c r="A26" s="10">
        <v>44554</v>
      </c>
      <c r="B26" s="165">
        <f t="shared" si="53"/>
        <v>22765.498</v>
      </c>
      <c r="C26" s="48">
        <f t="shared" si="15"/>
        <v>0</v>
      </c>
      <c r="D26" s="32">
        <f t="shared" si="16"/>
        <v>0</v>
      </c>
      <c r="E26" s="1">
        <f t="shared" si="54"/>
        <v>4078.326</v>
      </c>
      <c r="F26" s="48">
        <f t="shared" si="17"/>
        <v>0</v>
      </c>
      <c r="G26" s="32">
        <f t="shared" si="18"/>
        <v>0</v>
      </c>
      <c r="H26" s="1">
        <f t="shared" si="55"/>
        <v>4511</v>
      </c>
      <c r="I26" s="48">
        <f t="shared" si="19"/>
        <v>0</v>
      </c>
      <c r="J26" s="32">
        <f t="shared" si="20"/>
        <v>0</v>
      </c>
      <c r="K26" s="7">
        <f t="shared" si="56"/>
        <v>13883.09</v>
      </c>
      <c r="L26" s="48">
        <f>IF((K26-K25)&lt;0,"0",(K26-K25))</f>
        <v>0</v>
      </c>
      <c r="M26" s="32">
        <f t="shared" si="22"/>
        <v>0</v>
      </c>
      <c r="N26" s="7">
        <f t="shared" si="57"/>
        <v>3358.5039999999999</v>
      </c>
      <c r="O26" s="48">
        <f t="shared" si="23"/>
        <v>0</v>
      </c>
      <c r="P26" s="32">
        <f t="shared" si="24"/>
        <v>0</v>
      </c>
      <c r="Q26" s="7">
        <f t="shared" si="58"/>
        <v>5286.52</v>
      </c>
      <c r="R26" s="48">
        <f t="shared" si="25"/>
        <v>0</v>
      </c>
      <c r="S26" s="32">
        <f t="shared" si="26"/>
        <v>0</v>
      </c>
      <c r="T26" s="8">
        <f t="shared" si="34"/>
        <v>0</v>
      </c>
      <c r="U26" s="34">
        <f t="shared" si="27"/>
        <v>0</v>
      </c>
      <c r="V26" t="s">
        <v>12</v>
      </c>
      <c r="W26" s="162">
        <v>44554</v>
      </c>
      <c r="X26" s="163">
        <f t="shared" si="59"/>
        <v>162895</v>
      </c>
      <c r="Y26" s="169">
        <f t="shared" si="31"/>
        <v>0</v>
      </c>
      <c r="Z26" s="163">
        <f t="shared" si="60"/>
        <v>8194</v>
      </c>
      <c r="AA26" s="169">
        <f t="shared" si="32"/>
        <v>0</v>
      </c>
      <c r="AB26" s="163">
        <f t="shared" si="33"/>
        <v>17.3</v>
      </c>
      <c r="AC26" s="169">
        <f t="shared" si="36"/>
        <v>0</v>
      </c>
      <c r="AD26" s="163">
        <f t="shared" si="35"/>
        <v>54</v>
      </c>
      <c r="AE26" s="169">
        <f t="shared" si="29"/>
        <v>0</v>
      </c>
      <c r="AF26" s="163">
        <f t="shared" si="61"/>
        <v>5095</v>
      </c>
      <c r="AG26" s="169">
        <f t="shared" si="30"/>
        <v>0</v>
      </c>
    </row>
    <row r="27" spans="1:33" ht="16.5" thickBot="1" x14ac:dyDescent="0.25">
      <c r="A27" s="10">
        <v>44555</v>
      </c>
      <c r="B27" s="165">
        <f t="shared" si="53"/>
        <v>22765.498</v>
      </c>
      <c r="C27" s="48">
        <f t="shared" si="15"/>
        <v>0</v>
      </c>
      <c r="D27" s="32">
        <f t="shared" si="16"/>
        <v>0</v>
      </c>
      <c r="E27" s="1">
        <f t="shared" si="54"/>
        <v>4078.326</v>
      </c>
      <c r="F27" s="48">
        <f t="shared" si="17"/>
        <v>0</v>
      </c>
      <c r="G27" s="32">
        <f t="shared" si="18"/>
        <v>0</v>
      </c>
      <c r="H27" s="1">
        <f t="shared" si="55"/>
        <v>4511</v>
      </c>
      <c r="I27" s="48">
        <f t="shared" si="19"/>
        <v>0</v>
      </c>
      <c r="J27" s="32">
        <f t="shared" si="20"/>
        <v>0</v>
      </c>
      <c r="K27" s="7">
        <f t="shared" si="56"/>
        <v>13883.09</v>
      </c>
      <c r="L27" s="48">
        <f t="shared" si="21"/>
        <v>0</v>
      </c>
      <c r="M27" s="32">
        <f t="shared" si="22"/>
        <v>0</v>
      </c>
      <c r="N27" s="7">
        <f t="shared" si="57"/>
        <v>3358.5039999999999</v>
      </c>
      <c r="O27" s="48">
        <f t="shared" si="23"/>
        <v>0</v>
      </c>
      <c r="P27" s="32">
        <f t="shared" si="24"/>
        <v>0</v>
      </c>
      <c r="Q27" s="7">
        <f t="shared" si="58"/>
        <v>5286.52</v>
      </c>
      <c r="R27" s="48">
        <f t="shared" si="25"/>
        <v>0</v>
      </c>
      <c r="S27" s="32">
        <f t="shared" si="26"/>
        <v>0</v>
      </c>
      <c r="T27" s="8">
        <f t="shared" si="34"/>
        <v>0</v>
      </c>
      <c r="U27" s="34">
        <f t="shared" si="27"/>
        <v>0</v>
      </c>
      <c r="V27" t="s">
        <v>12</v>
      </c>
      <c r="W27" s="162">
        <v>44555</v>
      </c>
      <c r="X27" s="163">
        <f t="shared" si="59"/>
        <v>162895</v>
      </c>
      <c r="Y27" s="169">
        <f t="shared" si="31"/>
        <v>0</v>
      </c>
      <c r="Z27" s="163">
        <f t="shared" si="60"/>
        <v>8194</v>
      </c>
      <c r="AA27" s="169">
        <f t="shared" si="32"/>
        <v>0</v>
      </c>
      <c r="AB27" s="163">
        <f t="shared" si="33"/>
        <v>17.3</v>
      </c>
      <c r="AC27" s="169">
        <f t="shared" si="36"/>
        <v>0</v>
      </c>
      <c r="AD27" s="163">
        <f t="shared" si="35"/>
        <v>54</v>
      </c>
      <c r="AE27" s="169">
        <f t="shared" si="29"/>
        <v>0</v>
      </c>
      <c r="AF27" s="163">
        <f t="shared" si="61"/>
        <v>5095</v>
      </c>
      <c r="AG27" s="169">
        <f t="shared" si="30"/>
        <v>0</v>
      </c>
    </row>
    <row r="28" spans="1:33" ht="16.5" thickBot="1" x14ac:dyDescent="0.25">
      <c r="A28" s="10">
        <v>44556</v>
      </c>
      <c r="B28" s="165">
        <f t="shared" si="53"/>
        <v>22765.498</v>
      </c>
      <c r="C28" s="48">
        <f t="shared" si="15"/>
        <v>0</v>
      </c>
      <c r="D28" s="32">
        <f t="shared" si="16"/>
        <v>0</v>
      </c>
      <c r="E28" s="1">
        <f t="shared" si="54"/>
        <v>4078.326</v>
      </c>
      <c r="F28" s="48">
        <f t="shared" si="17"/>
        <v>0</v>
      </c>
      <c r="G28" s="32">
        <f t="shared" si="18"/>
        <v>0</v>
      </c>
      <c r="H28" s="1">
        <f t="shared" si="55"/>
        <v>4511</v>
      </c>
      <c r="I28" s="48">
        <f t="shared" si="19"/>
        <v>0</v>
      </c>
      <c r="J28" s="32">
        <f t="shared" si="20"/>
        <v>0</v>
      </c>
      <c r="K28" s="7">
        <f t="shared" si="56"/>
        <v>13883.09</v>
      </c>
      <c r="L28" s="48">
        <f t="shared" si="21"/>
        <v>0</v>
      </c>
      <c r="M28" s="32">
        <f t="shared" si="22"/>
        <v>0</v>
      </c>
      <c r="N28" s="7">
        <f t="shared" si="57"/>
        <v>3358.5039999999999</v>
      </c>
      <c r="O28" s="48">
        <f t="shared" si="23"/>
        <v>0</v>
      </c>
      <c r="P28" s="32">
        <f t="shared" si="24"/>
        <v>0</v>
      </c>
      <c r="Q28" s="7">
        <f t="shared" si="58"/>
        <v>5286.52</v>
      </c>
      <c r="R28" s="48">
        <f t="shared" si="25"/>
        <v>0</v>
      </c>
      <c r="S28" s="32">
        <f t="shared" si="26"/>
        <v>0</v>
      </c>
      <c r="T28" s="8">
        <f t="shared" si="34"/>
        <v>0</v>
      </c>
      <c r="U28" s="34">
        <f t="shared" si="27"/>
        <v>0</v>
      </c>
      <c r="W28" s="162">
        <v>44556</v>
      </c>
      <c r="X28" s="163">
        <f t="shared" si="59"/>
        <v>162895</v>
      </c>
      <c r="Y28" s="169">
        <f t="shared" si="31"/>
        <v>0</v>
      </c>
      <c r="Z28" s="163">
        <f t="shared" si="60"/>
        <v>8194</v>
      </c>
      <c r="AA28" s="169">
        <f t="shared" si="32"/>
        <v>0</v>
      </c>
      <c r="AB28" s="163">
        <f t="shared" si="33"/>
        <v>17.3</v>
      </c>
      <c r="AC28" s="169">
        <f t="shared" si="36"/>
        <v>0</v>
      </c>
      <c r="AD28" s="163">
        <f t="shared" si="35"/>
        <v>54</v>
      </c>
      <c r="AE28" s="169">
        <f t="shared" si="29"/>
        <v>0</v>
      </c>
      <c r="AF28" s="163">
        <f t="shared" si="61"/>
        <v>5095</v>
      </c>
      <c r="AG28" s="169">
        <f t="shared" si="30"/>
        <v>0</v>
      </c>
    </row>
    <row r="29" spans="1:33" ht="16.5" thickBot="1" x14ac:dyDescent="0.25">
      <c r="A29" s="10">
        <v>44557</v>
      </c>
      <c r="B29" s="165">
        <f t="shared" si="53"/>
        <v>22765.498</v>
      </c>
      <c r="C29" s="48">
        <f t="shared" si="15"/>
        <v>0</v>
      </c>
      <c r="D29" s="32">
        <f t="shared" si="16"/>
        <v>0</v>
      </c>
      <c r="E29" s="1">
        <f t="shared" si="54"/>
        <v>4078.326</v>
      </c>
      <c r="F29" s="48">
        <f t="shared" si="17"/>
        <v>0</v>
      </c>
      <c r="G29" s="32">
        <f t="shared" si="18"/>
        <v>0</v>
      </c>
      <c r="H29" s="1">
        <f t="shared" si="55"/>
        <v>4511</v>
      </c>
      <c r="I29" s="48">
        <f t="shared" si="19"/>
        <v>0</v>
      </c>
      <c r="J29" s="32">
        <f t="shared" si="20"/>
        <v>0</v>
      </c>
      <c r="K29" s="7">
        <f t="shared" si="56"/>
        <v>13883.09</v>
      </c>
      <c r="L29" s="48">
        <f t="shared" si="21"/>
        <v>0</v>
      </c>
      <c r="M29" s="32">
        <f t="shared" si="22"/>
        <v>0</v>
      </c>
      <c r="N29" s="7">
        <f t="shared" si="57"/>
        <v>3358.5039999999999</v>
      </c>
      <c r="O29" s="48">
        <f t="shared" si="23"/>
        <v>0</v>
      </c>
      <c r="P29" s="32">
        <f t="shared" si="24"/>
        <v>0</v>
      </c>
      <c r="Q29" s="7">
        <f t="shared" si="58"/>
        <v>5286.52</v>
      </c>
      <c r="R29" s="48">
        <f t="shared" si="25"/>
        <v>0</v>
      </c>
      <c r="S29" s="32">
        <f t="shared" si="26"/>
        <v>0</v>
      </c>
      <c r="T29" s="8">
        <f t="shared" si="34"/>
        <v>0</v>
      </c>
      <c r="U29" s="34">
        <f t="shared" si="27"/>
        <v>0</v>
      </c>
      <c r="W29" s="162">
        <v>44557</v>
      </c>
      <c r="X29" s="163">
        <f t="shared" si="59"/>
        <v>162895</v>
      </c>
      <c r="Y29" s="169">
        <f t="shared" si="31"/>
        <v>0</v>
      </c>
      <c r="Z29" s="163">
        <f t="shared" si="60"/>
        <v>8194</v>
      </c>
      <c r="AA29" s="169">
        <f t="shared" si="32"/>
        <v>0</v>
      </c>
      <c r="AB29" s="163">
        <f t="shared" si="33"/>
        <v>17.3</v>
      </c>
      <c r="AC29" s="169">
        <f t="shared" si="36"/>
        <v>0</v>
      </c>
      <c r="AD29" s="163">
        <f t="shared" si="35"/>
        <v>54</v>
      </c>
      <c r="AE29" s="169">
        <f t="shared" si="29"/>
        <v>0</v>
      </c>
      <c r="AF29" s="163">
        <f t="shared" si="61"/>
        <v>5095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53"/>
        <v>22765.498</v>
      </c>
      <c r="C30" s="48">
        <f t="shared" si="15"/>
        <v>0</v>
      </c>
      <c r="D30" s="32">
        <f t="shared" si="16"/>
        <v>0</v>
      </c>
      <c r="E30" s="1">
        <f t="shared" si="54"/>
        <v>4078.326</v>
      </c>
      <c r="F30" s="48">
        <f t="shared" si="17"/>
        <v>0</v>
      </c>
      <c r="G30" s="32">
        <f t="shared" si="18"/>
        <v>0</v>
      </c>
      <c r="H30" s="1">
        <f t="shared" si="55"/>
        <v>4511</v>
      </c>
      <c r="I30" s="48">
        <f t="shared" si="19"/>
        <v>0</v>
      </c>
      <c r="J30" s="32">
        <f t="shared" si="20"/>
        <v>0</v>
      </c>
      <c r="K30" s="7">
        <f t="shared" si="56"/>
        <v>13883.09</v>
      </c>
      <c r="L30" s="48">
        <f t="shared" si="21"/>
        <v>0</v>
      </c>
      <c r="M30" s="32">
        <f t="shared" si="22"/>
        <v>0</v>
      </c>
      <c r="N30" s="7">
        <f t="shared" si="57"/>
        <v>3358.5039999999999</v>
      </c>
      <c r="O30" s="48">
        <f t="shared" si="23"/>
        <v>0</v>
      </c>
      <c r="P30" s="32">
        <f t="shared" si="24"/>
        <v>0</v>
      </c>
      <c r="Q30" s="7">
        <f t="shared" si="58"/>
        <v>5286.52</v>
      </c>
      <c r="R30" s="48">
        <f t="shared" si="25"/>
        <v>0</v>
      </c>
      <c r="S30" s="32">
        <f t="shared" si="26"/>
        <v>0</v>
      </c>
      <c r="T30" s="8">
        <f t="shared" si="34"/>
        <v>0</v>
      </c>
      <c r="U30" s="34">
        <f t="shared" si="27"/>
        <v>0</v>
      </c>
      <c r="W30" s="162">
        <v>44558</v>
      </c>
      <c r="X30" s="163">
        <f t="shared" si="59"/>
        <v>162895</v>
      </c>
      <c r="Y30" s="169">
        <f t="shared" si="31"/>
        <v>0</v>
      </c>
      <c r="Z30" s="163">
        <f t="shared" si="60"/>
        <v>8194</v>
      </c>
      <c r="AA30" s="169">
        <f>Z30-Z29</f>
        <v>0</v>
      </c>
      <c r="AB30" s="163">
        <f t="shared" si="33"/>
        <v>17.3</v>
      </c>
      <c r="AC30" s="169">
        <f t="shared" si="36"/>
        <v>0</v>
      </c>
      <c r="AD30" s="163">
        <f t="shared" si="35"/>
        <v>54</v>
      </c>
      <c r="AE30" s="169">
        <f t="shared" si="29"/>
        <v>0</v>
      </c>
      <c r="AF30" s="163">
        <f t="shared" si="61"/>
        <v>5095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53"/>
        <v>22765.498</v>
      </c>
      <c r="C31" s="48">
        <f t="shared" si="15"/>
        <v>0</v>
      </c>
      <c r="D31" s="32">
        <f t="shared" si="16"/>
        <v>0</v>
      </c>
      <c r="E31" s="1">
        <f t="shared" si="54"/>
        <v>4078.326</v>
      </c>
      <c r="F31" s="48">
        <f t="shared" si="17"/>
        <v>0</v>
      </c>
      <c r="G31" s="32">
        <f t="shared" si="18"/>
        <v>0</v>
      </c>
      <c r="H31" s="1">
        <f t="shared" si="55"/>
        <v>4511</v>
      </c>
      <c r="I31" s="48">
        <f t="shared" si="19"/>
        <v>0</v>
      </c>
      <c r="J31" s="32">
        <f t="shared" si="20"/>
        <v>0</v>
      </c>
      <c r="K31" s="7">
        <f t="shared" si="56"/>
        <v>13883.09</v>
      </c>
      <c r="L31" s="48">
        <f t="shared" si="21"/>
        <v>0</v>
      </c>
      <c r="M31" s="32">
        <f t="shared" si="22"/>
        <v>0</v>
      </c>
      <c r="N31" s="7">
        <f t="shared" si="57"/>
        <v>3358.5039999999999</v>
      </c>
      <c r="O31" s="48">
        <f t="shared" si="23"/>
        <v>0</v>
      </c>
      <c r="P31" s="32">
        <f t="shared" si="24"/>
        <v>0</v>
      </c>
      <c r="Q31" s="7">
        <f t="shared" si="58"/>
        <v>5286.52</v>
      </c>
      <c r="R31" s="48">
        <f t="shared" si="25"/>
        <v>0</v>
      </c>
      <c r="S31" s="32">
        <f t="shared" si="26"/>
        <v>0</v>
      </c>
      <c r="T31" s="8">
        <f t="shared" si="34"/>
        <v>0</v>
      </c>
      <c r="U31" s="34">
        <f t="shared" si="27"/>
        <v>0</v>
      </c>
      <c r="W31" s="162">
        <v>44559</v>
      </c>
      <c r="X31" s="163">
        <f t="shared" si="59"/>
        <v>162895</v>
      </c>
      <c r="Y31" s="169">
        <f t="shared" si="31"/>
        <v>0</v>
      </c>
      <c r="Z31" s="163">
        <f t="shared" si="60"/>
        <v>8194</v>
      </c>
      <c r="AA31" s="169">
        <f t="shared" si="32"/>
        <v>0</v>
      </c>
      <c r="AB31" s="163">
        <f t="shared" si="33"/>
        <v>17.3</v>
      </c>
      <c r="AC31" s="169">
        <f t="shared" si="36"/>
        <v>0</v>
      </c>
      <c r="AD31" s="163">
        <f t="shared" si="35"/>
        <v>54</v>
      </c>
      <c r="AE31" s="169" t="s">
        <v>12</v>
      </c>
      <c r="AF31" s="163">
        <f t="shared" si="61"/>
        <v>5095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53"/>
        <v>22765.498</v>
      </c>
      <c r="C32" s="48">
        <f t="shared" si="15"/>
        <v>0</v>
      </c>
      <c r="D32" s="32">
        <f t="shared" si="16"/>
        <v>0</v>
      </c>
      <c r="E32" s="1">
        <f t="shared" si="54"/>
        <v>4078.326</v>
      </c>
      <c r="F32" s="48">
        <f t="shared" si="17"/>
        <v>0</v>
      </c>
      <c r="G32" s="32">
        <f t="shared" si="18"/>
        <v>0</v>
      </c>
      <c r="H32" s="1">
        <f t="shared" si="55"/>
        <v>4511</v>
      </c>
      <c r="I32" s="48">
        <f t="shared" si="19"/>
        <v>0</v>
      </c>
      <c r="J32" s="32">
        <f t="shared" si="20"/>
        <v>0</v>
      </c>
      <c r="K32" s="7">
        <f t="shared" si="56"/>
        <v>13883.09</v>
      </c>
      <c r="L32" s="48">
        <f t="shared" si="21"/>
        <v>0</v>
      </c>
      <c r="M32" s="32">
        <f t="shared" si="22"/>
        <v>0</v>
      </c>
      <c r="N32" s="7">
        <f t="shared" si="57"/>
        <v>3358.5039999999999</v>
      </c>
      <c r="O32" s="48">
        <f t="shared" si="23"/>
        <v>0</v>
      </c>
      <c r="P32" s="32">
        <f t="shared" si="24"/>
        <v>0</v>
      </c>
      <c r="Q32" s="7">
        <f t="shared" si="58"/>
        <v>5286.52</v>
      </c>
      <c r="R32" s="48">
        <f t="shared" si="25"/>
        <v>0</v>
      </c>
      <c r="S32" s="32">
        <f t="shared" si="26"/>
        <v>0</v>
      </c>
      <c r="T32" s="8">
        <f t="shared" si="34"/>
        <v>0</v>
      </c>
      <c r="U32" s="34">
        <f t="shared" si="27"/>
        <v>0</v>
      </c>
      <c r="W32" s="162">
        <v>44560</v>
      </c>
      <c r="X32" s="163">
        <f t="shared" si="59"/>
        <v>162895</v>
      </c>
      <c r="Y32" s="169">
        <f t="shared" si="31"/>
        <v>0</v>
      </c>
      <c r="Z32" s="163">
        <f t="shared" si="60"/>
        <v>8194</v>
      </c>
      <c r="AA32" s="169">
        <f t="shared" si="32"/>
        <v>0</v>
      </c>
      <c r="AB32" s="163">
        <f t="shared" si="33"/>
        <v>17.3</v>
      </c>
      <c r="AC32" s="169">
        <v>0</v>
      </c>
      <c r="AD32" s="163">
        <f t="shared" si="35"/>
        <v>54</v>
      </c>
      <c r="AE32" s="169">
        <f t="shared" si="29"/>
        <v>0</v>
      </c>
      <c r="AF32" s="163">
        <f t="shared" si="61"/>
        <v>5095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53"/>
        <v>22765.498</v>
      </c>
      <c r="C33" s="48">
        <f t="shared" si="15"/>
        <v>0</v>
      </c>
      <c r="D33" s="32">
        <f t="shared" si="16"/>
        <v>0</v>
      </c>
      <c r="E33" s="1">
        <f t="shared" si="54"/>
        <v>4078.326</v>
      </c>
      <c r="F33" s="48">
        <f t="shared" si="17"/>
        <v>0</v>
      </c>
      <c r="G33" s="32">
        <f t="shared" si="18"/>
        <v>0</v>
      </c>
      <c r="H33" s="1">
        <f t="shared" si="55"/>
        <v>4511</v>
      </c>
      <c r="I33" s="48">
        <f t="shared" si="19"/>
        <v>0</v>
      </c>
      <c r="J33" s="32">
        <f t="shared" si="20"/>
        <v>0</v>
      </c>
      <c r="K33" s="7">
        <f t="shared" si="56"/>
        <v>13883.09</v>
      </c>
      <c r="L33" s="48">
        <f t="shared" si="21"/>
        <v>0</v>
      </c>
      <c r="M33" s="32">
        <f t="shared" si="22"/>
        <v>0</v>
      </c>
      <c r="N33" s="7">
        <f t="shared" si="57"/>
        <v>3358.5039999999999</v>
      </c>
      <c r="O33" s="48">
        <f t="shared" si="23"/>
        <v>0</v>
      </c>
      <c r="P33" s="32">
        <f t="shared" si="24"/>
        <v>0</v>
      </c>
      <c r="Q33" s="7">
        <f t="shared" si="58"/>
        <v>5286.52</v>
      </c>
      <c r="R33" s="48">
        <f t="shared" si="25"/>
        <v>0</v>
      </c>
      <c r="S33" s="32">
        <f t="shared" si="26"/>
        <v>0</v>
      </c>
      <c r="T33" s="8">
        <f t="shared" si="34"/>
        <v>0</v>
      </c>
      <c r="U33" s="34">
        <f t="shared" si="27"/>
        <v>0</v>
      </c>
      <c r="V33"/>
      <c r="W33" s="162">
        <v>44561</v>
      </c>
      <c r="X33" s="163">
        <f t="shared" si="59"/>
        <v>162895</v>
      </c>
      <c r="Y33" s="169">
        <f t="shared" si="31"/>
        <v>0</v>
      </c>
      <c r="Z33" s="163">
        <f t="shared" si="60"/>
        <v>8194</v>
      </c>
      <c r="AA33" s="169">
        <f t="shared" si="32"/>
        <v>0</v>
      </c>
      <c r="AB33" s="163">
        <f t="shared" si="33"/>
        <v>17.3</v>
      </c>
      <c r="AC33" s="169">
        <v>0</v>
      </c>
      <c r="AD33" s="163">
        <f t="shared" si="35"/>
        <v>54</v>
      </c>
      <c r="AE33" s="169">
        <f t="shared" si="29"/>
        <v>0</v>
      </c>
      <c r="AF33" s="163">
        <f t="shared" si="61"/>
        <v>5095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53.328999999997905</v>
      </c>
      <c r="D34" s="142">
        <f>SUM(D3:D33)</f>
        <v>106523.49999999751</v>
      </c>
      <c r="E34" s="142">
        <v>0</v>
      </c>
      <c r="F34" s="142">
        <f>SUM(F3:F33)</f>
        <v>16.822999999999865</v>
      </c>
      <c r="G34" s="142">
        <f>SUM(G3:G33)</f>
        <v>31963.699999999739</v>
      </c>
      <c r="H34" s="142"/>
      <c r="I34" s="142">
        <f>SUM(I3:I33)</f>
        <v>92</v>
      </c>
      <c r="J34" s="142">
        <f>SUM(J3:J33)</f>
        <v>174800</v>
      </c>
      <c r="K34" s="142"/>
      <c r="L34" s="142">
        <f>SUM(L3:L33)</f>
        <v>36.530000000000655</v>
      </c>
      <c r="M34" s="142">
        <f>SUM(M3:M33)</f>
        <v>69407.000000001237</v>
      </c>
      <c r="N34" s="142"/>
      <c r="O34" s="48" t="str">
        <f t="shared" si="23"/>
        <v>0</v>
      </c>
      <c r="P34" s="142">
        <f>SUM(P3:P33)</f>
        <v>46327.699999999633</v>
      </c>
      <c r="Q34" s="142"/>
      <c r="R34" s="142">
        <f>SUM(R3:R33)</f>
        <v>6.5900000000001455</v>
      </c>
      <c r="S34" s="142">
        <f>SUM(S3:S33)</f>
        <v>12521.000000000276</v>
      </c>
      <c r="T34" s="142">
        <f>SUM(T3:T33)</f>
        <v>232.39099999999917</v>
      </c>
      <c r="U34" s="142">
        <f>SUM(U3:U33)</f>
        <v>441542.89999999845</v>
      </c>
      <c r="V34"/>
      <c r="W34" s="142" t="s">
        <v>143</v>
      </c>
      <c r="X34" s="142"/>
      <c r="Y34" s="142">
        <f>SUM(Y5:Y33)</f>
        <v>2660</v>
      </c>
      <c r="Z34" s="142"/>
      <c r="AA34" s="142">
        <f>SUM(AA5:AA33)</f>
        <v>175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7" t="s">
        <v>116</v>
      </c>
      <c r="F19" s="178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7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7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8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8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7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7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8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8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7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7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8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8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7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7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8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8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7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7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8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8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7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7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8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8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7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7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8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8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7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7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8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8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7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7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8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8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7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7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8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8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7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7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8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8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7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7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8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8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7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7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8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8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7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7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8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8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7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7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7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7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7">
        <v>23</v>
      </c>
      <c r="D49" s="65" t="s">
        <v>83</v>
      </c>
      <c r="E49" s="80"/>
      <c r="F49" s="80"/>
      <c r="G49" s="67">
        <f t="shared" si="2"/>
        <v>0</v>
      </c>
      <c r="H49" s="68"/>
      <c r="J49" s="187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2"/>
      <c r="D50" s="65" t="s">
        <v>82</v>
      </c>
      <c r="E50" s="80"/>
      <c r="F50" s="80"/>
      <c r="G50" s="67">
        <f t="shared" si="2"/>
        <v>0</v>
      </c>
      <c r="H50" s="68"/>
      <c r="J50" s="19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7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7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8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8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7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7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8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8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7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7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8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8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7">
        <v>28</v>
      </c>
      <c r="D62" s="182" t="s">
        <v>86</v>
      </c>
      <c r="E62" s="66"/>
      <c r="F62" s="66"/>
      <c r="G62" s="67"/>
      <c r="H62" s="184" t="s">
        <v>87</v>
      </c>
      <c r="I62" s="71"/>
      <c r="J62" s="187">
        <v>28</v>
      </c>
      <c r="K62" s="182" t="s">
        <v>86</v>
      </c>
      <c r="L62" s="66"/>
      <c r="M62" s="66"/>
      <c r="N62" s="67"/>
      <c r="O62" s="184" t="s">
        <v>87</v>
      </c>
    </row>
    <row r="63" spans="1:15" ht="15" x14ac:dyDescent="0.2">
      <c r="A63" s="71"/>
      <c r="B63" s="61"/>
      <c r="C63" s="188"/>
      <c r="D63" s="183"/>
      <c r="E63" s="66"/>
      <c r="F63" s="66"/>
      <c r="G63" s="67"/>
      <c r="H63" s="185"/>
      <c r="I63" s="71"/>
      <c r="J63" s="188"/>
      <c r="K63" s="183"/>
      <c r="L63" s="66"/>
      <c r="M63" s="66"/>
      <c r="N63" s="67"/>
      <c r="O63" s="185"/>
    </row>
    <row r="64" spans="1:15" x14ac:dyDescent="0.2">
      <c r="A64" s="71"/>
      <c r="B64" s="61"/>
      <c r="C64" s="186" t="s">
        <v>88</v>
      </c>
      <c r="D64" s="186"/>
      <c r="E64" s="186"/>
      <c r="F64" s="186"/>
      <c r="G64" s="85">
        <f>SUM(G2:G63)</f>
        <v>28925</v>
      </c>
      <c r="H64" s="86"/>
      <c r="I64" s="71"/>
      <c r="J64" s="186" t="s">
        <v>88</v>
      </c>
      <c r="K64" s="186"/>
      <c r="L64" s="186"/>
      <c r="M64" s="186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89">
        <v>44409</v>
      </c>
      <c r="C69" s="190"/>
      <c r="D69" s="190"/>
      <c r="E69" s="191"/>
      <c r="F69" s="89"/>
      <c r="G69" s="189">
        <v>44470</v>
      </c>
      <c r="H69" s="190"/>
      <c r="I69" s="190"/>
      <c r="J69" s="191"/>
      <c r="K69" s="89"/>
      <c r="L69" s="179" t="s">
        <v>25</v>
      </c>
      <c r="M69" s="180"/>
      <c r="N69" s="180"/>
      <c r="O69" s="181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2021-12-21T23:33:09Z</dcterms:modified>
</cp:coreProperties>
</file>