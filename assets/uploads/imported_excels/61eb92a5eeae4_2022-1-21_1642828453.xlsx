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8" i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24" i="1"/>
  <c r="Z25" i="1" s="1"/>
  <c r="Z26" i="1" s="1"/>
  <c r="Z27" i="1" s="1"/>
  <c r="Z28" i="1" s="1"/>
  <c r="Z29" i="1" s="1"/>
  <c r="Z30" i="1" s="1"/>
  <c r="Z31" i="1" s="1"/>
  <c r="Z32" i="1" s="1"/>
  <c r="Z33" i="1" s="1"/>
  <c r="X24" i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24" i="1"/>
  <c r="N25" i="1" s="1"/>
  <c r="N26" i="1" s="1"/>
  <c r="N27" i="1" s="1"/>
  <c r="N28" i="1" s="1"/>
  <c r="N29" i="1" s="1"/>
  <c r="N30" i="1" s="1"/>
  <c r="N31" i="1" s="1"/>
  <c r="N32" i="1" s="1"/>
  <c r="N33" i="1" s="1"/>
  <c r="K18" i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24" i="1"/>
  <c r="H25" i="1" s="1"/>
  <c r="H26" i="1" s="1"/>
  <c r="H27" i="1" s="1"/>
  <c r="H28" i="1" s="1"/>
  <c r="H29" i="1" s="1"/>
  <c r="H30" i="1" s="1"/>
  <c r="H31" i="1" s="1"/>
  <c r="H32" i="1" s="1"/>
  <c r="H33" i="1" s="1"/>
  <c r="E24" i="1"/>
  <c r="E25" i="1" s="1"/>
  <c r="E26" i="1" s="1"/>
  <c r="E27" i="1" s="1"/>
  <c r="E28" i="1" s="1"/>
  <c r="E29" i="1" s="1"/>
  <c r="E30" i="1" s="1"/>
  <c r="E31" i="1" s="1"/>
  <c r="E32" i="1" s="1"/>
  <c r="E33" i="1" s="1"/>
  <c r="B24" i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24" i="5"/>
  <c r="B25" i="5" s="1"/>
  <c r="B26" i="5" s="1"/>
  <c r="B27" i="5" s="1"/>
  <c r="B28" i="5" s="1"/>
  <c r="B29" i="5" s="1"/>
  <c r="B30" i="5" s="1"/>
  <c r="B31" i="5" s="1"/>
  <c r="B32" i="5" s="1"/>
  <c r="B33" i="5" s="1"/>
  <c r="H23" i="3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23" i="3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20" i="2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0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0" i="2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20" i="2" s="1"/>
  <c r="J24" i="2" s="1"/>
  <c r="J25" i="2" s="1"/>
  <c r="J26" i="2" s="1"/>
  <c r="J27" i="2" s="1"/>
  <c r="J28" i="2" s="1"/>
  <c r="J29" i="2" s="1"/>
  <c r="J30" i="2" s="1"/>
  <c r="J31" i="2" s="1"/>
  <c r="J32" i="2" s="1"/>
  <c r="H20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0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0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0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24" i="4"/>
  <c r="V25" i="4" s="1"/>
  <c r="V26" i="4" s="1"/>
  <c r="V27" i="4" s="1"/>
  <c r="V28" i="4" s="1"/>
  <c r="V29" i="4" s="1"/>
  <c r="V30" i="4" s="1"/>
  <c r="V31" i="4" s="1"/>
  <c r="V32" i="4" s="1"/>
  <c r="V33" i="4" s="1"/>
  <c r="R24" i="4"/>
  <c r="R25" i="4" s="1"/>
  <c r="R26" i="4" s="1"/>
  <c r="R27" i="4" s="1"/>
  <c r="R28" i="4" s="1"/>
  <c r="R29" i="4" s="1"/>
  <c r="R30" i="4" s="1"/>
  <c r="R31" i="4" s="1"/>
  <c r="R32" i="4" s="1"/>
  <c r="R33" i="4" s="1"/>
  <c r="P24" i="4"/>
  <c r="P25" i="4" s="1"/>
  <c r="P26" i="4" s="1"/>
  <c r="P27" i="4" s="1"/>
  <c r="P28" i="4" s="1"/>
  <c r="P29" i="4" s="1"/>
  <c r="P30" i="4" s="1"/>
  <c r="P31" i="4" s="1"/>
  <c r="P32" i="4" s="1"/>
  <c r="P33" i="4" s="1"/>
  <c r="N24" i="4"/>
  <c r="N25" i="4" s="1"/>
  <c r="N26" i="4" s="1"/>
  <c r="N27" i="4" s="1"/>
  <c r="N28" i="4" s="1"/>
  <c r="N29" i="4" s="1"/>
  <c r="N30" i="4" s="1"/>
  <c r="N31" i="4" s="1"/>
  <c r="N32" i="4" s="1"/>
  <c r="N33" i="4" s="1"/>
  <c r="B10" i="4"/>
  <c r="B22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<sst xmlns="http://schemas.openxmlformats.org/spreadsheetml/2006/main" count="443" uniqueCount="149">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</sst>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56256.802928000012</v>
      </c>
      <c r="F21" s="144">
        <v>1.27</v>
      </c>
      <c r="G21" s="41">
        <f>Gas!C22*0.9147</f>
        <v>3405.4280999999996</v>
      </c>
      <c r="H21" s="145">
        <v>3.65</v>
      </c>
      <c r="I21" s="147">
        <f>Submetering!H21+Submetering!AD21+Submetering!AE21</f>
        <v>616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43884.782759999995</v>
      </c>
      <c r="F22" s="144">
        <v>1.27</v>
      </c>
      <c r="G22" s="41">
        <f>Gas!C23*0.9147</f>
        <v>2579.4539999999997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143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143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143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143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143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143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143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143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143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143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810</v>
      </c>
      <c r="F21" s="41">
        <f>Water!E22</f>
        <v>430</v>
      </c>
      <c r="G21" s="41">
        <f>Water!G22</f>
        <v>283.5</v>
      </c>
      <c r="H21" s="41">
        <f>Water!I22</f>
        <v>5.0759999999999996</v>
      </c>
      <c r="I21" s="41">
        <f>ELECT.!F22</f>
        <v>7308</v>
      </c>
      <c r="J21" s="41">
        <f>ELECT.!H22</f>
        <v>51351</v>
      </c>
      <c r="K21" s="41">
        <f>ELECT.!K22</f>
        <v>10426</v>
      </c>
      <c r="L21" s="41">
        <f>ELECT.!M22</f>
        <v>5735</v>
      </c>
      <c r="M21" s="41">
        <f>ELECT.!O22</f>
        <v>1434</v>
      </c>
      <c r="N21" s="41">
        <f>ELECT.!Q22</f>
        <v>4230</v>
      </c>
      <c r="O21" s="41">
        <f>ELECT.!S22</f>
        <v>12052</v>
      </c>
      <c r="P21" s="41">
        <f>ELECT.!W22*2</f>
        <v>25640</v>
      </c>
      <c r="Q21" s="41">
        <f>ELECT.!D22</f>
        <v>480</v>
      </c>
      <c r="R21" s="42">
        <f>BTU!C22</f>
        <v>1.521999999997206</v>
      </c>
      <c r="S21" s="42">
        <f>BTU!F22</f>
        <v>0.36799999999993815</v>
      </c>
      <c r="T21" s="42">
        <f>BTU!I22</f>
        <v>4</v>
      </c>
      <c r="U21" s="42">
        <f>BTU!O22</f>
        <v>0.93600000000014916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-858</v>
      </c>
      <c r="Z21">
        <f>'Mall, Citadel, Rotana'!C22+'Mall, Citadel, Rotana'!E22+'Mall, Citadel, Rotana'!G22+'Mall, Citadel, Rotana'!I22</f>
        <v>1375</v>
      </c>
      <c r="AA21">
        <f>'Mall, Citadel, Rotana'!K22+'Mall, Citadel, Rotana'!M22</f>
        <v>480</v>
      </c>
      <c r="AB21">
        <f>'Mall, Citadel, Rotana'!O22</f>
        <v>123</v>
      </c>
      <c r="AC21">
        <f>'Mall, Citadel, Rotana'!Q22+'Mall, Citadel, Rotana'!S22</f>
        <v>0</v>
      </c>
      <c r="AD21" s="39">
        <f t="shared" si="1"/>
        <v>80.519783199999992</v>
      </c>
      <c r="AE21" s="39">
        <f t="shared" si="2"/>
        <v>530.40421679999997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6197</v>
      </c>
      <c r="J22" s="41">
        <f>ELECT.!H23</f>
        <v>39998</v>
      </c>
      <c r="K22" s="41">
        <f>ELECT.!K23</f>
        <v>7272</v>
      </c>
      <c r="L22" s="41">
        <f>ELECT.!M23</f>
        <v>4644</v>
      </c>
      <c r="M22" s="41">
        <f>ELECT.!O23</f>
        <v>1416</v>
      </c>
      <c r="N22" s="41">
        <f>ELECT.!Q23</f>
        <v>5928</v>
      </c>
      <c r="O22" s="41">
        <f>ELECT.!S23</f>
        <v>9436</v>
      </c>
      <c r="P22" s="41">
        <f>ELECT.!W23*2</f>
        <v>19654</v>
      </c>
      <c r="Q22" s="41">
        <f>ELECT.!D23</f>
        <v>480</v>
      </c>
      <c r="R22" s="42">
        <f>BTU!C23</f>
        <v>1.5540000000000873</v>
      </c>
      <c r="S22" s="42">
        <f>BTU!F23</f>
        <v>0.28199999999969805</v>
      </c>
      <c r="T22" s="42">
        <f>BTU!I23</f>
        <v>4</v>
      </c>
      <c r="U22" s="42">
        <f>BTU!O23</f>
        <v>0.94200000000000728</v>
      </c>
      <c r="V22" s="42">
        <f>BTU!L23</f>
        <v>0</v>
      </c>
      <c r="W22" s="42">
        <f>BTU!R23</f>
        <v>0</v>
      </c>
      <c r="X22" s="39">
        <f>ELECT.!B23</f>
        <v>143</v>
      </c>
      <c r="Y22" s="39">
        <f t="shared" si="0"/>
        <v>-2155</v>
      </c>
      <c r="Z22">
        <f>'Mall, Citadel, Rotana'!C23+'Mall, Citadel, Rotana'!E23+'Mall, Citadel, Rotana'!G23+'Mall, Citadel, Rotana'!I23</f>
        <v>1558</v>
      </c>
      <c r="AA22">
        <f>'Mall, Citadel, Rotana'!K23+'Mall, Citadel, Rotana'!M23</f>
        <v>320</v>
      </c>
      <c r="AB22">
        <f>'Mall, Citadel, Rotana'!O23</f>
        <v>72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 t="str">
        <f>ELECT.!F24</f>
        <v>0</v>
      </c>
      <c r="J23" s="41" t="str">
        <f>ELECT.!H24</f>
        <v>0</v>
      </c>
      <c r="K23" s="41">
        <f>ELECT.!K24</f>
        <v>0</v>
      </c>
      <c r="L23" s="41" t="str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143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143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143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143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143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143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143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143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143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143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4" activePane="bottomLeft" state="frozen"/>
      <selection pane="bottomLeft" activeCell="R23" sqref="R23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v>46514</v>
      </c>
      <c r="C22" s="16">
        <f t="shared" si="1"/>
        <v>800</v>
      </c>
      <c r="D22" s="36">
        <v>40222</v>
      </c>
      <c r="E22" s="16">
        <f t="shared" si="2"/>
        <v>480</v>
      </c>
      <c r="F22" s="36">
        <v>21235</v>
      </c>
      <c r="G22" s="16">
        <f t="shared" si="3"/>
        <v>80</v>
      </c>
      <c r="H22" s="36">
        <v>253409</v>
      </c>
      <c r="I22" s="16">
        <f t="shared" si="4"/>
        <v>15</v>
      </c>
      <c r="J22" s="36">
        <v>303517</v>
      </c>
      <c r="K22" s="16">
        <v>0</v>
      </c>
      <c r="L22" s="36">
        <v>25785</v>
      </c>
      <c r="M22" s="16">
        <f t="shared" si="5"/>
        <v>480</v>
      </c>
      <c r="N22" s="36">
        <v>221048</v>
      </c>
      <c r="O22" s="16">
        <f t="shared" si="6"/>
        <v>123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v>3909</v>
      </c>
      <c r="U22" s="16">
        <f t="shared" si="10"/>
        <v>160</v>
      </c>
    </row>
    <row r="23" spans="1:23" ht="13.5" thickBot="1" x14ac:dyDescent="0.25">
      <c r="A23" s="10">
        <v>44582</v>
      </c>
      <c r="B23" s="36">
        <v>46519</v>
      </c>
      <c r="C23" s="16">
        <f t="shared" si="1"/>
        <v>800</v>
      </c>
      <c r="D23" s="36">
        <v>40226</v>
      </c>
      <c r="E23" s="16">
        <f t="shared" si="2"/>
        <v>640</v>
      </c>
      <c r="F23" s="36">
        <v>21240</v>
      </c>
      <c r="G23" s="16">
        <f t="shared" si="3"/>
        <v>100</v>
      </c>
      <c r="H23" s="36">
        <v>253427</v>
      </c>
      <c r="I23" s="16">
        <f t="shared" si="4"/>
        <v>18</v>
      </c>
      <c r="J23" s="36">
        <v>303517</v>
      </c>
      <c r="K23" s="16">
        <v>0</v>
      </c>
      <c r="L23" s="36">
        <v>25787</v>
      </c>
      <c r="M23" s="16">
        <f t="shared" si="5"/>
        <v>320</v>
      </c>
      <c r="N23" s="36">
        <v>221120</v>
      </c>
      <c r="O23" s="16">
        <f t="shared" si="6"/>
        <v>72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v>3909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46519</v>
      </c>
      <c r="C24" s="16">
        <f t="shared" si="1"/>
        <v>0</v>
      </c>
      <c r="D24" s="36">
        <f t="shared" si="20"/>
        <v>40226</v>
      </c>
      <c r="E24" s="16">
        <f t="shared" si="2"/>
        <v>0</v>
      </c>
      <c r="F24" s="36">
        <f t="shared" si="21"/>
        <v>21240</v>
      </c>
      <c r="G24" s="16">
        <f t="shared" si="3"/>
        <v>0</v>
      </c>
      <c r="H24" s="36">
        <f t="shared" si="22"/>
        <v>253427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23"/>
        <v>25787</v>
      </c>
      <c r="M24" s="16">
        <f t="shared" si="5"/>
        <v>0</v>
      </c>
      <c r="N24" s="36">
        <f t="shared" si="24"/>
        <v>221120</v>
      </c>
      <c r="O24" s="16">
        <f t="shared" si="6"/>
        <v>0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3909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46519</v>
      </c>
      <c r="C25" s="16">
        <f t="shared" si="1"/>
        <v>0</v>
      </c>
      <c r="D25" s="36">
        <f t="shared" si="20"/>
        <v>40226</v>
      </c>
      <c r="E25" s="16">
        <f t="shared" si="2"/>
        <v>0</v>
      </c>
      <c r="F25" s="36">
        <f t="shared" si="21"/>
        <v>21240</v>
      </c>
      <c r="G25" s="16">
        <f t="shared" si="3"/>
        <v>0</v>
      </c>
      <c r="H25" s="36">
        <f t="shared" si="22"/>
        <v>253427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23"/>
        <v>25787</v>
      </c>
      <c r="M25" s="16">
        <f t="shared" si="5"/>
        <v>0</v>
      </c>
      <c r="N25" s="36">
        <f t="shared" si="24"/>
        <v>221120</v>
      </c>
      <c r="O25" s="16">
        <f t="shared" si="6"/>
        <v>0</v>
      </c>
      <c r="P25" s="36">
        <f t="shared" si="11"/>
        <v>137479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3909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46519</v>
      </c>
      <c r="C26" s="16">
        <f t="shared" si="1"/>
        <v>0</v>
      </c>
      <c r="D26" s="36">
        <f t="shared" si="20"/>
        <v>40226</v>
      </c>
      <c r="E26" s="16">
        <f t="shared" si="2"/>
        <v>0</v>
      </c>
      <c r="F26" s="36">
        <f t="shared" si="21"/>
        <v>21240</v>
      </c>
      <c r="G26" s="16">
        <f t="shared" si="3"/>
        <v>0</v>
      </c>
      <c r="H26" s="36">
        <f t="shared" si="22"/>
        <v>253427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25787</v>
      </c>
      <c r="M26" s="16">
        <f t="shared" si="5"/>
        <v>0</v>
      </c>
      <c r="N26" s="36">
        <f t="shared" si="24"/>
        <v>221120</v>
      </c>
      <c r="O26" s="16">
        <f t="shared" si="6"/>
        <v>0</v>
      </c>
      <c r="P26" s="36">
        <f t="shared" si="11"/>
        <v>137479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3909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46519</v>
      </c>
      <c r="C27" s="16">
        <f t="shared" si="1"/>
        <v>0</v>
      </c>
      <c r="D27" s="36">
        <f t="shared" si="20"/>
        <v>40226</v>
      </c>
      <c r="E27" s="16">
        <f t="shared" si="2"/>
        <v>0</v>
      </c>
      <c r="F27" s="36">
        <f t="shared" si="21"/>
        <v>21240</v>
      </c>
      <c r="G27" s="16">
        <f t="shared" si="3"/>
        <v>0</v>
      </c>
      <c r="H27" s="36">
        <f t="shared" si="22"/>
        <v>253427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25787</v>
      </c>
      <c r="M27" s="16">
        <f t="shared" si="5"/>
        <v>0</v>
      </c>
      <c r="N27" s="36">
        <f t="shared" si="24"/>
        <v>221120</v>
      </c>
      <c r="O27" s="16">
        <f t="shared" si="6"/>
        <v>0</v>
      </c>
      <c r="P27" s="36">
        <f t="shared" si="11"/>
        <v>137479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3909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46519</v>
      </c>
      <c r="C28" s="16">
        <f t="shared" si="1"/>
        <v>0</v>
      </c>
      <c r="D28" s="36">
        <f t="shared" si="20"/>
        <v>40226</v>
      </c>
      <c r="E28" s="16">
        <f t="shared" si="2"/>
        <v>0</v>
      </c>
      <c r="F28" s="36">
        <f t="shared" si="21"/>
        <v>21240</v>
      </c>
      <c r="G28" s="16">
        <f t="shared" si="3"/>
        <v>0</v>
      </c>
      <c r="H28" s="36">
        <f t="shared" si="22"/>
        <v>253427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25787</v>
      </c>
      <c r="M28" s="16">
        <f t="shared" si="5"/>
        <v>0</v>
      </c>
      <c r="N28" s="36">
        <f t="shared" si="24"/>
        <v>221120</v>
      </c>
      <c r="O28" s="16">
        <f t="shared" si="6"/>
        <v>0</v>
      </c>
      <c r="P28" s="36">
        <f t="shared" si="11"/>
        <v>137479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3909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46519</v>
      </c>
      <c r="C29" s="16">
        <f t="shared" si="1"/>
        <v>0</v>
      </c>
      <c r="D29" s="36">
        <f t="shared" si="20"/>
        <v>40226</v>
      </c>
      <c r="E29" s="16">
        <f t="shared" si="2"/>
        <v>0</v>
      </c>
      <c r="F29" s="36">
        <f t="shared" si="21"/>
        <v>21240</v>
      </c>
      <c r="G29" s="16">
        <f t="shared" si="3"/>
        <v>0</v>
      </c>
      <c r="H29" s="36">
        <f t="shared" si="22"/>
        <v>253427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25787</v>
      </c>
      <c r="M29" s="16">
        <f t="shared" si="5"/>
        <v>0</v>
      </c>
      <c r="N29" s="36">
        <f t="shared" si="24"/>
        <v>221120</v>
      </c>
      <c r="O29" s="16">
        <f t="shared" si="6"/>
        <v>0</v>
      </c>
      <c r="P29" s="36">
        <f t="shared" si="11"/>
        <v>137479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3909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46519</v>
      </c>
      <c r="C30" s="16">
        <f t="shared" si="1"/>
        <v>0</v>
      </c>
      <c r="D30" s="36">
        <f t="shared" si="20"/>
        <v>40226</v>
      </c>
      <c r="E30" s="16">
        <f t="shared" si="2"/>
        <v>0</v>
      </c>
      <c r="F30" s="36">
        <f t="shared" si="21"/>
        <v>21240</v>
      </c>
      <c r="G30" s="16">
        <f t="shared" si="3"/>
        <v>0</v>
      </c>
      <c r="H30" s="36">
        <f t="shared" si="22"/>
        <v>253427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25787</v>
      </c>
      <c r="M30" s="16">
        <f t="shared" si="5"/>
        <v>0</v>
      </c>
      <c r="N30" s="36">
        <f t="shared" si="24"/>
        <v>221120</v>
      </c>
      <c r="O30" s="16">
        <f t="shared" si="6"/>
        <v>0</v>
      </c>
      <c r="P30" s="36">
        <f t="shared" si="11"/>
        <v>137479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3909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46519</v>
      </c>
      <c r="C31" s="16">
        <f t="shared" si="1"/>
        <v>0</v>
      </c>
      <c r="D31" s="36">
        <f t="shared" si="20"/>
        <v>40226</v>
      </c>
      <c r="E31" s="16">
        <f t="shared" si="2"/>
        <v>0</v>
      </c>
      <c r="F31" s="36">
        <f t="shared" si="21"/>
        <v>21240</v>
      </c>
      <c r="G31" s="16">
        <f t="shared" si="3"/>
        <v>0</v>
      </c>
      <c r="H31" s="36">
        <f t="shared" si="22"/>
        <v>253427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25787</v>
      </c>
      <c r="M31" s="16">
        <f t="shared" si="5"/>
        <v>0</v>
      </c>
      <c r="N31" s="36">
        <f t="shared" si="24"/>
        <v>221120</v>
      </c>
      <c r="O31" s="16">
        <f t="shared" si="6"/>
        <v>0</v>
      </c>
      <c r="P31" s="36">
        <f t="shared" si="11"/>
        <v>137479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3909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46519</v>
      </c>
      <c r="C32" s="16">
        <f t="shared" si="1"/>
        <v>0</v>
      </c>
      <c r="D32" s="36">
        <f t="shared" si="20"/>
        <v>40226</v>
      </c>
      <c r="E32" s="16">
        <f t="shared" si="2"/>
        <v>0</v>
      </c>
      <c r="F32" s="36">
        <f t="shared" si="21"/>
        <v>21240</v>
      </c>
      <c r="G32" s="16">
        <f t="shared" si="3"/>
        <v>0</v>
      </c>
      <c r="H32" s="36">
        <f t="shared" si="22"/>
        <v>253427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25787</v>
      </c>
      <c r="M32" s="16">
        <f t="shared" si="5"/>
        <v>0</v>
      </c>
      <c r="N32" s="36">
        <f t="shared" si="24"/>
        <v>221120</v>
      </c>
      <c r="O32" s="16">
        <f t="shared" si="6"/>
        <v>0</v>
      </c>
      <c r="P32" s="36">
        <f t="shared" si="11"/>
        <v>137479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3909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46519</v>
      </c>
      <c r="C33" s="16">
        <f t="shared" si="1"/>
        <v>0</v>
      </c>
      <c r="D33" s="36">
        <f t="shared" si="20"/>
        <v>40226</v>
      </c>
      <c r="E33" s="16">
        <f t="shared" si="2"/>
        <v>0</v>
      </c>
      <c r="F33" s="36">
        <f t="shared" si="21"/>
        <v>21240</v>
      </c>
      <c r="G33" s="16">
        <f t="shared" si="3"/>
        <v>0</v>
      </c>
      <c r="H33" s="36">
        <f t="shared" si="22"/>
        <v>253427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25787</v>
      </c>
      <c r="M33" s="16">
        <f t="shared" si="5"/>
        <v>0</v>
      </c>
      <c r="N33" s="36">
        <f t="shared" si="24"/>
        <v>221120</v>
      </c>
      <c r="O33" s="16">
        <f t="shared" si="6"/>
        <v>0</v>
      </c>
      <c r="P33" s="36">
        <f t="shared" si="11"/>
        <v>137479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3909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15200</v>
      </c>
      <c r="D34" s="13"/>
      <c r="E34" s="11">
        <f>SUM(E4:E33)</f>
        <v>8800</v>
      </c>
      <c r="F34" s="13"/>
      <c r="G34" s="11">
        <f>SUM(G4:G33)</f>
        <v>1440</v>
      </c>
      <c r="H34" s="13"/>
      <c r="I34" s="11">
        <f>SUM(I4:I33)</f>
        <v>311</v>
      </c>
      <c r="J34" s="13"/>
      <c r="K34" s="11">
        <f>SUM(K4:K33)</f>
        <v>0</v>
      </c>
      <c r="L34" s="13"/>
      <c r="M34" s="11">
        <f>SUM(M4:M33)</f>
        <v>9120</v>
      </c>
      <c r="N34" s="37"/>
      <c r="O34" s="11">
        <f>SUM(O4:O33)</f>
        <v>2230</v>
      </c>
      <c r="P34" s="13"/>
      <c r="Q34" s="11">
        <f>SUM(Q4:Q33)</f>
        <v>1097</v>
      </c>
      <c r="R34" s="1"/>
      <c r="S34" s="11">
        <f>SUM(S4:S33)</f>
        <v>0</v>
      </c>
      <c r="T34" s="1"/>
      <c r="U34" s="11">
        <f>SUM(U4:U33)</f>
        <v>3040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C23" sqref="C23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>
        <v>19310</v>
      </c>
      <c r="D22" s="43">
        <f t="shared" si="2"/>
        <v>480</v>
      </c>
      <c r="E22" s="151">
        <v>29569978</v>
      </c>
      <c r="F22" s="43">
        <f t="shared" si="3"/>
        <v>7308</v>
      </c>
      <c r="G22" s="152">
        <v>94175393</v>
      </c>
      <c r="H22" s="43">
        <f t="shared" si="4"/>
        <v>51351</v>
      </c>
      <c r="I22" s="153">
        <f t="shared" si="5"/>
        <v>58659</v>
      </c>
      <c r="J22" s="151">
        <v>9333554</v>
      </c>
      <c r="K22" s="43">
        <f t="shared" si="13"/>
        <v>10426</v>
      </c>
      <c r="L22" s="154">
        <v>9346790</v>
      </c>
      <c r="M22" s="43">
        <f t="shared" si="6"/>
        <v>5735</v>
      </c>
      <c r="N22" s="151">
        <v>6267128</v>
      </c>
      <c r="O22" s="43">
        <f t="shared" si="14"/>
        <v>1434</v>
      </c>
      <c r="P22" s="154">
        <v>5826118</v>
      </c>
      <c r="Q22" s="43">
        <f t="shared" si="7"/>
        <v>4230</v>
      </c>
      <c r="R22" s="151">
        <v>19941336</v>
      </c>
      <c r="S22" s="43">
        <f t="shared" si="8"/>
        <v>12052</v>
      </c>
      <c r="T22" s="151">
        <v>0</v>
      </c>
      <c r="U22" s="155"/>
      <c r="V22" s="151">
        <v>7833708</v>
      </c>
      <c r="W22" s="43">
        <f t="shared" si="9"/>
        <v>12820</v>
      </c>
      <c r="X22" s="21">
        <f t="shared" si="10"/>
        <v>46697</v>
      </c>
      <c r="Y22" s="156">
        <f t="shared" si="11"/>
        <v>11962</v>
      </c>
      <c r="Z22" s="3">
        <f t="shared" si="12"/>
        <v>6856.7784064000007</v>
      </c>
      <c r="AA22" s="3">
        <f t="shared" si="15"/>
        <v>25066.4619504</v>
      </c>
    </row>
    <row r="23" spans="1:27" ht="16.5" thickBot="1" x14ac:dyDescent="0.3">
      <c r="A23" s="10">
        <v>44582</v>
      </c>
      <c r="B23" s="43">
        <v>143</v>
      </c>
      <c r="C23" s="150">
        <v>19313</v>
      </c>
      <c r="D23" s="43">
        <f t="shared" si="2"/>
        <v>480</v>
      </c>
      <c r="E23" s="151">
        <v>29576175</v>
      </c>
      <c r="F23" s="43">
        <f t="shared" si="3"/>
        <v>6197</v>
      </c>
      <c r="G23" s="152">
        <v>94215391</v>
      </c>
      <c r="H23" s="43">
        <f t="shared" si="4"/>
        <v>39998</v>
      </c>
      <c r="I23" s="153">
        <f t="shared" si="5"/>
        <v>46195</v>
      </c>
      <c r="J23" s="151">
        <v>9337190</v>
      </c>
      <c r="K23" s="43">
        <f t="shared" si="13"/>
        <v>7272</v>
      </c>
      <c r="L23" s="154">
        <v>9351434</v>
      </c>
      <c r="M23" s="43">
        <f t="shared" si="6"/>
        <v>4644</v>
      </c>
      <c r="N23" s="151">
        <v>6267836</v>
      </c>
      <c r="O23" s="43">
        <f t="shared" si="14"/>
        <v>1416</v>
      </c>
      <c r="P23" s="154">
        <v>5832046</v>
      </c>
      <c r="Q23" s="43">
        <f t="shared" si="7"/>
        <v>5928</v>
      </c>
      <c r="R23" s="151">
        <v>19950772</v>
      </c>
      <c r="S23" s="43">
        <f t="shared" si="8"/>
        <v>9436</v>
      </c>
      <c r="T23" s="151">
        <v>0</v>
      </c>
      <c r="U23" s="155"/>
      <c r="V23" s="151">
        <v>7843535</v>
      </c>
      <c r="W23" s="43">
        <f t="shared" si="9"/>
        <v>9827</v>
      </c>
      <c r="X23" s="21">
        <f t="shared" si="10"/>
        <v>38523</v>
      </c>
      <c r="Y23" s="156">
        <f t="shared" si="11"/>
        <v>7672</v>
      </c>
      <c r="Z23" s="3">
        <f t="shared" si="12"/>
        <v>5738.5990895999994</v>
      </c>
      <c r="AA23" s="3">
        <f t="shared" si="15"/>
        <v>25834.672177600001</v>
      </c>
    </row>
    <row r="24" spans="1:27" ht="16.5" thickBot="1" x14ac:dyDescent="0.3">
      <c r="A24" s="10">
        <v>44583</v>
      </c>
      <c r="B24" s="43">
        <f t="shared" si="16"/>
        <v>143</v>
      </c>
      <c r="C24" s="150"/>
      <c r="D24" s="43">
        <f t="shared" si="2"/>
        <v>0</v>
      </c>
      <c r="E24" s="151"/>
      <c r="F24" s="43" t="str">
        <f t="shared" si="3"/>
        <v>0</v>
      </c>
      <c r="G24" s="152"/>
      <c r="H24" s="43" t="str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 t="str">
        <f t="shared" si="6"/>
        <v>0</v>
      </c>
      <c r="N24" s="151">
        <f t="shared" ref="N23:N33" si="30">N23</f>
        <v>6267836</v>
      </c>
      <c r="O24" s="43">
        <f t="shared" si="14"/>
        <v>0</v>
      </c>
      <c r="P24" s="154">
        <f t="shared" ref="P23:P33" si="31">P23</f>
        <v>5832046</v>
      </c>
      <c r="Q24" s="43">
        <f t="shared" si="7"/>
        <v>0</v>
      </c>
      <c r="R24" s="151">
        <f t="shared" ref="R23:R33" si="32">R23</f>
        <v>19950772</v>
      </c>
      <c r="S24" s="43">
        <f t="shared" si="8"/>
        <v>0</v>
      </c>
      <c r="T24" s="151">
        <v>0</v>
      </c>
      <c r="U24" s="155"/>
      <c r="V24" s="151">
        <f t="shared" ref="V23:V33" si="33">V23</f>
        <v>7843535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18356.087776</v>
      </c>
    </row>
    <row r="25" spans="1:27" ht="16.5" thickBot="1" x14ac:dyDescent="0.3">
      <c r="A25" s="10">
        <v>44584</v>
      </c>
      <c r="B25" s="43">
        <f t="shared" si="16"/>
        <v>143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6267836</v>
      </c>
      <c r="O25" s="43">
        <f t="shared" si="14"/>
        <v>0</v>
      </c>
      <c r="P25" s="154">
        <f t="shared" si="31"/>
        <v>5832046</v>
      </c>
      <c r="Q25" s="43">
        <f t="shared" si="7"/>
        <v>0</v>
      </c>
      <c r="R25" s="151">
        <f t="shared" si="32"/>
        <v>19950772</v>
      </c>
      <c r="S25" s="43">
        <f t="shared" si="8"/>
        <v>0</v>
      </c>
      <c r="T25" s="151">
        <v>0</v>
      </c>
      <c r="U25" s="155"/>
      <c r="V25" s="151">
        <f t="shared" si="33"/>
        <v>7843535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12595.377496000001</v>
      </c>
    </row>
    <row r="26" spans="1:27" ht="16.5" thickBot="1" x14ac:dyDescent="0.3">
      <c r="A26" s="10">
        <v>44585</v>
      </c>
      <c r="B26" s="43">
        <f t="shared" si="16"/>
        <v>143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6267836</v>
      </c>
      <c r="O26" s="43">
        <f t="shared" si="14"/>
        <v>0</v>
      </c>
      <c r="P26" s="154">
        <f t="shared" si="31"/>
        <v>5832046</v>
      </c>
      <c r="Q26" s="43">
        <f t="shared" si="7"/>
        <v>0</v>
      </c>
      <c r="R26" s="151">
        <f t="shared" si="32"/>
        <v>19950772</v>
      </c>
      <c r="S26" s="43">
        <f t="shared" si="8"/>
        <v>0</v>
      </c>
      <c r="T26" s="151">
        <v>0</v>
      </c>
      <c r="U26" s="155"/>
      <c r="V26" s="151">
        <f t="shared" si="33"/>
        <v>7843535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5738.5990895999994</v>
      </c>
    </row>
    <row r="27" spans="1:27" ht="16.5" thickBot="1" x14ac:dyDescent="0.3">
      <c r="A27" s="10">
        <v>44586</v>
      </c>
      <c r="B27" s="43">
        <f t="shared" si="16"/>
        <v>143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6267836</v>
      </c>
      <c r="O27" s="43">
        <f t="shared" si="14"/>
        <v>0</v>
      </c>
      <c r="P27" s="154">
        <f t="shared" si="31"/>
        <v>5832046</v>
      </c>
      <c r="Q27" s="43">
        <f t="shared" si="7"/>
        <v>0</v>
      </c>
      <c r="R27" s="151">
        <f t="shared" si="32"/>
        <v>19950772</v>
      </c>
      <c r="S27" s="43">
        <f t="shared" si="8"/>
        <v>0</v>
      </c>
      <c r="T27" s="151">
        <v>0</v>
      </c>
      <c r="U27" s="155"/>
      <c r="V27" s="151">
        <f t="shared" si="33"/>
        <v>7843535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143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6267836</v>
      </c>
      <c r="O28" s="43">
        <f t="shared" si="14"/>
        <v>0</v>
      </c>
      <c r="P28" s="154">
        <f t="shared" si="31"/>
        <v>5832046</v>
      </c>
      <c r="Q28" s="43">
        <f t="shared" si="7"/>
        <v>0</v>
      </c>
      <c r="R28" s="151">
        <f t="shared" si="32"/>
        <v>19950772</v>
      </c>
      <c r="S28" s="43">
        <f t="shared" si="8"/>
        <v>0</v>
      </c>
      <c r="T28" s="151">
        <v>0</v>
      </c>
      <c r="U28" s="155"/>
      <c r="V28" s="151">
        <f t="shared" si="33"/>
        <v>7843535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143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6267836</v>
      </c>
      <c r="O29" s="43">
        <f t="shared" si="14"/>
        <v>0</v>
      </c>
      <c r="P29" s="154">
        <f t="shared" si="31"/>
        <v>5832046</v>
      </c>
      <c r="Q29" s="43">
        <f t="shared" si="7"/>
        <v>0</v>
      </c>
      <c r="R29" s="151">
        <f t="shared" si="32"/>
        <v>19950772</v>
      </c>
      <c r="S29" s="43">
        <f t="shared" si="8"/>
        <v>0</v>
      </c>
      <c r="T29" s="151">
        <v>0</v>
      </c>
      <c r="U29" s="155"/>
      <c r="V29" s="151">
        <f t="shared" si="33"/>
        <v>7843535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143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6267836</v>
      </c>
      <c r="O30" s="43">
        <f t="shared" si="14"/>
        <v>0</v>
      </c>
      <c r="P30" s="154">
        <f t="shared" si="31"/>
        <v>5832046</v>
      </c>
      <c r="Q30" s="43">
        <f t="shared" si="7"/>
        <v>0</v>
      </c>
      <c r="R30" s="151">
        <f t="shared" si="32"/>
        <v>19950772</v>
      </c>
      <c r="S30" s="43">
        <f t="shared" si="8"/>
        <v>0</v>
      </c>
      <c r="T30" s="151">
        <v>0</v>
      </c>
      <c r="U30" s="155"/>
      <c r="V30" s="151">
        <f t="shared" si="33"/>
        <v>7843535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143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6267836</v>
      </c>
      <c r="O31" s="43">
        <f t="shared" si="14"/>
        <v>0</v>
      </c>
      <c r="P31" s="154">
        <f t="shared" si="31"/>
        <v>5832046</v>
      </c>
      <c r="Q31" s="43">
        <f t="shared" si="7"/>
        <v>0</v>
      </c>
      <c r="R31" s="151">
        <f t="shared" si="32"/>
        <v>19950772</v>
      </c>
      <c r="S31" s="43">
        <f t="shared" si="8"/>
        <v>0</v>
      </c>
      <c r="T31" s="151">
        <v>0</v>
      </c>
      <c r="U31" s="11"/>
      <c r="V31" s="151">
        <f t="shared" si="33"/>
        <v>7843535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143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6267836</v>
      </c>
      <c r="O32" s="43">
        <f t="shared" si="14"/>
        <v>0</v>
      </c>
      <c r="P32" s="154">
        <f t="shared" si="31"/>
        <v>5832046</v>
      </c>
      <c r="Q32" s="43">
        <f t="shared" si="7"/>
        <v>0</v>
      </c>
      <c r="R32" s="151">
        <f t="shared" si="32"/>
        <v>19950772</v>
      </c>
      <c r="S32" s="43">
        <f t="shared" si="8"/>
        <v>0</v>
      </c>
      <c r="T32" s="151">
        <v>0</v>
      </c>
      <c r="U32" s="11"/>
      <c r="V32" s="151">
        <f t="shared" si="33"/>
        <v>7843535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143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6267836</v>
      </c>
      <c r="O33" s="43">
        <f t="shared" si="14"/>
        <v>0</v>
      </c>
      <c r="P33" s="154">
        <f t="shared" si="31"/>
        <v>5832046</v>
      </c>
      <c r="Q33" s="43">
        <f t="shared" si="7"/>
        <v>0</v>
      </c>
      <c r="R33" s="151">
        <f t="shared" si="32"/>
        <v>19950772</v>
      </c>
      <c r="S33" s="43">
        <f t="shared" si="8"/>
        <v>0</v>
      </c>
      <c r="T33" s="151">
        <v>0</v>
      </c>
      <c r="U33" s="11"/>
      <c r="V33" s="151">
        <f t="shared" si="33"/>
        <v>7843535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5551</v>
      </c>
      <c r="C34" s="142"/>
      <c r="D34" s="142">
        <f>SUM(D3:D33)</f>
        <v>8000</v>
      </c>
      <c r="E34" s="60">
        <v>0</v>
      </c>
      <c r="F34" s="60">
        <f>SUM(F3:F33)</f>
        <v>181849</v>
      </c>
      <c r="G34" s="60">
        <v>0</v>
      </c>
      <c r="H34" s="60">
        <f>SUM(H3:H33)</f>
        <v>838869</v>
      </c>
      <c r="I34" s="60">
        <f>SUM(I6:I33)</f>
        <v>870614</v>
      </c>
      <c r="J34" s="60">
        <v>0</v>
      </c>
      <c r="K34" s="60">
        <f>SUM(K3:K33)</f>
        <v>186160</v>
      </c>
      <c r="L34" s="60">
        <v>0</v>
      </c>
      <c r="M34" s="60">
        <f>SUM(M3:M33)</f>
        <v>109505</v>
      </c>
      <c r="N34" s="60">
        <v>0</v>
      </c>
      <c r="O34" s="60">
        <f>SUM(O3:O33)</f>
        <v>69524</v>
      </c>
      <c r="P34" s="60">
        <v>0</v>
      </c>
      <c r="Q34" s="60">
        <f>SUM(Q3:Q33)</f>
        <v>98895</v>
      </c>
      <c r="R34" s="60">
        <v>0</v>
      </c>
      <c r="S34" s="60">
        <f>SUM(S3:S33)</f>
        <v>204380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209458</v>
      </c>
      <c r="X34" s="60">
        <f>SUM(X6:X33)</f>
        <v>748865</v>
      </c>
      <c r="Y34" s="60">
        <f>SUM(Y3:Y33)</f>
        <v>142796</v>
      </c>
      <c r="Z34" s="60">
        <f>SUM(Z3:Z33)</f>
        <v>124826.45472960001</v>
      </c>
      <c r="AA34" s="60">
        <f>SUM(AA3:AA33)</f>
        <v>493374.82153440005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L22" sqref="L2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v>437564</v>
      </c>
      <c r="C22" s="43">
        <f t="shared" si="8"/>
        <v>810</v>
      </c>
      <c r="D22" s="3">
        <v>2370</v>
      </c>
      <c r="E22" s="43">
        <f t="shared" si="3"/>
        <v>430</v>
      </c>
      <c r="F22" s="3">
        <v>7583100</v>
      </c>
      <c r="G22" s="43">
        <f t="shared" si="6"/>
        <v>283.5</v>
      </c>
      <c r="H22" s="3">
        <v>769790</v>
      </c>
      <c r="I22" s="48">
        <f t="shared" si="7"/>
        <v>5.0759999999999996</v>
      </c>
      <c r="J22" s="21">
        <f t="shared" si="4"/>
        <v>1528.576</v>
      </c>
      <c r="K22" s="22">
        <f t="shared" si="5"/>
        <v>8957.4553599999999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ref="B22:B33" si="9">B22</f>
        <v>437564</v>
      </c>
      <c r="C23" s="43">
        <f t="shared" si="8"/>
        <v>0</v>
      </c>
      <c r="D23" s="3">
        <f t="shared" ref="D22:D33" si="10">D22</f>
        <v>2370</v>
      </c>
      <c r="E23" s="43">
        <f t="shared" si="3"/>
        <v>0</v>
      </c>
      <c r="F23" s="3">
        <f t="shared" ref="F22:F33" si="11">F22</f>
        <v>7583100</v>
      </c>
      <c r="G23" s="43">
        <f t="shared" si="6"/>
        <v>0</v>
      </c>
      <c r="H23" s="3">
        <f t="shared" ref="H22:H33" si="12">H22</f>
        <v>769790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437564</v>
      </c>
      <c r="C24" s="43">
        <f t="shared" si="8"/>
        <v>0</v>
      </c>
      <c r="D24" s="3">
        <f t="shared" si="10"/>
        <v>2370</v>
      </c>
      <c r="E24" s="43">
        <f t="shared" si="3"/>
        <v>0</v>
      </c>
      <c r="F24" s="3">
        <f t="shared" si="11"/>
        <v>7583100</v>
      </c>
      <c r="G24" s="43">
        <f t="shared" si="6"/>
        <v>0</v>
      </c>
      <c r="H24" s="3">
        <f t="shared" si="12"/>
        <v>769790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437564</v>
      </c>
      <c r="C25" s="43">
        <f t="shared" si="8"/>
        <v>0</v>
      </c>
      <c r="D25" s="3">
        <f t="shared" si="10"/>
        <v>2370</v>
      </c>
      <c r="E25" s="43">
        <f t="shared" si="3"/>
        <v>0</v>
      </c>
      <c r="F25" s="3">
        <f t="shared" si="11"/>
        <v>7583100</v>
      </c>
      <c r="G25" s="43">
        <f t="shared" si="6"/>
        <v>0</v>
      </c>
      <c r="H25" s="3">
        <f t="shared" si="12"/>
        <v>769790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437564</v>
      </c>
      <c r="C26" s="43">
        <f t="shared" si="8"/>
        <v>0</v>
      </c>
      <c r="D26" s="3">
        <f t="shared" si="10"/>
        <v>2370</v>
      </c>
      <c r="E26" s="43">
        <f t="shared" si="3"/>
        <v>0</v>
      </c>
      <c r="F26" s="3">
        <f t="shared" si="11"/>
        <v>7583100</v>
      </c>
      <c r="G26" s="43">
        <f t="shared" si="6"/>
        <v>0</v>
      </c>
      <c r="H26" s="3">
        <f t="shared" si="12"/>
        <v>769790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437564</v>
      </c>
      <c r="C27" s="43">
        <f t="shared" si="8"/>
        <v>0</v>
      </c>
      <c r="D27" s="3">
        <f t="shared" si="10"/>
        <v>2370</v>
      </c>
      <c r="E27" s="43">
        <f t="shared" si="3"/>
        <v>0</v>
      </c>
      <c r="F27" s="3">
        <f t="shared" si="11"/>
        <v>7583100</v>
      </c>
      <c r="G27" s="43">
        <f t="shared" si="6"/>
        <v>0</v>
      </c>
      <c r="H27" s="3">
        <f t="shared" si="12"/>
        <v>769790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437564</v>
      </c>
      <c r="C28" s="43">
        <f t="shared" si="8"/>
        <v>0</v>
      </c>
      <c r="D28" s="3">
        <f t="shared" si="10"/>
        <v>2370</v>
      </c>
      <c r="E28" s="43">
        <f t="shared" si="3"/>
        <v>0</v>
      </c>
      <c r="F28" s="3">
        <f t="shared" si="11"/>
        <v>7583100</v>
      </c>
      <c r="G28" s="43">
        <f t="shared" si="6"/>
        <v>0</v>
      </c>
      <c r="H28" s="3">
        <f t="shared" si="12"/>
        <v>769790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437564</v>
      </c>
      <c r="C29" s="43">
        <f t="shared" si="8"/>
        <v>0</v>
      </c>
      <c r="D29" s="3">
        <f t="shared" si="10"/>
        <v>2370</v>
      </c>
      <c r="E29" s="43">
        <f t="shared" si="3"/>
        <v>0</v>
      </c>
      <c r="F29" s="3">
        <f t="shared" si="11"/>
        <v>7583100</v>
      </c>
      <c r="G29" s="43">
        <f t="shared" si="6"/>
        <v>0</v>
      </c>
      <c r="H29" s="3">
        <f t="shared" si="12"/>
        <v>769790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437564</v>
      </c>
      <c r="C30" s="43">
        <f t="shared" si="8"/>
        <v>0</v>
      </c>
      <c r="D30" s="3">
        <f t="shared" si="10"/>
        <v>2370</v>
      </c>
      <c r="E30" s="43">
        <f t="shared" si="3"/>
        <v>0</v>
      </c>
      <c r="F30" s="3">
        <f t="shared" si="11"/>
        <v>7583100</v>
      </c>
      <c r="G30" s="43">
        <f t="shared" si="6"/>
        <v>0</v>
      </c>
      <c r="H30" s="3">
        <f t="shared" si="12"/>
        <v>769790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437564</v>
      </c>
      <c r="C31" s="43">
        <f t="shared" si="8"/>
        <v>0</v>
      </c>
      <c r="D31" s="3">
        <f t="shared" si="10"/>
        <v>2370</v>
      </c>
      <c r="E31" s="43">
        <f t="shared" si="3"/>
        <v>0</v>
      </c>
      <c r="F31" s="3">
        <f t="shared" si="11"/>
        <v>7583100</v>
      </c>
      <c r="G31" s="43">
        <f t="shared" si="6"/>
        <v>0</v>
      </c>
      <c r="H31" s="3">
        <f t="shared" si="12"/>
        <v>769790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437564</v>
      </c>
      <c r="C32" s="43">
        <f t="shared" si="8"/>
        <v>0</v>
      </c>
      <c r="D32" s="3">
        <f t="shared" si="10"/>
        <v>2370</v>
      </c>
      <c r="E32" s="43">
        <f t="shared" si="3"/>
        <v>0</v>
      </c>
      <c r="F32" s="3">
        <f t="shared" si="11"/>
        <v>7583100</v>
      </c>
      <c r="G32" s="43">
        <f t="shared" si="6"/>
        <v>0</v>
      </c>
      <c r="H32" s="3">
        <f t="shared" si="12"/>
        <v>769790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437564</v>
      </c>
      <c r="C33" s="43">
        <f t="shared" si="8"/>
        <v>0</v>
      </c>
      <c r="D33" s="3">
        <f t="shared" si="10"/>
        <v>2370</v>
      </c>
      <c r="E33" s="43">
        <f t="shared" si="3"/>
        <v>0</v>
      </c>
      <c r="F33" s="3">
        <f t="shared" si="11"/>
        <v>7583100</v>
      </c>
      <c r="G33" s="43">
        <f t="shared" si="6"/>
        <v>0</v>
      </c>
      <c r="H33" s="3">
        <f t="shared" si="12"/>
        <v>769790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16920</v>
      </c>
      <c r="D34" s="3"/>
      <c r="E34" s="60">
        <f>SUM(E4:E33)</f>
        <v>10260</v>
      </c>
      <c r="F34" s="3"/>
      <c r="G34" s="60">
        <f>SUM(G4:G33)</f>
        <v>5143.5</v>
      </c>
      <c r="H34" s="3"/>
      <c r="I34" s="60">
        <f>SUM(I4:I33)</f>
        <v>93.609000000000009</v>
      </c>
      <c r="J34" s="60">
        <f>SUM(J4:J33)</f>
        <v>32417.109000000004</v>
      </c>
      <c r="K34" s="60">
        <f>SUM(K4:K33)</f>
        <v>189964.25873999999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4" sqref="B2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v>17934779</v>
      </c>
      <c r="C22" s="49">
        <f t="shared" si="0"/>
        <v>3723</v>
      </c>
    </row>
    <row r="23" spans="1:9" ht="24" thickBot="1" x14ac:dyDescent="0.4">
      <c r="A23" s="10">
        <v>44582</v>
      </c>
      <c r="B23" s="137">
        <v>17937599</v>
      </c>
      <c r="C23" s="49">
        <f t="shared" si="0"/>
        <v>2820</v>
      </c>
      <c r="F23" t="s">
        <v>12</v>
      </c>
    </row>
    <row r="24" spans="1:9" ht="24" thickBot="1" x14ac:dyDescent="0.4">
      <c r="A24" s="10">
        <v>44583</v>
      </c>
      <c r="B24" s="137">
        <f t="shared" ref="B23:B33" si="1">B23</f>
        <v>17937599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17937599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17937599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17937599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17937599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17937599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17937599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17937599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17937599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17937599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64077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H1" zoomScale="90" zoomScaleNormal="90" workbookViewId="0">
      <pane ySplit="1" topLeftCell="A2" activePane="bottomLeft" state="frozen"/>
      <selection pane="bottomLeft" activeCell="R16" sqref="R16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163899</v>
      </c>
      <c r="Y21" s="169">
        <f t="shared" si="39"/>
        <v>1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v>22827.526999999998</v>
      </c>
      <c r="C22" s="48">
        <f t="shared" si="23"/>
        <v>1.521999999997206</v>
      </c>
      <c r="D22" s="32">
        <f t="shared" si="24"/>
        <v>2891.7999999946915</v>
      </c>
      <c r="E22" s="1">
        <v>4094.9870000000001</v>
      </c>
      <c r="F22" s="48">
        <f t="shared" si="25"/>
        <v>0.36799999999993815</v>
      </c>
      <c r="G22" s="32">
        <f t="shared" si="26"/>
        <v>699.19999999988249</v>
      </c>
      <c r="H22" s="1">
        <v>4640</v>
      </c>
      <c r="I22" s="48">
        <f t="shared" si="27"/>
        <v>4</v>
      </c>
      <c r="J22" s="32">
        <f t="shared" si="28"/>
        <v>7600</v>
      </c>
      <c r="K22" s="7">
        <v>13889.7</v>
      </c>
      <c r="L22" s="48">
        <f t="shared" si="29"/>
        <v>0</v>
      </c>
      <c r="M22" s="32">
        <f t="shared" si="30"/>
        <v>0</v>
      </c>
      <c r="N22" s="7">
        <v>3391.4549999999999</v>
      </c>
      <c r="O22" s="48">
        <f t="shared" si="31"/>
        <v>0.93600000000014916</v>
      </c>
      <c r="P22" s="32">
        <f t="shared" si="32"/>
        <v>1778.4000000002834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6.8259999999972933</v>
      </c>
      <c r="U22" s="34">
        <f t="shared" si="35"/>
        <v>12969.399999994856</v>
      </c>
      <c r="W22" s="162">
        <v>44581</v>
      </c>
      <c r="X22" s="163">
        <v>163906</v>
      </c>
      <c r="Y22" s="169">
        <f t="shared" si="39"/>
        <v>7</v>
      </c>
      <c r="Z22" s="163">
        <v>8333</v>
      </c>
      <c r="AA22" s="169">
        <f t="shared" si="44"/>
        <v>1</v>
      </c>
      <c r="AB22" s="163">
        <v>19.54</v>
      </c>
      <c r="AC22" s="169">
        <f t="shared" si="46"/>
        <v>0.11999999999999744</v>
      </c>
      <c r="AD22" s="163">
        <v>143</v>
      </c>
      <c r="AE22" s="169">
        <f t="shared" si="37"/>
        <v>3</v>
      </c>
      <c r="AF22" s="163">
        <v>5481</v>
      </c>
      <c r="AG22" s="169">
        <f t="shared" si="38"/>
        <v>12</v>
      </c>
    </row>
    <row r="23" spans="1:33" ht="16.5" thickBot="1" x14ac:dyDescent="0.25">
      <c r="A23" s="10">
        <v>44582</v>
      </c>
      <c r="B23" s="165">
        <v>22829.080999999998</v>
      </c>
      <c r="C23" s="48">
        <f t="shared" si="23"/>
        <v>1.5540000000000873</v>
      </c>
      <c r="D23" s="32">
        <f t="shared" si="24"/>
        <v>2952.6000000001654</v>
      </c>
      <c r="E23" s="1">
        <v>4095.2689999999998</v>
      </c>
      <c r="F23" s="48">
        <f t="shared" si="25"/>
        <v>0.28199999999969805</v>
      </c>
      <c r="G23" s="32">
        <f t="shared" si="26"/>
        <v>535.79999999942629</v>
      </c>
      <c r="H23" s="1">
        <v>4644</v>
      </c>
      <c r="I23" s="48">
        <f t="shared" si="27"/>
        <v>4</v>
      </c>
      <c r="J23" s="32">
        <f t="shared" si="28"/>
        <v>7600</v>
      </c>
      <c r="K23" s="7">
        <v>13889.7</v>
      </c>
      <c r="L23" s="48">
        <f t="shared" si="29"/>
        <v>0</v>
      </c>
      <c r="M23" s="32">
        <f t="shared" si="30"/>
        <v>0</v>
      </c>
      <c r="N23" s="7">
        <v>3392.3969999999999</v>
      </c>
      <c r="O23" s="48">
        <f t="shared" si="31"/>
        <v>0.94200000000000728</v>
      </c>
      <c r="P23" s="32">
        <f t="shared" si="32"/>
        <v>1789.8000000000138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6.7779999999997926</v>
      </c>
      <c r="U23" s="34">
        <f t="shared" si="35"/>
        <v>12878.199999999606</v>
      </c>
      <c r="W23" s="162">
        <v>44582</v>
      </c>
      <c r="X23" s="163">
        <v>163920</v>
      </c>
      <c r="Y23" s="169">
        <f t="shared" si="39"/>
        <v>14</v>
      </c>
      <c r="Z23" s="163">
        <v>8336</v>
      </c>
      <c r="AA23" s="169">
        <f t="shared" si="44"/>
        <v>3</v>
      </c>
      <c r="AB23" s="163">
        <f t="shared" si="43"/>
        <v>19.54</v>
      </c>
      <c r="AC23" s="169">
        <f t="shared" si="46"/>
        <v>0</v>
      </c>
      <c r="AD23" s="163">
        <v>147</v>
      </c>
      <c r="AE23" s="169">
        <f t="shared" si="37"/>
        <v>4</v>
      </c>
      <c r="AF23" s="163">
        <f t="shared" si="64"/>
        <v>5481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ref="B23:B33" si="65">B23</f>
        <v>22829.080999999998</v>
      </c>
      <c r="C24" s="48">
        <f t="shared" si="23"/>
        <v>0</v>
      </c>
      <c r="D24" s="32">
        <f t="shared" si="24"/>
        <v>0</v>
      </c>
      <c r="E24" s="1">
        <f t="shared" ref="E23:E33" si="66">E23</f>
        <v>4095.2689999999998</v>
      </c>
      <c r="F24" s="48">
        <f t="shared" si="25"/>
        <v>0</v>
      </c>
      <c r="G24" s="32">
        <f t="shared" si="26"/>
        <v>0</v>
      </c>
      <c r="H24" s="1">
        <f t="shared" ref="H23:H33" si="67">H23</f>
        <v>4644</v>
      </c>
      <c r="I24" s="48">
        <f t="shared" si="27"/>
        <v>0</v>
      </c>
      <c r="J24" s="32">
        <f t="shared" si="28"/>
        <v>0</v>
      </c>
      <c r="K24" s="7">
        <f t="shared" si="63"/>
        <v>13889.7</v>
      </c>
      <c r="L24" s="48">
        <f t="shared" si="29"/>
        <v>0</v>
      </c>
      <c r="M24" s="32">
        <f t="shared" si="30"/>
        <v>0</v>
      </c>
      <c r="N24" s="7">
        <f t="shared" ref="N23:N33" si="68">N23</f>
        <v>3392.3969999999999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ref="X23:X33" si="69">X23</f>
        <v>163920</v>
      </c>
      <c r="Y24" s="169">
        <f t="shared" si="39"/>
        <v>0</v>
      </c>
      <c r="Z24" s="163">
        <f t="shared" ref="Z23:Z33" si="70">Z23</f>
        <v>8336</v>
      </c>
      <c r="AA24" s="169">
        <f t="shared" si="44"/>
        <v>0</v>
      </c>
      <c r="AB24" s="163">
        <f t="shared" si="43"/>
        <v>19.54</v>
      </c>
      <c r="AC24" s="169">
        <f t="shared" si="46"/>
        <v>0</v>
      </c>
      <c r="AD24" s="163">
        <f t="shared" si="45"/>
        <v>147</v>
      </c>
      <c r="AE24" s="169">
        <f t="shared" si="37"/>
        <v>0</v>
      </c>
      <c r="AF24" s="163">
        <f t="shared" si="64"/>
        <v>5481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5"/>
        <v>22829.080999999998</v>
      </c>
      <c r="C25" s="48">
        <f t="shared" si="23"/>
        <v>0</v>
      </c>
      <c r="D25" s="32">
        <f t="shared" si="24"/>
        <v>0</v>
      </c>
      <c r="E25" s="1">
        <f t="shared" si="66"/>
        <v>4095.2689999999998</v>
      </c>
      <c r="F25" s="48">
        <f t="shared" si="25"/>
        <v>0</v>
      </c>
      <c r="G25" s="32">
        <f t="shared" si="26"/>
        <v>0</v>
      </c>
      <c r="H25" s="1">
        <f t="shared" si="67"/>
        <v>4644</v>
      </c>
      <c r="I25" s="48">
        <f t="shared" si="27"/>
        <v>0</v>
      </c>
      <c r="J25" s="32">
        <f t="shared" si="28"/>
        <v>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f t="shared" si="68"/>
        <v>3392.3969999999999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9"/>
        <v>163920</v>
      </c>
      <c r="Y25" s="169">
        <f t="shared" si="39"/>
        <v>0</v>
      </c>
      <c r="Z25" s="163">
        <f t="shared" si="70"/>
        <v>8336</v>
      </c>
      <c r="AA25" s="169">
        <f t="shared" si="44"/>
        <v>0</v>
      </c>
      <c r="AB25" s="163">
        <f t="shared" si="43"/>
        <v>19.54</v>
      </c>
      <c r="AC25" s="169">
        <f t="shared" si="46"/>
        <v>0</v>
      </c>
      <c r="AD25" s="163">
        <f t="shared" si="45"/>
        <v>147</v>
      </c>
      <c r="AE25" s="169">
        <f t="shared" si="37"/>
        <v>0</v>
      </c>
      <c r="AF25" s="163">
        <f t="shared" si="64"/>
        <v>5481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5"/>
        <v>22829.080999999998</v>
      </c>
      <c r="C26" s="48">
        <f t="shared" si="23"/>
        <v>0</v>
      </c>
      <c r="D26" s="32">
        <f t="shared" si="24"/>
        <v>0</v>
      </c>
      <c r="E26" s="1">
        <f t="shared" si="66"/>
        <v>4095.2689999999998</v>
      </c>
      <c r="F26" s="48">
        <f t="shared" si="25"/>
        <v>0</v>
      </c>
      <c r="G26" s="32">
        <f t="shared" si="26"/>
        <v>0</v>
      </c>
      <c r="H26" s="1">
        <f t="shared" si="67"/>
        <v>4644</v>
      </c>
      <c r="I26" s="48">
        <f t="shared" si="27"/>
        <v>0</v>
      </c>
      <c r="J26" s="32">
        <f t="shared" si="28"/>
        <v>0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f t="shared" si="68"/>
        <v>3392.3969999999999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9"/>
        <v>163920</v>
      </c>
      <c r="Y26" s="169">
        <f t="shared" si="39"/>
        <v>0</v>
      </c>
      <c r="Z26" s="163">
        <f t="shared" si="70"/>
        <v>8336</v>
      </c>
      <c r="AA26" s="169">
        <f t="shared" si="44"/>
        <v>0</v>
      </c>
      <c r="AB26" s="163">
        <f t="shared" si="43"/>
        <v>19.54</v>
      </c>
      <c r="AC26" s="169">
        <f t="shared" si="46"/>
        <v>0</v>
      </c>
      <c r="AD26" s="163">
        <f t="shared" si="45"/>
        <v>147</v>
      </c>
      <c r="AE26" s="169">
        <f t="shared" si="37"/>
        <v>0</v>
      </c>
      <c r="AF26" s="163">
        <f t="shared" si="64"/>
        <v>5481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5"/>
        <v>22829.080999999998</v>
      </c>
      <c r="C27" s="48">
        <f t="shared" si="23"/>
        <v>0</v>
      </c>
      <c r="D27" s="32">
        <f t="shared" si="24"/>
        <v>0</v>
      </c>
      <c r="E27" s="1">
        <f t="shared" si="66"/>
        <v>4095.2689999999998</v>
      </c>
      <c r="F27" s="48">
        <f t="shared" si="25"/>
        <v>0</v>
      </c>
      <c r="G27" s="32">
        <f t="shared" si="26"/>
        <v>0</v>
      </c>
      <c r="H27" s="1">
        <f t="shared" si="67"/>
        <v>4644</v>
      </c>
      <c r="I27" s="48">
        <f t="shared" si="27"/>
        <v>0</v>
      </c>
      <c r="J27" s="32">
        <f t="shared" si="28"/>
        <v>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f t="shared" si="68"/>
        <v>3392.3969999999999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9"/>
        <v>163920</v>
      </c>
      <c r="Y27" s="169">
        <f t="shared" si="39"/>
        <v>0</v>
      </c>
      <c r="Z27" s="163">
        <f t="shared" si="70"/>
        <v>8336</v>
      </c>
      <c r="AA27" s="169">
        <f t="shared" si="44"/>
        <v>0</v>
      </c>
      <c r="AB27" s="163">
        <f t="shared" si="43"/>
        <v>19.54</v>
      </c>
      <c r="AC27" s="169">
        <f t="shared" si="46"/>
        <v>0</v>
      </c>
      <c r="AD27" s="163">
        <f t="shared" si="45"/>
        <v>147</v>
      </c>
      <c r="AE27" s="169">
        <f t="shared" si="37"/>
        <v>0</v>
      </c>
      <c r="AF27" s="163">
        <f t="shared" si="64"/>
        <v>5481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5"/>
        <v>22829.080999999998</v>
      </c>
      <c r="C28" s="48">
        <f t="shared" si="23"/>
        <v>0</v>
      </c>
      <c r="D28" s="32">
        <f t="shared" si="24"/>
        <v>0</v>
      </c>
      <c r="E28" s="1">
        <f t="shared" si="66"/>
        <v>4095.2689999999998</v>
      </c>
      <c r="F28" s="48">
        <f t="shared" si="25"/>
        <v>0</v>
      </c>
      <c r="G28" s="32">
        <f t="shared" si="26"/>
        <v>0</v>
      </c>
      <c r="H28" s="1">
        <f t="shared" si="67"/>
        <v>4644</v>
      </c>
      <c r="I28" s="48">
        <f t="shared" si="27"/>
        <v>0</v>
      </c>
      <c r="J28" s="32">
        <f t="shared" si="28"/>
        <v>0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f t="shared" si="68"/>
        <v>3392.3969999999999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9"/>
        <v>163920</v>
      </c>
      <c r="Y28" s="169">
        <f t="shared" si="39"/>
        <v>0</v>
      </c>
      <c r="Z28" s="163">
        <f t="shared" si="70"/>
        <v>8336</v>
      </c>
      <c r="AA28" s="169">
        <f t="shared" si="44"/>
        <v>0</v>
      </c>
      <c r="AB28" s="163">
        <f t="shared" si="43"/>
        <v>19.54</v>
      </c>
      <c r="AC28" s="169">
        <f t="shared" si="46"/>
        <v>0</v>
      </c>
      <c r="AD28" s="163">
        <f t="shared" si="45"/>
        <v>147</v>
      </c>
      <c r="AE28" s="169">
        <f t="shared" si="37"/>
        <v>0</v>
      </c>
      <c r="AF28" s="163">
        <f t="shared" si="64"/>
        <v>5481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5"/>
        <v>22829.080999999998</v>
      </c>
      <c r="C29" s="48">
        <f t="shared" si="23"/>
        <v>0</v>
      </c>
      <c r="D29" s="32">
        <f t="shared" si="24"/>
        <v>0</v>
      </c>
      <c r="E29" s="1">
        <f t="shared" si="66"/>
        <v>4095.2689999999998</v>
      </c>
      <c r="F29" s="48">
        <f t="shared" si="25"/>
        <v>0</v>
      </c>
      <c r="G29" s="32">
        <f t="shared" si="26"/>
        <v>0</v>
      </c>
      <c r="H29" s="1">
        <f t="shared" si="67"/>
        <v>4644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si="68"/>
        <v>3392.3969999999999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9"/>
        <v>163920</v>
      </c>
      <c r="Y29" s="169">
        <f t="shared" si="39"/>
        <v>0</v>
      </c>
      <c r="Z29" s="163">
        <f t="shared" si="70"/>
        <v>8336</v>
      </c>
      <c r="AA29" s="169">
        <f t="shared" si="44"/>
        <v>0</v>
      </c>
      <c r="AB29" s="163">
        <f t="shared" si="43"/>
        <v>19.54</v>
      </c>
      <c r="AC29" s="169">
        <f t="shared" si="46"/>
        <v>0</v>
      </c>
      <c r="AD29" s="163">
        <f t="shared" si="45"/>
        <v>147</v>
      </c>
      <c r="AE29" s="169">
        <f t="shared" si="37"/>
        <v>0</v>
      </c>
      <c r="AF29" s="163">
        <f t="shared" si="64"/>
        <v>5481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22829.080999999998</v>
      </c>
      <c r="C30" s="48">
        <f t="shared" si="23"/>
        <v>0</v>
      </c>
      <c r="D30" s="32">
        <f t="shared" si="24"/>
        <v>0</v>
      </c>
      <c r="E30" s="1">
        <f t="shared" si="66"/>
        <v>4095.2689999999998</v>
      </c>
      <c r="F30" s="48">
        <f t="shared" si="25"/>
        <v>0</v>
      </c>
      <c r="G30" s="32">
        <f t="shared" si="26"/>
        <v>0</v>
      </c>
      <c r="H30" s="1">
        <f t="shared" si="67"/>
        <v>4644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3392.3969999999999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163920</v>
      </c>
      <c r="Y30" s="169">
        <f t="shared" si="39"/>
        <v>0</v>
      </c>
      <c r="Z30" s="163">
        <f t="shared" si="70"/>
        <v>8336</v>
      </c>
      <c r="AA30" s="169">
        <f>Z30-Z29</f>
        <v>0</v>
      </c>
      <c r="AB30" s="163">
        <f t="shared" si="43"/>
        <v>19.54</v>
      </c>
      <c r="AC30" s="169">
        <f t="shared" si="46"/>
        <v>0</v>
      </c>
      <c r="AD30" s="163">
        <f t="shared" si="45"/>
        <v>147</v>
      </c>
      <c r="AE30" s="169">
        <f t="shared" si="37"/>
        <v>0</v>
      </c>
      <c r="AF30" s="163">
        <f t="shared" si="64"/>
        <v>5481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22829.080999999998</v>
      </c>
      <c r="C31" s="48">
        <f t="shared" si="23"/>
        <v>0</v>
      </c>
      <c r="D31" s="32">
        <f t="shared" si="24"/>
        <v>0</v>
      </c>
      <c r="E31" s="1">
        <f t="shared" si="66"/>
        <v>4095.2689999999998</v>
      </c>
      <c r="F31" s="48">
        <f t="shared" si="25"/>
        <v>0</v>
      </c>
      <c r="G31" s="32">
        <f t="shared" si="26"/>
        <v>0</v>
      </c>
      <c r="H31" s="1">
        <f t="shared" si="67"/>
        <v>4644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3392.3969999999999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163920</v>
      </c>
      <c r="Y31" s="169">
        <f t="shared" si="39"/>
        <v>0</v>
      </c>
      <c r="Z31" s="163">
        <f t="shared" si="70"/>
        <v>8336</v>
      </c>
      <c r="AA31" s="169">
        <f t="shared" si="44"/>
        <v>0</v>
      </c>
      <c r="AB31" s="163">
        <f t="shared" si="43"/>
        <v>19.54</v>
      </c>
      <c r="AC31" s="169">
        <f t="shared" si="46"/>
        <v>0</v>
      </c>
      <c r="AD31" s="163">
        <f t="shared" si="45"/>
        <v>147</v>
      </c>
      <c r="AE31" s="169">
        <f t="shared" si="37"/>
        <v>0</v>
      </c>
      <c r="AF31" s="163">
        <f t="shared" si="64"/>
        <v>5481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22829.080999999998</v>
      </c>
      <c r="C32" s="48">
        <f t="shared" si="23"/>
        <v>0</v>
      </c>
      <c r="D32" s="32">
        <f t="shared" si="24"/>
        <v>0</v>
      </c>
      <c r="E32" s="1">
        <f t="shared" si="66"/>
        <v>4095.2689999999998</v>
      </c>
      <c r="F32" s="48">
        <f t="shared" si="25"/>
        <v>0</v>
      </c>
      <c r="G32" s="32">
        <f t="shared" si="26"/>
        <v>0</v>
      </c>
      <c r="H32" s="1">
        <f t="shared" si="67"/>
        <v>4644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3392.3969999999999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163920</v>
      </c>
      <c r="Y32" s="169">
        <f t="shared" si="39"/>
        <v>0</v>
      </c>
      <c r="Z32" s="163">
        <f t="shared" si="70"/>
        <v>8336</v>
      </c>
      <c r="AA32" s="169">
        <f t="shared" si="44"/>
        <v>0</v>
      </c>
      <c r="AB32" s="163">
        <f t="shared" si="43"/>
        <v>19.54</v>
      </c>
      <c r="AC32" s="169">
        <v>0</v>
      </c>
      <c r="AD32" s="163">
        <f t="shared" si="45"/>
        <v>147</v>
      </c>
      <c r="AE32" s="169">
        <f t="shared" si="37"/>
        <v>0</v>
      </c>
      <c r="AF32" s="163">
        <f t="shared" si="64"/>
        <v>5481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22829.080999999998</v>
      </c>
      <c r="C33" s="48">
        <f t="shared" si="23"/>
        <v>0</v>
      </c>
      <c r="D33" s="32">
        <f t="shared" si="24"/>
        <v>0</v>
      </c>
      <c r="E33" s="1">
        <f t="shared" si="66"/>
        <v>4095.2689999999998</v>
      </c>
      <c r="F33" s="48">
        <f t="shared" si="25"/>
        <v>0</v>
      </c>
      <c r="G33" s="32">
        <f t="shared" si="26"/>
        <v>0</v>
      </c>
      <c r="H33" s="1">
        <f t="shared" si="67"/>
        <v>4644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3392.3969999999999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163920</v>
      </c>
      <c r="Y33" s="169">
        <f t="shared" si="39"/>
        <v>0</v>
      </c>
      <c r="Z33" s="163">
        <f t="shared" si="70"/>
        <v>8336</v>
      </c>
      <c r="AA33" s="169">
        <f t="shared" si="44"/>
        <v>0</v>
      </c>
      <c r="AB33" s="163">
        <f t="shared" si="43"/>
        <v>19.54</v>
      </c>
      <c r="AC33" s="169">
        <v>0</v>
      </c>
      <c r="AD33" s="163">
        <f t="shared" si="45"/>
        <v>147</v>
      </c>
      <c r="AE33" s="169">
        <f t="shared" si="37"/>
        <v>0</v>
      </c>
      <c r="AF33" s="163">
        <f t="shared" si="64"/>
        <v>5481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40.990999999998166</v>
      </c>
      <c r="D34" s="142">
        <f>SUM(D3:D33)</f>
        <v>81992.599999997401</v>
      </c>
      <c r="E34" s="142">
        <v>0</v>
      </c>
      <c r="F34" s="142">
        <f>SUM(F3:F33)</f>
        <v>11.368999999999687</v>
      </c>
      <c r="G34" s="142">
        <f>SUM(G3:G33)</f>
        <v>21601.099999999402</v>
      </c>
      <c r="H34" s="142"/>
      <c r="I34" s="142">
        <f>SUM(I3:I33)</f>
        <v>91</v>
      </c>
      <c r="J34" s="142">
        <f>SUM(J3:J33)</f>
        <v>172900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44454.299999999886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177.08999999999924</v>
      </c>
      <c r="U34" s="142">
        <f>SUM(U3:U33)</f>
        <v>336470.99999999849</v>
      </c>
      <c r="V34"/>
      <c r="W34" s="142" t="s">
        <v>143</v>
      </c>
      <c r="X34" s="142"/>
      <c r="Y34" s="142">
        <f>SUM(Y5:Y33)</f>
        <v>499</v>
      </c>
      <c r="Z34" s="142"/>
      <c r="AA34" s="142">
        <f>SUM(AA5:AA33)</f>
        <v>85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2022-01-22T03:06:22Z</dcterms:modified>
</cp:coreProperties>
</file>