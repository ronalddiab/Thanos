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9" i="7" l="1"/>
  <c r="AV36" i="7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V29" i="7" l="1"/>
  <c r="AW29" i="7" s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7" i="7" l="1"/>
  <c r="R32" i="9" s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30" i="7"/>
  <c r="AW30" i="7" s="1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W35" i="7"/>
  <c r="R30" i="9"/>
  <c r="AW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  <c r="AV41" i="7"/>
  <c r="AV39" i="7"/>
  <c r="AV40" i="7" s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<sst xmlns="http://schemas.openxmlformats.org/spreadsheetml/2006/main" count="128" uniqueCount="49">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</sst>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29060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35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65910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81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59830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163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2022</v>
      </c>
      <c r="E2" s="4">
        <f>Hotel!Q7</f>
        <v>6170</v>
      </c>
      <c r="F2" s="4">
        <f>Hotel!R7</f>
        <v>1790</v>
      </c>
      <c r="G2" s="4">
        <f>Hotel!S7</f>
        <v>0</v>
      </c>
      <c r="H2" s="4">
        <f>Hotel!T7</f>
        <v>680</v>
      </c>
      <c r="I2" s="4">
        <f>Hotel!U7</f>
        <v>2060</v>
      </c>
      <c r="J2" s="4">
        <f>Hotel!V7</f>
        <v>2070</v>
      </c>
      <c r="K2" s="4">
        <f>Hotel!W7</f>
        <v>1890</v>
      </c>
      <c r="L2" s="4">
        <f>Hotel!X7</f>
        <v>2140</v>
      </c>
      <c r="M2" s="4">
        <f>Hotel!Y7</f>
        <v>1700</v>
      </c>
      <c r="N2" s="4">
        <f>Hotel!Z7</f>
        <v>1140</v>
      </c>
      <c r="O2" s="4">
        <f>Hotel!AA7</f>
        <v>1180</v>
      </c>
      <c r="P2" s="4">
        <f>Hotel!AB7</f>
        <v>3360</v>
      </c>
      <c r="Q2" s="4">
        <f>Hotel!AC7</f>
        <v>4880</v>
      </c>
      <c r="R2" s="4">
        <f>Hotel!AV7*0.00378541*100</f>
        <v>0</v>
      </c>
      <c r="S2" s="4">
        <f>Hotel!B7</f>
        <v>35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2022</v>
      </c>
      <c r="E3" s="4">
        <f>Hotel!Q8</f>
        <v>12130</v>
      </c>
      <c r="F3" s="4">
        <f>Hotel!R8</f>
        <v>10820</v>
      </c>
      <c r="G3" s="4">
        <f>Hotel!S8</f>
        <v>0</v>
      </c>
      <c r="H3" s="4">
        <f>Hotel!T8</f>
        <v>1470</v>
      </c>
      <c r="I3" s="4">
        <f>Hotel!U8</f>
        <v>4340</v>
      </c>
      <c r="J3" s="4">
        <f>Hotel!V8</f>
        <v>3910</v>
      </c>
      <c r="K3" s="4">
        <f>Hotel!W8</f>
        <v>2920</v>
      </c>
      <c r="L3" s="4">
        <f>Hotel!X8</f>
        <v>4430</v>
      </c>
      <c r="M3" s="4">
        <f>Hotel!Y8</f>
        <v>3730</v>
      </c>
      <c r="N3" s="4">
        <f>Hotel!Z8</f>
        <v>2510</v>
      </c>
      <c r="O3" s="4">
        <f>Hotel!AA8</f>
        <v>2600</v>
      </c>
      <c r="P3" s="4">
        <f>Hotel!AB8</f>
        <v>6880</v>
      </c>
      <c r="Q3" s="4">
        <f>Hotel!AC8</f>
        <v>10170</v>
      </c>
      <c r="R3" s="4">
        <f>Hotel!AV8*0.00378541*100</f>
        <v>0</v>
      </c>
      <c r="S3" s="4">
        <f>Hotel!B8</f>
        <v>81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2022</v>
      </c>
      <c r="E4" s="4">
        <f>Hotel!Q9</f>
        <v>12700</v>
      </c>
      <c r="F4" s="4">
        <f>Hotel!R9</f>
        <v>1890</v>
      </c>
      <c r="G4" s="4">
        <f>Hotel!S9</f>
        <v>0</v>
      </c>
      <c r="H4" s="4">
        <f>Hotel!T9</f>
        <v>1510</v>
      </c>
      <c r="I4" s="4">
        <f>Hotel!U9</f>
        <v>4710</v>
      </c>
      <c r="J4" s="4">
        <f>Hotel!V9</f>
        <v>4120</v>
      </c>
      <c r="K4" s="4">
        <f>Hotel!W9</f>
        <v>2820</v>
      </c>
      <c r="L4" s="4">
        <f>Hotel!X9</f>
        <v>4660</v>
      </c>
      <c r="M4" s="4">
        <f>Hotel!Y9</f>
        <v>4050</v>
      </c>
      <c r="N4" s="4">
        <f>Hotel!Z9</f>
        <v>2770</v>
      </c>
      <c r="O4" s="4">
        <f>Hotel!AA9</f>
        <v>3230</v>
      </c>
      <c r="P4" s="4">
        <f>Hotel!AB9</f>
        <v>7320</v>
      </c>
      <c r="Q4" s="4">
        <f>Hotel!AC9</f>
        <v>10050</v>
      </c>
      <c r="R4" s="4">
        <f>Hotel!AV9*0.00378541*100</f>
        <v>0</v>
      </c>
      <c r="S4" s="4">
        <f>Hotel!B9</f>
        <v>163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2022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9" sqref="AU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44681</v>
      </c>
      <c r="B2" s="40">
        <v>27</v>
      </c>
      <c r="C2" s="24">
        <v>7956030</v>
      </c>
      <c r="D2" s="24">
        <v>18554890</v>
      </c>
      <c r="E2" s="24">
        <v>3201530</v>
      </c>
      <c r="F2" s="24">
        <v>4006030</v>
      </c>
      <c r="G2" s="24">
        <v>11913290</v>
      </c>
      <c r="H2" s="24">
        <v>6787870</v>
      </c>
      <c r="I2" s="24">
        <v>5951340</v>
      </c>
      <c r="J2" s="52">
        <v>7335500</v>
      </c>
      <c r="K2" s="24">
        <v>10879590</v>
      </c>
      <c r="L2" s="24">
        <v>4674760</v>
      </c>
      <c r="M2" s="24">
        <v>8915390</v>
      </c>
      <c r="N2" s="24">
        <v>14369050</v>
      </c>
      <c r="O2" s="24">
        <v>20090400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49" x14ac:dyDescent="0.25">
      <c r="A7" s="23">
        <v>44682</v>
      </c>
      <c r="B7" s="40">
        <v>35</v>
      </c>
      <c r="C7" s="24">
        <v>7962200</v>
      </c>
      <c r="D7" s="24">
        <v>18556680</v>
      </c>
      <c r="E7" s="24">
        <v>3201530</v>
      </c>
      <c r="F7" s="24">
        <v>4006710</v>
      </c>
      <c r="G7" s="24">
        <v>11915350</v>
      </c>
      <c r="H7" s="24">
        <v>6789940</v>
      </c>
      <c r="I7" s="24">
        <v>5953230</v>
      </c>
      <c r="J7" s="24">
        <v>7337640</v>
      </c>
      <c r="K7" s="24">
        <v>10881290</v>
      </c>
      <c r="L7" s="24">
        <v>4675900</v>
      </c>
      <c r="M7" s="24">
        <v>8916570</v>
      </c>
      <c r="N7" s="24">
        <v>14372410</v>
      </c>
      <c r="O7" s="24">
        <v>20095280</v>
      </c>
      <c r="Q7" s="37">
        <f>IF((C7-C2&lt;0), "0",C7-C2)</f>
        <v>6170</v>
      </c>
      <c r="R7" s="37">
        <f t="shared" ref="R7:AC7" si="0">IF((D7-D2&lt;0), "0",D7-D2)</f>
        <v>1790</v>
      </c>
      <c r="S7" s="37">
        <f>IF((E7-E2&lt;0), "0",E7-E2)</f>
        <v>0</v>
      </c>
      <c r="T7" s="37">
        <f t="shared" si="0"/>
        <v>680</v>
      </c>
      <c r="U7" s="37">
        <f t="shared" si="0"/>
        <v>2060</v>
      </c>
      <c r="V7" s="37">
        <f t="shared" si="0"/>
        <v>2070</v>
      </c>
      <c r="W7" s="37">
        <f t="shared" si="0"/>
        <v>1890</v>
      </c>
      <c r="X7" s="37">
        <f t="shared" si="0"/>
        <v>2140</v>
      </c>
      <c r="Y7" s="37">
        <f t="shared" si="0"/>
        <v>1700</v>
      </c>
      <c r="Z7" s="37">
        <f t="shared" si="0"/>
        <v>1140</v>
      </c>
      <c r="AA7" s="37">
        <f t="shared" si="0"/>
        <v>1180</v>
      </c>
      <c r="AB7" s="37">
        <f t="shared" si="0"/>
        <v>3360</v>
      </c>
      <c r="AC7" s="37">
        <f t="shared" si="0"/>
        <v>4880</v>
      </c>
      <c r="AD7" s="34">
        <f>SUM(Q7:AC7)</f>
        <v>29060</v>
      </c>
      <c r="AF7" s="20">
        <f t="shared" ref="AF7:AF36" si="1">Q7*$D$39</f>
        <v>30.85</v>
      </c>
      <c r="AG7" s="20">
        <f t="shared" ref="AG7:AG36" si="2">R7*$D$39</f>
        <v>8.9500000000000011</v>
      </c>
      <c r="AH7" s="20">
        <f t="shared" ref="AH7:AH36" si="3">S7*$D$39</f>
        <v>0</v>
      </c>
      <c r="AI7" s="20">
        <f t="shared" ref="AI7:AI36" si="4">T7*$D$39</f>
        <v>3.4</v>
      </c>
      <c r="AJ7" s="20">
        <f t="shared" ref="AJ7:AJ36" si="5">U7*$D$39</f>
        <v>10.3</v>
      </c>
      <c r="AK7" s="20">
        <f t="shared" ref="AK7:AK36" si="6">V7*$D$39</f>
        <v>10.35</v>
      </c>
      <c r="AL7" s="20">
        <f t="shared" ref="AL7:AL36" si="7">W7*$D$39</f>
        <v>9.4500000000000011</v>
      </c>
      <c r="AM7" s="20">
        <f t="shared" ref="AM7:AM36" si="8">X7*$D$39</f>
        <v>10.700000000000001</v>
      </c>
      <c r="AN7" s="20">
        <f t="shared" ref="AN7:AN36" si="9">Y7*$D$39</f>
        <v>8.5</v>
      </c>
      <c r="AO7" s="20">
        <f t="shared" ref="AO7:AO36" si="10">Z7*$D$39</f>
        <v>5.7</v>
      </c>
      <c r="AP7" s="20">
        <f t="shared" ref="AP7:AP36" si="11">AA7*$D$39</f>
        <v>5.9</v>
      </c>
      <c r="AQ7" s="20">
        <f t="shared" ref="AQ7:AQ36" si="12">AB7*$D$39</f>
        <v>16.8</v>
      </c>
      <c r="AR7" s="20">
        <f t="shared" ref="AR7:AR36" si="13">AC7*$D$39</f>
        <v>24.400000000000002</v>
      </c>
      <c r="AS7" s="35">
        <f>SUM(AF7:AR7)</f>
        <v>145.30000000000001</v>
      </c>
      <c r="AU7" s="47">
        <v>663505</v>
      </c>
      <c r="AV7" s="37">
        <f>IF((AU7-AU6&lt;0),"0",AU7-AU6)</f>
        <v>0</v>
      </c>
      <c r="AW7" s="35">
        <f t="shared" ref="AW7:AW35" si="14">AV7*$D$40</f>
        <v>0</v>
      </c>
    </row>
    <row r="8" spans="1:49" x14ac:dyDescent="0.25">
      <c r="A8" s="23">
        <v>44683</v>
      </c>
      <c r="B8" s="40">
        <v>81</v>
      </c>
      <c r="C8" s="24">
        <v>7974330</v>
      </c>
      <c r="D8" s="24">
        <v>18567500</v>
      </c>
      <c r="E8" s="24">
        <v>3201530</v>
      </c>
      <c r="F8" s="24">
        <v>4008180</v>
      </c>
      <c r="G8" s="24">
        <v>11919690</v>
      </c>
      <c r="H8" s="24">
        <v>6793850</v>
      </c>
      <c r="I8" s="24">
        <v>5956150</v>
      </c>
      <c r="J8" s="24">
        <v>7342070</v>
      </c>
      <c r="K8" s="24">
        <v>10885020</v>
      </c>
      <c r="L8" s="24">
        <v>4678410</v>
      </c>
      <c r="M8" s="24">
        <v>8919170</v>
      </c>
      <c r="N8" s="24">
        <v>14379290</v>
      </c>
      <c r="O8" s="24">
        <v>20105450</v>
      </c>
      <c r="Q8" s="37">
        <f>IF((C8-C7&lt;0), "0",C8-C7)</f>
        <v>12130</v>
      </c>
      <c r="R8" s="37">
        <f t="shared" ref="R8:AC8" si="15">IF((D8-D7&lt;0), "0",D8-D7)</f>
        <v>10820</v>
      </c>
      <c r="S8" s="37">
        <f t="shared" ref="S8:S35" si="16">IF((E8-E7&lt;0), "0",E8-E7)</f>
        <v>0</v>
      </c>
      <c r="T8" s="37">
        <f t="shared" si="15"/>
        <v>1470</v>
      </c>
      <c r="U8" s="37">
        <f t="shared" si="15"/>
        <v>4340</v>
      </c>
      <c r="V8" s="37">
        <f t="shared" si="15"/>
        <v>3910</v>
      </c>
      <c r="W8" s="37">
        <f t="shared" si="15"/>
        <v>2920</v>
      </c>
      <c r="X8" s="37">
        <f t="shared" si="15"/>
        <v>4430</v>
      </c>
      <c r="Y8" s="37">
        <f t="shared" si="15"/>
        <v>3730</v>
      </c>
      <c r="Z8" s="37">
        <f t="shared" si="15"/>
        <v>2510</v>
      </c>
      <c r="AA8" s="37">
        <f t="shared" si="15"/>
        <v>2600</v>
      </c>
      <c r="AB8" s="37">
        <f t="shared" si="15"/>
        <v>6880</v>
      </c>
      <c r="AC8" s="37">
        <f t="shared" si="15"/>
        <v>10170</v>
      </c>
      <c r="AD8" s="35">
        <f>SUM(Q8:AC8)</f>
        <v>65910</v>
      </c>
      <c r="AF8" s="20">
        <f t="shared" si="1"/>
        <v>60.65</v>
      </c>
      <c r="AG8" s="20">
        <f t="shared" si="2"/>
        <v>54.1</v>
      </c>
      <c r="AH8" s="20">
        <f t="shared" si="3"/>
        <v>0</v>
      </c>
      <c r="AI8" s="20">
        <f t="shared" si="4"/>
        <v>7.3500000000000005</v>
      </c>
      <c r="AJ8" s="20">
        <f t="shared" si="5"/>
        <v>21.7</v>
      </c>
      <c r="AK8" s="20">
        <f t="shared" si="6"/>
        <v>19.55</v>
      </c>
      <c r="AL8" s="20">
        <f t="shared" si="7"/>
        <v>14.6</v>
      </c>
      <c r="AM8" s="20">
        <f t="shared" si="8"/>
        <v>22.150000000000002</v>
      </c>
      <c r="AN8" s="20">
        <f t="shared" si="9"/>
        <v>18.650000000000002</v>
      </c>
      <c r="AO8" s="20">
        <f t="shared" si="10"/>
        <v>12.55</v>
      </c>
      <c r="AP8" s="20">
        <f t="shared" si="11"/>
        <v>13</v>
      </c>
      <c r="AQ8" s="20">
        <f t="shared" si="12"/>
        <v>34.4</v>
      </c>
      <c r="AR8" s="20">
        <f t="shared" si="13"/>
        <v>50.85</v>
      </c>
      <c r="AS8" s="35">
        <f>SUM(AF8:AR8)</f>
        <v>329.55</v>
      </c>
      <c r="AU8" s="47">
        <v>663505</v>
      </c>
      <c r="AV8" s="37">
        <f>IF((AU8-AU7&lt;0),"0",AU8-AU7)</f>
        <v>0</v>
      </c>
      <c r="AW8" s="35">
        <f t="shared" si="14"/>
        <v>0</v>
      </c>
    </row>
    <row r="9" spans="1:49" x14ac:dyDescent="0.25">
      <c r="A9" s="23">
        <v>44684</v>
      </c>
      <c r="B9" s="40">
        <v>163</v>
      </c>
      <c r="C9" s="24">
        <v>7987030</v>
      </c>
      <c r="D9" s="24">
        <v>18569390</v>
      </c>
      <c r="E9" s="24">
        <v>3201530</v>
      </c>
      <c r="F9" s="24">
        <v>4009690</v>
      </c>
      <c r="G9" s="24">
        <v>11924400</v>
      </c>
      <c r="H9" s="24">
        <v>6797970</v>
      </c>
      <c r="I9" s="24">
        <v>5958970</v>
      </c>
      <c r="J9" s="24">
        <v>7346730</v>
      </c>
      <c r="K9" s="24">
        <v>10889070</v>
      </c>
      <c r="L9" s="24">
        <v>4681180</v>
      </c>
      <c r="M9" s="24">
        <v>8922400</v>
      </c>
      <c r="N9" s="24">
        <v>14386610</v>
      </c>
      <c r="O9" s="24">
        <v>20115500</v>
      </c>
      <c r="Q9" s="37">
        <f t="shared" ref="Q9:Q30" si="17">IF((C9-C8&lt;0), "0",C9-C8)</f>
        <v>12700</v>
      </c>
      <c r="R9" s="37">
        <f t="shared" ref="R9:R37" si="18">IF((D9-D8&lt;0), "0",D9-D8)</f>
        <v>1890</v>
      </c>
      <c r="S9" s="37">
        <f t="shared" si="16"/>
        <v>0</v>
      </c>
      <c r="T9" s="37">
        <f t="shared" ref="T9:T35" si="19">IF((F9-F8&lt;0), "0",F9-F8)</f>
        <v>1510</v>
      </c>
      <c r="U9" s="37">
        <f t="shared" ref="U9:U35" si="20">IF((G9-G8&lt;0), "0",G9-G8)</f>
        <v>4710</v>
      </c>
      <c r="V9" s="37">
        <f t="shared" ref="V9:V35" si="21">IF((H9-H8&lt;0), "0",H9-H8)</f>
        <v>4120</v>
      </c>
      <c r="W9" s="37">
        <f t="shared" ref="W9:W35" si="22">IF((I9-I8&lt;0), "0",I9-I8)</f>
        <v>2820</v>
      </c>
      <c r="X9" s="37">
        <f t="shared" ref="X9:X37" si="23">IF((J9-J8&lt;0), "0",J9-J8)</f>
        <v>4660</v>
      </c>
      <c r="Y9" s="37">
        <f t="shared" ref="Y9:Y35" si="24">IF((K9-K8&lt;0), "0",K9-K8)</f>
        <v>4050</v>
      </c>
      <c r="Z9" s="37">
        <f t="shared" ref="Z9:Z35" si="25">IF((L9-L8&lt;0), "0",L9-L8)</f>
        <v>2770</v>
      </c>
      <c r="AA9" s="37">
        <f t="shared" ref="AA9:AA35" si="26">IF((M9-M8&lt;0), "0",M9-M8)</f>
        <v>3230</v>
      </c>
      <c r="AB9" s="37">
        <f t="shared" ref="AB9:AB37" si="27">IF((N9-N8&lt;0), "0",N9-N8)</f>
        <v>7320</v>
      </c>
      <c r="AC9" s="37">
        <f t="shared" ref="AC9:AC37" si="28">IF((O9-O8&lt;0), "0",O9-O8)</f>
        <v>10050</v>
      </c>
      <c r="AD9" s="35">
        <f t="shared" ref="AD9:AD37" si="29">SUM(Q9:AC9)</f>
        <v>59830</v>
      </c>
      <c r="AF9" s="20">
        <f t="shared" si="1"/>
        <v>63.5</v>
      </c>
      <c r="AG9" s="20">
        <f t="shared" si="2"/>
        <v>9.4500000000000011</v>
      </c>
      <c r="AH9" s="20">
        <f t="shared" si="3"/>
        <v>0</v>
      </c>
      <c r="AI9" s="20">
        <f t="shared" si="4"/>
        <v>7.55</v>
      </c>
      <c r="AJ9" s="20">
        <f t="shared" si="5"/>
        <v>23.55</v>
      </c>
      <c r="AK9" s="20">
        <f t="shared" si="6"/>
        <v>20.6</v>
      </c>
      <c r="AL9" s="20">
        <f t="shared" si="7"/>
        <v>14.1</v>
      </c>
      <c r="AM9" s="20">
        <f t="shared" si="8"/>
        <v>23.3</v>
      </c>
      <c r="AN9" s="20">
        <f t="shared" si="9"/>
        <v>20.25</v>
      </c>
      <c r="AO9" s="20">
        <f t="shared" si="10"/>
        <v>13.85</v>
      </c>
      <c r="AP9" s="20">
        <f t="shared" si="11"/>
        <v>16.149999999999999</v>
      </c>
      <c r="AQ9" s="20">
        <f t="shared" si="12"/>
        <v>36.6</v>
      </c>
      <c r="AR9" s="20">
        <f t="shared" si="13"/>
        <v>50.25</v>
      </c>
      <c r="AS9" s="35">
        <f t="shared" ref="AS9:AS33" si="30">SUM(AF9:AR9)</f>
        <v>299.14999999999998</v>
      </c>
      <c r="AU9" s="47">
        <v>663505</v>
      </c>
      <c r="AV9" s="37">
        <f>IF((AU9-AU8&lt;0),"0",AU9-AU8)</f>
        <v>0</v>
      </c>
      <c r="AW9" s="35">
        <f t="shared" si="14"/>
        <v>0</v>
      </c>
    </row>
    <row r="10" spans="1:49" x14ac:dyDescent="0.25">
      <c r="A10" s="23">
        <v>44685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7"/>
        <v>0</v>
      </c>
      <c r="R10" s="37" t="str">
        <f t="shared" si="18"/>
        <v>0</v>
      </c>
      <c r="S10" s="37" t="str">
        <f t="shared" si="16"/>
        <v>0</v>
      </c>
      <c r="T10" s="37" t="str">
        <f t="shared" si="19"/>
        <v>0</v>
      </c>
      <c r="U10" s="37" t="str">
        <f t="shared" si="20"/>
        <v>0</v>
      </c>
      <c r="V10" s="37" t="str">
        <f t="shared" si="21"/>
        <v>0</v>
      </c>
      <c r="W10" s="37" t="str">
        <f t="shared" si="22"/>
        <v>0</v>
      </c>
      <c r="X10" s="37" t="str">
        <f t="shared" si="23"/>
        <v>0</v>
      </c>
      <c r="Y10" s="37" t="str">
        <f t="shared" si="24"/>
        <v>0</v>
      </c>
      <c r="Z10" s="37" t="str">
        <f t="shared" si="25"/>
        <v>0</v>
      </c>
      <c r="AA10" s="37" t="str">
        <f t="shared" si="26"/>
        <v>0</v>
      </c>
      <c r="AB10" s="37" t="str">
        <f t="shared" si="27"/>
        <v>0</v>
      </c>
      <c r="AC10" s="37" t="str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47"/>
      <c r="AV10" s="37" t="str">
        <f t="shared" ref="AV10:AV26" si="31">IF((AU10-AU9&lt;0),"0",AU10-AU9)</f>
        <v>0</v>
      </c>
      <c r="AW10" s="35">
        <f t="shared" si="14"/>
        <v>0</v>
      </c>
    </row>
    <row r="11" spans="1:49" x14ac:dyDescent="0.25">
      <c r="A11" s="23">
        <v>44686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>
        <f t="shared" si="31"/>
        <v>0</v>
      </c>
      <c r="AW11" s="35">
        <f t="shared" si="14"/>
        <v>0</v>
      </c>
    </row>
    <row r="12" spans="1:49" x14ac:dyDescent="0.25">
      <c r="A12" s="23">
        <v>44687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44688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44689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44690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44691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44692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44693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44694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44695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44696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44697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44698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44699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44700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44701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44702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44703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44704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>IF((AU29-AU28&lt;0),"0",AU29-AU28)</f>
        <v>0</v>
      </c>
      <c r="AW29" s="35">
        <f t="shared" si="14"/>
        <v>0</v>
      </c>
    </row>
    <row r="30" spans="1:49" x14ac:dyDescent="0.25">
      <c r="A30" s="23">
        <v>44705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ref="AV30:AV36" si="34">IF((AU30-AU29&lt;0),"0",AU30-AU29)</f>
        <v>0</v>
      </c>
      <c r="AW30" s="35">
        <f t="shared" si="14"/>
        <v>0</v>
      </c>
    </row>
    <row r="31" spans="1:49" x14ac:dyDescent="0.25">
      <c r="A31" s="23">
        <v>44706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44707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44708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44709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44710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44711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5">
        <f t="shared" ref="AW36:AW37" si="36">AV36*$D$40</f>
        <v>0</v>
      </c>
    </row>
    <row r="37" spans="1:49" x14ac:dyDescent="0.25">
      <c r="A37" s="23">
        <v>44712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5">
        <f t="shared" si="36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31000</v>
      </c>
      <c r="R38" s="38">
        <f t="shared" ref="R38:AD38" si="60">SUM(R7:R37)</f>
        <v>14500</v>
      </c>
      <c r="S38" s="38">
        <f t="shared" si="60"/>
        <v>0</v>
      </c>
      <c r="T38" s="38">
        <f t="shared" si="60"/>
        <v>3660</v>
      </c>
      <c r="U38" s="38">
        <f t="shared" si="60"/>
        <v>11110</v>
      </c>
      <c r="V38" s="38">
        <f t="shared" si="60"/>
        <v>10100</v>
      </c>
      <c r="W38" s="38">
        <f t="shared" si="60"/>
        <v>7630</v>
      </c>
      <c r="X38" s="38">
        <f t="shared" si="60"/>
        <v>11230</v>
      </c>
      <c r="Y38" s="38">
        <f t="shared" si="60"/>
        <v>9480</v>
      </c>
      <c r="Z38" s="38">
        <f t="shared" si="60"/>
        <v>6420</v>
      </c>
      <c r="AA38" s="38">
        <f t="shared" si="60"/>
        <v>7010</v>
      </c>
      <c r="AB38" s="38">
        <f t="shared" si="60"/>
        <v>17560</v>
      </c>
      <c r="AC38" s="38">
        <f t="shared" si="60"/>
        <v>25100</v>
      </c>
      <c r="AD38" s="38">
        <f t="shared" si="60"/>
        <v>154800</v>
      </c>
      <c r="AF38" s="35">
        <f>SUM(AF7:AF37)</f>
        <v>155</v>
      </c>
      <c r="AG38" s="35">
        <f t="shared" ref="AG38:AS38" si="61">SUM(AG7:AG37)</f>
        <v>72.5</v>
      </c>
      <c r="AH38" s="35">
        <f t="shared" si="61"/>
        <v>0</v>
      </c>
      <c r="AI38" s="35">
        <f t="shared" si="61"/>
        <v>18.3</v>
      </c>
      <c r="AJ38" s="35">
        <f t="shared" si="61"/>
        <v>55.55</v>
      </c>
      <c r="AK38" s="35">
        <f t="shared" si="61"/>
        <v>50.5</v>
      </c>
      <c r="AL38" s="35">
        <f t="shared" si="61"/>
        <v>38.15</v>
      </c>
      <c r="AM38" s="35">
        <f t="shared" si="61"/>
        <v>56.150000000000006</v>
      </c>
      <c r="AN38" s="35">
        <f t="shared" si="61"/>
        <v>47.400000000000006</v>
      </c>
      <c r="AO38" s="35">
        <f t="shared" si="61"/>
        <v>32.1</v>
      </c>
      <c r="AP38" s="35">
        <f t="shared" si="61"/>
        <v>35.049999999999997</v>
      </c>
      <c r="AQ38" s="35">
        <f t="shared" si="61"/>
        <v>87.800000000000011</v>
      </c>
      <c r="AR38" s="35">
        <f t="shared" si="61"/>
        <v>125.5</v>
      </c>
      <c r="AS38" s="35">
        <f t="shared" si="61"/>
        <v>774</v>
      </c>
      <c r="AU38" s="48"/>
      <c r="AV38" s="34">
        <f>SUM(AV7:AV37)</f>
        <v>0</v>
      </c>
      <c r="AW38" s="35">
        <f>SUM(AW7:AW37)</f>
        <v>0</v>
      </c>
    </row>
    <row r="39" spans="1:49" x14ac:dyDescent="0.25">
      <c r="B39" s="39">
        <f>SUM(B7:B36)</f>
        <v>279</v>
      </c>
      <c r="D39">
        <v>5.0000000000000001E-3</v>
      </c>
      <c r="AV39" s="36">
        <f>AV38*0.00378541*1000</f>
        <v>0</v>
      </c>
    </row>
    <row r="40" spans="1:49" x14ac:dyDescent="0.25">
      <c r="D40">
        <v>2E-3</v>
      </c>
      <c r="AV40">
        <f>AV39/31</f>
        <v>0</v>
      </c>
    </row>
    <row r="41" spans="1:49" x14ac:dyDescent="0.25">
      <c r="AV41">
        <f>AV38*0.00378541</f>
        <v>0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2022-05-04T05:34:46Z</dcterms:modified>
</cp:coreProperties>
</file>