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7" i="3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6"/>
  <c r="T5"/>
  <c r="T4"/>
  <c r="T3"/>
  <c r="U4"/>
  <c r="U5"/>
  <c r="U3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H6" i="79"/>
  <c r="C5"/>
  <c r="D5"/>
  <c r="E5"/>
  <c r="F5"/>
  <c r="G5"/>
  <c r="H5"/>
  <c r="B5"/>
  <c r="V26" i="76"/>
  <c r="W10"/>
  <c r="X10"/>
  <c r="Y10"/>
  <c r="Z10"/>
  <c r="W11"/>
  <c r="X11"/>
  <c r="Y11"/>
  <c r="Z11"/>
  <c r="W9"/>
  <c r="X9"/>
  <c r="Y9"/>
  <c r="Z9"/>
  <c r="E3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7"/>
  <c r="H8" s="1"/>
  <c r="H9" s="1"/>
  <c r="H10" s="1"/>
  <c r="H11" s="1"/>
  <c r="H12" s="1"/>
  <c r="H13" s="1"/>
  <c r="H14" s="1"/>
  <c r="H15" s="1"/>
  <c r="H16" s="1"/>
  <c r="H17" s="1"/>
  <c r="H18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6" i="3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9" i="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9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6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8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8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5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6" i="2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6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6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6" i="2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6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R34" s="1"/>
  <c r="A35"/>
  <c r="A36"/>
  <c r="AR36" s="1"/>
  <c r="A33" i="1"/>
  <c r="A34"/>
  <c r="A35"/>
  <c r="D18" i="77"/>
  <c r="H7" i="79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U32"/>
  <c r="U33" s="1"/>
  <c r="V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K34" i="5" l="1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V32"/>
  <c r="V33"/>
  <c r="AB32"/>
  <c r="AB33"/>
  <c r="AD32"/>
  <c r="AD33"/>
  <c r="O35" i="79"/>
  <c r="M36"/>
  <c r="O36" s="1"/>
  <c r="W36" i="5"/>
  <c r="W35"/>
  <c r="W33" i="76" l="1"/>
  <c r="AK35" i="5"/>
  <c r="J31" i="82"/>
  <c r="BD36" i="5"/>
  <c r="H32" i="82"/>
  <c r="N33" i="2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F32" i="2"/>
  <c r="AE32"/>
  <c r="AG32" s="1"/>
  <c r="AE33"/>
  <c r="R33"/>
  <c r="AI33" s="1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O34" s="1"/>
  <c r="AN34" s="1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R31" i="7" l="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V9" i="3"/>
  <c r="U9" s="1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U7" s="1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V8"/>
  <c r="U8" s="1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V6" i="3"/>
  <c r="U6" s="1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V13" s="1"/>
  <c r="U13" s="1"/>
  <c r="S14"/>
  <c r="V14" s="1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V15" s="1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S15" l="1"/>
  <c r="AX15" s="1"/>
  <c r="Q13" i="76" s="1"/>
  <c r="AR15" i="7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4" l="1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AY14" i="7" l="1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7" i="1"/>
  <c r="I4" i="81" s="1"/>
  <c r="AU6" i="1"/>
  <c r="I3" i="81" s="1"/>
  <c r="F4" i="63"/>
  <c r="AE4" i="3"/>
  <c r="AF4" s="1"/>
  <c r="AG4" s="1"/>
  <c r="AK4"/>
  <c r="AC11" i="5"/>
  <c r="AD10"/>
  <c r="AT7" i="1"/>
  <c r="AP10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AB6" s="1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AB7" s="1"/>
  <c r="Z7"/>
  <c r="AT9" i="1"/>
  <c r="AC14" i="5" l="1"/>
  <c r="AD13"/>
  <c r="J10" i="3"/>
  <c r="K9"/>
  <c r="Q9"/>
  <c r="AN12" i="1"/>
  <c r="AO11"/>
  <c r="AU9"/>
  <c r="I6" i="81" s="1"/>
  <c r="N8" i="3"/>
  <c r="AB8" s="1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T12" s="1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J12" i="3" l="1"/>
  <c r="K11"/>
  <c r="Q11"/>
  <c r="AN14" i="1"/>
  <c r="AO13"/>
  <c r="AT13" s="1"/>
  <c r="AP14"/>
  <c r="AQ13"/>
  <c r="N10" i="3"/>
  <c r="AB10" s="1"/>
  <c r="Z10"/>
  <c r="F9" i="63"/>
  <c r="AK9" i="3"/>
  <c r="AE9"/>
  <c r="AF9" s="1"/>
  <c r="AG9" s="1"/>
  <c r="AR14" i="1"/>
  <c r="AS13"/>
  <c r="AC16" i="5"/>
  <c r="AD15"/>
  <c r="AU13" i="1"/>
  <c r="I10" i="81" s="1"/>
  <c r="AU12" i="1"/>
  <c r="I9" i="81" s="1"/>
  <c r="AR15" i="1" l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s="1"/>
  <c r="I11" i="81" s="1"/>
  <c r="AP16" i="1" l="1"/>
  <c r="AQ15"/>
  <c r="AR16"/>
  <c r="AS15"/>
  <c r="AC18" i="5"/>
  <c r="AD17"/>
  <c r="J14" i="3"/>
  <c r="K13"/>
  <c r="Q13"/>
  <c r="Z12"/>
  <c r="N12"/>
  <c r="AB12" s="1"/>
  <c r="AN16" i="1"/>
  <c r="AO15"/>
  <c r="AT15" s="1"/>
  <c r="AU15" s="1"/>
  <c r="I12" i="81" s="1"/>
  <c r="F11" i="63"/>
  <c r="AK11" i="3"/>
  <c r="AE11"/>
  <c r="AF11" s="1"/>
  <c r="AG11" s="1"/>
  <c r="AC19" i="5" l="1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AT16" s="1"/>
  <c r="AU16" s="1"/>
  <c r="I13" i="81" s="1"/>
  <c r="Z13" i="3"/>
  <c r="N13"/>
  <c r="AB13" s="1"/>
  <c r="Z14" l="1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AT19" s="1"/>
  <c r="Z16" i="3"/>
  <c r="N16"/>
  <c r="AB16" s="1"/>
  <c r="AT18" i="1"/>
  <c r="AU18" s="1"/>
  <c r="I15" i="81" s="1"/>
  <c r="AN21" i="1" l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U19" i="1"/>
  <c r="I16" i="81" s="1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T22" s="1"/>
  <c r="AK18" i="3"/>
  <c r="F18" i="63"/>
  <c r="AE18" i="3"/>
  <c r="AF18" s="1"/>
  <c r="AG18" s="1"/>
  <c r="AT21" i="1"/>
  <c r="AU23" l="1"/>
  <c r="I20" i="81" s="1"/>
  <c r="AU21" i="1"/>
  <c r="I18" i="81" s="1"/>
  <c r="AU22" i="1"/>
  <c r="I19" i="81" s="1"/>
  <c r="J22" i="3"/>
  <c r="K21"/>
  <c r="Q21"/>
  <c r="AP24" i="1"/>
  <c r="AQ23"/>
  <c r="AR24"/>
  <c r="AS23"/>
  <c r="Z20" i="3"/>
  <c r="N20"/>
  <c r="AB20" s="1"/>
  <c r="AN24" i="1"/>
  <c r="AO23"/>
  <c r="AT23" s="1"/>
  <c r="AK19" i="3"/>
  <c r="F19" i="63"/>
  <c r="AE19" i="3"/>
  <c r="AF19" s="1"/>
  <c r="AG19" s="1"/>
  <c r="AC26" i="5"/>
  <c r="AD25"/>
  <c r="AC27" l="1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T25" s="1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C29" i="5" l="1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U25" i="1"/>
  <c r="I22" i="81" s="1"/>
  <c r="AN28" i="1" l="1"/>
  <c r="AO27"/>
  <c r="AT27" s="1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N29" i="1" l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U27" i="1"/>
  <c r="I24" i="81" s="1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T30" s="1"/>
  <c r="AK26" i="3"/>
  <c r="AE26"/>
  <c r="AF26" s="1"/>
  <c r="AG26" s="1"/>
  <c r="F26" i="63"/>
  <c r="AT29" i="1"/>
  <c r="AU29" s="1"/>
  <c r="I26" i="81" s="1"/>
  <c r="AC34" i="5" l="1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U30" i="1"/>
  <c r="I27" i="81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B5" i="5" l="1"/>
  <c r="L2" i="3" l="1"/>
  <c r="L3" s="1"/>
  <c r="M3" l="1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AA6" s="1"/>
  <c r="AC6" s="1"/>
  <c r="AH6" s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Q9" s="1"/>
  <c r="M5" i="81" s="1"/>
  <c r="J7" i="5"/>
  <c r="L3" i="81" s="1"/>
  <c r="K3"/>
  <c r="M3"/>
  <c r="B10" i="5"/>
  <c r="C9"/>
  <c r="M10"/>
  <c r="N9"/>
  <c r="D8"/>
  <c r="E8"/>
  <c r="I8"/>
  <c r="G5" i="63"/>
  <c r="M7" i="3"/>
  <c r="AA7" s="1"/>
  <c r="AC7" s="1"/>
  <c r="AH7" s="1"/>
  <c r="L8"/>
  <c r="Q8" i="5"/>
  <c r="M4" i="81" s="1"/>
  <c r="L9" i="3" l="1"/>
  <c r="M8"/>
  <c r="AA8" s="1"/>
  <c r="AC8" s="1"/>
  <c r="AH8" s="1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Q12" s="1"/>
  <c r="M8" i="81" s="1"/>
  <c r="B13" i="5"/>
  <c r="C12"/>
  <c r="G8" i="63"/>
  <c r="I11" i="5"/>
  <c r="D11"/>
  <c r="E11"/>
  <c r="J10"/>
  <c r="L6" i="81" s="1"/>
  <c r="K6"/>
  <c r="Q11" i="5"/>
  <c r="O14" l="1"/>
  <c r="P13"/>
  <c r="Q13" s="1"/>
  <c r="M9" i="81" s="1"/>
  <c r="J11" i="5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O15" i="5" l="1"/>
  <c r="P14"/>
  <c r="Q14" s="1"/>
  <c r="M10" i="81" s="1"/>
  <c r="E13" i="5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K9" i="81" l="1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Q19" s="1"/>
  <c r="M15" i="81" s="1"/>
  <c r="K13"/>
  <c r="J17" i="5"/>
  <c r="L13" i="81" s="1"/>
  <c r="B20" i="5"/>
  <c r="C19"/>
  <c r="G15" i="63"/>
  <c r="I18" i="5"/>
  <c r="D18"/>
  <c r="E18"/>
  <c r="Q18"/>
  <c r="M14" i="81" s="1"/>
  <c r="B21" i="5" l="1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Q24" s="1"/>
  <c r="M20" i="81" s="1"/>
  <c r="B25" i="5"/>
  <c r="C24"/>
  <c r="J22"/>
  <c r="L18" i="81" s="1"/>
  <c r="K18"/>
  <c r="G20" i="63"/>
  <c r="D23" i="5"/>
  <c r="E23"/>
  <c r="I23"/>
  <c r="Q23"/>
  <c r="M19" i="81" s="1"/>
  <c r="L24" i="3" l="1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s="1"/>
  <c r="M21" i="81" s="1"/>
  <c r="O27" i="5" l="1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Q27" s="1"/>
  <c r="M23" i="81" s="1"/>
  <c r="J25" i="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G24" i="63" l="1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K39" s="1"/>
  <c r="Q36"/>
  <c r="M32" i="81" s="1"/>
  <c r="Q35" i="5"/>
  <c r="M31" i="81" s="1"/>
  <c r="K31" l="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<sst xmlns="http://schemas.openxmlformats.org/spreadsheetml/2006/main" count="652" uniqueCount="417">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</sst>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14" borderId="1" xfId="0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1773184"/>
        <c:axId val="111774720"/>
      </c:lineChart>
      <c:catAx>
        <c:axId val="11177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4720"/>
        <c:crosses val="autoZero"/>
        <c:auto val="1"/>
        <c:lblAlgn val="ctr"/>
        <c:lblOffset val="100"/>
      </c:catAx>
      <c:valAx>
        <c:axId val="111774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77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1803392"/>
        <c:axId val="111837952"/>
      </c:lineChart>
      <c:catAx>
        <c:axId val="11180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37952"/>
        <c:crosses val="autoZero"/>
        <c:auto val="1"/>
        <c:lblAlgn val="ctr"/>
        <c:lblOffset val="100"/>
      </c:catAx>
      <c:valAx>
        <c:axId val="11183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0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03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808320"/>
        <c:axId val="112809856"/>
      </c:lineChart>
      <c:catAx>
        <c:axId val="1128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09856"/>
        <c:crosses val="autoZero"/>
        <c:auto val="1"/>
        <c:lblAlgn val="ctr"/>
        <c:lblOffset val="100"/>
      </c:catAx>
      <c:valAx>
        <c:axId val="112809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59"/>
          <c:y val="0.62975887529635965"/>
          <c:w val="7.9124755870162669E-2"/>
          <c:h val="4.498269896195009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842240"/>
        <c:axId val="112843776"/>
      </c:lineChart>
      <c:catAx>
        <c:axId val="1128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43776"/>
        <c:crosses val="autoZero"/>
        <c:auto val="1"/>
        <c:lblAlgn val="ctr"/>
        <c:lblOffset val="100"/>
      </c:catAx>
      <c:valAx>
        <c:axId val="112843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0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986752"/>
        <c:axId val="113009024"/>
      </c:lineChart>
      <c:catAx>
        <c:axId val="1129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09024"/>
        <c:crosses val="autoZero"/>
        <c:auto val="1"/>
        <c:lblAlgn val="ctr"/>
        <c:lblOffset val="100"/>
      </c:catAx>
      <c:valAx>
        <c:axId val="113009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73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-8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074944"/>
        <c:axId val="113076480"/>
      </c:lineChart>
      <c:catAx>
        <c:axId val="11307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76480"/>
        <c:crosses val="autoZero"/>
        <c:auto val="1"/>
        <c:lblAlgn val="ctr"/>
        <c:lblOffset val="100"/>
      </c:catAx>
      <c:valAx>
        <c:axId val="11307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7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108864"/>
        <c:axId val="113110400"/>
      </c:lineChart>
      <c:catAx>
        <c:axId val="11310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10400"/>
        <c:crosses val="autoZero"/>
        <c:auto val="1"/>
        <c:lblAlgn val="ctr"/>
        <c:lblOffset val="100"/>
      </c:catAx>
      <c:valAx>
        <c:axId val="113110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0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392256"/>
        <c:axId val="113398144"/>
      </c:lineChart>
      <c:catAx>
        <c:axId val="1133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98144"/>
        <c:crosses val="autoZero"/>
        <c:auto val="1"/>
        <c:lblAlgn val="ctr"/>
        <c:lblOffset val="100"/>
      </c:catAx>
      <c:valAx>
        <c:axId val="11339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39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438720"/>
        <c:axId val="113440256"/>
      </c:lineChart>
      <c:catAx>
        <c:axId val="11343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40256"/>
        <c:crosses val="autoZero"/>
        <c:auto val="1"/>
        <c:lblAlgn val="ctr"/>
        <c:lblOffset val="100"/>
      </c:catAx>
      <c:valAx>
        <c:axId val="11344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3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183"/>
          <c:w val="0.127240331517739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464448"/>
        <c:axId val="113465984"/>
      </c:lineChart>
      <c:catAx>
        <c:axId val="11346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5984"/>
        <c:crosses val="autoZero"/>
        <c:auto val="1"/>
        <c:lblAlgn val="ctr"/>
        <c:lblOffset val="100"/>
      </c:catAx>
      <c:valAx>
        <c:axId val="11346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3584384"/>
        <c:axId val="113586176"/>
      </c:lineChart>
      <c:catAx>
        <c:axId val="11358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6176"/>
        <c:crosses val="autoZero"/>
        <c:auto val="1"/>
        <c:lblAlgn val="ctr"/>
        <c:lblOffset val="100"/>
      </c:catAx>
      <c:valAx>
        <c:axId val="11358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183"/>
          <c:w val="0.135416885389356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593728"/>
        <c:axId val="113620096"/>
      </c:lineChart>
      <c:catAx>
        <c:axId val="1135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20096"/>
        <c:crosses val="autoZero"/>
        <c:auto val="1"/>
        <c:lblAlgn val="ctr"/>
        <c:lblOffset val="100"/>
      </c:catAx>
      <c:valAx>
        <c:axId val="113620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18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3722496"/>
        <c:axId val="113724032"/>
      </c:lineChart>
      <c:catAx>
        <c:axId val="1137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24032"/>
        <c:crosses val="autoZero"/>
        <c:auto val="1"/>
        <c:lblAlgn val="ctr"/>
        <c:lblOffset val="100"/>
      </c:catAx>
      <c:valAx>
        <c:axId val="113724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3760512"/>
        <c:axId val="113762304"/>
      </c:lineChart>
      <c:catAx>
        <c:axId val="11376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2304"/>
        <c:crosses val="autoZero"/>
        <c:auto val="1"/>
        <c:lblAlgn val="ctr"/>
        <c:lblOffset val="100"/>
      </c:catAx>
      <c:valAx>
        <c:axId val="11376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183"/>
          <c:w val="0.1354168853893560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769856"/>
        <c:axId val="113538176"/>
      </c:lineChart>
      <c:catAx>
        <c:axId val="1137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38176"/>
        <c:crosses val="autoZero"/>
        <c:auto val="1"/>
        <c:lblAlgn val="ctr"/>
        <c:lblOffset val="100"/>
      </c:catAx>
      <c:valAx>
        <c:axId val="1135381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701"/>
          <c:y val="0.54325368498487869"/>
          <c:w val="0.11458355205599259"/>
          <c:h val="4.49826989619497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-3460.1967741935309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13056"/>
        <c:axId val="115214592"/>
      </c:lineChart>
      <c:catAx>
        <c:axId val="1152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14592"/>
        <c:crosses val="autoZero"/>
        <c:auto val="1"/>
        <c:lblAlgn val="ctr"/>
        <c:lblOffset val="100"/>
      </c:catAx>
      <c:valAx>
        <c:axId val="115214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4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-8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26880"/>
        <c:axId val="115257344"/>
      </c:lineChart>
      <c:catAx>
        <c:axId val="11522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57344"/>
        <c:crosses val="autoZero"/>
        <c:auto val="1"/>
        <c:lblAlgn val="ctr"/>
        <c:lblOffset val="100"/>
      </c:catAx>
      <c:valAx>
        <c:axId val="11525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2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31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73088"/>
        <c:axId val="115352704"/>
      </c:lineChart>
      <c:catAx>
        <c:axId val="11527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52704"/>
        <c:crosses val="autoZero"/>
        <c:auto val="1"/>
        <c:lblAlgn val="ctr"/>
        <c:lblOffset val="100"/>
      </c:catAx>
      <c:valAx>
        <c:axId val="1153527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7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2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389184"/>
        <c:axId val="115390720"/>
      </c:lineChart>
      <c:catAx>
        <c:axId val="11538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90720"/>
        <c:crosses val="autoZero"/>
        <c:auto val="1"/>
        <c:lblAlgn val="ctr"/>
        <c:lblOffset val="100"/>
      </c:catAx>
      <c:valAx>
        <c:axId val="1153907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8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279744"/>
        <c:axId val="115281280"/>
      </c:lineChart>
      <c:catAx>
        <c:axId val="11527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81280"/>
        <c:crosses val="autoZero"/>
        <c:auto val="1"/>
        <c:lblAlgn val="ctr"/>
        <c:lblOffset val="100"/>
      </c:catAx>
      <c:valAx>
        <c:axId val="11528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7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831"/>
          <c:y val="0.62975887529635965"/>
          <c:w val="0.13250539334757044"/>
          <c:h val="4.498269896195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321856"/>
        <c:axId val="115331840"/>
      </c:lineChart>
      <c:catAx>
        <c:axId val="11532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31840"/>
        <c:crosses val="autoZero"/>
        <c:auto val="1"/>
        <c:lblAlgn val="ctr"/>
        <c:lblOffset val="100"/>
      </c:catAx>
      <c:valAx>
        <c:axId val="11533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18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6662656"/>
        <c:axId val="116664192"/>
      </c:lineChart>
      <c:catAx>
        <c:axId val="11666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4192"/>
        <c:crosses val="autoZero"/>
        <c:auto val="1"/>
        <c:lblAlgn val="ctr"/>
        <c:lblOffset val="100"/>
      </c:catAx>
      <c:valAx>
        <c:axId val="11666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086"/>
          <c:w val="0.123431181980931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6701440"/>
        <c:axId val="116707328"/>
      </c:lineChart>
      <c:catAx>
        <c:axId val="116701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7328"/>
        <c:crosses val="autoZero"/>
        <c:auto val="1"/>
        <c:lblAlgn val="ctr"/>
        <c:lblOffset val="100"/>
      </c:catAx>
      <c:valAx>
        <c:axId val="1167073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96"/>
          <c:w val="0.156903985328220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5411968"/>
        <c:axId val="115438336"/>
      </c:lineChart>
      <c:catAx>
        <c:axId val="11541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38336"/>
        <c:crosses val="autoZero"/>
        <c:auto val="1"/>
        <c:lblAlgn val="ctr"/>
        <c:lblOffset val="100"/>
      </c:catAx>
      <c:valAx>
        <c:axId val="115438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1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1874816"/>
        <c:axId val="111876352"/>
      </c:lineChart>
      <c:catAx>
        <c:axId val="1118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76352"/>
        <c:crosses val="autoZero"/>
        <c:auto val="1"/>
        <c:lblAlgn val="ctr"/>
        <c:lblOffset val="100"/>
      </c:catAx>
      <c:valAx>
        <c:axId val="1118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3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7241728"/>
        <c:axId val="117243264"/>
      </c:lineChart>
      <c:catAx>
        <c:axId val="11724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43264"/>
        <c:crosses val="autoZero"/>
        <c:auto val="1"/>
        <c:lblAlgn val="ctr"/>
        <c:lblOffset val="100"/>
      </c:catAx>
      <c:valAx>
        <c:axId val="117243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7423488"/>
        <c:axId val="117445760"/>
      </c:lineChart>
      <c:catAx>
        <c:axId val="11742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45760"/>
        <c:crosses val="autoZero"/>
        <c:auto val="1"/>
        <c:lblAlgn val="ctr"/>
        <c:lblOffset val="100"/>
      </c:catAx>
      <c:valAx>
        <c:axId val="11744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42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30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8040448"/>
        <c:axId val="118041984"/>
      </c:lineChart>
      <c:catAx>
        <c:axId val="11804044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41984"/>
        <c:crosses val="autoZero"/>
        <c:auto val="1"/>
        <c:lblAlgn val="ctr"/>
        <c:lblOffset val="100"/>
      </c:catAx>
      <c:valAx>
        <c:axId val="1180419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4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Z33">
            <v>98681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4.8094390052477828E-2</v>
      </c>
      <c r="G2" s="203">
        <f>-tanks!AW6</f>
        <v>420.20000000001164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3.3827560611300822E-2</v>
      </c>
      <c r="G3" s="203">
        <f>-tanks!AW7</f>
        <v>351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4.0388379268087311E-2</v>
      </c>
      <c r="G4" s="203">
        <f>-tanks!AW8</f>
        <v>216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0.1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0.1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0.1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0.1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0.1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0.1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0.1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0.1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0.1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0.1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0.1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0.1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0.1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0.1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0.1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0.1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0.1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0.1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0.1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0.1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0.1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G1" zoomScale="85" zoomScaleNormal="85" zoomScaleSheetLayoutView="100" workbookViewId="0">
      <pane ySplit="1" topLeftCell="A2" activePane="bottomLeft" state="frozen"/>
      <selection activeCell="C1" sqref="C1"/>
      <selection pane="bottomLeft" activeCell="AD5" sqref="AD5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14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14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15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14">
        <v>708475</v>
      </c>
      <c r="Z3" s="460">
        <f>Y3-Y2</f>
        <v>334</v>
      </c>
      <c r="AA3" s="445">
        <v>35699</v>
      </c>
      <c r="AB3" s="460">
        <f>AA3-AA2</f>
        <v>2</v>
      </c>
      <c r="AC3" s="614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14">
        <v>3972820</v>
      </c>
      <c r="G4" s="312">
        <f t="shared" si="0"/>
        <v>640</v>
      </c>
      <c r="H4" s="445">
        <v>17805604</v>
      </c>
      <c r="I4" s="312">
        <f>H4-H3</f>
        <v>938</v>
      </c>
      <c r="J4" s="614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15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14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602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f t="shared" ref="D5:D33" si="21">D5</f>
        <v>32650366</v>
      </c>
      <c r="E6" s="311">
        <f t="shared" si="13"/>
        <v>0</v>
      </c>
      <c r="F6" s="445">
        <f t="shared" ref="F5:F33" si="22">F5</f>
        <v>3973473</v>
      </c>
      <c r="G6" s="312">
        <f t="shared" si="0"/>
        <v>0</v>
      </c>
      <c r="H6" s="445">
        <f t="shared" ref="H5:H33" si="23">H5</f>
        <v>17806506</v>
      </c>
      <c r="I6" s="312">
        <f t="shared" si="14"/>
        <v>0</v>
      </c>
      <c r="J6" s="445">
        <f t="shared" ref="J5:J33" si="24">J5</f>
        <v>28924502</v>
      </c>
      <c r="K6" s="312">
        <f t="shared" si="15"/>
        <v>0</v>
      </c>
      <c r="L6" s="445">
        <f t="shared" ref="L5:L33" si="25">L5</f>
        <v>24060110</v>
      </c>
      <c r="M6" s="312">
        <f t="shared" si="16"/>
        <v>0</v>
      </c>
      <c r="N6" s="310">
        <f t="shared" si="17"/>
        <v>0</v>
      </c>
      <c r="O6" s="467">
        <f t="shared" si="1"/>
        <v>0</v>
      </c>
      <c r="P6" s="602">
        <f t="shared" ref="P5:P33" si="26">P5</f>
        <v>16697.687000000002</v>
      </c>
      <c r="Q6" s="449">
        <f t="shared" si="2"/>
        <v>0</v>
      </c>
      <c r="R6" s="449">
        <f t="shared" ref="R6:R12" si="27">N6-Q6</f>
        <v>0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8">Y6-Y5</f>
        <v>0</v>
      </c>
      <c r="AA6" s="445">
        <f t="shared" ref="AA5:AA33" si="29">AA5</f>
        <v>35709</v>
      </c>
      <c r="AB6" s="449">
        <f t="shared" si="19"/>
        <v>0</v>
      </c>
      <c r="AC6" s="445">
        <f t="shared" ref="AC5:AC33" si="30">AC5</f>
        <v>918536</v>
      </c>
      <c r="AD6" s="449">
        <f t="shared" si="20"/>
        <v>0</v>
      </c>
      <c r="AE6" s="472">
        <f t="shared" si="11"/>
        <v>0</v>
      </c>
      <c r="AF6" s="473">
        <f t="shared" si="12"/>
        <v>0</v>
      </c>
      <c r="AG6" s="465">
        <f t="shared" si="5"/>
        <v>0</v>
      </c>
      <c r="AI6" s="466">
        <f>R6-'EDl log'!B4</f>
        <v>-906228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f t="shared" si="21"/>
        <v>32650366</v>
      </c>
      <c r="E7" s="311">
        <f t="shared" si="13"/>
        <v>0</v>
      </c>
      <c r="F7" s="445">
        <f t="shared" si="22"/>
        <v>3973473</v>
      </c>
      <c r="G7" s="312">
        <f t="shared" si="0"/>
        <v>0</v>
      </c>
      <c r="H7" s="445">
        <f t="shared" si="23"/>
        <v>17806506</v>
      </c>
      <c r="I7" s="312">
        <f t="shared" si="14"/>
        <v>0</v>
      </c>
      <c r="J7" s="445">
        <f t="shared" si="24"/>
        <v>28924502</v>
      </c>
      <c r="K7" s="312">
        <f t="shared" si="15"/>
        <v>0</v>
      </c>
      <c r="L7" s="445">
        <f t="shared" si="25"/>
        <v>24060110</v>
      </c>
      <c r="M7" s="312">
        <f t="shared" si="16"/>
        <v>0</v>
      </c>
      <c r="N7" s="310">
        <f t="shared" si="17"/>
        <v>0</v>
      </c>
      <c r="O7" s="467">
        <f t="shared" si="1"/>
        <v>0</v>
      </c>
      <c r="P7" s="602">
        <f t="shared" si="26"/>
        <v>16697.687000000002</v>
      </c>
      <c r="Q7" s="449">
        <f t="shared" si="2"/>
        <v>0</v>
      </c>
      <c r="R7" s="449">
        <f t="shared" si="27"/>
        <v>0</v>
      </c>
      <c r="S7" s="445">
        <f t="shared" si="7"/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f t="shared" si="9"/>
        <v>32246</v>
      </c>
      <c r="X7" s="449">
        <f t="shared" si="4"/>
        <v>0</v>
      </c>
      <c r="Y7" s="445">
        <f t="shared" si="10"/>
        <v>708475</v>
      </c>
      <c r="Z7" s="449">
        <f t="shared" si="28"/>
        <v>0</v>
      </c>
      <c r="AA7" s="445">
        <f t="shared" si="29"/>
        <v>35709</v>
      </c>
      <c r="AB7" s="449">
        <f t="shared" si="19"/>
        <v>0</v>
      </c>
      <c r="AC7" s="445">
        <f t="shared" si="30"/>
        <v>918536</v>
      </c>
      <c r="AD7" s="449">
        <f t="shared" si="20"/>
        <v>0</v>
      </c>
      <c r="AE7" s="472">
        <f t="shared" si="11"/>
        <v>0</v>
      </c>
      <c r="AF7" s="473">
        <f t="shared" si="12"/>
        <v>0</v>
      </c>
      <c r="AG7" s="465">
        <f t="shared" si="5"/>
        <v>0</v>
      </c>
      <c r="AI7" s="466">
        <f>R7-'EDl log'!B5</f>
        <v>-907184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f t="shared" si="21"/>
        <v>32650366</v>
      </c>
      <c r="E8" s="311">
        <f t="shared" si="13"/>
        <v>0</v>
      </c>
      <c r="F8" s="445">
        <f t="shared" si="22"/>
        <v>3973473</v>
      </c>
      <c r="G8" s="312">
        <f t="shared" si="0"/>
        <v>0</v>
      </c>
      <c r="H8" s="445">
        <f t="shared" si="23"/>
        <v>17806506</v>
      </c>
      <c r="I8" s="312">
        <f t="shared" si="14"/>
        <v>0</v>
      </c>
      <c r="J8" s="445">
        <f t="shared" si="24"/>
        <v>28924502</v>
      </c>
      <c r="K8" s="312">
        <f t="shared" si="15"/>
        <v>0</v>
      </c>
      <c r="L8" s="445">
        <f t="shared" si="25"/>
        <v>24060110</v>
      </c>
      <c r="M8" s="312">
        <f t="shared" si="16"/>
        <v>0</v>
      </c>
      <c r="N8" s="310">
        <f t="shared" si="17"/>
        <v>0</v>
      </c>
      <c r="O8" s="467">
        <f t="shared" si="1"/>
        <v>0</v>
      </c>
      <c r="P8" s="602">
        <f t="shared" si="26"/>
        <v>16697.687000000002</v>
      </c>
      <c r="Q8" s="449">
        <f t="shared" si="2"/>
        <v>0</v>
      </c>
      <c r="R8" s="449">
        <f t="shared" si="27"/>
        <v>0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8"/>
        <v>0</v>
      </c>
      <c r="AA8" s="445">
        <f t="shared" si="29"/>
        <v>35709</v>
      </c>
      <c r="AB8" s="449">
        <f t="shared" si="19"/>
        <v>0</v>
      </c>
      <c r="AC8" s="445">
        <f t="shared" si="30"/>
        <v>918536</v>
      </c>
      <c r="AD8" s="449">
        <f t="shared" si="20"/>
        <v>0</v>
      </c>
      <c r="AE8" s="472">
        <f t="shared" si="11"/>
        <v>0</v>
      </c>
      <c r="AF8" s="473">
        <f t="shared" si="12"/>
        <v>0</v>
      </c>
      <c r="AG8" s="465">
        <f t="shared" si="5"/>
        <v>0</v>
      </c>
      <c r="AI8" s="466">
        <f>R8-'EDl log'!B6</f>
        <v>-908753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f t="shared" si="21"/>
        <v>32650366</v>
      </c>
      <c r="E9" s="311">
        <f t="shared" si="13"/>
        <v>0</v>
      </c>
      <c r="F9" s="445">
        <f t="shared" si="22"/>
        <v>3973473</v>
      </c>
      <c r="G9" s="312">
        <f t="shared" si="0"/>
        <v>0</v>
      </c>
      <c r="H9" s="445">
        <f t="shared" si="23"/>
        <v>17806506</v>
      </c>
      <c r="I9" s="312">
        <f t="shared" si="14"/>
        <v>0</v>
      </c>
      <c r="J9" s="445">
        <f t="shared" si="24"/>
        <v>28924502</v>
      </c>
      <c r="K9" s="312">
        <f t="shared" si="15"/>
        <v>0</v>
      </c>
      <c r="L9" s="445">
        <f t="shared" si="25"/>
        <v>24060110</v>
      </c>
      <c r="M9" s="312">
        <f t="shared" si="16"/>
        <v>0</v>
      </c>
      <c r="N9" s="310">
        <f t="shared" si="17"/>
        <v>0</v>
      </c>
      <c r="O9" s="467">
        <f t="shared" si="1"/>
        <v>0</v>
      </c>
      <c r="P9" s="602">
        <f t="shared" si="26"/>
        <v>16697.687000000002</v>
      </c>
      <c r="Q9" s="449">
        <f t="shared" si="2"/>
        <v>0</v>
      </c>
      <c r="R9" s="449">
        <f t="shared" si="27"/>
        <v>0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31">W9-W8</f>
        <v>0</v>
      </c>
      <c r="Y9" s="445">
        <f t="shared" si="10"/>
        <v>708475</v>
      </c>
      <c r="Z9" s="449">
        <f t="shared" si="28"/>
        <v>0</v>
      </c>
      <c r="AA9" s="445">
        <f t="shared" si="29"/>
        <v>35709</v>
      </c>
      <c r="AB9" s="449">
        <f t="shared" si="19"/>
        <v>0</v>
      </c>
      <c r="AC9" s="445">
        <f t="shared" si="30"/>
        <v>918536</v>
      </c>
      <c r="AD9" s="449">
        <f t="shared" si="20"/>
        <v>0</v>
      </c>
      <c r="AE9" s="472">
        <f t="shared" si="11"/>
        <v>0</v>
      </c>
      <c r="AF9" s="473">
        <f t="shared" si="12"/>
        <v>0</v>
      </c>
      <c r="AG9" s="465">
        <f t="shared" si="5"/>
        <v>0</v>
      </c>
      <c r="AI9" s="466">
        <f>R9-'EDl log'!B7</f>
        <v>-908753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f t="shared" si="21"/>
        <v>32650366</v>
      </c>
      <c r="E10" s="311">
        <f t="shared" si="13"/>
        <v>0</v>
      </c>
      <c r="F10" s="445">
        <f t="shared" si="22"/>
        <v>3973473</v>
      </c>
      <c r="G10" s="312">
        <f t="shared" si="0"/>
        <v>0</v>
      </c>
      <c r="H10" s="445">
        <f t="shared" si="23"/>
        <v>17806506</v>
      </c>
      <c r="I10" s="312">
        <f t="shared" si="14"/>
        <v>0</v>
      </c>
      <c r="J10" s="445">
        <f t="shared" si="24"/>
        <v>28924502</v>
      </c>
      <c r="K10" s="312">
        <f t="shared" si="15"/>
        <v>0</v>
      </c>
      <c r="L10" s="445">
        <f t="shared" si="25"/>
        <v>24060110</v>
      </c>
      <c r="M10" s="312">
        <f t="shared" si="16"/>
        <v>0</v>
      </c>
      <c r="N10" s="310">
        <f t="shared" si="17"/>
        <v>0</v>
      </c>
      <c r="O10" s="467">
        <f t="shared" ref="O10:O30" si="32">IF(B10&gt;0,N10/B10,0)</f>
        <v>0</v>
      </c>
      <c r="P10" s="602">
        <f t="shared" si="26"/>
        <v>16697.687000000002</v>
      </c>
      <c r="Q10" s="449">
        <f t="shared" si="2"/>
        <v>0</v>
      </c>
      <c r="R10" s="449">
        <f t="shared" si="27"/>
        <v>0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31"/>
        <v>0</v>
      </c>
      <c r="Y10" s="445">
        <f t="shared" si="10"/>
        <v>708475</v>
      </c>
      <c r="Z10" s="449">
        <f t="shared" si="28"/>
        <v>0</v>
      </c>
      <c r="AA10" s="445">
        <f t="shared" si="29"/>
        <v>35709</v>
      </c>
      <c r="AB10" s="449">
        <f t="shared" si="19"/>
        <v>0</v>
      </c>
      <c r="AC10" s="445">
        <f t="shared" si="30"/>
        <v>918536</v>
      </c>
      <c r="AD10" s="449">
        <f t="shared" si="20"/>
        <v>0</v>
      </c>
      <c r="AE10" s="472">
        <f t="shared" si="11"/>
        <v>0</v>
      </c>
      <c r="AF10" s="473">
        <f t="shared" si="12"/>
        <v>0</v>
      </c>
      <c r="AG10" s="465">
        <f t="shared" ref="AG10:AG30" si="33">IF(AE10&gt;0,AF10/AE10,0)</f>
        <v>0</v>
      </c>
      <c r="AI10" s="466">
        <f>R10-'EDl log'!B8</f>
        <v>-908753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f t="shared" si="21"/>
        <v>32650366</v>
      </c>
      <c r="E11" s="311">
        <f t="shared" si="13"/>
        <v>0</v>
      </c>
      <c r="F11" s="445">
        <f t="shared" si="22"/>
        <v>3973473</v>
      </c>
      <c r="G11" s="312">
        <f t="shared" si="0"/>
        <v>0</v>
      </c>
      <c r="H11" s="445">
        <f t="shared" si="23"/>
        <v>17806506</v>
      </c>
      <c r="I11" s="312">
        <f t="shared" si="14"/>
        <v>0</v>
      </c>
      <c r="J11" s="445">
        <f t="shared" si="24"/>
        <v>28924502</v>
      </c>
      <c r="K11" s="312">
        <f t="shared" si="15"/>
        <v>0</v>
      </c>
      <c r="L11" s="445">
        <f t="shared" si="25"/>
        <v>24060110</v>
      </c>
      <c r="M11" s="312">
        <f t="shared" si="16"/>
        <v>0</v>
      </c>
      <c r="N11" s="310">
        <f>M11+K11+I11+G11+E11</f>
        <v>0</v>
      </c>
      <c r="O11" s="467">
        <f t="shared" si="32"/>
        <v>0</v>
      </c>
      <c r="P11" s="602">
        <f t="shared" si="26"/>
        <v>16697.687000000002</v>
      </c>
      <c r="Q11" s="449">
        <f t="shared" si="2"/>
        <v>0</v>
      </c>
      <c r="R11" s="449">
        <f t="shared" si="27"/>
        <v>0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31"/>
        <v>0</v>
      </c>
      <c r="Y11" s="445">
        <f t="shared" si="10"/>
        <v>708475</v>
      </c>
      <c r="Z11" s="449">
        <f t="shared" si="28"/>
        <v>0</v>
      </c>
      <c r="AA11" s="445">
        <f t="shared" si="29"/>
        <v>35709</v>
      </c>
      <c r="AB11" s="449">
        <f t="shared" si="19"/>
        <v>0</v>
      </c>
      <c r="AC11" s="445">
        <f t="shared" si="30"/>
        <v>918536</v>
      </c>
      <c r="AD11" s="449">
        <f t="shared" si="20"/>
        <v>0</v>
      </c>
      <c r="AE11" s="472">
        <f t="shared" si="11"/>
        <v>0</v>
      </c>
      <c r="AF11" s="473">
        <f t="shared" si="12"/>
        <v>0</v>
      </c>
      <c r="AG11" s="465">
        <f t="shared" si="33"/>
        <v>0</v>
      </c>
      <c r="AI11" s="466">
        <f>R11-'EDl log'!B9</f>
        <v>-908753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si="21"/>
        <v>32650366</v>
      </c>
      <c r="E12" s="311">
        <f t="shared" si="13"/>
        <v>0</v>
      </c>
      <c r="F12" s="445">
        <f t="shared" si="22"/>
        <v>3973473</v>
      </c>
      <c r="G12" s="312">
        <f t="shared" si="0"/>
        <v>0</v>
      </c>
      <c r="H12" s="445">
        <f t="shared" si="23"/>
        <v>17806506</v>
      </c>
      <c r="I12" s="312">
        <f t="shared" si="14"/>
        <v>0</v>
      </c>
      <c r="J12" s="445">
        <f t="shared" si="24"/>
        <v>28924502</v>
      </c>
      <c r="K12" s="312">
        <f t="shared" si="15"/>
        <v>0</v>
      </c>
      <c r="L12" s="445">
        <f t="shared" si="25"/>
        <v>24060110</v>
      </c>
      <c r="M12" s="312">
        <f t="shared" si="16"/>
        <v>0</v>
      </c>
      <c r="N12" s="310">
        <f>M12+K12+I12+G12+E12</f>
        <v>0</v>
      </c>
      <c r="O12" s="467">
        <f t="shared" si="32"/>
        <v>0</v>
      </c>
      <c r="P12" s="602">
        <f t="shared" si="26"/>
        <v>16697.687000000002</v>
      </c>
      <c r="Q12" s="449">
        <f t="shared" si="2"/>
        <v>0</v>
      </c>
      <c r="R12" s="449">
        <f t="shared" si="27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31"/>
        <v>0</v>
      </c>
      <c r="Y12" s="445">
        <f t="shared" si="10"/>
        <v>708475</v>
      </c>
      <c r="Z12" s="449">
        <f t="shared" si="28"/>
        <v>0</v>
      </c>
      <c r="AA12" s="445">
        <f t="shared" si="29"/>
        <v>35709</v>
      </c>
      <c r="AB12" s="449">
        <f t="shared" si="19"/>
        <v>0</v>
      </c>
      <c r="AC12" s="445">
        <f t="shared" si="30"/>
        <v>918536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33"/>
        <v>0</v>
      </c>
      <c r="AI12" s="466">
        <f>R12-'EDl log'!B10</f>
        <v>-908753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1"/>
        <v>32650366</v>
      </c>
      <c r="E13" s="311">
        <f t="shared" si="13"/>
        <v>0</v>
      </c>
      <c r="F13" s="445">
        <f t="shared" si="22"/>
        <v>3973473</v>
      </c>
      <c r="G13" s="312">
        <f t="shared" si="0"/>
        <v>0</v>
      </c>
      <c r="H13" s="445">
        <f t="shared" si="23"/>
        <v>17806506</v>
      </c>
      <c r="I13" s="312">
        <f t="shared" si="14"/>
        <v>0</v>
      </c>
      <c r="J13" s="445">
        <f t="shared" si="24"/>
        <v>28924502</v>
      </c>
      <c r="K13" s="312">
        <f t="shared" si="15"/>
        <v>0</v>
      </c>
      <c r="L13" s="445">
        <f t="shared" si="25"/>
        <v>24060110</v>
      </c>
      <c r="M13" s="312">
        <f t="shared" si="16"/>
        <v>0</v>
      </c>
      <c r="N13" s="310">
        <f t="shared" si="17"/>
        <v>0</v>
      </c>
      <c r="O13" s="467">
        <f t="shared" si="32"/>
        <v>0</v>
      </c>
      <c r="P13" s="602">
        <f t="shared" si="26"/>
        <v>16697.687000000002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31"/>
        <v>0</v>
      </c>
      <c r="Y13" s="445">
        <f t="shared" si="10"/>
        <v>708475</v>
      </c>
      <c r="Z13" s="449">
        <f t="shared" si="28"/>
        <v>0</v>
      </c>
      <c r="AA13" s="445">
        <f t="shared" si="29"/>
        <v>35709</v>
      </c>
      <c r="AB13" s="449">
        <f t="shared" si="19"/>
        <v>0</v>
      </c>
      <c r="AC13" s="445">
        <f t="shared" si="30"/>
        <v>918536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33"/>
        <v>0</v>
      </c>
      <c r="AI13" s="466">
        <f>R13-'EDl log'!B11</f>
        <v>-908753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1"/>
        <v>32650366</v>
      </c>
      <c r="E14" s="311">
        <f t="shared" si="13"/>
        <v>0</v>
      </c>
      <c r="F14" s="445">
        <f t="shared" si="22"/>
        <v>3973473</v>
      </c>
      <c r="G14" s="312">
        <f t="shared" si="0"/>
        <v>0</v>
      </c>
      <c r="H14" s="445">
        <f t="shared" si="23"/>
        <v>17806506</v>
      </c>
      <c r="I14" s="312">
        <f t="shared" si="14"/>
        <v>0</v>
      </c>
      <c r="J14" s="445">
        <f t="shared" si="24"/>
        <v>28924502</v>
      </c>
      <c r="K14" s="312">
        <f t="shared" si="15"/>
        <v>0</v>
      </c>
      <c r="L14" s="445">
        <f t="shared" si="25"/>
        <v>24060110</v>
      </c>
      <c r="M14" s="312">
        <f t="shared" si="16"/>
        <v>0</v>
      </c>
      <c r="N14" s="310">
        <f t="shared" si="17"/>
        <v>0</v>
      </c>
      <c r="O14" s="467">
        <f t="shared" si="32"/>
        <v>0</v>
      </c>
      <c r="P14" s="602">
        <f t="shared" si="26"/>
        <v>16697.687000000002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31"/>
        <v>0</v>
      </c>
      <c r="Y14" s="445">
        <f t="shared" si="10"/>
        <v>708475</v>
      </c>
      <c r="Z14" s="449">
        <f t="shared" si="28"/>
        <v>0</v>
      </c>
      <c r="AA14" s="445">
        <f t="shared" si="29"/>
        <v>35709</v>
      </c>
      <c r="AB14" s="449">
        <f t="shared" si="19"/>
        <v>0</v>
      </c>
      <c r="AC14" s="445">
        <f t="shared" si="30"/>
        <v>918536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33"/>
        <v>0</v>
      </c>
      <c r="AI14" s="466">
        <f>R14-'EDl log'!B12</f>
        <v>-908753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1"/>
        <v>32650366</v>
      </c>
      <c r="E15" s="311">
        <f t="shared" si="13"/>
        <v>0</v>
      </c>
      <c r="F15" s="445">
        <f t="shared" si="22"/>
        <v>3973473</v>
      </c>
      <c r="G15" s="312">
        <f t="shared" si="0"/>
        <v>0</v>
      </c>
      <c r="H15" s="445">
        <f t="shared" si="23"/>
        <v>17806506</v>
      </c>
      <c r="I15" s="312">
        <f t="shared" si="14"/>
        <v>0</v>
      </c>
      <c r="J15" s="445">
        <f t="shared" si="24"/>
        <v>28924502</v>
      </c>
      <c r="K15" s="312">
        <f t="shared" si="15"/>
        <v>0</v>
      </c>
      <c r="L15" s="445">
        <f t="shared" si="25"/>
        <v>24060110</v>
      </c>
      <c r="M15" s="312">
        <f t="shared" si="16"/>
        <v>0</v>
      </c>
      <c r="N15" s="310">
        <f t="shared" si="17"/>
        <v>0</v>
      </c>
      <c r="O15" s="467">
        <f t="shared" si="32"/>
        <v>0</v>
      </c>
      <c r="P15" s="602">
        <f t="shared" si="26"/>
        <v>16697.687000000002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31"/>
        <v>0</v>
      </c>
      <c r="Y15" s="445">
        <f t="shared" si="10"/>
        <v>708475</v>
      </c>
      <c r="Z15" s="449">
        <f t="shared" si="28"/>
        <v>0</v>
      </c>
      <c r="AA15" s="445">
        <f t="shared" si="29"/>
        <v>35709</v>
      </c>
      <c r="AB15" s="449">
        <f t="shared" si="19"/>
        <v>0</v>
      </c>
      <c r="AC15" s="445">
        <f t="shared" si="30"/>
        <v>918536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33"/>
        <v>0</v>
      </c>
      <c r="AI15" s="466">
        <f>R15-'EDl log'!B13</f>
        <v>-908753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1"/>
        <v>32650366</v>
      </c>
      <c r="E16" s="311">
        <f t="shared" si="13"/>
        <v>0</v>
      </c>
      <c r="F16" s="445">
        <f t="shared" si="22"/>
        <v>3973473</v>
      </c>
      <c r="G16" s="312">
        <f t="shared" si="0"/>
        <v>0</v>
      </c>
      <c r="H16" s="445">
        <f t="shared" si="23"/>
        <v>17806506</v>
      </c>
      <c r="I16" s="312">
        <f t="shared" si="14"/>
        <v>0</v>
      </c>
      <c r="J16" s="445">
        <f t="shared" si="24"/>
        <v>28924502</v>
      </c>
      <c r="K16" s="312">
        <f t="shared" si="15"/>
        <v>0</v>
      </c>
      <c r="L16" s="445">
        <f t="shared" si="25"/>
        <v>24060110</v>
      </c>
      <c r="M16" s="312">
        <f t="shared" si="16"/>
        <v>0</v>
      </c>
      <c r="N16" s="310">
        <f t="shared" si="17"/>
        <v>0</v>
      </c>
      <c r="O16" s="467">
        <f t="shared" si="32"/>
        <v>0</v>
      </c>
      <c r="P16" s="602">
        <f t="shared" si="26"/>
        <v>16697.687000000002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29"/>
        <v>35709</v>
      </c>
      <c r="AB16" s="449">
        <f>AA16-AA15</f>
        <v>0</v>
      </c>
      <c r="AC16" s="445">
        <f t="shared" si="30"/>
        <v>918536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33"/>
        <v>0</v>
      </c>
      <c r="AI16" s="466">
        <f>R16-'EDl log'!B14</f>
        <v>-908753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1"/>
        <v>32650366</v>
      </c>
      <c r="E17" s="311">
        <f t="shared" si="13"/>
        <v>0</v>
      </c>
      <c r="F17" s="445">
        <f t="shared" si="22"/>
        <v>3973473</v>
      </c>
      <c r="G17" s="312">
        <f t="shared" si="0"/>
        <v>0</v>
      </c>
      <c r="H17" s="445">
        <f t="shared" si="23"/>
        <v>17806506</v>
      </c>
      <c r="I17" s="312">
        <f t="shared" si="14"/>
        <v>0</v>
      </c>
      <c r="J17" s="445">
        <f t="shared" si="24"/>
        <v>28924502</v>
      </c>
      <c r="K17" s="312">
        <f t="shared" si="15"/>
        <v>0</v>
      </c>
      <c r="L17" s="445">
        <f t="shared" si="25"/>
        <v>24060110</v>
      </c>
      <c r="M17" s="312">
        <f t="shared" si="16"/>
        <v>0</v>
      </c>
      <c r="N17" s="310">
        <f t="shared" si="17"/>
        <v>0</v>
      </c>
      <c r="O17" s="467">
        <f t="shared" si="32"/>
        <v>0</v>
      </c>
      <c r="P17" s="602">
        <f t="shared" si="26"/>
        <v>16697.687000000002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31"/>
        <v>0</v>
      </c>
      <c r="Y17" s="445">
        <f t="shared" si="10"/>
        <v>708475</v>
      </c>
      <c r="Z17" s="449">
        <f t="shared" si="28"/>
        <v>0</v>
      </c>
      <c r="AA17" s="445">
        <f t="shared" si="29"/>
        <v>35709</v>
      </c>
      <c r="AB17" s="449">
        <f t="shared" si="19"/>
        <v>0</v>
      </c>
      <c r="AC17" s="445">
        <f t="shared" si="30"/>
        <v>918536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33"/>
        <v>0</v>
      </c>
      <c r="AI17" s="466">
        <f>R17-'EDl log'!B15</f>
        <v>-908753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1"/>
        <v>32650366</v>
      </c>
      <c r="E18" s="311">
        <f t="shared" si="13"/>
        <v>0</v>
      </c>
      <c r="F18" s="445">
        <f t="shared" si="22"/>
        <v>3973473</v>
      </c>
      <c r="G18" s="312">
        <f t="shared" si="0"/>
        <v>0</v>
      </c>
      <c r="H18" s="445">
        <f t="shared" si="23"/>
        <v>17806506</v>
      </c>
      <c r="I18" s="312">
        <f t="shared" si="14"/>
        <v>0</v>
      </c>
      <c r="J18" s="445">
        <f t="shared" si="24"/>
        <v>28924502</v>
      </c>
      <c r="K18" s="312">
        <f t="shared" si="15"/>
        <v>0</v>
      </c>
      <c r="L18" s="445">
        <f t="shared" si="25"/>
        <v>24060110</v>
      </c>
      <c r="M18" s="312">
        <f t="shared" si="16"/>
        <v>0</v>
      </c>
      <c r="N18" s="310">
        <f t="shared" si="17"/>
        <v>0</v>
      </c>
      <c r="O18" s="467">
        <f t="shared" si="32"/>
        <v>0</v>
      </c>
      <c r="P18" s="602">
        <f t="shared" si="26"/>
        <v>16697.687000000002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31"/>
        <v>0</v>
      </c>
      <c r="Y18" s="445">
        <f t="shared" si="10"/>
        <v>708475</v>
      </c>
      <c r="Z18" s="449">
        <f t="shared" si="28"/>
        <v>0</v>
      </c>
      <c r="AA18" s="445">
        <f t="shared" si="29"/>
        <v>35709</v>
      </c>
      <c r="AB18" s="449">
        <f t="shared" si="19"/>
        <v>0</v>
      </c>
      <c r="AC18" s="445">
        <f t="shared" si="30"/>
        <v>918536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33"/>
        <v>0</v>
      </c>
      <c r="AI18" s="466">
        <f>R18-'EDl log'!B16</f>
        <v>-908753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1"/>
        <v>32650366</v>
      </c>
      <c r="E19" s="311">
        <f t="shared" si="13"/>
        <v>0</v>
      </c>
      <c r="F19" s="445">
        <f t="shared" si="22"/>
        <v>3973473</v>
      </c>
      <c r="G19" s="312">
        <f t="shared" si="0"/>
        <v>0</v>
      </c>
      <c r="H19" s="445">
        <f t="shared" si="23"/>
        <v>17806506</v>
      </c>
      <c r="I19" s="312">
        <f t="shared" si="14"/>
        <v>0</v>
      </c>
      <c r="J19" s="445">
        <f t="shared" si="24"/>
        <v>28924502</v>
      </c>
      <c r="K19" s="312">
        <f t="shared" si="15"/>
        <v>0</v>
      </c>
      <c r="L19" s="445">
        <f t="shared" si="25"/>
        <v>24060110</v>
      </c>
      <c r="M19" s="312">
        <f t="shared" si="16"/>
        <v>0</v>
      </c>
      <c r="N19" s="310">
        <f t="shared" si="17"/>
        <v>0</v>
      </c>
      <c r="O19" s="467">
        <f t="shared" si="32"/>
        <v>0</v>
      </c>
      <c r="P19" s="602">
        <f t="shared" si="26"/>
        <v>16697.687000000002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31"/>
        <v>0</v>
      </c>
      <c r="Y19" s="445">
        <f t="shared" si="10"/>
        <v>708475</v>
      </c>
      <c r="Z19" s="449">
        <f t="shared" si="28"/>
        <v>0</v>
      </c>
      <c r="AA19" s="445">
        <f t="shared" si="29"/>
        <v>35709</v>
      </c>
      <c r="AB19" s="449">
        <f t="shared" si="19"/>
        <v>0</v>
      </c>
      <c r="AC19" s="445">
        <f t="shared" si="30"/>
        <v>918536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33"/>
        <v>0</v>
      </c>
      <c r="AI19" s="466">
        <f>R19-'EDl log'!B17</f>
        <v>-908753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1"/>
        <v>32650366</v>
      </c>
      <c r="E20" s="311">
        <f t="shared" si="13"/>
        <v>0</v>
      </c>
      <c r="F20" s="445">
        <f t="shared" si="22"/>
        <v>3973473</v>
      </c>
      <c r="G20" s="312">
        <f t="shared" si="0"/>
        <v>0</v>
      </c>
      <c r="H20" s="445">
        <f t="shared" si="23"/>
        <v>17806506</v>
      </c>
      <c r="I20" s="312">
        <f t="shared" si="14"/>
        <v>0</v>
      </c>
      <c r="J20" s="445">
        <f t="shared" si="24"/>
        <v>28924502</v>
      </c>
      <c r="K20" s="312">
        <f t="shared" si="15"/>
        <v>0</v>
      </c>
      <c r="L20" s="445">
        <f t="shared" si="25"/>
        <v>24060110</v>
      </c>
      <c r="M20" s="312">
        <f t="shared" si="16"/>
        <v>0</v>
      </c>
      <c r="N20" s="310">
        <f t="shared" si="17"/>
        <v>0</v>
      </c>
      <c r="O20" s="467">
        <f t="shared" si="32"/>
        <v>0</v>
      </c>
      <c r="P20" s="602">
        <f t="shared" si="26"/>
        <v>16697.687000000002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31"/>
        <v>0</v>
      </c>
      <c r="Y20" s="445">
        <f t="shared" si="10"/>
        <v>708475</v>
      </c>
      <c r="Z20" s="449">
        <f t="shared" si="28"/>
        <v>0</v>
      </c>
      <c r="AA20" s="445">
        <f t="shared" si="29"/>
        <v>35709</v>
      </c>
      <c r="AB20" s="449">
        <f t="shared" si="19"/>
        <v>0</v>
      </c>
      <c r="AC20" s="445">
        <f t="shared" si="30"/>
        <v>918536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33"/>
        <v>0</v>
      </c>
      <c r="AI20" s="466">
        <f>R20-'EDl log'!B18</f>
        <v>-908753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1"/>
        <v>32650366</v>
      </c>
      <c r="E21" s="311">
        <f t="shared" si="13"/>
        <v>0</v>
      </c>
      <c r="F21" s="445">
        <f t="shared" si="22"/>
        <v>3973473</v>
      </c>
      <c r="G21" s="312">
        <f t="shared" si="0"/>
        <v>0</v>
      </c>
      <c r="H21" s="445">
        <f t="shared" si="23"/>
        <v>17806506</v>
      </c>
      <c r="I21" s="312">
        <f t="shared" si="14"/>
        <v>0</v>
      </c>
      <c r="J21" s="445">
        <f t="shared" si="24"/>
        <v>28924502</v>
      </c>
      <c r="K21" s="312">
        <f t="shared" si="15"/>
        <v>0</v>
      </c>
      <c r="L21" s="445">
        <f t="shared" si="25"/>
        <v>24060110</v>
      </c>
      <c r="M21" s="312">
        <f t="shared" si="16"/>
        <v>0</v>
      </c>
      <c r="N21" s="310">
        <f t="shared" si="17"/>
        <v>0</v>
      </c>
      <c r="O21" s="467">
        <f t="shared" si="32"/>
        <v>0</v>
      </c>
      <c r="P21" s="602">
        <f t="shared" si="26"/>
        <v>16697.687000000002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31"/>
        <v>0</v>
      </c>
      <c r="Y21" s="445">
        <f t="shared" si="10"/>
        <v>708475</v>
      </c>
      <c r="Z21" s="449">
        <f t="shared" si="28"/>
        <v>0</v>
      </c>
      <c r="AA21" s="445">
        <f t="shared" si="29"/>
        <v>35709</v>
      </c>
      <c r="AB21" s="449">
        <f t="shared" si="19"/>
        <v>0</v>
      </c>
      <c r="AC21" s="445">
        <f t="shared" si="30"/>
        <v>918536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33"/>
        <v>0</v>
      </c>
      <c r="AI21" s="466">
        <f>R21-'EDl log'!B19</f>
        <v>-908753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1"/>
        <v>32650366</v>
      </c>
      <c r="E22" s="311">
        <f t="shared" si="13"/>
        <v>0</v>
      </c>
      <c r="F22" s="445">
        <f t="shared" si="22"/>
        <v>3973473</v>
      </c>
      <c r="G22" s="312">
        <f t="shared" si="0"/>
        <v>0</v>
      </c>
      <c r="H22" s="445">
        <f t="shared" si="23"/>
        <v>17806506</v>
      </c>
      <c r="I22" s="312">
        <f t="shared" si="14"/>
        <v>0</v>
      </c>
      <c r="J22" s="445">
        <f t="shared" si="24"/>
        <v>28924502</v>
      </c>
      <c r="K22" s="312">
        <f t="shared" si="15"/>
        <v>0</v>
      </c>
      <c r="L22" s="445">
        <f t="shared" si="25"/>
        <v>24060110</v>
      </c>
      <c r="M22" s="312">
        <f t="shared" si="16"/>
        <v>0</v>
      </c>
      <c r="N22" s="310">
        <f t="shared" si="17"/>
        <v>0</v>
      </c>
      <c r="O22" s="467">
        <f t="shared" si="32"/>
        <v>0</v>
      </c>
      <c r="P22" s="602">
        <f t="shared" si="26"/>
        <v>16697.687000000002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31"/>
        <v>0</v>
      </c>
      <c r="Y22" s="445">
        <f t="shared" si="10"/>
        <v>708475</v>
      </c>
      <c r="Z22" s="449">
        <f t="shared" si="28"/>
        <v>0</v>
      </c>
      <c r="AA22" s="445">
        <f t="shared" si="29"/>
        <v>35709</v>
      </c>
      <c r="AB22" s="449">
        <f t="shared" si="19"/>
        <v>0</v>
      </c>
      <c r="AC22" s="445">
        <f t="shared" si="30"/>
        <v>918536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33"/>
        <v>0</v>
      </c>
      <c r="AI22" s="466">
        <f>R22-'EDl log'!B20</f>
        <v>-908753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1"/>
        <v>32650366</v>
      </c>
      <c r="E23" s="311">
        <f t="shared" si="13"/>
        <v>0</v>
      </c>
      <c r="F23" s="445">
        <f t="shared" si="22"/>
        <v>3973473</v>
      </c>
      <c r="G23" s="312">
        <f t="shared" si="0"/>
        <v>0</v>
      </c>
      <c r="H23" s="445">
        <f t="shared" si="23"/>
        <v>17806506</v>
      </c>
      <c r="I23" s="438">
        <f t="shared" si="14"/>
        <v>0</v>
      </c>
      <c r="J23" s="445">
        <f t="shared" si="24"/>
        <v>28924502</v>
      </c>
      <c r="K23" s="312">
        <f t="shared" si="15"/>
        <v>0</v>
      </c>
      <c r="L23" s="445">
        <f t="shared" si="25"/>
        <v>24060110</v>
      </c>
      <c r="M23" s="312">
        <f t="shared" si="16"/>
        <v>0</v>
      </c>
      <c r="N23" s="310">
        <f t="shared" si="17"/>
        <v>0</v>
      </c>
      <c r="O23" s="467">
        <f t="shared" si="32"/>
        <v>0</v>
      </c>
      <c r="P23" s="602">
        <f t="shared" si="26"/>
        <v>16697.687000000002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31"/>
        <v>0</v>
      </c>
      <c r="Y23" s="445">
        <f t="shared" si="10"/>
        <v>708475</v>
      </c>
      <c r="Z23" s="449">
        <f t="shared" si="28"/>
        <v>0</v>
      </c>
      <c r="AA23" s="445">
        <f t="shared" si="29"/>
        <v>35709</v>
      </c>
      <c r="AB23" s="449">
        <f t="shared" si="19"/>
        <v>0</v>
      </c>
      <c r="AC23" s="445">
        <f t="shared" si="30"/>
        <v>918536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33"/>
        <v>0</v>
      </c>
      <c r="AI23" s="466">
        <f>R23-'EDl log'!B21</f>
        <v>-908753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1"/>
        <v>32650366</v>
      </c>
      <c r="E24" s="311">
        <f t="shared" si="13"/>
        <v>0</v>
      </c>
      <c r="F24" s="445">
        <f t="shared" si="22"/>
        <v>3973473</v>
      </c>
      <c r="G24" s="312">
        <f t="shared" si="0"/>
        <v>0</v>
      </c>
      <c r="H24" s="445">
        <f t="shared" si="23"/>
        <v>17806506</v>
      </c>
      <c r="I24" s="312">
        <f t="shared" si="14"/>
        <v>0</v>
      </c>
      <c r="J24" s="445">
        <f t="shared" si="24"/>
        <v>28924502</v>
      </c>
      <c r="K24" s="312">
        <f t="shared" si="15"/>
        <v>0</v>
      </c>
      <c r="L24" s="445">
        <f t="shared" si="25"/>
        <v>24060110</v>
      </c>
      <c r="M24" s="312">
        <f t="shared" si="16"/>
        <v>0</v>
      </c>
      <c r="N24" s="310">
        <f t="shared" si="17"/>
        <v>0</v>
      </c>
      <c r="O24" s="467">
        <f t="shared" si="32"/>
        <v>0</v>
      </c>
      <c r="P24" s="602">
        <f t="shared" si="26"/>
        <v>16697.687000000002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31"/>
        <v>0</v>
      </c>
      <c r="Y24" s="445">
        <f t="shared" si="10"/>
        <v>708475</v>
      </c>
      <c r="Z24" s="449">
        <f t="shared" si="28"/>
        <v>0</v>
      </c>
      <c r="AA24" s="445">
        <f t="shared" si="29"/>
        <v>35709</v>
      </c>
      <c r="AB24" s="449">
        <f t="shared" si="19"/>
        <v>0</v>
      </c>
      <c r="AC24" s="445">
        <f t="shared" si="30"/>
        <v>918536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33"/>
        <v>0</v>
      </c>
      <c r="AI24" s="466">
        <f>R24-'EDl log'!B22</f>
        <v>-908753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1"/>
        <v>32650366</v>
      </c>
      <c r="E25" s="311">
        <f t="shared" si="13"/>
        <v>0</v>
      </c>
      <c r="F25" s="445">
        <f t="shared" si="22"/>
        <v>3973473</v>
      </c>
      <c r="G25" s="312">
        <f t="shared" si="0"/>
        <v>0</v>
      </c>
      <c r="H25" s="445">
        <f t="shared" si="23"/>
        <v>17806506</v>
      </c>
      <c r="I25" s="312">
        <f t="shared" si="14"/>
        <v>0</v>
      </c>
      <c r="J25" s="445">
        <f t="shared" si="24"/>
        <v>28924502</v>
      </c>
      <c r="K25" s="312">
        <f t="shared" si="15"/>
        <v>0</v>
      </c>
      <c r="L25" s="445">
        <f t="shared" si="25"/>
        <v>24060110</v>
      </c>
      <c r="M25" s="312">
        <f t="shared" si="16"/>
        <v>0</v>
      </c>
      <c r="N25" s="310">
        <f t="shared" si="17"/>
        <v>0</v>
      </c>
      <c r="O25" s="467">
        <f t="shared" si="32"/>
        <v>0</v>
      </c>
      <c r="P25" s="602">
        <f t="shared" si="26"/>
        <v>16697.687000000002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31"/>
        <v>0</v>
      </c>
      <c r="Y25" s="445">
        <f t="shared" si="10"/>
        <v>708475</v>
      </c>
      <c r="Z25" s="449">
        <f t="shared" si="28"/>
        <v>0</v>
      </c>
      <c r="AA25" s="445">
        <f t="shared" si="29"/>
        <v>35709</v>
      </c>
      <c r="AB25" s="449">
        <f t="shared" si="19"/>
        <v>0</v>
      </c>
      <c r="AC25" s="445">
        <f t="shared" si="30"/>
        <v>918536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33"/>
        <v>0</v>
      </c>
      <c r="AI25" s="466">
        <f>R25-'EDl log'!B23</f>
        <v>-908753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1"/>
        <v>32650366</v>
      </c>
      <c r="E26" s="311">
        <f t="shared" si="13"/>
        <v>0</v>
      </c>
      <c r="F26" s="445">
        <f t="shared" si="22"/>
        <v>3973473</v>
      </c>
      <c r="G26" s="312">
        <f t="shared" si="0"/>
        <v>0</v>
      </c>
      <c r="H26" s="445">
        <f t="shared" si="23"/>
        <v>17806506</v>
      </c>
      <c r="I26" s="312">
        <f t="shared" si="14"/>
        <v>0</v>
      </c>
      <c r="J26" s="445">
        <f t="shared" si="24"/>
        <v>28924502</v>
      </c>
      <c r="K26" s="312">
        <f t="shared" si="15"/>
        <v>0</v>
      </c>
      <c r="L26" s="445">
        <f t="shared" si="25"/>
        <v>24060110</v>
      </c>
      <c r="M26" s="312">
        <f t="shared" si="16"/>
        <v>0</v>
      </c>
      <c r="N26" s="310">
        <f t="shared" si="17"/>
        <v>0</v>
      </c>
      <c r="O26" s="467">
        <f t="shared" si="32"/>
        <v>0</v>
      </c>
      <c r="P26" s="602">
        <f t="shared" si="26"/>
        <v>16697.687000000002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31"/>
        <v>0</v>
      </c>
      <c r="Y26" s="445">
        <f t="shared" si="10"/>
        <v>708475</v>
      </c>
      <c r="Z26" s="449">
        <f t="shared" si="28"/>
        <v>0</v>
      </c>
      <c r="AA26" s="445">
        <f t="shared" si="29"/>
        <v>35709</v>
      </c>
      <c r="AB26" s="449">
        <f t="shared" si="19"/>
        <v>0</v>
      </c>
      <c r="AC26" s="445">
        <f t="shared" si="30"/>
        <v>918536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33"/>
        <v>0</v>
      </c>
      <c r="AI26" s="466">
        <f>R26-'EDl log'!B24</f>
        <v>-908753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1"/>
        <v>32650366</v>
      </c>
      <c r="E27" s="311">
        <f t="shared" si="13"/>
        <v>0</v>
      </c>
      <c r="F27" s="445">
        <f t="shared" si="22"/>
        <v>3973473</v>
      </c>
      <c r="G27" s="312">
        <f>F27-F26</f>
        <v>0</v>
      </c>
      <c r="H27" s="445">
        <f t="shared" si="23"/>
        <v>17806506</v>
      </c>
      <c r="I27" s="312">
        <f t="shared" si="14"/>
        <v>0</v>
      </c>
      <c r="J27" s="445">
        <f t="shared" si="24"/>
        <v>28924502</v>
      </c>
      <c r="K27" s="312">
        <f t="shared" si="15"/>
        <v>0</v>
      </c>
      <c r="L27" s="445">
        <f t="shared" si="25"/>
        <v>24060110</v>
      </c>
      <c r="M27" s="312">
        <f t="shared" si="16"/>
        <v>0</v>
      </c>
      <c r="N27" s="310">
        <f t="shared" si="17"/>
        <v>0</v>
      </c>
      <c r="O27" s="467">
        <f t="shared" si="32"/>
        <v>0</v>
      </c>
      <c r="P27" s="602">
        <f t="shared" si="26"/>
        <v>16697.687000000002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31"/>
        <v>0</v>
      </c>
      <c r="Y27" s="445">
        <f t="shared" si="10"/>
        <v>708475</v>
      </c>
      <c r="Z27" s="449">
        <f t="shared" si="28"/>
        <v>0</v>
      </c>
      <c r="AA27" s="445">
        <f t="shared" si="29"/>
        <v>35709</v>
      </c>
      <c r="AB27" s="449">
        <f t="shared" si="19"/>
        <v>0</v>
      </c>
      <c r="AC27" s="445">
        <f t="shared" si="30"/>
        <v>918536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33"/>
        <v>0</v>
      </c>
      <c r="AI27" s="466">
        <f>R27-'EDl log'!B25</f>
        <v>-908753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1"/>
        <v>32650366</v>
      </c>
      <c r="E28" s="311">
        <f t="shared" si="13"/>
        <v>0</v>
      </c>
      <c r="F28" s="445">
        <f t="shared" si="22"/>
        <v>3973473</v>
      </c>
      <c r="G28" s="312">
        <f t="shared" si="0"/>
        <v>0</v>
      </c>
      <c r="H28" s="445">
        <f t="shared" si="23"/>
        <v>17806506</v>
      </c>
      <c r="I28" s="312">
        <f t="shared" si="14"/>
        <v>0</v>
      </c>
      <c r="J28" s="445">
        <f t="shared" si="24"/>
        <v>28924502</v>
      </c>
      <c r="K28" s="312">
        <f t="shared" si="15"/>
        <v>0</v>
      </c>
      <c r="L28" s="445">
        <f t="shared" si="25"/>
        <v>24060110</v>
      </c>
      <c r="M28" s="312">
        <f t="shared" si="16"/>
        <v>0</v>
      </c>
      <c r="N28" s="310">
        <f t="shared" si="17"/>
        <v>0</v>
      </c>
      <c r="O28" s="467">
        <f t="shared" si="32"/>
        <v>0</v>
      </c>
      <c r="P28" s="602">
        <f t="shared" si="26"/>
        <v>16697.687000000002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31"/>
        <v>0</v>
      </c>
      <c r="Y28" s="445">
        <f t="shared" si="10"/>
        <v>708475</v>
      </c>
      <c r="Z28" s="449">
        <f t="shared" si="28"/>
        <v>0</v>
      </c>
      <c r="AA28" s="445">
        <f t="shared" si="29"/>
        <v>35709</v>
      </c>
      <c r="AB28" s="449">
        <f t="shared" si="19"/>
        <v>0</v>
      </c>
      <c r="AC28" s="445">
        <f t="shared" si="30"/>
        <v>918536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33"/>
        <v>0</v>
      </c>
      <c r="AI28" s="466">
        <f>R28-'EDl log'!B26</f>
        <v>-908753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1"/>
        <v>32650366</v>
      </c>
      <c r="E29" s="311">
        <f t="shared" si="13"/>
        <v>0</v>
      </c>
      <c r="F29" s="445">
        <f t="shared" si="22"/>
        <v>3973473</v>
      </c>
      <c r="G29" s="312">
        <f t="shared" si="0"/>
        <v>0</v>
      </c>
      <c r="H29" s="445">
        <f t="shared" si="23"/>
        <v>17806506</v>
      </c>
      <c r="I29" s="312">
        <f t="shared" si="14"/>
        <v>0</v>
      </c>
      <c r="J29" s="445">
        <f t="shared" si="24"/>
        <v>28924502</v>
      </c>
      <c r="K29" s="312">
        <f t="shared" si="15"/>
        <v>0</v>
      </c>
      <c r="L29" s="445">
        <f t="shared" si="25"/>
        <v>24060110</v>
      </c>
      <c r="M29" s="312">
        <f t="shared" si="16"/>
        <v>0</v>
      </c>
      <c r="N29" s="310">
        <f t="shared" si="17"/>
        <v>0</v>
      </c>
      <c r="O29" s="467">
        <f t="shared" si="32"/>
        <v>0</v>
      </c>
      <c r="P29" s="602">
        <f t="shared" si="26"/>
        <v>16697.687000000002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31"/>
        <v>0</v>
      </c>
      <c r="Y29" s="445">
        <f t="shared" si="10"/>
        <v>708475</v>
      </c>
      <c r="Z29" s="449">
        <f t="shared" si="28"/>
        <v>0</v>
      </c>
      <c r="AA29" s="445">
        <f t="shared" si="29"/>
        <v>35709</v>
      </c>
      <c r="AB29" s="449">
        <f t="shared" si="19"/>
        <v>0</v>
      </c>
      <c r="AC29" s="445">
        <f t="shared" si="30"/>
        <v>918536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33"/>
        <v>0</v>
      </c>
      <c r="AI29" s="466">
        <f>R29-'EDl log'!B27</f>
        <v>-908753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1"/>
        <v>32650366</v>
      </c>
      <c r="E30" s="311">
        <f t="shared" si="13"/>
        <v>0</v>
      </c>
      <c r="F30" s="445">
        <f t="shared" si="22"/>
        <v>3973473</v>
      </c>
      <c r="G30" s="312">
        <f t="shared" si="0"/>
        <v>0</v>
      </c>
      <c r="H30" s="445">
        <f t="shared" si="23"/>
        <v>17806506</v>
      </c>
      <c r="I30" s="312">
        <f t="shared" si="14"/>
        <v>0</v>
      </c>
      <c r="J30" s="445">
        <f t="shared" si="24"/>
        <v>28924502</v>
      </c>
      <c r="K30" s="312">
        <f t="shared" si="15"/>
        <v>0</v>
      </c>
      <c r="L30" s="445">
        <f t="shared" si="25"/>
        <v>24060110</v>
      </c>
      <c r="M30" s="312">
        <f t="shared" si="16"/>
        <v>0</v>
      </c>
      <c r="N30" s="310">
        <f t="shared" si="17"/>
        <v>0</v>
      </c>
      <c r="O30" s="467">
        <f t="shared" si="32"/>
        <v>0</v>
      </c>
      <c r="P30" s="602">
        <f t="shared" si="26"/>
        <v>16697.687000000002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31"/>
        <v>0</v>
      </c>
      <c r="Y30" s="445">
        <f t="shared" si="10"/>
        <v>708475</v>
      </c>
      <c r="Z30" s="449">
        <f t="shared" si="28"/>
        <v>0</v>
      </c>
      <c r="AA30" s="445">
        <f t="shared" si="29"/>
        <v>35709</v>
      </c>
      <c r="AB30" s="449">
        <f t="shared" si="19"/>
        <v>0</v>
      </c>
      <c r="AC30" s="445">
        <f t="shared" si="30"/>
        <v>918536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33"/>
        <v>0</v>
      </c>
      <c r="AI30" s="466">
        <f>R30-'EDl log'!B28</f>
        <v>-908753</v>
      </c>
    </row>
    <row r="31" spans="1:35">
      <c r="A31" s="457"/>
      <c r="B31" s="451"/>
      <c r="C31" s="458">
        <v>44284</v>
      </c>
      <c r="D31" s="445">
        <f t="shared" si="21"/>
        <v>32650366</v>
      </c>
      <c r="E31" s="311">
        <f t="shared" si="13"/>
        <v>0</v>
      </c>
      <c r="F31" s="445">
        <f t="shared" si="22"/>
        <v>3973473</v>
      </c>
      <c r="G31" s="312">
        <f t="shared" si="0"/>
        <v>0</v>
      </c>
      <c r="H31" s="445">
        <f t="shared" si="23"/>
        <v>17806506</v>
      </c>
      <c r="I31" s="312">
        <f t="shared" si="14"/>
        <v>0</v>
      </c>
      <c r="J31" s="445">
        <f t="shared" si="24"/>
        <v>28924502</v>
      </c>
      <c r="K31" s="312">
        <f t="shared" si="15"/>
        <v>0</v>
      </c>
      <c r="L31" s="445">
        <f t="shared" si="25"/>
        <v>24060110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602">
        <f t="shared" si="26"/>
        <v>16697.687000000002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29"/>
        <v>35709</v>
      </c>
      <c r="AB31" s="449">
        <f t="shared" ref="AB31:AB33" si="46">AA31-AA30</f>
        <v>0</v>
      </c>
      <c r="AC31" s="445">
        <f t="shared" si="30"/>
        <v>918536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-908753</v>
      </c>
    </row>
    <row r="32" spans="1:35">
      <c r="A32" s="457"/>
      <c r="B32" s="451"/>
      <c r="C32" s="458">
        <v>44285</v>
      </c>
      <c r="D32" s="445">
        <f t="shared" si="21"/>
        <v>32650366</v>
      </c>
      <c r="E32" s="311">
        <f t="shared" si="13"/>
        <v>0</v>
      </c>
      <c r="F32" s="445">
        <f t="shared" si="22"/>
        <v>3973473</v>
      </c>
      <c r="G32" s="312">
        <f t="shared" si="0"/>
        <v>0</v>
      </c>
      <c r="H32" s="445">
        <f t="shared" si="23"/>
        <v>17806506</v>
      </c>
      <c r="I32" s="312">
        <f t="shared" si="14"/>
        <v>0</v>
      </c>
      <c r="J32" s="445">
        <f t="shared" si="24"/>
        <v>28924502</v>
      </c>
      <c r="K32" s="312">
        <f t="shared" si="15"/>
        <v>0</v>
      </c>
      <c r="L32" s="445">
        <f t="shared" si="25"/>
        <v>24060110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602">
        <f t="shared" si="26"/>
        <v>16697.687000000002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29"/>
        <v>35709</v>
      </c>
      <c r="AB32" s="449">
        <f t="shared" si="46"/>
        <v>0</v>
      </c>
      <c r="AC32" s="445">
        <f t="shared" si="30"/>
        <v>918536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-908753</v>
      </c>
    </row>
    <row r="33" spans="1:35">
      <c r="A33" s="457"/>
      <c r="B33" s="451"/>
      <c r="C33" s="458">
        <v>44286</v>
      </c>
      <c r="D33" s="445">
        <f t="shared" si="21"/>
        <v>32650366</v>
      </c>
      <c r="E33" s="311">
        <f t="shared" si="13"/>
        <v>0</v>
      </c>
      <c r="F33" s="445">
        <f t="shared" si="22"/>
        <v>3973473</v>
      </c>
      <c r="G33" s="312">
        <f t="shared" si="0"/>
        <v>0</v>
      </c>
      <c r="H33" s="445">
        <f t="shared" si="23"/>
        <v>17806506</v>
      </c>
      <c r="I33" s="312">
        <f t="shared" si="14"/>
        <v>0</v>
      </c>
      <c r="J33" s="445">
        <f t="shared" si="24"/>
        <v>28924502</v>
      </c>
      <c r="K33" s="312">
        <f t="shared" si="15"/>
        <v>0</v>
      </c>
      <c r="L33" s="445">
        <f t="shared" si="25"/>
        <v>24060110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602">
        <f t="shared" si="26"/>
        <v>16697.687000000002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29"/>
        <v>35709</v>
      </c>
      <c r="AB33" s="449">
        <f t="shared" si="46"/>
        <v>0</v>
      </c>
      <c r="AC33" s="445">
        <f t="shared" si="30"/>
        <v>918536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-908753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2" activePane="bottomLeft" state="frozen"/>
      <selection activeCell="K1" sqref="K1"/>
      <selection pane="bottomLeft" activeCell="R7" sqref="R7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30" t="s">
        <v>2</v>
      </c>
      <c r="G1" s="631"/>
      <c r="H1" s="631"/>
      <c r="I1" s="632"/>
      <c r="J1" s="282">
        <f>J37</f>
        <v>26.5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397"/>
      <c r="V1" s="27" t="s">
        <v>104</v>
      </c>
      <c r="W1" s="398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6">
        <v>209</v>
      </c>
      <c r="C5" s="616">
        <v>206</v>
      </c>
      <c r="D5" s="45">
        <f>C4-C5</f>
        <v>19</v>
      </c>
      <c r="E5" s="45">
        <f>D5*8.38</f>
        <v>159.22000000000003</v>
      </c>
      <c r="F5" s="617">
        <v>1752</v>
      </c>
      <c r="G5" s="52">
        <f t="shared" ref="G5:G32" si="0">F5-F4</f>
        <v>3</v>
      </c>
      <c r="H5" s="617">
        <v>6668</v>
      </c>
      <c r="I5" s="396">
        <f t="shared" ref="I5:I32" si="1">SUM(H5-H4)</f>
        <v>180</v>
      </c>
      <c r="J5" s="66">
        <v>1</v>
      </c>
      <c r="K5" s="588">
        <f>K4</f>
        <v>2246</v>
      </c>
      <c r="L5" s="52">
        <f>K5-K4</f>
        <v>0</v>
      </c>
      <c r="M5" s="588">
        <f>M4</f>
        <v>165218</v>
      </c>
      <c r="N5" s="396">
        <f t="shared" ref="N5:N32" si="2">M5-M4</f>
        <v>0</v>
      </c>
      <c r="O5" s="64">
        <f>O4</f>
        <v>1869</v>
      </c>
      <c r="P5" s="588">
        <v>2002</v>
      </c>
      <c r="Q5" s="588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18">
        <v>2459</v>
      </c>
      <c r="Y5" s="52">
        <f>X5-X4</f>
        <v>3</v>
      </c>
      <c r="Z5" s="618">
        <v>138315</v>
      </c>
      <c r="AA5" s="65">
        <f t="shared" ref="AA5:AA32" si="5">Z5-Z4</f>
        <v>176.20000000001164</v>
      </c>
      <c r="AB5" s="284">
        <f>SUM(Y5*$AB$2)</f>
        <v>0</v>
      </c>
      <c r="AC5" s="588">
        <f>AC4</f>
        <v>1935</v>
      </c>
      <c r="AD5" s="45">
        <f t="shared" ref="AD5:AD32" si="6">AC5-AC4</f>
        <v>0</v>
      </c>
      <c r="AE5" s="588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8">
        <f>AN4</f>
        <v>67</v>
      </c>
      <c r="AO5" s="320">
        <f>(AN5/100)*3000</f>
        <v>2010.0000000000002</v>
      </c>
      <c r="AP5" s="588">
        <f>AP4</f>
        <v>55</v>
      </c>
      <c r="AQ5" s="320">
        <f>(AP5/100)*3000</f>
        <v>1650.0000000000002</v>
      </c>
      <c r="AR5" s="588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6">
        <v>199</v>
      </c>
      <c r="C6" s="616">
        <v>205</v>
      </c>
      <c r="D6" s="45">
        <f>C5-C6</f>
        <v>1</v>
      </c>
      <c r="E6" s="45">
        <f t="shared" ref="E6:E31" si="8">D6*8.38</f>
        <v>8.3800000000000008</v>
      </c>
      <c r="F6" s="617">
        <v>1753</v>
      </c>
      <c r="G6" s="52">
        <f t="shared" si="0"/>
        <v>1</v>
      </c>
      <c r="H6" s="617">
        <v>6720</v>
      </c>
      <c r="I6" s="396">
        <f t="shared" si="1"/>
        <v>52</v>
      </c>
      <c r="J6" s="66">
        <f t="shared" ref="J6:J32" si="9">IF(G6&gt;0,I6/G6,0)</f>
        <v>52</v>
      </c>
      <c r="K6" s="588">
        <v>2248</v>
      </c>
      <c r="L6" s="52">
        <f t="shared" ref="L6:L32" si="10">K6-K5</f>
        <v>2</v>
      </c>
      <c r="M6" s="588">
        <v>165407</v>
      </c>
      <c r="N6" s="396">
        <f t="shared" si="2"/>
        <v>189</v>
      </c>
      <c r="O6" s="64">
        <f t="shared" ref="O6:Q32" si="11">O5</f>
        <v>1869</v>
      </c>
      <c r="P6" s="588">
        <f t="shared" si="11"/>
        <v>2002</v>
      </c>
      <c r="Q6" s="588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18">
        <v>2461</v>
      </c>
      <c r="Y6" s="52">
        <f t="shared" ref="Y6:Y32" si="15">X6-X5</f>
        <v>2</v>
      </c>
      <c r="Z6" s="618">
        <v>138425</v>
      </c>
      <c r="AA6" s="65">
        <f t="shared" si="5"/>
        <v>110</v>
      </c>
      <c r="AB6" s="284">
        <f>SUM(Y6*$AB$2)</f>
        <v>0</v>
      </c>
      <c r="AC6" s="588">
        <f t="shared" ref="AC6:AC35" si="16">AC5</f>
        <v>1935</v>
      </c>
      <c r="AD6" s="45">
        <f t="shared" si="6"/>
        <v>0</v>
      </c>
      <c r="AE6" s="588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8">
        <f t="shared" ref="AN6:AP6" si="22">AN5</f>
        <v>67</v>
      </c>
      <c r="AO6" s="320">
        <f t="shared" ref="AO6:AO26" si="23">(AN6/100)*3000</f>
        <v>2010.0000000000002</v>
      </c>
      <c r="AP6" s="588">
        <f t="shared" si="22"/>
        <v>55</v>
      </c>
      <c r="AQ6" s="320">
        <f t="shared" ref="AQ6:AQ24" si="24">(AP6/100)*3000</f>
        <v>1650.0000000000002</v>
      </c>
      <c r="AR6" s="588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588">
        <v>193</v>
      </c>
      <c r="C7" s="588">
        <v>199</v>
      </c>
      <c r="D7" s="45">
        <f t="shared" ref="D7:D32" si="27">C6-C7</f>
        <v>6</v>
      </c>
      <c r="E7" s="45">
        <f t="shared" si="8"/>
        <v>50.28</v>
      </c>
      <c r="F7" s="588">
        <f t="shared" ref="F7:F35" si="28">F6</f>
        <v>1753</v>
      </c>
      <c r="G7" s="52">
        <f t="shared" si="0"/>
        <v>0</v>
      </c>
      <c r="H7" s="588">
        <f t="shared" ref="H7:H35" si="29">H6</f>
        <v>6720</v>
      </c>
      <c r="I7" s="396">
        <f t="shared" si="1"/>
        <v>0</v>
      </c>
      <c r="J7" s="66">
        <f t="shared" si="9"/>
        <v>0</v>
      </c>
      <c r="K7" s="588">
        <v>2249</v>
      </c>
      <c r="L7" s="52">
        <f t="shared" si="10"/>
        <v>1</v>
      </c>
      <c r="M7" s="588">
        <v>165481</v>
      </c>
      <c r="N7" s="396">
        <f t="shared" si="2"/>
        <v>74</v>
      </c>
      <c r="O7" s="64">
        <f t="shared" si="11"/>
        <v>1869</v>
      </c>
      <c r="P7" s="588">
        <v>2004</v>
      </c>
      <c r="Q7" s="588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8">
        <f t="shared" ref="X7:X35" si="31">X6</f>
        <v>2461</v>
      </c>
      <c r="Y7" s="52">
        <f t="shared" si="15"/>
        <v>0</v>
      </c>
      <c r="Z7" s="588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8">
        <f t="shared" si="16"/>
        <v>1935</v>
      </c>
      <c r="AD7" s="45">
        <f t="shared" si="6"/>
        <v>0</v>
      </c>
      <c r="AE7" s="588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8">
        <f t="shared" ref="AN7:AP7" si="36">AN6</f>
        <v>67</v>
      </c>
      <c r="AO7" s="320">
        <f t="shared" si="23"/>
        <v>2010.0000000000002</v>
      </c>
      <c r="AP7" s="588">
        <f t="shared" si="36"/>
        <v>55</v>
      </c>
      <c r="AQ7" s="320">
        <f t="shared" si="24"/>
        <v>1650.0000000000002</v>
      </c>
      <c r="AR7" s="588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588">
        <f t="shared" ref="B7:B35" si="41">B7</f>
        <v>193</v>
      </c>
      <c r="C8" s="588">
        <f t="shared" ref="C7:C35" si="42">C7</f>
        <v>199</v>
      </c>
      <c r="D8" s="45">
        <f t="shared" si="27"/>
        <v>0</v>
      </c>
      <c r="E8" s="45">
        <f t="shared" si="8"/>
        <v>0</v>
      </c>
      <c r="F8" s="588">
        <f t="shared" si="28"/>
        <v>1753</v>
      </c>
      <c r="G8" s="52">
        <f t="shared" si="0"/>
        <v>0</v>
      </c>
      <c r="H8" s="588">
        <f t="shared" si="29"/>
        <v>6720</v>
      </c>
      <c r="I8" s="396">
        <f t="shared" si="1"/>
        <v>0</v>
      </c>
      <c r="J8" s="66">
        <f t="shared" si="9"/>
        <v>0</v>
      </c>
      <c r="K8" s="588">
        <f t="shared" ref="K7:K35" si="43">K7</f>
        <v>2249</v>
      </c>
      <c r="L8" s="52">
        <f t="shared" si="10"/>
        <v>0</v>
      </c>
      <c r="M8" s="588">
        <f t="shared" ref="M7:M35" si="44">M7</f>
        <v>165481</v>
      </c>
      <c r="N8" s="396">
        <f t="shared" si="2"/>
        <v>0</v>
      </c>
      <c r="O8" s="64">
        <f t="shared" si="11"/>
        <v>1869</v>
      </c>
      <c r="P8" s="588">
        <f t="shared" si="11"/>
        <v>2004</v>
      </c>
      <c r="Q8" s="588">
        <f t="shared" ref="Q7:Q35" si="45">Q7</f>
        <v>169189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2"/>
        <v>0</v>
      </c>
      <c r="V8" s="62">
        <f t="shared" si="13"/>
        <v>0</v>
      </c>
      <c r="W8" s="400" t="e">
        <f t="shared" si="14"/>
        <v>#DIV/0!</v>
      </c>
      <c r="X8" s="588">
        <f t="shared" si="31"/>
        <v>2461</v>
      </c>
      <c r="Y8" s="52">
        <f t="shared" si="15"/>
        <v>0</v>
      </c>
      <c r="Z8" s="588">
        <f t="shared" si="32"/>
        <v>138425</v>
      </c>
      <c r="AA8" s="65">
        <f t="shared" si="5"/>
        <v>0</v>
      </c>
      <c r="AB8" s="284">
        <f t="shared" si="33"/>
        <v>0</v>
      </c>
      <c r="AC8" s="588">
        <f t="shared" si="16"/>
        <v>1935</v>
      </c>
      <c r="AD8" s="45">
        <f t="shared" si="6"/>
        <v>0</v>
      </c>
      <c r="AE8" s="588">
        <f t="shared" si="17"/>
        <v>365429</v>
      </c>
      <c r="AF8" s="306">
        <f t="shared" si="18"/>
        <v>0</v>
      </c>
      <c r="AG8" s="209">
        <f t="shared" si="34"/>
        <v>0</v>
      </c>
      <c r="AH8" s="62">
        <f t="shared" si="35"/>
        <v>0</v>
      </c>
      <c r="AI8" s="318">
        <f t="shared" si="19"/>
        <v>0</v>
      </c>
      <c r="AJ8" s="318">
        <f>-tanks!AW9</f>
        <v>0</v>
      </c>
      <c r="AK8" s="318">
        <f t="shared" si="20"/>
        <v>0</v>
      </c>
      <c r="AL8" s="318">
        <f t="shared" si="7"/>
        <v>0</v>
      </c>
      <c r="AM8" s="318">
        <f t="shared" si="21"/>
        <v>0</v>
      </c>
      <c r="AN8" s="588">
        <f t="shared" ref="AN8:AP8" si="46">AN7</f>
        <v>67</v>
      </c>
      <c r="AO8" s="320">
        <f t="shared" si="23"/>
        <v>2010.0000000000002</v>
      </c>
      <c r="AP8" s="588">
        <f t="shared" si="46"/>
        <v>55</v>
      </c>
      <c r="AQ8" s="320">
        <f t="shared" si="24"/>
        <v>1650.0000000000002</v>
      </c>
      <c r="AR8" s="588">
        <f t="shared" ref="AR8" si="47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588">
        <f t="shared" si="41"/>
        <v>193</v>
      </c>
      <c r="C9" s="588">
        <f t="shared" si="42"/>
        <v>199</v>
      </c>
      <c r="D9" s="45">
        <f t="shared" si="27"/>
        <v>0</v>
      </c>
      <c r="E9" s="45">
        <f t="shared" si="8"/>
        <v>0</v>
      </c>
      <c r="F9" s="588">
        <f t="shared" si="28"/>
        <v>1753</v>
      </c>
      <c r="G9" s="52">
        <f t="shared" si="0"/>
        <v>0</v>
      </c>
      <c r="H9" s="588">
        <f t="shared" si="29"/>
        <v>6720</v>
      </c>
      <c r="I9" s="396">
        <f t="shared" si="1"/>
        <v>0</v>
      </c>
      <c r="J9" s="66">
        <f t="shared" si="9"/>
        <v>0</v>
      </c>
      <c r="K9" s="588">
        <f t="shared" si="43"/>
        <v>2249</v>
      </c>
      <c r="L9" s="52">
        <f t="shared" si="10"/>
        <v>0</v>
      </c>
      <c r="M9" s="588">
        <f t="shared" si="44"/>
        <v>165481</v>
      </c>
      <c r="N9" s="396">
        <f t="shared" si="2"/>
        <v>0</v>
      </c>
      <c r="O9" s="64">
        <f t="shared" si="11"/>
        <v>1869</v>
      </c>
      <c r="P9" s="588">
        <f t="shared" si="11"/>
        <v>2004</v>
      </c>
      <c r="Q9" s="588">
        <f t="shared" si="45"/>
        <v>169189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2"/>
        <v>0</v>
      </c>
      <c r="V9" s="62">
        <f t="shared" si="13"/>
        <v>0</v>
      </c>
      <c r="W9" s="400" t="e">
        <f t="shared" si="14"/>
        <v>#DIV/0!</v>
      </c>
      <c r="X9" s="588">
        <f t="shared" si="31"/>
        <v>2461</v>
      </c>
      <c r="Y9" s="52">
        <f t="shared" si="15"/>
        <v>0</v>
      </c>
      <c r="Z9" s="588">
        <f t="shared" si="32"/>
        <v>138425</v>
      </c>
      <c r="AA9" s="65">
        <f t="shared" si="5"/>
        <v>0</v>
      </c>
      <c r="AB9" s="284">
        <f t="shared" si="33"/>
        <v>0</v>
      </c>
      <c r="AC9" s="588">
        <f t="shared" si="16"/>
        <v>1935</v>
      </c>
      <c r="AD9" s="45">
        <f t="shared" si="6"/>
        <v>0</v>
      </c>
      <c r="AE9" s="588">
        <f t="shared" si="17"/>
        <v>365429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0</v>
      </c>
      <c r="AJ9" s="318">
        <f>-tanks!AW10</f>
        <v>0</v>
      </c>
      <c r="AK9" s="318">
        <f t="shared" si="20"/>
        <v>0</v>
      </c>
      <c r="AL9" s="318">
        <f t="shared" si="7"/>
        <v>0</v>
      </c>
      <c r="AM9" s="318">
        <f t="shared" si="21"/>
        <v>0</v>
      </c>
      <c r="AN9" s="588">
        <f t="shared" ref="AN9:AP9" si="48">AN8</f>
        <v>67</v>
      </c>
      <c r="AO9" s="320">
        <f t="shared" si="23"/>
        <v>2010.0000000000002</v>
      </c>
      <c r="AP9" s="588">
        <f t="shared" si="48"/>
        <v>55</v>
      </c>
      <c r="AQ9" s="320">
        <f t="shared" si="24"/>
        <v>1650.0000000000002</v>
      </c>
      <c r="AR9" s="588">
        <f t="shared" ref="AR9" si="49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588">
        <f t="shared" si="41"/>
        <v>193</v>
      </c>
      <c r="C10" s="588">
        <f t="shared" si="42"/>
        <v>199</v>
      </c>
      <c r="D10" s="45">
        <f t="shared" si="27"/>
        <v>0</v>
      </c>
      <c r="E10" s="45">
        <f t="shared" si="8"/>
        <v>0</v>
      </c>
      <c r="F10" s="588">
        <f t="shared" si="28"/>
        <v>1753</v>
      </c>
      <c r="G10" s="52">
        <f t="shared" si="0"/>
        <v>0</v>
      </c>
      <c r="H10" s="588">
        <f t="shared" si="29"/>
        <v>6720</v>
      </c>
      <c r="I10" s="396">
        <f t="shared" si="1"/>
        <v>0</v>
      </c>
      <c r="J10" s="66">
        <f t="shared" si="9"/>
        <v>0</v>
      </c>
      <c r="K10" s="588">
        <f t="shared" si="43"/>
        <v>2249</v>
      </c>
      <c r="L10" s="52">
        <f t="shared" si="10"/>
        <v>0</v>
      </c>
      <c r="M10" s="588">
        <f t="shared" si="44"/>
        <v>165481</v>
      </c>
      <c r="N10" s="396">
        <f t="shared" si="2"/>
        <v>0</v>
      </c>
      <c r="O10" s="64">
        <f t="shared" si="11"/>
        <v>1869</v>
      </c>
      <c r="P10" s="588">
        <f t="shared" si="11"/>
        <v>2004</v>
      </c>
      <c r="Q10" s="588">
        <f t="shared" si="45"/>
        <v>169189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2"/>
        <v>0</v>
      </c>
      <c r="V10" s="62">
        <f t="shared" si="13"/>
        <v>0</v>
      </c>
      <c r="W10" s="400" t="e">
        <f t="shared" si="14"/>
        <v>#DIV/0!</v>
      </c>
      <c r="X10" s="588">
        <f t="shared" si="31"/>
        <v>2461</v>
      </c>
      <c r="Y10" s="52">
        <f t="shared" si="15"/>
        <v>0</v>
      </c>
      <c r="Z10" s="588">
        <f t="shared" si="32"/>
        <v>138425</v>
      </c>
      <c r="AA10" s="65">
        <f t="shared" si="5"/>
        <v>0</v>
      </c>
      <c r="AB10" s="284">
        <f t="shared" si="33"/>
        <v>0</v>
      </c>
      <c r="AC10" s="588">
        <f t="shared" si="16"/>
        <v>1935</v>
      </c>
      <c r="AD10" s="45">
        <f t="shared" si="6"/>
        <v>0</v>
      </c>
      <c r="AE10" s="588">
        <f t="shared" si="17"/>
        <v>365429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0</v>
      </c>
      <c r="AJ10" s="318">
        <f>-tanks!AW11</f>
        <v>0</v>
      </c>
      <c r="AK10" s="318">
        <f t="shared" si="20"/>
        <v>0</v>
      </c>
      <c r="AL10" s="318">
        <f t="shared" si="7"/>
        <v>0</v>
      </c>
      <c r="AM10" s="318">
        <f t="shared" si="21"/>
        <v>0</v>
      </c>
      <c r="AN10" s="588">
        <f t="shared" ref="AN10:AP10" si="50">AN9</f>
        <v>67</v>
      </c>
      <c r="AO10" s="320">
        <f t="shared" si="23"/>
        <v>2010.0000000000002</v>
      </c>
      <c r="AP10" s="588">
        <f t="shared" si="50"/>
        <v>55</v>
      </c>
      <c r="AQ10" s="320">
        <f t="shared" si="24"/>
        <v>1650.0000000000002</v>
      </c>
      <c r="AR10" s="588">
        <f t="shared" ref="AR10" si="51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588">
        <f t="shared" si="41"/>
        <v>193</v>
      </c>
      <c r="C11" s="588">
        <f t="shared" si="42"/>
        <v>199</v>
      </c>
      <c r="D11" s="45">
        <f t="shared" si="27"/>
        <v>0</v>
      </c>
      <c r="E11" s="45">
        <f t="shared" si="8"/>
        <v>0</v>
      </c>
      <c r="F11" s="588">
        <f t="shared" si="28"/>
        <v>1753</v>
      </c>
      <c r="G11" s="52">
        <f t="shared" si="0"/>
        <v>0</v>
      </c>
      <c r="H11" s="588">
        <f t="shared" si="29"/>
        <v>6720</v>
      </c>
      <c r="I11" s="396">
        <f t="shared" si="1"/>
        <v>0</v>
      </c>
      <c r="J11" s="66">
        <f t="shared" si="9"/>
        <v>0</v>
      </c>
      <c r="K11" s="588">
        <f t="shared" si="43"/>
        <v>2249</v>
      </c>
      <c r="L11" s="52">
        <f t="shared" si="10"/>
        <v>0</v>
      </c>
      <c r="M11" s="588">
        <f t="shared" si="44"/>
        <v>165481</v>
      </c>
      <c r="N11" s="396">
        <f t="shared" si="2"/>
        <v>0</v>
      </c>
      <c r="O11" s="64">
        <f t="shared" si="11"/>
        <v>1869</v>
      </c>
      <c r="P11" s="588">
        <f t="shared" si="11"/>
        <v>2004</v>
      </c>
      <c r="Q11" s="588">
        <f t="shared" si="45"/>
        <v>169189</v>
      </c>
      <c r="R11" s="395">
        <f t="shared" ref="R11:R32" si="52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0</v>
      </c>
      <c r="V11" s="62">
        <f t="shared" si="13"/>
        <v>0</v>
      </c>
      <c r="W11" s="400" t="e">
        <f t="shared" si="14"/>
        <v>#DIV/0!</v>
      </c>
      <c r="X11" s="588">
        <f t="shared" si="31"/>
        <v>2461</v>
      </c>
      <c r="Y11" s="52">
        <f t="shared" si="15"/>
        <v>0</v>
      </c>
      <c r="Z11" s="588">
        <f t="shared" si="32"/>
        <v>138425</v>
      </c>
      <c r="AA11" s="65">
        <f t="shared" si="5"/>
        <v>0</v>
      </c>
      <c r="AB11" s="284">
        <f t="shared" si="33"/>
        <v>0</v>
      </c>
      <c r="AC11" s="588">
        <f t="shared" si="16"/>
        <v>1935</v>
      </c>
      <c r="AD11" s="45">
        <f t="shared" si="6"/>
        <v>0</v>
      </c>
      <c r="AE11" s="588">
        <f t="shared" si="17"/>
        <v>365429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0"/>
        <v>0</v>
      </c>
      <c r="AL11" s="318">
        <f t="shared" si="7"/>
        <v>0</v>
      </c>
      <c r="AM11" s="318">
        <f t="shared" si="21"/>
        <v>0</v>
      </c>
      <c r="AN11" s="588">
        <f t="shared" ref="AN11:AP11" si="53">AN10</f>
        <v>67</v>
      </c>
      <c r="AO11" s="320">
        <f t="shared" si="23"/>
        <v>2010.0000000000002</v>
      </c>
      <c r="AP11" s="588">
        <f t="shared" si="53"/>
        <v>55</v>
      </c>
      <c r="AQ11" s="320">
        <f t="shared" si="24"/>
        <v>1650.0000000000002</v>
      </c>
      <c r="AR11" s="588">
        <f t="shared" ref="AR11" si="54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588">
        <f t="shared" si="41"/>
        <v>193</v>
      </c>
      <c r="C12" s="588">
        <f t="shared" si="42"/>
        <v>199</v>
      </c>
      <c r="D12" s="45">
        <f t="shared" si="27"/>
        <v>0</v>
      </c>
      <c r="E12" s="45">
        <f t="shared" si="8"/>
        <v>0</v>
      </c>
      <c r="F12" s="588">
        <f t="shared" si="28"/>
        <v>1753</v>
      </c>
      <c r="G12" s="52">
        <f t="shared" si="0"/>
        <v>0</v>
      </c>
      <c r="H12" s="588">
        <f t="shared" si="29"/>
        <v>6720</v>
      </c>
      <c r="I12" s="396">
        <f t="shared" si="1"/>
        <v>0</v>
      </c>
      <c r="J12" s="66">
        <f t="shared" si="9"/>
        <v>0</v>
      </c>
      <c r="K12" s="588">
        <f t="shared" si="43"/>
        <v>2249</v>
      </c>
      <c r="L12" s="52">
        <f t="shared" si="10"/>
        <v>0</v>
      </c>
      <c r="M12" s="588">
        <f t="shared" si="44"/>
        <v>165481</v>
      </c>
      <c r="N12" s="396">
        <f t="shared" si="2"/>
        <v>0</v>
      </c>
      <c r="O12" s="64">
        <f t="shared" si="11"/>
        <v>1869</v>
      </c>
      <c r="P12" s="588">
        <f t="shared" si="11"/>
        <v>2004</v>
      </c>
      <c r="Q12" s="588">
        <f t="shared" si="45"/>
        <v>169189</v>
      </c>
      <c r="R12" s="395">
        <f t="shared" si="52"/>
        <v>0</v>
      </c>
      <c r="S12" s="52">
        <f t="shared" si="4"/>
        <v>0</v>
      </c>
      <c r="T12" s="67">
        <f t="shared" si="30"/>
        <v>0</v>
      </c>
      <c r="U12" s="402">
        <f t="shared" si="12"/>
        <v>0</v>
      </c>
      <c r="V12" s="62">
        <f t="shared" si="13"/>
        <v>0</v>
      </c>
      <c r="W12" s="400" t="e">
        <f t="shared" si="14"/>
        <v>#DIV/0!</v>
      </c>
      <c r="X12" s="588">
        <f t="shared" si="31"/>
        <v>2461</v>
      </c>
      <c r="Y12" s="52">
        <f t="shared" si="15"/>
        <v>0</v>
      </c>
      <c r="Z12" s="588">
        <f t="shared" si="32"/>
        <v>138425</v>
      </c>
      <c r="AA12" s="65">
        <f t="shared" si="5"/>
        <v>0</v>
      </c>
      <c r="AB12" s="284">
        <f t="shared" si="33"/>
        <v>0</v>
      </c>
      <c r="AC12" s="588">
        <f t="shared" si="16"/>
        <v>1935</v>
      </c>
      <c r="AD12" s="45">
        <f t="shared" si="6"/>
        <v>0</v>
      </c>
      <c r="AE12" s="588">
        <f t="shared" si="17"/>
        <v>365429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0</v>
      </c>
      <c r="AJ12" s="318">
        <f>-tanks!AW13</f>
        <v>0</v>
      </c>
      <c r="AK12" s="318">
        <f t="shared" si="20"/>
        <v>0</v>
      </c>
      <c r="AL12" s="318">
        <f t="shared" si="7"/>
        <v>0</v>
      </c>
      <c r="AM12" s="318">
        <f t="shared" si="21"/>
        <v>0</v>
      </c>
      <c r="AN12" s="588">
        <f t="shared" ref="AN12:AP12" si="55">AN11</f>
        <v>67</v>
      </c>
      <c r="AO12" s="320">
        <f t="shared" si="23"/>
        <v>2010.0000000000002</v>
      </c>
      <c r="AP12" s="588">
        <f t="shared" si="55"/>
        <v>55</v>
      </c>
      <c r="AQ12" s="320">
        <f t="shared" si="24"/>
        <v>1650.0000000000002</v>
      </c>
      <c r="AR12" s="588">
        <f t="shared" ref="AR12" si="56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588">
        <f t="shared" si="41"/>
        <v>193</v>
      </c>
      <c r="C13" s="588">
        <f t="shared" si="42"/>
        <v>199</v>
      </c>
      <c r="D13" s="45">
        <f t="shared" si="27"/>
        <v>0</v>
      </c>
      <c r="E13" s="45">
        <f t="shared" si="8"/>
        <v>0</v>
      </c>
      <c r="F13" s="588">
        <f t="shared" si="28"/>
        <v>1753</v>
      </c>
      <c r="G13" s="52">
        <f t="shared" si="0"/>
        <v>0</v>
      </c>
      <c r="H13" s="588">
        <f t="shared" si="29"/>
        <v>6720</v>
      </c>
      <c r="I13" s="396">
        <f t="shared" si="1"/>
        <v>0</v>
      </c>
      <c r="J13" s="66">
        <f t="shared" si="9"/>
        <v>0</v>
      </c>
      <c r="K13" s="588">
        <f t="shared" si="43"/>
        <v>2249</v>
      </c>
      <c r="L13" s="52">
        <f t="shared" si="10"/>
        <v>0</v>
      </c>
      <c r="M13" s="588">
        <f t="shared" si="44"/>
        <v>165481</v>
      </c>
      <c r="N13" s="396">
        <f t="shared" si="2"/>
        <v>0</v>
      </c>
      <c r="O13" s="64">
        <f t="shared" si="11"/>
        <v>1869</v>
      </c>
      <c r="P13" s="588">
        <f t="shared" si="11"/>
        <v>2004</v>
      </c>
      <c r="Q13" s="588">
        <f t="shared" si="45"/>
        <v>169189</v>
      </c>
      <c r="R13" s="395">
        <f t="shared" si="52"/>
        <v>0</v>
      </c>
      <c r="S13" s="52">
        <f t="shared" si="4"/>
        <v>0</v>
      </c>
      <c r="T13" s="67">
        <f t="shared" si="30"/>
        <v>0</v>
      </c>
      <c r="U13" s="402">
        <f t="shared" si="12"/>
        <v>0</v>
      </c>
      <c r="V13" s="62">
        <f>R13+N13+I13:I13</f>
        <v>0</v>
      </c>
      <c r="W13" s="400" t="e">
        <f t="shared" si="14"/>
        <v>#DIV/0!</v>
      </c>
      <c r="X13" s="588">
        <f t="shared" si="31"/>
        <v>2461</v>
      </c>
      <c r="Y13" s="52">
        <f t="shared" si="15"/>
        <v>0</v>
      </c>
      <c r="Z13" s="588">
        <f t="shared" si="32"/>
        <v>138425</v>
      </c>
      <c r="AA13" s="284">
        <f t="shared" si="5"/>
        <v>0</v>
      </c>
      <c r="AB13" s="284">
        <f t="shared" si="33"/>
        <v>0</v>
      </c>
      <c r="AC13" s="588">
        <f t="shared" si="16"/>
        <v>1935</v>
      </c>
      <c r="AD13" s="45">
        <f t="shared" si="6"/>
        <v>0</v>
      </c>
      <c r="AE13" s="588">
        <f t="shared" si="17"/>
        <v>365429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0</v>
      </c>
      <c r="AJ13" s="318">
        <f>-tanks!AW14</f>
        <v>0</v>
      </c>
      <c r="AK13" s="318">
        <f t="shared" si="20"/>
        <v>0</v>
      </c>
      <c r="AL13" s="318">
        <f t="shared" si="7"/>
        <v>0</v>
      </c>
      <c r="AM13" s="318">
        <f t="shared" si="21"/>
        <v>0</v>
      </c>
      <c r="AN13" s="588">
        <f t="shared" ref="AN13:AP13" si="57">AN12</f>
        <v>67</v>
      </c>
      <c r="AO13" s="320">
        <f t="shared" si="23"/>
        <v>2010.0000000000002</v>
      </c>
      <c r="AP13" s="588">
        <f t="shared" si="57"/>
        <v>55</v>
      </c>
      <c r="AQ13" s="320">
        <f t="shared" si="24"/>
        <v>1650.0000000000002</v>
      </c>
      <c r="AR13" s="588">
        <f t="shared" ref="AR13" si="58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588">
        <f t="shared" si="41"/>
        <v>193</v>
      </c>
      <c r="C14" s="588">
        <f t="shared" si="42"/>
        <v>199</v>
      </c>
      <c r="D14" s="45">
        <f t="shared" si="27"/>
        <v>0</v>
      </c>
      <c r="E14" s="45">
        <f t="shared" si="8"/>
        <v>0</v>
      </c>
      <c r="F14" s="588">
        <f t="shared" si="28"/>
        <v>1753</v>
      </c>
      <c r="G14" s="52">
        <f t="shared" si="0"/>
        <v>0</v>
      </c>
      <c r="H14" s="588">
        <f t="shared" si="29"/>
        <v>6720</v>
      </c>
      <c r="I14" s="396">
        <f t="shared" si="1"/>
        <v>0</v>
      </c>
      <c r="J14" s="66">
        <f t="shared" si="9"/>
        <v>0</v>
      </c>
      <c r="K14" s="588">
        <f t="shared" si="43"/>
        <v>2249</v>
      </c>
      <c r="L14" s="52">
        <f t="shared" si="10"/>
        <v>0</v>
      </c>
      <c r="M14" s="588">
        <f t="shared" si="44"/>
        <v>165481</v>
      </c>
      <c r="N14" s="396">
        <f t="shared" si="2"/>
        <v>0</v>
      </c>
      <c r="O14" s="64">
        <f t="shared" si="11"/>
        <v>1869</v>
      </c>
      <c r="P14" s="588">
        <f t="shared" si="11"/>
        <v>2004</v>
      </c>
      <c r="Q14" s="588">
        <f t="shared" si="45"/>
        <v>169189</v>
      </c>
      <c r="R14" s="395">
        <f t="shared" si="52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8">
        <f t="shared" si="31"/>
        <v>2461</v>
      </c>
      <c r="Y14" s="52">
        <f t="shared" si="15"/>
        <v>0</v>
      </c>
      <c r="Z14" s="588">
        <f t="shared" si="32"/>
        <v>138425</v>
      </c>
      <c r="AA14" s="65">
        <f t="shared" si="5"/>
        <v>0</v>
      </c>
      <c r="AB14" s="284">
        <f t="shared" si="33"/>
        <v>0</v>
      </c>
      <c r="AC14" s="588">
        <f t="shared" si="16"/>
        <v>1935</v>
      </c>
      <c r="AD14" s="45">
        <f t="shared" si="6"/>
        <v>0</v>
      </c>
      <c r="AE14" s="588">
        <f t="shared" si="17"/>
        <v>365429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8">
        <f t="shared" ref="AN14:AP14" si="59">AN13</f>
        <v>67</v>
      </c>
      <c r="AO14" s="320">
        <f t="shared" si="23"/>
        <v>2010.0000000000002</v>
      </c>
      <c r="AP14" s="588">
        <f t="shared" si="59"/>
        <v>55</v>
      </c>
      <c r="AQ14" s="320">
        <f t="shared" si="24"/>
        <v>1650.0000000000002</v>
      </c>
      <c r="AR14" s="588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588">
        <f t="shared" si="41"/>
        <v>193</v>
      </c>
      <c r="C15" s="588">
        <f t="shared" si="42"/>
        <v>199</v>
      </c>
      <c r="D15" s="45">
        <f t="shared" si="27"/>
        <v>0</v>
      </c>
      <c r="E15" s="45">
        <f t="shared" si="8"/>
        <v>0</v>
      </c>
      <c r="F15" s="588">
        <f t="shared" si="28"/>
        <v>1753</v>
      </c>
      <c r="G15" s="52">
        <f t="shared" si="0"/>
        <v>0</v>
      </c>
      <c r="H15" s="588">
        <f t="shared" si="29"/>
        <v>6720</v>
      </c>
      <c r="I15" s="396">
        <f t="shared" si="1"/>
        <v>0</v>
      </c>
      <c r="J15" s="66">
        <f t="shared" si="9"/>
        <v>0</v>
      </c>
      <c r="K15" s="588">
        <f t="shared" si="43"/>
        <v>2249</v>
      </c>
      <c r="L15" s="52">
        <f t="shared" si="10"/>
        <v>0</v>
      </c>
      <c r="M15" s="588">
        <f t="shared" si="44"/>
        <v>165481</v>
      </c>
      <c r="N15" s="396">
        <f t="shared" si="2"/>
        <v>0</v>
      </c>
      <c r="O15" s="64">
        <f t="shared" si="11"/>
        <v>1869</v>
      </c>
      <c r="P15" s="588">
        <f t="shared" si="11"/>
        <v>2004</v>
      </c>
      <c r="Q15" s="588">
        <f t="shared" si="45"/>
        <v>169189</v>
      </c>
      <c r="R15" s="395">
        <f t="shared" si="52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8">
        <f t="shared" si="31"/>
        <v>2461</v>
      </c>
      <c r="Y15" s="52">
        <f t="shared" si="15"/>
        <v>0</v>
      </c>
      <c r="Z15" s="588">
        <f t="shared" si="32"/>
        <v>138425</v>
      </c>
      <c r="AA15" s="65">
        <f t="shared" si="5"/>
        <v>0</v>
      </c>
      <c r="AB15" s="284">
        <f t="shared" si="33"/>
        <v>0</v>
      </c>
      <c r="AC15" s="588">
        <f t="shared" si="16"/>
        <v>1935</v>
      </c>
      <c r="AD15" s="45">
        <f t="shared" si="6"/>
        <v>0</v>
      </c>
      <c r="AE15" s="588">
        <f t="shared" si="17"/>
        <v>365429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8">
        <f t="shared" ref="AN15:AP15" si="61">AN14</f>
        <v>67</v>
      </c>
      <c r="AO15" s="320">
        <f t="shared" si="23"/>
        <v>2010.0000000000002</v>
      </c>
      <c r="AP15" s="588">
        <f t="shared" si="61"/>
        <v>55</v>
      </c>
      <c r="AQ15" s="320">
        <f t="shared" si="24"/>
        <v>1650.0000000000002</v>
      </c>
      <c r="AR15" s="588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588">
        <f t="shared" si="41"/>
        <v>193</v>
      </c>
      <c r="C16" s="588">
        <f t="shared" si="42"/>
        <v>199</v>
      </c>
      <c r="D16" s="45">
        <f t="shared" si="27"/>
        <v>0</v>
      </c>
      <c r="E16" s="45">
        <f t="shared" si="8"/>
        <v>0</v>
      </c>
      <c r="F16" s="588">
        <f t="shared" si="28"/>
        <v>1753</v>
      </c>
      <c r="G16" s="52">
        <f t="shared" si="0"/>
        <v>0</v>
      </c>
      <c r="H16" s="588">
        <f t="shared" si="29"/>
        <v>6720</v>
      </c>
      <c r="I16" s="396">
        <f t="shared" si="1"/>
        <v>0</v>
      </c>
      <c r="J16" s="66">
        <f t="shared" si="9"/>
        <v>0</v>
      </c>
      <c r="K16" s="588">
        <f t="shared" si="43"/>
        <v>2249</v>
      </c>
      <c r="L16" s="52">
        <f t="shared" si="10"/>
        <v>0</v>
      </c>
      <c r="M16" s="588">
        <f t="shared" si="44"/>
        <v>165481</v>
      </c>
      <c r="N16" s="396">
        <f t="shared" si="2"/>
        <v>0</v>
      </c>
      <c r="O16" s="64">
        <f t="shared" si="11"/>
        <v>1869</v>
      </c>
      <c r="P16" s="588">
        <f t="shared" si="11"/>
        <v>2004</v>
      </c>
      <c r="Q16" s="588">
        <f t="shared" si="45"/>
        <v>169189</v>
      </c>
      <c r="R16" s="395">
        <f t="shared" si="52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8">
        <f t="shared" si="31"/>
        <v>2461</v>
      </c>
      <c r="Y16" s="52">
        <f t="shared" si="15"/>
        <v>0</v>
      </c>
      <c r="Z16" s="588">
        <f t="shared" si="32"/>
        <v>138425</v>
      </c>
      <c r="AA16" s="65">
        <f t="shared" si="5"/>
        <v>0</v>
      </c>
      <c r="AB16" s="284">
        <f t="shared" si="33"/>
        <v>0</v>
      </c>
      <c r="AC16" s="588">
        <f t="shared" si="16"/>
        <v>1935</v>
      </c>
      <c r="AD16" s="45">
        <f t="shared" si="6"/>
        <v>0</v>
      </c>
      <c r="AE16" s="588">
        <f t="shared" si="17"/>
        <v>365429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8">
        <f t="shared" ref="AN16:AP16" si="63">AN15</f>
        <v>67</v>
      </c>
      <c r="AO16" s="320">
        <f t="shared" si="23"/>
        <v>2010.0000000000002</v>
      </c>
      <c r="AP16" s="588">
        <f t="shared" si="63"/>
        <v>55</v>
      </c>
      <c r="AQ16" s="320">
        <f t="shared" si="24"/>
        <v>1650.0000000000002</v>
      </c>
      <c r="AR16" s="588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588">
        <f t="shared" si="41"/>
        <v>193</v>
      </c>
      <c r="C17" s="588">
        <f t="shared" si="42"/>
        <v>199</v>
      </c>
      <c r="D17" s="45">
        <f t="shared" si="27"/>
        <v>0</v>
      </c>
      <c r="E17" s="45">
        <f t="shared" si="8"/>
        <v>0</v>
      </c>
      <c r="F17" s="588">
        <f t="shared" si="28"/>
        <v>1753</v>
      </c>
      <c r="G17" s="52">
        <f t="shared" si="0"/>
        <v>0</v>
      </c>
      <c r="H17" s="588">
        <f t="shared" si="29"/>
        <v>6720</v>
      </c>
      <c r="I17" s="396">
        <f t="shared" si="1"/>
        <v>0</v>
      </c>
      <c r="J17" s="66">
        <f t="shared" si="9"/>
        <v>0</v>
      </c>
      <c r="K17" s="588">
        <f t="shared" si="43"/>
        <v>2249</v>
      </c>
      <c r="L17" s="52">
        <f t="shared" si="10"/>
        <v>0</v>
      </c>
      <c r="M17" s="588">
        <f t="shared" si="44"/>
        <v>165481</v>
      </c>
      <c r="N17" s="396">
        <f t="shared" si="2"/>
        <v>0</v>
      </c>
      <c r="O17" s="64">
        <f t="shared" si="11"/>
        <v>1869</v>
      </c>
      <c r="P17" s="588">
        <f t="shared" si="11"/>
        <v>2004</v>
      </c>
      <c r="Q17" s="588">
        <f t="shared" si="45"/>
        <v>169189</v>
      </c>
      <c r="R17" s="395">
        <f t="shared" si="52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8">
        <f t="shared" si="31"/>
        <v>2461</v>
      </c>
      <c r="Y17" s="52">
        <f t="shared" si="15"/>
        <v>0</v>
      </c>
      <c r="Z17" s="588">
        <f t="shared" si="32"/>
        <v>138425</v>
      </c>
      <c r="AA17" s="65">
        <f t="shared" si="5"/>
        <v>0</v>
      </c>
      <c r="AB17" s="284">
        <f t="shared" si="33"/>
        <v>0</v>
      </c>
      <c r="AC17" s="588">
        <f t="shared" si="16"/>
        <v>1935</v>
      </c>
      <c r="AD17" s="45">
        <f t="shared" si="6"/>
        <v>0</v>
      </c>
      <c r="AE17" s="588">
        <f t="shared" si="17"/>
        <v>365429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8">
        <f t="shared" ref="AN17:AP17" si="65">AN16</f>
        <v>67</v>
      </c>
      <c r="AO17" s="320">
        <f t="shared" si="23"/>
        <v>2010.0000000000002</v>
      </c>
      <c r="AP17" s="588">
        <f t="shared" si="65"/>
        <v>55</v>
      </c>
      <c r="AQ17" s="320">
        <f t="shared" si="24"/>
        <v>1650.0000000000002</v>
      </c>
      <c r="AR17" s="588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588">
        <f t="shared" si="41"/>
        <v>193</v>
      </c>
      <c r="C18" s="588">
        <f t="shared" si="42"/>
        <v>199</v>
      </c>
      <c r="D18" s="45">
        <f t="shared" si="27"/>
        <v>0</v>
      </c>
      <c r="E18" s="45">
        <f t="shared" si="8"/>
        <v>0</v>
      </c>
      <c r="F18" s="588">
        <f t="shared" si="28"/>
        <v>1753</v>
      </c>
      <c r="G18" s="52">
        <f t="shared" si="0"/>
        <v>0</v>
      </c>
      <c r="H18" s="588">
        <f t="shared" si="29"/>
        <v>6720</v>
      </c>
      <c r="I18" s="396">
        <f t="shared" si="1"/>
        <v>0</v>
      </c>
      <c r="J18" s="66">
        <f t="shared" si="9"/>
        <v>0</v>
      </c>
      <c r="K18" s="588">
        <f t="shared" si="43"/>
        <v>2249</v>
      </c>
      <c r="L18" s="52">
        <f t="shared" si="10"/>
        <v>0</v>
      </c>
      <c r="M18" s="588">
        <f t="shared" si="44"/>
        <v>165481</v>
      </c>
      <c r="N18" s="396">
        <f t="shared" si="2"/>
        <v>0</v>
      </c>
      <c r="O18" s="64">
        <v>1869</v>
      </c>
      <c r="P18" s="588">
        <f t="shared" ref="P18:P35" si="67">P17</f>
        <v>2004</v>
      </c>
      <c r="Q18" s="588">
        <f t="shared" si="45"/>
        <v>169189</v>
      </c>
      <c r="R18" s="395">
        <f t="shared" si="52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8">
        <f t="shared" si="31"/>
        <v>2461</v>
      </c>
      <c r="Y18" s="52">
        <f t="shared" si="15"/>
        <v>0</v>
      </c>
      <c r="Z18" s="588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8">
        <f t="shared" si="16"/>
        <v>1935</v>
      </c>
      <c r="AD18" s="45">
        <f t="shared" si="6"/>
        <v>0</v>
      </c>
      <c r="AE18" s="588">
        <f t="shared" si="17"/>
        <v>365429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8">
        <f t="shared" ref="AN18:AP18" si="69">AN17</f>
        <v>67</v>
      </c>
      <c r="AO18" s="320">
        <f t="shared" si="23"/>
        <v>2010.0000000000002</v>
      </c>
      <c r="AP18" s="588">
        <f t="shared" si="69"/>
        <v>55</v>
      </c>
      <c r="AQ18" s="320">
        <f t="shared" si="24"/>
        <v>1650.0000000000002</v>
      </c>
      <c r="AR18" s="588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588">
        <f t="shared" si="41"/>
        <v>193</v>
      </c>
      <c r="C19" s="588">
        <f t="shared" si="42"/>
        <v>199</v>
      </c>
      <c r="D19" s="45">
        <f t="shared" si="27"/>
        <v>0</v>
      </c>
      <c r="E19" s="45">
        <f t="shared" si="8"/>
        <v>0</v>
      </c>
      <c r="F19" s="588">
        <f t="shared" si="28"/>
        <v>1753</v>
      </c>
      <c r="G19" s="52">
        <f t="shared" si="0"/>
        <v>0</v>
      </c>
      <c r="H19" s="588">
        <f t="shared" si="29"/>
        <v>6720</v>
      </c>
      <c r="I19" s="396">
        <f t="shared" si="1"/>
        <v>0</v>
      </c>
      <c r="J19" s="66">
        <f t="shared" si="9"/>
        <v>0</v>
      </c>
      <c r="K19" s="588">
        <f t="shared" si="43"/>
        <v>2249</v>
      </c>
      <c r="L19" s="52">
        <f t="shared" si="10"/>
        <v>0</v>
      </c>
      <c r="M19" s="588">
        <f t="shared" si="44"/>
        <v>165481</v>
      </c>
      <c r="N19" s="396">
        <f t="shared" si="2"/>
        <v>0</v>
      </c>
      <c r="O19" s="64">
        <f t="shared" si="11"/>
        <v>1869</v>
      </c>
      <c r="P19" s="588">
        <f t="shared" si="67"/>
        <v>2004</v>
      </c>
      <c r="Q19" s="588">
        <f t="shared" si="45"/>
        <v>169189</v>
      </c>
      <c r="R19" s="395">
        <f t="shared" si="52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8">
        <f t="shared" si="31"/>
        <v>2461</v>
      </c>
      <c r="Y19" s="52">
        <f t="shared" si="15"/>
        <v>0</v>
      </c>
      <c r="Z19" s="588">
        <f t="shared" si="32"/>
        <v>138425</v>
      </c>
      <c r="AA19" s="65">
        <f t="shared" si="5"/>
        <v>0</v>
      </c>
      <c r="AB19" s="284">
        <f t="shared" si="68"/>
        <v>0</v>
      </c>
      <c r="AC19" s="588">
        <f t="shared" si="16"/>
        <v>1935</v>
      </c>
      <c r="AD19" s="45">
        <f t="shared" si="6"/>
        <v>0</v>
      </c>
      <c r="AE19" s="588">
        <f t="shared" si="17"/>
        <v>365429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8">
        <f t="shared" ref="AN19:AP19" si="71">AN18</f>
        <v>67</v>
      </c>
      <c r="AO19" s="320">
        <f t="shared" si="23"/>
        <v>2010.0000000000002</v>
      </c>
      <c r="AP19" s="588">
        <f t="shared" si="71"/>
        <v>55</v>
      </c>
      <c r="AQ19" s="320">
        <f t="shared" si="24"/>
        <v>1650.0000000000002</v>
      </c>
      <c r="AR19" s="588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588">
        <f t="shared" si="41"/>
        <v>193</v>
      </c>
      <c r="C20" s="588">
        <f t="shared" si="42"/>
        <v>199</v>
      </c>
      <c r="D20" s="45">
        <f>C19-C20</f>
        <v>0</v>
      </c>
      <c r="E20" s="45">
        <f t="shared" si="8"/>
        <v>0</v>
      </c>
      <c r="F20" s="588">
        <f t="shared" si="28"/>
        <v>1753</v>
      </c>
      <c r="G20" s="52">
        <f t="shared" si="0"/>
        <v>0</v>
      </c>
      <c r="H20" s="588">
        <f t="shared" si="29"/>
        <v>6720</v>
      </c>
      <c r="I20" s="396">
        <f t="shared" si="1"/>
        <v>0</v>
      </c>
      <c r="J20" s="66">
        <f t="shared" si="9"/>
        <v>0</v>
      </c>
      <c r="K20" s="588">
        <f t="shared" si="43"/>
        <v>2249</v>
      </c>
      <c r="L20" s="52">
        <f t="shared" si="10"/>
        <v>0</v>
      </c>
      <c r="M20" s="588">
        <f t="shared" si="44"/>
        <v>165481</v>
      </c>
      <c r="N20" s="396">
        <f t="shared" si="2"/>
        <v>0</v>
      </c>
      <c r="O20" s="64">
        <f t="shared" si="11"/>
        <v>1869</v>
      </c>
      <c r="P20" s="588">
        <f t="shared" si="67"/>
        <v>2004</v>
      </c>
      <c r="Q20" s="588">
        <f t="shared" si="45"/>
        <v>169189</v>
      </c>
      <c r="R20" s="395">
        <f t="shared" si="52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8">
        <f t="shared" si="31"/>
        <v>2461</v>
      </c>
      <c r="Y20" s="52">
        <f t="shared" si="15"/>
        <v>0</v>
      </c>
      <c r="Z20" s="588">
        <f t="shared" si="32"/>
        <v>138425</v>
      </c>
      <c r="AA20" s="65">
        <f t="shared" si="5"/>
        <v>0</v>
      </c>
      <c r="AB20" s="284">
        <f t="shared" si="68"/>
        <v>0</v>
      </c>
      <c r="AC20" s="588">
        <f t="shared" si="16"/>
        <v>1935</v>
      </c>
      <c r="AD20" s="45">
        <f t="shared" si="6"/>
        <v>0</v>
      </c>
      <c r="AE20" s="588">
        <f t="shared" si="17"/>
        <v>365429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8">
        <f t="shared" ref="AN20:AP20" si="73">AN19</f>
        <v>67</v>
      </c>
      <c r="AO20" s="320">
        <f t="shared" si="23"/>
        <v>2010.0000000000002</v>
      </c>
      <c r="AP20" s="588">
        <f t="shared" si="73"/>
        <v>55</v>
      </c>
      <c r="AQ20" s="320">
        <f t="shared" si="24"/>
        <v>1650.0000000000002</v>
      </c>
      <c r="AR20" s="588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588">
        <f t="shared" si="41"/>
        <v>193</v>
      </c>
      <c r="C21" s="588">
        <f t="shared" si="42"/>
        <v>199</v>
      </c>
      <c r="D21" s="45">
        <f t="shared" ref="D21:D31" si="75">C20-C21</f>
        <v>0</v>
      </c>
      <c r="E21" s="45">
        <f t="shared" si="8"/>
        <v>0</v>
      </c>
      <c r="F21" s="588">
        <f t="shared" si="28"/>
        <v>1753</v>
      </c>
      <c r="G21" s="52">
        <f t="shared" si="0"/>
        <v>0</v>
      </c>
      <c r="H21" s="588">
        <f t="shared" si="29"/>
        <v>6720</v>
      </c>
      <c r="I21" s="396">
        <f t="shared" si="1"/>
        <v>0</v>
      </c>
      <c r="J21" s="66">
        <f t="shared" si="9"/>
        <v>0</v>
      </c>
      <c r="K21" s="588">
        <f t="shared" si="43"/>
        <v>2249</v>
      </c>
      <c r="L21" s="52">
        <f t="shared" si="10"/>
        <v>0</v>
      </c>
      <c r="M21" s="588">
        <f t="shared" si="44"/>
        <v>165481</v>
      </c>
      <c r="N21" s="396">
        <f t="shared" si="2"/>
        <v>0</v>
      </c>
      <c r="O21" s="64">
        <f t="shared" si="11"/>
        <v>1869</v>
      </c>
      <c r="P21" s="588">
        <f t="shared" si="67"/>
        <v>2004</v>
      </c>
      <c r="Q21" s="588">
        <f t="shared" si="45"/>
        <v>169189</v>
      </c>
      <c r="R21" s="395">
        <f t="shared" si="52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8">
        <f t="shared" si="31"/>
        <v>2461</v>
      </c>
      <c r="Y21" s="52">
        <f t="shared" si="15"/>
        <v>0</v>
      </c>
      <c r="Z21" s="588">
        <f t="shared" si="32"/>
        <v>138425</v>
      </c>
      <c r="AA21" s="65">
        <f t="shared" si="5"/>
        <v>0</v>
      </c>
      <c r="AB21" s="284">
        <f t="shared" si="68"/>
        <v>0</v>
      </c>
      <c r="AC21" s="588">
        <f t="shared" si="16"/>
        <v>1935</v>
      </c>
      <c r="AD21" s="45">
        <f t="shared" si="6"/>
        <v>0</v>
      </c>
      <c r="AE21" s="588">
        <f t="shared" si="17"/>
        <v>365429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8">
        <f t="shared" ref="AN21:AP21" si="76">AN20</f>
        <v>67</v>
      </c>
      <c r="AO21" s="320">
        <f t="shared" si="23"/>
        <v>2010.0000000000002</v>
      </c>
      <c r="AP21" s="588">
        <f t="shared" si="76"/>
        <v>55</v>
      </c>
      <c r="AQ21" s="320">
        <f t="shared" si="24"/>
        <v>1650.0000000000002</v>
      </c>
      <c r="AR21" s="588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588">
        <f t="shared" si="41"/>
        <v>193</v>
      </c>
      <c r="C22" s="588">
        <f t="shared" si="42"/>
        <v>199</v>
      </c>
      <c r="D22" s="45">
        <f t="shared" si="75"/>
        <v>0</v>
      </c>
      <c r="E22" s="45">
        <f t="shared" si="8"/>
        <v>0</v>
      </c>
      <c r="F22" s="588">
        <f t="shared" si="28"/>
        <v>1753</v>
      </c>
      <c r="G22" s="52">
        <f t="shared" si="0"/>
        <v>0</v>
      </c>
      <c r="H22" s="588">
        <f t="shared" si="29"/>
        <v>6720</v>
      </c>
      <c r="I22" s="396">
        <f t="shared" si="1"/>
        <v>0</v>
      </c>
      <c r="J22" s="66">
        <f t="shared" si="9"/>
        <v>0</v>
      </c>
      <c r="K22" s="588">
        <f t="shared" si="43"/>
        <v>2249</v>
      </c>
      <c r="L22" s="52">
        <f t="shared" si="10"/>
        <v>0</v>
      </c>
      <c r="M22" s="588">
        <f t="shared" si="44"/>
        <v>165481</v>
      </c>
      <c r="N22" s="396">
        <f t="shared" si="2"/>
        <v>0</v>
      </c>
      <c r="O22" s="64">
        <f t="shared" si="11"/>
        <v>1869</v>
      </c>
      <c r="P22" s="588">
        <f t="shared" si="67"/>
        <v>2004</v>
      </c>
      <c r="Q22" s="588">
        <f t="shared" si="45"/>
        <v>169189</v>
      </c>
      <c r="R22" s="395">
        <f t="shared" si="52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8">
        <f t="shared" si="31"/>
        <v>2461</v>
      </c>
      <c r="Y22" s="52">
        <f t="shared" si="15"/>
        <v>0</v>
      </c>
      <c r="Z22" s="588">
        <f t="shared" si="32"/>
        <v>138425</v>
      </c>
      <c r="AA22" s="65">
        <f t="shared" si="5"/>
        <v>0</v>
      </c>
      <c r="AB22" s="284">
        <f t="shared" si="68"/>
        <v>0</v>
      </c>
      <c r="AC22" s="588">
        <f t="shared" si="16"/>
        <v>1935</v>
      </c>
      <c r="AD22" s="45">
        <f t="shared" si="6"/>
        <v>0</v>
      </c>
      <c r="AE22" s="588">
        <f t="shared" si="17"/>
        <v>365429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8">
        <f t="shared" ref="AN22:AP22" si="78">AN21</f>
        <v>67</v>
      </c>
      <c r="AO22" s="320">
        <f t="shared" si="23"/>
        <v>2010.0000000000002</v>
      </c>
      <c r="AP22" s="588">
        <f t="shared" si="78"/>
        <v>55</v>
      </c>
      <c r="AQ22" s="320">
        <f t="shared" si="24"/>
        <v>1650.0000000000002</v>
      </c>
      <c r="AR22" s="588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588">
        <f t="shared" si="41"/>
        <v>193</v>
      </c>
      <c r="C23" s="588">
        <f t="shared" si="42"/>
        <v>199</v>
      </c>
      <c r="D23" s="45">
        <f t="shared" si="75"/>
        <v>0</v>
      </c>
      <c r="E23" s="45">
        <f t="shared" si="8"/>
        <v>0</v>
      </c>
      <c r="F23" s="588">
        <f t="shared" si="28"/>
        <v>1753</v>
      </c>
      <c r="G23" s="52">
        <f t="shared" si="0"/>
        <v>0</v>
      </c>
      <c r="H23" s="588">
        <f t="shared" si="29"/>
        <v>6720</v>
      </c>
      <c r="I23" s="396">
        <f t="shared" si="1"/>
        <v>0</v>
      </c>
      <c r="J23" s="66">
        <f t="shared" si="9"/>
        <v>0</v>
      </c>
      <c r="K23" s="588">
        <f t="shared" si="43"/>
        <v>2249</v>
      </c>
      <c r="L23" s="52">
        <f t="shared" si="10"/>
        <v>0</v>
      </c>
      <c r="M23" s="588">
        <f t="shared" si="44"/>
        <v>165481</v>
      </c>
      <c r="N23" s="396">
        <f t="shared" si="2"/>
        <v>0</v>
      </c>
      <c r="O23" s="64">
        <f t="shared" si="11"/>
        <v>1869</v>
      </c>
      <c r="P23" s="588">
        <f t="shared" si="67"/>
        <v>2004</v>
      </c>
      <c r="Q23" s="588">
        <f t="shared" si="45"/>
        <v>169189</v>
      </c>
      <c r="R23" s="395">
        <f t="shared" si="52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8">
        <f t="shared" si="31"/>
        <v>2461</v>
      </c>
      <c r="Y23" s="52">
        <f t="shared" si="15"/>
        <v>0</v>
      </c>
      <c r="Z23" s="588">
        <f t="shared" si="32"/>
        <v>138425</v>
      </c>
      <c r="AA23" s="65">
        <f t="shared" si="5"/>
        <v>0</v>
      </c>
      <c r="AB23" s="284">
        <f t="shared" si="68"/>
        <v>0</v>
      </c>
      <c r="AC23" s="588">
        <f t="shared" si="16"/>
        <v>1935</v>
      </c>
      <c r="AD23" s="45">
        <f t="shared" si="6"/>
        <v>0</v>
      </c>
      <c r="AE23" s="588">
        <f t="shared" si="17"/>
        <v>365429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8">
        <f t="shared" ref="AN23:AP23" si="84">AN22</f>
        <v>67</v>
      </c>
      <c r="AO23" s="320">
        <f t="shared" si="23"/>
        <v>2010.0000000000002</v>
      </c>
      <c r="AP23" s="588">
        <f t="shared" si="84"/>
        <v>55</v>
      </c>
      <c r="AQ23" s="320">
        <f t="shared" si="24"/>
        <v>1650.0000000000002</v>
      </c>
      <c r="AR23" s="588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588">
        <f t="shared" si="41"/>
        <v>193</v>
      </c>
      <c r="C24" s="588">
        <f t="shared" si="42"/>
        <v>199</v>
      </c>
      <c r="D24" s="45">
        <f t="shared" si="75"/>
        <v>0</v>
      </c>
      <c r="E24" s="45">
        <f t="shared" si="8"/>
        <v>0</v>
      </c>
      <c r="F24" s="588">
        <f t="shared" si="28"/>
        <v>1753</v>
      </c>
      <c r="G24" s="52">
        <f t="shared" si="0"/>
        <v>0</v>
      </c>
      <c r="H24" s="588">
        <f t="shared" si="29"/>
        <v>6720</v>
      </c>
      <c r="I24" s="396">
        <f t="shared" si="1"/>
        <v>0</v>
      </c>
      <c r="J24" s="66">
        <f t="shared" si="9"/>
        <v>0</v>
      </c>
      <c r="K24" s="588">
        <f t="shared" si="43"/>
        <v>2249</v>
      </c>
      <c r="L24" s="52">
        <f t="shared" si="10"/>
        <v>0</v>
      </c>
      <c r="M24" s="588">
        <f t="shared" si="44"/>
        <v>165481</v>
      </c>
      <c r="N24" s="396">
        <f t="shared" si="2"/>
        <v>0</v>
      </c>
      <c r="O24" s="64">
        <f t="shared" si="11"/>
        <v>1869</v>
      </c>
      <c r="P24" s="588">
        <f t="shared" si="67"/>
        <v>2004</v>
      </c>
      <c r="Q24" s="588">
        <f t="shared" si="45"/>
        <v>169189</v>
      </c>
      <c r="R24" s="395">
        <f t="shared" si="52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8">
        <f t="shared" si="31"/>
        <v>2461</v>
      </c>
      <c r="Y24" s="52">
        <f t="shared" si="15"/>
        <v>0</v>
      </c>
      <c r="Z24" s="588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8">
        <f t="shared" si="16"/>
        <v>1935</v>
      </c>
      <c r="AD24" s="45">
        <f t="shared" si="6"/>
        <v>0</v>
      </c>
      <c r="AE24" s="588">
        <f t="shared" si="17"/>
        <v>365429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8">
        <f t="shared" ref="AN24:AP24" si="87">AN23</f>
        <v>67</v>
      </c>
      <c r="AO24" s="320">
        <f t="shared" si="23"/>
        <v>2010.0000000000002</v>
      </c>
      <c r="AP24" s="588">
        <f t="shared" si="87"/>
        <v>55</v>
      </c>
      <c r="AQ24" s="320">
        <f t="shared" si="24"/>
        <v>1650.0000000000002</v>
      </c>
      <c r="AR24" s="588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588">
        <f t="shared" si="41"/>
        <v>193</v>
      </c>
      <c r="C25" s="588">
        <f t="shared" si="42"/>
        <v>199</v>
      </c>
      <c r="D25" s="45">
        <f t="shared" si="75"/>
        <v>0</v>
      </c>
      <c r="E25" s="45">
        <f t="shared" si="8"/>
        <v>0</v>
      </c>
      <c r="F25" s="588">
        <f t="shared" si="28"/>
        <v>1753</v>
      </c>
      <c r="G25" s="52">
        <f t="shared" si="0"/>
        <v>0</v>
      </c>
      <c r="H25" s="588">
        <f t="shared" si="29"/>
        <v>6720</v>
      </c>
      <c r="I25" s="396">
        <f t="shared" si="1"/>
        <v>0</v>
      </c>
      <c r="J25" s="66">
        <f t="shared" si="9"/>
        <v>0</v>
      </c>
      <c r="K25" s="588">
        <f t="shared" si="43"/>
        <v>2249</v>
      </c>
      <c r="L25" s="52">
        <f t="shared" si="10"/>
        <v>0</v>
      </c>
      <c r="M25" s="588">
        <f t="shared" si="44"/>
        <v>165481</v>
      </c>
      <c r="N25" s="396">
        <f t="shared" si="2"/>
        <v>0</v>
      </c>
      <c r="O25" s="64">
        <f t="shared" si="11"/>
        <v>1869</v>
      </c>
      <c r="P25" s="588">
        <f t="shared" si="67"/>
        <v>2004</v>
      </c>
      <c r="Q25" s="588">
        <f t="shared" si="45"/>
        <v>169189</v>
      </c>
      <c r="R25" s="395">
        <f t="shared" si="52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8">
        <f t="shared" si="31"/>
        <v>2461</v>
      </c>
      <c r="Y25" s="52">
        <f t="shared" si="15"/>
        <v>0</v>
      </c>
      <c r="Z25" s="588">
        <f t="shared" si="32"/>
        <v>138425</v>
      </c>
      <c r="AA25" s="65">
        <f t="shared" si="5"/>
        <v>0</v>
      </c>
      <c r="AB25" s="284">
        <f t="shared" si="86"/>
        <v>0</v>
      </c>
      <c r="AC25" s="588">
        <f t="shared" si="16"/>
        <v>1935</v>
      </c>
      <c r="AD25" s="45">
        <f t="shared" si="6"/>
        <v>0</v>
      </c>
      <c r="AE25" s="588">
        <f t="shared" si="17"/>
        <v>365429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8">
        <f t="shared" ref="AN25:AP25" si="90">AN24</f>
        <v>67</v>
      </c>
      <c r="AO25" s="320">
        <f t="shared" si="23"/>
        <v>2010.0000000000002</v>
      </c>
      <c r="AP25" s="588">
        <f t="shared" si="90"/>
        <v>55</v>
      </c>
      <c r="AQ25" s="320">
        <f t="shared" ref="AQ25:AQ32" si="91">(AP25/100)*3000</f>
        <v>1650.0000000000002</v>
      </c>
      <c r="AR25" s="588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588">
        <f t="shared" si="41"/>
        <v>193</v>
      </c>
      <c r="C26" s="588">
        <f t="shared" si="42"/>
        <v>199</v>
      </c>
      <c r="D26" s="45">
        <f t="shared" si="75"/>
        <v>0</v>
      </c>
      <c r="E26" s="45">
        <f t="shared" si="8"/>
        <v>0</v>
      </c>
      <c r="F26" s="588">
        <f t="shared" si="28"/>
        <v>1753</v>
      </c>
      <c r="G26" s="52">
        <f t="shared" si="0"/>
        <v>0</v>
      </c>
      <c r="H26" s="588">
        <f t="shared" si="29"/>
        <v>6720</v>
      </c>
      <c r="I26" s="396">
        <f t="shared" si="1"/>
        <v>0</v>
      </c>
      <c r="J26" s="66">
        <f t="shared" si="9"/>
        <v>0</v>
      </c>
      <c r="K26" s="588">
        <f t="shared" si="43"/>
        <v>2249</v>
      </c>
      <c r="L26" s="52">
        <f t="shared" si="10"/>
        <v>0</v>
      </c>
      <c r="M26" s="588">
        <f t="shared" si="44"/>
        <v>165481</v>
      </c>
      <c r="N26" s="396">
        <f t="shared" si="2"/>
        <v>0</v>
      </c>
      <c r="O26" s="64">
        <f t="shared" si="11"/>
        <v>1869</v>
      </c>
      <c r="P26" s="588">
        <f t="shared" si="67"/>
        <v>2004</v>
      </c>
      <c r="Q26" s="588">
        <f t="shared" si="45"/>
        <v>169189</v>
      </c>
      <c r="R26" s="395">
        <f t="shared" si="52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8">
        <f t="shared" si="31"/>
        <v>2461</v>
      </c>
      <c r="Y26" s="52">
        <f t="shared" si="15"/>
        <v>0</v>
      </c>
      <c r="Z26" s="588">
        <f t="shared" si="32"/>
        <v>138425</v>
      </c>
      <c r="AA26" s="65">
        <f t="shared" si="5"/>
        <v>0</v>
      </c>
      <c r="AB26" s="284">
        <f t="shared" si="86"/>
        <v>0</v>
      </c>
      <c r="AC26" s="588">
        <f t="shared" si="16"/>
        <v>1935</v>
      </c>
      <c r="AD26" s="45">
        <f t="shared" si="6"/>
        <v>0</v>
      </c>
      <c r="AE26" s="588">
        <f t="shared" si="17"/>
        <v>365429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8">
        <f t="shared" ref="AN26:AP26" si="93">AN25</f>
        <v>67</v>
      </c>
      <c r="AO26" s="320">
        <f t="shared" si="23"/>
        <v>2010.0000000000002</v>
      </c>
      <c r="AP26" s="588">
        <f t="shared" si="93"/>
        <v>55</v>
      </c>
      <c r="AQ26" s="320">
        <f t="shared" si="91"/>
        <v>1650.0000000000002</v>
      </c>
      <c r="AR26" s="588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588">
        <f t="shared" si="41"/>
        <v>193</v>
      </c>
      <c r="C27" s="588">
        <f t="shared" si="42"/>
        <v>199</v>
      </c>
      <c r="D27" s="45">
        <f t="shared" si="75"/>
        <v>0</v>
      </c>
      <c r="E27" s="45">
        <f t="shared" si="8"/>
        <v>0</v>
      </c>
      <c r="F27" s="588">
        <f t="shared" si="28"/>
        <v>1753</v>
      </c>
      <c r="G27" s="52">
        <f t="shared" si="0"/>
        <v>0</v>
      </c>
      <c r="H27" s="588">
        <f t="shared" si="29"/>
        <v>6720</v>
      </c>
      <c r="I27" s="396">
        <f t="shared" si="1"/>
        <v>0</v>
      </c>
      <c r="J27" s="66">
        <f t="shared" si="9"/>
        <v>0</v>
      </c>
      <c r="K27" s="588">
        <f t="shared" si="43"/>
        <v>2249</v>
      </c>
      <c r="L27" s="52">
        <f t="shared" si="10"/>
        <v>0</v>
      </c>
      <c r="M27" s="588">
        <f t="shared" si="44"/>
        <v>165481</v>
      </c>
      <c r="N27" s="396">
        <f t="shared" si="2"/>
        <v>0</v>
      </c>
      <c r="O27" s="64">
        <f t="shared" si="11"/>
        <v>1869</v>
      </c>
      <c r="P27" s="588">
        <f t="shared" si="67"/>
        <v>2004</v>
      </c>
      <c r="Q27" s="588">
        <f t="shared" si="45"/>
        <v>169189</v>
      </c>
      <c r="R27" s="395">
        <f t="shared" si="52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8">
        <f t="shared" si="31"/>
        <v>2461</v>
      </c>
      <c r="Y27" s="52">
        <f t="shared" si="15"/>
        <v>0</v>
      </c>
      <c r="Z27" s="588">
        <f t="shared" si="32"/>
        <v>138425</v>
      </c>
      <c r="AA27" s="65">
        <f t="shared" si="5"/>
        <v>0</v>
      </c>
      <c r="AB27" s="284">
        <f t="shared" si="86"/>
        <v>0</v>
      </c>
      <c r="AC27" s="588">
        <f t="shared" si="16"/>
        <v>1935</v>
      </c>
      <c r="AD27" s="45">
        <f t="shared" si="6"/>
        <v>0</v>
      </c>
      <c r="AE27" s="588">
        <f t="shared" si="17"/>
        <v>365429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8">
        <f t="shared" ref="AN27:AP27" si="95">AN26</f>
        <v>67</v>
      </c>
      <c r="AO27" s="320">
        <f>(AN27/100)*3000</f>
        <v>2010.0000000000002</v>
      </c>
      <c r="AP27" s="588">
        <f t="shared" si="95"/>
        <v>55</v>
      </c>
      <c r="AQ27" s="320">
        <f t="shared" si="91"/>
        <v>1650.0000000000002</v>
      </c>
      <c r="AR27" s="588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588">
        <f t="shared" si="41"/>
        <v>193</v>
      </c>
      <c r="C28" s="588">
        <f t="shared" si="42"/>
        <v>199</v>
      </c>
      <c r="D28" s="45">
        <f t="shared" si="75"/>
        <v>0</v>
      </c>
      <c r="E28" s="45">
        <f t="shared" si="8"/>
        <v>0</v>
      </c>
      <c r="F28" s="588">
        <f t="shared" si="28"/>
        <v>1753</v>
      </c>
      <c r="G28" s="52">
        <f t="shared" si="0"/>
        <v>0</v>
      </c>
      <c r="H28" s="588">
        <f t="shared" si="29"/>
        <v>6720</v>
      </c>
      <c r="I28" s="396">
        <f t="shared" si="1"/>
        <v>0</v>
      </c>
      <c r="J28" s="66">
        <f t="shared" si="9"/>
        <v>0</v>
      </c>
      <c r="K28" s="588">
        <f t="shared" si="43"/>
        <v>2249</v>
      </c>
      <c r="L28" s="52">
        <f t="shared" si="10"/>
        <v>0</v>
      </c>
      <c r="M28" s="588">
        <f t="shared" si="44"/>
        <v>165481</v>
      </c>
      <c r="N28" s="396">
        <f t="shared" si="2"/>
        <v>0</v>
      </c>
      <c r="O28" s="64">
        <f t="shared" si="11"/>
        <v>1869</v>
      </c>
      <c r="P28" s="588">
        <f t="shared" si="67"/>
        <v>2004</v>
      </c>
      <c r="Q28" s="588">
        <f t="shared" si="45"/>
        <v>169189</v>
      </c>
      <c r="R28" s="395">
        <f t="shared" si="52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8">
        <f t="shared" si="31"/>
        <v>2461</v>
      </c>
      <c r="Y28" s="52">
        <f t="shared" si="15"/>
        <v>0</v>
      </c>
      <c r="Z28" s="588">
        <f t="shared" si="32"/>
        <v>138425</v>
      </c>
      <c r="AA28" s="65">
        <f t="shared" si="5"/>
        <v>0</v>
      </c>
      <c r="AB28" s="284">
        <f t="shared" si="86"/>
        <v>0</v>
      </c>
      <c r="AC28" s="588">
        <f t="shared" si="16"/>
        <v>1935</v>
      </c>
      <c r="AD28" s="45">
        <f t="shared" si="6"/>
        <v>0</v>
      </c>
      <c r="AE28" s="588">
        <f t="shared" si="17"/>
        <v>365429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8">
        <f t="shared" ref="AN28:AP28" si="97">AN27</f>
        <v>67</v>
      </c>
      <c r="AO28" s="320">
        <f t="shared" ref="AO28:AO32" si="98">(AN28/100)*3000</f>
        <v>2010.0000000000002</v>
      </c>
      <c r="AP28" s="588">
        <f t="shared" si="97"/>
        <v>55</v>
      </c>
      <c r="AQ28" s="320">
        <f t="shared" si="91"/>
        <v>1650.0000000000002</v>
      </c>
      <c r="AR28" s="588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588">
        <f t="shared" si="41"/>
        <v>193</v>
      </c>
      <c r="C29" s="588">
        <f t="shared" si="42"/>
        <v>199</v>
      </c>
      <c r="D29" s="45">
        <f t="shared" si="75"/>
        <v>0</v>
      </c>
      <c r="E29" s="45">
        <f t="shared" si="8"/>
        <v>0</v>
      </c>
      <c r="F29" s="588">
        <f t="shared" si="28"/>
        <v>1753</v>
      </c>
      <c r="G29" s="52">
        <f t="shared" si="0"/>
        <v>0</v>
      </c>
      <c r="H29" s="588">
        <f t="shared" si="29"/>
        <v>6720</v>
      </c>
      <c r="I29" s="396">
        <f t="shared" si="1"/>
        <v>0</v>
      </c>
      <c r="J29" s="66">
        <f t="shared" si="9"/>
        <v>0</v>
      </c>
      <c r="K29" s="588">
        <f t="shared" si="43"/>
        <v>2249</v>
      </c>
      <c r="L29" s="52">
        <f t="shared" si="10"/>
        <v>0</v>
      </c>
      <c r="M29" s="588">
        <f t="shared" si="44"/>
        <v>165481</v>
      </c>
      <c r="N29" s="396">
        <f t="shared" si="2"/>
        <v>0</v>
      </c>
      <c r="O29" s="64">
        <f t="shared" si="11"/>
        <v>1869</v>
      </c>
      <c r="P29" s="588">
        <f t="shared" si="67"/>
        <v>2004</v>
      </c>
      <c r="Q29" s="588">
        <f t="shared" si="45"/>
        <v>169189</v>
      </c>
      <c r="R29" s="395">
        <f t="shared" si="52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8">
        <f t="shared" si="31"/>
        <v>2461</v>
      </c>
      <c r="Y29" s="52">
        <f t="shared" si="15"/>
        <v>0</v>
      </c>
      <c r="Z29" s="588">
        <f t="shared" si="32"/>
        <v>138425</v>
      </c>
      <c r="AA29" s="65">
        <f t="shared" si="5"/>
        <v>0</v>
      </c>
      <c r="AB29" s="284">
        <f t="shared" si="86"/>
        <v>0</v>
      </c>
      <c r="AC29" s="588">
        <f t="shared" si="16"/>
        <v>1935</v>
      </c>
      <c r="AD29" s="45">
        <f t="shared" si="6"/>
        <v>0</v>
      </c>
      <c r="AE29" s="588">
        <f t="shared" si="17"/>
        <v>365429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8">
        <f t="shared" ref="AN29:AP29" si="100">AN28</f>
        <v>67</v>
      </c>
      <c r="AO29" s="320">
        <f t="shared" si="98"/>
        <v>2010.0000000000002</v>
      </c>
      <c r="AP29" s="588">
        <f t="shared" si="100"/>
        <v>55</v>
      </c>
      <c r="AQ29" s="320">
        <f t="shared" si="91"/>
        <v>1650.0000000000002</v>
      </c>
      <c r="AR29" s="588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588">
        <f t="shared" si="41"/>
        <v>193</v>
      </c>
      <c r="C30" s="588">
        <f t="shared" si="42"/>
        <v>199</v>
      </c>
      <c r="D30" s="45">
        <f t="shared" si="75"/>
        <v>0</v>
      </c>
      <c r="E30" s="45">
        <f t="shared" si="8"/>
        <v>0</v>
      </c>
      <c r="F30" s="588">
        <f t="shared" si="28"/>
        <v>1753</v>
      </c>
      <c r="G30" s="52">
        <f t="shared" si="0"/>
        <v>0</v>
      </c>
      <c r="H30" s="588">
        <f t="shared" si="29"/>
        <v>6720</v>
      </c>
      <c r="I30" s="396">
        <f t="shared" si="1"/>
        <v>0</v>
      </c>
      <c r="J30" s="66">
        <f t="shared" si="9"/>
        <v>0</v>
      </c>
      <c r="K30" s="588">
        <f t="shared" si="43"/>
        <v>2249</v>
      </c>
      <c r="L30" s="52">
        <f t="shared" si="10"/>
        <v>0</v>
      </c>
      <c r="M30" s="588">
        <f t="shared" si="44"/>
        <v>165481</v>
      </c>
      <c r="N30" s="396">
        <f t="shared" si="2"/>
        <v>0</v>
      </c>
      <c r="O30" s="64">
        <f t="shared" si="11"/>
        <v>1869</v>
      </c>
      <c r="P30" s="588">
        <f t="shared" si="67"/>
        <v>2004</v>
      </c>
      <c r="Q30" s="588">
        <f t="shared" si="45"/>
        <v>169189</v>
      </c>
      <c r="R30" s="395">
        <f t="shared" si="52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8">
        <f t="shared" si="31"/>
        <v>2461</v>
      </c>
      <c r="Y30" s="52">
        <f t="shared" si="15"/>
        <v>0</v>
      </c>
      <c r="Z30" s="588">
        <f t="shared" si="32"/>
        <v>138425</v>
      </c>
      <c r="AA30" s="65">
        <f t="shared" si="5"/>
        <v>0</v>
      </c>
      <c r="AB30" s="284">
        <f t="shared" si="86"/>
        <v>0</v>
      </c>
      <c r="AC30" s="588">
        <f t="shared" si="16"/>
        <v>1935</v>
      </c>
      <c r="AD30" s="45">
        <f t="shared" si="6"/>
        <v>0</v>
      </c>
      <c r="AE30" s="588">
        <f t="shared" si="17"/>
        <v>365429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8">
        <f t="shared" ref="AN30:AP30" si="102">AN29</f>
        <v>67</v>
      </c>
      <c r="AO30" s="320">
        <f t="shared" si="98"/>
        <v>2010.0000000000002</v>
      </c>
      <c r="AP30" s="588">
        <f t="shared" si="102"/>
        <v>55</v>
      </c>
      <c r="AQ30" s="320">
        <f t="shared" si="91"/>
        <v>1650.0000000000002</v>
      </c>
      <c r="AR30" s="588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588">
        <f t="shared" si="41"/>
        <v>193</v>
      </c>
      <c r="C31" s="588">
        <f t="shared" si="42"/>
        <v>199</v>
      </c>
      <c r="D31" s="45">
        <f t="shared" si="75"/>
        <v>0</v>
      </c>
      <c r="E31" s="45">
        <f t="shared" si="8"/>
        <v>0</v>
      </c>
      <c r="F31" s="588">
        <f t="shared" si="28"/>
        <v>1753</v>
      </c>
      <c r="G31" s="52">
        <f t="shared" si="0"/>
        <v>0</v>
      </c>
      <c r="H31" s="588">
        <f t="shared" si="29"/>
        <v>6720</v>
      </c>
      <c r="I31" s="396">
        <f t="shared" si="1"/>
        <v>0</v>
      </c>
      <c r="J31" s="66">
        <f t="shared" si="9"/>
        <v>0</v>
      </c>
      <c r="K31" s="588">
        <f t="shared" si="43"/>
        <v>2249</v>
      </c>
      <c r="L31" s="52">
        <f t="shared" si="10"/>
        <v>0</v>
      </c>
      <c r="M31" s="588">
        <f t="shared" si="44"/>
        <v>165481</v>
      </c>
      <c r="N31" s="396">
        <f t="shared" si="2"/>
        <v>0</v>
      </c>
      <c r="O31" s="64">
        <f t="shared" si="11"/>
        <v>1869</v>
      </c>
      <c r="P31" s="588">
        <f t="shared" si="67"/>
        <v>2004</v>
      </c>
      <c r="Q31" s="588">
        <f t="shared" si="45"/>
        <v>169189</v>
      </c>
      <c r="R31" s="395">
        <f t="shared" si="52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8">
        <f t="shared" si="31"/>
        <v>2461</v>
      </c>
      <c r="Y31" s="52">
        <f t="shared" si="15"/>
        <v>0</v>
      </c>
      <c r="Z31" s="588">
        <f t="shared" si="32"/>
        <v>138425</v>
      </c>
      <c r="AA31" s="65">
        <f t="shared" si="5"/>
        <v>0</v>
      </c>
      <c r="AB31" s="284">
        <f t="shared" si="86"/>
        <v>0</v>
      </c>
      <c r="AC31" s="588">
        <f t="shared" si="16"/>
        <v>1935</v>
      </c>
      <c r="AD31" s="269">
        <f t="shared" si="6"/>
        <v>0</v>
      </c>
      <c r="AE31" s="588">
        <f t="shared" si="17"/>
        <v>365429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8">
        <f t="shared" ref="AN31:AP31" si="104">AN30</f>
        <v>67</v>
      </c>
      <c r="AO31" s="320">
        <f t="shared" si="98"/>
        <v>2010.0000000000002</v>
      </c>
      <c r="AP31" s="588">
        <f t="shared" si="104"/>
        <v>55</v>
      </c>
      <c r="AQ31" s="320">
        <f t="shared" si="91"/>
        <v>1650.0000000000002</v>
      </c>
      <c r="AR31" s="588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588">
        <f t="shared" si="41"/>
        <v>193</v>
      </c>
      <c r="C32" s="588">
        <f t="shared" si="42"/>
        <v>199</v>
      </c>
      <c r="D32" s="45">
        <f t="shared" si="27"/>
        <v>0</v>
      </c>
      <c r="E32" s="45">
        <f t="shared" ref="E32" si="106">D32*8.38</f>
        <v>0</v>
      </c>
      <c r="F32" s="588">
        <f t="shared" si="28"/>
        <v>1753</v>
      </c>
      <c r="G32" s="52">
        <f t="shared" si="0"/>
        <v>0</v>
      </c>
      <c r="H32" s="588">
        <f t="shared" si="29"/>
        <v>6720</v>
      </c>
      <c r="I32" s="396">
        <f t="shared" si="1"/>
        <v>0</v>
      </c>
      <c r="J32" s="66">
        <f t="shared" si="9"/>
        <v>0</v>
      </c>
      <c r="K32" s="588">
        <f t="shared" si="43"/>
        <v>2249</v>
      </c>
      <c r="L32" s="52">
        <f t="shared" si="10"/>
        <v>0</v>
      </c>
      <c r="M32" s="588">
        <f t="shared" si="44"/>
        <v>165481</v>
      </c>
      <c r="N32" s="396">
        <f t="shared" si="2"/>
        <v>0</v>
      </c>
      <c r="O32" s="64">
        <f t="shared" si="11"/>
        <v>1869</v>
      </c>
      <c r="P32" s="588">
        <f t="shared" si="67"/>
        <v>2004</v>
      </c>
      <c r="Q32" s="588">
        <f t="shared" si="45"/>
        <v>169189</v>
      </c>
      <c r="R32" s="395">
        <f t="shared" si="52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8">
        <f t="shared" si="31"/>
        <v>2461</v>
      </c>
      <c r="Y32" s="52">
        <f t="shared" si="15"/>
        <v>0</v>
      </c>
      <c r="Z32" s="588">
        <f t="shared" si="32"/>
        <v>138425</v>
      </c>
      <c r="AA32" s="65">
        <f t="shared" si="5"/>
        <v>0</v>
      </c>
      <c r="AB32" s="284">
        <f t="shared" si="86"/>
        <v>0</v>
      </c>
      <c r="AC32" s="588">
        <f t="shared" si="16"/>
        <v>1935</v>
      </c>
      <c r="AD32" s="269">
        <f t="shared" si="6"/>
        <v>0</v>
      </c>
      <c r="AE32" s="588">
        <f t="shared" si="17"/>
        <v>365429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8">
        <f t="shared" ref="AN32:AP32" si="107">AN31</f>
        <v>67</v>
      </c>
      <c r="AO32" s="320">
        <f t="shared" si="98"/>
        <v>2010.0000000000002</v>
      </c>
      <c r="AP32" s="588">
        <f t="shared" si="107"/>
        <v>55</v>
      </c>
      <c r="AQ32" s="320">
        <f t="shared" si="91"/>
        <v>1650.0000000000002</v>
      </c>
      <c r="AR32" s="588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588">
        <f t="shared" si="41"/>
        <v>193</v>
      </c>
      <c r="C33" s="588">
        <f t="shared" si="42"/>
        <v>199</v>
      </c>
      <c r="D33" s="45">
        <f t="shared" ref="D33:D35" si="109">C32-C33</f>
        <v>0</v>
      </c>
      <c r="E33" s="45">
        <f t="shared" ref="E33:E35" si="110">D33*8.38</f>
        <v>0</v>
      </c>
      <c r="F33" s="588">
        <f t="shared" si="28"/>
        <v>1753</v>
      </c>
      <c r="G33" s="52">
        <f t="shared" ref="G33:G35" si="111">F33-F32</f>
        <v>0</v>
      </c>
      <c r="H33" s="588">
        <f t="shared" si="29"/>
        <v>6720</v>
      </c>
      <c r="I33" s="396">
        <f t="shared" ref="I33:I35" si="112">SUM(H33-H32)</f>
        <v>0</v>
      </c>
      <c r="J33" s="66">
        <f t="shared" ref="J33:J35" si="113">IF(G33&gt;0,I33/G33,0)</f>
        <v>0</v>
      </c>
      <c r="K33" s="588">
        <f t="shared" si="43"/>
        <v>2249</v>
      </c>
      <c r="L33" s="52">
        <f t="shared" ref="L33:L35" si="114">K33-K32</f>
        <v>0</v>
      </c>
      <c r="M33" s="588">
        <f t="shared" si="44"/>
        <v>165481</v>
      </c>
      <c r="N33" s="396">
        <f t="shared" ref="N33:N35" si="115">M33-M32</f>
        <v>0</v>
      </c>
      <c r="O33" s="64">
        <f t="shared" ref="O33" si="116">O32</f>
        <v>1869</v>
      </c>
      <c r="P33" s="588">
        <f t="shared" si="67"/>
        <v>2004</v>
      </c>
      <c r="Q33" s="588">
        <f t="shared" si="45"/>
        <v>169189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8">
        <f t="shared" si="31"/>
        <v>2461</v>
      </c>
      <c r="Y33" s="52">
        <f t="shared" ref="Y33:Y35" si="122">X33-X32</f>
        <v>0</v>
      </c>
      <c r="Z33" s="588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8">
        <f t="shared" si="16"/>
        <v>1935</v>
      </c>
      <c r="AD33" s="269">
        <f t="shared" ref="AD33:AD35" si="125">AC33-AC32</f>
        <v>0</v>
      </c>
      <c r="AE33" s="588">
        <f t="shared" si="17"/>
        <v>365429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8">
        <f t="shared" ref="AN33" si="133">AN32</f>
        <v>67</v>
      </c>
      <c r="AO33" s="320">
        <f t="shared" ref="AO33:AO35" si="134">(AN33/100)*3000</f>
        <v>2010.0000000000002</v>
      </c>
      <c r="AP33" s="588">
        <f t="shared" ref="AP33" si="135">AP32</f>
        <v>55</v>
      </c>
      <c r="AQ33" s="320">
        <f t="shared" ref="AQ33:AQ35" si="136">(AP33/100)*3000</f>
        <v>1650.0000000000002</v>
      </c>
      <c r="AR33" s="588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588">
        <f t="shared" si="41"/>
        <v>193</v>
      </c>
      <c r="C34" s="588">
        <f t="shared" si="42"/>
        <v>199</v>
      </c>
      <c r="D34" s="45">
        <f t="shared" si="109"/>
        <v>0</v>
      </c>
      <c r="E34" s="45">
        <f t="shared" si="110"/>
        <v>0</v>
      </c>
      <c r="F34" s="588">
        <f t="shared" si="28"/>
        <v>1753</v>
      </c>
      <c r="G34" s="52">
        <f t="shared" si="111"/>
        <v>0</v>
      </c>
      <c r="H34" s="588">
        <f t="shared" si="29"/>
        <v>6720</v>
      </c>
      <c r="I34" s="396">
        <f t="shared" si="112"/>
        <v>0</v>
      </c>
      <c r="J34" s="66">
        <f t="shared" si="113"/>
        <v>0</v>
      </c>
      <c r="K34" s="588">
        <f t="shared" si="43"/>
        <v>2249</v>
      </c>
      <c r="L34" s="52">
        <f t="shared" si="114"/>
        <v>0</v>
      </c>
      <c r="M34" s="588">
        <f t="shared" si="44"/>
        <v>165481</v>
      </c>
      <c r="N34" s="396">
        <f t="shared" si="115"/>
        <v>0</v>
      </c>
      <c r="O34" s="64">
        <f t="shared" ref="O34" si="141">O33</f>
        <v>1869</v>
      </c>
      <c r="P34" s="588">
        <f t="shared" si="67"/>
        <v>2004</v>
      </c>
      <c r="Q34" s="588">
        <f t="shared" si="45"/>
        <v>169189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8">
        <f t="shared" si="31"/>
        <v>2461</v>
      </c>
      <c r="Y34" s="52">
        <f t="shared" si="122"/>
        <v>0</v>
      </c>
      <c r="Z34" s="588">
        <f t="shared" si="32"/>
        <v>138425</v>
      </c>
      <c r="AA34" s="65">
        <f t="shared" si="123"/>
        <v>0</v>
      </c>
      <c r="AB34" s="284">
        <f t="shared" si="124"/>
        <v>0</v>
      </c>
      <c r="AC34" s="588">
        <f t="shared" si="16"/>
        <v>1935</v>
      </c>
      <c r="AD34" s="269">
        <f t="shared" si="125"/>
        <v>0</v>
      </c>
      <c r="AE34" s="588">
        <f t="shared" si="17"/>
        <v>365429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8">
        <f t="shared" ref="AN34" si="142">AN33</f>
        <v>67</v>
      </c>
      <c r="AO34" s="320">
        <f t="shared" si="134"/>
        <v>2010.0000000000002</v>
      </c>
      <c r="AP34" s="588">
        <f t="shared" ref="AP34" si="143">AP33</f>
        <v>55</v>
      </c>
      <c r="AQ34" s="320">
        <f t="shared" si="136"/>
        <v>1650.0000000000002</v>
      </c>
      <c r="AR34" s="588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588">
        <f t="shared" si="41"/>
        <v>193</v>
      </c>
      <c r="C35" s="588">
        <f t="shared" si="42"/>
        <v>199</v>
      </c>
      <c r="D35" s="45">
        <f t="shared" si="109"/>
        <v>0</v>
      </c>
      <c r="E35" s="45">
        <f t="shared" si="110"/>
        <v>0</v>
      </c>
      <c r="F35" s="588">
        <f t="shared" si="28"/>
        <v>1753</v>
      </c>
      <c r="G35" s="52">
        <f t="shared" si="111"/>
        <v>0</v>
      </c>
      <c r="H35" s="588">
        <f t="shared" si="29"/>
        <v>6720</v>
      </c>
      <c r="I35" s="396">
        <f t="shared" si="112"/>
        <v>0</v>
      </c>
      <c r="J35" s="66">
        <f t="shared" si="113"/>
        <v>0</v>
      </c>
      <c r="K35" s="588">
        <f t="shared" si="43"/>
        <v>2249</v>
      </c>
      <c r="L35" s="52">
        <f t="shared" si="114"/>
        <v>0</v>
      </c>
      <c r="M35" s="588">
        <f t="shared" si="44"/>
        <v>165481</v>
      </c>
      <c r="N35" s="396">
        <f t="shared" si="115"/>
        <v>0</v>
      </c>
      <c r="O35" s="64">
        <f t="shared" ref="O35" si="144">O34</f>
        <v>1869</v>
      </c>
      <c r="P35" s="588">
        <f t="shared" si="67"/>
        <v>2004</v>
      </c>
      <c r="Q35" s="588">
        <f t="shared" si="45"/>
        <v>169189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8">
        <f t="shared" si="31"/>
        <v>2461</v>
      </c>
      <c r="Y35" s="52">
        <f t="shared" si="122"/>
        <v>0</v>
      </c>
      <c r="Z35" s="588">
        <f t="shared" si="32"/>
        <v>138425</v>
      </c>
      <c r="AA35" s="65">
        <f t="shared" si="123"/>
        <v>0</v>
      </c>
      <c r="AB35" s="284">
        <f t="shared" si="124"/>
        <v>0</v>
      </c>
      <c r="AC35" s="588">
        <f t="shared" si="16"/>
        <v>1935</v>
      </c>
      <c r="AD35" s="269">
        <f t="shared" si="125"/>
        <v>0</v>
      </c>
      <c r="AE35" s="588">
        <f t="shared" si="17"/>
        <v>365429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8">
        <f t="shared" ref="AN35" si="145">AN34</f>
        <v>67</v>
      </c>
      <c r="AO35" s="320">
        <f t="shared" si="134"/>
        <v>2010.0000000000002</v>
      </c>
      <c r="AP35" s="588">
        <f t="shared" ref="AP35" si="146">AP34</f>
        <v>55</v>
      </c>
      <c r="AQ35" s="320">
        <f t="shared" si="136"/>
        <v>1650.0000000000002</v>
      </c>
      <c r="AR35" s="588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588"/>
      <c r="C36" s="588"/>
      <c r="D36" s="45"/>
      <c r="E36" s="45"/>
      <c r="F36" s="588"/>
      <c r="G36" s="52"/>
      <c r="H36" s="588"/>
      <c r="I36" s="396"/>
      <c r="J36" s="66"/>
      <c r="K36" s="588"/>
      <c r="L36" s="52"/>
      <c r="M36" s="588"/>
      <c r="N36" s="396"/>
      <c r="O36" s="64"/>
      <c r="P36" s="588"/>
      <c r="Q36" s="588"/>
      <c r="R36" s="395"/>
      <c r="S36" s="52"/>
      <c r="T36" s="67"/>
      <c r="U36" s="402"/>
      <c r="V36" s="62"/>
      <c r="W36" s="400"/>
      <c r="X36" s="588"/>
      <c r="Y36" s="52"/>
      <c r="Z36" s="588"/>
      <c r="AA36" s="65"/>
      <c r="AB36" s="284"/>
      <c r="AC36" s="588"/>
      <c r="AD36" s="269"/>
      <c r="AE36" s="588"/>
      <c r="AF36" s="306"/>
      <c r="AG36" s="209"/>
      <c r="AH36" s="62"/>
      <c r="AI36" s="318"/>
      <c r="AJ36" s="318"/>
      <c r="AK36" s="318"/>
      <c r="AL36" s="318"/>
      <c r="AM36" s="318"/>
      <c r="AN36" s="588"/>
      <c r="AO36" s="320"/>
      <c r="AP36" s="588"/>
      <c r="AQ36" s="320"/>
      <c r="AR36" s="588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26.5</v>
      </c>
      <c r="V37" s="62">
        <f>SUM(V5:V32)</f>
        <v>701</v>
      </c>
      <c r="AE37" s="71" t="s">
        <v>383</v>
      </c>
      <c r="AG37" s="344"/>
      <c r="AH37" s="62">
        <f>SUM(AH5:AH32)</f>
        <v>286.20000000001164</v>
      </c>
      <c r="AL37" s="62">
        <f>SUM(AL5:AL32)</f>
        <v>10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987.20000000001164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E1" zoomScaleNormal="100" workbookViewId="0">
      <pane ySplit="3" topLeftCell="A4" activePane="bottomLeft" state="frozen"/>
      <selection pane="bottomLeft" activeCell="AW12" sqref="AW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6" t="s">
        <v>126</v>
      </c>
      <c r="AO3" s="637"/>
      <c r="AP3" s="638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f>[1]WATER!Z33</f>
        <v>98681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f>Z5</f>
        <v>98681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f t="shared" ref="Z7:Z36" si="21">Z6</f>
        <v>98681</v>
      </c>
      <c r="AA7" s="83">
        <f t="shared" ref="AA7:AA33" si="22">Z7-Z6</f>
        <v>0</v>
      </c>
      <c r="AB7" s="5">
        <f t="shared" ref="AB7:AB36" si="23">AB6</f>
        <v>251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229.03</v>
      </c>
      <c r="AF7" s="83">
        <f t="shared" ref="AF7:AF32" si="26">AE7-AE6</f>
        <v>0</v>
      </c>
      <c r="AG7" s="5">
        <f t="shared" ref="AG7:AG36" si="27">AG6</f>
        <v>2198.54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3">AU7*AV7</f>
        <v>151.80000000000001</v>
      </c>
      <c r="BA7" s="426">
        <f t="shared" ref="BA7:BA33" si="34">AW7*AX7</f>
        <v>475.59999999999997</v>
      </c>
      <c r="BB7" s="21">
        <f t="shared" ref="BB7:BD33" si="35">AY7-AY6</f>
        <v>-6.3000000000000114</v>
      </c>
      <c r="BC7" s="21">
        <f t="shared" ref="BC7:BD21" si="36">AZ7-AZ6</f>
        <v>-8.8000000000000114</v>
      </c>
      <c r="BD7" s="21">
        <f t="shared" si="36"/>
        <v>-8.7000000000000455</v>
      </c>
      <c r="BE7" s="24">
        <f t="shared" ref="BE7:BE33" si="37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f t="shared" si="21"/>
        <v>98681</v>
      </c>
      <c r="AA8" s="83">
        <f t="shared" si="22"/>
        <v>0</v>
      </c>
      <c r="AB8" s="5">
        <f t="shared" si="23"/>
        <v>251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229.03</v>
      </c>
      <c r="AF8" s="83">
        <f t="shared" si="26"/>
        <v>0</v>
      </c>
      <c r="AG8" s="5">
        <f t="shared" si="27"/>
        <v>2198.54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39">SUM(Y8-L8)</f>
        <v>0</v>
      </c>
      <c r="AL8" s="327">
        <f t="shared" si="31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3"/>
        <v>136.4</v>
      </c>
      <c r="BA8" s="426">
        <f t="shared" si="34"/>
        <v>458.2</v>
      </c>
      <c r="BB8" s="21">
        <f t="shared" si="35"/>
        <v>0</v>
      </c>
      <c r="BC8" s="21">
        <f t="shared" si="36"/>
        <v>-15.400000000000006</v>
      </c>
      <c r="BD8" s="21">
        <f t="shared" si="36"/>
        <v>-17.399999999999977</v>
      </c>
      <c r="BE8" s="24">
        <f t="shared" si="37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6721</v>
      </c>
      <c r="L9" s="83">
        <f t="shared" ref="L9:L33" si="40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1">SUM(X9-X8)</f>
        <v>0</v>
      </c>
      <c r="Z9" s="5">
        <f t="shared" si="21"/>
        <v>98681</v>
      </c>
      <c r="AA9" s="83">
        <f t="shared" si="22"/>
        <v>0</v>
      </c>
      <c r="AB9" s="5">
        <f t="shared" si="23"/>
        <v>251</v>
      </c>
      <c r="AC9" s="5">
        <f t="shared" si="24"/>
        <v>731</v>
      </c>
      <c r="AD9" s="83">
        <f t="shared" si="38"/>
        <v>0</v>
      </c>
      <c r="AE9" s="5">
        <f t="shared" si="25"/>
        <v>229.03</v>
      </c>
      <c r="AF9" s="83">
        <f t="shared" si="26"/>
        <v>0</v>
      </c>
      <c r="AG9" s="5">
        <f t="shared" si="27"/>
        <v>2198.54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0</v>
      </c>
      <c r="AL9" s="327">
        <f t="shared" si="31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44259</v>
      </c>
      <c r="AS9" s="424">
        <f t="shared" si="6"/>
        <v>0.9</v>
      </c>
      <c r="AT9" s="201">
        <f t="shared" si="6"/>
        <v>77</v>
      </c>
      <c r="AU9" s="425">
        <f t="shared" ref="AU9:AU33" si="42">AU8</f>
        <v>1.1000000000000001</v>
      </c>
      <c r="AV9" s="201">
        <f t="shared" ref="AV8:AV36" si="43">AV8</f>
        <v>124</v>
      </c>
      <c r="AW9" s="5">
        <v>2.9</v>
      </c>
      <c r="AX9" s="201">
        <f t="shared" ref="AX8:AX36" si="44">AX8</f>
        <v>158</v>
      </c>
      <c r="AY9" s="426">
        <f t="shared" si="7"/>
        <v>69.3</v>
      </c>
      <c r="AZ9" s="426">
        <f t="shared" si="33"/>
        <v>136.4</v>
      </c>
      <c r="BA9" s="426">
        <f t="shared" si="34"/>
        <v>458.2</v>
      </c>
      <c r="BB9" s="21">
        <f t="shared" si="35"/>
        <v>0</v>
      </c>
      <c r="BC9" s="21">
        <f t="shared" si="36"/>
        <v>0</v>
      </c>
      <c r="BD9" s="21">
        <f t="shared" si="36"/>
        <v>0</v>
      </c>
      <c r="BE9" s="24">
        <f t="shared" si="37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6721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1"/>
        <v>0</v>
      </c>
      <c r="Z10" s="5">
        <f t="shared" si="21"/>
        <v>98681</v>
      </c>
      <c r="AA10" s="83">
        <f t="shared" si="22"/>
        <v>0</v>
      </c>
      <c r="AB10" s="5">
        <f t="shared" si="23"/>
        <v>251</v>
      </c>
      <c r="AC10" s="5">
        <f t="shared" si="24"/>
        <v>731</v>
      </c>
      <c r="AD10" s="83">
        <f t="shared" si="38"/>
        <v>0</v>
      </c>
      <c r="AE10" s="5">
        <f t="shared" si="25"/>
        <v>229.03</v>
      </c>
      <c r="AF10" s="83">
        <f t="shared" si="26"/>
        <v>0</v>
      </c>
      <c r="AG10" s="5">
        <f t="shared" si="27"/>
        <v>2198.54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44260</v>
      </c>
      <c r="AS10" s="424">
        <f t="shared" si="6"/>
        <v>0.9</v>
      </c>
      <c r="AT10" s="201">
        <f t="shared" si="6"/>
        <v>77</v>
      </c>
      <c r="AU10" s="425">
        <f t="shared" si="42"/>
        <v>1.1000000000000001</v>
      </c>
      <c r="AV10" s="201">
        <f t="shared" si="43"/>
        <v>124</v>
      </c>
      <c r="AW10" s="5">
        <v>2.9</v>
      </c>
      <c r="AX10" s="201">
        <f t="shared" si="44"/>
        <v>158</v>
      </c>
      <c r="AY10" s="426">
        <f t="shared" si="7"/>
        <v>69.3</v>
      </c>
      <c r="AZ10" s="426">
        <f t="shared" si="33"/>
        <v>136.4</v>
      </c>
      <c r="BA10" s="426">
        <f t="shared" si="34"/>
        <v>458.2</v>
      </c>
      <c r="BB10" s="21">
        <f t="shared" si="35"/>
        <v>0</v>
      </c>
      <c r="BC10" s="21">
        <f t="shared" si="36"/>
        <v>0</v>
      </c>
      <c r="BD10" s="21">
        <f t="shared" si="36"/>
        <v>0</v>
      </c>
      <c r="BE10" s="24">
        <f t="shared" si="37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6721</v>
      </c>
      <c r="L11" s="83">
        <f t="shared" si="40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1"/>
        <v>0</v>
      </c>
      <c r="Z11" s="5">
        <f t="shared" si="21"/>
        <v>98681</v>
      </c>
      <c r="AA11" s="83">
        <f t="shared" si="22"/>
        <v>0</v>
      </c>
      <c r="AB11" s="5">
        <f t="shared" si="23"/>
        <v>251</v>
      </c>
      <c r="AC11" s="5">
        <f t="shared" si="24"/>
        <v>731</v>
      </c>
      <c r="AD11" s="83">
        <f t="shared" si="38"/>
        <v>0</v>
      </c>
      <c r="AE11" s="5">
        <f t="shared" si="25"/>
        <v>229.03</v>
      </c>
      <c r="AF11" s="83">
        <f t="shared" si="26"/>
        <v>0</v>
      </c>
      <c r="AG11" s="5">
        <f t="shared" si="27"/>
        <v>2198.54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0</v>
      </c>
      <c r="AL11" s="327">
        <f t="shared" si="31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44261</v>
      </c>
      <c r="AS11" s="424">
        <f t="shared" si="6"/>
        <v>0.9</v>
      </c>
      <c r="AT11" s="201">
        <f t="shared" si="6"/>
        <v>77</v>
      </c>
      <c r="AU11" s="425">
        <f t="shared" si="42"/>
        <v>1.1000000000000001</v>
      </c>
      <c r="AV11" s="201">
        <f t="shared" si="43"/>
        <v>124</v>
      </c>
      <c r="AW11" s="5">
        <v>2.9</v>
      </c>
      <c r="AX11" s="201">
        <f t="shared" si="44"/>
        <v>158</v>
      </c>
      <c r="AY11" s="426">
        <f t="shared" si="7"/>
        <v>69.3</v>
      </c>
      <c r="AZ11" s="426">
        <f t="shared" si="33"/>
        <v>136.4</v>
      </c>
      <c r="BA11" s="426">
        <f t="shared" si="34"/>
        <v>458.2</v>
      </c>
      <c r="BB11" s="21">
        <f t="shared" si="35"/>
        <v>0</v>
      </c>
      <c r="BC11" s="21">
        <f t="shared" si="36"/>
        <v>0</v>
      </c>
      <c r="BD11" s="21">
        <f t="shared" si="36"/>
        <v>0</v>
      </c>
      <c r="BE11" s="24">
        <f t="shared" si="37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6721</v>
      </c>
      <c r="L12" s="83">
        <f t="shared" si="40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1"/>
        <v>0</v>
      </c>
      <c r="Z12" s="5">
        <f t="shared" si="21"/>
        <v>98681</v>
      </c>
      <c r="AA12" s="83">
        <f t="shared" si="22"/>
        <v>0</v>
      </c>
      <c r="AB12" s="5">
        <f t="shared" si="23"/>
        <v>251</v>
      </c>
      <c r="AC12" s="5">
        <f t="shared" si="24"/>
        <v>731</v>
      </c>
      <c r="AD12" s="83">
        <f t="shared" si="38"/>
        <v>0</v>
      </c>
      <c r="AE12" s="5">
        <f t="shared" si="25"/>
        <v>229.03</v>
      </c>
      <c r="AF12" s="83">
        <f t="shared" si="26"/>
        <v>0</v>
      </c>
      <c r="AG12" s="5">
        <f t="shared" si="27"/>
        <v>2198.54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0</v>
      </c>
      <c r="AL12" s="327">
        <f t="shared" si="31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44262</v>
      </c>
      <c r="AS12" s="424">
        <f t="shared" si="6"/>
        <v>0.9</v>
      </c>
      <c r="AT12" s="201">
        <f t="shared" si="6"/>
        <v>77</v>
      </c>
      <c r="AU12" s="425">
        <f t="shared" si="42"/>
        <v>1.1000000000000001</v>
      </c>
      <c r="AV12" s="201">
        <f t="shared" si="43"/>
        <v>124</v>
      </c>
      <c r="AW12" s="5">
        <v>2.9</v>
      </c>
      <c r="AX12" s="201">
        <f t="shared" si="44"/>
        <v>158</v>
      </c>
      <c r="AY12" s="426">
        <f t="shared" si="7"/>
        <v>69.3</v>
      </c>
      <c r="AZ12" s="426">
        <f t="shared" si="33"/>
        <v>136.4</v>
      </c>
      <c r="BA12" s="426">
        <f t="shared" si="34"/>
        <v>458.2</v>
      </c>
      <c r="BB12" s="21">
        <f t="shared" si="35"/>
        <v>0</v>
      </c>
      <c r="BC12" s="21">
        <f t="shared" si="36"/>
        <v>0</v>
      </c>
      <c r="BD12" s="21">
        <f t="shared" si="36"/>
        <v>0</v>
      </c>
      <c r="BE12" s="24">
        <f t="shared" si="37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6721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1"/>
        <v>0</v>
      </c>
      <c r="Z13" s="5">
        <f t="shared" si="21"/>
        <v>98681</v>
      </c>
      <c r="AA13" s="83">
        <f t="shared" si="22"/>
        <v>0</v>
      </c>
      <c r="AB13" s="5">
        <f t="shared" si="23"/>
        <v>251</v>
      </c>
      <c r="AC13" s="5">
        <f t="shared" si="24"/>
        <v>731</v>
      </c>
      <c r="AD13" s="83">
        <f t="shared" si="38"/>
        <v>0</v>
      </c>
      <c r="AE13" s="5">
        <f t="shared" si="25"/>
        <v>229.03</v>
      </c>
      <c r="AF13" s="83">
        <f t="shared" si="26"/>
        <v>0</v>
      </c>
      <c r="AG13" s="5">
        <f t="shared" si="27"/>
        <v>2198.54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44263</v>
      </c>
      <c r="AS13" s="424">
        <f t="shared" si="6"/>
        <v>0.9</v>
      </c>
      <c r="AT13" s="201">
        <f t="shared" si="6"/>
        <v>77</v>
      </c>
      <c r="AU13" s="425">
        <f t="shared" si="42"/>
        <v>1.1000000000000001</v>
      </c>
      <c r="AV13" s="201">
        <f t="shared" si="43"/>
        <v>124</v>
      </c>
      <c r="AW13" s="5">
        <v>2.9</v>
      </c>
      <c r="AX13" s="201">
        <f t="shared" si="44"/>
        <v>158</v>
      </c>
      <c r="AY13" s="426">
        <f t="shared" si="7"/>
        <v>69.3</v>
      </c>
      <c r="AZ13" s="426">
        <f t="shared" si="33"/>
        <v>136.4</v>
      </c>
      <c r="BA13" s="426">
        <f t="shared" si="34"/>
        <v>458.2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6721</v>
      </c>
      <c r="L14" s="83">
        <f t="shared" si="40"/>
        <v>0</v>
      </c>
      <c r="M14" s="410">
        <f t="shared" si="15"/>
        <v>457.44</v>
      </c>
      <c r="N14" s="514">
        <f t="shared" ref="N14:N33" si="45">SUM(M14-M13)</f>
        <v>0</v>
      </c>
      <c r="O14" s="410">
        <f t="shared" si="16"/>
        <v>529.52</v>
      </c>
      <c r="P14" s="514">
        <f t="shared" ref="P14:P33" si="46">SUM(O14-O13)</f>
        <v>0</v>
      </c>
      <c r="Q14" s="514">
        <f t="shared" ref="Q14:Q33" si="47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f t="shared" si="20"/>
        <v>150365</v>
      </c>
      <c r="Y14" s="324">
        <f t="shared" si="41"/>
        <v>0</v>
      </c>
      <c r="Z14" s="5">
        <f t="shared" si="21"/>
        <v>98681</v>
      </c>
      <c r="AA14" s="83">
        <f t="shared" si="22"/>
        <v>0</v>
      </c>
      <c r="AB14" s="5">
        <f t="shared" si="23"/>
        <v>251</v>
      </c>
      <c r="AC14" s="5">
        <f t="shared" si="24"/>
        <v>731</v>
      </c>
      <c r="AD14" s="83">
        <f t="shared" si="38"/>
        <v>0</v>
      </c>
      <c r="AE14" s="5">
        <f t="shared" si="25"/>
        <v>229.03</v>
      </c>
      <c r="AF14" s="83">
        <f t="shared" si="26"/>
        <v>0</v>
      </c>
      <c r="AG14" s="5">
        <f t="shared" si="27"/>
        <v>2198.54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44264</v>
      </c>
      <c r="AS14" s="424">
        <f t="shared" si="6"/>
        <v>0.9</v>
      </c>
      <c r="AT14" s="201">
        <f t="shared" si="6"/>
        <v>77</v>
      </c>
      <c r="AU14" s="425">
        <f t="shared" si="42"/>
        <v>1.1000000000000001</v>
      </c>
      <c r="AV14" s="201">
        <f t="shared" si="43"/>
        <v>124</v>
      </c>
      <c r="AW14" s="5">
        <v>2.9</v>
      </c>
      <c r="AX14" s="201">
        <f t="shared" si="44"/>
        <v>158</v>
      </c>
      <c r="AY14" s="426">
        <f t="shared" si="7"/>
        <v>69.3</v>
      </c>
      <c r="AZ14" s="426">
        <f t="shared" si="33"/>
        <v>136.4</v>
      </c>
      <c r="BA14" s="426">
        <f t="shared" si="34"/>
        <v>458.2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6721</v>
      </c>
      <c r="L15" s="83">
        <f t="shared" si="40"/>
        <v>0</v>
      </c>
      <c r="M15" s="410">
        <f t="shared" si="15"/>
        <v>457.44</v>
      </c>
      <c r="N15" s="514">
        <f t="shared" si="45"/>
        <v>0</v>
      </c>
      <c r="O15" s="410">
        <f t="shared" si="16"/>
        <v>529.52</v>
      </c>
      <c r="P15" s="514">
        <f t="shared" si="46"/>
        <v>0</v>
      </c>
      <c r="Q15" s="514">
        <f t="shared" si="47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150365</v>
      </c>
      <c r="Y15" s="324">
        <f t="shared" si="41"/>
        <v>0</v>
      </c>
      <c r="Z15" s="5">
        <f t="shared" si="21"/>
        <v>98681</v>
      </c>
      <c r="AA15" s="83">
        <f t="shared" si="22"/>
        <v>0</v>
      </c>
      <c r="AB15" s="5">
        <f t="shared" si="23"/>
        <v>251</v>
      </c>
      <c r="AC15" s="5">
        <f t="shared" si="24"/>
        <v>731</v>
      </c>
      <c r="AD15" s="83">
        <f t="shared" si="38"/>
        <v>0</v>
      </c>
      <c r="AE15" s="5">
        <f t="shared" si="25"/>
        <v>229.03</v>
      </c>
      <c r="AF15" s="83">
        <f t="shared" si="26"/>
        <v>0</v>
      </c>
      <c r="AG15" s="5">
        <f t="shared" si="27"/>
        <v>2198.54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44265</v>
      </c>
      <c r="AS15" s="424">
        <f t="shared" si="6"/>
        <v>0.9</v>
      </c>
      <c r="AT15" s="201">
        <f t="shared" si="6"/>
        <v>77</v>
      </c>
      <c r="AU15" s="425">
        <f t="shared" si="42"/>
        <v>1.1000000000000001</v>
      </c>
      <c r="AV15" s="201">
        <f t="shared" si="43"/>
        <v>124</v>
      </c>
      <c r="AW15" s="5">
        <v>2.9</v>
      </c>
      <c r="AX15" s="201">
        <f t="shared" si="44"/>
        <v>158</v>
      </c>
      <c r="AY15" s="426">
        <f t="shared" si="7"/>
        <v>69.3</v>
      </c>
      <c r="AZ15" s="426">
        <f t="shared" si="33"/>
        <v>136.4</v>
      </c>
      <c r="BA15" s="426">
        <f t="shared" si="34"/>
        <v>458.2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6721</v>
      </c>
      <c r="L16" s="274">
        <f t="shared" si="40"/>
        <v>0</v>
      </c>
      <c r="M16" s="410">
        <f t="shared" si="15"/>
        <v>457.44</v>
      </c>
      <c r="N16" s="514">
        <f t="shared" si="45"/>
        <v>0</v>
      </c>
      <c r="O16" s="410">
        <f t="shared" si="16"/>
        <v>529.52</v>
      </c>
      <c r="P16" s="514">
        <f t="shared" si="46"/>
        <v>0</v>
      </c>
      <c r="Q16" s="514">
        <f t="shared" si="47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150365</v>
      </c>
      <c r="Y16" s="324">
        <f t="shared" si="41"/>
        <v>0</v>
      </c>
      <c r="Z16" s="5">
        <f t="shared" si="21"/>
        <v>98681</v>
      </c>
      <c r="AA16" s="83">
        <f t="shared" si="22"/>
        <v>0</v>
      </c>
      <c r="AB16" s="5">
        <f t="shared" si="23"/>
        <v>251</v>
      </c>
      <c r="AC16" s="5">
        <f t="shared" si="24"/>
        <v>731</v>
      </c>
      <c r="AD16" s="83">
        <f t="shared" si="38"/>
        <v>0</v>
      </c>
      <c r="AE16" s="5">
        <f t="shared" si="25"/>
        <v>229.03</v>
      </c>
      <c r="AF16" s="83">
        <f t="shared" si="26"/>
        <v>0</v>
      </c>
      <c r="AG16" s="5">
        <f t="shared" si="27"/>
        <v>2198.54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44266</v>
      </c>
      <c r="AS16" s="424">
        <f t="shared" si="6"/>
        <v>0.9</v>
      </c>
      <c r="AT16" s="201">
        <f t="shared" si="6"/>
        <v>77</v>
      </c>
      <c r="AU16" s="425">
        <f t="shared" si="42"/>
        <v>1.1000000000000001</v>
      </c>
      <c r="AV16" s="201">
        <f t="shared" si="43"/>
        <v>124</v>
      </c>
      <c r="AW16" s="5">
        <v>2.9</v>
      </c>
      <c r="AX16" s="201">
        <f t="shared" si="44"/>
        <v>158</v>
      </c>
      <c r="AY16" s="426">
        <f t="shared" si="7"/>
        <v>69.3</v>
      </c>
      <c r="AZ16" s="426">
        <f t="shared" si="33"/>
        <v>136.4</v>
      </c>
      <c r="BA16" s="426">
        <f t="shared" si="34"/>
        <v>458.2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6721</v>
      </c>
      <c r="L17" s="83">
        <f t="shared" si="40"/>
        <v>0</v>
      </c>
      <c r="M17" s="410">
        <f t="shared" si="15"/>
        <v>457.44</v>
      </c>
      <c r="N17" s="514">
        <f t="shared" si="45"/>
        <v>0</v>
      </c>
      <c r="O17" s="410">
        <f t="shared" si="16"/>
        <v>529.52</v>
      </c>
      <c r="P17" s="514">
        <f t="shared" si="46"/>
        <v>0</v>
      </c>
      <c r="Q17" s="514">
        <f t="shared" si="47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150365</v>
      </c>
      <c r="Y17" s="324">
        <f t="shared" si="41"/>
        <v>0</v>
      </c>
      <c r="Z17" s="5">
        <f t="shared" si="21"/>
        <v>98681</v>
      </c>
      <c r="AA17" s="83">
        <f t="shared" si="22"/>
        <v>0</v>
      </c>
      <c r="AB17" s="5">
        <f t="shared" si="23"/>
        <v>251</v>
      </c>
      <c r="AC17" s="5">
        <f t="shared" si="24"/>
        <v>731</v>
      </c>
      <c r="AD17" s="83">
        <f t="shared" si="38"/>
        <v>0</v>
      </c>
      <c r="AE17" s="5">
        <f t="shared" si="25"/>
        <v>229.03</v>
      </c>
      <c r="AF17" s="83">
        <f t="shared" si="26"/>
        <v>0</v>
      </c>
      <c r="AG17" s="5">
        <f t="shared" si="27"/>
        <v>2198.54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44267</v>
      </c>
      <c r="AS17" s="424">
        <f t="shared" si="6"/>
        <v>0.9</v>
      </c>
      <c r="AT17" s="201">
        <f t="shared" si="6"/>
        <v>77</v>
      </c>
      <c r="AU17" s="425">
        <f t="shared" si="42"/>
        <v>1.1000000000000001</v>
      </c>
      <c r="AV17" s="201">
        <f t="shared" si="43"/>
        <v>124</v>
      </c>
      <c r="AW17" s="5">
        <v>2.9</v>
      </c>
      <c r="AX17" s="201">
        <f t="shared" si="44"/>
        <v>158</v>
      </c>
      <c r="AY17" s="426">
        <f t="shared" si="7"/>
        <v>69.3</v>
      </c>
      <c r="AZ17" s="426">
        <f t="shared" si="33"/>
        <v>136.4</v>
      </c>
      <c r="BA17" s="426">
        <f t="shared" si="34"/>
        <v>458.2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6721</v>
      </c>
      <c r="L18" s="83">
        <f t="shared" si="40"/>
        <v>0</v>
      </c>
      <c r="M18" s="410">
        <f t="shared" si="15"/>
        <v>457.44</v>
      </c>
      <c r="N18" s="514">
        <f t="shared" si="45"/>
        <v>0</v>
      </c>
      <c r="O18" s="410">
        <f t="shared" si="16"/>
        <v>529.52</v>
      </c>
      <c r="P18" s="514">
        <f t="shared" si="46"/>
        <v>0</v>
      </c>
      <c r="Q18" s="514">
        <f t="shared" si="47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150365</v>
      </c>
      <c r="Y18" s="324">
        <f t="shared" si="41"/>
        <v>0</v>
      </c>
      <c r="Z18" s="5">
        <f t="shared" si="21"/>
        <v>98681</v>
      </c>
      <c r="AA18" s="83">
        <f t="shared" si="22"/>
        <v>0</v>
      </c>
      <c r="AB18" s="5">
        <f t="shared" si="23"/>
        <v>251</v>
      </c>
      <c r="AC18" s="5">
        <f t="shared" si="24"/>
        <v>731</v>
      </c>
      <c r="AD18" s="83">
        <f t="shared" si="38"/>
        <v>0</v>
      </c>
      <c r="AE18" s="5">
        <f t="shared" si="25"/>
        <v>229.03</v>
      </c>
      <c r="AF18" s="83">
        <f t="shared" si="26"/>
        <v>0</v>
      </c>
      <c r="AG18" s="5">
        <f t="shared" si="27"/>
        <v>2198.54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44268</v>
      </c>
      <c r="AS18" s="424">
        <f t="shared" si="6"/>
        <v>0.9</v>
      </c>
      <c r="AT18" s="201">
        <f t="shared" si="6"/>
        <v>77</v>
      </c>
      <c r="AU18" s="425">
        <f t="shared" si="42"/>
        <v>1.1000000000000001</v>
      </c>
      <c r="AV18" s="201">
        <f t="shared" si="43"/>
        <v>124</v>
      </c>
      <c r="AW18" s="5">
        <v>2.9</v>
      </c>
      <c r="AX18" s="201">
        <f t="shared" si="44"/>
        <v>158</v>
      </c>
      <c r="AY18" s="426">
        <f t="shared" si="7"/>
        <v>69.3</v>
      </c>
      <c r="AZ18" s="426">
        <f t="shared" si="33"/>
        <v>136.4</v>
      </c>
      <c r="BA18" s="426">
        <f t="shared" si="34"/>
        <v>458.2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6721</v>
      </c>
      <c r="L19" s="83">
        <f t="shared" si="40"/>
        <v>0</v>
      </c>
      <c r="M19" s="410">
        <f t="shared" si="15"/>
        <v>457.44</v>
      </c>
      <c r="N19" s="514">
        <f t="shared" si="45"/>
        <v>0</v>
      </c>
      <c r="O19" s="410">
        <f t="shared" si="16"/>
        <v>529.52</v>
      </c>
      <c r="P19" s="514">
        <f t="shared" si="46"/>
        <v>0</v>
      </c>
      <c r="Q19" s="514">
        <f t="shared" si="47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150365</v>
      </c>
      <c r="Y19" s="324">
        <f t="shared" si="41"/>
        <v>0</v>
      </c>
      <c r="Z19" s="5">
        <f t="shared" si="21"/>
        <v>98681</v>
      </c>
      <c r="AA19" s="83">
        <f t="shared" si="22"/>
        <v>0</v>
      </c>
      <c r="AB19" s="5">
        <f t="shared" si="23"/>
        <v>251</v>
      </c>
      <c r="AC19" s="5">
        <f t="shared" si="24"/>
        <v>731</v>
      </c>
      <c r="AD19" s="83">
        <f t="shared" si="38"/>
        <v>0</v>
      </c>
      <c r="AE19" s="5">
        <f t="shared" si="25"/>
        <v>229.03</v>
      </c>
      <c r="AF19" s="83">
        <f t="shared" si="26"/>
        <v>0</v>
      </c>
      <c r="AG19" s="5">
        <f t="shared" si="27"/>
        <v>2198.54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44269</v>
      </c>
      <c r="AS19" s="424">
        <f t="shared" si="6"/>
        <v>0.9</v>
      </c>
      <c r="AT19" s="201">
        <f t="shared" si="6"/>
        <v>77</v>
      </c>
      <c r="AU19" s="425">
        <f t="shared" si="42"/>
        <v>1.1000000000000001</v>
      </c>
      <c r="AV19" s="201">
        <f t="shared" si="43"/>
        <v>124</v>
      </c>
      <c r="AW19" s="5">
        <v>2.9</v>
      </c>
      <c r="AX19" s="201">
        <f t="shared" si="44"/>
        <v>158</v>
      </c>
      <c r="AY19" s="426">
        <f t="shared" ref="AY19:AY21" si="48">AS19*AT19</f>
        <v>69.3</v>
      </c>
      <c r="AZ19" s="426">
        <f t="shared" ref="AZ19:AZ21" si="49">AU19*AV19</f>
        <v>136.4</v>
      </c>
      <c r="BA19" s="426">
        <f t="shared" ref="BA19:BA21" si="50">AW19*AX19</f>
        <v>458.2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6721</v>
      </c>
      <c r="L20" s="83">
        <f t="shared" si="40"/>
        <v>0</v>
      </c>
      <c r="M20" s="410">
        <f t="shared" si="15"/>
        <v>457.44</v>
      </c>
      <c r="N20" s="514">
        <f t="shared" si="45"/>
        <v>0</v>
      </c>
      <c r="O20" s="410">
        <f t="shared" si="16"/>
        <v>529.52</v>
      </c>
      <c r="P20" s="514">
        <f t="shared" si="46"/>
        <v>0</v>
      </c>
      <c r="Q20" s="514">
        <f t="shared" si="47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150365</v>
      </c>
      <c r="Y20" s="324">
        <f t="shared" si="41"/>
        <v>0</v>
      </c>
      <c r="Z20" s="5">
        <f t="shared" si="21"/>
        <v>98681</v>
      </c>
      <c r="AA20" s="83">
        <f t="shared" si="22"/>
        <v>0</v>
      </c>
      <c r="AB20" s="5">
        <f t="shared" si="23"/>
        <v>251</v>
      </c>
      <c r="AC20" s="5">
        <f t="shared" si="24"/>
        <v>731</v>
      </c>
      <c r="AD20" s="83">
        <f t="shared" si="38"/>
        <v>0</v>
      </c>
      <c r="AE20" s="5">
        <f t="shared" si="25"/>
        <v>229.03</v>
      </c>
      <c r="AF20" s="83">
        <f t="shared" si="26"/>
        <v>0</v>
      </c>
      <c r="AG20" s="5">
        <f t="shared" si="27"/>
        <v>2198.54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44270</v>
      </c>
      <c r="AS20" s="424">
        <f t="shared" si="6"/>
        <v>0.9</v>
      </c>
      <c r="AT20" s="201">
        <f t="shared" si="6"/>
        <v>77</v>
      </c>
      <c r="AU20" s="425">
        <f t="shared" si="42"/>
        <v>1.1000000000000001</v>
      </c>
      <c r="AV20" s="201">
        <f t="shared" si="43"/>
        <v>124</v>
      </c>
      <c r="AW20" s="5">
        <v>2.9</v>
      </c>
      <c r="AX20" s="201">
        <f t="shared" si="44"/>
        <v>158</v>
      </c>
      <c r="AY20" s="426">
        <f t="shared" si="48"/>
        <v>69.3</v>
      </c>
      <c r="AZ20" s="426">
        <f t="shared" si="49"/>
        <v>136.4</v>
      </c>
      <c r="BA20" s="426">
        <f t="shared" si="50"/>
        <v>458.2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6721</v>
      </c>
      <c r="L21" s="83">
        <f t="shared" si="40"/>
        <v>0</v>
      </c>
      <c r="M21" s="410">
        <f t="shared" si="15"/>
        <v>457.44</v>
      </c>
      <c r="N21" s="514">
        <f t="shared" si="45"/>
        <v>0</v>
      </c>
      <c r="O21" s="410">
        <f t="shared" si="16"/>
        <v>529.52</v>
      </c>
      <c r="P21" s="514">
        <f t="shared" si="46"/>
        <v>0</v>
      </c>
      <c r="Q21" s="514">
        <f t="shared" si="47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150365</v>
      </c>
      <c r="Y21" s="324">
        <f>SUM(X21-X20)</f>
        <v>0</v>
      </c>
      <c r="Z21" s="5">
        <f t="shared" si="21"/>
        <v>98681</v>
      </c>
      <c r="AA21" s="83">
        <f t="shared" si="22"/>
        <v>0</v>
      </c>
      <c r="AB21" s="5">
        <f t="shared" si="23"/>
        <v>251</v>
      </c>
      <c r="AC21" s="5">
        <f t="shared" si="24"/>
        <v>731</v>
      </c>
      <c r="AD21" s="83">
        <f t="shared" si="38"/>
        <v>0</v>
      </c>
      <c r="AE21" s="5">
        <f t="shared" si="25"/>
        <v>229.03</v>
      </c>
      <c r="AF21" s="83">
        <f t="shared" si="26"/>
        <v>0</v>
      </c>
      <c r="AG21" s="5">
        <f t="shared" si="27"/>
        <v>2198.54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44271</v>
      </c>
      <c r="AS21" s="424">
        <f t="shared" si="6"/>
        <v>0.9</v>
      </c>
      <c r="AT21" s="201">
        <f t="shared" si="6"/>
        <v>77</v>
      </c>
      <c r="AU21" s="425">
        <f t="shared" si="42"/>
        <v>1.1000000000000001</v>
      </c>
      <c r="AV21" s="201">
        <f t="shared" si="43"/>
        <v>124</v>
      </c>
      <c r="AW21" s="5">
        <v>2.9</v>
      </c>
      <c r="AX21" s="201">
        <f t="shared" si="44"/>
        <v>158</v>
      </c>
      <c r="AY21" s="426">
        <f t="shared" si="48"/>
        <v>69.3</v>
      </c>
      <c r="AZ21" s="426">
        <f t="shared" si="49"/>
        <v>136.4</v>
      </c>
      <c r="BA21" s="426">
        <f t="shared" si="50"/>
        <v>458.2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6721</v>
      </c>
      <c r="L22" s="83">
        <f t="shared" si="40"/>
        <v>0</v>
      </c>
      <c r="M22" s="410">
        <f t="shared" si="15"/>
        <v>457.44</v>
      </c>
      <c r="N22" s="514">
        <f t="shared" si="45"/>
        <v>0</v>
      </c>
      <c r="O22" s="410">
        <f t="shared" si="16"/>
        <v>529.52</v>
      </c>
      <c r="P22" s="514">
        <f t="shared" si="46"/>
        <v>0</v>
      </c>
      <c r="Q22" s="514">
        <f t="shared" si="47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150365</v>
      </c>
      <c r="Y22" s="324">
        <f t="shared" si="41"/>
        <v>0</v>
      </c>
      <c r="Z22" s="5">
        <f t="shared" si="21"/>
        <v>98681</v>
      </c>
      <c r="AA22" s="83">
        <f t="shared" si="22"/>
        <v>0</v>
      </c>
      <c r="AB22" s="5">
        <f t="shared" si="23"/>
        <v>251</v>
      </c>
      <c r="AC22" s="5">
        <f t="shared" si="24"/>
        <v>731</v>
      </c>
      <c r="AD22" s="83">
        <f t="shared" si="38"/>
        <v>0</v>
      </c>
      <c r="AE22" s="5">
        <f t="shared" si="25"/>
        <v>229.03</v>
      </c>
      <c r="AF22" s="83">
        <f t="shared" si="26"/>
        <v>0</v>
      </c>
      <c r="AG22" s="5">
        <f t="shared" si="27"/>
        <v>2198.54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44272</v>
      </c>
      <c r="AS22" s="424">
        <f t="shared" ref="AS22:AT33" si="55">AS21</f>
        <v>0.9</v>
      </c>
      <c r="AT22" s="201">
        <f t="shared" si="55"/>
        <v>77</v>
      </c>
      <c r="AU22" s="425">
        <f t="shared" si="42"/>
        <v>1.1000000000000001</v>
      </c>
      <c r="AV22" s="201">
        <f t="shared" si="43"/>
        <v>124</v>
      </c>
      <c r="AW22" s="5">
        <v>2.9</v>
      </c>
      <c r="AX22" s="201">
        <f t="shared" si="44"/>
        <v>158</v>
      </c>
      <c r="AY22" s="426">
        <f t="shared" si="7"/>
        <v>69.3</v>
      </c>
      <c r="AZ22" s="426">
        <f t="shared" si="33"/>
        <v>136.4</v>
      </c>
      <c r="BA22" s="426">
        <f t="shared" si="34"/>
        <v>458.2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6721</v>
      </c>
      <c r="L23" s="274">
        <f t="shared" si="40"/>
        <v>0</v>
      </c>
      <c r="M23" s="410">
        <f t="shared" si="15"/>
        <v>457.44</v>
      </c>
      <c r="N23" s="514">
        <f t="shared" si="45"/>
        <v>0</v>
      </c>
      <c r="O23" s="410">
        <f t="shared" si="16"/>
        <v>529.52</v>
      </c>
      <c r="P23" s="514">
        <f t="shared" si="46"/>
        <v>0</v>
      </c>
      <c r="Q23" s="514">
        <f t="shared" si="47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150365</v>
      </c>
      <c r="Y23" s="324">
        <f t="shared" si="41"/>
        <v>0</v>
      </c>
      <c r="Z23" s="5">
        <f t="shared" si="21"/>
        <v>98681</v>
      </c>
      <c r="AA23" s="83">
        <f t="shared" si="22"/>
        <v>0</v>
      </c>
      <c r="AB23" s="5">
        <f t="shared" si="23"/>
        <v>251</v>
      </c>
      <c r="AC23" s="5">
        <f t="shared" si="24"/>
        <v>731</v>
      </c>
      <c r="AD23" s="83">
        <f t="shared" si="38"/>
        <v>0</v>
      </c>
      <c r="AE23" s="5">
        <f t="shared" si="25"/>
        <v>229.03</v>
      </c>
      <c r="AF23" s="83">
        <f t="shared" si="26"/>
        <v>0</v>
      </c>
      <c r="AG23" s="5">
        <f t="shared" si="27"/>
        <v>2198.54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44273</v>
      </c>
      <c r="AS23" s="424">
        <f t="shared" si="55"/>
        <v>0.9</v>
      </c>
      <c r="AT23" s="201">
        <f t="shared" si="55"/>
        <v>77</v>
      </c>
      <c r="AU23" s="425">
        <f t="shared" si="42"/>
        <v>1.1000000000000001</v>
      </c>
      <c r="AV23" s="201">
        <f t="shared" si="43"/>
        <v>124</v>
      </c>
      <c r="AW23" s="5">
        <v>2.9</v>
      </c>
      <c r="AX23" s="201">
        <f t="shared" si="44"/>
        <v>158</v>
      </c>
      <c r="AY23" s="426">
        <f t="shared" si="7"/>
        <v>69.3</v>
      </c>
      <c r="AZ23" s="426">
        <f t="shared" si="33"/>
        <v>136.4</v>
      </c>
      <c r="BA23" s="426">
        <f t="shared" si="34"/>
        <v>458.2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40"/>
        <v>-8</v>
      </c>
      <c r="M24" s="410">
        <f t="shared" si="15"/>
        <v>457.44</v>
      </c>
      <c r="N24" s="514">
        <f t="shared" si="45"/>
        <v>0</v>
      </c>
      <c r="O24" s="410">
        <f t="shared" si="16"/>
        <v>529.52</v>
      </c>
      <c r="P24" s="514">
        <f t="shared" si="46"/>
        <v>0</v>
      </c>
      <c r="Q24" s="514">
        <f t="shared" si="47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150365</v>
      </c>
      <c r="Y24" s="324">
        <f t="shared" si="41"/>
        <v>0</v>
      </c>
      <c r="Z24" s="5">
        <f t="shared" si="21"/>
        <v>98681</v>
      </c>
      <c r="AA24" s="83">
        <f t="shared" si="22"/>
        <v>0</v>
      </c>
      <c r="AB24" s="5">
        <f t="shared" si="23"/>
        <v>251</v>
      </c>
      <c r="AC24" s="5">
        <f t="shared" si="24"/>
        <v>731</v>
      </c>
      <c r="AD24" s="83">
        <f t="shared" si="38"/>
        <v>0</v>
      </c>
      <c r="AE24" s="5">
        <f t="shared" si="25"/>
        <v>229.03</v>
      </c>
      <c r="AF24" s="83">
        <f t="shared" si="26"/>
        <v>0</v>
      </c>
      <c r="AG24" s="5">
        <f t="shared" si="27"/>
        <v>2198.54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8</v>
      </c>
      <c r="AL24" s="327">
        <f t="shared" si="31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2"/>
        <v>44274</v>
      </c>
      <c r="AS24" s="424">
        <f t="shared" si="55"/>
        <v>0.9</v>
      </c>
      <c r="AT24" s="201">
        <f t="shared" si="55"/>
        <v>77</v>
      </c>
      <c r="AU24" s="425">
        <f t="shared" si="42"/>
        <v>1.1000000000000001</v>
      </c>
      <c r="AV24" s="201">
        <f t="shared" si="43"/>
        <v>124</v>
      </c>
      <c r="AW24" s="5">
        <v>2.9</v>
      </c>
      <c r="AX24" s="201">
        <f t="shared" si="44"/>
        <v>158</v>
      </c>
      <c r="AY24" s="426">
        <f t="shared" si="7"/>
        <v>69.3</v>
      </c>
      <c r="AZ24" s="426">
        <f t="shared" si="33"/>
        <v>136.4</v>
      </c>
      <c r="BA24" s="426">
        <f t="shared" si="34"/>
        <v>458.2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6721</v>
      </c>
      <c r="L25" s="274">
        <f t="shared" si="40"/>
        <v>8</v>
      </c>
      <c r="M25" s="410">
        <f t="shared" si="15"/>
        <v>457.44</v>
      </c>
      <c r="N25" s="514">
        <f t="shared" si="45"/>
        <v>0</v>
      </c>
      <c r="O25" s="410">
        <f t="shared" si="16"/>
        <v>529.52</v>
      </c>
      <c r="P25" s="514">
        <f t="shared" si="46"/>
        <v>0</v>
      </c>
      <c r="Q25" s="514">
        <f t="shared" si="47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150365</v>
      </c>
      <c r="Y25" s="324">
        <f t="shared" si="41"/>
        <v>0</v>
      </c>
      <c r="Z25" s="5">
        <f t="shared" si="21"/>
        <v>98681</v>
      </c>
      <c r="AA25" s="83">
        <f t="shared" si="22"/>
        <v>0</v>
      </c>
      <c r="AB25" s="5">
        <f t="shared" si="23"/>
        <v>251</v>
      </c>
      <c r="AC25" s="5">
        <f t="shared" si="24"/>
        <v>731</v>
      </c>
      <c r="AD25" s="83">
        <f t="shared" si="38"/>
        <v>0</v>
      </c>
      <c r="AE25" s="5">
        <f t="shared" si="25"/>
        <v>229.03</v>
      </c>
      <c r="AF25" s="83">
        <f t="shared" si="26"/>
        <v>0</v>
      </c>
      <c r="AG25" s="5">
        <f t="shared" si="27"/>
        <v>2198.54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-8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44275</v>
      </c>
      <c r="AS25" s="424">
        <f t="shared" si="55"/>
        <v>0.9</v>
      </c>
      <c r="AT25" s="201">
        <f t="shared" si="55"/>
        <v>77</v>
      </c>
      <c r="AU25" s="425">
        <f t="shared" si="42"/>
        <v>1.1000000000000001</v>
      </c>
      <c r="AV25" s="201">
        <f t="shared" si="43"/>
        <v>124</v>
      </c>
      <c r="AW25" s="5">
        <v>2.9</v>
      </c>
      <c r="AX25" s="201">
        <f t="shared" si="44"/>
        <v>158</v>
      </c>
      <c r="AY25" s="426">
        <f t="shared" si="7"/>
        <v>69.3</v>
      </c>
      <c r="AZ25" s="426">
        <f t="shared" si="33"/>
        <v>136.4</v>
      </c>
      <c r="BA25" s="426">
        <f t="shared" si="34"/>
        <v>458.2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6721</v>
      </c>
      <c r="L26" s="274">
        <f t="shared" si="40"/>
        <v>0</v>
      </c>
      <c r="M26" s="410">
        <f t="shared" si="15"/>
        <v>457.44</v>
      </c>
      <c r="N26" s="514">
        <f t="shared" si="45"/>
        <v>0</v>
      </c>
      <c r="O26" s="410">
        <f t="shared" si="16"/>
        <v>529.52</v>
      </c>
      <c r="P26" s="514">
        <f t="shared" si="46"/>
        <v>0</v>
      </c>
      <c r="Q26" s="514">
        <f t="shared" si="47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150365</v>
      </c>
      <c r="Y26" s="324">
        <f t="shared" si="41"/>
        <v>0</v>
      </c>
      <c r="Z26" s="5">
        <f t="shared" si="21"/>
        <v>98681</v>
      </c>
      <c r="AA26" s="83">
        <f t="shared" si="22"/>
        <v>0</v>
      </c>
      <c r="AB26" s="5">
        <f t="shared" si="23"/>
        <v>251</v>
      </c>
      <c r="AC26" s="5">
        <f t="shared" si="24"/>
        <v>731</v>
      </c>
      <c r="AD26" s="83">
        <f t="shared" si="38"/>
        <v>0</v>
      </c>
      <c r="AE26" s="5">
        <f t="shared" si="25"/>
        <v>229.03</v>
      </c>
      <c r="AF26" s="83">
        <f t="shared" si="26"/>
        <v>0</v>
      </c>
      <c r="AG26" s="5">
        <f t="shared" si="27"/>
        <v>2198.54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44276</v>
      </c>
      <c r="AS26" s="424">
        <f t="shared" si="55"/>
        <v>0.9</v>
      </c>
      <c r="AT26" s="201">
        <f t="shared" si="55"/>
        <v>77</v>
      </c>
      <c r="AU26" s="425">
        <f t="shared" si="42"/>
        <v>1.1000000000000001</v>
      </c>
      <c r="AV26" s="201">
        <f t="shared" si="43"/>
        <v>124</v>
      </c>
      <c r="AW26" s="5">
        <v>2.9</v>
      </c>
      <c r="AX26" s="201">
        <f t="shared" si="44"/>
        <v>158</v>
      </c>
      <c r="AY26" s="426">
        <f t="shared" si="7"/>
        <v>69.3</v>
      </c>
      <c r="AZ26" s="426">
        <f t="shared" si="33"/>
        <v>136.4</v>
      </c>
      <c r="BA26" s="426">
        <f t="shared" si="34"/>
        <v>458.2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6721</v>
      </c>
      <c r="L27" s="274">
        <f t="shared" si="40"/>
        <v>0</v>
      </c>
      <c r="M27" s="410">
        <f t="shared" si="15"/>
        <v>457.44</v>
      </c>
      <c r="N27" s="514">
        <f t="shared" si="45"/>
        <v>0</v>
      </c>
      <c r="O27" s="410">
        <f t="shared" si="16"/>
        <v>529.52</v>
      </c>
      <c r="P27" s="514">
        <f t="shared" si="46"/>
        <v>0</v>
      </c>
      <c r="Q27" s="514">
        <f t="shared" si="47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150365</v>
      </c>
      <c r="Y27" s="324">
        <f>SUM(X27-X26)</f>
        <v>0</v>
      </c>
      <c r="Z27" s="5">
        <f t="shared" si="21"/>
        <v>98681</v>
      </c>
      <c r="AA27" s="83">
        <f t="shared" si="22"/>
        <v>0</v>
      </c>
      <c r="AB27" s="5">
        <f t="shared" si="23"/>
        <v>251</v>
      </c>
      <c r="AC27" s="5">
        <f t="shared" si="24"/>
        <v>731</v>
      </c>
      <c r="AD27" s="83">
        <f t="shared" si="38"/>
        <v>0</v>
      </c>
      <c r="AE27" s="5">
        <f t="shared" si="25"/>
        <v>229.03</v>
      </c>
      <c r="AF27" s="83">
        <f t="shared" si="26"/>
        <v>0</v>
      </c>
      <c r="AG27" s="5">
        <f t="shared" si="27"/>
        <v>2198.54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44277</v>
      </c>
      <c r="AS27" s="424">
        <f t="shared" si="55"/>
        <v>0.9</v>
      </c>
      <c r="AT27" s="201">
        <f t="shared" si="55"/>
        <v>77</v>
      </c>
      <c r="AU27" s="425">
        <f t="shared" si="42"/>
        <v>1.1000000000000001</v>
      </c>
      <c r="AV27" s="201">
        <f t="shared" si="43"/>
        <v>124</v>
      </c>
      <c r="AW27" s="5">
        <v>2.9</v>
      </c>
      <c r="AX27" s="201">
        <f t="shared" si="44"/>
        <v>158</v>
      </c>
      <c r="AY27" s="426">
        <f t="shared" si="7"/>
        <v>69.3</v>
      </c>
      <c r="AZ27" s="426">
        <f t="shared" si="33"/>
        <v>136.4</v>
      </c>
      <c r="BA27" s="426">
        <f t="shared" si="34"/>
        <v>458.2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6721</v>
      </c>
      <c r="L28" s="274">
        <f t="shared" si="40"/>
        <v>0</v>
      </c>
      <c r="M28" s="410">
        <f t="shared" si="15"/>
        <v>457.44</v>
      </c>
      <c r="N28" s="514">
        <f t="shared" si="45"/>
        <v>0</v>
      </c>
      <c r="O28" s="410">
        <f t="shared" si="16"/>
        <v>529.52</v>
      </c>
      <c r="P28" s="514">
        <f t="shared" si="46"/>
        <v>0</v>
      </c>
      <c r="Q28" s="514">
        <f t="shared" si="47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150365</v>
      </c>
      <c r="Y28" s="324">
        <f t="shared" si="41"/>
        <v>0</v>
      </c>
      <c r="Z28" s="5">
        <f t="shared" si="21"/>
        <v>98681</v>
      </c>
      <c r="AA28" s="83">
        <f t="shared" si="22"/>
        <v>0</v>
      </c>
      <c r="AB28" s="5">
        <f t="shared" si="23"/>
        <v>251</v>
      </c>
      <c r="AC28" s="5">
        <f t="shared" si="24"/>
        <v>731</v>
      </c>
      <c r="AD28" s="83">
        <f t="shared" si="38"/>
        <v>0</v>
      </c>
      <c r="AE28" s="5">
        <f t="shared" si="25"/>
        <v>229.03</v>
      </c>
      <c r="AF28" s="83">
        <f t="shared" si="26"/>
        <v>0</v>
      </c>
      <c r="AG28" s="5">
        <f t="shared" si="27"/>
        <v>2198.54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44278</v>
      </c>
      <c r="AS28" s="424">
        <f t="shared" si="55"/>
        <v>0.9</v>
      </c>
      <c r="AT28" s="201">
        <f t="shared" si="55"/>
        <v>77</v>
      </c>
      <c r="AU28" s="425">
        <f t="shared" si="42"/>
        <v>1.1000000000000001</v>
      </c>
      <c r="AV28" s="201">
        <f t="shared" si="43"/>
        <v>124</v>
      </c>
      <c r="AW28" s="5">
        <v>2.9</v>
      </c>
      <c r="AX28" s="201">
        <f t="shared" si="44"/>
        <v>158</v>
      </c>
      <c r="AY28" s="426">
        <f t="shared" si="7"/>
        <v>69.3</v>
      </c>
      <c r="AZ28" s="426">
        <f t="shared" si="33"/>
        <v>136.4</v>
      </c>
      <c r="BA28" s="426">
        <f t="shared" si="34"/>
        <v>458.2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6721</v>
      </c>
      <c r="L29" s="274">
        <f t="shared" si="40"/>
        <v>0</v>
      </c>
      <c r="M29" s="410">
        <f t="shared" si="15"/>
        <v>457.44</v>
      </c>
      <c r="N29" s="514">
        <f t="shared" si="45"/>
        <v>0</v>
      </c>
      <c r="O29" s="410">
        <f t="shared" si="16"/>
        <v>529.52</v>
      </c>
      <c r="P29" s="514">
        <f t="shared" si="46"/>
        <v>0</v>
      </c>
      <c r="Q29" s="514">
        <f t="shared" si="47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150365</v>
      </c>
      <c r="Y29" s="324">
        <f t="shared" si="41"/>
        <v>0</v>
      </c>
      <c r="Z29" s="5">
        <f t="shared" si="21"/>
        <v>98681</v>
      </c>
      <c r="AA29" s="83">
        <f t="shared" si="22"/>
        <v>0</v>
      </c>
      <c r="AB29" s="5">
        <f t="shared" si="23"/>
        <v>251</v>
      </c>
      <c r="AC29" s="5">
        <f t="shared" si="24"/>
        <v>731</v>
      </c>
      <c r="AD29" s="83">
        <f t="shared" si="38"/>
        <v>0</v>
      </c>
      <c r="AE29" s="5">
        <f t="shared" si="25"/>
        <v>229.03</v>
      </c>
      <c r="AF29" s="83">
        <f t="shared" si="26"/>
        <v>0</v>
      </c>
      <c r="AG29" s="5">
        <f t="shared" si="27"/>
        <v>2198.54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44279</v>
      </c>
      <c r="AS29" s="424">
        <f t="shared" si="55"/>
        <v>0.9</v>
      </c>
      <c r="AT29" s="201">
        <f t="shared" si="55"/>
        <v>77</v>
      </c>
      <c r="AU29" s="425">
        <f t="shared" si="42"/>
        <v>1.1000000000000001</v>
      </c>
      <c r="AV29" s="201">
        <f t="shared" si="43"/>
        <v>124</v>
      </c>
      <c r="AW29" s="5">
        <v>2.9</v>
      </c>
      <c r="AX29" s="201">
        <f t="shared" si="44"/>
        <v>158</v>
      </c>
      <c r="AY29" s="426">
        <f t="shared" si="7"/>
        <v>69.3</v>
      </c>
      <c r="AZ29" s="426">
        <f t="shared" si="33"/>
        <v>136.4</v>
      </c>
      <c r="BA29" s="426">
        <f t="shared" si="34"/>
        <v>458.2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6721</v>
      </c>
      <c r="L30" s="274">
        <f t="shared" si="40"/>
        <v>0</v>
      </c>
      <c r="M30" s="410">
        <f t="shared" si="15"/>
        <v>457.44</v>
      </c>
      <c r="N30" s="514">
        <f t="shared" si="45"/>
        <v>0</v>
      </c>
      <c r="O30" s="410">
        <f t="shared" si="16"/>
        <v>529.52</v>
      </c>
      <c r="P30" s="514">
        <f t="shared" si="46"/>
        <v>0</v>
      </c>
      <c r="Q30" s="514">
        <f t="shared" si="47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150365</v>
      </c>
      <c r="Y30" s="324">
        <f t="shared" si="41"/>
        <v>0</v>
      </c>
      <c r="Z30" s="5">
        <f t="shared" si="21"/>
        <v>98681</v>
      </c>
      <c r="AA30" s="83">
        <f t="shared" si="22"/>
        <v>0</v>
      </c>
      <c r="AB30" s="5">
        <f t="shared" si="23"/>
        <v>251</v>
      </c>
      <c r="AC30" s="5">
        <f t="shared" si="24"/>
        <v>731</v>
      </c>
      <c r="AD30" s="83">
        <f t="shared" si="38"/>
        <v>0</v>
      </c>
      <c r="AE30" s="5">
        <f t="shared" si="25"/>
        <v>229.03</v>
      </c>
      <c r="AF30" s="83">
        <f t="shared" si="26"/>
        <v>0</v>
      </c>
      <c r="AG30" s="5">
        <f t="shared" si="27"/>
        <v>2198.54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44280</v>
      </c>
      <c r="AS30" s="424">
        <f t="shared" si="55"/>
        <v>0.9</v>
      </c>
      <c r="AT30" s="201">
        <f t="shared" si="55"/>
        <v>77</v>
      </c>
      <c r="AU30" s="425">
        <f t="shared" si="42"/>
        <v>1.1000000000000001</v>
      </c>
      <c r="AV30" s="201">
        <f t="shared" si="43"/>
        <v>124</v>
      </c>
      <c r="AW30" s="5">
        <v>2.9</v>
      </c>
      <c r="AX30" s="201">
        <f t="shared" si="44"/>
        <v>158</v>
      </c>
      <c r="AY30" s="426">
        <f t="shared" si="7"/>
        <v>69.3</v>
      </c>
      <c r="AZ30" s="426">
        <f t="shared" si="33"/>
        <v>136.4</v>
      </c>
      <c r="BA30" s="426">
        <f t="shared" si="34"/>
        <v>458.2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6721</v>
      </c>
      <c r="L31" s="274">
        <f t="shared" si="40"/>
        <v>0</v>
      </c>
      <c r="M31" s="410">
        <f t="shared" si="15"/>
        <v>457.44</v>
      </c>
      <c r="N31" s="514">
        <f t="shared" si="45"/>
        <v>0</v>
      </c>
      <c r="O31" s="410">
        <f t="shared" si="16"/>
        <v>529.52</v>
      </c>
      <c r="P31" s="514">
        <f t="shared" si="46"/>
        <v>0</v>
      </c>
      <c r="Q31" s="514">
        <f t="shared" si="47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150365</v>
      </c>
      <c r="Y31" s="324">
        <f t="shared" si="41"/>
        <v>0</v>
      </c>
      <c r="Z31" s="5">
        <f t="shared" si="21"/>
        <v>98681</v>
      </c>
      <c r="AA31" s="83">
        <f t="shared" si="22"/>
        <v>0</v>
      </c>
      <c r="AB31" s="5">
        <f t="shared" si="23"/>
        <v>251</v>
      </c>
      <c r="AC31" s="5">
        <f t="shared" si="24"/>
        <v>731</v>
      </c>
      <c r="AD31" s="83">
        <f t="shared" si="38"/>
        <v>0</v>
      </c>
      <c r="AE31" s="5">
        <f t="shared" si="25"/>
        <v>229.03</v>
      </c>
      <c r="AF31" s="83">
        <f t="shared" si="26"/>
        <v>0</v>
      </c>
      <c r="AG31" s="5">
        <f t="shared" si="27"/>
        <v>2198.54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44281</v>
      </c>
      <c r="AS31" s="424">
        <f t="shared" si="55"/>
        <v>0.9</v>
      </c>
      <c r="AT31" s="201">
        <f t="shared" si="55"/>
        <v>77</v>
      </c>
      <c r="AU31" s="425">
        <f t="shared" si="42"/>
        <v>1.1000000000000001</v>
      </c>
      <c r="AV31" s="201">
        <f t="shared" si="43"/>
        <v>124</v>
      </c>
      <c r="AW31" s="5">
        <v>2.9</v>
      </c>
      <c r="AX31" s="201">
        <f t="shared" si="44"/>
        <v>158</v>
      </c>
      <c r="AY31" s="426">
        <f t="shared" si="7"/>
        <v>69.3</v>
      </c>
      <c r="AZ31" s="426">
        <f t="shared" si="33"/>
        <v>136.4</v>
      </c>
      <c r="BA31" s="426">
        <f t="shared" si="34"/>
        <v>458.2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6721</v>
      </c>
      <c r="L32" s="274">
        <f t="shared" si="40"/>
        <v>0</v>
      </c>
      <c r="M32" s="410">
        <f t="shared" si="15"/>
        <v>457.44</v>
      </c>
      <c r="N32" s="514">
        <f t="shared" si="45"/>
        <v>0</v>
      </c>
      <c r="O32" s="410">
        <f t="shared" si="16"/>
        <v>529.52</v>
      </c>
      <c r="P32" s="514">
        <f t="shared" si="46"/>
        <v>0</v>
      </c>
      <c r="Q32" s="514">
        <f t="shared" si="47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150365</v>
      </c>
      <c r="Y32" s="324">
        <f t="shared" si="41"/>
        <v>0</v>
      </c>
      <c r="Z32" s="5">
        <f t="shared" si="21"/>
        <v>98681</v>
      </c>
      <c r="AA32" s="83">
        <f t="shared" si="22"/>
        <v>0</v>
      </c>
      <c r="AB32" s="5">
        <f t="shared" si="23"/>
        <v>251</v>
      </c>
      <c r="AC32" s="5">
        <f t="shared" si="24"/>
        <v>731</v>
      </c>
      <c r="AD32" s="83">
        <f t="shared" si="38"/>
        <v>0</v>
      </c>
      <c r="AE32" s="5">
        <f t="shared" si="25"/>
        <v>229.03</v>
      </c>
      <c r="AF32" s="83">
        <f t="shared" si="26"/>
        <v>0</v>
      </c>
      <c r="AG32" s="5">
        <f t="shared" si="27"/>
        <v>2198.54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44282</v>
      </c>
      <c r="AS32" s="424">
        <f t="shared" si="55"/>
        <v>0.9</v>
      </c>
      <c r="AT32" s="201">
        <f t="shared" si="55"/>
        <v>77</v>
      </c>
      <c r="AU32" s="425">
        <f t="shared" si="42"/>
        <v>1.1000000000000001</v>
      </c>
      <c r="AV32" s="201">
        <f t="shared" si="43"/>
        <v>124</v>
      </c>
      <c r="AW32" s="5">
        <v>2.9</v>
      </c>
      <c r="AX32" s="201">
        <f t="shared" si="44"/>
        <v>158</v>
      </c>
      <c r="AY32" s="426">
        <f t="shared" si="7"/>
        <v>69.3</v>
      </c>
      <c r="AZ32" s="426">
        <f t="shared" si="33"/>
        <v>136.4</v>
      </c>
      <c r="BA32" s="426">
        <f t="shared" si="34"/>
        <v>458.2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6721</v>
      </c>
      <c r="L33" s="274">
        <f t="shared" si="40"/>
        <v>0</v>
      </c>
      <c r="M33" s="410">
        <f t="shared" si="15"/>
        <v>457.44</v>
      </c>
      <c r="N33" s="514">
        <f t="shared" si="45"/>
        <v>0</v>
      </c>
      <c r="O33" s="410">
        <f t="shared" si="16"/>
        <v>529.52</v>
      </c>
      <c r="P33" s="514">
        <f t="shared" si="46"/>
        <v>0</v>
      </c>
      <c r="Q33" s="514">
        <f t="shared" si="47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150365</v>
      </c>
      <c r="Y33" s="324">
        <f t="shared" si="41"/>
        <v>0</v>
      </c>
      <c r="Z33" s="5">
        <f t="shared" si="21"/>
        <v>98681</v>
      </c>
      <c r="AA33" s="83">
        <f t="shared" si="22"/>
        <v>0</v>
      </c>
      <c r="AB33" s="5">
        <f t="shared" si="23"/>
        <v>251</v>
      </c>
      <c r="AC33" s="5">
        <f t="shared" si="24"/>
        <v>731</v>
      </c>
      <c r="AD33" s="83">
        <f t="shared" si="38"/>
        <v>0</v>
      </c>
      <c r="AE33" s="5">
        <f t="shared" si="25"/>
        <v>229.03</v>
      </c>
      <c r="AF33" s="83">
        <f>AE33-AE32</f>
        <v>0</v>
      </c>
      <c r="AG33" s="5">
        <f t="shared" si="27"/>
        <v>2198.54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44283</v>
      </c>
      <c r="AS33" s="424">
        <f t="shared" si="55"/>
        <v>0.9</v>
      </c>
      <c r="AT33" s="201">
        <f t="shared" si="55"/>
        <v>77</v>
      </c>
      <c r="AU33" s="425">
        <f t="shared" si="42"/>
        <v>1.1000000000000001</v>
      </c>
      <c r="AV33" s="201">
        <f t="shared" si="43"/>
        <v>124</v>
      </c>
      <c r="AW33" s="5">
        <v>2.9</v>
      </c>
      <c r="AX33" s="201">
        <f t="shared" si="44"/>
        <v>158</v>
      </c>
      <c r="AY33" s="426">
        <f t="shared" si="7"/>
        <v>69.3</v>
      </c>
      <c r="AZ33" s="426">
        <f t="shared" si="33"/>
        <v>136.4</v>
      </c>
      <c r="BA33" s="426">
        <f t="shared" si="34"/>
        <v>458.2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6721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150365</v>
      </c>
      <c r="Y34" s="324">
        <f t="shared" ref="Y34:Y36" si="67">SUM(X34-X33)</f>
        <v>0</v>
      </c>
      <c r="Z34" s="5">
        <f t="shared" si="21"/>
        <v>98681</v>
      </c>
      <c r="AA34" s="83">
        <f t="shared" ref="AA34:AA36" si="68">Z34-Z33</f>
        <v>0</v>
      </c>
      <c r="AB34" s="5">
        <f t="shared" si="23"/>
        <v>251</v>
      </c>
      <c r="AC34" s="5">
        <f t="shared" si="24"/>
        <v>731</v>
      </c>
      <c r="AD34" s="83">
        <f t="shared" ref="AD34:AD36" si="69">AC34-AC33</f>
        <v>0</v>
      </c>
      <c r="AE34" s="5">
        <f t="shared" si="25"/>
        <v>229.03</v>
      </c>
      <c r="AF34" s="83">
        <f t="shared" ref="AF34:AF36" si="70">AE34-AE33</f>
        <v>0</v>
      </c>
      <c r="AG34" s="5">
        <f t="shared" si="27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3"/>
        <v>124</v>
      </c>
      <c r="AW34" s="5">
        <v>2.9</v>
      </c>
      <c r="AX34" s="201">
        <f t="shared" si="44"/>
        <v>158</v>
      </c>
      <c r="AY34" s="426">
        <f t="shared" ref="AY34:AY36" si="79">AS34*AT34</f>
        <v>69.3</v>
      </c>
      <c r="AZ34" s="426">
        <f t="shared" ref="AZ34:AZ36" si="80">AU34*AV34</f>
        <v>136.4</v>
      </c>
      <c r="BA34" s="426">
        <f t="shared" ref="BA34:BA36" si="81">AW34*AX34</f>
        <v>458.2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6721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150365</v>
      </c>
      <c r="Y35" s="324">
        <f t="shared" si="67"/>
        <v>0</v>
      </c>
      <c r="Z35" s="5">
        <f t="shared" si="21"/>
        <v>98681</v>
      </c>
      <c r="AA35" s="83">
        <f t="shared" si="68"/>
        <v>0</v>
      </c>
      <c r="AB35" s="5">
        <f t="shared" si="23"/>
        <v>251</v>
      </c>
      <c r="AC35" s="5">
        <f t="shared" si="24"/>
        <v>731</v>
      </c>
      <c r="AD35" s="83">
        <f t="shared" si="69"/>
        <v>0</v>
      </c>
      <c r="AE35" s="5">
        <f t="shared" si="25"/>
        <v>229.03</v>
      </c>
      <c r="AF35" s="83">
        <f t="shared" si="70"/>
        <v>0</v>
      </c>
      <c r="AG35" s="5">
        <f t="shared" si="27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3"/>
        <v>124</v>
      </c>
      <c r="AW35" s="5">
        <v>2.9</v>
      </c>
      <c r="AX35" s="201">
        <f t="shared" si="44"/>
        <v>158</v>
      </c>
      <c r="AY35" s="426">
        <f t="shared" si="79"/>
        <v>69.3</v>
      </c>
      <c r="AZ35" s="426">
        <f t="shared" si="80"/>
        <v>136.4</v>
      </c>
      <c r="BA35" s="426">
        <f t="shared" si="81"/>
        <v>458.2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6721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150365</v>
      </c>
      <c r="Y36" s="324">
        <f t="shared" si="67"/>
        <v>0</v>
      </c>
      <c r="Z36" s="5">
        <f t="shared" si="21"/>
        <v>98681</v>
      </c>
      <c r="AA36" s="83">
        <f t="shared" si="68"/>
        <v>0</v>
      </c>
      <c r="AB36" s="5">
        <f t="shared" si="23"/>
        <v>251</v>
      </c>
      <c r="AC36" s="5">
        <f t="shared" si="24"/>
        <v>731</v>
      </c>
      <c r="AD36" s="83">
        <f t="shared" si="69"/>
        <v>0</v>
      </c>
      <c r="AE36" s="5">
        <f t="shared" si="25"/>
        <v>229.03</v>
      </c>
      <c r="AF36" s="83">
        <f t="shared" si="70"/>
        <v>0</v>
      </c>
      <c r="AG36" s="5">
        <f t="shared" si="27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3"/>
        <v>124</v>
      </c>
      <c r="AW36" s="5">
        <v>2.9</v>
      </c>
      <c r="AX36" s="201">
        <f t="shared" si="44"/>
        <v>158</v>
      </c>
      <c r="AY36" s="426">
        <f t="shared" si="79"/>
        <v>69.3</v>
      </c>
      <c r="AZ36" s="426">
        <f t="shared" si="80"/>
        <v>136.4</v>
      </c>
      <c r="BA36" s="426">
        <f t="shared" si="81"/>
        <v>458.2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0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0</v>
      </c>
      <c r="AK37" s="327" t="e">
        <f>SUM(Y37-L37)</f>
        <v>#REF!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8" sqref="F8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/>
      <c r="C9" s="37"/>
      <c r="D9" s="26">
        <f>(C9+B9)/2</f>
        <v>0</v>
      </c>
      <c r="E9" s="394"/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/>
      <c r="C10" s="37"/>
      <c r="D10" s="26">
        <f t="shared" si="0"/>
        <v>0</v>
      </c>
      <c r="E10" s="354"/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/>
      <c r="C11" s="37"/>
      <c r="D11" s="26">
        <f t="shared" si="0"/>
        <v>0</v>
      </c>
      <c r="E11" s="394"/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/>
      <c r="C12" s="37"/>
      <c r="D12" s="26">
        <f t="shared" si="0"/>
        <v>0</v>
      </c>
      <c r="E12" s="394"/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/>
      <c r="C13" s="37"/>
      <c r="D13" s="26">
        <f>(C13+B13)/2</f>
        <v>0</v>
      </c>
      <c r="E13" s="354"/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/>
      <c r="C14" s="37"/>
      <c r="D14" s="26">
        <f t="shared" ref="D14:D33" si="3">(C14+B14)/2</f>
        <v>0</v>
      </c>
      <c r="E14" s="340"/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15.666666666666666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Y1" activePane="topRight" state="frozen"/>
      <selection pane="topRight" activeCell="AR7" sqref="AR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-3460.1967741935309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-420.20000000001164</v>
      </c>
      <c r="AX6" s="290">
        <f>-SUM(AW6-AS6)</f>
        <v>-3039.9967741935193</v>
      </c>
      <c r="AY6" s="37">
        <f>SUM(AX6+AW6)</f>
        <v>-3460.1967741935309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0.1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7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0.1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193</v>
      </c>
      <c r="C9" s="203">
        <f t="shared" si="18"/>
        <v>4152.6129032258068</v>
      </c>
      <c r="D9">
        <f t="shared" si="19"/>
        <v>193</v>
      </c>
      <c r="E9" s="203">
        <f t="shared" si="18"/>
        <v>4152.6129032258068</v>
      </c>
      <c r="F9">
        <f t="shared" si="20"/>
        <v>193</v>
      </c>
      <c r="G9" s="203">
        <f t="shared" si="1"/>
        <v>4152.6129032258068</v>
      </c>
      <c r="H9" s="203">
        <f t="shared" si="21"/>
        <v>193</v>
      </c>
      <c r="I9" s="203">
        <f t="shared" si="2"/>
        <v>4152.6129032258068</v>
      </c>
      <c r="J9" s="203">
        <f t="shared" si="22"/>
        <v>193</v>
      </c>
      <c r="K9" s="203">
        <f t="shared" si="3"/>
        <v>4152.6129032258068</v>
      </c>
      <c r="L9" s="203">
        <f t="shared" si="23"/>
        <v>193</v>
      </c>
      <c r="M9" s="203">
        <f t="shared" si="4"/>
        <v>4152.6129032258068</v>
      </c>
      <c r="N9" s="203">
        <f t="shared" si="24"/>
        <v>193</v>
      </c>
      <c r="O9" s="203">
        <f t="shared" si="5"/>
        <v>4152.6129032258068</v>
      </c>
      <c r="P9" s="203">
        <f t="shared" si="25"/>
        <v>193</v>
      </c>
      <c r="Q9" s="203">
        <f t="shared" si="6"/>
        <v>4152.6129032258068</v>
      </c>
      <c r="R9" s="203">
        <f t="shared" si="26"/>
        <v>193</v>
      </c>
      <c r="S9" s="203">
        <f t="shared" si="7"/>
        <v>4152.6129032258068</v>
      </c>
      <c r="T9" s="203">
        <f t="shared" si="27"/>
        <v>193</v>
      </c>
      <c r="U9" s="203">
        <f t="shared" si="8"/>
        <v>4152.6129032258068</v>
      </c>
      <c r="V9" s="203">
        <f t="shared" si="28"/>
        <v>193</v>
      </c>
      <c r="W9" s="203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3">
        <f>'B5'!C8</f>
        <v>199</v>
      </c>
      <c r="AA9" s="203">
        <f t="shared" si="30"/>
        <v>1990</v>
      </c>
      <c r="AB9" s="203">
        <f t="shared" si="31"/>
        <v>199</v>
      </c>
      <c r="AC9" s="203">
        <f t="shared" si="30"/>
        <v>1990</v>
      </c>
      <c r="AD9" s="203">
        <f t="shared" si="32"/>
        <v>199</v>
      </c>
      <c r="AE9" s="203">
        <f t="shared" si="11"/>
        <v>1990</v>
      </c>
      <c r="AF9" s="203">
        <f t="shared" si="33"/>
        <v>199</v>
      </c>
      <c r="AG9" s="203">
        <f t="shared" si="12"/>
        <v>1990</v>
      </c>
      <c r="AH9" s="203">
        <f t="shared" si="34"/>
        <v>199</v>
      </c>
      <c r="AI9" s="203">
        <f t="shared" si="13"/>
        <v>1990</v>
      </c>
      <c r="AJ9" s="203">
        <f t="shared" si="35"/>
        <v>199</v>
      </c>
      <c r="AK9" s="203">
        <f t="shared" si="14"/>
        <v>1990</v>
      </c>
      <c r="AL9" s="203">
        <f t="shared" si="36"/>
        <v>199</v>
      </c>
      <c r="AM9" s="203">
        <f t="shared" si="15"/>
        <v>1990</v>
      </c>
      <c r="AN9" s="35">
        <f t="shared" si="16"/>
        <v>0.71071428571428574</v>
      </c>
      <c r="AO9" s="36">
        <f>SUM(AA9+AC9+AE9+AG9+AI9+AK9+AM9)</f>
        <v>13930</v>
      </c>
      <c r="AQ9" s="223">
        <f t="shared" si="37"/>
        <v>0.64116104050213896</v>
      </c>
      <c r="AR9" s="38">
        <f t="shared" si="41"/>
        <v>59608.741935483864</v>
      </c>
      <c r="AS9" s="197">
        <f t="shared" si="38"/>
        <v>0</v>
      </c>
      <c r="AT9" s="355"/>
      <c r="AU9" s="436"/>
      <c r="AV9" s="518">
        <f t="shared" si="42"/>
        <v>0.1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3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193</v>
      </c>
      <c r="C10" s="203">
        <f t="shared" si="18"/>
        <v>4152.6129032258068</v>
      </c>
      <c r="D10">
        <f t="shared" si="19"/>
        <v>193</v>
      </c>
      <c r="E10" s="203">
        <f t="shared" si="18"/>
        <v>4152.6129032258068</v>
      </c>
      <c r="F10">
        <f t="shared" si="20"/>
        <v>193</v>
      </c>
      <c r="G10" s="203">
        <f t="shared" si="1"/>
        <v>4152.6129032258068</v>
      </c>
      <c r="H10" s="203">
        <f t="shared" si="21"/>
        <v>193</v>
      </c>
      <c r="I10" s="203">
        <f t="shared" si="2"/>
        <v>4152.6129032258068</v>
      </c>
      <c r="J10" s="203">
        <f t="shared" si="22"/>
        <v>193</v>
      </c>
      <c r="K10" s="203">
        <f t="shared" si="3"/>
        <v>4152.6129032258068</v>
      </c>
      <c r="L10" s="203">
        <f t="shared" si="23"/>
        <v>193</v>
      </c>
      <c r="M10" s="203">
        <f t="shared" si="4"/>
        <v>4152.6129032258068</v>
      </c>
      <c r="N10" s="203">
        <f t="shared" si="24"/>
        <v>193</v>
      </c>
      <c r="O10" s="203">
        <f t="shared" si="5"/>
        <v>4152.6129032258068</v>
      </c>
      <c r="P10" s="203">
        <f t="shared" si="25"/>
        <v>193</v>
      </c>
      <c r="Q10" s="203">
        <f t="shared" si="6"/>
        <v>4152.6129032258068</v>
      </c>
      <c r="R10" s="203">
        <f t="shared" si="26"/>
        <v>193</v>
      </c>
      <c r="S10" s="203">
        <f t="shared" si="7"/>
        <v>4152.6129032258068</v>
      </c>
      <c r="T10" s="203">
        <f t="shared" si="27"/>
        <v>193</v>
      </c>
      <c r="U10" s="203">
        <f t="shared" si="8"/>
        <v>4152.6129032258068</v>
      </c>
      <c r="V10" s="203">
        <f t="shared" si="28"/>
        <v>193</v>
      </c>
      <c r="W10" s="203">
        <f t="shared" si="9"/>
        <v>4152.6129032258068</v>
      </c>
      <c r="X10" s="35">
        <f t="shared" si="10"/>
        <v>0.62258064516129019</v>
      </c>
      <c r="Y10" s="36">
        <f t="shared" si="29"/>
        <v>45678.741935483864</v>
      </c>
      <c r="Z10" s="203">
        <f>'B5'!C9</f>
        <v>199</v>
      </c>
      <c r="AA10" s="203">
        <f t="shared" si="30"/>
        <v>1990</v>
      </c>
      <c r="AB10" s="203">
        <f t="shared" si="31"/>
        <v>199</v>
      </c>
      <c r="AC10" s="203">
        <f t="shared" si="30"/>
        <v>1990</v>
      </c>
      <c r="AD10" s="203">
        <f t="shared" si="32"/>
        <v>199</v>
      </c>
      <c r="AE10" s="203">
        <f t="shared" si="11"/>
        <v>1990</v>
      </c>
      <c r="AF10" s="203">
        <f t="shared" si="33"/>
        <v>199</v>
      </c>
      <c r="AG10" s="203">
        <f t="shared" si="12"/>
        <v>1990</v>
      </c>
      <c r="AH10" s="203">
        <f t="shared" si="34"/>
        <v>199</v>
      </c>
      <c r="AI10" s="203">
        <f t="shared" si="13"/>
        <v>1990</v>
      </c>
      <c r="AJ10" s="203">
        <f t="shared" si="35"/>
        <v>199</v>
      </c>
      <c r="AK10" s="203">
        <f t="shared" si="14"/>
        <v>1990</v>
      </c>
      <c r="AL10" s="203">
        <f t="shared" si="36"/>
        <v>199</v>
      </c>
      <c r="AM10" s="203">
        <f t="shared" si="15"/>
        <v>1990</v>
      </c>
      <c r="AN10" s="35">
        <f t="shared" si="16"/>
        <v>0.71071428571428574</v>
      </c>
      <c r="AO10" s="36">
        <f t="shared" si="17"/>
        <v>13930</v>
      </c>
      <c r="AQ10" s="223">
        <f t="shared" si="37"/>
        <v>0.64116104050213896</v>
      </c>
      <c r="AR10" s="38">
        <f t="shared" si="41"/>
        <v>59608.741935483864</v>
      </c>
      <c r="AS10" s="197">
        <f>SUM(AR10-AR9-AT10)</f>
        <v>0</v>
      </c>
      <c r="AT10" s="355"/>
      <c r="AU10" s="436"/>
      <c r="AV10" s="518">
        <f>IF(AT10&gt;0,AU10,AV9)</f>
        <v>0.1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3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193</v>
      </c>
      <c r="C11" s="203">
        <f t="shared" si="18"/>
        <v>4152.6129032258068</v>
      </c>
      <c r="D11">
        <f>SUM(B11)</f>
        <v>193</v>
      </c>
      <c r="E11" s="203">
        <f t="shared" si="18"/>
        <v>4152.6129032258068</v>
      </c>
      <c r="F11">
        <f>SUM(D11)</f>
        <v>193</v>
      </c>
      <c r="G11" s="203">
        <f t="shared" si="1"/>
        <v>4152.6129032258068</v>
      </c>
      <c r="H11" s="203">
        <f>SUM(F11)</f>
        <v>193</v>
      </c>
      <c r="I11" s="203">
        <f t="shared" si="2"/>
        <v>4152.6129032258068</v>
      </c>
      <c r="J11" s="203">
        <f>SUM(H11)</f>
        <v>193</v>
      </c>
      <c r="K11" s="203">
        <f t="shared" si="3"/>
        <v>4152.6129032258068</v>
      </c>
      <c r="L11" s="203">
        <f>SUM(J11)</f>
        <v>193</v>
      </c>
      <c r="M11" s="203">
        <f t="shared" si="4"/>
        <v>4152.6129032258068</v>
      </c>
      <c r="N11" s="203">
        <f>SUM(L11)</f>
        <v>193</v>
      </c>
      <c r="O11" s="203">
        <f t="shared" si="5"/>
        <v>4152.6129032258068</v>
      </c>
      <c r="P11" s="203">
        <f>SUM(N11)</f>
        <v>193</v>
      </c>
      <c r="Q11" s="203">
        <f t="shared" si="6"/>
        <v>4152.6129032258068</v>
      </c>
      <c r="R11" s="203">
        <f>SUM(P11)</f>
        <v>193</v>
      </c>
      <c r="S11" s="203">
        <f t="shared" si="7"/>
        <v>4152.6129032258068</v>
      </c>
      <c r="T11" s="203">
        <f>SUM(R11)</f>
        <v>193</v>
      </c>
      <c r="U11" s="203">
        <f t="shared" si="8"/>
        <v>4152.6129032258068</v>
      </c>
      <c r="V11" s="203">
        <f>SUM(T11)</f>
        <v>193</v>
      </c>
      <c r="W11" s="203">
        <f t="shared" si="9"/>
        <v>4152.6129032258068</v>
      </c>
      <c r="X11" s="35">
        <f>SUM(Y11/73370)</f>
        <v>0.62258064516129019</v>
      </c>
      <c r="Y11" s="36">
        <f>SUM(C11+E11+G11+I11+K11+M11+O11+Q11+S11+U11+W11)</f>
        <v>45678.741935483864</v>
      </c>
      <c r="Z11" s="203">
        <f>'B5'!C10</f>
        <v>199</v>
      </c>
      <c r="AA11" s="203">
        <f t="shared" si="30"/>
        <v>1990</v>
      </c>
      <c r="AB11" s="203">
        <f>SUM(Z11)</f>
        <v>199</v>
      </c>
      <c r="AC11" s="203">
        <f t="shared" si="30"/>
        <v>1990</v>
      </c>
      <c r="AD11" s="203">
        <f>SUM(AB11)</f>
        <v>199</v>
      </c>
      <c r="AE11" s="203">
        <f t="shared" si="11"/>
        <v>1990</v>
      </c>
      <c r="AF11" s="203">
        <f>SUM(AD11)</f>
        <v>199</v>
      </c>
      <c r="AG11" s="203">
        <f t="shared" si="12"/>
        <v>1990</v>
      </c>
      <c r="AH11" s="203">
        <f>SUM(AF11)</f>
        <v>199</v>
      </c>
      <c r="AI11" s="203">
        <f t="shared" si="13"/>
        <v>1990</v>
      </c>
      <c r="AJ11" s="203">
        <f>SUM(AH11)</f>
        <v>199</v>
      </c>
      <c r="AK11" s="203">
        <f t="shared" si="14"/>
        <v>1990</v>
      </c>
      <c r="AL11" s="203">
        <f>SUM(AJ11)</f>
        <v>199</v>
      </c>
      <c r="AM11" s="203">
        <f t="shared" si="15"/>
        <v>1990</v>
      </c>
      <c r="AN11" s="35">
        <f>SUM(AO11/19600)</f>
        <v>0.71071428571428574</v>
      </c>
      <c r="AO11" s="36">
        <f t="shared" si="17"/>
        <v>13930</v>
      </c>
      <c r="AP11" s="565"/>
      <c r="AQ11" s="223">
        <f t="shared" si="37"/>
        <v>0.64116104050213896</v>
      </c>
      <c r="AR11" s="38">
        <f t="shared" si="41"/>
        <v>59608.741935483864</v>
      </c>
      <c r="AS11" s="197">
        <f>SUM(AR11-AR10-AT11)</f>
        <v>0</v>
      </c>
      <c r="AT11" s="355"/>
      <c r="AU11" s="436"/>
      <c r="AV11" s="518">
        <f>IF(AT11&gt;0,AU11,AV10)</f>
        <v>0.1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193</v>
      </c>
      <c r="C12" s="203">
        <f t="shared" si="18"/>
        <v>4152.6129032258068</v>
      </c>
      <c r="D12">
        <f t="shared" si="19"/>
        <v>193</v>
      </c>
      <c r="E12" s="203">
        <f t="shared" si="18"/>
        <v>4152.6129032258068</v>
      </c>
      <c r="F12">
        <f t="shared" si="20"/>
        <v>193</v>
      </c>
      <c r="G12" s="203">
        <f t="shared" si="1"/>
        <v>4152.6129032258068</v>
      </c>
      <c r="H12" s="203">
        <f t="shared" si="21"/>
        <v>193</v>
      </c>
      <c r="I12" s="203">
        <f t="shared" si="2"/>
        <v>4152.6129032258068</v>
      </c>
      <c r="J12" s="203">
        <f t="shared" si="22"/>
        <v>193</v>
      </c>
      <c r="K12" s="203">
        <f t="shared" si="3"/>
        <v>4152.6129032258068</v>
      </c>
      <c r="L12" s="203">
        <f t="shared" si="23"/>
        <v>193</v>
      </c>
      <c r="M12" s="203">
        <f t="shared" si="4"/>
        <v>4152.6129032258068</v>
      </c>
      <c r="N12" s="203">
        <f t="shared" si="24"/>
        <v>193</v>
      </c>
      <c r="O12" s="203">
        <f t="shared" si="5"/>
        <v>4152.6129032258068</v>
      </c>
      <c r="P12" s="203">
        <f t="shared" si="25"/>
        <v>193</v>
      </c>
      <c r="Q12" s="203">
        <f t="shared" si="6"/>
        <v>4152.6129032258068</v>
      </c>
      <c r="R12" s="203">
        <f t="shared" si="26"/>
        <v>193</v>
      </c>
      <c r="S12" s="203">
        <f t="shared" si="7"/>
        <v>4152.6129032258068</v>
      </c>
      <c r="T12" s="203">
        <f t="shared" si="27"/>
        <v>193</v>
      </c>
      <c r="U12" s="203">
        <f t="shared" si="8"/>
        <v>4152.6129032258068</v>
      </c>
      <c r="V12" s="203">
        <f t="shared" si="28"/>
        <v>193</v>
      </c>
      <c r="W12" s="203">
        <f t="shared" si="9"/>
        <v>4152.6129032258068</v>
      </c>
      <c r="X12" s="35">
        <f t="shared" si="10"/>
        <v>0.62258064516129019</v>
      </c>
      <c r="Y12" s="36">
        <f t="shared" si="29"/>
        <v>45678.741935483864</v>
      </c>
      <c r="Z12" s="203">
        <f>'B5'!C11</f>
        <v>199</v>
      </c>
      <c r="AA12" s="203">
        <f t="shared" si="30"/>
        <v>1990</v>
      </c>
      <c r="AB12" s="203">
        <f t="shared" si="31"/>
        <v>199</v>
      </c>
      <c r="AC12" s="203">
        <f t="shared" si="30"/>
        <v>1990</v>
      </c>
      <c r="AD12" s="203">
        <f t="shared" si="32"/>
        <v>199</v>
      </c>
      <c r="AE12" s="203">
        <f t="shared" si="11"/>
        <v>1990</v>
      </c>
      <c r="AF12" s="203">
        <f t="shared" si="33"/>
        <v>199</v>
      </c>
      <c r="AG12" s="203">
        <f t="shared" si="12"/>
        <v>1990</v>
      </c>
      <c r="AH12" s="203">
        <f t="shared" si="34"/>
        <v>199</v>
      </c>
      <c r="AI12" s="203">
        <f t="shared" si="13"/>
        <v>1990</v>
      </c>
      <c r="AJ12" s="203">
        <f t="shared" si="35"/>
        <v>199</v>
      </c>
      <c r="AK12" s="203">
        <f t="shared" si="14"/>
        <v>1990</v>
      </c>
      <c r="AL12" s="203">
        <f t="shared" si="36"/>
        <v>199</v>
      </c>
      <c r="AM12" s="203">
        <f t="shared" si="15"/>
        <v>1990</v>
      </c>
      <c r="AN12" s="35">
        <f t="shared" si="16"/>
        <v>0.71071428571428574</v>
      </c>
      <c r="AO12" s="36">
        <f t="shared" si="17"/>
        <v>13930</v>
      </c>
      <c r="AP12" s="565"/>
      <c r="AQ12" s="223">
        <f t="shared" si="37"/>
        <v>0.64116104050213896</v>
      </c>
      <c r="AR12" s="38">
        <f t="shared" si="41"/>
        <v>59608.741935483864</v>
      </c>
      <c r="AS12" s="197">
        <f>SUM(AR12-AR11-AT12)</f>
        <v>0</v>
      </c>
      <c r="AT12" s="271"/>
      <c r="AU12" s="478"/>
      <c r="AV12" s="518">
        <f t="shared" si="42"/>
        <v>0.1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193</v>
      </c>
      <c r="C13" s="203">
        <f t="shared" si="18"/>
        <v>4152.6129032258068</v>
      </c>
      <c r="D13">
        <f t="shared" si="19"/>
        <v>193</v>
      </c>
      <c r="E13" s="203">
        <f t="shared" si="18"/>
        <v>4152.6129032258068</v>
      </c>
      <c r="F13">
        <f t="shared" si="20"/>
        <v>193</v>
      </c>
      <c r="G13" s="203">
        <f t="shared" si="1"/>
        <v>4152.6129032258068</v>
      </c>
      <c r="H13" s="203">
        <f t="shared" si="21"/>
        <v>193</v>
      </c>
      <c r="I13" s="203">
        <f t="shared" si="2"/>
        <v>4152.6129032258068</v>
      </c>
      <c r="J13" s="203">
        <f t="shared" si="22"/>
        <v>193</v>
      </c>
      <c r="K13" s="203">
        <f t="shared" si="3"/>
        <v>4152.6129032258068</v>
      </c>
      <c r="L13" s="203">
        <f t="shared" si="23"/>
        <v>193</v>
      </c>
      <c r="M13" s="203">
        <f t="shared" si="4"/>
        <v>4152.6129032258068</v>
      </c>
      <c r="N13" s="203">
        <f t="shared" si="24"/>
        <v>193</v>
      </c>
      <c r="O13" s="203">
        <f t="shared" si="5"/>
        <v>4152.6129032258068</v>
      </c>
      <c r="P13" s="203">
        <f t="shared" si="25"/>
        <v>193</v>
      </c>
      <c r="Q13" s="203">
        <f t="shared" si="6"/>
        <v>4152.6129032258068</v>
      </c>
      <c r="R13" s="203">
        <f t="shared" si="26"/>
        <v>193</v>
      </c>
      <c r="S13" s="203">
        <f t="shared" si="7"/>
        <v>4152.6129032258068</v>
      </c>
      <c r="T13" s="203">
        <f t="shared" si="27"/>
        <v>193</v>
      </c>
      <c r="U13" s="203">
        <f t="shared" si="8"/>
        <v>4152.6129032258068</v>
      </c>
      <c r="V13" s="203">
        <f t="shared" si="28"/>
        <v>193</v>
      </c>
      <c r="W13" s="203">
        <f t="shared" si="9"/>
        <v>4152.6129032258068</v>
      </c>
      <c r="X13" s="35">
        <f t="shared" si="10"/>
        <v>0.62258064516129019</v>
      </c>
      <c r="Y13" s="36">
        <f t="shared" si="29"/>
        <v>45678.741935483864</v>
      </c>
      <c r="Z13" s="203">
        <f>'B5'!C12</f>
        <v>199</v>
      </c>
      <c r="AA13" s="203">
        <f t="shared" si="30"/>
        <v>1990</v>
      </c>
      <c r="AB13" s="203">
        <f t="shared" si="31"/>
        <v>199</v>
      </c>
      <c r="AC13" s="203">
        <f t="shared" si="30"/>
        <v>1990</v>
      </c>
      <c r="AD13" s="203">
        <f t="shared" si="32"/>
        <v>199</v>
      </c>
      <c r="AE13" s="203">
        <f t="shared" si="11"/>
        <v>1990</v>
      </c>
      <c r="AF13" s="203">
        <f t="shared" si="33"/>
        <v>199</v>
      </c>
      <c r="AG13" s="203">
        <f t="shared" si="12"/>
        <v>1990</v>
      </c>
      <c r="AH13" s="203">
        <f t="shared" si="34"/>
        <v>199</v>
      </c>
      <c r="AI13" s="203">
        <f t="shared" si="13"/>
        <v>1990</v>
      </c>
      <c r="AJ13" s="203">
        <f t="shared" si="35"/>
        <v>199</v>
      </c>
      <c r="AK13" s="203">
        <f t="shared" si="14"/>
        <v>1990</v>
      </c>
      <c r="AL13" s="203">
        <f t="shared" si="36"/>
        <v>199</v>
      </c>
      <c r="AM13" s="203">
        <f t="shared" si="15"/>
        <v>1990</v>
      </c>
      <c r="AN13" s="35">
        <f t="shared" si="16"/>
        <v>0.71071428571428574</v>
      </c>
      <c r="AO13" s="36">
        <f t="shared" si="17"/>
        <v>13930</v>
      </c>
      <c r="AP13" s="565"/>
      <c r="AQ13" s="223">
        <f t="shared" si="37"/>
        <v>0.64116104050213896</v>
      </c>
      <c r="AR13" s="38">
        <f t="shared" si="41"/>
        <v>59608.741935483864</v>
      </c>
      <c r="AS13" s="197">
        <f t="shared" si="38"/>
        <v>0</v>
      </c>
      <c r="AT13" s="271"/>
      <c r="AU13" s="436"/>
      <c r="AV13" s="518">
        <f t="shared" si="42"/>
        <v>0.1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193</v>
      </c>
      <c r="C14" s="203">
        <f t="shared" si="18"/>
        <v>4152.6129032258068</v>
      </c>
      <c r="D14">
        <f t="shared" si="19"/>
        <v>193</v>
      </c>
      <c r="E14" s="203">
        <f t="shared" si="18"/>
        <v>4152.6129032258068</v>
      </c>
      <c r="F14">
        <f t="shared" si="20"/>
        <v>193</v>
      </c>
      <c r="G14" s="203">
        <f t="shared" si="1"/>
        <v>4152.6129032258068</v>
      </c>
      <c r="H14" s="203">
        <f t="shared" si="21"/>
        <v>193</v>
      </c>
      <c r="I14" s="203">
        <f t="shared" si="2"/>
        <v>4152.6129032258068</v>
      </c>
      <c r="J14" s="203">
        <f t="shared" si="22"/>
        <v>193</v>
      </c>
      <c r="K14" s="203">
        <f t="shared" si="3"/>
        <v>4152.6129032258068</v>
      </c>
      <c r="L14" s="203">
        <f t="shared" si="23"/>
        <v>193</v>
      </c>
      <c r="M14" s="203">
        <f t="shared" si="4"/>
        <v>4152.6129032258068</v>
      </c>
      <c r="N14" s="203">
        <f t="shared" si="24"/>
        <v>193</v>
      </c>
      <c r="O14" s="203">
        <f t="shared" si="5"/>
        <v>4152.6129032258068</v>
      </c>
      <c r="P14" s="203">
        <f t="shared" si="25"/>
        <v>193</v>
      </c>
      <c r="Q14" s="203">
        <f t="shared" si="6"/>
        <v>4152.6129032258068</v>
      </c>
      <c r="R14" s="203">
        <f t="shared" si="26"/>
        <v>193</v>
      </c>
      <c r="S14" s="203">
        <f t="shared" si="7"/>
        <v>4152.6129032258068</v>
      </c>
      <c r="T14" s="203">
        <f t="shared" si="27"/>
        <v>193</v>
      </c>
      <c r="U14" s="203">
        <f t="shared" si="8"/>
        <v>4152.6129032258068</v>
      </c>
      <c r="V14" s="203">
        <f t="shared" si="28"/>
        <v>193</v>
      </c>
      <c r="W14" s="203">
        <f t="shared" si="9"/>
        <v>4152.6129032258068</v>
      </c>
      <c r="X14" s="35">
        <f t="shared" si="10"/>
        <v>0.62258064516129019</v>
      </c>
      <c r="Y14" s="36">
        <f t="shared" si="29"/>
        <v>45678.741935483864</v>
      </c>
      <c r="Z14" s="203">
        <f>'B5'!C13</f>
        <v>199</v>
      </c>
      <c r="AA14" s="203">
        <f t="shared" si="30"/>
        <v>1990</v>
      </c>
      <c r="AB14" s="203">
        <f t="shared" si="31"/>
        <v>199</v>
      </c>
      <c r="AC14" s="203">
        <f t="shared" si="30"/>
        <v>1990</v>
      </c>
      <c r="AD14" s="203">
        <f t="shared" si="32"/>
        <v>199</v>
      </c>
      <c r="AE14" s="203">
        <f t="shared" si="11"/>
        <v>1990</v>
      </c>
      <c r="AF14" s="203">
        <f t="shared" si="33"/>
        <v>199</v>
      </c>
      <c r="AG14" s="203">
        <f t="shared" si="12"/>
        <v>1990</v>
      </c>
      <c r="AH14" s="203">
        <f t="shared" si="34"/>
        <v>199</v>
      </c>
      <c r="AI14" s="203">
        <f t="shared" si="13"/>
        <v>1990</v>
      </c>
      <c r="AJ14" s="203">
        <f t="shared" si="35"/>
        <v>199</v>
      </c>
      <c r="AK14" s="203">
        <f t="shared" si="14"/>
        <v>1990</v>
      </c>
      <c r="AL14" s="203">
        <f t="shared" si="36"/>
        <v>199</v>
      </c>
      <c r="AM14" s="203">
        <f t="shared" si="15"/>
        <v>1990</v>
      </c>
      <c r="AN14" s="35">
        <f t="shared" si="16"/>
        <v>0.71071428571428574</v>
      </c>
      <c r="AO14" s="36">
        <f t="shared" si="17"/>
        <v>13930</v>
      </c>
      <c r="AQ14" s="223">
        <f t="shared" si="37"/>
        <v>0.64116104050213896</v>
      </c>
      <c r="AR14" s="38">
        <f t="shared" si="41"/>
        <v>59608.741935483864</v>
      </c>
      <c r="AS14" s="197">
        <f>SUM(AR14-AR13-AT14)</f>
        <v>0</v>
      </c>
      <c r="AT14" s="271"/>
      <c r="AU14" s="478"/>
      <c r="AV14" s="518">
        <f t="shared" si="42"/>
        <v>0.1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193</v>
      </c>
      <c r="C15" s="203">
        <f t="shared" si="18"/>
        <v>4152.6129032258068</v>
      </c>
      <c r="D15">
        <f t="shared" si="19"/>
        <v>193</v>
      </c>
      <c r="E15" s="203">
        <f t="shared" si="18"/>
        <v>4152.6129032258068</v>
      </c>
      <c r="F15">
        <f t="shared" si="20"/>
        <v>193</v>
      </c>
      <c r="G15" s="203">
        <f t="shared" si="1"/>
        <v>4152.6129032258068</v>
      </c>
      <c r="H15" s="203">
        <f t="shared" si="21"/>
        <v>193</v>
      </c>
      <c r="I15" s="203">
        <f t="shared" si="2"/>
        <v>4152.6129032258068</v>
      </c>
      <c r="J15" s="203">
        <f t="shared" si="22"/>
        <v>193</v>
      </c>
      <c r="K15" s="203">
        <f t="shared" si="3"/>
        <v>4152.6129032258068</v>
      </c>
      <c r="L15" s="203">
        <f t="shared" si="23"/>
        <v>193</v>
      </c>
      <c r="M15" s="203">
        <f t="shared" si="4"/>
        <v>4152.6129032258068</v>
      </c>
      <c r="N15" s="203">
        <f t="shared" si="24"/>
        <v>193</v>
      </c>
      <c r="O15" s="203">
        <f t="shared" si="5"/>
        <v>4152.6129032258068</v>
      </c>
      <c r="P15" s="203">
        <f t="shared" si="25"/>
        <v>193</v>
      </c>
      <c r="Q15" s="203">
        <f t="shared" si="6"/>
        <v>4152.6129032258068</v>
      </c>
      <c r="R15" s="203">
        <f t="shared" si="26"/>
        <v>193</v>
      </c>
      <c r="S15" s="203">
        <f t="shared" si="7"/>
        <v>4152.6129032258068</v>
      </c>
      <c r="T15" s="203">
        <f t="shared" si="27"/>
        <v>193</v>
      </c>
      <c r="U15" s="203">
        <f t="shared" si="8"/>
        <v>4152.6129032258068</v>
      </c>
      <c r="V15" s="203">
        <f t="shared" si="28"/>
        <v>193</v>
      </c>
      <c r="W15" s="203">
        <f t="shared" si="9"/>
        <v>4152.6129032258068</v>
      </c>
      <c r="X15" s="35">
        <f t="shared" si="10"/>
        <v>0.62258064516129019</v>
      </c>
      <c r="Y15" s="36">
        <f t="shared" si="29"/>
        <v>45678.741935483864</v>
      </c>
      <c r="Z15" s="203">
        <f>'B5'!C14</f>
        <v>199</v>
      </c>
      <c r="AA15" s="203">
        <f t="shared" si="30"/>
        <v>1990</v>
      </c>
      <c r="AB15" s="203">
        <f t="shared" si="31"/>
        <v>199</v>
      </c>
      <c r="AC15" s="203">
        <f t="shared" si="30"/>
        <v>1990</v>
      </c>
      <c r="AD15" s="203">
        <f t="shared" si="32"/>
        <v>199</v>
      </c>
      <c r="AE15" s="203">
        <f t="shared" si="11"/>
        <v>1990</v>
      </c>
      <c r="AF15" s="203">
        <f t="shared" si="33"/>
        <v>199</v>
      </c>
      <c r="AG15" s="203">
        <f t="shared" si="12"/>
        <v>1990</v>
      </c>
      <c r="AH15" s="203">
        <f t="shared" si="34"/>
        <v>199</v>
      </c>
      <c r="AI15" s="203">
        <f t="shared" si="13"/>
        <v>1990</v>
      </c>
      <c r="AJ15" s="203">
        <f t="shared" si="35"/>
        <v>199</v>
      </c>
      <c r="AK15" s="203">
        <f t="shared" si="14"/>
        <v>1990</v>
      </c>
      <c r="AL15" s="203">
        <f t="shared" si="36"/>
        <v>199</v>
      </c>
      <c r="AM15" s="203">
        <f t="shared" si="15"/>
        <v>1990</v>
      </c>
      <c r="AN15" s="35">
        <f t="shared" si="16"/>
        <v>0.71071428571428574</v>
      </c>
      <c r="AO15" s="36">
        <f t="shared" si="17"/>
        <v>13930</v>
      </c>
      <c r="AQ15" s="223">
        <f t="shared" si="37"/>
        <v>0.64116104050213896</v>
      </c>
      <c r="AR15" s="38">
        <f t="shared" si="41"/>
        <v>59608.741935483864</v>
      </c>
      <c r="AS15" s="197">
        <f>SUM(AR15-AR14-AT15)</f>
        <v>0</v>
      </c>
      <c r="AT15" s="271"/>
      <c r="AU15" s="436"/>
      <c r="AV15" s="518">
        <f>IF(AT15&gt;0,AU15,AV14)</f>
        <v>0.1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193</v>
      </c>
      <c r="C16" s="203">
        <f t="shared" si="18"/>
        <v>4152.6129032258068</v>
      </c>
      <c r="D16">
        <f t="shared" si="19"/>
        <v>193</v>
      </c>
      <c r="E16" s="203">
        <f t="shared" si="18"/>
        <v>4152.6129032258068</v>
      </c>
      <c r="F16">
        <f t="shared" si="20"/>
        <v>193</v>
      </c>
      <c r="G16" s="203">
        <f t="shared" si="1"/>
        <v>4152.6129032258068</v>
      </c>
      <c r="H16" s="203">
        <f t="shared" si="21"/>
        <v>193</v>
      </c>
      <c r="I16" s="203">
        <f t="shared" si="2"/>
        <v>4152.6129032258068</v>
      </c>
      <c r="J16" s="203">
        <f t="shared" si="22"/>
        <v>193</v>
      </c>
      <c r="K16" s="203">
        <f t="shared" si="3"/>
        <v>4152.6129032258068</v>
      </c>
      <c r="L16" s="203">
        <f t="shared" si="23"/>
        <v>193</v>
      </c>
      <c r="M16" s="203">
        <f t="shared" si="4"/>
        <v>4152.6129032258068</v>
      </c>
      <c r="N16" s="203">
        <f t="shared" si="24"/>
        <v>193</v>
      </c>
      <c r="O16" s="203">
        <f t="shared" si="5"/>
        <v>4152.6129032258068</v>
      </c>
      <c r="P16" s="203">
        <f t="shared" si="25"/>
        <v>193</v>
      </c>
      <c r="Q16" s="203">
        <f t="shared" si="6"/>
        <v>4152.6129032258068</v>
      </c>
      <c r="R16" s="203">
        <f t="shared" si="26"/>
        <v>193</v>
      </c>
      <c r="S16" s="203">
        <f t="shared" si="7"/>
        <v>4152.6129032258068</v>
      </c>
      <c r="T16" s="203">
        <f t="shared" si="27"/>
        <v>193</v>
      </c>
      <c r="U16" s="203">
        <f t="shared" si="8"/>
        <v>4152.6129032258068</v>
      </c>
      <c r="V16" s="203">
        <f t="shared" si="28"/>
        <v>193</v>
      </c>
      <c r="W16" s="203">
        <f t="shared" si="9"/>
        <v>4152.6129032258068</v>
      </c>
      <c r="X16" s="35">
        <f t="shared" si="10"/>
        <v>0.62258064516129019</v>
      </c>
      <c r="Y16" s="36">
        <f t="shared" si="29"/>
        <v>45678.741935483864</v>
      </c>
      <c r="Z16" s="203">
        <f>'B5'!C15</f>
        <v>199</v>
      </c>
      <c r="AA16" s="203">
        <f t="shared" si="30"/>
        <v>1990</v>
      </c>
      <c r="AB16" s="203">
        <f t="shared" si="31"/>
        <v>199</v>
      </c>
      <c r="AC16" s="203">
        <f t="shared" si="30"/>
        <v>1990</v>
      </c>
      <c r="AD16" s="203">
        <f t="shared" si="32"/>
        <v>199</v>
      </c>
      <c r="AE16" s="203">
        <f t="shared" si="11"/>
        <v>1990</v>
      </c>
      <c r="AF16" s="203">
        <f t="shared" si="33"/>
        <v>199</v>
      </c>
      <c r="AG16" s="203">
        <f t="shared" si="12"/>
        <v>1990</v>
      </c>
      <c r="AH16" s="203">
        <f t="shared" si="34"/>
        <v>199</v>
      </c>
      <c r="AI16" s="203">
        <f t="shared" si="13"/>
        <v>1990</v>
      </c>
      <c r="AJ16" s="203">
        <f t="shared" si="35"/>
        <v>199</v>
      </c>
      <c r="AK16" s="203">
        <f t="shared" si="14"/>
        <v>1990</v>
      </c>
      <c r="AL16" s="203">
        <f t="shared" si="36"/>
        <v>199</v>
      </c>
      <c r="AM16" s="203">
        <f t="shared" si="15"/>
        <v>1990</v>
      </c>
      <c r="AN16" s="35">
        <f t="shared" si="16"/>
        <v>0.71071428571428574</v>
      </c>
      <c r="AO16" s="36">
        <f t="shared" si="17"/>
        <v>13930</v>
      </c>
      <c r="AQ16" s="223">
        <f t="shared" si="37"/>
        <v>0.64116104050213896</v>
      </c>
      <c r="AR16" s="38">
        <f t="shared" si="41"/>
        <v>59608.741935483864</v>
      </c>
      <c r="AS16" s="197">
        <f>SUM(AR16-AR15-AT16)</f>
        <v>0</v>
      </c>
      <c r="AT16" s="355"/>
      <c r="AU16" s="436"/>
      <c r="AV16" s="518">
        <f>IF(AT16&gt;0,AU16,AV15)</f>
        <v>0.1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193</v>
      </c>
      <c r="C17" s="203">
        <f t="shared" si="18"/>
        <v>4152.6129032258068</v>
      </c>
      <c r="D17">
        <f t="shared" si="19"/>
        <v>193</v>
      </c>
      <c r="E17" s="203">
        <f t="shared" si="18"/>
        <v>4152.6129032258068</v>
      </c>
      <c r="F17">
        <f t="shared" si="20"/>
        <v>193</v>
      </c>
      <c r="G17" s="203">
        <f t="shared" si="1"/>
        <v>4152.6129032258068</v>
      </c>
      <c r="H17" s="203">
        <f t="shared" si="21"/>
        <v>193</v>
      </c>
      <c r="I17" s="203">
        <f t="shared" si="2"/>
        <v>4152.6129032258068</v>
      </c>
      <c r="J17" s="203">
        <f t="shared" si="22"/>
        <v>193</v>
      </c>
      <c r="K17" s="203">
        <f t="shared" si="3"/>
        <v>4152.6129032258068</v>
      </c>
      <c r="L17" s="203">
        <f t="shared" si="23"/>
        <v>193</v>
      </c>
      <c r="M17" s="203">
        <f t="shared" si="4"/>
        <v>4152.6129032258068</v>
      </c>
      <c r="N17" s="203">
        <f t="shared" si="24"/>
        <v>193</v>
      </c>
      <c r="O17" s="203">
        <f t="shared" si="5"/>
        <v>4152.6129032258068</v>
      </c>
      <c r="P17" s="203">
        <f t="shared" si="25"/>
        <v>193</v>
      </c>
      <c r="Q17" s="203">
        <f t="shared" si="6"/>
        <v>4152.6129032258068</v>
      </c>
      <c r="R17" s="203">
        <f t="shared" si="26"/>
        <v>193</v>
      </c>
      <c r="S17" s="203">
        <f t="shared" si="7"/>
        <v>4152.6129032258068</v>
      </c>
      <c r="T17" s="203">
        <f t="shared" si="27"/>
        <v>193</v>
      </c>
      <c r="U17" s="203">
        <f t="shared" si="8"/>
        <v>4152.6129032258068</v>
      </c>
      <c r="V17" s="203">
        <f t="shared" si="28"/>
        <v>193</v>
      </c>
      <c r="W17" s="203">
        <f t="shared" si="9"/>
        <v>4152.6129032258068</v>
      </c>
      <c r="X17" s="35">
        <f t="shared" si="10"/>
        <v>0.62258064516129019</v>
      </c>
      <c r="Y17" s="36">
        <f t="shared" si="29"/>
        <v>45678.741935483864</v>
      </c>
      <c r="Z17" s="203">
        <f>'B5'!C16</f>
        <v>199</v>
      </c>
      <c r="AA17" s="203">
        <f t="shared" si="30"/>
        <v>1990</v>
      </c>
      <c r="AB17" s="203">
        <f t="shared" si="31"/>
        <v>199</v>
      </c>
      <c r="AC17" s="203">
        <f t="shared" si="30"/>
        <v>1990</v>
      </c>
      <c r="AD17" s="203">
        <f t="shared" si="32"/>
        <v>199</v>
      </c>
      <c r="AE17" s="203">
        <f t="shared" si="11"/>
        <v>1990</v>
      </c>
      <c r="AF17" s="203">
        <f t="shared" si="33"/>
        <v>199</v>
      </c>
      <c r="AG17" s="203">
        <f t="shared" si="12"/>
        <v>1990</v>
      </c>
      <c r="AH17" s="203">
        <f t="shared" si="34"/>
        <v>199</v>
      </c>
      <c r="AI17" s="203">
        <f t="shared" si="13"/>
        <v>1990</v>
      </c>
      <c r="AJ17" s="203">
        <f t="shared" si="35"/>
        <v>199</v>
      </c>
      <c r="AK17" s="203">
        <f t="shared" si="14"/>
        <v>1990</v>
      </c>
      <c r="AL17" s="203">
        <f t="shared" si="36"/>
        <v>199</v>
      </c>
      <c r="AM17" s="203">
        <f t="shared" si="15"/>
        <v>1990</v>
      </c>
      <c r="AN17" s="35">
        <f t="shared" si="16"/>
        <v>0.71071428571428574</v>
      </c>
      <c r="AO17" s="36">
        <f>SUM(AA17+AC17+AE17+AG17+AI17+AK17+AM17)</f>
        <v>13930</v>
      </c>
      <c r="AQ17" s="223">
        <f t="shared" si="37"/>
        <v>0.64116104050213896</v>
      </c>
      <c r="AR17" s="38">
        <f t="shared" si="41"/>
        <v>59608.741935483864</v>
      </c>
      <c r="AS17" s="197">
        <f t="shared" si="38"/>
        <v>0</v>
      </c>
      <c r="AT17" s="355"/>
      <c r="AU17" s="478"/>
      <c r="AV17" s="518">
        <f t="shared" si="42"/>
        <v>0.1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193</v>
      </c>
      <c r="C18" s="203">
        <f t="shared" si="18"/>
        <v>4152.6129032258068</v>
      </c>
      <c r="D18">
        <f t="shared" si="19"/>
        <v>193</v>
      </c>
      <c r="E18" s="203">
        <f t="shared" si="18"/>
        <v>4152.6129032258068</v>
      </c>
      <c r="F18">
        <f t="shared" si="20"/>
        <v>193</v>
      </c>
      <c r="G18" s="203">
        <f t="shared" si="1"/>
        <v>4152.6129032258068</v>
      </c>
      <c r="H18" s="203">
        <f t="shared" si="21"/>
        <v>193</v>
      </c>
      <c r="I18" s="203">
        <f t="shared" si="2"/>
        <v>4152.6129032258068</v>
      </c>
      <c r="J18" s="203">
        <f t="shared" si="22"/>
        <v>193</v>
      </c>
      <c r="K18" s="203">
        <f t="shared" si="3"/>
        <v>4152.6129032258068</v>
      </c>
      <c r="L18" s="203">
        <f t="shared" si="23"/>
        <v>193</v>
      </c>
      <c r="M18" s="203">
        <f t="shared" si="4"/>
        <v>4152.6129032258068</v>
      </c>
      <c r="N18" s="203">
        <f t="shared" si="24"/>
        <v>193</v>
      </c>
      <c r="O18" s="203">
        <f t="shared" si="5"/>
        <v>4152.6129032258068</v>
      </c>
      <c r="P18" s="203">
        <f t="shared" si="25"/>
        <v>193</v>
      </c>
      <c r="Q18" s="203">
        <f t="shared" si="6"/>
        <v>4152.6129032258068</v>
      </c>
      <c r="R18" s="203">
        <f t="shared" si="26"/>
        <v>193</v>
      </c>
      <c r="S18" s="203">
        <f t="shared" si="7"/>
        <v>4152.6129032258068</v>
      </c>
      <c r="T18" s="203">
        <f t="shared" si="27"/>
        <v>193</v>
      </c>
      <c r="U18" s="203">
        <f t="shared" si="8"/>
        <v>4152.6129032258068</v>
      </c>
      <c r="V18" s="203">
        <f t="shared" si="28"/>
        <v>193</v>
      </c>
      <c r="W18" s="203">
        <f t="shared" si="9"/>
        <v>4152.6129032258068</v>
      </c>
      <c r="X18" s="35">
        <f t="shared" si="10"/>
        <v>0.62258064516129019</v>
      </c>
      <c r="Y18" s="36">
        <f t="shared" si="29"/>
        <v>45678.741935483864</v>
      </c>
      <c r="Z18" s="203">
        <f>'B5'!C17</f>
        <v>199</v>
      </c>
      <c r="AA18" s="203">
        <f t="shared" si="30"/>
        <v>1990</v>
      </c>
      <c r="AB18" s="203">
        <f t="shared" si="31"/>
        <v>199</v>
      </c>
      <c r="AC18" s="203">
        <f t="shared" si="30"/>
        <v>1990</v>
      </c>
      <c r="AD18" s="203">
        <f t="shared" si="32"/>
        <v>199</v>
      </c>
      <c r="AE18" s="203">
        <f t="shared" si="11"/>
        <v>1990</v>
      </c>
      <c r="AF18" s="203">
        <f t="shared" si="33"/>
        <v>199</v>
      </c>
      <c r="AG18" s="203">
        <f t="shared" si="12"/>
        <v>1990</v>
      </c>
      <c r="AH18" s="203">
        <f t="shared" si="34"/>
        <v>199</v>
      </c>
      <c r="AI18" s="203">
        <f t="shared" si="13"/>
        <v>1990</v>
      </c>
      <c r="AJ18" s="203">
        <f t="shared" si="35"/>
        <v>199</v>
      </c>
      <c r="AK18" s="203">
        <f t="shared" si="14"/>
        <v>1990</v>
      </c>
      <c r="AL18" s="203">
        <f t="shared" si="36"/>
        <v>199</v>
      </c>
      <c r="AM18" s="203">
        <f t="shared" si="15"/>
        <v>1990</v>
      </c>
      <c r="AN18" s="35">
        <f t="shared" si="16"/>
        <v>0.71071428571428574</v>
      </c>
      <c r="AO18" s="36">
        <f t="shared" si="17"/>
        <v>13930</v>
      </c>
      <c r="AQ18" s="223">
        <f t="shared" si="37"/>
        <v>0.64116104050213896</v>
      </c>
      <c r="AR18" s="38">
        <f t="shared" si="41"/>
        <v>59608.741935483864</v>
      </c>
      <c r="AS18" s="197">
        <f t="shared" si="38"/>
        <v>0</v>
      </c>
      <c r="AT18" s="271"/>
      <c r="AU18" s="436"/>
      <c r="AV18" s="518">
        <f>IF(AT18&gt;0,AU18,AV17)</f>
        <v>0.1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193</v>
      </c>
      <c r="C19" s="203">
        <f t="shared" si="18"/>
        <v>4152.6129032258068</v>
      </c>
      <c r="D19">
        <f t="shared" si="19"/>
        <v>193</v>
      </c>
      <c r="E19" s="203">
        <f t="shared" si="18"/>
        <v>4152.6129032258068</v>
      </c>
      <c r="F19">
        <f t="shared" si="20"/>
        <v>193</v>
      </c>
      <c r="G19" s="203">
        <f t="shared" si="1"/>
        <v>4152.6129032258068</v>
      </c>
      <c r="H19" s="203">
        <f t="shared" si="21"/>
        <v>193</v>
      </c>
      <c r="I19" s="203">
        <f t="shared" si="2"/>
        <v>4152.6129032258068</v>
      </c>
      <c r="J19" s="203">
        <f t="shared" si="22"/>
        <v>193</v>
      </c>
      <c r="K19" s="203">
        <f t="shared" si="3"/>
        <v>4152.6129032258068</v>
      </c>
      <c r="L19" s="203">
        <f t="shared" si="23"/>
        <v>193</v>
      </c>
      <c r="M19" s="203">
        <f t="shared" si="4"/>
        <v>4152.6129032258068</v>
      </c>
      <c r="N19" s="203">
        <f t="shared" si="24"/>
        <v>193</v>
      </c>
      <c r="O19" s="203">
        <f t="shared" si="5"/>
        <v>4152.6129032258068</v>
      </c>
      <c r="P19" s="203">
        <f t="shared" si="25"/>
        <v>193</v>
      </c>
      <c r="Q19" s="203">
        <f t="shared" si="6"/>
        <v>4152.6129032258068</v>
      </c>
      <c r="R19" s="203">
        <f t="shared" si="26"/>
        <v>193</v>
      </c>
      <c r="S19" s="203">
        <f t="shared" si="7"/>
        <v>4152.6129032258068</v>
      </c>
      <c r="T19" s="203">
        <f t="shared" si="27"/>
        <v>193</v>
      </c>
      <c r="U19" s="203">
        <f t="shared" si="8"/>
        <v>4152.6129032258068</v>
      </c>
      <c r="V19" s="203">
        <f t="shared" si="28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29"/>
        <v>45678.741935483864</v>
      </c>
      <c r="Z19" s="203">
        <f>'B5'!C18</f>
        <v>199</v>
      </c>
      <c r="AA19" s="203">
        <f t="shared" si="30"/>
        <v>1990</v>
      </c>
      <c r="AB19" s="203">
        <f t="shared" si="31"/>
        <v>199</v>
      </c>
      <c r="AC19" s="203">
        <f t="shared" si="30"/>
        <v>1990</v>
      </c>
      <c r="AD19" s="203">
        <f t="shared" si="32"/>
        <v>199</v>
      </c>
      <c r="AE19" s="203">
        <f t="shared" si="11"/>
        <v>1990</v>
      </c>
      <c r="AF19" s="203">
        <f t="shared" si="33"/>
        <v>199</v>
      </c>
      <c r="AG19" s="203">
        <f t="shared" si="12"/>
        <v>1990</v>
      </c>
      <c r="AH19" s="203">
        <f t="shared" si="34"/>
        <v>199</v>
      </c>
      <c r="AI19" s="203">
        <f t="shared" si="13"/>
        <v>1990</v>
      </c>
      <c r="AJ19" s="203">
        <f t="shared" si="35"/>
        <v>199</v>
      </c>
      <c r="AK19" s="203">
        <f t="shared" si="14"/>
        <v>1990</v>
      </c>
      <c r="AL19" s="203">
        <f t="shared" si="36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7"/>
        <v>0.64116104050213896</v>
      </c>
      <c r="AR19" s="38">
        <f t="shared" si="41"/>
        <v>59608.741935483864</v>
      </c>
      <c r="AS19" s="197">
        <f t="shared" si="38"/>
        <v>0</v>
      </c>
      <c r="AT19" s="271"/>
      <c r="AU19" s="436"/>
      <c r="AV19" s="518">
        <f t="shared" si="42"/>
        <v>0.1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193</v>
      </c>
      <c r="C20" s="203">
        <f t="shared" si="18"/>
        <v>4152.6129032258068</v>
      </c>
      <c r="D20">
        <f t="shared" si="19"/>
        <v>193</v>
      </c>
      <c r="E20" s="203">
        <f t="shared" si="18"/>
        <v>4152.6129032258068</v>
      </c>
      <c r="F20">
        <f t="shared" si="20"/>
        <v>193</v>
      </c>
      <c r="G20" s="203">
        <f t="shared" si="1"/>
        <v>4152.6129032258068</v>
      </c>
      <c r="H20" s="203">
        <f t="shared" si="21"/>
        <v>193</v>
      </c>
      <c r="I20" s="203">
        <f t="shared" si="2"/>
        <v>4152.6129032258068</v>
      </c>
      <c r="J20" s="203">
        <f t="shared" si="22"/>
        <v>193</v>
      </c>
      <c r="K20" s="203">
        <f t="shared" si="3"/>
        <v>4152.6129032258068</v>
      </c>
      <c r="L20" s="203">
        <f t="shared" si="23"/>
        <v>193</v>
      </c>
      <c r="M20" s="203">
        <f t="shared" si="4"/>
        <v>4152.6129032258068</v>
      </c>
      <c r="N20" s="203">
        <f t="shared" si="24"/>
        <v>193</v>
      </c>
      <c r="O20" s="203">
        <f t="shared" si="5"/>
        <v>4152.6129032258068</v>
      </c>
      <c r="P20" s="203">
        <f t="shared" si="25"/>
        <v>193</v>
      </c>
      <c r="Q20" s="203">
        <f t="shared" si="6"/>
        <v>4152.6129032258068</v>
      </c>
      <c r="R20" s="203">
        <f t="shared" si="26"/>
        <v>193</v>
      </c>
      <c r="S20" s="203">
        <f t="shared" si="7"/>
        <v>4152.6129032258068</v>
      </c>
      <c r="T20" s="203">
        <f t="shared" si="27"/>
        <v>193</v>
      </c>
      <c r="U20" s="203">
        <f t="shared" si="8"/>
        <v>4152.6129032258068</v>
      </c>
      <c r="V20" s="203">
        <f t="shared" si="28"/>
        <v>193</v>
      </c>
      <c r="W20" s="203">
        <f t="shared" si="9"/>
        <v>4152.6129032258068</v>
      </c>
      <c r="X20" s="35">
        <f t="shared" si="10"/>
        <v>0.62258064516129019</v>
      </c>
      <c r="Y20" s="36">
        <f t="shared" si="29"/>
        <v>45678.741935483864</v>
      </c>
      <c r="Z20" s="203">
        <f>'B5'!C19</f>
        <v>199</v>
      </c>
      <c r="AA20" s="203">
        <f t="shared" si="30"/>
        <v>1990</v>
      </c>
      <c r="AB20" s="203">
        <f t="shared" si="31"/>
        <v>199</v>
      </c>
      <c r="AC20" s="203">
        <f t="shared" si="30"/>
        <v>1990</v>
      </c>
      <c r="AD20" s="203">
        <f t="shared" si="32"/>
        <v>199</v>
      </c>
      <c r="AE20" s="203">
        <f t="shared" si="11"/>
        <v>1990</v>
      </c>
      <c r="AF20" s="203">
        <f t="shared" si="33"/>
        <v>199</v>
      </c>
      <c r="AG20" s="203">
        <f t="shared" si="12"/>
        <v>1990</v>
      </c>
      <c r="AH20" s="203">
        <f t="shared" si="34"/>
        <v>199</v>
      </c>
      <c r="AI20" s="203">
        <f t="shared" si="13"/>
        <v>1990</v>
      </c>
      <c r="AJ20" s="203">
        <f t="shared" si="35"/>
        <v>199</v>
      </c>
      <c r="AK20" s="203">
        <f t="shared" si="14"/>
        <v>1990</v>
      </c>
      <c r="AL20" s="203">
        <f t="shared" si="36"/>
        <v>199</v>
      </c>
      <c r="AM20" s="203">
        <f t="shared" si="15"/>
        <v>1990</v>
      </c>
      <c r="AN20" s="35">
        <f t="shared" si="16"/>
        <v>0.71071428571428574</v>
      </c>
      <c r="AO20" s="36">
        <f t="shared" si="17"/>
        <v>13930</v>
      </c>
      <c r="AQ20" s="223">
        <f t="shared" si="37"/>
        <v>0.64116104050213896</v>
      </c>
      <c r="AR20" s="38">
        <f t="shared" si="41"/>
        <v>59608.741935483864</v>
      </c>
      <c r="AS20" s="197">
        <f t="shared" si="38"/>
        <v>0</v>
      </c>
      <c r="AT20" s="271"/>
      <c r="AU20" s="436"/>
      <c r="AV20" s="518">
        <f t="shared" si="42"/>
        <v>0.1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193</v>
      </c>
      <c r="C21" s="203">
        <f t="shared" si="18"/>
        <v>4152.6129032258068</v>
      </c>
      <c r="D21">
        <f t="shared" si="19"/>
        <v>193</v>
      </c>
      <c r="E21" s="203">
        <f t="shared" si="18"/>
        <v>4152.6129032258068</v>
      </c>
      <c r="F21">
        <f t="shared" si="20"/>
        <v>193</v>
      </c>
      <c r="G21" s="203">
        <f t="shared" si="1"/>
        <v>4152.6129032258068</v>
      </c>
      <c r="H21" s="203">
        <f t="shared" si="21"/>
        <v>193</v>
      </c>
      <c r="I21" s="203">
        <f t="shared" si="2"/>
        <v>4152.6129032258068</v>
      </c>
      <c r="J21" s="203">
        <f t="shared" si="22"/>
        <v>193</v>
      </c>
      <c r="K21" s="203">
        <f t="shared" si="3"/>
        <v>4152.6129032258068</v>
      </c>
      <c r="L21" s="203">
        <f t="shared" si="23"/>
        <v>193</v>
      </c>
      <c r="M21" s="203">
        <f t="shared" si="4"/>
        <v>4152.6129032258068</v>
      </c>
      <c r="N21" s="203">
        <f t="shared" si="24"/>
        <v>193</v>
      </c>
      <c r="O21" s="203">
        <f t="shared" si="5"/>
        <v>4152.6129032258068</v>
      </c>
      <c r="P21" s="203">
        <f t="shared" si="25"/>
        <v>193</v>
      </c>
      <c r="Q21" s="203">
        <f t="shared" si="6"/>
        <v>4152.6129032258068</v>
      </c>
      <c r="R21" s="203">
        <f t="shared" si="26"/>
        <v>193</v>
      </c>
      <c r="S21" s="203">
        <f t="shared" si="7"/>
        <v>4152.6129032258068</v>
      </c>
      <c r="T21" s="203">
        <f t="shared" si="27"/>
        <v>193</v>
      </c>
      <c r="U21" s="203">
        <f t="shared" si="8"/>
        <v>4152.6129032258068</v>
      </c>
      <c r="V21" s="203">
        <f t="shared" si="28"/>
        <v>193</v>
      </c>
      <c r="W21" s="203">
        <f t="shared" si="9"/>
        <v>4152.6129032258068</v>
      </c>
      <c r="X21" s="35">
        <f t="shared" si="10"/>
        <v>0.62258064516129019</v>
      </c>
      <c r="Y21" s="36">
        <f t="shared" si="29"/>
        <v>45678.741935483864</v>
      </c>
      <c r="Z21" s="203">
        <f>'B5'!C20</f>
        <v>199</v>
      </c>
      <c r="AA21" s="203">
        <f t="shared" si="30"/>
        <v>1990</v>
      </c>
      <c r="AB21" s="203">
        <f t="shared" si="31"/>
        <v>199</v>
      </c>
      <c r="AC21" s="203">
        <f t="shared" si="30"/>
        <v>1990</v>
      </c>
      <c r="AD21" s="203">
        <f t="shared" si="32"/>
        <v>199</v>
      </c>
      <c r="AE21" s="203">
        <f t="shared" si="11"/>
        <v>1990</v>
      </c>
      <c r="AF21" s="203">
        <f t="shared" si="33"/>
        <v>199</v>
      </c>
      <c r="AG21" s="203">
        <f t="shared" si="12"/>
        <v>1990</v>
      </c>
      <c r="AH21" s="203">
        <f t="shared" si="34"/>
        <v>199</v>
      </c>
      <c r="AI21" s="203">
        <f t="shared" si="13"/>
        <v>1990</v>
      </c>
      <c r="AJ21" s="203">
        <f t="shared" si="35"/>
        <v>199</v>
      </c>
      <c r="AK21" s="203">
        <f t="shared" si="14"/>
        <v>1990</v>
      </c>
      <c r="AL21" s="203">
        <f t="shared" si="36"/>
        <v>199</v>
      </c>
      <c r="AM21" s="203">
        <f t="shared" si="15"/>
        <v>1990</v>
      </c>
      <c r="AN21" s="35">
        <f t="shared" si="16"/>
        <v>0.71071428571428574</v>
      </c>
      <c r="AO21" s="36">
        <f t="shared" si="17"/>
        <v>13930</v>
      </c>
      <c r="AQ21" s="223">
        <f t="shared" si="37"/>
        <v>0.64116104050213896</v>
      </c>
      <c r="AR21" s="38">
        <f t="shared" si="41"/>
        <v>59608.741935483864</v>
      </c>
      <c r="AS21" s="197">
        <f t="shared" si="38"/>
        <v>0</v>
      </c>
      <c r="AT21" s="271"/>
      <c r="AU21" s="436"/>
      <c r="AV21" s="518">
        <f t="shared" si="42"/>
        <v>0.1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193</v>
      </c>
      <c r="C22" s="203">
        <f t="shared" si="18"/>
        <v>4152.6129032258068</v>
      </c>
      <c r="D22">
        <f t="shared" si="19"/>
        <v>193</v>
      </c>
      <c r="E22" s="203">
        <f t="shared" si="18"/>
        <v>4152.6129032258068</v>
      </c>
      <c r="F22">
        <f t="shared" si="20"/>
        <v>193</v>
      </c>
      <c r="G22" s="203">
        <f t="shared" si="1"/>
        <v>4152.6129032258068</v>
      </c>
      <c r="H22" s="203">
        <f t="shared" si="21"/>
        <v>193</v>
      </c>
      <c r="I22" s="203">
        <f t="shared" si="2"/>
        <v>4152.6129032258068</v>
      </c>
      <c r="J22" s="203">
        <f t="shared" si="22"/>
        <v>193</v>
      </c>
      <c r="K22" s="203">
        <f t="shared" si="3"/>
        <v>4152.6129032258068</v>
      </c>
      <c r="L22" s="203">
        <f t="shared" si="23"/>
        <v>193</v>
      </c>
      <c r="M22" s="203">
        <f t="shared" si="4"/>
        <v>4152.6129032258068</v>
      </c>
      <c r="N22" s="203">
        <f t="shared" si="24"/>
        <v>193</v>
      </c>
      <c r="O22" s="203">
        <f t="shared" si="5"/>
        <v>4152.6129032258068</v>
      </c>
      <c r="P22" s="203">
        <f t="shared" si="25"/>
        <v>193</v>
      </c>
      <c r="Q22" s="203">
        <f t="shared" si="6"/>
        <v>4152.6129032258068</v>
      </c>
      <c r="R22" s="203">
        <f t="shared" si="26"/>
        <v>193</v>
      </c>
      <c r="S22" s="203">
        <f t="shared" si="7"/>
        <v>4152.6129032258068</v>
      </c>
      <c r="T22" s="203">
        <f t="shared" si="27"/>
        <v>193</v>
      </c>
      <c r="U22" s="203">
        <f t="shared" si="8"/>
        <v>4152.6129032258068</v>
      </c>
      <c r="V22" s="203">
        <f t="shared" si="28"/>
        <v>193</v>
      </c>
      <c r="W22" s="203">
        <f t="shared" si="9"/>
        <v>4152.6129032258068</v>
      </c>
      <c r="X22" s="35">
        <f t="shared" si="10"/>
        <v>0.62258064516129019</v>
      </c>
      <c r="Y22" s="36">
        <f t="shared" si="29"/>
        <v>45678.741935483864</v>
      </c>
      <c r="Z22" s="203">
        <f>'B5'!C21</f>
        <v>199</v>
      </c>
      <c r="AA22" s="203">
        <f t="shared" si="30"/>
        <v>1990</v>
      </c>
      <c r="AB22" s="203">
        <f t="shared" si="31"/>
        <v>199</v>
      </c>
      <c r="AC22" s="203">
        <f t="shared" si="30"/>
        <v>1990</v>
      </c>
      <c r="AD22" s="203">
        <f t="shared" si="32"/>
        <v>199</v>
      </c>
      <c r="AE22" s="203">
        <f t="shared" si="11"/>
        <v>1990</v>
      </c>
      <c r="AF22" s="203">
        <f t="shared" si="33"/>
        <v>199</v>
      </c>
      <c r="AG22" s="203">
        <f t="shared" si="12"/>
        <v>1990</v>
      </c>
      <c r="AH22" s="203">
        <f t="shared" si="34"/>
        <v>199</v>
      </c>
      <c r="AI22" s="203">
        <f t="shared" si="13"/>
        <v>1990</v>
      </c>
      <c r="AJ22" s="203">
        <f t="shared" si="35"/>
        <v>199</v>
      </c>
      <c r="AK22" s="203">
        <f t="shared" si="14"/>
        <v>1990</v>
      </c>
      <c r="AL22" s="203">
        <f t="shared" si="36"/>
        <v>199</v>
      </c>
      <c r="AM22" s="203">
        <f t="shared" si="15"/>
        <v>1990</v>
      </c>
      <c r="AN22" s="35">
        <f t="shared" si="16"/>
        <v>0.71071428571428574</v>
      </c>
      <c r="AO22" s="36">
        <f t="shared" si="17"/>
        <v>13930</v>
      </c>
      <c r="AQ22" s="223">
        <f t="shared" si="37"/>
        <v>0.64116104050213896</v>
      </c>
      <c r="AR22" s="38">
        <f t="shared" si="41"/>
        <v>59608.741935483864</v>
      </c>
      <c r="AS22" s="197">
        <f t="shared" si="38"/>
        <v>0</v>
      </c>
      <c r="AT22" s="271"/>
      <c r="AU22" s="436"/>
      <c r="AV22" s="518">
        <f t="shared" si="42"/>
        <v>0.1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193</v>
      </c>
      <c r="C23" s="203">
        <f t="shared" si="18"/>
        <v>4152.6129032258068</v>
      </c>
      <c r="D23">
        <f t="shared" si="19"/>
        <v>193</v>
      </c>
      <c r="E23" s="203">
        <f t="shared" si="18"/>
        <v>4152.6129032258068</v>
      </c>
      <c r="F23">
        <f t="shared" si="20"/>
        <v>193</v>
      </c>
      <c r="G23" s="203">
        <f t="shared" si="1"/>
        <v>4152.6129032258068</v>
      </c>
      <c r="H23" s="203">
        <f t="shared" si="21"/>
        <v>193</v>
      </c>
      <c r="I23" s="203">
        <f t="shared" si="2"/>
        <v>4152.6129032258068</v>
      </c>
      <c r="J23" s="203">
        <f t="shared" si="22"/>
        <v>193</v>
      </c>
      <c r="K23" s="203">
        <f t="shared" si="3"/>
        <v>4152.6129032258068</v>
      </c>
      <c r="L23" s="203">
        <f t="shared" si="23"/>
        <v>193</v>
      </c>
      <c r="M23" s="203">
        <f t="shared" si="4"/>
        <v>4152.6129032258068</v>
      </c>
      <c r="N23" s="203">
        <f t="shared" si="24"/>
        <v>193</v>
      </c>
      <c r="O23" s="203">
        <f t="shared" si="5"/>
        <v>4152.6129032258068</v>
      </c>
      <c r="P23" s="203">
        <f t="shared" si="25"/>
        <v>193</v>
      </c>
      <c r="Q23" s="203">
        <f t="shared" si="6"/>
        <v>4152.6129032258068</v>
      </c>
      <c r="R23" s="203">
        <f t="shared" si="26"/>
        <v>193</v>
      </c>
      <c r="S23" s="203">
        <f t="shared" si="7"/>
        <v>4152.6129032258068</v>
      </c>
      <c r="T23" s="203">
        <f t="shared" si="27"/>
        <v>193</v>
      </c>
      <c r="U23" s="203">
        <f t="shared" si="8"/>
        <v>4152.6129032258068</v>
      </c>
      <c r="V23" s="203">
        <f t="shared" si="28"/>
        <v>193</v>
      </c>
      <c r="W23" s="203">
        <f t="shared" si="9"/>
        <v>4152.6129032258068</v>
      </c>
      <c r="X23" s="35">
        <f t="shared" si="10"/>
        <v>0.62258064516129019</v>
      </c>
      <c r="Y23" s="36">
        <f t="shared" si="29"/>
        <v>45678.741935483864</v>
      </c>
      <c r="Z23" s="203">
        <f>'B5'!C22</f>
        <v>199</v>
      </c>
      <c r="AA23" s="203">
        <f t="shared" si="30"/>
        <v>1990</v>
      </c>
      <c r="AB23" s="203">
        <f t="shared" si="31"/>
        <v>199</v>
      </c>
      <c r="AC23" s="203">
        <f t="shared" si="30"/>
        <v>1990</v>
      </c>
      <c r="AD23" s="203">
        <f t="shared" si="32"/>
        <v>199</v>
      </c>
      <c r="AE23" s="203">
        <f t="shared" si="11"/>
        <v>1990</v>
      </c>
      <c r="AF23" s="203">
        <f t="shared" si="33"/>
        <v>199</v>
      </c>
      <c r="AG23" s="203">
        <f t="shared" si="12"/>
        <v>1990</v>
      </c>
      <c r="AH23" s="203">
        <f t="shared" si="34"/>
        <v>199</v>
      </c>
      <c r="AI23" s="203">
        <f t="shared" si="13"/>
        <v>1990</v>
      </c>
      <c r="AJ23" s="203">
        <f t="shared" si="35"/>
        <v>199</v>
      </c>
      <c r="AK23" s="203">
        <f t="shared" si="14"/>
        <v>1990</v>
      </c>
      <c r="AL23" s="203">
        <f t="shared" si="36"/>
        <v>199</v>
      </c>
      <c r="AM23" s="203">
        <f t="shared" si="15"/>
        <v>1990</v>
      </c>
      <c r="AN23" s="35">
        <f t="shared" si="16"/>
        <v>0.71071428571428574</v>
      </c>
      <c r="AO23" s="36">
        <f t="shared" si="17"/>
        <v>13930</v>
      </c>
      <c r="AQ23" s="223">
        <f t="shared" si="37"/>
        <v>0.64116104050213896</v>
      </c>
      <c r="AR23" s="38">
        <f t="shared" si="41"/>
        <v>59608.741935483864</v>
      </c>
      <c r="AS23" s="197">
        <f t="shared" si="38"/>
        <v>0</v>
      </c>
      <c r="AT23" s="271"/>
      <c r="AU23" s="436"/>
      <c r="AV23" s="518">
        <f t="shared" si="42"/>
        <v>0.1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193</v>
      </c>
      <c r="C24" s="203">
        <f t="shared" si="18"/>
        <v>4152.6129032258068</v>
      </c>
      <c r="D24">
        <f t="shared" si="19"/>
        <v>193</v>
      </c>
      <c r="E24" s="203">
        <f t="shared" si="18"/>
        <v>4152.6129032258068</v>
      </c>
      <c r="F24">
        <f t="shared" si="20"/>
        <v>193</v>
      </c>
      <c r="G24" s="203">
        <f t="shared" si="1"/>
        <v>4152.6129032258068</v>
      </c>
      <c r="H24" s="203">
        <f t="shared" si="21"/>
        <v>193</v>
      </c>
      <c r="I24" s="203">
        <f t="shared" si="2"/>
        <v>4152.6129032258068</v>
      </c>
      <c r="J24" s="203">
        <f t="shared" si="22"/>
        <v>193</v>
      </c>
      <c r="K24" s="203">
        <f t="shared" si="3"/>
        <v>4152.6129032258068</v>
      </c>
      <c r="L24" s="203">
        <f t="shared" si="23"/>
        <v>193</v>
      </c>
      <c r="M24" s="203">
        <f t="shared" si="4"/>
        <v>4152.6129032258068</v>
      </c>
      <c r="N24" s="203">
        <f t="shared" si="24"/>
        <v>193</v>
      </c>
      <c r="O24" s="203">
        <f t="shared" si="5"/>
        <v>4152.6129032258068</v>
      </c>
      <c r="P24" s="203">
        <f t="shared" si="25"/>
        <v>193</v>
      </c>
      <c r="Q24" s="203">
        <f t="shared" si="6"/>
        <v>4152.6129032258068</v>
      </c>
      <c r="R24" s="203">
        <f t="shared" si="26"/>
        <v>193</v>
      </c>
      <c r="S24" s="203">
        <f t="shared" si="7"/>
        <v>4152.6129032258068</v>
      </c>
      <c r="T24" s="203">
        <f t="shared" si="27"/>
        <v>193</v>
      </c>
      <c r="U24" s="203">
        <f t="shared" si="8"/>
        <v>4152.6129032258068</v>
      </c>
      <c r="V24" s="203">
        <f t="shared" si="28"/>
        <v>193</v>
      </c>
      <c r="W24" s="203">
        <f t="shared" si="9"/>
        <v>4152.6129032258068</v>
      </c>
      <c r="X24" s="35">
        <f t="shared" si="10"/>
        <v>0.62258064516129019</v>
      </c>
      <c r="Y24" s="36">
        <f t="shared" si="29"/>
        <v>45678.741935483864</v>
      </c>
      <c r="Z24" s="203">
        <f>'B5'!C23</f>
        <v>199</v>
      </c>
      <c r="AA24" s="203">
        <f t="shared" si="30"/>
        <v>1990</v>
      </c>
      <c r="AB24" s="203">
        <f t="shared" si="31"/>
        <v>199</v>
      </c>
      <c r="AC24" s="203">
        <f t="shared" si="30"/>
        <v>1990</v>
      </c>
      <c r="AD24" s="203">
        <f t="shared" si="32"/>
        <v>199</v>
      </c>
      <c r="AE24" s="203">
        <f t="shared" si="11"/>
        <v>1990</v>
      </c>
      <c r="AF24" s="203">
        <f t="shared" si="33"/>
        <v>199</v>
      </c>
      <c r="AG24" s="203">
        <f t="shared" si="12"/>
        <v>1990</v>
      </c>
      <c r="AH24" s="203">
        <f t="shared" si="34"/>
        <v>199</v>
      </c>
      <c r="AI24" s="203">
        <f t="shared" si="13"/>
        <v>1990</v>
      </c>
      <c r="AJ24" s="203">
        <f t="shared" si="35"/>
        <v>199</v>
      </c>
      <c r="AK24" s="203">
        <f t="shared" si="14"/>
        <v>1990</v>
      </c>
      <c r="AL24" s="203">
        <f t="shared" si="36"/>
        <v>199</v>
      </c>
      <c r="AM24" s="203">
        <f t="shared" si="15"/>
        <v>1990</v>
      </c>
      <c r="AN24" s="35">
        <f t="shared" si="16"/>
        <v>0.71071428571428574</v>
      </c>
      <c r="AO24" s="36">
        <f t="shared" si="17"/>
        <v>13930</v>
      </c>
      <c r="AQ24" s="223">
        <f t="shared" si="37"/>
        <v>0.64116104050213896</v>
      </c>
      <c r="AR24" s="38">
        <f t="shared" si="41"/>
        <v>59608.741935483864</v>
      </c>
      <c r="AS24" s="197">
        <f t="shared" si="38"/>
        <v>0</v>
      </c>
      <c r="AT24" s="271"/>
      <c r="AU24" s="436"/>
      <c r="AV24" s="518">
        <f t="shared" si="42"/>
        <v>0.1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193</v>
      </c>
      <c r="C25" s="203">
        <f t="shared" si="18"/>
        <v>4152.6129032258068</v>
      </c>
      <c r="D25">
        <f t="shared" si="19"/>
        <v>193</v>
      </c>
      <c r="E25" s="203">
        <f t="shared" si="18"/>
        <v>4152.6129032258068</v>
      </c>
      <c r="F25">
        <f t="shared" si="20"/>
        <v>193</v>
      </c>
      <c r="G25" s="203">
        <f t="shared" si="1"/>
        <v>4152.6129032258068</v>
      </c>
      <c r="H25" s="203">
        <f t="shared" si="21"/>
        <v>193</v>
      </c>
      <c r="I25" s="203">
        <f t="shared" si="2"/>
        <v>4152.6129032258068</v>
      </c>
      <c r="J25" s="203">
        <f t="shared" si="22"/>
        <v>193</v>
      </c>
      <c r="K25" s="203">
        <f t="shared" si="3"/>
        <v>4152.6129032258068</v>
      </c>
      <c r="L25" s="203">
        <f t="shared" si="23"/>
        <v>193</v>
      </c>
      <c r="M25" s="203">
        <f t="shared" si="4"/>
        <v>4152.6129032258068</v>
      </c>
      <c r="N25" s="203">
        <f t="shared" si="24"/>
        <v>193</v>
      </c>
      <c r="O25" s="203">
        <f t="shared" si="5"/>
        <v>4152.6129032258068</v>
      </c>
      <c r="P25" s="203">
        <f t="shared" si="25"/>
        <v>193</v>
      </c>
      <c r="Q25" s="203">
        <f t="shared" si="6"/>
        <v>4152.6129032258068</v>
      </c>
      <c r="R25" s="203">
        <f t="shared" si="26"/>
        <v>193</v>
      </c>
      <c r="S25" s="203">
        <f t="shared" si="7"/>
        <v>4152.6129032258068</v>
      </c>
      <c r="T25" s="203">
        <f t="shared" si="27"/>
        <v>193</v>
      </c>
      <c r="U25" s="203">
        <f t="shared" si="8"/>
        <v>4152.6129032258068</v>
      </c>
      <c r="V25" s="203">
        <f t="shared" si="28"/>
        <v>193</v>
      </c>
      <c r="W25" s="203">
        <f t="shared" si="9"/>
        <v>4152.6129032258068</v>
      </c>
      <c r="X25" s="35">
        <f t="shared" si="10"/>
        <v>0.62258064516129019</v>
      </c>
      <c r="Y25" s="36">
        <f t="shared" si="29"/>
        <v>45678.741935483864</v>
      </c>
      <c r="Z25" s="203">
        <f>'B5'!C24</f>
        <v>199</v>
      </c>
      <c r="AA25" s="203">
        <f t="shared" si="30"/>
        <v>1990</v>
      </c>
      <c r="AB25" s="203">
        <f t="shared" si="31"/>
        <v>199</v>
      </c>
      <c r="AC25" s="203">
        <f t="shared" si="30"/>
        <v>1990</v>
      </c>
      <c r="AD25" s="203">
        <f t="shared" si="32"/>
        <v>199</v>
      </c>
      <c r="AE25" s="203">
        <f t="shared" si="11"/>
        <v>1990</v>
      </c>
      <c r="AF25" s="203">
        <f t="shared" si="33"/>
        <v>199</v>
      </c>
      <c r="AG25" s="203">
        <f t="shared" si="12"/>
        <v>1990</v>
      </c>
      <c r="AH25" s="203">
        <f t="shared" si="34"/>
        <v>199</v>
      </c>
      <c r="AI25" s="203">
        <f t="shared" si="13"/>
        <v>1990</v>
      </c>
      <c r="AJ25" s="203">
        <f t="shared" si="35"/>
        <v>199</v>
      </c>
      <c r="AK25" s="203">
        <f t="shared" si="14"/>
        <v>1990</v>
      </c>
      <c r="AL25" s="203">
        <f t="shared" si="36"/>
        <v>199</v>
      </c>
      <c r="AM25" s="203">
        <f t="shared" si="15"/>
        <v>1990</v>
      </c>
      <c r="AN25" s="35">
        <f t="shared" si="16"/>
        <v>0.71071428571428574</v>
      </c>
      <c r="AO25" s="36">
        <f t="shared" si="17"/>
        <v>13930</v>
      </c>
      <c r="AQ25" s="223">
        <f t="shared" si="37"/>
        <v>0.64116104050213896</v>
      </c>
      <c r="AR25" s="38">
        <f t="shared" si="41"/>
        <v>59608.741935483864</v>
      </c>
      <c r="AS25" s="197">
        <f t="shared" si="38"/>
        <v>0</v>
      </c>
      <c r="AT25" s="271"/>
      <c r="AU25" s="436"/>
      <c r="AV25" s="518">
        <f t="shared" si="42"/>
        <v>0.1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193</v>
      </c>
      <c r="C26" s="203">
        <f t="shared" si="18"/>
        <v>4152.6129032258068</v>
      </c>
      <c r="D26">
        <f t="shared" si="19"/>
        <v>193</v>
      </c>
      <c r="E26" s="203">
        <f t="shared" si="18"/>
        <v>4152.6129032258068</v>
      </c>
      <c r="F26">
        <f t="shared" si="20"/>
        <v>193</v>
      </c>
      <c r="G26" s="203">
        <f t="shared" si="1"/>
        <v>4152.6129032258068</v>
      </c>
      <c r="H26" s="203">
        <f t="shared" si="21"/>
        <v>193</v>
      </c>
      <c r="I26" s="203">
        <f t="shared" si="2"/>
        <v>4152.6129032258068</v>
      </c>
      <c r="J26" s="203">
        <f t="shared" si="22"/>
        <v>193</v>
      </c>
      <c r="K26" s="203">
        <f t="shared" si="3"/>
        <v>4152.6129032258068</v>
      </c>
      <c r="L26" s="203">
        <f t="shared" si="23"/>
        <v>193</v>
      </c>
      <c r="M26" s="203">
        <f t="shared" si="4"/>
        <v>4152.6129032258068</v>
      </c>
      <c r="N26" s="203">
        <f t="shared" si="24"/>
        <v>193</v>
      </c>
      <c r="O26" s="203">
        <f t="shared" si="5"/>
        <v>4152.6129032258068</v>
      </c>
      <c r="P26" s="203">
        <f t="shared" si="25"/>
        <v>193</v>
      </c>
      <c r="Q26" s="203">
        <f t="shared" si="6"/>
        <v>4152.6129032258068</v>
      </c>
      <c r="R26" s="203">
        <f t="shared" si="26"/>
        <v>193</v>
      </c>
      <c r="S26" s="203">
        <f t="shared" si="7"/>
        <v>4152.6129032258068</v>
      </c>
      <c r="T26" s="203">
        <f t="shared" si="27"/>
        <v>193</v>
      </c>
      <c r="U26" s="203">
        <f t="shared" si="8"/>
        <v>4152.6129032258068</v>
      </c>
      <c r="V26" s="203">
        <f t="shared" si="28"/>
        <v>193</v>
      </c>
      <c r="W26" s="203">
        <f t="shared" si="9"/>
        <v>4152.6129032258068</v>
      </c>
      <c r="X26" s="35">
        <f t="shared" si="10"/>
        <v>0.62258064516129019</v>
      </c>
      <c r="Y26" s="36">
        <f t="shared" si="29"/>
        <v>45678.741935483864</v>
      </c>
      <c r="Z26" s="203">
        <f>'B5'!C25</f>
        <v>199</v>
      </c>
      <c r="AA26" s="203">
        <f t="shared" si="30"/>
        <v>1990</v>
      </c>
      <c r="AB26" s="203">
        <f t="shared" si="31"/>
        <v>199</v>
      </c>
      <c r="AC26" s="203">
        <f t="shared" si="30"/>
        <v>1990</v>
      </c>
      <c r="AD26" s="203">
        <f t="shared" si="32"/>
        <v>199</v>
      </c>
      <c r="AE26" s="203">
        <f t="shared" si="11"/>
        <v>1990</v>
      </c>
      <c r="AF26" s="203">
        <f t="shared" si="33"/>
        <v>199</v>
      </c>
      <c r="AG26" s="203">
        <f t="shared" si="12"/>
        <v>1990</v>
      </c>
      <c r="AH26" s="203">
        <f t="shared" si="34"/>
        <v>199</v>
      </c>
      <c r="AI26" s="203">
        <f t="shared" si="13"/>
        <v>1990</v>
      </c>
      <c r="AJ26" s="203">
        <f t="shared" si="35"/>
        <v>199</v>
      </c>
      <c r="AK26" s="203">
        <f t="shared" si="14"/>
        <v>1990</v>
      </c>
      <c r="AL26" s="203">
        <f t="shared" si="36"/>
        <v>199</v>
      </c>
      <c r="AM26" s="203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3">
        <f t="shared" si="37"/>
        <v>0.64116104050213896</v>
      </c>
      <c r="AR26" s="38">
        <f t="shared" si="41"/>
        <v>59608.741935483864</v>
      </c>
      <c r="AS26" s="197">
        <f t="shared" si="38"/>
        <v>0</v>
      </c>
      <c r="AT26" s="271"/>
      <c r="AU26" s="491"/>
      <c r="AV26" s="518">
        <f t="shared" si="42"/>
        <v>0.1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193</v>
      </c>
      <c r="C27" s="203">
        <f t="shared" si="18"/>
        <v>4152.6129032258068</v>
      </c>
      <c r="D27">
        <f t="shared" si="19"/>
        <v>193</v>
      </c>
      <c r="E27" s="203">
        <f t="shared" si="18"/>
        <v>4152.6129032258068</v>
      </c>
      <c r="F27">
        <f t="shared" si="20"/>
        <v>193</v>
      </c>
      <c r="G27" s="203">
        <f t="shared" si="1"/>
        <v>4152.6129032258068</v>
      </c>
      <c r="H27" s="203">
        <f t="shared" si="21"/>
        <v>193</v>
      </c>
      <c r="I27" s="203">
        <f t="shared" si="2"/>
        <v>4152.6129032258068</v>
      </c>
      <c r="J27" s="203">
        <f t="shared" si="22"/>
        <v>193</v>
      </c>
      <c r="K27" s="203">
        <f t="shared" si="3"/>
        <v>4152.6129032258068</v>
      </c>
      <c r="L27" s="203">
        <f t="shared" si="23"/>
        <v>193</v>
      </c>
      <c r="M27" s="203">
        <f t="shared" si="4"/>
        <v>4152.6129032258068</v>
      </c>
      <c r="N27" s="203">
        <f t="shared" si="24"/>
        <v>193</v>
      </c>
      <c r="O27" s="203">
        <f t="shared" si="5"/>
        <v>4152.6129032258068</v>
      </c>
      <c r="P27" s="203">
        <f t="shared" si="25"/>
        <v>193</v>
      </c>
      <c r="Q27" s="203">
        <f t="shared" si="6"/>
        <v>4152.6129032258068</v>
      </c>
      <c r="R27" s="203">
        <f t="shared" si="26"/>
        <v>193</v>
      </c>
      <c r="S27" s="203">
        <f t="shared" si="7"/>
        <v>4152.6129032258068</v>
      </c>
      <c r="T27" s="203">
        <f t="shared" si="27"/>
        <v>193</v>
      </c>
      <c r="U27" s="203">
        <f t="shared" si="8"/>
        <v>4152.6129032258068</v>
      </c>
      <c r="V27" s="203">
        <f t="shared" si="28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29"/>
        <v>45678.741935483864</v>
      </c>
      <c r="Z27" s="203">
        <f>'B5'!C26</f>
        <v>199</v>
      </c>
      <c r="AA27" s="203">
        <f t="shared" si="30"/>
        <v>1990</v>
      </c>
      <c r="AB27" s="203">
        <f t="shared" si="31"/>
        <v>199</v>
      </c>
      <c r="AC27" s="203">
        <f t="shared" si="30"/>
        <v>1990</v>
      </c>
      <c r="AD27" s="203">
        <f t="shared" si="32"/>
        <v>199</v>
      </c>
      <c r="AE27" s="203">
        <f t="shared" si="11"/>
        <v>1990</v>
      </c>
      <c r="AF27" s="203">
        <f t="shared" si="33"/>
        <v>199</v>
      </c>
      <c r="AG27" s="203">
        <f t="shared" si="12"/>
        <v>1990</v>
      </c>
      <c r="AH27" s="203">
        <f t="shared" si="34"/>
        <v>199</v>
      </c>
      <c r="AI27" s="203">
        <f t="shared" si="13"/>
        <v>1990</v>
      </c>
      <c r="AJ27" s="203">
        <f t="shared" si="35"/>
        <v>199</v>
      </c>
      <c r="AK27" s="203">
        <f t="shared" si="14"/>
        <v>1990</v>
      </c>
      <c r="AL27" s="203">
        <f t="shared" si="36"/>
        <v>199</v>
      </c>
      <c r="AM27" s="203">
        <f t="shared" si="15"/>
        <v>1990</v>
      </c>
      <c r="AN27" s="35">
        <f t="shared" si="16"/>
        <v>0.71071428571428574</v>
      </c>
      <c r="AO27" s="36">
        <f t="shared" si="17"/>
        <v>13930</v>
      </c>
      <c r="AQ27" s="223">
        <f t="shared" si="37"/>
        <v>0.64116104050213896</v>
      </c>
      <c r="AR27" s="38">
        <f t="shared" si="41"/>
        <v>59608.741935483864</v>
      </c>
      <c r="AS27" s="197">
        <f t="shared" si="38"/>
        <v>0</v>
      </c>
      <c r="AT27" s="271"/>
      <c r="AU27" s="436"/>
      <c r="AV27" s="518">
        <f t="shared" si="42"/>
        <v>0.1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193</v>
      </c>
      <c r="C28" s="203">
        <f t="shared" si="18"/>
        <v>4152.6129032258068</v>
      </c>
      <c r="D28">
        <f t="shared" si="19"/>
        <v>193</v>
      </c>
      <c r="E28" s="203">
        <f t="shared" si="18"/>
        <v>4152.6129032258068</v>
      </c>
      <c r="F28">
        <f t="shared" si="20"/>
        <v>193</v>
      </c>
      <c r="G28" s="203">
        <f t="shared" si="1"/>
        <v>4152.6129032258068</v>
      </c>
      <c r="H28" s="203">
        <f t="shared" si="21"/>
        <v>193</v>
      </c>
      <c r="I28" s="203">
        <f t="shared" si="2"/>
        <v>4152.6129032258068</v>
      </c>
      <c r="J28" s="203">
        <f t="shared" si="22"/>
        <v>193</v>
      </c>
      <c r="K28" s="203">
        <f t="shared" si="3"/>
        <v>4152.6129032258068</v>
      </c>
      <c r="L28" s="203">
        <f t="shared" si="23"/>
        <v>193</v>
      </c>
      <c r="M28" s="203">
        <f t="shared" si="4"/>
        <v>4152.6129032258068</v>
      </c>
      <c r="N28" s="203">
        <f t="shared" si="24"/>
        <v>193</v>
      </c>
      <c r="O28" s="203">
        <f t="shared" si="5"/>
        <v>4152.6129032258068</v>
      </c>
      <c r="P28" s="203">
        <f t="shared" si="25"/>
        <v>193</v>
      </c>
      <c r="Q28" s="203">
        <f t="shared" si="6"/>
        <v>4152.6129032258068</v>
      </c>
      <c r="R28" s="203">
        <f t="shared" si="26"/>
        <v>193</v>
      </c>
      <c r="S28" s="203">
        <f t="shared" si="7"/>
        <v>4152.6129032258068</v>
      </c>
      <c r="T28" s="203">
        <f t="shared" si="27"/>
        <v>193</v>
      </c>
      <c r="U28" s="203">
        <f t="shared" si="8"/>
        <v>4152.6129032258068</v>
      </c>
      <c r="V28" s="203">
        <f t="shared" si="28"/>
        <v>193</v>
      </c>
      <c r="W28" s="203">
        <f t="shared" si="9"/>
        <v>4152.6129032258068</v>
      </c>
      <c r="X28" s="35">
        <f t="shared" si="10"/>
        <v>0.62258064516129019</v>
      </c>
      <c r="Y28" s="36">
        <f t="shared" si="29"/>
        <v>45678.741935483864</v>
      </c>
      <c r="Z28" s="203">
        <f>'B5'!C27</f>
        <v>199</v>
      </c>
      <c r="AA28" s="203">
        <f t="shared" si="30"/>
        <v>1990</v>
      </c>
      <c r="AB28" s="203">
        <f t="shared" si="31"/>
        <v>199</v>
      </c>
      <c r="AC28" s="203">
        <f t="shared" si="30"/>
        <v>1990</v>
      </c>
      <c r="AD28" s="203">
        <f t="shared" si="32"/>
        <v>199</v>
      </c>
      <c r="AE28" s="203">
        <f t="shared" si="11"/>
        <v>1990</v>
      </c>
      <c r="AF28" s="203">
        <f t="shared" si="33"/>
        <v>199</v>
      </c>
      <c r="AG28" s="203">
        <f t="shared" si="12"/>
        <v>1990</v>
      </c>
      <c r="AH28" s="203">
        <f t="shared" si="34"/>
        <v>199</v>
      </c>
      <c r="AI28" s="203">
        <f t="shared" si="13"/>
        <v>1990</v>
      </c>
      <c r="AJ28" s="203">
        <f t="shared" si="35"/>
        <v>199</v>
      </c>
      <c r="AK28" s="203">
        <f t="shared" si="14"/>
        <v>1990</v>
      </c>
      <c r="AL28" s="203">
        <f t="shared" si="36"/>
        <v>199</v>
      </c>
      <c r="AM28" s="203">
        <f t="shared" si="15"/>
        <v>1990</v>
      </c>
      <c r="AN28" s="35">
        <f t="shared" si="16"/>
        <v>0.71071428571428574</v>
      </c>
      <c r="AO28" s="36">
        <f t="shared" si="17"/>
        <v>13930</v>
      </c>
      <c r="AQ28" s="223">
        <f t="shared" si="37"/>
        <v>0.64116104050213896</v>
      </c>
      <c r="AR28" s="38">
        <f t="shared" si="41"/>
        <v>59608.741935483864</v>
      </c>
      <c r="AS28" s="197">
        <f t="shared" si="38"/>
        <v>0</v>
      </c>
      <c r="AT28" s="355"/>
      <c r="AU28" s="436"/>
      <c r="AV28" s="518">
        <f t="shared" si="42"/>
        <v>0.1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193</v>
      </c>
      <c r="C29" s="203">
        <f t="shared" si="18"/>
        <v>4152.6129032258068</v>
      </c>
      <c r="D29">
        <f t="shared" si="19"/>
        <v>193</v>
      </c>
      <c r="E29" s="203">
        <f t="shared" si="18"/>
        <v>4152.6129032258068</v>
      </c>
      <c r="F29">
        <f t="shared" si="20"/>
        <v>193</v>
      </c>
      <c r="G29" s="203">
        <f t="shared" si="1"/>
        <v>4152.6129032258068</v>
      </c>
      <c r="H29" s="203">
        <f t="shared" si="21"/>
        <v>193</v>
      </c>
      <c r="I29" s="203">
        <f t="shared" si="2"/>
        <v>4152.6129032258068</v>
      </c>
      <c r="J29" s="203">
        <f t="shared" si="22"/>
        <v>193</v>
      </c>
      <c r="K29" s="203">
        <f t="shared" si="3"/>
        <v>4152.6129032258068</v>
      </c>
      <c r="L29" s="203">
        <f t="shared" si="23"/>
        <v>193</v>
      </c>
      <c r="M29" s="203">
        <f t="shared" si="4"/>
        <v>4152.6129032258068</v>
      </c>
      <c r="N29" s="203">
        <f t="shared" si="24"/>
        <v>193</v>
      </c>
      <c r="O29" s="203">
        <f t="shared" si="5"/>
        <v>4152.6129032258068</v>
      </c>
      <c r="P29" s="203">
        <f t="shared" si="25"/>
        <v>193</v>
      </c>
      <c r="Q29" s="203">
        <f t="shared" si="6"/>
        <v>4152.6129032258068</v>
      </c>
      <c r="R29" s="203">
        <f t="shared" si="26"/>
        <v>193</v>
      </c>
      <c r="S29" s="203">
        <f t="shared" si="7"/>
        <v>4152.6129032258068</v>
      </c>
      <c r="T29" s="203">
        <f t="shared" si="27"/>
        <v>193</v>
      </c>
      <c r="U29" s="203">
        <f t="shared" si="8"/>
        <v>4152.6129032258068</v>
      </c>
      <c r="V29" s="203">
        <f t="shared" si="28"/>
        <v>193</v>
      </c>
      <c r="W29" s="203">
        <f t="shared" si="9"/>
        <v>4152.6129032258068</v>
      </c>
      <c r="X29" s="35">
        <f t="shared" si="10"/>
        <v>0.62258064516129019</v>
      </c>
      <c r="Y29" s="36">
        <f t="shared" si="29"/>
        <v>45678.741935483864</v>
      </c>
      <c r="Z29" s="203">
        <f>'B5'!C28</f>
        <v>199</v>
      </c>
      <c r="AA29" s="203">
        <f t="shared" si="30"/>
        <v>1990</v>
      </c>
      <c r="AB29" s="203">
        <f t="shared" si="31"/>
        <v>199</v>
      </c>
      <c r="AC29" s="203">
        <f t="shared" si="30"/>
        <v>1990</v>
      </c>
      <c r="AD29" s="203">
        <f t="shared" si="32"/>
        <v>199</v>
      </c>
      <c r="AE29" s="203">
        <f t="shared" si="11"/>
        <v>1990</v>
      </c>
      <c r="AF29" s="203">
        <f t="shared" si="33"/>
        <v>199</v>
      </c>
      <c r="AG29" s="203">
        <f t="shared" si="12"/>
        <v>1990</v>
      </c>
      <c r="AH29" s="203">
        <f t="shared" si="34"/>
        <v>199</v>
      </c>
      <c r="AI29" s="203">
        <f t="shared" si="13"/>
        <v>1990</v>
      </c>
      <c r="AJ29" s="203">
        <f t="shared" si="35"/>
        <v>199</v>
      </c>
      <c r="AK29" s="203">
        <f t="shared" si="14"/>
        <v>1990</v>
      </c>
      <c r="AL29" s="203">
        <f t="shared" si="36"/>
        <v>199</v>
      </c>
      <c r="AM29" s="203">
        <f t="shared" si="15"/>
        <v>1990</v>
      </c>
      <c r="AN29" s="35">
        <f t="shared" si="16"/>
        <v>0.71071428571428574</v>
      </c>
      <c r="AO29" s="36">
        <f t="shared" si="17"/>
        <v>13930</v>
      </c>
      <c r="AQ29" s="223">
        <f t="shared" si="37"/>
        <v>0.64116104050213896</v>
      </c>
      <c r="AR29" s="38">
        <f t="shared" si="41"/>
        <v>59608.741935483864</v>
      </c>
      <c r="AS29" s="197">
        <f t="shared" si="38"/>
        <v>0</v>
      </c>
      <c r="AT29" s="355"/>
      <c r="AU29" s="436"/>
      <c r="AV29" s="518">
        <f t="shared" si="42"/>
        <v>0.1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193</v>
      </c>
      <c r="C30" s="203">
        <f t="shared" si="18"/>
        <v>4152.6129032258068</v>
      </c>
      <c r="D30">
        <f t="shared" ref="D30:D33" si="44">SUM(B30)</f>
        <v>193</v>
      </c>
      <c r="E30" s="203">
        <f t="shared" si="18"/>
        <v>4152.6129032258068</v>
      </c>
      <c r="F30">
        <f t="shared" ref="F30:F33" si="45">SUM(D30)</f>
        <v>193</v>
      </c>
      <c r="G30" s="203">
        <f t="shared" si="1"/>
        <v>4152.6129032258068</v>
      </c>
      <c r="H30" s="203">
        <f t="shared" ref="H30:H33" si="46">SUM(F30)</f>
        <v>193</v>
      </c>
      <c r="I30" s="203">
        <f t="shared" si="2"/>
        <v>4152.6129032258068</v>
      </c>
      <c r="J30" s="203">
        <f t="shared" ref="J30:J33" si="47">SUM(H30)</f>
        <v>193</v>
      </c>
      <c r="K30" s="203">
        <f t="shared" si="3"/>
        <v>4152.6129032258068</v>
      </c>
      <c r="L30" s="203">
        <f t="shared" ref="L30:L33" si="48">SUM(J30)</f>
        <v>193</v>
      </c>
      <c r="M30" s="203">
        <f t="shared" si="4"/>
        <v>4152.6129032258068</v>
      </c>
      <c r="N30" s="203">
        <f t="shared" ref="N30:N33" si="49">SUM(L30)</f>
        <v>193</v>
      </c>
      <c r="O30" s="203">
        <f t="shared" si="5"/>
        <v>4152.6129032258068</v>
      </c>
      <c r="P30" s="203">
        <f t="shared" ref="P30:P33" si="50">SUM(N30)</f>
        <v>193</v>
      </c>
      <c r="Q30" s="203">
        <f t="shared" si="6"/>
        <v>4152.6129032258068</v>
      </c>
      <c r="R30" s="203">
        <f t="shared" ref="R30:R33" si="51">SUM(P30)</f>
        <v>193</v>
      </c>
      <c r="S30" s="203">
        <f t="shared" si="7"/>
        <v>4152.6129032258068</v>
      </c>
      <c r="T30" s="203">
        <f t="shared" ref="T30:T33" si="52">SUM(R30)</f>
        <v>193</v>
      </c>
      <c r="U30" s="203">
        <f t="shared" si="8"/>
        <v>4152.6129032258068</v>
      </c>
      <c r="V30" s="203">
        <f t="shared" ref="V30:V33" si="53">SUM(T30)</f>
        <v>193</v>
      </c>
      <c r="W30" s="203">
        <f t="shared" si="9"/>
        <v>4152.6129032258068</v>
      </c>
      <c r="X30" s="35">
        <f t="shared" ref="X30:X33" si="54">SUM(Y30/73370)</f>
        <v>0.62258064516129019</v>
      </c>
      <c r="Y30" s="36">
        <f t="shared" ref="Y30:Y33" si="55">SUM(C30+E30+G30+I30+K30+M30+O30+Q30+S30+U30+W30)</f>
        <v>45678.741935483864</v>
      </c>
      <c r="Z30" s="203">
        <f>'B5'!C29</f>
        <v>199</v>
      </c>
      <c r="AA30" s="203">
        <f t="shared" si="30"/>
        <v>1990</v>
      </c>
      <c r="AB30" s="203">
        <f t="shared" ref="AB30:AB33" si="56">SUM(Z30)</f>
        <v>199</v>
      </c>
      <c r="AC30" s="203">
        <f t="shared" si="30"/>
        <v>1990</v>
      </c>
      <c r="AD30" s="203">
        <f t="shared" ref="AD30:AD33" si="57">SUM(AB30)</f>
        <v>199</v>
      </c>
      <c r="AE30" s="203">
        <f t="shared" si="11"/>
        <v>1990</v>
      </c>
      <c r="AF30" s="203">
        <f t="shared" ref="AF30:AF33" si="58">SUM(AD30)</f>
        <v>199</v>
      </c>
      <c r="AG30" s="203">
        <f t="shared" si="12"/>
        <v>1990</v>
      </c>
      <c r="AH30" s="203">
        <f t="shared" ref="AH30:AH33" si="59">SUM(AF30)</f>
        <v>199</v>
      </c>
      <c r="AI30" s="203">
        <f t="shared" si="13"/>
        <v>1990</v>
      </c>
      <c r="AJ30" s="203">
        <f t="shared" ref="AJ30:AJ33" si="60">SUM(AH30)</f>
        <v>199</v>
      </c>
      <c r="AK30" s="203">
        <f t="shared" si="14"/>
        <v>1990</v>
      </c>
      <c r="AL30" s="203">
        <f t="shared" ref="AL30:AL33" si="61">SUM(AJ30)</f>
        <v>199</v>
      </c>
      <c r="AM30" s="203">
        <f t="shared" si="15"/>
        <v>1990</v>
      </c>
      <c r="AN30" s="35">
        <f t="shared" ref="AN30:AN33" si="62">SUM(AO30/19600)</f>
        <v>0.71071428571428574</v>
      </c>
      <c r="AO30" s="36">
        <f t="shared" ref="AO30:AO33" si="63">SUM(AA30+AC30+AE30+AG30+AI30+AK30+AM30)</f>
        <v>13930</v>
      </c>
      <c r="AQ30" s="223">
        <f t="shared" si="37"/>
        <v>0.64116104050213896</v>
      </c>
      <c r="AR30" s="38">
        <f t="shared" si="41"/>
        <v>59608.741935483864</v>
      </c>
      <c r="AS30" s="197">
        <f t="shared" si="38"/>
        <v>0</v>
      </c>
      <c r="AT30" s="355"/>
      <c r="AU30" s="436"/>
      <c r="AV30" s="518">
        <f t="shared" si="42"/>
        <v>0.1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193</v>
      </c>
      <c r="C31" s="203">
        <f t="shared" si="18"/>
        <v>4152.6129032258068</v>
      </c>
      <c r="D31">
        <f t="shared" si="44"/>
        <v>193</v>
      </c>
      <c r="E31" s="203">
        <f t="shared" si="18"/>
        <v>4152.6129032258068</v>
      </c>
      <c r="F31">
        <f t="shared" si="45"/>
        <v>193</v>
      </c>
      <c r="G31" s="203">
        <f t="shared" si="1"/>
        <v>4152.6129032258068</v>
      </c>
      <c r="H31" s="203">
        <f t="shared" si="46"/>
        <v>193</v>
      </c>
      <c r="I31" s="203">
        <f t="shared" si="2"/>
        <v>4152.6129032258068</v>
      </c>
      <c r="J31" s="203">
        <f t="shared" si="47"/>
        <v>193</v>
      </c>
      <c r="K31" s="203">
        <f t="shared" si="3"/>
        <v>4152.6129032258068</v>
      </c>
      <c r="L31" s="203">
        <f t="shared" si="48"/>
        <v>193</v>
      </c>
      <c r="M31" s="203">
        <f t="shared" si="4"/>
        <v>4152.6129032258068</v>
      </c>
      <c r="N31" s="203">
        <f t="shared" si="49"/>
        <v>193</v>
      </c>
      <c r="O31" s="203">
        <f t="shared" si="5"/>
        <v>4152.6129032258068</v>
      </c>
      <c r="P31" s="203">
        <f t="shared" si="50"/>
        <v>193</v>
      </c>
      <c r="Q31" s="203">
        <f t="shared" si="6"/>
        <v>4152.6129032258068</v>
      </c>
      <c r="R31" s="203">
        <f t="shared" si="51"/>
        <v>193</v>
      </c>
      <c r="S31" s="203">
        <f t="shared" si="7"/>
        <v>4152.6129032258068</v>
      </c>
      <c r="T31" s="203">
        <f t="shared" si="52"/>
        <v>193</v>
      </c>
      <c r="U31" s="203">
        <f t="shared" si="8"/>
        <v>4152.6129032258068</v>
      </c>
      <c r="V31" s="203">
        <f t="shared" si="53"/>
        <v>193</v>
      </c>
      <c r="W31" s="203">
        <f t="shared" si="9"/>
        <v>4152.6129032258068</v>
      </c>
      <c r="X31" s="35">
        <f t="shared" si="54"/>
        <v>0.62258064516129019</v>
      </c>
      <c r="Y31" s="36">
        <f t="shared" si="55"/>
        <v>45678.741935483864</v>
      </c>
      <c r="Z31" s="203">
        <f>'B5'!C30</f>
        <v>199</v>
      </c>
      <c r="AA31" s="203">
        <f t="shared" si="30"/>
        <v>1990</v>
      </c>
      <c r="AB31" s="203">
        <f t="shared" si="56"/>
        <v>199</v>
      </c>
      <c r="AC31" s="203">
        <f t="shared" si="30"/>
        <v>1990</v>
      </c>
      <c r="AD31" s="203">
        <f t="shared" si="57"/>
        <v>199</v>
      </c>
      <c r="AE31" s="203">
        <f t="shared" si="11"/>
        <v>1990</v>
      </c>
      <c r="AF31" s="203">
        <f t="shared" si="58"/>
        <v>199</v>
      </c>
      <c r="AG31" s="203">
        <f t="shared" si="12"/>
        <v>1990</v>
      </c>
      <c r="AH31" s="203">
        <f t="shared" si="59"/>
        <v>199</v>
      </c>
      <c r="AI31" s="203">
        <f t="shared" si="13"/>
        <v>1990</v>
      </c>
      <c r="AJ31" s="203">
        <f t="shared" si="60"/>
        <v>199</v>
      </c>
      <c r="AK31" s="203">
        <f t="shared" si="14"/>
        <v>1990</v>
      </c>
      <c r="AL31" s="203">
        <f t="shared" si="61"/>
        <v>199</v>
      </c>
      <c r="AM31" s="203">
        <f t="shared" si="15"/>
        <v>1990</v>
      </c>
      <c r="AN31" s="35">
        <f t="shared" si="62"/>
        <v>0.71071428571428574</v>
      </c>
      <c r="AO31" s="36">
        <f t="shared" si="63"/>
        <v>13930</v>
      </c>
      <c r="AQ31" s="223">
        <f t="shared" si="37"/>
        <v>0.64116104050213896</v>
      </c>
      <c r="AR31" s="38">
        <f t="shared" si="41"/>
        <v>59608.741935483864</v>
      </c>
      <c r="AS31" s="197">
        <f>SUM(AR31-AR30-AT31)</f>
        <v>0</v>
      </c>
      <c r="AT31" s="355"/>
      <c r="AU31" s="436"/>
      <c r="AV31" s="518">
        <f t="shared" si="42"/>
        <v>0.1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193</v>
      </c>
      <c r="C32" s="203">
        <f t="shared" si="18"/>
        <v>4152.6129032258068</v>
      </c>
      <c r="D32">
        <f t="shared" si="44"/>
        <v>193</v>
      </c>
      <c r="E32" s="203">
        <f t="shared" si="18"/>
        <v>4152.6129032258068</v>
      </c>
      <c r="F32">
        <f t="shared" si="45"/>
        <v>193</v>
      </c>
      <c r="G32" s="203">
        <f t="shared" si="1"/>
        <v>4152.6129032258068</v>
      </c>
      <c r="H32" s="203">
        <f t="shared" si="46"/>
        <v>193</v>
      </c>
      <c r="I32" s="203">
        <f t="shared" si="2"/>
        <v>4152.6129032258068</v>
      </c>
      <c r="J32" s="203">
        <f t="shared" si="47"/>
        <v>193</v>
      </c>
      <c r="K32" s="203">
        <f t="shared" si="3"/>
        <v>4152.6129032258068</v>
      </c>
      <c r="L32" s="203">
        <f t="shared" si="48"/>
        <v>193</v>
      </c>
      <c r="M32" s="203">
        <f t="shared" si="4"/>
        <v>4152.6129032258068</v>
      </c>
      <c r="N32" s="203">
        <f t="shared" si="49"/>
        <v>193</v>
      </c>
      <c r="O32" s="203">
        <f t="shared" si="5"/>
        <v>4152.6129032258068</v>
      </c>
      <c r="P32" s="203">
        <f t="shared" si="50"/>
        <v>193</v>
      </c>
      <c r="Q32" s="203">
        <f t="shared" si="6"/>
        <v>4152.6129032258068</v>
      </c>
      <c r="R32" s="203">
        <f t="shared" si="51"/>
        <v>193</v>
      </c>
      <c r="S32" s="203">
        <f t="shared" si="7"/>
        <v>4152.6129032258068</v>
      </c>
      <c r="T32" s="203">
        <f t="shared" si="52"/>
        <v>193</v>
      </c>
      <c r="U32" s="203">
        <f t="shared" si="8"/>
        <v>4152.6129032258068</v>
      </c>
      <c r="V32" s="203">
        <f t="shared" si="53"/>
        <v>193</v>
      </c>
      <c r="W32" s="203">
        <f t="shared" si="9"/>
        <v>4152.6129032258068</v>
      </c>
      <c r="X32" s="35">
        <f t="shared" si="54"/>
        <v>0.62258064516129019</v>
      </c>
      <c r="Y32" s="36">
        <f t="shared" si="55"/>
        <v>45678.741935483864</v>
      </c>
      <c r="Z32" s="203">
        <f>'B5'!C31</f>
        <v>199</v>
      </c>
      <c r="AA32" s="203">
        <f t="shared" si="30"/>
        <v>1990</v>
      </c>
      <c r="AB32" s="203">
        <f t="shared" si="56"/>
        <v>199</v>
      </c>
      <c r="AC32" s="203">
        <f t="shared" si="30"/>
        <v>1990</v>
      </c>
      <c r="AD32" s="203">
        <f t="shared" si="57"/>
        <v>199</v>
      </c>
      <c r="AE32" s="203">
        <f t="shared" si="11"/>
        <v>1990</v>
      </c>
      <c r="AF32" s="203">
        <f t="shared" si="58"/>
        <v>199</v>
      </c>
      <c r="AG32" s="203">
        <f t="shared" si="12"/>
        <v>1990</v>
      </c>
      <c r="AH32" s="203">
        <f t="shared" si="59"/>
        <v>199</v>
      </c>
      <c r="AI32" s="203">
        <f t="shared" si="13"/>
        <v>1990</v>
      </c>
      <c r="AJ32" s="203">
        <f t="shared" si="60"/>
        <v>199</v>
      </c>
      <c r="AK32" s="203">
        <f t="shared" si="14"/>
        <v>1990</v>
      </c>
      <c r="AL32" s="203">
        <f t="shared" si="61"/>
        <v>199</v>
      </c>
      <c r="AM32" s="203">
        <f t="shared" si="15"/>
        <v>1990</v>
      </c>
      <c r="AN32" s="35">
        <f t="shared" si="62"/>
        <v>0.71071428571428574</v>
      </c>
      <c r="AO32" s="36">
        <f t="shared" si="63"/>
        <v>13930</v>
      </c>
      <c r="AQ32" s="223">
        <f t="shared" si="37"/>
        <v>0.64116104050213896</v>
      </c>
      <c r="AR32" s="38">
        <f t="shared" si="41"/>
        <v>59608.741935483864</v>
      </c>
      <c r="AS32" s="197">
        <f t="shared" si="38"/>
        <v>0</v>
      </c>
      <c r="AT32" s="355"/>
      <c r="AU32" s="436"/>
      <c r="AV32" s="518">
        <f>IF(AT32&gt;0,AU32,AV31)</f>
        <v>0.1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193</v>
      </c>
      <c r="C33" s="203">
        <f t="shared" si="18"/>
        <v>4152.6129032258068</v>
      </c>
      <c r="D33">
        <f t="shared" si="44"/>
        <v>193</v>
      </c>
      <c r="E33" s="203">
        <f t="shared" si="18"/>
        <v>4152.6129032258068</v>
      </c>
      <c r="F33">
        <f t="shared" si="45"/>
        <v>193</v>
      </c>
      <c r="G33" s="203">
        <f t="shared" si="1"/>
        <v>4152.6129032258068</v>
      </c>
      <c r="H33" s="203">
        <f t="shared" si="46"/>
        <v>193</v>
      </c>
      <c r="I33" s="203">
        <f t="shared" si="2"/>
        <v>4152.6129032258068</v>
      </c>
      <c r="J33" s="203">
        <f t="shared" si="47"/>
        <v>193</v>
      </c>
      <c r="K33" s="203">
        <f t="shared" si="3"/>
        <v>4152.6129032258068</v>
      </c>
      <c r="L33" s="203">
        <f t="shared" si="48"/>
        <v>193</v>
      </c>
      <c r="M33" s="203">
        <f t="shared" si="4"/>
        <v>4152.6129032258068</v>
      </c>
      <c r="N33" s="203">
        <f t="shared" si="49"/>
        <v>193</v>
      </c>
      <c r="O33" s="203">
        <f t="shared" si="5"/>
        <v>4152.6129032258068</v>
      </c>
      <c r="P33" s="203">
        <f t="shared" si="50"/>
        <v>193</v>
      </c>
      <c r="Q33" s="203">
        <f t="shared" si="6"/>
        <v>4152.6129032258068</v>
      </c>
      <c r="R33" s="203">
        <f t="shared" si="51"/>
        <v>193</v>
      </c>
      <c r="S33" s="203">
        <f t="shared" si="7"/>
        <v>4152.6129032258068</v>
      </c>
      <c r="T33" s="203">
        <f t="shared" si="52"/>
        <v>193</v>
      </c>
      <c r="U33" s="203">
        <f t="shared" si="8"/>
        <v>4152.6129032258068</v>
      </c>
      <c r="V33" s="203">
        <f t="shared" si="53"/>
        <v>193</v>
      </c>
      <c r="W33" s="203">
        <f t="shared" si="9"/>
        <v>4152.6129032258068</v>
      </c>
      <c r="X33" s="35">
        <f t="shared" si="54"/>
        <v>0.62258064516129019</v>
      </c>
      <c r="Y33" s="36">
        <f t="shared" si="55"/>
        <v>45678.741935483864</v>
      </c>
      <c r="Z33" s="203">
        <f>'B5'!C32</f>
        <v>199</v>
      </c>
      <c r="AA33" s="203">
        <f t="shared" si="30"/>
        <v>1990</v>
      </c>
      <c r="AB33" s="203">
        <f t="shared" si="56"/>
        <v>199</v>
      </c>
      <c r="AC33" s="203">
        <f t="shared" si="30"/>
        <v>1990</v>
      </c>
      <c r="AD33" s="203">
        <f t="shared" si="57"/>
        <v>199</v>
      </c>
      <c r="AE33" s="203">
        <f t="shared" si="11"/>
        <v>1990</v>
      </c>
      <c r="AF33" s="203">
        <f t="shared" si="58"/>
        <v>199</v>
      </c>
      <c r="AG33" s="203">
        <f t="shared" si="12"/>
        <v>1990</v>
      </c>
      <c r="AH33" s="203">
        <f t="shared" si="59"/>
        <v>199</v>
      </c>
      <c r="AI33" s="203">
        <f t="shared" si="13"/>
        <v>1990</v>
      </c>
      <c r="AJ33" s="203">
        <f t="shared" si="60"/>
        <v>199</v>
      </c>
      <c r="AK33" s="203">
        <f t="shared" si="14"/>
        <v>1990</v>
      </c>
      <c r="AL33" s="203">
        <f t="shared" si="61"/>
        <v>199</v>
      </c>
      <c r="AM33" s="203">
        <f t="shared" si="15"/>
        <v>1990</v>
      </c>
      <c r="AN33" s="35">
        <f t="shared" si="62"/>
        <v>0.71071428571428574</v>
      </c>
      <c r="AO33" s="36">
        <f t="shared" si="63"/>
        <v>13930</v>
      </c>
      <c r="AQ33" s="223">
        <f t="shared" si="37"/>
        <v>0.64116104050213896</v>
      </c>
      <c r="AR33" s="38">
        <f t="shared" si="41"/>
        <v>59608.741935483864</v>
      </c>
      <c r="AS33" s="197">
        <f t="shared" si="38"/>
        <v>0</v>
      </c>
      <c r="AT33" s="355"/>
      <c r="AU33" s="436"/>
      <c r="AV33" s="518">
        <f>IF(AT33&gt;0,AU33,AV32)</f>
        <v>0.1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193</v>
      </c>
      <c r="C34" s="203">
        <f t="shared" ref="C34:C36" si="64">B34*$B$4</f>
        <v>4152.6129032258068</v>
      </c>
      <c r="D34">
        <f t="shared" ref="D34:D36" si="65">SUM(B34)</f>
        <v>193</v>
      </c>
      <c r="E34" s="203">
        <f t="shared" ref="E34:E36" si="66">D34*$B$4</f>
        <v>4152.6129032258068</v>
      </c>
      <c r="F34">
        <f t="shared" ref="F34:F36" si="67">SUM(D34)</f>
        <v>193</v>
      </c>
      <c r="G34" s="203">
        <f t="shared" ref="G34:G36" si="68">F34*$B$4</f>
        <v>4152.6129032258068</v>
      </c>
      <c r="H34" s="203">
        <f t="shared" ref="H34:H36" si="69">SUM(F34)</f>
        <v>193</v>
      </c>
      <c r="I34" s="203">
        <f t="shared" ref="I34:I36" si="70">H34*$B$4</f>
        <v>4152.6129032258068</v>
      </c>
      <c r="J34" s="203">
        <f t="shared" ref="J34:J36" si="71">SUM(H34)</f>
        <v>193</v>
      </c>
      <c r="K34" s="203">
        <f t="shared" ref="K34:K36" si="72">J34*$B$4</f>
        <v>4152.6129032258068</v>
      </c>
      <c r="L34" s="203">
        <f t="shared" ref="L34:L36" si="73">SUM(J34)</f>
        <v>193</v>
      </c>
      <c r="M34" s="203">
        <f t="shared" ref="M34:M36" si="74">L34*$B$4</f>
        <v>4152.6129032258068</v>
      </c>
      <c r="N34" s="203">
        <f t="shared" ref="N34:N36" si="75">SUM(L34)</f>
        <v>193</v>
      </c>
      <c r="O34" s="203">
        <f t="shared" ref="O34:O36" si="76">N34*$B$4</f>
        <v>4152.6129032258068</v>
      </c>
      <c r="P34" s="203">
        <f t="shared" ref="P34:P36" si="77">SUM(N34)</f>
        <v>193</v>
      </c>
      <c r="Q34" s="203">
        <f t="shared" ref="Q34:Q36" si="78">P34*$B$4</f>
        <v>4152.6129032258068</v>
      </c>
      <c r="R34" s="203">
        <f t="shared" ref="R34:R36" si="79">SUM(P34)</f>
        <v>193</v>
      </c>
      <c r="S34" s="203">
        <f t="shared" ref="S34:S36" si="80">R34*$B$4</f>
        <v>4152.6129032258068</v>
      </c>
      <c r="T34" s="203">
        <f t="shared" ref="T34:T36" si="81">SUM(R34)</f>
        <v>193</v>
      </c>
      <c r="U34" s="203">
        <f t="shared" ref="U34:U36" si="82">T34*$B$4</f>
        <v>4152.6129032258068</v>
      </c>
      <c r="V34" s="203">
        <f t="shared" ref="V34:V36" si="83">SUM(T34)</f>
        <v>193</v>
      </c>
      <c r="W34" s="203">
        <f t="shared" ref="W34:W36" si="84">V34*$B$4</f>
        <v>4152.6129032258068</v>
      </c>
      <c r="X34" s="35">
        <f t="shared" ref="X34:X36" si="85">SUM(Y34/73370)</f>
        <v>0.62258064516129019</v>
      </c>
      <c r="Y34" s="36">
        <f t="shared" ref="Y34:Y36" si="86">SUM(C34+E34+G34+I34+K34+M34+O34+Q34+S34+U34+W34)</f>
        <v>45678.741935483864</v>
      </c>
      <c r="Z34" s="203">
        <f>'B5'!C33</f>
        <v>199</v>
      </c>
      <c r="AA34" s="203">
        <f t="shared" ref="AA34:AA36" si="87">SUM(Z34*$Z$4)</f>
        <v>1990</v>
      </c>
      <c r="AB34" s="203">
        <f t="shared" ref="AB34:AB36" si="88">SUM(Z34)</f>
        <v>199</v>
      </c>
      <c r="AC34" s="203">
        <f t="shared" ref="AC34:AC36" si="89">SUM(AB34*$Z$4)</f>
        <v>1990</v>
      </c>
      <c r="AD34" s="203">
        <f t="shared" ref="AD34:AD36" si="90">SUM(AB34)</f>
        <v>199</v>
      </c>
      <c r="AE34" s="203">
        <f t="shared" ref="AE34:AE36" si="91">SUM(AD34*$Z$4)</f>
        <v>1990</v>
      </c>
      <c r="AF34" s="203">
        <f t="shared" ref="AF34:AF36" si="92">SUM(AD34)</f>
        <v>199</v>
      </c>
      <c r="AG34" s="203">
        <f t="shared" ref="AG34:AG36" si="93">SUM(AF34*$Z$4)</f>
        <v>1990</v>
      </c>
      <c r="AH34" s="203">
        <f t="shared" ref="AH34:AH36" si="94">SUM(AF34)</f>
        <v>199</v>
      </c>
      <c r="AI34" s="203">
        <f t="shared" ref="AI34:AI36" si="95">SUM(AH34*$Z$4)</f>
        <v>1990</v>
      </c>
      <c r="AJ34" s="203">
        <f t="shared" ref="AJ34:AJ36" si="96">SUM(AH34)</f>
        <v>199</v>
      </c>
      <c r="AK34" s="203">
        <f t="shared" ref="AK34:AK36" si="97">SUM(AJ34*$Z$4)</f>
        <v>1990</v>
      </c>
      <c r="AL34" s="203">
        <f t="shared" ref="AL34:AL36" si="98">SUM(AJ34)</f>
        <v>199</v>
      </c>
      <c r="AM34" s="203">
        <f t="shared" ref="AM34:AM36" si="99">SUM(AL34*$Z$4)</f>
        <v>1990</v>
      </c>
      <c r="AN34" s="35">
        <f t="shared" ref="AN34:AN36" si="100">SUM(AO34/19600)</f>
        <v>0.71071428571428574</v>
      </c>
      <c r="AO34" s="36">
        <f t="shared" ref="AO34:AO36" si="101">SUM(AA34+AC34+AE34+AG34+AI34+AK34+AM34)</f>
        <v>13930</v>
      </c>
      <c r="AQ34" s="223">
        <f t="shared" ref="AQ34:AQ36" si="102">SUM(AR34/92970)</f>
        <v>0.64116104050213896</v>
      </c>
      <c r="AR34" s="38">
        <f t="shared" si="41"/>
        <v>59608.741935483864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0.1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193</v>
      </c>
      <c r="C35" s="203">
        <f t="shared" si="64"/>
        <v>4152.6129032258068</v>
      </c>
      <c r="D35">
        <f t="shared" si="65"/>
        <v>193</v>
      </c>
      <c r="E35" s="203">
        <f t="shared" si="66"/>
        <v>4152.6129032258068</v>
      </c>
      <c r="F35">
        <f t="shared" si="67"/>
        <v>193</v>
      </c>
      <c r="G35" s="203">
        <f t="shared" si="68"/>
        <v>4152.6129032258068</v>
      </c>
      <c r="H35" s="203">
        <f t="shared" si="69"/>
        <v>193</v>
      </c>
      <c r="I35" s="203">
        <f t="shared" si="70"/>
        <v>4152.6129032258068</v>
      </c>
      <c r="J35" s="203">
        <f t="shared" si="71"/>
        <v>193</v>
      </c>
      <c r="K35" s="203">
        <f t="shared" si="72"/>
        <v>4152.6129032258068</v>
      </c>
      <c r="L35" s="203">
        <f t="shared" si="73"/>
        <v>193</v>
      </c>
      <c r="M35" s="203">
        <f t="shared" si="74"/>
        <v>4152.6129032258068</v>
      </c>
      <c r="N35" s="203">
        <f t="shared" si="75"/>
        <v>193</v>
      </c>
      <c r="O35" s="203">
        <f t="shared" si="76"/>
        <v>4152.6129032258068</v>
      </c>
      <c r="P35" s="203">
        <f t="shared" si="77"/>
        <v>193</v>
      </c>
      <c r="Q35" s="203">
        <f t="shared" si="78"/>
        <v>4152.6129032258068</v>
      </c>
      <c r="R35" s="203">
        <f t="shared" si="79"/>
        <v>193</v>
      </c>
      <c r="S35" s="203">
        <f t="shared" si="80"/>
        <v>4152.6129032258068</v>
      </c>
      <c r="T35" s="203">
        <f t="shared" si="81"/>
        <v>193</v>
      </c>
      <c r="U35" s="203">
        <f t="shared" si="82"/>
        <v>4152.6129032258068</v>
      </c>
      <c r="V35" s="203">
        <f t="shared" si="83"/>
        <v>193</v>
      </c>
      <c r="W35" s="203">
        <f t="shared" si="84"/>
        <v>4152.6129032258068</v>
      </c>
      <c r="X35" s="35">
        <f t="shared" si="85"/>
        <v>0.62258064516129019</v>
      </c>
      <c r="Y35" s="36">
        <f t="shared" si="86"/>
        <v>45678.741935483864</v>
      </c>
      <c r="Z35" s="203">
        <f>'B5'!C34</f>
        <v>199</v>
      </c>
      <c r="AA35" s="203">
        <f t="shared" si="87"/>
        <v>1990</v>
      </c>
      <c r="AB35" s="203">
        <f t="shared" si="88"/>
        <v>199</v>
      </c>
      <c r="AC35" s="203">
        <f t="shared" si="89"/>
        <v>1990</v>
      </c>
      <c r="AD35" s="203">
        <f t="shared" si="90"/>
        <v>199</v>
      </c>
      <c r="AE35" s="203">
        <f t="shared" si="91"/>
        <v>1990</v>
      </c>
      <c r="AF35" s="203">
        <f t="shared" si="92"/>
        <v>199</v>
      </c>
      <c r="AG35" s="203">
        <f t="shared" si="93"/>
        <v>1990</v>
      </c>
      <c r="AH35" s="203">
        <f t="shared" si="94"/>
        <v>199</v>
      </c>
      <c r="AI35" s="203">
        <f t="shared" si="95"/>
        <v>1990</v>
      </c>
      <c r="AJ35" s="203">
        <f t="shared" si="96"/>
        <v>199</v>
      </c>
      <c r="AK35" s="203">
        <f t="shared" si="97"/>
        <v>1990</v>
      </c>
      <c r="AL35" s="203">
        <f t="shared" si="98"/>
        <v>199</v>
      </c>
      <c r="AM35" s="203">
        <f t="shared" si="99"/>
        <v>1990</v>
      </c>
      <c r="AN35" s="35">
        <f t="shared" si="100"/>
        <v>0.71071428571428574</v>
      </c>
      <c r="AO35" s="36">
        <f t="shared" si="101"/>
        <v>13930</v>
      </c>
      <c r="AQ35" s="223">
        <f t="shared" si="102"/>
        <v>0.64116104050213896</v>
      </c>
      <c r="AR35" s="38">
        <f t="shared" si="41"/>
        <v>59608.741935483864</v>
      </c>
      <c r="AS35" s="197">
        <f t="shared" si="103"/>
        <v>0</v>
      </c>
      <c r="AT35" s="355"/>
      <c r="AU35" s="436"/>
      <c r="AV35" s="518">
        <f t="shared" si="104"/>
        <v>0.1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193</v>
      </c>
      <c r="C36" s="203">
        <f t="shared" si="64"/>
        <v>4152.6129032258068</v>
      </c>
      <c r="D36">
        <f t="shared" si="65"/>
        <v>193</v>
      </c>
      <c r="E36" s="203">
        <f t="shared" si="66"/>
        <v>4152.6129032258068</v>
      </c>
      <c r="F36">
        <f t="shared" si="67"/>
        <v>193</v>
      </c>
      <c r="G36" s="203">
        <f t="shared" si="68"/>
        <v>4152.6129032258068</v>
      </c>
      <c r="H36" s="203">
        <f t="shared" si="69"/>
        <v>193</v>
      </c>
      <c r="I36" s="203">
        <f t="shared" si="70"/>
        <v>4152.6129032258068</v>
      </c>
      <c r="J36" s="203">
        <f t="shared" si="71"/>
        <v>193</v>
      </c>
      <c r="K36" s="203">
        <f t="shared" si="72"/>
        <v>4152.6129032258068</v>
      </c>
      <c r="L36" s="203">
        <f t="shared" si="73"/>
        <v>193</v>
      </c>
      <c r="M36" s="203">
        <f t="shared" si="74"/>
        <v>4152.6129032258068</v>
      </c>
      <c r="N36" s="203">
        <f t="shared" si="75"/>
        <v>193</v>
      </c>
      <c r="O36" s="203">
        <f t="shared" si="76"/>
        <v>4152.6129032258068</v>
      </c>
      <c r="P36" s="203">
        <f t="shared" si="77"/>
        <v>193</v>
      </c>
      <c r="Q36" s="203">
        <f t="shared" si="78"/>
        <v>4152.6129032258068</v>
      </c>
      <c r="R36" s="203">
        <f t="shared" si="79"/>
        <v>193</v>
      </c>
      <c r="S36" s="203">
        <f t="shared" si="80"/>
        <v>4152.6129032258068</v>
      </c>
      <c r="T36" s="203">
        <f t="shared" si="81"/>
        <v>193</v>
      </c>
      <c r="U36" s="203">
        <f t="shared" si="82"/>
        <v>4152.6129032258068</v>
      </c>
      <c r="V36" s="203">
        <f t="shared" si="83"/>
        <v>193</v>
      </c>
      <c r="W36" s="203">
        <f t="shared" si="84"/>
        <v>4152.6129032258068</v>
      </c>
      <c r="X36" s="35">
        <f t="shared" si="85"/>
        <v>0.62258064516129019</v>
      </c>
      <c r="Y36" s="36">
        <f t="shared" si="86"/>
        <v>45678.741935483864</v>
      </c>
      <c r="Z36" s="203">
        <f>'B5'!C35</f>
        <v>199</v>
      </c>
      <c r="AA36" s="203">
        <f t="shared" si="87"/>
        <v>1990</v>
      </c>
      <c r="AB36" s="203">
        <f t="shared" si="88"/>
        <v>199</v>
      </c>
      <c r="AC36" s="203">
        <f t="shared" si="89"/>
        <v>1990</v>
      </c>
      <c r="AD36" s="203">
        <f t="shared" si="90"/>
        <v>199</v>
      </c>
      <c r="AE36" s="203">
        <f t="shared" si="91"/>
        <v>1990</v>
      </c>
      <c r="AF36" s="203">
        <f t="shared" si="92"/>
        <v>199</v>
      </c>
      <c r="AG36" s="203">
        <f t="shared" si="93"/>
        <v>1990</v>
      </c>
      <c r="AH36" s="203">
        <f t="shared" si="94"/>
        <v>199</v>
      </c>
      <c r="AI36" s="203">
        <f t="shared" si="95"/>
        <v>1990</v>
      </c>
      <c r="AJ36" s="203">
        <f t="shared" si="96"/>
        <v>199</v>
      </c>
      <c r="AK36" s="203">
        <f t="shared" si="97"/>
        <v>1990</v>
      </c>
      <c r="AL36" s="203">
        <f t="shared" si="98"/>
        <v>199</v>
      </c>
      <c r="AM36" s="203">
        <f t="shared" si="99"/>
        <v>1990</v>
      </c>
      <c r="AN36" s="35">
        <f t="shared" si="100"/>
        <v>0.71071428571428574</v>
      </c>
      <c r="AO36" s="36">
        <f t="shared" si="101"/>
        <v>13930</v>
      </c>
      <c r="AQ36" s="223">
        <f t="shared" si="102"/>
        <v>0.64116104050213896</v>
      </c>
      <c r="AR36" s="38">
        <f t="shared" si="41"/>
        <v>59608.741935483864</v>
      </c>
      <c r="AS36" s="197">
        <f t="shared" si="103"/>
        <v>0</v>
      </c>
      <c r="AT36" s="355"/>
      <c r="AU36" s="436"/>
      <c r="AV36" s="518">
        <f t="shared" si="104"/>
        <v>0.1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0.1</v>
      </c>
      <c r="AU37">
        <f>SUM(AU6:AU33)/AS37</f>
        <v>0.1</v>
      </c>
      <c r="AX37" s="203">
        <f>SUM(AX6:AX33)</f>
        <v>-6749.8354838709583</v>
      </c>
      <c r="AY37" s="203">
        <f>SUM(AY6:AY33)</f>
        <v>-7737.03548387097</v>
      </c>
    </row>
    <row r="38" spans="1:60">
      <c r="AS38" s="206"/>
      <c r="AT38">
        <f>+AT37*AU37</f>
        <v>1.0000000000000002E-2</v>
      </c>
    </row>
    <row r="40" spans="1:60">
      <c r="AS40" s="165">
        <f>SUM(AS6:AS33)/'EDl log'!A35</f>
        <v>-2579.0118279569901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-32.799999999999983</v>
      </c>
      <c r="J5" s="9">
        <f>'B5'!A7</f>
        <v>44258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44259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44260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44261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44262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-8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8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5"/>
      <c r="B1" s="652" t="s">
        <v>119</v>
      </c>
      <c r="C1" s="652" t="s">
        <v>118</v>
      </c>
      <c r="D1" s="657" t="s">
        <v>113</v>
      </c>
      <c r="E1" s="657" t="s">
        <v>114</v>
      </c>
      <c r="F1" s="658" t="s">
        <v>120</v>
      </c>
      <c r="G1" s="659" t="s">
        <v>75</v>
      </c>
      <c r="H1" s="660" t="s">
        <v>115</v>
      </c>
      <c r="I1" s="661" t="s">
        <v>116</v>
      </c>
      <c r="J1" s="660" t="s">
        <v>117</v>
      </c>
      <c r="K1" s="654" t="s">
        <v>121</v>
      </c>
      <c r="L1" s="654" t="s">
        <v>122</v>
      </c>
      <c r="M1" s="654" t="s">
        <v>123</v>
      </c>
      <c r="N1" s="654" t="s">
        <v>124</v>
      </c>
    </row>
    <row r="2" spans="1:14">
      <c r="A2" s="656"/>
      <c r="B2" s="653"/>
      <c r="C2" s="653"/>
      <c r="D2" s="657"/>
      <c r="E2" s="657"/>
      <c r="F2" s="658"/>
      <c r="G2" s="659"/>
      <c r="H2" s="660"/>
      <c r="I2" s="662"/>
      <c r="J2" s="660"/>
      <c r="K2" s="654"/>
      <c r="L2" s="654"/>
      <c r="M2" s="654"/>
      <c r="N2" s="65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-32.799999999999983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-8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8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" activePane="bottomLeft" state="frozen"/>
      <selection pane="bottomLeft" activeCell="T6" sqref="T6:T3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19">
        <v>11888</v>
      </c>
      <c r="S3" s="287">
        <f t="shared" ref="S3:S30" si="4">R3-R2</f>
        <v>12</v>
      </c>
      <c r="T3" s="620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19">
        <v>11903</v>
      </c>
      <c r="S4" s="287">
        <f t="shared" si="4"/>
        <v>15</v>
      </c>
      <c r="T4" s="620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19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541">
        <f t="shared" ref="R5:R33" si="29">R5</f>
        <v>11912</v>
      </c>
      <c r="S6" s="287">
        <f t="shared" si="4"/>
        <v>0</v>
      </c>
      <c r="T6" s="541">
        <f>T5+U6</f>
        <v>402488</v>
      </c>
      <c r="U6" s="287">
        <f t="shared" si="19"/>
        <v>0</v>
      </c>
      <c r="V6" s="287">
        <f t="shared" ref="V6:V23" si="30">IF(S6&gt;0,U6/S6,0)</f>
        <v>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0</v>
      </c>
      <c r="AA6" s="287">
        <f t="shared" si="21"/>
        <v>0</v>
      </c>
      <c r="AB6" s="287">
        <f t="shared" si="22"/>
        <v>0</v>
      </c>
      <c r="AC6" s="287">
        <f t="shared" si="23"/>
        <v>0</v>
      </c>
      <c r="AD6" s="73">
        <f>ELEC!Q6</f>
        <v>0</v>
      </c>
      <c r="AE6" s="73" t="e">
        <f>SUM(AD6/Z6)</f>
        <v>#DIV/0!</v>
      </c>
      <c r="AF6" s="403" t="e">
        <f t="shared" si="26"/>
        <v>#DIV/0!</v>
      </c>
      <c r="AG6" s="404" t="e">
        <f>SUM(320*AF6)</f>
        <v>#DIV/0!</v>
      </c>
      <c r="AH6" s="404" t="e">
        <f t="shared" si="24"/>
        <v>#DIV/0!</v>
      </c>
      <c r="AI6" s="73">
        <f t="shared" si="28"/>
        <v>0</v>
      </c>
      <c r="AJ6" s="289">
        <f t="shared" si="7"/>
        <v>0.25738396624472576</v>
      </c>
      <c r="AK6" s="289" t="e">
        <f t="shared" si="8"/>
        <v>#DIV/0!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541">
        <f t="shared" si="29"/>
        <v>11912</v>
      </c>
      <c r="S7" s="287">
        <f t="shared" si="4"/>
        <v>0</v>
      </c>
      <c r="T7" s="541">
        <f t="shared" ref="T7:T33" si="31">T6+U7</f>
        <v>402488</v>
      </c>
      <c r="U7" s="287">
        <f t="shared" si="19"/>
        <v>0</v>
      </c>
      <c r="V7" s="287">
        <f t="shared" si="30"/>
        <v>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0</v>
      </c>
      <c r="AA7" s="287">
        <f>U7+M7+E7</f>
        <v>0</v>
      </c>
      <c r="AB7" s="287">
        <f t="shared" si="22"/>
        <v>0</v>
      </c>
      <c r="AC7" s="287">
        <f t="shared" si="23"/>
        <v>0</v>
      </c>
      <c r="AD7" s="73">
        <f>ELEC!Q7</f>
        <v>0</v>
      </c>
      <c r="AE7" s="73" t="e">
        <f t="shared" si="25"/>
        <v>#DIV/0!</v>
      </c>
      <c r="AF7" s="403" t="e">
        <f t="shared" si="26"/>
        <v>#DIV/0!</v>
      </c>
      <c r="AG7" s="504" t="s">
        <v>403</v>
      </c>
      <c r="AH7" s="404" t="e">
        <f t="shared" si="24"/>
        <v>#VALUE!</v>
      </c>
      <c r="AI7" s="73">
        <f t="shared" si="28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f t="shared" si="29"/>
        <v>11912</v>
      </c>
      <c r="S8" s="287">
        <f t="shared" si="4"/>
        <v>0</v>
      </c>
      <c r="T8" s="541">
        <f t="shared" si="31"/>
        <v>402488</v>
      </c>
      <c r="U8" s="287">
        <f t="shared" si="19"/>
        <v>0</v>
      </c>
      <c r="V8" s="287">
        <f t="shared" si="30"/>
        <v>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0</v>
      </c>
      <c r="AA8" s="287">
        <f t="shared" si="21"/>
        <v>0</v>
      </c>
      <c r="AB8" s="287">
        <f t="shared" si="22"/>
        <v>0</v>
      </c>
      <c r="AC8" s="287">
        <f t="shared" si="23"/>
        <v>0</v>
      </c>
      <c r="AD8" s="73">
        <f>ELEC!Q8</f>
        <v>0</v>
      </c>
      <c r="AE8" s="73" t="e">
        <f t="shared" si="25"/>
        <v>#DIV/0!</v>
      </c>
      <c r="AF8" s="403" t="e">
        <f t="shared" si="26"/>
        <v>#DIV/0!</v>
      </c>
      <c r="AG8" s="404" t="e">
        <f t="shared" si="27"/>
        <v>#DIV/0!</v>
      </c>
      <c r="AH8" s="404" t="e">
        <f t="shared" si="24"/>
        <v>#DIV/0!</v>
      </c>
      <c r="AI8" s="73">
        <f t="shared" si="28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44262</v>
      </c>
      <c r="B9" s="540">
        <f t="shared" si="9"/>
        <v>9649</v>
      </c>
      <c r="C9" s="287">
        <f t="shared" si="10"/>
        <v>0</v>
      </c>
      <c r="D9" s="541">
        <f t="shared" si="11"/>
        <v>333321</v>
      </c>
      <c r="E9" s="287">
        <f t="shared" si="12"/>
        <v>0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f t="shared" si="29"/>
        <v>11912</v>
      </c>
      <c r="S9" s="287">
        <f t="shared" si="4"/>
        <v>0</v>
      </c>
      <c r="T9" s="541">
        <f t="shared" si="31"/>
        <v>402488</v>
      </c>
      <c r="U9" s="287">
        <f t="shared" si="19"/>
        <v>0</v>
      </c>
      <c r="V9" s="287">
        <f t="shared" si="30"/>
        <v>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0</v>
      </c>
      <c r="AA9" s="287">
        <f t="shared" si="21"/>
        <v>0</v>
      </c>
      <c r="AB9" s="287">
        <f t="shared" si="22"/>
        <v>0</v>
      </c>
      <c r="AC9" s="287">
        <f t="shared" si="23"/>
        <v>0</v>
      </c>
      <c r="AD9" s="73">
        <f>ELEC!Q9</f>
        <v>0</v>
      </c>
      <c r="AE9" s="73" t="e">
        <f t="shared" si="25"/>
        <v>#DIV/0!</v>
      </c>
      <c r="AF9" s="403" t="e">
        <f t="shared" si="26"/>
        <v>#DIV/0!</v>
      </c>
      <c r="AG9" s="404" t="e">
        <f t="shared" si="27"/>
        <v>#DIV/0!</v>
      </c>
      <c r="AH9" s="404" t="e">
        <f t="shared" si="24"/>
        <v>#DIV/0!</v>
      </c>
      <c r="AI9" s="73">
        <f t="shared" si="28"/>
        <v>0</v>
      </c>
      <c r="AJ9" s="289">
        <v>0.25738396624472576</v>
      </c>
      <c r="AK9" s="289">
        <f t="shared" ref="AK9:AK16" si="32">IF(Z9&gt;0,AI9/Z9,0)</f>
        <v>0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333321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f t="shared" si="29"/>
        <v>11912</v>
      </c>
      <c r="S10" s="287">
        <f t="shared" si="4"/>
        <v>0</v>
      </c>
      <c r="T10" s="541">
        <f t="shared" si="31"/>
        <v>402488</v>
      </c>
      <c r="U10" s="287">
        <f t="shared" si="19"/>
        <v>0</v>
      </c>
      <c r="V10" s="287">
        <f t="shared" ref="V10:V20" si="33">IF(S10&gt;0,U10/S10,0)</f>
        <v>0</v>
      </c>
      <c r="W10" s="338"/>
      <c r="X10" s="288">
        <f t="shared" si="20"/>
        <v>11898</v>
      </c>
      <c r="Y10" s="287" t="str">
        <f t="shared" ref="Y10:Y20" si="34">IF(R10-X10&lt;=0,"ok","oil change")</f>
        <v>oil change</v>
      </c>
      <c r="Z10" s="287">
        <f t="shared" si="6"/>
        <v>0</v>
      </c>
      <c r="AA10" s="287">
        <f t="shared" si="21"/>
        <v>0</v>
      </c>
      <c r="AB10" s="287">
        <f t="shared" si="22"/>
        <v>0</v>
      </c>
      <c r="AC10" s="287">
        <f t="shared" si="23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4"/>
        <v>#DIV/0!</v>
      </c>
      <c r="AI10" s="73">
        <f t="shared" si="28"/>
        <v>0</v>
      </c>
      <c r="AJ10" s="289">
        <f t="shared" si="7"/>
        <v>0.25738396624472576</v>
      </c>
      <c r="AK10" s="289">
        <f t="shared" si="32"/>
        <v>0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333321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f t="shared" si="29"/>
        <v>11912</v>
      </c>
      <c r="S11" s="287">
        <f t="shared" si="4"/>
        <v>0</v>
      </c>
      <c r="T11" s="541">
        <f t="shared" si="31"/>
        <v>402488</v>
      </c>
      <c r="U11" s="287">
        <f t="shared" si="19"/>
        <v>0</v>
      </c>
      <c r="V11" s="287">
        <f t="shared" si="33"/>
        <v>0</v>
      </c>
      <c r="W11" s="338"/>
      <c r="X11" s="288">
        <f t="shared" si="20"/>
        <v>11898</v>
      </c>
      <c r="Y11" s="287" t="str">
        <f t="shared" si="34"/>
        <v>oil change</v>
      </c>
      <c r="Z11" s="287">
        <f t="shared" si="6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32"/>
        <v>0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333321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si="29"/>
        <v>11912</v>
      </c>
      <c r="S12" s="287">
        <f t="shared" si="4"/>
        <v>0</v>
      </c>
      <c r="T12" s="541">
        <f t="shared" si="31"/>
        <v>402488</v>
      </c>
      <c r="U12" s="287">
        <f t="shared" si="19"/>
        <v>0</v>
      </c>
      <c r="V12" s="287">
        <f t="shared" si="33"/>
        <v>0</v>
      </c>
      <c r="W12" s="338"/>
      <c r="X12" s="288">
        <f t="shared" si="20"/>
        <v>11898</v>
      </c>
      <c r="Y12" s="287" t="str">
        <f t="shared" si="34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2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333321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29"/>
        <v>11912</v>
      </c>
      <c r="S13" s="287">
        <f t="shared" si="4"/>
        <v>0</v>
      </c>
      <c r="T13" s="541">
        <f t="shared" si="31"/>
        <v>402488</v>
      </c>
      <c r="U13" s="287">
        <f t="shared" si="19"/>
        <v>0</v>
      </c>
      <c r="V13" s="287">
        <f t="shared" si="33"/>
        <v>0</v>
      </c>
      <c r="W13" s="338"/>
      <c r="X13" s="288">
        <f t="shared" si="20"/>
        <v>11898</v>
      </c>
      <c r="Y13" s="287" t="str">
        <f t="shared" si="34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2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333321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29"/>
        <v>11912</v>
      </c>
      <c r="S14" s="287">
        <f t="shared" si="4"/>
        <v>0</v>
      </c>
      <c r="T14" s="541">
        <f t="shared" si="31"/>
        <v>402488</v>
      </c>
      <c r="U14" s="287">
        <f t="shared" si="19"/>
        <v>0</v>
      </c>
      <c r="V14" s="287">
        <f t="shared" si="33"/>
        <v>0</v>
      </c>
      <c r="W14" s="338"/>
      <c r="X14" s="288">
        <f t="shared" si="20"/>
        <v>11898</v>
      </c>
      <c r="Y14" s="287" t="str">
        <f t="shared" si="34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2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333321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29"/>
        <v>11912</v>
      </c>
      <c r="S15" s="287">
        <f t="shared" si="4"/>
        <v>0</v>
      </c>
      <c r="T15" s="541">
        <f t="shared" si="31"/>
        <v>402488</v>
      </c>
      <c r="U15" s="287">
        <f t="shared" si="19"/>
        <v>0</v>
      </c>
      <c r="V15" s="287">
        <f t="shared" si="33"/>
        <v>0</v>
      </c>
      <c r="W15" s="338"/>
      <c r="X15" s="288">
        <f t="shared" si="20"/>
        <v>11898</v>
      </c>
      <c r="Y15" s="287" t="str">
        <f t="shared" si="34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2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333321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29"/>
        <v>11912</v>
      </c>
      <c r="S16" s="287">
        <f t="shared" si="4"/>
        <v>0</v>
      </c>
      <c r="T16" s="541">
        <f t="shared" si="31"/>
        <v>402488</v>
      </c>
      <c r="U16" s="287">
        <f t="shared" si="19"/>
        <v>0</v>
      </c>
      <c r="V16" s="287">
        <f t="shared" si="33"/>
        <v>0</v>
      </c>
      <c r="W16" s="338"/>
      <c r="X16" s="288">
        <f t="shared" si="20"/>
        <v>11898</v>
      </c>
      <c r="Y16" s="287" t="str">
        <f t="shared" si="34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2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333321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29"/>
        <v>11912</v>
      </c>
      <c r="S17" s="287">
        <f t="shared" si="4"/>
        <v>0</v>
      </c>
      <c r="T17" s="541">
        <f t="shared" si="31"/>
        <v>402488</v>
      </c>
      <c r="U17" s="287">
        <f t="shared" si="19"/>
        <v>0</v>
      </c>
      <c r="V17" s="287">
        <f t="shared" si="33"/>
        <v>0</v>
      </c>
      <c r="W17" s="338"/>
      <c r="X17" s="288">
        <f t="shared" si="20"/>
        <v>11898</v>
      </c>
      <c r="Y17" s="287" t="str">
        <f t="shared" si="34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5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333321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29"/>
        <v>11912</v>
      </c>
      <c r="S18" s="287">
        <f t="shared" si="4"/>
        <v>0</v>
      </c>
      <c r="T18" s="541">
        <f t="shared" si="31"/>
        <v>402488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4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5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333321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6">IF(J19-P19&lt;=0,"ok","oil change")</f>
        <v>ok</v>
      </c>
      <c r="R19" s="541">
        <f t="shared" si="29"/>
        <v>11912</v>
      </c>
      <c r="S19" s="287">
        <f t="shared" si="4"/>
        <v>0</v>
      </c>
      <c r="T19" s="541">
        <f t="shared" si="31"/>
        <v>402488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4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5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333321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6"/>
        <v>ok</v>
      </c>
      <c r="R20" s="541">
        <f t="shared" si="29"/>
        <v>11912</v>
      </c>
      <c r="S20" s="287">
        <f t="shared" si="4"/>
        <v>0</v>
      </c>
      <c r="T20" s="541">
        <f t="shared" si="31"/>
        <v>402488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4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5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7">B21-B20</f>
        <v>0</v>
      </c>
      <c r="D21" s="541">
        <f t="shared" si="11"/>
        <v>333321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6"/>
        <v>ok</v>
      </c>
      <c r="R21" s="541">
        <f t="shared" si="29"/>
        <v>11912</v>
      </c>
      <c r="S21" s="287">
        <f t="shared" si="4"/>
        <v>0</v>
      </c>
      <c r="T21" s="541">
        <f t="shared" si="31"/>
        <v>402488</v>
      </c>
      <c r="U21" s="287">
        <f t="shared" si="19"/>
        <v>0</v>
      </c>
      <c r="V21" s="287">
        <f t="shared" si="30"/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5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333321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6"/>
        <v>ok</v>
      </c>
      <c r="R22" s="541">
        <f t="shared" si="29"/>
        <v>11912</v>
      </c>
      <c r="S22" s="287">
        <f t="shared" si="4"/>
        <v>0</v>
      </c>
      <c r="T22" s="541">
        <f t="shared" si="31"/>
        <v>402488</v>
      </c>
      <c r="U22" s="287">
        <f t="shared" si="19"/>
        <v>0</v>
      </c>
      <c r="V22" s="287">
        <f t="shared" si="30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5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333321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6"/>
        <v>ok</v>
      </c>
      <c r="R23" s="541">
        <f t="shared" si="29"/>
        <v>11912</v>
      </c>
      <c r="S23" s="287">
        <f t="shared" si="4"/>
        <v>0</v>
      </c>
      <c r="T23" s="541">
        <f t="shared" si="31"/>
        <v>402488</v>
      </c>
      <c r="U23" s="287">
        <f t="shared" si="19"/>
        <v>0</v>
      </c>
      <c r="V23" s="287">
        <f t="shared" si="30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5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333321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6"/>
        <v>ok</v>
      </c>
      <c r="R24" s="541">
        <f t="shared" si="29"/>
        <v>11912</v>
      </c>
      <c r="S24" s="287">
        <f t="shared" si="4"/>
        <v>0</v>
      </c>
      <c r="T24" s="541">
        <f t="shared" si="31"/>
        <v>402488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5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333321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6"/>
        <v>ok</v>
      </c>
      <c r="R25" s="541">
        <f t="shared" si="29"/>
        <v>11912</v>
      </c>
      <c r="S25" s="287">
        <f t="shared" si="4"/>
        <v>0</v>
      </c>
      <c r="T25" s="541">
        <f t="shared" si="31"/>
        <v>402488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5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333321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6"/>
        <v>ok</v>
      </c>
      <c r="R26" s="541">
        <f t="shared" si="29"/>
        <v>11912</v>
      </c>
      <c r="S26" s="287">
        <f t="shared" si="4"/>
        <v>0</v>
      </c>
      <c r="T26" s="541">
        <f t="shared" si="31"/>
        <v>402488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5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333321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6"/>
        <v>ok</v>
      </c>
      <c r="R27" s="541">
        <f t="shared" si="29"/>
        <v>11912</v>
      </c>
      <c r="S27" s="287">
        <f t="shared" si="4"/>
        <v>0</v>
      </c>
      <c r="T27" s="541">
        <f t="shared" si="31"/>
        <v>402488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5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6"/>
        <v>ok</v>
      </c>
      <c r="R28" s="541">
        <f t="shared" si="29"/>
        <v>11912</v>
      </c>
      <c r="S28" s="287">
        <f t="shared" si="4"/>
        <v>0</v>
      </c>
      <c r="T28" s="541">
        <f t="shared" si="31"/>
        <v>402488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5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6"/>
        <v>ok</v>
      </c>
      <c r="R29" s="541">
        <f t="shared" si="29"/>
        <v>11912</v>
      </c>
      <c r="S29" s="287">
        <f t="shared" si="4"/>
        <v>0</v>
      </c>
      <c r="T29" s="541">
        <f t="shared" si="31"/>
        <v>402488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5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6"/>
        <v>ok</v>
      </c>
      <c r="R30" s="541">
        <f t="shared" si="29"/>
        <v>11912</v>
      </c>
      <c r="S30" s="287">
        <f t="shared" si="4"/>
        <v>0</v>
      </c>
      <c r="T30" s="541">
        <f t="shared" si="31"/>
        <v>402488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5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333321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29"/>
        <v>11912</v>
      </c>
      <c r="S31" s="287">
        <f t="shared" ref="S31:S33" si="49">R31-R30</f>
        <v>0</v>
      </c>
      <c r="T31" s="541">
        <f t="shared" si="31"/>
        <v>402488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333321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29"/>
        <v>11912</v>
      </c>
      <c r="S32" s="287">
        <f t="shared" si="49"/>
        <v>0</v>
      </c>
      <c r="T32" s="541">
        <f t="shared" si="31"/>
        <v>402488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333321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29"/>
        <v>11912</v>
      </c>
      <c r="S33" s="287">
        <f t="shared" si="49"/>
        <v>0</v>
      </c>
      <c r="T33" s="541">
        <f t="shared" si="31"/>
        <v>402488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36</v>
      </c>
      <c r="V34" s="40"/>
      <c r="X34">
        <v>341</v>
      </c>
      <c r="Z34" s="421">
        <f>SUM(Z3:Z30)</f>
        <v>36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36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6" zoomScale="80" zoomScaleNormal="80" workbookViewId="0">
      <selection activeCell="K6" sqref="K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12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21">
        <v>137169</v>
      </c>
      <c r="G4" s="160">
        <f t="shared" ref="G4:G30" si="1">F4-F3</f>
        <v>61</v>
      </c>
      <c r="H4" s="612">
        <v>447263</v>
      </c>
      <c r="I4" s="161">
        <f t="shared" ref="I4:I30" si="2">H4-H3</f>
        <v>443</v>
      </c>
      <c r="J4" s="612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14.98093921650851</v>
      </c>
      <c r="P4" s="297">
        <f>SUM(L4:O4)</f>
        <v>100.37795414188165</v>
      </c>
      <c r="Q4" s="297">
        <f>SUM(-tanks!AX6*tanks!$AU$37)</f>
        <v>303.99967741935194</v>
      </c>
      <c r="R4" s="297">
        <f>SUM(P4:Q4)</f>
        <v>404.37763156123356</v>
      </c>
      <c r="S4" s="299">
        <f>SUM(ELEC!N3)</f>
        <v>8408</v>
      </c>
      <c r="T4" s="336">
        <f>IF(S4&gt;0,R4/S4,0)</f>
        <v>4.8094390052477828E-2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7"/>
      <c r="AC4" s="678"/>
    </row>
    <row r="5" spans="1:32" ht="15.75" thickBot="1">
      <c r="A5" s="163">
        <f>ELEC!C4</f>
        <v>44257</v>
      </c>
      <c r="B5" s="613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21">
        <v>137353</v>
      </c>
      <c r="G5" s="160">
        <f t="shared" si="1"/>
        <v>184</v>
      </c>
      <c r="H5" s="613">
        <v>447369</v>
      </c>
      <c r="I5" s="161">
        <f t="shared" si="2"/>
        <v>106</v>
      </c>
      <c r="J5" s="613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14.98093921650851</v>
      </c>
      <c r="P5" s="297">
        <f t="shared" ref="P5:P30" si="9">SUM(L5:O5)</f>
        <v>97.257556131931409</v>
      </c>
      <c r="Q5" s="297">
        <f>SUM(-tanks!AX7*tanks!$AU$37)</f>
        <v>208.57741935483938</v>
      </c>
      <c r="R5" s="297">
        <f t="shared" ref="R5:R30" si="10">SUM(P5:Q5)</f>
        <v>305.83497548677076</v>
      </c>
      <c r="S5" s="299">
        <f>SUM(ELEC!N4)</f>
        <v>9041</v>
      </c>
      <c r="T5" s="336">
        <f>IF(S5&gt;0,R5/S5,0)</f>
        <v>3.3827560611300822E-2</v>
      </c>
      <c r="U5" s="250"/>
      <c r="V5" s="671"/>
      <c r="W5" s="672"/>
      <c r="X5" s="672"/>
      <c r="Y5" s="673"/>
      <c r="Z5" s="26" t="s">
        <v>203</v>
      </c>
      <c r="AA5" s="264">
        <f>'[7]EDl log'!AA22</f>
        <v>5000</v>
      </c>
      <c r="AB5" s="679"/>
      <c r="AC5" s="680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14.98093921650851</v>
      </c>
      <c r="P6" s="297">
        <f t="shared" si="9"/>
        <v>149.18989444038911</v>
      </c>
      <c r="Q6" s="297">
        <f>SUM(-tanks!AX8*tanks!$AU$37)</f>
        <v>162.4064516129045</v>
      </c>
      <c r="R6" s="297">
        <f t="shared" si="10"/>
        <v>311.59634605329359</v>
      </c>
      <c r="S6" s="299">
        <f>SUM(ELEC!N5)</f>
        <v>7715</v>
      </c>
      <c r="T6" s="336">
        <f t="shared" ref="T6:T30" si="12">IF(S6&gt;0,R6/S6,0)</f>
        <v>4.0388379268087311E-2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44259</v>
      </c>
      <c r="B7" s="539">
        <f t="shared" ref="B6:B34" si="13">B6</f>
        <v>908753</v>
      </c>
      <c r="C7" s="264">
        <f t="shared" si="0"/>
        <v>0</v>
      </c>
      <c r="D7" s="308">
        <f t="shared" si="8"/>
        <v>0</v>
      </c>
      <c r="E7" s="308">
        <f t="shared" si="11"/>
        <v>908753</v>
      </c>
      <c r="F7" s="539">
        <f t="shared" ref="F6:F34" si="14">F6</f>
        <v>137604</v>
      </c>
      <c r="G7" s="160">
        <f t="shared" si="1"/>
        <v>0</v>
      </c>
      <c r="H7" s="539">
        <f t="shared" ref="H6:H34" si="15">H6</f>
        <v>447884</v>
      </c>
      <c r="I7" s="161">
        <f t="shared" si="2"/>
        <v>0</v>
      </c>
      <c r="J7" s="539">
        <f t="shared" ref="J6:J34" si="16">J6</f>
        <v>323265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7"/>
        <v>14.98093921650851</v>
      </c>
      <c r="P7" s="297">
        <f t="shared" si="9"/>
        <v>14.98093921650851</v>
      </c>
      <c r="Q7" s="297">
        <f>SUM(-tanks!AX9*tanks!$AU$37)</f>
        <v>0</v>
      </c>
      <c r="R7" s="297">
        <f t="shared" si="10"/>
        <v>14.98093921650851</v>
      </c>
      <c r="S7" s="299">
        <f>SUM(ELEC!N6)</f>
        <v>0</v>
      </c>
      <c r="T7" s="336">
        <f t="shared" si="12"/>
        <v>0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44260</v>
      </c>
      <c r="B8" s="539">
        <f t="shared" si="13"/>
        <v>908753</v>
      </c>
      <c r="C8" s="264">
        <f t="shared" si="0"/>
        <v>0</v>
      </c>
      <c r="D8" s="308">
        <f t="shared" si="8"/>
        <v>0</v>
      </c>
      <c r="E8" s="308">
        <f t="shared" si="11"/>
        <v>908753</v>
      </c>
      <c r="F8" s="539">
        <f t="shared" si="14"/>
        <v>137604</v>
      </c>
      <c r="G8" s="160">
        <f t="shared" si="1"/>
        <v>0</v>
      </c>
      <c r="H8" s="539">
        <f t="shared" si="15"/>
        <v>447884</v>
      </c>
      <c r="I8" s="161">
        <f t="shared" si="2"/>
        <v>0</v>
      </c>
      <c r="J8" s="539">
        <f t="shared" si="16"/>
        <v>323265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7"/>
        <v>14.98093921650851</v>
      </c>
      <c r="P8" s="297">
        <f t="shared" si="9"/>
        <v>14.98093921650851</v>
      </c>
      <c r="Q8" s="297">
        <f>SUM(-tanks!AX10*tanks!$AU$37)</f>
        <v>0</v>
      </c>
      <c r="R8" s="297">
        <f t="shared" si="10"/>
        <v>14.98093921650851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f t="shared" si="13"/>
        <v>908753</v>
      </c>
      <c r="C9" s="264">
        <f t="shared" si="0"/>
        <v>0</v>
      </c>
      <c r="D9" s="308">
        <f t="shared" si="8"/>
        <v>0</v>
      </c>
      <c r="E9" s="308">
        <f t="shared" si="11"/>
        <v>908753</v>
      </c>
      <c r="F9" s="539">
        <f t="shared" si="14"/>
        <v>137604</v>
      </c>
      <c r="G9" s="160">
        <f t="shared" si="1"/>
        <v>0</v>
      </c>
      <c r="H9" s="539">
        <f t="shared" si="15"/>
        <v>447884</v>
      </c>
      <c r="I9" s="161">
        <f t="shared" si="2"/>
        <v>0</v>
      </c>
      <c r="J9" s="539">
        <f t="shared" si="16"/>
        <v>323265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7"/>
        <v>14.98093921650851</v>
      </c>
      <c r="P9" s="297">
        <f t="shared" si="9"/>
        <v>14.98093921650851</v>
      </c>
      <c r="Q9" s="297">
        <f>SUM(-tanks!AX11*tanks!$AU$37)</f>
        <v>0</v>
      </c>
      <c r="R9" s="297">
        <f>SUM(P9:Q9)</f>
        <v>14.98093921650851</v>
      </c>
      <c r="S9" s="299">
        <f>SUM(ELEC!N8)</f>
        <v>0</v>
      </c>
      <c r="T9" s="336">
        <f t="shared" si="12"/>
        <v>0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604">
        <f>'[1]EDl log'!AA26</f>
        <v>23160</v>
      </c>
      <c r="AB9" s="604">
        <f>'[1]EDl log'!AB26</f>
        <v>1852800</v>
      </c>
      <c r="AC9" s="604">
        <f>'[1]EDl log'!AC26</f>
        <v>1033333</v>
      </c>
      <c r="AD9" s="610">
        <f>'[1]EDl log'!AD26</f>
        <v>0.43221296152048605</v>
      </c>
    </row>
    <row r="10" spans="1:32" ht="15.75" thickBot="1">
      <c r="A10" s="163">
        <f>ELEC!C9</f>
        <v>44262</v>
      </c>
      <c r="B10" s="539">
        <f t="shared" si="13"/>
        <v>908753</v>
      </c>
      <c r="C10" s="264">
        <f t="shared" si="0"/>
        <v>0</v>
      </c>
      <c r="D10" s="308">
        <f t="shared" si="8"/>
        <v>0</v>
      </c>
      <c r="E10" s="308">
        <f t="shared" si="11"/>
        <v>908753</v>
      </c>
      <c r="F10" s="539">
        <f t="shared" si="14"/>
        <v>137604</v>
      </c>
      <c r="G10" s="160">
        <f t="shared" si="1"/>
        <v>0</v>
      </c>
      <c r="H10" s="539">
        <f t="shared" si="15"/>
        <v>447884</v>
      </c>
      <c r="I10" s="161">
        <f t="shared" si="2"/>
        <v>0</v>
      </c>
      <c r="J10" s="539">
        <f t="shared" si="16"/>
        <v>323265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7"/>
        <v>14.98093921650851</v>
      </c>
      <c r="P10" s="297">
        <f t="shared" si="9"/>
        <v>14.98093921650851</v>
      </c>
      <c r="Q10" s="297">
        <f>SUM(-tanks!AX12*tanks!$AU$37)</f>
        <v>0</v>
      </c>
      <c r="R10" s="297">
        <f t="shared" si="10"/>
        <v>14.98093921650851</v>
      </c>
      <c r="S10" s="299">
        <f>SUM(ELEC!N9)</f>
        <v>0</v>
      </c>
      <c r="T10" s="336">
        <f t="shared" si="12"/>
        <v>0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604">
        <f>'[1]EDl log'!AA27</f>
        <v>21713</v>
      </c>
      <c r="AB10" s="604">
        <f>'[1]EDl log'!AB27</f>
        <v>2431856</v>
      </c>
      <c r="AC10" s="604">
        <f>'[1]EDl log'!AC27</f>
        <v>6200000</v>
      </c>
      <c r="AD10" s="610">
        <f>'[1]EDl log'!AD27</f>
        <v>0.40461909954821623</v>
      </c>
    </row>
    <row r="11" spans="1:32" ht="15.75" thickBot="1">
      <c r="A11" s="163">
        <f>ELEC!C10</f>
        <v>44263</v>
      </c>
      <c r="B11" s="539">
        <f t="shared" si="13"/>
        <v>908753</v>
      </c>
      <c r="C11" s="264">
        <f t="shared" si="0"/>
        <v>0</v>
      </c>
      <c r="D11" s="308">
        <f>SUM(G11+I11+K11)</f>
        <v>0</v>
      </c>
      <c r="E11" s="308">
        <f t="shared" si="11"/>
        <v>908753</v>
      </c>
      <c r="F11" s="539">
        <f t="shared" si="14"/>
        <v>137604</v>
      </c>
      <c r="G11" s="160">
        <f t="shared" si="1"/>
        <v>0</v>
      </c>
      <c r="H11" s="539">
        <f t="shared" si="15"/>
        <v>447884</v>
      </c>
      <c r="I11" s="161">
        <f t="shared" si="2"/>
        <v>0</v>
      </c>
      <c r="J11" s="539">
        <f t="shared" si="16"/>
        <v>323265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14.98093921650851</v>
      </c>
      <c r="P11" s="297">
        <f t="shared" si="9"/>
        <v>14.98093921650851</v>
      </c>
      <c r="Q11" s="297">
        <f>SUM(-tanks!AX13*tanks!$AU$37)</f>
        <v>0</v>
      </c>
      <c r="R11" s="297">
        <f t="shared" si="10"/>
        <v>14.98093921650851</v>
      </c>
      <c r="S11" s="299">
        <f>SUM(ELEC!N10)</f>
        <v>0</v>
      </c>
      <c r="T11" s="336">
        <f t="shared" si="12"/>
        <v>0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604">
        <f>'[1]EDl log'!AA28</f>
        <v>8825</v>
      </c>
      <c r="AB11" s="604">
        <f>'[1]EDl log'!AB28</f>
        <v>2824000</v>
      </c>
      <c r="AC11" s="604">
        <f>'[1]EDl log'!AC28</f>
        <v>1000</v>
      </c>
      <c r="AD11" s="610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f t="shared" si="13"/>
        <v>908753</v>
      </c>
      <c r="C12" s="264">
        <f t="shared" si="0"/>
        <v>0</v>
      </c>
      <c r="D12" s="308">
        <f t="shared" si="8"/>
        <v>0</v>
      </c>
      <c r="E12" s="308">
        <f t="shared" si="11"/>
        <v>908753</v>
      </c>
      <c r="F12" s="539">
        <f t="shared" si="14"/>
        <v>137604</v>
      </c>
      <c r="G12" s="160">
        <f t="shared" si="1"/>
        <v>0</v>
      </c>
      <c r="H12" s="539">
        <f t="shared" si="15"/>
        <v>447884</v>
      </c>
      <c r="I12" s="161">
        <f t="shared" si="2"/>
        <v>0</v>
      </c>
      <c r="J12" s="539">
        <f t="shared" si="16"/>
        <v>323265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14.98093921650851</v>
      </c>
      <c r="P12" s="297">
        <f t="shared" si="9"/>
        <v>14.98093921650851</v>
      </c>
      <c r="Q12" s="297">
        <f>SUM(-tanks!AX14*tanks!$AU$37)</f>
        <v>0</v>
      </c>
      <c r="R12" s="297">
        <f t="shared" si="10"/>
        <v>14.98093921650851</v>
      </c>
      <c r="S12" s="299">
        <f>SUM(ELEC!N11)</f>
        <v>0</v>
      </c>
      <c r="T12" s="336">
        <f t="shared" si="12"/>
        <v>0</v>
      </c>
      <c r="V12" s="571"/>
      <c r="W12" s="264"/>
      <c r="X12" s="3"/>
      <c r="Y12" s="264"/>
      <c r="Z12" s="568">
        <f>'[9]EDl log'!Z29</f>
        <v>0</v>
      </c>
      <c r="AA12" s="606">
        <f>'[1]EDl log'!$AA$29</f>
        <v>53698</v>
      </c>
      <c r="AB12" s="568">
        <f>'[2]EDl log'!AB29</f>
        <v>0</v>
      </c>
      <c r="AC12" s="568">
        <f>'[2]EDl log'!AC29</f>
        <v>0</v>
      </c>
      <c r="AD12" s="611"/>
    </row>
    <row r="13" spans="1:32" ht="15.75" thickBot="1">
      <c r="A13" s="163">
        <f>ELEC!C12</f>
        <v>44265</v>
      </c>
      <c r="B13" s="539">
        <f t="shared" si="13"/>
        <v>908753</v>
      </c>
      <c r="C13" s="264">
        <f t="shared" si="0"/>
        <v>0</v>
      </c>
      <c r="D13" s="308">
        <f t="shared" si="8"/>
        <v>0</v>
      </c>
      <c r="E13" s="308">
        <f t="shared" si="11"/>
        <v>908753</v>
      </c>
      <c r="F13" s="539">
        <f t="shared" si="14"/>
        <v>137604</v>
      </c>
      <c r="G13" s="160">
        <f t="shared" si="1"/>
        <v>0</v>
      </c>
      <c r="H13" s="539">
        <f t="shared" si="15"/>
        <v>447884</v>
      </c>
      <c r="I13" s="161">
        <f t="shared" si="2"/>
        <v>0</v>
      </c>
      <c r="J13" s="539">
        <f t="shared" si="16"/>
        <v>323265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14.98093921650851</v>
      </c>
      <c r="P13" s="297">
        <f t="shared" si="9"/>
        <v>14.98093921650851</v>
      </c>
      <c r="Q13" s="297">
        <f>SUM(-tanks!AX15*tanks!$AU$37)</f>
        <v>0</v>
      </c>
      <c r="R13" s="297">
        <f t="shared" si="10"/>
        <v>14.98093921650851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600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607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908753</v>
      </c>
      <c r="C14" s="264">
        <f t="shared" si="0"/>
        <v>0</v>
      </c>
      <c r="D14" s="308">
        <f t="shared" si="8"/>
        <v>0</v>
      </c>
      <c r="E14" s="308">
        <f t="shared" si="11"/>
        <v>908753</v>
      </c>
      <c r="F14" s="539">
        <f t="shared" si="14"/>
        <v>137604</v>
      </c>
      <c r="G14" s="160">
        <f t="shared" si="1"/>
        <v>0</v>
      </c>
      <c r="H14" s="539">
        <f t="shared" si="15"/>
        <v>447884</v>
      </c>
      <c r="I14" s="161">
        <f t="shared" si="2"/>
        <v>0</v>
      </c>
      <c r="J14" s="539">
        <f t="shared" si="16"/>
        <v>323265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14.98093921650851</v>
      </c>
      <c r="P14" s="297">
        <f t="shared" ref="P14:P17" si="21">SUM(L14:O14)</f>
        <v>14.98093921650851</v>
      </c>
      <c r="Q14" s="297">
        <f>SUM(-tanks!AX16*tanks!$AU$37)</f>
        <v>0</v>
      </c>
      <c r="R14" s="297">
        <f t="shared" ref="R14:R17" si="22">SUM(P14:Q14)</f>
        <v>14.98093921650851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607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908753</v>
      </c>
      <c r="C15" s="264">
        <f t="shared" si="0"/>
        <v>0</v>
      </c>
      <c r="D15" s="308">
        <f t="shared" si="8"/>
        <v>0</v>
      </c>
      <c r="E15" s="308">
        <f t="shared" si="11"/>
        <v>908753</v>
      </c>
      <c r="F15" s="539">
        <f t="shared" si="14"/>
        <v>137604</v>
      </c>
      <c r="G15" s="160">
        <f t="shared" si="1"/>
        <v>0</v>
      </c>
      <c r="H15" s="539">
        <f t="shared" si="15"/>
        <v>447884</v>
      </c>
      <c r="I15" s="161">
        <f t="shared" si="2"/>
        <v>0</v>
      </c>
      <c r="J15" s="539">
        <f t="shared" si="16"/>
        <v>323265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14.98093921650851</v>
      </c>
      <c r="P15" s="297">
        <f t="shared" si="21"/>
        <v>14.98093921650851</v>
      </c>
      <c r="Q15" s="297">
        <f>SUM(-tanks!AX17*tanks!$AU$37)</f>
        <v>0</v>
      </c>
      <c r="R15" s="297">
        <f t="shared" si="22"/>
        <v>14.98093921650851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99">
        <f>'[10]EDl log'!W32</f>
        <v>0</v>
      </c>
      <c r="X15" s="605">
        <f>'[1]EDl log'!$X$31</f>
        <v>6.75</v>
      </c>
      <c r="Y15" s="264"/>
      <c r="Z15" s="264"/>
      <c r="AA15" s="3"/>
      <c r="AB15" s="291"/>
      <c r="AC15" s="608"/>
    </row>
    <row r="16" spans="1:32" ht="15.75" thickBot="1">
      <c r="A16" s="163">
        <f>ELEC!C15</f>
        <v>44268</v>
      </c>
      <c r="B16" s="539">
        <f t="shared" si="13"/>
        <v>908753</v>
      </c>
      <c r="C16" s="264">
        <f t="shared" si="0"/>
        <v>0</v>
      </c>
      <c r="D16" s="308">
        <f t="shared" si="8"/>
        <v>0</v>
      </c>
      <c r="E16" s="308">
        <f t="shared" si="11"/>
        <v>908753</v>
      </c>
      <c r="F16" s="539">
        <f t="shared" si="14"/>
        <v>137604</v>
      </c>
      <c r="G16" s="160">
        <f t="shared" si="1"/>
        <v>0</v>
      </c>
      <c r="H16" s="539">
        <f t="shared" si="15"/>
        <v>447884</v>
      </c>
      <c r="I16" s="161">
        <f t="shared" si="2"/>
        <v>0</v>
      </c>
      <c r="J16" s="539">
        <f t="shared" si="16"/>
        <v>323265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14.98093921650851</v>
      </c>
      <c r="P16" s="297">
        <f t="shared" si="21"/>
        <v>14.98093921650851</v>
      </c>
      <c r="Q16" s="297">
        <f>SUM(-tanks!AX18*tanks!$AU$37)</f>
        <v>0</v>
      </c>
      <c r="R16" s="297">
        <f t="shared" si="22"/>
        <v>14.98093921650851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99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609"/>
    </row>
    <row r="17" spans="1:32" ht="15.75" thickBot="1">
      <c r="A17" s="163">
        <f>ELEC!C16</f>
        <v>44269</v>
      </c>
      <c r="B17" s="539">
        <f t="shared" si="13"/>
        <v>908753</v>
      </c>
      <c r="C17" s="264">
        <f t="shared" si="0"/>
        <v>0</v>
      </c>
      <c r="D17" s="308">
        <f t="shared" si="8"/>
        <v>0</v>
      </c>
      <c r="E17" s="308">
        <f t="shared" si="11"/>
        <v>908753</v>
      </c>
      <c r="F17" s="539">
        <f t="shared" si="14"/>
        <v>137604</v>
      </c>
      <c r="G17" s="160">
        <f t="shared" si="1"/>
        <v>0</v>
      </c>
      <c r="H17" s="539">
        <f t="shared" si="15"/>
        <v>447884</v>
      </c>
      <c r="I17" s="161">
        <f t="shared" si="2"/>
        <v>0</v>
      </c>
      <c r="J17" s="539">
        <f t="shared" si="16"/>
        <v>323265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14.98093921650851</v>
      </c>
      <c r="P17" s="297">
        <f t="shared" si="21"/>
        <v>14.98093921650851</v>
      </c>
      <c r="Q17" s="297">
        <f>SUM(-tanks!AX19*tanks!$AU$37)</f>
        <v>0</v>
      </c>
      <c r="R17" s="297">
        <f t="shared" si="22"/>
        <v>14.98093921650851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601">
        <f>'[10]EDl log'!AA34</f>
        <v>0.11</v>
      </c>
      <c r="AB17" s="599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908753</v>
      </c>
      <c r="C18" s="264">
        <f t="shared" si="0"/>
        <v>0</v>
      </c>
      <c r="D18" s="308">
        <f t="shared" si="8"/>
        <v>0</v>
      </c>
      <c r="E18" s="308">
        <f t="shared" si="11"/>
        <v>908753</v>
      </c>
      <c r="F18" s="539">
        <f t="shared" si="14"/>
        <v>137604</v>
      </c>
      <c r="G18" s="160">
        <f t="shared" si="1"/>
        <v>0</v>
      </c>
      <c r="H18" s="539">
        <f t="shared" si="15"/>
        <v>447884</v>
      </c>
      <c r="I18" s="161">
        <f t="shared" si="2"/>
        <v>0</v>
      </c>
      <c r="J18" s="539">
        <f t="shared" si="16"/>
        <v>323265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14.98093921650851</v>
      </c>
      <c r="P18" s="297">
        <f t="shared" si="9"/>
        <v>14.98093921650851</v>
      </c>
      <c r="Q18" s="297">
        <f>SUM(-tanks!AX20*tanks!$AU$37)</f>
        <v>0</v>
      </c>
      <c r="R18" s="297">
        <f t="shared" si="10"/>
        <v>14.98093921650851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601"/>
      <c r="AB18" s="599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908753</v>
      </c>
      <c r="C19" s="264">
        <f t="shared" si="0"/>
        <v>0</v>
      </c>
      <c r="D19" s="308">
        <f t="shared" si="8"/>
        <v>0</v>
      </c>
      <c r="E19" s="308">
        <f t="shared" si="11"/>
        <v>908753</v>
      </c>
      <c r="F19" s="539">
        <f t="shared" si="14"/>
        <v>137604</v>
      </c>
      <c r="G19" s="160">
        <f t="shared" si="1"/>
        <v>0</v>
      </c>
      <c r="H19" s="539">
        <f t="shared" si="15"/>
        <v>447884</v>
      </c>
      <c r="I19" s="161">
        <f t="shared" si="2"/>
        <v>0</v>
      </c>
      <c r="J19" s="539">
        <f t="shared" si="16"/>
        <v>323265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14.98093921650851</v>
      </c>
      <c r="P19" s="297">
        <f t="shared" si="9"/>
        <v>14.98093921650851</v>
      </c>
      <c r="Q19" s="297">
        <f>SUM(-tanks!AX21*tanks!$AU$37)</f>
        <v>0</v>
      </c>
      <c r="R19" s="297">
        <f t="shared" si="10"/>
        <v>14.98093921650851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601"/>
      <c r="AB19" s="599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908753</v>
      </c>
      <c r="C20" s="264">
        <f t="shared" si="0"/>
        <v>0</v>
      </c>
      <c r="D20" s="308">
        <f t="shared" si="8"/>
        <v>0</v>
      </c>
      <c r="E20" s="308">
        <f t="shared" si="11"/>
        <v>908753</v>
      </c>
      <c r="F20" s="539">
        <f t="shared" si="14"/>
        <v>137604</v>
      </c>
      <c r="G20" s="160">
        <f t="shared" si="1"/>
        <v>0</v>
      </c>
      <c r="H20" s="539">
        <f t="shared" si="15"/>
        <v>447884</v>
      </c>
      <c r="I20" s="161">
        <f t="shared" si="2"/>
        <v>0</v>
      </c>
      <c r="J20" s="539">
        <f t="shared" si="16"/>
        <v>323265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14.98093921650851</v>
      </c>
      <c r="P20" s="297">
        <f t="shared" si="9"/>
        <v>14.98093921650851</v>
      </c>
      <c r="Q20" s="297">
        <f>SUM(-tanks!AX22*tanks!$AU$37)</f>
        <v>0</v>
      </c>
      <c r="R20" s="297">
        <f t="shared" si="10"/>
        <v>14.98093921650851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908753</v>
      </c>
      <c r="C21" s="264">
        <f t="shared" si="0"/>
        <v>0</v>
      </c>
      <c r="D21" s="308">
        <f t="shared" si="8"/>
        <v>0</v>
      </c>
      <c r="E21" s="308">
        <f t="shared" si="11"/>
        <v>908753</v>
      </c>
      <c r="F21" s="539">
        <f t="shared" si="14"/>
        <v>137604</v>
      </c>
      <c r="G21" s="160">
        <f t="shared" si="1"/>
        <v>0</v>
      </c>
      <c r="H21" s="539">
        <f t="shared" si="15"/>
        <v>447884</v>
      </c>
      <c r="I21" s="161">
        <f t="shared" si="2"/>
        <v>0</v>
      </c>
      <c r="J21" s="539">
        <f t="shared" si="16"/>
        <v>323265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14.98093921650851</v>
      </c>
      <c r="P21" s="297">
        <f t="shared" si="9"/>
        <v>14.98093921650851</v>
      </c>
      <c r="Q21" s="297">
        <f>SUM(-tanks!AX23*tanks!$AU$37)</f>
        <v>0</v>
      </c>
      <c r="R21" s="297">
        <f t="shared" si="10"/>
        <v>14.98093921650851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7"/>
      <c r="AC21" s="678"/>
    </row>
    <row r="22" spans="1:32" ht="15.75" thickBot="1">
      <c r="A22" s="163">
        <f>ELEC!C21</f>
        <v>44274</v>
      </c>
      <c r="B22" s="539">
        <f t="shared" si="13"/>
        <v>908753</v>
      </c>
      <c r="C22" s="264">
        <f t="shared" si="0"/>
        <v>0</v>
      </c>
      <c r="D22" s="308">
        <f t="shared" si="8"/>
        <v>0</v>
      </c>
      <c r="E22" s="308">
        <f t="shared" si="11"/>
        <v>908753</v>
      </c>
      <c r="F22" s="539">
        <f t="shared" si="14"/>
        <v>137604</v>
      </c>
      <c r="G22" s="160">
        <f t="shared" si="1"/>
        <v>0</v>
      </c>
      <c r="H22" s="539">
        <f t="shared" si="15"/>
        <v>447884</v>
      </c>
      <c r="I22" s="161">
        <f t="shared" si="2"/>
        <v>0</v>
      </c>
      <c r="J22" s="539">
        <f t="shared" si="16"/>
        <v>323265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14.98093921650851</v>
      </c>
      <c r="P22" s="297">
        <f t="shared" si="9"/>
        <v>14.98093921650851</v>
      </c>
      <c r="Q22" s="297">
        <f>SUM(-tanks!AX24*tanks!$AU$37)</f>
        <v>0</v>
      </c>
      <c r="R22" s="297">
        <f t="shared" si="10"/>
        <v>14.98093921650851</v>
      </c>
      <c r="S22" s="299">
        <f>SUM(ELEC!N21)</f>
        <v>0</v>
      </c>
      <c r="T22" s="336">
        <f t="shared" si="12"/>
        <v>0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.75" thickBot="1">
      <c r="A23" s="163">
        <f>ELEC!C22</f>
        <v>44275</v>
      </c>
      <c r="B23" s="539">
        <f t="shared" si="13"/>
        <v>908753</v>
      </c>
      <c r="C23" s="264">
        <f t="shared" si="0"/>
        <v>0</v>
      </c>
      <c r="D23" s="308">
        <f t="shared" si="8"/>
        <v>0</v>
      </c>
      <c r="E23" s="308">
        <f t="shared" si="11"/>
        <v>908753</v>
      </c>
      <c r="F23" s="539">
        <f t="shared" si="14"/>
        <v>137604</v>
      </c>
      <c r="G23" s="160">
        <f t="shared" si="1"/>
        <v>0</v>
      </c>
      <c r="H23" s="539">
        <f t="shared" si="15"/>
        <v>447884</v>
      </c>
      <c r="I23" s="161">
        <f t="shared" si="2"/>
        <v>0</v>
      </c>
      <c r="J23" s="539">
        <f t="shared" si="16"/>
        <v>323265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14.98093921650851</v>
      </c>
      <c r="P23" s="297">
        <f t="shared" si="9"/>
        <v>14.98093921650851</v>
      </c>
      <c r="Q23" s="297">
        <f>SUM(-tanks!AX25*tanks!$AU$37)</f>
        <v>0</v>
      </c>
      <c r="R23" s="297">
        <f t="shared" si="10"/>
        <v>14.98093921650851</v>
      </c>
      <c r="S23" s="299">
        <f>SUM(ELEC!N22)</f>
        <v>0</v>
      </c>
      <c r="T23" s="336">
        <f t="shared" si="12"/>
        <v>0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44276</v>
      </c>
      <c r="B24" s="539">
        <f t="shared" si="13"/>
        <v>908753</v>
      </c>
      <c r="C24" s="264">
        <f t="shared" si="0"/>
        <v>0</v>
      </c>
      <c r="D24" s="308">
        <f t="shared" si="8"/>
        <v>0</v>
      </c>
      <c r="E24" s="308">
        <f t="shared" si="11"/>
        <v>908753</v>
      </c>
      <c r="F24" s="539">
        <f t="shared" si="14"/>
        <v>137604</v>
      </c>
      <c r="G24" s="160">
        <f t="shared" si="1"/>
        <v>0</v>
      </c>
      <c r="H24" s="539">
        <f t="shared" si="15"/>
        <v>447884</v>
      </c>
      <c r="I24" s="161">
        <f t="shared" si="2"/>
        <v>0</v>
      </c>
      <c r="J24" s="539">
        <f t="shared" si="16"/>
        <v>323265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14.98093921650851</v>
      </c>
      <c r="P24" s="297">
        <f t="shared" si="9"/>
        <v>14.98093921650851</v>
      </c>
      <c r="Q24" s="297">
        <f>SUM(-tanks!AX26*tanks!$AU$37)</f>
        <v>0</v>
      </c>
      <c r="R24" s="297">
        <f t="shared" si="10"/>
        <v>14.98093921650851</v>
      </c>
      <c r="S24" s="299">
        <f>SUM(ELEC!N23)</f>
        <v>0</v>
      </c>
      <c r="T24" s="336">
        <f t="shared" si="12"/>
        <v>0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44277</v>
      </c>
      <c r="B25" s="539">
        <f t="shared" si="13"/>
        <v>908753</v>
      </c>
      <c r="C25" s="264">
        <f t="shared" si="0"/>
        <v>0</v>
      </c>
      <c r="D25" s="308">
        <f t="shared" si="8"/>
        <v>0</v>
      </c>
      <c r="E25" s="308">
        <f t="shared" si="11"/>
        <v>908753</v>
      </c>
      <c r="F25" s="539">
        <f t="shared" si="14"/>
        <v>137604</v>
      </c>
      <c r="G25" s="160">
        <f t="shared" si="1"/>
        <v>0</v>
      </c>
      <c r="H25" s="539">
        <f t="shared" si="15"/>
        <v>447884</v>
      </c>
      <c r="I25" s="161">
        <f t="shared" si="2"/>
        <v>0</v>
      </c>
      <c r="J25" s="539">
        <f t="shared" si="16"/>
        <v>323265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14.98093921650851</v>
      </c>
      <c r="P25" s="297">
        <f t="shared" si="9"/>
        <v>14.98093921650851</v>
      </c>
      <c r="Q25" s="297">
        <f>SUM(-tanks!AX27*tanks!$AU$37)</f>
        <v>0</v>
      </c>
      <c r="R25" s="297">
        <f t="shared" si="10"/>
        <v>14.98093921650851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908753</v>
      </c>
      <c r="C26" s="264">
        <f t="shared" si="0"/>
        <v>0</v>
      </c>
      <c r="D26" s="308">
        <f t="shared" si="8"/>
        <v>0</v>
      </c>
      <c r="E26" s="308">
        <f t="shared" si="11"/>
        <v>908753</v>
      </c>
      <c r="F26" s="539">
        <f t="shared" si="14"/>
        <v>137604</v>
      </c>
      <c r="G26" s="160">
        <f t="shared" si="1"/>
        <v>0</v>
      </c>
      <c r="H26" s="539">
        <f t="shared" si="15"/>
        <v>447884</v>
      </c>
      <c r="I26" s="161">
        <f t="shared" si="2"/>
        <v>0</v>
      </c>
      <c r="J26" s="539">
        <f t="shared" si="16"/>
        <v>323265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14.98093921650851</v>
      </c>
      <c r="P26" s="297">
        <f t="shared" si="9"/>
        <v>14.98093921650851</v>
      </c>
      <c r="Q26" s="297">
        <f>SUM(-tanks!AX28*tanks!$AU$37)</f>
        <v>0</v>
      </c>
      <c r="R26" s="297">
        <f t="shared" si="10"/>
        <v>14.98093921650851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323265</v>
      </c>
      <c r="X26" s="172" t="s">
        <v>199</v>
      </c>
      <c r="Y26" s="172">
        <v>80</v>
      </c>
      <c r="Z26" s="172">
        <v>1</v>
      </c>
      <c r="AA26" s="338">
        <f>(W26-V26)*Z26</f>
        <v>2215</v>
      </c>
      <c r="AB26" s="338">
        <f>AA26*Y26</f>
        <v>177200</v>
      </c>
      <c r="AC26" s="249">
        <f>AC9</f>
        <v>1033333</v>
      </c>
      <c r="AD26" s="212">
        <f>SUM(K36)</f>
        <v>0.58675496688741724</v>
      </c>
    </row>
    <row r="27" spans="1:32" ht="15.75" thickBot="1">
      <c r="A27" s="163">
        <f>ELEC!C26</f>
        <v>44279</v>
      </c>
      <c r="B27" s="539">
        <f t="shared" si="13"/>
        <v>908753</v>
      </c>
      <c r="C27" s="264">
        <f t="shared" si="0"/>
        <v>0</v>
      </c>
      <c r="D27" s="308">
        <f t="shared" si="8"/>
        <v>0</v>
      </c>
      <c r="E27" s="308">
        <f t="shared" si="11"/>
        <v>908753</v>
      </c>
      <c r="F27" s="539">
        <f t="shared" si="14"/>
        <v>137604</v>
      </c>
      <c r="G27" s="160">
        <f t="shared" si="1"/>
        <v>0</v>
      </c>
      <c r="H27" s="539">
        <f t="shared" si="15"/>
        <v>447884</v>
      </c>
      <c r="I27" s="161">
        <f t="shared" si="2"/>
        <v>0</v>
      </c>
      <c r="J27" s="539">
        <f t="shared" si="16"/>
        <v>323265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14.98093921650851</v>
      </c>
      <c r="P27" s="297">
        <f t="shared" si="9"/>
        <v>14.98093921650851</v>
      </c>
      <c r="Q27" s="297">
        <f>SUM(-tanks!AX29*tanks!$AU$37)</f>
        <v>0</v>
      </c>
      <c r="R27" s="297">
        <f t="shared" si="10"/>
        <v>14.98093921650851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447884</v>
      </c>
      <c r="X27" s="172" t="s">
        <v>213</v>
      </c>
      <c r="Y27" s="172">
        <v>112</v>
      </c>
      <c r="Z27" s="172">
        <v>1</v>
      </c>
      <c r="AA27" s="338">
        <f>(W27-V27)*Z27</f>
        <v>1064</v>
      </c>
      <c r="AB27" s="338">
        <f>SUM(AA27*Y27)</f>
        <v>119168</v>
      </c>
      <c r="AC27" s="249">
        <f>AC10</f>
        <v>6200000</v>
      </c>
      <c r="AD27" s="212">
        <f>SUM(I36)</f>
        <v>0.28185430463576161</v>
      </c>
    </row>
    <row r="28" spans="1:32" ht="15.75" thickBot="1">
      <c r="A28" s="163">
        <f>ELEC!C27</f>
        <v>44280</v>
      </c>
      <c r="B28" s="539">
        <f t="shared" si="13"/>
        <v>908753</v>
      </c>
      <c r="C28" s="264">
        <f t="shared" si="0"/>
        <v>0</v>
      </c>
      <c r="D28" s="308">
        <f t="shared" si="8"/>
        <v>0</v>
      </c>
      <c r="E28" s="308">
        <f t="shared" si="11"/>
        <v>908753</v>
      </c>
      <c r="F28" s="539">
        <f t="shared" si="14"/>
        <v>137604</v>
      </c>
      <c r="G28" s="160">
        <f t="shared" si="1"/>
        <v>0</v>
      </c>
      <c r="H28" s="539">
        <f t="shared" si="15"/>
        <v>447884</v>
      </c>
      <c r="I28" s="161">
        <f t="shared" si="2"/>
        <v>0</v>
      </c>
      <c r="J28" s="539">
        <f t="shared" si="16"/>
        <v>323265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14.98093921650851</v>
      </c>
      <c r="P28" s="297">
        <f t="shared" si="9"/>
        <v>14.98093921650851</v>
      </c>
      <c r="Q28" s="297">
        <f>SUM(-tanks!AX30*tanks!$AU$37)</f>
        <v>0</v>
      </c>
      <c r="R28" s="297">
        <f t="shared" si="10"/>
        <v>14.98093921650851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137604</v>
      </c>
      <c r="X28" s="172" t="s">
        <v>197</v>
      </c>
      <c r="Y28" s="172">
        <v>320</v>
      </c>
      <c r="Z28" s="172">
        <v>1</v>
      </c>
      <c r="AA28" s="338">
        <f>(W28-V28)*Z28</f>
        <v>496</v>
      </c>
      <c r="AB28" s="338">
        <f>SUM(AA28*Y28)</f>
        <v>158720</v>
      </c>
      <c r="AC28" s="249">
        <f>AC11</f>
        <v>1000</v>
      </c>
      <c r="AD28" s="212">
        <f>SUM(G36)</f>
        <v>0.13139072847682121</v>
      </c>
      <c r="AE28" s="40">
        <f>SUM(AB28*5%)</f>
        <v>7936</v>
      </c>
      <c r="AF28" s="82">
        <f>SUM(AE28/7)*31</f>
        <v>35145.142857142862</v>
      </c>
    </row>
    <row r="29" spans="1:32" ht="15.75" thickBot="1">
      <c r="A29" s="163">
        <f>ELEC!C28</f>
        <v>44281</v>
      </c>
      <c r="B29" s="539">
        <f t="shared" si="13"/>
        <v>908753</v>
      </c>
      <c r="C29" s="264">
        <f t="shared" si="0"/>
        <v>0</v>
      </c>
      <c r="D29" s="308">
        <f t="shared" si="8"/>
        <v>0</v>
      </c>
      <c r="E29" s="308">
        <f t="shared" si="11"/>
        <v>908753</v>
      </c>
      <c r="F29" s="539">
        <f t="shared" si="14"/>
        <v>137604</v>
      </c>
      <c r="G29" s="160">
        <f t="shared" si="1"/>
        <v>0</v>
      </c>
      <c r="H29" s="539">
        <f t="shared" si="15"/>
        <v>447884</v>
      </c>
      <c r="I29" s="161">
        <f t="shared" si="2"/>
        <v>0</v>
      </c>
      <c r="J29" s="539">
        <f t="shared" si="16"/>
        <v>323265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14.98093921650851</v>
      </c>
      <c r="P29" s="297">
        <f t="shared" si="9"/>
        <v>14.98093921650851</v>
      </c>
      <c r="Q29" s="297">
        <f>SUM(-tanks!AX31*tanks!$AU$37)</f>
        <v>0</v>
      </c>
      <c r="R29" s="297">
        <f t="shared" si="10"/>
        <v>14.98093921650851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3775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908753</v>
      </c>
      <c r="C30" s="264">
        <f t="shared" si="0"/>
        <v>0</v>
      </c>
      <c r="D30" s="308">
        <f t="shared" si="8"/>
        <v>0</v>
      </c>
      <c r="E30" s="308">
        <f t="shared" si="11"/>
        <v>908753</v>
      </c>
      <c r="F30" s="539">
        <f t="shared" si="14"/>
        <v>137604</v>
      </c>
      <c r="G30" s="160">
        <f t="shared" si="1"/>
        <v>0</v>
      </c>
      <c r="H30" s="539">
        <f t="shared" si="15"/>
        <v>447884</v>
      </c>
      <c r="I30" s="161">
        <f t="shared" si="2"/>
        <v>0</v>
      </c>
      <c r="J30" s="539">
        <f t="shared" si="16"/>
        <v>323265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14.98093921650851</v>
      </c>
      <c r="P30" s="297">
        <f t="shared" si="9"/>
        <v>14.98093921650851</v>
      </c>
      <c r="Q30" s="297">
        <f>SUM(-tanks!AX32*tanks!$AU$37)</f>
        <v>0</v>
      </c>
      <c r="R30" s="297">
        <f t="shared" si="10"/>
        <v>14.98093921650851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455088</v>
      </c>
      <c r="AC30" s="249">
        <f>SUM(AC26:AC29)/A37*A35</f>
        <v>700096.74193548388</v>
      </c>
    </row>
    <row r="31" spans="1:32" ht="14.25" customHeight="1" thickBot="1">
      <c r="A31" s="163">
        <f>ELEC!C30</f>
        <v>44283</v>
      </c>
      <c r="B31" s="539">
        <f t="shared" si="13"/>
        <v>908753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908753</v>
      </c>
      <c r="F31" s="539">
        <f t="shared" si="14"/>
        <v>137604</v>
      </c>
      <c r="G31" s="160">
        <f t="shared" ref="G31:G34" si="31">F31-F30</f>
        <v>0</v>
      </c>
      <c r="H31" s="539">
        <f t="shared" si="15"/>
        <v>447884</v>
      </c>
      <c r="I31" s="161">
        <f t="shared" ref="I31:I34" si="32">H31-H30</f>
        <v>0</v>
      </c>
      <c r="J31" s="539">
        <f t="shared" si="16"/>
        <v>323265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14.98093921650851</v>
      </c>
      <c r="P31" s="297">
        <f t="shared" ref="P31:P34" si="37">SUM(L31:O31)</f>
        <v>14.98093921650851</v>
      </c>
      <c r="Q31" s="297">
        <f>SUM(-tanks!AX33*tanks!$AU$37)</f>
        <v>0</v>
      </c>
      <c r="R31" s="297">
        <f t="shared" ref="R31:R34" si="38">SUM(P31:Q31)</f>
        <v>14.98093921650851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908753</v>
      </c>
      <c r="C32" s="264">
        <f t="shared" si="28"/>
        <v>0</v>
      </c>
      <c r="D32" s="308">
        <f t="shared" si="29"/>
        <v>0</v>
      </c>
      <c r="E32" s="308">
        <f t="shared" si="30"/>
        <v>908753</v>
      </c>
      <c r="F32" s="539">
        <f t="shared" si="14"/>
        <v>137604</v>
      </c>
      <c r="G32" s="160">
        <f t="shared" si="31"/>
        <v>0</v>
      </c>
      <c r="H32" s="539">
        <f t="shared" si="15"/>
        <v>447884</v>
      </c>
      <c r="I32" s="161">
        <f t="shared" si="32"/>
        <v>0</v>
      </c>
      <c r="J32" s="539">
        <f t="shared" si="16"/>
        <v>323265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14.98093921650851</v>
      </c>
      <c r="P32" s="297">
        <f t="shared" si="37"/>
        <v>14.98093921650851</v>
      </c>
      <c r="Q32" s="297">
        <f>SUM(-tanks!AX34*tanks!$AU$37)</f>
        <v>0</v>
      </c>
      <c r="R32" s="297">
        <f t="shared" si="38"/>
        <v>14.98093921650851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908753</v>
      </c>
      <c r="C33" s="264">
        <f t="shared" si="28"/>
        <v>0</v>
      </c>
      <c r="D33" s="308">
        <f t="shared" si="29"/>
        <v>0</v>
      </c>
      <c r="E33" s="308">
        <f t="shared" si="30"/>
        <v>908753</v>
      </c>
      <c r="F33" s="539">
        <f t="shared" si="14"/>
        <v>137604</v>
      </c>
      <c r="G33" s="160">
        <f t="shared" si="31"/>
        <v>0</v>
      </c>
      <c r="H33" s="539">
        <f t="shared" si="15"/>
        <v>447884</v>
      </c>
      <c r="I33" s="161">
        <f t="shared" si="32"/>
        <v>0</v>
      </c>
      <c r="J33" s="539">
        <f t="shared" si="16"/>
        <v>323265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14.98093921650851</v>
      </c>
      <c r="P33" s="297">
        <f t="shared" si="37"/>
        <v>14.98093921650851</v>
      </c>
      <c r="Q33" s="297">
        <f>SUM(-tanks!AX35*tanks!$AU$37)</f>
        <v>0</v>
      </c>
      <c r="R33" s="297">
        <f t="shared" si="38"/>
        <v>14.98093921650851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908753</v>
      </c>
      <c r="C34" s="264">
        <f t="shared" si="28"/>
        <v>0</v>
      </c>
      <c r="D34" s="308">
        <f t="shared" si="29"/>
        <v>0</v>
      </c>
      <c r="E34" s="308">
        <f t="shared" si="30"/>
        <v>908753</v>
      </c>
      <c r="F34" s="539">
        <f t="shared" si="14"/>
        <v>137604</v>
      </c>
      <c r="G34" s="160">
        <f t="shared" si="31"/>
        <v>0</v>
      </c>
      <c r="H34" s="539">
        <f t="shared" si="15"/>
        <v>447884</v>
      </c>
      <c r="I34" s="161">
        <f t="shared" si="32"/>
        <v>0</v>
      </c>
      <c r="J34" s="539">
        <f t="shared" si="16"/>
        <v>323265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14.98093921650851</v>
      </c>
      <c r="P34" s="297">
        <f t="shared" si="37"/>
        <v>14.98093921650851</v>
      </c>
      <c r="Q34" s="297">
        <f>SUM(-tanks!AX36*tanks!$AU$37)</f>
        <v>0</v>
      </c>
      <c r="R34" s="297">
        <f t="shared" si="38"/>
        <v>14.98093921650851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36</v>
      </c>
      <c r="X34" s="222">
        <f>SUM(W34/A35)</f>
        <v>12</v>
      </c>
      <c r="Y34" s="260">
        <f>SUM(X34/2)</f>
        <v>6</v>
      </c>
      <c r="Z34" s="3"/>
      <c r="AA34" s="3"/>
      <c r="AB34" s="542">
        <f>SUM(AB30+AC34)</f>
        <v>1155184.7419354839</v>
      </c>
      <c r="AC34" s="249">
        <f>SUM(AC30)</f>
        <v>700096.74193548388</v>
      </c>
    </row>
    <row r="35" spans="1:32" ht="15.75" thickBot="1">
      <c r="A35" s="538">
        <f>A37-COUNTIF(C4:C34,0)</f>
        <v>3</v>
      </c>
      <c r="C35" s="173">
        <f>SUM(C4:C34)/A35</f>
        <v>1258.3333333333333</v>
      </c>
      <c r="D35" s="173"/>
      <c r="E35" s="173"/>
      <c r="G35" s="173">
        <f>SUM(G4:G34)/A35</f>
        <v>165.33333333333334</v>
      </c>
      <c r="I35" s="173">
        <f>SUM(I4:I34)/A35</f>
        <v>354.66666666666669</v>
      </c>
      <c r="K35" s="173">
        <f>SUM(K4:K34)/A35</f>
        <v>738.33333333333337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22583.765868886578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1</v>
      </c>
      <c r="G36" s="225">
        <f>IF(C35&gt;0,G35/C35,0)</f>
        <v>0.13139072847682121</v>
      </c>
      <c r="H36" s="212"/>
      <c r="I36" s="225">
        <f>SUM(I35/C35)</f>
        <v>0.28185430463576161</v>
      </c>
      <c r="J36" s="212"/>
      <c r="K36" s="225">
        <f>SUM(K35/C35)</f>
        <v>0.58675496688741724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766.29170277644039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464.40911571176377</v>
      </c>
      <c r="Z38" s="40"/>
      <c r="AA38" s="292" t="s">
        <v>215</v>
      </c>
      <c r="AB38" s="293">
        <f>SUM(AB36)</f>
        <v>766.29170277644039</v>
      </c>
    </row>
    <row r="39" spans="1:32">
      <c r="V39" s="217"/>
      <c r="W39" s="82">
        <f>(AB30+AB54)/1507.5</f>
        <v>301.88258706467661</v>
      </c>
      <c r="X39" s="543"/>
      <c r="Z39" s="294">
        <f>SUM(AB38)</f>
        <v>766.29170277644039</v>
      </c>
      <c r="AA39" s="293"/>
      <c r="AB39" s="293"/>
    </row>
    <row r="40" spans="1:32">
      <c r="V40" s="17"/>
      <c r="W40" s="82">
        <f>SUM(W38:W39)</f>
        <v>766.29170277644039</v>
      </c>
      <c r="X40" s="543"/>
      <c r="Y40" s="82"/>
      <c r="Z40" s="294">
        <f>SUM(-tanks!AX37)*tanks!AU37</f>
        <v>674.98354838709588</v>
      </c>
      <c r="AA40" s="101">
        <f>SUM(AB34/A35)</f>
        <v>385061.58064516127</v>
      </c>
      <c r="AB40" s="348">
        <f>SUM(AA40*A37)</f>
        <v>11936909</v>
      </c>
    </row>
    <row r="41" spans="1:32" ht="18.75">
      <c r="W41" s="82">
        <f>(AB30+AB54)/1507.5</f>
        <v>301.88258706467661</v>
      </c>
      <c r="Z41" s="276">
        <f>SUM(Z39:Z40)</f>
        <v>1441.2752511635363</v>
      </c>
      <c r="AA41" s="293">
        <f>SUM(AA40/1507.5)</f>
        <v>255.43056759214679</v>
      </c>
      <c r="AB41" s="347">
        <f>SUM(AB40/1507.5)</f>
        <v>7918.3475953565503</v>
      </c>
    </row>
    <row r="42" spans="1:32">
      <c r="D42" s="519"/>
      <c r="E42" s="519"/>
      <c r="F42" s="519"/>
      <c r="W42" s="82">
        <f>SUM(W40:W41)</f>
        <v>1068.1742898411171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64"/>
      <c r="AC45" s="664"/>
      <c r="AD45" s="17"/>
      <c r="AE45" s="17"/>
      <c r="AF45" s="17"/>
    </row>
    <row r="46" spans="1:32">
      <c r="V46" s="664"/>
      <c r="W46" s="664"/>
      <c r="X46" s="664"/>
      <c r="Y46" s="664"/>
      <c r="Z46" s="547"/>
      <c r="AA46" s="547"/>
      <c r="AB46" s="664"/>
      <c r="AC46" s="664"/>
      <c r="AD46" s="17"/>
      <c r="AE46" s="17"/>
      <c r="AF46" s="17"/>
    </row>
    <row r="47" spans="1:32">
      <c r="V47" s="664"/>
      <c r="W47" s="664"/>
      <c r="X47" s="664"/>
      <c r="Y47" s="664"/>
      <c r="Z47" s="664"/>
      <c r="AA47" s="664"/>
      <c r="AB47" s="664"/>
      <c r="AC47" s="664"/>
      <c r="AD47" s="17"/>
      <c r="AE47" s="17"/>
      <c r="AF47" s="17"/>
    </row>
    <row r="48" spans="1:32">
      <c r="V48" s="665"/>
      <c r="W48" s="665"/>
      <c r="X48" s="666"/>
      <c r="Y48" s="666"/>
      <c r="Z48" s="666"/>
      <c r="AA48" s="548"/>
      <c r="AB48" s="664"/>
      <c r="AC48" s="664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6" activePane="bottomLeft" state="frozen"/>
      <selection pane="bottomLeft" activeCell="I8" sqref="I8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318</v>
      </c>
      <c r="C1" s="709"/>
      <c r="D1" s="711"/>
      <c r="E1" s="708" t="s">
        <v>319</v>
      </c>
      <c r="F1" s="709"/>
      <c r="G1" s="710"/>
      <c r="H1" s="705" t="s">
        <v>324</v>
      </c>
      <c r="I1" s="702" t="s">
        <v>325</v>
      </c>
      <c r="J1" s="699" t="s">
        <v>43</v>
      </c>
    </row>
    <row r="2" spans="1:18" ht="38.25" thickBot="1">
      <c r="A2" s="697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6"/>
      <c r="I2" s="703"/>
      <c r="J2" s="700"/>
    </row>
    <row r="3" spans="1:18" ht="24" customHeight="1" thickBot="1">
      <c r="A3" s="698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7"/>
      <c r="I3" s="704"/>
      <c r="J3" s="701"/>
    </row>
    <row r="4" spans="1:18" ht="19.5" thickBot="1">
      <c r="A4" s="243"/>
      <c r="B4" s="508"/>
      <c r="C4" s="508"/>
      <c r="D4" s="508"/>
      <c r="E4" s="508"/>
      <c r="F4" s="508"/>
      <c r="G4" s="508"/>
      <c r="H4" s="587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12">
        <v>7.8</v>
      </c>
      <c r="D6" s="170"/>
      <c r="E6" s="170">
        <v>0.1</v>
      </c>
      <c r="F6" s="170">
        <v>8</v>
      </c>
      <c r="G6" s="594"/>
      <c r="H6" s="595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13">
        <v>7.8</v>
      </c>
      <c r="D7" s="170"/>
      <c r="E7" s="170">
        <v>2</v>
      </c>
      <c r="F7" s="170">
        <v>8</v>
      </c>
      <c r="G7" s="170"/>
      <c r="H7" s="595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96">
        <v>2.5</v>
      </c>
      <c r="C8" s="595">
        <v>7.8</v>
      </c>
      <c r="D8" s="595"/>
      <c r="E8" s="595">
        <v>2</v>
      </c>
      <c r="F8" s="595">
        <v>8</v>
      </c>
      <c r="G8" s="595"/>
      <c r="H8" s="595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597"/>
      <c r="C9" s="595"/>
      <c r="D9" s="45"/>
      <c r="E9" s="45"/>
      <c r="F9" s="45"/>
      <c r="G9" s="45"/>
      <c r="H9" s="595">
        <f t="shared" si="2"/>
        <v>6721</v>
      </c>
      <c r="I9" s="509">
        <f t="shared" si="3"/>
        <v>0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586"/>
      <c r="C10" s="585"/>
      <c r="D10" s="585"/>
      <c r="E10" s="585"/>
      <c r="F10" s="585"/>
      <c r="G10" s="585"/>
      <c r="H10" s="595">
        <f t="shared" si="2"/>
        <v>6721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/>
      <c r="C11" s="537"/>
      <c r="D11" s="537"/>
      <c r="E11" s="537"/>
      <c r="F11" s="537"/>
      <c r="G11" s="537"/>
      <c r="H11" s="595">
        <f t="shared" si="2"/>
        <v>6721</v>
      </c>
      <c r="I11" s="509">
        <f t="shared" si="3"/>
        <v>0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/>
      <c r="C12" s="537"/>
      <c r="D12" s="537"/>
      <c r="E12" s="537"/>
      <c r="F12" s="537"/>
      <c r="G12" s="537"/>
      <c r="H12" s="595">
        <f t="shared" si="2"/>
        <v>6721</v>
      </c>
      <c r="I12" s="509">
        <f t="shared" si="3"/>
        <v>0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/>
      <c r="C13" s="537"/>
      <c r="D13" s="537"/>
      <c r="E13" s="537"/>
      <c r="F13" s="537"/>
      <c r="G13" s="537"/>
      <c r="H13" s="595">
        <f t="shared" si="2"/>
        <v>6721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/>
      <c r="C14" s="589"/>
      <c r="D14" s="170"/>
      <c r="E14" s="170"/>
      <c r="F14" s="170"/>
      <c r="G14" s="170"/>
      <c r="H14" s="595">
        <f t="shared" si="2"/>
        <v>6721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590"/>
      <c r="D15" s="590"/>
      <c r="E15" s="590"/>
      <c r="F15" s="590"/>
      <c r="G15" s="590"/>
      <c r="H15" s="595">
        <f t="shared" si="2"/>
        <v>6721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590"/>
      <c r="D16" s="590"/>
      <c r="E16" s="590"/>
      <c r="F16" s="590"/>
      <c r="G16" s="590"/>
      <c r="H16" s="595">
        <f t="shared" si="2"/>
        <v>6721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95">
        <f t="shared" si="2"/>
        <v>6721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591"/>
      <c r="D18" s="170"/>
      <c r="E18" s="170"/>
      <c r="F18" s="170"/>
      <c r="G18" s="537"/>
      <c r="H18" s="595">
        <f t="shared" si="2"/>
        <v>6721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592"/>
      <c r="D19" s="170"/>
      <c r="E19" s="170"/>
      <c r="F19" s="170"/>
      <c r="G19" s="537"/>
      <c r="H19" s="595">
        <f t="shared" si="2"/>
        <v>6721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95">
        <f t="shared" si="2"/>
        <v>6721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593"/>
      <c r="D21" s="170"/>
      <c r="E21" s="170"/>
      <c r="F21" s="170"/>
      <c r="G21" s="537"/>
      <c r="H21" s="595">
        <f t="shared" si="2"/>
        <v>6721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95">
        <f t="shared" si="2"/>
        <v>6721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95">
        <f t="shared" si="2"/>
        <v>6721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598"/>
      <c r="D24" s="170"/>
      <c r="E24" s="170"/>
      <c r="F24" s="170"/>
      <c r="G24" s="170"/>
      <c r="H24" s="595">
        <f t="shared" si="2"/>
        <v>6721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2"/>
      <c r="C25" s="581"/>
      <c r="D25" s="170"/>
      <c r="E25" s="170"/>
      <c r="F25" s="170"/>
      <c r="G25" s="170"/>
      <c r="H25" s="595">
        <f t="shared" si="2"/>
        <v>6721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2"/>
      <c r="C26" s="583"/>
      <c r="D26" s="170"/>
      <c r="E26" s="170"/>
      <c r="F26" s="170"/>
      <c r="G26" s="170"/>
      <c r="H26" s="595">
        <f t="shared" si="2"/>
        <v>6721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95">
        <f t="shared" si="2"/>
        <v>6721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584"/>
      <c r="D28" s="170"/>
      <c r="E28" s="170"/>
      <c r="F28" s="170"/>
      <c r="G28" s="170"/>
      <c r="H28" s="595">
        <f t="shared" si="2"/>
        <v>6721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95">
        <f t="shared" si="2"/>
        <v>6721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95">
        <f t="shared" si="2"/>
        <v>6721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3"/>
      <c r="D31" s="170"/>
      <c r="E31" s="170"/>
      <c r="F31" s="170"/>
      <c r="G31" s="170"/>
      <c r="H31" s="595">
        <f t="shared" si="2"/>
        <v>6721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509"/>
      <c r="E32" s="170"/>
      <c r="F32" s="170"/>
      <c r="G32" s="509"/>
      <c r="H32" s="595">
        <f t="shared" si="2"/>
        <v>6721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509"/>
      <c r="E33" s="170"/>
      <c r="F33" s="170"/>
      <c r="G33" s="509"/>
      <c r="H33" s="595">
        <f t="shared" si="2"/>
        <v>6721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509"/>
      <c r="E34" s="170"/>
      <c r="F34" s="170"/>
      <c r="G34" s="509"/>
      <c r="H34" s="595">
        <f t="shared" si="2"/>
        <v>6721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509"/>
      <c r="E35" s="170"/>
      <c r="F35" s="170"/>
      <c r="G35" s="509"/>
      <c r="H35" s="595">
        <f t="shared" si="2"/>
        <v>6721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509"/>
      <c r="E36" s="170"/>
      <c r="F36" s="170"/>
      <c r="G36" s="509"/>
      <c r="H36" s="595">
        <f t="shared" si="2"/>
        <v>6721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409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0</v>
      </c>
      <c r="K13" s="272">
        <f>'General information '!C9</f>
        <v>0</v>
      </c>
      <c r="L13" s="272">
        <f t="shared" si="1"/>
        <v>-18.3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0</v>
      </c>
      <c r="K14" s="272">
        <f>'General information '!C10</f>
        <v>0</v>
      </c>
      <c r="L14" s="272">
        <f t="shared" si="1"/>
        <v>-18.3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0</v>
      </c>
      <c r="K15" s="272">
        <f>'General information '!C11</f>
        <v>0</v>
      </c>
      <c r="L15" s="272">
        <f t="shared" si="1"/>
        <v>-18.3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0</v>
      </c>
      <c r="K16" s="272">
        <f>'General information '!C12</f>
        <v>0</v>
      </c>
      <c r="L16" s="272">
        <f t="shared" si="1"/>
        <v>-18.3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0</v>
      </c>
      <c r="K17" s="272">
        <f>'General information '!C13</f>
        <v>0</v>
      </c>
      <c r="L17" s="272">
        <f t="shared" si="1"/>
        <v>-18.3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0</v>
      </c>
      <c r="K18" s="272">
        <f>'General information '!C14</f>
        <v>0</v>
      </c>
      <c r="L18" s="272">
        <f t="shared" si="1"/>
        <v>-18.3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-465.4000000000002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-5538.3000000000011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3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793.54838709677415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0.1</v>
      </c>
      <c r="C8" s="493">
        <f>SUM(tanks!AU37)</f>
        <v>0.1</v>
      </c>
      <c r="D8" s="191">
        <f>SUM(B8*C8)*D4</f>
        <v>15.075000000000003</v>
      </c>
      <c r="E8" s="192">
        <f>SUM(D8/D4/F4)</f>
        <v>3.333333333333334E-3</v>
      </c>
      <c r="F8" s="192">
        <f>SUM(E8*F4)</f>
        <v>1.0000000000000002E-2</v>
      </c>
      <c r="G8" s="510">
        <f>E8*$F$4</f>
        <v>1.0000000000000002E-2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1155184.7419354839</v>
      </c>
      <c r="E10" s="182">
        <f>SUM(D10/D4/F4)</f>
        <v>255.43056759214679</v>
      </c>
      <c r="F10" s="182">
        <f>SUM(E10*F4)</f>
        <v>766.29170277644039</v>
      </c>
      <c r="G10" s="510">
        <f>E10*$G$4</f>
        <v>7918.3475953565503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519.95002995773814</v>
      </c>
      <c r="F12" s="180">
        <f>SUM(F6:F10)</f>
        <v>1559.8500898732145</v>
      </c>
      <c r="G12" s="179">
        <f>SUM(G6:G10)</f>
        <v>16118.357595356551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-31102.642404643448</v>
      </c>
      <c r="I14" s="423">
        <f>SUM(G12-I12)</f>
        <v>-31102.845654105819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15.666666666666666</v>
      </c>
      <c r="C16" s="433">
        <f>'[14]Utility Cost '!B16</f>
        <v>14.293103448275861</v>
      </c>
      <c r="D16" s="432"/>
      <c r="E16" s="433">
        <f t="shared" si="0"/>
        <v>1.3735632183908049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36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-79.420000000000073</v>
      </c>
      <c r="F18" s="528">
        <f>B18-D18</f>
        <v>-136.73885330486587</v>
      </c>
    </row>
    <row r="19" spans="1:10">
      <c r="A19" s="522" t="s">
        <v>411</v>
      </c>
      <c r="B19" s="520">
        <f>SUM(B18/$F$4)</f>
        <v>12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2021-03-04T09:47:15Z</dcterms:modified>
</cp:coreProperties>
</file>