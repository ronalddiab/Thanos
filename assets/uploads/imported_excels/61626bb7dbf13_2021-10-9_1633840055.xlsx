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<sst xmlns="http://schemas.openxmlformats.org/spreadsheetml/2006/main" count="128" uniqueCount="49">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</sst>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Submetering!R7</f>
        <v>992.9130429999999</v>
      </c>
      <c r="H7" s="11">
        <v>0.52800000000000002</v>
      </c>
      <c r="I7" s="12">
        <f>Hotel!B12</f>
        <v>98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Submetering!R8</f>
        <v>911.90526899999998</v>
      </c>
      <c r="H8" s="11">
        <v>0.52800000000000002</v>
      </c>
      <c r="I8" s="12">
        <f>Hotel!B13</f>
        <v>171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Submetering!R9</f>
        <v>913.79797400000007</v>
      </c>
      <c r="H9" s="11">
        <v>0.52800000000000002</v>
      </c>
      <c r="I9" s="12">
        <f>Hotel!B14</f>
        <v>187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Submetering!R10</f>
        <v>934.61772900000005</v>
      </c>
      <c r="H10" s="11">
        <v>0.52800000000000002</v>
      </c>
      <c r="I10" s="12">
        <f>Hotel!B15</f>
        <v>73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Hotel!AV12*0.00378541*100</f>
        <v>992.9130429999999</v>
      </c>
      <c r="S7" s="4">
        <f>Hotel!B12</f>
        <v>98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Hotel!AV13*0.00378541*100</f>
        <v>911.90526899999998</v>
      </c>
      <c r="S8" s="4">
        <f>Hotel!B13</f>
        <v>171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Hotel!AV14*0.00378541*100</f>
        <v>913.79797400000007</v>
      </c>
      <c r="S9" s="4">
        <f>Hotel!B14</f>
        <v>187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Hotel!AV15*0.00378541*100</f>
        <v>934.61772900000005</v>
      </c>
      <c r="S10" s="4">
        <f>Hotel!B15</f>
        <v>73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K1" zoomScale="93" zoomScaleNormal="93" workbookViewId="0">
      <selection activeCell="AT21" sqref="AT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>
        <v>98</v>
      </c>
      <c r="C12" s="49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17"/>
        <v>9600</v>
      </c>
      <c r="R12" s="37">
        <f t="shared" si="18"/>
        <v>12570</v>
      </c>
      <c r="S12" s="37">
        <f t="shared" si="16"/>
        <v>110</v>
      </c>
      <c r="T12" s="37">
        <f t="shared" ref="T12:W14" si="32">IF((F12-F11&lt;0), "0",F12-F11)</f>
        <v>1690</v>
      </c>
      <c r="U12" s="37">
        <f t="shared" si="32"/>
        <v>4370</v>
      </c>
      <c r="V12" s="37">
        <f t="shared" si="32"/>
        <v>3940</v>
      </c>
      <c r="W12" s="37">
        <f t="shared" si="32"/>
        <v>2450</v>
      </c>
      <c r="X12" s="37">
        <f t="shared" si="23"/>
        <v>4860</v>
      </c>
      <c r="Y12" s="37">
        <f t="shared" si="24"/>
        <v>5920</v>
      </c>
      <c r="Z12" s="37">
        <f>IF((L12-L11&lt;0), "0",L12-L11)</f>
        <v>2630</v>
      </c>
      <c r="AA12" s="37">
        <f t="shared" si="26"/>
        <v>3300</v>
      </c>
      <c r="AB12" s="37">
        <f t="shared" si="27"/>
        <v>7080</v>
      </c>
      <c r="AC12" s="37">
        <f t="shared" si="28"/>
        <v>10310</v>
      </c>
      <c r="AD12" s="35">
        <f t="shared" si="29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0"/>
        <v>344.15</v>
      </c>
      <c r="AU12" s="47">
        <v>282813</v>
      </c>
      <c r="AV12" s="37">
        <f t="shared" si="31"/>
        <v>2623</v>
      </c>
      <c r="AW12" s="35">
        <f t="shared" si="14"/>
        <v>5.2460000000000004</v>
      </c>
    </row>
    <row r="13" spans="1:49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17"/>
        <v>9970</v>
      </c>
      <c r="R13" s="37">
        <f t="shared" si="18"/>
        <v>12970</v>
      </c>
      <c r="S13" s="37">
        <f t="shared" si="16"/>
        <v>140</v>
      </c>
      <c r="T13" s="37">
        <f t="shared" si="32"/>
        <v>1710</v>
      </c>
      <c r="U13" s="37">
        <f t="shared" si="32"/>
        <v>4510</v>
      </c>
      <c r="V13" s="37">
        <f t="shared" si="32"/>
        <v>4100</v>
      </c>
      <c r="W13" s="37">
        <f t="shared" si="32"/>
        <v>2560</v>
      </c>
      <c r="X13" s="37">
        <f t="shared" si="23"/>
        <v>4860</v>
      </c>
      <c r="Y13" s="37">
        <f t="shared" si="24"/>
        <v>6120</v>
      </c>
      <c r="Z13" s="37">
        <f>IF((L13-L12&lt;0), "0",L13-L12)</f>
        <v>2810</v>
      </c>
      <c r="AA13" s="37">
        <f t="shared" si="26"/>
        <v>3310</v>
      </c>
      <c r="AB13" s="37">
        <f t="shared" si="27"/>
        <v>7250</v>
      </c>
      <c r="AC13" s="37">
        <f t="shared" si="28"/>
        <v>10190</v>
      </c>
      <c r="AD13" s="35">
        <f t="shared" si="29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0"/>
        <v>352.5</v>
      </c>
      <c r="AU13" s="47">
        <v>285222</v>
      </c>
      <c r="AV13" s="37">
        <f t="shared" si="31"/>
        <v>2409</v>
      </c>
      <c r="AW13" s="35">
        <f t="shared" si="14"/>
        <v>4.8180000000000005</v>
      </c>
    </row>
    <row r="14" spans="1:49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53"/>
      <c r="Q14" s="37">
        <f t="shared" si="17"/>
        <v>9590</v>
      </c>
      <c r="R14" s="37">
        <f t="shared" si="18"/>
        <v>12590</v>
      </c>
      <c r="S14" s="37">
        <f t="shared" si="16"/>
        <v>100</v>
      </c>
      <c r="T14" s="37">
        <f t="shared" si="32"/>
        <v>1720</v>
      </c>
      <c r="U14" s="37">
        <f t="shared" si="32"/>
        <v>4920</v>
      </c>
      <c r="V14" s="37">
        <f t="shared" si="32"/>
        <v>4090</v>
      </c>
      <c r="W14" s="37">
        <f t="shared" si="32"/>
        <v>2460</v>
      </c>
      <c r="X14" s="37">
        <f t="shared" si="23"/>
        <v>4910</v>
      </c>
      <c r="Y14" s="37">
        <f t="shared" si="24"/>
        <v>6330</v>
      </c>
      <c r="Z14" s="37">
        <f>IF((L14-L13&lt;0), "0",L14-L13)</f>
        <v>3060</v>
      </c>
      <c r="AA14" s="37">
        <f t="shared" si="26"/>
        <v>3560</v>
      </c>
      <c r="AB14" s="37">
        <f t="shared" si="27"/>
        <v>7360</v>
      </c>
      <c r="AC14" s="37">
        <f t="shared" si="28"/>
        <v>11470</v>
      </c>
      <c r="AD14" s="35">
        <f t="shared" si="29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0"/>
        <v>360.80000000000007</v>
      </c>
      <c r="AU14" s="47">
        <v>287636</v>
      </c>
      <c r="AV14" s="37">
        <f t="shared" si="31"/>
        <v>2414</v>
      </c>
      <c r="AW14" s="35">
        <f t="shared" si="14"/>
        <v>4.8280000000000003</v>
      </c>
    </row>
    <row r="15" spans="1:49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17"/>
        <v>9360</v>
      </c>
      <c r="R15" s="37">
        <f t="shared" si="18"/>
        <v>12380</v>
      </c>
      <c r="S15" s="37">
        <f t="shared" si="16"/>
        <v>100</v>
      </c>
      <c r="T15" s="37">
        <f t="shared" si="19"/>
        <v>1700</v>
      </c>
      <c r="U15" s="37">
        <f t="shared" si="20"/>
        <v>4810</v>
      </c>
      <c r="V15" s="37">
        <f t="shared" si="21"/>
        <v>4010</v>
      </c>
      <c r="W15" s="37">
        <f t="shared" si="22"/>
        <v>2400</v>
      </c>
      <c r="X15" s="37">
        <f t="shared" si="23"/>
        <v>4780</v>
      </c>
      <c r="Y15" s="37">
        <f t="shared" si="24"/>
        <v>6150</v>
      </c>
      <c r="Z15" s="37">
        <f t="shared" si="25"/>
        <v>2750</v>
      </c>
      <c r="AA15" s="37">
        <f t="shared" si="26"/>
        <v>3450</v>
      </c>
      <c r="AB15" s="37">
        <f t="shared" si="27"/>
        <v>7310</v>
      </c>
      <c r="AC15" s="37">
        <f t="shared" si="28"/>
        <v>11290</v>
      </c>
      <c r="AD15" s="35">
        <f t="shared" si="29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0"/>
        <v>352.45000000000005</v>
      </c>
      <c r="AU15" s="47">
        <v>290105</v>
      </c>
      <c r="AV15" s="37">
        <f t="shared" si="31"/>
        <v>2469</v>
      </c>
      <c r="AW15" s="35">
        <f t="shared" si="14"/>
        <v>4.9379999999999997</v>
      </c>
    </row>
    <row r="16" spans="1:49" x14ac:dyDescent="0.25">
      <c r="A16" s="23">
        <v>44479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7"/>
        <v>0</v>
      </c>
      <c r="R16" s="37" t="str">
        <f t="shared" si="18"/>
        <v>0</v>
      </c>
      <c r="S16" s="37" t="str">
        <f t="shared" si="16"/>
        <v>0</v>
      </c>
      <c r="T16" s="37" t="str">
        <f t="shared" si="19"/>
        <v>0</v>
      </c>
      <c r="U16" s="37" t="str">
        <f t="shared" si="20"/>
        <v>0</v>
      </c>
      <c r="V16" s="37" t="str">
        <f t="shared" si="21"/>
        <v>0</v>
      </c>
      <c r="W16" s="37" t="str">
        <f t="shared" si="22"/>
        <v>0</v>
      </c>
      <c r="X16" s="37" t="str">
        <f t="shared" si="23"/>
        <v>0</v>
      </c>
      <c r="Y16" s="37" t="str">
        <f t="shared" si="24"/>
        <v>0</v>
      </c>
      <c r="Z16" s="37" t="str">
        <f t="shared" si="25"/>
        <v>0</v>
      </c>
      <c r="AA16" s="37" t="str">
        <f t="shared" si="26"/>
        <v>0</v>
      </c>
      <c r="AB16" s="37" t="str">
        <f t="shared" si="27"/>
        <v>0</v>
      </c>
      <c r="AC16" s="37" t="str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 t="str">
        <f t="shared" si="31"/>
        <v>0</v>
      </c>
      <c r="AW16" s="35">
        <f t="shared" si="14"/>
        <v>0</v>
      </c>
    </row>
    <row r="17" spans="1:49" x14ac:dyDescent="0.25">
      <c r="A17" s="23">
        <v>44480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85460</v>
      </c>
      <c r="R38" s="38">
        <f t="shared" ref="R38:AD38" si="62">SUM(R7:R37)</f>
        <v>111960</v>
      </c>
      <c r="S38" s="38">
        <f t="shared" si="62"/>
        <v>1050</v>
      </c>
      <c r="T38" s="38">
        <f t="shared" si="62"/>
        <v>15000</v>
      </c>
      <c r="U38" s="38">
        <f t="shared" si="62"/>
        <v>40220</v>
      </c>
      <c r="V38" s="38">
        <f t="shared" si="62"/>
        <v>34370</v>
      </c>
      <c r="W38" s="38">
        <f t="shared" si="62"/>
        <v>20900</v>
      </c>
      <c r="X38" s="38">
        <f t="shared" si="62"/>
        <v>41180</v>
      </c>
      <c r="Y38" s="38">
        <f t="shared" si="62"/>
        <v>51670</v>
      </c>
      <c r="Z38" s="38">
        <f t="shared" si="62"/>
        <v>24000</v>
      </c>
      <c r="AA38" s="38">
        <f t="shared" si="62"/>
        <v>29290</v>
      </c>
      <c r="AB38" s="38">
        <f t="shared" si="62"/>
        <v>63400</v>
      </c>
      <c r="AC38" s="38">
        <f t="shared" si="62"/>
        <v>94390</v>
      </c>
      <c r="AD38" s="38">
        <f t="shared" si="62"/>
        <v>612890</v>
      </c>
      <c r="AF38" s="35">
        <f>SUM(AF7:AF37)</f>
        <v>427.30000000000007</v>
      </c>
      <c r="AG38" s="35">
        <f t="shared" ref="AG38:AS38" si="63">SUM(AG7:AG37)</f>
        <v>559.80000000000007</v>
      </c>
      <c r="AH38" s="35">
        <f t="shared" si="63"/>
        <v>5.25</v>
      </c>
      <c r="AI38" s="35">
        <f t="shared" si="63"/>
        <v>74.999999999999986</v>
      </c>
      <c r="AJ38" s="35">
        <f t="shared" si="63"/>
        <v>201.10000000000002</v>
      </c>
      <c r="AK38" s="35">
        <f t="shared" si="63"/>
        <v>171.85000000000002</v>
      </c>
      <c r="AL38" s="35">
        <f t="shared" si="63"/>
        <v>104.5</v>
      </c>
      <c r="AM38" s="35">
        <f t="shared" si="63"/>
        <v>205.90000000000003</v>
      </c>
      <c r="AN38" s="35">
        <f t="shared" si="63"/>
        <v>258.35000000000002</v>
      </c>
      <c r="AO38" s="35">
        <f t="shared" si="63"/>
        <v>120</v>
      </c>
      <c r="AP38" s="35">
        <f t="shared" si="63"/>
        <v>146.45000000000002</v>
      </c>
      <c r="AQ38" s="35">
        <f t="shared" si="63"/>
        <v>317</v>
      </c>
      <c r="AR38" s="35">
        <f t="shared" si="63"/>
        <v>471.95</v>
      </c>
      <c r="AS38" s="35">
        <f t="shared" si="63"/>
        <v>3064.45</v>
      </c>
      <c r="AU38" s="48"/>
      <c r="AV38" s="35">
        <f>SUM(AV7:AV34)</f>
        <v>21276</v>
      </c>
      <c r="AW38" s="35">
        <f>SUM(AW7:AW34)</f>
        <v>42.552000000000007</v>
      </c>
    </row>
    <row r="39" spans="1:49" x14ac:dyDescent="0.25">
      <c r="D39">
        <v>5.0000000000000001E-3</v>
      </c>
      <c r="AV39" s="36">
        <f>AV38*0.00378541*1000</f>
        <v>80538.383159999998</v>
      </c>
    </row>
    <row r="40" spans="1:49" x14ac:dyDescent="0.25">
      <c r="D40">
        <v>2E-3</v>
      </c>
      <c r="AV40">
        <f>AV39/31</f>
        <v>2598.0123599999997</v>
      </c>
    </row>
    <row r="41" spans="1:49" x14ac:dyDescent="0.25">
      <c r="AV41">
        <f>AV38*0.00378541</f>
        <v>80.538383159999995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2021-10-10T04:04:05Z</dcterms:modified>
</cp:coreProperties>
</file>