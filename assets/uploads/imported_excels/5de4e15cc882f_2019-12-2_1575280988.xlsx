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\"/>
    </mc:Choice>
  </mc:AlternateContent>
  <bookViews>
    <workbookView xWindow="0" yWindow="0" windowWidth="28800" windowHeight="12435"/>
  </bookViews>
  <sheets>
    <sheet name="TOTAL" sheetId="3" r:id="rId1"/>
    <sheet name="Submetering " sheetId="4" r:id="rId2"/>
    <sheet name="FS Seychelles" sheetId="1" r:id="rId3"/>
  </sheets>
  <calcPr calcId="152511"/>
</workbook>
</file>

<file path=xl/calcChain.xml><?xml version="1.0" encoding="utf-8"?>
<calcChain xmlns="http://schemas.openxmlformats.org/spreadsheetml/2006/main">
  <c r="AB3" i="4" l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31" i="3"/>
  <c r="E31" i="4"/>
  <c r="F31" i="4"/>
  <c r="G31" i="4"/>
  <c r="H31" i="4"/>
  <c r="I31" i="4"/>
  <c r="J31" i="4"/>
  <c r="K31" i="4"/>
  <c r="L31" i="4"/>
  <c r="M31" i="4"/>
  <c r="N31" i="4"/>
  <c r="O31" i="4"/>
  <c r="E31" i="3" s="1"/>
  <c r="P31" i="4"/>
  <c r="Q31" i="4"/>
  <c r="R31" i="4"/>
  <c r="S31" i="4"/>
  <c r="T31" i="4"/>
  <c r="U31" i="4"/>
  <c r="V31" i="4"/>
  <c r="W31" i="4"/>
  <c r="X31" i="4"/>
  <c r="Y31" i="4"/>
  <c r="Z31" i="4"/>
  <c r="AA31" i="4"/>
  <c r="Q32" i="1"/>
  <c r="Q30" i="1"/>
  <c r="T29" i="4" s="1"/>
  <c r="Q31" i="1"/>
  <c r="T30" i="4" s="1"/>
  <c r="Q29" i="1"/>
  <c r="T28" i="4" s="1"/>
  <c r="Q28" i="1"/>
  <c r="T27" i="4" s="1"/>
  <c r="Q27" i="1"/>
  <c r="T26" i="4" s="1"/>
  <c r="Q26" i="1"/>
  <c r="Q22" i="1"/>
  <c r="Q24" i="1"/>
  <c r="Q23" i="1"/>
  <c r="Q25" i="1"/>
  <c r="T24" i="4" s="1"/>
  <c r="Q20" i="1"/>
  <c r="T19" i="4" s="1"/>
  <c r="Q19" i="1"/>
  <c r="T18" i="4" s="1"/>
  <c r="Q15" i="1"/>
  <c r="T14" i="4" s="1"/>
  <c r="Q16" i="1"/>
  <c r="Q14" i="1"/>
  <c r="T13" i="4" s="1"/>
  <c r="Q17" i="1"/>
  <c r="T15" i="4"/>
  <c r="Q18" i="1"/>
  <c r="T17" i="4" s="1"/>
  <c r="Q21" i="1"/>
  <c r="Q13" i="1"/>
  <c r="T12" i="4" s="1"/>
  <c r="Q10" i="1"/>
  <c r="T9" i="4" s="1"/>
  <c r="Q8" i="1"/>
  <c r="T7" i="4" s="1"/>
  <c r="Q7" i="1"/>
  <c r="T6" i="4" s="1"/>
  <c r="Q12" i="1"/>
  <c r="Q11" i="1"/>
  <c r="T10" i="4" s="1"/>
  <c r="Q9" i="1"/>
  <c r="Q6" i="1"/>
  <c r="Q5" i="1"/>
  <c r="T4" i="4"/>
  <c r="Q4" i="1"/>
  <c r="Q3" i="1"/>
  <c r="T25" i="4"/>
  <c r="T23" i="4"/>
  <c r="T5" i="4"/>
  <c r="T11" i="4"/>
  <c r="T20" i="4"/>
  <c r="T21" i="4"/>
  <c r="T22" i="4"/>
  <c r="E2" i="4"/>
  <c r="F2" i="4"/>
  <c r="G2" i="4"/>
  <c r="H2" i="4"/>
  <c r="I2" i="4"/>
  <c r="J2" i="4"/>
  <c r="K2" i="4"/>
  <c r="L2" i="4"/>
  <c r="M2" i="4"/>
  <c r="N2" i="4"/>
  <c r="O2" i="4"/>
  <c r="P2" i="4"/>
  <c r="E2" i="3"/>
  <c r="Q2" i="4"/>
  <c r="R2" i="4"/>
  <c r="S2" i="4"/>
  <c r="T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M3" i="4"/>
  <c r="N3" i="4"/>
  <c r="P3" i="4"/>
  <c r="S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U4" i="4"/>
  <c r="V4" i="4"/>
  <c r="W4" i="4"/>
  <c r="X4" i="4"/>
  <c r="Y4" i="4"/>
  <c r="Z4" i="4"/>
  <c r="K4" i="3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U5" i="4"/>
  <c r="V5" i="4"/>
  <c r="W5" i="4"/>
  <c r="X5" i="4"/>
  <c r="Y5" i="4"/>
  <c r="Z5" i="4"/>
  <c r="K5" i="3"/>
  <c r="AA5" i="4"/>
  <c r="E6" i="4"/>
  <c r="F6" i="4"/>
  <c r="G6" i="4"/>
  <c r="H6" i="4"/>
  <c r="I6" i="4"/>
  <c r="J6" i="4"/>
  <c r="K6" i="4"/>
  <c r="L6" i="4"/>
  <c r="M6" i="4"/>
  <c r="N6" i="4"/>
  <c r="O6" i="4"/>
  <c r="E6" i="3" s="1"/>
  <c r="P6" i="4"/>
  <c r="Q6" i="4"/>
  <c r="R6" i="4"/>
  <c r="S6" i="4"/>
  <c r="U6" i="4"/>
  <c r="V6" i="4"/>
  <c r="W6" i="4"/>
  <c r="X6" i="4"/>
  <c r="Y6" i="4"/>
  <c r="Z6" i="4"/>
  <c r="K6" i="3" s="1"/>
  <c r="AA6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U7" i="4"/>
  <c r="V7" i="4"/>
  <c r="W7" i="4"/>
  <c r="X7" i="4"/>
  <c r="Y7" i="4"/>
  <c r="Z7" i="4"/>
  <c r="K7" i="3"/>
  <c r="AA7" i="4"/>
  <c r="E8" i="4"/>
  <c r="F8" i="4"/>
  <c r="G8" i="4"/>
  <c r="H8" i="4"/>
  <c r="I8" i="4"/>
  <c r="J8" i="4"/>
  <c r="K8" i="4"/>
  <c r="L8" i="4"/>
  <c r="M8" i="4"/>
  <c r="N8" i="4"/>
  <c r="O8" i="4"/>
  <c r="P8" i="4"/>
  <c r="E8" i="3" s="1"/>
  <c r="Q8" i="4"/>
  <c r="R8" i="4"/>
  <c r="S8" i="4"/>
  <c r="T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M9" i="4"/>
  <c r="N9" i="4"/>
  <c r="O9" i="4"/>
  <c r="P9" i="4"/>
  <c r="Q9" i="4"/>
  <c r="E9" i="3" s="1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M10" i="4"/>
  <c r="N10" i="4"/>
  <c r="O10" i="4"/>
  <c r="E10" i="3" s="1"/>
  <c r="P10" i="4"/>
  <c r="Q10" i="4"/>
  <c r="R10" i="4"/>
  <c r="S10" i="4"/>
  <c r="U10" i="4"/>
  <c r="V10" i="4"/>
  <c r="W10" i="4"/>
  <c r="X10" i="4"/>
  <c r="Y10" i="4"/>
  <c r="Z10" i="4"/>
  <c r="AA10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E12" i="3"/>
  <c r="S12" i="4"/>
  <c r="U12" i="4"/>
  <c r="V12" i="4"/>
  <c r="W12" i="4"/>
  <c r="X12" i="4"/>
  <c r="Y12" i="4"/>
  <c r="Z12" i="4"/>
  <c r="K12" i="3"/>
  <c r="AA12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E13" i="3" s="1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M14" i="4"/>
  <c r="N14" i="4"/>
  <c r="O14" i="4"/>
  <c r="E14" i="3" s="1"/>
  <c r="P14" i="4"/>
  <c r="Q14" i="4"/>
  <c r="R14" i="4"/>
  <c r="S14" i="4"/>
  <c r="U14" i="4"/>
  <c r="V14" i="4"/>
  <c r="W14" i="4"/>
  <c r="X14" i="4"/>
  <c r="Y14" i="4"/>
  <c r="Z14" i="4"/>
  <c r="K14" i="3"/>
  <c r="AA14" i="4"/>
  <c r="E15" i="4"/>
  <c r="F15" i="4"/>
  <c r="G15" i="4"/>
  <c r="H15" i="4"/>
  <c r="I15" i="4"/>
  <c r="J15" i="4"/>
  <c r="K15" i="4"/>
  <c r="L15" i="4"/>
  <c r="M15" i="4"/>
  <c r="N15" i="4"/>
  <c r="O15" i="4"/>
  <c r="E15" i="3" s="1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M16" i="4"/>
  <c r="N16" i="4"/>
  <c r="O16" i="4"/>
  <c r="E16" i="3" s="1"/>
  <c r="P16" i="4"/>
  <c r="Q16" i="4"/>
  <c r="R16" i="4"/>
  <c r="S16" i="4"/>
  <c r="U16" i="4"/>
  <c r="V16" i="4"/>
  <c r="W16" i="4"/>
  <c r="X16" i="4"/>
  <c r="Y16" i="4"/>
  <c r="Z16" i="4"/>
  <c r="K16" i="3"/>
  <c r="AA16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E17" i="3" s="1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M18" i="4"/>
  <c r="N18" i="4"/>
  <c r="O18" i="4"/>
  <c r="E18" i="3" s="1"/>
  <c r="P18" i="4"/>
  <c r="Q18" i="4"/>
  <c r="R18" i="4"/>
  <c r="S18" i="4"/>
  <c r="U18" i="4"/>
  <c r="V18" i="4"/>
  <c r="W18" i="4"/>
  <c r="X18" i="4"/>
  <c r="Y18" i="4"/>
  <c r="Z18" i="4"/>
  <c r="K18" i="3"/>
  <c r="AA18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E19" i="3" s="1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M20" i="4"/>
  <c r="N20" i="4"/>
  <c r="O20" i="4"/>
  <c r="E20" i="3" s="1"/>
  <c r="P20" i="4"/>
  <c r="Q20" i="4"/>
  <c r="R20" i="4"/>
  <c r="S20" i="4"/>
  <c r="U20" i="4"/>
  <c r="V20" i="4"/>
  <c r="W20" i="4"/>
  <c r="X20" i="4"/>
  <c r="Y20" i="4"/>
  <c r="Z20" i="4"/>
  <c r="K20" i="3"/>
  <c r="AA20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E21" i="3" s="1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E22" i="3" s="1"/>
  <c r="R22" i="4"/>
  <c r="S22" i="4"/>
  <c r="U22" i="4"/>
  <c r="V22" i="4"/>
  <c r="W22" i="4"/>
  <c r="X22" i="4"/>
  <c r="Y22" i="4"/>
  <c r="Z22" i="4"/>
  <c r="K22" i="3"/>
  <c r="AA22" i="4"/>
  <c r="E23" i="4"/>
  <c r="F23" i="4"/>
  <c r="G23" i="4"/>
  <c r="H23" i="4"/>
  <c r="I23" i="4"/>
  <c r="J23" i="4"/>
  <c r="K23" i="4"/>
  <c r="L23" i="4"/>
  <c r="M23" i="4"/>
  <c r="N23" i="4"/>
  <c r="O23" i="4"/>
  <c r="E23" i="3" s="1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M24" i="4"/>
  <c r="N24" i="4"/>
  <c r="O24" i="4"/>
  <c r="E24" i="3" s="1"/>
  <c r="P24" i="4"/>
  <c r="Q24" i="4"/>
  <c r="R24" i="4"/>
  <c r="S24" i="4"/>
  <c r="U24" i="4"/>
  <c r="V24" i="4"/>
  <c r="W24" i="4"/>
  <c r="X24" i="4"/>
  <c r="Y24" i="4"/>
  <c r="Z24" i="4"/>
  <c r="K24" i="3"/>
  <c r="AA24" i="4"/>
  <c r="E25" i="4"/>
  <c r="F25" i="4"/>
  <c r="G25" i="4"/>
  <c r="H25" i="4"/>
  <c r="I25" i="4"/>
  <c r="J25" i="4"/>
  <c r="K25" i="4"/>
  <c r="L25" i="4"/>
  <c r="M25" i="4"/>
  <c r="N25" i="4"/>
  <c r="O25" i="4"/>
  <c r="P25" i="4"/>
  <c r="E25" i="3" s="1"/>
  <c r="Q25" i="4"/>
  <c r="R25" i="4"/>
  <c r="S25" i="4"/>
  <c r="U25" i="4"/>
  <c r="V25" i="4"/>
  <c r="W25" i="4"/>
  <c r="X25" i="4"/>
  <c r="Y25" i="4"/>
  <c r="Z25" i="4"/>
  <c r="K25" i="3"/>
  <c r="AA25" i="4"/>
  <c r="E26" i="4"/>
  <c r="F26" i="4"/>
  <c r="G26" i="4"/>
  <c r="H26" i="4"/>
  <c r="I26" i="4"/>
  <c r="J26" i="4"/>
  <c r="K26" i="4"/>
  <c r="L26" i="4"/>
  <c r="M26" i="4"/>
  <c r="N26" i="4"/>
  <c r="O26" i="4"/>
  <c r="P26" i="4"/>
  <c r="E26" i="3" s="1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M27" i="4"/>
  <c r="N27" i="4"/>
  <c r="O27" i="4"/>
  <c r="E27" i="3" s="1"/>
  <c r="P27" i="4"/>
  <c r="Q27" i="4"/>
  <c r="R27" i="4"/>
  <c r="S27" i="4"/>
  <c r="U27" i="4"/>
  <c r="V27" i="4"/>
  <c r="W27" i="4"/>
  <c r="X27" i="4"/>
  <c r="Y27" i="4"/>
  <c r="Z27" i="4"/>
  <c r="K27" i="3"/>
  <c r="AA27" i="4"/>
  <c r="E28" i="4"/>
  <c r="F28" i="4"/>
  <c r="G28" i="4"/>
  <c r="H28" i="4"/>
  <c r="I28" i="4"/>
  <c r="J28" i="4"/>
  <c r="K28" i="4"/>
  <c r="L28" i="4"/>
  <c r="M28" i="4"/>
  <c r="N28" i="4"/>
  <c r="O28" i="4"/>
  <c r="P28" i="4"/>
  <c r="E28" i="3" s="1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E29" i="3" s="1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M30" i="4"/>
  <c r="N30" i="4"/>
  <c r="O30" i="4"/>
  <c r="E30" i="3" s="1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3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I4" i="3"/>
  <c r="I5" i="3"/>
  <c r="I6" i="3"/>
  <c r="I7" i="3"/>
  <c r="I8" i="3"/>
  <c r="I9" i="3"/>
  <c r="I10" i="3"/>
  <c r="K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3" i="3"/>
  <c r="T16" i="4"/>
  <c r="E5" i="3"/>
  <c r="E4" i="3"/>
  <c r="E11" i="3"/>
  <c r="E7" i="3"/>
</calcChain>
</file>

<file path=xl/sharedStrings.xml><?xml version="1.0" encoding="utf-8"?>
<sst xmlns="http://schemas.openxmlformats.org/spreadsheetml/2006/main" count="141" uniqueCount="74">
  <si>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</si>
  <si>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</si>
  <si>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</si>
  <si>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</si>
  <si>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</si>
  <si>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</si>
  <si>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</si>
  <si>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</si>
  <si>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 </t>
  </si>
  <si>
    <t>DATE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</si>
  <si>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</si>
  <si>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</si>
  <si>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</si>
  <si>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</si>
  <si>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</si>
  <si>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</si>
  <si>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</si>
  <si>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</si>
  <si>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BOH</t>
  </si>
  <si>
    <t>Room Night</t>
  </si>
  <si>
    <t>Generator#2</t>
  </si>
  <si>
    <t>Generator#3</t>
  </si>
  <si>
    <t>Generator#4</t>
  </si>
  <si>
    <t>Generator#5</t>
  </si>
  <si>
    <t>DIESEL (Liter)</t>
  </si>
  <si>
    <t xml:space="preserve">Generator#1 </t>
  </si>
  <si>
    <t>E-Resort</t>
  </si>
  <si>
    <t>North RVs</t>
  </si>
  <si>
    <t>WT59</t>
  </si>
  <si>
    <t>WT08</t>
  </si>
  <si>
    <t>BOH Water</t>
  </si>
  <si>
    <t>PUC (HOH)</t>
  </si>
  <si>
    <t>LPG (Kg)</t>
  </si>
  <si>
    <t>Seychelles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</si>
  <si>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</si>
  <si>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</si>
  <si>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</si>
  <si>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</si>
  <si>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</si>
  <si>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</si>
  <si>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</si>
  <si>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</si>
  <si>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</si>
  <si>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</si>
  <si>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</si>
  <si>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</si>
  <si>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</si>
  <si>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</si>
  <si>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</si>
  <si>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</si>
  <si>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</si>
  <si>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</si>
  <si>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</si>
  <si>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</si>
  <si>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</si>
  <si>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</si>
  <si>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PUC (Eresort)</t>
  </si>
  <si>
    <t xml:space="preserve">LPG (Kg) </t>
  </si>
  <si>
    <t>LPG $/Kg</t>
  </si>
  <si>
    <t>Irrigation Water (m3) m3</t>
  </si>
  <si>
    <t>Irrigation water  $/m3</t>
  </si>
  <si>
    <t>CYLINDER DELIVERY (KG)</t>
  </si>
  <si>
    <t xml:space="preserve">Unit </t>
  </si>
  <si>
    <t>Quantity</t>
  </si>
  <si>
    <t>Sub total</t>
  </si>
  <si>
    <t>9kg</t>
  </si>
  <si>
    <t>10kg</t>
  </si>
  <si>
    <t>20kg</t>
  </si>
  <si>
    <t>Total</t>
  </si>
  <si>
    <t>Sitronel</t>
  </si>
  <si>
    <t>Zez</t>
  </si>
  <si>
    <t>TRUCK DELIVERY (KG)</t>
  </si>
  <si>
    <t>Sub Total</t>
  </si>
  <si>
    <t>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</si>
</sst>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1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2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3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4" fontId="12" fillId="0" borderId="2" xfId="0" applyNumberFormat="1" applyFont="1" applyBorder="1" applyAlignment="1">
      <alignment horizontal="right" vertical="center"/>
    </xf>
    <xf numFmtId="0" fontId="12" fillId="0" borderId="2" xfId="0" applyNumberFormat="1" applyFont="1" applyBorder="1"/>
    <xf numFmtId="0" fontId="12" fillId="0" borderId="0" xfId="0" applyNumberFormat="1" applyFont="1"/>
    <xf numFmtId="0" fontId="13" fillId="5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12" fillId="0" borderId="2" xfId="0" applyNumberFormat="1" applyFont="1" applyBorder="1"/>
    <xf numFmtId="0" fontId="12" fillId="0" borderId="4" xfId="0" applyFont="1" applyBorder="1"/>
    <xf numFmtId="1" fontId="12" fillId="0" borderId="4" xfId="0" applyNumberFormat="1" applyFont="1" applyBorder="1"/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2" fontId="13" fillId="2" borderId="2" xfId="0" applyNumberFormat="1" applyFont="1" applyFill="1" applyBorder="1" applyAlignment="1">
      <alignment vertical="center"/>
    </xf>
    <xf numFmtId="0" fontId="12" fillId="0" borderId="0" xfId="0" applyFont="1" applyBorder="1"/>
    <xf numFmtId="0" fontId="13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2" fillId="0" borderId="7" xfId="0" applyFont="1" applyBorder="1"/>
    <xf numFmtId="0" fontId="4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/>
    <xf numFmtId="0" fontId="12" fillId="0" borderId="1" xfId="0" applyFont="1" applyBorder="1" applyAlignment="1"/>
    <xf numFmtId="0" fontId="12" fillId="0" borderId="11" xfId="0" applyFont="1" applyBorder="1" applyAlignment="1"/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6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C2" sqref="C2:C31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2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57</v>
      </c>
      <c r="H1" s="6" t="s">
        <v>58</v>
      </c>
      <c r="I1" s="8" t="s">
        <v>6</v>
      </c>
      <c r="J1" s="6" t="s">
        <v>7</v>
      </c>
      <c r="K1" s="30" t="s">
        <v>59</v>
      </c>
      <c r="L1" s="6" t="s">
        <v>60</v>
      </c>
      <c r="M1" s="8" t="s">
        <v>8</v>
      </c>
    </row>
    <row r="2" spans="1:13" s="13" customFormat="1" x14ac:dyDescent="0.25">
      <c r="A2" s="1" t="s">
        <v>33</v>
      </c>
      <c r="B2" s="10">
        <v>1</v>
      </c>
      <c r="C2" s="11">
        <v>11</v>
      </c>
      <c r="D2" s="1">
        <v>2019</v>
      </c>
      <c r="E2" s="12">
        <f>'Submetering '!O2+'Submetering '!P2+'Submetering '!Q2+'Submetering '!R2+'Submetering '!S2</f>
        <v>28053</v>
      </c>
      <c r="F2" s="11">
        <v>5.79</v>
      </c>
      <c r="G2" s="12">
        <f>('FS Seychelles'!$AB$15+'FS Seychelles'!$AB$9)/30</f>
        <v>375.23333333333335</v>
      </c>
      <c r="H2" s="11">
        <v>18.899999999999999</v>
      </c>
      <c r="I2" s="12">
        <f>'FS Seychelles'!R3+'FS Seychelles'!T3+'FS Seychelles'!U3+'FS Seychelles'!V3</f>
        <v>549</v>
      </c>
      <c r="J2" s="11">
        <v>0</v>
      </c>
      <c r="K2" s="31">
        <f>'Submetering '!Z2</f>
        <v>180</v>
      </c>
      <c r="L2" s="11"/>
    </row>
    <row r="3" spans="1:13" s="15" customFormat="1" x14ac:dyDescent="0.25">
      <c r="A3" s="1" t="s">
        <v>33</v>
      </c>
      <c r="B3" s="14">
        <f>B2+1</f>
        <v>2</v>
      </c>
      <c r="C3" s="11">
        <v>11</v>
      </c>
      <c r="D3" s="1">
        <v>2019</v>
      </c>
      <c r="E3" s="12">
        <f>'Submetering '!O3+'Submetering '!P3+'Submetering '!Q3+'Submetering '!R3+'Submetering '!S3</f>
        <v>42750</v>
      </c>
      <c r="F3" s="11">
        <f>F2</f>
        <v>5.79</v>
      </c>
      <c r="G3" s="12">
        <f>('FS Seychelles'!$AB$15+'FS Seychelles'!$AB$9)/30</f>
        <v>375.23333333333335</v>
      </c>
      <c r="H3" s="11">
        <f>H2</f>
        <v>18.899999999999999</v>
      </c>
      <c r="I3" s="12">
        <f>'FS Seychelles'!R4+'FS Seychelles'!T4+'FS Seychelles'!U4+'FS Seychelles'!V4</f>
        <v>489</v>
      </c>
      <c r="J3" s="11">
        <f>J2</f>
        <v>0</v>
      </c>
      <c r="K3" s="31">
        <f>'Submetering '!Z3</f>
        <v>191</v>
      </c>
      <c r="L3" s="11"/>
    </row>
    <row r="4" spans="1:13" s="15" customFormat="1" x14ac:dyDescent="0.25">
      <c r="A4" s="1" t="s">
        <v>33</v>
      </c>
      <c r="B4" s="14">
        <f t="shared" ref="B4:B31" si="0">B3+1</f>
        <v>3</v>
      </c>
      <c r="C4" s="11">
        <v>11</v>
      </c>
      <c r="D4" s="1">
        <v>2019</v>
      </c>
      <c r="E4" s="12">
        <f>'Submetering '!O4+'Submetering '!P4+'Submetering '!Q4+'Submetering '!R4+'Submetering '!S4</f>
        <v>30165</v>
      </c>
      <c r="F4" s="11">
        <f t="shared" ref="F4:F31" si="1">F3</f>
        <v>5.79</v>
      </c>
      <c r="G4" s="12">
        <f>('FS Seychelles'!$AB$15+'FS Seychelles'!$AB$9)/30</f>
        <v>375.23333333333335</v>
      </c>
      <c r="H4" s="11">
        <f t="shared" ref="H4:H31" si="2">H3</f>
        <v>18.899999999999999</v>
      </c>
      <c r="I4" s="12">
        <f>'FS Seychelles'!R5+'FS Seychelles'!T5+'FS Seychelles'!U5+'FS Seychelles'!V5</f>
        <v>504</v>
      </c>
      <c r="J4" s="11">
        <f t="shared" ref="J4:J31" si="3">J3</f>
        <v>0</v>
      </c>
      <c r="K4" s="31">
        <f>'Submetering '!Z4</f>
        <v>182</v>
      </c>
      <c r="L4" s="11"/>
    </row>
    <row r="5" spans="1:13" s="15" customFormat="1" x14ac:dyDescent="0.25">
      <c r="A5" s="1" t="s">
        <v>33</v>
      </c>
      <c r="B5" s="14">
        <f t="shared" si="0"/>
        <v>4</v>
      </c>
      <c r="C5" s="11">
        <v>11</v>
      </c>
      <c r="D5" s="1">
        <v>2019</v>
      </c>
      <c r="E5" s="12">
        <f>'Submetering '!O5+'Submetering '!P5+'Submetering '!Q5+'Submetering '!R5+'Submetering '!S5</f>
        <v>29606</v>
      </c>
      <c r="F5" s="11">
        <f t="shared" si="1"/>
        <v>5.79</v>
      </c>
      <c r="G5" s="12">
        <f>('FS Seychelles'!$AB$15+'FS Seychelles'!$AB$9)/30</f>
        <v>375.23333333333335</v>
      </c>
      <c r="H5" s="11">
        <f t="shared" si="2"/>
        <v>18.899999999999999</v>
      </c>
      <c r="I5" s="12">
        <f>'FS Seychelles'!R6+'FS Seychelles'!T6+'FS Seychelles'!U6+'FS Seychelles'!V6</f>
        <v>563</v>
      </c>
      <c r="J5" s="11">
        <f t="shared" si="3"/>
        <v>0</v>
      </c>
      <c r="K5" s="31">
        <f>'Submetering '!Z5</f>
        <v>150</v>
      </c>
      <c r="L5" s="11"/>
    </row>
    <row r="6" spans="1:13" s="15" customFormat="1" x14ac:dyDescent="0.25">
      <c r="A6" s="1" t="s">
        <v>33</v>
      </c>
      <c r="B6" s="14">
        <f t="shared" si="0"/>
        <v>5</v>
      </c>
      <c r="C6" s="11">
        <v>11</v>
      </c>
      <c r="D6" s="1">
        <v>2019</v>
      </c>
      <c r="E6" s="12">
        <f>'Submetering '!O6+'Submetering '!P6+'Submetering '!Q6+'Submetering '!R6+'Submetering '!S6</f>
        <v>28567</v>
      </c>
      <c r="F6" s="11">
        <f t="shared" si="1"/>
        <v>5.79</v>
      </c>
      <c r="G6" s="12">
        <f>('FS Seychelles'!$AB$15+'FS Seychelles'!$AB$9)/30</f>
        <v>375.23333333333335</v>
      </c>
      <c r="H6" s="11">
        <f t="shared" si="2"/>
        <v>18.899999999999999</v>
      </c>
      <c r="I6" s="12">
        <f>'FS Seychelles'!R7+'FS Seychelles'!T7+'FS Seychelles'!U7+'FS Seychelles'!V7</f>
        <v>581</v>
      </c>
      <c r="J6" s="11">
        <f t="shared" si="3"/>
        <v>0</v>
      </c>
      <c r="K6" s="31">
        <f>'Submetering '!Z6</f>
        <v>150</v>
      </c>
      <c r="L6" s="11"/>
    </row>
    <row r="7" spans="1:13" s="15" customFormat="1" x14ac:dyDescent="0.25">
      <c r="A7" s="1" t="s">
        <v>33</v>
      </c>
      <c r="B7" s="14">
        <f t="shared" si="0"/>
        <v>6</v>
      </c>
      <c r="C7" s="11">
        <v>11</v>
      </c>
      <c r="D7" s="1">
        <v>2019</v>
      </c>
      <c r="E7" s="12">
        <f>'Submetering '!O7+'Submetering '!P7+'Submetering '!Q7+'Submetering '!R7+'Submetering '!S7</f>
        <v>31279</v>
      </c>
      <c r="F7" s="11">
        <f t="shared" si="1"/>
        <v>5.79</v>
      </c>
      <c r="G7" s="12">
        <f>('FS Seychelles'!$AB$15+'FS Seychelles'!$AB$9)/30</f>
        <v>375.23333333333335</v>
      </c>
      <c r="H7" s="11">
        <f t="shared" si="2"/>
        <v>18.899999999999999</v>
      </c>
      <c r="I7" s="12">
        <f>'FS Seychelles'!R8+'FS Seychelles'!T8+'FS Seychelles'!U8+'FS Seychelles'!V8</f>
        <v>604</v>
      </c>
      <c r="J7" s="11">
        <f t="shared" si="3"/>
        <v>0</v>
      </c>
      <c r="K7" s="31">
        <f>'Submetering '!Z7</f>
        <v>144</v>
      </c>
      <c r="L7" s="11"/>
    </row>
    <row r="8" spans="1:13" s="15" customFormat="1" x14ac:dyDescent="0.25">
      <c r="A8" s="1" t="s">
        <v>33</v>
      </c>
      <c r="B8" s="14">
        <f t="shared" si="0"/>
        <v>7</v>
      </c>
      <c r="C8" s="11">
        <v>11</v>
      </c>
      <c r="D8" s="1">
        <v>2019</v>
      </c>
      <c r="E8" s="12">
        <f>'Submetering '!O8+'Submetering '!P8+'Submetering '!Q8+'Submetering '!R8+'Submetering '!S8</f>
        <v>31074</v>
      </c>
      <c r="F8" s="11">
        <f t="shared" si="1"/>
        <v>5.79</v>
      </c>
      <c r="G8" s="12">
        <f>('FS Seychelles'!$AB$15+'FS Seychelles'!$AB$9)/30</f>
        <v>375.23333333333335</v>
      </c>
      <c r="H8" s="11">
        <f t="shared" si="2"/>
        <v>18.899999999999999</v>
      </c>
      <c r="I8" s="12">
        <f>'FS Seychelles'!R9+'FS Seychelles'!T9+'FS Seychelles'!U9+'FS Seychelles'!V9</f>
        <v>548</v>
      </c>
      <c r="J8" s="11">
        <f t="shared" si="3"/>
        <v>0</v>
      </c>
      <c r="K8" s="31">
        <f>'Submetering '!Z8</f>
        <v>158</v>
      </c>
      <c r="L8" s="11"/>
    </row>
    <row r="9" spans="1:13" s="15" customFormat="1" x14ac:dyDescent="0.25">
      <c r="A9" s="1" t="s">
        <v>33</v>
      </c>
      <c r="B9" s="14">
        <f t="shared" si="0"/>
        <v>8</v>
      </c>
      <c r="C9" s="11">
        <v>11</v>
      </c>
      <c r="D9" s="1">
        <v>2019</v>
      </c>
      <c r="E9" s="12">
        <f>'Submetering '!O9+'Submetering '!P9+'Submetering '!Q9+'Submetering '!R9+'Submetering '!S9</f>
        <v>30302</v>
      </c>
      <c r="F9" s="11">
        <f t="shared" si="1"/>
        <v>5.79</v>
      </c>
      <c r="G9" s="12">
        <f>('FS Seychelles'!$AB$15+'FS Seychelles'!$AB$9)/30</f>
        <v>375.23333333333335</v>
      </c>
      <c r="H9" s="11">
        <f t="shared" si="2"/>
        <v>18.899999999999999</v>
      </c>
      <c r="I9" s="12">
        <f>'FS Seychelles'!R10+'FS Seychelles'!T10+'FS Seychelles'!U10+'FS Seychelles'!V10</f>
        <v>541</v>
      </c>
      <c r="J9" s="11">
        <f t="shared" si="3"/>
        <v>0</v>
      </c>
      <c r="K9" s="31">
        <f>'Submetering '!Z9</f>
        <v>140</v>
      </c>
      <c r="L9" s="11"/>
    </row>
    <row r="10" spans="1:13" s="15" customFormat="1" x14ac:dyDescent="0.25">
      <c r="A10" s="1" t="s">
        <v>33</v>
      </c>
      <c r="B10" s="14">
        <f t="shared" si="0"/>
        <v>9</v>
      </c>
      <c r="C10" s="11">
        <v>11</v>
      </c>
      <c r="D10" s="1">
        <v>2019</v>
      </c>
      <c r="E10" s="12">
        <f>'Submetering '!O10+'Submetering '!P10+'Submetering '!Q10+'Submetering '!R10+'Submetering '!S10</f>
        <v>27520</v>
      </c>
      <c r="F10" s="11">
        <f t="shared" si="1"/>
        <v>5.79</v>
      </c>
      <c r="G10" s="12">
        <f>('FS Seychelles'!$AB$15+'FS Seychelles'!$AB$9)/30</f>
        <v>375.23333333333335</v>
      </c>
      <c r="H10" s="11">
        <f t="shared" si="2"/>
        <v>18.899999999999999</v>
      </c>
      <c r="I10" s="12">
        <f>'FS Seychelles'!R11+'FS Seychelles'!T11+'FS Seychelles'!U11+'FS Seychelles'!V11</f>
        <v>514</v>
      </c>
      <c r="J10" s="11">
        <f t="shared" si="3"/>
        <v>0</v>
      </c>
      <c r="K10" s="31">
        <f>'Submetering '!Z10</f>
        <v>151</v>
      </c>
      <c r="L10" s="11"/>
    </row>
    <row r="11" spans="1:13" s="15" customFormat="1" x14ac:dyDescent="0.25">
      <c r="A11" s="1" t="s">
        <v>33</v>
      </c>
      <c r="B11" s="14">
        <f t="shared" si="0"/>
        <v>10</v>
      </c>
      <c r="C11" s="11">
        <v>11</v>
      </c>
      <c r="D11" s="1">
        <v>2019</v>
      </c>
      <c r="E11" s="12">
        <f>'Submetering '!O11+'Submetering '!P11+'Submetering '!Q11+'Submetering '!R11+'Submetering '!S11</f>
        <v>29768</v>
      </c>
      <c r="F11" s="11">
        <f t="shared" si="1"/>
        <v>5.79</v>
      </c>
      <c r="G11" s="12">
        <f>('FS Seychelles'!$AB$15+'FS Seychelles'!$AB$9)/30</f>
        <v>375.23333333333335</v>
      </c>
      <c r="H11" s="11">
        <f t="shared" si="2"/>
        <v>18.899999999999999</v>
      </c>
      <c r="I11" s="12">
        <f>'FS Seychelles'!R12+'FS Seychelles'!T12+'FS Seychelles'!U12+'FS Seychelles'!V12</f>
        <v>531</v>
      </c>
      <c r="J11" s="11">
        <f t="shared" si="3"/>
        <v>0</v>
      </c>
      <c r="K11" s="31">
        <f>'Submetering '!Z11</f>
        <v>136</v>
      </c>
      <c r="L11" s="11"/>
    </row>
    <row r="12" spans="1:13" s="15" customFormat="1" x14ac:dyDescent="0.25">
      <c r="A12" s="1" t="s">
        <v>33</v>
      </c>
      <c r="B12" s="14">
        <f t="shared" si="0"/>
        <v>11</v>
      </c>
      <c r="C12" s="11">
        <v>11</v>
      </c>
      <c r="D12" s="1">
        <v>2019</v>
      </c>
      <c r="E12" s="12">
        <f>'Submetering '!O12+'Submetering '!P12+'Submetering '!Q12+'Submetering '!R12+'Submetering '!S12</f>
        <v>27858</v>
      </c>
      <c r="F12" s="11">
        <f t="shared" si="1"/>
        <v>5.79</v>
      </c>
      <c r="G12" s="12">
        <f>('FS Seychelles'!$AB$15+'FS Seychelles'!$AB$9)/30</f>
        <v>375.23333333333335</v>
      </c>
      <c r="H12" s="11">
        <f t="shared" si="2"/>
        <v>18.899999999999999</v>
      </c>
      <c r="I12" s="12">
        <f>'FS Seychelles'!R13+'FS Seychelles'!T13+'FS Seychelles'!U13+'FS Seychelles'!V13</f>
        <v>525</v>
      </c>
      <c r="J12" s="11">
        <f t="shared" si="3"/>
        <v>0</v>
      </c>
      <c r="K12" s="31">
        <f>'Submetering '!Z12</f>
        <v>149</v>
      </c>
      <c r="L12" s="11"/>
    </row>
    <row r="13" spans="1:13" s="15" customFormat="1" x14ac:dyDescent="0.25">
      <c r="A13" s="1" t="s">
        <v>33</v>
      </c>
      <c r="B13" s="14">
        <f t="shared" si="0"/>
        <v>12</v>
      </c>
      <c r="C13" s="11">
        <v>11</v>
      </c>
      <c r="D13" s="1">
        <v>2019</v>
      </c>
      <c r="E13" s="12">
        <f>'Submetering '!O13+'Submetering '!P13+'Submetering '!Q13+'Submetering '!R13+'Submetering '!S13</f>
        <v>30600</v>
      </c>
      <c r="F13" s="11">
        <f t="shared" si="1"/>
        <v>5.79</v>
      </c>
      <c r="G13" s="12">
        <f>('FS Seychelles'!$AB$15+'FS Seychelles'!$AB$9)/30</f>
        <v>375.23333333333335</v>
      </c>
      <c r="H13" s="11">
        <f t="shared" si="2"/>
        <v>18.899999999999999</v>
      </c>
      <c r="I13" s="12">
        <f>'FS Seychelles'!R14+'FS Seychelles'!T14+'FS Seychelles'!U14+'FS Seychelles'!V14</f>
        <v>525</v>
      </c>
      <c r="J13" s="11">
        <f t="shared" si="3"/>
        <v>0</v>
      </c>
      <c r="K13" s="31">
        <f>'Submetering '!Z13</f>
        <v>143</v>
      </c>
      <c r="L13" s="11"/>
    </row>
    <row r="14" spans="1:13" s="15" customFormat="1" x14ac:dyDescent="0.25">
      <c r="A14" s="1" t="s">
        <v>33</v>
      </c>
      <c r="B14" s="14">
        <f t="shared" si="0"/>
        <v>13</v>
      </c>
      <c r="C14" s="11">
        <v>11</v>
      </c>
      <c r="D14" s="1">
        <v>2019</v>
      </c>
      <c r="E14" s="12">
        <f>'Submetering '!O14+'Submetering '!P14+'Submetering '!Q14+'Submetering '!R14+'Submetering '!S14</f>
        <v>31997</v>
      </c>
      <c r="F14" s="11">
        <f t="shared" si="1"/>
        <v>5.79</v>
      </c>
      <c r="G14" s="12">
        <f>('FS Seychelles'!$AB$15+'FS Seychelles'!$AB$9)/30</f>
        <v>375.23333333333335</v>
      </c>
      <c r="H14" s="11">
        <f t="shared" si="2"/>
        <v>18.899999999999999</v>
      </c>
      <c r="I14" s="12">
        <f>'FS Seychelles'!R15+'FS Seychelles'!T15+'FS Seychelles'!U15+'FS Seychelles'!V15</f>
        <v>541</v>
      </c>
      <c r="J14" s="11">
        <f t="shared" si="3"/>
        <v>0</v>
      </c>
      <c r="K14" s="31">
        <f>'Submetering '!Z14</f>
        <v>141</v>
      </c>
      <c r="L14" s="11"/>
    </row>
    <row r="15" spans="1:13" s="15" customFormat="1" x14ac:dyDescent="0.25">
      <c r="A15" s="1" t="s">
        <v>33</v>
      </c>
      <c r="B15" s="14">
        <f t="shared" si="0"/>
        <v>14</v>
      </c>
      <c r="C15" s="11">
        <v>11</v>
      </c>
      <c r="D15" s="1">
        <v>2019</v>
      </c>
      <c r="E15" s="12">
        <f>'Submetering '!O15+'Submetering '!P15+'Submetering '!Q15+'Submetering '!R15+'Submetering '!S15</f>
        <v>31517</v>
      </c>
      <c r="F15" s="11">
        <f t="shared" si="1"/>
        <v>5.79</v>
      </c>
      <c r="G15" s="12">
        <f>('FS Seychelles'!$AB$15+'FS Seychelles'!$AB$9)/30</f>
        <v>375.23333333333335</v>
      </c>
      <c r="H15" s="11">
        <f t="shared" si="2"/>
        <v>18.899999999999999</v>
      </c>
      <c r="I15" s="12">
        <f>'FS Seychelles'!R16+'FS Seychelles'!T16+'FS Seychelles'!U16+'FS Seychelles'!V16</f>
        <v>599</v>
      </c>
      <c r="J15" s="11">
        <f t="shared" si="3"/>
        <v>0</v>
      </c>
      <c r="K15" s="31">
        <f>'Submetering '!Z15</f>
        <v>155</v>
      </c>
      <c r="L15" s="11"/>
    </row>
    <row r="16" spans="1:13" s="15" customFormat="1" x14ac:dyDescent="0.25">
      <c r="A16" s="1" t="s">
        <v>33</v>
      </c>
      <c r="B16" s="14">
        <f t="shared" si="0"/>
        <v>15</v>
      </c>
      <c r="C16" s="11">
        <v>11</v>
      </c>
      <c r="D16" s="1">
        <v>2019</v>
      </c>
      <c r="E16" s="12">
        <f>'Submetering '!O16+'Submetering '!P16+'Submetering '!Q16+'Submetering '!R16+'Submetering '!S16</f>
        <v>29940</v>
      </c>
      <c r="F16" s="11">
        <f t="shared" si="1"/>
        <v>5.79</v>
      </c>
      <c r="G16" s="12">
        <f>('FS Seychelles'!$AB$15+'FS Seychelles'!$AB$9)/30</f>
        <v>375.23333333333335</v>
      </c>
      <c r="H16" s="11">
        <f t="shared" si="2"/>
        <v>18.899999999999999</v>
      </c>
      <c r="I16" s="12">
        <f>'FS Seychelles'!R17+'FS Seychelles'!T17+'FS Seychelles'!U17+'FS Seychelles'!V17</f>
        <v>606</v>
      </c>
      <c r="J16" s="11">
        <f t="shared" si="3"/>
        <v>0</v>
      </c>
      <c r="K16" s="31">
        <f>'Submetering '!Z16</f>
        <v>128</v>
      </c>
      <c r="L16" s="11"/>
    </row>
    <row r="17" spans="1:12" s="15" customFormat="1" x14ac:dyDescent="0.25">
      <c r="A17" s="1" t="s">
        <v>33</v>
      </c>
      <c r="B17" s="14">
        <f t="shared" si="0"/>
        <v>16</v>
      </c>
      <c r="C17" s="11">
        <v>11</v>
      </c>
      <c r="D17" s="1">
        <v>2019</v>
      </c>
      <c r="E17" s="12">
        <f>'Submetering '!O17+'Submetering '!P17+'Submetering '!Q17+'Submetering '!R17+'Submetering '!S17</f>
        <v>32349</v>
      </c>
      <c r="F17" s="11">
        <f t="shared" si="1"/>
        <v>5.79</v>
      </c>
      <c r="G17" s="12">
        <f>('FS Seychelles'!$AB$15+'FS Seychelles'!$AB$9)/30</f>
        <v>375.23333333333335</v>
      </c>
      <c r="H17" s="11">
        <f t="shared" si="2"/>
        <v>18.899999999999999</v>
      </c>
      <c r="I17" s="12">
        <f>'FS Seychelles'!R18+'FS Seychelles'!T18+'FS Seychelles'!U18+'FS Seychelles'!V18</f>
        <v>550</v>
      </c>
      <c r="J17" s="11">
        <f t="shared" si="3"/>
        <v>0</v>
      </c>
      <c r="K17" s="31">
        <f>'Submetering '!Z17</f>
        <v>142</v>
      </c>
      <c r="L17" s="11"/>
    </row>
    <row r="18" spans="1:12" s="15" customFormat="1" x14ac:dyDescent="0.25">
      <c r="A18" s="1" t="s">
        <v>33</v>
      </c>
      <c r="B18" s="14">
        <f t="shared" si="0"/>
        <v>17</v>
      </c>
      <c r="C18" s="11">
        <v>11</v>
      </c>
      <c r="D18" s="1">
        <v>2019</v>
      </c>
      <c r="E18" s="12">
        <f>'Submetering '!O18+'Submetering '!P18+'Submetering '!Q18+'Submetering '!R18+'Submetering '!S18</f>
        <v>29258</v>
      </c>
      <c r="F18" s="11">
        <f t="shared" si="1"/>
        <v>5.79</v>
      </c>
      <c r="G18" s="12">
        <f>('FS Seychelles'!$AB$15+'FS Seychelles'!$AB$9)/30</f>
        <v>375.23333333333335</v>
      </c>
      <c r="H18" s="11">
        <f t="shared" si="2"/>
        <v>18.899999999999999</v>
      </c>
      <c r="I18" s="12">
        <f>'FS Seychelles'!R19+'FS Seychelles'!T19+'FS Seychelles'!U19+'FS Seychelles'!V19</f>
        <v>508</v>
      </c>
      <c r="J18" s="11">
        <f t="shared" si="3"/>
        <v>0</v>
      </c>
      <c r="K18" s="31">
        <f>'Submetering '!Z18</f>
        <v>140</v>
      </c>
      <c r="L18" s="11"/>
    </row>
    <row r="19" spans="1:12" s="15" customFormat="1" x14ac:dyDescent="0.25">
      <c r="A19" s="1" t="s">
        <v>33</v>
      </c>
      <c r="B19" s="14">
        <f t="shared" si="0"/>
        <v>18</v>
      </c>
      <c r="C19" s="11">
        <v>11</v>
      </c>
      <c r="D19" s="1">
        <v>2019</v>
      </c>
      <c r="E19" s="12">
        <f>'Submetering '!O19+'Submetering '!P19+'Submetering '!Q19+'Submetering '!R19+'Submetering '!S19</f>
        <v>30539</v>
      </c>
      <c r="F19" s="11">
        <f t="shared" si="1"/>
        <v>5.79</v>
      </c>
      <c r="G19" s="12">
        <f>('FS Seychelles'!$AB$15+'FS Seychelles'!$AB$9)/30</f>
        <v>375.23333333333335</v>
      </c>
      <c r="H19" s="11">
        <f t="shared" si="2"/>
        <v>18.899999999999999</v>
      </c>
      <c r="I19" s="12">
        <f>'FS Seychelles'!R20+'FS Seychelles'!T20+'FS Seychelles'!U20+'FS Seychelles'!V20</f>
        <v>541</v>
      </c>
      <c r="J19" s="11">
        <f t="shared" si="3"/>
        <v>0</v>
      </c>
      <c r="K19" s="31">
        <f>'Submetering '!Z19</f>
        <v>139</v>
      </c>
      <c r="L19" s="11"/>
    </row>
    <row r="20" spans="1:12" s="15" customFormat="1" x14ac:dyDescent="0.25">
      <c r="A20" s="1" t="s">
        <v>33</v>
      </c>
      <c r="B20" s="14">
        <f t="shared" si="0"/>
        <v>19</v>
      </c>
      <c r="C20" s="11">
        <v>11</v>
      </c>
      <c r="D20" s="1">
        <v>2019</v>
      </c>
      <c r="E20" s="12">
        <f>'Submetering '!O20+'Submetering '!P20+'Submetering '!Q20+'Submetering '!R20+'Submetering '!S20</f>
        <v>30383</v>
      </c>
      <c r="F20" s="11">
        <f t="shared" si="1"/>
        <v>5.79</v>
      </c>
      <c r="G20" s="12">
        <f>('FS Seychelles'!$AB$15+'FS Seychelles'!$AB$9)/30</f>
        <v>375.23333333333335</v>
      </c>
      <c r="H20" s="11">
        <f t="shared" si="2"/>
        <v>18.899999999999999</v>
      </c>
      <c r="I20" s="12">
        <f>'FS Seychelles'!R21+'FS Seychelles'!T21+'FS Seychelles'!U21+'FS Seychelles'!V21</f>
        <v>540</v>
      </c>
      <c r="J20" s="11">
        <f t="shared" si="3"/>
        <v>0</v>
      </c>
      <c r="K20" s="31">
        <f>'Submetering '!Z20</f>
        <v>137</v>
      </c>
      <c r="L20" s="11"/>
    </row>
    <row r="21" spans="1:12" s="15" customFormat="1" x14ac:dyDescent="0.25">
      <c r="A21" s="1" t="s">
        <v>33</v>
      </c>
      <c r="B21" s="14">
        <f t="shared" si="0"/>
        <v>20</v>
      </c>
      <c r="C21" s="11">
        <v>11</v>
      </c>
      <c r="D21" s="1">
        <v>2019</v>
      </c>
      <c r="E21" s="12">
        <f>'Submetering '!O21+'Submetering '!P21+'Submetering '!Q21+'Submetering '!R21+'Submetering '!S21</f>
        <v>29379</v>
      </c>
      <c r="F21" s="11">
        <f t="shared" si="1"/>
        <v>5.79</v>
      </c>
      <c r="G21" s="12">
        <f>('FS Seychelles'!$AB$15+'FS Seychelles'!$AB$9)/30</f>
        <v>375.23333333333335</v>
      </c>
      <c r="H21" s="11">
        <f t="shared" si="2"/>
        <v>18.899999999999999</v>
      </c>
      <c r="I21" s="12">
        <f>'FS Seychelles'!R22+'FS Seychelles'!T22+'FS Seychelles'!U22+'FS Seychelles'!V22</f>
        <v>477</v>
      </c>
      <c r="J21" s="11">
        <f t="shared" si="3"/>
        <v>0</v>
      </c>
      <c r="K21" s="31">
        <f>'Submetering '!Z21</f>
        <v>90</v>
      </c>
      <c r="L21" s="11"/>
    </row>
    <row r="22" spans="1:12" s="15" customFormat="1" x14ac:dyDescent="0.25">
      <c r="A22" s="1" t="s">
        <v>33</v>
      </c>
      <c r="B22" s="14">
        <f t="shared" si="0"/>
        <v>21</v>
      </c>
      <c r="C22" s="11">
        <v>11</v>
      </c>
      <c r="D22" s="1">
        <v>2019</v>
      </c>
      <c r="E22" s="12">
        <f>'Submetering '!O22+'Submetering '!P22+'Submetering '!Q22+'Submetering '!R22+'Submetering '!S22</f>
        <v>29783</v>
      </c>
      <c r="F22" s="11">
        <f t="shared" si="1"/>
        <v>5.79</v>
      </c>
      <c r="G22" s="12">
        <f>('FS Seychelles'!$AB$15+'FS Seychelles'!$AB$9)/30</f>
        <v>375.23333333333335</v>
      </c>
      <c r="H22" s="11">
        <f t="shared" si="2"/>
        <v>18.899999999999999</v>
      </c>
      <c r="I22" s="12">
        <f>'FS Seychelles'!R23+'FS Seychelles'!T23+'FS Seychelles'!U23+'FS Seychelles'!V23</f>
        <v>489</v>
      </c>
      <c r="J22" s="11">
        <f t="shared" si="3"/>
        <v>0</v>
      </c>
      <c r="K22" s="31">
        <f>'Submetering '!Z22</f>
        <v>116</v>
      </c>
      <c r="L22" s="11"/>
    </row>
    <row r="23" spans="1:12" s="15" customFormat="1" x14ac:dyDescent="0.25">
      <c r="A23" s="1" t="s">
        <v>33</v>
      </c>
      <c r="B23" s="14">
        <f t="shared" si="0"/>
        <v>22</v>
      </c>
      <c r="C23" s="11">
        <v>11</v>
      </c>
      <c r="D23" s="1">
        <v>2019</v>
      </c>
      <c r="E23" s="12">
        <f>'Submetering '!O23+'Submetering '!P23+'Submetering '!Q23+'Submetering '!R23+'Submetering '!S23</f>
        <v>31757</v>
      </c>
      <c r="F23" s="11">
        <f t="shared" si="1"/>
        <v>5.79</v>
      </c>
      <c r="G23" s="12">
        <f>('FS Seychelles'!$AB$15+'FS Seychelles'!$AB$9)/30</f>
        <v>375.23333333333335</v>
      </c>
      <c r="H23" s="11">
        <f t="shared" si="2"/>
        <v>18.899999999999999</v>
      </c>
      <c r="I23" s="12">
        <f>'FS Seychelles'!R24+'FS Seychelles'!T24+'FS Seychelles'!U24+'FS Seychelles'!V24</f>
        <v>495</v>
      </c>
      <c r="J23" s="11">
        <f t="shared" si="3"/>
        <v>0</v>
      </c>
      <c r="K23" s="31">
        <f>'Submetering '!Z23</f>
        <v>181</v>
      </c>
      <c r="L23" s="11"/>
    </row>
    <row r="24" spans="1:12" s="15" customFormat="1" x14ac:dyDescent="0.25">
      <c r="A24" s="1" t="s">
        <v>33</v>
      </c>
      <c r="B24" s="14">
        <f t="shared" si="0"/>
        <v>23</v>
      </c>
      <c r="C24" s="11">
        <v>11</v>
      </c>
      <c r="D24" s="1">
        <v>2019</v>
      </c>
      <c r="E24" s="12">
        <f>'Submetering '!O24+'Submetering '!P24+'Submetering '!Q24+'Submetering '!R24+'Submetering '!S24</f>
        <v>32053</v>
      </c>
      <c r="F24" s="11">
        <f t="shared" si="1"/>
        <v>5.79</v>
      </c>
      <c r="G24" s="12">
        <f>('FS Seychelles'!$AB$15+'FS Seychelles'!$AB$9)/30</f>
        <v>375.23333333333335</v>
      </c>
      <c r="H24" s="11">
        <f t="shared" si="2"/>
        <v>18.899999999999999</v>
      </c>
      <c r="I24" s="12">
        <f>'FS Seychelles'!R25+'FS Seychelles'!T25+'FS Seychelles'!U25+'FS Seychelles'!V25</f>
        <v>404</v>
      </c>
      <c r="J24" s="11">
        <f t="shared" si="3"/>
        <v>0</v>
      </c>
      <c r="K24" s="31">
        <f>'Submetering '!Z24</f>
        <v>153</v>
      </c>
      <c r="L24" s="11"/>
    </row>
    <row r="25" spans="1:12" s="15" customFormat="1" x14ac:dyDescent="0.25">
      <c r="A25" s="1" t="s">
        <v>33</v>
      </c>
      <c r="B25" s="14">
        <f t="shared" si="0"/>
        <v>24</v>
      </c>
      <c r="C25" s="11">
        <v>11</v>
      </c>
      <c r="D25" s="1">
        <v>2019</v>
      </c>
      <c r="E25" s="12">
        <f>'Submetering '!O25+'Submetering '!P25+'Submetering '!Q25+'Submetering '!R25+'Submetering '!S25</f>
        <v>30753</v>
      </c>
      <c r="F25" s="11">
        <f t="shared" si="1"/>
        <v>5.79</v>
      </c>
      <c r="G25" s="12">
        <f>('FS Seychelles'!$AB$15+'FS Seychelles'!$AB$9)/30</f>
        <v>375.23333333333335</v>
      </c>
      <c r="H25" s="11">
        <f t="shared" si="2"/>
        <v>18.899999999999999</v>
      </c>
      <c r="I25" s="12">
        <f>'FS Seychelles'!R26+'FS Seychelles'!T26+'FS Seychelles'!U26+'FS Seychelles'!V26</f>
        <v>458</v>
      </c>
      <c r="J25" s="11">
        <f t="shared" si="3"/>
        <v>0</v>
      </c>
      <c r="K25" s="31">
        <f>'Submetering '!Z25</f>
        <v>155</v>
      </c>
      <c r="L25" s="11"/>
    </row>
    <row r="26" spans="1:12" s="15" customFormat="1" x14ac:dyDescent="0.25">
      <c r="A26" s="1" t="s">
        <v>33</v>
      </c>
      <c r="B26" s="14">
        <f>B25+1</f>
        <v>25</v>
      </c>
      <c r="C26" s="11">
        <v>11</v>
      </c>
      <c r="D26" s="1">
        <v>2019</v>
      </c>
      <c r="E26" s="12">
        <f>'Submetering '!O26+'Submetering '!P26+'Submetering '!Q26+'Submetering '!R26+'Submetering '!S26</f>
        <v>29471</v>
      </c>
      <c r="F26" s="11">
        <f t="shared" si="1"/>
        <v>5.79</v>
      </c>
      <c r="G26" s="12">
        <f>('FS Seychelles'!$AB$15+'FS Seychelles'!$AB$9)/30</f>
        <v>375.23333333333335</v>
      </c>
      <c r="H26" s="11">
        <f t="shared" si="2"/>
        <v>18.899999999999999</v>
      </c>
      <c r="I26" s="12">
        <f>'FS Seychelles'!R27+'FS Seychelles'!T27+'FS Seychelles'!U27+'FS Seychelles'!V27</f>
        <v>350</v>
      </c>
      <c r="J26" s="11">
        <f t="shared" si="3"/>
        <v>0</v>
      </c>
      <c r="K26" s="31">
        <f>'Submetering '!Z26</f>
        <v>62</v>
      </c>
      <c r="L26" s="11"/>
    </row>
    <row r="27" spans="1:12" s="15" customFormat="1" x14ac:dyDescent="0.25">
      <c r="A27" s="1" t="s">
        <v>33</v>
      </c>
      <c r="B27" s="14">
        <f t="shared" si="0"/>
        <v>26</v>
      </c>
      <c r="C27" s="11">
        <v>11</v>
      </c>
      <c r="D27" s="1">
        <v>2019</v>
      </c>
      <c r="E27" s="12">
        <f>'Submetering '!O27+'Submetering '!P27+'Submetering '!Q27+'Submetering '!R27+'Submetering '!S27</f>
        <v>24559</v>
      </c>
      <c r="F27" s="11">
        <f t="shared" si="1"/>
        <v>5.79</v>
      </c>
      <c r="G27" s="12">
        <f>('FS Seychelles'!$AB$15+'FS Seychelles'!$AB$9)/30</f>
        <v>375.23333333333335</v>
      </c>
      <c r="H27" s="11">
        <f t="shared" si="2"/>
        <v>18.899999999999999</v>
      </c>
      <c r="I27" s="12">
        <f>'FS Seychelles'!R28+'FS Seychelles'!T28+'FS Seychelles'!U28+'FS Seychelles'!V28</f>
        <v>207</v>
      </c>
      <c r="J27" s="11">
        <f t="shared" si="3"/>
        <v>0</v>
      </c>
      <c r="K27" s="31">
        <f>'Submetering '!Z27</f>
        <v>82</v>
      </c>
      <c r="L27" s="11"/>
    </row>
    <row r="28" spans="1:12" s="15" customFormat="1" x14ac:dyDescent="0.25">
      <c r="A28" s="1" t="s">
        <v>33</v>
      </c>
      <c r="B28" s="14">
        <f t="shared" si="0"/>
        <v>27</v>
      </c>
      <c r="C28" s="11">
        <v>11</v>
      </c>
      <c r="D28" s="1">
        <v>2019</v>
      </c>
      <c r="E28" s="12">
        <f>'Submetering '!O28+'Submetering '!P28+'Submetering '!Q28+'Submetering '!R28+'Submetering '!S28</f>
        <v>29939</v>
      </c>
      <c r="F28" s="11">
        <f t="shared" si="1"/>
        <v>5.79</v>
      </c>
      <c r="G28" s="12">
        <f>('FS Seychelles'!$AB$15+'FS Seychelles'!$AB$9)/30</f>
        <v>375.23333333333335</v>
      </c>
      <c r="H28" s="11">
        <f t="shared" si="2"/>
        <v>18.899999999999999</v>
      </c>
      <c r="I28" s="12">
        <f>'FS Seychelles'!R29+'FS Seychelles'!T29+'FS Seychelles'!U29+'FS Seychelles'!V29</f>
        <v>211</v>
      </c>
      <c r="J28" s="11">
        <f t="shared" si="3"/>
        <v>0</v>
      </c>
      <c r="K28" s="31">
        <f>'Submetering '!Z28</f>
        <v>167</v>
      </c>
      <c r="L28" s="11"/>
    </row>
    <row r="29" spans="1:12" s="15" customFormat="1" x14ac:dyDescent="0.25">
      <c r="A29" s="1" t="s">
        <v>33</v>
      </c>
      <c r="B29" s="14">
        <f t="shared" si="0"/>
        <v>28</v>
      </c>
      <c r="C29" s="11">
        <v>11</v>
      </c>
      <c r="D29" s="1">
        <v>2019</v>
      </c>
      <c r="E29" s="12">
        <f>'Submetering '!O29+'Submetering '!P29+'Submetering '!Q29+'Submetering '!R29+'Submetering '!S29</f>
        <v>28797</v>
      </c>
      <c r="F29" s="11">
        <f t="shared" si="1"/>
        <v>5.79</v>
      </c>
      <c r="G29" s="12">
        <f>('FS Seychelles'!$AB$15+'FS Seychelles'!$AB$9)/30</f>
        <v>375.23333333333335</v>
      </c>
      <c r="H29" s="11">
        <f t="shared" si="2"/>
        <v>18.899999999999999</v>
      </c>
      <c r="I29" s="12">
        <f>'FS Seychelles'!R30+'FS Seychelles'!T30+'FS Seychelles'!U30+'FS Seychelles'!V30</f>
        <v>220</v>
      </c>
      <c r="J29" s="11">
        <f t="shared" si="3"/>
        <v>0</v>
      </c>
      <c r="K29" s="31">
        <f>'Submetering '!Z29</f>
        <v>92</v>
      </c>
      <c r="L29" s="11"/>
    </row>
    <row r="30" spans="1:12" s="15" customFormat="1" x14ac:dyDescent="0.25">
      <c r="A30" s="1" t="s">
        <v>33</v>
      </c>
      <c r="B30" s="14">
        <f t="shared" si="0"/>
        <v>29</v>
      </c>
      <c r="C30" s="11">
        <v>11</v>
      </c>
      <c r="D30" s="1">
        <v>2019</v>
      </c>
      <c r="E30" s="12">
        <f>'Submetering '!O30+'Submetering '!P30+'Submetering '!Q30+'Submetering '!R30+'Submetering '!S30</f>
        <v>28143</v>
      </c>
      <c r="F30" s="11">
        <f t="shared" si="1"/>
        <v>5.79</v>
      </c>
      <c r="G30" s="12">
        <f>('FS Seychelles'!$AB$15+'FS Seychelles'!$AB$9)/30</f>
        <v>375.23333333333335</v>
      </c>
      <c r="H30" s="11">
        <f t="shared" si="2"/>
        <v>18.899999999999999</v>
      </c>
      <c r="I30" s="12">
        <f>'FS Seychelles'!R31+'FS Seychelles'!T31+'FS Seychelles'!U31+'FS Seychelles'!V31</f>
        <v>244</v>
      </c>
      <c r="J30" s="11">
        <f t="shared" si="3"/>
        <v>0</v>
      </c>
      <c r="K30" s="31">
        <f>'Submetering '!Z30</f>
        <v>156</v>
      </c>
      <c r="L30" s="11"/>
    </row>
    <row r="31" spans="1:12" s="13" customFormat="1" x14ac:dyDescent="0.25">
      <c r="A31" s="1" t="s">
        <v>33</v>
      </c>
      <c r="B31" s="14">
        <f t="shared" si="0"/>
        <v>30</v>
      </c>
      <c r="C31" s="11">
        <v>11</v>
      </c>
      <c r="D31" s="1">
        <v>2019</v>
      </c>
      <c r="E31" s="12">
        <f>'Submetering '!O31+'Submetering '!P31+'Submetering '!Q31+'Submetering '!R31+'Submetering '!S31</f>
        <v>26074</v>
      </c>
      <c r="F31" s="11">
        <f t="shared" si="1"/>
        <v>5.79</v>
      </c>
      <c r="G31" s="12">
        <f>('FS Seychelles'!$AB$15+'FS Seychelles'!$AB$9)/30</f>
        <v>375.23333333333335</v>
      </c>
      <c r="H31" s="11">
        <f t="shared" si="2"/>
        <v>18.899999999999999</v>
      </c>
      <c r="I31" s="12">
        <f>'FS Seychelles'!R32+'FS Seychelles'!T32+'FS Seychelles'!U32+'FS Seychelles'!V32</f>
        <v>232</v>
      </c>
      <c r="J31" s="11">
        <f t="shared" si="3"/>
        <v>0</v>
      </c>
      <c r="K31" s="31">
        <f>'Submetering '!Z31</f>
        <v>112</v>
      </c>
      <c r="L3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topLeftCell="J1" workbookViewId="0">
      <selection activeCell="AA22" sqref="AA22"/>
    </sheetView>
  </sheetViews>
  <sheetFormatPr defaultColWidth="11.5703125" defaultRowHeight="15" x14ac:dyDescent="0.25"/>
  <cols>
    <col min="1" max="1" width="22.28515625" style="28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9" t="s">
        <v>0</v>
      </c>
      <c r="B1" s="26" t="s">
        <v>1</v>
      </c>
      <c r="C1" s="26" t="s">
        <v>2</v>
      </c>
      <c r="D1" s="26" t="s">
        <v>3</v>
      </c>
      <c r="E1" s="27" t="s">
        <v>19</v>
      </c>
      <c r="F1" s="27" t="s">
        <v>34</v>
      </c>
      <c r="G1" s="27" t="s">
        <v>35</v>
      </c>
      <c r="H1" s="27" t="s">
        <v>36</v>
      </c>
      <c r="I1" s="27" t="s">
        <v>37</v>
      </c>
      <c r="J1" s="27" t="s">
        <v>38</v>
      </c>
      <c r="K1" s="27" t="s">
        <v>39</v>
      </c>
      <c r="L1" s="27" t="s">
        <v>40</v>
      </c>
      <c r="M1" s="27" t="s">
        <v>41</v>
      </c>
      <c r="N1" s="27" t="s">
        <v>42</v>
      </c>
      <c r="O1" s="27" t="s">
        <v>43</v>
      </c>
      <c r="P1" s="27" t="s">
        <v>44</v>
      </c>
      <c r="Q1" s="27" t="s">
        <v>45</v>
      </c>
      <c r="R1" s="27" t="s">
        <v>46</v>
      </c>
      <c r="S1" s="27" t="s">
        <v>47</v>
      </c>
      <c r="T1" s="27" t="s">
        <v>48</v>
      </c>
      <c r="U1" s="27" t="s">
        <v>49</v>
      </c>
      <c r="V1" s="27" t="s">
        <v>50</v>
      </c>
      <c r="W1" s="27" t="s">
        <v>51</v>
      </c>
      <c r="X1" s="27" t="s">
        <v>52</v>
      </c>
      <c r="Y1" s="27" t="s">
        <v>53</v>
      </c>
      <c r="Z1" s="27" t="s">
        <v>54</v>
      </c>
      <c r="AA1" s="27" t="s">
        <v>55</v>
      </c>
      <c r="AB1" s="27" t="s">
        <v>32</v>
      </c>
    </row>
    <row r="2" spans="1:28" x14ac:dyDescent="0.25">
      <c r="A2" s="1" t="s">
        <v>33</v>
      </c>
      <c r="B2" s="11">
        <v>1</v>
      </c>
      <c r="C2" s="11">
        <v>9</v>
      </c>
      <c r="D2" s="11">
        <v>2019</v>
      </c>
      <c r="E2" s="18">
        <f>'FS Seychelles'!B3</f>
        <v>66.319999999999993</v>
      </c>
      <c r="F2" s="18">
        <f>'FS Seychelles'!C3*1000</f>
        <v>3230</v>
      </c>
      <c r="G2" s="18">
        <f>'FS Seychelles'!D3*1000</f>
        <v>5400</v>
      </c>
      <c r="H2" s="18">
        <f>'FS Seychelles'!E3*1000</f>
        <v>5340</v>
      </c>
      <c r="I2" s="18">
        <f>'FS Seychelles'!F3*1000</f>
        <v>1380</v>
      </c>
      <c r="J2" s="18">
        <f>'FS Seychelles'!G3*1000</f>
        <v>3050</v>
      </c>
      <c r="K2" s="18">
        <f>'FS Seychelles'!H3*1000</f>
        <v>1950</v>
      </c>
      <c r="L2" s="18">
        <f>'FS Seychelles'!I3*1000</f>
        <v>1360</v>
      </c>
      <c r="M2" s="18">
        <f>'FS Seychelles'!J3*1000</f>
        <v>1640</v>
      </c>
      <c r="N2" s="18">
        <f>'FS Seychelles'!K3*1000</f>
        <v>3700</v>
      </c>
      <c r="O2" s="18">
        <f>'FS Seychelles'!L3</f>
        <v>7316</v>
      </c>
      <c r="P2" s="18">
        <f>'FS Seychelles'!M3</f>
        <v>7897</v>
      </c>
      <c r="Q2" s="18">
        <f>'FS Seychelles'!N3</f>
        <v>8324</v>
      </c>
      <c r="R2" s="18">
        <f>'FS Seychelles'!O3</f>
        <v>4516</v>
      </c>
      <c r="S2" s="18">
        <f>'FS Seychelles'!P3</f>
        <v>0</v>
      </c>
      <c r="T2" s="18">
        <f>'FS Seychelles'!Q3</f>
        <v>8273</v>
      </c>
      <c r="U2" s="18">
        <f>'FS Seychelles'!R3</f>
        <v>91</v>
      </c>
      <c r="V2" s="18">
        <f>'FS Seychelles'!S3</f>
        <v>27</v>
      </c>
      <c r="W2" s="18">
        <f>'FS Seychelles'!T3</f>
        <v>58</v>
      </c>
      <c r="X2" s="18">
        <f>'FS Seychelles'!U3</f>
        <v>319</v>
      </c>
      <c r="Y2" s="18">
        <f>'FS Seychelles'!V3</f>
        <v>81</v>
      </c>
      <c r="Z2" s="18">
        <f>'FS Seychelles'!W3</f>
        <v>180</v>
      </c>
      <c r="AA2" s="18">
        <f>'FS Seychelles'!X3</f>
        <v>0</v>
      </c>
      <c r="AB2" s="18">
        <f>('FS Seychelles'!$AB$15+'FS Seychelles'!$AB$9)/30</f>
        <v>375.23333333333335</v>
      </c>
    </row>
    <row r="3" spans="1:28" x14ac:dyDescent="0.25">
      <c r="A3" s="1" t="s">
        <v>33</v>
      </c>
      <c r="B3" s="11">
        <f>B2+1</f>
        <v>2</v>
      </c>
      <c r="C3" s="11">
        <v>9</v>
      </c>
      <c r="D3" s="11">
        <v>2019</v>
      </c>
      <c r="E3" s="18">
        <f>'FS Seychelles'!B4</f>
        <v>64.209999999999994</v>
      </c>
      <c r="F3" s="18">
        <f>'FS Seychelles'!C4*1000</f>
        <v>3120</v>
      </c>
      <c r="G3" s="18">
        <f>'FS Seychelles'!D4*1000</f>
        <v>5670</v>
      </c>
      <c r="H3" s="18">
        <f>'FS Seychelles'!E4*1000</f>
        <v>5280</v>
      </c>
      <c r="I3" s="18">
        <f>'FS Seychelles'!F4*1000</f>
        <v>1500</v>
      </c>
      <c r="J3" s="18">
        <f>'FS Seychelles'!G4*1000</f>
        <v>2940</v>
      </c>
      <c r="K3" s="18">
        <f>'FS Seychelles'!H4*1000</f>
        <v>2000</v>
      </c>
      <c r="L3" s="18">
        <f>'FS Seychelles'!I4*1000</f>
        <v>1440</v>
      </c>
      <c r="M3" s="18">
        <f>'FS Seychelles'!J4*1000</f>
        <v>1630</v>
      </c>
      <c r="N3" s="18">
        <f>'FS Seychelles'!K4*1000</f>
        <v>3530</v>
      </c>
      <c r="O3" s="18">
        <v>12417</v>
      </c>
      <c r="P3" s="18">
        <f>'FS Seychelles'!M4</f>
        <v>9603</v>
      </c>
      <c r="Q3" s="18">
        <v>12079</v>
      </c>
      <c r="R3" s="18">
        <v>8651</v>
      </c>
      <c r="S3" s="18">
        <f>'FS Seychelles'!P4</f>
        <v>0</v>
      </c>
      <c r="T3" s="18">
        <v>9881</v>
      </c>
      <c r="U3" s="18">
        <f>'FS Seychelles'!R4</f>
        <v>95</v>
      </c>
      <c r="V3" s="18">
        <f>'FS Seychelles'!S4</f>
        <v>52</v>
      </c>
      <c r="W3" s="18">
        <f>'FS Seychelles'!T4</f>
        <v>55</v>
      </c>
      <c r="X3" s="18">
        <f>'FS Seychelles'!U4</f>
        <v>272</v>
      </c>
      <c r="Y3" s="18">
        <f>'FS Seychelles'!V4</f>
        <v>67</v>
      </c>
      <c r="Z3" s="18">
        <f>'FS Seychelles'!W4</f>
        <v>191</v>
      </c>
      <c r="AA3" s="18">
        <f>'FS Seychelles'!X4</f>
        <v>0</v>
      </c>
      <c r="AB3" s="18">
        <f>('FS Seychelles'!$AB$15+'FS Seychelles'!$AB$9)/30</f>
        <v>375.23333333333335</v>
      </c>
    </row>
    <row r="4" spans="1:28" x14ac:dyDescent="0.25">
      <c r="A4" s="1" t="s">
        <v>33</v>
      </c>
      <c r="B4" s="11">
        <f t="shared" ref="B4:B31" si="0">B3+1</f>
        <v>3</v>
      </c>
      <c r="C4" s="11">
        <v>9</v>
      </c>
      <c r="D4" s="11">
        <v>2019</v>
      </c>
      <c r="E4" s="18">
        <f>'FS Seychelles'!B5</f>
        <v>20</v>
      </c>
      <c r="F4" s="18">
        <f>'FS Seychelles'!C5*1000</f>
        <v>3660</v>
      </c>
      <c r="G4" s="18">
        <f>'FS Seychelles'!D5*1000</f>
        <v>6030</v>
      </c>
      <c r="H4" s="18">
        <f>'FS Seychelles'!E5*1000</f>
        <v>5660</v>
      </c>
      <c r="I4" s="18">
        <f>'FS Seychelles'!F5*1000</f>
        <v>1730</v>
      </c>
      <c r="J4" s="18">
        <f>'FS Seychelles'!G5*1000</f>
        <v>2870</v>
      </c>
      <c r="K4" s="18">
        <f>'FS Seychelles'!H5*1000</f>
        <v>2120</v>
      </c>
      <c r="L4" s="18">
        <f>'FS Seychelles'!I5*1000</f>
        <v>1380</v>
      </c>
      <c r="M4" s="18">
        <f>'FS Seychelles'!J5*1000</f>
        <v>1600</v>
      </c>
      <c r="N4" s="18">
        <f>'FS Seychelles'!K5*1000</f>
        <v>3610</v>
      </c>
      <c r="O4" s="18">
        <f>'FS Seychelles'!L5</f>
        <v>11703</v>
      </c>
      <c r="P4" s="18">
        <f>'FS Seychelles'!M5</f>
        <v>11305</v>
      </c>
      <c r="Q4" s="18">
        <f>'FS Seychelles'!N5</f>
        <v>0</v>
      </c>
      <c r="R4" s="18">
        <f>'FS Seychelles'!O5</f>
        <v>7157</v>
      </c>
      <c r="S4" s="18">
        <f>'FS Seychelles'!P5</f>
        <v>0</v>
      </c>
      <c r="T4" s="18">
        <f>'FS Seychelles'!Q5</f>
        <v>8636</v>
      </c>
      <c r="U4" s="18">
        <f>'FS Seychelles'!R5</f>
        <v>94</v>
      </c>
      <c r="V4" s="18">
        <f>'FS Seychelles'!S5</f>
        <v>40</v>
      </c>
      <c r="W4" s="18">
        <f>'FS Seychelles'!T5</f>
        <v>71</v>
      </c>
      <c r="X4" s="18">
        <f>'FS Seychelles'!U5</f>
        <v>267</v>
      </c>
      <c r="Y4" s="18">
        <f>'FS Seychelles'!V5</f>
        <v>72</v>
      </c>
      <c r="Z4" s="18">
        <f>'FS Seychelles'!W5</f>
        <v>182</v>
      </c>
      <c r="AA4" s="18">
        <f>'FS Seychelles'!X5</f>
        <v>0</v>
      </c>
      <c r="AB4" s="18">
        <f>('FS Seychelles'!$AB$15+'FS Seychelles'!$AB$9)/30</f>
        <v>375.23333333333335</v>
      </c>
    </row>
    <row r="5" spans="1:28" x14ac:dyDescent="0.25">
      <c r="A5" s="1" t="s">
        <v>33</v>
      </c>
      <c r="B5" s="11">
        <f t="shared" si="0"/>
        <v>4</v>
      </c>
      <c r="C5" s="11">
        <v>9</v>
      </c>
      <c r="D5" s="11">
        <v>2019</v>
      </c>
      <c r="E5" s="18">
        <f>'FS Seychelles'!B6</f>
        <v>80</v>
      </c>
      <c r="F5" s="18">
        <f>'FS Seychelles'!C6*1000</f>
        <v>3580</v>
      </c>
      <c r="G5" s="18">
        <f>'FS Seychelles'!D6*1000</f>
        <v>5560</v>
      </c>
      <c r="H5" s="18">
        <f>'FS Seychelles'!E6*1000</f>
        <v>5570</v>
      </c>
      <c r="I5" s="18">
        <f>'FS Seychelles'!F6*1000</f>
        <v>1440</v>
      </c>
      <c r="J5" s="18">
        <f>'FS Seychelles'!G6*1000</f>
        <v>2810</v>
      </c>
      <c r="K5" s="18">
        <f>'FS Seychelles'!H6*1000</f>
        <v>2150</v>
      </c>
      <c r="L5" s="18">
        <f>'FS Seychelles'!I6*1000</f>
        <v>1390</v>
      </c>
      <c r="M5" s="18">
        <f>'FS Seychelles'!J6*1000</f>
        <v>1730</v>
      </c>
      <c r="N5" s="18">
        <f>'FS Seychelles'!K6*1000</f>
        <v>3680</v>
      </c>
      <c r="O5" s="18">
        <f>'FS Seychelles'!L6</f>
        <v>10352</v>
      </c>
      <c r="P5" s="18">
        <f>'FS Seychelles'!M6</f>
        <v>4493</v>
      </c>
      <c r="Q5" s="18">
        <f>'FS Seychelles'!N6</f>
        <v>4509</v>
      </c>
      <c r="R5" s="18">
        <f>'FS Seychelles'!O6</f>
        <v>10252</v>
      </c>
      <c r="S5" s="18">
        <f>'FS Seychelles'!P6</f>
        <v>0</v>
      </c>
      <c r="T5" s="18">
        <f>'FS Seychelles'!Q6</f>
        <v>8569</v>
      </c>
      <c r="U5" s="18">
        <f>'FS Seychelles'!R6</f>
        <v>97</v>
      </c>
      <c r="V5" s="18">
        <f>'FS Seychelles'!S6</f>
        <v>53</v>
      </c>
      <c r="W5" s="18">
        <f>'FS Seychelles'!T6</f>
        <v>112</v>
      </c>
      <c r="X5" s="18">
        <f>'FS Seychelles'!U6</f>
        <v>273</v>
      </c>
      <c r="Y5" s="18">
        <f>'FS Seychelles'!V6</f>
        <v>81</v>
      </c>
      <c r="Z5" s="18">
        <f>'FS Seychelles'!W6</f>
        <v>150</v>
      </c>
      <c r="AA5" s="18">
        <f>'FS Seychelles'!X6</f>
        <v>0</v>
      </c>
      <c r="AB5" s="18">
        <f>('FS Seychelles'!$AB$15+'FS Seychelles'!$AB$9)/30</f>
        <v>375.23333333333335</v>
      </c>
    </row>
    <row r="6" spans="1:28" x14ac:dyDescent="0.25">
      <c r="A6" s="1" t="s">
        <v>33</v>
      </c>
      <c r="B6" s="11">
        <f t="shared" si="0"/>
        <v>5</v>
      </c>
      <c r="C6" s="11">
        <v>9</v>
      </c>
      <c r="D6" s="11">
        <v>2019</v>
      </c>
      <c r="E6" s="18">
        <f>'FS Seychelles'!B7</f>
        <v>76.06</v>
      </c>
      <c r="F6" s="18">
        <f>'FS Seychelles'!C7*1000</f>
        <v>3620</v>
      </c>
      <c r="G6" s="18">
        <f>'FS Seychelles'!D7*1000</f>
        <v>5630</v>
      </c>
      <c r="H6" s="18">
        <f>'FS Seychelles'!E7*1000</f>
        <v>5730</v>
      </c>
      <c r="I6" s="18">
        <f>'FS Seychelles'!F7*1000</f>
        <v>1470</v>
      </c>
      <c r="J6" s="18">
        <f>'FS Seychelles'!G7*1000</f>
        <v>3390</v>
      </c>
      <c r="K6" s="18">
        <f>'FS Seychelles'!H7*1000</f>
        <v>2070</v>
      </c>
      <c r="L6" s="18">
        <f>'FS Seychelles'!I7*1000</f>
        <v>1390</v>
      </c>
      <c r="M6" s="18">
        <f>'FS Seychelles'!J7*1000</f>
        <v>1760</v>
      </c>
      <c r="N6" s="18">
        <f>'FS Seychelles'!K7*1000</f>
        <v>3920</v>
      </c>
      <c r="O6" s="18">
        <f>'FS Seychelles'!L7</f>
        <v>10794</v>
      </c>
      <c r="P6" s="18">
        <f>'FS Seychelles'!M7</f>
        <v>8802</v>
      </c>
      <c r="Q6" s="18">
        <f>'FS Seychelles'!N7</f>
        <v>4445</v>
      </c>
      <c r="R6" s="18">
        <f>'FS Seychelles'!O7</f>
        <v>4526</v>
      </c>
      <c r="S6" s="18">
        <f>'FS Seychelles'!P7</f>
        <v>0</v>
      </c>
      <c r="T6" s="18">
        <f>'FS Seychelles'!Q7</f>
        <v>8027</v>
      </c>
      <c r="U6" s="18">
        <f>'FS Seychelles'!R7</f>
        <v>105</v>
      </c>
      <c r="V6" s="18">
        <f>'FS Seychelles'!S7</f>
        <v>34</v>
      </c>
      <c r="W6" s="18">
        <f>'FS Seychelles'!T7</f>
        <v>93</v>
      </c>
      <c r="X6" s="18">
        <f>'FS Seychelles'!U7</f>
        <v>317</v>
      </c>
      <c r="Y6" s="18">
        <f>'FS Seychelles'!V7</f>
        <v>66</v>
      </c>
      <c r="Z6" s="18">
        <f>'FS Seychelles'!W7</f>
        <v>150</v>
      </c>
      <c r="AA6" s="18">
        <f>'FS Seychelles'!X7</f>
        <v>0</v>
      </c>
      <c r="AB6" s="18">
        <f>('FS Seychelles'!$AB$15+'FS Seychelles'!$AB$9)/30</f>
        <v>375.23333333333335</v>
      </c>
    </row>
    <row r="7" spans="1:28" x14ac:dyDescent="0.25">
      <c r="A7" s="1" t="s">
        <v>33</v>
      </c>
      <c r="B7" s="11">
        <f t="shared" si="0"/>
        <v>6</v>
      </c>
      <c r="C7" s="11">
        <v>9</v>
      </c>
      <c r="D7" s="11">
        <v>2019</v>
      </c>
      <c r="E7" s="18">
        <f>'FS Seychelles'!B8</f>
        <v>80.28</v>
      </c>
      <c r="F7" s="18">
        <f>'FS Seychelles'!C8*1000</f>
        <v>3670</v>
      </c>
      <c r="G7" s="18">
        <f>'FS Seychelles'!D8*1000</f>
        <v>5670</v>
      </c>
      <c r="H7" s="18">
        <f>'FS Seychelles'!E8*1000</f>
        <v>5590</v>
      </c>
      <c r="I7" s="18">
        <f>'FS Seychelles'!F8*1000</f>
        <v>1520</v>
      </c>
      <c r="J7" s="18">
        <f>'FS Seychelles'!G8*1000</f>
        <v>2900</v>
      </c>
      <c r="K7" s="18">
        <f>'FS Seychelles'!H8*1000</f>
        <v>2170</v>
      </c>
      <c r="L7" s="18">
        <f>'FS Seychelles'!I8*1000</f>
        <v>1380</v>
      </c>
      <c r="M7" s="18">
        <f>'FS Seychelles'!J8*1000</f>
        <v>1860</v>
      </c>
      <c r="N7" s="18">
        <f>'FS Seychelles'!K8*1000</f>
        <v>3870</v>
      </c>
      <c r="O7" s="18">
        <f>'FS Seychelles'!L8</f>
        <v>4783</v>
      </c>
      <c r="P7" s="18">
        <f>'FS Seychelles'!M8</f>
        <v>8378</v>
      </c>
      <c r="Q7" s="18">
        <f>'FS Seychelles'!N8</f>
        <v>8121</v>
      </c>
      <c r="R7" s="18">
        <f>'FS Seychelles'!O8</f>
        <v>9997</v>
      </c>
      <c r="S7" s="18">
        <f>'FS Seychelles'!P8</f>
        <v>0</v>
      </c>
      <c r="T7" s="18">
        <f>'FS Seychelles'!Q8</f>
        <v>9307</v>
      </c>
      <c r="U7" s="18">
        <f>'FS Seychelles'!R8</f>
        <v>109</v>
      </c>
      <c r="V7" s="18">
        <f>'FS Seychelles'!S8</f>
        <v>40</v>
      </c>
      <c r="W7" s="18">
        <f>'FS Seychelles'!T8</f>
        <v>115</v>
      </c>
      <c r="X7" s="18">
        <f>'FS Seychelles'!U8</f>
        <v>294</v>
      </c>
      <c r="Y7" s="18">
        <f>'FS Seychelles'!V8</f>
        <v>86</v>
      </c>
      <c r="Z7" s="18">
        <f>'FS Seychelles'!W8</f>
        <v>144</v>
      </c>
      <c r="AA7" s="18">
        <f>'FS Seychelles'!X8</f>
        <v>0</v>
      </c>
      <c r="AB7" s="18">
        <f>('FS Seychelles'!$AB$15+'FS Seychelles'!$AB$9)/30</f>
        <v>375.23333333333335</v>
      </c>
    </row>
    <row r="8" spans="1:28" x14ac:dyDescent="0.25">
      <c r="A8" s="1" t="s">
        <v>33</v>
      </c>
      <c r="B8" s="11">
        <f t="shared" si="0"/>
        <v>7</v>
      </c>
      <c r="C8" s="11">
        <v>9</v>
      </c>
      <c r="D8" s="11">
        <v>2019</v>
      </c>
      <c r="E8" s="18">
        <f>'FS Seychelles'!B9</f>
        <v>70.42</v>
      </c>
      <c r="F8" s="18">
        <f>'FS Seychelles'!C9*1000</f>
        <v>3830</v>
      </c>
      <c r="G8" s="18">
        <f>'FS Seychelles'!D9*1000</f>
        <v>5800</v>
      </c>
      <c r="H8" s="18">
        <f>'FS Seychelles'!E9*1000</f>
        <v>5830</v>
      </c>
      <c r="I8" s="18">
        <f>'FS Seychelles'!F9*1000</f>
        <v>1520</v>
      </c>
      <c r="J8" s="18">
        <f>'FS Seychelles'!G9*1000</f>
        <v>3170</v>
      </c>
      <c r="K8" s="18">
        <f>'FS Seychelles'!H9*1000</f>
        <v>2310</v>
      </c>
      <c r="L8" s="18">
        <f>'FS Seychelles'!I9*1000</f>
        <v>1410</v>
      </c>
      <c r="M8" s="18">
        <f>'FS Seychelles'!J9*1000</f>
        <v>1970</v>
      </c>
      <c r="N8" s="18">
        <f>'FS Seychelles'!K9*1000</f>
        <v>3860</v>
      </c>
      <c r="O8" s="18">
        <f>'FS Seychelles'!L9</f>
        <v>9731</v>
      </c>
      <c r="P8" s="18">
        <f>'FS Seychelles'!M9</f>
        <v>10311</v>
      </c>
      <c r="Q8" s="18">
        <f>'FS Seychelles'!N9</f>
        <v>4653</v>
      </c>
      <c r="R8" s="18">
        <f>'FS Seychelles'!O9</f>
        <v>6379</v>
      </c>
      <c r="S8" s="18">
        <f>'FS Seychelles'!P9</f>
        <v>0</v>
      </c>
      <c r="T8" s="18">
        <f>'FS Seychelles'!Q9</f>
        <v>8543</v>
      </c>
      <c r="U8" s="18">
        <f>'FS Seychelles'!R9</f>
        <v>109</v>
      </c>
      <c r="V8" s="18">
        <f>'FS Seychelles'!S9</f>
        <v>56</v>
      </c>
      <c r="W8" s="18">
        <f>'FS Seychelles'!T9</f>
        <v>74</v>
      </c>
      <c r="X8" s="18">
        <f>'FS Seychelles'!U9</f>
        <v>287</v>
      </c>
      <c r="Y8" s="18">
        <f>'FS Seychelles'!V9</f>
        <v>78</v>
      </c>
      <c r="Z8" s="18">
        <f>'FS Seychelles'!W9</f>
        <v>158</v>
      </c>
      <c r="AA8" s="18">
        <f>'FS Seychelles'!X9</f>
        <v>0</v>
      </c>
      <c r="AB8" s="18">
        <f>('FS Seychelles'!$AB$15+'FS Seychelles'!$AB$9)/30</f>
        <v>375.23333333333335</v>
      </c>
    </row>
    <row r="9" spans="1:28" x14ac:dyDescent="0.25">
      <c r="A9" s="1" t="s">
        <v>33</v>
      </c>
      <c r="B9" s="11">
        <f t="shared" si="0"/>
        <v>8</v>
      </c>
      <c r="C9" s="11">
        <v>9</v>
      </c>
      <c r="D9" s="11">
        <v>2019</v>
      </c>
      <c r="E9" s="18">
        <f>'FS Seychelles'!B10</f>
        <v>63.77</v>
      </c>
      <c r="F9" s="18">
        <f>'FS Seychelles'!C10*1000</f>
        <v>3610</v>
      </c>
      <c r="G9" s="18">
        <f>'FS Seychelles'!D10*1000</f>
        <v>5790</v>
      </c>
      <c r="H9" s="18">
        <f>'FS Seychelles'!E10*1000</f>
        <v>5740</v>
      </c>
      <c r="I9" s="18">
        <f>'FS Seychelles'!F10*1000</f>
        <v>1400</v>
      </c>
      <c r="J9" s="18">
        <f>'FS Seychelles'!G10*1000</f>
        <v>3150</v>
      </c>
      <c r="K9" s="18">
        <f>'FS Seychelles'!H10*1000</f>
        <v>2230</v>
      </c>
      <c r="L9" s="18">
        <f>'FS Seychelles'!I10*1000</f>
        <v>1450</v>
      </c>
      <c r="M9" s="18">
        <f>'FS Seychelles'!J10*1000</f>
        <v>1720</v>
      </c>
      <c r="N9" s="18">
        <f>'FS Seychelles'!K10*1000</f>
        <v>3870</v>
      </c>
      <c r="O9" s="18">
        <f>'FS Seychelles'!L10</f>
        <v>9014</v>
      </c>
      <c r="P9" s="18">
        <f>'FS Seychelles'!M10</f>
        <v>14912</v>
      </c>
      <c r="Q9" s="18">
        <f>'FS Seychelles'!N10</f>
        <v>6376</v>
      </c>
      <c r="R9" s="18">
        <f>'FS Seychelles'!O10</f>
        <v>0</v>
      </c>
      <c r="S9" s="18">
        <f>'FS Seychelles'!P10</f>
        <v>0</v>
      </c>
      <c r="T9" s="18">
        <f>'FS Seychelles'!Q10</f>
        <v>8431</v>
      </c>
      <c r="U9" s="18">
        <f>'FS Seychelles'!R10</f>
        <v>105</v>
      </c>
      <c r="V9" s="18">
        <f>'FS Seychelles'!S10</f>
        <v>32</v>
      </c>
      <c r="W9" s="18">
        <f>'FS Seychelles'!T10</f>
        <v>70</v>
      </c>
      <c r="X9" s="18">
        <f>'FS Seychelles'!U10</f>
        <v>285</v>
      </c>
      <c r="Y9" s="18">
        <f>'FS Seychelles'!V10</f>
        <v>81</v>
      </c>
      <c r="Z9" s="18">
        <f>'FS Seychelles'!W10</f>
        <v>140</v>
      </c>
      <c r="AA9" s="18">
        <f>'FS Seychelles'!X10</f>
        <v>0</v>
      </c>
      <c r="AB9" s="18">
        <f>('FS Seychelles'!$AB$15+'FS Seychelles'!$AB$9)/30</f>
        <v>375.23333333333335</v>
      </c>
    </row>
    <row r="10" spans="1:28" x14ac:dyDescent="0.25">
      <c r="A10" s="1" t="s">
        <v>33</v>
      </c>
      <c r="B10" s="11">
        <f t="shared" si="0"/>
        <v>9</v>
      </c>
      <c r="C10" s="11">
        <v>9</v>
      </c>
      <c r="D10" s="11">
        <v>2019</v>
      </c>
      <c r="E10" s="18">
        <f>'FS Seychelles'!B11</f>
        <v>84.93</v>
      </c>
      <c r="F10" s="18">
        <f>'FS Seychelles'!C11*1000</f>
        <v>3580</v>
      </c>
      <c r="G10" s="18">
        <f>'FS Seychelles'!D11*1000</f>
        <v>5220</v>
      </c>
      <c r="H10" s="18">
        <f>'FS Seychelles'!E11*1000</f>
        <v>5550</v>
      </c>
      <c r="I10" s="18">
        <f>'FS Seychelles'!F11*1000</f>
        <v>1310</v>
      </c>
      <c r="J10" s="18">
        <f>'FS Seychelles'!G11*1000</f>
        <v>2520</v>
      </c>
      <c r="K10" s="18">
        <f>'FS Seychelles'!H11*1000</f>
        <v>2029.9999999999998</v>
      </c>
      <c r="L10" s="18">
        <f>'FS Seychelles'!I11*1000</f>
        <v>1400</v>
      </c>
      <c r="M10" s="18">
        <f>'FS Seychelles'!J11*1000</f>
        <v>1670</v>
      </c>
      <c r="N10" s="18">
        <f>'FS Seychelles'!K11*1000</f>
        <v>3710</v>
      </c>
      <c r="O10" s="18">
        <f>'FS Seychelles'!L11</f>
        <v>831</v>
      </c>
      <c r="P10" s="18">
        <f>'FS Seychelles'!M11</f>
        <v>4411</v>
      </c>
      <c r="Q10" s="18">
        <f>'FS Seychelles'!N11</f>
        <v>12516</v>
      </c>
      <c r="R10" s="18">
        <f>'FS Seychelles'!O11</f>
        <v>9762</v>
      </c>
      <c r="S10" s="18">
        <f>'FS Seychelles'!P11</f>
        <v>0</v>
      </c>
      <c r="T10" s="18">
        <f>'FS Seychelles'!Q11</f>
        <v>7944</v>
      </c>
      <c r="U10" s="18">
        <f>'FS Seychelles'!R11</f>
        <v>113</v>
      </c>
      <c r="V10" s="18">
        <f>'FS Seychelles'!S11</f>
        <v>58</v>
      </c>
      <c r="W10" s="18">
        <f>'FS Seychelles'!T11</f>
        <v>70</v>
      </c>
      <c r="X10" s="18">
        <f>'FS Seychelles'!U11</f>
        <v>266</v>
      </c>
      <c r="Y10" s="18">
        <f>'FS Seychelles'!V11</f>
        <v>65</v>
      </c>
      <c r="Z10" s="18">
        <f>'FS Seychelles'!W11</f>
        <v>151</v>
      </c>
      <c r="AA10" s="18">
        <f>'FS Seychelles'!X11</f>
        <v>0</v>
      </c>
      <c r="AB10" s="18">
        <f>('FS Seychelles'!$AB$15+'FS Seychelles'!$AB$9)/30</f>
        <v>375.23333333333335</v>
      </c>
    </row>
    <row r="11" spans="1:28" x14ac:dyDescent="0.25">
      <c r="A11" s="1" t="s">
        <v>33</v>
      </c>
      <c r="B11" s="11">
        <f t="shared" si="0"/>
        <v>10</v>
      </c>
      <c r="C11" s="11">
        <v>9</v>
      </c>
      <c r="D11" s="11">
        <v>2019</v>
      </c>
      <c r="E11" s="18">
        <f>'FS Seychelles'!B12</f>
        <v>81.94</v>
      </c>
      <c r="F11" s="18">
        <f>'FS Seychelles'!C12*1000</f>
        <v>3130</v>
      </c>
      <c r="G11" s="18">
        <f>'FS Seychelles'!D12*1000</f>
        <v>5180</v>
      </c>
      <c r="H11" s="18">
        <f>'FS Seychelles'!E12*1000</f>
        <v>5450</v>
      </c>
      <c r="I11" s="18">
        <f>'FS Seychelles'!F12*1000</f>
        <v>1380</v>
      </c>
      <c r="J11" s="18">
        <f>'FS Seychelles'!G12*1000</f>
        <v>1870</v>
      </c>
      <c r="K11" s="18">
        <f>'FS Seychelles'!H12*1000</f>
        <v>2220</v>
      </c>
      <c r="L11" s="18">
        <f>'FS Seychelles'!I12*1000</f>
        <v>1310</v>
      </c>
      <c r="M11" s="18">
        <f>'FS Seychelles'!J12*1000</f>
        <v>1790</v>
      </c>
      <c r="N11" s="18">
        <f>'FS Seychelles'!K12*1000</f>
        <v>3530</v>
      </c>
      <c r="O11" s="18">
        <f>'FS Seychelles'!L12</f>
        <v>9605</v>
      </c>
      <c r="P11" s="18">
        <f>'FS Seychelles'!M12</f>
        <v>3850</v>
      </c>
      <c r="Q11" s="18">
        <f>'FS Seychelles'!N12</f>
        <v>7756</v>
      </c>
      <c r="R11" s="18">
        <f>'FS Seychelles'!O12</f>
        <v>8557</v>
      </c>
      <c r="S11" s="18">
        <f>'FS Seychelles'!P12</f>
        <v>0</v>
      </c>
      <c r="T11" s="18">
        <f>'FS Seychelles'!Q12</f>
        <v>7607</v>
      </c>
      <c r="U11" s="18">
        <f>'FS Seychelles'!R12</f>
        <v>105</v>
      </c>
      <c r="V11" s="18">
        <f>'FS Seychelles'!S12</f>
        <v>17</v>
      </c>
      <c r="W11" s="18">
        <f>'FS Seychelles'!T12</f>
        <v>77</v>
      </c>
      <c r="X11" s="18">
        <f>'FS Seychelles'!U12</f>
        <v>275</v>
      </c>
      <c r="Y11" s="18">
        <f>'FS Seychelles'!V12</f>
        <v>74</v>
      </c>
      <c r="Z11" s="18">
        <f>'FS Seychelles'!W12</f>
        <v>136</v>
      </c>
      <c r="AA11" s="18">
        <f>'FS Seychelles'!X12</f>
        <v>0</v>
      </c>
      <c r="AB11" s="18">
        <f>('FS Seychelles'!$AB$15+'FS Seychelles'!$AB$9)/30</f>
        <v>375.23333333333335</v>
      </c>
    </row>
    <row r="12" spans="1:28" x14ac:dyDescent="0.25">
      <c r="A12" s="1" t="s">
        <v>33</v>
      </c>
      <c r="B12" s="11">
        <f t="shared" si="0"/>
        <v>11</v>
      </c>
      <c r="C12" s="11">
        <v>9</v>
      </c>
      <c r="D12" s="11">
        <v>2019</v>
      </c>
      <c r="E12" s="18">
        <f>'FS Seychelles'!B13</f>
        <v>66.319999999999993</v>
      </c>
      <c r="F12" s="18">
        <f>'FS Seychelles'!C13*1000</f>
        <v>3540</v>
      </c>
      <c r="G12" s="18">
        <f>'FS Seychelles'!D13*1000</f>
        <v>5710</v>
      </c>
      <c r="H12" s="18">
        <f>'FS Seychelles'!E13*1000</f>
        <v>5930</v>
      </c>
      <c r="I12" s="18">
        <f>'FS Seychelles'!F13*1000</f>
        <v>1820</v>
      </c>
      <c r="J12" s="18">
        <f>'FS Seychelles'!G13*1000</f>
        <v>2040</v>
      </c>
      <c r="K12" s="18">
        <f>'FS Seychelles'!H13*1000</f>
        <v>2700</v>
      </c>
      <c r="L12" s="18">
        <f>'FS Seychelles'!I13*1000</f>
        <v>1260</v>
      </c>
      <c r="M12" s="18">
        <f>'FS Seychelles'!J13*1000</f>
        <v>1710</v>
      </c>
      <c r="N12" s="18">
        <f>'FS Seychelles'!K13*1000</f>
        <v>3710</v>
      </c>
      <c r="O12" s="18">
        <f>'FS Seychelles'!L13</f>
        <v>9463</v>
      </c>
      <c r="P12" s="18">
        <f>'FS Seychelles'!M13</f>
        <v>8071</v>
      </c>
      <c r="Q12" s="18">
        <f>'FS Seychelles'!N13</f>
        <v>5209</v>
      </c>
      <c r="R12" s="18">
        <f>'FS Seychelles'!O13</f>
        <v>5115</v>
      </c>
      <c r="S12" s="18">
        <f>'FS Seychelles'!P13</f>
        <v>0</v>
      </c>
      <c r="T12" s="18">
        <f>'FS Seychelles'!Q13</f>
        <v>8633</v>
      </c>
      <c r="U12" s="18">
        <f>'FS Seychelles'!R13</f>
        <v>113</v>
      </c>
      <c r="V12" s="18">
        <f>'FS Seychelles'!S13</f>
        <v>19</v>
      </c>
      <c r="W12" s="18">
        <f>'FS Seychelles'!T13</f>
        <v>83</v>
      </c>
      <c r="X12" s="18">
        <f>'FS Seychelles'!U13</f>
        <v>264</v>
      </c>
      <c r="Y12" s="18">
        <f>'FS Seychelles'!V13</f>
        <v>65</v>
      </c>
      <c r="Z12" s="18">
        <f>'FS Seychelles'!W13</f>
        <v>149</v>
      </c>
      <c r="AA12" s="18">
        <f>'FS Seychelles'!X13</f>
        <v>0</v>
      </c>
      <c r="AB12" s="18">
        <f>('FS Seychelles'!$AB$15+'FS Seychelles'!$AB$9)/30</f>
        <v>375.23333333333335</v>
      </c>
    </row>
    <row r="13" spans="1:28" x14ac:dyDescent="0.25">
      <c r="A13" s="1" t="s">
        <v>33</v>
      </c>
      <c r="B13" s="11">
        <f t="shared" si="0"/>
        <v>12</v>
      </c>
      <c r="C13" s="11">
        <v>9</v>
      </c>
      <c r="D13" s="11">
        <v>2019</v>
      </c>
      <c r="E13" s="18">
        <f>'FS Seychelles'!B14</f>
        <v>63.16</v>
      </c>
      <c r="F13" s="18">
        <f>'FS Seychelles'!C14*1000</f>
        <v>3770</v>
      </c>
      <c r="G13" s="18">
        <f>'FS Seychelles'!D14*1000</f>
        <v>5790</v>
      </c>
      <c r="H13" s="18">
        <f>'FS Seychelles'!E14*1000</f>
        <v>6000</v>
      </c>
      <c r="I13" s="18">
        <f>'FS Seychelles'!F14*1000</f>
        <v>2240</v>
      </c>
      <c r="J13" s="18">
        <f>'FS Seychelles'!G14*1000</f>
        <v>2750</v>
      </c>
      <c r="K13" s="18">
        <f>'FS Seychelles'!H14*1000</f>
        <v>2400</v>
      </c>
      <c r="L13" s="18">
        <f>'FS Seychelles'!I14*1000</f>
        <v>1400</v>
      </c>
      <c r="M13" s="18">
        <f>'FS Seychelles'!J14*1000</f>
        <v>1890</v>
      </c>
      <c r="N13" s="18">
        <f>'FS Seychelles'!K14*1000</f>
        <v>3920</v>
      </c>
      <c r="O13" s="18">
        <f>'FS Seychelles'!L14</f>
        <v>0</v>
      </c>
      <c r="P13" s="18">
        <f>'FS Seychelles'!M14</f>
        <v>12368</v>
      </c>
      <c r="Q13" s="18">
        <f>'FS Seychelles'!N14</f>
        <v>11147</v>
      </c>
      <c r="R13" s="18">
        <f>'FS Seychelles'!O14</f>
        <v>7085</v>
      </c>
      <c r="S13" s="18">
        <f>'FS Seychelles'!P14</f>
        <v>0</v>
      </c>
      <c r="T13" s="18">
        <f>'FS Seychelles'!Q14</f>
        <v>8916</v>
      </c>
      <c r="U13" s="18">
        <f>'FS Seychelles'!R14</f>
        <v>105</v>
      </c>
      <c r="V13" s="18">
        <f>'FS Seychelles'!S14</f>
        <v>39</v>
      </c>
      <c r="W13" s="18">
        <f>'FS Seychelles'!T14</f>
        <v>80</v>
      </c>
      <c r="X13" s="18">
        <f>'FS Seychelles'!U14</f>
        <v>270</v>
      </c>
      <c r="Y13" s="18">
        <f>'FS Seychelles'!V14</f>
        <v>70</v>
      </c>
      <c r="Z13" s="18">
        <f>'FS Seychelles'!W14</f>
        <v>143</v>
      </c>
      <c r="AA13" s="18">
        <f>'FS Seychelles'!X14</f>
        <v>0</v>
      </c>
      <c r="AB13" s="18">
        <f>('FS Seychelles'!$AB$15+'FS Seychelles'!$AB$9)/30</f>
        <v>375.23333333333335</v>
      </c>
    </row>
    <row r="14" spans="1:28" x14ac:dyDescent="0.25">
      <c r="A14" s="1" t="s">
        <v>33</v>
      </c>
      <c r="B14" s="11">
        <f t="shared" si="0"/>
        <v>13</v>
      </c>
      <c r="C14" s="11">
        <v>9</v>
      </c>
      <c r="D14" s="11">
        <v>2019</v>
      </c>
      <c r="E14" s="18">
        <f>'FS Seychelles'!B15</f>
        <v>68.430000000000007</v>
      </c>
      <c r="F14" s="18">
        <f>'FS Seychelles'!C15*1000</f>
        <v>3810</v>
      </c>
      <c r="G14" s="18">
        <f>'FS Seychelles'!D15*1000</f>
        <v>5850</v>
      </c>
      <c r="H14" s="18">
        <f>'FS Seychelles'!E15*1000</f>
        <v>5990</v>
      </c>
      <c r="I14" s="18">
        <f>'FS Seychelles'!F15*1000</f>
        <v>2190</v>
      </c>
      <c r="J14" s="18">
        <f>'FS Seychelles'!G15*1000</f>
        <v>2240</v>
      </c>
      <c r="K14" s="18">
        <f>'FS Seychelles'!H15*1000</f>
        <v>2080</v>
      </c>
      <c r="L14" s="18">
        <f>'FS Seychelles'!I15*1000</f>
        <v>1370</v>
      </c>
      <c r="M14" s="18">
        <f>'FS Seychelles'!J15*1000</f>
        <v>1790</v>
      </c>
      <c r="N14" s="18">
        <f>'FS Seychelles'!K15*1000</f>
        <v>3840</v>
      </c>
      <c r="O14" s="18">
        <f>'FS Seychelles'!L15</f>
        <v>13031</v>
      </c>
      <c r="P14" s="18">
        <f>'FS Seychelles'!M15</f>
        <v>5493</v>
      </c>
      <c r="Q14" s="18">
        <f>'FS Seychelles'!N15</f>
        <v>0</v>
      </c>
      <c r="R14" s="18">
        <f>'FS Seychelles'!O15</f>
        <v>13473</v>
      </c>
      <c r="S14" s="18">
        <f>'FS Seychelles'!P15</f>
        <v>0</v>
      </c>
      <c r="T14" s="18">
        <f>'FS Seychelles'!Q15</f>
        <v>9214</v>
      </c>
      <c r="U14" s="18">
        <f>'FS Seychelles'!R15</f>
        <v>106</v>
      </c>
      <c r="V14" s="18">
        <f>'FS Seychelles'!S15</f>
        <v>53</v>
      </c>
      <c r="W14" s="18">
        <f>'FS Seychelles'!T15</f>
        <v>84</v>
      </c>
      <c r="X14" s="18">
        <f>'FS Seychelles'!U15</f>
        <v>274</v>
      </c>
      <c r="Y14" s="18">
        <f>'FS Seychelles'!V15</f>
        <v>77</v>
      </c>
      <c r="Z14" s="18">
        <f>'FS Seychelles'!W15</f>
        <v>141</v>
      </c>
      <c r="AA14" s="18">
        <f>'FS Seychelles'!X15</f>
        <v>0</v>
      </c>
      <c r="AB14" s="18">
        <f>('FS Seychelles'!$AB$15+'FS Seychelles'!$AB$9)/30</f>
        <v>375.23333333333335</v>
      </c>
    </row>
    <row r="15" spans="1:28" x14ac:dyDescent="0.25">
      <c r="A15" s="1" t="s">
        <v>33</v>
      </c>
      <c r="B15" s="11">
        <f t="shared" si="0"/>
        <v>14</v>
      </c>
      <c r="C15" s="11">
        <v>9</v>
      </c>
      <c r="D15" s="11">
        <v>2019</v>
      </c>
      <c r="E15" s="18">
        <f>'FS Seychelles'!B16</f>
        <v>87.67</v>
      </c>
      <c r="F15" s="18">
        <f>'FS Seychelles'!C16*1000</f>
        <v>3730</v>
      </c>
      <c r="G15" s="18">
        <f>'FS Seychelles'!D16*1000</f>
        <v>5970</v>
      </c>
      <c r="H15" s="18">
        <f>'FS Seychelles'!E16*1000</f>
        <v>5820</v>
      </c>
      <c r="I15" s="18">
        <f>'FS Seychelles'!F16*1000</f>
        <v>2000</v>
      </c>
      <c r="J15" s="18">
        <f>'FS Seychelles'!G16*1000</f>
        <v>2530</v>
      </c>
      <c r="K15" s="18">
        <f>'FS Seychelles'!H16*1000</f>
        <v>2570</v>
      </c>
      <c r="L15" s="18">
        <f>'FS Seychelles'!I16*1000</f>
        <v>1420</v>
      </c>
      <c r="M15" s="18">
        <f>'FS Seychelles'!J16*1000</f>
        <v>1950</v>
      </c>
      <c r="N15" s="18">
        <f>'FS Seychelles'!K16*1000</f>
        <v>3880</v>
      </c>
      <c r="O15" s="18">
        <f>'FS Seychelles'!L16</f>
        <v>0</v>
      </c>
      <c r="P15" s="18">
        <f>'FS Seychelles'!M16</f>
        <v>13883</v>
      </c>
      <c r="Q15" s="18">
        <f>'FS Seychelles'!N16</f>
        <v>8501</v>
      </c>
      <c r="R15" s="18">
        <f>'FS Seychelles'!O16</f>
        <v>9133</v>
      </c>
      <c r="S15" s="18">
        <f>'FS Seychelles'!P16</f>
        <v>0</v>
      </c>
      <c r="T15" s="18">
        <f>'FS Seychelles'!Q17</f>
        <v>8930</v>
      </c>
      <c r="U15" s="18">
        <f>'FS Seychelles'!R16</f>
        <v>122</v>
      </c>
      <c r="V15" s="18">
        <f>'FS Seychelles'!S16</f>
        <v>38</v>
      </c>
      <c r="W15" s="18">
        <f>'FS Seychelles'!T16</f>
        <v>102</v>
      </c>
      <c r="X15" s="18">
        <f>'FS Seychelles'!U16</f>
        <v>303</v>
      </c>
      <c r="Y15" s="18">
        <f>'FS Seychelles'!V16</f>
        <v>72</v>
      </c>
      <c r="Z15" s="18">
        <f>'FS Seychelles'!W16</f>
        <v>155</v>
      </c>
      <c r="AA15" s="18">
        <f>'FS Seychelles'!X16</f>
        <v>0</v>
      </c>
      <c r="AB15" s="18">
        <f>('FS Seychelles'!$AB$15+'FS Seychelles'!$AB$9)/30</f>
        <v>375.23333333333335</v>
      </c>
    </row>
    <row r="16" spans="1:28" x14ac:dyDescent="0.25">
      <c r="A16" s="1" t="s">
        <v>33</v>
      </c>
      <c r="B16" s="11">
        <f t="shared" si="0"/>
        <v>15</v>
      </c>
      <c r="C16" s="11">
        <v>9</v>
      </c>
      <c r="D16" s="11">
        <v>2019</v>
      </c>
      <c r="E16" s="18">
        <f>'FS Seychelles'!B17</f>
        <v>87.67</v>
      </c>
      <c r="F16" s="18">
        <f>'FS Seychelles'!C17*1000</f>
        <v>4030.0000000000005</v>
      </c>
      <c r="G16" s="18">
        <f>'FS Seychelles'!D17*1000</f>
        <v>5850</v>
      </c>
      <c r="H16" s="18">
        <f>'FS Seychelles'!E17*1000</f>
        <v>5930</v>
      </c>
      <c r="I16" s="18">
        <f>'FS Seychelles'!F17*1000</f>
        <v>1970</v>
      </c>
      <c r="J16" s="18">
        <f>'FS Seychelles'!G17*1000</f>
        <v>2690</v>
      </c>
      <c r="K16" s="18">
        <f>'FS Seychelles'!H17*1000</f>
        <v>2710</v>
      </c>
      <c r="L16" s="18">
        <f>'FS Seychelles'!I17*1000</f>
        <v>1420</v>
      </c>
      <c r="M16" s="18">
        <f>'FS Seychelles'!J17*1000</f>
        <v>1780</v>
      </c>
      <c r="N16" s="18">
        <f>'FS Seychelles'!K17*1000</f>
        <v>3960</v>
      </c>
      <c r="O16" s="18">
        <f>'FS Seychelles'!L17</f>
        <v>8598</v>
      </c>
      <c r="P16" s="18">
        <f>'FS Seychelles'!M17</f>
        <v>9281</v>
      </c>
      <c r="Q16" s="18">
        <f>'FS Seychelles'!N17</f>
        <v>3849</v>
      </c>
      <c r="R16" s="18">
        <f>'FS Seychelles'!O17</f>
        <v>8212</v>
      </c>
      <c r="S16" s="18">
        <f>'FS Seychelles'!P17</f>
        <v>0</v>
      </c>
      <c r="T16" s="18">
        <f>'FS Seychelles'!Q18</f>
        <v>9041</v>
      </c>
      <c r="U16" s="18">
        <f>'FS Seychelles'!R17</f>
        <v>108</v>
      </c>
      <c r="V16" s="18">
        <f>'FS Seychelles'!S17</f>
        <v>39</v>
      </c>
      <c r="W16" s="18">
        <f>'FS Seychelles'!T17</f>
        <v>79</v>
      </c>
      <c r="X16" s="18">
        <f>'FS Seychelles'!U17</f>
        <v>340</v>
      </c>
      <c r="Y16" s="18">
        <f>'FS Seychelles'!V17</f>
        <v>79</v>
      </c>
      <c r="Z16" s="18">
        <f>'FS Seychelles'!W17</f>
        <v>128</v>
      </c>
      <c r="AA16" s="18">
        <f>'FS Seychelles'!X17</f>
        <v>0</v>
      </c>
      <c r="AB16" s="18">
        <f>('FS Seychelles'!$AB$15+'FS Seychelles'!$AB$9)/30</f>
        <v>375.23333333333335</v>
      </c>
    </row>
    <row r="17" spans="1:28" x14ac:dyDescent="0.25">
      <c r="A17" s="1" t="s">
        <v>33</v>
      </c>
      <c r="B17" s="11">
        <f t="shared" si="0"/>
        <v>16</v>
      </c>
      <c r="C17" s="11">
        <v>9</v>
      </c>
      <c r="D17" s="11">
        <v>2019</v>
      </c>
      <c r="E17" s="18">
        <f>'FS Seychelles'!B18</f>
        <v>87.67</v>
      </c>
      <c r="F17" s="18">
        <f>'FS Seychelles'!C18*1000</f>
        <v>3790</v>
      </c>
      <c r="G17" s="18">
        <f>'FS Seychelles'!D18*1000</f>
        <v>5720</v>
      </c>
      <c r="H17" s="18">
        <f>'FS Seychelles'!E18*1000</f>
        <v>6080</v>
      </c>
      <c r="I17" s="18">
        <f>'FS Seychelles'!F18*1000</f>
        <v>1830</v>
      </c>
      <c r="J17" s="18">
        <f>'FS Seychelles'!G18*1000</f>
        <v>2430</v>
      </c>
      <c r="K17" s="18">
        <f>'FS Seychelles'!H18*1000</f>
        <v>2790</v>
      </c>
      <c r="L17" s="18">
        <f>'FS Seychelles'!I18*1000</f>
        <v>1170</v>
      </c>
      <c r="M17" s="18">
        <f>'FS Seychelles'!J18*1000</f>
        <v>1750</v>
      </c>
      <c r="N17" s="18">
        <f>'FS Seychelles'!K18*1000</f>
        <v>3610</v>
      </c>
      <c r="O17" s="18">
        <f>'FS Seychelles'!L18</f>
        <v>10937</v>
      </c>
      <c r="P17" s="18">
        <f>'FS Seychelles'!M18</f>
        <v>7713</v>
      </c>
      <c r="Q17" s="18">
        <f>'FS Seychelles'!N18</f>
        <v>8607</v>
      </c>
      <c r="R17" s="18">
        <f>'FS Seychelles'!O18</f>
        <v>5092</v>
      </c>
      <c r="S17" s="18">
        <f>'FS Seychelles'!P18</f>
        <v>0</v>
      </c>
      <c r="T17" s="18">
        <f>'FS Seychelles'!Q18</f>
        <v>9041</v>
      </c>
      <c r="U17" s="18">
        <f>'FS Seychelles'!R18</f>
        <v>119</v>
      </c>
      <c r="V17" s="18">
        <f>'FS Seychelles'!S18</f>
        <v>27</v>
      </c>
      <c r="W17" s="18">
        <f>'FS Seychelles'!T18</f>
        <v>83</v>
      </c>
      <c r="X17" s="18">
        <f>'FS Seychelles'!U18</f>
        <v>281</v>
      </c>
      <c r="Y17" s="18">
        <f>'FS Seychelles'!V18</f>
        <v>67</v>
      </c>
      <c r="Z17" s="18">
        <f>'FS Seychelles'!W18</f>
        <v>142</v>
      </c>
      <c r="AA17" s="18">
        <f>'FS Seychelles'!X18</f>
        <v>0</v>
      </c>
      <c r="AB17" s="18">
        <f>('FS Seychelles'!$AB$15+'FS Seychelles'!$AB$9)/30</f>
        <v>375.23333333333335</v>
      </c>
    </row>
    <row r="18" spans="1:28" x14ac:dyDescent="0.25">
      <c r="A18" s="1" t="s">
        <v>33</v>
      </c>
      <c r="B18" s="11">
        <f t="shared" si="0"/>
        <v>17</v>
      </c>
      <c r="C18" s="11">
        <v>9</v>
      </c>
      <c r="D18" s="11">
        <v>2019</v>
      </c>
      <c r="E18" s="18">
        <f>'FS Seychelles'!B19</f>
        <v>80.819999999999993</v>
      </c>
      <c r="F18" s="18">
        <f>'FS Seychelles'!C19*1000</f>
        <v>3520</v>
      </c>
      <c r="G18" s="18">
        <f>'FS Seychelles'!D19*1000</f>
        <v>5370</v>
      </c>
      <c r="H18" s="18">
        <f>'FS Seychelles'!E19*1000</f>
        <v>5720</v>
      </c>
      <c r="I18" s="18">
        <f>'FS Seychelles'!F19*1000</f>
        <v>1640</v>
      </c>
      <c r="J18" s="18">
        <f>'FS Seychelles'!G19*1000</f>
        <v>2460</v>
      </c>
      <c r="K18" s="18">
        <f>'FS Seychelles'!H19*1000</f>
        <v>2580</v>
      </c>
      <c r="L18" s="18">
        <f>'FS Seychelles'!I19*1000</f>
        <v>1400</v>
      </c>
      <c r="M18" s="18">
        <f>'FS Seychelles'!J19*1000</f>
        <v>1800</v>
      </c>
      <c r="N18" s="18">
        <f>'FS Seychelles'!K19*1000</f>
        <v>3700</v>
      </c>
      <c r="O18" s="18">
        <f>'FS Seychelles'!L19</f>
        <v>0</v>
      </c>
      <c r="P18" s="18">
        <f>'FS Seychelles'!M19</f>
        <v>14649</v>
      </c>
      <c r="Q18" s="18">
        <f>'FS Seychelles'!N19</f>
        <v>4007</v>
      </c>
      <c r="R18" s="18">
        <f>'FS Seychelles'!O19</f>
        <v>10602</v>
      </c>
      <c r="S18" s="18">
        <f>'FS Seychelles'!P19</f>
        <v>0</v>
      </c>
      <c r="T18" s="18">
        <f>'FS Seychelles'!Q19</f>
        <v>8783</v>
      </c>
      <c r="U18" s="18">
        <f>'FS Seychelles'!R19</f>
        <v>109</v>
      </c>
      <c r="V18" s="18">
        <f>'FS Seychelles'!S19</f>
        <v>39</v>
      </c>
      <c r="W18" s="18">
        <f>'FS Seychelles'!T19</f>
        <v>71</v>
      </c>
      <c r="X18" s="18">
        <f>'FS Seychelles'!U19</f>
        <v>248</v>
      </c>
      <c r="Y18" s="18">
        <f>'FS Seychelles'!V19</f>
        <v>80</v>
      </c>
      <c r="Z18" s="18">
        <f>'FS Seychelles'!W19</f>
        <v>140</v>
      </c>
      <c r="AA18" s="18">
        <f>'FS Seychelles'!X19</f>
        <v>0</v>
      </c>
      <c r="AB18" s="18">
        <f>('FS Seychelles'!$AB$15+'FS Seychelles'!$AB$9)/30</f>
        <v>375.23333333333335</v>
      </c>
    </row>
    <row r="19" spans="1:28" x14ac:dyDescent="0.25">
      <c r="A19" s="1" t="s">
        <v>33</v>
      </c>
      <c r="B19" s="11">
        <f t="shared" si="0"/>
        <v>18</v>
      </c>
      <c r="C19" s="11">
        <v>9</v>
      </c>
      <c r="D19" s="11">
        <v>2019</v>
      </c>
      <c r="E19" s="18">
        <f>'FS Seychelles'!B20</f>
        <v>83.82</v>
      </c>
      <c r="F19" s="18">
        <f>'FS Seychelles'!C20*1000</f>
        <v>3520</v>
      </c>
      <c r="G19" s="18">
        <f>'FS Seychelles'!D20*1000</f>
        <v>5140</v>
      </c>
      <c r="H19" s="18">
        <f>'FS Seychelles'!E20*1000</f>
        <v>5920</v>
      </c>
      <c r="I19" s="18">
        <f>'FS Seychelles'!F20*1000</f>
        <v>1740</v>
      </c>
      <c r="J19" s="18">
        <f>'FS Seychelles'!G20*1000</f>
        <v>2410</v>
      </c>
      <c r="K19" s="18">
        <f>'FS Seychelles'!H20*1000</f>
        <v>2640</v>
      </c>
      <c r="L19" s="18">
        <f>'FS Seychelles'!I20*1000</f>
        <v>1400</v>
      </c>
      <c r="M19" s="18">
        <f>'FS Seychelles'!J20*1000</f>
        <v>1960</v>
      </c>
      <c r="N19" s="18">
        <f>'FS Seychelles'!K20*1000</f>
        <v>3860</v>
      </c>
      <c r="O19" s="18">
        <f>'FS Seychelles'!L20</f>
        <v>12964</v>
      </c>
      <c r="P19" s="18">
        <f>'FS Seychelles'!M20</f>
        <v>4365</v>
      </c>
      <c r="Q19" s="18">
        <f>'FS Seychelles'!N20</f>
        <v>8505</v>
      </c>
      <c r="R19" s="18">
        <f>'FS Seychelles'!O20</f>
        <v>4705</v>
      </c>
      <c r="S19" s="18">
        <f>'FS Seychelles'!P20</f>
        <v>0</v>
      </c>
      <c r="T19" s="18">
        <f>'FS Seychelles'!Q20</f>
        <v>8695</v>
      </c>
      <c r="U19" s="18">
        <f>'FS Seychelles'!R20</f>
        <v>138</v>
      </c>
      <c r="V19" s="18">
        <f>'FS Seychelles'!S20</f>
        <v>34</v>
      </c>
      <c r="W19" s="18">
        <f>'FS Seychelles'!T20</f>
        <v>71</v>
      </c>
      <c r="X19" s="18">
        <f>'FS Seychelles'!U20</f>
        <v>250</v>
      </c>
      <c r="Y19" s="18">
        <f>'FS Seychelles'!V20</f>
        <v>82</v>
      </c>
      <c r="Z19" s="18">
        <f>'FS Seychelles'!W20</f>
        <v>139</v>
      </c>
      <c r="AA19" s="18">
        <f>'FS Seychelles'!X20</f>
        <v>0</v>
      </c>
      <c r="AB19" s="18">
        <f>('FS Seychelles'!$AB$15+'FS Seychelles'!$AB$9)/30</f>
        <v>375.23333333333335</v>
      </c>
    </row>
    <row r="20" spans="1:28" x14ac:dyDescent="0.25">
      <c r="A20" s="1" t="s">
        <v>33</v>
      </c>
      <c r="B20" s="11">
        <f t="shared" si="0"/>
        <v>19</v>
      </c>
      <c r="C20" s="11">
        <v>9</v>
      </c>
      <c r="D20" s="11">
        <v>2019</v>
      </c>
      <c r="E20" s="18">
        <f>'FS Seychelles'!B21</f>
        <v>80.260000000000005</v>
      </c>
      <c r="F20" s="18">
        <f>'FS Seychelles'!C21*1000</f>
        <v>3600</v>
      </c>
      <c r="G20" s="18">
        <f>'FS Seychelles'!D21*1000</f>
        <v>5500</v>
      </c>
      <c r="H20" s="18">
        <f>'FS Seychelles'!E21*1000</f>
        <v>5910</v>
      </c>
      <c r="I20" s="18">
        <f>'FS Seychelles'!F21*1000</f>
        <v>1860</v>
      </c>
      <c r="J20" s="18">
        <f>'FS Seychelles'!G21*1000</f>
        <v>2820</v>
      </c>
      <c r="K20" s="18">
        <f>'FS Seychelles'!H21*1000</f>
        <v>2380</v>
      </c>
      <c r="L20" s="18">
        <f>'FS Seychelles'!I21*1000</f>
        <v>1380</v>
      </c>
      <c r="M20" s="18">
        <f>'FS Seychelles'!J21*1000</f>
        <v>1830</v>
      </c>
      <c r="N20" s="18">
        <f>'FS Seychelles'!K21*1000</f>
        <v>4010</v>
      </c>
      <c r="O20" s="18">
        <f>'FS Seychelles'!L21</f>
        <v>6076</v>
      </c>
      <c r="P20" s="18">
        <f>'FS Seychelles'!M21</f>
        <v>8737</v>
      </c>
      <c r="Q20" s="18">
        <f>'FS Seychelles'!N21</f>
        <v>5446</v>
      </c>
      <c r="R20" s="18">
        <f>'FS Seychelles'!O21</f>
        <v>10124</v>
      </c>
      <c r="S20" s="18">
        <f>'FS Seychelles'!P21</f>
        <v>0</v>
      </c>
      <c r="T20" s="18">
        <f>'FS Seychelles'!Q21</f>
        <v>9143</v>
      </c>
      <c r="U20" s="18">
        <f>'FS Seychelles'!R21</f>
        <v>102</v>
      </c>
      <c r="V20" s="18">
        <f>'FS Seychelles'!S21</f>
        <v>37</v>
      </c>
      <c r="W20" s="18">
        <f>'FS Seychelles'!T21</f>
        <v>82</v>
      </c>
      <c r="X20" s="18">
        <f>'FS Seychelles'!U21</f>
        <v>279</v>
      </c>
      <c r="Y20" s="18">
        <f>'FS Seychelles'!V21</f>
        <v>77</v>
      </c>
      <c r="Z20" s="18">
        <f>'FS Seychelles'!W21</f>
        <v>137</v>
      </c>
      <c r="AA20" s="18">
        <f>'FS Seychelles'!X21</f>
        <v>0</v>
      </c>
      <c r="AB20" s="18">
        <f>('FS Seychelles'!$AB$15+'FS Seychelles'!$AB$9)/30</f>
        <v>375.23333333333335</v>
      </c>
    </row>
    <row r="21" spans="1:28" x14ac:dyDescent="0.25">
      <c r="A21" s="1" t="s">
        <v>33</v>
      </c>
      <c r="B21" s="11">
        <f t="shared" si="0"/>
        <v>20</v>
      </c>
      <c r="C21" s="11">
        <v>9</v>
      </c>
      <c r="D21" s="11">
        <v>2019</v>
      </c>
      <c r="E21" s="18">
        <f>'FS Seychelles'!B22</f>
        <v>66.319999999999993</v>
      </c>
      <c r="F21" s="18">
        <f>'FS Seychelles'!C22*1000</f>
        <v>3770</v>
      </c>
      <c r="G21" s="18">
        <f>'FS Seychelles'!D22*1000</f>
        <v>5350</v>
      </c>
      <c r="H21" s="18">
        <f>'FS Seychelles'!E22*1000</f>
        <v>5850</v>
      </c>
      <c r="I21" s="18">
        <f>'FS Seychelles'!F22*1000</f>
        <v>1710</v>
      </c>
      <c r="J21" s="18">
        <f>'FS Seychelles'!G22*1000</f>
        <v>2460</v>
      </c>
      <c r="K21" s="18">
        <f>'FS Seychelles'!H22*1000</f>
        <v>2580</v>
      </c>
      <c r="L21" s="18">
        <f>'FS Seychelles'!I22*1000</f>
        <v>1340</v>
      </c>
      <c r="M21" s="18">
        <f>'FS Seychelles'!J22*1000</f>
        <v>1820</v>
      </c>
      <c r="N21" s="18">
        <f>'FS Seychelles'!K22*1000</f>
        <v>3750</v>
      </c>
      <c r="O21" s="18">
        <f>'FS Seychelles'!L22</f>
        <v>9292</v>
      </c>
      <c r="P21" s="18">
        <f>'FS Seychelles'!M22</f>
        <v>0</v>
      </c>
      <c r="Q21" s="18">
        <f>'FS Seychelles'!N22</f>
        <v>10761</v>
      </c>
      <c r="R21" s="18">
        <f>'FS Seychelles'!O22</f>
        <v>9326</v>
      </c>
      <c r="S21" s="18">
        <f>'FS Seychelles'!P23</f>
        <v>0</v>
      </c>
      <c r="T21" s="18">
        <f>'FS Seychelles'!Q22</f>
        <v>8841</v>
      </c>
      <c r="U21" s="18">
        <f>'FS Seychelles'!R22</f>
        <v>80</v>
      </c>
      <c r="V21" s="18">
        <f>'FS Seychelles'!S22</f>
        <v>33</v>
      </c>
      <c r="W21" s="18">
        <f>'FS Seychelles'!T22</f>
        <v>70</v>
      </c>
      <c r="X21" s="18">
        <f>'FS Seychelles'!U22</f>
        <v>261</v>
      </c>
      <c r="Y21" s="18">
        <f>'FS Seychelles'!V22</f>
        <v>66</v>
      </c>
      <c r="Z21" s="18">
        <f>'FS Seychelles'!W22</f>
        <v>90</v>
      </c>
      <c r="AA21" s="18">
        <f>'FS Seychelles'!X22</f>
        <v>0</v>
      </c>
      <c r="AB21" s="18">
        <f>('FS Seychelles'!$AB$15+'FS Seychelles'!$AB$9)/30</f>
        <v>375.23333333333335</v>
      </c>
    </row>
    <row r="22" spans="1:28" x14ac:dyDescent="0.25">
      <c r="A22" s="1" t="s">
        <v>33</v>
      </c>
      <c r="B22" s="11">
        <f t="shared" si="0"/>
        <v>21</v>
      </c>
      <c r="C22" s="11">
        <v>9</v>
      </c>
      <c r="D22" s="11">
        <v>2019</v>
      </c>
      <c r="E22" s="18">
        <f>'FS Seychelles'!B23</f>
        <v>67.37</v>
      </c>
      <c r="F22" s="18">
        <f>'FS Seychelles'!C23*1000</f>
        <v>3950</v>
      </c>
      <c r="G22" s="18">
        <f>'FS Seychelles'!D23*1000</f>
        <v>5360</v>
      </c>
      <c r="H22" s="18">
        <f>'FS Seychelles'!E23*1000</f>
        <v>5910</v>
      </c>
      <c r="I22" s="18">
        <f>'FS Seychelles'!F23*1000</f>
        <v>1770</v>
      </c>
      <c r="J22" s="18">
        <f>'FS Seychelles'!G23*1000</f>
        <v>2560</v>
      </c>
      <c r="K22" s="18">
        <f>'FS Seychelles'!H23*1000</f>
        <v>2310</v>
      </c>
      <c r="L22" s="18">
        <f>'FS Seychelles'!I23*1000</f>
        <v>1310</v>
      </c>
      <c r="M22" s="18">
        <f>'FS Seychelles'!J23*1000</f>
        <v>1940</v>
      </c>
      <c r="N22" s="18">
        <f>'FS Seychelles'!K23*1000</f>
        <v>3840</v>
      </c>
      <c r="O22" s="18">
        <f>'FS Seychelles'!L23</f>
        <v>4903</v>
      </c>
      <c r="P22" s="18">
        <f>'FS Seychelles'!M23</f>
        <v>8674</v>
      </c>
      <c r="Q22" s="18">
        <f>'FS Seychelles'!N23</f>
        <v>8892</v>
      </c>
      <c r="R22" s="18">
        <f>'FS Seychelles'!O23</f>
        <v>7314</v>
      </c>
      <c r="S22" s="18">
        <f>'FS Seychelles'!P24</f>
        <v>0</v>
      </c>
      <c r="T22" s="18">
        <f>'FS Seychelles'!Q23</f>
        <v>9070</v>
      </c>
      <c r="U22" s="18">
        <f>'FS Seychelles'!R23</f>
        <v>83</v>
      </c>
      <c r="V22" s="18">
        <f>'FS Seychelles'!S23</f>
        <v>43</v>
      </c>
      <c r="W22" s="18">
        <f>'FS Seychelles'!T23</f>
        <v>75</v>
      </c>
      <c r="X22" s="18">
        <f>'FS Seychelles'!U23</f>
        <v>260</v>
      </c>
      <c r="Y22" s="18">
        <f>'FS Seychelles'!V23</f>
        <v>71</v>
      </c>
      <c r="Z22" s="18">
        <f>'FS Seychelles'!W23</f>
        <v>116</v>
      </c>
      <c r="AA22" s="18">
        <f>'FS Seychelles'!X23</f>
        <v>0</v>
      </c>
      <c r="AB22" s="18">
        <f>('FS Seychelles'!$AB$15+'FS Seychelles'!$AB$9)/30</f>
        <v>375.23333333333335</v>
      </c>
    </row>
    <row r="23" spans="1:28" x14ac:dyDescent="0.25">
      <c r="A23" s="1" t="s">
        <v>33</v>
      </c>
      <c r="B23" s="11">
        <f t="shared" si="0"/>
        <v>22</v>
      </c>
      <c r="C23" s="11">
        <v>9</v>
      </c>
      <c r="D23" s="11">
        <v>2019</v>
      </c>
      <c r="E23" s="18">
        <f>'FS Seychelles'!B24</f>
        <v>65.260000000000005</v>
      </c>
      <c r="F23" s="18">
        <f>'FS Seychelles'!C24*1000</f>
        <v>4190</v>
      </c>
      <c r="G23" s="18">
        <f>'FS Seychelles'!D24*1000</f>
        <v>5820</v>
      </c>
      <c r="H23" s="18">
        <f>'FS Seychelles'!E24*1000</f>
        <v>5760</v>
      </c>
      <c r="I23" s="18">
        <f>'FS Seychelles'!F24*1000</f>
        <v>1640</v>
      </c>
      <c r="J23" s="18">
        <f>'FS Seychelles'!G24*1000</f>
        <v>2700</v>
      </c>
      <c r="K23" s="18">
        <f>'FS Seychelles'!H24*1000</f>
        <v>2480</v>
      </c>
      <c r="L23" s="18">
        <f>'FS Seychelles'!I24*1000</f>
        <v>1390</v>
      </c>
      <c r="M23" s="18">
        <f>'FS Seychelles'!J24*1000</f>
        <v>1760</v>
      </c>
      <c r="N23" s="18">
        <f>'FS Seychelles'!K24*1000</f>
        <v>3970</v>
      </c>
      <c r="O23" s="18">
        <f>'FS Seychelles'!L24</f>
        <v>6826</v>
      </c>
      <c r="P23" s="18">
        <f>'FS Seychelles'!M24</f>
        <v>13927</v>
      </c>
      <c r="Q23" s="18">
        <f>'FS Seychelles'!N24</f>
        <v>9225</v>
      </c>
      <c r="R23" s="18">
        <f>'FS Seychelles'!O24</f>
        <v>1175</v>
      </c>
      <c r="S23" s="18">
        <f>'FS Seychelles'!P25</f>
        <v>604</v>
      </c>
      <c r="T23" s="18">
        <f>'FS Seychelles'!Q24</f>
        <v>8776</v>
      </c>
      <c r="U23" s="18">
        <f>'FS Seychelles'!R24</f>
        <v>82</v>
      </c>
      <c r="V23" s="18">
        <f>'FS Seychelles'!S24</f>
        <v>36</v>
      </c>
      <c r="W23" s="18">
        <f>'FS Seychelles'!T24</f>
        <v>73</v>
      </c>
      <c r="X23" s="18">
        <f>'FS Seychelles'!U24</f>
        <v>254</v>
      </c>
      <c r="Y23" s="18">
        <f>'FS Seychelles'!V24</f>
        <v>86</v>
      </c>
      <c r="Z23" s="18">
        <f>'FS Seychelles'!W24</f>
        <v>181</v>
      </c>
      <c r="AA23" s="18">
        <f>'FS Seychelles'!X24</f>
        <v>0</v>
      </c>
      <c r="AB23" s="18">
        <f>('FS Seychelles'!$AB$15+'FS Seychelles'!$AB$9)/30</f>
        <v>375.23333333333335</v>
      </c>
    </row>
    <row r="24" spans="1:28" x14ac:dyDescent="0.25">
      <c r="A24" s="1" t="s">
        <v>33</v>
      </c>
      <c r="B24" s="11">
        <f t="shared" si="0"/>
        <v>23</v>
      </c>
      <c r="C24" s="11">
        <v>9</v>
      </c>
      <c r="D24" s="11">
        <v>2019</v>
      </c>
      <c r="E24" s="18">
        <f>'FS Seychelles'!B25</f>
        <v>71.58</v>
      </c>
      <c r="F24" s="18">
        <f>'FS Seychelles'!C25*1000</f>
        <v>4070.0000000000005</v>
      </c>
      <c r="G24" s="18">
        <f>'FS Seychelles'!D25*1000</f>
        <v>6050</v>
      </c>
      <c r="H24" s="18">
        <f>'FS Seychelles'!E25*1000</f>
        <v>6050</v>
      </c>
      <c r="I24" s="18">
        <f>'FS Seychelles'!F25*1000</f>
        <v>1580</v>
      </c>
      <c r="J24" s="18">
        <f>'FS Seychelles'!G25*1000</f>
        <v>2610</v>
      </c>
      <c r="K24" s="18">
        <f>'FS Seychelles'!H25*1000</f>
        <v>2400</v>
      </c>
      <c r="L24" s="18">
        <f>'FS Seychelles'!I25*1000</f>
        <v>1250</v>
      </c>
      <c r="M24" s="18">
        <f>'FS Seychelles'!J25*1000</f>
        <v>2000</v>
      </c>
      <c r="N24" s="18">
        <f>'FS Seychelles'!K25*1000</f>
        <v>3800</v>
      </c>
      <c r="O24" s="18">
        <f>'FS Seychelles'!L25</f>
        <v>8227</v>
      </c>
      <c r="P24" s="18">
        <f>'FS Seychelles'!M25</f>
        <v>8159</v>
      </c>
      <c r="Q24" s="18">
        <f>'FS Seychelles'!N25</f>
        <v>8649</v>
      </c>
      <c r="R24" s="18">
        <f>'FS Seychelles'!O25</f>
        <v>6414</v>
      </c>
      <c r="S24" s="18">
        <f>'FS Seychelles'!P25</f>
        <v>604</v>
      </c>
      <c r="T24" s="18">
        <f>'FS Seychelles'!Q25</f>
        <v>9277</v>
      </c>
      <c r="U24" s="18">
        <f>'FS Seychelles'!R25</f>
        <v>82</v>
      </c>
      <c r="V24" s="18">
        <f>'FS Seychelles'!S25</f>
        <v>30</v>
      </c>
      <c r="W24" s="18">
        <f>'FS Seychelles'!T25</f>
        <v>82</v>
      </c>
      <c r="X24" s="18">
        <f>'FS Seychelles'!U25</f>
        <v>168</v>
      </c>
      <c r="Y24" s="18">
        <f>'FS Seychelles'!V25</f>
        <v>72</v>
      </c>
      <c r="Z24" s="18">
        <f>'FS Seychelles'!W25</f>
        <v>153</v>
      </c>
      <c r="AA24" s="18">
        <f>'FS Seychelles'!X25</f>
        <v>0</v>
      </c>
      <c r="AB24" s="18">
        <f>('FS Seychelles'!$AB$15+'FS Seychelles'!$AB$9)/30</f>
        <v>375.23333333333335</v>
      </c>
    </row>
    <row r="25" spans="1:28" x14ac:dyDescent="0.25">
      <c r="A25" s="1" t="s">
        <v>33</v>
      </c>
      <c r="B25" s="11">
        <f t="shared" si="0"/>
        <v>24</v>
      </c>
      <c r="C25" s="11">
        <v>9</v>
      </c>
      <c r="D25" s="11">
        <v>2019</v>
      </c>
      <c r="E25" s="18">
        <f>'FS Seychelles'!B26</f>
        <v>67.37</v>
      </c>
      <c r="F25" s="18">
        <f>'FS Seychelles'!C26*1000</f>
        <v>4050</v>
      </c>
      <c r="G25" s="18">
        <f>'FS Seychelles'!D26*1000</f>
        <v>5880</v>
      </c>
      <c r="H25" s="18">
        <f>'FS Seychelles'!E26*1000</f>
        <v>6080</v>
      </c>
      <c r="I25" s="18">
        <f>'FS Seychelles'!F26*1000</f>
        <v>1760</v>
      </c>
      <c r="J25" s="18">
        <f>'FS Seychelles'!G26*1000</f>
        <v>2100</v>
      </c>
      <c r="K25" s="18">
        <f>'FS Seychelles'!H26*1000</f>
        <v>2440</v>
      </c>
      <c r="L25" s="18">
        <f>'FS Seychelles'!I26*1000</f>
        <v>1420</v>
      </c>
      <c r="M25" s="18">
        <f>'FS Seychelles'!J26*1000</f>
        <v>1980</v>
      </c>
      <c r="N25" s="18">
        <f>'FS Seychelles'!K26*1000</f>
        <v>3870</v>
      </c>
      <c r="O25" s="18">
        <f>'FS Seychelles'!L26</f>
        <v>7959</v>
      </c>
      <c r="P25" s="18">
        <f>'FS Seychelles'!M26</f>
        <v>4979</v>
      </c>
      <c r="Q25" s="18">
        <f>'FS Seychelles'!N26</f>
        <v>9599</v>
      </c>
      <c r="R25" s="18">
        <f>'FS Seychelles'!O26</f>
        <v>8216</v>
      </c>
      <c r="S25" s="18">
        <f>'FS Seychelles'!P26</f>
        <v>0</v>
      </c>
      <c r="T25" s="18">
        <f>'FS Seychelles'!Q26</f>
        <v>9066</v>
      </c>
      <c r="U25" s="18">
        <f>'FS Seychelles'!R26</f>
        <v>69</v>
      </c>
      <c r="V25" s="18">
        <f>'FS Seychelles'!S26</f>
        <v>53</v>
      </c>
      <c r="W25" s="18">
        <f>'FS Seychelles'!T26</f>
        <v>59</v>
      </c>
      <c r="X25" s="18">
        <f>'FS Seychelles'!U26</f>
        <v>254</v>
      </c>
      <c r="Y25" s="18">
        <f>'FS Seychelles'!V26</f>
        <v>76</v>
      </c>
      <c r="Z25" s="18">
        <f>'FS Seychelles'!W26</f>
        <v>155</v>
      </c>
      <c r="AA25" s="18">
        <f>'FS Seychelles'!X26</f>
        <v>0</v>
      </c>
      <c r="AB25" s="18">
        <f>('FS Seychelles'!$AB$15+'FS Seychelles'!$AB$9)/30</f>
        <v>375.23333333333335</v>
      </c>
    </row>
    <row r="26" spans="1:28" x14ac:dyDescent="0.25">
      <c r="A26" s="1" t="s">
        <v>33</v>
      </c>
      <c r="B26" s="11">
        <f>B25+1</f>
        <v>25</v>
      </c>
      <c r="C26" s="11">
        <v>9</v>
      </c>
      <c r="D26" s="11">
        <v>2019</v>
      </c>
      <c r="E26" s="18">
        <f>'FS Seychelles'!B27</f>
        <v>68.42</v>
      </c>
      <c r="F26" s="18">
        <f>'FS Seychelles'!C27*1000</f>
        <v>3380</v>
      </c>
      <c r="G26" s="18">
        <f>'FS Seychelles'!D27*1000</f>
        <v>5280</v>
      </c>
      <c r="H26" s="18">
        <f>'FS Seychelles'!E27*1000</f>
        <v>5730</v>
      </c>
      <c r="I26" s="18">
        <f>'FS Seychelles'!F27*1000</f>
        <v>1540</v>
      </c>
      <c r="J26" s="18">
        <f>'FS Seychelles'!G27*1000</f>
        <v>2140</v>
      </c>
      <c r="K26" s="18">
        <f>'FS Seychelles'!H27*1000</f>
        <v>2450</v>
      </c>
      <c r="L26" s="18">
        <f>'FS Seychelles'!I27*1000</f>
        <v>1430</v>
      </c>
      <c r="M26" s="18">
        <f>'FS Seychelles'!J27*1000</f>
        <v>1750</v>
      </c>
      <c r="N26" s="18">
        <f>'FS Seychelles'!K27*1000</f>
        <v>4000</v>
      </c>
      <c r="O26" s="18">
        <f>'FS Seychelles'!L27</f>
        <v>8012</v>
      </c>
      <c r="P26" s="18">
        <f>'FS Seychelles'!M27</f>
        <v>5363</v>
      </c>
      <c r="Q26" s="18">
        <f>'FS Seychelles'!N27</f>
        <v>5209</v>
      </c>
      <c r="R26" s="18">
        <f>'FS Seychelles'!O27</f>
        <v>9327</v>
      </c>
      <c r="S26" s="18">
        <f>'FS Seychelles'!P27</f>
        <v>1560</v>
      </c>
      <c r="T26" s="18">
        <f>'FS Seychelles'!Q27</f>
        <v>8759</v>
      </c>
      <c r="U26" s="18">
        <f>'FS Seychelles'!R27</f>
        <v>87</v>
      </c>
      <c r="V26" s="18">
        <f>'FS Seychelles'!S27</f>
        <v>22</v>
      </c>
      <c r="W26" s="18">
        <f>'FS Seychelles'!T27</f>
        <v>73</v>
      </c>
      <c r="X26" s="18">
        <f>'FS Seychelles'!U27</f>
        <v>106</v>
      </c>
      <c r="Y26" s="18">
        <f>'FS Seychelles'!V27</f>
        <v>84</v>
      </c>
      <c r="Z26" s="18">
        <f>'FS Seychelles'!W27</f>
        <v>62</v>
      </c>
      <c r="AA26" s="18">
        <f>'FS Seychelles'!X27</f>
        <v>0</v>
      </c>
      <c r="AB26" s="18">
        <f>('FS Seychelles'!$AB$15+'FS Seychelles'!$AB$9)/30</f>
        <v>375.23333333333335</v>
      </c>
    </row>
    <row r="27" spans="1:28" x14ac:dyDescent="0.25">
      <c r="A27" s="1" t="s">
        <v>33</v>
      </c>
      <c r="B27" s="11">
        <f t="shared" si="0"/>
        <v>26</v>
      </c>
      <c r="C27" s="11">
        <v>9</v>
      </c>
      <c r="D27" s="11">
        <v>2019</v>
      </c>
      <c r="E27" s="18">
        <f>'FS Seychelles'!B28</f>
        <v>85.53</v>
      </c>
      <c r="F27" s="18">
        <f>'FS Seychelles'!C28*1000</f>
        <v>3270</v>
      </c>
      <c r="G27" s="18">
        <f>'FS Seychelles'!D28*1000</f>
        <v>5160</v>
      </c>
      <c r="H27" s="18">
        <f>'FS Seychelles'!E28*1000</f>
        <v>5430</v>
      </c>
      <c r="I27" s="18">
        <f>'FS Seychelles'!F28*1000</f>
        <v>1660</v>
      </c>
      <c r="J27" s="18">
        <f>'FS Seychelles'!G28*1000</f>
        <v>2500</v>
      </c>
      <c r="K27" s="18">
        <f>'FS Seychelles'!H28*1000</f>
        <v>2340</v>
      </c>
      <c r="L27" s="18">
        <f>'FS Seychelles'!I28*1000</f>
        <v>1430</v>
      </c>
      <c r="M27" s="18">
        <f>'FS Seychelles'!J28*1000</f>
        <v>1640</v>
      </c>
      <c r="N27" s="18">
        <f>'FS Seychelles'!K28*1000</f>
        <v>3990</v>
      </c>
      <c r="O27" s="18">
        <f>'FS Seychelles'!L28</f>
        <v>4357</v>
      </c>
      <c r="P27" s="18">
        <f>'FS Seychelles'!M28</f>
        <v>8753</v>
      </c>
      <c r="Q27" s="18">
        <f>'FS Seychelles'!N28</f>
        <v>5871</v>
      </c>
      <c r="R27" s="18">
        <f>'FS Seychelles'!O28</f>
        <v>5578</v>
      </c>
      <c r="S27" s="18">
        <f>'FS Seychelles'!P28</f>
        <v>0</v>
      </c>
      <c r="T27" s="18">
        <f>'FS Seychelles'!Q28</f>
        <v>7641</v>
      </c>
      <c r="U27" s="18">
        <f>'FS Seychelles'!R28</f>
        <v>80</v>
      </c>
      <c r="V27" s="18">
        <f>'FS Seychelles'!S28</f>
        <v>66</v>
      </c>
      <c r="W27" s="18">
        <f>'FS Seychelles'!T28</f>
        <v>59</v>
      </c>
      <c r="X27" s="18">
        <f>'FS Seychelles'!U28</f>
        <v>2</v>
      </c>
      <c r="Y27" s="18">
        <f>'FS Seychelles'!V28</f>
        <v>66</v>
      </c>
      <c r="Z27" s="18">
        <f>'FS Seychelles'!W28</f>
        <v>82</v>
      </c>
      <c r="AA27" s="18">
        <f>'FS Seychelles'!X28</f>
        <v>0</v>
      </c>
      <c r="AB27" s="18">
        <f>('FS Seychelles'!$AB$15+'FS Seychelles'!$AB$9)/30</f>
        <v>375.23333333333335</v>
      </c>
    </row>
    <row r="28" spans="1:28" x14ac:dyDescent="0.25">
      <c r="A28" s="1" t="s">
        <v>33</v>
      </c>
      <c r="B28" s="11">
        <f t="shared" si="0"/>
        <v>27</v>
      </c>
      <c r="C28" s="11">
        <v>9</v>
      </c>
      <c r="D28" s="11">
        <v>2019</v>
      </c>
      <c r="E28" s="18">
        <f>'FS Seychelles'!B29</f>
        <v>78.95</v>
      </c>
      <c r="F28" s="18">
        <f>'FS Seychelles'!C29*1000</f>
        <v>3400</v>
      </c>
      <c r="G28" s="18">
        <f>'FS Seychelles'!D29*1000</f>
        <v>5470</v>
      </c>
      <c r="H28" s="18">
        <f>'FS Seychelles'!E29*1000</f>
        <v>5590</v>
      </c>
      <c r="I28" s="18">
        <f>'FS Seychelles'!F29*1000</f>
        <v>1790</v>
      </c>
      <c r="J28" s="18">
        <f>'FS Seychelles'!G29*1000</f>
        <v>2400</v>
      </c>
      <c r="K28" s="18">
        <f>'FS Seychelles'!H29*1000</f>
        <v>2510</v>
      </c>
      <c r="L28" s="18">
        <f>'FS Seychelles'!I29*1000</f>
        <v>1460</v>
      </c>
      <c r="M28" s="18">
        <f>'FS Seychelles'!J29*1000</f>
        <v>1760</v>
      </c>
      <c r="N28" s="18">
        <f>'FS Seychelles'!K29*1000</f>
        <v>3980</v>
      </c>
      <c r="O28" s="18">
        <f>'FS Seychelles'!L29</f>
        <v>10601</v>
      </c>
      <c r="P28" s="18">
        <f>'FS Seychelles'!M29</f>
        <v>4412</v>
      </c>
      <c r="Q28" s="18">
        <f>'FS Seychelles'!N29</f>
        <v>4383</v>
      </c>
      <c r="R28" s="18">
        <f>'FS Seychelles'!O29</f>
        <v>10543</v>
      </c>
      <c r="S28" s="18">
        <f>'FS Seychelles'!P29</f>
        <v>0</v>
      </c>
      <c r="T28" s="18">
        <f>'FS Seychelles'!Q29</f>
        <v>8705</v>
      </c>
      <c r="U28" s="18">
        <f>'FS Seychelles'!R29</f>
        <v>85</v>
      </c>
      <c r="V28" s="18">
        <f>'FS Seychelles'!S29</f>
        <v>20</v>
      </c>
      <c r="W28" s="18">
        <f>'FS Seychelles'!T29</f>
        <v>58</v>
      </c>
      <c r="X28" s="18">
        <f>'FS Seychelles'!U29</f>
        <v>0</v>
      </c>
      <c r="Y28" s="18">
        <f>'FS Seychelles'!V29</f>
        <v>68</v>
      </c>
      <c r="Z28" s="18">
        <f>'FS Seychelles'!W29</f>
        <v>167</v>
      </c>
      <c r="AA28" s="18">
        <f>'FS Seychelles'!X29</f>
        <v>0</v>
      </c>
      <c r="AB28" s="18">
        <f>('FS Seychelles'!$AB$15+'FS Seychelles'!$AB$9)/30</f>
        <v>375.23333333333335</v>
      </c>
    </row>
    <row r="29" spans="1:28" x14ac:dyDescent="0.25">
      <c r="A29" s="1" t="s">
        <v>33</v>
      </c>
      <c r="B29" s="11">
        <f t="shared" si="0"/>
        <v>28</v>
      </c>
      <c r="C29" s="11">
        <v>9</v>
      </c>
      <c r="D29" s="11">
        <v>2019</v>
      </c>
      <c r="E29" s="18">
        <f>'FS Seychelles'!B30</f>
        <v>68.42</v>
      </c>
      <c r="F29" s="18">
        <f>'FS Seychelles'!C30*1000</f>
        <v>3290</v>
      </c>
      <c r="G29" s="18">
        <f>'FS Seychelles'!D30*1000</f>
        <v>5280</v>
      </c>
      <c r="H29" s="18">
        <f>'FS Seychelles'!E30*1000</f>
        <v>5530</v>
      </c>
      <c r="I29" s="18">
        <f>'FS Seychelles'!F30*1000</f>
        <v>1620</v>
      </c>
      <c r="J29" s="18">
        <f>'FS Seychelles'!G30*1000</f>
        <v>2400</v>
      </c>
      <c r="K29" s="18">
        <f>'FS Seychelles'!H30*1000</f>
        <v>2470</v>
      </c>
      <c r="L29" s="18">
        <f>'FS Seychelles'!I30*1000</f>
        <v>1420</v>
      </c>
      <c r="M29" s="18">
        <f>'FS Seychelles'!J30*1000</f>
        <v>1810</v>
      </c>
      <c r="N29" s="18">
        <f>'FS Seychelles'!K30*1000</f>
        <v>4000</v>
      </c>
      <c r="O29" s="18">
        <f>'FS Seychelles'!L30</f>
        <v>0</v>
      </c>
      <c r="P29" s="18">
        <f>'FS Seychelles'!M30</f>
        <v>14425</v>
      </c>
      <c r="Q29" s="18">
        <f>'FS Seychelles'!N30</f>
        <v>14372</v>
      </c>
      <c r="R29" s="18">
        <f>'FS Seychelles'!O30</f>
        <v>0</v>
      </c>
      <c r="S29" s="18">
        <f>'FS Seychelles'!P30</f>
        <v>0</v>
      </c>
      <c r="T29" s="18">
        <f>'FS Seychelles'!Q30</f>
        <v>8049</v>
      </c>
      <c r="U29" s="18">
        <f>'FS Seychelles'!R30</f>
        <v>90</v>
      </c>
      <c r="V29" s="18">
        <f>'FS Seychelles'!S30</f>
        <v>73</v>
      </c>
      <c r="W29" s="18">
        <f>'FS Seychelles'!T30</f>
        <v>61</v>
      </c>
      <c r="X29" s="18">
        <f>'FS Seychelles'!U30</f>
        <v>0</v>
      </c>
      <c r="Y29" s="18">
        <f>'FS Seychelles'!V30</f>
        <v>69</v>
      </c>
      <c r="Z29" s="18">
        <f>'FS Seychelles'!W30</f>
        <v>92</v>
      </c>
      <c r="AA29" s="18">
        <f>'FS Seychelles'!X30</f>
        <v>0</v>
      </c>
      <c r="AB29" s="18">
        <f>('FS Seychelles'!$AB$15+'FS Seychelles'!$AB$9)/30</f>
        <v>375.23333333333335</v>
      </c>
    </row>
    <row r="30" spans="1:28" x14ac:dyDescent="0.25">
      <c r="A30" s="1" t="s">
        <v>33</v>
      </c>
      <c r="B30" s="11">
        <f t="shared" si="0"/>
        <v>29</v>
      </c>
      <c r="C30" s="11">
        <v>9</v>
      </c>
      <c r="D30" s="11">
        <v>2019</v>
      </c>
      <c r="E30" s="18">
        <f>'FS Seychelles'!B31</f>
        <v>89.47</v>
      </c>
      <c r="F30" s="18">
        <f>'FS Seychelles'!C31*1000</f>
        <v>2940</v>
      </c>
      <c r="G30" s="18">
        <f>'FS Seychelles'!D31*1000</f>
        <v>5070</v>
      </c>
      <c r="H30" s="18">
        <f>'FS Seychelles'!E31*1000</f>
        <v>5370</v>
      </c>
      <c r="I30" s="18">
        <f>'FS Seychelles'!F31*1000</f>
        <v>1830</v>
      </c>
      <c r="J30" s="18">
        <f>'FS Seychelles'!G31*1000</f>
        <v>2060</v>
      </c>
      <c r="K30" s="18">
        <f>'FS Seychelles'!H31*1000</f>
        <v>2340</v>
      </c>
      <c r="L30" s="18">
        <f>'FS Seychelles'!I31*1000</f>
        <v>1430</v>
      </c>
      <c r="M30" s="18">
        <f>'FS Seychelles'!J31*1000</f>
        <v>1830</v>
      </c>
      <c r="N30" s="18">
        <f>'FS Seychelles'!K31*1000</f>
        <v>3920</v>
      </c>
      <c r="O30" s="18">
        <f>'FS Seychelles'!L31</f>
        <v>9809</v>
      </c>
      <c r="P30" s="18">
        <f>'FS Seychelles'!M31</f>
        <v>4376</v>
      </c>
      <c r="Q30" s="18">
        <f>'FS Seychelles'!N31</f>
        <v>0</v>
      </c>
      <c r="R30" s="18">
        <f>'FS Seychelles'!O31</f>
        <v>13958</v>
      </c>
      <c r="S30" s="18">
        <f>'FS Seychelles'!P31</f>
        <v>0</v>
      </c>
      <c r="T30" s="18">
        <f>'FS Seychelles'!Q31</f>
        <v>8455</v>
      </c>
      <c r="U30" s="18">
        <f>'FS Seychelles'!R31</f>
        <v>86</v>
      </c>
      <c r="V30" s="18">
        <f>'FS Seychelles'!S31</f>
        <v>16</v>
      </c>
      <c r="W30" s="18">
        <f>'FS Seychelles'!T31</f>
        <v>73</v>
      </c>
      <c r="X30" s="18">
        <f>'FS Seychelles'!U31</f>
        <v>0</v>
      </c>
      <c r="Y30" s="18">
        <f>'FS Seychelles'!V31</f>
        <v>85</v>
      </c>
      <c r="Z30" s="18">
        <f>'FS Seychelles'!W31</f>
        <v>156</v>
      </c>
      <c r="AA30" s="18">
        <f>'FS Seychelles'!X31</f>
        <v>0</v>
      </c>
      <c r="AB30" s="18">
        <f>('FS Seychelles'!$AB$15+'FS Seychelles'!$AB$9)/30</f>
        <v>375.23333333333335</v>
      </c>
    </row>
    <row r="31" spans="1:28" x14ac:dyDescent="0.25">
      <c r="A31" s="1" t="s">
        <v>33</v>
      </c>
      <c r="B31" s="11">
        <f t="shared" si="0"/>
        <v>30</v>
      </c>
      <c r="C31" s="11">
        <v>9</v>
      </c>
      <c r="D31" s="11">
        <v>2019</v>
      </c>
      <c r="E31" s="18">
        <f>'FS Seychelles'!B32</f>
        <v>85.53</v>
      </c>
      <c r="F31" s="18">
        <f>'FS Seychelles'!C32*1000</f>
        <v>2850</v>
      </c>
      <c r="G31" s="18">
        <f>'FS Seychelles'!D32*1000</f>
        <v>5160</v>
      </c>
      <c r="H31" s="18">
        <f>'FS Seychelles'!E32*1000</f>
        <v>5420</v>
      </c>
      <c r="I31" s="18">
        <f>'FS Seychelles'!F32*1000</f>
        <v>1930</v>
      </c>
      <c r="J31" s="18">
        <f>'FS Seychelles'!G32*1000</f>
        <v>2190</v>
      </c>
      <c r="K31" s="18">
        <f>'FS Seychelles'!H32*1000</f>
        <v>2140</v>
      </c>
      <c r="L31" s="18">
        <f>'FS Seychelles'!I32*1000</f>
        <v>1470</v>
      </c>
      <c r="M31" s="18">
        <f>'FS Seychelles'!J32*1000</f>
        <v>1720</v>
      </c>
      <c r="N31" s="18">
        <f>'FS Seychelles'!K32*1000</f>
        <v>3790</v>
      </c>
      <c r="O31" s="18">
        <f>'FS Seychelles'!L32</f>
        <v>2726</v>
      </c>
      <c r="P31" s="18">
        <f>'FS Seychelles'!M32</f>
        <v>10400</v>
      </c>
      <c r="Q31" s="18">
        <f>'FS Seychelles'!N32</f>
        <v>12948</v>
      </c>
      <c r="R31" s="18">
        <f>'FS Seychelles'!O32</f>
        <v>0</v>
      </c>
      <c r="S31" s="18">
        <f>'FS Seychelles'!P32</f>
        <v>0</v>
      </c>
      <c r="T31" s="18">
        <f>'FS Seychelles'!Q32</f>
        <v>7075</v>
      </c>
      <c r="U31" s="18">
        <f>'FS Seychelles'!R32</f>
        <v>85</v>
      </c>
      <c r="V31" s="18">
        <f>'FS Seychelles'!S32</f>
        <v>84</v>
      </c>
      <c r="W31" s="18">
        <f>'FS Seychelles'!T32</f>
        <v>82</v>
      </c>
      <c r="X31" s="18">
        <f>'FS Seychelles'!U32</f>
        <v>1</v>
      </c>
      <c r="Y31" s="18">
        <f>'FS Seychelles'!V32</f>
        <v>64</v>
      </c>
      <c r="Z31" s="18">
        <f>'FS Seychelles'!W32</f>
        <v>112</v>
      </c>
      <c r="AA31" s="18">
        <f>'FS Seychelles'!X32</f>
        <v>0</v>
      </c>
      <c r="AB31" s="18">
        <f>('FS Seychelles'!$AB$15+'FS Seychelles'!$AB$9)/30</f>
        <v>375.23333333333335</v>
      </c>
    </row>
    <row r="32" spans="1:28" x14ac:dyDescent="0.25">
      <c r="A32" s="1" t="s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topLeftCell="D1" zoomScaleNormal="100" workbookViewId="0">
      <selection activeCell="W29" sqref="W29"/>
    </sheetView>
  </sheetViews>
  <sheetFormatPr defaultRowHeight="12.75" x14ac:dyDescent="0.2"/>
  <cols>
    <col min="1" max="1" width="10.42578125" style="19" bestFit="1" customWidth="1"/>
    <col min="2" max="2" width="12.7109375" style="41" customWidth="1"/>
    <col min="3" max="3" width="9.140625" style="19"/>
    <col min="4" max="11" width="9.140625" style="54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7" width="12" style="19" customWidth="1"/>
    <col min="18" max="19" width="10.7109375" style="19" customWidth="1"/>
    <col min="20" max="20" width="9.42578125" style="19" bestFit="1" customWidth="1"/>
    <col min="21" max="21" width="9.140625" style="19"/>
    <col min="22" max="22" width="6" style="19" bestFit="1" customWidth="1"/>
    <col min="23" max="23" width="9.140625" style="19"/>
    <col min="24" max="24" width="9.85546875" style="19" customWidth="1"/>
    <col min="25" max="25" width="4" style="19" customWidth="1"/>
    <col min="26" max="26" width="13.5703125" style="50" customWidth="1"/>
    <col min="27" max="28" width="9.140625" style="50"/>
    <col min="29" max="16384" width="9.140625" style="19"/>
  </cols>
  <sheetData>
    <row r="1" spans="1:28" ht="13.5" thickBot="1" x14ac:dyDescent="0.25"/>
    <row r="2" spans="1:28" s="25" customFormat="1" ht="31.5" customHeight="1" thickBot="1" x14ac:dyDescent="0.25">
      <c r="A2" s="34" t="s">
        <v>9</v>
      </c>
      <c r="B2" s="42" t="s">
        <v>19</v>
      </c>
      <c r="C2" s="35" t="s">
        <v>10</v>
      </c>
      <c r="D2" s="55" t="s">
        <v>11</v>
      </c>
      <c r="E2" s="55" t="s">
        <v>12</v>
      </c>
      <c r="F2" s="55" t="s">
        <v>13</v>
      </c>
      <c r="G2" s="55" t="s">
        <v>14</v>
      </c>
      <c r="H2" s="55" t="s">
        <v>15</v>
      </c>
      <c r="I2" s="55" t="s">
        <v>16</v>
      </c>
      <c r="J2" s="55" t="s">
        <v>17</v>
      </c>
      <c r="K2" s="55" t="s">
        <v>18</v>
      </c>
      <c r="L2" s="36" t="s">
        <v>25</v>
      </c>
      <c r="M2" s="36" t="s">
        <v>20</v>
      </c>
      <c r="N2" s="36" t="s">
        <v>21</v>
      </c>
      <c r="O2" s="36" t="s">
        <v>22</v>
      </c>
      <c r="P2" s="36" t="s">
        <v>23</v>
      </c>
      <c r="Q2" s="37" t="s">
        <v>24</v>
      </c>
      <c r="R2" s="43" t="s">
        <v>30</v>
      </c>
      <c r="S2" s="43" t="s">
        <v>26</v>
      </c>
      <c r="T2" s="43" t="s">
        <v>27</v>
      </c>
      <c r="U2" s="43" t="s">
        <v>28</v>
      </c>
      <c r="V2" s="43" t="s">
        <v>29</v>
      </c>
      <c r="W2" s="43" t="s">
        <v>31</v>
      </c>
      <c r="X2" s="62" t="s">
        <v>56</v>
      </c>
      <c r="Y2" s="61"/>
      <c r="Z2" s="68" t="s">
        <v>32</v>
      </c>
      <c r="AA2" s="69"/>
      <c r="AB2" s="70"/>
    </row>
    <row r="3" spans="1:28" ht="15" customHeight="1" x14ac:dyDescent="0.2">
      <c r="A3" s="21">
        <v>43770</v>
      </c>
      <c r="B3" s="40">
        <v>66.319999999999993</v>
      </c>
      <c r="C3" s="22">
        <v>3.23</v>
      </c>
      <c r="D3" s="23">
        <v>5.4</v>
      </c>
      <c r="E3" s="23">
        <v>5.34</v>
      </c>
      <c r="F3" s="23">
        <v>1.38</v>
      </c>
      <c r="G3" s="23">
        <v>3.05</v>
      </c>
      <c r="H3" s="23">
        <v>1.95</v>
      </c>
      <c r="I3" s="23">
        <v>1.36</v>
      </c>
      <c r="J3" s="23">
        <v>1.64</v>
      </c>
      <c r="K3" s="23">
        <v>3.7</v>
      </c>
      <c r="L3" s="38">
        <v>7316</v>
      </c>
      <c r="M3" s="38">
        <v>7897</v>
      </c>
      <c r="N3" s="38">
        <v>8324</v>
      </c>
      <c r="O3" s="38">
        <v>4516</v>
      </c>
      <c r="P3" s="38">
        <v>0</v>
      </c>
      <c r="Q3" s="22">
        <f>2059+2387+2422+1405</f>
        <v>8273</v>
      </c>
      <c r="R3" s="33">
        <v>91</v>
      </c>
      <c r="S3" s="33">
        <v>27</v>
      </c>
      <c r="T3" s="20">
        <v>58</v>
      </c>
      <c r="U3" s="20">
        <v>319</v>
      </c>
      <c r="V3" s="20">
        <v>81</v>
      </c>
      <c r="W3" s="20">
        <v>180</v>
      </c>
      <c r="X3" s="60">
        <v>0</v>
      </c>
      <c r="Y3" s="75"/>
      <c r="Z3" s="71" t="s">
        <v>61</v>
      </c>
      <c r="AA3" s="72"/>
      <c r="AB3" s="72"/>
    </row>
    <row r="4" spans="1:28" ht="12.75" customHeight="1" x14ac:dyDescent="0.2">
      <c r="A4" s="21">
        <v>43771</v>
      </c>
      <c r="B4" s="40">
        <v>64.209999999999994</v>
      </c>
      <c r="C4" s="22">
        <v>3.12</v>
      </c>
      <c r="D4" s="23">
        <v>5.67</v>
      </c>
      <c r="E4" s="23">
        <v>5.28</v>
      </c>
      <c r="F4" s="23">
        <v>1.5</v>
      </c>
      <c r="G4" s="23">
        <v>2.94</v>
      </c>
      <c r="H4" s="23">
        <v>2</v>
      </c>
      <c r="I4" s="23">
        <v>1.44</v>
      </c>
      <c r="J4" s="23">
        <v>1.63</v>
      </c>
      <c r="K4" s="23">
        <v>3.53</v>
      </c>
      <c r="L4" s="39">
        <v>2578</v>
      </c>
      <c r="M4" s="38">
        <v>9603</v>
      </c>
      <c r="N4" s="38">
        <v>9546</v>
      </c>
      <c r="O4" s="38">
        <v>6817</v>
      </c>
      <c r="P4" s="38">
        <v>0</v>
      </c>
      <c r="Q4" s="22">
        <f>755+2864+2723+2151</f>
        <v>8493</v>
      </c>
      <c r="R4" s="33">
        <v>95</v>
      </c>
      <c r="S4" s="33">
        <v>52</v>
      </c>
      <c r="T4" s="20">
        <v>55</v>
      </c>
      <c r="U4" s="20">
        <v>272</v>
      </c>
      <c r="V4" s="20">
        <v>67</v>
      </c>
      <c r="W4" s="20">
        <v>191</v>
      </c>
      <c r="X4" s="47">
        <v>0</v>
      </c>
      <c r="Y4" s="75"/>
      <c r="Z4" s="57" t="s">
        <v>62</v>
      </c>
      <c r="AA4" s="53" t="s">
        <v>63</v>
      </c>
      <c r="AB4" s="44" t="s">
        <v>64</v>
      </c>
    </row>
    <row r="5" spans="1:28" ht="15" x14ac:dyDescent="0.2">
      <c r="A5" s="21">
        <v>43772</v>
      </c>
      <c r="B5" s="23">
        <v>20</v>
      </c>
      <c r="C5" s="22">
        <v>3.66</v>
      </c>
      <c r="D5" s="23">
        <v>6.03</v>
      </c>
      <c r="E5" s="23">
        <v>5.66</v>
      </c>
      <c r="F5" s="23">
        <v>1.73</v>
      </c>
      <c r="G5" s="23">
        <v>2.87</v>
      </c>
      <c r="H5" s="23">
        <v>2.12</v>
      </c>
      <c r="I5" s="23">
        <v>1.38</v>
      </c>
      <c r="J5" s="23">
        <v>1.6</v>
      </c>
      <c r="K5" s="23">
        <v>3.61</v>
      </c>
      <c r="L5" s="38">
        <v>11703</v>
      </c>
      <c r="M5" s="38">
        <v>11305</v>
      </c>
      <c r="N5" s="38">
        <v>0</v>
      </c>
      <c r="O5" s="38">
        <v>7157</v>
      </c>
      <c r="P5" s="38">
        <v>0</v>
      </c>
      <c r="Q5" s="22">
        <f>3195+3235+2206</f>
        <v>8636</v>
      </c>
      <c r="R5" s="33">
        <v>94</v>
      </c>
      <c r="S5" s="33">
        <v>40</v>
      </c>
      <c r="T5" s="20">
        <v>71</v>
      </c>
      <c r="U5" s="20">
        <v>267</v>
      </c>
      <c r="V5" s="20">
        <v>72</v>
      </c>
      <c r="W5" s="20">
        <v>182</v>
      </c>
      <c r="X5" s="47">
        <v>0</v>
      </c>
      <c r="Y5" s="75"/>
      <c r="Z5" s="64" t="s">
        <v>73</v>
      </c>
      <c r="AA5" s="51">
        <v>2</v>
      </c>
      <c r="AB5" s="45">
        <v>10</v>
      </c>
    </row>
    <row r="6" spans="1:28" ht="15" x14ac:dyDescent="0.2">
      <c r="A6" s="21">
        <v>43773</v>
      </c>
      <c r="B6" s="23">
        <v>80</v>
      </c>
      <c r="C6" s="22">
        <v>3.58</v>
      </c>
      <c r="D6" s="23">
        <v>5.56</v>
      </c>
      <c r="E6" s="23">
        <v>5.57</v>
      </c>
      <c r="F6" s="23">
        <v>1.44</v>
      </c>
      <c r="G6" s="23">
        <v>2.81</v>
      </c>
      <c r="H6" s="23">
        <v>2.15</v>
      </c>
      <c r="I6" s="23">
        <v>1.39</v>
      </c>
      <c r="J6" s="23">
        <v>1.73</v>
      </c>
      <c r="K6" s="23">
        <v>3.68</v>
      </c>
      <c r="L6" s="38">
        <v>10352</v>
      </c>
      <c r="M6" s="38">
        <v>4493</v>
      </c>
      <c r="N6" s="38">
        <v>4509</v>
      </c>
      <c r="O6" s="38">
        <v>10252</v>
      </c>
      <c r="P6" s="38">
        <v>0</v>
      </c>
      <c r="Q6" s="22">
        <f>2715+1297+1254+3303</f>
        <v>8569</v>
      </c>
      <c r="R6" s="33">
        <v>97</v>
      </c>
      <c r="S6" s="33">
        <v>53</v>
      </c>
      <c r="T6" s="20">
        <v>112</v>
      </c>
      <c r="U6" s="20">
        <v>273</v>
      </c>
      <c r="V6" s="20">
        <v>81</v>
      </c>
      <c r="W6" s="20">
        <v>150</v>
      </c>
      <c r="X6" s="47">
        <v>0</v>
      </c>
      <c r="Y6" s="75"/>
      <c r="Z6" s="64" t="s">
        <v>65</v>
      </c>
      <c r="AA6" s="51">
        <v>3</v>
      </c>
      <c r="AB6" s="45">
        <v>27</v>
      </c>
    </row>
    <row r="7" spans="1:28" ht="15" x14ac:dyDescent="0.2">
      <c r="A7" s="21">
        <v>43774</v>
      </c>
      <c r="B7" s="40">
        <v>76.06</v>
      </c>
      <c r="C7" s="22">
        <v>3.62</v>
      </c>
      <c r="D7" s="23">
        <v>5.63</v>
      </c>
      <c r="E7" s="23">
        <v>5.73</v>
      </c>
      <c r="F7" s="23">
        <v>1.47</v>
      </c>
      <c r="G7" s="23">
        <v>3.39</v>
      </c>
      <c r="H7" s="23">
        <v>2.0699999999999998</v>
      </c>
      <c r="I7" s="23">
        <v>1.39</v>
      </c>
      <c r="J7" s="23">
        <v>1.76</v>
      </c>
      <c r="K7" s="23">
        <v>3.92</v>
      </c>
      <c r="L7" s="38">
        <v>10794</v>
      </c>
      <c r="M7" s="38">
        <v>8802</v>
      </c>
      <c r="N7" s="38">
        <v>4445</v>
      </c>
      <c r="O7" s="38">
        <v>4526</v>
      </c>
      <c r="P7" s="38">
        <v>0</v>
      </c>
      <c r="Q7" s="22">
        <f>2925+2531+1244+1327</f>
        <v>8027</v>
      </c>
      <c r="R7" s="33">
        <v>105</v>
      </c>
      <c r="S7" s="33">
        <v>34</v>
      </c>
      <c r="T7" s="20">
        <v>93</v>
      </c>
      <c r="U7" s="20">
        <v>317</v>
      </c>
      <c r="V7" s="20">
        <v>66</v>
      </c>
      <c r="W7" s="20">
        <v>150</v>
      </c>
      <c r="X7" s="47">
        <v>0</v>
      </c>
      <c r="Y7" s="75"/>
      <c r="Z7" s="64" t="s">
        <v>66</v>
      </c>
      <c r="AA7" s="51">
        <v>12</v>
      </c>
      <c r="AB7" s="45">
        <v>120</v>
      </c>
    </row>
    <row r="8" spans="1:28" ht="15" x14ac:dyDescent="0.2">
      <c r="A8" s="21">
        <v>43775</v>
      </c>
      <c r="B8" s="40">
        <v>80.28</v>
      </c>
      <c r="C8" s="22">
        <v>3.67</v>
      </c>
      <c r="D8" s="23">
        <v>5.67</v>
      </c>
      <c r="E8" s="23">
        <v>5.59</v>
      </c>
      <c r="F8" s="23">
        <v>1.52</v>
      </c>
      <c r="G8" s="23">
        <v>2.9</v>
      </c>
      <c r="H8" s="23">
        <v>2.17</v>
      </c>
      <c r="I8" s="23">
        <v>1.38</v>
      </c>
      <c r="J8" s="23">
        <v>1.86</v>
      </c>
      <c r="K8" s="23">
        <v>3.87</v>
      </c>
      <c r="L8" s="38">
        <v>4783</v>
      </c>
      <c r="M8" s="38">
        <v>8378</v>
      </c>
      <c r="N8" s="38">
        <v>8121</v>
      </c>
      <c r="O8" s="38">
        <v>9997</v>
      </c>
      <c r="P8" s="38">
        <v>0</v>
      </c>
      <c r="Q8" s="22">
        <f>1832+2361+2247+2867</f>
        <v>9307</v>
      </c>
      <c r="R8" s="33">
        <v>109</v>
      </c>
      <c r="S8" s="33">
        <v>40</v>
      </c>
      <c r="T8" s="20">
        <v>115</v>
      </c>
      <c r="U8" s="20">
        <v>294</v>
      </c>
      <c r="V8" s="20">
        <v>86</v>
      </c>
      <c r="W8" s="20">
        <v>144</v>
      </c>
      <c r="X8" s="47">
        <v>0</v>
      </c>
      <c r="Y8" s="75"/>
      <c r="Z8" s="64" t="s">
        <v>67</v>
      </c>
      <c r="AA8" s="51">
        <v>40</v>
      </c>
      <c r="AB8" s="45">
        <v>800</v>
      </c>
    </row>
    <row r="9" spans="1:28" ht="15" customHeight="1" x14ac:dyDescent="0.2">
      <c r="A9" s="21">
        <v>43776</v>
      </c>
      <c r="B9" s="40">
        <v>70.42</v>
      </c>
      <c r="C9" s="22">
        <v>3.83</v>
      </c>
      <c r="D9" s="23">
        <v>5.8</v>
      </c>
      <c r="E9" s="23">
        <v>5.83</v>
      </c>
      <c r="F9" s="23">
        <v>1.52</v>
      </c>
      <c r="G9" s="23">
        <v>3.17</v>
      </c>
      <c r="H9" s="23">
        <v>2.31</v>
      </c>
      <c r="I9" s="23">
        <v>1.41</v>
      </c>
      <c r="J9" s="23">
        <v>1.97</v>
      </c>
      <c r="K9" s="23">
        <v>3.86</v>
      </c>
      <c r="L9" s="38">
        <v>9731</v>
      </c>
      <c r="M9" s="38">
        <v>10311</v>
      </c>
      <c r="N9" s="38">
        <v>4653</v>
      </c>
      <c r="O9" s="38">
        <v>6379</v>
      </c>
      <c r="P9" s="38">
        <v>0</v>
      </c>
      <c r="Q9" s="22">
        <f>2538+2883+1291+1831</f>
        <v>8543</v>
      </c>
      <c r="R9" s="33">
        <v>109</v>
      </c>
      <c r="S9" s="33">
        <v>56</v>
      </c>
      <c r="T9" s="20">
        <v>74</v>
      </c>
      <c r="U9" s="20">
        <v>287</v>
      </c>
      <c r="V9" s="20">
        <v>78</v>
      </c>
      <c r="W9" s="20">
        <v>158</v>
      </c>
      <c r="X9" s="47">
        <v>0</v>
      </c>
      <c r="Y9" s="75"/>
      <c r="Z9" s="63"/>
      <c r="AA9" s="52" t="s">
        <v>68</v>
      </c>
      <c r="AB9" s="45">
        <v>957</v>
      </c>
    </row>
    <row r="10" spans="1:28" ht="15.75" customHeight="1" x14ac:dyDescent="0.2">
      <c r="A10" s="21">
        <v>43777</v>
      </c>
      <c r="B10" s="40">
        <v>63.77</v>
      </c>
      <c r="C10" s="22">
        <v>3.61</v>
      </c>
      <c r="D10" s="23">
        <v>5.79</v>
      </c>
      <c r="E10" s="23">
        <v>5.74</v>
      </c>
      <c r="F10" s="23">
        <v>1.4</v>
      </c>
      <c r="G10" s="23">
        <v>3.15</v>
      </c>
      <c r="H10" s="23">
        <v>2.23</v>
      </c>
      <c r="I10" s="23">
        <v>1.45</v>
      </c>
      <c r="J10" s="23">
        <v>1.72</v>
      </c>
      <c r="K10" s="23">
        <v>3.87</v>
      </c>
      <c r="L10" s="38">
        <v>9014</v>
      </c>
      <c r="M10" s="38">
        <v>14912</v>
      </c>
      <c r="N10" s="38">
        <v>6376</v>
      </c>
      <c r="O10" s="38">
        <v>0</v>
      </c>
      <c r="P10" s="38">
        <v>0</v>
      </c>
      <c r="Q10" s="22">
        <f>2408+4239+1784</f>
        <v>8431</v>
      </c>
      <c r="R10" s="33">
        <v>105</v>
      </c>
      <c r="S10" s="33">
        <v>32</v>
      </c>
      <c r="T10" s="20">
        <v>70</v>
      </c>
      <c r="U10" s="20">
        <v>285</v>
      </c>
      <c r="V10" s="20">
        <v>81</v>
      </c>
      <c r="W10" s="20">
        <v>140</v>
      </c>
      <c r="X10" s="47">
        <v>0</v>
      </c>
      <c r="Y10" s="75"/>
      <c r="Z10" s="65"/>
      <c r="AA10" s="66"/>
      <c r="AB10" s="67"/>
    </row>
    <row r="11" spans="1:28" ht="15" customHeight="1" x14ac:dyDescent="0.2">
      <c r="A11" s="21">
        <v>43778</v>
      </c>
      <c r="B11" s="40">
        <v>84.93</v>
      </c>
      <c r="C11" s="22">
        <v>3.58</v>
      </c>
      <c r="D11" s="23">
        <v>5.22</v>
      </c>
      <c r="E11" s="23">
        <v>5.55</v>
      </c>
      <c r="F11" s="23">
        <v>1.31</v>
      </c>
      <c r="G11" s="23">
        <v>2.52</v>
      </c>
      <c r="H11" s="23">
        <v>2.0299999999999998</v>
      </c>
      <c r="I11" s="23">
        <v>1.4</v>
      </c>
      <c r="J11" s="23">
        <v>1.67</v>
      </c>
      <c r="K11" s="23">
        <v>3.71</v>
      </c>
      <c r="L11" s="38">
        <v>831</v>
      </c>
      <c r="M11" s="38">
        <v>4411</v>
      </c>
      <c r="N11" s="38">
        <v>12516</v>
      </c>
      <c r="O11" s="38">
        <v>9762</v>
      </c>
      <c r="P11" s="38">
        <v>0</v>
      </c>
      <c r="Q11" s="22">
        <f>257+1246+3702+2739</f>
        <v>7944</v>
      </c>
      <c r="R11" s="33">
        <v>113</v>
      </c>
      <c r="S11" s="33">
        <v>58</v>
      </c>
      <c r="T11" s="20">
        <v>70</v>
      </c>
      <c r="U11" s="20">
        <v>266</v>
      </c>
      <c r="V11" s="20">
        <v>65</v>
      </c>
      <c r="W11" s="20">
        <v>151</v>
      </c>
      <c r="X11" s="47">
        <v>0</v>
      </c>
      <c r="Y11" s="75"/>
      <c r="Z11" s="73" t="s">
        <v>71</v>
      </c>
      <c r="AA11" s="74"/>
      <c r="AB11" s="74"/>
    </row>
    <row r="12" spans="1:28" ht="12.75" customHeight="1" x14ac:dyDescent="0.2">
      <c r="A12" s="21">
        <v>43779</v>
      </c>
      <c r="B12" s="23">
        <v>81.94</v>
      </c>
      <c r="C12" s="22">
        <v>3.13</v>
      </c>
      <c r="D12" s="23">
        <v>5.18</v>
      </c>
      <c r="E12" s="23">
        <v>5.45</v>
      </c>
      <c r="F12" s="23">
        <v>1.38</v>
      </c>
      <c r="G12" s="23">
        <v>1.87</v>
      </c>
      <c r="H12" s="23">
        <v>2.2200000000000002</v>
      </c>
      <c r="I12" s="23">
        <v>1.31</v>
      </c>
      <c r="J12" s="23">
        <v>1.79</v>
      </c>
      <c r="K12" s="23">
        <v>3.53</v>
      </c>
      <c r="L12" s="38">
        <v>9605</v>
      </c>
      <c r="M12" s="38">
        <v>3850</v>
      </c>
      <c r="N12" s="38">
        <v>7756</v>
      </c>
      <c r="O12" s="38">
        <v>8557</v>
      </c>
      <c r="P12" s="38">
        <v>0</v>
      </c>
      <c r="Q12" s="22">
        <f>2559+1188+1273+2587</f>
        <v>7607</v>
      </c>
      <c r="R12" s="33">
        <v>105</v>
      </c>
      <c r="S12" s="33">
        <v>17</v>
      </c>
      <c r="T12" s="20">
        <v>77</v>
      </c>
      <c r="U12" s="20">
        <v>275</v>
      </c>
      <c r="V12" s="20">
        <v>74</v>
      </c>
      <c r="W12" s="20">
        <v>136</v>
      </c>
      <c r="X12" s="47">
        <v>0</v>
      </c>
      <c r="Y12" s="75"/>
      <c r="Z12" s="58"/>
      <c r="AA12" s="79" t="s">
        <v>72</v>
      </c>
      <c r="AB12" s="80"/>
    </row>
    <row r="13" spans="1:28" ht="15" customHeight="1" x14ac:dyDescent="0.2">
      <c r="A13" s="21">
        <v>43780</v>
      </c>
      <c r="B13" s="40">
        <v>66.319999999999993</v>
      </c>
      <c r="C13" s="22">
        <v>3.54</v>
      </c>
      <c r="D13" s="23">
        <v>5.71</v>
      </c>
      <c r="E13" s="23">
        <v>5.93</v>
      </c>
      <c r="F13" s="23">
        <v>1.82</v>
      </c>
      <c r="G13" s="23">
        <v>2.04</v>
      </c>
      <c r="H13" s="23">
        <v>2.7</v>
      </c>
      <c r="I13" s="23">
        <v>1.26</v>
      </c>
      <c r="J13" s="23">
        <v>1.71</v>
      </c>
      <c r="K13" s="23">
        <v>3.71</v>
      </c>
      <c r="L13" s="38">
        <v>9463</v>
      </c>
      <c r="M13" s="38">
        <v>8071</v>
      </c>
      <c r="N13" s="38">
        <v>5209</v>
      </c>
      <c r="O13" s="38">
        <v>5115</v>
      </c>
      <c r="P13" s="38">
        <v>0</v>
      </c>
      <c r="Q13" s="22">
        <f>2581+2228+2331+1493</f>
        <v>8633</v>
      </c>
      <c r="R13" s="33">
        <v>113</v>
      </c>
      <c r="S13" s="33">
        <v>19</v>
      </c>
      <c r="T13" s="20">
        <v>83</v>
      </c>
      <c r="U13" s="20">
        <v>264</v>
      </c>
      <c r="V13" s="20">
        <v>65</v>
      </c>
      <c r="W13" s="20">
        <v>149</v>
      </c>
      <c r="X13" s="47">
        <v>0</v>
      </c>
      <c r="Y13" s="75"/>
      <c r="Z13" s="59" t="s">
        <v>69</v>
      </c>
      <c r="AA13" s="81">
        <v>7000</v>
      </c>
      <c r="AB13" s="82"/>
    </row>
    <row r="14" spans="1:28" ht="15" customHeight="1" x14ac:dyDescent="0.2">
      <c r="A14" s="21">
        <v>43781</v>
      </c>
      <c r="B14" s="40">
        <v>63.16</v>
      </c>
      <c r="C14" s="22">
        <v>3.77</v>
      </c>
      <c r="D14" s="23">
        <v>5.79</v>
      </c>
      <c r="E14" s="23">
        <v>6</v>
      </c>
      <c r="F14" s="23">
        <v>2.2400000000000002</v>
      </c>
      <c r="G14" s="23">
        <v>2.75</v>
      </c>
      <c r="H14" s="23">
        <v>2.4</v>
      </c>
      <c r="I14" s="23">
        <v>1.4</v>
      </c>
      <c r="J14" s="23">
        <v>1.89</v>
      </c>
      <c r="K14" s="23">
        <v>3.92</v>
      </c>
      <c r="L14" s="38">
        <v>0</v>
      </c>
      <c r="M14" s="38">
        <v>12368</v>
      </c>
      <c r="N14" s="38">
        <v>11147</v>
      </c>
      <c r="O14" s="38">
        <v>7085</v>
      </c>
      <c r="P14" s="38">
        <v>0</v>
      </c>
      <c r="Q14" s="38">
        <f>3523+3100+2293</f>
        <v>8916</v>
      </c>
      <c r="R14" s="33">
        <v>105</v>
      </c>
      <c r="S14" s="33">
        <v>39</v>
      </c>
      <c r="T14" s="20">
        <v>80</v>
      </c>
      <c r="U14" s="20">
        <v>270</v>
      </c>
      <c r="V14" s="20">
        <v>70</v>
      </c>
      <c r="W14" s="20">
        <v>143</v>
      </c>
      <c r="X14" s="47">
        <v>0</v>
      </c>
      <c r="Y14" s="75"/>
      <c r="Z14" s="59" t="s">
        <v>70</v>
      </c>
      <c r="AA14" s="81">
        <v>3300</v>
      </c>
      <c r="AB14" s="82"/>
    </row>
    <row r="15" spans="1:28" ht="15" x14ac:dyDescent="0.2">
      <c r="A15" s="21">
        <v>43782</v>
      </c>
      <c r="B15" s="40">
        <v>68.430000000000007</v>
      </c>
      <c r="C15" s="22">
        <v>3.81</v>
      </c>
      <c r="D15" s="23">
        <v>5.85</v>
      </c>
      <c r="E15" s="23">
        <v>5.99</v>
      </c>
      <c r="F15" s="23">
        <v>2.19</v>
      </c>
      <c r="G15" s="23">
        <v>2.2400000000000002</v>
      </c>
      <c r="H15" s="23">
        <v>2.08</v>
      </c>
      <c r="I15" s="23">
        <v>1.37</v>
      </c>
      <c r="J15" s="23">
        <v>1.79</v>
      </c>
      <c r="K15" s="23">
        <v>3.84</v>
      </c>
      <c r="L15" s="38">
        <v>13031</v>
      </c>
      <c r="M15" s="38">
        <v>5493</v>
      </c>
      <c r="N15" s="38">
        <v>0</v>
      </c>
      <c r="O15" s="38">
        <v>13473</v>
      </c>
      <c r="P15" s="38">
        <v>0</v>
      </c>
      <c r="Q15" s="22">
        <f>3511+1503+4200</f>
        <v>9214</v>
      </c>
      <c r="R15" s="33">
        <v>106</v>
      </c>
      <c r="S15" s="33">
        <v>53</v>
      </c>
      <c r="T15" s="20">
        <v>84</v>
      </c>
      <c r="U15" s="20">
        <v>274</v>
      </c>
      <c r="V15" s="20">
        <v>77</v>
      </c>
      <c r="W15" s="20">
        <v>141</v>
      </c>
      <c r="X15" s="47">
        <v>0</v>
      </c>
      <c r="Y15" s="75"/>
      <c r="Z15" s="49"/>
      <c r="AA15" s="52" t="s">
        <v>68</v>
      </c>
      <c r="AB15" s="45">
        <v>10300</v>
      </c>
    </row>
    <row r="16" spans="1:28" ht="15" customHeight="1" x14ac:dyDescent="0.2">
      <c r="A16" s="21">
        <v>43783</v>
      </c>
      <c r="B16" s="40">
        <v>87.67</v>
      </c>
      <c r="C16" s="22">
        <v>3.73</v>
      </c>
      <c r="D16" s="23">
        <v>5.97</v>
      </c>
      <c r="E16" s="23">
        <v>5.82</v>
      </c>
      <c r="F16" s="23">
        <v>2</v>
      </c>
      <c r="G16" s="23">
        <v>2.5299999999999998</v>
      </c>
      <c r="H16" s="23">
        <v>2.57</v>
      </c>
      <c r="I16" s="23">
        <v>1.42</v>
      </c>
      <c r="J16" s="23">
        <v>1.95</v>
      </c>
      <c r="K16" s="23">
        <v>3.88</v>
      </c>
      <c r="L16" s="38">
        <v>0</v>
      </c>
      <c r="M16" s="38">
        <v>13883</v>
      </c>
      <c r="N16" s="38">
        <v>8501</v>
      </c>
      <c r="O16" s="38">
        <v>9133</v>
      </c>
      <c r="P16" s="38">
        <v>0</v>
      </c>
      <c r="Q16" s="22">
        <f>3943+2253+3058</f>
        <v>9254</v>
      </c>
      <c r="R16" s="33">
        <v>122</v>
      </c>
      <c r="S16" s="33">
        <v>38</v>
      </c>
      <c r="T16" s="20">
        <v>102</v>
      </c>
      <c r="U16" s="20">
        <v>303</v>
      </c>
      <c r="V16" s="20">
        <v>72</v>
      </c>
      <c r="W16" s="20">
        <v>155</v>
      </c>
      <c r="X16" s="47">
        <v>0</v>
      </c>
      <c r="Y16" s="75"/>
      <c r="Z16" s="76"/>
      <c r="AA16" s="77"/>
      <c r="AB16" s="78"/>
    </row>
    <row r="17" spans="1:29" ht="15" customHeight="1" x14ac:dyDescent="0.2">
      <c r="A17" s="21">
        <v>43784</v>
      </c>
      <c r="B17" s="40">
        <v>87.67</v>
      </c>
      <c r="C17" s="22">
        <v>4.03</v>
      </c>
      <c r="D17" s="23">
        <v>5.85</v>
      </c>
      <c r="E17" s="23">
        <v>5.93</v>
      </c>
      <c r="F17" s="23">
        <v>1.97</v>
      </c>
      <c r="G17" s="23">
        <v>2.69</v>
      </c>
      <c r="H17" s="23">
        <v>2.71</v>
      </c>
      <c r="I17" s="23">
        <v>1.42</v>
      </c>
      <c r="J17" s="23">
        <v>1.78</v>
      </c>
      <c r="K17" s="23">
        <v>3.96</v>
      </c>
      <c r="L17" s="38">
        <v>8598</v>
      </c>
      <c r="M17" s="38">
        <v>9281</v>
      </c>
      <c r="N17" s="38">
        <v>3849</v>
      </c>
      <c r="O17" s="38">
        <v>8212</v>
      </c>
      <c r="P17" s="38">
        <v>0</v>
      </c>
      <c r="Q17" s="22">
        <f>2968+2527+1169+2266</f>
        <v>8930</v>
      </c>
      <c r="R17" s="33">
        <v>108</v>
      </c>
      <c r="S17" s="33">
        <v>39</v>
      </c>
      <c r="T17" s="20">
        <v>79</v>
      </c>
      <c r="U17" s="20">
        <v>340</v>
      </c>
      <c r="V17" s="20">
        <v>79</v>
      </c>
      <c r="W17" s="20">
        <v>128</v>
      </c>
      <c r="X17" s="47">
        <v>0</v>
      </c>
      <c r="Y17" s="75"/>
      <c r="Z17" s="76"/>
      <c r="AA17" s="77"/>
      <c r="AB17" s="78"/>
    </row>
    <row r="18" spans="1:29" ht="15" customHeight="1" x14ac:dyDescent="0.2">
      <c r="A18" s="21">
        <v>43785</v>
      </c>
      <c r="B18" s="40">
        <v>87.67</v>
      </c>
      <c r="C18" s="22">
        <v>3.79</v>
      </c>
      <c r="D18" s="23">
        <v>5.72</v>
      </c>
      <c r="E18" s="23">
        <v>6.08</v>
      </c>
      <c r="F18" s="23">
        <v>1.83</v>
      </c>
      <c r="G18" s="23">
        <v>2.4300000000000002</v>
      </c>
      <c r="H18" s="23">
        <v>2.79</v>
      </c>
      <c r="I18" s="23">
        <v>1.17</v>
      </c>
      <c r="J18" s="23">
        <v>1.75</v>
      </c>
      <c r="K18" s="23">
        <v>3.61</v>
      </c>
      <c r="L18" s="38">
        <v>10937</v>
      </c>
      <c r="M18" s="38">
        <v>7713</v>
      </c>
      <c r="N18" s="38">
        <v>8607</v>
      </c>
      <c r="O18" s="38">
        <v>5092</v>
      </c>
      <c r="P18" s="38">
        <v>0</v>
      </c>
      <c r="Q18" s="22">
        <f>2960+2136+2359+1586</f>
        <v>9041</v>
      </c>
      <c r="R18" s="33">
        <v>119</v>
      </c>
      <c r="S18" s="33">
        <v>27</v>
      </c>
      <c r="T18" s="20">
        <v>83</v>
      </c>
      <c r="U18" s="20">
        <v>281</v>
      </c>
      <c r="V18" s="20">
        <v>67</v>
      </c>
      <c r="W18" s="20">
        <v>142</v>
      </c>
      <c r="X18" s="47">
        <v>0</v>
      </c>
      <c r="Y18" s="75"/>
      <c r="Z18" s="76"/>
      <c r="AA18" s="77"/>
      <c r="AB18" s="78"/>
    </row>
    <row r="19" spans="1:29" ht="15" customHeight="1" x14ac:dyDescent="0.2">
      <c r="A19" s="21">
        <v>43786</v>
      </c>
      <c r="B19" s="40">
        <v>80.819999999999993</v>
      </c>
      <c r="C19" s="22">
        <v>3.52</v>
      </c>
      <c r="D19" s="23">
        <v>5.37</v>
      </c>
      <c r="E19" s="23">
        <v>5.72</v>
      </c>
      <c r="F19" s="23">
        <v>1.64</v>
      </c>
      <c r="G19" s="23">
        <v>2.46</v>
      </c>
      <c r="H19" s="23">
        <v>2.58</v>
      </c>
      <c r="I19" s="23">
        <v>1.4</v>
      </c>
      <c r="J19" s="23">
        <v>1.8</v>
      </c>
      <c r="K19" s="23">
        <v>3.7</v>
      </c>
      <c r="L19" s="38">
        <v>0</v>
      </c>
      <c r="M19" s="38">
        <v>14649</v>
      </c>
      <c r="N19" s="38">
        <v>4007</v>
      </c>
      <c r="O19" s="38">
        <v>10602</v>
      </c>
      <c r="P19" s="38">
        <v>0</v>
      </c>
      <c r="Q19" s="22">
        <f>4135+1095+3553</f>
        <v>8783</v>
      </c>
      <c r="R19" s="33">
        <v>109</v>
      </c>
      <c r="S19" s="33">
        <v>39</v>
      </c>
      <c r="T19" s="20">
        <v>71</v>
      </c>
      <c r="U19" s="20">
        <v>248</v>
      </c>
      <c r="V19" s="20">
        <v>80</v>
      </c>
      <c r="W19" s="20">
        <v>140</v>
      </c>
      <c r="X19" s="47">
        <v>0</v>
      </c>
      <c r="Y19" s="75"/>
      <c r="Z19" s="76"/>
      <c r="AA19" s="77"/>
      <c r="AB19" s="78"/>
    </row>
    <row r="20" spans="1:29" ht="15" customHeight="1" x14ac:dyDescent="0.2">
      <c r="A20" s="21">
        <v>43787</v>
      </c>
      <c r="B20" s="40">
        <v>83.82</v>
      </c>
      <c r="C20" s="22">
        <v>3.52</v>
      </c>
      <c r="D20" s="23">
        <v>5.14</v>
      </c>
      <c r="E20" s="23">
        <v>5.92</v>
      </c>
      <c r="F20" s="23">
        <v>1.74</v>
      </c>
      <c r="G20" s="23">
        <v>2.41</v>
      </c>
      <c r="H20" s="23">
        <v>2.64</v>
      </c>
      <c r="I20" s="23">
        <v>1.4</v>
      </c>
      <c r="J20" s="23">
        <v>1.96</v>
      </c>
      <c r="K20" s="23">
        <v>3.86</v>
      </c>
      <c r="L20" s="38">
        <v>12964</v>
      </c>
      <c r="M20" s="38">
        <v>4365</v>
      </c>
      <c r="N20" s="38">
        <v>8505</v>
      </c>
      <c r="O20" s="38">
        <v>4705</v>
      </c>
      <c r="P20" s="38">
        <v>0</v>
      </c>
      <c r="Q20" s="22">
        <f>3494+1253+2365+1583</f>
        <v>8695</v>
      </c>
      <c r="R20" s="33">
        <v>138</v>
      </c>
      <c r="S20" s="33">
        <v>34</v>
      </c>
      <c r="T20" s="20">
        <v>71</v>
      </c>
      <c r="U20" s="20">
        <v>250</v>
      </c>
      <c r="V20" s="20">
        <v>82</v>
      </c>
      <c r="W20" s="20">
        <v>139</v>
      </c>
      <c r="X20" s="47">
        <v>0</v>
      </c>
      <c r="Y20" s="75"/>
      <c r="Z20" s="76"/>
      <c r="AA20" s="77"/>
      <c r="AB20" s="78"/>
    </row>
    <row r="21" spans="1:29" ht="15" customHeight="1" x14ac:dyDescent="0.2">
      <c r="A21" s="21">
        <v>43788</v>
      </c>
      <c r="B21" s="40">
        <v>80.260000000000005</v>
      </c>
      <c r="C21" s="22">
        <v>3.6</v>
      </c>
      <c r="D21" s="23">
        <v>5.5</v>
      </c>
      <c r="E21" s="23">
        <v>5.91</v>
      </c>
      <c r="F21" s="23">
        <v>1.86</v>
      </c>
      <c r="G21" s="23">
        <v>2.82</v>
      </c>
      <c r="H21" s="23">
        <v>2.38</v>
      </c>
      <c r="I21" s="23">
        <v>1.38</v>
      </c>
      <c r="J21" s="23">
        <v>1.83</v>
      </c>
      <c r="K21" s="23">
        <v>4.01</v>
      </c>
      <c r="L21" s="38">
        <v>6076</v>
      </c>
      <c r="M21" s="38">
        <v>8737</v>
      </c>
      <c r="N21" s="38">
        <v>5446</v>
      </c>
      <c r="O21" s="38">
        <v>10124</v>
      </c>
      <c r="P21" s="38">
        <v>0</v>
      </c>
      <c r="Q21" s="22">
        <f>1686+2498+1563+3396</f>
        <v>9143</v>
      </c>
      <c r="R21" s="33">
        <v>102</v>
      </c>
      <c r="S21" s="33">
        <v>37</v>
      </c>
      <c r="T21" s="20">
        <v>82</v>
      </c>
      <c r="U21" s="20">
        <v>279</v>
      </c>
      <c r="V21" s="20">
        <v>77</v>
      </c>
      <c r="W21" s="20">
        <v>137</v>
      </c>
      <c r="X21" s="47">
        <v>0</v>
      </c>
      <c r="Y21" s="75"/>
      <c r="Z21" s="76"/>
      <c r="AA21" s="77"/>
      <c r="AB21" s="78"/>
      <c r="AC21" s="24"/>
    </row>
    <row r="22" spans="1:29" ht="15" customHeight="1" x14ac:dyDescent="0.2">
      <c r="A22" s="21">
        <v>43789</v>
      </c>
      <c r="B22" s="40">
        <v>66.319999999999993</v>
      </c>
      <c r="C22" s="22">
        <v>3.77</v>
      </c>
      <c r="D22" s="23">
        <v>5.35</v>
      </c>
      <c r="E22" s="23">
        <v>5.85</v>
      </c>
      <c r="F22" s="23">
        <v>1.71</v>
      </c>
      <c r="G22" s="23">
        <v>2.46</v>
      </c>
      <c r="H22" s="23">
        <v>2.58</v>
      </c>
      <c r="I22" s="23">
        <v>1.34</v>
      </c>
      <c r="J22" s="23">
        <v>1.82</v>
      </c>
      <c r="K22" s="23">
        <v>3.75</v>
      </c>
      <c r="L22" s="38">
        <v>9292</v>
      </c>
      <c r="M22" s="38">
        <v>0</v>
      </c>
      <c r="N22" s="38">
        <v>10761</v>
      </c>
      <c r="O22" s="38">
        <v>9326</v>
      </c>
      <c r="P22" s="38">
        <v>0</v>
      </c>
      <c r="Q22" s="22">
        <f>2728+3174+2939</f>
        <v>8841</v>
      </c>
      <c r="R22" s="33">
        <v>80</v>
      </c>
      <c r="S22" s="33">
        <v>33</v>
      </c>
      <c r="T22" s="20">
        <v>70</v>
      </c>
      <c r="U22" s="20">
        <v>261</v>
      </c>
      <c r="V22" s="20">
        <v>66</v>
      </c>
      <c r="W22" s="20">
        <v>90</v>
      </c>
      <c r="X22" s="47">
        <v>0</v>
      </c>
      <c r="Y22" s="75"/>
      <c r="Z22" s="76"/>
      <c r="AA22" s="77"/>
      <c r="AB22" s="78"/>
      <c r="AC22" s="24"/>
    </row>
    <row r="23" spans="1:29" ht="15" customHeight="1" x14ac:dyDescent="0.2">
      <c r="A23" s="21">
        <v>43790</v>
      </c>
      <c r="B23" s="40">
        <v>67.37</v>
      </c>
      <c r="C23" s="22">
        <v>3.95</v>
      </c>
      <c r="D23" s="23">
        <v>5.36</v>
      </c>
      <c r="E23" s="23">
        <v>5.91</v>
      </c>
      <c r="F23" s="23">
        <v>1.77</v>
      </c>
      <c r="G23" s="23">
        <v>2.56</v>
      </c>
      <c r="H23" s="23">
        <v>2.31</v>
      </c>
      <c r="I23" s="23">
        <v>1.31</v>
      </c>
      <c r="J23" s="23">
        <v>1.94</v>
      </c>
      <c r="K23" s="23">
        <v>3.84</v>
      </c>
      <c r="L23" s="38">
        <v>4903</v>
      </c>
      <c r="M23" s="38">
        <v>8674</v>
      </c>
      <c r="N23" s="38">
        <v>8892</v>
      </c>
      <c r="O23" s="38">
        <v>7314</v>
      </c>
      <c r="P23" s="38">
        <v>0</v>
      </c>
      <c r="Q23" s="22">
        <f>1362+2466+2786+2456</f>
        <v>9070</v>
      </c>
      <c r="R23" s="33">
        <v>83</v>
      </c>
      <c r="S23" s="33">
        <v>43</v>
      </c>
      <c r="T23" s="20">
        <v>75</v>
      </c>
      <c r="U23" s="20">
        <v>260</v>
      </c>
      <c r="V23" s="20">
        <v>71</v>
      </c>
      <c r="W23" s="20">
        <v>116</v>
      </c>
      <c r="X23" s="47">
        <v>0</v>
      </c>
      <c r="Y23" s="75"/>
      <c r="Z23" s="76"/>
      <c r="AA23" s="77"/>
      <c r="AB23" s="78"/>
      <c r="AC23" s="24"/>
    </row>
    <row r="24" spans="1:29" ht="15" customHeight="1" x14ac:dyDescent="0.2">
      <c r="A24" s="21">
        <v>43791</v>
      </c>
      <c r="B24" s="23">
        <v>65.260000000000005</v>
      </c>
      <c r="C24" s="22">
        <v>4.1900000000000004</v>
      </c>
      <c r="D24" s="23">
        <v>5.82</v>
      </c>
      <c r="E24" s="23">
        <v>5.76</v>
      </c>
      <c r="F24" s="23">
        <v>1.64</v>
      </c>
      <c r="G24" s="23">
        <v>2.7</v>
      </c>
      <c r="H24" s="23">
        <v>2.48</v>
      </c>
      <c r="I24" s="23">
        <v>1.39</v>
      </c>
      <c r="J24" s="23">
        <v>1.76</v>
      </c>
      <c r="K24" s="23">
        <v>3.97</v>
      </c>
      <c r="L24" s="38">
        <v>6826</v>
      </c>
      <c r="M24" s="38">
        <v>13927</v>
      </c>
      <c r="N24" s="38">
        <v>9225</v>
      </c>
      <c r="O24" s="38">
        <v>1175</v>
      </c>
      <c r="P24" s="38">
        <v>0</v>
      </c>
      <c r="Q24" s="22">
        <f>1838+3983+2516+439</f>
        <v>8776</v>
      </c>
      <c r="R24" s="33">
        <v>82</v>
      </c>
      <c r="S24" s="33">
        <v>36</v>
      </c>
      <c r="T24" s="20">
        <v>73</v>
      </c>
      <c r="U24" s="20">
        <v>254</v>
      </c>
      <c r="V24" s="20">
        <v>86</v>
      </c>
      <c r="W24" s="20">
        <v>181</v>
      </c>
      <c r="X24" s="47">
        <v>0</v>
      </c>
      <c r="Y24" s="75"/>
      <c r="Z24" s="76"/>
      <c r="AA24" s="77"/>
      <c r="AB24" s="78"/>
      <c r="AC24" s="24"/>
    </row>
    <row r="25" spans="1:29" ht="15" customHeight="1" x14ac:dyDescent="0.2">
      <c r="A25" s="21">
        <v>43792</v>
      </c>
      <c r="B25" s="40">
        <v>71.58</v>
      </c>
      <c r="C25" s="22">
        <v>4.07</v>
      </c>
      <c r="D25" s="23">
        <v>6.05</v>
      </c>
      <c r="E25" s="23">
        <v>6.05</v>
      </c>
      <c r="F25" s="23">
        <v>1.58</v>
      </c>
      <c r="G25" s="23">
        <v>2.61</v>
      </c>
      <c r="H25" s="23">
        <v>2.4</v>
      </c>
      <c r="I25" s="23">
        <v>1.25</v>
      </c>
      <c r="J25" s="23">
        <v>2</v>
      </c>
      <c r="K25" s="23">
        <v>3.8</v>
      </c>
      <c r="L25" s="38">
        <v>8227</v>
      </c>
      <c r="M25" s="38">
        <v>8159</v>
      </c>
      <c r="N25" s="38">
        <v>8649</v>
      </c>
      <c r="O25" s="38">
        <v>6414</v>
      </c>
      <c r="P25" s="38">
        <v>604</v>
      </c>
      <c r="Q25" s="22">
        <f>2210+2306+2388+2139+234</f>
        <v>9277</v>
      </c>
      <c r="R25" s="33">
        <v>82</v>
      </c>
      <c r="S25" s="33">
        <v>30</v>
      </c>
      <c r="T25" s="20">
        <v>82</v>
      </c>
      <c r="U25" s="20">
        <v>168</v>
      </c>
      <c r="V25" s="20">
        <v>72</v>
      </c>
      <c r="W25" s="20">
        <v>153</v>
      </c>
      <c r="X25" s="47">
        <v>0</v>
      </c>
      <c r="Y25" s="75"/>
      <c r="Z25" s="76"/>
      <c r="AA25" s="77"/>
      <c r="AB25" s="78"/>
      <c r="AC25" s="24"/>
    </row>
    <row r="26" spans="1:29" ht="15" customHeight="1" x14ac:dyDescent="0.2">
      <c r="A26" s="21">
        <v>43793</v>
      </c>
      <c r="B26" s="40">
        <v>67.37</v>
      </c>
      <c r="C26" s="22">
        <v>4.05</v>
      </c>
      <c r="D26" s="23">
        <v>5.88</v>
      </c>
      <c r="E26" s="23">
        <v>6.08</v>
      </c>
      <c r="F26" s="23">
        <v>1.76</v>
      </c>
      <c r="G26" s="23">
        <v>2.1</v>
      </c>
      <c r="H26" s="23">
        <v>2.44</v>
      </c>
      <c r="I26" s="23">
        <v>1.42</v>
      </c>
      <c r="J26" s="23">
        <v>1.98</v>
      </c>
      <c r="K26" s="23">
        <v>3.87</v>
      </c>
      <c r="L26" s="38">
        <v>7959</v>
      </c>
      <c r="M26" s="38">
        <v>4979</v>
      </c>
      <c r="N26" s="38">
        <v>9599</v>
      </c>
      <c r="O26" s="38">
        <v>8216</v>
      </c>
      <c r="P26" s="38">
        <v>0</v>
      </c>
      <c r="Q26" s="22">
        <f>2210+1430+2698+2728</f>
        <v>9066</v>
      </c>
      <c r="R26" s="33">
        <v>69</v>
      </c>
      <c r="S26" s="33">
        <v>53</v>
      </c>
      <c r="T26" s="20">
        <v>59</v>
      </c>
      <c r="U26" s="20">
        <v>254</v>
      </c>
      <c r="V26" s="20">
        <v>76</v>
      </c>
      <c r="W26" s="20">
        <v>155</v>
      </c>
      <c r="X26" s="47">
        <v>0</v>
      </c>
      <c r="Y26" s="75"/>
      <c r="Z26" s="76"/>
      <c r="AA26" s="77"/>
      <c r="AB26" s="78"/>
      <c r="AC26" s="24"/>
    </row>
    <row r="27" spans="1:29" ht="15" customHeight="1" x14ac:dyDescent="0.2">
      <c r="A27" s="21">
        <v>43794</v>
      </c>
      <c r="B27" s="40">
        <v>68.42</v>
      </c>
      <c r="C27" s="22">
        <v>3.38</v>
      </c>
      <c r="D27" s="23">
        <v>5.28</v>
      </c>
      <c r="E27" s="23">
        <v>5.73</v>
      </c>
      <c r="F27" s="23">
        <v>1.54</v>
      </c>
      <c r="G27" s="23">
        <v>2.14</v>
      </c>
      <c r="H27" s="23">
        <v>2.4500000000000002</v>
      </c>
      <c r="I27" s="23">
        <v>1.43</v>
      </c>
      <c r="J27" s="23">
        <v>1.75</v>
      </c>
      <c r="K27" s="23">
        <v>4</v>
      </c>
      <c r="L27" s="38">
        <v>8012</v>
      </c>
      <c r="M27" s="38">
        <v>5363</v>
      </c>
      <c r="N27" s="38">
        <v>5209</v>
      </c>
      <c r="O27" s="38">
        <v>9327</v>
      </c>
      <c r="P27" s="38">
        <v>1560</v>
      </c>
      <c r="Q27" s="22">
        <f>2188+1576+1463+3100+432</f>
        <v>8759</v>
      </c>
      <c r="R27" s="33">
        <v>87</v>
      </c>
      <c r="S27" s="33">
        <v>22</v>
      </c>
      <c r="T27" s="20">
        <v>73</v>
      </c>
      <c r="U27" s="20">
        <v>106</v>
      </c>
      <c r="V27" s="20">
        <v>84</v>
      </c>
      <c r="W27" s="20">
        <v>62</v>
      </c>
      <c r="X27" s="47">
        <v>0</v>
      </c>
      <c r="Y27" s="75"/>
      <c r="Z27" s="76"/>
      <c r="AA27" s="77"/>
      <c r="AB27" s="78"/>
      <c r="AC27" s="24"/>
    </row>
    <row r="28" spans="1:29" ht="15" customHeight="1" x14ac:dyDescent="0.2">
      <c r="A28" s="21">
        <v>43795</v>
      </c>
      <c r="B28" s="40">
        <v>85.53</v>
      </c>
      <c r="C28" s="22">
        <v>3.27</v>
      </c>
      <c r="D28" s="23">
        <v>5.16</v>
      </c>
      <c r="E28" s="23">
        <v>5.43</v>
      </c>
      <c r="F28" s="23">
        <v>1.66</v>
      </c>
      <c r="G28" s="23">
        <v>2.5</v>
      </c>
      <c r="H28" s="23">
        <v>2.34</v>
      </c>
      <c r="I28" s="23">
        <v>1.43</v>
      </c>
      <c r="J28" s="23">
        <v>1.64</v>
      </c>
      <c r="K28" s="23">
        <v>3.99</v>
      </c>
      <c r="L28" s="38">
        <v>4357</v>
      </c>
      <c r="M28" s="38">
        <v>8753</v>
      </c>
      <c r="N28" s="38">
        <v>5871</v>
      </c>
      <c r="O28" s="38">
        <v>5578</v>
      </c>
      <c r="P28" s="38">
        <v>0</v>
      </c>
      <c r="Q28" s="22">
        <f>1156+2487+2123+1875</f>
        <v>7641</v>
      </c>
      <c r="R28" s="33">
        <v>80</v>
      </c>
      <c r="S28" s="33">
        <v>66</v>
      </c>
      <c r="T28" s="20">
        <v>59</v>
      </c>
      <c r="U28" s="20">
        <v>2</v>
      </c>
      <c r="V28" s="20">
        <v>66</v>
      </c>
      <c r="W28" s="20">
        <v>82</v>
      </c>
      <c r="X28" s="47">
        <v>0</v>
      </c>
      <c r="Y28" s="75"/>
      <c r="Z28" s="76"/>
      <c r="AA28" s="77"/>
      <c r="AB28" s="78"/>
      <c r="AC28" s="24"/>
    </row>
    <row r="29" spans="1:29" ht="15" customHeight="1" x14ac:dyDescent="0.2">
      <c r="A29" s="21">
        <v>43796</v>
      </c>
      <c r="B29" s="40">
        <v>78.95</v>
      </c>
      <c r="C29" s="22">
        <v>3.4</v>
      </c>
      <c r="D29" s="23">
        <v>5.47</v>
      </c>
      <c r="E29" s="23">
        <v>5.59</v>
      </c>
      <c r="F29" s="23">
        <v>1.79</v>
      </c>
      <c r="G29" s="23">
        <v>2.4</v>
      </c>
      <c r="H29" s="23">
        <v>2.5099999999999998</v>
      </c>
      <c r="I29" s="23">
        <v>1.46</v>
      </c>
      <c r="J29" s="23">
        <v>1.76</v>
      </c>
      <c r="K29" s="23">
        <v>3.98</v>
      </c>
      <c r="L29" s="38">
        <v>10601</v>
      </c>
      <c r="M29" s="38">
        <v>4412</v>
      </c>
      <c r="N29" s="38">
        <v>4383</v>
      </c>
      <c r="O29" s="38">
        <v>10543</v>
      </c>
      <c r="P29" s="38">
        <v>0</v>
      </c>
      <c r="Q29" s="22">
        <f>2812+1270+1208+3415</f>
        <v>8705</v>
      </c>
      <c r="R29" s="33">
        <v>85</v>
      </c>
      <c r="S29" s="33">
        <v>20</v>
      </c>
      <c r="T29" s="20">
        <v>58</v>
      </c>
      <c r="U29" s="20">
        <v>0</v>
      </c>
      <c r="V29" s="20">
        <v>68</v>
      </c>
      <c r="W29" s="20">
        <v>167</v>
      </c>
      <c r="X29" s="47">
        <v>0</v>
      </c>
      <c r="Y29" s="75"/>
      <c r="Z29" s="76"/>
      <c r="AA29" s="77"/>
      <c r="AB29" s="78"/>
      <c r="AC29" s="24"/>
    </row>
    <row r="30" spans="1:29" ht="15" customHeight="1" x14ac:dyDescent="0.2">
      <c r="A30" s="21">
        <v>43797</v>
      </c>
      <c r="B30" s="40">
        <v>68.42</v>
      </c>
      <c r="C30" s="22">
        <v>3.29</v>
      </c>
      <c r="D30" s="23">
        <v>5.28</v>
      </c>
      <c r="E30" s="23">
        <v>5.53</v>
      </c>
      <c r="F30" s="23">
        <v>1.62</v>
      </c>
      <c r="G30" s="23">
        <v>2.4</v>
      </c>
      <c r="H30" s="23">
        <v>2.4700000000000002</v>
      </c>
      <c r="I30" s="23">
        <v>1.42</v>
      </c>
      <c r="J30" s="23">
        <v>1.81</v>
      </c>
      <c r="K30" s="23">
        <v>4</v>
      </c>
      <c r="L30" s="38">
        <v>0</v>
      </c>
      <c r="M30" s="38">
        <v>14425</v>
      </c>
      <c r="N30" s="38">
        <v>14372</v>
      </c>
      <c r="O30" s="38">
        <v>0</v>
      </c>
      <c r="P30" s="38">
        <v>0</v>
      </c>
      <c r="Q30" s="22">
        <f>4090+3959</f>
        <v>8049</v>
      </c>
      <c r="R30" s="33">
        <v>90</v>
      </c>
      <c r="S30" s="33">
        <v>73</v>
      </c>
      <c r="T30" s="20">
        <v>61</v>
      </c>
      <c r="U30" s="20">
        <v>0</v>
      </c>
      <c r="V30" s="20">
        <v>69</v>
      </c>
      <c r="W30" s="20">
        <v>92</v>
      </c>
      <c r="X30" s="47">
        <v>0</v>
      </c>
      <c r="Y30" s="75"/>
      <c r="Z30" s="76"/>
      <c r="AA30" s="77"/>
      <c r="AB30" s="78"/>
      <c r="AC30" s="24"/>
    </row>
    <row r="31" spans="1:29" ht="15" customHeight="1" x14ac:dyDescent="0.2">
      <c r="A31" s="21">
        <v>43798</v>
      </c>
      <c r="B31" s="40">
        <v>89.47</v>
      </c>
      <c r="C31" s="22">
        <v>2.94</v>
      </c>
      <c r="D31" s="23">
        <v>5.07</v>
      </c>
      <c r="E31" s="23">
        <v>5.37</v>
      </c>
      <c r="F31" s="23">
        <v>1.83</v>
      </c>
      <c r="G31" s="23">
        <v>2.06</v>
      </c>
      <c r="H31" s="23">
        <v>2.34</v>
      </c>
      <c r="I31" s="23">
        <v>1.43</v>
      </c>
      <c r="J31" s="23">
        <v>1.83</v>
      </c>
      <c r="K31" s="23">
        <v>3.92</v>
      </c>
      <c r="L31" s="38">
        <v>9809</v>
      </c>
      <c r="M31" s="38">
        <v>4376</v>
      </c>
      <c r="N31" s="38">
        <v>0</v>
      </c>
      <c r="O31" s="38">
        <v>13958</v>
      </c>
      <c r="P31" s="38">
        <v>0</v>
      </c>
      <c r="Q31" s="22">
        <f>2626+1263+4566</f>
        <v>8455</v>
      </c>
      <c r="R31" s="46">
        <v>86</v>
      </c>
      <c r="S31" s="46">
        <v>16</v>
      </c>
      <c r="T31" s="46">
        <v>73</v>
      </c>
      <c r="U31" s="46">
        <v>0</v>
      </c>
      <c r="V31" s="46">
        <v>85</v>
      </c>
      <c r="W31" s="46">
        <v>156</v>
      </c>
      <c r="X31" s="48">
        <v>0</v>
      </c>
      <c r="Y31" s="75"/>
      <c r="Z31" s="76"/>
      <c r="AA31" s="77"/>
      <c r="AB31" s="78"/>
      <c r="AC31" s="24"/>
    </row>
    <row r="32" spans="1:29" ht="15" customHeight="1" x14ac:dyDescent="0.2">
      <c r="A32" s="21">
        <v>43799</v>
      </c>
      <c r="B32" s="40">
        <v>85.53</v>
      </c>
      <c r="C32" s="22">
        <v>2.85</v>
      </c>
      <c r="D32" s="23">
        <v>5.16</v>
      </c>
      <c r="E32" s="23">
        <v>5.42</v>
      </c>
      <c r="F32" s="23">
        <v>1.93</v>
      </c>
      <c r="G32" s="23">
        <v>2.19</v>
      </c>
      <c r="H32" s="23">
        <v>2.14</v>
      </c>
      <c r="I32" s="23">
        <v>1.47</v>
      </c>
      <c r="J32" s="23">
        <v>1.72</v>
      </c>
      <c r="K32" s="23">
        <v>3.79</v>
      </c>
      <c r="L32" s="38">
        <v>2726</v>
      </c>
      <c r="M32" s="38">
        <v>10400</v>
      </c>
      <c r="N32" s="38">
        <v>12948</v>
      </c>
      <c r="O32" s="38">
        <v>0</v>
      </c>
      <c r="P32" s="38">
        <v>0</v>
      </c>
      <c r="Q32" s="22">
        <f>647+2909+3519</f>
        <v>7075</v>
      </c>
      <c r="R32" s="46">
        <v>85</v>
      </c>
      <c r="S32" s="46">
        <v>84</v>
      </c>
      <c r="T32" s="46">
        <v>82</v>
      </c>
      <c r="U32" s="46">
        <v>1</v>
      </c>
      <c r="V32" s="46">
        <v>64</v>
      </c>
      <c r="W32" s="46">
        <v>112</v>
      </c>
      <c r="X32" s="48">
        <v>0</v>
      </c>
      <c r="Y32" s="75"/>
      <c r="Z32" s="76"/>
      <c r="AA32" s="77"/>
      <c r="AB32" s="78"/>
      <c r="AC32" s="24"/>
    </row>
    <row r="33" spans="3:27" x14ac:dyDescent="0.2">
      <c r="C33" s="24"/>
    </row>
    <row r="39" spans="3:27" x14ac:dyDescent="0.2">
      <c r="X39" s="56"/>
      <c r="Y39" s="56"/>
      <c r="Z39" s="49"/>
      <c r="AA39" s="49"/>
    </row>
    <row r="40" spans="3:27" x14ac:dyDescent="0.2">
      <c r="X40" s="56"/>
      <c r="Y40" s="56"/>
      <c r="Z40" s="49"/>
      <c r="AA40" s="49"/>
    </row>
    <row r="41" spans="3:27" x14ac:dyDescent="0.2">
      <c r="X41" s="56"/>
      <c r="Y41" s="56"/>
      <c r="Z41" s="49"/>
      <c r="AA41" s="49"/>
    </row>
    <row r="42" spans="3:27" x14ac:dyDescent="0.2">
      <c r="X42" s="56"/>
      <c r="Y42" s="56"/>
      <c r="Z42" s="49"/>
      <c r="AA42" s="49"/>
    </row>
    <row r="43" spans="3:27" x14ac:dyDescent="0.2">
      <c r="X43" s="56"/>
      <c r="Y43" s="56"/>
      <c r="Z43" s="49"/>
      <c r="AA43" s="49"/>
    </row>
    <row r="44" spans="3:27" x14ac:dyDescent="0.2">
      <c r="X44" s="56"/>
      <c r="Y44" s="56"/>
      <c r="Z44" s="49"/>
      <c r="AA44" s="49"/>
    </row>
    <row r="45" spans="3:27" x14ac:dyDescent="0.2">
      <c r="X45" s="56"/>
      <c r="Y45" s="56"/>
      <c r="Z45" s="49"/>
      <c r="AA45" s="49"/>
    </row>
    <row r="46" spans="3:27" x14ac:dyDescent="0.2">
      <c r="X46" s="56"/>
      <c r="Y46" s="56"/>
      <c r="Z46" s="49"/>
      <c r="AA46" s="49"/>
    </row>
    <row r="47" spans="3:27" x14ac:dyDescent="0.2">
      <c r="X47" s="56"/>
      <c r="Y47" s="56"/>
      <c r="Z47" s="49"/>
      <c r="AA47" s="49"/>
    </row>
    <row r="48" spans="3:27" x14ac:dyDescent="0.2">
      <c r="X48" s="56"/>
      <c r="Y48" s="56"/>
      <c r="Z48" s="49"/>
      <c r="AA48" s="49"/>
    </row>
    <row r="49" spans="24:27" x14ac:dyDescent="0.2">
      <c r="X49" s="56"/>
      <c r="Y49" s="56"/>
      <c r="Z49" s="49"/>
      <c r="AA49" s="49"/>
    </row>
    <row r="50" spans="24:27" x14ac:dyDescent="0.2">
      <c r="X50" s="56"/>
      <c r="Y50" s="56"/>
      <c r="Z50" s="49"/>
      <c r="AA50" s="49"/>
    </row>
  </sheetData>
  <mergeCells count="8">
    <mergeCell ref="Z2:AB2"/>
    <mergeCell ref="Z3:AB3"/>
    <mergeCell ref="Z11:AB11"/>
    <mergeCell ref="Y3:Y32"/>
    <mergeCell ref="Z16:AB32"/>
    <mergeCell ref="AA12:AB12"/>
    <mergeCell ref="AA13:AB13"/>
    <mergeCell ref="AA14:AB14"/>
  </mergeCells>
  <phoneticPr fontId="2" type="noConversion"/>
  <pageMargins left="0.7" right="0.7" top="0.75" bottom="0.75" header="0.3" footer="0.3"/>
  <pageSetup scale="89" orientation="portrait" r:id="rId1"/>
  <colBreaks count="1" manualBreakCount="1">
    <brk id="17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cp:lastPrinted>2019-09-12T09:52:58Z</cp:lastPrinted>
  <dcterms:created xsi:type="dcterms:W3CDTF">2019-08-14T08:16:24Z</dcterms:created>
  <dcterms:modified xsi:type="dcterms:W3CDTF">2019-12-02T10:00:41Z</dcterms:modified>
</cp:coreProperties>
</file>