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P11" i="4" l="1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Z41" i="10"/>
  <c r="Y41" i="10"/>
  <c r="W41" i="10"/>
  <c r="U41" i="10"/>
  <c r="O41" i="10"/>
  <c r="M41" i="10"/>
  <c r="L41" i="10"/>
  <c r="K41" i="10"/>
  <c r="J41" i="10"/>
  <c r="F41" i="10"/>
  <c r="D41" i="10"/>
  <c r="I48" i="6"/>
  <c r="G48" i="6"/>
  <c r="E48" i="6"/>
  <c r="C48" i="6"/>
  <c r="AC43" i="4"/>
  <c r="Z43" i="4"/>
  <c r="W43" i="4"/>
  <c r="T43" i="4"/>
  <c r="Q43" i="4"/>
  <c r="N43" i="4"/>
  <c r="I43" i="4"/>
  <c r="G43" i="4"/>
  <c r="E43" i="4"/>
  <c r="C43" i="4"/>
  <c r="G17" i="6"/>
  <c r="E17" i="6"/>
  <c r="C17" i="6"/>
  <c r="G12" i="4"/>
  <c r="E12" i="4"/>
  <c r="C12" i="4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18" i="6"/>
  <c r="G18" i="6"/>
  <c r="E19" i="6"/>
  <c r="G19" i="6"/>
  <c r="E20" i="6"/>
  <c r="G20" i="6"/>
  <c r="E21" i="6"/>
  <c r="G21" i="6"/>
  <c r="E22" i="6"/>
  <c r="G22" i="6"/>
  <c r="E23" i="6"/>
  <c r="G23" i="6"/>
  <c r="E24" i="6"/>
  <c r="G24" i="6"/>
  <c r="E25" i="6"/>
  <c r="G25" i="6"/>
  <c r="E26" i="6"/>
  <c r="G26" i="6"/>
  <c r="E27" i="6"/>
  <c r="G27" i="6"/>
  <c r="E28" i="6"/>
  <c r="G28" i="6"/>
  <c r="E29" i="6"/>
  <c r="G29" i="6"/>
  <c r="E30" i="6"/>
  <c r="G30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3" i="4"/>
  <c r="E13" i="4"/>
  <c r="G13" i="4"/>
  <c r="C14" i="4"/>
  <c r="E14" i="4"/>
  <c r="G14" i="4"/>
  <c r="C15" i="4"/>
  <c r="E15" i="4"/>
  <c r="G15" i="4"/>
  <c r="C16" i="4"/>
  <c r="E16" i="4"/>
  <c r="G16" i="4"/>
  <c r="C17" i="4"/>
  <c r="E17" i="4"/>
  <c r="G17" i="4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9" i="4" l="1"/>
  <c r="J19" i="4"/>
  <c r="K19" i="4" s="1"/>
  <c r="M18" i="4"/>
  <c r="J18" i="4"/>
  <c r="K18" i="4" s="1"/>
  <c r="M17" i="4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J11" i="10" l="1"/>
  <c r="D11" i="10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C19" i="4" l="1"/>
  <c r="E19" i="4"/>
  <c r="G19" i="4"/>
  <c r="I19" i="4"/>
  <c r="I20" i="6" l="1"/>
  <c r="L14" i="10" s="1"/>
  <c r="M14" i="4" l="1"/>
  <c r="J14" i="4"/>
  <c r="K14" i="4" s="1"/>
  <c r="M13" i="4"/>
  <c r="J13" i="4"/>
  <c r="K13" i="4" s="1"/>
  <c r="M12" i="4"/>
  <c r="J12" i="4"/>
  <c r="K12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36" i="4" l="1"/>
  <c r="C36" i="4"/>
  <c r="E36" i="4"/>
  <c r="C35" i="4"/>
  <c r="E35" i="4"/>
  <c r="G35" i="4"/>
  <c r="G34" i="4"/>
  <c r="C34" i="4"/>
  <c r="E34" i="4"/>
  <c r="C29" i="4"/>
  <c r="E29" i="4"/>
  <c r="G29" i="4"/>
  <c r="C23" i="4"/>
  <c r="E23" i="4"/>
  <c r="G23" i="4"/>
  <c r="G28" i="4"/>
  <c r="C28" i="4"/>
  <c r="E28" i="4"/>
  <c r="G22" i="4"/>
  <c r="C22" i="4"/>
  <c r="E22" i="4"/>
  <c r="C27" i="4"/>
  <c r="E27" i="4"/>
  <c r="G27" i="4"/>
  <c r="C21" i="4"/>
  <c r="E21" i="4"/>
  <c r="G21" i="4"/>
  <c r="G26" i="4"/>
  <c r="C26" i="4"/>
  <c r="E26" i="4"/>
  <c r="G20" i="4"/>
  <c r="C20" i="4"/>
  <c r="E20" i="4"/>
  <c r="C31" i="4"/>
  <c r="E31" i="4"/>
  <c r="G31" i="4"/>
  <c r="C25" i="4"/>
  <c r="E25" i="4"/>
  <c r="G25" i="4"/>
  <c r="G18" i="4"/>
  <c r="C18" i="4"/>
  <c r="E18" i="4"/>
  <c r="G30" i="4"/>
  <c r="C30" i="4"/>
  <c r="E30" i="4"/>
  <c r="G24" i="4"/>
  <c r="C24" i="4"/>
  <c r="E24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E11" i="4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8" i="4"/>
  <c r="I17" i="4"/>
  <c r="L17" i="4"/>
  <c r="N17" i="4" s="1"/>
  <c r="O17" i="4" s="1"/>
  <c r="I40" i="4"/>
  <c r="I39" i="4"/>
  <c r="L39" i="4"/>
  <c r="N39" i="4" s="1"/>
  <c r="O39" i="4" s="1"/>
  <c r="I41" i="4"/>
  <c r="I13" i="4"/>
  <c r="I14" i="4"/>
  <c r="L12" i="4"/>
  <c r="N12" i="4" s="1"/>
  <c r="O12" i="4" s="1"/>
  <c r="I12" i="4"/>
  <c r="O11" i="4" l="1"/>
  <c r="U11" i="10"/>
  <c r="W11" i="10" s="1"/>
  <c r="U38" i="10"/>
  <c r="W38" i="10" s="1"/>
  <c r="U33" i="10"/>
  <c r="W33" i="10" s="1"/>
  <c r="U30" i="10"/>
  <c r="W30" i="10" s="1"/>
  <c r="U35" i="10"/>
  <c r="W35" i="10" s="1"/>
  <c r="U31" i="10"/>
  <c r="W31" i="10" s="1"/>
  <c r="U32" i="10"/>
  <c r="W32" i="10" s="1"/>
  <c r="U26" i="10"/>
  <c r="W26" i="10" s="1"/>
  <c r="U16" i="10"/>
  <c r="W16" i="10" s="1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L11" i="10" s="1"/>
  <c r="I18" i="6"/>
  <c r="L12" i="10" s="1"/>
  <c r="I19" i="6"/>
  <c r="L13" i="10" s="1"/>
  <c r="I20" i="4" l="1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I30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I3" i="13" s="1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0" i="10" l="1"/>
  <c r="U13" i="10"/>
  <c r="W13" i="10" s="1"/>
  <c r="I4" i="4"/>
  <c r="G4" i="4"/>
  <c r="E4" i="4"/>
  <c r="L4" i="4"/>
  <c r="N4" i="4" s="1"/>
  <c r="O4" i="4" s="1"/>
  <c r="P4" i="4" s="1"/>
  <c r="C4" i="4"/>
  <c r="U40" i="10"/>
  <c r="W40" i="10" s="1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O19" i="4"/>
  <c r="L18" i="4"/>
  <c r="N18" i="4" s="1"/>
  <c r="O18" i="4" s="1"/>
  <c r="L40" i="4"/>
  <c r="N40" i="4" s="1"/>
  <c r="O40" i="4" s="1"/>
  <c r="L13" i="4"/>
  <c r="N13" i="4" s="1"/>
  <c r="O13" i="4" s="1"/>
  <c r="U10" i="10"/>
  <c r="W10" i="10" s="1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M40" i="10"/>
  <c r="Z38" i="10"/>
  <c r="L24" i="4"/>
  <c r="N24" i="4" s="1"/>
  <c r="O24" i="4" s="1"/>
  <c r="L21" i="4"/>
  <c r="N21" i="4" s="1"/>
  <c r="O21" i="4" s="1"/>
  <c r="Z34" i="10"/>
  <c r="L23" i="4"/>
  <c r="N23" i="4" s="1"/>
  <c r="O23" i="4" s="1"/>
  <c r="Z20" i="10"/>
  <c r="Z27" i="10"/>
  <c r="Z22" i="10"/>
  <c r="Z19" i="10"/>
  <c r="Z18" i="10"/>
  <c r="M19" i="10"/>
  <c r="E11" i="13" s="1"/>
  <c r="O18" i="10"/>
  <c r="Z13" i="10"/>
  <c r="M11" i="10"/>
  <c r="E3" i="13" s="1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F34" i="10"/>
  <c r="D5" i="6"/>
  <c r="L20" i="4"/>
  <c r="N20" i="4" s="1"/>
  <c r="O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U19" i="10" l="1"/>
  <c r="W19" i="10" s="1"/>
  <c r="U22" i="10"/>
  <c r="W22" i="10" s="1"/>
  <c r="AJ22" i="10" s="1"/>
  <c r="AK22" i="10" s="1"/>
  <c r="U12" i="10"/>
  <c r="W12" i="10" s="1"/>
  <c r="U15" i="10"/>
  <c r="W15" i="10" s="1"/>
  <c r="U20" i="10"/>
  <c r="W20" i="10" s="1"/>
  <c r="U24" i="10"/>
  <c r="W24" i="10" s="1"/>
  <c r="AJ24" i="10" s="1"/>
  <c r="AK24" i="10" s="1"/>
  <c r="U21" i="10"/>
  <c r="W21" i="10" s="1"/>
  <c r="U23" i="10"/>
  <c r="W23" i="10" s="1"/>
  <c r="U25" i="10"/>
  <c r="W25" i="10" s="1"/>
  <c r="U37" i="10"/>
  <c r="W37" i="10" s="1"/>
  <c r="U39" i="10"/>
  <c r="W39" i="10" s="1"/>
  <c r="U28" i="10"/>
  <c r="W28" i="10" s="1"/>
  <c r="U18" i="10"/>
  <c r="W18" i="10" s="1"/>
  <c r="U17" i="10"/>
  <c r="W17" i="10" s="1"/>
  <c r="U14" i="10"/>
  <c r="W14" i="10" s="1"/>
  <c r="AJ28" i="10"/>
  <c r="AK28" i="10" s="1"/>
  <c r="AJ38" i="10"/>
  <c r="AK38" i="10" s="1"/>
  <c r="AJ20" i="10"/>
  <c r="AK20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E30" i="13" s="1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G17" i="13" l="1"/>
  <c r="O17" i="13" s="1"/>
  <c r="AJ29" i="10"/>
  <c r="AK29" i="10" s="1"/>
  <c r="AJ12" i="10"/>
  <c r="AK12" i="10" s="1"/>
  <c r="G19" i="13"/>
  <c r="O19" i="13" s="1"/>
  <c r="G28" i="13"/>
  <c r="O28" i="13" s="1"/>
  <c r="G30" i="13"/>
  <c r="O30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G2" i="13" l="1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O31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<sst xmlns="http://schemas.openxmlformats.org/spreadsheetml/2006/main" count="127" uniqueCount="86">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</sst>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17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8980480"/>
        <c:axId val="238988288"/>
      </c:lineChart>
      <c:dateAx>
        <c:axId val="238980480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988288"/>
        <c:crosses val="autoZero"/>
        <c:auto val="1"/>
        <c:lblOffset val="100"/>
        <c:baseTimeUnit val="days"/>
      </c:dateAx>
      <c:valAx>
        <c:axId val="238988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9804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050752"/>
        <c:axId val="239052288"/>
      </c:lineChart>
      <c:dateAx>
        <c:axId val="239050752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052288"/>
        <c:crosses val="autoZero"/>
        <c:auto val="1"/>
        <c:lblOffset val="100"/>
        <c:baseTimeUnit val="days"/>
      </c:dateAx>
      <c:valAx>
        <c:axId val="2390522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9050752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69568"/>
        <c:axId val="247471104"/>
      </c:lineChart>
      <c:dateAx>
        <c:axId val="24746956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7471104"/>
        <c:crosses val="autoZero"/>
        <c:auto val="1"/>
        <c:lblOffset val="100"/>
        <c:baseTimeUnit val="days"/>
      </c:dateAx>
      <c:valAx>
        <c:axId val="24747110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746956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H30" sqref="H30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9.157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21082.371700000615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0</v>
      </c>
      <c r="F3" s="160">
        <v>0.99</v>
      </c>
      <c r="G3" s="160">
        <f>'Consommation du 01.02 au 29.01'!U11</f>
        <v>0</v>
      </c>
      <c r="H3" s="160">
        <v>9.157</v>
      </c>
      <c r="I3" s="160">
        <f>'Consommation du 01.02 au 29.01'!Y11*1000</f>
        <v>0</v>
      </c>
      <c r="J3" s="160">
        <v>0.53</v>
      </c>
      <c r="K3" s="160">
        <f>'Consommation du 01.02 au 29.01'!D11</f>
        <v>0</v>
      </c>
      <c r="L3" s="160">
        <v>12.67</v>
      </c>
      <c r="M3" s="159">
        <f>'Consommation du 01.02 au 29.01'!AC11</f>
        <v>0</v>
      </c>
      <c r="N3" s="159"/>
      <c r="O3" s="160">
        <f t="shared" ref="O3:O31" si="0">E3*F3+G3*H3+I3*J3+K3*L3</f>
        <v>0</v>
      </c>
    </row>
    <row r="4" spans="1:15" x14ac:dyDescent="0.2">
      <c r="A4" s="157" t="s">
        <v>84</v>
      </c>
      <c r="B4" s="158">
        <f t="shared" ref="B4:B32" si="1">B3+1</f>
        <v>3</v>
      </c>
      <c r="C4" s="158">
        <v>2</v>
      </c>
      <c r="D4" s="159">
        <v>2021</v>
      </c>
      <c r="E4" s="160">
        <f>'Consommation du 01.02 au 29.01'!M12</f>
        <v>0</v>
      </c>
      <c r="F4" s="160">
        <v>0.99</v>
      </c>
      <c r="G4" s="160">
        <f>'Consommation du 01.02 au 29.01'!U12</f>
        <v>0</v>
      </c>
      <c r="H4" s="160">
        <v>9.157</v>
      </c>
      <c r="I4" s="160">
        <f>'Consommation du 01.02 au 29.01'!Y12*1000</f>
        <v>0</v>
      </c>
      <c r="J4" s="160">
        <v>0.53</v>
      </c>
      <c r="K4" s="160">
        <f>'Consommation du 01.02 au 29.01'!D12</f>
        <v>0</v>
      </c>
      <c r="L4" s="160">
        <v>12.67</v>
      </c>
      <c r="M4" s="159">
        <f>'Consommation du 01.02 au 29.01'!AC12</f>
        <v>0</v>
      </c>
      <c r="N4" s="159"/>
      <c r="O4" s="160">
        <f t="shared" si="0"/>
        <v>0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0</v>
      </c>
      <c r="F5" s="160">
        <v>0.99</v>
      </c>
      <c r="G5" s="160">
        <f>'Consommation du 01.02 au 29.01'!U13</f>
        <v>0</v>
      </c>
      <c r="H5" s="160">
        <v>9.157</v>
      </c>
      <c r="I5" s="160">
        <f>'Consommation du 01.02 au 29.01'!Y13*1000</f>
        <v>0</v>
      </c>
      <c r="J5" s="160">
        <v>0.53</v>
      </c>
      <c r="K5" s="160">
        <f>'Consommation du 01.02 au 29.01'!D13</f>
        <v>0</v>
      </c>
      <c r="L5" s="160">
        <v>12.67</v>
      </c>
      <c r="M5" s="159">
        <f>'Consommation du 01.02 au 29.01'!AC13</f>
        <v>0</v>
      </c>
      <c r="N5" s="159"/>
      <c r="O5" s="160">
        <f t="shared" si="0"/>
        <v>0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0</v>
      </c>
      <c r="F6" s="160">
        <v>0.99</v>
      </c>
      <c r="G6" s="160">
        <f>'Consommation du 01.02 au 29.01'!U14</f>
        <v>0</v>
      </c>
      <c r="H6" s="160">
        <v>9.157</v>
      </c>
      <c r="I6" s="160">
        <f>'Consommation du 01.02 au 29.01'!Y14*1000</f>
        <v>0</v>
      </c>
      <c r="J6" s="160">
        <v>0.53</v>
      </c>
      <c r="K6" s="160">
        <f>'Consommation du 01.02 au 29.01'!D14</f>
        <v>0</v>
      </c>
      <c r="L6" s="160">
        <v>12.67</v>
      </c>
      <c r="M6" s="159">
        <f>'Consommation du 01.02 au 29.01'!AC14</f>
        <v>0</v>
      </c>
      <c r="N6" s="159"/>
      <c r="O6" s="160">
        <f t="shared" si="0"/>
        <v>0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0</v>
      </c>
      <c r="F7" s="160">
        <v>0.99</v>
      </c>
      <c r="G7" s="160">
        <f>'Consommation du 01.02 au 29.01'!U15</f>
        <v>0</v>
      </c>
      <c r="H7" s="160">
        <v>9.157</v>
      </c>
      <c r="I7" s="160">
        <f>'Consommation du 01.02 au 29.01'!Y15*1000</f>
        <v>0</v>
      </c>
      <c r="J7" s="160">
        <v>0.53</v>
      </c>
      <c r="K7" s="160">
        <f>'Consommation du 01.02 au 29.01'!D15</f>
        <v>0</v>
      </c>
      <c r="L7" s="160">
        <v>12.67</v>
      </c>
      <c r="M7" s="159">
        <f>'Consommation du 01.02 au 29.01'!AC15</f>
        <v>0</v>
      </c>
      <c r="N7" s="159"/>
      <c r="O7" s="160">
        <f t="shared" si="0"/>
        <v>0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0</v>
      </c>
      <c r="F8" s="160">
        <v>0.99</v>
      </c>
      <c r="G8" s="160">
        <f>'Consommation du 01.02 au 29.01'!U16</f>
        <v>0</v>
      </c>
      <c r="H8" s="160">
        <v>9.157</v>
      </c>
      <c r="I8" s="160">
        <f>'Consommation du 01.02 au 29.01'!Y16*1000</f>
        <v>0</v>
      </c>
      <c r="J8" s="160">
        <v>0.53</v>
      </c>
      <c r="K8" s="160">
        <f>'Consommation du 01.02 au 29.01'!D16</f>
        <v>0</v>
      </c>
      <c r="L8" s="160">
        <v>12.67</v>
      </c>
      <c r="M8" s="159">
        <f>'Consommation du 01.02 au 29.01'!AC16</f>
        <v>0</v>
      </c>
      <c r="N8" s="159"/>
      <c r="O8" s="160">
        <f t="shared" si="0"/>
        <v>0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0</v>
      </c>
      <c r="F9" s="160">
        <v>0.99</v>
      </c>
      <c r="G9" s="160">
        <f>'Consommation du 01.02 au 29.01'!U17</f>
        <v>0</v>
      </c>
      <c r="H9" s="160">
        <v>9.157</v>
      </c>
      <c r="I9" s="160">
        <f>'Consommation du 01.02 au 29.01'!Y17*1000</f>
        <v>0</v>
      </c>
      <c r="J9" s="160">
        <v>0.53</v>
      </c>
      <c r="K9" s="160">
        <f>'Consommation du 01.02 au 29.01'!D17</f>
        <v>0</v>
      </c>
      <c r="L9" s="160">
        <v>12.67</v>
      </c>
      <c r="M9" s="159">
        <f>'Consommation du 01.02 au 29.01'!AC17</f>
        <v>0</v>
      </c>
      <c r="N9" s="159"/>
      <c r="O9" s="160">
        <f t="shared" si="0"/>
        <v>0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0</v>
      </c>
      <c r="F10" s="160">
        <v>0.99</v>
      </c>
      <c r="G10" s="160">
        <f>'Consommation du 01.02 au 29.01'!U18</f>
        <v>0</v>
      </c>
      <c r="H10" s="160">
        <v>9.157</v>
      </c>
      <c r="I10" s="160">
        <f>'Consommation du 01.02 au 29.01'!Y18*1000</f>
        <v>0</v>
      </c>
      <c r="J10" s="160">
        <v>0.53</v>
      </c>
      <c r="K10" s="160">
        <f>'Consommation du 01.02 au 29.01'!D18</f>
        <v>0</v>
      </c>
      <c r="L10" s="160">
        <v>12.67</v>
      </c>
      <c r="M10" s="159">
        <f>'Consommation du 01.02 au 29.01'!AC18</f>
        <v>0</v>
      </c>
      <c r="N10" s="159"/>
      <c r="O10" s="160">
        <f t="shared" si="0"/>
        <v>0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0</v>
      </c>
      <c r="F11" s="160">
        <v>0.99</v>
      </c>
      <c r="G11" s="160">
        <f>'Consommation du 01.02 au 29.01'!U19</f>
        <v>0</v>
      </c>
      <c r="H11" s="160">
        <v>9.157</v>
      </c>
      <c r="I11" s="160">
        <f>'Consommation du 01.02 au 29.01'!Y19*1000</f>
        <v>0</v>
      </c>
      <c r="J11" s="160">
        <v>0.53</v>
      </c>
      <c r="K11" s="160">
        <f>'Consommation du 01.02 au 29.01'!D19</f>
        <v>0</v>
      </c>
      <c r="L11" s="160">
        <v>12.67</v>
      </c>
      <c r="M11" s="159">
        <f>'Consommation du 01.02 au 29.01'!AC19</f>
        <v>0</v>
      </c>
      <c r="N11" s="159"/>
      <c r="O11" s="160">
        <f t="shared" si="0"/>
        <v>0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0</v>
      </c>
      <c r="F12" s="160">
        <v>0.99</v>
      </c>
      <c r="G12" s="160">
        <f>'Consommation du 01.02 au 29.01'!U20</f>
        <v>0</v>
      </c>
      <c r="H12" s="160">
        <v>9.157</v>
      </c>
      <c r="I12" s="160">
        <f>'Consommation du 01.02 au 29.01'!Y20*1000</f>
        <v>0</v>
      </c>
      <c r="J12" s="160">
        <v>0.53</v>
      </c>
      <c r="K12" s="160">
        <f>'Consommation du 01.02 au 29.01'!D20</f>
        <v>0</v>
      </c>
      <c r="L12" s="160">
        <v>12.67</v>
      </c>
      <c r="M12" s="159">
        <f>'Consommation du 01.02 au 29.01'!AC20</f>
        <v>0</v>
      </c>
      <c r="N12" s="159"/>
      <c r="O12" s="160">
        <f t="shared" si="0"/>
        <v>0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0</v>
      </c>
      <c r="F13" s="160">
        <v>0.99</v>
      </c>
      <c r="G13" s="160">
        <f>'Consommation du 01.02 au 29.01'!U21</f>
        <v>0</v>
      </c>
      <c r="H13" s="160">
        <v>9.157</v>
      </c>
      <c r="I13" s="160">
        <f>'Consommation du 01.02 au 29.01'!Y21*1000</f>
        <v>0</v>
      </c>
      <c r="J13" s="160">
        <v>0.53</v>
      </c>
      <c r="K13" s="160">
        <f>'Consommation du 01.02 au 29.01'!D21</f>
        <v>0</v>
      </c>
      <c r="L13" s="160">
        <v>12.67</v>
      </c>
      <c r="M13" s="159">
        <f>'Consommation du 01.02 au 29.01'!AC21</f>
        <v>0</v>
      </c>
      <c r="N13" s="159"/>
      <c r="O13" s="160">
        <f t="shared" si="0"/>
        <v>0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0</v>
      </c>
      <c r="F14" s="160">
        <v>0.99</v>
      </c>
      <c r="G14" s="160">
        <f>'Consommation du 01.02 au 29.01'!U22</f>
        <v>0</v>
      </c>
      <c r="H14" s="160">
        <v>9.157</v>
      </c>
      <c r="I14" s="160">
        <f>'Consommation du 01.02 au 29.01'!Y22*1000</f>
        <v>0</v>
      </c>
      <c r="J14" s="160">
        <v>0.53</v>
      </c>
      <c r="K14" s="160">
        <f>'Consommation du 01.02 au 29.01'!D22</f>
        <v>0</v>
      </c>
      <c r="L14" s="160">
        <v>12.67</v>
      </c>
      <c r="M14" s="159">
        <f>'Consommation du 01.02 au 29.01'!AC22</f>
        <v>0</v>
      </c>
      <c r="N14" s="159"/>
      <c r="O14" s="160">
        <f t="shared" si="0"/>
        <v>0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0</v>
      </c>
      <c r="F15" s="160">
        <v>0.99</v>
      </c>
      <c r="G15" s="160">
        <f>'Consommation du 01.02 au 29.01'!U23</f>
        <v>0</v>
      </c>
      <c r="H15" s="160">
        <v>9.157</v>
      </c>
      <c r="I15" s="160">
        <f>'Consommation du 01.02 au 29.01'!Y23*1000</f>
        <v>0</v>
      </c>
      <c r="J15" s="160">
        <v>0.53</v>
      </c>
      <c r="K15" s="160">
        <f>'Consommation du 01.02 au 29.01'!D23</f>
        <v>0</v>
      </c>
      <c r="L15" s="160">
        <v>12.67</v>
      </c>
      <c r="M15" s="159">
        <f>'Consommation du 01.02 au 29.01'!AC23</f>
        <v>0</v>
      </c>
      <c r="N15" s="159"/>
      <c r="O15" s="160">
        <f t="shared" si="0"/>
        <v>0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9.157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9.157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9.157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9.157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9.157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9.157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9.157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9.157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9.157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9.157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9.157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9.157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9.157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9.157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 t="s">
        <v>84</v>
      </c>
      <c r="B30" s="158">
        <f t="shared" si="1"/>
        <v>29</v>
      </c>
      <c r="C30" s="158">
        <v>2</v>
      </c>
      <c r="D30" s="159">
        <v>2021</v>
      </c>
      <c r="E30" s="160">
        <f>'Consommation du 01.02 au 29.01'!M38</f>
        <v>0</v>
      </c>
      <c r="F30" s="160">
        <v>0.99</v>
      </c>
      <c r="G30" s="160">
        <f>'Consommation du 01.02 au 29.01'!U38</f>
        <v>0</v>
      </c>
      <c r="H30" s="160">
        <v>9.157</v>
      </c>
      <c r="I30" s="160">
        <f>'Consommation du 01.02 au 29.01'!Y38*1000</f>
        <v>0</v>
      </c>
      <c r="J30" s="160">
        <v>0.53</v>
      </c>
      <c r="K30" s="160">
        <f>'Consommation du 01.02 au 29.01'!D38</f>
        <v>0</v>
      </c>
      <c r="L30" s="160">
        <v>12.67</v>
      </c>
      <c r="M30" s="159">
        <f>'Consommation du 01.02 au 29.01'!AC38</f>
        <v>0</v>
      </c>
      <c r="N30" s="159"/>
      <c r="O30" s="160">
        <f t="shared" si="0"/>
        <v>0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>
        <f>SUM(O2:O30)</f>
        <v>21082.371700000615</v>
      </c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21" zoomScale="60" zoomScaleNormal="60" workbookViewId="0">
      <selection activeCell="F47" sqref="F47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4"/>
      <c r="B2" s="255"/>
      <c r="C2" s="255"/>
      <c r="D2" s="255"/>
      <c r="E2" s="255"/>
      <c r="F2" s="256"/>
      <c r="G2" s="257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  <c r="AA2" s="258"/>
      <c r="AB2" s="258"/>
      <c r="AC2" s="258"/>
      <c r="AD2" s="254"/>
      <c r="AE2" s="256"/>
      <c r="AF2" s="71"/>
      <c r="AH2" s="62"/>
      <c r="AJ2" s="70"/>
    </row>
    <row r="3" spans="1:40" ht="1.5" customHeight="1" x14ac:dyDescent="0.2"/>
    <row r="4" spans="1:40" ht="39" hidden="1" customHeight="1" x14ac:dyDescent="0.2">
      <c r="A4" s="259"/>
      <c r="B4" s="259"/>
      <c r="C4" s="259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59"/>
      <c r="B5" s="259"/>
      <c r="C5" s="259"/>
      <c r="D5" s="3"/>
      <c r="E5" s="3"/>
      <c r="F5" s="3"/>
      <c r="G5" s="3"/>
      <c r="H5" s="3"/>
      <c r="I5" s="3"/>
      <c r="J5" s="3"/>
      <c r="K5" s="260"/>
      <c r="L5" s="260"/>
      <c r="M5" s="260"/>
      <c r="N5" s="260"/>
      <c r="O5" s="260"/>
      <c r="P5" s="260"/>
      <c r="Q5" s="260"/>
      <c r="R5" s="260"/>
      <c r="S5" s="260"/>
      <c r="T5" s="260"/>
      <c r="U5" s="260"/>
      <c r="V5" s="260"/>
      <c r="W5" s="260"/>
      <c r="X5" s="260"/>
      <c r="Y5" s="260"/>
      <c r="Z5" s="260"/>
      <c r="AA5" s="260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0"/>
      <c r="L6" s="260"/>
      <c r="M6" s="260"/>
      <c r="N6" s="260"/>
      <c r="O6" s="260"/>
      <c r="P6" s="260"/>
      <c r="Q6" s="260"/>
      <c r="R6" s="260"/>
      <c r="S6" s="260"/>
      <c r="T6" s="260"/>
      <c r="U6" s="260"/>
      <c r="V6" s="260"/>
      <c r="W6" s="260"/>
      <c r="X6" s="260"/>
      <c r="Y6" s="260"/>
      <c r="Z6" s="260"/>
      <c r="AA6" s="260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1"/>
      <c r="E7" s="261"/>
      <c r="F7" s="261"/>
      <c r="G7" s="261"/>
      <c r="H7" s="261"/>
      <c r="I7" s="261"/>
      <c r="J7" s="261"/>
      <c r="K7" s="261"/>
      <c r="L7" s="261"/>
      <c r="M7" s="262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3"/>
      <c r="B8" s="244" t="s">
        <v>1</v>
      </c>
      <c r="C8" s="77"/>
      <c r="D8" s="245" t="s">
        <v>3</v>
      </c>
      <c r="E8" s="73"/>
      <c r="F8" s="247" t="s">
        <v>11</v>
      </c>
      <c r="G8" s="248"/>
      <c r="H8" s="249"/>
      <c r="I8" s="73"/>
      <c r="J8" s="88"/>
      <c r="K8" s="88"/>
      <c r="L8" s="88"/>
      <c r="M8" s="253" t="s">
        <v>2</v>
      </c>
      <c r="N8" s="73"/>
      <c r="O8" s="228" t="s">
        <v>11</v>
      </c>
      <c r="P8" s="73"/>
      <c r="Q8" s="228" t="s">
        <v>4</v>
      </c>
      <c r="R8" s="73"/>
      <c r="S8" s="228" t="s">
        <v>5</v>
      </c>
      <c r="T8" s="73"/>
      <c r="U8" s="237" t="s">
        <v>38</v>
      </c>
      <c r="V8" s="73"/>
      <c r="W8" s="228" t="s">
        <v>11</v>
      </c>
      <c r="X8" s="239" t="s">
        <v>67</v>
      </c>
      <c r="Y8" s="241" t="s">
        <v>66</v>
      </c>
      <c r="Z8" s="223" t="s">
        <v>65</v>
      </c>
      <c r="AA8" s="225"/>
      <c r="AB8" s="226" t="s">
        <v>68</v>
      </c>
      <c r="AC8" s="228" t="s">
        <v>64</v>
      </c>
      <c r="AD8" s="235" t="s">
        <v>63</v>
      </c>
      <c r="AE8" s="230" t="s">
        <v>53</v>
      </c>
      <c r="AF8" s="230" t="s">
        <v>56</v>
      </c>
      <c r="AG8" s="232" t="s">
        <v>54</v>
      </c>
      <c r="AH8" s="232" t="s">
        <v>55</v>
      </c>
      <c r="AI8" s="62"/>
      <c r="AJ8" s="125"/>
      <c r="AK8" s="125"/>
      <c r="AL8" s="74"/>
    </row>
    <row r="9" spans="1:40" ht="77.25" customHeight="1" thickBot="1" x14ac:dyDescent="0.25">
      <c r="A9" s="243"/>
      <c r="B9" s="244"/>
      <c r="C9" s="77"/>
      <c r="D9" s="246"/>
      <c r="E9" s="73"/>
      <c r="F9" s="250"/>
      <c r="G9" s="251"/>
      <c r="H9" s="252"/>
      <c r="I9" s="152"/>
      <c r="J9" s="90" t="s">
        <v>6</v>
      </c>
      <c r="K9" s="90" t="s">
        <v>7</v>
      </c>
      <c r="L9" s="90" t="s">
        <v>8</v>
      </c>
      <c r="M9" s="253"/>
      <c r="N9" s="73"/>
      <c r="O9" s="234"/>
      <c r="P9" s="73"/>
      <c r="Q9" s="234"/>
      <c r="R9" s="73"/>
      <c r="S9" s="234"/>
      <c r="T9" s="73"/>
      <c r="U9" s="238"/>
      <c r="V9" s="73"/>
      <c r="W9" s="234"/>
      <c r="X9" s="240"/>
      <c r="Y9" s="242"/>
      <c r="Z9" s="224"/>
      <c r="AA9" s="225"/>
      <c r="AB9" s="227"/>
      <c r="AC9" s="229"/>
      <c r="AD9" s="236"/>
      <c r="AE9" s="231"/>
      <c r="AF9" s="231"/>
      <c r="AG9" s="233"/>
      <c r="AH9" s="233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07">
        <f t="shared" ref="F10:F40" si="0">D10*12.67</f>
        <v>2217.25</v>
      </c>
      <c r="G10" s="208"/>
      <c r="H10" s="209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U10*9.157</f>
        <v>3736.9717000000001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21082.371700000615</v>
      </c>
      <c r="AK10" s="128">
        <f t="shared" ref="AK10:AK40" si="3">AJ10/AC10</f>
        <v>780.82858148150422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0</v>
      </c>
      <c r="E11" s="95"/>
      <c r="F11" s="207">
        <f t="shared" si="0"/>
        <v>0</v>
      </c>
      <c r="G11" s="208"/>
      <c r="H11" s="209"/>
      <c r="I11" s="142"/>
      <c r="J11" s="93">
        <f>'Suivi EAU-ELEC'!E17</f>
        <v>0</v>
      </c>
      <c r="K11" s="94">
        <f>'Suivi EAU-ELEC'!G17</f>
        <v>0</v>
      </c>
      <c r="L11" s="94">
        <f>'Suivi EAU-ELEC'!I17</f>
        <v>0</v>
      </c>
      <c r="M11" s="82">
        <f t="shared" ref="M11:M40" si="4">L11+K11+J11</f>
        <v>0</v>
      </c>
      <c r="N11" s="58"/>
      <c r="O11" s="59">
        <f t="shared" ref="O11:O40" si="5">J11*0.99+K11*0.99+L11*0.99</f>
        <v>0</v>
      </c>
      <c r="P11" s="57"/>
      <c r="Q11" s="55"/>
      <c r="R11" s="56"/>
      <c r="S11" s="55"/>
      <c r="T11" s="95"/>
      <c r="U11" s="60">
        <f>'Suivi Gaz'!O12</f>
        <v>0</v>
      </c>
      <c r="V11" s="58"/>
      <c r="W11" s="59">
        <f>U11*9.157</f>
        <v>0</v>
      </c>
      <c r="X11" s="316">
        <v>18687.61</v>
      </c>
      <c r="Y11" s="148">
        <f t="shared" si="1"/>
        <v>0</v>
      </c>
      <c r="Z11" s="64">
        <f t="shared" ref="Z11:Z40" si="6">Y11*0.53*1000</f>
        <v>0</v>
      </c>
      <c r="AA11" s="58"/>
      <c r="AB11" s="61"/>
      <c r="AC11" s="161"/>
      <c r="AD11" s="79"/>
      <c r="AE11" s="83"/>
      <c r="AF11" s="83"/>
      <c r="AG11" s="314"/>
      <c r="AH11" s="315"/>
      <c r="AI11" s="145"/>
      <c r="AJ11" s="129">
        <f t="shared" si="2"/>
        <v>0</v>
      </c>
      <c r="AK11" s="128" t="e">
        <f t="shared" si="3"/>
        <v>#DIV/0!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7">(B11+1)</f>
        <v>44230</v>
      </c>
      <c r="C12" s="92"/>
      <c r="D12" s="147">
        <f>'Suivi EAU-ELEC'!C18</f>
        <v>0</v>
      </c>
      <c r="E12" s="95"/>
      <c r="F12" s="207">
        <f t="shared" si="0"/>
        <v>0</v>
      </c>
      <c r="G12" s="208"/>
      <c r="H12" s="209"/>
      <c r="I12" s="142"/>
      <c r="J12" s="93">
        <f>'Suivi EAU-ELEC'!E18</f>
        <v>0</v>
      </c>
      <c r="K12" s="94">
        <f>'Suivi EAU-ELEC'!G18</f>
        <v>0</v>
      </c>
      <c r="L12" s="94">
        <f>'Suivi EAU-ELEC'!I18</f>
        <v>0</v>
      </c>
      <c r="M12" s="82">
        <f t="shared" si="4"/>
        <v>0</v>
      </c>
      <c r="N12" s="58"/>
      <c r="O12" s="59">
        <f t="shared" si="5"/>
        <v>0</v>
      </c>
      <c r="P12" s="57"/>
      <c r="Q12" s="55"/>
      <c r="R12" s="56"/>
      <c r="S12" s="55"/>
      <c r="T12" s="95"/>
      <c r="U12" s="60">
        <f>'Suivi Gaz'!O13</f>
        <v>0</v>
      </c>
      <c r="V12" s="58"/>
      <c r="W12" s="59">
        <f t="shared" ref="W12:W40" si="8">U12*9.157</f>
        <v>0</v>
      </c>
      <c r="X12" s="65"/>
      <c r="Y12" s="148">
        <f t="shared" si="1"/>
        <v>0</v>
      </c>
      <c r="Z12" s="64">
        <f t="shared" si="6"/>
        <v>0</v>
      </c>
      <c r="AA12" s="58"/>
      <c r="AB12" s="61"/>
      <c r="AC12" s="78"/>
      <c r="AD12" s="79"/>
      <c r="AE12" s="83"/>
      <c r="AF12" s="83"/>
      <c r="AG12" s="80"/>
      <c r="AH12" s="81"/>
      <c r="AI12" s="44"/>
      <c r="AJ12" s="129">
        <f t="shared" si="2"/>
        <v>0</v>
      </c>
      <c r="AK12" s="128" t="e">
        <f t="shared" si="3"/>
        <v>#DIV/0!</v>
      </c>
      <c r="AL12" s="75"/>
    </row>
    <row r="13" spans="1:40" ht="32.25" customHeight="1" thickBot="1" x14ac:dyDescent="0.25">
      <c r="A13" s="73"/>
      <c r="B13" s="91">
        <f t="shared" si="7"/>
        <v>44231</v>
      </c>
      <c r="C13" s="92"/>
      <c r="D13" s="147">
        <f>'Suivi EAU-ELEC'!C19</f>
        <v>0</v>
      </c>
      <c r="E13" s="95"/>
      <c r="F13" s="204">
        <f t="shared" si="0"/>
        <v>0</v>
      </c>
      <c r="G13" s="205"/>
      <c r="H13" s="206"/>
      <c r="I13" s="142"/>
      <c r="J13" s="93">
        <f>'Suivi EAU-ELEC'!E19</f>
        <v>0</v>
      </c>
      <c r="K13" s="94">
        <f>'Suivi EAU-ELEC'!G19</f>
        <v>0</v>
      </c>
      <c r="L13" s="94">
        <f>'Suivi EAU-ELEC'!I19</f>
        <v>0</v>
      </c>
      <c r="M13" s="82">
        <f t="shared" si="4"/>
        <v>0</v>
      </c>
      <c r="N13" s="58"/>
      <c r="O13" s="59">
        <f t="shared" si="5"/>
        <v>0</v>
      </c>
      <c r="P13" s="57"/>
      <c r="Q13" s="55"/>
      <c r="R13" s="56"/>
      <c r="S13" s="55"/>
      <c r="T13" s="95"/>
      <c r="U13" s="60">
        <f>'Suivi Gaz'!O14</f>
        <v>0</v>
      </c>
      <c r="V13" s="58"/>
      <c r="W13" s="59">
        <f t="shared" si="8"/>
        <v>0</v>
      </c>
      <c r="X13" s="65"/>
      <c r="Y13" s="148">
        <f t="shared" si="1"/>
        <v>0</v>
      </c>
      <c r="Z13" s="64">
        <f t="shared" si="6"/>
        <v>0</v>
      </c>
      <c r="AA13" s="58"/>
      <c r="AB13" s="61"/>
      <c r="AC13" s="78"/>
      <c r="AD13" s="79"/>
      <c r="AE13" s="83"/>
      <c r="AF13" s="83"/>
      <c r="AG13" s="80"/>
      <c r="AH13" s="81"/>
      <c r="AI13" s="44"/>
      <c r="AJ13" s="129">
        <f t="shared" si="2"/>
        <v>0</v>
      </c>
      <c r="AK13" s="128" t="e">
        <f t="shared" si="3"/>
        <v>#DIV/0!</v>
      </c>
      <c r="AL13" s="74"/>
    </row>
    <row r="14" spans="1:40" ht="32.25" customHeight="1" thickBot="1" x14ac:dyDescent="0.25">
      <c r="A14" s="73"/>
      <c r="B14" s="91">
        <f t="shared" si="7"/>
        <v>44232</v>
      </c>
      <c r="C14" s="92"/>
      <c r="D14" s="147">
        <f>'Suivi EAU-ELEC'!C20</f>
        <v>0</v>
      </c>
      <c r="E14" s="95"/>
      <c r="F14" s="207">
        <f t="shared" si="0"/>
        <v>0</v>
      </c>
      <c r="G14" s="208"/>
      <c r="H14" s="209"/>
      <c r="I14" s="142"/>
      <c r="J14" s="93">
        <f>'Suivi EAU-ELEC'!E20</f>
        <v>0</v>
      </c>
      <c r="K14" s="94">
        <f>'Suivi EAU-ELEC'!G20</f>
        <v>0</v>
      </c>
      <c r="L14" s="94">
        <f>'Suivi EAU-ELEC'!I20</f>
        <v>0</v>
      </c>
      <c r="M14" s="82">
        <f t="shared" si="4"/>
        <v>0</v>
      </c>
      <c r="N14" s="58"/>
      <c r="O14" s="59">
        <f t="shared" si="5"/>
        <v>0</v>
      </c>
      <c r="P14" s="57"/>
      <c r="Q14" s="55"/>
      <c r="R14" s="56"/>
      <c r="S14" s="55"/>
      <c r="T14" s="95"/>
      <c r="U14" s="60">
        <f>'Suivi Gaz'!O15</f>
        <v>0</v>
      </c>
      <c r="V14" s="58"/>
      <c r="W14" s="59">
        <f t="shared" si="8"/>
        <v>0</v>
      </c>
      <c r="X14" s="65"/>
      <c r="Y14" s="148">
        <f t="shared" si="1"/>
        <v>0</v>
      </c>
      <c r="Z14" s="64">
        <f t="shared" si="6"/>
        <v>0</v>
      </c>
      <c r="AA14" s="58"/>
      <c r="AB14" s="61"/>
      <c r="AC14" s="78"/>
      <c r="AD14" s="79"/>
      <c r="AE14" s="83"/>
      <c r="AF14" s="83"/>
      <c r="AG14" s="80"/>
      <c r="AH14" s="81"/>
      <c r="AI14" s="44"/>
      <c r="AJ14" s="129">
        <f t="shared" si="2"/>
        <v>0</v>
      </c>
      <c r="AK14" s="128" t="e">
        <f t="shared" si="3"/>
        <v>#DIV/0!</v>
      </c>
      <c r="AL14" s="74"/>
    </row>
    <row r="15" spans="1:40" ht="32.25" customHeight="1" thickBot="1" x14ac:dyDescent="0.25">
      <c r="A15" s="73"/>
      <c r="B15" s="91">
        <f t="shared" si="7"/>
        <v>44233</v>
      </c>
      <c r="C15" s="92"/>
      <c r="D15" s="147">
        <f>'Suivi EAU-ELEC'!C21</f>
        <v>0</v>
      </c>
      <c r="E15" s="95"/>
      <c r="F15" s="210">
        <f t="shared" si="0"/>
        <v>0</v>
      </c>
      <c r="G15" s="211"/>
      <c r="H15" s="212"/>
      <c r="I15" s="144"/>
      <c r="J15" s="93">
        <f>'Suivi EAU-ELEC'!E21</f>
        <v>0</v>
      </c>
      <c r="K15" s="94">
        <f>'Suivi EAU-ELEC'!G21</f>
        <v>0</v>
      </c>
      <c r="L15" s="94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5"/>
      <c r="U15" s="60">
        <f>'Suivi Gaz'!O16</f>
        <v>0</v>
      </c>
      <c r="V15" s="58"/>
      <c r="W15" s="59">
        <f t="shared" si="8"/>
        <v>0</v>
      </c>
      <c r="X15" s="65"/>
      <c r="Y15" s="148">
        <f t="shared" si="1"/>
        <v>0</v>
      </c>
      <c r="Z15" s="64">
        <f t="shared" si="6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29">
        <f t="shared" si="2"/>
        <v>0</v>
      </c>
      <c r="AK15" s="128" t="e">
        <f t="shared" si="3"/>
        <v>#DIV/0!</v>
      </c>
      <c r="AL15" s="74"/>
    </row>
    <row r="16" spans="1:40" ht="32.25" customHeight="1" thickBot="1" x14ac:dyDescent="0.25">
      <c r="A16" s="73"/>
      <c r="B16" s="91">
        <f t="shared" si="7"/>
        <v>44234</v>
      </c>
      <c r="C16" s="92"/>
      <c r="D16" s="147">
        <f>'Suivi EAU-ELEC'!C22</f>
        <v>0</v>
      </c>
      <c r="E16" s="95"/>
      <c r="F16" s="204">
        <f t="shared" si="0"/>
        <v>0</v>
      </c>
      <c r="G16" s="205"/>
      <c r="H16" s="206"/>
      <c r="I16" s="141"/>
      <c r="J16" s="93">
        <f>'Suivi EAU-ELEC'!E22</f>
        <v>0</v>
      </c>
      <c r="K16" s="94">
        <f>'Suivi EAU-ELEC'!G22</f>
        <v>0</v>
      </c>
      <c r="L16" s="94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5"/>
      <c r="U16" s="60">
        <f>'Suivi Gaz'!O17</f>
        <v>0</v>
      </c>
      <c r="V16" s="58"/>
      <c r="W16" s="59">
        <f t="shared" si="8"/>
        <v>0</v>
      </c>
      <c r="X16" s="65"/>
      <c r="Y16" s="148">
        <f t="shared" si="1"/>
        <v>0</v>
      </c>
      <c r="Z16" s="64">
        <f t="shared" si="6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29">
        <f t="shared" si="2"/>
        <v>0</v>
      </c>
      <c r="AK16" s="128" t="e">
        <f t="shared" si="3"/>
        <v>#DIV/0!</v>
      </c>
      <c r="AL16" s="74"/>
    </row>
    <row r="17" spans="1:256" ht="32.25" customHeight="1" thickBot="1" x14ac:dyDescent="0.25">
      <c r="A17" s="73"/>
      <c r="B17" s="91">
        <f t="shared" si="7"/>
        <v>44235</v>
      </c>
      <c r="C17" s="92"/>
      <c r="D17" s="147">
        <f>'Suivi EAU-ELEC'!C23</f>
        <v>0</v>
      </c>
      <c r="E17" s="95"/>
      <c r="F17" s="207">
        <f t="shared" si="0"/>
        <v>0</v>
      </c>
      <c r="G17" s="208"/>
      <c r="H17" s="209"/>
      <c r="I17" s="142"/>
      <c r="J17" s="93">
        <f>'Suivi EAU-ELEC'!E23</f>
        <v>0</v>
      </c>
      <c r="K17" s="94">
        <f>'Suivi EAU-ELEC'!G23</f>
        <v>0</v>
      </c>
      <c r="L17" s="94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5"/>
      <c r="U17" s="60">
        <f>'Suivi Gaz'!O18</f>
        <v>0</v>
      </c>
      <c r="V17" s="58"/>
      <c r="W17" s="59">
        <f t="shared" si="8"/>
        <v>0</v>
      </c>
      <c r="X17" s="65"/>
      <c r="Y17" s="148">
        <f t="shared" si="1"/>
        <v>0</v>
      </c>
      <c r="Z17" s="64">
        <f t="shared" si="6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29">
        <f t="shared" si="2"/>
        <v>0</v>
      </c>
      <c r="AK17" s="128" t="e">
        <f t="shared" si="3"/>
        <v>#DIV/0!</v>
      </c>
      <c r="AL17" s="74"/>
    </row>
    <row r="18" spans="1:256" ht="32.25" customHeight="1" thickBot="1" x14ac:dyDescent="0.25">
      <c r="A18" s="73"/>
      <c r="B18" s="91">
        <f t="shared" si="7"/>
        <v>44236</v>
      </c>
      <c r="C18" s="92"/>
      <c r="D18" s="147">
        <f>'Suivi EAU-ELEC'!C24</f>
        <v>0</v>
      </c>
      <c r="E18" s="95"/>
      <c r="F18" s="210">
        <f t="shared" si="0"/>
        <v>0</v>
      </c>
      <c r="G18" s="211"/>
      <c r="H18" s="212"/>
      <c r="I18" s="142"/>
      <c r="J18" s="93">
        <f>'Suivi EAU-ELEC'!E24</f>
        <v>0</v>
      </c>
      <c r="K18" s="94">
        <f>'Suivi EAU-ELEC'!G24</f>
        <v>0</v>
      </c>
      <c r="L18" s="94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5"/>
      <c r="U18" s="60">
        <f>'Suivi Gaz'!O19</f>
        <v>0</v>
      </c>
      <c r="V18" s="58"/>
      <c r="W18" s="59">
        <f t="shared" si="8"/>
        <v>0</v>
      </c>
      <c r="X18" s="65"/>
      <c r="Y18" s="148">
        <f t="shared" si="1"/>
        <v>0</v>
      </c>
      <c r="Z18" s="64">
        <f t="shared" si="6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29">
        <f t="shared" si="2"/>
        <v>0</v>
      </c>
      <c r="AK18" s="128" t="e">
        <f t="shared" si="3"/>
        <v>#DIV/0!</v>
      </c>
      <c r="AL18" s="74"/>
    </row>
    <row r="19" spans="1:256" ht="32.25" customHeight="1" thickBot="1" x14ac:dyDescent="0.25">
      <c r="A19" s="73"/>
      <c r="B19" s="91">
        <f t="shared" si="7"/>
        <v>44237</v>
      </c>
      <c r="C19" s="92"/>
      <c r="D19" s="147">
        <f>'Suivi EAU-ELEC'!C25</f>
        <v>0</v>
      </c>
      <c r="E19" s="95"/>
      <c r="F19" s="207">
        <f t="shared" si="0"/>
        <v>0</v>
      </c>
      <c r="G19" s="208"/>
      <c r="H19" s="209"/>
      <c r="I19" s="142"/>
      <c r="J19" s="93">
        <f>'Suivi EAU-ELEC'!E25</f>
        <v>0</v>
      </c>
      <c r="K19" s="94">
        <f>'Suivi EAU-ELEC'!G25</f>
        <v>0</v>
      </c>
      <c r="L19" s="94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5"/>
      <c r="U19" s="60">
        <f>'Suivi Gaz'!O20</f>
        <v>0</v>
      </c>
      <c r="V19" s="58"/>
      <c r="W19" s="59">
        <f t="shared" si="8"/>
        <v>0</v>
      </c>
      <c r="X19" s="65"/>
      <c r="Y19" s="148">
        <f t="shared" si="1"/>
        <v>0</v>
      </c>
      <c r="Z19" s="64">
        <f t="shared" si="6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29">
        <f t="shared" si="2"/>
        <v>0</v>
      </c>
      <c r="AK19" s="128" t="e">
        <f t="shared" si="3"/>
        <v>#DIV/0!</v>
      </c>
      <c r="AL19" s="74"/>
    </row>
    <row r="20" spans="1:256" ht="32.25" customHeight="1" thickBot="1" x14ac:dyDescent="0.25">
      <c r="A20" s="73"/>
      <c r="B20" s="91">
        <f t="shared" si="7"/>
        <v>44238</v>
      </c>
      <c r="C20" s="92"/>
      <c r="D20" s="147">
        <f>'Suivi EAU-ELEC'!C26</f>
        <v>0</v>
      </c>
      <c r="E20" s="95"/>
      <c r="F20" s="204">
        <f t="shared" si="0"/>
        <v>0</v>
      </c>
      <c r="G20" s="205"/>
      <c r="H20" s="206"/>
      <c r="I20" s="142"/>
      <c r="J20" s="93">
        <f>'Suivi EAU-ELEC'!E26</f>
        <v>0</v>
      </c>
      <c r="K20" s="94">
        <f>'Suivi EAU-ELEC'!G26</f>
        <v>0</v>
      </c>
      <c r="L20" s="94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5"/>
      <c r="U20" s="60">
        <f>'Suivi Gaz'!O21</f>
        <v>0</v>
      </c>
      <c r="V20" s="58"/>
      <c r="W20" s="59">
        <f t="shared" si="8"/>
        <v>0</v>
      </c>
      <c r="X20" s="65"/>
      <c r="Y20" s="148">
        <f t="shared" si="1"/>
        <v>0</v>
      </c>
      <c r="Z20" s="64">
        <f t="shared" si="6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29">
        <f t="shared" si="2"/>
        <v>0</v>
      </c>
      <c r="AK20" s="128" t="e">
        <f t="shared" si="3"/>
        <v>#DIV/0!</v>
      </c>
      <c r="AL20" s="74"/>
    </row>
    <row r="21" spans="1:256" ht="32.25" customHeight="1" thickBot="1" x14ac:dyDescent="0.25">
      <c r="A21" s="73"/>
      <c r="B21" s="91">
        <f t="shared" si="7"/>
        <v>44239</v>
      </c>
      <c r="C21" s="92"/>
      <c r="D21" s="147">
        <f>'Suivi EAU-ELEC'!C27</f>
        <v>0</v>
      </c>
      <c r="E21" s="95"/>
      <c r="F21" s="207">
        <f t="shared" si="0"/>
        <v>0</v>
      </c>
      <c r="G21" s="208"/>
      <c r="H21" s="209"/>
      <c r="I21" s="142"/>
      <c r="J21" s="93">
        <f>'Suivi EAU-ELEC'!E27</f>
        <v>0</v>
      </c>
      <c r="K21" s="94">
        <f>'Suivi EAU-ELEC'!G27</f>
        <v>0</v>
      </c>
      <c r="L21" s="94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5"/>
      <c r="U21" s="60">
        <f>'Suivi Gaz'!O22</f>
        <v>0</v>
      </c>
      <c r="V21" s="58"/>
      <c r="W21" s="59">
        <f t="shared" si="8"/>
        <v>0</v>
      </c>
      <c r="X21" s="65"/>
      <c r="Y21" s="148">
        <f t="shared" si="1"/>
        <v>0</v>
      </c>
      <c r="Z21" s="64">
        <f t="shared" si="6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29">
        <f t="shared" si="2"/>
        <v>0</v>
      </c>
      <c r="AK21" s="128" t="e">
        <f>AJ21/AC21</f>
        <v>#DIV/0!</v>
      </c>
      <c r="AL21" s="74"/>
    </row>
    <row r="22" spans="1:256" ht="32.25" customHeight="1" thickBot="1" x14ac:dyDescent="0.25">
      <c r="A22" s="73"/>
      <c r="B22" s="91">
        <f t="shared" si="7"/>
        <v>44240</v>
      </c>
      <c r="C22" s="92"/>
      <c r="D22" s="147">
        <f>'Suivi EAU-ELEC'!C28</f>
        <v>0</v>
      </c>
      <c r="E22" s="95"/>
      <c r="F22" s="210">
        <f t="shared" si="0"/>
        <v>0</v>
      </c>
      <c r="G22" s="211"/>
      <c r="H22" s="212"/>
      <c r="I22" s="142"/>
      <c r="J22" s="93">
        <f>'Suivi EAU-ELEC'!E28</f>
        <v>0</v>
      </c>
      <c r="K22" s="94">
        <f>'Suivi EAU-ELEC'!G28</f>
        <v>0</v>
      </c>
      <c r="L22" s="94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5"/>
      <c r="U22" s="60">
        <f>'Suivi Gaz'!O23</f>
        <v>0</v>
      </c>
      <c r="V22" s="58"/>
      <c r="W22" s="59">
        <f t="shared" si="8"/>
        <v>0</v>
      </c>
      <c r="X22" s="65"/>
      <c r="Y22" s="148">
        <f t="shared" si="1"/>
        <v>0</v>
      </c>
      <c r="Z22" s="64">
        <f t="shared" si="6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29">
        <f t="shared" si="2"/>
        <v>0</v>
      </c>
      <c r="AK22" s="128" t="e">
        <f t="shared" si="3"/>
        <v>#DIV/0!</v>
      </c>
      <c r="AL22" s="74"/>
    </row>
    <row r="23" spans="1:256" ht="32.25" customHeight="1" thickBot="1" x14ac:dyDescent="0.25">
      <c r="A23" s="73"/>
      <c r="B23" s="91">
        <f t="shared" si="7"/>
        <v>44241</v>
      </c>
      <c r="C23" s="92"/>
      <c r="D23" s="147">
        <f>'Suivi EAU-ELEC'!C29</f>
        <v>0</v>
      </c>
      <c r="E23" s="95"/>
      <c r="F23" s="207">
        <f t="shared" si="0"/>
        <v>0</v>
      </c>
      <c r="G23" s="208"/>
      <c r="H23" s="209"/>
      <c r="I23" s="142"/>
      <c r="J23" s="93">
        <f>'Suivi EAU-ELEC'!E29</f>
        <v>0</v>
      </c>
      <c r="K23" s="94">
        <f>'Suivi EAU-ELEC'!G29</f>
        <v>0</v>
      </c>
      <c r="L23" s="94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5"/>
      <c r="U23" s="60">
        <f>'Suivi Gaz'!O24</f>
        <v>0</v>
      </c>
      <c r="V23" s="58"/>
      <c r="W23" s="59">
        <f t="shared" si="8"/>
        <v>0</v>
      </c>
      <c r="X23" s="65"/>
      <c r="Y23" s="148">
        <f t="shared" si="1"/>
        <v>0</v>
      </c>
      <c r="Z23" s="64">
        <f t="shared" si="6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29">
        <f t="shared" si="2"/>
        <v>0</v>
      </c>
      <c r="AK23" s="128" t="e">
        <f t="shared" si="3"/>
        <v>#DIV/0!</v>
      </c>
      <c r="AL23" s="74"/>
    </row>
    <row r="24" spans="1:256" ht="32.25" customHeight="1" thickBot="1" x14ac:dyDescent="0.25">
      <c r="A24" s="73"/>
      <c r="B24" s="91">
        <f t="shared" si="7"/>
        <v>44242</v>
      </c>
      <c r="C24" s="92"/>
      <c r="D24" s="147">
        <f>'Suivi EAU-ELEC'!C30</f>
        <v>0</v>
      </c>
      <c r="E24" s="95"/>
      <c r="F24" s="207">
        <f t="shared" si="0"/>
        <v>0</v>
      </c>
      <c r="G24" s="208"/>
      <c r="H24" s="209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8"/>
        <v>0</v>
      </c>
      <c r="X24" s="65"/>
      <c r="Y24" s="148">
        <f t="shared" si="1"/>
        <v>0</v>
      </c>
      <c r="Z24" s="64">
        <f t="shared" si="6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7"/>
        <v>44243</v>
      </c>
      <c r="C25" s="92"/>
      <c r="D25" s="147">
        <f>'Suivi EAU-ELEC'!C31</f>
        <v>0</v>
      </c>
      <c r="E25" s="95"/>
      <c r="F25" s="207">
        <f t="shared" si="0"/>
        <v>0</v>
      </c>
      <c r="G25" s="208"/>
      <c r="H25" s="209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8"/>
        <v>0</v>
      </c>
      <c r="X25" s="65"/>
      <c r="Y25" s="148">
        <f t="shared" si="1"/>
        <v>0</v>
      </c>
      <c r="Z25" s="64">
        <f t="shared" si="6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7"/>
        <v>44244</v>
      </c>
      <c r="C26" s="92"/>
      <c r="D26" s="147">
        <f>'Suivi EAU-ELEC'!C32</f>
        <v>0</v>
      </c>
      <c r="E26" s="150"/>
      <c r="F26" s="207">
        <f t="shared" si="0"/>
        <v>0</v>
      </c>
      <c r="G26" s="208"/>
      <c r="H26" s="209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8"/>
        <v>0</v>
      </c>
      <c r="X26" s="65"/>
      <c r="Y26" s="148">
        <f t="shared" si="1"/>
        <v>0</v>
      </c>
      <c r="Z26" s="64">
        <f t="shared" si="6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7"/>
        <v>44245</v>
      </c>
      <c r="C27" s="92"/>
      <c r="D27" s="147">
        <f>'Suivi EAU-ELEC'!C33</f>
        <v>0</v>
      </c>
      <c r="E27" s="150"/>
      <c r="F27" s="207">
        <f t="shared" si="0"/>
        <v>0</v>
      </c>
      <c r="G27" s="208"/>
      <c r="H27" s="209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8"/>
        <v>0</v>
      </c>
      <c r="X27" s="65"/>
      <c r="Y27" s="148">
        <f t="shared" si="1"/>
        <v>0</v>
      </c>
      <c r="Z27" s="64">
        <f t="shared" si="6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7"/>
        <v>44246</v>
      </c>
      <c r="C28" s="92"/>
      <c r="D28" s="147">
        <f>'Suivi EAU-ELEC'!C34</f>
        <v>0</v>
      </c>
      <c r="E28" s="150"/>
      <c r="F28" s="204">
        <f t="shared" si="0"/>
        <v>0</v>
      </c>
      <c r="G28" s="205"/>
      <c r="H28" s="206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8"/>
        <v>0</v>
      </c>
      <c r="X28" s="65"/>
      <c r="Y28" s="148">
        <f t="shared" si="1"/>
        <v>0</v>
      </c>
      <c r="Z28" s="64">
        <f t="shared" si="6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7"/>
        <v>44247</v>
      </c>
      <c r="C29" s="92"/>
      <c r="D29" s="147">
        <f>'Suivi EAU-ELEC'!C35</f>
        <v>0</v>
      </c>
      <c r="E29" s="150"/>
      <c r="F29" s="207">
        <f t="shared" si="0"/>
        <v>0</v>
      </c>
      <c r="G29" s="208"/>
      <c r="H29" s="209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8"/>
        <v>0</v>
      </c>
      <c r="X29" s="65"/>
      <c r="Y29" s="148">
        <f t="shared" si="1"/>
        <v>0</v>
      </c>
      <c r="Z29" s="64">
        <f t="shared" si="6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7"/>
        <v>44248</v>
      </c>
      <c r="C30" s="97"/>
      <c r="D30" s="147">
        <f>'Suivi EAU-ELEC'!C36</f>
        <v>0</v>
      </c>
      <c r="E30" s="150"/>
      <c r="F30" s="204">
        <f t="shared" si="0"/>
        <v>0</v>
      </c>
      <c r="G30" s="205"/>
      <c r="H30" s="206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8"/>
        <v>0</v>
      </c>
      <c r="X30" s="65"/>
      <c r="Y30" s="148">
        <f t="shared" si="1"/>
        <v>0</v>
      </c>
      <c r="Z30" s="64">
        <f t="shared" si="6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7"/>
        <v>44249</v>
      </c>
      <c r="C31" s="92"/>
      <c r="D31" s="147">
        <f>'Suivi EAU-ELEC'!C37</f>
        <v>0</v>
      </c>
      <c r="E31" s="95"/>
      <c r="F31" s="207">
        <f t="shared" si="0"/>
        <v>0</v>
      </c>
      <c r="G31" s="208"/>
      <c r="H31" s="209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8"/>
        <v>0</v>
      </c>
      <c r="X31" s="65"/>
      <c r="Y31" s="148">
        <f t="shared" si="1"/>
        <v>0</v>
      </c>
      <c r="Z31" s="64">
        <f t="shared" si="6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7"/>
        <v>44250</v>
      </c>
      <c r="C32" s="92"/>
      <c r="D32" s="147">
        <f>'Suivi EAU-ELEC'!C38</f>
        <v>0</v>
      </c>
      <c r="E32" s="95"/>
      <c r="F32" s="207">
        <f t="shared" si="0"/>
        <v>0</v>
      </c>
      <c r="G32" s="208"/>
      <c r="H32" s="209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8"/>
        <v>0</v>
      </c>
      <c r="X32" s="65"/>
      <c r="Y32" s="148">
        <f t="shared" si="1"/>
        <v>0</v>
      </c>
      <c r="Z32" s="64">
        <f t="shared" si="6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7"/>
        <v>44251</v>
      </c>
      <c r="C33" s="92"/>
      <c r="D33" s="147">
        <f>'Suivi EAU-ELEC'!C39</f>
        <v>0</v>
      </c>
      <c r="E33" s="95"/>
      <c r="F33" s="207">
        <f t="shared" si="0"/>
        <v>0</v>
      </c>
      <c r="G33" s="208"/>
      <c r="H33" s="209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8"/>
        <v>0</v>
      </c>
      <c r="X33" s="65"/>
      <c r="Y33" s="148">
        <f t="shared" si="1"/>
        <v>0</v>
      </c>
      <c r="Z33" s="64">
        <f t="shared" si="6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7"/>
        <v>44252</v>
      </c>
      <c r="C34" s="92"/>
      <c r="D34" s="147">
        <f>'Suivi EAU-ELEC'!C40</f>
        <v>0</v>
      </c>
      <c r="E34" s="95"/>
      <c r="F34" s="207">
        <f t="shared" si="0"/>
        <v>0</v>
      </c>
      <c r="G34" s="208"/>
      <c r="H34" s="209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8"/>
        <v>0</v>
      </c>
      <c r="X34" s="65"/>
      <c r="Y34" s="148">
        <f t="shared" si="1"/>
        <v>0</v>
      </c>
      <c r="Z34" s="64">
        <f t="shared" si="6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7"/>
        <v>44253</v>
      </c>
      <c r="C35" s="92"/>
      <c r="D35" s="147">
        <f>'Suivi EAU-ELEC'!C41</f>
        <v>0</v>
      </c>
      <c r="E35" s="95"/>
      <c r="F35" s="210">
        <f t="shared" si="0"/>
        <v>0</v>
      </c>
      <c r="G35" s="211"/>
      <c r="H35" s="212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8"/>
        <v>0</v>
      </c>
      <c r="X35" s="65"/>
      <c r="Y35" s="148">
        <f t="shared" si="1"/>
        <v>0</v>
      </c>
      <c r="Z35" s="64">
        <f t="shared" si="6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7"/>
        <v>44254</v>
      </c>
      <c r="C36" s="92"/>
      <c r="D36" s="147">
        <f>'Suivi EAU-ELEC'!C42</f>
        <v>0</v>
      </c>
      <c r="E36" s="95"/>
      <c r="F36" s="217">
        <f t="shared" si="0"/>
        <v>0</v>
      </c>
      <c r="G36" s="218"/>
      <c r="H36" s="219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8"/>
        <v>0</v>
      </c>
      <c r="X36" s="65"/>
      <c r="Y36" s="148">
        <f t="shared" si="1"/>
        <v>0</v>
      </c>
      <c r="Z36" s="64">
        <f t="shared" si="6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7"/>
        <v>44255</v>
      </c>
      <c r="C37" s="92"/>
      <c r="D37" s="147">
        <f>'Suivi EAU-ELEC'!C43</f>
        <v>0</v>
      </c>
      <c r="E37" s="95"/>
      <c r="F37" s="220">
        <f t="shared" si="0"/>
        <v>0</v>
      </c>
      <c r="G37" s="221"/>
      <c r="H37" s="222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8"/>
        <v>0</v>
      </c>
      <c r="X37" s="65"/>
      <c r="Y37" s="148">
        <f t="shared" si="1"/>
        <v>0</v>
      </c>
      <c r="Z37" s="64">
        <f t="shared" si="6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7"/>
        <v>44256</v>
      </c>
      <c r="C38" s="92"/>
      <c r="D38" s="147">
        <f>'Suivi EAU-ELEC'!C44</f>
        <v>0</v>
      </c>
      <c r="E38" s="95"/>
      <c r="F38" s="204">
        <f t="shared" si="0"/>
        <v>0</v>
      </c>
      <c r="G38" s="205"/>
      <c r="H38" s="206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8"/>
        <v>0</v>
      </c>
      <c r="X38" s="65"/>
      <c r="Y38" s="148">
        <f t="shared" si="1"/>
        <v>0</v>
      </c>
      <c r="Z38" s="64">
        <f t="shared" si="6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7"/>
        <v>44257</v>
      </c>
      <c r="C39" s="92"/>
      <c r="D39" s="147">
        <f>'Suivi EAU-ELEC'!C45</f>
        <v>0</v>
      </c>
      <c r="E39" s="95"/>
      <c r="F39" s="207">
        <f t="shared" si="0"/>
        <v>0</v>
      </c>
      <c r="G39" s="208"/>
      <c r="H39" s="209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8"/>
        <v>0</v>
      </c>
      <c r="X39" s="65"/>
      <c r="Y39" s="148">
        <f t="shared" si="1"/>
        <v>0</v>
      </c>
      <c r="Z39" s="64">
        <f t="shared" si="6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7"/>
        <v>44258</v>
      </c>
      <c r="C40" s="92"/>
      <c r="D40" s="147">
        <f>'Suivi EAU-ELEC'!C46</f>
        <v>0</v>
      </c>
      <c r="E40" s="149"/>
      <c r="F40" s="210">
        <f t="shared" si="0"/>
        <v>0</v>
      </c>
      <c r="G40" s="211"/>
      <c r="H40" s="212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8"/>
        <v>0</v>
      </c>
      <c r="X40" s="65"/>
      <c r="Y40" s="148">
        <f t="shared" si="1"/>
        <v>0</v>
      </c>
      <c r="Z40" s="64">
        <f t="shared" si="6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175</v>
      </c>
      <c r="E41" s="101"/>
      <c r="F41" s="213">
        <f>SUM(F10:H37)</f>
        <v>2217.25</v>
      </c>
      <c r="G41" s="214"/>
      <c r="H41" s="215"/>
      <c r="I41" s="101"/>
      <c r="J41" s="103">
        <f>SUM(J10:J37)</f>
        <v>3461</v>
      </c>
      <c r="K41" s="103">
        <f>SUM(K10:K37)</f>
        <v>4700</v>
      </c>
      <c r="L41" s="103">
        <f>SUM(L10:L37)</f>
        <v>2184</v>
      </c>
      <c r="M41" s="103">
        <f>SUM(M10:M37)</f>
        <v>10345</v>
      </c>
      <c r="N41" s="102"/>
      <c r="O41" s="103">
        <f>SUM(O10:O37)</f>
        <v>10241.549999999999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408.1</v>
      </c>
      <c r="V41" s="58"/>
      <c r="W41" s="103">
        <f>SUM(W10:W37)</f>
        <v>3736.9717000000001</v>
      </c>
      <c r="X41" s="139"/>
      <c r="Y41" s="103">
        <f>SUM(Y10:Y37)</f>
        <v>9.2200000000011642</v>
      </c>
      <c r="Z41" s="103">
        <f>SUM(Z10:Z37)</f>
        <v>4886.600000000617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21082.371700000615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16"/>
      <c r="G42" s="216"/>
      <c r="H42" s="216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1" t="s">
        <v>9</v>
      </c>
      <c r="B43" s="182"/>
      <c r="C43" s="183"/>
      <c r="D43" s="109" t="s">
        <v>6</v>
      </c>
      <c r="E43" s="110"/>
      <c r="F43" s="111">
        <v>0.64895000000000003</v>
      </c>
      <c r="G43" s="187">
        <f>J41</f>
        <v>3461</v>
      </c>
      <c r="H43" s="188"/>
      <c r="I43" s="189"/>
      <c r="J43" s="190">
        <f>G43*F43</f>
        <v>2246.01595</v>
      </c>
      <c r="K43" s="191"/>
      <c r="L43" s="192">
        <f>J43+J44+J45</f>
        <v>9122.6295100000007</v>
      </c>
      <c r="M43" s="193"/>
      <c r="N43" s="193"/>
      <c r="O43" s="193"/>
      <c r="P43" s="193"/>
      <c r="Q43" s="193"/>
      <c r="R43" s="193"/>
      <c r="S43" s="193"/>
      <c r="T43" s="193"/>
      <c r="U43" s="194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4"/>
      <c r="B44" s="185"/>
      <c r="C44" s="186"/>
      <c r="D44" s="112" t="s">
        <v>7</v>
      </c>
      <c r="E44" s="110"/>
      <c r="F44" s="116">
        <v>0.88605</v>
      </c>
      <c r="G44" s="187">
        <f>K41</f>
        <v>4700</v>
      </c>
      <c r="H44" s="188"/>
      <c r="I44" s="189"/>
      <c r="J44" s="190">
        <f>G44*F44</f>
        <v>4164.4350000000004</v>
      </c>
      <c r="K44" s="191"/>
      <c r="L44" s="195"/>
      <c r="M44" s="196"/>
      <c r="N44" s="196"/>
      <c r="O44" s="196"/>
      <c r="P44" s="196"/>
      <c r="Q44" s="196"/>
      <c r="R44" s="196"/>
      <c r="S44" s="196"/>
      <c r="T44" s="196"/>
      <c r="U44" s="197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4"/>
      <c r="B45" s="185"/>
      <c r="C45" s="186"/>
      <c r="D45" s="117" t="s">
        <v>8</v>
      </c>
      <c r="E45" s="118"/>
      <c r="F45" s="119">
        <v>1.2418400000000001</v>
      </c>
      <c r="G45" s="201">
        <f>L41</f>
        <v>2184</v>
      </c>
      <c r="H45" s="202"/>
      <c r="I45" s="203"/>
      <c r="J45" s="190">
        <f>G45*F45</f>
        <v>2712.1785600000003</v>
      </c>
      <c r="K45" s="191"/>
      <c r="L45" s="198"/>
      <c r="M45" s="199"/>
      <c r="N45" s="199"/>
      <c r="O45" s="199"/>
      <c r="P45" s="199"/>
      <c r="Q45" s="199"/>
      <c r="R45" s="199"/>
      <c r="S45" s="199"/>
      <c r="T45" s="199"/>
      <c r="U45" s="200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4" t="s">
        <v>10</v>
      </c>
      <c r="B46" s="165"/>
      <c r="C46" s="165"/>
      <c r="D46" s="166"/>
      <c r="E46" s="110"/>
      <c r="F46" s="120">
        <v>12.67</v>
      </c>
      <c r="G46" s="164">
        <f>D41</f>
        <v>175</v>
      </c>
      <c r="H46" s="165"/>
      <c r="I46" s="166"/>
      <c r="J46" s="167">
        <f>G46*F46</f>
        <v>2217.25</v>
      </c>
      <c r="K46" s="168"/>
      <c r="L46" s="169">
        <f>J46</f>
        <v>2217.25</v>
      </c>
      <c r="M46" s="170"/>
      <c r="N46" s="170"/>
      <c r="O46" s="170"/>
      <c r="P46" s="170"/>
      <c r="Q46" s="170"/>
      <c r="R46" s="170"/>
      <c r="S46" s="170"/>
      <c r="T46" s="170"/>
      <c r="U46" s="171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2" t="s">
        <v>12</v>
      </c>
      <c r="B47" s="173"/>
      <c r="C47" s="173"/>
      <c r="D47" s="174"/>
      <c r="E47" s="110"/>
      <c r="F47" s="121">
        <v>9.157</v>
      </c>
      <c r="G47" s="175">
        <f>U41</f>
        <v>408.1</v>
      </c>
      <c r="H47" s="176"/>
      <c r="I47" s="177"/>
      <c r="J47" s="175">
        <f>G47*F47</f>
        <v>3736.9717000000001</v>
      </c>
      <c r="K47" s="177"/>
      <c r="L47" s="178">
        <f>J47</f>
        <v>3736.9717000000001</v>
      </c>
      <c r="M47" s="179"/>
      <c r="N47" s="179"/>
      <c r="O47" s="179"/>
      <c r="P47" s="179"/>
      <c r="Q47" s="179"/>
      <c r="R47" s="179"/>
      <c r="S47" s="179"/>
      <c r="T47" s="179"/>
      <c r="U47" s="180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C8" activePane="bottomRight" state="frozen"/>
      <selection pane="topRight" activeCell="B1" sqref="B1"/>
      <selection pane="bottomLeft" activeCell="A4" sqref="A4"/>
      <selection pane="bottomRight" activeCell="M38" sqref="M38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78"/>
      <c r="B1" s="278"/>
      <c r="C1" s="279"/>
      <c r="D1" s="280" t="s">
        <v>57</v>
      </c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2"/>
      <c r="AA1" s="283"/>
      <c r="AB1" s="284"/>
      <c r="AC1" s="284"/>
    </row>
    <row r="2" spans="1:31" ht="41.25" customHeight="1" thickBot="1" x14ac:dyDescent="0.4">
      <c r="A2" s="48"/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8"/>
      <c r="Q2" s="285">
        <v>803</v>
      </c>
      <c r="R2" s="286"/>
      <c r="S2" s="286"/>
      <c r="T2" s="286">
        <v>519</v>
      </c>
      <c r="U2" s="286"/>
      <c r="V2" s="286"/>
      <c r="W2" s="286">
        <v>800</v>
      </c>
      <c r="X2" s="286"/>
      <c r="Y2" s="286"/>
      <c r="Z2" s="286">
        <v>802</v>
      </c>
      <c r="AA2" s="286"/>
      <c r="AB2" s="289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12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1" si="3">IF(AC4&gt;0,((H4-AA4)+(AB4-H5)),IF(H5=0, ,(H4-H5)))</f>
        <v>3</v>
      </c>
      <c r="J4" s="18">
        <f t="shared" ref="J4:J11" si="4">B4+D4+F4+H4</f>
        <v>249</v>
      </c>
      <c r="K4" s="18">
        <f t="shared" ref="K4:K11" si="5">J4/4</f>
        <v>62.25</v>
      </c>
      <c r="L4" s="18">
        <f t="shared" ref="L4:L11" si="6">IF(AC4&gt;0,((K4-AD4)+(AE4-K5)),IF(K5=0, ,(K4-K5)))</f>
        <v>1.75</v>
      </c>
      <c r="M4" s="18">
        <f t="shared" ref="M4:M42" si="7">7000*4</f>
        <v>28000</v>
      </c>
      <c r="N4" s="18">
        <f t="shared" ref="N4:N11" si="8">L4*M4/100</f>
        <v>490</v>
      </c>
      <c r="O4" s="18">
        <f t="shared" ref="O4:O11" si="9">N4*0.53</f>
        <v>259.7</v>
      </c>
      <c r="P4" s="21">
        <f t="shared" ref="P4:P42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 t="shared" si="10"/>
        <v>3736.9717000000001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0</v>
      </c>
      <c r="F12" s="20">
        <v>68</v>
      </c>
      <c r="G12" s="18">
        <f t="shared" si="2"/>
        <v>0</v>
      </c>
      <c r="H12" s="20">
        <v>70</v>
      </c>
      <c r="I12" s="18">
        <f t="shared" ref="I4:I14" si="16">IF(AC12&gt;0,((H12-AA12)+(AB12-H13)),IF(H13=0, ,(H12-H13)))</f>
        <v>0</v>
      </c>
      <c r="J12" s="18">
        <f t="shared" ref="J4:J14" si="17">B12+D12+F12+H12</f>
        <v>280</v>
      </c>
      <c r="K12" s="18">
        <f t="shared" ref="K4:K14" si="18">J12/4</f>
        <v>70</v>
      </c>
      <c r="L12" s="18">
        <f t="shared" ref="L4:L14" si="19">IF(AC12&gt;0,((K12-AD12)+(AE12-K13)),IF(K13=0, ,(K12-K13)))</f>
        <v>0</v>
      </c>
      <c r="M12" s="18">
        <f t="shared" si="7"/>
        <v>28000</v>
      </c>
      <c r="N12" s="18">
        <f t="shared" ref="N4:N14" si="20">L12*M12/100</f>
        <v>0</v>
      </c>
      <c r="O12" s="18">
        <f t="shared" ref="O4:O14" si="21">N12*0.53</f>
        <v>0</v>
      </c>
      <c r="P12" s="21">
        <f t="shared" si="10"/>
        <v>0</v>
      </c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>
        <f t="shared" si="13"/>
        <v>0</v>
      </c>
      <c r="AD12" s="49">
        <f t="shared" si="15"/>
        <v>0</v>
      </c>
      <c r="AE12" s="49">
        <f t="shared" si="15"/>
        <v>0</v>
      </c>
    </row>
    <row r="13" spans="1:31" ht="32.25" customHeight="1" x14ac:dyDescent="0.3">
      <c r="A13" s="19">
        <f t="shared" si="14"/>
        <v>44230</v>
      </c>
      <c r="B13" s="20"/>
      <c r="C13" s="18">
        <f t="shared" ref="C13:C42" si="22">IF(AC13&gt;0,((B13-R13)+(S13-B14)),IF(B14=0, ,(B13-B14)))</f>
        <v>0</v>
      </c>
      <c r="D13" s="20"/>
      <c r="E13" s="18">
        <f t="shared" ref="E13:E42" si="23">IF(AC13&gt;0,((D13-U13)+(V13-D14)),IF(D14=0, ,(D13-D14)))</f>
        <v>0</v>
      </c>
      <c r="F13" s="20"/>
      <c r="G13" s="18">
        <f t="shared" ref="G13:G42" si="24">IF(AC13&gt;0,((F13-X13)+(Y13-F14)),IF(F14=0, ,(F13-F14)))</f>
        <v>0</v>
      </c>
      <c r="H13" s="20"/>
      <c r="I13" s="18">
        <f t="shared" si="16"/>
        <v>0</v>
      </c>
      <c r="J13" s="18">
        <f t="shared" si="17"/>
        <v>0</v>
      </c>
      <c r="K13" s="18">
        <f t="shared" si="18"/>
        <v>0</v>
      </c>
      <c r="L13" s="18">
        <f t="shared" si="19"/>
        <v>0</v>
      </c>
      <c r="M13" s="18">
        <f t="shared" si="7"/>
        <v>28000</v>
      </c>
      <c r="N13" s="18">
        <f t="shared" si="20"/>
        <v>0</v>
      </c>
      <c r="O13" s="18">
        <f t="shared" si="21"/>
        <v>0</v>
      </c>
      <c r="P13" s="21">
        <f t="shared" si="10"/>
        <v>0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/>
      <c r="C14" s="18">
        <f t="shared" si="22"/>
        <v>0</v>
      </c>
      <c r="D14" s="20"/>
      <c r="E14" s="18">
        <f t="shared" si="23"/>
        <v>0</v>
      </c>
      <c r="F14" s="20"/>
      <c r="G14" s="18">
        <f t="shared" si="24"/>
        <v>0</v>
      </c>
      <c r="H14" s="20"/>
      <c r="I14" s="18">
        <f t="shared" si="16"/>
        <v>0</v>
      </c>
      <c r="J14" s="18">
        <f t="shared" si="17"/>
        <v>0</v>
      </c>
      <c r="K14" s="18">
        <f t="shared" si="18"/>
        <v>0</v>
      </c>
      <c r="L14" s="18">
        <f t="shared" si="19"/>
        <v>0</v>
      </c>
      <c r="M14" s="18">
        <f t="shared" si="7"/>
        <v>28000</v>
      </c>
      <c r="N14" s="18">
        <f t="shared" si="20"/>
        <v>0</v>
      </c>
      <c r="O14" s="18">
        <f t="shared" si="21"/>
        <v>0</v>
      </c>
      <c r="P14" s="21">
        <f t="shared" si="10"/>
        <v>0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/>
      <c r="C15" s="18">
        <f t="shared" si="22"/>
        <v>0</v>
      </c>
      <c r="D15" s="20"/>
      <c r="E15" s="18">
        <f t="shared" si="23"/>
        <v>0</v>
      </c>
      <c r="F15" s="20"/>
      <c r="G15" s="18">
        <f t="shared" si="24"/>
        <v>0</v>
      </c>
      <c r="H15" s="20"/>
      <c r="I15" s="18">
        <f t="shared" ref="I15:I19" si="27">IF(AC15&gt;0,((H15-AA15)+(AB15-H16)),IF(H16=0, ,(H15-H16)))</f>
        <v>0</v>
      </c>
      <c r="J15" s="18">
        <f t="shared" ref="J15:J42" si="28">B15+D15+F15+H15</f>
        <v>0</v>
      </c>
      <c r="K15" s="18">
        <f t="shared" ref="K15:K42" si="29">J15/4</f>
        <v>0</v>
      </c>
      <c r="L15" s="18">
        <f t="shared" ref="L15:L19" si="30">IF(AC15&gt;0,((K15-AD15)+(AE15-K16)),IF(K16=0, ,(K15-K16)))</f>
        <v>0</v>
      </c>
      <c r="M15" s="18">
        <f t="shared" si="7"/>
        <v>28000</v>
      </c>
      <c r="N15" s="18">
        <f t="shared" ref="N15" si="31">L15*M15/100</f>
        <v>0</v>
      </c>
      <c r="O15" s="18">
        <f t="shared" ref="O15" si="32">N15*0.53</f>
        <v>0</v>
      </c>
      <c r="P15" s="21">
        <f t="shared" si="10"/>
        <v>0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/>
      <c r="C16" s="18">
        <f t="shared" si="22"/>
        <v>0</v>
      </c>
      <c r="D16" s="20"/>
      <c r="E16" s="18">
        <f t="shared" si="23"/>
        <v>0</v>
      </c>
      <c r="F16" s="20"/>
      <c r="G16" s="18">
        <f t="shared" si="24"/>
        <v>0</v>
      </c>
      <c r="H16" s="20"/>
      <c r="I16" s="18">
        <f t="shared" si="27"/>
        <v>0</v>
      </c>
      <c r="J16" s="18">
        <f t="shared" si="28"/>
        <v>0</v>
      </c>
      <c r="K16" s="18">
        <f t="shared" si="29"/>
        <v>0</v>
      </c>
      <c r="L16" s="18">
        <f t="shared" si="30"/>
        <v>0</v>
      </c>
      <c r="M16" s="18">
        <f t="shared" si="7"/>
        <v>28000</v>
      </c>
      <c r="N16" s="18">
        <f t="shared" ref="N16:N42" si="33">L16*M16/100</f>
        <v>0</v>
      </c>
      <c r="O16" s="18">
        <f t="shared" ref="O16:O42" si="34">N16*0.53</f>
        <v>0</v>
      </c>
      <c r="P16" s="21">
        <f t="shared" si="10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/>
      <c r="C17" s="18">
        <f t="shared" si="22"/>
        <v>0</v>
      </c>
      <c r="D17" s="20"/>
      <c r="E17" s="18">
        <f t="shared" si="23"/>
        <v>0</v>
      </c>
      <c r="F17" s="20"/>
      <c r="G17" s="18">
        <f t="shared" si="24"/>
        <v>0</v>
      </c>
      <c r="H17" s="20"/>
      <c r="I17" s="18">
        <f t="shared" si="27"/>
        <v>0</v>
      </c>
      <c r="J17" s="18">
        <f t="shared" si="28"/>
        <v>0</v>
      </c>
      <c r="K17" s="18">
        <f t="shared" si="29"/>
        <v>0</v>
      </c>
      <c r="L17" s="18">
        <f t="shared" si="30"/>
        <v>0</v>
      </c>
      <c r="M17" s="18">
        <f t="shared" si="7"/>
        <v>28000</v>
      </c>
      <c r="N17" s="18">
        <f t="shared" si="33"/>
        <v>0</v>
      </c>
      <c r="O17" s="18">
        <f t="shared" si="34"/>
        <v>0</v>
      </c>
      <c r="P17" s="21">
        <f t="shared" si="10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/>
      <c r="C18" s="18">
        <f t="shared" si="22"/>
        <v>0</v>
      </c>
      <c r="D18" s="20"/>
      <c r="E18" s="18">
        <f t="shared" si="23"/>
        <v>0</v>
      </c>
      <c r="F18" s="20"/>
      <c r="G18" s="18">
        <f t="shared" si="24"/>
        <v>0</v>
      </c>
      <c r="H18" s="20"/>
      <c r="I18" s="18">
        <f t="shared" si="27"/>
        <v>0</v>
      </c>
      <c r="J18" s="18">
        <f t="shared" si="28"/>
        <v>0</v>
      </c>
      <c r="K18" s="18">
        <f t="shared" si="29"/>
        <v>0</v>
      </c>
      <c r="L18" s="18">
        <f t="shared" si="30"/>
        <v>0</v>
      </c>
      <c r="M18" s="18">
        <f t="shared" si="7"/>
        <v>28000</v>
      </c>
      <c r="N18" s="18">
        <f t="shared" si="33"/>
        <v>0</v>
      </c>
      <c r="O18" s="18">
        <f t="shared" si="34"/>
        <v>0</v>
      </c>
      <c r="P18" s="21">
        <f t="shared" si="10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5"/>
        <v>0</v>
      </c>
      <c r="AE18" s="49">
        <f t="shared" si="26"/>
        <v>0</v>
      </c>
    </row>
    <row r="19" spans="1:31" ht="32.25" customHeight="1" x14ac:dyDescent="0.3">
      <c r="A19" s="19">
        <f t="shared" si="14"/>
        <v>44236</v>
      </c>
      <c r="B19" s="20"/>
      <c r="C19" s="18">
        <f t="shared" si="22"/>
        <v>0</v>
      </c>
      <c r="D19" s="20"/>
      <c r="E19" s="18">
        <f t="shared" si="23"/>
        <v>0</v>
      </c>
      <c r="F19" s="20"/>
      <c r="G19" s="18">
        <f t="shared" si="24"/>
        <v>0</v>
      </c>
      <c r="H19" s="20"/>
      <c r="I19" s="18">
        <f t="shared" si="27"/>
        <v>0</v>
      </c>
      <c r="J19" s="18">
        <f t="shared" si="28"/>
        <v>0</v>
      </c>
      <c r="K19" s="18">
        <f t="shared" si="29"/>
        <v>0</v>
      </c>
      <c r="L19" s="18">
        <f t="shared" si="30"/>
        <v>0</v>
      </c>
      <c r="M19" s="18">
        <f t="shared" si="7"/>
        <v>28000</v>
      </c>
      <c r="N19" s="18">
        <f t="shared" si="33"/>
        <v>0</v>
      </c>
      <c r="O19" s="18">
        <f t="shared" si="34"/>
        <v>0</v>
      </c>
      <c r="P19" s="21">
        <f t="shared" si="10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/>
      <c r="C20" s="18">
        <f t="shared" si="22"/>
        <v>0</v>
      </c>
      <c r="D20" s="20"/>
      <c r="E20" s="18">
        <f t="shared" si="23"/>
        <v>0</v>
      </c>
      <c r="F20" s="20"/>
      <c r="G20" s="18">
        <f t="shared" si="24"/>
        <v>0</v>
      </c>
      <c r="H20" s="20"/>
      <c r="I20" s="18">
        <f t="shared" ref="I20:I42" si="35">IF(AC20&gt;0,((H20-AA20)+(AB20-H21)),IF(H21=0, ,(H20-H21)))</f>
        <v>0</v>
      </c>
      <c r="J20" s="18">
        <f t="shared" si="28"/>
        <v>0</v>
      </c>
      <c r="K20" s="18">
        <f t="shared" si="29"/>
        <v>0</v>
      </c>
      <c r="L20" s="18">
        <f t="shared" ref="L20:L42" si="36">IF(AC20&gt;0,((K20-AD20)+(AE20-K21)),IF(K21=0, ,(K20-K21)))</f>
        <v>0</v>
      </c>
      <c r="M20" s="18">
        <f t="shared" si="7"/>
        <v>28000</v>
      </c>
      <c r="N20" s="18">
        <f t="shared" si="33"/>
        <v>0</v>
      </c>
      <c r="O20" s="18">
        <f t="shared" si="34"/>
        <v>0</v>
      </c>
      <c r="P20" s="21">
        <f t="shared" si="10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/>
      <c r="C21" s="18">
        <f t="shared" si="22"/>
        <v>0</v>
      </c>
      <c r="D21" s="20"/>
      <c r="E21" s="18">
        <f t="shared" si="23"/>
        <v>0</v>
      </c>
      <c r="F21" s="20"/>
      <c r="G21" s="18">
        <f t="shared" si="24"/>
        <v>0</v>
      </c>
      <c r="H21" s="20"/>
      <c r="I21" s="18">
        <f t="shared" si="35"/>
        <v>0</v>
      </c>
      <c r="J21" s="18">
        <f t="shared" si="28"/>
        <v>0</v>
      </c>
      <c r="K21" s="18">
        <f t="shared" si="29"/>
        <v>0</v>
      </c>
      <c r="L21" s="18">
        <f t="shared" si="36"/>
        <v>0</v>
      </c>
      <c r="M21" s="18">
        <f t="shared" si="7"/>
        <v>28000</v>
      </c>
      <c r="N21" s="18">
        <f t="shared" si="33"/>
        <v>0</v>
      </c>
      <c r="O21" s="18">
        <f t="shared" si="34"/>
        <v>0</v>
      </c>
      <c r="P21" s="21">
        <f t="shared" si="10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/>
      <c r="C22" s="18">
        <f t="shared" si="22"/>
        <v>0</v>
      </c>
      <c r="D22" s="20"/>
      <c r="E22" s="18">
        <f t="shared" si="23"/>
        <v>0</v>
      </c>
      <c r="F22" s="20"/>
      <c r="G22" s="18">
        <f t="shared" si="24"/>
        <v>0</v>
      </c>
      <c r="H22" s="20"/>
      <c r="I22" s="18">
        <f t="shared" si="35"/>
        <v>0</v>
      </c>
      <c r="J22" s="18">
        <f t="shared" si="28"/>
        <v>0</v>
      </c>
      <c r="K22" s="18">
        <f t="shared" si="29"/>
        <v>0</v>
      </c>
      <c r="L22" s="18">
        <f t="shared" si="36"/>
        <v>0</v>
      </c>
      <c r="M22" s="18">
        <f t="shared" si="7"/>
        <v>28000</v>
      </c>
      <c r="N22" s="18">
        <f t="shared" si="33"/>
        <v>0</v>
      </c>
      <c r="O22" s="18">
        <f t="shared" si="34"/>
        <v>0</v>
      </c>
      <c r="P22" s="21">
        <f t="shared" si="10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/>
      <c r="C23" s="18">
        <f t="shared" si="22"/>
        <v>0</v>
      </c>
      <c r="D23" s="20"/>
      <c r="E23" s="18">
        <f t="shared" si="23"/>
        <v>0</v>
      </c>
      <c r="F23" s="20"/>
      <c r="G23" s="18">
        <f t="shared" si="24"/>
        <v>0</v>
      </c>
      <c r="H23" s="20"/>
      <c r="I23" s="18">
        <f t="shared" si="35"/>
        <v>0</v>
      </c>
      <c r="J23" s="18">
        <f t="shared" si="28"/>
        <v>0</v>
      </c>
      <c r="K23" s="18">
        <f t="shared" si="29"/>
        <v>0</v>
      </c>
      <c r="L23" s="18">
        <f t="shared" si="36"/>
        <v>0</v>
      </c>
      <c r="M23" s="18">
        <f t="shared" si="7"/>
        <v>28000</v>
      </c>
      <c r="N23" s="18">
        <f t="shared" si="33"/>
        <v>0</v>
      </c>
      <c r="O23" s="18">
        <f t="shared" si="34"/>
        <v>0</v>
      </c>
      <c r="P23" s="21">
        <f t="shared" si="10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/>
      <c r="C24" s="18">
        <f t="shared" si="22"/>
        <v>0</v>
      </c>
      <c r="D24" s="20"/>
      <c r="E24" s="18">
        <f t="shared" si="23"/>
        <v>0</v>
      </c>
      <c r="F24" s="20"/>
      <c r="G24" s="18">
        <f t="shared" si="24"/>
        <v>0</v>
      </c>
      <c r="H24" s="20"/>
      <c r="I24" s="18">
        <f t="shared" si="35"/>
        <v>0</v>
      </c>
      <c r="J24" s="18">
        <f t="shared" si="28"/>
        <v>0</v>
      </c>
      <c r="K24" s="18">
        <f t="shared" si="29"/>
        <v>0</v>
      </c>
      <c r="L24" s="18">
        <f t="shared" si="36"/>
        <v>0</v>
      </c>
      <c r="M24" s="18">
        <f t="shared" si="7"/>
        <v>28000</v>
      </c>
      <c r="N24" s="18">
        <f t="shared" si="33"/>
        <v>0</v>
      </c>
      <c r="O24" s="18">
        <f t="shared" si="34"/>
        <v>0</v>
      </c>
      <c r="P24" s="21">
        <f t="shared" si="10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/>
      <c r="C25" s="18">
        <f t="shared" si="22"/>
        <v>0</v>
      </c>
      <c r="D25" s="20"/>
      <c r="E25" s="18">
        <f t="shared" si="23"/>
        <v>0</v>
      </c>
      <c r="F25" s="20"/>
      <c r="G25" s="18">
        <f t="shared" si="24"/>
        <v>0</v>
      </c>
      <c r="H25" s="20"/>
      <c r="I25" s="18">
        <f t="shared" si="35"/>
        <v>0</v>
      </c>
      <c r="J25" s="18">
        <f t="shared" si="28"/>
        <v>0</v>
      </c>
      <c r="K25" s="18">
        <f t="shared" si="29"/>
        <v>0</v>
      </c>
      <c r="L25" s="18">
        <f t="shared" si="36"/>
        <v>0</v>
      </c>
      <c r="M25" s="18">
        <f t="shared" si="7"/>
        <v>28000</v>
      </c>
      <c r="N25" s="18">
        <f t="shared" si="33"/>
        <v>0</v>
      </c>
      <c r="O25" s="18">
        <f t="shared" si="34"/>
        <v>0</v>
      </c>
      <c r="P25" s="21">
        <f t="shared" si="10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si="22"/>
        <v>0</v>
      </c>
      <c r="D26" s="20"/>
      <c r="E26" s="18">
        <f t="shared" si="23"/>
        <v>0</v>
      </c>
      <c r="F26" s="20"/>
      <c r="G26" s="18">
        <f t="shared" si="24"/>
        <v>0</v>
      </c>
      <c r="H26" s="20"/>
      <c r="I26" s="18">
        <f t="shared" si="35"/>
        <v>0</v>
      </c>
      <c r="J26" s="18">
        <f t="shared" si="28"/>
        <v>0</v>
      </c>
      <c r="K26" s="18">
        <f t="shared" si="29"/>
        <v>0</v>
      </c>
      <c r="L26" s="18">
        <f t="shared" si="36"/>
        <v>0</v>
      </c>
      <c r="M26" s="18">
        <f t="shared" si="7"/>
        <v>28000</v>
      </c>
      <c r="N26" s="18">
        <f t="shared" si="33"/>
        <v>0</v>
      </c>
      <c r="O26" s="18">
        <f t="shared" si="34"/>
        <v>0</v>
      </c>
      <c r="P26" s="21">
        <f t="shared" si="10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22"/>
        <v>0</v>
      </c>
      <c r="D27" s="20"/>
      <c r="E27" s="18">
        <f t="shared" si="23"/>
        <v>0</v>
      </c>
      <c r="F27" s="20"/>
      <c r="G27" s="18">
        <f t="shared" si="24"/>
        <v>0</v>
      </c>
      <c r="H27" s="20"/>
      <c r="I27" s="18">
        <f t="shared" si="35"/>
        <v>0</v>
      </c>
      <c r="J27" s="18">
        <f t="shared" si="28"/>
        <v>0</v>
      </c>
      <c r="K27" s="18">
        <f t="shared" si="29"/>
        <v>0</v>
      </c>
      <c r="L27" s="18">
        <f t="shared" si="36"/>
        <v>0</v>
      </c>
      <c r="M27" s="18">
        <f t="shared" si="7"/>
        <v>28000</v>
      </c>
      <c r="N27" s="18">
        <f t="shared" si="33"/>
        <v>0</v>
      </c>
      <c r="O27" s="18">
        <f t="shared" si="34"/>
        <v>0</v>
      </c>
      <c r="P27" s="21">
        <f t="shared" si="10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22"/>
        <v>0</v>
      </c>
      <c r="D28" s="20"/>
      <c r="E28" s="18">
        <f t="shared" si="23"/>
        <v>0</v>
      </c>
      <c r="F28" s="20"/>
      <c r="G28" s="18">
        <f t="shared" si="24"/>
        <v>0</v>
      </c>
      <c r="H28" s="20"/>
      <c r="I28" s="18">
        <f t="shared" si="35"/>
        <v>0</v>
      </c>
      <c r="J28" s="18">
        <f t="shared" si="28"/>
        <v>0</v>
      </c>
      <c r="K28" s="18">
        <f t="shared" si="29"/>
        <v>0</v>
      </c>
      <c r="L28" s="18">
        <f t="shared" si="36"/>
        <v>0</v>
      </c>
      <c r="M28" s="18">
        <f t="shared" si="7"/>
        <v>28000</v>
      </c>
      <c r="N28" s="18">
        <f t="shared" si="33"/>
        <v>0</v>
      </c>
      <c r="O28" s="18">
        <f t="shared" si="34"/>
        <v>0</v>
      </c>
      <c r="P28" s="21">
        <f t="shared" si="10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22"/>
        <v>0</v>
      </c>
      <c r="D29" s="20"/>
      <c r="E29" s="18">
        <f t="shared" si="23"/>
        <v>0</v>
      </c>
      <c r="F29" s="20"/>
      <c r="G29" s="18">
        <f t="shared" si="24"/>
        <v>0</v>
      </c>
      <c r="H29" s="20"/>
      <c r="I29" s="18">
        <f t="shared" si="35"/>
        <v>0</v>
      </c>
      <c r="J29" s="18">
        <f t="shared" si="28"/>
        <v>0</v>
      </c>
      <c r="K29" s="18">
        <f t="shared" si="29"/>
        <v>0</v>
      </c>
      <c r="L29" s="18">
        <f t="shared" si="36"/>
        <v>0</v>
      </c>
      <c r="M29" s="18">
        <f t="shared" si="7"/>
        <v>28000</v>
      </c>
      <c r="N29" s="18">
        <f t="shared" si="33"/>
        <v>0</v>
      </c>
      <c r="O29" s="18">
        <f t="shared" si="34"/>
        <v>0</v>
      </c>
      <c r="P29" s="21">
        <f t="shared" si="10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22"/>
        <v>0</v>
      </c>
      <c r="D30" s="20"/>
      <c r="E30" s="18">
        <f t="shared" si="23"/>
        <v>0</v>
      </c>
      <c r="F30" s="20"/>
      <c r="G30" s="18">
        <f t="shared" si="24"/>
        <v>0</v>
      </c>
      <c r="H30" s="20"/>
      <c r="I30" s="18">
        <f t="shared" si="35"/>
        <v>0</v>
      </c>
      <c r="J30" s="18">
        <f t="shared" si="28"/>
        <v>0</v>
      </c>
      <c r="K30" s="18">
        <f t="shared" si="29"/>
        <v>0</v>
      </c>
      <c r="L30" s="18">
        <f t="shared" si="36"/>
        <v>0</v>
      </c>
      <c r="M30" s="18">
        <f t="shared" si="7"/>
        <v>28000</v>
      </c>
      <c r="N30" s="18">
        <f t="shared" si="33"/>
        <v>0</v>
      </c>
      <c r="O30" s="18">
        <f t="shared" si="34"/>
        <v>0</v>
      </c>
      <c r="P30" s="21">
        <f t="shared" si="10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22"/>
        <v>0</v>
      </c>
      <c r="D31" s="20"/>
      <c r="E31" s="18">
        <f t="shared" si="23"/>
        <v>0</v>
      </c>
      <c r="F31" s="20"/>
      <c r="G31" s="18">
        <f t="shared" si="24"/>
        <v>0</v>
      </c>
      <c r="H31" s="20"/>
      <c r="I31" s="18">
        <f t="shared" si="35"/>
        <v>0</v>
      </c>
      <c r="J31" s="18">
        <f t="shared" si="28"/>
        <v>0</v>
      </c>
      <c r="K31" s="18">
        <f t="shared" si="29"/>
        <v>0</v>
      </c>
      <c r="L31" s="18">
        <f t="shared" si="36"/>
        <v>0</v>
      </c>
      <c r="M31" s="18">
        <f t="shared" si="7"/>
        <v>28000</v>
      </c>
      <c r="N31" s="18">
        <f t="shared" si="33"/>
        <v>0</v>
      </c>
      <c r="O31" s="18">
        <f t="shared" si="34"/>
        <v>0</v>
      </c>
      <c r="P31" s="21">
        <f t="shared" si="10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22"/>
        <v>0</v>
      </c>
      <c r="D32" s="20"/>
      <c r="E32" s="18">
        <f t="shared" si="23"/>
        <v>0</v>
      </c>
      <c r="F32" s="20"/>
      <c r="G32" s="18">
        <f t="shared" si="24"/>
        <v>0</v>
      </c>
      <c r="H32" s="20"/>
      <c r="I32" s="18">
        <f t="shared" si="35"/>
        <v>0</v>
      </c>
      <c r="J32" s="18">
        <f t="shared" si="28"/>
        <v>0</v>
      </c>
      <c r="K32" s="18">
        <f t="shared" si="29"/>
        <v>0</v>
      </c>
      <c r="L32" s="18">
        <f t="shared" si="36"/>
        <v>0</v>
      </c>
      <c r="M32" s="18">
        <f t="shared" si="7"/>
        <v>28000</v>
      </c>
      <c r="N32" s="18">
        <f t="shared" si="33"/>
        <v>0</v>
      </c>
      <c r="O32" s="18">
        <f t="shared" si="34"/>
        <v>0</v>
      </c>
      <c r="P32" s="21">
        <f t="shared" si="10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22"/>
        <v>0</v>
      </c>
      <c r="D33" s="20"/>
      <c r="E33" s="18">
        <f t="shared" si="23"/>
        <v>0</v>
      </c>
      <c r="F33" s="20"/>
      <c r="G33" s="18">
        <f t="shared" si="24"/>
        <v>0</v>
      </c>
      <c r="H33" s="20"/>
      <c r="I33" s="18">
        <f t="shared" si="35"/>
        <v>0</v>
      </c>
      <c r="J33" s="18">
        <f t="shared" si="28"/>
        <v>0</v>
      </c>
      <c r="K33" s="18">
        <f t="shared" si="29"/>
        <v>0</v>
      </c>
      <c r="L33" s="18">
        <f t="shared" si="36"/>
        <v>0</v>
      </c>
      <c r="M33" s="18">
        <f t="shared" si="7"/>
        <v>28000</v>
      </c>
      <c r="N33" s="18">
        <f t="shared" si="33"/>
        <v>0</v>
      </c>
      <c r="O33" s="18">
        <f t="shared" si="34"/>
        <v>0</v>
      </c>
      <c r="P33" s="21">
        <f t="shared" si="10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22"/>
        <v>0</v>
      </c>
      <c r="D34" s="20"/>
      <c r="E34" s="18">
        <f t="shared" si="23"/>
        <v>0</v>
      </c>
      <c r="F34" s="20"/>
      <c r="G34" s="18">
        <f t="shared" si="24"/>
        <v>0</v>
      </c>
      <c r="H34" s="20"/>
      <c r="I34" s="18">
        <f t="shared" si="35"/>
        <v>0</v>
      </c>
      <c r="J34" s="18">
        <f t="shared" si="28"/>
        <v>0</v>
      </c>
      <c r="K34" s="18">
        <f t="shared" si="29"/>
        <v>0</v>
      </c>
      <c r="L34" s="18">
        <f t="shared" si="36"/>
        <v>0</v>
      </c>
      <c r="M34" s="18">
        <f t="shared" si="7"/>
        <v>28000</v>
      </c>
      <c r="N34" s="18">
        <f t="shared" si="33"/>
        <v>0</v>
      </c>
      <c r="O34" s="18">
        <f t="shared" si="34"/>
        <v>0</v>
      </c>
      <c r="P34" s="21">
        <f t="shared" si="10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22"/>
        <v>0</v>
      </c>
      <c r="D35" s="20"/>
      <c r="E35" s="18">
        <f t="shared" si="23"/>
        <v>0</v>
      </c>
      <c r="F35" s="20"/>
      <c r="G35" s="18">
        <f t="shared" si="24"/>
        <v>0</v>
      </c>
      <c r="H35" s="20"/>
      <c r="I35" s="18">
        <f t="shared" si="35"/>
        <v>0</v>
      </c>
      <c r="J35" s="18">
        <f t="shared" si="28"/>
        <v>0</v>
      </c>
      <c r="K35" s="18">
        <f t="shared" si="29"/>
        <v>0</v>
      </c>
      <c r="L35" s="18">
        <f t="shared" si="36"/>
        <v>0</v>
      </c>
      <c r="M35" s="18">
        <f t="shared" si="7"/>
        <v>28000</v>
      </c>
      <c r="N35" s="18">
        <f t="shared" si="33"/>
        <v>0</v>
      </c>
      <c r="O35" s="18">
        <f t="shared" si="34"/>
        <v>0</v>
      </c>
      <c r="P35" s="21">
        <f t="shared" si="10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22"/>
        <v>0</v>
      </c>
      <c r="D36" s="20"/>
      <c r="E36" s="18">
        <f t="shared" si="23"/>
        <v>0</v>
      </c>
      <c r="F36" s="20"/>
      <c r="G36" s="18">
        <f t="shared" si="24"/>
        <v>0</v>
      </c>
      <c r="H36" s="20"/>
      <c r="I36" s="18">
        <f t="shared" si="35"/>
        <v>0</v>
      </c>
      <c r="J36" s="18">
        <f t="shared" si="28"/>
        <v>0</v>
      </c>
      <c r="K36" s="18">
        <f t="shared" si="29"/>
        <v>0</v>
      </c>
      <c r="L36" s="18">
        <f t="shared" si="36"/>
        <v>0</v>
      </c>
      <c r="M36" s="18">
        <f t="shared" si="7"/>
        <v>28000</v>
      </c>
      <c r="N36" s="18">
        <f t="shared" si="33"/>
        <v>0</v>
      </c>
      <c r="O36" s="18">
        <f t="shared" si="34"/>
        <v>0</v>
      </c>
      <c r="P36" s="21">
        <f t="shared" si="10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22"/>
        <v>0</v>
      </c>
      <c r="D37" s="20"/>
      <c r="E37" s="18">
        <f t="shared" si="23"/>
        <v>0</v>
      </c>
      <c r="F37" s="20"/>
      <c r="G37" s="18">
        <f t="shared" si="24"/>
        <v>0</v>
      </c>
      <c r="H37" s="20"/>
      <c r="I37" s="18">
        <f t="shared" si="35"/>
        <v>0</v>
      </c>
      <c r="J37" s="18">
        <f t="shared" si="28"/>
        <v>0</v>
      </c>
      <c r="K37" s="18">
        <f t="shared" si="29"/>
        <v>0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0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22"/>
        <v>0</v>
      </c>
      <c r="D38" s="20"/>
      <c r="E38" s="18">
        <f t="shared" si="23"/>
        <v>0</v>
      </c>
      <c r="F38" s="20"/>
      <c r="G38" s="18">
        <f t="shared" si="24"/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0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22"/>
        <v>0</v>
      </c>
      <c r="D39" s="20"/>
      <c r="E39" s="18">
        <f t="shared" si="23"/>
        <v>0</v>
      </c>
      <c r="F39" s="20"/>
      <c r="G39" s="18">
        <f t="shared" si="24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0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22"/>
        <v>0</v>
      </c>
      <c r="D40" s="20"/>
      <c r="E40" s="18">
        <f t="shared" si="23"/>
        <v>0</v>
      </c>
      <c r="F40" s="20"/>
      <c r="G40" s="18">
        <f t="shared" si="24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0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22"/>
        <v>0</v>
      </c>
      <c r="D41" s="20"/>
      <c r="E41" s="18">
        <f t="shared" si="23"/>
        <v>0</v>
      </c>
      <c r="F41" s="20"/>
      <c r="G41" s="18">
        <f t="shared" si="24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0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22"/>
        <v>0</v>
      </c>
      <c r="D42" s="20"/>
      <c r="E42" s="18">
        <f t="shared" si="23"/>
        <v>0</v>
      </c>
      <c r="F42" s="20"/>
      <c r="G42" s="18">
        <f t="shared" si="24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0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2</v>
      </c>
      <c r="D43" s="20"/>
      <c r="E43" s="18">
        <f>SUM(E11:E38)</f>
        <v>3</v>
      </c>
      <c r="F43" s="20"/>
      <c r="G43" s="18">
        <f>SUM(G11:G38)</f>
        <v>3</v>
      </c>
      <c r="H43" s="20"/>
      <c r="I43" s="18">
        <f>SUM(I11:I38)</f>
        <v>3</v>
      </c>
      <c r="J43" s="16"/>
      <c r="K43" s="16"/>
      <c r="L43" s="16"/>
      <c r="M43" s="16"/>
      <c r="N43" s="18">
        <f>SUM(N11:N38)</f>
        <v>770</v>
      </c>
      <c r="O43" s="18">
        <f>N43*0.53</f>
        <v>408.1</v>
      </c>
      <c r="P43" s="21">
        <f t="shared" ref="P42:P43" si="37">O43*8.2658</f>
        <v>3373.2729800000002</v>
      </c>
      <c r="Q43" s="266">
        <f>SUM(Q11:Q38)</f>
        <v>0</v>
      </c>
      <c r="R43" s="267"/>
      <c r="S43" s="268"/>
      <c r="T43" s="266">
        <f>SUM(T11:T38)</f>
        <v>0</v>
      </c>
      <c r="U43" s="267"/>
      <c r="V43" s="268"/>
      <c r="W43" s="266">
        <f>SUM(W11:W38)</f>
        <v>0</v>
      </c>
      <c r="X43" s="267"/>
      <c r="Y43" s="268"/>
      <c r="Z43" s="266">
        <f>SUM(Z11:Z38)</f>
        <v>0</v>
      </c>
      <c r="AA43" s="267"/>
      <c r="AB43" s="268"/>
      <c r="AC43" s="137">
        <f>SUM(AC11:AC38)</f>
        <v>0</v>
      </c>
      <c r="AD43" s="138"/>
      <c r="AE43" s="135"/>
    </row>
    <row r="44" spans="1:31" ht="35.25" customHeight="1" thickBot="1" x14ac:dyDescent="0.35">
      <c r="B44" s="269"/>
      <c r="C44" s="270"/>
      <c r="D44" s="270"/>
      <c r="E44" s="270"/>
      <c r="F44" s="270"/>
      <c r="G44" s="270"/>
      <c r="H44" s="270"/>
      <c r="I44" s="271"/>
      <c r="J44" s="16"/>
      <c r="K44" s="16"/>
      <c r="L44" s="16"/>
      <c r="M44" s="16"/>
      <c r="N44" s="16"/>
      <c r="O44" s="16"/>
      <c r="P44" s="16"/>
      <c r="Q44" s="272">
        <f>Q43+T43+W43+Z43</f>
        <v>0</v>
      </c>
      <c r="R44" s="273"/>
      <c r="S44" s="273"/>
      <c r="T44" s="273"/>
      <c r="U44" s="273"/>
      <c r="V44" s="273"/>
      <c r="W44" s="273"/>
      <c r="X44" s="273"/>
      <c r="Y44" s="273"/>
      <c r="Z44" s="273"/>
      <c r="AA44" s="273"/>
      <c r="AB44" s="274"/>
      <c r="AC44" s="136">
        <f>Q43+T43+W43+Z43</f>
        <v>0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5" t="s">
        <v>36</v>
      </c>
      <c r="I47" s="276"/>
      <c r="J47" s="277"/>
      <c r="K47" s="28">
        <f>N43</f>
        <v>770</v>
      </c>
      <c r="L47" s="29">
        <f>O43</f>
        <v>408.1</v>
      </c>
      <c r="M47" s="29">
        <f>P43</f>
        <v>3373.2729800000002</v>
      </c>
    </row>
    <row r="48" spans="1:31" ht="54.75" customHeight="1" thickBot="1" x14ac:dyDescent="0.35">
      <c r="H48" s="263" t="s">
        <v>37</v>
      </c>
      <c r="I48" s="264"/>
      <c r="J48" s="265"/>
      <c r="K48" s="26">
        <f>AC43</f>
        <v>0</v>
      </c>
      <c r="L48" s="27">
        <f>K48*0.53</f>
        <v>0</v>
      </c>
      <c r="M48" s="27">
        <f>L48*8.2658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45" activePane="bottomRight" state="frozen"/>
      <selection pane="topRight" activeCell="B1" sqref="B1"/>
      <selection pane="bottomLeft" activeCell="A9" sqref="A9"/>
      <selection pane="bottomRight" activeCell="C48" sqref="C48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08"/>
      <c r="B1" s="309"/>
      <c r="C1" s="291" t="s">
        <v>58</v>
      </c>
      <c r="D1" s="292"/>
      <c r="E1" s="292"/>
      <c r="F1" s="292"/>
      <c r="G1" s="293"/>
      <c r="H1" s="300"/>
      <c r="I1" s="301"/>
      <c r="J1" s="33"/>
      <c r="K1" s="31"/>
      <c r="L1" s="31"/>
    </row>
    <row r="2" spans="1:20" ht="16.5" customHeight="1" x14ac:dyDescent="0.2">
      <c r="A2" s="310"/>
      <c r="B2" s="311"/>
      <c r="C2" s="294"/>
      <c r="D2" s="295"/>
      <c r="E2" s="295"/>
      <c r="F2" s="295"/>
      <c r="G2" s="296"/>
      <c r="H2" s="302"/>
      <c r="I2" s="303"/>
      <c r="J2" s="33"/>
      <c r="K2" s="31"/>
      <c r="L2" s="31"/>
    </row>
    <row r="3" spans="1:20" ht="48" customHeight="1" thickBot="1" x14ac:dyDescent="0.25">
      <c r="A3" s="312"/>
      <c r="B3" s="313"/>
      <c r="C3" s="297"/>
      <c r="D3" s="298"/>
      <c r="E3" s="298"/>
      <c r="F3" s="298"/>
      <c r="G3" s="299"/>
      <c r="H3" s="304"/>
      <c r="I3" s="305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175</v>
      </c>
    </row>
    <row r="6" spans="1:20" ht="10.5" customHeight="1" thickBot="1" x14ac:dyDescent="0.25"/>
    <row r="7" spans="1:20" ht="16.5" customHeight="1" thickTop="1" thickBot="1" x14ac:dyDescent="0.25">
      <c r="A7" s="290" t="s">
        <v>1</v>
      </c>
      <c r="B7" s="306" t="s">
        <v>41</v>
      </c>
      <c r="C7" s="306"/>
      <c r="D7" s="307" t="s">
        <v>42</v>
      </c>
      <c r="E7" s="307"/>
      <c r="F7" s="307"/>
      <c r="G7" s="307"/>
      <c r="H7" s="307"/>
      <c r="I7" s="307"/>
    </row>
    <row r="8" spans="1:20" s="12" customFormat="1" ht="28.5" customHeight="1" thickTop="1" thickBot="1" x14ac:dyDescent="0.25">
      <c r="A8" s="290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17" si="1">IF(D10&lt;D9,0,D10-D9)</f>
        <v>3048</v>
      </c>
      <c r="F9" s="42">
        <v>34032290</v>
      </c>
      <c r="G9" s="41">
        <f t="shared" ref="G9:G17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0</v>
      </c>
      <c r="D17" s="42">
        <v>19033737</v>
      </c>
      <c r="E17" s="41">
        <f t="shared" si="1"/>
        <v>0</v>
      </c>
      <c r="F17" s="42">
        <v>34073088</v>
      </c>
      <c r="G17" s="41">
        <f t="shared" si="2"/>
        <v>0</v>
      </c>
      <c r="H17" s="42">
        <v>15092728</v>
      </c>
      <c r="I17" s="41">
        <f t="shared" si="3"/>
        <v>0</v>
      </c>
    </row>
    <row r="18" spans="1:9" ht="21" thickTop="1" thickBot="1" x14ac:dyDescent="0.35">
      <c r="A18" s="39">
        <f t="shared" si="4"/>
        <v>44230</v>
      </c>
      <c r="B18" s="40"/>
      <c r="C18" s="41">
        <f t="shared" si="0"/>
        <v>0</v>
      </c>
      <c r="D18" s="42"/>
      <c r="E18" s="41">
        <f t="shared" ref="E18:E47" si="5">IF(D19&lt;D18,0,D19-D18)</f>
        <v>0</v>
      </c>
      <c r="F18" s="42"/>
      <c r="G18" s="41">
        <f t="shared" ref="G18:G47" si="6">IF(F19&lt;F18,0,F19-F18)</f>
        <v>0</v>
      </c>
      <c r="H18" s="42"/>
      <c r="I18" s="41">
        <f t="shared" si="3"/>
        <v>0</v>
      </c>
    </row>
    <row r="19" spans="1:9" ht="21" thickTop="1" thickBot="1" x14ac:dyDescent="0.35">
      <c r="A19" s="39">
        <f t="shared" si="4"/>
        <v>44231</v>
      </c>
      <c r="B19" s="40"/>
      <c r="C19" s="41">
        <f t="shared" si="0"/>
        <v>0</v>
      </c>
      <c r="D19" s="42"/>
      <c r="E19" s="41">
        <f t="shared" si="5"/>
        <v>0</v>
      </c>
      <c r="F19" s="42"/>
      <c r="G19" s="41">
        <f t="shared" si="6"/>
        <v>0</v>
      </c>
      <c r="H19" s="42"/>
      <c r="I19" s="41">
        <f t="shared" si="3"/>
        <v>0</v>
      </c>
    </row>
    <row r="20" spans="1:9" ht="21" thickTop="1" thickBot="1" x14ac:dyDescent="0.35">
      <c r="A20" s="39">
        <f t="shared" si="4"/>
        <v>44232</v>
      </c>
      <c r="B20" s="40"/>
      <c r="C20" s="41">
        <f t="shared" si="0"/>
        <v>0</v>
      </c>
      <c r="D20" s="42"/>
      <c r="E20" s="41">
        <f t="shared" si="5"/>
        <v>0</v>
      </c>
      <c r="F20" s="42"/>
      <c r="G20" s="41">
        <f t="shared" si="6"/>
        <v>0</v>
      </c>
      <c r="H20" s="42"/>
      <c r="I20" s="41">
        <f t="shared" si="3"/>
        <v>0</v>
      </c>
    </row>
    <row r="21" spans="1:9" ht="21" thickTop="1" thickBot="1" x14ac:dyDescent="0.35">
      <c r="A21" s="39">
        <f t="shared" si="4"/>
        <v>44233</v>
      </c>
      <c r="B21" s="40"/>
      <c r="C21" s="41">
        <f t="shared" si="0"/>
        <v>0</v>
      </c>
      <c r="D21" s="42"/>
      <c r="E21" s="41">
        <f t="shared" si="5"/>
        <v>0</v>
      </c>
      <c r="F21" s="42"/>
      <c r="G21" s="41">
        <f t="shared" si="6"/>
        <v>0</v>
      </c>
      <c r="H21" s="42"/>
      <c r="I21" s="41">
        <f t="shared" si="3"/>
        <v>0</v>
      </c>
    </row>
    <row r="22" spans="1:9" ht="21" thickTop="1" thickBot="1" x14ac:dyDescent="0.35">
      <c r="A22" s="39">
        <f t="shared" si="4"/>
        <v>44234</v>
      </c>
      <c r="B22" s="40"/>
      <c r="C22" s="41">
        <f t="shared" si="0"/>
        <v>0</v>
      </c>
      <c r="D22" s="42"/>
      <c r="E22" s="41">
        <f t="shared" si="5"/>
        <v>0</v>
      </c>
      <c r="F22" s="42"/>
      <c r="G22" s="41">
        <f t="shared" si="6"/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44235</v>
      </c>
      <c r="B23" s="40"/>
      <c r="C23" s="41">
        <f t="shared" si="0"/>
        <v>0</v>
      </c>
      <c r="D23" s="42"/>
      <c r="E23" s="41">
        <f t="shared" si="5"/>
        <v>0</v>
      </c>
      <c r="F23" s="42"/>
      <c r="G23" s="41">
        <f t="shared" si="6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44236</v>
      </c>
      <c r="B24" s="40"/>
      <c r="C24" s="41">
        <f t="shared" si="0"/>
        <v>0</v>
      </c>
      <c r="D24" s="42"/>
      <c r="E24" s="41">
        <f t="shared" si="5"/>
        <v>0</v>
      </c>
      <c r="F24" s="42"/>
      <c r="G24" s="41">
        <f t="shared" si="6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44237</v>
      </c>
      <c r="B25" s="40"/>
      <c r="C25" s="41">
        <f t="shared" si="0"/>
        <v>0</v>
      </c>
      <c r="D25" s="42"/>
      <c r="E25" s="41">
        <f t="shared" si="5"/>
        <v>0</v>
      </c>
      <c r="F25" s="42"/>
      <c r="G25" s="41">
        <f t="shared" si="6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44238</v>
      </c>
      <c r="B26" s="40"/>
      <c r="C26" s="41">
        <f t="shared" si="0"/>
        <v>0</v>
      </c>
      <c r="D26" s="42"/>
      <c r="E26" s="41">
        <f t="shared" si="5"/>
        <v>0</v>
      </c>
      <c r="F26" s="42"/>
      <c r="G26" s="41">
        <f t="shared" si="6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44239</v>
      </c>
      <c r="B27" s="40"/>
      <c r="C27" s="41">
        <f t="shared" si="0"/>
        <v>0</v>
      </c>
      <c r="D27" s="42"/>
      <c r="E27" s="41">
        <f t="shared" si="5"/>
        <v>0</v>
      </c>
      <c r="F27" s="42"/>
      <c r="G27" s="41">
        <f t="shared" si="6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44240</v>
      </c>
      <c r="B28" s="40"/>
      <c r="C28" s="41">
        <f t="shared" si="0"/>
        <v>0</v>
      </c>
      <c r="D28" s="42"/>
      <c r="E28" s="41">
        <f t="shared" si="5"/>
        <v>0</v>
      </c>
      <c r="F28" s="42"/>
      <c r="G28" s="41">
        <f t="shared" si="6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44241</v>
      </c>
      <c r="B29" s="40"/>
      <c r="C29" s="41">
        <f t="shared" si="0"/>
        <v>0</v>
      </c>
      <c r="D29" s="42"/>
      <c r="E29" s="41">
        <f t="shared" si="5"/>
        <v>0</v>
      </c>
      <c r="F29" s="42"/>
      <c r="G29" s="41">
        <f t="shared" si="6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44242</v>
      </c>
      <c r="B30" s="40"/>
      <c r="C30" s="41">
        <f t="shared" si="0"/>
        <v>0</v>
      </c>
      <c r="D30" s="42"/>
      <c r="E30" s="41">
        <f t="shared" si="5"/>
        <v>0</v>
      </c>
      <c r="F30" s="42"/>
      <c r="G30" s="41">
        <f t="shared" si="6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si="5"/>
        <v>0</v>
      </c>
      <c r="F31" s="42"/>
      <c r="G31" s="41">
        <f t="shared" si="6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175</v>
      </c>
      <c r="E48" s="41">
        <f>SUM(E16:E43)</f>
        <v>3461</v>
      </c>
      <c r="F48" s="53"/>
      <c r="G48" s="41">
        <f>SUM(G16:G43)</f>
        <v>4700</v>
      </c>
      <c r="H48" s="53"/>
      <c r="I48" s="41">
        <f>SUM(I16:I43)</f>
        <v>2184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174" priority="1194" stopIfTrue="1" operator="lessThanOrEqual">
      <formula>0</formula>
    </cfRule>
  </conditionalFormatting>
  <conditionalFormatting sqref="C48">
    <cfRule type="cellIs" dxfId="173" priority="856" stopIfTrue="1" operator="lessThanOrEqual">
      <formula>0</formula>
    </cfRule>
  </conditionalFormatting>
  <conditionalFormatting sqref="C48">
    <cfRule type="cellIs" dxfId="172" priority="855" stopIfTrue="1" operator="lessThanOrEqual">
      <formula>0</formula>
    </cfRule>
  </conditionalFormatting>
  <conditionalFormatting sqref="C48">
    <cfRule type="cellIs" dxfId="171" priority="854" stopIfTrue="1" operator="lessThanOrEqual">
      <formula>0</formula>
    </cfRule>
  </conditionalFormatting>
  <conditionalFormatting sqref="C48">
    <cfRule type="cellIs" dxfId="170" priority="853" stopIfTrue="1" operator="lessThanOrEqual">
      <formula>0</formula>
    </cfRule>
  </conditionalFormatting>
  <conditionalFormatting sqref="C9:C10">
    <cfRule type="cellIs" dxfId="89" priority="44" stopIfTrue="1" operator="lessThanOrEqual">
      <formula>0</formula>
    </cfRule>
  </conditionalFormatting>
  <conditionalFormatting sqref="C9:C10">
    <cfRule type="cellIs" dxfId="87" priority="43" stopIfTrue="1" operator="lessThanOrEqual">
      <formula>0</formula>
    </cfRule>
  </conditionalFormatting>
  <conditionalFormatting sqref="C9:C10">
    <cfRule type="cellIs" dxfId="85" priority="42" stopIfTrue="1" operator="lessThanOrEqual">
      <formula>0</formula>
    </cfRule>
  </conditionalFormatting>
  <conditionalFormatting sqref="C9:C10">
    <cfRule type="cellIs" dxfId="83" priority="41" stopIfTrue="1" operator="lessThanOrEqual">
      <formula>0</formula>
    </cfRule>
  </conditionalFormatting>
  <conditionalFormatting sqref="C11:C14">
    <cfRule type="cellIs" dxfId="81" priority="40" stopIfTrue="1" operator="lessThanOrEqual">
      <formula>0</formula>
    </cfRule>
  </conditionalFormatting>
  <conditionalFormatting sqref="C11:C14">
    <cfRule type="cellIs" dxfId="79" priority="39" stopIfTrue="1" operator="lessThanOrEqual">
      <formula>0</formula>
    </cfRule>
  </conditionalFormatting>
  <conditionalFormatting sqref="C11:C14">
    <cfRule type="cellIs" dxfId="77" priority="38" stopIfTrue="1" operator="lessThanOrEqual">
      <formula>0</formula>
    </cfRule>
  </conditionalFormatting>
  <conditionalFormatting sqref="C11:C14">
    <cfRule type="cellIs" dxfId="75" priority="37" stopIfTrue="1" operator="lessThanOrEqual">
      <formula>0</formula>
    </cfRule>
  </conditionalFormatting>
  <conditionalFormatting sqref="C15">
    <cfRule type="cellIs" dxfId="73" priority="36" stopIfTrue="1" operator="lessThanOrEqual">
      <formula>0</formula>
    </cfRule>
  </conditionalFormatting>
  <conditionalFormatting sqref="C15">
    <cfRule type="cellIs" dxfId="71" priority="35" stopIfTrue="1" operator="lessThanOrEqual">
      <formula>0</formula>
    </cfRule>
  </conditionalFormatting>
  <conditionalFormatting sqref="C15">
    <cfRule type="cellIs" dxfId="69" priority="34" stopIfTrue="1" operator="lessThanOrEqual">
      <formula>0</formula>
    </cfRule>
  </conditionalFormatting>
  <conditionalFormatting sqref="C15">
    <cfRule type="cellIs" dxfId="67" priority="33" stopIfTrue="1" operator="lessThanOrEqual">
      <formula>0</formula>
    </cfRule>
  </conditionalFormatting>
  <conditionalFormatting sqref="C16 C18:C47">
    <cfRule type="cellIs" dxfId="65" priority="32" stopIfTrue="1" operator="lessThanOrEqual">
      <formula>0</formula>
    </cfRule>
  </conditionalFormatting>
  <conditionalFormatting sqref="C16 C18:C47">
    <cfRule type="cellIs" dxfId="63" priority="31" stopIfTrue="1" operator="lessThanOrEqual">
      <formula>0</formula>
    </cfRule>
  </conditionalFormatting>
  <conditionalFormatting sqref="C16 C18:C47">
    <cfRule type="cellIs" dxfId="61" priority="30" stopIfTrue="1" operator="lessThanOrEqual">
      <formula>0</formula>
    </cfRule>
  </conditionalFormatting>
  <conditionalFormatting sqref="C16 C18:C47">
    <cfRule type="cellIs" dxfId="59" priority="29" stopIfTrue="1" operator="lessThanOrEqual">
      <formula>0</formula>
    </cfRule>
  </conditionalFormatting>
  <conditionalFormatting sqref="C17">
    <cfRule type="cellIs" dxfId="31" priority="16" stopIfTrue="1" operator="lessThanOrEqual">
      <formula>0</formula>
    </cfRule>
  </conditionalFormatting>
  <conditionalFormatting sqref="C17">
    <cfRule type="cellIs" dxfId="29" priority="15" stopIfTrue="1" operator="lessThanOrEqual">
      <formula>0</formula>
    </cfRule>
  </conditionalFormatting>
  <conditionalFormatting sqref="C17">
    <cfRule type="cellIs" dxfId="27" priority="14" stopIfTrue="1" operator="lessThanOrEqual">
      <formula>0</formula>
    </cfRule>
  </conditionalFormatting>
  <conditionalFormatting sqref="C17">
    <cfRule type="cellIs" dxfId="25" priority="13" stopIfTrue="1" operator="lessThanOrEqual">
      <formula>0</formula>
    </cfRule>
  </conditionalFormatting>
  <conditionalFormatting sqref="E48">
    <cfRule type="cellIs" dxfId="23" priority="12" stopIfTrue="1" operator="lessThanOrEqual">
      <formula>0</formula>
    </cfRule>
  </conditionalFormatting>
  <conditionalFormatting sqref="E48">
    <cfRule type="cellIs" dxfId="21" priority="11" stopIfTrue="1" operator="lessThanOrEqual">
      <formula>0</formula>
    </cfRule>
  </conditionalFormatting>
  <conditionalFormatting sqref="E48">
    <cfRule type="cellIs" dxfId="19" priority="10" stopIfTrue="1" operator="lessThanOrEqual">
      <formula>0</formula>
    </cfRule>
  </conditionalFormatting>
  <conditionalFormatting sqref="E48">
    <cfRule type="cellIs" dxfId="17" priority="9" stopIfTrue="1" operator="lessThanOrEqual">
      <formula>0</formula>
    </cfRule>
  </conditionalFormatting>
  <conditionalFormatting sqref="G48">
    <cfRule type="cellIs" dxfId="15" priority="8" stopIfTrue="1" operator="lessThanOrEqual">
      <formula>0</formula>
    </cfRule>
  </conditionalFormatting>
  <conditionalFormatting sqref="G48">
    <cfRule type="cellIs" dxfId="13" priority="7" stopIfTrue="1" operator="lessThanOrEqual">
      <formula>0</formula>
    </cfRule>
  </conditionalFormatting>
  <conditionalFormatting sqref="G48">
    <cfRule type="cellIs" dxfId="11" priority="6" stopIfTrue="1" operator="lessThanOrEqual">
      <formula>0</formula>
    </cfRule>
  </conditionalFormatting>
  <conditionalFormatting sqref="G48">
    <cfRule type="cellIs" dxfId="9" priority="5" stopIfTrue="1" operator="lessThanOrEqual">
      <formula>0</formula>
    </cfRule>
  </conditionalFormatting>
  <conditionalFormatting sqref="I48">
    <cfRule type="cellIs" dxfId="7" priority="4" stopIfTrue="1" operator="lessThanOrEqual">
      <formula>0</formula>
    </cfRule>
  </conditionalFormatting>
  <conditionalFormatting sqref="I48">
    <cfRule type="cellIs" dxfId="5" priority="3" stopIfTrue="1" operator="lessThanOrEqual">
      <formula>0</formula>
    </cfRule>
  </conditionalFormatting>
  <conditionalFormatting sqref="I48">
    <cfRule type="cellIs" dxfId="3" priority="2" stopIfTrue="1" operator="lessThanOrEqual">
      <formula>0</formula>
    </cfRule>
  </conditionalFormatting>
  <conditionalFormatting sqref="I48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2021-02-02T10:33:31Z</dcterms:modified>
</cp:coreProperties>
</file>