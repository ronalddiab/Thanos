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JANET\JANET\HANDOVER 2020-2021\DAILY CONSUMPTIONS\HEP\HEP Daily\"/>
    </mc:Choice>
  </mc:AlternateContent>
  <bookViews>
    <workbookView xWindow="-105" yWindow="-105" windowWidth="19425" windowHeight="10425" activeTab="1"/>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31" i="3" l="1"/>
  <c r="S11" i="3" l="1"/>
  <c r="AH36" i="2" l="1"/>
  <c r="AG36" i="2"/>
  <c r="AF36" i="2"/>
  <c r="AH35" i="2"/>
  <c r="AG35" i="2"/>
  <c r="AF35" i="2"/>
  <c r="W36" i="2"/>
  <c r="W35" i="2"/>
  <c r="V36" i="2"/>
  <c r="V35" i="2"/>
  <c r="Q36" i="2"/>
  <c r="P36" i="2"/>
  <c r="Q35" i="2"/>
  <c r="P35" i="2"/>
  <c r="O36" i="2"/>
  <c r="N36" i="2"/>
  <c r="M36" i="2"/>
  <c r="O35" i="2"/>
  <c r="N35" i="2"/>
  <c r="M35" i="2"/>
  <c r="W34" i="2" l="1"/>
  <c r="V34" i="2"/>
  <c r="W33" i="2"/>
  <c r="V33" i="2"/>
  <c r="W32" i="2"/>
  <c r="V32" i="2"/>
  <c r="W31" i="2"/>
  <c r="V31" i="2"/>
  <c r="W30" i="2"/>
  <c r="V30" i="2"/>
  <c r="W29" i="2"/>
  <c r="V29" i="2"/>
  <c r="W28" i="2"/>
  <c r="V28" i="2"/>
  <c r="W27" i="2"/>
  <c r="V27" i="2"/>
  <c r="W26" i="2"/>
  <c r="V26" i="2"/>
  <c r="Q34" i="2"/>
  <c r="P34" i="2"/>
  <c r="Q33" i="2"/>
  <c r="P33" i="2"/>
  <c r="Q32" i="2"/>
  <c r="P32" i="2"/>
  <c r="Q31" i="2"/>
  <c r="P31" i="2"/>
  <c r="Q30" i="2"/>
  <c r="P30" i="2"/>
  <c r="Q29" i="2"/>
  <c r="P29" i="2"/>
  <c r="Q28" i="2"/>
  <c r="P28" i="2"/>
  <c r="Q27" i="2"/>
  <c r="P27" i="2"/>
  <c r="Q26" i="2"/>
  <c r="P26" i="2"/>
  <c r="O34" i="2"/>
  <c r="N34" i="2"/>
  <c r="M34" i="2"/>
  <c r="O33" i="2"/>
  <c r="N33" i="2"/>
  <c r="M33" i="2"/>
  <c r="O32" i="2"/>
  <c r="N32" i="2"/>
  <c r="M32" i="2"/>
  <c r="O31" i="2"/>
  <c r="N31" i="2"/>
  <c r="M31" i="2"/>
  <c r="O30" i="2"/>
  <c r="N30" i="2"/>
  <c r="M30" i="2"/>
  <c r="O29" i="2"/>
  <c r="N29" i="2"/>
  <c r="M29" i="2"/>
  <c r="O28" i="2"/>
  <c r="N28" i="2"/>
  <c r="M28" i="2"/>
  <c r="O27" i="2"/>
  <c r="N27" i="2"/>
  <c r="M27" i="2"/>
  <c r="O26" i="2"/>
  <c r="N26" i="2"/>
  <c r="M26" i="2"/>
  <c r="AH34" i="2" l="1"/>
  <c r="AG34" i="2"/>
  <c r="AF34" i="2"/>
  <c r="AH33" i="2"/>
  <c r="AF33" i="2"/>
  <c r="AG33" i="2"/>
  <c r="W25" i="2" l="1"/>
  <c r="W24" i="2"/>
  <c r="W23" i="2"/>
  <c r="V25" i="2"/>
  <c r="V24" i="2"/>
  <c r="V23" i="2"/>
  <c r="Q25" i="2"/>
  <c r="P25" i="2"/>
  <c r="Q24" i="2"/>
  <c r="P24" i="2"/>
  <c r="Q23" i="2"/>
  <c r="P23" i="2"/>
  <c r="O25" i="2"/>
  <c r="N25" i="2"/>
  <c r="M25" i="2"/>
  <c r="O24" i="2"/>
  <c r="N24" i="2"/>
  <c r="M24" i="2"/>
  <c r="O23" i="2"/>
  <c r="N23" i="2"/>
  <c r="M23" i="2"/>
  <c r="W22" i="2" l="1"/>
  <c r="W21" i="2"/>
  <c r="W20" i="2"/>
  <c r="W19" i="2"/>
  <c r="W18" i="2"/>
  <c r="W17" i="2"/>
  <c r="V22" i="2"/>
  <c r="V21" i="2"/>
  <c r="V20" i="2"/>
  <c r="V19" i="2"/>
  <c r="V18" i="2"/>
  <c r="V17" i="2"/>
  <c r="Q22" i="2"/>
  <c r="Q21" i="2"/>
  <c r="Q20" i="2"/>
  <c r="Q19" i="2"/>
  <c r="Q18" i="2"/>
  <c r="Q17" i="2"/>
  <c r="P22" i="2"/>
  <c r="P21" i="2"/>
  <c r="P20" i="2"/>
  <c r="P19" i="2"/>
  <c r="P18" i="2"/>
  <c r="P17" i="2"/>
  <c r="O22" i="2"/>
  <c r="N22" i="2"/>
  <c r="O21" i="2"/>
  <c r="N21" i="2"/>
  <c r="O20" i="2"/>
  <c r="N20" i="2"/>
  <c r="O19" i="2"/>
  <c r="N19" i="2"/>
  <c r="O18" i="2"/>
  <c r="N18" i="2"/>
  <c r="O17" i="2"/>
  <c r="N17" i="2"/>
  <c r="M22" i="2"/>
  <c r="M21" i="2"/>
  <c r="M20" i="2"/>
  <c r="M19" i="2"/>
  <c r="M18" i="2"/>
  <c r="M17" i="2"/>
  <c r="V16" i="2" l="1"/>
  <c r="V15" i="2"/>
  <c r="Q16" i="2"/>
  <c r="P16" i="2"/>
  <c r="Q15" i="2"/>
  <c r="P15" i="2"/>
  <c r="O16" i="2"/>
  <c r="N16" i="2"/>
  <c r="O15" i="2"/>
  <c r="N15" i="2"/>
  <c r="M16" i="2"/>
  <c r="M15" i="2"/>
  <c r="V14" i="2" l="1"/>
  <c r="V13" i="2"/>
  <c r="V12" i="2"/>
  <c r="Q14" i="2"/>
  <c r="P14" i="2"/>
  <c r="Q13" i="2"/>
  <c r="P13" i="2"/>
  <c r="Q12" i="2"/>
  <c r="P12" i="2"/>
  <c r="O14" i="2"/>
  <c r="N14" i="2"/>
  <c r="M14" i="2"/>
  <c r="O13" i="2"/>
  <c r="N13" i="2"/>
  <c r="M13" i="2"/>
  <c r="O12" i="2"/>
  <c r="N12" i="2"/>
  <c r="M12" i="2"/>
  <c r="V11" i="2" l="1"/>
  <c r="V10" i="2"/>
  <c r="Q11" i="2"/>
  <c r="P11" i="2"/>
  <c r="Q10" i="2"/>
  <c r="P10" i="2"/>
  <c r="O11" i="2"/>
  <c r="N11" i="2"/>
  <c r="M11" i="2"/>
  <c r="O10" i="2"/>
  <c r="N10" i="2"/>
  <c r="M10" i="2"/>
  <c r="Q9" i="2" l="1"/>
  <c r="Q8" i="2"/>
  <c r="P9" i="2"/>
  <c r="P8" i="2"/>
  <c r="O9" i="2"/>
  <c r="N9" i="2"/>
  <c r="O8" i="2"/>
  <c r="N8" i="2"/>
  <c r="R8" i="2" s="1"/>
  <c r="M9" i="2"/>
  <c r="M8" i="2"/>
  <c r="R9" i="2"/>
  <c r="AI9" i="2" l="1"/>
  <c r="AI10" i="2"/>
  <c r="AI11" i="2"/>
  <c r="AI12" i="2"/>
  <c r="AI13" i="2"/>
  <c r="AI14" i="2"/>
  <c r="AI15" i="2"/>
  <c r="AI16" i="2"/>
  <c r="AI17" i="2"/>
  <c r="AI18" i="2"/>
  <c r="AI19" i="2"/>
  <c r="AI20" i="2"/>
  <c r="AI21" i="2"/>
  <c r="AI22" i="2"/>
  <c r="AI23" i="2"/>
  <c r="AI24" i="2"/>
  <c r="AI25" i="2"/>
  <c r="AI26" i="2"/>
  <c r="AI27" i="2"/>
  <c r="AI35" i="2"/>
  <c r="AI36" i="2"/>
  <c r="AI8" i="2"/>
  <c r="AI7" i="2"/>
  <c r="AC36"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8" i="2"/>
  <c r="AC7" i="2"/>
  <c r="W16" i="2"/>
  <c r="W15" i="2"/>
  <c r="W14" i="2"/>
  <c r="W13" i="2"/>
  <c r="W12" i="2"/>
  <c r="W11" i="2"/>
  <c r="W10" i="2"/>
  <c r="W9" i="2"/>
  <c r="W8" i="2"/>
  <c r="W7" i="2"/>
  <c r="Q7" i="2"/>
  <c r="P7" i="2"/>
  <c r="O7" i="2"/>
  <c r="N7" i="2"/>
  <c r="M7" i="2"/>
  <c r="AI6" i="2" l="1"/>
  <c r="AC6" i="2"/>
  <c r="W6" i="2" l="1"/>
  <c r="Q6" i="2"/>
  <c r="P6" i="2"/>
  <c r="O6" i="2"/>
  <c r="N6" i="2"/>
  <c r="M6" i="2"/>
  <c r="AN37" i="2" l="1"/>
  <c r="AH37" i="2"/>
  <c r="AG37" i="2"/>
  <c r="AF37" i="2"/>
  <c r="J37" i="2"/>
  <c r="I37" i="2"/>
  <c r="H37" i="2"/>
  <c r="G37" i="2"/>
  <c r="D37" i="2"/>
  <c r="Z33" i="3"/>
  <c r="B32" i="1"/>
  <c r="N32" i="1"/>
  <c r="E31" i="3"/>
  <c r="F31" i="3"/>
  <c r="G31" i="3"/>
  <c r="H31" i="3"/>
  <c r="E32" i="3"/>
  <c r="F32" i="3"/>
  <c r="G32" i="3"/>
  <c r="H32" i="3"/>
  <c r="I32" i="3"/>
  <c r="J32" i="3"/>
  <c r="K32" i="3"/>
  <c r="L32" i="3"/>
  <c r="M32" i="3"/>
  <c r="Q32" i="3"/>
  <c r="R32" i="3"/>
  <c r="U32" i="3"/>
  <c r="V32" i="3"/>
  <c r="W32" i="3"/>
  <c r="M32" i="1"/>
  <c r="B32" i="3"/>
  <c r="Z7" i="2"/>
  <c r="E32" i="1" l="1"/>
  <c r="K6" i="2"/>
  <c r="L6" i="2" l="1"/>
  <c r="AK35" i="2"/>
  <c r="AL35" i="2" s="1"/>
  <c r="AM35" i="2" s="1"/>
  <c r="AK36" i="2"/>
  <c r="AD35" i="2"/>
  <c r="AE35" i="2" s="1"/>
  <c r="AD36" i="2"/>
  <c r="T32" i="3" s="1"/>
  <c r="Z35" i="2"/>
  <c r="AA35" i="2" s="1"/>
  <c r="Z36" i="2"/>
  <c r="P32" i="3" s="1"/>
  <c r="AA36" i="2"/>
  <c r="T35" i="2"/>
  <c r="U35" i="2"/>
  <c r="T36" i="2"/>
  <c r="N32" i="3" s="1"/>
  <c r="U36" i="2"/>
  <c r="R35" i="2"/>
  <c r="S35" i="2"/>
  <c r="R36" i="2"/>
  <c r="O32" i="3" s="1"/>
  <c r="S36" i="2"/>
  <c r="K35" i="2"/>
  <c r="L35" i="2" s="1"/>
  <c r="K36" i="2"/>
  <c r="L36" i="2" s="1"/>
  <c r="M4" i="1"/>
  <c r="M5" i="1"/>
  <c r="M6" i="1"/>
  <c r="M8" i="1"/>
  <c r="M9" i="1"/>
  <c r="M10" i="1"/>
  <c r="M12" i="1"/>
  <c r="M13" i="1"/>
  <c r="M14" i="1"/>
  <c r="M16" i="1"/>
  <c r="M17" i="1"/>
  <c r="M18" i="1"/>
  <c r="M20" i="1"/>
  <c r="M21" i="1"/>
  <c r="M24" i="1"/>
  <c r="M25" i="1"/>
  <c r="M26" i="1"/>
  <c r="M28" i="1"/>
  <c r="M29" i="1"/>
  <c r="M30" i="1"/>
  <c r="M31"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22" i="1" l="1"/>
  <c r="Y33" i="3"/>
  <c r="G32" i="1"/>
  <c r="S32" i="3"/>
  <c r="K32" i="1"/>
  <c r="AO35" i="2"/>
  <c r="N33" i="1"/>
  <c r="AL36" i="2"/>
  <c r="AM36" i="2" s="1"/>
  <c r="X32" i="3"/>
  <c r="I32" i="1" s="1"/>
  <c r="AE36" i="2"/>
  <c r="AO36" i="2" s="1"/>
  <c r="Z9" i="2"/>
  <c r="P5" i="3" s="1"/>
  <c r="G5" i="1" s="1"/>
  <c r="Z10" i="2"/>
  <c r="AA10" i="2" s="1"/>
  <c r="Z11" i="2"/>
  <c r="AA11" i="2" s="1"/>
  <c r="Z12" i="2"/>
  <c r="Z13" i="2"/>
  <c r="AA13" i="2" s="1"/>
  <c r="Z14" i="2"/>
  <c r="AA14" i="2" s="1"/>
  <c r="Z15" i="2"/>
  <c r="AA15" i="2" s="1"/>
  <c r="Z16" i="2"/>
  <c r="AA16" i="2" s="1"/>
  <c r="AD17" i="2"/>
  <c r="T13" i="3" s="1"/>
  <c r="W31" i="3"/>
  <c r="V31" i="3"/>
  <c r="R31" i="3"/>
  <c r="Q31" i="3"/>
  <c r="M31" i="3"/>
  <c r="L31" i="3"/>
  <c r="K31" i="3"/>
  <c r="J31" i="3"/>
  <c r="I31" i="3"/>
  <c r="P31" i="3"/>
  <c r="R15" i="2"/>
  <c r="O11" i="3" s="1"/>
  <c r="R16" i="2"/>
  <c r="O12" i="3" s="1"/>
  <c r="R17" i="2"/>
  <c r="O13" i="3" s="1"/>
  <c r="R18" i="2"/>
  <c r="R19" i="2"/>
  <c r="O15" i="3" s="1"/>
  <c r="R20" i="2"/>
  <c r="O16" i="3" s="1"/>
  <c r="R21" i="2"/>
  <c r="O17" i="3" s="1"/>
  <c r="R22" i="2"/>
  <c r="O18" i="3" s="1"/>
  <c r="R23" i="2"/>
  <c r="R24" i="2"/>
  <c r="O20" i="3" s="1"/>
  <c r="R25" i="2"/>
  <c r="O21" i="3" s="1"/>
  <c r="R26" i="2"/>
  <c r="R27" i="2"/>
  <c r="O23" i="3" s="1"/>
  <c r="R28" i="2"/>
  <c r="O24" i="3" s="1"/>
  <c r="R29" i="2"/>
  <c r="O25" i="3" s="1"/>
  <c r="R30" i="2"/>
  <c r="R31" i="2"/>
  <c r="O27" i="3" s="1"/>
  <c r="R32" i="2"/>
  <c r="O28" i="3" s="1"/>
  <c r="R33" i="2"/>
  <c r="R34" i="2"/>
  <c r="O31" i="3"/>
  <c r="R6" i="2"/>
  <c r="R7" i="2"/>
  <c r="O3" i="3" s="1"/>
  <c r="O4" i="3"/>
  <c r="O5" i="3"/>
  <c r="R10" i="2"/>
  <c r="O6" i="3" s="1"/>
  <c r="R11" i="2"/>
  <c r="R12" i="2"/>
  <c r="O8" i="3" s="1"/>
  <c r="R13" i="2"/>
  <c r="O9" i="3" s="1"/>
  <c r="R14" i="2"/>
  <c r="O10" i="3" s="1"/>
  <c r="T31" i="3"/>
  <c r="AK11" i="2"/>
  <c r="X7" i="3" s="1"/>
  <c r="AK12" i="2"/>
  <c r="X8" i="3" s="1"/>
  <c r="AK15" i="2"/>
  <c r="AK16" i="2"/>
  <c r="AL16" i="2" s="1"/>
  <c r="AM16" i="2" s="1"/>
  <c r="AK20" i="2"/>
  <c r="AK24" i="2"/>
  <c r="X20" i="3" s="1"/>
  <c r="AD10" i="2"/>
  <c r="AE10" i="2" s="1"/>
  <c r="AD13" i="2"/>
  <c r="AD14" i="2"/>
  <c r="AD19" i="2"/>
  <c r="AD22" i="2"/>
  <c r="AD26" i="2"/>
  <c r="AE26" i="2" s="1"/>
  <c r="AD27" i="2"/>
  <c r="AE27" i="2" s="1"/>
  <c r="AD28" i="2"/>
  <c r="AE28" i="2" s="1"/>
  <c r="AD29" i="2"/>
  <c r="AE29" i="2" s="1"/>
  <c r="AD31" i="2"/>
  <c r="AE31" i="2" s="1"/>
  <c r="AD33" i="2"/>
  <c r="AE33" i="2" s="1"/>
  <c r="AK7" i="2"/>
  <c r="AL7" i="2" s="1"/>
  <c r="AM7" i="2" s="1"/>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E25" i="2" s="1"/>
  <c r="AD30" i="2"/>
  <c r="AE30" i="2" s="1"/>
  <c r="AD32" i="2"/>
  <c r="T28" i="3" s="1"/>
  <c r="AE32" i="2"/>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AK6" i="2"/>
  <c r="S6" i="2"/>
  <c r="S9" i="2"/>
  <c r="S10" i="2"/>
  <c r="O7" i="3"/>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S24" i="2"/>
  <c r="S23" i="2"/>
  <c r="O19" i="3"/>
  <c r="S22" i="2"/>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T21" i="3"/>
  <c r="U32" i="2"/>
  <c r="U30" i="2"/>
  <c r="AL11" i="2"/>
  <c r="AM11" i="2" s="1"/>
  <c r="D40" i="2"/>
  <c r="G39" i="2"/>
  <c r="T27" i="3"/>
  <c r="U16" i="2"/>
  <c r="P26" i="3"/>
  <c r="G26" i="1" s="1"/>
  <c r="X18" i="3"/>
  <c r="P15" i="3"/>
  <c r="U15" i="2"/>
  <c r="U9" i="2"/>
  <c r="P24" i="3"/>
  <c r="G24" i="1" s="1"/>
  <c r="N10" i="3"/>
  <c r="N29" i="3"/>
  <c r="P27" i="3"/>
  <c r="AL25" i="2"/>
  <c r="AM25" i="2" s="1"/>
  <c r="T7" i="3"/>
  <c r="P17" i="3"/>
  <c r="G17" i="1" s="1"/>
  <c r="N24" i="3"/>
  <c r="U19" i="2"/>
  <c r="N19" i="3"/>
  <c r="N3" i="3"/>
  <c r="T23" i="3"/>
  <c r="G30" i="1"/>
  <c r="S27" i="3" l="1"/>
  <c r="X22" i="3"/>
  <c r="K28" i="1"/>
  <c r="T22" i="3"/>
  <c r="P19" i="3"/>
  <c r="G19" i="1" s="1"/>
  <c r="U17" i="2"/>
  <c r="P11" i="3"/>
  <c r="G11" i="1" s="1"/>
  <c r="X10" i="3"/>
  <c r="U33" i="3"/>
  <c r="K33" i="3"/>
  <c r="Q33" i="3"/>
  <c r="U11" i="2"/>
  <c r="L33" i="3"/>
  <c r="W33" i="3"/>
  <c r="U8" i="2"/>
  <c r="J33" i="3"/>
  <c r="M33" i="3"/>
  <c r="I33" i="3"/>
  <c r="X9" i="3"/>
  <c r="V33" i="3"/>
  <c r="T17" i="3"/>
  <c r="T30" i="3"/>
  <c r="T5" i="3"/>
  <c r="I5" i="1" s="1"/>
  <c r="T12" i="3"/>
  <c r="T20" i="3"/>
  <c r="I20" i="1" s="1"/>
  <c r="T3" i="3"/>
  <c r="P4" i="3"/>
  <c r="G4" i="1" s="1"/>
  <c r="R33" i="3"/>
  <c r="T37" i="2"/>
  <c r="U37" i="2" s="1"/>
  <c r="L7" i="2"/>
  <c r="L37" i="2" s="1"/>
  <c r="K37" i="2"/>
  <c r="X2" i="3"/>
  <c r="AE6" i="2"/>
  <c r="AA6" i="2"/>
  <c r="Z37" i="2"/>
  <c r="O2" i="3"/>
  <c r="O33" i="3" s="1"/>
  <c r="R37" i="2"/>
  <c r="R39" i="2" s="1"/>
  <c r="S5" i="3"/>
  <c r="E30" i="1"/>
  <c r="E17" i="1"/>
  <c r="N2" i="3"/>
  <c r="U6" i="2"/>
  <c r="AL6" i="2"/>
  <c r="G3" i="1"/>
  <c r="S3" i="3"/>
  <c r="P2" i="3"/>
  <c r="AA7" i="2"/>
  <c r="AO7" i="2" s="1"/>
  <c r="U25" i="2"/>
  <c r="I21" i="1"/>
  <c r="N18" i="3"/>
  <c r="K18" i="1" s="1"/>
  <c r="S23" i="3"/>
  <c r="K30" i="1"/>
  <c r="K24" i="1"/>
  <c r="E29" i="1"/>
  <c r="K7" i="1"/>
  <c r="S30" i="3"/>
  <c r="X31" i="3"/>
  <c r="I31" i="1" s="1"/>
  <c r="X13" i="3"/>
  <c r="I13" i="1" s="1"/>
  <c r="AL21" i="2"/>
  <c r="AM21" i="2" s="1"/>
  <c r="T25" i="3"/>
  <c r="I7" i="1"/>
  <c r="T11" i="3"/>
  <c r="T16" i="3"/>
  <c r="I17" i="1"/>
  <c r="S19" i="3"/>
  <c r="S26" i="3"/>
  <c r="S4" i="3"/>
  <c r="AA17" i="2"/>
  <c r="S15" i="3"/>
  <c r="K15" i="1"/>
  <c r="K11" i="1"/>
  <c r="K8" i="1"/>
  <c r="K4" i="1"/>
  <c r="N31" i="3"/>
  <c r="K31" i="1" s="1"/>
  <c r="K25" i="1"/>
  <c r="K29" i="1"/>
  <c r="E24" i="1"/>
  <c r="E13" i="1"/>
  <c r="E6" i="1"/>
  <c r="AL24" i="2"/>
  <c r="AM24" i="2" s="1"/>
  <c r="AL9" i="2"/>
  <c r="AM9" i="2" s="1"/>
  <c r="X4" i="3"/>
  <c r="X19" i="3"/>
  <c r="AE17" i="2"/>
  <c r="T8" i="3"/>
  <c r="I8" i="1" s="1"/>
  <c r="T24" i="3"/>
  <c r="I22" i="1"/>
  <c r="G13" i="1"/>
  <c r="S13" i="3"/>
  <c r="AO33" i="2"/>
  <c r="S14" i="3"/>
  <c r="G15" i="1"/>
  <c r="P29" i="3"/>
  <c r="AA9" i="2"/>
  <c r="AO9" i="2" s="1"/>
  <c r="S17" i="3"/>
  <c r="P10" i="3"/>
  <c r="P25" i="3"/>
  <c r="G25" i="1" s="1"/>
  <c r="N9" i="3"/>
  <c r="K9" i="1" s="1"/>
  <c r="N16" i="3"/>
  <c r="K16" i="1" s="1"/>
  <c r="AO15" i="2"/>
  <c r="K3" i="1"/>
  <c r="N27" i="3"/>
  <c r="K27" i="1" s="1"/>
  <c r="K26" i="1"/>
  <c r="K10" i="1"/>
  <c r="K13" i="1"/>
  <c r="N23" i="3"/>
  <c r="K23" i="1" s="1"/>
  <c r="K19" i="1"/>
  <c r="AO28" i="2"/>
  <c r="K5" i="1"/>
  <c r="K20" i="1"/>
  <c r="K12" i="1"/>
  <c r="N20" i="3"/>
  <c r="AO31" i="2"/>
  <c r="K21" i="1"/>
  <c r="U12" i="2"/>
  <c r="K6" i="1"/>
  <c r="AO20" i="2"/>
  <c r="E12" i="1"/>
  <c r="E9" i="1"/>
  <c r="E7" i="1"/>
  <c r="E4" i="1"/>
  <c r="E3" i="1"/>
  <c r="AO32" i="2"/>
  <c r="E23" i="1"/>
  <c r="E18" i="1"/>
  <c r="E16" i="1"/>
  <c r="E15" i="1"/>
  <c r="E14" i="1"/>
  <c r="E25" i="1"/>
  <c r="AO21" i="2"/>
  <c r="AO16" i="2"/>
  <c r="AO11" i="2"/>
  <c r="E28" i="1"/>
  <c r="E27" i="1"/>
  <c r="E26" i="1"/>
  <c r="E22" i="1"/>
  <c r="E21" i="1"/>
  <c r="E20" i="1"/>
  <c r="E19" i="1"/>
  <c r="E11" i="1"/>
  <c r="E10" i="1"/>
  <c r="E8" i="1"/>
  <c r="E5" i="1"/>
  <c r="E2" i="1"/>
  <c r="AO30" i="2"/>
  <c r="AE19" i="2"/>
  <c r="AO19" i="2" s="1"/>
  <c r="T15" i="3"/>
  <c r="AE13" i="2"/>
  <c r="AO13" i="2" s="1"/>
  <c r="T9" i="3"/>
  <c r="AL15" i="2"/>
  <c r="AM15" i="2" s="1"/>
  <c r="X11" i="3"/>
  <c r="T18" i="3"/>
  <c r="I18" i="1" s="1"/>
  <c r="AE22" i="2"/>
  <c r="AO22" i="2" s="1"/>
  <c r="S22" i="3"/>
  <c r="S21" i="3"/>
  <c r="G21" i="1"/>
  <c r="AO23" i="2"/>
  <c r="T10" i="3"/>
  <c r="AE14" i="2"/>
  <c r="AO14" i="2" s="1"/>
  <c r="X16" i="3"/>
  <c r="AL20" i="2"/>
  <c r="AM20" i="2" s="1"/>
  <c r="T6" i="3"/>
  <c r="X3" i="3"/>
  <c r="I3" i="1" s="1"/>
  <c r="S24" i="3"/>
  <c r="X12" i="3"/>
  <c r="AA26" i="2"/>
  <c r="AO26" i="2" s="1"/>
  <c r="N22" i="3"/>
  <c r="K22" i="1" s="1"/>
  <c r="N17" i="3"/>
  <c r="K17" i="1" s="1"/>
  <c r="T19" i="3"/>
  <c r="P18" i="3"/>
  <c r="P7" i="3"/>
  <c r="AA25" i="2"/>
  <c r="P12" i="3"/>
  <c r="S9" i="3"/>
  <c r="T26" i="3"/>
  <c r="AL26" i="2"/>
  <c r="AM26" i="2" s="1"/>
  <c r="S28" i="3"/>
  <c r="T29" i="3"/>
  <c r="AA24" i="2"/>
  <c r="AO24" i="2" s="1"/>
  <c r="P20" i="3"/>
  <c r="S31" i="3"/>
  <c r="G31" i="1"/>
  <c r="AA34" i="2"/>
  <c r="AA18" i="2"/>
  <c r="AO18" i="2" s="1"/>
  <c r="AA12" i="2"/>
  <c r="P8" i="3"/>
  <c r="E31" i="1"/>
  <c r="AL12" i="2"/>
  <c r="AM12" i="2" s="1"/>
  <c r="T2" i="3"/>
  <c r="G27" i="1"/>
  <c r="N14" i="3"/>
  <c r="K14" i="1" s="1"/>
  <c r="T14" i="3"/>
  <c r="I14" i="1" s="1"/>
  <c r="U34" i="2"/>
  <c r="U29" i="2"/>
  <c r="AO29" i="2" s="1"/>
  <c r="X6" i="3"/>
  <c r="X15" i="3"/>
  <c r="U10" i="2"/>
  <c r="AO10" i="2" s="1"/>
  <c r="AL18" i="2"/>
  <c r="AM18" i="2" s="1"/>
  <c r="P6" i="3"/>
  <c r="P16" i="3"/>
  <c r="AA27" i="2"/>
  <c r="AO27" i="2" s="1"/>
  <c r="I10" i="1" l="1"/>
  <c r="I12" i="1"/>
  <c r="AI28" i="2"/>
  <c r="AK27" i="2"/>
  <c r="AO25" i="2"/>
  <c r="AO17" i="2"/>
  <c r="I9" i="1"/>
  <c r="AM6" i="2"/>
  <c r="AO6" i="2"/>
  <c r="AA37" i="2"/>
  <c r="G2" i="1"/>
  <c r="P33" i="3"/>
  <c r="K2" i="1"/>
  <c r="N33" i="3"/>
  <c r="S25" i="3"/>
  <c r="I16" i="1"/>
  <c r="S2" i="3"/>
  <c r="I19" i="1"/>
  <c r="I11" i="1"/>
  <c r="AO34" i="2"/>
  <c r="S29" i="3"/>
  <c r="G29" i="1"/>
  <c r="G10" i="1"/>
  <c r="S10" i="3"/>
  <c r="U38" i="2"/>
  <c r="X33" i="3" s="1"/>
  <c r="AO12" i="2"/>
  <c r="G20" i="1"/>
  <c r="S20" i="3"/>
  <c r="G18" i="1"/>
  <c r="S18" i="3"/>
  <c r="S12" i="3"/>
  <c r="G12" i="1"/>
  <c r="S16" i="3"/>
  <c r="G16" i="1"/>
  <c r="I2" i="1"/>
  <c r="S8" i="3"/>
  <c r="G8" i="1"/>
  <c r="I15" i="1"/>
  <c r="G6" i="1"/>
  <c r="S6" i="3"/>
  <c r="S7" i="3"/>
  <c r="G7" i="1"/>
  <c r="I6" i="1"/>
  <c r="AL27" i="2" l="1"/>
  <c r="X23" i="3"/>
  <c r="I23" i="1" s="1"/>
  <c r="S33" i="3"/>
  <c r="U39" i="2"/>
  <c r="AI29" i="2" l="1"/>
  <c r="AK28" i="2"/>
  <c r="AM27" i="2"/>
  <c r="M2" i="1"/>
  <c r="M33" i="1" s="1"/>
  <c r="AL28" i="2" l="1"/>
  <c r="X24" i="3"/>
  <c r="I24" i="1" s="1"/>
  <c r="AD8" i="2"/>
  <c r="AE8" i="2" s="1"/>
  <c r="AO8" i="2" s="1"/>
  <c r="AO37" i="2" s="1"/>
  <c r="AI30" i="2" l="1"/>
  <c r="AK29" i="2"/>
  <c r="AM28" i="2"/>
  <c r="AD37" i="2"/>
  <c r="AE37" i="2" s="1"/>
  <c r="T4" i="3"/>
  <c r="X25" i="3" l="1"/>
  <c r="I25" i="1" s="1"/>
  <c r="AL29" i="2"/>
  <c r="T33" i="3"/>
  <c r="I4" i="1"/>
  <c r="AM29" i="2" l="1"/>
  <c r="AI31" i="2"/>
  <c r="AK30" i="2"/>
  <c r="AL30" i="2" l="1"/>
  <c r="X26" i="3"/>
  <c r="I26" i="1" s="1"/>
  <c r="AI32" i="2" l="1"/>
  <c r="AK31" i="2"/>
  <c r="AM30" i="2"/>
  <c r="AL31" i="2" l="1"/>
  <c r="X27" i="3"/>
  <c r="I27" i="1" s="1"/>
  <c r="AI33" i="2" l="1"/>
  <c r="AK32" i="2"/>
  <c r="AM31" i="2"/>
  <c r="X28" i="3" l="1"/>
  <c r="I28" i="1" s="1"/>
  <c r="AL32" i="2"/>
  <c r="AM32" i="2" s="1"/>
  <c r="AI34" i="2" l="1"/>
  <c r="AK34" i="2" s="1"/>
  <c r="AK33" i="2"/>
  <c r="X29" i="3" l="1"/>
  <c r="I29" i="1" s="1"/>
  <c r="AL33" i="2"/>
  <c r="AM33" i="2" s="1"/>
  <c r="X30" i="3"/>
  <c r="I30" i="1" s="1"/>
  <c r="AL34" i="2"/>
  <c r="AK37" i="2"/>
  <c r="AM34" i="2" l="1"/>
  <c r="AM37" i="2" s="1"/>
  <c r="AL37" i="2"/>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<sst xmlns="http://schemas.openxmlformats.org/spreadsheetml/2006/main" count="220" uniqueCount="103">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</sst>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6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4" fontId="0" fillId="0" borderId="0" xfId="0" applyNumberForma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P12" sqref="P1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30" t="s">
        <v>0</v>
      </c>
      <c r="B1" s="131" t="s">
        <v>1</v>
      </c>
      <c r="C1" s="132" t="s">
        <v>2</v>
      </c>
      <c r="D1" s="131" t="s">
        <v>3</v>
      </c>
      <c r="E1" s="133" t="s">
        <v>4</v>
      </c>
      <c r="F1" s="134" t="s">
        <v>5</v>
      </c>
      <c r="G1" s="133" t="s">
        <v>10</v>
      </c>
      <c r="H1" s="134" t="s">
        <v>11</v>
      </c>
      <c r="I1" s="135" t="s">
        <v>82</v>
      </c>
      <c r="J1" s="136" t="s">
        <v>83</v>
      </c>
      <c r="K1" s="133" t="s">
        <v>6</v>
      </c>
      <c r="L1" s="137" t="s">
        <v>7</v>
      </c>
      <c r="M1" s="133" t="s">
        <v>8</v>
      </c>
      <c r="N1" s="138" t="s">
        <v>9</v>
      </c>
    </row>
    <row r="2" spans="1:15" x14ac:dyDescent="0.25">
      <c r="A2" s="121" t="s">
        <v>80</v>
      </c>
      <c r="B2" s="122">
        <v>1</v>
      </c>
      <c r="C2" s="123">
        <v>12</v>
      </c>
      <c r="D2" s="122">
        <v>2020</v>
      </c>
      <c r="E2" s="112">
        <f>Submetering!E2+Submetering!F2+Submetering!G2+Submetering!H2+Submetering!I2+Submetering!J2+Submetering!K2</f>
        <v>29503</v>
      </c>
      <c r="F2" s="124">
        <v>0.2</v>
      </c>
      <c r="G2" s="112">
        <f>Submetering!P2</f>
        <v>436.40000000002328</v>
      </c>
      <c r="H2" s="124">
        <v>6.47</v>
      </c>
      <c r="I2" s="112">
        <f>Submetering!T2-Submetering!T2*15%-Submetering!X2</f>
        <v>31584.057799998547</v>
      </c>
      <c r="J2" s="111">
        <v>0.21</v>
      </c>
      <c r="K2" s="112">
        <f>Submetering!N2-Submetering!O2</f>
        <v>44.819000000004962</v>
      </c>
      <c r="L2" s="124">
        <v>7.84</v>
      </c>
      <c r="M2" s="112">
        <f>Submetering!Y2</f>
        <v>71</v>
      </c>
      <c r="N2" s="113">
        <f>Submetering!Z2</f>
        <v>109</v>
      </c>
    </row>
    <row r="3" spans="1:15" x14ac:dyDescent="0.25">
      <c r="A3" s="125" t="s">
        <v>80</v>
      </c>
      <c r="B3" s="72">
        <f>B2+1</f>
        <v>2</v>
      </c>
      <c r="C3" s="73">
        <v>12</v>
      </c>
      <c r="D3" s="72">
        <v>2020</v>
      </c>
      <c r="E3" s="71">
        <f>Submetering!E3+Submetering!F3+Submetering!G3+Submetering!H3+Submetering!I3+Submetering!J3+Submetering!K3</f>
        <v>29329</v>
      </c>
      <c r="F3" s="74">
        <v>0.2</v>
      </c>
      <c r="G3" s="71">
        <f>Submetering!P3</f>
        <v>438.30000000004657</v>
      </c>
      <c r="H3" s="74">
        <v>6.47</v>
      </c>
      <c r="I3" s="71">
        <f>Submetering!T3-Submetering!T3*15%-Submetering!X3</f>
        <v>30289.5216</v>
      </c>
      <c r="J3" s="70">
        <v>0.21</v>
      </c>
      <c r="K3" s="71">
        <f>Submetering!N3-Submetering!O3</f>
        <v>59.050999999994019</v>
      </c>
      <c r="L3" s="74">
        <v>7.84</v>
      </c>
      <c r="M3" s="71">
        <f>Submetering!Y3</f>
        <v>116</v>
      </c>
      <c r="N3" s="115">
        <f>Submetering!Z3</f>
        <v>214</v>
      </c>
    </row>
    <row r="4" spans="1:15" x14ac:dyDescent="0.25">
      <c r="A4" s="125" t="s">
        <v>80</v>
      </c>
      <c r="B4" s="72">
        <f t="shared" ref="B4:B32" si="0">B3+1</f>
        <v>3</v>
      </c>
      <c r="C4" s="73">
        <v>12</v>
      </c>
      <c r="D4" s="72">
        <v>2020</v>
      </c>
      <c r="E4" s="71">
        <f>Submetering!E4+Submetering!F4+Submetering!G4+Submetering!H4+Submetering!I4+Submetering!J4+Submetering!K4</f>
        <v>30557</v>
      </c>
      <c r="F4" s="74">
        <v>0.2</v>
      </c>
      <c r="G4" s="71">
        <f>Submetering!P4</f>
        <v>463</v>
      </c>
      <c r="H4" s="74">
        <v>6.47</v>
      </c>
      <c r="I4" s="71">
        <f>Submetering!T4-Submetering!T4*15%-Submetering!X4</f>
        <v>35271.835999997093</v>
      </c>
      <c r="J4" s="70">
        <v>0.21</v>
      </c>
      <c r="K4" s="71">
        <f>Submetering!N4-Submetering!O4</f>
        <v>71.834999999999582</v>
      </c>
      <c r="L4" s="74">
        <v>7.84</v>
      </c>
      <c r="M4" s="71">
        <f>Submetering!Y4</f>
        <v>122</v>
      </c>
      <c r="N4" s="115">
        <f>Submetering!Z4</f>
        <v>228</v>
      </c>
    </row>
    <row r="5" spans="1:15" x14ac:dyDescent="0.25">
      <c r="A5" s="125" t="s">
        <v>80</v>
      </c>
      <c r="B5" s="72">
        <f t="shared" si="0"/>
        <v>4</v>
      </c>
      <c r="C5" s="73">
        <v>12</v>
      </c>
      <c r="D5" s="72">
        <v>2020</v>
      </c>
      <c r="E5" s="71">
        <f>Submetering!E5+Submetering!F5+Submetering!G5+Submetering!H5+Submetering!I5+Submetering!J5+Submetering!K5</f>
        <v>31142</v>
      </c>
      <c r="F5" s="74">
        <v>0.2</v>
      </c>
      <c r="G5" s="71">
        <f>Submetering!P5</f>
        <v>449.79999999993015</v>
      </c>
      <c r="H5" s="74">
        <v>6.47</v>
      </c>
      <c r="I5" s="71">
        <f>Submetering!T5-Submetering!T5*15%-Submetering!X5</f>
        <v>42616.952000001453</v>
      </c>
      <c r="J5" s="70">
        <v>0.21</v>
      </c>
      <c r="K5" s="81">
        <f>Submetering!N5-Submetering!O5</f>
        <v>64.511999999998352</v>
      </c>
      <c r="L5" s="74">
        <v>7.84</v>
      </c>
      <c r="M5" s="71">
        <f>Submetering!Y5</f>
        <v>69</v>
      </c>
      <c r="N5" s="115">
        <f>Submetering!Z5</f>
        <v>127</v>
      </c>
    </row>
    <row r="6" spans="1:15" x14ac:dyDescent="0.25">
      <c r="A6" s="125" t="s">
        <v>80</v>
      </c>
      <c r="B6" s="72">
        <f t="shared" si="0"/>
        <v>5</v>
      </c>
      <c r="C6" s="73">
        <v>12</v>
      </c>
      <c r="D6" s="72">
        <v>2020</v>
      </c>
      <c r="E6" s="71">
        <f>Submetering!E6+Submetering!F6+Submetering!G6+Submetering!H6+Submetering!I6+Submetering!J6+Submetering!K6</f>
        <v>30124</v>
      </c>
      <c r="F6" s="74">
        <v>0.2</v>
      </c>
      <c r="G6" s="71">
        <f>Submetering!P6</f>
        <v>393.90000000002328</v>
      </c>
      <c r="H6" s="74">
        <v>6.47</v>
      </c>
      <c r="I6" s="71">
        <f>Submetering!T6-Submetering!T6*15%-Submetering!X6</f>
        <v>40470.151400000002</v>
      </c>
      <c r="J6" s="70">
        <v>0.21</v>
      </c>
      <c r="K6" s="71">
        <f>Submetering!N6-Submetering!O6</f>
        <v>46.068000000004304</v>
      </c>
      <c r="L6" s="74">
        <v>7.84</v>
      </c>
      <c r="M6" s="71">
        <f>Submetering!Y6</f>
        <v>57</v>
      </c>
      <c r="N6" s="115">
        <f>Submetering!Z6</f>
        <v>89</v>
      </c>
    </row>
    <row r="7" spans="1:15" x14ac:dyDescent="0.25">
      <c r="A7" s="125" t="s">
        <v>80</v>
      </c>
      <c r="B7" s="72">
        <f t="shared" si="0"/>
        <v>6</v>
      </c>
      <c r="C7" s="73">
        <v>12</v>
      </c>
      <c r="D7" s="72">
        <v>2020</v>
      </c>
      <c r="E7" s="71">
        <f>Submetering!E7+Submetering!F7+Submetering!G7+Submetering!H7+Submetering!I7+Submetering!J7+Submetering!K7</f>
        <v>28714</v>
      </c>
      <c r="F7" s="74">
        <v>0.2</v>
      </c>
      <c r="G7" s="71">
        <f>Submetering!P7</f>
        <v>397.90000000002328</v>
      </c>
      <c r="H7" s="74">
        <v>6.47</v>
      </c>
      <c r="I7" s="71">
        <f>Submetering!T7-Submetering!T7*15%-Submetering!X7</f>
        <v>34312.690600002912</v>
      </c>
      <c r="J7" s="70">
        <v>0.21</v>
      </c>
      <c r="K7" s="71">
        <f>Submetering!N7-Submetering!O7</f>
        <v>47.80300000000625</v>
      </c>
      <c r="L7" s="74">
        <v>7.84</v>
      </c>
      <c r="M7" s="71">
        <f>Submetering!Y7</f>
        <v>67</v>
      </c>
      <c r="N7" s="115">
        <f>Submetering!Z7</f>
        <v>105</v>
      </c>
    </row>
    <row r="8" spans="1:15" x14ac:dyDescent="0.25">
      <c r="A8" s="125" t="s">
        <v>80</v>
      </c>
      <c r="B8" s="72">
        <f t="shared" si="0"/>
        <v>7</v>
      </c>
      <c r="C8" s="73">
        <v>12</v>
      </c>
      <c r="D8" s="72">
        <v>2020</v>
      </c>
      <c r="E8" s="71">
        <f>Submetering!E8+Submetering!F8+Submetering!G8+Submetering!H8+Submetering!I8+Submetering!J8+Submetering!K8</f>
        <v>29736</v>
      </c>
      <c r="F8" s="74">
        <v>0.2</v>
      </c>
      <c r="G8" s="71">
        <f>Submetering!P8</f>
        <v>395.40000000002328</v>
      </c>
      <c r="H8" s="74">
        <v>6.47</v>
      </c>
      <c r="I8" s="71">
        <f>Submetering!T8-Submetering!T8*15%-Submetering!X8</f>
        <v>31783.112999998542</v>
      </c>
      <c r="J8" s="70">
        <v>0.21</v>
      </c>
      <c r="K8" s="71">
        <f>Submetering!N8-Submetering!O8</f>
        <v>47.644999999993615</v>
      </c>
      <c r="L8" s="74">
        <v>7.84</v>
      </c>
      <c r="M8" s="71">
        <f>Submetering!Y8</f>
        <v>61</v>
      </c>
      <c r="N8" s="115">
        <f>Submetering!Z8</f>
        <v>98</v>
      </c>
    </row>
    <row r="9" spans="1:15" x14ac:dyDescent="0.25">
      <c r="A9" s="125" t="s">
        <v>80</v>
      </c>
      <c r="B9" s="72">
        <f t="shared" si="0"/>
        <v>8</v>
      </c>
      <c r="C9" s="73">
        <v>12</v>
      </c>
      <c r="D9" s="72">
        <v>2020</v>
      </c>
      <c r="E9" s="71">
        <f>Submetering!E9+Submetering!F9+Submetering!G9+Submetering!H9+Submetering!I9+Submetering!J9+Submetering!K9</f>
        <v>28979</v>
      </c>
      <c r="F9" s="74">
        <v>0.2</v>
      </c>
      <c r="G9" s="71">
        <f>Submetering!P9</f>
        <v>421.09999999997672</v>
      </c>
      <c r="H9" s="74">
        <v>6.47</v>
      </c>
      <c r="I9" s="71">
        <f>Submetering!T9-Submetering!T9*15%-Submetering!X9</f>
        <v>26812.196279997988</v>
      </c>
      <c r="J9" s="70">
        <v>0.21</v>
      </c>
      <c r="K9" s="71">
        <f>Submetering!N9-Submetering!O9</f>
        <v>71.753999999995358</v>
      </c>
      <c r="L9" s="74">
        <v>7.84</v>
      </c>
      <c r="M9" s="71">
        <f>Submetering!Y9</f>
        <v>69</v>
      </c>
      <c r="N9" s="115">
        <f>Submetering!Z9</f>
        <v>109</v>
      </c>
      <c r="O9" s="1" t="s">
        <v>12</v>
      </c>
    </row>
    <row r="10" spans="1:15" x14ac:dyDescent="0.25">
      <c r="A10" s="125" t="s">
        <v>80</v>
      </c>
      <c r="B10" s="72">
        <f t="shared" si="0"/>
        <v>9</v>
      </c>
      <c r="C10" s="73">
        <v>12</v>
      </c>
      <c r="D10" s="72">
        <v>2020</v>
      </c>
      <c r="E10" s="71">
        <f>Submetering!E10+Submetering!F10+Submetering!G10+Submetering!H10+Submetering!I10+Submetering!J10+Submetering!K10</f>
        <v>28213</v>
      </c>
      <c r="F10" s="74">
        <v>0.2</v>
      </c>
      <c r="G10" s="71">
        <f>Submetering!P10</f>
        <v>382.5</v>
      </c>
      <c r="H10" s="74">
        <v>6.47</v>
      </c>
      <c r="I10" s="71">
        <f>Submetering!T10-Submetering!T10*15%-Submetering!X10</f>
        <v>22000.856359998819</v>
      </c>
      <c r="J10" s="70">
        <v>0.21</v>
      </c>
      <c r="K10" s="71">
        <f>Submetering!N10-Submetering!O10</f>
        <v>54.001000000005206</v>
      </c>
      <c r="L10" s="74">
        <v>7.84</v>
      </c>
      <c r="M10" s="71">
        <f>Submetering!Y10</f>
        <v>80</v>
      </c>
      <c r="N10" s="115">
        <f>Submetering!Z10</f>
        <v>122</v>
      </c>
    </row>
    <row r="11" spans="1:15" x14ac:dyDescent="0.25">
      <c r="A11" s="125" t="s">
        <v>80</v>
      </c>
      <c r="B11" s="72">
        <f t="shared" si="0"/>
        <v>10</v>
      </c>
      <c r="C11" s="73">
        <v>12</v>
      </c>
      <c r="D11" s="72">
        <v>2020</v>
      </c>
      <c r="E11" s="71">
        <f>Submetering!E11+Submetering!F11+Submetering!G11+Submetering!H11+Submetering!I11+Submetering!J11+Submetering!K11</f>
        <v>28508</v>
      </c>
      <c r="F11" s="74">
        <v>0.2</v>
      </c>
      <c r="G11" s="71">
        <f>Submetering!P11</f>
        <v>406.69999999995343</v>
      </c>
      <c r="H11" s="74">
        <v>6.47</v>
      </c>
      <c r="I11" s="71">
        <f>Submetering!T11-Submetering!T11*15%-Submetering!X11</f>
        <v>20732.431860001729</v>
      </c>
      <c r="J11" s="70">
        <v>0.21</v>
      </c>
      <c r="K11" s="71">
        <f>Submetering!N11-Submetering!O11</f>
        <v>78.148999999997159</v>
      </c>
      <c r="L11" s="74">
        <v>7.84</v>
      </c>
      <c r="M11" s="71">
        <f>Submetering!Y11</f>
        <v>72</v>
      </c>
      <c r="N11" s="115">
        <f>Submetering!Z11</f>
        <v>113</v>
      </c>
    </row>
    <row r="12" spans="1:15" x14ac:dyDescent="0.25">
      <c r="A12" s="125" t="s">
        <v>80</v>
      </c>
      <c r="B12" s="72">
        <f t="shared" si="0"/>
        <v>11</v>
      </c>
      <c r="C12" s="73">
        <v>12</v>
      </c>
      <c r="D12" s="72">
        <v>2020</v>
      </c>
      <c r="E12" s="71">
        <f>Submetering!E12+Submetering!F12+Submetering!G12+Submetering!H12+Submetering!I12+Submetering!J12+Submetering!K12</f>
        <v>27917</v>
      </c>
      <c r="F12" s="74">
        <v>0.2</v>
      </c>
      <c r="G12" s="71">
        <f>Submetering!P12</f>
        <v>433.5</v>
      </c>
      <c r="H12" s="74">
        <v>6.47</v>
      </c>
      <c r="I12" s="71">
        <f>Submetering!T12-Submetering!T12*15%-Submetering!X12</f>
        <v>21280.847180000899</v>
      </c>
      <c r="J12" s="70">
        <v>0.21</v>
      </c>
      <c r="K12" s="71">
        <f>Submetering!N12-Submetering!O12</f>
        <v>68.254000000001724</v>
      </c>
      <c r="L12" s="74">
        <v>7.84</v>
      </c>
      <c r="M12" s="71">
        <f>Submetering!Y12</f>
        <v>73</v>
      </c>
      <c r="N12" s="115">
        <f>Submetering!Z12</f>
        <v>110</v>
      </c>
    </row>
    <row r="13" spans="1:15" x14ac:dyDescent="0.25">
      <c r="A13" s="125" t="s">
        <v>80</v>
      </c>
      <c r="B13" s="72">
        <f t="shared" si="0"/>
        <v>12</v>
      </c>
      <c r="C13" s="73">
        <v>12</v>
      </c>
      <c r="D13" s="72">
        <v>2020</v>
      </c>
      <c r="E13" s="71">
        <f>Submetering!E13+Submetering!F13+Submetering!G13+Submetering!H13+Submetering!I13+Submetering!J13+Submetering!K13</f>
        <v>27630</v>
      </c>
      <c r="F13" s="74">
        <v>0.2</v>
      </c>
      <c r="G13" s="71">
        <f>Submetering!P13</f>
        <v>367.5</v>
      </c>
      <c r="H13" s="74">
        <v>6.47</v>
      </c>
      <c r="I13" s="71">
        <f>Submetering!T13-Submetering!T13*15%-Submetering!X13</f>
        <v>28807.337420002012</v>
      </c>
      <c r="J13" s="70">
        <v>0.21</v>
      </c>
      <c r="K13" s="71">
        <f>Submetering!N13-Submetering!O13</f>
        <v>52.146000000003824</v>
      </c>
      <c r="L13" s="74">
        <v>7.84</v>
      </c>
      <c r="M13" s="71">
        <f>Submetering!Y13</f>
        <v>74</v>
      </c>
      <c r="N13" s="115">
        <f>Submetering!Z13</f>
        <v>115</v>
      </c>
    </row>
    <row r="14" spans="1:15" x14ac:dyDescent="0.25">
      <c r="A14" s="125" t="s">
        <v>80</v>
      </c>
      <c r="B14" s="72">
        <f t="shared" si="0"/>
        <v>13</v>
      </c>
      <c r="C14" s="73">
        <v>12</v>
      </c>
      <c r="D14" s="72">
        <v>2020</v>
      </c>
      <c r="E14" s="71">
        <f>Submetering!E14+Submetering!F14+Submetering!G14+Submetering!H14+Submetering!I14+Submetering!J14+Submetering!K14</f>
        <v>27410</v>
      </c>
      <c r="F14" s="74">
        <v>0.2</v>
      </c>
      <c r="G14" s="71">
        <f>Submetering!P14</f>
        <v>380.80000000004657</v>
      </c>
      <c r="H14" s="74">
        <v>6.47</v>
      </c>
      <c r="I14" s="71">
        <f>Submetering!T14-Submetering!T14*15%-Submetering!X14</f>
        <v>10510.788359997368</v>
      </c>
      <c r="J14" s="70">
        <v>0.21</v>
      </c>
      <c r="K14" s="71">
        <f>Submetering!N14-Submetering!O14</f>
        <v>55.016999999999371</v>
      </c>
      <c r="L14" s="74">
        <v>7.84</v>
      </c>
      <c r="M14" s="71">
        <f>Submetering!Y14</f>
        <v>84</v>
      </c>
      <c r="N14" s="115">
        <f>Submetering!Z14</f>
        <v>135</v>
      </c>
    </row>
    <row r="15" spans="1:15" x14ac:dyDescent="0.25">
      <c r="A15" s="125" t="s">
        <v>80</v>
      </c>
      <c r="B15" s="72">
        <f t="shared" si="0"/>
        <v>14</v>
      </c>
      <c r="C15" s="73">
        <v>12</v>
      </c>
      <c r="D15" s="72">
        <v>2020</v>
      </c>
      <c r="E15" s="71">
        <f>Submetering!E15+Submetering!F15+Submetering!G15+Submetering!H15+Submetering!I15+Submetering!J15+Submetering!K15</f>
        <v>26603</v>
      </c>
      <c r="F15" s="74">
        <v>0.2</v>
      </c>
      <c r="G15" s="71">
        <f>Submetering!P15</f>
        <v>377.09999999997672</v>
      </c>
      <c r="H15" s="74">
        <v>6.47</v>
      </c>
      <c r="I15" s="71">
        <f>Submetering!T15-Submetering!T15*15%-Submetering!X15</f>
        <v>19140.182879997985</v>
      </c>
      <c r="J15" s="70">
        <v>0.21</v>
      </c>
      <c r="K15" s="81">
        <f>Submetering!N15-Submetering!O15</f>
        <v>50.522999999998774</v>
      </c>
      <c r="L15" s="74">
        <v>7.84</v>
      </c>
      <c r="M15" s="71">
        <f>Submetering!Y15</f>
        <v>100</v>
      </c>
      <c r="N15" s="115">
        <f>Submetering!Z15</f>
        <v>167</v>
      </c>
    </row>
    <row r="16" spans="1:15" x14ac:dyDescent="0.25">
      <c r="A16" s="125" t="s">
        <v>80</v>
      </c>
      <c r="B16" s="72">
        <f t="shared" si="0"/>
        <v>15</v>
      </c>
      <c r="C16" s="73">
        <v>12</v>
      </c>
      <c r="D16" s="72">
        <v>2020</v>
      </c>
      <c r="E16" s="71">
        <f>Submetering!E16+Submetering!F16+Submetering!G16+Submetering!H16+Submetering!I16+Submetering!J16+Submetering!K16</f>
        <v>28195</v>
      </c>
      <c r="F16" s="74">
        <v>0.2</v>
      </c>
      <c r="G16" s="71">
        <f>Submetering!P16</f>
        <v>395.80000000004657</v>
      </c>
      <c r="H16" s="74">
        <v>6.47</v>
      </c>
      <c r="I16" s="71">
        <f>Submetering!T16-Submetering!T16*15%-Submetering!X16</f>
        <v>22770.601620004927</v>
      </c>
      <c r="J16" s="70">
        <v>0.21</v>
      </c>
      <c r="K16" s="71">
        <f>Submetering!N16-Submetering!O16</f>
        <v>70.26499999999578</v>
      </c>
      <c r="L16" s="74">
        <v>7.84</v>
      </c>
      <c r="M16" s="71">
        <f>Submetering!Y16</f>
        <v>106</v>
      </c>
      <c r="N16" s="115">
        <f>Submetering!Z16</f>
        <v>176</v>
      </c>
    </row>
    <row r="17" spans="1:14" x14ac:dyDescent="0.25">
      <c r="A17" s="125" t="s">
        <v>80</v>
      </c>
      <c r="B17" s="72">
        <f t="shared" si="0"/>
        <v>16</v>
      </c>
      <c r="C17" s="73">
        <v>12</v>
      </c>
      <c r="D17" s="72">
        <v>2020</v>
      </c>
      <c r="E17" s="71">
        <f>Submetering!E17+Submetering!F17+Submetering!G17+Submetering!H17+Submetering!I17+Submetering!J17+Submetering!K17</f>
        <v>26762</v>
      </c>
      <c r="F17" s="74">
        <v>0.2</v>
      </c>
      <c r="G17" s="71">
        <f>Submetering!P17</f>
        <v>399.09999999997672</v>
      </c>
      <c r="H17" s="74">
        <v>6.47</v>
      </c>
      <c r="I17" s="71">
        <f>Submetering!T17-Submetering!T17*15%-Submetering!X17</f>
        <v>19558.3989</v>
      </c>
      <c r="J17" s="70">
        <v>0.21</v>
      </c>
      <c r="K17" s="71">
        <f>Submetering!N17-Submetering!O17</f>
        <v>58.054000000000087</v>
      </c>
      <c r="L17" s="74">
        <v>7.84</v>
      </c>
      <c r="M17" s="71">
        <f>Submetering!Y17</f>
        <v>77</v>
      </c>
      <c r="N17" s="115">
        <f>Submetering!Z17</f>
        <v>128</v>
      </c>
    </row>
    <row r="18" spans="1:14" x14ac:dyDescent="0.25">
      <c r="A18" s="125" t="s">
        <v>80</v>
      </c>
      <c r="B18" s="72">
        <f t="shared" si="0"/>
        <v>17</v>
      </c>
      <c r="C18" s="73">
        <v>12</v>
      </c>
      <c r="D18" s="72">
        <v>2020</v>
      </c>
      <c r="E18" s="71">
        <f>Submetering!E18+Submetering!F18+Submetering!G18+Submetering!H18+Submetering!I18+Submetering!J18+Submetering!K18</f>
        <v>27550</v>
      </c>
      <c r="F18" s="74">
        <v>0.2</v>
      </c>
      <c r="G18" s="71">
        <f>Submetering!P18</f>
        <v>413.30000000004657</v>
      </c>
      <c r="H18" s="74">
        <v>6.47</v>
      </c>
      <c r="I18" s="71">
        <f>Submetering!T18-Submetering!T18*15%-Submetering!X18</f>
        <v>22771.442760000282</v>
      </c>
      <c r="J18" s="70">
        <v>0.21</v>
      </c>
      <c r="K18" s="71">
        <f>Submetering!N18-Submetering!O18</f>
        <v>60.879000000009455</v>
      </c>
      <c r="L18" s="74">
        <v>7.84</v>
      </c>
      <c r="M18" s="71">
        <f>Submetering!Y18</f>
        <v>66</v>
      </c>
      <c r="N18" s="115">
        <f>Submetering!Z18</f>
        <v>104</v>
      </c>
    </row>
    <row r="19" spans="1:14" x14ac:dyDescent="0.25">
      <c r="A19" s="125" t="s">
        <v>80</v>
      </c>
      <c r="B19" s="72">
        <f t="shared" si="0"/>
        <v>18</v>
      </c>
      <c r="C19" s="73">
        <v>12</v>
      </c>
      <c r="D19" s="72">
        <v>2020</v>
      </c>
      <c r="E19" s="71">
        <f>Submetering!E19+Submetering!F19+Submetering!G19+Submetering!H19+Submetering!I19+Submetering!J19+Submetering!K19</f>
        <v>27819</v>
      </c>
      <c r="F19" s="74">
        <v>0.2</v>
      </c>
      <c r="G19" s="71">
        <f>Submetering!P19</f>
        <v>429.69999999995343</v>
      </c>
      <c r="H19" s="74">
        <v>6.47</v>
      </c>
      <c r="I19" s="71">
        <f>Submetering!T19-Submetering!T19*15%-Submetering!X19</f>
        <v>23958.27847999653</v>
      </c>
      <c r="J19" s="70">
        <v>0.21</v>
      </c>
      <c r="K19" s="71">
        <f>Submetering!N19-Submetering!O19</f>
        <v>41.917999999995573</v>
      </c>
      <c r="L19" s="74">
        <v>7.84</v>
      </c>
      <c r="M19" s="71">
        <f>Submetering!Y19</f>
        <v>61</v>
      </c>
      <c r="N19" s="115">
        <f>Submetering!Z19</f>
        <v>99</v>
      </c>
    </row>
    <row r="20" spans="1:14" x14ac:dyDescent="0.25">
      <c r="A20" s="125" t="s">
        <v>80</v>
      </c>
      <c r="B20" s="72">
        <f t="shared" si="0"/>
        <v>19</v>
      </c>
      <c r="C20" s="73">
        <v>12</v>
      </c>
      <c r="D20" s="72">
        <v>2020</v>
      </c>
      <c r="E20" s="71">
        <f>Submetering!E20+Submetering!F20+Submetering!G20+Submetering!H20+Submetering!I20+Submetering!J20+Submetering!K20</f>
        <v>27151</v>
      </c>
      <c r="F20" s="74">
        <v>0.2</v>
      </c>
      <c r="G20" s="71">
        <f>Submetering!P20</f>
        <v>401.5</v>
      </c>
      <c r="H20" s="74">
        <v>6.47</v>
      </c>
      <c r="I20" s="71">
        <f>Submetering!T20-Submetering!T20*15%-Submetering!X20</f>
        <v>20365.549880002356</v>
      </c>
      <c r="J20" s="70">
        <v>0.21</v>
      </c>
      <c r="K20" s="71">
        <f>Submetering!N20-Submetering!O20</f>
        <v>35.304999999999382</v>
      </c>
      <c r="L20" s="74">
        <v>7.84</v>
      </c>
      <c r="M20" s="71">
        <f>Submetering!Y20</f>
        <v>50</v>
      </c>
      <c r="N20" s="115">
        <f>Submetering!Z20</f>
        <v>87</v>
      </c>
    </row>
    <row r="21" spans="1:14" x14ac:dyDescent="0.25">
      <c r="A21" s="125" t="s">
        <v>80</v>
      </c>
      <c r="B21" s="72">
        <f t="shared" si="0"/>
        <v>20</v>
      </c>
      <c r="C21" s="73">
        <v>12</v>
      </c>
      <c r="D21" s="72">
        <v>2020</v>
      </c>
      <c r="E21" s="71">
        <f>Submetering!E21+Submetering!F21+Submetering!G21+Submetering!H21+Submetering!I21+Submetering!J21+Submetering!K21</f>
        <v>27111</v>
      </c>
      <c r="F21" s="74">
        <v>0.2</v>
      </c>
      <c r="G21" s="71">
        <f>Submetering!P21</f>
        <v>407.80000000004657</v>
      </c>
      <c r="H21" s="74">
        <v>6.47</v>
      </c>
      <c r="I21" s="71">
        <f>Submetering!T21-Submetering!T21*15%-Submetering!X21</f>
        <v>20069.567599994181</v>
      </c>
      <c r="J21" s="70">
        <v>0.21</v>
      </c>
      <c r="K21" s="71">
        <f>Submetering!N21-Submetering!O21</f>
        <v>65.597000000004755</v>
      </c>
      <c r="L21" s="74">
        <v>7.84</v>
      </c>
      <c r="M21" s="71">
        <f>Submetering!Y21</f>
        <v>103</v>
      </c>
      <c r="N21" s="115">
        <f>Submetering!Z21</f>
        <v>196</v>
      </c>
    </row>
    <row r="22" spans="1:14" x14ac:dyDescent="0.25">
      <c r="A22" s="125" t="s">
        <v>80</v>
      </c>
      <c r="B22" s="72">
        <f t="shared" si="0"/>
        <v>21</v>
      </c>
      <c r="C22" s="73">
        <v>12</v>
      </c>
      <c r="D22" s="72">
        <v>2020</v>
      </c>
      <c r="E22" s="71">
        <f>Submetering!E22+Submetering!F22+Submetering!G22+Submetering!H22+Submetering!I22+Submetering!J22+Submetering!K22</f>
        <v>27232</v>
      </c>
      <c r="F22" s="74">
        <v>0.2</v>
      </c>
      <c r="G22" s="71">
        <f>Submetering!P22</f>
        <v>398.59999999997672</v>
      </c>
      <c r="H22" s="74">
        <v>6.47</v>
      </c>
      <c r="I22" s="71">
        <f>Submetering!T22-Submetering!T22*15%-Submetering!X22</f>
        <v>19391.989320004919</v>
      </c>
      <c r="J22" s="70">
        <v>0.21</v>
      </c>
      <c r="K22" s="71">
        <f>Submetering!N22-Submetering!O22</f>
        <v>55.252999999996518</v>
      </c>
      <c r="L22" s="74">
        <v>7.84</v>
      </c>
      <c r="M22" s="71">
        <f>Submetering!Y22</f>
        <v>99</v>
      </c>
      <c r="N22" s="115">
        <f>Submetering!Z22</f>
        <v>180</v>
      </c>
    </row>
    <row r="23" spans="1:14" x14ac:dyDescent="0.25">
      <c r="A23" s="125" t="s">
        <v>80</v>
      </c>
      <c r="B23" s="72">
        <f t="shared" si="0"/>
        <v>22</v>
      </c>
      <c r="C23" s="73">
        <v>12</v>
      </c>
      <c r="D23" s="72">
        <v>2020</v>
      </c>
      <c r="E23" s="71">
        <f>Submetering!E23+Submetering!F23+Submetering!G23+Submetering!H23+Submetering!I23+Submetering!J23+Submetering!K23</f>
        <v>26804</v>
      </c>
      <c r="F23" s="74">
        <v>0.2</v>
      </c>
      <c r="G23" s="71">
        <f>Submetering!P23</f>
        <v>392</v>
      </c>
      <c r="H23" s="74">
        <v>6.47</v>
      </c>
      <c r="I23" s="71">
        <f>Submetering!T23-Submetering!T23*15%-Submetering!X23</f>
        <v>19424.38429999855</v>
      </c>
      <c r="J23" s="70">
        <v>0.21</v>
      </c>
      <c r="K23" s="71">
        <f>Submetering!N23-Submetering!O23</f>
        <v>78.930999999998221</v>
      </c>
      <c r="L23" s="74">
        <v>7.84</v>
      </c>
      <c r="M23" s="71">
        <f>Submetering!Y23</f>
        <v>97</v>
      </c>
      <c r="N23" s="115">
        <f>Submetering!Z23</f>
        <v>175</v>
      </c>
    </row>
    <row r="24" spans="1:14" x14ac:dyDescent="0.25">
      <c r="A24" s="125" t="s">
        <v>80</v>
      </c>
      <c r="B24" s="72">
        <f t="shared" si="0"/>
        <v>23</v>
      </c>
      <c r="C24" s="73">
        <v>12</v>
      </c>
      <c r="D24" s="72">
        <v>2020</v>
      </c>
      <c r="E24" s="71">
        <f>Submetering!E24+Submetering!F24+Submetering!G24+Submetering!H24+Submetering!I24+Submetering!J24+Submetering!K24</f>
        <v>27178</v>
      </c>
      <c r="F24" s="74">
        <v>0.2</v>
      </c>
      <c r="G24" s="71">
        <f>Submetering!P24</f>
        <v>407.5</v>
      </c>
      <c r="H24" s="74">
        <v>6.47</v>
      </c>
      <c r="I24" s="71">
        <f>Submetering!T24-Submetering!T24*15%-Submetering!X24</f>
        <v>19686.144660001733</v>
      </c>
      <c r="J24" s="70">
        <v>0.21</v>
      </c>
      <c r="K24" s="71">
        <f>Submetering!N24-Submetering!O24</f>
        <v>68.01299999999901</v>
      </c>
      <c r="L24" s="74">
        <v>7.84</v>
      </c>
      <c r="M24" s="71">
        <f>Submetering!Y24</f>
        <v>96</v>
      </c>
      <c r="N24" s="115">
        <f>Submetering!Z24</f>
        <v>178</v>
      </c>
    </row>
    <row r="25" spans="1:14" x14ac:dyDescent="0.25">
      <c r="A25" s="125" t="s">
        <v>80</v>
      </c>
      <c r="B25" s="72">
        <f t="shared" si="0"/>
        <v>24</v>
      </c>
      <c r="C25" s="73">
        <v>12</v>
      </c>
      <c r="D25" s="72">
        <v>2020</v>
      </c>
      <c r="E25" s="71">
        <f>Submetering!E25+Submetering!F25+Submetering!G25+Submetering!H25+Submetering!I25+Submetering!J25+Submetering!K25</f>
        <v>27143</v>
      </c>
      <c r="F25" s="74">
        <v>0.2</v>
      </c>
      <c r="G25" s="71">
        <f>Submetering!P25</f>
        <v>451.29999999993015</v>
      </c>
      <c r="H25" s="74">
        <v>6.47</v>
      </c>
      <c r="I25" s="71">
        <f>Submetering!T25-Submetering!T25*15%-Submetering!X25</f>
        <v>19126.136459998823</v>
      </c>
      <c r="J25" s="70">
        <v>0.21</v>
      </c>
      <c r="K25" s="71">
        <f>Submetering!N25-Submetering!O25</f>
        <v>83.60900000000629</v>
      </c>
      <c r="L25" s="74">
        <v>7.84</v>
      </c>
      <c r="M25" s="71">
        <f>Submetering!Y25</f>
        <v>82</v>
      </c>
      <c r="N25" s="115">
        <f>Submetering!Z25</f>
        <v>148</v>
      </c>
    </row>
    <row r="26" spans="1:14" x14ac:dyDescent="0.25">
      <c r="A26" s="125" t="s">
        <v>80</v>
      </c>
      <c r="B26" s="72">
        <f>B25+1</f>
        <v>25</v>
      </c>
      <c r="C26" s="73">
        <v>12</v>
      </c>
      <c r="D26" s="72">
        <v>2020</v>
      </c>
      <c r="E26" s="71">
        <f>Submetering!E26+Submetering!F26+Submetering!G26+Submetering!H26+Submetering!I26+Submetering!J26+Submetering!K26</f>
        <v>29173</v>
      </c>
      <c r="F26" s="74">
        <v>0.2</v>
      </c>
      <c r="G26" s="71">
        <f>Submetering!P26</f>
        <v>481.20000000006985</v>
      </c>
      <c r="H26" s="74">
        <v>6.47</v>
      </c>
      <c r="I26" s="71">
        <f>Submetering!T26-Submetering!T26*15%-Submetering!X26</f>
        <v>18815.377500002913</v>
      </c>
      <c r="J26" s="70">
        <v>0.21</v>
      </c>
      <c r="K26" s="71">
        <f>Submetering!N26-Submetering!O26</f>
        <v>62.832999999995081</v>
      </c>
      <c r="L26" s="74">
        <v>7.84</v>
      </c>
      <c r="M26" s="71">
        <f>Submetering!Y26</f>
        <v>89</v>
      </c>
      <c r="N26" s="115">
        <f>Submetering!Z26</f>
        <v>163</v>
      </c>
    </row>
    <row r="27" spans="1:14" x14ac:dyDescent="0.25">
      <c r="A27" s="125" t="s">
        <v>80</v>
      </c>
      <c r="B27" s="72">
        <f t="shared" si="0"/>
        <v>26</v>
      </c>
      <c r="C27" s="73">
        <v>12</v>
      </c>
      <c r="D27" s="72">
        <v>2020</v>
      </c>
      <c r="E27" s="71">
        <f>Submetering!E27+Submetering!F27+Submetering!G27+Submetering!H27+Submetering!I27+Submetering!J27+Submetering!K27</f>
        <v>27865</v>
      </c>
      <c r="F27" s="74">
        <v>0.2</v>
      </c>
      <c r="G27" s="71">
        <f>Submetering!P27</f>
        <v>411.40000000002328</v>
      </c>
      <c r="H27" s="74">
        <v>6.47</v>
      </c>
      <c r="I27" s="71">
        <f>Submetering!T27-Submetering!T27*15%-Submetering!X27</f>
        <v>17313.225139993901</v>
      </c>
      <c r="J27" s="70">
        <v>0.21</v>
      </c>
      <c r="K27" s="71">
        <f>Submetering!N27-Submetering!O27</f>
        <v>43.881000000003041</v>
      </c>
      <c r="L27" s="74">
        <v>7.84</v>
      </c>
      <c r="M27" s="71">
        <f>Submetering!Y27</f>
        <v>71</v>
      </c>
      <c r="N27" s="115">
        <f>Submetering!Z27</f>
        <v>123</v>
      </c>
    </row>
    <row r="28" spans="1:14" x14ac:dyDescent="0.25">
      <c r="A28" s="125" t="s">
        <v>80</v>
      </c>
      <c r="B28" s="72">
        <f t="shared" si="0"/>
        <v>27</v>
      </c>
      <c r="C28" s="73">
        <v>12</v>
      </c>
      <c r="D28" s="72">
        <v>2020</v>
      </c>
      <c r="E28" s="71">
        <f>Submetering!E28+Submetering!F28+Submetering!G28+Submetering!H28+Submetering!I28+Submetering!J28+Submetering!K28</f>
        <v>26457</v>
      </c>
      <c r="F28" s="74">
        <v>0.2</v>
      </c>
      <c r="G28" s="71">
        <f>Submetering!P28</f>
        <v>430.39999999990687</v>
      </c>
      <c r="H28" s="74">
        <v>6.47</v>
      </c>
      <c r="I28" s="71">
        <f>Submetering!T28-Submetering!T28*15%-Submetering!X28</f>
        <v>17820.139920004985</v>
      </c>
      <c r="J28" s="70">
        <v>0.21</v>
      </c>
      <c r="K28" s="71">
        <f>Submetering!N28-Submetering!O28</f>
        <v>69.52399999999534</v>
      </c>
      <c r="L28" s="74">
        <v>7.84</v>
      </c>
      <c r="M28" s="71">
        <f>Submetering!Y28</f>
        <v>101</v>
      </c>
      <c r="N28" s="115">
        <f>Submetering!Z28</f>
        <v>196</v>
      </c>
    </row>
    <row r="29" spans="1:14" x14ac:dyDescent="0.25">
      <c r="A29" s="125" t="s">
        <v>80</v>
      </c>
      <c r="B29" s="72">
        <f t="shared" si="0"/>
        <v>28</v>
      </c>
      <c r="C29" s="73">
        <v>12</v>
      </c>
      <c r="D29" s="72">
        <v>2020</v>
      </c>
      <c r="E29" s="71">
        <f>Submetering!E29+Submetering!F29+Submetering!G29+Submetering!H29+Submetering!I29+Submetering!J29+Submetering!K29</f>
        <v>26353</v>
      </c>
      <c r="F29" s="74">
        <v>0.2</v>
      </c>
      <c r="G29" s="71">
        <f>Submetering!P29</f>
        <v>424.10000000009313</v>
      </c>
      <c r="H29" s="74">
        <v>6.47</v>
      </c>
      <c r="I29" s="71">
        <f>Submetering!T29-Submetering!T29*15%-Submetering!X29</f>
        <v>16661.765779999383</v>
      </c>
      <c r="J29" s="70">
        <v>0.21</v>
      </c>
      <c r="K29" s="71">
        <f>Submetering!N29-Submetering!O29</f>
        <v>68.088000000001102</v>
      </c>
      <c r="L29" s="74">
        <v>7.84</v>
      </c>
      <c r="M29" s="71">
        <f>Submetering!Y29</f>
        <v>122</v>
      </c>
      <c r="N29" s="115">
        <f>Submetering!Z29</f>
        <v>241</v>
      </c>
    </row>
    <row r="30" spans="1:14" x14ac:dyDescent="0.25">
      <c r="A30" s="125" t="s">
        <v>80</v>
      </c>
      <c r="B30" s="72">
        <f t="shared" si="0"/>
        <v>29</v>
      </c>
      <c r="C30" s="73">
        <v>12</v>
      </c>
      <c r="D30" s="72">
        <v>2020</v>
      </c>
      <c r="E30" s="71">
        <f>Submetering!E30+Submetering!F30+Submetering!G30+Submetering!H30+Submetering!I30+Submetering!J30+Submetering!K30</f>
        <v>25607</v>
      </c>
      <c r="F30" s="74">
        <v>0.2</v>
      </c>
      <c r="G30" s="71">
        <f>Submetering!P30</f>
        <v>404.09999999997672</v>
      </c>
      <c r="H30" s="74">
        <v>6.47</v>
      </c>
      <c r="I30" s="71">
        <f>Submetering!T30-Submetering!T30*15%-Submetering!X30</f>
        <v>19188.549980000898</v>
      </c>
      <c r="J30" s="70">
        <v>0.21</v>
      </c>
      <c r="K30" s="71">
        <f>Submetering!N30-Submetering!O30</f>
        <v>73.888999999995121</v>
      </c>
      <c r="L30" s="74">
        <v>7.84</v>
      </c>
      <c r="M30" s="71">
        <f>Submetering!Y30</f>
        <v>100</v>
      </c>
      <c r="N30" s="115">
        <f>Submetering!Z30</f>
        <v>182</v>
      </c>
    </row>
    <row r="31" spans="1:14" x14ac:dyDescent="0.25">
      <c r="A31" s="145" t="s">
        <v>80</v>
      </c>
      <c r="B31" s="146">
        <f t="shared" si="0"/>
        <v>30</v>
      </c>
      <c r="C31" s="73">
        <v>12</v>
      </c>
      <c r="D31" s="146">
        <v>2020</v>
      </c>
      <c r="E31" s="143">
        <f>Submetering!E31+Submetering!F31+Submetering!G31+Submetering!H31+Submetering!I31+Submetering!J31+Submetering!K31</f>
        <v>26941</v>
      </c>
      <c r="F31" s="147">
        <v>0.2</v>
      </c>
      <c r="G31" s="143">
        <f>Submetering!P31</f>
        <v>430.09999999997672</v>
      </c>
      <c r="H31" s="147">
        <v>6.47</v>
      </c>
      <c r="I31" s="143">
        <f>Submetering!T31-Submetering!T31*15%-Submetering!X31</f>
        <v>19338.515039996815</v>
      </c>
      <c r="J31" s="142">
        <v>0.21</v>
      </c>
      <c r="K31" s="143">
        <f>Submetering!N31-Submetering!O31</f>
        <v>73.945999999998094</v>
      </c>
      <c r="L31" s="147">
        <v>7.84</v>
      </c>
      <c r="M31" s="143">
        <f>Submetering!Y31</f>
        <v>79</v>
      </c>
      <c r="N31" s="144">
        <f>Submetering!Z31</f>
        <v>150</v>
      </c>
    </row>
    <row r="32" spans="1:14" ht="15.75" thickBot="1" x14ac:dyDescent="0.3">
      <c r="A32" s="126" t="s">
        <v>80</v>
      </c>
      <c r="B32" s="127">
        <f t="shared" si="0"/>
        <v>31</v>
      </c>
      <c r="C32" s="128">
        <v>12</v>
      </c>
      <c r="D32" s="127">
        <v>2020</v>
      </c>
      <c r="E32" s="119">
        <f>Submetering!E32+Submetering!F32+Submetering!G32+Submetering!H32+Submetering!I32+Submetering!J32+Submetering!K32</f>
        <v>26499</v>
      </c>
      <c r="F32" s="129">
        <v>0.2</v>
      </c>
      <c r="G32" s="119">
        <f>Submetering!P32</f>
        <v>479.09999999997672</v>
      </c>
      <c r="H32" s="129">
        <v>6.47</v>
      </c>
      <c r="I32" s="119">
        <f>Submetering!T32-Submetering!T32*15%-Submetering!X32</f>
        <v>19579.304660000278</v>
      </c>
      <c r="J32" s="118">
        <v>0.21</v>
      </c>
      <c r="K32" s="119">
        <f>Submetering!N32-Submetering!O32</f>
        <v>67.581999999989876</v>
      </c>
      <c r="L32" s="129">
        <v>7.84</v>
      </c>
      <c r="M32" s="119">
        <f>Submetering!Y32</f>
        <v>124</v>
      </c>
      <c r="N32" s="120">
        <f>Submetering!Z32</f>
        <v>242</v>
      </c>
    </row>
    <row r="33" spans="13:14" x14ac:dyDescent="0.25">
      <c r="M33" s="4">
        <f>SUM(M2:M32)</f>
        <v>2638</v>
      </c>
      <c r="N33" s="4">
        <f>SUM(N2:N32)</f>
        <v>4609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tabSelected="1" workbookViewId="0">
      <pane xSplit="2" ySplit="1" topLeftCell="J8" activePane="bottomRight" state="frozen"/>
      <selection pane="topRight" activeCell="C1" sqref="C1"/>
      <selection pane="bottomLeft" activeCell="A2" sqref="A2"/>
      <selection pane="bottomRight" activeCell="T33" sqref="T33"/>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0" width="11.5703125" style="4"/>
    <col min="21" max="21" width="8.42578125" style="4" bestFit="1" customWidth="1"/>
    <col min="22" max="24" width="11.5703125" style="4"/>
    <col min="25" max="25" width="11.5703125" style="1"/>
    <col min="26" max="26" width="11.5703125" style="4"/>
  </cols>
  <sheetData>
    <row r="1" spans="1:26" s="3" customFormat="1" ht="75.75" thickBot="1" x14ac:dyDescent="0.3">
      <c r="A1" s="103" t="s">
        <v>0</v>
      </c>
      <c r="B1" s="104" t="s">
        <v>1</v>
      </c>
      <c r="C1" s="105" t="s">
        <v>2</v>
      </c>
      <c r="D1" s="104" t="s">
        <v>3</v>
      </c>
      <c r="E1" s="106" t="s">
        <v>64</v>
      </c>
      <c r="F1" s="106" t="s">
        <v>81</v>
      </c>
      <c r="G1" s="106" t="s">
        <v>84</v>
      </c>
      <c r="H1" s="106" t="s">
        <v>65</v>
      </c>
      <c r="I1" s="106" t="s">
        <v>66</v>
      </c>
      <c r="J1" s="106" t="s">
        <v>67</v>
      </c>
      <c r="K1" s="106" t="s">
        <v>68</v>
      </c>
      <c r="L1" s="107" t="s">
        <v>69</v>
      </c>
      <c r="M1" s="107" t="s">
        <v>70</v>
      </c>
      <c r="N1" s="107" t="s">
        <v>71</v>
      </c>
      <c r="O1" s="107" t="s">
        <v>72</v>
      </c>
      <c r="P1" s="107" t="s">
        <v>73</v>
      </c>
      <c r="Q1" s="107" t="s">
        <v>74</v>
      </c>
      <c r="R1" s="107" t="s">
        <v>75</v>
      </c>
      <c r="S1" s="107" t="s">
        <v>91</v>
      </c>
      <c r="T1" s="107" t="s">
        <v>86</v>
      </c>
      <c r="U1" s="107" t="s">
        <v>87</v>
      </c>
      <c r="V1" s="107" t="s">
        <v>88</v>
      </c>
      <c r="W1" s="107" t="s">
        <v>89</v>
      </c>
      <c r="X1" s="107" t="s">
        <v>90</v>
      </c>
      <c r="Y1" s="108" t="s">
        <v>8</v>
      </c>
      <c r="Z1" s="107" t="s">
        <v>9</v>
      </c>
    </row>
    <row r="2" spans="1:26" x14ac:dyDescent="0.25">
      <c r="A2" s="109" t="s">
        <v>80</v>
      </c>
      <c r="B2" s="110">
        <v>1</v>
      </c>
      <c r="C2" s="111">
        <v>12</v>
      </c>
      <c r="D2" s="110">
        <v>2020</v>
      </c>
      <c r="E2" s="112">
        <f>'FS-AD Daily '!B6</f>
        <v>4766</v>
      </c>
      <c r="F2" s="112">
        <f>'FS-AD Daily '!C6</f>
        <v>3368</v>
      </c>
      <c r="G2" s="112">
        <f>'FS-AD Daily '!D6</f>
        <v>837</v>
      </c>
      <c r="H2" s="112">
        <f>'FS-AD Daily '!E6</f>
        <v>6364</v>
      </c>
      <c r="I2" s="112">
        <f>'FS-AD Daily '!F6</f>
        <v>5565</v>
      </c>
      <c r="J2" s="112">
        <f>'FS-AD Daily '!G6</f>
        <v>2827</v>
      </c>
      <c r="K2" s="112">
        <f>'FS-AD Daily '!H6</f>
        <v>5776</v>
      </c>
      <c r="L2" s="112">
        <f>'FS-AD Daily '!I6</f>
        <v>2398</v>
      </c>
      <c r="M2" s="112">
        <f>'FS-AD Daily '!J6</f>
        <v>7100</v>
      </c>
      <c r="N2" s="112">
        <f>'FS-AD Daily '!T6</f>
        <v>122.24900000000343</v>
      </c>
      <c r="O2" s="112">
        <f>'FS-AD Daily '!R6</f>
        <v>77.429999999998472</v>
      </c>
      <c r="P2" s="112">
        <f>'FS-AD Daily '!Z6</f>
        <v>436.40000000002328</v>
      </c>
      <c r="Q2" s="112">
        <f>'FS-AD Daily '!V6</f>
        <v>132.80000000000001</v>
      </c>
      <c r="R2" s="112">
        <f>'FS-AD Daily '!W6</f>
        <v>3.0500000000029104</v>
      </c>
      <c r="S2" s="112">
        <f>P2-Q2-R2</f>
        <v>300.55000000002036</v>
      </c>
      <c r="T2" s="112">
        <f>'FS-AD Daily '!AD6*3.516</f>
        <v>57040.067999999999</v>
      </c>
      <c r="U2" s="112">
        <f>('FS-AD Daily '!AF6)*1000</f>
        <v>26700</v>
      </c>
      <c r="V2" s="112">
        <f>('FS-AD Daily '!AG6)*1000</f>
        <v>19800</v>
      </c>
      <c r="W2" s="112">
        <f>'FS-AD Daily '!AH6*1000</f>
        <v>8400</v>
      </c>
      <c r="X2" s="112">
        <f>('FS-AD Daily '!AK6)*1000</f>
        <v>16900.000000001455</v>
      </c>
      <c r="Y2" s="112">
        <v>71</v>
      </c>
      <c r="Z2" s="113">
        <v>109</v>
      </c>
    </row>
    <row r="3" spans="1:26" x14ac:dyDescent="0.25">
      <c r="A3" s="114" t="s">
        <v>80</v>
      </c>
      <c r="B3" s="69">
        <f>B2+1</f>
        <v>2</v>
      </c>
      <c r="C3" s="70">
        <v>12</v>
      </c>
      <c r="D3" s="69">
        <v>2020</v>
      </c>
      <c r="E3" s="71">
        <f>'FS-AD Daily '!B7</f>
        <v>5123</v>
      </c>
      <c r="F3" s="71">
        <f>'FS-AD Daily '!C7</f>
        <v>3055</v>
      </c>
      <c r="G3" s="71">
        <f>'FS-AD Daily '!D7</f>
        <v>824</v>
      </c>
      <c r="H3" s="71">
        <f>'FS-AD Daily '!E7</f>
        <v>6558</v>
      </c>
      <c r="I3" s="71">
        <f>'FS-AD Daily '!F7</f>
        <v>5424</v>
      </c>
      <c r="J3" s="71">
        <f>'FS-AD Daily '!G7</f>
        <v>2874</v>
      </c>
      <c r="K3" s="71">
        <f>'FS-AD Daily '!H7</f>
        <v>5471</v>
      </c>
      <c r="L3" s="71">
        <f>'FS-AD Daily '!I7</f>
        <v>2300</v>
      </c>
      <c r="M3" s="71">
        <f>'FS-AD Daily '!J7</f>
        <v>6903</v>
      </c>
      <c r="N3" s="71">
        <f>'FS-AD Daily '!T7</f>
        <v>134.22400000000198</v>
      </c>
      <c r="O3" s="71">
        <f>'FS-AD Daily '!R7</f>
        <v>75.17300000000796</v>
      </c>
      <c r="P3" s="71">
        <f>'FS-AD Daily '!Z7</f>
        <v>438.30000000004657</v>
      </c>
      <c r="Q3" s="71">
        <f>'FS-AD Daily '!V7</f>
        <v>124.5</v>
      </c>
      <c r="R3" s="71">
        <f>'FS-AD Daily '!W7</f>
        <v>0</v>
      </c>
      <c r="S3" s="71">
        <f t="shared" ref="S3:S31" si="0">P3-Q3-R3</f>
        <v>313.80000000004657</v>
      </c>
      <c r="T3" s="71">
        <f>'FS-AD Daily '!AD7*3.516</f>
        <v>55046.495999999999</v>
      </c>
      <c r="U3" s="71">
        <f>('FS-AD Daily '!AF7)*1000</f>
        <v>25700</v>
      </c>
      <c r="V3" s="71">
        <f>('FS-AD Daily '!AG7)*1000</f>
        <v>17500</v>
      </c>
      <c r="W3" s="71">
        <f>'FS-AD Daily '!AH7*1000</f>
        <v>8500</v>
      </c>
      <c r="X3" s="71">
        <f>('FS-AD Daily '!AK7)*1000</f>
        <v>16500</v>
      </c>
      <c r="Y3" s="71">
        <v>116</v>
      </c>
      <c r="Z3" s="115">
        <v>214</v>
      </c>
    </row>
    <row r="4" spans="1:26" x14ac:dyDescent="0.25">
      <c r="A4" s="114" t="s">
        <v>80</v>
      </c>
      <c r="B4" s="69">
        <f t="shared" ref="B4:B32" si="1">B3+1</f>
        <v>3</v>
      </c>
      <c r="C4" s="70">
        <v>12</v>
      </c>
      <c r="D4" s="69">
        <v>2020</v>
      </c>
      <c r="E4" s="71">
        <f>'FS-AD Daily '!B8</f>
        <v>4692</v>
      </c>
      <c r="F4" s="71">
        <f>'FS-AD Daily '!C8</f>
        <v>3438</v>
      </c>
      <c r="G4" s="71">
        <f>'FS-AD Daily '!D8</f>
        <v>837</v>
      </c>
      <c r="H4" s="71">
        <f>'FS-AD Daily '!E8</f>
        <v>6771</v>
      </c>
      <c r="I4" s="71">
        <f>'FS-AD Daily '!F8</f>
        <v>5516</v>
      </c>
      <c r="J4" s="71">
        <f>'FS-AD Daily '!G8</f>
        <v>3116</v>
      </c>
      <c r="K4" s="71">
        <f>'FS-AD Daily '!H8</f>
        <v>6187</v>
      </c>
      <c r="L4" s="71">
        <f>'FS-AD Daily '!I8</f>
        <v>2332</v>
      </c>
      <c r="M4" s="71">
        <f>'FS-AD Daily '!J8</f>
        <v>7120</v>
      </c>
      <c r="N4" s="71">
        <f>'FS-AD Daily '!T8</f>
        <v>146.13099999999758</v>
      </c>
      <c r="O4" s="71">
        <f>'FS-AD Daily '!R8</f>
        <v>74.295999999998003</v>
      </c>
      <c r="P4" s="71">
        <f>'FS-AD Daily '!Z8</f>
        <v>463</v>
      </c>
      <c r="Q4" s="71">
        <f>'FS-AD Daily '!V8</f>
        <v>121.2</v>
      </c>
      <c r="R4" s="71">
        <f>'FS-AD Daily '!W8</f>
        <v>0</v>
      </c>
      <c r="S4" s="71">
        <f t="shared" si="0"/>
        <v>341.8</v>
      </c>
      <c r="T4" s="71">
        <f>'FS-AD Daily '!AD8*3.516</f>
        <v>64202.16</v>
      </c>
      <c r="U4" s="71">
        <f>('FS-AD Daily '!AF8)*1000</f>
        <v>29800</v>
      </c>
      <c r="V4" s="71">
        <f>('FS-AD Daily '!AG8)*1000</f>
        <v>20900</v>
      </c>
      <c r="W4" s="71">
        <f>'FS-AD Daily '!AH8*1000</f>
        <v>8900</v>
      </c>
      <c r="X4" s="71">
        <f>('FS-AD Daily '!AK8)*1000</f>
        <v>19300.00000000291</v>
      </c>
      <c r="Y4" s="71">
        <v>122</v>
      </c>
      <c r="Z4" s="115">
        <v>228</v>
      </c>
    </row>
    <row r="5" spans="1:26" x14ac:dyDescent="0.25">
      <c r="A5" s="114" t="s">
        <v>80</v>
      </c>
      <c r="B5" s="69">
        <f t="shared" si="1"/>
        <v>4</v>
      </c>
      <c r="C5" s="70">
        <v>12</v>
      </c>
      <c r="D5" s="69">
        <v>2020</v>
      </c>
      <c r="E5" s="71">
        <f>'FS-AD Daily '!B9</f>
        <v>5046</v>
      </c>
      <c r="F5" s="71">
        <f>'FS-AD Daily '!C9</f>
        <v>3415</v>
      </c>
      <c r="G5" s="71">
        <f>'FS-AD Daily '!D9</f>
        <v>864</v>
      </c>
      <c r="H5" s="71">
        <f>'FS-AD Daily '!E9</f>
        <v>6882</v>
      </c>
      <c r="I5" s="71">
        <f>'FS-AD Daily '!F9</f>
        <v>5615</v>
      </c>
      <c r="J5" s="71">
        <f>'FS-AD Daily '!G9</f>
        <v>3053</v>
      </c>
      <c r="K5" s="71">
        <f>'FS-AD Daily '!H9</f>
        <v>6267</v>
      </c>
      <c r="L5" s="71">
        <f>'FS-AD Daily '!I9</f>
        <v>2271</v>
      </c>
      <c r="M5" s="71">
        <f>'FS-AD Daily '!J9</f>
        <v>7066</v>
      </c>
      <c r="N5" s="71">
        <f>'FS-AD Daily '!T9</f>
        <v>144.83100000000195</v>
      </c>
      <c r="O5" s="71">
        <f>'FS-AD Daily '!R9</f>
        <v>80.319000000003598</v>
      </c>
      <c r="P5" s="71">
        <f>'FS-AD Daily '!Z9</f>
        <v>449.79999999993015</v>
      </c>
      <c r="Q5" s="71">
        <f>'FS-AD Daily '!V9</f>
        <v>124</v>
      </c>
      <c r="R5" s="71">
        <f>'FS-AD Daily '!W9</f>
        <v>0</v>
      </c>
      <c r="S5" s="71">
        <f t="shared" si="0"/>
        <v>325.79999999993015</v>
      </c>
      <c r="T5" s="71">
        <f>'FS-AD Daily '!AD9*3.516</f>
        <v>74961.119999999995</v>
      </c>
      <c r="U5" s="71">
        <f>('FS-AD Daily '!AF9)*1000</f>
        <v>38000</v>
      </c>
      <c r="V5" s="71">
        <f>('FS-AD Daily '!AG9)*1000</f>
        <v>22400</v>
      </c>
      <c r="W5" s="71">
        <f>'FS-AD Daily '!AH9*1000</f>
        <v>9300</v>
      </c>
      <c r="X5" s="71">
        <f>('FS-AD Daily '!AK9)*1000</f>
        <v>21099.999999998545</v>
      </c>
      <c r="Y5" s="71">
        <v>69</v>
      </c>
      <c r="Z5" s="115">
        <v>127</v>
      </c>
    </row>
    <row r="6" spans="1:26" x14ac:dyDescent="0.25">
      <c r="A6" s="114" t="s">
        <v>80</v>
      </c>
      <c r="B6" s="69">
        <f t="shared" si="1"/>
        <v>5</v>
      </c>
      <c r="C6" s="70">
        <v>12</v>
      </c>
      <c r="D6" s="69">
        <v>2020</v>
      </c>
      <c r="E6" s="71">
        <f>'FS-AD Daily '!B10</f>
        <v>4831</v>
      </c>
      <c r="F6" s="71">
        <f>'FS-AD Daily '!C10</f>
        <v>3025</v>
      </c>
      <c r="G6" s="71">
        <f>'FS-AD Daily '!D10</f>
        <v>842</v>
      </c>
      <c r="H6" s="71">
        <f>'FS-AD Daily '!E10</f>
        <v>6526</v>
      </c>
      <c r="I6" s="71">
        <f>'FS-AD Daily '!F10</f>
        <v>5508</v>
      </c>
      <c r="J6" s="71">
        <f>'FS-AD Daily '!G10</f>
        <v>2980</v>
      </c>
      <c r="K6" s="71">
        <f>'FS-AD Daily '!H10</f>
        <v>6412</v>
      </c>
      <c r="L6" s="71">
        <f>'FS-AD Daily '!I10</f>
        <v>2335</v>
      </c>
      <c r="M6" s="71">
        <f>'FS-AD Daily '!J10</f>
        <v>6913</v>
      </c>
      <c r="N6" s="71">
        <f>'FS-AD Daily '!T10</f>
        <v>118.01199999999881</v>
      </c>
      <c r="O6" s="71">
        <f>'FS-AD Daily '!R10</f>
        <v>71.943999999994503</v>
      </c>
      <c r="P6" s="71">
        <f>'FS-AD Daily '!Z10</f>
        <v>393.90000000002328</v>
      </c>
      <c r="Q6" s="71">
        <f>'FS-AD Daily '!V10</f>
        <v>114.89999999996508</v>
      </c>
      <c r="R6" s="71">
        <f>'FS-AD Daily '!W10</f>
        <v>0</v>
      </c>
      <c r="S6" s="71">
        <f t="shared" si="0"/>
        <v>279.00000000005821</v>
      </c>
      <c r="T6" s="71">
        <f>'FS-AD Daily '!AD10*3.516</f>
        <v>69964.884000000005</v>
      </c>
      <c r="U6" s="71">
        <f>('FS-AD Daily '!AF10)*1000</f>
        <v>33700</v>
      </c>
      <c r="V6" s="71">
        <f>('FS-AD Daily '!AG10)*1000</f>
        <v>22300</v>
      </c>
      <c r="W6" s="71">
        <f>'FS-AD Daily '!AH10*1000</f>
        <v>9400</v>
      </c>
      <c r="X6" s="71">
        <f>('FS-AD Daily '!AK10)*1000</f>
        <v>19000</v>
      </c>
      <c r="Y6" s="71">
        <v>57</v>
      </c>
      <c r="Z6" s="115">
        <v>89</v>
      </c>
    </row>
    <row r="7" spans="1:26" x14ac:dyDescent="0.25">
      <c r="A7" s="114" t="s">
        <v>80</v>
      </c>
      <c r="B7" s="69">
        <f t="shared" si="1"/>
        <v>6</v>
      </c>
      <c r="C7" s="70">
        <v>12</v>
      </c>
      <c r="D7" s="69">
        <v>2020</v>
      </c>
      <c r="E7" s="71">
        <f>'FS-AD Daily '!B11</f>
        <v>4429</v>
      </c>
      <c r="F7" s="71">
        <f>'FS-AD Daily '!C11</f>
        <v>2913</v>
      </c>
      <c r="G7" s="71">
        <f>'FS-AD Daily '!D11</f>
        <v>831</v>
      </c>
      <c r="H7" s="71">
        <f>'FS-AD Daily '!E11</f>
        <v>6409</v>
      </c>
      <c r="I7" s="71">
        <f>'FS-AD Daily '!F11</f>
        <v>5351</v>
      </c>
      <c r="J7" s="71">
        <f>'FS-AD Daily '!G11</f>
        <v>2726</v>
      </c>
      <c r="K7" s="71">
        <f>'FS-AD Daily '!H11</f>
        <v>6055</v>
      </c>
      <c r="L7" s="71">
        <f>'FS-AD Daily '!I11</f>
        <v>2421</v>
      </c>
      <c r="M7" s="71">
        <f>'FS-AD Daily '!J11</f>
        <v>6868</v>
      </c>
      <c r="N7" s="71">
        <f>'FS-AD Daily '!T11</f>
        <v>117.1239999999998</v>
      </c>
      <c r="O7" s="71">
        <f>'FS-AD Daily '!R11</f>
        <v>69.320999999993546</v>
      </c>
      <c r="P7" s="71">
        <f>'FS-AD Daily '!Z11</f>
        <v>397.90000000002328</v>
      </c>
      <c r="Q7" s="71">
        <f>'FS-AD Daily '!V11</f>
        <v>118.70000000001164</v>
      </c>
      <c r="R7" s="71">
        <f>'FS-AD Daily '!W11</f>
        <v>0</v>
      </c>
      <c r="S7" s="71">
        <f t="shared" si="0"/>
        <v>279.20000000001164</v>
      </c>
      <c r="T7" s="71">
        <f>'FS-AD Daily '!AD11*3.516</f>
        <v>61779.635999999999</v>
      </c>
      <c r="U7" s="71">
        <f>('FS-AD Daily '!AF11)*1000</f>
        <v>27900</v>
      </c>
      <c r="V7" s="71">
        <f>('FS-AD Daily '!AG11)*1000</f>
        <v>20100</v>
      </c>
      <c r="W7" s="71">
        <f>'FS-AD Daily '!AH11*1000</f>
        <v>9300</v>
      </c>
      <c r="X7" s="71">
        <f>('FS-AD Daily '!AK11)*1000</f>
        <v>18199.99999999709</v>
      </c>
      <c r="Y7" s="71">
        <v>67</v>
      </c>
      <c r="Z7" s="115">
        <v>105</v>
      </c>
    </row>
    <row r="8" spans="1:26" x14ac:dyDescent="0.25">
      <c r="A8" s="114" t="s">
        <v>80</v>
      </c>
      <c r="B8" s="69">
        <f t="shared" si="1"/>
        <v>7</v>
      </c>
      <c r="C8" s="70">
        <v>12</v>
      </c>
      <c r="D8" s="69">
        <v>2020</v>
      </c>
      <c r="E8" s="71">
        <f>'FS-AD Daily '!B12</f>
        <v>5046</v>
      </c>
      <c r="F8" s="71">
        <f>'FS-AD Daily '!C12</f>
        <v>3146</v>
      </c>
      <c r="G8" s="71">
        <f>'FS-AD Daily '!D12</f>
        <v>859</v>
      </c>
      <c r="H8" s="71">
        <f>'FS-AD Daily '!E12</f>
        <v>6552</v>
      </c>
      <c r="I8" s="71">
        <f>'FS-AD Daily '!F12</f>
        <v>5396</v>
      </c>
      <c r="J8" s="71">
        <f>'FS-AD Daily '!G12</f>
        <v>2824</v>
      </c>
      <c r="K8" s="71">
        <f>'FS-AD Daily '!H12</f>
        <v>5913</v>
      </c>
      <c r="L8" s="71">
        <f>'FS-AD Daily '!I12</f>
        <v>2436</v>
      </c>
      <c r="M8" s="71">
        <f>'FS-AD Daily '!J12</f>
        <v>6874</v>
      </c>
      <c r="N8" s="71">
        <f>'FS-AD Daily '!T12</f>
        <v>110.0769999999975</v>
      </c>
      <c r="O8" s="71">
        <f>'FS-AD Daily '!R12</f>
        <v>62.432000000003882</v>
      </c>
      <c r="P8" s="71">
        <f>'FS-AD Daily '!Z12</f>
        <v>395.40000000002328</v>
      </c>
      <c r="Q8" s="71">
        <f>'FS-AD Daily '!V12</f>
        <v>115.70000000001164</v>
      </c>
      <c r="R8" s="71">
        <f>'FS-AD Daily '!W12</f>
        <v>0</v>
      </c>
      <c r="S8" s="71">
        <f t="shared" si="0"/>
        <v>279.70000000001164</v>
      </c>
      <c r="T8" s="71">
        <f>'FS-AD Daily '!AD12*3.516</f>
        <v>56097.78</v>
      </c>
      <c r="U8" s="71">
        <f>('FS-AD Daily '!AF12)*1000</f>
        <v>27100</v>
      </c>
      <c r="V8" s="71">
        <f>('FS-AD Daily '!AG12)*1000</f>
        <v>17600</v>
      </c>
      <c r="W8" s="71">
        <f>'FS-AD Daily '!AH12*1000</f>
        <v>9000</v>
      </c>
      <c r="X8" s="71">
        <f>('FS-AD Daily '!AK12)*1000</f>
        <v>15900.000000001455</v>
      </c>
      <c r="Y8" s="71">
        <v>61</v>
      </c>
      <c r="Z8" s="115">
        <v>98</v>
      </c>
    </row>
    <row r="9" spans="1:26" x14ac:dyDescent="0.25">
      <c r="A9" s="114" t="s">
        <v>80</v>
      </c>
      <c r="B9" s="69">
        <f t="shared" si="1"/>
        <v>8</v>
      </c>
      <c r="C9" s="70">
        <v>12</v>
      </c>
      <c r="D9" s="69">
        <v>2020</v>
      </c>
      <c r="E9" s="71">
        <f>'FS-AD Daily '!B13</f>
        <v>5477</v>
      </c>
      <c r="F9" s="71">
        <f>'FS-AD Daily '!C13</f>
        <v>2979</v>
      </c>
      <c r="G9" s="71">
        <f>'FS-AD Daily '!D13</f>
        <v>878</v>
      </c>
      <c r="H9" s="71">
        <f>'FS-AD Daily '!E13</f>
        <v>6478</v>
      </c>
      <c r="I9" s="71">
        <f>'FS-AD Daily '!F13</f>
        <v>5454</v>
      </c>
      <c r="J9" s="71">
        <f>'FS-AD Daily '!G13</f>
        <v>2778</v>
      </c>
      <c r="K9" s="71">
        <f>'FS-AD Daily '!H13</f>
        <v>4935</v>
      </c>
      <c r="L9" s="71">
        <f>'FS-AD Daily '!I13</f>
        <v>2432</v>
      </c>
      <c r="M9" s="71">
        <f>'FS-AD Daily '!J13</f>
        <v>6993</v>
      </c>
      <c r="N9" s="71">
        <f>'FS-AD Daily '!T13</f>
        <v>140.19599999999627</v>
      </c>
      <c r="O9" s="71">
        <f>'FS-AD Daily '!R13</f>
        <v>68.442000000000917</v>
      </c>
      <c r="P9" s="71">
        <f>'FS-AD Daily '!Z13</f>
        <v>421.09999999997672</v>
      </c>
      <c r="Q9" s="71">
        <f>'FS-AD Daily '!V13</f>
        <v>124.39999999996508</v>
      </c>
      <c r="R9" s="71">
        <f>'FS-AD Daily '!W13</f>
        <v>0</v>
      </c>
      <c r="S9" s="71">
        <f t="shared" si="0"/>
        <v>296.70000000001164</v>
      </c>
      <c r="T9" s="71">
        <f>'FS-AD Daily '!AD13*3.516</f>
        <v>48484.936799999348</v>
      </c>
      <c r="U9" s="71">
        <f>('FS-AD Daily '!AF13)*1000</f>
        <v>24000</v>
      </c>
      <c r="V9" s="71">
        <f>('FS-AD Daily '!AG13)*1000</f>
        <v>14000</v>
      </c>
      <c r="W9" s="71">
        <f>'FS-AD Daily '!AH13*1000</f>
        <v>8400</v>
      </c>
      <c r="X9" s="71">
        <f>('FS-AD Daily '!AK13)*1000</f>
        <v>14400.000000001455</v>
      </c>
      <c r="Y9" s="71">
        <v>69</v>
      </c>
      <c r="Z9" s="115">
        <v>109</v>
      </c>
    </row>
    <row r="10" spans="1:26" x14ac:dyDescent="0.25">
      <c r="A10" s="114" t="s">
        <v>80</v>
      </c>
      <c r="B10" s="69">
        <f t="shared" si="1"/>
        <v>9</v>
      </c>
      <c r="C10" s="70">
        <v>12</v>
      </c>
      <c r="D10" s="69">
        <v>2020</v>
      </c>
      <c r="E10" s="71">
        <f>'FS-AD Daily '!B14</f>
        <v>6571</v>
      </c>
      <c r="F10" s="71">
        <f>'FS-AD Daily '!C14</f>
        <v>2783</v>
      </c>
      <c r="G10" s="71">
        <f>'FS-AD Daily '!D14</f>
        <v>818</v>
      </c>
      <c r="H10" s="71">
        <f>'FS-AD Daily '!E14</f>
        <v>6522</v>
      </c>
      <c r="I10" s="71">
        <f>'FS-AD Daily '!F14</f>
        <v>5240</v>
      </c>
      <c r="J10" s="71">
        <f>'FS-AD Daily '!G14</f>
        <v>2670</v>
      </c>
      <c r="K10" s="71">
        <f>'FS-AD Daily '!H14</f>
        <v>3609</v>
      </c>
      <c r="L10" s="71">
        <f>'FS-AD Daily '!I14</f>
        <v>2321</v>
      </c>
      <c r="M10" s="71">
        <f>'FS-AD Daily '!J14</f>
        <v>6929</v>
      </c>
      <c r="N10" s="71">
        <f>'FS-AD Daily '!T14</f>
        <v>125.0679999999993</v>
      </c>
      <c r="O10" s="71">
        <f>'FS-AD Daily '!R14</f>
        <v>71.066999999994096</v>
      </c>
      <c r="P10" s="71">
        <f>'FS-AD Daily '!Z14</f>
        <v>382.5</v>
      </c>
      <c r="Q10" s="71">
        <f>'FS-AD Daily '!V14</f>
        <v>114.70000000001164</v>
      </c>
      <c r="R10" s="71">
        <f>'FS-AD Daily '!W14</f>
        <v>0</v>
      </c>
      <c r="S10" s="71">
        <f t="shared" si="0"/>
        <v>267.79999999998836</v>
      </c>
      <c r="T10" s="71">
        <f>'FS-AD Daily '!AD14*3.516</f>
        <v>42236.301600000326</v>
      </c>
      <c r="U10" s="71">
        <f>('FS-AD Daily '!AF14)*1000</f>
        <v>21800</v>
      </c>
      <c r="V10" s="71">
        <f>('FS-AD Daily '!AG14)*1000</f>
        <v>9900</v>
      </c>
      <c r="W10" s="71">
        <f>'FS-AD Daily '!AH14*1000</f>
        <v>7700</v>
      </c>
      <c r="X10" s="71">
        <f>('FS-AD Daily '!AK14)*1000</f>
        <v>13900.000000001455</v>
      </c>
      <c r="Y10" s="71">
        <v>80</v>
      </c>
      <c r="Z10" s="115">
        <v>122</v>
      </c>
    </row>
    <row r="11" spans="1:26" x14ac:dyDescent="0.25">
      <c r="A11" s="114" t="s">
        <v>80</v>
      </c>
      <c r="B11" s="69">
        <f t="shared" si="1"/>
        <v>10</v>
      </c>
      <c r="C11" s="70">
        <v>12</v>
      </c>
      <c r="D11" s="69">
        <v>2020</v>
      </c>
      <c r="E11" s="71">
        <f>'FS-AD Daily '!B15</f>
        <v>6908</v>
      </c>
      <c r="F11" s="71">
        <f>'FS-AD Daily '!C15</f>
        <v>2491</v>
      </c>
      <c r="G11" s="71">
        <f>'FS-AD Daily '!D15</f>
        <v>865</v>
      </c>
      <c r="H11" s="71">
        <f>'FS-AD Daily '!E15</f>
        <v>6850</v>
      </c>
      <c r="I11" s="71">
        <f>'FS-AD Daily '!F15</f>
        <v>5607</v>
      </c>
      <c r="J11" s="71">
        <f>'FS-AD Daily '!G15</f>
        <v>2767</v>
      </c>
      <c r="K11" s="71">
        <f>'FS-AD Daily '!H15</f>
        <v>3020</v>
      </c>
      <c r="L11" s="71">
        <f>'FS-AD Daily '!I15</f>
        <v>2404</v>
      </c>
      <c r="M11" s="71">
        <f>'FS-AD Daily '!J15</f>
        <v>7201</v>
      </c>
      <c r="N11" s="71">
        <f>'FS-AD Daily '!T15</f>
        <v>151.62600000000384</v>
      </c>
      <c r="O11" s="71">
        <f>'FS-AD Daily '!R15</f>
        <v>73.477000000006683</v>
      </c>
      <c r="P11" s="71">
        <f>'FS-AD Daily '!Z15</f>
        <v>406.69999999995343</v>
      </c>
      <c r="Q11" s="71">
        <f>'FS-AD Daily '!V15</f>
        <v>113.20000000001164</v>
      </c>
      <c r="R11" s="71">
        <f>'FS-AD Daily '!W15</f>
        <v>0</v>
      </c>
      <c r="S11" s="71">
        <f>P11-Q11-R11</f>
        <v>293.49999999994179</v>
      </c>
      <c r="T11" s="71">
        <f>'FS-AD Daily '!AD15*3.516</f>
        <v>40979.331600000325</v>
      </c>
      <c r="U11" s="71">
        <f>('FS-AD Daily '!AF15)*1000</f>
        <v>21600</v>
      </c>
      <c r="V11" s="71">
        <f>('FS-AD Daily '!AG15)*1000</f>
        <v>6600</v>
      </c>
      <c r="W11" s="71">
        <f>'FS-AD Daily '!AH15*1000</f>
        <v>8400</v>
      </c>
      <c r="X11" s="71">
        <f>('FS-AD Daily '!AK15)*1000</f>
        <v>14099.999999998545</v>
      </c>
      <c r="Y11" s="71">
        <v>72</v>
      </c>
      <c r="Z11" s="115">
        <v>113</v>
      </c>
    </row>
    <row r="12" spans="1:26" x14ac:dyDescent="0.25">
      <c r="A12" s="114" t="s">
        <v>80</v>
      </c>
      <c r="B12" s="69">
        <f t="shared" si="1"/>
        <v>11</v>
      </c>
      <c r="C12" s="70">
        <v>12</v>
      </c>
      <c r="D12" s="69">
        <v>2020</v>
      </c>
      <c r="E12" s="71">
        <f>'FS-AD Daily '!B16</f>
        <v>6516</v>
      </c>
      <c r="F12" s="71">
        <f>'FS-AD Daily '!C16</f>
        <v>2435</v>
      </c>
      <c r="G12" s="71">
        <f>'FS-AD Daily '!D16</f>
        <v>796</v>
      </c>
      <c r="H12" s="71">
        <f>'FS-AD Daily '!E16</f>
        <v>6638</v>
      </c>
      <c r="I12" s="71">
        <f>'FS-AD Daily '!F16</f>
        <v>5519</v>
      </c>
      <c r="J12" s="71">
        <f>'FS-AD Daily '!G16</f>
        <v>2795</v>
      </c>
      <c r="K12" s="71">
        <f>'FS-AD Daily '!H16</f>
        <v>3218</v>
      </c>
      <c r="L12" s="71">
        <f>'FS-AD Daily '!I16</f>
        <v>2391</v>
      </c>
      <c r="M12" s="71">
        <f>'FS-AD Daily '!J16</f>
        <v>7006</v>
      </c>
      <c r="N12" s="71">
        <f>'FS-AD Daily '!T16</f>
        <v>146.79899999999907</v>
      </c>
      <c r="O12" s="71">
        <f>'FS-AD Daily '!R16</f>
        <v>78.544999999997344</v>
      </c>
      <c r="P12" s="71">
        <f>'FS-AD Daily '!Z16</f>
        <v>433.5</v>
      </c>
      <c r="Q12" s="71">
        <f>'FS-AD Daily '!V16</f>
        <v>119.29999999998836</v>
      </c>
      <c r="R12" s="71">
        <f>'FS-AD Daily '!W16</f>
        <v>0</v>
      </c>
      <c r="S12" s="71">
        <f t="shared" si="0"/>
        <v>314.20000000001164</v>
      </c>
      <c r="T12" s="71">
        <f>'FS-AD Daily '!AD16*3.516</f>
        <v>41036.290799999348</v>
      </c>
      <c r="U12" s="71">
        <f>('FS-AD Daily '!AF16)*1000</f>
        <v>22400</v>
      </c>
      <c r="V12" s="71">
        <f>('FS-AD Daily '!AG16)*1000</f>
        <v>6400</v>
      </c>
      <c r="W12" s="71">
        <f>'FS-AD Daily '!AH16*1000</f>
        <v>8500</v>
      </c>
      <c r="X12" s="71">
        <f>('FS-AD Daily '!AK16)*1000</f>
        <v>13599.999999998545</v>
      </c>
      <c r="Y12" s="71">
        <v>73</v>
      </c>
      <c r="Z12" s="115">
        <v>110</v>
      </c>
    </row>
    <row r="13" spans="1:26" x14ac:dyDescent="0.25">
      <c r="A13" s="114" t="s">
        <v>80</v>
      </c>
      <c r="B13" s="69">
        <f t="shared" si="1"/>
        <v>12</v>
      </c>
      <c r="C13" s="70">
        <v>12</v>
      </c>
      <c r="D13" s="69">
        <v>2020</v>
      </c>
      <c r="E13" s="71">
        <f>'FS-AD Daily '!B17</f>
        <v>5411</v>
      </c>
      <c r="F13" s="71">
        <f>'FS-AD Daily '!C17</f>
        <v>2965</v>
      </c>
      <c r="G13" s="71">
        <f>'FS-AD Daily '!D17</f>
        <v>759</v>
      </c>
      <c r="H13" s="71">
        <f>'FS-AD Daily '!E17</f>
        <v>6686</v>
      </c>
      <c r="I13" s="71">
        <f>'FS-AD Daily '!F17</f>
        <v>5455</v>
      </c>
      <c r="J13" s="71">
        <f>'FS-AD Daily '!G17</f>
        <v>2746</v>
      </c>
      <c r="K13" s="71">
        <f>'FS-AD Daily '!H17</f>
        <v>3608</v>
      </c>
      <c r="L13" s="71">
        <f>'FS-AD Daily '!I17</f>
        <v>2373</v>
      </c>
      <c r="M13" s="71">
        <f>'FS-AD Daily '!J17</f>
        <v>6941</v>
      </c>
      <c r="N13" s="71">
        <f>'FS-AD Daily '!T17</f>
        <v>126.18100000000049</v>
      </c>
      <c r="O13" s="71">
        <f>'FS-AD Daily '!R17</f>
        <v>74.034999999996671</v>
      </c>
      <c r="P13" s="71">
        <f>'FS-AD Daily '!Z17</f>
        <v>367.5</v>
      </c>
      <c r="Q13" s="71">
        <f>'FS-AD Daily '!V17</f>
        <v>83.900000000023283</v>
      </c>
      <c r="R13" s="71">
        <f>'FS-AD Daily '!W17</f>
        <v>0</v>
      </c>
      <c r="S13" s="71">
        <f t="shared" si="0"/>
        <v>283.59999999997672</v>
      </c>
      <c r="T13" s="71">
        <f>'FS-AD Daily '!AD17*3.516</f>
        <v>49890.985200000658</v>
      </c>
      <c r="U13" s="71">
        <f>('FS-AD Daily '!AF17)*1000</f>
        <v>21600</v>
      </c>
      <c r="V13" s="71">
        <f>('FS-AD Daily '!AG17)*1000</f>
        <v>5900</v>
      </c>
      <c r="W13" s="71">
        <f>'FS-AD Daily '!AH17*1000</f>
        <v>8000</v>
      </c>
      <c r="X13" s="71">
        <f>('FS-AD Daily '!AK17)*1000</f>
        <v>13599.999999998545</v>
      </c>
      <c r="Y13" s="71">
        <v>74</v>
      </c>
      <c r="Z13" s="115">
        <v>115</v>
      </c>
    </row>
    <row r="14" spans="1:26" x14ac:dyDescent="0.25">
      <c r="A14" s="114" t="s">
        <v>80</v>
      </c>
      <c r="B14" s="69">
        <f t="shared" si="1"/>
        <v>13</v>
      </c>
      <c r="C14" s="70">
        <v>12</v>
      </c>
      <c r="D14" s="69">
        <v>2020</v>
      </c>
      <c r="E14" s="71">
        <f>'FS-AD Daily '!B18</f>
        <v>5731</v>
      </c>
      <c r="F14" s="71">
        <f>'FS-AD Daily '!C18</f>
        <v>2887</v>
      </c>
      <c r="G14" s="71">
        <f>'FS-AD Daily '!D18</f>
        <v>720</v>
      </c>
      <c r="H14" s="71">
        <f>'FS-AD Daily '!E18</f>
        <v>6519</v>
      </c>
      <c r="I14" s="71">
        <f>'FS-AD Daily '!F18</f>
        <v>5261</v>
      </c>
      <c r="J14" s="71">
        <f>'FS-AD Daily '!G18</f>
        <v>2686</v>
      </c>
      <c r="K14" s="71">
        <f>'FS-AD Daily '!H18</f>
        <v>3606</v>
      </c>
      <c r="L14" s="71">
        <f>'FS-AD Daily '!I18</f>
        <v>2366</v>
      </c>
      <c r="M14" s="71">
        <f>'FS-AD Daily '!J18</f>
        <v>6716</v>
      </c>
      <c r="N14" s="71">
        <f>'FS-AD Daily '!T18</f>
        <v>123.84399999999732</v>
      </c>
      <c r="O14" s="71">
        <f>'FS-AD Daily '!R18</f>
        <v>68.826999999997952</v>
      </c>
      <c r="P14" s="71">
        <f>'FS-AD Daily '!Z18</f>
        <v>380.80000000004657</v>
      </c>
      <c r="Q14" s="71">
        <f>'FS-AD Daily '!V18</f>
        <v>107.09999999997672</v>
      </c>
      <c r="R14" s="71">
        <f>'FS-AD Daily '!W18</f>
        <v>0</v>
      </c>
      <c r="S14" s="71">
        <f t="shared" si="0"/>
        <v>273.70000000006985</v>
      </c>
      <c r="T14" s="71">
        <f>'FS-AD Daily '!AD18*3.516</f>
        <v>26836.221600000328</v>
      </c>
      <c r="U14" s="71">
        <f>('FS-AD Daily '!AF18)*1000</f>
        <v>20200</v>
      </c>
      <c r="V14" s="71">
        <f>('FS-AD Daily '!AG18)*1000</f>
        <v>6000</v>
      </c>
      <c r="W14" s="71">
        <f>'FS-AD Daily '!AH18*1000</f>
        <v>8100</v>
      </c>
      <c r="X14" s="71">
        <f>('FS-AD Daily '!AK18)*1000</f>
        <v>12300.00000000291</v>
      </c>
      <c r="Y14" s="71">
        <v>84</v>
      </c>
      <c r="Z14" s="115">
        <v>135</v>
      </c>
    </row>
    <row r="15" spans="1:26" x14ac:dyDescent="0.25">
      <c r="A15" s="114" t="s">
        <v>80</v>
      </c>
      <c r="B15" s="69">
        <f t="shared" si="1"/>
        <v>14</v>
      </c>
      <c r="C15" s="70">
        <v>12</v>
      </c>
      <c r="D15" s="69">
        <v>2020</v>
      </c>
      <c r="E15" s="71">
        <f>'FS-AD Daily '!B19</f>
        <v>5063</v>
      </c>
      <c r="F15" s="71">
        <f>'FS-AD Daily '!C19</f>
        <v>2773</v>
      </c>
      <c r="G15" s="71">
        <f>'FS-AD Daily '!D19</f>
        <v>765</v>
      </c>
      <c r="H15" s="71">
        <f>'FS-AD Daily '!E19</f>
        <v>6390</v>
      </c>
      <c r="I15" s="71">
        <f>'FS-AD Daily '!F19</f>
        <v>5184</v>
      </c>
      <c r="J15" s="71">
        <f>'FS-AD Daily '!G19</f>
        <v>2765</v>
      </c>
      <c r="K15" s="71">
        <f>'FS-AD Daily '!H19</f>
        <v>3663</v>
      </c>
      <c r="L15" s="71">
        <f>'FS-AD Daily '!I19</f>
        <v>2272</v>
      </c>
      <c r="M15" s="71">
        <f>'FS-AD Daily '!J19</f>
        <v>6745</v>
      </c>
      <c r="N15" s="71">
        <f>'FS-AD Daily '!T19</f>
        <v>117.85900000000402</v>
      </c>
      <c r="O15" s="71">
        <f>'FS-AD Daily '!R19</f>
        <v>67.336000000005242</v>
      </c>
      <c r="P15" s="71">
        <f>'FS-AD Daily '!Z19</f>
        <v>377.09999999997672</v>
      </c>
      <c r="Q15" s="71">
        <f>'FS-AD Daily '!V19</f>
        <v>109.40000000002328</v>
      </c>
      <c r="R15" s="71">
        <f>'FS-AD Daily '!W19</f>
        <v>0</v>
      </c>
      <c r="S15" s="71">
        <f t="shared" si="0"/>
        <v>267.69999999995343</v>
      </c>
      <c r="T15" s="71">
        <f>'FS-AD Daily '!AD19*3.516</f>
        <v>37694.332799999342</v>
      </c>
      <c r="U15" s="71">
        <f>('FS-AD Daily '!AF19)*1000</f>
        <v>20000</v>
      </c>
      <c r="V15" s="71">
        <f>('FS-AD Daily '!AG19)*1000</f>
        <v>6500</v>
      </c>
      <c r="W15" s="71">
        <f>'FS-AD Daily '!AH19*1000</f>
        <v>7800</v>
      </c>
      <c r="X15" s="71">
        <f>('FS-AD Daily '!AK19)*1000</f>
        <v>12900.000000001455</v>
      </c>
      <c r="Y15" s="71">
        <v>100</v>
      </c>
      <c r="Z15" s="115">
        <v>167</v>
      </c>
    </row>
    <row r="16" spans="1:26" x14ac:dyDescent="0.25">
      <c r="A16" s="114" t="s">
        <v>80</v>
      </c>
      <c r="B16" s="69">
        <f t="shared" si="1"/>
        <v>15</v>
      </c>
      <c r="C16" s="70">
        <v>12</v>
      </c>
      <c r="D16" s="69">
        <v>2020</v>
      </c>
      <c r="E16" s="71">
        <f>'FS-AD Daily '!B20</f>
        <v>5013</v>
      </c>
      <c r="F16" s="71">
        <f>'FS-AD Daily '!C20</f>
        <v>3192</v>
      </c>
      <c r="G16" s="71">
        <f>'FS-AD Daily '!D20</f>
        <v>770</v>
      </c>
      <c r="H16" s="71">
        <f>'FS-AD Daily '!E20</f>
        <v>6687</v>
      </c>
      <c r="I16" s="71">
        <f>'FS-AD Daily '!F20</f>
        <v>5458</v>
      </c>
      <c r="J16" s="71">
        <f>'FS-AD Daily '!G20</f>
        <v>2893</v>
      </c>
      <c r="K16" s="71">
        <f>'FS-AD Daily '!H20</f>
        <v>4182</v>
      </c>
      <c r="L16" s="71">
        <f>'FS-AD Daily '!I20</f>
        <v>2342</v>
      </c>
      <c r="M16" s="71">
        <f>'FS-AD Daily '!J20</f>
        <v>6996</v>
      </c>
      <c r="N16" s="71">
        <f>'FS-AD Daily '!T20</f>
        <v>141.46700000000055</v>
      </c>
      <c r="O16" s="71">
        <f>'FS-AD Daily '!R20</f>
        <v>71.202000000004773</v>
      </c>
      <c r="P16" s="71">
        <f>'FS-AD Daily '!Z20</f>
        <v>395.80000000004657</v>
      </c>
      <c r="Q16" s="71">
        <f>'FS-AD Daily '!V20</f>
        <v>112.5</v>
      </c>
      <c r="R16" s="71">
        <f>'FS-AD Daily '!W20</f>
        <v>0</v>
      </c>
      <c r="S16" s="71">
        <f t="shared" si="0"/>
        <v>283.30000000004657</v>
      </c>
      <c r="T16" s="71">
        <f>'FS-AD Daily '!AD20*3.516</f>
        <v>43024.237200000658</v>
      </c>
      <c r="U16" s="71">
        <f>('FS-AD Daily '!AF20)*1000</f>
        <v>22600</v>
      </c>
      <c r="V16" s="71">
        <f>('FS-AD Daily '!AG20)*1000</f>
        <v>7200</v>
      </c>
      <c r="W16" s="71">
        <f>'FS-AD Daily '!AH20*1000</f>
        <v>8600</v>
      </c>
      <c r="X16" s="71">
        <f>('FS-AD Daily '!AK20)*1000</f>
        <v>13799.999999995634</v>
      </c>
      <c r="Y16" s="71">
        <v>106</v>
      </c>
      <c r="Z16" s="115">
        <v>176</v>
      </c>
    </row>
    <row r="17" spans="1:26" x14ac:dyDescent="0.25">
      <c r="A17" s="114" t="s">
        <v>80</v>
      </c>
      <c r="B17" s="69">
        <f t="shared" si="1"/>
        <v>16</v>
      </c>
      <c r="C17" s="70">
        <v>12</v>
      </c>
      <c r="D17" s="69">
        <v>2020</v>
      </c>
      <c r="E17" s="71">
        <f>'FS-AD Daily '!B21</f>
        <v>4981</v>
      </c>
      <c r="F17" s="71">
        <f>'FS-AD Daily '!C21</f>
        <v>2675</v>
      </c>
      <c r="G17" s="71">
        <f>'FS-AD Daily '!D21</f>
        <v>811</v>
      </c>
      <c r="H17" s="71">
        <f>'FS-AD Daily '!E21</f>
        <v>6496</v>
      </c>
      <c r="I17" s="71">
        <f>'FS-AD Daily '!F21</f>
        <v>5362</v>
      </c>
      <c r="J17" s="71">
        <f>'FS-AD Daily '!G21</f>
        <v>2854</v>
      </c>
      <c r="K17" s="71">
        <f>'FS-AD Daily '!H21</f>
        <v>3583</v>
      </c>
      <c r="L17" s="71">
        <f>'FS-AD Daily '!I21</f>
        <v>2234</v>
      </c>
      <c r="M17" s="71">
        <f>'FS-AD Daily '!J21</f>
        <v>7012</v>
      </c>
      <c r="N17" s="71">
        <f>'FS-AD Daily '!T21</f>
        <v>130.96500000000015</v>
      </c>
      <c r="O17" s="71">
        <f>'FS-AD Daily '!R21</f>
        <v>72.911000000000058</v>
      </c>
      <c r="P17" s="71">
        <f>'FS-AD Daily '!Z21</f>
        <v>399.09999999997672</v>
      </c>
      <c r="Q17" s="71">
        <f>'FS-AD Daily '!V21</f>
        <v>110</v>
      </c>
      <c r="R17" s="71">
        <f>'FS-AD Daily '!W21</f>
        <v>0</v>
      </c>
      <c r="S17" s="71">
        <f t="shared" si="0"/>
        <v>289.09999999997672</v>
      </c>
      <c r="T17" s="71">
        <f>'FS-AD Daily '!AD21*3.516</f>
        <v>38892.233999999997</v>
      </c>
      <c r="U17" s="71">
        <f>('FS-AD Daily '!AF21)*1000</f>
        <v>20900</v>
      </c>
      <c r="V17" s="71">
        <f>('FS-AD Daily '!AG21)*1000</f>
        <v>6800</v>
      </c>
      <c r="W17" s="71">
        <f>'FS-AD Daily '!AH21*1000</f>
        <v>8000</v>
      </c>
      <c r="X17" s="71">
        <f>('FS-AD Daily '!AK21)*1000</f>
        <v>13500</v>
      </c>
      <c r="Y17" s="71">
        <v>77</v>
      </c>
      <c r="Z17" s="115">
        <v>128</v>
      </c>
    </row>
    <row r="18" spans="1:26" x14ac:dyDescent="0.25">
      <c r="A18" s="114" t="s">
        <v>80</v>
      </c>
      <c r="B18" s="69">
        <f t="shared" si="1"/>
        <v>17</v>
      </c>
      <c r="C18" s="70">
        <v>12</v>
      </c>
      <c r="D18" s="69">
        <v>2020</v>
      </c>
      <c r="E18" s="71">
        <f>'FS-AD Daily '!B22</f>
        <v>5104</v>
      </c>
      <c r="F18" s="71">
        <f>'FS-AD Daily '!C22</f>
        <v>2748</v>
      </c>
      <c r="G18" s="71">
        <f>'FS-AD Daily '!D22</f>
        <v>841</v>
      </c>
      <c r="H18" s="71">
        <f>'FS-AD Daily '!E22</f>
        <v>6548</v>
      </c>
      <c r="I18" s="71">
        <f>'FS-AD Daily '!F22</f>
        <v>5661</v>
      </c>
      <c r="J18" s="71">
        <f>'FS-AD Daily '!G22</f>
        <v>2884</v>
      </c>
      <c r="K18" s="71">
        <f>'FS-AD Daily '!H22</f>
        <v>3764</v>
      </c>
      <c r="L18" s="71">
        <f>'FS-AD Daily '!I22</f>
        <v>2266</v>
      </c>
      <c r="M18" s="71">
        <f>'FS-AD Daily '!J22</f>
        <v>7016</v>
      </c>
      <c r="N18" s="71">
        <f>'FS-AD Daily '!T22</f>
        <v>134.0879999999961</v>
      </c>
      <c r="O18" s="71">
        <f>'FS-AD Daily '!R22</f>
        <v>73.208999999986645</v>
      </c>
      <c r="P18" s="71">
        <f>'FS-AD Daily '!Z22</f>
        <v>413.30000000004657</v>
      </c>
      <c r="Q18" s="71">
        <f>'FS-AD Daily '!V22</f>
        <v>115.20000000001164</v>
      </c>
      <c r="R18" s="71">
        <f>'FS-AD Daily '!W22</f>
        <v>0</v>
      </c>
      <c r="S18" s="71">
        <f t="shared" si="0"/>
        <v>298.10000000003492</v>
      </c>
      <c r="T18" s="71">
        <f>'FS-AD Daily '!AD22*3.516</f>
        <v>42672.28560000033</v>
      </c>
      <c r="U18" s="71">
        <f>('FS-AD Daily '!AF22)*1000</f>
        <v>23200</v>
      </c>
      <c r="V18" s="71">
        <f>('FS-AD Daily '!AG22)*1000</f>
        <v>8200</v>
      </c>
      <c r="W18" s="71">
        <f>'FS-AD Daily '!AH22*1000</f>
        <v>7900</v>
      </c>
      <c r="X18" s="71">
        <f>('FS-AD Daily '!AK22)*1000</f>
        <v>13500</v>
      </c>
      <c r="Y18" s="71">
        <v>66</v>
      </c>
      <c r="Z18" s="115">
        <v>104</v>
      </c>
    </row>
    <row r="19" spans="1:26" x14ac:dyDescent="0.25">
      <c r="A19" s="114" t="s">
        <v>80</v>
      </c>
      <c r="B19" s="69">
        <f t="shared" si="1"/>
        <v>18</v>
      </c>
      <c r="C19" s="70">
        <v>12</v>
      </c>
      <c r="D19" s="69">
        <v>2020</v>
      </c>
      <c r="E19" s="71">
        <f>'FS-AD Daily '!B23</f>
        <v>5174</v>
      </c>
      <c r="F19" s="71">
        <f>'FS-AD Daily '!C23</f>
        <v>3099</v>
      </c>
      <c r="G19" s="71">
        <f>'FS-AD Daily '!D23</f>
        <v>728</v>
      </c>
      <c r="H19" s="71">
        <f>'FS-AD Daily '!E23</f>
        <v>6653</v>
      </c>
      <c r="I19" s="71">
        <f>'FS-AD Daily '!F23</f>
        <v>5562</v>
      </c>
      <c r="J19" s="71">
        <f>'FS-AD Daily '!G23</f>
        <v>2675</v>
      </c>
      <c r="K19" s="71">
        <f>'FS-AD Daily '!H23</f>
        <v>3928</v>
      </c>
      <c r="L19" s="71">
        <f>'FS-AD Daily '!I23</f>
        <v>2068</v>
      </c>
      <c r="M19" s="71">
        <f>'FS-AD Daily '!J23</f>
        <v>6731</v>
      </c>
      <c r="N19" s="71">
        <f>'FS-AD Daily '!T23</f>
        <v>126.22700000000259</v>
      </c>
      <c r="O19" s="71">
        <f>'FS-AD Daily '!R23</f>
        <v>84.309000000007018</v>
      </c>
      <c r="P19" s="71">
        <f>'FS-AD Daily '!Z23</f>
        <v>429.69999999995343</v>
      </c>
      <c r="Q19" s="71">
        <f>'FS-AD Daily '!V23</f>
        <v>114</v>
      </c>
      <c r="R19" s="71">
        <f>'FS-AD Daily '!W23</f>
        <v>0</v>
      </c>
      <c r="S19" s="71">
        <f t="shared" si="0"/>
        <v>315.69999999995343</v>
      </c>
      <c r="T19" s="71">
        <f>'FS-AD Daily '!AD23*3.516</f>
        <v>43833.268799999343</v>
      </c>
      <c r="U19" s="71">
        <f>('FS-AD Daily '!AF23)*1000</f>
        <v>22700</v>
      </c>
      <c r="V19" s="71">
        <f>('FS-AD Daily '!AG23)*1000</f>
        <v>11000</v>
      </c>
      <c r="W19" s="71">
        <f>'FS-AD Daily '!AH23*1000</f>
        <v>7400</v>
      </c>
      <c r="X19" s="71">
        <f>('FS-AD Daily '!AK23)*1000</f>
        <v>13300.00000000291</v>
      </c>
      <c r="Y19" s="71">
        <v>61</v>
      </c>
      <c r="Z19" s="115">
        <v>99</v>
      </c>
    </row>
    <row r="20" spans="1:26" x14ac:dyDescent="0.25">
      <c r="A20" s="114" t="s">
        <v>80</v>
      </c>
      <c r="B20" s="69">
        <f t="shared" si="1"/>
        <v>19</v>
      </c>
      <c r="C20" s="70">
        <v>12</v>
      </c>
      <c r="D20" s="69">
        <v>2020</v>
      </c>
      <c r="E20" s="71">
        <f>'FS-AD Daily '!B24</f>
        <v>4992</v>
      </c>
      <c r="F20" s="71">
        <f>'FS-AD Daily '!C24</f>
        <v>2946</v>
      </c>
      <c r="G20" s="71">
        <f>'FS-AD Daily '!D24</f>
        <v>817</v>
      </c>
      <c r="H20" s="71">
        <f>'FS-AD Daily '!E24</f>
        <v>6524</v>
      </c>
      <c r="I20" s="71">
        <f>'FS-AD Daily '!F24</f>
        <v>5400</v>
      </c>
      <c r="J20" s="71">
        <f>'FS-AD Daily '!G24</f>
        <v>2783</v>
      </c>
      <c r="K20" s="71">
        <f>'FS-AD Daily '!H24</f>
        <v>3689</v>
      </c>
      <c r="L20" s="71">
        <f>'FS-AD Daily '!I24</f>
        <v>2214</v>
      </c>
      <c r="M20" s="71">
        <f>'FS-AD Daily '!J24</f>
        <v>6780</v>
      </c>
      <c r="N20" s="71">
        <f>'FS-AD Daily '!T24</f>
        <v>114.3179999999993</v>
      </c>
      <c r="O20" s="71">
        <f>'FS-AD Daily '!R24</f>
        <v>79.01299999999992</v>
      </c>
      <c r="P20" s="71">
        <f>'FS-AD Daily '!Z24</f>
        <v>401.5</v>
      </c>
      <c r="Q20" s="71">
        <f>'FS-AD Daily '!V24</f>
        <v>109.89999999996508</v>
      </c>
      <c r="R20" s="71">
        <f>'FS-AD Daily '!W24</f>
        <v>0</v>
      </c>
      <c r="S20" s="71">
        <f t="shared" si="0"/>
        <v>291.60000000003492</v>
      </c>
      <c r="T20" s="71">
        <f>'FS-AD Daily '!AD24*3.516</f>
        <v>40665.352799999346</v>
      </c>
      <c r="U20" s="71">
        <f>('FS-AD Daily '!AF24)*1000</f>
        <v>21200</v>
      </c>
      <c r="V20" s="71">
        <f>('FS-AD Daily '!AG24)*1000</f>
        <v>6800</v>
      </c>
      <c r="W20" s="71">
        <f>'FS-AD Daily '!AH24*1000</f>
        <v>7800</v>
      </c>
      <c r="X20" s="71">
        <f>('FS-AD Daily '!AK24)*1000</f>
        <v>14199.99999999709</v>
      </c>
      <c r="Y20" s="71">
        <v>50</v>
      </c>
      <c r="Z20" s="115">
        <v>87</v>
      </c>
    </row>
    <row r="21" spans="1:26" x14ac:dyDescent="0.25">
      <c r="A21" s="114" t="s">
        <v>80</v>
      </c>
      <c r="B21" s="69">
        <f t="shared" si="1"/>
        <v>20</v>
      </c>
      <c r="C21" s="70">
        <v>12</v>
      </c>
      <c r="D21" s="69">
        <v>2020</v>
      </c>
      <c r="E21" s="71">
        <f>'FS-AD Daily '!B25</f>
        <v>5937</v>
      </c>
      <c r="F21" s="71">
        <f>'FS-AD Daily '!C25</f>
        <v>3088</v>
      </c>
      <c r="G21" s="71">
        <f>'FS-AD Daily '!D25</f>
        <v>889</v>
      </c>
      <c r="H21" s="71">
        <f>'FS-AD Daily '!E25</f>
        <v>6378</v>
      </c>
      <c r="I21" s="71">
        <f>'FS-AD Daily '!F25</f>
        <v>5337</v>
      </c>
      <c r="J21" s="71">
        <f>'FS-AD Daily '!G25</f>
        <v>2588</v>
      </c>
      <c r="K21" s="71">
        <f>'FS-AD Daily '!H25</f>
        <v>2894</v>
      </c>
      <c r="L21" s="71">
        <f>'FS-AD Daily '!I25</f>
        <v>2096</v>
      </c>
      <c r="M21" s="71">
        <f>'FS-AD Daily '!J25</f>
        <v>6718</v>
      </c>
      <c r="N21" s="71">
        <f>'FS-AD Daily '!T25</f>
        <v>132.60599999999977</v>
      </c>
      <c r="O21" s="71">
        <f>'FS-AD Daily '!R25</f>
        <v>67.008999999995012</v>
      </c>
      <c r="P21" s="71">
        <f>'FS-AD Daily '!Z25</f>
        <v>407.80000000004657</v>
      </c>
      <c r="Q21" s="71">
        <f>'FS-AD Daily '!V25</f>
        <v>114.10000000003492</v>
      </c>
      <c r="R21" s="71">
        <f>'FS-AD Daily '!W25</f>
        <v>0</v>
      </c>
      <c r="S21" s="71">
        <f t="shared" si="0"/>
        <v>293.70000000001164</v>
      </c>
      <c r="T21" s="71">
        <f>'FS-AD Daily '!AD25*3.516</f>
        <v>39611.256000000001</v>
      </c>
      <c r="U21" s="71">
        <f>('FS-AD Daily '!AF25)*1000</f>
        <v>19900</v>
      </c>
      <c r="V21" s="71">
        <f>('FS-AD Daily '!AG25)*1000</f>
        <v>8500</v>
      </c>
      <c r="W21" s="71">
        <f>'FS-AD Daily '!AH25*1000</f>
        <v>7800</v>
      </c>
      <c r="X21" s="71">
        <f>('FS-AD Daily '!AK25)*1000</f>
        <v>13600.000000005821</v>
      </c>
      <c r="Y21" s="71">
        <v>103</v>
      </c>
      <c r="Z21" s="115">
        <v>196</v>
      </c>
    </row>
    <row r="22" spans="1:26" x14ac:dyDescent="0.25">
      <c r="A22" s="114" t="s">
        <v>80</v>
      </c>
      <c r="B22" s="69">
        <f t="shared" si="1"/>
        <v>21</v>
      </c>
      <c r="C22" s="70">
        <v>12</v>
      </c>
      <c r="D22" s="69">
        <v>2020</v>
      </c>
      <c r="E22" s="71">
        <f>'FS-AD Daily '!B26</f>
        <v>5730</v>
      </c>
      <c r="F22" s="71">
        <f>'FS-AD Daily '!C26</f>
        <v>2534</v>
      </c>
      <c r="G22" s="71">
        <f>'FS-AD Daily '!D26</f>
        <v>789</v>
      </c>
      <c r="H22" s="71">
        <f>'FS-AD Daily '!E26</f>
        <v>6592</v>
      </c>
      <c r="I22" s="71">
        <f>'FS-AD Daily '!F26</f>
        <v>5346</v>
      </c>
      <c r="J22" s="71">
        <f>'FS-AD Daily '!G26</f>
        <v>2583</v>
      </c>
      <c r="K22" s="71">
        <f>'FS-AD Daily '!H26</f>
        <v>3658</v>
      </c>
      <c r="L22" s="71">
        <f>'FS-AD Daily '!I26</f>
        <v>1964</v>
      </c>
      <c r="M22" s="71">
        <f>'FS-AD Daily '!J26</f>
        <v>6802</v>
      </c>
      <c r="N22" s="71">
        <f>'FS-AD Daily '!T26</f>
        <v>122.43799999999828</v>
      </c>
      <c r="O22" s="71">
        <f>'FS-AD Daily '!R26</f>
        <v>67.185000000001764</v>
      </c>
      <c r="P22" s="71">
        <f>'FS-AD Daily '!Z26</f>
        <v>398.59999999997672</v>
      </c>
      <c r="Q22" s="71">
        <f>'FS-AD Daily '!V26</f>
        <v>117.29999999998836</v>
      </c>
      <c r="R22" s="71">
        <f>'FS-AD Daily '!W26</f>
        <v>0</v>
      </c>
      <c r="S22" s="71">
        <f t="shared" si="0"/>
        <v>281.29999999998836</v>
      </c>
      <c r="T22" s="71">
        <f>'FS-AD Daily '!AD26*3.516</f>
        <v>39049.399200000655</v>
      </c>
      <c r="U22" s="71">
        <f>('FS-AD Daily '!AF26)*1000</f>
        <v>19200</v>
      </c>
      <c r="V22" s="71">
        <f>('FS-AD Daily '!AG26)*1000</f>
        <v>9200</v>
      </c>
      <c r="W22" s="71">
        <f>'FS-AD Daily '!AH26*1000</f>
        <v>7300</v>
      </c>
      <c r="X22" s="71">
        <f>('FS-AD Daily '!AK26)*1000</f>
        <v>13799.999999995634</v>
      </c>
      <c r="Y22" s="71">
        <v>99</v>
      </c>
      <c r="Z22" s="115">
        <v>180</v>
      </c>
    </row>
    <row r="23" spans="1:26" x14ac:dyDescent="0.25">
      <c r="A23" s="114" t="s">
        <v>80</v>
      </c>
      <c r="B23" s="69">
        <f t="shared" si="1"/>
        <v>22</v>
      </c>
      <c r="C23" s="70">
        <v>12</v>
      </c>
      <c r="D23" s="69">
        <v>2020</v>
      </c>
      <c r="E23" s="71">
        <f>'FS-AD Daily '!B27</f>
        <v>5808</v>
      </c>
      <c r="F23" s="71">
        <f>'FS-AD Daily '!C27</f>
        <v>2279</v>
      </c>
      <c r="G23" s="71">
        <f>'FS-AD Daily '!D27</f>
        <v>762</v>
      </c>
      <c r="H23" s="71">
        <f>'FS-AD Daily '!E27</f>
        <v>6438</v>
      </c>
      <c r="I23" s="71">
        <f>'FS-AD Daily '!F27</f>
        <v>5352</v>
      </c>
      <c r="J23" s="71">
        <f>'FS-AD Daily '!G27</f>
        <v>2657</v>
      </c>
      <c r="K23" s="71">
        <f>'FS-AD Daily '!H27</f>
        <v>3508</v>
      </c>
      <c r="L23" s="71">
        <f>'FS-AD Daily '!I27</f>
        <v>2052</v>
      </c>
      <c r="M23" s="71">
        <f>'FS-AD Daily '!J27</f>
        <v>6515</v>
      </c>
      <c r="N23" s="71">
        <f>'FS-AD Daily '!T27</f>
        <v>141.10800000000017</v>
      </c>
      <c r="O23" s="71">
        <f>'FS-AD Daily '!R27</f>
        <v>62.177000000001954</v>
      </c>
      <c r="P23" s="71">
        <f>'FS-AD Daily '!Z27</f>
        <v>392</v>
      </c>
      <c r="Q23" s="71">
        <f>'FS-AD Daily '!V27</f>
        <v>106.5</v>
      </c>
      <c r="R23" s="71">
        <f>'FS-AD Daily '!W27</f>
        <v>4.0599999999976717</v>
      </c>
      <c r="S23" s="71">
        <f t="shared" si="0"/>
        <v>281.44000000000233</v>
      </c>
      <c r="T23" s="71">
        <f>'FS-AD Daily '!AD27*3.516</f>
        <v>39205.158000000003</v>
      </c>
      <c r="U23" s="71">
        <f>('FS-AD Daily '!AF27)*1000</f>
        <v>18100</v>
      </c>
      <c r="V23" s="71">
        <f>('FS-AD Daily '!AG27)*1000</f>
        <v>11500</v>
      </c>
      <c r="W23" s="71">
        <f>'FS-AD Daily '!AH27*1000</f>
        <v>7200</v>
      </c>
      <c r="X23" s="71">
        <f>('FS-AD Daily '!AK27)*1000</f>
        <v>13900.000000001455</v>
      </c>
      <c r="Y23" s="71">
        <v>97</v>
      </c>
      <c r="Z23" s="115">
        <v>175</v>
      </c>
    </row>
    <row r="24" spans="1:26" x14ac:dyDescent="0.25">
      <c r="A24" s="114" t="s">
        <v>80</v>
      </c>
      <c r="B24" s="69">
        <f t="shared" si="1"/>
        <v>23</v>
      </c>
      <c r="C24" s="70">
        <v>12</v>
      </c>
      <c r="D24" s="69">
        <v>2020</v>
      </c>
      <c r="E24" s="71">
        <f>'FS-AD Daily '!B28</f>
        <v>5077</v>
      </c>
      <c r="F24" s="71">
        <f>'FS-AD Daily '!C28</f>
        <v>2665</v>
      </c>
      <c r="G24" s="71">
        <f>'FS-AD Daily '!D28</f>
        <v>744</v>
      </c>
      <c r="H24" s="71">
        <f>'FS-AD Daily '!E28</f>
        <v>6820</v>
      </c>
      <c r="I24" s="71">
        <f>'FS-AD Daily '!F28</f>
        <v>5762</v>
      </c>
      <c r="J24" s="71">
        <f>'FS-AD Daily '!G28</f>
        <v>2788</v>
      </c>
      <c r="K24" s="71">
        <f>'FS-AD Daily '!H28</f>
        <v>3322</v>
      </c>
      <c r="L24" s="71">
        <f>'FS-AD Daily '!I28</f>
        <v>2148</v>
      </c>
      <c r="M24" s="71">
        <f>'FS-AD Daily '!J28</f>
        <v>6952</v>
      </c>
      <c r="N24" s="71">
        <f>'FS-AD Daily '!T28</f>
        <v>135.06499999999505</v>
      </c>
      <c r="O24" s="71">
        <f>'FS-AD Daily '!R28</f>
        <v>67.051999999996042</v>
      </c>
      <c r="P24" s="71">
        <f>'FS-AD Daily '!Z28</f>
        <v>407.5</v>
      </c>
      <c r="Q24" s="71">
        <f>'FS-AD Daily '!V28</f>
        <v>115.20000000001164</v>
      </c>
      <c r="R24" s="71">
        <f>'FS-AD Daily '!W28</f>
        <v>0</v>
      </c>
      <c r="S24" s="71">
        <f t="shared" si="0"/>
        <v>292.29999999998836</v>
      </c>
      <c r="T24" s="71">
        <f>'FS-AD Daily '!AD28*3.516</f>
        <v>37983.699600000327</v>
      </c>
      <c r="U24" s="71">
        <f>('FS-AD Daily '!AF28)*1000</f>
        <v>18400</v>
      </c>
      <c r="V24" s="71">
        <f>('FS-AD Daily '!AG28)*1000</f>
        <v>11800</v>
      </c>
      <c r="W24" s="71">
        <f>'FS-AD Daily '!AH28*1000</f>
        <v>7000</v>
      </c>
      <c r="X24" s="71">
        <f>('FS-AD Daily '!AK28)*1000</f>
        <v>12599.999999998545</v>
      </c>
      <c r="Y24" s="71">
        <v>96</v>
      </c>
      <c r="Z24" s="115">
        <v>178</v>
      </c>
    </row>
    <row r="25" spans="1:26" x14ac:dyDescent="0.25">
      <c r="A25" s="114" t="s">
        <v>80</v>
      </c>
      <c r="B25" s="69">
        <f t="shared" si="1"/>
        <v>24</v>
      </c>
      <c r="C25" s="70">
        <v>12</v>
      </c>
      <c r="D25" s="69">
        <v>2020</v>
      </c>
      <c r="E25" s="71">
        <f>'FS-AD Daily '!B29</f>
        <v>5060</v>
      </c>
      <c r="F25" s="71">
        <f>'FS-AD Daily '!C29</f>
        <v>2904</v>
      </c>
      <c r="G25" s="71">
        <f>'FS-AD Daily '!D29</f>
        <v>763</v>
      </c>
      <c r="H25" s="71">
        <f>'FS-AD Daily '!E29</f>
        <v>6641</v>
      </c>
      <c r="I25" s="71">
        <f>'FS-AD Daily '!F29</f>
        <v>5691</v>
      </c>
      <c r="J25" s="71">
        <f>'FS-AD Daily '!G29</f>
        <v>2685</v>
      </c>
      <c r="K25" s="71">
        <f>'FS-AD Daily '!H29</f>
        <v>3399</v>
      </c>
      <c r="L25" s="71">
        <f>'FS-AD Daily '!I29</f>
        <v>2225</v>
      </c>
      <c r="M25" s="71">
        <f>'FS-AD Daily '!J29</f>
        <v>6884</v>
      </c>
      <c r="N25" s="71">
        <f>'FS-AD Daily '!T29</f>
        <v>159.96700000000783</v>
      </c>
      <c r="O25" s="71">
        <f>'FS-AD Daily '!R29</f>
        <v>76.358000000001539</v>
      </c>
      <c r="P25" s="71">
        <f>'FS-AD Daily '!Z29</f>
        <v>451.29999999993015</v>
      </c>
      <c r="Q25" s="71">
        <f>'FS-AD Daily '!V29</f>
        <v>116.5</v>
      </c>
      <c r="R25" s="71">
        <f>'FS-AD Daily '!W29</f>
        <v>0</v>
      </c>
      <c r="S25" s="71">
        <f t="shared" si="0"/>
        <v>334.79999999993015</v>
      </c>
      <c r="T25" s="71">
        <f>'FS-AD Daily '!AD29*3.516</f>
        <v>37677.807600000328</v>
      </c>
      <c r="U25" s="71">
        <f>('FS-AD Daily '!AF29)*1000</f>
        <v>19900</v>
      </c>
      <c r="V25" s="71">
        <f>('FS-AD Daily '!AG29)*1000</f>
        <v>7600</v>
      </c>
      <c r="W25" s="71">
        <f>'FS-AD Daily '!AH29*1000</f>
        <v>7600</v>
      </c>
      <c r="X25" s="71">
        <f>('FS-AD Daily '!AK29)*1000</f>
        <v>12900.000000001455</v>
      </c>
      <c r="Y25" s="71">
        <v>82</v>
      </c>
      <c r="Z25" s="115">
        <v>148</v>
      </c>
    </row>
    <row r="26" spans="1:26" x14ac:dyDescent="0.25">
      <c r="A26" s="114" t="s">
        <v>80</v>
      </c>
      <c r="B26" s="69">
        <f>B25+1</f>
        <v>25</v>
      </c>
      <c r="C26" s="70">
        <v>12</v>
      </c>
      <c r="D26" s="69">
        <v>2020</v>
      </c>
      <c r="E26" s="71">
        <f>'FS-AD Daily '!B30</f>
        <v>6241</v>
      </c>
      <c r="F26" s="71">
        <f>'FS-AD Daily '!C30</f>
        <v>2852</v>
      </c>
      <c r="G26" s="71">
        <f>'FS-AD Daily '!D30</f>
        <v>801</v>
      </c>
      <c r="H26" s="71">
        <f>'FS-AD Daily '!E30</f>
        <v>7179</v>
      </c>
      <c r="I26" s="71">
        <f>'FS-AD Daily '!F30</f>
        <v>5867</v>
      </c>
      <c r="J26" s="71">
        <f>'FS-AD Daily '!G30</f>
        <v>2733</v>
      </c>
      <c r="K26" s="71">
        <f>'FS-AD Daily '!H30</f>
        <v>3500</v>
      </c>
      <c r="L26" s="71">
        <f>'FS-AD Daily '!I30</f>
        <v>2196</v>
      </c>
      <c r="M26" s="71">
        <f>'FS-AD Daily '!J30</f>
        <v>6863</v>
      </c>
      <c r="N26" s="71">
        <f>'FS-AD Daily '!T30</f>
        <v>146.38199999999415</v>
      </c>
      <c r="O26" s="71">
        <f>'FS-AD Daily '!R30</f>
        <v>83.548999999999069</v>
      </c>
      <c r="P26" s="71">
        <f>'FS-AD Daily '!Z30</f>
        <v>481.20000000006985</v>
      </c>
      <c r="Q26" s="71">
        <f>'FS-AD Daily '!V30</f>
        <v>119.79999999998836</v>
      </c>
      <c r="R26" s="71">
        <f>'FS-AD Daily '!W30</f>
        <v>0</v>
      </c>
      <c r="S26" s="71">
        <f t="shared" si="0"/>
        <v>361.40000000008149</v>
      </c>
      <c r="T26" s="71">
        <f>'FS-AD Daily '!AD30*3.516</f>
        <v>37665.15</v>
      </c>
      <c r="U26" s="71">
        <f>('FS-AD Daily '!AF30)*1000</f>
        <v>20800</v>
      </c>
      <c r="V26" s="71">
        <f>('FS-AD Daily '!AG30)*1000</f>
        <v>6100</v>
      </c>
      <c r="W26" s="71">
        <f>'FS-AD Daily '!AH30*1000</f>
        <v>7200</v>
      </c>
      <c r="X26" s="71">
        <f>('FS-AD Daily '!AK30)*1000</f>
        <v>13199.99999999709</v>
      </c>
      <c r="Y26" s="71">
        <v>89</v>
      </c>
      <c r="Z26" s="115">
        <v>163</v>
      </c>
    </row>
    <row r="27" spans="1:26" x14ac:dyDescent="0.25">
      <c r="A27" s="114" t="s">
        <v>80</v>
      </c>
      <c r="B27" s="69">
        <f t="shared" si="1"/>
        <v>26</v>
      </c>
      <c r="C27" s="70">
        <v>12</v>
      </c>
      <c r="D27" s="69">
        <v>2020</v>
      </c>
      <c r="E27" s="71">
        <f>'FS-AD Daily '!B31</f>
        <v>7073</v>
      </c>
      <c r="F27" s="71">
        <f>'FS-AD Daily '!C31</f>
        <v>2048</v>
      </c>
      <c r="G27" s="71">
        <f>'FS-AD Daily '!D31</f>
        <v>805</v>
      </c>
      <c r="H27" s="71">
        <f>'FS-AD Daily '!E31</f>
        <v>6347</v>
      </c>
      <c r="I27" s="71">
        <f>'FS-AD Daily '!F31</f>
        <v>5406</v>
      </c>
      <c r="J27" s="71">
        <f>'FS-AD Daily '!G31</f>
        <v>2718</v>
      </c>
      <c r="K27" s="71">
        <f>'FS-AD Daily '!H31</f>
        <v>3468</v>
      </c>
      <c r="L27" s="71">
        <f>'FS-AD Daily '!I31</f>
        <v>2167</v>
      </c>
      <c r="M27" s="71">
        <f>'FS-AD Daily '!J31</f>
        <v>6457</v>
      </c>
      <c r="N27" s="71">
        <f>'FS-AD Daily '!T31</f>
        <v>113.62800000000061</v>
      </c>
      <c r="O27" s="71">
        <f>'FS-AD Daily '!R31</f>
        <v>69.74699999999757</v>
      </c>
      <c r="P27" s="71">
        <f>'FS-AD Daily '!Z31</f>
        <v>411.40000000002328</v>
      </c>
      <c r="Q27" s="71">
        <f>'FS-AD Daily '!V31</f>
        <v>110.20000000001164</v>
      </c>
      <c r="R27" s="71">
        <f>'FS-AD Daily '!W31</f>
        <v>0</v>
      </c>
      <c r="S27" s="71">
        <f t="shared" si="0"/>
        <v>301.20000000001164</v>
      </c>
      <c r="T27" s="71">
        <f>'FS-AD Daily '!AD31*3.516</f>
        <v>32839.088399999673</v>
      </c>
      <c r="U27" s="71">
        <f>('FS-AD Daily '!AF31)*1000</f>
        <v>17800</v>
      </c>
      <c r="V27" s="71">
        <f>('FS-AD Daily '!AG31)*1000</f>
        <v>6100</v>
      </c>
      <c r="W27" s="71">
        <f>'FS-AD Daily '!AH31*1000</f>
        <v>7000</v>
      </c>
      <c r="X27" s="71">
        <f>('FS-AD Daily '!AK31)*1000</f>
        <v>10600.000000005821</v>
      </c>
      <c r="Y27" s="71">
        <v>71</v>
      </c>
      <c r="Z27" s="115">
        <v>123</v>
      </c>
    </row>
    <row r="28" spans="1:26" x14ac:dyDescent="0.25">
      <c r="A28" s="114" t="s">
        <v>80</v>
      </c>
      <c r="B28" s="69">
        <f t="shared" si="1"/>
        <v>27</v>
      </c>
      <c r="C28" s="70">
        <v>12</v>
      </c>
      <c r="D28" s="69">
        <v>2020</v>
      </c>
      <c r="E28" s="71">
        <f>'FS-AD Daily '!B32</f>
        <v>5733</v>
      </c>
      <c r="F28" s="71">
        <f>'FS-AD Daily '!C32</f>
        <v>2144</v>
      </c>
      <c r="G28" s="71">
        <f>'FS-AD Daily '!D32</f>
        <v>765</v>
      </c>
      <c r="H28" s="71">
        <f>'FS-AD Daily '!E32</f>
        <v>6402</v>
      </c>
      <c r="I28" s="71">
        <f>'FS-AD Daily '!F32</f>
        <v>5223</v>
      </c>
      <c r="J28" s="71">
        <f>'FS-AD Daily '!G32</f>
        <v>2728</v>
      </c>
      <c r="K28" s="71">
        <f>'FS-AD Daily '!H32</f>
        <v>3462</v>
      </c>
      <c r="L28" s="71">
        <f>'FS-AD Daily '!I32</f>
        <v>2161</v>
      </c>
      <c r="M28" s="71">
        <f>'FS-AD Daily '!J32</f>
        <v>6457</v>
      </c>
      <c r="N28" s="71">
        <f>'FS-AD Daily '!T32</f>
        <v>136.0950000000048</v>
      </c>
      <c r="O28" s="71">
        <f>'FS-AD Daily '!R32</f>
        <v>66.571000000009462</v>
      </c>
      <c r="P28" s="71">
        <f>'FS-AD Daily '!Z32</f>
        <v>430.39999999990687</v>
      </c>
      <c r="Q28" s="71">
        <f>'FS-AD Daily '!V32</f>
        <v>129.10000000003492</v>
      </c>
      <c r="R28" s="71">
        <f>'FS-AD Daily '!W32</f>
        <v>0</v>
      </c>
      <c r="S28" s="71">
        <f t="shared" si="0"/>
        <v>301.29999999987194</v>
      </c>
      <c r="T28" s="71">
        <f>'FS-AD Daily '!AD32*3.516</f>
        <v>34376.635199999015</v>
      </c>
      <c r="U28" s="71">
        <f>('FS-AD Daily '!AF32)*1000</f>
        <v>19000</v>
      </c>
      <c r="V28" s="71">
        <f>('FS-AD Daily '!AG32)*1000</f>
        <v>6100</v>
      </c>
      <c r="W28" s="71">
        <f>'FS-AD Daily '!AH32*1000</f>
        <v>6900</v>
      </c>
      <c r="X28" s="71">
        <f>('FS-AD Daily '!AK32)*1000</f>
        <v>11399.999999994179</v>
      </c>
      <c r="Y28" s="71">
        <v>101</v>
      </c>
      <c r="Z28" s="115">
        <v>196</v>
      </c>
    </row>
    <row r="29" spans="1:26" x14ac:dyDescent="0.25">
      <c r="A29" s="114" t="s">
        <v>80</v>
      </c>
      <c r="B29" s="69">
        <f t="shared" si="1"/>
        <v>28</v>
      </c>
      <c r="C29" s="70">
        <v>12</v>
      </c>
      <c r="D29" s="69">
        <v>2020</v>
      </c>
      <c r="E29" s="71">
        <f>'FS-AD Daily '!B33</f>
        <v>5432</v>
      </c>
      <c r="F29" s="71">
        <f>'FS-AD Daily '!C33</f>
        <v>2166</v>
      </c>
      <c r="G29" s="71">
        <f>'FS-AD Daily '!D33</f>
        <v>806</v>
      </c>
      <c r="H29" s="71">
        <f>'FS-AD Daily '!E33</f>
        <v>6473</v>
      </c>
      <c r="I29" s="71">
        <f>'FS-AD Daily '!F33</f>
        <v>5292</v>
      </c>
      <c r="J29" s="71">
        <f>'FS-AD Daily '!G33</f>
        <v>2724</v>
      </c>
      <c r="K29" s="71">
        <f>'FS-AD Daily '!H33</f>
        <v>3460</v>
      </c>
      <c r="L29" s="71">
        <f>'FS-AD Daily '!I33</f>
        <v>2168</v>
      </c>
      <c r="M29" s="71">
        <f>'FS-AD Daily '!J33</f>
        <v>6461</v>
      </c>
      <c r="N29" s="71">
        <f>'FS-AD Daily '!T33</f>
        <v>134.8479999999945</v>
      </c>
      <c r="O29" s="71">
        <f>'FS-AD Daily '!R33</f>
        <v>66.759999999993397</v>
      </c>
      <c r="P29" s="71">
        <f>'FS-AD Daily '!Z33</f>
        <v>424.10000000009313</v>
      </c>
      <c r="Q29" s="71">
        <f>'FS-AD Daily '!V33</f>
        <v>122.19999999995343</v>
      </c>
      <c r="R29" s="71">
        <f>'FS-AD Daily '!W33</f>
        <v>0</v>
      </c>
      <c r="S29" s="71">
        <f t="shared" si="0"/>
        <v>301.9000000001397</v>
      </c>
      <c r="T29" s="71">
        <f>'FS-AD Daily '!AD33*3.516</f>
        <v>32425.606800000984</v>
      </c>
      <c r="U29" s="71">
        <f>('FS-AD Daily '!AF33)*1000</f>
        <v>17500</v>
      </c>
      <c r="V29" s="71">
        <f>('FS-AD Daily '!AG33)*1000</f>
        <v>6399.9999999941792</v>
      </c>
      <c r="W29" s="71">
        <f>'FS-AD Daily '!AH33*1000</f>
        <v>6700.0000000007276</v>
      </c>
      <c r="X29" s="71">
        <f>('FS-AD Daily '!AK33)*1000</f>
        <v>10900.000000001455</v>
      </c>
      <c r="Y29" s="71">
        <v>122</v>
      </c>
      <c r="Z29" s="115">
        <v>241</v>
      </c>
    </row>
    <row r="30" spans="1:26" x14ac:dyDescent="0.25">
      <c r="A30" s="114" t="s">
        <v>80</v>
      </c>
      <c r="B30" s="69">
        <f t="shared" si="1"/>
        <v>29</v>
      </c>
      <c r="C30" s="70">
        <v>12</v>
      </c>
      <c r="D30" s="69">
        <v>2020</v>
      </c>
      <c r="E30" s="71">
        <f>'FS-AD Daily '!B34</f>
        <v>4634</v>
      </c>
      <c r="F30" s="71">
        <f>'FS-AD Daily '!C34</f>
        <v>2084</v>
      </c>
      <c r="G30" s="71">
        <f>'FS-AD Daily '!D34</f>
        <v>822</v>
      </c>
      <c r="H30" s="71">
        <f>'FS-AD Daily '!E34</f>
        <v>6465</v>
      </c>
      <c r="I30" s="71">
        <f>'FS-AD Daily '!F34</f>
        <v>5374</v>
      </c>
      <c r="J30" s="71">
        <f>'FS-AD Daily '!G34</f>
        <v>2734</v>
      </c>
      <c r="K30" s="71">
        <f>'FS-AD Daily '!H34</f>
        <v>3494</v>
      </c>
      <c r="L30" s="71">
        <f>'FS-AD Daily '!I34</f>
        <v>2126</v>
      </c>
      <c r="M30" s="71">
        <f>'FS-AD Daily '!J34</f>
        <v>6906</v>
      </c>
      <c r="N30" s="71">
        <f>'FS-AD Daily '!T34</f>
        <v>141.97499999999854</v>
      </c>
      <c r="O30" s="71">
        <f>'FS-AD Daily '!R34</f>
        <v>68.086000000003423</v>
      </c>
      <c r="P30" s="71">
        <f>'FS-AD Daily '!Z34</f>
        <v>404.09999999997672</v>
      </c>
      <c r="Q30" s="71">
        <f>'FS-AD Daily '!V34</f>
        <v>127</v>
      </c>
      <c r="R30" s="71">
        <f>'FS-AD Daily '!W34</f>
        <v>0</v>
      </c>
      <c r="S30" s="71">
        <f t="shared" si="0"/>
        <v>277.09999999997672</v>
      </c>
      <c r="T30" s="71">
        <f>'FS-AD Daily '!AD34*3.516</f>
        <v>36810.058799999344</v>
      </c>
      <c r="U30" s="71">
        <f>('FS-AD Daily '!AF34)*1000</f>
        <v>19500</v>
      </c>
      <c r="V30" s="71">
        <f>('FS-AD Daily '!AG34)*1000</f>
        <v>7100.0000000058208</v>
      </c>
      <c r="W30" s="71">
        <f>'FS-AD Daily '!AH34*1000</f>
        <v>7200.0000000007276</v>
      </c>
      <c r="X30" s="71">
        <f>('FS-AD Daily '!AK34)*1000</f>
        <v>12099.999999998545</v>
      </c>
      <c r="Y30" s="71">
        <v>100</v>
      </c>
      <c r="Z30" s="115">
        <v>182</v>
      </c>
    </row>
    <row r="31" spans="1:26" x14ac:dyDescent="0.25">
      <c r="A31" s="140" t="s">
        <v>80</v>
      </c>
      <c r="B31" s="141">
        <f t="shared" si="1"/>
        <v>30</v>
      </c>
      <c r="C31" s="70">
        <v>12</v>
      </c>
      <c r="D31" s="141">
        <v>2020</v>
      </c>
      <c r="E31" s="71">
        <f>'FS-AD Daily '!B35</f>
        <v>5152</v>
      </c>
      <c r="F31" s="71">
        <f>'FS-AD Daily '!C35</f>
        <v>2190</v>
      </c>
      <c r="G31" s="71">
        <f>'FS-AD Daily '!D35</f>
        <v>851</v>
      </c>
      <c r="H31" s="71">
        <f>'FS-AD Daily '!E35</f>
        <v>6518</v>
      </c>
      <c r="I31" s="143">
        <f>'FS-AD Daily '!F35</f>
        <v>5787</v>
      </c>
      <c r="J31" s="143">
        <f>'FS-AD Daily '!G35</f>
        <v>2758</v>
      </c>
      <c r="K31" s="143">
        <f>'FS-AD Daily '!H35</f>
        <v>3685</v>
      </c>
      <c r="L31" s="143">
        <f>'FS-AD Daily '!I35</f>
        <v>2237</v>
      </c>
      <c r="M31" s="143">
        <f>'FS-AD Daily '!J35</f>
        <v>7059</v>
      </c>
      <c r="N31" s="143">
        <f>'FS-AD Daily '!T35</f>
        <v>144.82200000000012</v>
      </c>
      <c r="O31" s="143">
        <f>'FS-AD Daily '!R35</f>
        <v>70.876000000002023</v>
      </c>
      <c r="P31" s="143">
        <f>'FS-AD Daily '!Z35</f>
        <v>430.09999999997672</v>
      </c>
      <c r="Q31" s="143">
        <f>'FS-AD Daily '!V35</f>
        <v>135.5</v>
      </c>
      <c r="R31" s="143">
        <f>'FS-AD Daily '!W35</f>
        <v>0</v>
      </c>
      <c r="S31" s="143">
        <f t="shared" si="0"/>
        <v>294.59999999997672</v>
      </c>
      <c r="T31" s="143">
        <f>'FS-AD Daily '!AD35*3.516</f>
        <v>37221.782399999676</v>
      </c>
      <c r="U31" s="71">
        <f>('FS-AD Daily '!AF35)*1000</f>
        <v>19600.000000005821</v>
      </c>
      <c r="V31" s="143">
        <f>('FS-AD Daily '!AG35)*1000</f>
        <v>7000</v>
      </c>
      <c r="W31" s="143">
        <f>'FS-AD Daily '!AH35*1000</f>
        <v>7399.9999999978172</v>
      </c>
      <c r="X31" s="143">
        <f>('FS-AD Daily '!AK35)*1000</f>
        <v>12300.00000000291</v>
      </c>
      <c r="Y31" s="143">
        <v>79</v>
      </c>
      <c r="Z31" s="144">
        <v>150</v>
      </c>
    </row>
    <row r="32" spans="1:26" ht="15.75" thickBot="1" x14ac:dyDescent="0.3">
      <c r="A32" s="116" t="s">
        <v>80</v>
      </c>
      <c r="B32" s="117">
        <f t="shared" si="1"/>
        <v>31</v>
      </c>
      <c r="C32" s="118">
        <v>12</v>
      </c>
      <c r="D32" s="117">
        <v>2020</v>
      </c>
      <c r="E32" s="119">
        <f>'FS-AD Daily '!B36</f>
        <v>4796</v>
      </c>
      <c r="F32" s="119">
        <f>'FS-AD Daily '!C36</f>
        <v>2066</v>
      </c>
      <c r="G32" s="119">
        <f>'FS-AD Daily '!D36</f>
        <v>870</v>
      </c>
      <c r="H32" s="119">
        <f>'FS-AD Daily '!E36</f>
        <v>6484</v>
      </c>
      <c r="I32" s="119">
        <f>'FS-AD Daily '!F36</f>
        <v>5802</v>
      </c>
      <c r="J32" s="119">
        <f>'FS-AD Daily '!G36</f>
        <v>2899</v>
      </c>
      <c r="K32" s="119">
        <f>'FS-AD Daily '!H36</f>
        <v>3582</v>
      </c>
      <c r="L32" s="119">
        <f>'FS-AD Daily '!I36</f>
        <v>2311</v>
      </c>
      <c r="M32" s="119">
        <f>'FS-AD Daily '!J36</f>
        <v>6775</v>
      </c>
      <c r="N32" s="119">
        <f>'FS-AD Daily '!T36</f>
        <v>138.48700000000099</v>
      </c>
      <c r="O32" s="119">
        <f>'FS-AD Daily '!R36</f>
        <v>70.905000000011114</v>
      </c>
      <c r="P32" s="119">
        <f>'FS-AD Daily '!Z36</f>
        <v>479.09999999997672</v>
      </c>
      <c r="Q32" s="119">
        <f>'FS-AD Daily '!V36</f>
        <v>127.60000000003492</v>
      </c>
      <c r="R32" s="119">
        <f>'FS-AD Daily '!W36</f>
        <v>0</v>
      </c>
      <c r="S32" s="119">
        <f t="shared" ref="S32" si="2">P32-Q32-R32</f>
        <v>351.49999999994179</v>
      </c>
      <c r="T32" s="119">
        <f>'FS-AD Daily '!AD36*3.516</f>
        <v>40093.299600000326</v>
      </c>
      <c r="U32" s="119">
        <f>('FS-AD Daily '!AF36)*1000</f>
        <v>21300.00000000291</v>
      </c>
      <c r="V32" s="119">
        <f>('FS-AD Daily '!AG36)*1000</f>
        <v>7099.9999999985448</v>
      </c>
      <c r="W32" s="119">
        <f>'FS-AD Daily '!AH36*1000</f>
        <v>7500</v>
      </c>
      <c r="X32" s="119">
        <f>('FS-AD Daily '!AK36)*1000</f>
        <v>14500</v>
      </c>
      <c r="Y32" s="119">
        <v>124</v>
      </c>
      <c r="Z32" s="120">
        <v>242</v>
      </c>
    </row>
    <row r="33" spans="9:26" x14ac:dyDescent="0.25">
      <c r="I33" s="4">
        <f t="shared" ref="I33:W33" si="3">SUM(I2:I32)</f>
        <v>169777</v>
      </c>
      <c r="J33" s="4">
        <f t="shared" si="3"/>
        <v>86291</v>
      </c>
      <c r="K33" s="4">
        <f t="shared" si="3"/>
        <v>128318</v>
      </c>
      <c r="L33" s="4">
        <f t="shared" si="3"/>
        <v>70027</v>
      </c>
      <c r="M33" s="4">
        <f t="shared" si="3"/>
        <v>212759</v>
      </c>
      <c r="N33" s="4">
        <f t="shared" si="3"/>
        <v>4118.7069999999949</v>
      </c>
      <c r="O33" s="4">
        <f t="shared" si="3"/>
        <v>2229.5630000000097</v>
      </c>
      <c r="P33" s="4">
        <f t="shared" si="3"/>
        <v>12900.900000000023</v>
      </c>
      <c r="Q33" s="4">
        <f t="shared" si="3"/>
        <v>3626.4000000000233</v>
      </c>
      <c r="R33" s="4">
        <f t="shared" si="3"/>
        <v>7.1100000000005821</v>
      </c>
      <c r="S33" s="4">
        <f t="shared" si="3"/>
        <v>9267.39</v>
      </c>
      <c r="T33" s="4">
        <f t="shared" si="3"/>
        <v>1380296.8643999996</v>
      </c>
      <c r="U33" s="4">
        <f t="shared" si="3"/>
        <v>702100.00000000873</v>
      </c>
      <c r="V33" s="4">
        <f t="shared" si="3"/>
        <v>330399.99999999854</v>
      </c>
      <c r="W33" s="4">
        <f t="shared" si="3"/>
        <v>246199.99999999927</v>
      </c>
      <c r="X33" s="4">
        <f>'FS-AD Daily '!U38</f>
        <v>14810.888959999884</v>
      </c>
      <c r="Y33" s="4">
        <f>SUM(Y2:Y32)</f>
        <v>2638</v>
      </c>
      <c r="Z33" s="4">
        <f>SUM(Z2:Z32)</f>
        <v>4609</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opLeftCell="Q1" zoomScale="70" zoomScaleNormal="70" workbookViewId="0">
      <pane ySplit="5" topLeftCell="A21" activePane="bottomLeft" state="frozen"/>
      <selection pane="bottomLeft" activeCell="AF35" sqref="AF3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49" t="s">
        <v>14</v>
      </c>
      <c r="C1" s="149"/>
      <c r="D1" s="149"/>
      <c r="E1" s="149"/>
      <c r="F1" s="149"/>
      <c r="G1" s="149"/>
      <c r="H1" s="149"/>
      <c r="I1" s="149"/>
      <c r="J1" s="149"/>
      <c r="K1" s="25" t="s">
        <v>15</v>
      </c>
      <c r="L1" s="26" t="s">
        <v>16</v>
      </c>
      <c r="M1" s="27" t="s">
        <v>17</v>
      </c>
      <c r="N1" s="28" t="s">
        <v>18</v>
      </c>
      <c r="O1" s="28" t="s">
        <v>19</v>
      </c>
      <c r="P1" s="65" t="s">
        <v>20</v>
      </c>
      <c r="Q1" s="30" t="s">
        <v>21</v>
      </c>
      <c r="R1" s="31" t="s">
        <v>22</v>
      </c>
      <c r="S1" s="29" t="s">
        <v>23</v>
      </c>
      <c r="T1" s="32" t="s">
        <v>24</v>
      </c>
      <c r="U1" s="33" t="s">
        <v>25</v>
      </c>
      <c r="V1" s="32" t="s">
        <v>26</v>
      </c>
      <c r="W1" s="32" t="s">
        <v>27</v>
      </c>
      <c r="X1" s="150" t="s">
        <v>28</v>
      </c>
      <c r="Y1" s="150"/>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51" t="s">
        <v>41</v>
      </c>
      <c r="L2" s="153" t="s">
        <v>42</v>
      </c>
      <c r="M2" s="10"/>
      <c r="N2" s="10"/>
      <c r="O2" s="10"/>
      <c r="P2" s="10"/>
      <c r="Q2" s="10"/>
      <c r="R2" s="10"/>
      <c r="S2" s="155"/>
      <c r="T2" s="47"/>
      <c r="U2" s="156"/>
      <c r="V2" s="45"/>
      <c r="W2" s="45"/>
      <c r="X2" s="22">
        <v>1</v>
      </c>
      <c r="Y2" s="22">
        <v>2</v>
      </c>
      <c r="Z2" s="23"/>
      <c r="AA2" s="153" t="s">
        <v>101</v>
      </c>
      <c r="AB2" s="43"/>
      <c r="AC2" s="151" t="s">
        <v>43</v>
      </c>
      <c r="AD2" s="158"/>
      <c r="AE2" s="156" t="s">
        <v>100</v>
      </c>
      <c r="AF2" s="45"/>
      <c r="AG2" s="45"/>
      <c r="AH2" s="45"/>
      <c r="AI2" s="44"/>
      <c r="AJ2" s="44"/>
      <c r="AK2" s="44"/>
      <c r="AL2" s="44"/>
      <c r="AM2" s="156" t="s">
        <v>100</v>
      </c>
      <c r="AN2" s="159"/>
      <c r="AO2" s="157"/>
    </row>
    <row r="3" spans="1:44" ht="15" customHeight="1" x14ac:dyDescent="0.25">
      <c r="A3" s="9"/>
      <c r="B3" s="11" t="s">
        <v>44</v>
      </c>
      <c r="C3" s="11" t="s">
        <v>45</v>
      </c>
      <c r="D3" s="11" t="s">
        <v>46</v>
      </c>
      <c r="E3" s="11" t="s">
        <v>47</v>
      </c>
      <c r="F3" s="11" t="s">
        <v>48</v>
      </c>
      <c r="G3" s="11" t="s">
        <v>49</v>
      </c>
      <c r="H3" s="11" t="s">
        <v>50</v>
      </c>
      <c r="I3" s="11" t="s">
        <v>51</v>
      </c>
      <c r="J3" s="11" t="s">
        <v>52</v>
      </c>
      <c r="K3" s="152"/>
      <c r="L3" s="154"/>
      <c r="M3" s="10"/>
      <c r="N3" s="10"/>
      <c r="O3" s="10"/>
      <c r="P3" s="10"/>
      <c r="Q3" s="10"/>
      <c r="R3" s="10"/>
      <c r="S3" s="155"/>
      <c r="T3" s="47"/>
      <c r="U3" s="156"/>
      <c r="V3" s="45"/>
      <c r="W3" s="45"/>
      <c r="X3" s="11"/>
      <c r="Y3" s="11"/>
      <c r="Z3" s="12"/>
      <c r="AA3" s="153"/>
      <c r="AB3" s="43"/>
      <c r="AC3" s="151"/>
      <c r="AD3" s="158"/>
      <c r="AE3" s="156"/>
      <c r="AF3" s="45"/>
      <c r="AG3" s="45"/>
      <c r="AH3" s="45"/>
      <c r="AI3" s="13"/>
      <c r="AJ3" s="44"/>
      <c r="AK3" s="44"/>
      <c r="AL3" s="44"/>
      <c r="AM3" s="156"/>
      <c r="AN3" s="159"/>
      <c r="AO3" s="157"/>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5"/>
      <c r="T4" s="47"/>
      <c r="U4" s="156"/>
      <c r="V4" s="45"/>
      <c r="W4" s="45"/>
      <c r="X4" s="52"/>
      <c r="Y4" s="88">
        <v>737334.7</v>
      </c>
      <c r="Z4" s="12"/>
      <c r="AA4" s="153"/>
      <c r="AB4" s="88">
        <v>2005491</v>
      </c>
      <c r="AC4" s="151"/>
      <c r="AD4" s="158"/>
      <c r="AE4" s="156"/>
      <c r="AF4" s="45"/>
      <c r="AG4" s="45"/>
      <c r="AH4" s="45"/>
      <c r="AI4" s="43">
        <v>39668.699999999997</v>
      </c>
      <c r="AJ4" s="43"/>
      <c r="AK4" s="43"/>
      <c r="AL4" s="43"/>
      <c r="AM4" s="156"/>
      <c r="AN4" s="159"/>
      <c r="AO4" s="157"/>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2" t="e">
        <f>SUM(#REF!)</f>
        <v>#REF!</v>
      </c>
    </row>
    <row r="6" spans="1:44" x14ac:dyDescent="0.25">
      <c r="A6" s="80">
        <v>44166</v>
      </c>
      <c r="B6" s="86">
        <v>4766</v>
      </c>
      <c r="C6" s="86">
        <v>3368</v>
      </c>
      <c r="D6" s="86">
        <v>837</v>
      </c>
      <c r="E6" s="86">
        <v>6364</v>
      </c>
      <c r="F6" s="86">
        <v>5565</v>
      </c>
      <c r="G6" s="86">
        <v>2827</v>
      </c>
      <c r="H6" s="86">
        <v>5776</v>
      </c>
      <c r="I6" s="86">
        <v>2398</v>
      </c>
      <c r="J6" s="86">
        <v>7100</v>
      </c>
      <c r="K6" s="63">
        <f>SUM(B6:H6)</f>
        <v>29503</v>
      </c>
      <c r="L6" s="40">
        <f>K6*0.2</f>
        <v>5900.6</v>
      </c>
      <c r="M6" s="85">
        <f>51452.025-51340.685</f>
        <v>111.34000000000378</v>
      </c>
      <c r="N6" s="85">
        <f>3894.8-3894.005</f>
        <v>0.79500000000007276</v>
      </c>
      <c r="O6" s="85">
        <f>9229.887-9229.418</f>
        <v>0.46900000000096043</v>
      </c>
      <c r="P6" s="83">
        <f>75727.385-75651.219</f>
        <v>76.165999999997439</v>
      </c>
      <c r="Q6" s="85">
        <f>21750.713-21739.804</f>
        <v>10.908999999999651</v>
      </c>
      <c r="R6" s="85">
        <f t="shared" ref="R6:R34" si="0">N6+O6+P6</f>
        <v>77.429999999998472</v>
      </c>
      <c r="S6" s="85">
        <f t="shared" ref="S6:S34" si="1">(N6+O6+P6)*7.84</f>
        <v>607.05119999998806</v>
      </c>
      <c r="T6" s="64">
        <f t="shared" ref="T6:T34" si="2">M6+Q6</f>
        <v>122.24900000000343</v>
      </c>
      <c r="U6" s="85">
        <f>T6*7.84</f>
        <v>958.4321600000269</v>
      </c>
      <c r="V6" s="85">
        <v>132.80000000000001</v>
      </c>
      <c r="W6" s="85">
        <f>129290.5-129287.45</f>
        <v>3.0500000000029104</v>
      </c>
      <c r="X6" s="86" t="s">
        <v>63</v>
      </c>
      <c r="Y6" s="75">
        <v>737771.1</v>
      </c>
      <c r="Z6" s="61">
        <f>IF((Y6-Y5&lt;0), "0",Y6-Y4)</f>
        <v>436.40000000002328</v>
      </c>
      <c r="AA6" s="91">
        <f>Z6*6.47</f>
        <v>2823.5080000001503</v>
      </c>
      <c r="AB6" s="75">
        <v>2021714</v>
      </c>
      <c r="AC6" s="75">
        <f>AB4</f>
        <v>2005491</v>
      </c>
      <c r="AD6" s="41">
        <f t="shared" ref="AD6:AD36" si="3">IF((AB6-AC6&lt;0), "0",AB6-AC6)</f>
        <v>16223</v>
      </c>
      <c r="AE6" s="85">
        <f>AD6*0.333415</f>
        <v>5408.9915449999999</v>
      </c>
      <c r="AF6" s="85">
        <v>26.7</v>
      </c>
      <c r="AG6" s="85">
        <v>19.8</v>
      </c>
      <c r="AH6" s="85">
        <v>8.4</v>
      </c>
      <c r="AI6" s="75">
        <f>AI4</f>
        <v>39668.699999999997</v>
      </c>
      <c r="AJ6" s="86">
        <v>39685.599999999999</v>
      </c>
      <c r="AK6" s="59">
        <f>IF((AJ6-AI6)&lt;0, "0",AJ6-AI6)</f>
        <v>16.900000000001455</v>
      </c>
      <c r="AL6" s="139">
        <f t="shared" ref="AL6:AL34" si="4">AK6*(284.34513609)</f>
        <v>4805.4327999214138</v>
      </c>
      <c r="AM6" s="85">
        <f>AL6*0.333415</f>
        <v>1602.2033769857983</v>
      </c>
      <c r="AN6" s="112">
        <v>71</v>
      </c>
      <c r="AO6" s="77">
        <f t="shared" ref="AO6:AO34" si="5">L6+U6+AA6+AE6</f>
        <v>15091.531705000176</v>
      </c>
    </row>
    <row r="7" spans="1:44" x14ac:dyDescent="0.25">
      <c r="A7" s="79">
        <v>44167</v>
      </c>
      <c r="B7" s="87">
        <v>5123</v>
      </c>
      <c r="C7" s="87">
        <v>3055</v>
      </c>
      <c r="D7" s="87">
        <v>824</v>
      </c>
      <c r="E7" s="87">
        <v>6558</v>
      </c>
      <c r="F7" s="87">
        <v>5424</v>
      </c>
      <c r="G7" s="87">
        <v>2874</v>
      </c>
      <c r="H7" s="87">
        <v>5471</v>
      </c>
      <c r="I7" s="87">
        <v>2300</v>
      </c>
      <c r="J7" s="87">
        <v>6903</v>
      </c>
      <c r="K7" s="87">
        <f>SUM(B7:H7)</f>
        <v>29329</v>
      </c>
      <c r="L7" s="14">
        <f>K7*0.2</f>
        <v>5865.8</v>
      </c>
      <c r="M7" s="84">
        <f>51575.391-51452.025</f>
        <v>123.3660000000018</v>
      </c>
      <c r="N7" s="84">
        <f>3896.317-3894.8</f>
        <v>1.5169999999998254</v>
      </c>
      <c r="O7" s="84">
        <f>9230.359-9229.887</f>
        <v>0.47199999999975262</v>
      </c>
      <c r="P7" s="82">
        <f>75800.569-75727.385</f>
        <v>73.184000000008382</v>
      </c>
      <c r="Q7" s="84">
        <f>21761.571-21750.713</f>
        <v>10.858000000000175</v>
      </c>
      <c r="R7" s="84">
        <f t="shared" si="0"/>
        <v>75.17300000000796</v>
      </c>
      <c r="S7" s="84">
        <f>(N7+O7+P7)*7.84</f>
        <v>589.3563200000624</v>
      </c>
      <c r="T7" s="84">
        <f>M7+Q7</f>
        <v>134.22400000000198</v>
      </c>
      <c r="U7" s="84">
        <f>T7*7.84</f>
        <v>1052.3161600000155</v>
      </c>
      <c r="V7" s="84">
        <v>124.5</v>
      </c>
      <c r="W7" s="84">
        <f>129290.5-129290.5</f>
        <v>0</v>
      </c>
      <c r="X7" s="87" t="s">
        <v>63</v>
      </c>
      <c r="Y7" s="88">
        <v>738209.4</v>
      </c>
      <c r="Z7" s="5">
        <f>IF((Y7-Y6&lt;0), "0",Y7-Y6)</f>
        <v>438.30000000004657</v>
      </c>
      <c r="AA7" s="14">
        <f t="shared" ref="AA7:AA34" si="6">Z7*6.47</f>
        <v>2835.801000000301</v>
      </c>
      <c r="AB7" s="88">
        <v>2037370</v>
      </c>
      <c r="AC7" s="88">
        <f>AB6</f>
        <v>2021714</v>
      </c>
      <c r="AD7" s="5">
        <f t="shared" si="3"/>
        <v>15656</v>
      </c>
      <c r="AE7" s="84">
        <f>AD7*0.333415</f>
        <v>5219.94524</v>
      </c>
      <c r="AF7" s="84">
        <v>25.7</v>
      </c>
      <c r="AG7" s="84">
        <v>17.5</v>
      </c>
      <c r="AH7" s="84">
        <v>8.5</v>
      </c>
      <c r="AI7" s="88">
        <f>AJ6</f>
        <v>39685.599999999999</v>
      </c>
      <c r="AJ7" s="87">
        <v>39702.1</v>
      </c>
      <c r="AK7" s="48">
        <f t="shared" ref="AK7:AK34" si="7">IF((AJ7-AI7)&lt;0, "0",AJ7-AI7)</f>
        <v>16.5</v>
      </c>
      <c r="AL7" s="90">
        <f t="shared" si="4"/>
        <v>4691.6947454849997</v>
      </c>
      <c r="AM7" s="84">
        <f>AL7*0.333415</f>
        <v>1564.2814035658812</v>
      </c>
      <c r="AN7" s="71">
        <v>116</v>
      </c>
      <c r="AO7" s="78">
        <f t="shared" si="5"/>
        <v>14973.862400000318</v>
      </c>
    </row>
    <row r="8" spans="1:44" x14ac:dyDescent="0.25">
      <c r="A8" s="79">
        <v>44168</v>
      </c>
      <c r="B8" s="87">
        <v>4692</v>
      </c>
      <c r="C8" s="87">
        <v>3438</v>
      </c>
      <c r="D8" s="87">
        <v>837</v>
      </c>
      <c r="E8" s="87">
        <v>6771</v>
      </c>
      <c r="F8" s="87">
        <v>5516</v>
      </c>
      <c r="G8" s="87">
        <v>3116</v>
      </c>
      <c r="H8" s="87">
        <v>6187</v>
      </c>
      <c r="I8" s="87">
        <v>2332</v>
      </c>
      <c r="J8" s="87">
        <v>7120</v>
      </c>
      <c r="K8" s="87">
        <f>SUM(B8:H8)</f>
        <v>30557</v>
      </c>
      <c r="L8" s="14">
        <f t="shared" ref="L8:L34" si="8">K8*0.2</f>
        <v>6111.4000000000005</v>
      </c>
      <c r="M8" s="84">
        <f>51710.055-51575.391</f>
        <v>134.66399999999703</v>
      </c>
      <c r="N8" s="84">
        <f>3897.961-3896.317</f>
        <v>1.6439999999997781</v>
      </c>
      <c r="O8" s="84">
        <f>9230.807-9230.359</f>
        <v>0.44800000000032014</v>
      </c>
      <c r="P8" s="82">
        <f>75872.773-75800.569</f>
        <v>72.203999999997905</v>
      </c>
      <c r="Q8" s="84">
        <f>21773.038-21761.571</f>
        <v>11.467000000000553</v>
      </c>
      <c r="R8" s="84">
        <f t="shared" si="0"/>
        <v>74.295999999998003</v>
      </c>
      <c r="S8" s="84">
        <f>(N8+O8+P8)*7.84</f>
        <v>582.48063999998431</v>
      </c>
      <c r="T8" s="84">
        <f>M8+Q8</f>
        <v>146.13099999999758</v>
      </c>
      <c r="U8" s="84">
        <f>T8*7.84</f>
        <v>1145.6670399999809</v>
      </c>
      <c r="V8" s="84">
        <v>121.2</v>
      </c>
      <c r="W8" s="84">
        <f t="shared" ref="W8:W26" si="9">129290.5-129290.5</f>
        <v>0</v>
      </c>
      <c r="X8" s="87" t="s">
        <v>63</v>
      </c>
      <c r="Y8" s="87">
        <v>738672.4</v>
      </c>
      <c r="Z8" s="5">
        <f t="shared" ref="Z8:Z34" si="10">IF((Y8-Y7&lt;0), "0",Y8-Y7)</f>
        <v>463</v>
      </c>
      <c r="AA8" s="14">
        <f t="shared" si="6"/>
        <v>2995.6099999999997</v>
      </c>
      <c r="AB8" s="88">
        <v>2055630</v>
      </c>
      <c r="AC8" s="88">
        <f>AB7</f>
        <v>2037370</v>
      </c>
      <c r="AD8" s="5">
        <f t="shared" si="3"/>
        <v>18260</v>
      </c>
      <c r="AE8" s="84">
        <f t="shared" ref="AE8:AE36" si="11">AD8*0.333415</f>
        <v>6088.1579000000002</v>
      </c>
      <c r="AF8" s="84">
        <v>29.8</v>
      </c>
      <c r="AG8" s="84">
        <v>20.9</v>
      </c>
      <c r="AH8" s="84">
        <v>8.9</v>
      </c>
      <c r="AI8" s="88">
        <f>AJ7</f>
        <v>39702.1</v>
      </c>
      <c r="AJ8" s="87">
        <v>39721.4</v>
      </c>
      <c r="AK8" s="48">
        <f t="shared" si="7"/>
        <v>19.30000000000291</v>
      </c>
      <c r="AL8" s="90">
        <f t="shared" si="4"/>
        <v>5487.8611265378277</v>
      </c>
      <c r="AM8" s="84">
        <f t="shared" ref="AM8:AM34" si="12">AL8*0.333415</f>
        <v>1829.7352175046099</v>
      </c>
      <c r="AN8" s="71">
        <v>122</v>
      </c>
      <c r="AO8" s="78">
        <f t="shared" si="5"/>
        <v>16340.834939999981</v>
      </c>
    </row>
    <row r="9" spans="1:44" x14ac:dyDescent="0.25">
      <c r="A9" s="79">
        <v>44169</v>
      </c>
      <c r="B9" s="87">
        <v>5046</v>
      </c>
      <c r="C9" s="87">
        <v>3415</v>
      </c>
      <c r="D9" s="87">
        <v>864</v>
      </c>
      <c r="E9" s="87">
        <v>6882</v>
      </c>
      <c r="F9" s="87">
        <v>5615</v>
      </c>
      <c r="G9" s="87">
        <v>3053</v>
      </c>
      <c r="H9" s="87">
        <v>6267</v>
      </c>
      <c r="I9" s="87">
        <v>2271</v>
      </c>
      <c r="J9" s="87">
        <v>7066</v>
      </c>
      <c r="K9" s="87">
        <f t="shared" ref="K9:K34" si="13">SUM(B9:H9)</f>
        <v>31142</v>
      </c>
      <c r="L9" s="14">
        <f t="shared" si="8"/>
        <v>6228.4000000000005</v>
      </c>
      <c r="M9" s="84">
        <f>51845.853-51710.055</f>
        <v>135.7980000000025</v>
      </c>
      <c r="N9" s="84">
        <f>3899.193-3897.961</f>
        <v>1.2320000000004256</v>
      </c>
      <c r="O9" s="84">
        <f>9231.389-9230.807</f>
        <v>0.5819999999985157</v>
      </c>
      <c r="P9" s="82">
        <f>75951.278-75872.773</f>
        <v>78.505000000004657</v>
      </c>
      <c r="Q9" s="84">
        <f>21782.071-21773.038</f>
        <v>9.032999999999447</v>
      </c>
      <c r="R9" s="84">
        <f t="shared" si="0"/>
        <v>80.319000000003598</v>
      </c>
      <c r="S9" s="84">
        <f t="shared" si="1"/>
        <v>629.7009600000282</v>
      </c>
      <c r="T9" s="84">
        <f t="shared" si="2"/>
        <v>144.83100000000195</v>
      </c>
      <c r="U9" s="84">
        <f t="shared" ref="U9:U37" si="14">T9*7.84</f>
        <v>1135.4750400000153</v>
      </c>
      <c r="V9" s="84">
        <v>124</v>
      </c>
      <c r="W9" s="84">
        <f t="shared" si="9"/>
        <v>0</v>
      </c>
      <c r="X9" s="87" t="s">
        <v>63</v>
      </c>
      <c r="Y9" s="87">
        <v>739122.2</v>
      </c>
      <c r="Z9" s="5">
        <f t="shared" si="10"/>
        <v>449.79999999993015</v>
      </c>
      <c r="AA9" s="14">
        <f t="shared" si="6"/>
        <v>2910.2059999995481</v>
      </c>
      <c r="AB9" s="88">
        <v>2076950</v>
      </c>
      <c r="AC9" s="88">
        <f t="shared" ref="AC9:AC35" si="15">AB8</f>
        <v>2055630</v>
      </c>
      <c r="AD9" s="5">
        <f t="shared" si="3"/>
        <v>21320</v>
      </c>
      <c r="AE9" s="84">
        <f t="shared" si="11"/>
        <v>7108.4078</v>
      </c>
      <c r="AF9" s="84">
        <v>38</v>
      </c>
      <c r="AG9" s="84">
        <v>22.4</v>
      </c>
      <c r="AH9" s="84">
        <v>9.3000000000000007</v>
      </c>
      <c r="AI9" s="88">
        <f t="shared" ref="AI9:AI36" si="16">AJ8</f>
        <v>39721.4</v>
      </c>
      <c r="AJ9" s="87">
        <v>39742.5</v>
      </c>
      <c r="AK9" s="48">
        <f t="shared" si="7"/>
        <v>21.099999999998545</v>
      </c>
      <c r="AL9" s="90">
        <f t="shared" si="4"/>
        <v>5999.6823714985858</v>
      </c>
      <c r="AM9" s="84">
        <f t="shared" si="12"/>
        <v>2000.384097893201</v>
      </c>
      <c r="AN9" s="71">
        <v>69</v>
      </c>
      <c r="AO9" s="78">
        <f t="shared" si="5"/>
        <v>17382.488839999565</v>
      </c>
    </row>
    <row r="10" spans="1:44" x14ac:dyDescent="0.25">
      <c r="A10" s="79">
        <v>44170</v>
      </c>
      <c r="B10" s="87">
        <v>4831</v>
      </c>
      <c r="C10" s="87">
        <v>3025</v>
      </c>
      <c r="D10" s="87">
        <v>842</v>
      </c>
      <c r="E10" s="87">
        <v>6526</v>
      </c>
      <c r="F10" s="87">
        <v>5508</v>
      </c>
      <c r="G10" s="87">
        <v>2980</v>
      </c>
      <c r="H10" s="87">
        <v>6412</v>
      </c>
      <c r="I10" s="87">
        <v>2335</v>
      </c>
      <c r="J10" s="87">
        <v>6913</v>
      </c>
      <c r="K10" s="87">
        <f t="shared" si="13"/>
        <v>30124</v>
      </c>
      <c r="L10" s="14">
        <f t="shared" si="8"/>
        <v>6024.8</v>
      </c>
      <c r="M10" s="84">
        <f>51952.466-51845.853</f>
        <v>106.61299999999756</v>
      </c>
      <c r="N10" s="84">
        <f>3901.351-3899.193</f>
        <v>2.1579999999999018</v>
      </c>
      <c r="O10" s="84">
        <f>9231.995-9231.389</f>
        <v>0.60600000000158616</v>
      </c>
      <c r="P10" s="82">
        <f>76020.458-75951.278</f>
        <v>69.179999999993015</v>
      </c>
      <c r="Q10" s="84">
        <f>21793.47-21782.071</f>
        <v>11.399000000001251</v>
      </c>
      <c r="R10" s="84">
        <f t="shared" si="0"/>
        <v>71.943999999994503</v>
      </c>
      <c r="S10" s="84">
        <f t="shared" si="1"/>
        <v>564.04095999995684</v>
      </c>
      <c r="T10" s="84">
        <f t="shared" si="2"/>
        <v>118.01199999999881</v>
      </c>
      <c r="U10" s="84">
        <f t="shared" si="14"/>
        <v>925.21407999999064</v>
      </c>
      <c r="V10" s="84">
        <f>312681.3-312566.4</f>
        <v>114.89999999996508</v>
      </c>
      <c r="W10" s="84">
        <f t="shared" si="9"/>
        <v>0</v>
      </c>
      <c r="X10" s="87" t="s">
        <v>63</v>
      </c>
      <c r="Y10" s="88">
        <v>739516.1</v>
      </c>
      <c r="Z10" s="5">
        <f t="shared" si="10"/>
        <v>393.90000000002328</v>
      </c>
      <c r="AA10" s="14">
        <f t="shared" si="6"/>
        <v>2548.5330000001504</v>
      </c>
      <c r="AB10" s="88">
        <v>2096849</v>
      </c>
      <c r="AC10" s="88">
        <f t="shared" si="15"/>
        <v>2076950</v>
      </c>
      <c r="AD10" s="5">
        <f t="shared" si="3"/>
        <v>19899</v>
      </c>
      <c r="AE10" s="84">
        <f t="shared" si="11"/>
        <v>6634.6250850000006</v>
      </c>
      <c r="AF10" s="84">
        <v>33.700000000000003</v>
      </c>
      <c r="AG10" s="84">
        <v>22.3</v>
      </c>
      <c r="AH10" s="84">
        <v>9.4</v>
      </c>
      <c r="AI10" s="88">
        <f t="shared" si="16"/>
        <v>39742.5</v>
      </c>
      <c r="AJ10" s="87">
        <v>39761.5</v>
      </c>
      <c r="AK10" s="48">
        <f t="shared" si="7"/>
        <v>19</v>
      </c>
      <c r="AL10" s="90">
        <f t="shared" si="4"/>
        <v>5402.5575857099993</v>
      </c>
      <c r="AM10" s="84">
        <f t="shared" si="12"/>
        <v>1801.2937374394994</v>
      </c>
      <c r="AN10" s="71">
        <v>57</v>
      </c>
      <c r="AO10" s="78">
        <f t="shared" si="5"/>
        <v>16133.172165000142</v>
      </c>
    </row>
    <row r="11" spans="1:44" x14ac:dyDescent="0.25">
      <c r="A11" s="79">
        <v>44171</v>
      </c>
      <c r="B11" s="87">
        <v>4429</v>
      </c>
      <c r="C11" s="87">
        <v>2913</v>
      </c>
      <c r="D11" s="87">
        <v>831</v>
      </c>
      <c r="E11" s="87">
        <v>6409</v>
      </c>
      <c r="F11" s="87">
        <v>5351</v>
      </c>
      <c r="G11" s="87">
        <v>2726</v>
      </c>
      <c r="H11" s="87">
        <v>6055</v>
      </c>
      <c r="I11" s="87">
        <v>2421</v>
      </c>
      <c r="J11" s="87">
        <v>6868</v>
      </c>
      <c r="K11" s="87">
        <f t="shared" si="13"/>
        <v>28714</v>
      </c>
      <c r="L11" s="14">
        <f t="shared" si="8"/>
        <v>5742.8</v>
      </c>
      <c r="M11" s="84">
        <f>52058.872-51952.466</f>
        <v>106.40600000000268</v>
      </c>
      <c r="N11" s="84">
        <f>3902.801-3901.351</f>
        <v>1.4499999999998181</v>
      </c>
      <c r="O11" s="84">
        <f>9232.693-9231.995</f>
        <v>0.69799999999850115</v>
      </c>
      <c r="P11" s="82">
        <f>76087.631-76020.458</f>
        <v>67.172999999995227</v>
      </c>
      <c r="Q11" s="84">
        <f>21804.188-21793.47</f>
        <v>10.717999999997119</v>
      </c>
      <c r="R11" s="84">
        <f t="shared" si="0"/>
        <v>69.320999999993546</v>
      </c>
      <c r="S11" s="84">
        <f t="shared" si="1"/>
        <v>543.47663999994938</v>
      </c>
      <c r="T11" s="84">
        <f t="shared" si="2"/>
        <v>117.1239999999998</v>
      </c>
      <c r="U11" s="84">
        <f t="shared" si="14"/>
        <v>918.25215999999841</v>
      </c>
      <c r="V11" s="84">
        <f>312800-312681.3</f>
        <v>118.70000000001164</v>
      </c>
      <c r="W11" s="84">
        <f t="shared" si="9"/>
        <v>0</v>
      </c>
      <c r="X11" s="87" t="s">
        <v>63</v>
      </c>
      <c r="Y11" s="88">
        <v>739914</v>
      </c>
      <c r="Z11" s="5">
        <f t="shared" si="10"/>
        <v>397.90000000002328</v>
      </c>
      <c r="AA11" s="14">
        <f t="shared" si="6"/>
        <v>2574.4130000001505</v>
      </c>
      <c r="AB11" s="88">
        <v>2114420</v>
      </c>
      <c r="AC11" s="88">
        <f t="shared" si="15"/>
        <v>2096849</v>
      </c>
      <c r="AD11" s="5">
        <f t="shared" si="3"/>
        <v>17571</v>
      </c>
      <c r="AE11" s="84">
        <f t="shared" si="11"/>
        <v>5858.4349650000004</v>
      </c>
      <c r="AF11" s="84">
        <v>27.9</v>
      </c>
      <c r="AG11" s="84">
        <v>20.100000000000001</v>
      </c>
      <c r="AH11" s="84">
        <v>9.3000000000000007</v>
      </c>
      <c r="AI11" s="88">
        <f t="shared" si="16"/>
        <v>39761.5</v>
      </c>
      <c r="AJ11" s="87">
        <v>39779.699999999997</v>
      </c>
      <c r="AK11" s="48">
        <f t="shared" si="7"/>
        <v>18.19999999999709</v>
      </c>
      <c r="AL11" s="90">
        <f t="shared" si="4"/>
        <v>5175.081476837172</v>
      </c>
      <c r="AM11" s="84">
        <f t="shared" si="12"/>
        <v>1725.4497905996657</v>
      </c>
      <c r="AN11" s="71">
        <v>67</v>
      </c>
      <c r="AO11" s="78">
        <f t="shared" si="5"/>
        <v>15093.900125000149</v>
      </c>
    </row>
    <row r="12" spans="1:44" x14ac:dyDescent="0.25">
      <c r="A12" s="79">
        <v>44172</v>
      </c>
      <c r="B12" s="87">
        <v>5046</v>
      </c>
      <c r="C12" s="87">
        <v>3146</v>
      </c>
      <c r="D12" s="87">
        <v>859</v>
      </c>
      <c r="E12" s="87">
        <v>6552</v>
      </c>
      <c r="F12" s="87">
        <v>5396</v>
      </c>
      <c r="G12" s="87">
        <v>2824</v>
      </c>
      <c r="H12" s="87">
        <v>5913</v>
      </c>
      <c r="I12" s="87">
        <v>2436</v>
      </c>
      <c r="J12" s="87">
        <v>6874</v>
      </c>
      <c r="K12" s="87">
        <f t="shared" si="13"/>
        <v>29736</v>
      </c>
      <c r="L12" s="14">
        <f t="shared" si="8"/>
        <v>5947.2000000000007</v>
      </c>
      <c r="M12" s="84">
        <f>52158.117-52058.872</f>
        <v>99.244999999995343</v>
      </c>
      <c r="N12" s="84">
        <f>3904.108-3902.801</f>
        <v>1.3070000000002437</v>
      </c>
      <c r="O12" s="84">
        <f>9233.192-9232.693</f>
        <v>0.49899999999979627</v>
      </c>
      <c r="P12" s="82">
        <f>76148.257-76087.631</f>
        <v>60.626000000003842</v>
      </c>
      <c r="Q12" s="84">
        <f>21815.02-21804.188</f>
        <v>10.832000000002154</v>
      </c>
      <c r="R12" s="84">
        <f t="shared" si="0"/>
        <v>62.432000000003882</v>
      </c>
      <c r="S12" s="84">
        <f t="shared" si="1"/>
        <v>489.46688000003041</v>
      </c>
      <c r="T12" s="84">
        <f t="shared" si="2"/>
        <v>110.0769999999975</v>
      </c>
      <c r="U12" s="84">
        <f t="shared" si="14"/>
        <v>863.00367999998036</v>
      </c>
      <c r="V12" s="84">
        <f>312915.7-312800</f>
        <v>115.70000000001164</v>
      </c>
      <c r="W12" s="84">
        <f t="shared" si="9"/>
        <v>0</v>
      </c>
      <c r="X12" s="87" t="s">
        <v>63</v>
      </c>
      <c r="Y12" s="88">
        <v>740309.4</v>
      </c>
      <c r="Z12" s="5">
        <f t="shared" si="10"/>
        <v>395.40000000002328</v>
      </c>
      <c r="AA12" s="14">
        <f t="shared" si="6"/>
        <v>2558.2380000001504</v>
      </c>
      <c r="AB12" s="88">
        <v>2130375</v>
      </c>
      <c r="AC12" s="88">
        <f t="shared" si="15"/>
        <v>2114420</v>
      </c>
      <c r="AD12" s="5">
        <f t="shared" si="3"/>
        <v>15955</v>
      </c>
      <c r="AE12" s="84">
        <f t="shared" si="11"/>
        <v>5319.6363250000004</v>
      </c>
      <c r="AF12" s="84">
        <v>27.1</v>
      </c>
      <c r="AG12" s="84">
        <v>17.600000000000001</v>
      </c>
      <c r="AH12" s="84">
        <v>9</v>
      </c>
      <c r="AI12" s="88">
        <f t="shared" si="16"/>
        <v>39779.699999999997</v>
      </c>
      <c r="AJ12" s="87">
        <v>39795.599999999999</v>
      </c>
      <c r="AK12" s="48">
        <f t="shared" si="7"/>
        <v>15.900000000001455</v>
      </c>
      <c r="AL12" s="90">
        <f t="shared" si="4"/>
        <v>4521.0876638314139</v>
      </c>
      <c r="AM12" s="84">
        <f t="shared" si="12"/>
        <v>1507.398443436351</v>
      </c>
      <c r="AN12" s="71">
        <v>61</v>
      </c>
      <c r="AO12" s="78">
        <f t="shared" si="5"/>
        <v>14688.07800500013</v>
      </c>
    </row>
    <row r="13" spans="1:44" x14ac:dyDescent="0.25">
      <c r="A13" s="79">
        <v>44173</v>
      </c>
      <c r="B13" s="87">
        <v>5477</v>
      </c>
      <c r="C13" s="87">
        <v>2979</v>
      </c>
      <c r="D13" s="87">
        <v>878</v>
      </c>
      <c r="E13" s="87">
        <v>6478</v>
      </c>
      <c r="F13" s="87">
        <v>5454</v>
      </c>
      <c r="G13" s="87">
        <v>2778</v>
      </c>
      <c r="H13" s="87">
        <v>4935</v>
      </c>
      <c r="I13" s="87">
        <v>2432</v>
      </c>
      <c r="J13" s="87">
        <v>6993</v>
      </c>
      <c r="K13" s="87">
        <f t="shared" si="13"/>
        <v>28979</v>
      </c>
      <c r="L13" s="14">
        <f t="shared" si="8"/>
        <v>5795.8</v>
      </c>
      <c r="M13" s="84">
        <f>52286.715-52158.117</f>
        <v>128.59799999999814</v>
      </c>
      <c r="N13" s="84">
        <f>3905.099-3904.108</f>
        <v>0.99099999999998545</v>
      </c>
      <c r="O13" s="84">
        <f>9233.787-9233.192</f>
        <v>0.59500000000116415</v>
      </c>
      <c r="P13" s="82">
        <f>76215.213-76148.357</f>
        <v>66.855999999999767</v>
      </c>
      <c r="Q13" s="84">
        <f>21826.618-21815.02</f>
        <v>11.597999999998137</v>
      </c>
      <c r="R13" s="84">
        <f t="shared" si="0"/>
        <v>68.442000000000917</v>
      </c>
      <c r="S13" s="84">
        <f t="shared" si="1"/>
        <v>536.58528000000717</v>
      </c>
      <c r="T13" s="84">
        <f t="shared" si="2"/>
        <v>140.19599999999627</v>
      </c>
      <c r="U13" s="84">
        <f t="shared" si="14"/>
        <v>1099.1366399999708</v>
      </c>
      <c r="V13" s="84">
        <f>313040.1-312915.7</f>
        <v>124.39999999996508</v>
      </c>
      <c r="W13" s="84">
        <f t="shared" si="9"/>
        <v>0</v>
      </c>
      <c r="X13" s="87" t="s">
        <v>63</v>
      </c>
      <c r="Y13" s="88">
        <v>740730.5</v>
      </c>
      <c r="Z13" s="5">
        <f t="shared" si="10"/>
        <v>421.09999999997672</v>
      </c>
      <c r="AA13" s="14">
        <f t="shared" si="6"/>
        <v>2724.5169999998493</v>
      </c>
      <c r="AB13" s="88">
        <v>2144164.7999999998</v>
      </c>
      <c r="AC13" s="88">
        <f t="shared" si="15"/>
        <v>2130375</v>
      </c>
      <c r="AD13" s="5">
        <f t="shared" si="3"/>
        <v>13789.799999999814</v>
      </c>
      <c r="AE13" s="84">
        <f t="shared" si="11"/>
        <v>4597.726166999938</v>
      </c>
      <c r="AF13" s="84">
        <v>24</v>
      </c>
      <c r="AG13" s="84">
        <v>14</v>
      </c>
      <c r="AH13" s="84">
        <v>8.4</v>
      </c>
      <c r="AI13" s="88">
        <f t="shared" si="16"/>
        <v>39795.599999999999</v>
      </c>
      <c r="AJ13" s="87">
        <v>39810</v>
      </c>
      <c r="AK13" s="48">
        <f t="shared" si="7"/>
        <v>14.400000000001455</v>
      </c>
      <c r="AL13" s="90">
        <f t="shared" si="4"/>
        <v>4094.5699596964137</v>
      </c>
      <c r="AM13" s="84">
        <f t="shared" si="12"/>
        <v>1365.1910431121798</v>
      </c>
      <c r="AN13" s="71">
        <v>69</v>
      </c>
      <c r="AO13" s="78">
        <f t="shared" si="5"/>
        <v>14217.179806999757</v>
      </c>
    </row>
    <row r="14" spans="1:44" x14ac:dyDescent="0.25">
      <c r="A14" s="79">
        <v>44174</v>
      </c>
      <c r="B14" s="87">
        <v>6571</v>
      </c>
      <c r="C14" s="87">
        <v>2783</v>
      </c>
      <c r="D14" s="87">
        <v>818</v>
      </c>
      <c r="E14" s="87">
        <v>6522</v>
      </c>
      <c r="F14" s="87">
        <v>5240</v>
      </c>
      <c r="G14" s="87">
        <v>2670</v>
      </c>
      <c r="H14" s="87">
        <v>3609</v>
      </c>
      <c r="I14" s="87">
        <v>2321</v>
      </c>
      <c r="J14" s="87">
        <v>6929</v>
      </c>
      <c r="K14" s="87">
        <f t="shared" si="13"/>
        <v>28213</v>
      </c>
      <c r="L14" s="14">
        <f t="shared" si="8"/>
        <v>5642.6</v>
      </c>
      <c r="M14" s="84">
        <f>52401.092-52286.725</f>
        <v>114.36699999999837</v>
      </c>
      <c r="N14" s="84">
        <f>3906.454-3905.099</f>
        <v>1.3550000000000182</v>
      </c>
      <c r="O14" s="84">
        <f>9234.311-9233.787</f>
        <v>0.52399999999943248</v>
      </c>
      <c r="P14" s="82">
        <f>76284.401-76215.213</f>
        <v>69.187999999994645</v>
      </c>
      <c r="Q14" s="84">
        <f>21837.319-21826.618</f>
        <v>10.701000000000931</v>
      </c>
      <c r="R14" s="84">
        <f>N14+O14+P14</f>
        <v>71.066999999994096</v>
      </c>
      <c r="S14" s="84">
        <f t="shared" si="1"/>
        <v>557.16527999995367</v>
      </c>
      <c r="T14" s="84">
        <f t="shared" si="2"/>
        <v>125.0679999999993</v>
      </c>
      <c r="U14" s="84">
        <f t="shared" si="14"/>
        <v>980.53311999999448</v>
      </c>
      <c r="V14" s="84">
        <f>313154.8-313040.1</f>
        <v>114.70000000001164</v>
      </c>
      <c r="W14" s="84">
        <f t="shared" si="9"/>
        <v>0</v>
      </c>
      <c r="X14" s="87" t="s">
        <v>63</v>
      </c>
      <c r="Y14" s="88">
        <v>741113</v>
      </c>
      <c r="Z14" s="5">
        <f>IF((Y14-Y13&lt;0), "0",Y14-Y13)</f>
        <v>382.5</v>
      </c>
      <c r="AA14" s="14">
        <f t="shared" si="6"/>
        <v>2474.7750000000001</v>
      </c>
      <c r="AB14" s="88">
        <v>2156177.4</v>
      </c>
      <c r="AC14" s="88">
        <f t="shared" si="15"/>
        <v>2144164.7999999998</v>
      </c>
      <c r="AD14" s="5">
        <f t="shared" si="3"/>
        <v>12012.600000000093</v>
      </c>
      <c r="AE14" s="84">
        <f t="shared" si="11"/>
        <v>4005.1810290000312</v>
      </c>
      <c r="AF14" s="84">
        <v>21.8</v>
      </c>
      <c r="AG14" s="84">
        <v>9.9</v>
      </c>
      <c r="AH14" s="84">
        <v>7.7</v>
      </c>
      <c r="AI14" s="88">
        <f t="shared" si="16"/>
        <v>39810</v>
      </c>
      <c r="AJ14" s="87">
        <v>39823.9</v>
      </c>
      <c r="AK14" s="48">
        <f t="shared" si="7"/>
        <v>13.900000000001455</v>
      </c>
      <c r="AL14" s="90">
        <f t="shared" si="4"/>
        <v>3952.3973916514137</v>
      </c>
      <c r="AM14" s="84">
        <f t="shared" si="12"/>
        <v>1317.7885763374561</v>
      </c>
      <c r="AN14" s="71">
        <v>80</v>
      </c>
      <c r="AO14" s="78">
        <f t="shared" si="5"/>
        <v>13103.089149000025</v>
      </c>
    </row>
    <row r="15" spans="1:44" x14ac:dyDescent="0.25">
      <c r="A15" s="79">
        <v>44175</v>
      </c>
      <c r="B15" s="87">
        <v>6908</v>
      </c>
      <c r="C15" s="87">
        <v>2491</v>
      </c>
      <c r="D15" s="87">
        <v>865</v>
      </c>
      <c r="E15" s="87">
        <v>6850</v>
      </c>
      <c r="F15" s="87">
        <v>5607</v>
      </c>
      <c r="G15" s="87">
        <v>2767</v>
      </c>
      <c r="H15" s="87">
        <v>3020</v>
      </c>
      <c r="I15" s="87">
        <v>2404</v>
      </c>
      <c r="J15" s="87">
        <v>7201</v>
      </c>
      <c r="K15" s="87">
        <f t="shared" si="13"/>
        <v>28508</v>
      </c>
      <c r="L15" s="14">
        <f t="shared" si="8"/>
        <v>5701.6</v>
      </c>
      <c r="M15" s="84">
        <f>52541.676-52401.092</f>
        <v>140.58400000000256</v>
      </c>
      <c r="N15" s="84">
        <f>3907.315-3906.754</f>
        <v>0.56100000000014916</v>
      </c>
      <c r="O15" s="84">
        <f>9234.877-9234.311</f>
        <v>0.56600000000071304</v>
      </c>
      <c r="P15" s="82">
        <f>76356.751-76284.401</f>
        <v>72.350000000005821</v>
      </c>
      <c r="Q15" s="84">
        <f>21848.361-21837.319</f>
        <v>11.042000000001281</v>
      </c>
      <c r="R15" s="84">
        <f t="shared" si="0"/>
        <v>73.477000000006683</v>
      </c>
      <c r="S15" s="84">
        <f t="shared" si="1"/>
        <v>576.05968000005237</v>
      </c>
      <c r="T15" s="84">
        <f t="shared" si="2"/>
        <v>151.62600000000384</v>
      </c>
      <c r="U15" s="84">
        <f t="shared" si="14"/>
        <v>1188.74784000003</v>
      </c>
      <c r="V15" s="84">
        <f>313268-313154.8</f>
        <v>113.20000000001164</v>
      </c>
      <c r="W15" s="84">
        <f t="shared" si="9"/>
        <v>0</v>
      </c>
      <c r="X15" s="87" t="s">
        <v>63</v>
      </c>
      <c r="Y15" s="88">
        <v>741519.7</v>
      </c>
      <c r="Z15" s="5">
        <f t="shared" si="10"/>
        <v>406.69999999995343</v>
      </c>
      <c r="AA15" s="14">
        <f t="shared" si="6"/>
        <v>2631.3489999996987</v>
      </c>
      <c r="AB15" s="88">
        <v>2167832.5</v>
      </c>
      <c r="AC15" s="88">
        <f t="shared" si="15"/>
        <v>2156177.4</v>
      </c>
      <c r="AD15" s="5">
        <f t="shared" si="3"/>
        <v>11655.100000000093</v>
      </c>
      <c r="AE15" s="84">
        <f t="shared" si="11"/>
        <v>3885.985166500031</v>
      </c>
      <c r="AF15" s="84">
        <v>21.6</v>
      </c>
      <c r="AG15" s="84">
        <v>6.6</v>
      </c>
      <c r="AH15" s="84">
        <v>8.4</v>
      </c>
      <c r="AI15" s="88">
        <f t="shared" si="16"/>
        <v>39823.9</v>
      </c>
      <c r="AJ15" s="87">
        <v>39838</v>
      </c>
      <c r="AK15" s="48">
        <f t="shared" si="7"/>
        <v>14.099999999998545</v>
      </c>
      <c r="AL15" s="90">
        <f t="shared" si="4"/>
        <v>4009.2664188685858</v>
      </c>
      <c r="AM15" s="84">
        <f t="shared" si="12"/>
        <v>1336.7495630470696</v>
      </c>
      <c r="AN15" s="71">
        <v>72</v>
      </c>
      <c r="AO15" s="89">
        <f t="shared" si="5"/>
        <v>13407.682006499761</v>
      </c>
    </row>
    <row r="16" spans="1:44" x14ac:dyDescent="0.25">
      <c r="A16" s="79">
        <v>44176</v>
      </c>
      <c r="B16" s="87">
        <v>6516</v>
      </c>
      <c r="C16" s="87">
        <v>2435</v>
      </c>
      <c r="D16" s="87">
        <v>796</v>
      </c>
      <c r="E16" s="87">
        <v>6638</v>
      </c>
      <c r="F16" s="87">
        <v>5519</v>
      </c>
      <c r="G16" s="87">
        <v>2795</v>
      </c>
      <c r="H16" s="87">
        <v>3218</v>
      </c>
      <c r="I16" s="87">
        <v>2391</v>
      </c>
      <c r="J16" s="87">
        <v>7006</v>
      </c>
      <c r="K16" s="87">
        <f t="shared" si="13"/>
        <v>27917</v>
      </c>
      <c r="L16" s="14">
        <f t="shared" si="8"/>
        <v>5583.4000000000005</v>
      </c>
      <c r="M16" s="84">
        <f>52679.335-52541.676</f>
        <v>137.65899999999965</v>
      </c>
      <c r="N16" s="84">
        <f>3908.542-3907.315</f>
        <v>1.2269999999998618</v>
      </c>
      <c r="O16" s="84">
        <f>9235.347-9234.877</f>
        <v>0.46999999999934516</v>
      </c>
      <c r="P16" s="82">
        <f>76433.599-76356.751</f>
        <v>76.847999999998137</v>
      </c>
      <c r="Q16" s="84">
        <f>21857.501-21848.361</f>
        <v>9.1399999999994179</v>
      </c>
      <c r="R16" s="84">
        <f t="shared" si="0"/>
        <v>78.544999999997344</v>
      </c>
      <c r="S16" s="84">
        <f t="shared" si="1"/>
        <v>615.79279999997914</v>
      </c>
      <c r="T16" s="84">
        <f t="shared" si="2"/>
        <v>146.79899999999907</v>
      </c>
      <c r="U16" s="84">
        <f t="shared" si="14"/>
        <v>1150.9041599999928</v>
      </c>
      <c r="V16" s="84">
        <f>313387.3-313268</f>
        <v>119.29999999998836</v>
      </c>
      <c r="W16" s="84">
        <f t="shared" si="9"/>
        <v>0</v>
      </c>
      <c r="X16" s="87" t="s">
        <v>63</v>
      </c>
      <c r="Y16" s="88">
        <v>741953.2</v>
      </c>
      <c r="Z16" s="5">
        <f t="shared" si="10"/>
        <v>433.5</v>
      </c>
      <c r="AA16" s="14">
        <f t="shared" si="6"/>
        <v>2804.7449999999999</v>
      </c>
      <c r="AB16" s="88">
        <v>2179503.7999999998</v>
      </c>
      <c r="AC16" s="88">
        <f t="shared" si="15"/>
        <v>2167832.5</v>
      </c>
      <c r="AD16" s="5">
        <f t="shared" si="3"/>
        <v>11671.299999999814</v>
      </c>
      <c r="AE16" s="84">
        <f t="shared" si="11"/>
        <v>3891.3864894999383</v>
      </c>
      <c r="AF16" s="84">
        <v>22.4</v>
      </c>
      <c r="AG16" s="84">
        <v>6.4</v>
      </c>
      <c r="AH16" s="84">
        <v>8.5</v>
      </c>
      <c r="AI16" s="88">
        <f t="shared" si="16"/>
        <v>39838</v>
      </c>
      <c r="AJ16" s="87">
        <v>39851.599999999999</v>
      </c>
      <c r="AK16" s="48">
        <f t="shared" si="7"/>
        <v>13.599999999998545</v>
      </c>
      <c r="AL16" s="90">
        <f t="shared" si="4"/>
        <v>3867.0938508235859</v>
      </c>
      <c r="AM16" s="84">
        <f t="shared" si="12"/>
        <v>1289.3470962723459</v>
      </c>
      <c r="AN16" s="71">
        <v>73</v>
      </c>
      <c r="AO16" s="78">
        <f t="shared" si="5"/>
        <v>13430.435649499932</v>
      </c>
    </row>
    <row r="17" spans="1:41" x14ac:dyDescent="0.25">
      <c r="A17" s="79">
        <v>44177</v>
      </c>
      <c r="B17" s="87">
        <v>5411</v>
      </c>
      <c r="C17" s="87">
        <v>2965</v>
      </c>
      <c r="D17" s="87">
        <v>759</v>
      </c>
      <c r="E17" s="87">
        <v>6686</v>
      </c>
      <c r="F17" s="87">
        <v>5455</v>
      </c>
      <c r="G17" s="87">
        <v>2746</v>
      </c>
      <c r="H17" s="87">
        <v>3608</v>
      </c>
      <c r="I17" s="87">
        <v>2373</v>
      </c>
      <c r="J17" s="87">
        <v>6941</v>
      </c>
      <c r="K17" s="87">
        <f t="shared" si="13"/>
        <v>27630</v>
      </c>
      <c r="L17" s="14">
        <f t="shared" si="8"/>
        <v>5526</v>
      </c>
      <c r="M17" s="84">
        <f>52793.123-52679.335</f>
        <v>113.78800000000047</v>
      </c>
      <c r="N17" s="84">
        <f>3910.075-3908.542</f>
        <v>1.5329999999999018</v>
      </c>
      <c r="O17" s="84">
        <f>9235.994-9235.347</f>
        <v>0.64700000000084401</v>
      </c>
      <c r="P17" s="82">
        <f>76505.454-76433.599</f>
        <v>71.854999999995925</v>
      </c>
      <c r="Q17" s="84">
        <f>21869.894-21857.501</f>
        <v>12.393000000000029</v>
      </c>
      <c r="R17" s="84">
        <f t="shared" si="0"/>
        <v>74.034999999996671</v>
      </c>
      <c r="S17" s="84">
        <f t="shared" si="1"/>
        <v>580.43439999997395</v>
      </c>
      <c r="T17" s="84">
        <f t="shared" si="2"/>
        <v>126.18100000000049</v>
      </c>
      <c r="U17" s="84">
        <f t="shared" si="14"/>
        <v>989.25904000000389</v>
      </c>
      <c r="V17" s="84">
        <f>313471.2-313387.3</f>
        <v>83.900000000023283</v>
      </c>
      <c r="W17" s="84">
        <f t="shared" si="9"/>
        <v>0</v>
      </c>
      <c r="X17" s="87" t="s">
        <v>63</v>
      </c>
      <c r="Y17" s="88">
        <v>742320.7</v>
      </c>
      <c r="Z17" s="5">
        <f t="shared" si="10"/>
        <v>367.5</v>
      </c>
      <c r="AA17" s="14">
        <f t="shared" si="6"/>
        <v>2377.7249999999999</v>
      </c>
      <c r="AB17" s="88">
        <v>2193693.5</v>
      </c>
      <c r="AC17" s="88">
        <f t="shared" si="15"/>
        <v>2179503.7999999998</v>
      </c>
      <c r="AD17" s="5">
        <f t="shared" si="3"/>
        <v>14189.700000000186</v>
      </c>
      <c r="AE17" s="84">
        <f t="shared" si="11"/>
        <v>4731.0588255000621</v>
      </c>
      <c r="AF17" s="84">
        <v>21.6</v>
      </c>
      <c r="AG17" s="84">
        <v>5.9</v>
      </c>
      <c r="AH17" s="84">
        <v>8</v>
      </c>
      <c r="AI17" s="88">
        <f t="shared" si="16"/>
        <v>39851.599999999999</v>
      </c>
      <c r="AJ17" s="87">
        <v>39865.199999999997</v>
      </c>
      <c r="AK17" s="48">
        <f t="shared" si="7"/>
        <v>13.599999999998545</v>
      </c>
      <c r="AL17" s="90">
        <f t="shared" si="4"/>
        <v>3867.0938508235859</v>
      </c>
      <c r="AM17" s="84">
        <f t="shared" si="12"/>
        <v>1289.3470962723459</v>
      </c>
      <c r="AN17" s="71">
        <v>74</v>
      </c>
      <c r="AO17" s="78">
        <f t="shared" si="5"/>
        <v>13624.042865500065</v>
      </c>
    </row>
    <row r="18" spans="1:41" x14ac:dyDescent="0.25">
      <c r="A18" s="79">
        <v>44178</v>
      </c>
      <c r="B18" s="87">
        <v>5731</v>
      </c>
      <c r="C18" s="87">
        <v>2887</v>
      </c>
      <c r="D18" s="87">
        <v>720</v>
      </c>
      <c r="E18" s="87">
        <v>6519</v>
      </c>
      <c r="F18" s="87">
        <v>5261</v>
      </c>
      <c r="G18" s="87">
        <v>2686</v>
      </c>
      <c r="H18" s="87">
        <v>3606</v>
      </c>
      <c r="I18" s="87">
        <v>2366</v>
      </c>
      <c r="J18" s="87">
        <v>6716</v>
      </c>
      <c r="K18" s="87">
        <f t="shared" si="13"/>
        <v>27410</v>
      </c>
      <c r="L18" s="14">
        <f t="shared" si="8"/>
        <v>5482</v>
      </c>
      <c r="M18" s="84">
        <f>52905.893-52793.123</f>
        <v>112.7699999999968</v>
      </c>
      <c r="N18" s="84">
        <f>3911.449-3910.075</f>
        <v>1.374000000000251</v>
      </c>
      <c r="O18" s="84">
        <f>9236.739-9235.994</f>
        <v>0.74499999999898137</v>
      </c>
      <c r="P18" s="84">
        <f>76572.162-76505.454</f>
        <v>66.707999999998719</v>
      </c>
      <c r="Q18" s="84">
        <f>21880.968-21869.894</f>
        <v>11.074000000000524</v>
      </c>
      <c r="R18" s="84">
        <f t="shared" si="0"/>
        <v>68.826999999997952</v>
      </c>
      <c r="S18" s="84">
        <f t="shared" si="1"/>
        <v>539.60367999998391</v>
      </c>
      <c r="T18" s="84">
        <f t="shared" si="2"/>
        <v>123.84399999999732</v>
      </c>
      <c r="U18" s="84">
        <f t="shared" si="14"/>
        <v>970.93695999997897</v>
      </c>
      <c r="V18" s="84">
        <f>313578.3-313471.2</f>
        <v>107.09999999997672</v>
      </c>
      <c r="W18" s="84">
        <f t="shared" si="9"/>
        <v>0</v>
      </c>
      <c r="X18" s="87" t="s">
        <v>63</v>
      </c>
      <c r="Y18" s="88">
        <v>742701.5</v>
      </c>
      <c r="Z18" s="5">
        <f t="shared" si="10"/>
        <v>380.80000000004657</v>
      </c>
      <c r="AA18" s="14">
        <f t="shared" si="6"/>
        <v>2463.7760000003013</v>
      </c>
      <c r="AB18" s="88">
        <v>2201326.1</v>
      </c>
      <c r="AC18" s="88">
        <f t="shared" si="15"/>
        <v>2193693.5</v>
      </c>
      <c r="AD18" s="5">
        <f t="shared" si="3"/>
        <v>7632.6000000000931</v>
      </c>
      <c r="AE18" s="84">
        <f t="shared" si="11"/>
        <v>2544.8233290000312</v>
      </c>
      <c r="AF18" s="82">
        <v>20.2</v>
      </c>
      <c r="AG18" s="82">
        <v>6</v>
      </c>
      <c r="AH18" s="82">
        <v>8.1</v>
      </c>
      <c r="AI18" s="88">
        <f t="shared" si="16"/>
        <v>39865.199999999997</v>
      </c>
      <c r="AJ18" s="87">
        <v>39877.5</v>
      </c>
      <c r="AK18" s="48">
        <f t="shared" si="7"/>
        <v>12.30000000000291</v>
      </c>
      <c r="AL18" s="90">
        <f t="shared" si="4"/>
        <v>3497.4451739078272</v>
      </c>
      <c r="AM18" s="84">
        <f t="shared" si="12"/>
        <v>1166.1006826584783</v>
      </c>
      <c r="AN18" s="71">
        <v>84</v>
      </c>
      <c r="AO18" s="78">
        <f t="shared" si="5"/>
        <v>11461.536289000313</v>
      </c>
    </row>
    <row r="19" spans="1:41" x14ac:dyDescent="0.25">
      <c r="A19" s="79">
        <v>44179</v>
      </c>
      <c r="B19" s="87">
        <v>5063</v>
      </c>
      <c r="C19" s="87">
        <v>2773</v>
      </c>
      <c r="D19" s="87">
        <v>765</v>
      </c>
      <c r="E19" s="87">
        <v>6390</v>
      </c>
      <c r="F19" s="87">
        <v>5184</v>
      </c>
      <c r="G19" s="87">
        <v>2765</v>
      </c>
      <c r="H19" s="87">
        <v>3663</v>
      </c>
      <c r="I19" s="87">
        <v>2272</v>
      </c>
      <c r="J19" s="87">
        <v>6745</v>
      </c>
      <c r="K19" s="87">
        <f t="shared" si="13"/>
        <v>26603</v>
      </c>
      <c r="L19" s="14">
        <f t="shared" si="8"/>
        <v>5320.6</v>
      </c>
      <c r="M19" s="84">
        <f>53014.716-52905.893</f>
        <v>108.82300000000396</v>
      </c>
      <c r="N19" s="84">
        <f>3912.679-3911.449</f>
        <v>1.2300000000000182</v>
      </c>
      <c r="O19" s="84">
        <f>9237.359-9236.739</f>
        <v>0.62000000000080036</v>
      </c>
      <c r="P19" s="82">
        <f>76637.648-76572.162</f>
        <v>65.486000000004424</v>
      </c>
      <c r="Q19" s="84">
        <f>21890.004-21880.968</f>
        <v>9.0360000000000582</v>
      </c>
      <c r="R19" s="84">
        <f t="shared" si="0"/>
        <v>67.336000000005242</v>
      </c>
      <c r="S19" s="84">
        <f t="shared" si="1"/>
        <v>527.9142400000411</v>
      </c>
      <c r="T19" s="84">
        <f t="shared" si="2"/>
        <v>117.85900000000402</v>
      </c>
      <c r="U19" s="84">
        <f t="shared" si="14"/>
        <v>924.01456000003145</v>
      </c>
      <c r="V19" s="84">
        <f>313687.7-313578.3</f>
        <v>109.40000000002328</v>
      </c>
      <c r="W19" s="84">
        <f t="shared" si="9"/>
        <v>0</v>
      </c>
      <c r="X19" s="87" t="s">
        <v>63</v>
      </c>
      <c r="Y19" s="88">
        <v>743078.6</v>
      </c>
      <c r="Z19" s="5">
        <f t="shared" si="10"/>
        <v>377.09999999997672</v>
      </c>
      <c r="AA19" s="14">
        <f t="shared" si="6"/>
        <v>2439.8369999998495</v>
      </c>
      <c r="AB19" s="88">
        <v>2212046.9</v>
      </c>
      <c r="AC19" s="88">
        <f t="shared" si="15"/>
        <v>2201326.1</v>
      </c>
      <c r="AD19" s="5">
        <f t="shared" si="3"/>
        <v>10720.799999999814</v>
      </c>
      <c r="AE19" s="84">
        <f t="shared" si="11"/>
        <v>3574.4755319999381</v>
      </c>
      <c r="AF19" s="84">
        <v>20</v>
      </c>
      <c r="AG19" s="84">
        <v>6.5</v>
      </c>
      <c r="AH19" s="84">
        <v>7.8</v>
      </c>
      <c r="AI19" s="88">
        <f t="shared" si="16"/>
        <v>39877.5</v>
      </c>
      <c r="AJ19" s="87">
        <v>39890.400000000001</v>
      </c>
      <c r="AK19" s="48">
        <f t="shared" si="7"/>
        <v>12.900000000001455</v>
      </c>
      <c r="AL19" s="90">
        <f t="shared" si="4"/>
        <v>3668.0522555614134</v>
      </c>
      <c r="AM19" s="84">
        <f t="shared" si="12"/>
        <v>1222.9836427880086</v>
      </c>
      <c r="AN19" s="71">
        <v>100</v>
      </c>
      <c r="AO19" s="78">
        <f t="shared" si="5"/>
        <v>12258.92709199982</v>
      </c>
    </row>
    <row r="20" spans="1:41" x14ac:dyDescent="0.25">
      <c r="A20" s="79">
        <v>44180</v>
      </c>
      <c r="B20" s="87">
        <v>5013</v>
      </c>
      <c r="C20" s="87">
        <v>3192</v>
      </c>
      <c r="D20" s="87">
        <v>770</v>
      </c>
      <c r="E20" s="87">
        <v>6687</v>
      </c>
      <c r="F20" s="87">
        <v>5458</v>
      </c>
      <c r="G20" s="87">
        <v>2893</v>
      </c>
      <c r="H20" s="87">
        <v>4182</v>
      </c>
      <c r="I20" s="87">
        <v>2342</v>
      </c>
      <c r="J20" s="87">
        <v>6996</v>
      </c>
      <c r="K20" s="87">
        <f t="shared" si="13"/>
        <v>28195</v>
      </c>
      <c r="L20" s="14">
        <f t="shared" si="8"/>
        <v>5639</v>
      </c>
      <c r="M20" s="84">
        <f>53146.095-53014.716</f>
        <v>131.37900000000081</v>
      </c>
      <c r="N20" s="84">
        <f>3914.313-3912.679</f>
        <v>1.6340000000000146</v>
      </c>
      <c r="O20" s="84">
        <f>9238.452-9237.359</f>
        <v>1.0929999999989377</v>
      </c>
      <c r="P20" s="82">
        <f>76706.123-76637.648</f>
        <v>68.475000000005821</v>
      </c>
      <c r="Q20" s="84">
        <f>21900.092-21890.004</f>
        <v>10.087999999999738</v>
      </c>
      <c r="R20" s="84">
        <f t="shared" si="0"/>
        <v>71.202000000004773</v>
      </c>
      <c r="S20" s="84">
        <f t="shared" si="1"/>
        <v>558.22368000003746</v>
      </c>
      <c r="T20" s="84">
        <f t="shared" si="2"/>
        <v>141.46700000000055</v>
      </c>
      <c r="U20" s="84">
        <f t="shared" si="14"/>
        <v>1109.1012800000044</v>
      </c>
      <c r="V20" s="84">
        <f>313800.2-313687.7</f>
        <v>112.5</v>
      </c>
      <c r="W20" s="84">
        <f t="shared" si="9"/>
        <v>0</v>
      </c>
      <c r="X20" s="87" t="s">
        <v>63</v>
      </c>
      <c r="Y20" s="88">
        <v>743474.4</v>
      </c>
      <c r="Z20" s="5">
        <f t="shared" si="10"/>
        <v>395.80000000004657</v>
      </c>
      <c r="AA20" s="14">
        <f t="shared" si="6"/>
        <v>2560.8260000003011</v>
      </c>
      <c r="AB20" s="88">
        <v>2224283.6</v>
      </c>
      <c r="AC20" s="88">
        <f t="shared" si="15"/>
        <v>2212046.9</v>
      </c>
      <c r="AD20" s="5">
        <f t="shared" si="3"/>
        <v>12236.700000000186</v>
      </c>
      <c r="AE20" s="84">
        <f t="shared" si="11"/>
        <v>4079.8993305000622</v>
      </c>
      <c r="AF20" s="84">
        <v>22.6</v>
      </c>
      <c r="AG20" s="84">
        <v>7.2</v>
      </c>
      <c r="AH20" s="84">
        <v>8.6</v>
      </c>
      <c r="AI20" s="88">
        <f t="shared" si="16"/>
        <v>39890.400000000001</v>
      </c>
      <c r="AJ20" s="87">
        <v>39904.199999999997</v>
      </c>
      <c r="AK20" s="48">
        <f t="shared" si="7"/>
        <v>13.799999999995634</v>
      </c>
      <c r="AL20" s="90">
        <f t="shared" si="4"/>
        <v>3923.9628780407584</v>
      </c>
      <c r="AM20" s="84">
        <f t="shared" si="12"/>
        <v>1308.3080829819596</v>
      </c>
      <c r="AN20" s="71">
        <v>106</v>
      </c>
      <c r="AO20" s="78">
        <f t="shared" si="5"/>
        <v>13388.826610500368</v>
      </c>
    </row>
    <row r="21" spans="1:41" x14ac:dyDescent="0.25">
      <c r="A21" s="79">
        <v>44181</v>
      </c>
      <c r="B21" s="87">
        <v>4981</v>
      </c>
      <c r="C21" s="87">
        <v>2675</v>
      </c>
      <c r="D21" s="87">
        <v>811</v>
      </c>
      <c r="E21" s="87">
        <v>6496</v>
      </c>
      <c r="F21" s="87">
        <v>5362</v>
      </c>
      <c r="G21" s="87">
        <v>2854</v>
      </c>
      <c r="H21" s="87">
        <v>3583</v>
      </c>
      <c r="I21" s="87">
        <v>2234</v>
      </c>
      <c r="J21" s="87">
        <v>7012</v>
      </c>
      <c r="K21" s="87">
        <f t="shared" si="13"/>
        <v>26762</v>
      </c>
      <c r="L21" s="14">
        <f t="shared" si="8"/>
        <v>5352.4000000000005</v>
      </c>
      <c r="M21" s="84">
        <f>53266.739-53146.095</f>
        <v>120.64400000000023</v>
      </c>
      <c r="N21" s="84">
        <f>3916.027-3914.313</f>
        <v>1.7139999999999418</v>
      </c>
      <c r="O21" s="84">
        <f>9239.066-9238.452</f>
        <v>0.61400000000139698</v>
      </c>
      <c r="P21" s="82">
        <f>76776.706-76706.123</f>
        <v>70.582999999998719</v>
      </c>
      <c r="Q21" s="84">
        <f>21910.413-21900.092</f>
        <v>10.320999999999913</v>
      </c>
      <c r="R21" s="84">
        <f t="shared" si="0"/>
        <v>72.911000000000058</v>
      </c>
      <c r="S21" s="84">
        <f t="shared" si="1"/>
        <v>571.62224000000049</v>
      </c>
      <c r="T21" s="84">
        <f t="shared" si="2"/>
        <v>130.96500000000015</v>
      </c>
      <c r="U21" s="84">
        <f t="shared" si="14"/>
        <v>1026.7656000000011</v>
      </c>
      <c r="V21" s="84">
        <f>313910.2-313800.2</f>
        <v>110</v>
      </c>
      <c r="W21" s="84">
        <f t="shared" si="9"/>
        <v>0</v>
      </c>
      <c r="X21" s="87" t="s">
        <v>63</v>
      </c>
      <c r="Y21" s="88">
        <v>743873.5</v>
      </c>
      <c r="Z21" s="5">
        <f t="shared" si="10"/>
        <v>399.09999999997672</v>
      </c>
      <c r="AA21" s="14">
        <f t="shared" si="6"/>
        <v>2582.1769999998492</v>
      </c>
      <c r="AB21" s="88">
        <v>2235345.1</v>
      </c>
      <c r="AC21" s="88">
        <f t="shared" si="15"/>
        <v>2224283.6</v>
      </c>
      <c r="AD21" s="5">
        <f t="shared" si="3"/>
        <v>11061.5</v>
      </c>
      <c r="AE21" s="84">
        <f t="shared" si="11"/>
        <v>3688.0700225000001</v>
      </c>
      <c r="AF21" s="84">
        <v>20.9</v>
      </c>
      <c r="AG21" s="84">
        <v>6.8</v>
      </c>
      <c r="AH21" s="84">
        <v>8</v>
      </c>
      <c r="AI21" s="88">
        <f t="shared" si="16"/>
        <v>39904.199999999997</v>
      </c>
      <c r="AJ21" s="87">
        <v>39917.699999999997</v>
      </c>
      <c r="AK21" s="48">
        <f t="shared" si="7"/>
        <v>13.5</v>
      </c>
      <c r="AL21" s="90">
        <f t="shared" si="4"/>
        <v>3838.6593372149996</v>
      </c>
      <c r="AM21" s="84">
        <f t="shared" si="12"/>
        <v>1279.8666029175392</v>
      </c>
      <c r="AN21" s="71">
        <v>77</v>
      </c>
      <c r="AO21" s="78">
        <f t="shared" si="5"/>
        <v>12649.412622499851</v>
      </c>
    </row>
    <row r="22" spans="1:41" x14ac:dyDescent="0.25">
      <c r="A22" s="79">
        <v>44182</v>
      </c>
      <c r="B22" s="87">
        <v>5104</v>
      </c>
      <c r="C22" s="87">
        <v>2748</v>
      </c>
      <c r="D22" s="87">
        <v>841</v>
      </c>
      <c r="E22" s="87">
        <v>6548</v>
      </c>
      <c r="F22" s="87">
        <v>5661</v>
      </c>
      <c r="G22" s="87">
        <v>2884</v>
      </c>
      <c r="H22" s="87">
        <v>3764</v>
      </c>
      <c r="I22" s="87">
        <v>2266</v>
      </c>
      <c r="J22" s="87">
        <v>7016</v>
      </c>
      <c r="K22" s="87">
        <f t="shared" si="13"/>
        <v>27550</v>
      </c>
      <c r="L22" s="14">
        <f t="shared" si="8"/>
        <v>5510</v>
      </c>
      <c r="M22" s="84">
        <f>53389.757-53266.739</f>
        <v>123.01799999999639</v>
      </c>
      <c r="N22" s="84">
        <f>3917.909-3916.027</f>
        <v>1.8820000000000618</v>
      </c>
      <c r="O22" s="84">
        <f>9239.972-9239.066</f>
        <v>0.90599999999903957</v>
      </c>
      <c r="P22" s="82">
        <f>76847.127-76776.706</f>
        <v>70.420999999987544</v>
      </c>
      <c r="Q22" s="84">
        <f>21921.483-21910.413</f>
        <v>11.069999999999709</v>
      </c>
      <c r="R22" s="84">
        <f t="shared" si="0"/>
        <v>73.208999999986645</v>
      </c>
      <c r="S22" s="84">
        <f t="shared" si="1"/>
        <v>573.95855999989533</v>
      </c>
      <c r="T22" s="84">
        <f t="shared" si="2"/>
        <v>134.0879999999961</v>
      </c>
      <c r="U22" s="84">
        <f t="shared" si="14"/>
        <v>1051.2499199999695</v>
      </c>
      <c r="V22" s="84">
        <f>314025.4-313910.2</f>
        <v>115.20000000001164</v>
      </c>
      <c r="W22" s="84">
        <f t="shared" si="9"/>
        <v>0</v>
      </c>
      <c r="X22" s="87" t="s">
        <v>63</v>
      </c>
      <c r="Y22" s="88">
        <v>744286.8</v>
      </c>
      <c r="Z22" s="5">
        <f t="shared" si="10"/>
        <v>413.30000000004657</v>
      </c>
      <c r="AA22" s="14">
        <f t="shared" si="6"/>
        <v>2674.051000000301</v>
      </c>
      <c r="AB22" s="88">
        <v>2247481.7000000002</v>
      </c>
      <c r="AC22" s="88">
        <f t="shared" si="15"/>
        <v>2235345.1</v>
      </c>
      <c r="AD22" s="5">
        <f t="shared" si="3"/>
        <v>12136.600000000093</v>
      </c>
      <c r="AE22" s="84">
        <f t="shared" si="11"/>
        <v>4046.5244890000313</v>
      </c>
      <c r="AF22" s="84">
        <v>23.2</v>
      </c>
      <c r="AG22" s="84">
        <v>8.1999999999999993</v>
      </c>
      <c r="AH22" s="84">
        <v>7.9</v>
      </c>
      <c r="AI22" s="88">
        <f t="shared" si="16"/>
        <v>39917.699999999997</v>
      </c>
      <c r="AJ22" s="87">
        <v>39931.199999999997</v>
      </c>
      <c r="AK22" s="48">
        <f t="shared" si="7"/>
        <v>13.5</v>
      </c>
      <c r="AL22" s="90">
        <f t="shared" si="4"/>
        <v>3838.6593372149996</v>
      </c>
      <c r="AM22" s="84">
        <f t="shared" si="12"/>
        <v>1279.8666029175392</v>
      </c>
      <c r="AN22" s="71">
        <v>66</v>
      </c>
      <c r="AO22" s="78">
        <f t="shared" si="5"/>
        <v>13281.825409000303</v>
      </c>
    </row>
    <row r="23" spans="1:41" x14ac:dyDescent="0.25">
      <c r="A23" s="79">
        <v>44183</v>
      </c>
      <c r="B23" s="87">
        <v>5174</v>
      </c>
      <c r="C23" s="87">
        <v>3099</v>
      </c>
      <c r="D23" s="87">
        <v>728</v>
      </c>
      <c r="E23" s="87">
        <v>6653</v>
      </c>
      <c r="F23" s="87">
        <v>5562</v>
      </c>
      <c r="G23" s="87">
        <v>2675</v>
      </c>
      <c r="H23" s="87">
        <v>3928</v>
      </c>
      <c r="I23" s="87">
        <v>2068</v>
      </c>
      <c r="J23" s="87">
        <v>6731</v>
      </c>
      <c r="K23" s="87">
        <f t="shared" si="13"/>
        <v>27819</v>
      </c>
      <c r="L23" s="14">
        <f t="shared" si="8"/>
        <v>5563.8</v>
      </c>
      <c r="M23" s="84">
        <f>53507.108-53389.757</f>
        <v>117.35100000000239</v>
      </c>
      <c r="N23" s="84">
        <f>3919.63-3917.909</f>
        <v>1.7210000000000036</v>
      </c>
      <c r="O23" s="84">
        <f>9240.63-9239.972</f>
        <v>0.65799999999944703</v>
      </c>
      <c r="P23" s="82">
        <f>76929.057-76847.127</f>
        <v>81.930000000007567</v>
      </c>
      <c r="Q23" s="84">
        <f>21930.359-21921.483</f>
        <v>8.8760000000002037</v>
      </c>
      <c r="R23" s="84">
        <f t="shared" si="0"/>
        <v>84.309000000007018</v>
      </c>
      <c r="S23" s="84">
        <f t="shared" si="1"/>
        <v>660.98256000005506</v>
      </c>
      <c r="T23" s="84">
        <f t="shared" si="2"/>
        <v>126.22700000000259</v>
      </c>
      <c r="U23" s="84">
        <f t="shared" si="14"/>
        <v>989.61968000002025</v>
      </c>
      <c r="V23" s="84">
        <f>314139.4-314025.4</f>
        <v>114</v>
      </c>
      <c r="W23" s="84">
        <f t="shared" si="9"/>
        <v>0</v>
      </c>
      <c r="X23" s="87" t="s">
        <v>63</v>
      </c>
      <c r="Y23" s="88">
        <v>744716.5</v>
      </c>
      <c r="Z23" s="5">
        <f t="shared" si="10"/>
        <v>429.69999999995343</v>
      </c>
      <c r="AA23" s="14">
        <f t="shared" si="6"/>
        <v>2780.1589999996986</v>
      </c>
      <c r="AB23" s="88">
        <v>2259948.5</v>
      </c>
      <c r="AC23" s="88">
        <f t="shared" si="15"/>
        <v>2247481.7000000002</v>
      </c>
      <c r="AD23" s="5">
        <f t="shared" si="3"/>
        <v>12466.799999999814</v>
      </c>
      <c r="AE23" s="84">
        <f t="shared" si="11"/>
        <v>4156.618121999938</v>
      </c>
      <c r="AF23" s="84">
        <v>22.7</v>
      </c>
      <c r="AG23" s="84">
        <v>11</v>
      </c>
      <c r="AH23" s="84">
        <v>7.4</v>
      </c>
      <c r="AI23" s="88">
        <f t="shared" si="16"/>
        <v>39931.199999999997</v>
      </c>
      <c r="AJ23" s="87">
        <v>39944.5</v>
      </c>
      <c r="AK23" s="48">
        <f t="shared" si="7"/>
        <v>13.30000000000291</v>
      </c>
      <c r="AL23" s="90">
        <f t="shared" si="4"/>
        <v>3781.7903099978275</v>
      </c>
      <c r="AM23" s="84">
        <f t="shared" si="12"/>
        <v>1260.9056162079257</v>
      </c>
      <c r="AN23" s="71">
        <v>61</v>
      </c>
      <c r="AO23" s="78">
        <f t="shared" si="5"/>
        <v>13490.196801999657</v>
      </c>
    </row>
    <row r="24" spans="1:41" x14ac:dyDescent="0.25">
      <c r="A24" s="79">
        <v>44184</v>
      </c>
      <c r="B24" s="87">
        <v>4992</v>
      </c>
      <c r="C24" s="87">
        <v>2946</v>
      </c>
      <c r="D24" s="87">
        <v>817</v>
      </c>
      <c r="E24" s="87">
        <v>6524</v>
      </c>
      <c r="F24" s="87">
        <v>5400</v>
      </c>
      <c r="G24" s="87">
        <v>2783</v>
      </c>
      <c r="H24" s="87">
        <v>3689</v>
      </c>
      <c r="I24" s="87">
        <v>2214</v>
      </c>
      <c r="J24" s="87">
        <v>6780</v>
      </c>
      <c r="K24" s="87">
        <f t="shared" si="13"/>
        <v>27151</v>
      </c>
      <c r="L24" s="14">
        <f t="shared" si="8"/>
        <v>5430.2000000000007</v>
      </c>
      <c r="M24" s="84">
        <f>53610.514-53507.107</f>
        <v>103.40699999999924</v>
      </c>
      <c r="N24" s="84">
        <f>3921.92-3919.63</f>
        <v>2.2899999999999636</v>
      </c>
      <c r="O24" s="84">
        <f>9241.698-9240.994</f>
        <v>0.70399999999972351</v>
      </c>
      <c r="P24" s="82">
        <f>77005.076-76929.057</f>
        <v>76.019000000000233</v>
      </c>
      <c r="Q24" s="84">
        <f>21941.27-21930.359</f>
        <v>10.911000000000058</v>
      </c>
      <c r="R24" s="84">
        <f t="shared" si="0"/>
        <v>79.01299999999992</v>
      </c>
      <c r="S24" s="84">
        <f t="shared" si="1"/>
        <v>619.4619199999994</v>
      </c>
      <c r="T24" s="84">
        <f t="shared" si="2"/>
        <v>114.3179999999993</v>
      </c>
      <c r="U24" s="84">
        <f t="shared" si="14"/>
        <v>896.25311999999451</v>
      </c>
      <c r="V24" s="84">
        <f>314249.3-314139.4</f>
        <v>109.89999999996508</v>
      </c>
      <c r="W24" s="84">
        <f t="shared" si="9"/>
        <v>0</v>
      </c>
      <c r="X24" s="87" t="s">
        <v>63</v>
      </c>
      <c r="Y24" s="88">
        <v>745118</v>
      </c>
      <c r="Z24" s="5">
        <f t="shared" si="10"/>
        <v>401.5</v>
      </c>
      <c r="AA24" s="14">
        <f t="shared" si="6"/>
        <v>2597.7049999999999</v>
      </c>
      <c r="AB24" s="88">
        <v>2271514.2999999998</v>
      </c>
      <c r="AC24" s="88">
        <f t="shared" si="15"/>
        <v>2259948.5</v>
      </c>
      <c r="AD24" s="5">
        <f t="shared" si="3"/>
        <v>11565.799999999814</v>
      </c>
      <c r="AE24" s="84">
        <f t="shared" si="11"/>
        <v>3856.211206999938</v>
      </c>
      <c r="AF24" s="84">
        <v>21.2</v>
      </c>
      <c r="AG24" s="84">
        <v>6.8</v>
      </c>
      <c r="AH24" s="84">
        <v>7.8</v>
      </c>
      <c r="AI24" s="88">
        <f t="shared" si="16"/>
        <v>39944.5</v>
      </c>
      <c r="AJ24" s="87">
        <v>39958.699999999997</v>
      </c>
      <c r="AK24" s="48">
        <f t="shared" si="7"/>
        <v>14.19999999999709</v>
      </c>
      <c r="AL24" s="90">
        <f t="shared" si="4"/>
        <v>4037.700932477172</v>
      </c>
      <c r="AM24" s="84">
        <f t="shared" si="12"/>
        <v>1346.2300564018765</v>
      </c>
      <c r="AN24" s="71">
        <v>50</v>
      </c>
      <c r="AO24" s="78">
        <f t="shared" si="5"/>
        <v>12780.369326999935</v>
      </c>
    </row>
    <row r="25" spans="1:41" x14ac:dyDescent="0.25">
      <c r="A25" s="79">
        <v>44185</v>
      </c>
      <c r="B25" s="87">
        <v>5937</v>
      </c>
      <c r="C25" s="87">
        <v>3088</v>
      </c>
      <c r="D25" s="87">
        <v>889</v>
      </c>
      <c r="E25" s="87">
        <v>6378</v>
      </c>
      <c r="F25" s="87">
        <v>5337</v>
      </c>
      <c r="G25" s="87">
        <v>2588</v>
      </c>
      <c r="H25" s="87">
        <v>2894</v>
      </c>
      <c r="I25" s="87">
        <v>2096</v>
      </c>
      <c r="J25" s="87">
        <v>6718</v>
      </c>
      <c r="K25" s="87">
        <f t="shared" si="13"/>
        <v>27111</v>
      </c>
      <c r="L25" s="14">
        <f t="shared" si="8"/>
        <v>5422.2000000000007</v>
      </c>
      <c r="M25" s="84">
        <f>53733.224-53610.514</f>
        <v>122.70999999999913</v>
      </c>
      <c r="N25" s="84">
        <f>3923.721-3921.92</f>
        <v>1.8009999999999309</v>
      </c>
      <c r="O25" s="84">
        <f>9242.445-9241.698</f>
        <v>0.74699999999938882</v>
      </c>
      <c r="P25" s="82">
        <f>77069.537-77005.076</f>
        <v>64.460999999995693</v>
      </c>
      <c r="Q25" s="84">
        <f>21951.166-21941.27</f>
        <v>9.8960000000006403</v>
      </c>
      <c r="R25" s="84">
        <f t="shared" si="0"/>
        <v>67.008999999995012</v>
      </c>
      <c r="S25" s="84">
        <f t="shared" si="1"/>
        <v>525.35055999996086</v>
      </c>
      <c r="T25" s="84">
        <f t="shared" si="2"/>
        <v>132.60599999999977</v>
      </c>
      <c r="U25" s="84">
        <f t="shared" si="14"/>
        <v>1039.6310399999982</v>
      </c>
      <c r="V25" s="84">
        <f>314363.4-314249.3</f>
        <v>114.10000000003492</v>
      </c>
      <c r="W25" s="84">
        <f t="shared" si="9"/>
        <v>0</v>
      </c>
      <c r="X25" s="87" t="s">
        <v>63</v>
      </c>
      <c r="Y25" s="88">
        <v>745525.8</v>
      </c>
      <c r="Z25" s="5">
        <f t="shared" si="10"/>
        <v>407.80000000004657</v>
      </c>
      <c r="AA25" s="14">
        <f t="shared" si="6"/>
        <v>2638.4660000003014</v>
      </c>
      <c r="AB25" s="88">
        <v>2282780.2999999998</v>
      </c>
      <c r="AC25" s="88">
        <f t="shared" si="15"/>
        <v>2271514.2999999998</v>
      </c>
      <c r="AD25" s="5">
        <f t="shared" si="3"/>
        <v>11266</v>
      </c>
      <c r="AE25" s="84">
        <f t="shared" si="11"/>
        <v>3756.2533900000003</v>
      </c>
      <c r="AF25" s="84">
        <v>19.899999999999999</v>
      </c>
      <c r="AG25" s="84">
        <v>8.5</v>
      </c>
      <c r="AH25" s="84">
        <v>7.8</v>
      </c>
      <c r="AI25" s="88">
        <f t="shared" si="16"/>
        <v>39958.699999999997</v>
      </c>
      <c r="AJ25" s="87">
        <v>39972.300000000003</v>
      </c>
      <c r="AK25" s="48">
        <f t="shared" si="7"/>
        <v>13.600000000005821</v>
      </c>
      <c r="AL25" s="90">
        <f t="shared" si="4"/>
        <v>3867.093850825655</v>
      </c>
      <c r="AM25" s="84">
        <f t="shared" si="12"/>
        <v>1289.3470962730357</v>
      </c>
      <c r="AN25" s="71">
        <v>103</v>
      </c>
      <c r="AO25" s="78">
        <f t="shared" si="5"/>
        <v>12856.550430000299</v>
      </c>
    </row>
    <row r="26" spans="1:41" x14ac:dyDescent="0.25">
      <c r="A26" s="79">
        <v>44186</v>
      </c>
      <c r="B26" s="87">
        <v>5730</v>
      </c>
      <c r="C26" s="87">
        <v>2534</v>
      </c>
      <c r="D26" s="87">
        <v>789</v>
      </c>
      <c r="E26" s="87">
        <v>6592</v>
      </c>
      <c r="F26" s="87">
        <v>5346</v>
      </c>
      <c r="G26" s="87">
        <v>2583</v>
      </c>
      <c r="H26" s="87">
        <v>3658</v>
      </c>
      <c r="I26" s="87">
        <v>1964</v>
      </c>
      <c r="J26" s="87">
        <v>6802</v>
      </c>
      <c r="K26" s="87">
        <f t="shared" si="13"/>
        <v>27232</v>
      </c>
      <c r="L26" s="14">
        <f t="shared" si="8"/>
        <v>5446.4000000000005</v>
      </c>
      <c r="M26" s="84">
        <f>53845.091-53733.224</f>
        <v>111.86699999999837</v>
      </c>
      <c r="N26" s="84">
        <f>3925.014-3923.721</f>
        <v>1.2930000000001201</v>
      </c>
      <c r="O26" s="84">
        <f>9242.92-9242.445</f>
        <v>0.4750000000003638</v>
      </c>
      <c r="P26" s="82">
        <f>77134.954-77069.537</f>
        <v>65.417000000001281</v>
      </c>
      <c r="Q26" s="84">
        <f>21961.737-21951.166</f>
        <v>10.570999999999913</v>
      </c>
      <c r="R26" s="84">
        <f t="shared" si="0"/>
        <v>67.185000000001764</v>
      </c>
      <c r="S26" s="84">
        <f t="shared" si="1"/>
        <v>526.73040000001379</v>
      </c>
      <c r="T26" s="84">
        <f t="shared" si="2"/>
        <v>122.43799999999828</v>
      </c>
      <c r="U26" s="84">
        <f t="shared" si="14"/>
        <v>959.91391999998655</v>
      </c>
      <c r="V26" s="84">
        <f>314480.7-314363.4</f>
        <v>117.29999999998836</v>
      </c>
      <c r="W26" s="84">
        <f t="shared" si="9"/>
        <v>0</v>
      </c>
      <c r="X26" s="87" t="s">
        <v>63</v>
      </c>
      <c r="Y26" s="88">
        <v>745924.4</v>
      </c>
      <c r="Z26" s="5">
        <f t="shared" si="10"/>
        <v>398.59999999997672</v>
      </c>
      <c r="AA26" s="14">
        <f t="shared" si="6"/>
        <v>2578.9419999998495</v>
      </c>
      <c r="AB26" s="88">
        <v>2293886.5</v>
      </c>
      <c r="AC26" s="88">
        <f t="shared" si="15"/>
        <v>2282780.2999999998</v>
      </c>
      <c r="AD26" s="5">
        <f t="shared" si="3"/>
        <v>11106.200000000186</v>
      </c>
      <c r="AE26" s="84">
        <f t="shared" si="11"/>
        <v>3702.9736730000623</v>
      </c>
      <c r="AF26" s="84">
        <v>19.2</v>
      </c>
      <c r="AG26" s="84">
        <v>9.1999999999999993</v>
      </c>
      <c r="AH26" s="84">
        <v>7.3</v>
      </c>
      <c r="AI26" s="88">
        <f t="shared" si="16"/>
        <v>39972.300000000003</v>
      </c>
      <c r="AJ26" s="87">
        <v>39986.1</v>
      </c>
      <c r="AK26" s="48">
        <f t="shared" si="7"/>
        <v>13.799999999995634</v>
      </c>
      <c r="AL26" s="90">
        <f t="shared" si="4"/>
        <v>3923.9628780407584</v>
      </c>
      <c r="AM26" s="84">
        <f t="shared" si="12"/>
        <v>1308.3080829819596</v>
      </c>
      <c r="AN26" s="71">
        <v>99</v>
      </c>
      <c r="AO26" s="78">
        <f t="shared" si="5"/>
        <v>12688.229592999898</v>
      </c>
    </row>
    <row r="27" spans="1:41" x14ac:dyDescent="0.25">
      <c r="A27" s="79">
        <v>44187</v>
      </c>
      <c r="B27" s="87">
        <v>5808</v>
      </c>
      <c r="C27" s="87">
        <v>2279</v>
      </c>
      <c r="D27" s="87">
        <v>762</v>
      </c>
      <c r="E27" s="87">
        <v>6438</v>
      </c>
      <c r="F27" s="87">
        <v>5352</v>
      </c>
      <c r="G27" s="87">
        <v>2657</v>
      </c>
      <c r="H27" s="87">
        <v>3508</v>
      </c>
      <c r="I27" s="87">
        <v>2052</v>
      </c>
      <c r="J27" s="87">
        <v>6515</v>
      </c>
      <c r="K27" s="87">
        <f t="shared" si="13"/>
        <v>26804</v>
      </c>
      <c r="L27" s="14">
        <f t="shared" si="8"/>
        <v>5360.8</v>
      </c>
      <c r="M27" s="84">
        <f>53975.885-53845.091</f>
        <v>130.79400000000169</v>
      </c>
      <c r="N27" s="84">
        <f>3925.896-3925.014</f>
        <v>0.88200000000006185</v>
      </c>
      <c r="O27" s="84">
        <f>9243.313-9242.92</f>
        <v>0.3930000000000291</v>
      </c>
      <c r="P27" s="82">
        <f>77195.856-77134.954</f>
        <v>60.902000000001863</v>
      </c>
      <c r="Q27" s="84">
        <f>21972.051-21961.737</f>
        <v>10.313999999998487</v>
      </c>
      <c r="R27" s="84">
        <f t="shared" si="0"/>
        <v>62.177000000001954</v>
      </c>
      <c r="S27" s="84">
        <f t="shared" si="1"/>
        <v>487.46768000001532</v>
      </c>
      <c r="T27" s="84">
        <f t="shared" si="2"/>
        <v>141.10800000000017</v>
      </c>
      <c r="U27" s="84">
        <f t="shared" si="14"/>
        <v>1106.2867200000014</v>
      </c>
      <c r="V27" s="84">
        <f>314587.2-314480.7</f>
        <v>106.5</v>
      </c>
      <c r="W27" s="84">
        <f>129294.56-129290.5</f>
        <v>4.0599999999976717</v>
      </c>
      <c r="X27" s="87" t="s">
        <v>63</v>
      </c>
      <c r="Y27" s="88">
        <v>746316.4</v>
      </c>
      <c r="Z27" s="5">
        <f t="shared" si="10"/>
        <v>392</v>
      </c>
      <c r="AA27" s="14">
        <f t="shared" si="6"/>
        <v>2536.2399999999998</v>
      </c>
      <c r="AB27" s="88">
        <v>2305037</v>
      </c>
      <c r="AC27" s="88">
        <f t="shared" si="15"/>
        <v>2293886.5</v>
      </c>
      <c r="AD27" s="5">
        <f t="shared" si="3"/>
        <v>11150.5</v>
      </c>
      <c r="AE27" s="84">
        <f t="shared" si="11"/>
        <v>3717.7439575000003</v>
      </c>
      <c r="AF27" s="84">
        <v>18.100000000000001</v>
      </c>
      <c r="AG27" s="84">
        <v>11.5</v>
      </c>
      <c r="AH27" s="84">
        <v>7.2</v>
      </c>
      <c r="AI27" s="88">
        <f t="shared" si="16"/>
        <v>39986.1</v>
      </c>
      <c r="AJ27" s="87">
        <v>40000</v>
      </c>
      <c r="AK27" s="48">
        <f t="shared" si="7"/>
        <v>13.900000000001455</v>
      </c>
      <c r="AL27" s="90">
        <f t="shared" si="4"/>
        <v>3952.3973916514137</v>
      </c>
      <c r="AM27" s="84">
        <f t="shared" si="12"/>
        <v>1317.7885763374561</v>
      </c>
      <c r="AN27" s="71">
        <v>97</v>
      </c>
      <c r="AO27" s="78">
        <f t="shared" si="5"/>
        <v>12721.070677500002</v>
      </c>
    </row>
    <row r="28" spans="1:41" x14ac:dyDescent="0.25">
      <c r="A28" s="79">
        <v>44188</v>
      </c>
      <c r="B28" s="87">
        <v>5077</v>
      </c>
      <c r="C28" s="87">
        <v>2665</v>
      </c>
      <c r="D28" s="87">
        <v>744</v>
      </c>
      <c r="E28" s="87">
        <v>6820</v>
      </c>
      <c r="F28" s="87">
        <v>5762</v>
      </c>
      <c r="G28" s="87">
        <v>2788</v>
      </c>
      <c r="H28" s="87">
        <v>3322</v>
      </c>
      <c r="I28" s="87">
        <v>2148</v>
      </c>
      <c r="J28" s="87">
        <v>6952</v>
      </c>
      <c r="K28" s="87">
        <f t="shared" si="13"/>
        <v>27178</v>
      </c>
      <c r="L28" s="14">
        <f t="shared" si="8"/>
        <v>5435.6</v>
      </c>
      <c r="M28" s="84">
        <f>54102.893-53975.885</f>
        <v>127.00799999999435</v>
      </c>
      <c r="N28" s="84">
        <f>3927.699-3925.896</f>
        <v>1.8029999999998836</v>
      </c>
      <c r="O28" s="84">
        <f>9243.987-9243.313</f>
        <v>0.67399999999906868</v>
      </c>
      <c r="P28" s="82">
        <f>77260.431-77195.856</f>
        <v>64.57499999999709</v>
      </c>
      <c r="Q28" s="84">
        <f>21980.108-21972.051</f>
        <v>8.0570000000006985</v>
      </c>
      <c r="R28" s="84">
        <f t="shared" si="0"/>
        <v>67.051999999996042</v>
      </c>
      <c r="S28" s="84">
        <f t="shared" si="1"/>
        <v>525.68767999996896</v>
      </c>
      <c r="T28" s="84">
        <f t="shared" si="2"/>
        <v>135.06499999999505</v>
      </c>
      <c r="U28" s="84">
        <f t="shared" si="14"/>
        <v>1058.9095999999613</v>
      </c>
      <c r="V28" s="84">
        <f>314702.4-314587.2</f>
        <v>115.20000000001164</v>
      </c>
      <c r="W28" s="84">
        <f>129294.56-129294.56</f>
        <v>0</v>
      </c>
      <c r="X28" s="87" t="s">
        <v>63</v>
      </c>
      <c r="Y28" s="88">
        <v>746723.9</v>
      </c>
      <c r="Z28" s="5">
        <f t="shared" si="10"/>
        <v>407.5</v>
      </c>
      <c r="AA28" s="14">
        <f t="shared" si="6"/>
        <v>2636.5250000000001</v>
      </c>
      <c r="AB28" s="88">
        <v>2315840.1</v>
      </c>
      <c r="AC28" s="88">
        <f t="shared" si="15"/>
        <v>2305037</v>
      </c>
      <c r="AD28" s="5">
        <f t="shared" si="3"/>
        <v>10803.100000000093</v>
      </c>
      <c r="AE28" s="84">
        <f t="shared" si="11"/>
        <v>3601.9155865000312</v>
      </c>
      <c r="AF28" s="84">
        <v>18.399999999999999</v>
      </c>
      <c r="AG28" s="84">
        <v>11.8</v>
      </c>
      <c r="AH28" s="84">
        <v>7</v>
      </c>
      <c r="AI28" s="88">
        <f t="shared" si="16"/>
        <v>40000</v>
      </c>
      <c r="AJ28" s="87">
        <v>40012.6</v>
      </c>
      <c r="AK28" s="48">
        <f t="shared" si="7"/>
        <v>12.599999999998545</v>
      </c>
      <c r="AL28" s="90">
        <f t="shared" si="4"/>
        <v>3582.748714733586</v>
      </c>
      <c r="AM28" s="84">
        <f t="shared" si="12"/>
        <v>1194.5421627228986</v>
      </c>
      <c r="AN28" s="71">
        <v>96</v>
      </c>
      <c r="AO28" s="78">
        <f t="shared" si="5"/>
        <v>12732.950186499991</v>
      </c>
    </row>
    <row r="29" spans="1:41" x14ac:dyDescent="0.25">
      <c r="A29" s="79">
        <v>44189</v>
      </c>
      <c r="B29" s="87">
        <v>5060</v>
      </c>
      <c r="C29" s="87">
        <v>2904</v>
      </c>
      <c r="D29" s="87">
        <v>763</v>
      </c>
      <c r="E29" s="87">
        <v>6641</v>
      </c>
      <c r="F29" s="87">
        <v>5691</v>
      </c>
      <c r="G29" s="87">
        <v>2685</v>
      </c>
      <c r="H29" s="87">
        <v>3399</v>
      </c>
      <c r="I29" s="87">
        <v>2225</v>
      </c>
      <c r="J29" s="87">
        <v>6884</v>
      </c>
      <c r="K29" s="87">
        <f t="shared" si="13"/>
        <v>27143</v>
      </c>
      <c r="L29" s="14">
        <f t="shared" si="8"/>
        <v>5428.6</v>
      </c>
      <c r="M29" s="84">
        <f>54251.8-54102.893</f>
        <v>148.90700000000652</v>
      </c>
      <c r="N29" s="84">
        <f>3929.37-3927.699</f>
        <v>1.6709999999998217</v>
      </c>
      <c r="O29" s="84">
        <f>9244.757-9243.987</f>
        <v>0.77000000000043656</v>
      </c>
      <c r="P29" s="82">
        <f>77334.348-77260.431</f>
        <v>73.917000000001281</v>
      </c>
      <c r="Q29" s="84">
        <f>21991.168-21980.108</f>
        <v>11.06000000000131</v>
      </c>
      <c r="R29" s="84">
        <f t="shared" si="0"/>
        <v>76.358000000001539</v>
      </c>
      <c r="S29" s="84">
        <f t="shared" si="1"/>
        <v>598.64672000001201</v>
      </c>
      <c r="T29" s="84">
        <f t="shared" si="2"/>
        <v>159.96700000000783</v>
      </c>
      <c r="U29" s="84">
        <f t="shared" si="14"/>
        <v>1254.1412800000614</v>
      </c>
      <c r="V29" s="84">
        <f>314818.8-314702.3</f>
        <v>116.5</v>
      </c>
      <c r="W29" s="84">
        <f t="shared" ref="W29:W36" si="17">129294.56-129294.56</f>
        <v>0</v>
      </c>
      <c r="X29" s="87" t="s">
        <v>63</v>
      </c>
      <c r="Y29" s="88">
        <v>747175.2</v>
      </c>
      <c r="Z29" s="5">
        <f t="shared" si="10"/>
        <v>451.29999999993015</v>
      </c>
      <c r="AA29" s="14">
        <f t="shared" si="6"/>
        <v>2919.910999999548</v>
      </c>
      <c r="AB29" s="88">
        <v>2326556.2000000002</v>
      </c>
      <c r="AC29" s="88">
        <f t="shared" si="15"/>
        <v>2315840.1</v>
      </c>
      <c r="AD29" s="5">
        <f t="shared" si="3"/>
        <v>10716.100000000093</v>
      </c>
      <c r="AE29" s="84">
        <f t="shared" si="11"/>
        <v>3572.908481500031</v>
      </c>
      <c r="AF29" s="84">
        <v>19.899999999999999</v>
      </c>
      <c r="AG29" s="84">
        <v>7.6</v>
      </c>
      <c r="AH29" s="84">
        <v>7.6</v>
      </c>
      <c r="AI29" s="88">
        <f t="shared" si="16"/>
        <v>40012.6</v>
      </c>
      <c r="AJ29" s="87">
        <v>40025.5</v>
      </c>
      <c r="AK29" s="48">
        <f t="shared" si="7"/>
        <v>12.900000000001455</v>
      </c>
      <c r="AL29" s="90">
        <f t="shared" si="4"/>
        <v>3668.0522555614134</v>
      </c>
      <c r="AM29" s="84">
        <f t="shared" si="12"/>
        <v>1222.9836427880086</v>
      </c>
      <c r="AN29" s="71">
        <v>82</v>
      </c>
      <c r="AO29" s="78">
        <f t="shared" si="5"/>
        <v>13175.560761499641</v>
      </c>
    </row>
    <row r="30" spans="1:41" x14ac:dyDescent="0.25">
      <c r="A30" s="79">
        <v>44190</v>
      </c>
      <c r="B30" s="87">
        <v>6241</v>
      </c>
      <c r="C30" s="87">
        <v>2852</v>
      </c>
      <c r="D30" s="87">
        <v>801</v>
      </c>
      <c r="E30" s="87">
        <v>7179</v>
      </c>
      <c r="F30" s="87">
        <v>5867</v>
      </c>
      <c r="G30" s="87">
        <v>2733</v>
      </c>
      <c r="H30" s="87">
        <v>3500</v>
      </c>
      <c r="I30" s="87">
        <v>2196</v>
      </c>
      <c r="J30" s="87">
        <v>6863</v>
      </c>
      <c r="K30" s="87">
        <f t="shared" si="13"/>
        <v>29173</v>
      </c>
      <c r="L30" s="14">
        <f t="shared" si="8"/>
        <v>5834.6</v>
      </c>
      <c r="M30" s="84">
        <f>54392.384-54251.8</f>
        <v>140.58399999999529</v>
      </c>
      <c r="N30" s="84">
        <f>3930.316-3929.37</f>
        <v>0.94599999999991269</v>
      </c>
      <c r="O30" s="84">
        <f>9245.383-9244.757</f>
        <v>0.62600000000020373</v>
      </c>
      <c r="P30" s="82">
        <f>77416.325-77334.348</f>
        <v>81.976999999998952</v>
      </c>
      <c r="Q30" s="84">
        <f>21996.966-21991.168</f>
        <v>5.797999999998865</v>
      </c>
      <c r="R30" s="84">
        <f t="shared" si="0"/>
        <v>83.548999999999069</v>
      </c>
      <c r="S30" s="84">
        <f t="shared" si="1"/>
        <v>655.02415999999266</v>
      </c>
      <c r="T30" s="84">
        <f t="shared" si="2"/>
        <v>146.38199999999415</v>
      </c>
      <c r="U30" s="84">
        <f t="shared" si="14"/>
        <v>1147.6348799999541</v>
      </c>
      <c r="V30" s="84">
        <f>314938.6-314818.8</f>
        <v>119.79999999998836</v>
      </c>
      <c r="W30" s="84">
        <f t="shared" si="17"/>
        <v>0</v>
      </c>
      <c r="X30" s="87" t="s">
        <v>63</v>
      </c>
      <c r="Y30" s="88">
        <v>747656.4</v>
      </c>
      <c r="Z30" s="5">
        <f t="shared" si="10"/>
        <v>481.20000000006985</v>
      </c>
      <c r="AA30" s="14">
        <f t="shared" si="6"/>
        <v>3113.3640000004516</v>
      </c>
      <c r="AB30" s="88">
        <v>2337268.7000000002</v>
      </c>
      <c r="AC30" s="88">
        <f t="shared" si="15"/>
        <v>2326556.2000000002</v>
      </c>
      <c r="AD30" s="5">
        <f t="shared" si="3"/>
        <v>10712.5</v>
      </c>
      <c r="AE30" s="84">
        <f t="shared" si="11"/>
        <v>3571.7081875000003</v>
      </c>
      <c r="AF30" s="84">
        <v>20.8</v>
      </c>
      <c r="AG30" s="84">
        <v>6.1</v>
      </c>
      <c r="AH30" s="84">
        <v>7.2</v>
      </c>
      <c r="AI30" s="88">
        <f t="shared" si="16"/>
        <v>40025.5</v>
      </c>
      <c r="AJ30" s="87">
        <v>40038.699999999997</v>
      </c>
      <c r="AK30" s="48">
        <f t="shared" si="7"/>
        <v>13.19999999999709</v>
      </c>
      <c r="AL30" s="90">
        <f t="shared" si="4"/>
        <v>3753.3557963871722</v>
      </c>
      <c r="AM30" s="84">
        <f t="shared" si="12"/>
        <v>1251.425122852429</v>
      </c>
      <c r="AN30" s="71">
        <v>89</v>
      </c>
      <c r="AO30" s="78">
        <f t="shared" si="5"/>
        <v>13667.307067500406</v>
      </c>
    </row>
    <row r="31" spans="1:41" x14ac:dyDescent="0.25">
      <c r="A31" s="79">
        <v>44191</v>
      </c>
      <c r="B31" s="87">
        <v>7073</v>
      </c>
      <c r="C31" s="87">
        <v>2048</v>
      </c>
      <c r="D31" s="87">
        <v>805</v>
      </c>
      <c r="E31" s="87">
        <v>6347</v>
      </c>
      <c r="F31" s="87">
        <v>5406</v>
      </c>
      <c r="G31" s="87">
        <v>2718</v>
      </c>
      <c r="H31" s="87">
        <v>3468</v>
      </c>
      <c r="I31" s="87">
        <v>2167</v>
      </c>
      <c r="J31" s="87">
        <v>6457</v>
      </c>
      <c r="K31" s="87">
        <f t="shared" si="13"/>
        <v>27865</v>
      </c>
      <c r="L31" s="14">
        <f t="shared" si="8"/>
        <v>5573</v>
      </c>
      <c r="M31" s="84">
        <f>54498.002-54392.384</f>
        <v>105.61800000000221</v>
      </c>
      <c r="N31" s="84">
        <f>3932.165-3930.316</f>
        <v>1.8490000000001601</v>
      </c>
      <c r="O31" s="84">
        <f>9246.005-9245.383</f>
        <v>0.62199999999938882</v>
      </c>
      <c r="P31" s="82">
        <f>77483.601-77416.325</f>
        <v>67.275999999998021</v>
      </c>
      <c r="Q31" s="84">
        <f>22004.976-21996.966</f>
        <v>8.0099999999983993</v>
      </c>
      <c r="R31" s="84">
        <f t="shared" si="0"/>
        <v>69.74699999999757</v>
      </c>
      <c r="S31" s="84">
        <f t="shared" si="1"/>
        <v>546.81647999998097</v>
      </c>
      <c r="T31" s="84">
        <f t="shared" si="2"/>
        <v>113.62800000000061</v>
      </c>
      <c r="U31" s="84">
        <f t="shared" si="14"/>
        <v>890.84352000000479</v>
      </c>
      <c r="V31" s="84">
        <f>315048.8-314938.6</f>
        <v>110.20000000001164</v>
      </c>
      <c r="W31" s="84">
        <f t="shared" si="17"/>
        <v>0</v>
      </c>
      <c r="X31" s="87" t="s">
        <v>63</v>
      </c>
      <c r="Y31" s="88">
        <v>748067.8</v>
      </c>
      <c r="Z31" s="5">
        <f t="shared" si="10"/>
        <v>411.40000000002328</v>
      </c>
      <c r="AA31" s="14">
        <f t="shared" si="6"/>
        <v>2661.7580000001503</v>
      </c>
      <c r="AB31" s="88">
        <v>2346608.6</v>
      </c>
      <c r="AC31" s="88">
        <f t="shared" si="15"/>
        <v>2337268.7000000002</v>
      </c>
      <c r="AD31" s="5">
        <f t="shared" si="3"/>
        <v>9339.8999999999069</v>
      </c>
      <c r="AE31" s="84">
        <f t="shared" si="11"/>
        <v>3114.0627584999693</v>
      </c>
      <c r="AF31" s="84">
        <v>17.8</v>
      </c>
      <c r="AG31" s="84">
        <v>6.1</v>
      </c>
      <c r="AH31" s="84">
        <v>7</v>
      </c>
      <c r="AI31" s="88">
        <f t="shared" si="16"/>
        <v>40038.699999999997</v>
      </c>
      <c r="AJ31" s="87">
        <v>40049.300000000003</v>
      </c>
      <c r="AK31" s="48">
        <f t="shared" si="7"/>
        <v>10.600000000005821</v>
      </c>
      <c r="AL31" s="90">
        <f t="shared" si="4"/>
        <v>3014.0584425556549</v>
      </c>
      <c r="AM31" s="84">
        <f t="shared" si="12"/>
        <v>1004.9322956246938</v>
      </c>
      <c r="AN31" s="71">
        <v>71</v>
      </c>
      <c r="AO31" s="78">
        <f t="shared" si="5"/>
        <v>12239.664278500124</v>
      </c>
    </row>
    <row r="32" spans="1:41" x14ac:dyDescent="0.25">
      <c r="A32" s="79">
        <v>44192</v>
      </c>
      <c r="B32" s="87">
        <v>5733</v>
      </c>
      <c r="C32" s="87">
        <v>2144</v>
      </c>
      <c r="D32" s="87">
        <v>765</v>
      </c>
      <c r="E32" s="87">
        <v>6402</v>
      </c>
      <c r="F32" s="87">
        <v>5223</v>
      </c>
      <c r="G32" s="87">
        <v>2728</v>
      </c>
      <c r="H32" s="87">
        <v>3462</v>
      </c>
      <c r="I32" s="87">
        <v>2161</v>
      </c>
      <c r="J32" s="87">
        <v>6457</v>
      </c>
      <c r="K32" s="87">
        <f t="shared" si="13"/>
        <v>26457</v>
      </c>
      <c r="L32" s="14">
        <f t="shared" si="8"/>
        <v>5291.4000000000005</v>
      </c>
      <c r="M32" s="84">
        <f>54624.98-54498.002</f>
        <v>126.97800000000279</v>
      </c>
      <c r="N32" s="84">
        <f>3933.039-3932.165</f>
        <v>0.87400000000025102</v>
      </c>
      <c r="O32" s="84">
        <f>9246.556-9246.005</f>
        <v>0.55100000000129512</v>
      </c>
      <c r="P32" s="82">
        <f>77548.747-77483.601</f>
        <v>65.146000000007916</v>
      </c>
      <c r="Q32" s="84">
        <f>22014.093-22004.976</f>
        <v>9.1170000000020082</v>
      </c>
      <c r="R32" s="84">
        <f t="shared" si="0"/>
        <v>66.571000000009462</v>
      </c>
      <c r="S32" s="84">
        <f t="shared" si="1"/>
        <v>521.91664000007415</v>
      </c>
      <c r="T32" s="84">
        <f t="shared" si="2"/>
        <v>136.0950000000048</v>
      </c>
      <c r="U32" s="84">
        <f t="shared" si="14"/>
        <v>1066.9848000000377</v>
      </c>
      <c r="V32" s="84">
        <f>315177.9-315048.8</f>
        <v>129.10000000003492</v>
      </c>
      <c r="W32" s="84">
        <f t="shared" si="17"/>
        <v>0</v>
      </c>
      <c r="X32" s="87" t="s">
        <v>63</v>
      </c>
      <c r="Y32" s="88">
        <v>748498.2</v>
      </c>
      <c r="Z32" s="5">
        <f t="shared" si="10"/>
        <v>430.39999999990687</v>
      </c>
      <c r="AA32" s="14">
        <f t="shared" si="6"/>
        <v>2784.6879999993971</v>
      </c>
      <c r="AB32" s="88">
        <v>2356385.7999999998</v>
      </c>
      <c r="AC32" s="88">
        <f t="shared" si="15"/>
        <v>2346608.6</v>
      </c>
      <c r="AD32" s="5">
        <f t="shared" si="3"/>
        <v>9777.1999999997206</v>
      </c>
      <c r="AE32" s="84">
        <f t="shared" si="11"/>
        <v>3259.8651379999069</v>
      </c>
      <c r="AF32" s="84">
        <v>19</v>
      </c>
      <c r="AG32" s="84">
        <v>6.1</v>
      </c>
      <c r="AH32" s="84">
        <v>6.9</v>
      </c>
      <c r="AI32" s="88">
        <f t="shared" si="16"/>
        <v>40049.300000000003</v>
      </c>
      <c r="AJ32" s="87">
        <v>40060.699999999997</v>
      </c>
      <c r="AK32" s="48">
        <f t="shared" si="7"/>
        <v>11.399999999994179</v>
      </c>
      <c r="AL32" s="90">
        <f t="shared" si="4"/>
        <v>3241.5345514243445</v>
      </c>
      <c r="AM32" s="84">
        <f t="shared" si="12"/>
        <v>1080.7762424631478</v>
      </c>
      <c r="AN32" s="71">
        <v>101</v>
      </c>
      <c r="AO32" s="78">
        <f t="shared" si="5"/>
        <v>12402.937937999341</v>
      </c>
    </row>
    <row r="33" spans="1:41" x14ac:dyDescent="0.25">
      <c r="A33" s="79">
        <v>44193</v>
      </c>
      <c r="B33" s="87">
        <v>5432</v>
      </c>
      <c r="C33" s="87">
        <v>2166</v>
      </c>
      <c r="D33" s="87">
        <v>806</v>
      </c>
      <c r="E33" s="87">
        <v>6473</v>
      </c>
      <c r="F33" s="87">
        <v>5292</v>
      </c>
      <c r="G33" s="87">
        <v>2724</v>
      </c>
      <c r="H33" s="87">
        <v>3460</v>
      </c>
      <c r="I33" s="87">
        <v>2168</v>
      </c>
      <c r="J33" s="87">
        <v>6461</v>
      </c>
      <c r="K33" s="87">
        <f t="shared" si="13"/>
        <v>26353</v>
      </c>
      <c r="L33" s="14">
        <f t="shared" si="8"/>
        <v>5270.6</v>
      </c>
      <c r="M33" s="84">
        <f>54750.253-54624.98</f>
        <v>125.27299999999377</v>
      </c>
      <c r="N33" s="84">
        <f>3934.294-3933.039</f>
        <v>1.2549999999996544</v>
      </c>
      <c r="O33" s="84">
        <f>9247.157-9246.556</f>
        <v>0.60099999999874854</v>
      </c>
      <c r="P33" s="82">
        <f>77613.651-77548.747</f>
        <v>64.903999999994994</v>
      </c>
      <c r="Q33" s="84">
        <f>22023.668-22014.093</f>
        <v>9.5750000000007276</v>
      </c>
      <c r="R33" s="84">
        <f t="shared" si="0"/>
        <v>66.759999999993397</v>
      </c>
      <c r="S33" s="84">
        <f t="shared" si="1"/>
        <v>523.3983999999482</v>
      </c>
      <c r="T33" s="84">
        <f t="shared" si="2"/>
        <v>134.8479999999945</v>
      </c>
      <c r="U33" s="84">
        <f t="shared" si="14"/>
        <v>1057.2083199999568</v>
      </c>
      <c r="V33" s="84">
        <f>315300.1-315177.9</f>
        <v>122.19999999995343</v>
      </c>
      <c r="W33" s="84">
        <f t="shared" si="17"/>
        <v>0</v>
      </c>
      <c r="X33" s="87" t="s">
        <v>63</v>
      </c>
      <c r="Y33" s="88">
        <v>748922.3</v>
      </c>
      <c r="Z33" s="5">
        <f t="shared" si="10"/>
        <v>424.10000000009313</v>
      </c>
      <c r="AA33" s="14">
        <f t="shared" si="6"/>
        <v>2743.9270000006027</v>
      </c>
      <c r="AB33" s="88">
        <v>2365608.1</v>
      </c>
      <c r="AC33" s="88">
        <f t="shared" si="15"/>
        <v>2356385.7999999998</v>
      </c>
      <c r="AD33" s="5">
        <f t="shared" si="3"/>
        <v>9222.3000000002794</v>
      </c>
      <c r="AE33" s="84">
        <f t="shared" si="11"/>
        <v>3074.8531545000933</v>
      </c>
      <c r="AF33" s="84">
        <f>81690.2-81672.7</f>
        <v>17.5</v>
      </c>
      <c r="AG33" s="84">
        <f>42729.7-42723.3</f>
        <v>6.3999999999941792</v>
      </c>
      <c r="AH33" s="84">
        <f>25641.7-25635</f>
        <v>6.7000000000007276</v>
      </c>
      <c r="AI33" s="88">
        <f t="shared" si="16"/>
        <v>40060.699999999997</v>
      </c>
      <c r="AJ33" s="87">
        <v>40071.599999999999</v>
      </c>
      <c r="AK33" s="48">
        <f t="shared" si="7"/>
        <v>10.900000000001455</v>
      </c>
      <c r="AL33" s="90">
        <f t="shared" si="4"/>
        <v>3099.3619833814137</v>
      </c>
      <c r="AM33" s="84">
        <f t="shared" si="12"/>
        <v>1033.3737756891142</v>
      </c>
      <c r="AN33" s="71">
        <v>122</v>
      </c>
      <c r="AO33" s="78">
        <f t="shared" si="5"/>
        <v>12146.588474500653</v>
      </c>
    </row>
    <row r="34" spans="1:41" x14ac:dyDescent="0.25">
      <c r="A34" s="79">
        <v>44194</v>
      </c>
      <c r="B34" s="87">
        <v>4634</v>
      </c>
      <c r="C34" s="87">
        <v>2084</v>
      </c>
      <c r="D34" s="87">
        <v>822</v>
      </c>
      <c r="E34" s="87">
        <v>6465</v>
      </c>
      <c r="F34" s="87">
        <v>5374</v>
      </c>
      <c r="G34" s="87">
        <v>2734</v>
      </c>
      <c r="H34" s="87">
        <v>3494</v>
      </c>
      <c r="I34" s="87">
        <v>2126</v>
      </c>
      <c r="J34" s="87">
        <v>6906</v>
      </c>
      <c r="K34" s="87">
        <f t="shared" si="13"/>
        <v>25607</v>
      </c>
      <c r="L34" s="14">
        <f t="shared" si="8"/>
        <v>5121.4000000000005</v>
      </c>
      <c r="M34" s="84">
        <f>54884.17-54750.253</f>
        <v>133.91700000000128</v>
      </c>
      <c r="N34" s="84">
        <f>3935.533-3934.294</f>
        <v>1.2390000000000327</v>
      </c>
      <c r="O34" s="84">
        <f>9247.685-9247.157</f>
        <v>0.52800000000024738</v>
      </c>
      <c r="P34" s="82">
        <f>77679.97-77613.651</f>
        <v>66.319000000003143</v>
      </c>
      <c r="Q34" s="84">
        <f>22031.726-22023.668</f>
        <v>8.0579999999972642</v>
      </c>
      <c r="R34" s="84">
        <f t="shared" si="0"/>
        <v>68.086000000003423</v>
      </c>
      <c r="S34" s="84">
        <f t="shared" si="1"/>
        <v>533.79424000002678</v>
      </c>
      <c r="T34" s="84">
        <f t="shared" si="2"/>
        <v>141.97499999999854</v>
      </c>
      <c r="U34" s="84">
        <f t="shared" si="14"/>
        <v>1113.0839999999885</v>
      </c>
      <c r="V34" s="84">
        <f>315427.1-315300.1</f>
        <v>127</v>
      </c>
      <c r="W34" s="84">
        <f t="shared" si="17"/>
        <v>0</v>
      </c>
      <c r="X34" s="87" t="s">
        <v>63</v>
      </c>
      <c r="Y34" s="88">
        <v>749326.4</v>
      </c>
      <c r="Z34" s="5">
        <f t="shared" si="10"/>
        <v>404.09999999997672</v>
      </c>
      <c r="AA34" s="14">
        <f t="shared" si="6"/>
        <v>2614.5269999998491</v>
      </c>
      <c r="AB34" s="88">
        <v>2376077.4</v>
      </c>
      <c r="AC34" s="88">
        <f t="shared" si="15"/>
        <v>2365608.1</v>
      </c>
      <c r="AD34" s="5">
        <f t="shared" si="3"/>
        <v>10469.299999999814</v>
      </c>
      <c r="AE34" s="84">
        <f t="shared" si="11"/>
        <v>3490.6216594999382</v>
      </c>
      <c r="AF34" s="84">
        <f>81709.7-81690.2</f>
        <v>19.5</v>
      </c>
      <c r="AG34" s="84">
        <f>42736.8-42729.7</f>
        <v>7.1000000000058208</v>
      </c>
      <c r="AH34" s="84">
        <f>25648.9-25641.7</f>
        <v>7.2000000000007276</v>
      </c>
      <c r="AI34" s="88">
        <f t="shared" si="16"/>
        <v>40071.599999999999</v>
      </c>
      <c r="AJ34" s="87">
        <v>40083.699999999997</v>
      </c>
      <c r="AK34" s="48">
        <f t="shared" si="7"/>
        <v>12.099999999998545</v>
      </c>
      <c r="AL34" s="90">
        <f t="shared" si="4"/>
        <v>3440.5761466885861</v>
      </c>
      <c r="AM34" s="84">
        <f t="shared" si="12"/>
        <v>1147.1396959481749</v>
      </c>
      <c r="AN34" s="71">
        <v>100</v>
      </c>
      <c r="AO34" s="78">
        <f t="shared" si="5"/>
        <v>12339.632659499777</v>
      </c>
    </row>
    <row r="35" spans="1:41" x14ac:dyDescent="0.25">
      <c r="A35" s="79">
        <v>44195</v>
      </c>
      <c r="B35" s="87">
        <v>5152</v>
      </c>
      <c r="C35" s="87">
        <v>2190</v>
      </c>
      <c r="D35" s="87">
        <v>851</v>
      </c>
      <c r="E35" s="87">
        <v>6518</v>
      </c>
      <c r="F35" s="87">
        <v>5787</v>
      </c>
      <c r="G35" s="87">
        <v>2758</v>
      </c>
      <c r="H35" s="87">
        <v>3685</v>
      </c>
      <c r="I35" s="87">
        <v>2237</v>
      </c>
      <c r="J35" s="87">
        <v>7059</v>
      </c>
      <c r="K35" s="87">
        <f t="shared" ref="K35:K36" si="18">SUM(B35:H35)</f>
        <v>26941</v>
      </c>
      <c r="L35" s="14">
        <f t="shared" ref="L35:L36" si="19">K35*0.2</f>
        <v>5388.2000000000007</v>
      </c>
      <c r="M35" s="84">
        <f>55019.113-54884.17</f>
        <v>134.9429999999993</v>
      </c>
      <c r="N35" s="84">
        <f>3936.944-3935.533</f>
        <v>1.4110000000000582</v>
      </c>
      <c r="O35" s="84">
        <f>9248.335-9247.685</f>
        <v>0.6499999999996362</v>
      </c>
      <c r="P35" s="82">
        <f>77747.912-77679.097</f>
        <v>68.815000000002328</v>
      </c>
      <c r="Q35" s="84">
        <f>22041.605-22031.726</f>
        <v>9.8790000000008149</v>
      </c>
      <c r="R35" s="84">
        <f t="shared" ref="R35:R36" si="20">N35+O35+P35</f>
        <v>70.876000000002023</v>
      </c>
      <c r="S35" s="84">
        <f t="shared" ref="S35:S36" si="21">(N35+O35+P35)*7.84</f>
        <v>555.66784000001587</v>
      </c>
      <c r="T35" s="84">
        <f t="shared" ref="T35:T36" si="22">M35+Q35</f>
        <v>144.82200000000012</v>
      </c>
      <c r="U35" s="84">
        <f t="shared" ref="U35:U36" si="23">T35*7.84</f>
        <v>1135.4044800000008</v>
      </c>
      <c r="V35" s="84">
        <f>315562.6-315427.1</f>
        <v>135.5</v>
      </c>
      <c r="W35" s="84">
        <f t="shared" si="17"/>
        <v>0</v>
      </c>
      <c r="X35" s="87" t="s">
        <v>63</v>
      </c>
      <c r="Y35" s="88">
        <v>749756.5</v>
      </c>
      <c r="Z35" s="5">
        <f t="shared" ref="Z35:Z36" si="24">IF((Y35-Y34&lt;0), "0",Y35-Y34)</f>
        <v>430.09999999997672</v>
      </c>
      <c r="AA35" s="14">
        <f t="shared" ref="AA35:AA36" si="25">Z35*6.47</f>
        <v>2782.7469999998493</v>
      </c>
      <c r="AB35" s="88">
        <v>2386663.7999999998</v>
      </c>
      <c r="AC35" s="88">
        <f t="shared" si="15"/>
        <v>2376077.4</v>
      </c>
      <c r="AD35" s="5">
        <f t="shared" si="3"/>
        <v>10586.399999999907</v>
      </c>
      <c r="AE35" s="84">
        <f t="shared" si="11"/>
        <v>3529.6645559999693</v>
      </c>
      <c r="AF35" s="148">
        <f>81729.3-81709.7</f>
        <v>19.600000000005821</v>
      </c>
      <c r="AG35" s="84">
        <f>42743.8-42736.8</f>
        <v>7</v>
      </c>
      <c r="AH35" s="84">
        <f>25656.3-25648.9</f>
        <v>7.3999999999978172</v>
      </c>
      <c r="AI35" s="88">
        <f t="shared" si="16"/>
        <v>40083.699999999997</v>
      </c>
      <c r="AJ35" s="87">
        <v>40096</v>
      </c>
      <c r="AK35" s="48">
        <f t="shared" ref="AK35:AK36" si="26">IF((AJ35-AI35)&lt;0, "0",AJ35-AI35)</f>
        <v>12.30000000000291</v>
      </c>
      <c r="AL35" s="90">
        <f t="shared" ref="AL35:AL36" si="27">AK35*(284.34513609)</f>
        <v>3497.4451739078272</v>
      </c>
      <c r="AM35" s="84">
        <f t="shared" ref="AM35:AM36" si="28">AL35*0.333415</f>
        <v>1166.1006826584783</v>
      </c>
      <c r="AN35" s="143">
        <v>79</v>
      </c>
      <c r="AO35" s="78">
        <f t="shared" ref="AO35" si="29">L35+U35+AA35+AE35</f>
        <v>12836.016035999821</v>
      </c>
    </row>
    <row r="36" spans="1:41" ht="21.75" thickBot="1" x14ac:dyDescent="0.3">
      <c r="A36" s="92">
        <v>44196</v>
      </c>
      <c r="B36" s="93">
        <v>4796</v>
      </c>
      <c r="C36" s="93">
        <v>2066</v>
      </c>
      <c r="D36" s="93">
        <v>870</v>
      </c>
      <c r="E36" s="93">
        <v>6484</v>
      </c>
      <c r="F36" s="93">
        <v>5802</v>
      </c>
      <c r="G36" s="93">
        <v>2899</v>
      </c>
      <c r="H36" s="93">
        <v>3582</v>
      </c>
      <c r="I36" s="93">
        <v>2311</v>
      </c>
      <c r="J36" s="93">
        <v>6775</v>
      </c>
      <c r="K36" s="93">
        <f t="shared" si="18"/>
        <v>26499</v>
      </c>
      <c r="L36" s="94">
        <f t="shared" si="19"/>
        <v>5299.8</v>
      </c>
      <c r="M36" s="95">
        <f>55150.227-55019.113</f>
        <v>131.1140000000014</v>
      </c>
      <c r="N36" s="95">
        <f>3938.652-3936.944</f>
        <v>1.7080000000000837</v>
      </c>
      <c r="O36" s="95">
        <f>9249.302-9248.335</f>
        <v>0.96700000000055297</v>
      </c>
      <c r="P36" s="96">
        <f>77816.142-77747.912</f>
        <v>68.230000000010477</v>
      </c>
      <c r="Q36" s="95">
        <f>22048.978-22041.605</f>
        <v>7.3729999999995925</v>
      </c>
      <c r="R36" s="95">
        <f t="shared" si="20"/>
        <v>70.905000000011114</v>
      </c>
      <c r="S36" s="95">
        <f t="shared" si="21"/>
        <v>555.89520000008713</v>
      </c>
      <c r="T36" s="95">
        <f t="shared" si="22"/>
        <v>138.48700000000099</v>
      </c>
      <c r="U36" s="95">
        <f t="shared" si="23"/>
        <v>1085.7380800000078</v>
      </c>
      <c r="V36" s="95">
        <f>315690.2-315562.6</f>
        <v>127.60000000003492</v>
      </c>
      <c r="W36" s="95">
        <f t="shared" si="17"/>
        <v>0</v>
      </c>
      <c r="X36" s="93" t="s">
        <v>63</v>
      </c>
      <c r="Y36" s="98">
        <v>750235.6</v>
      </c>
      <c r="Z36" s="97">
        <f t="shared" si="24"/>
        <v>479.09999999997672</v>
      </c>
      <c r="AA36" s="94">
        <f t="shared" si="25"/>
        <v>3099.7769999998491</v>
      </c>
      <c r="AB36" s="98">
        <v>2398066.9</v>
      </c>
      <c r="AC36" s="98">
        <f>AB35</f>
        <v>2386663.7999999998</v>
      </c>
      <c r="AD36" s="97">
        <f t="shared" si="3"/>
        <v>11403.100000000093</v>
      </c>
      <c r="AE36" s="95">
        <f t="shared" si="11"/>
        <v>3801.9645865000311</v>
      </c>
      <c r="AF36" s="95">
        <f>81750.6-81729.3</f>
        <v>21.30000000000291</v>
      </c>
      <c r="AG36" s="95">
        <f>42750.9-42743.8</f>
        <v>7.0999999999985448</v>
      </c>
      <c r="AH36" s="95">
        <f>25663.8-25656.3</f>
        <v>7.5</v>
      </c>
      <c r="AI36" s="98">
        <f t="shared" si="16"/>
        <v>40096</v>
      </c>
      <c r="AJ36" s="93">
        <v>40110.5</v>
      </c>
      <c r="AK36" s="99">
        <f t="shared" si="26"/>
        <v>14.5</v>
      </c>
      <c r="AL36" s="100">
        <f t="shared" si="27"/>
        <v>4123.0044733049999</v>
      </c>
      <c r="AM36" s="95">
        <f t="shared" si="28"/>
        <v>1374.6715364669867</v>
      </c>
      <c r="AN36" s="119">
        <v>124</v>
      </c>
      <c r="AO36" s="101">
        <f>L36+U36+AA36+AE36</f>
        <v>13287.279666499888</v>
      </c>
    </row>
    <row r="37" spans="1:41" x14ac:dyDescent="0.25">
      <c r="A37" s="76"/>
      <c r="D37" s="6">
        <f>SUM(D6:D36)</f>
        <v>25129</v>
      </c>
      <c r="E37" s="6" t="s">
        <v>93</v>
      </c>
      <c r="G37" s="6">
        <f t="shared" ref="G37:L37" si="30">SUM(G6:G36)</f>
        <v>86291</v>
      </c>
      <c r="H37" s="6">
        <f t="shared" si="30"/>
        <v>128318</v>
      </c>
      <c r="I37" s="6">
        <f t="shared" si="30"/>
        <v>70027</v>
      </c>
      <c r="J37" s="6">
        <f t="shared" si="30"/>
        <v>212759</v>
      </c>
      <c r="K37" s="6">
        <f t="shared" si="30"/>
        <v>866205</v>
      </c>
      <c r="L37" s="15">
        <f t="shared" si="30"/>
        <v>173241</v>
      </c>
      <c r="R37" s="16">
        <f>SUM(R6:R36)</f>
        <v>2229.5630000000097</v>
      </c>
      <c r="T37" s="16">
        <f>SUM(T6:T36)</f>
        <v>4118.7069999999949</v>
      </c>
      <c r="U37" s="16">
        <f t="shared" si="14"/>
        <v>32290.66287999996</v>
      </c>
      <c r="Z37" s="17">
        <f>SUM(Z6:Z36)</f>
        <v>12900.900000000023</v>
      </c>
      <c r="AA37" s="17">
        <f>SUM(AA6:AA36)</f>
        <v>83468.82300000012</v>
      </c>
      <c r="AD37" s="17">
        <f>SUM(AD6:AD36)</f>
        <v>392575.89999999991</v>
      </c>
      <c r="AE37" s="16">
        <f>AD37*0.334569</f>
        <v>131343.72628709997</v>
      </c>
      <c r="AF37" s="16">
        <f>SUM(AF6:AF36)</f>
        <v>702.10000000000855</v>
      </c>
      <c r="AG37" s="16">
        <f>SUM(AG6:AG36)</f>
        <v>330.39999999999867</v>
      </c>
      <c r="AH37" s="16">
        <f>SUM(AH6:AH36)</f>
        <v>246.19999999999931</v>
      </c>
      <c r="AK37" s="42">
        <f>SUM(AK6:AK36)</f>
        <v>441.80000000000291</v>
      </c>
      <c r="AL37" s="42">
        <f>SUM(AL6:AL36)</f>
        <v>125623.68112456281</v>
      </c>
      <c r="AM37" s="42">
        <f>SUM(AM6:AM36)</f>
        <v>41884.819642146111</v>
      </c>
      <c r="AN37" s="42">
        <f>SUM(AN6:AN36)</f>
        <v>2638</v>
      </c>
      <c r="AO37" s="42">
        <f>SUM(AO6:AO36)</f>
        <v>419891.17957849998</v>
      </c>
    </row>
    <row r="38" spans="1:41" x14ac:dyDescent="0.25">
      <c r="D38" s="6" t="e">
        <f>#REF!*24</f>
        <v>#REF!</v>
      </c>
      <c r="E38" s="6" t="s">
        <v>1</v>
      </c>
      <c r="R38" s="16">
        <v>7.84</v>
      </c>
      <c r="T38" s="16" t="s">
        <v>99</v>
      </c>
      <c r="U38" s="16">
        <f>U37-R39</f>
        <v>14810.888959999884</v>
      </c>
    </row>
    <row r="39" spans="1:41" x14ac:dyDescent="0.25">
      <c r="D39" s="6" t="e">
        <f>D38*31</f>
        <v>#REF!</v>
      </c>
      <c r="E39" s="6" t="s">
        <v>2</v>
      </c>
      <c r="F39" s="6" t="s">
        <v>94</v>
      </c>
      <c r="G39" s="6" t="e">
        <f>D39*0.2</f>
        <v>#REF!</v>
      </c>
      <c r="R39" s="16">
        <f>R37*R38</f>
        <v>17479.773920000076</v>
      </c>
      <c r="U39" s="16">
        <f>U38/R38</f>
        <v>1889.1439999999852</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2021-01-03T10:25:46Z</dcterms:modified>
</cp:coreProperties>
</file>