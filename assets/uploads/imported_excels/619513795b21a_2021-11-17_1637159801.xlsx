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7992" documentId="8_{5B502D95-7A37-4D5A-8B6B-374537CC2F26}" xr6:coauthVersionLast="47" xr6:coauthVersionMax="47" xr10:uidLastSave="{E85CEE0D-7D37-4F73-80C9-D4826E8CD97E}"/>
  <bookViews>
    <workbookView xWindow="-120" yWindow="-120" windowWidth="15600" windowHeight="11760" tabRatio="764" firstSheet="3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5" i="2" l="1"/>
  <c r="N26" i="2"/>
  <c r="M26" i="2"/>
  <c r="L26" i="2"/>
  <c r="F26" i="2"/>
  <c r="K25" i="6"/>
  <c r="I25" i="6"/>
  <c r="G25" i="6"/>
  <c r="E25" i="6"/>
  <c r="V24" i="2"/>
  <c r="N25" i="2"/>
  <c r="M25" i="2"/>
  <c r="L25" i="2"/>
  <c r="F25" i="2"/>
  <c r="K24" i="6"/>
  <c r="I24" i="6"/>
  <c r="G24" i="6"/>
  <c r="E24" i="6"/>
  <c r="V21" i="2"/>
  <c r="V22" i="2"/>
  <c r="V23" i="2"/>
  <c r="N22" i="2"/>
  <c r="N23" i="2"/>
  <c r="N24" i="2"/>
  <c r="M22" i="2"/>
  <c r="M23" i="2"/>
  <c r="M24" i="2"/>
  <c r="L22" i="2"/>
  <c r="L23" i="2"/>
  <c r="L24" i="2"/>
  <c r="F22" i="2"/>
  <c r="F23" i="2"/>
  <c r="F24" i="2"/>
  <c r="K21" i="6"/>
  <c r="I21" i="6"/>
  <c r="G21" i="6"/>
  <c r="E21" i="6"/>
  <c r="E22" i="6"/>
  <c r="E23" i="6"/>
  <c r="V20" i="2"/>
  <c r="N21" i="2"/>
  <c r="M21" i="2"/>
  <c r="L21" i="2"/>
  <c r="F21" i="2"/>
  <c r="K20" i="6"/>
  <c r="I20" i="6"/>
  <c r="G20" i="6"/>
  <c r="E20" i="6"/>
  <c r="V19" i="2"/>
  <c r="N20" i="2"/>
  <c r="M20" i="2"/>
  <c r="L20" i="2"/>
  <c r="F20" i="2"/>
  <c r="K19" i="6"/>
  <c r="I19" i="6"/>
  <c r="G19" i="6"/>
  <c r="E19" i="6"/>
  <c r="V18" i="2"/>
  <c r="N19" i="2"/>
  <c r="L19" i="2"/>
  <c r="F19" i="2"/>
  <c r="K18" i="6"/>
  <c r="I18" i="6"/>
  <c r="G18" i="6"/>
  <c r="E18" i="6"/>
  <c r="V17" i="2"/>
  <c r="N18" i="2"/>
  <c r="M18" i="2"/>
  <c r="M19" i="2"/>
  <c r="L18" i="2"/>
  <c r="F18" i="2"/>
  <c r="K17" i="6"/>
  <c r="I17" i="6"/>
  <c r="G17" i="6"/>
  <c r="E17" i="6"/>
  <c r="V14" i="2"/>
  <c r="V15" i="2"/>
  <c r="V16" i="2"/>
  <c r="N15" i="2"/>
  <c r="N16" i="2"/>
  <c r="N17" i="2"/>
  <c r="M15" i="2"/>
  <c r="M16" i="2"/>
  <c r="M17" i="2"/>
  <c r="L15" i="2"/>
  <c r="L16" i="2"/>
  <c r="L17" i="2"/>
  <c r="F15" i="2"/>
  <c r="F16" i="2"/>
  <c r="F17" i="2"/>
  <c r="K15" i="6"/>
  <c r="I15" i="6"/>
  <c r="G15" i="6"/>
  <c r="E15" i="6"/>
  <c r="K14" i="6"/>
  <c r="I14" i="6"/>
  <c r="G14" i="6"/>
  <c r="E14" i="6"/>
  <c r="V13" i="2"/>
  <c r="N14" i="2"/>
  <c r="M14" i="2"/>
  <c r="L14" i="2"/>
  <c r="F14" i="2"/>
  <c r="K13" i="6"/>
  <c r="I13" i="6"/>
  <c r="G13" i="6"/>
  <c r="E13" i="6"/>
  <c r="V11" i="2"/>
  <c r="V12" i="2"/>
  <c r="N12" i="2"/>
  <c r="N13" i="2"/>
  <c r="M12" i="2"/>
  <c r="M13" i="2"/>
  <c r="L12" i="2"/>
  <c r="L13" i="2"/>
  <c r="F12" i="2"/>
  <c r="F13" i="2"/>
  <c r="K12" i="6"/>
  <c r="I12" i="6"/>
  <c r="G12" i="6"/>
  <c r="E12" i="6"/>
  <c r="K11" i="6"/>
  <c r="I11" i="6"/>
  <c r="G11" i="6"/>
  <c r="E11" i="6"/>
  <c r="C11" i="6"/>
  <c r="V10" i="2"/>
  <c r="N11" i="2"/>
  <c r="M11" i="2"/>
  <c r="L11" i="2"/>
  <c r="F11" i="2"/>
  <c r="K10" i="6"/>
  <c r="I10" i="6"/>
  <c r="G10" i="6"/>
  <c r="C10" i="6"/>
  <c r="E10" i="6"/>
  <c r="N10" i="2"/>
  <c r="M10" i="2"/>
  <c r="L10" i="2"/>
  <c r="F10" i="2"/>
  <c r="G4" i="4"/>
  <c r="E4" i="4"/>
  <c r="C4" i="4"/>
  <c r="G30" i="22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10" i="2"/>
  <c r="Q39" i="2"/>
  <c r="O39" i="2"/>
  <c r="K38" i="6"/>
  <c r="I38" i="6"/>
  <c r="G38" i="6"/>
  <c r="E38" i="6"/>
  <c r="K37" i="6"/>
  <c r="I37" i="6"/>
  <c r="G37" i="6"/>
  <c r="E37" i="6"/>
  <c r="K36" i="6"/>
  <c r="I36" i="6"/>
  <c r="G36" i="6"/>
  <c r="E36" i="6"/>
  <c r="K35" i="6"/>
  <c r="I35" i="6"/>
  <c r="G35" i="6"/>
  <c r="E35" i="6"/>
  <c r="K34" i="6"/>
  <c r="I34" i="6"/>
  <c r="G34" i="6"/>
  <c r="E34" i="6"/>
  <c r="K31" i="6"/>
  <c r="K32" i="6"/>
  <c r="K33" i="6"/>
  <c r="I31" i="6"/>
  <c r="I32" i="6"/>
  <c r="I33" i="6"/>
  <c r="G31" i="6"/>
  <c r="G32" i="6"/>
  <c r="G33" i="6"/>
  <c r="E31" i="6"/>
  <c r="E32" i="6"/>
  <c r="E33" i="6"/>
  <c r="K30" i="6"/>
  <c r="I30" i="6"/>
  <c r="G30" i="6"/>
  <c r="E30" i="6"/>
  <c r="K29" i="6"/>
  <c r="I29" i="6"/>
  <c r="G29" i="6"/>
  <c r="E29" i="6"/>
  <c r="K28" i="6"/>
  <c r="I28" i="6"/>
  <c r="G28" i="6"/>
  <c r="E28" i="6"/>
  <c r="K27" i="6"/>
  <c r="I27" i="6"/>
  <c r="G27" i="6"/>
  <c r="E27" i="6"/>
  <c r="K23" i="6"/>
  <c r="I23" i="6"/>
  <c r="G23" i="6"/>
  <c r="G17" i="4"/>
  <c r="K22" i="6"/>
  <c r="I22" i="6"/>
  <c r="G22" i="6"/>
  <c r="E16" i="6"/>
  <c r="K16" i="6"/>
  <c r="I16" i="6"/>
  <c r="G16" i="6"/>
  <c r="P40" i="4"/>
  <c r="P41" i="4"/>
  <c r="P42" i="4"/>
  <c r="L31" i="22"/>
  <c r="K31" i="22"/>
  <c r="I31" i="22"/>
  <c r="I31" i="21"/>
  <c r="H31" i="21"/>
  <c r="G31" i="21"/>
  <c r="F31" i="21"/>
  <c r="E31" i="21"/>
  <c r="E31" i="22" s="1"/>
  <c r="K39" i="6"/>
  <c r="I39" i="6"/>
  <c r="G39" i="6"/>
  <c r="E39" i="6"/>
  <c r="C39" i="6"/>
  <c r="H39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C35" i="4"/>
  <c r="G30" i="21"/>
  <c r="F30" i="21"/>
  <c r="E30" i="21"/>
  <c r="E30" i="22" s="1"/>
  <c r="I30" i="22"/>
  <c r="G29" i="21"/>
  <c r="F29" i="21"/>
  <c r="E29" i="21"/>
  <c r="E29" i="22" s="1"/>
  <c r="I29" i="22"/>
  <c r="G28" i="21"/>
  <c r="F28" i="21"/>
  <c r="E28" i="21"/>
  <c r="E28" i="22" s="1"/>
  <c r="I28" i="22"/>
  <c r="E27" i="21"/>
  <c r="I27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8" i="4"/>
  <c r="G12" i="4"/>
  <c r="G13" i="4"/>
  <c r="G14" i="4"/>
  <c r="G15" i="4"/>
  <c r="G16" i="4"/>
  <c r="G18" i="4"/>
  <c r="G20" i="4"/>
  <c r="G22" i="4"/>
  <c r="G24" i="4"/>
  <c r="G26" i="4"/>
  <c r="G27" i="4"/>
  <c r="E8" i="4"/>
  <c r="E12" i="4"/>
  <c r="E13" i="4"/>
  <c r="E14" i="4"/>
  <c r="E15" i="4"/>
  <c r="E16" i="4"/>
  <c r="E17" i="4"/>
  <c r="E18" i="4"/>
  <c r="E20" i="4"/>
  <c r="E22" i="4"/>
  <c r="E24" i="4"/>
  <c r="E26" i="4"/>
  <c r="E27" i="4"/>
  <c r="C8" i="4"/>
  <c r="C12" i="4"/>
  <c r="C13" i="4"/>
  <c r="C14" i="4"/>
  <c r="C15" i="4"/>
  <c r="C16" i="4"/>
  <c r="C17" i="4"/>
  <c r="C18" i="4"/>
  <c r="C20" i="4"/>
  <c r="C22" i="4"/>
  <c r="C24" i="4"/>
  <c r="C26" i="4"/>
  <c r="C27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F40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P18" i="4" s="1"/>
  <c r="L21" i="4"/>
  <c r="N21" i="4"/>
  <c r="O21" i="4"/>
  <c r="L29" i="4"/>
  <c r="N29" i="4"/>
  <c r="O29" i="4"/>
  <c r="L24" i="4"/>
  <c r="N24" i="4"/>
  <c r="O24" i="4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G11" i="4" l="1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G29" i="22"/>
  <c r="G27" i="22"/>
  <c r="G28" i="22"/>
  <c r="L40" i="2"/>
  <c r="E22" i="22"/>
  <c r="E19" i="22"/>
  <c r="E16" i="22"/>
  <c r="G21" i="4"/>
  <c r="E21" i="4"/>
  <c r="C21" i="4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0" i="2" s="1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G3" i="22"/>
  <c r="M3" i="22" s="1"/>
  <c r="G4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G31" i="22" s="1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<sst xmlns="http://schemas.openxmlformats.org/spreadsheetml/2006/main" count="476" uniqueCount="186">
  <si>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</si>
  <si>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</si>
  <si>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</si>
  <si>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</si>
  <si>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</si>
  <si>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</si>
  <si>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</si>
  <si>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</si>
  <si>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</si>
  <si>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</si>
  <si>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</si>
  <si>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</si>
  <si>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</si>
  <si>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</si>
  <si>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</si>
  <si>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</si>
  <si>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</si>
  <si>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</si>
  <si>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</si>
  <si>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</si>
  <si>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</si>
  <si>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</si>
  <si>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</si>
  <si>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</si>
  <si>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</si>
  <si>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</si>
  <si>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</si>
  <si>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</si>
  <si>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</si>
  <si>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</si>
  <si>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</si>
  <si>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</si>
  <si>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</si>
  <si>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</si>
  <si>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</si>
  <si>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</si>
  <si>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</si>
  <si>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</si>
  <si>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</si>
  <si>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</si>
  <si>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</si>
  <si>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Nov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</si>
  <si>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</si>
  <si>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</si>
  <si>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</si>
  <si>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</si>
  <si>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</si>
  <si>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</si>
  <si>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</si>
  <si>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</si>
  <si>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</si>
  <si>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</si>
  <si>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</si>
  <si>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</si>
  <si>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</si>
  <si>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</si>
  <si>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</si>
  <si>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Nov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</si>
  <si>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</si>
  <si>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</si>
  <si>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</si>
  <si>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</si>
  <si>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</si>
  <si>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</si>
  <si>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</si>
  <si>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</si>
  <si>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</si>
  <si>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</si>
  <si>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</si>
  <si>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</si>
  <si>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</si>
  <si>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</si>
  <si>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</si>
  <si>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</si>
  <si>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</si>
  <si>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</si>
  <si>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</si>
  <si>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</si>
  <si>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</si>
  <si>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</si>
  <si>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</si>
  <si>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</si>
  <si>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</si>
  <si>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</si>
  <si>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</si>
  <si>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</si>
  <si>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</si>
  <si>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Novembre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</si>
  <si>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</si>
  <si>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</si>
  <si>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</si>
  <si>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</si>
  <si>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</si>
  <si>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</si>
  <si>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</si>
  <si>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</si>
  <si>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</si>
  <si>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</si>
  <si>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</si>
  <si>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</si>
  <si>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</si>
  <si>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</si>
  <si>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</si>
  <si>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</si>
  <si>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</si>
  <si>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</si>
  <si>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</si>
  <si>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</si>
  <si>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</si>
  <si>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</si>
  <si>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</si>
  <si>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</si>
  <si>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</si>
  <si>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</si>
  <si>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</si>
  <si>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</si>
  <si>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</si>
  <si>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</si>
  <si>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</si>
  <si>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</si>
  <si>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</si>
  <si>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</si>
  <si>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</si>
  <si>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</si>
  <si>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</si>
  <si>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</si>
  <si>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</si>
  <si>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</si>
  <si>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</si>
  <si>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</si>
  <si>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</si>
  <si>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Nov 2021</t>
  </si>
  <si>
    <t>01jours</t>
  </si>
  <si>
    <t>Estimation de la consommation d'Eau Sanitaire Nov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</si>
  <si>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</si>
  <si>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</si>
  <si>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</si>
  <si>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</si>
  <si>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</si>
  <si>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</si>
  <si>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</si>
  <si>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</si>
  <si>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</si>
  <si>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</si>
  <si>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</si>
  <si>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</si>
  <si>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</si>
  <si>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</si>
  <si>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</si>
  <si>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</si>
  <si>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</si>
  <si>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</si>
  <si>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</si>
  <si>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</si>
  <si>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</si>
  <si>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Nov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</si>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</sst>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111.30000000000291</c:v>
                </c:pt>
                <c:pt idx="1">
                  <c:v>119.69999999999709</c:v>
                </c:pt>
                <c:pt idx="2">
                  <c:v>95.900000000008731</c:v>
                </c:pt>
                <c:pt idx="3">
                  <c:v>94.599999999991269</c:v>
                </c:pt>
                <c:pt idx="4">
                  <c:v>119.80000000000291</c:v>
                </c:pt>
                <c:pt idx="5">
                  <c:v>119.30000000000291</c:v>
                </c:pt>
                <c:pt idx="6">
                  <c:v>109</c:v>
                </c:pt>
                <c:pt idx="7">
                  <c:v>95</c:v>
                </c:pt>
                <c:pt idx="8">
                  <c:v>106.89999999999418</c:v>
                </c:pt>
                <c:pt idx="9">
                  <c:v>97.900000000008731</c:v>
                </c:pt>
                <c:pt idx="10">
                  <c:v>91.80000000000291</c:v>
                </c:pt>
                <c:pt idx="11">
                  <c:v>87.299999999988358</c:v>
                </c:pt>
                <c:pt idx="12">
                  <c:v>116.40000000000873</c:v>
                </c:pt>
                <c:pt idx="13">
                  <c:v>113.69999999999709</c:v>
                </c:pt>
                <c:pt idx="14">
                  <c:v>94</c:v>
                </c:pt>
                <c:pt idx="15">
                  <c:v>85.69999999999709</c:v>
                </c:pt>
                <c:pt idx="16">
                  <c:v>91.100000000005821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3734</c:v>
                </c:pt>
                <c:pt idx="1">
                  <c:v>4391</c:v>
                </c:pt>
                <c:pt idx="2">
                  <c:v>4419</c:v>
                </c:pt>
                <c:pt idx="3">
                  <c:v>4550</c:v>
                </c:pt>
                <c:pt idx="4">
                  <c:v>3799</c:v>
                </c:pt>
                <c:pt idx="5">
                  <c:v>4238</c:v>
                </c:pt>
                <c:pt idx="6">
                  <c:v>3817</c:v>
                </c:pt>
                <c:pt idx="7">
                  <c:v>3622</c:v>
                </c:pt>
                <c:pt idx="8">
                  <c:v>3343</c:v>
                </c:pt>
                <c:pt idx="9">
                  <c:v>3276</c:v>
                </c:pt>
                <c:pt idx="10">
                  <c:v>3324</c:v>
                </c:pt>
                <c:pt idx="11">
                  <c:v>3609</c:v>
                </c:pt>
                <c:pt idx="12">
                  <c:v>3595</c:v>
                </c:pt>
                <c:pt idx="13">
                  <c:v>4224</c:v>
                </c:pt>
                <c:pt idx="14">
                  <c:v>3398</c:v>
                </c:pt>
                <c:pt idx="15">
                  <c:v>2715</c:v>
                </c:pt>
                <c:pt idx="16">
                  <c:v>3364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6435</c:v>
                </c:pt>
                <c:pt idx="1">
                  <c:v>7348</c:v>
                </c:pt>
                <c:pt idx="2">
                  <c:v>7254</c:v>
                </c:pt>
                <c:pt idx="3">
                  <c:v>7610</c:v>
                </c:pt>
                <c:pt idx="4">
                  <c:v>6887</c:v>
                </c:pt>
                <c:pt idx="5">
                  <c:v>6516</c:v>
                </c:pt>
                <c:pt idx="6">
                  <c:v>5660</c:v>
                </c:pt>
                <c:pt idx="7">
                  <c:v>5164</c:v>
                </c:pt>
                <c:pt idx="8">
                  <c:v>5773</c:v>
                </c:pt>
                <c:pt idx="9">
                  <c:v>5246</c:v>
                </c:pt>
                <c:pt idx="10">
                  <c:v>4996</c:v>
                </c:pt>
                <c:pt idx="11">
                  <c:v>5483</c:v>
                </c:pt>
                <c:pt idx="12">
                  <c:v>5241</c:v>
                </c:pt>
                <c:pt idx="13">
                  <c:v>5046</c:v>
                </c:pt>
                <c:pt idx="14">
                  <c:v>5088</c:v>
                </c:pt>
                <c:pt idx="15">
                  <c:v>5334</c:v>
                </c:pt>
                <c:pt idx="16">
                  <c:v>5233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2834</c:v>
                </c:pt>
                <c:pt idx="1">
                  <c:v>3052</c:v>
                </c:pt>
                <c:pt idx="2">
                  <c:v>2982</c:v>
                </c:pt>
                <c:pt idx="3">
                  <c:v>2892</c:v>
                </c:pt>
                <c:pt idx="4">
                  <c:v>3073</c:v>
                </c:pt>
                <c:pt idx="5">
                  <c:v>2651</c:v>
                </c:pt>
                <c:pt idx="6">
                  <c:v>2411</c:v>
                </c:pt>
                <c:pt idx="7">
                  <c:v>2464</c:v>
                </c:pt>
                <c:pt idx="8">
                  <c:v>2675</c:v>
                </c:pt>
                <c:pt idx="9">
                  <c:v>2420</c:v>
                </c:pt>
                <c:pt idx="10">
                  <c:v>2361</c:v>
                </c:pt>
                <c:pt idx="11">
                  <c:v>2460</c:v>
                </c:pt>
                <c:pt idx="12">
                  <c:v>2679</c:v>
                </c:pt>
                <c:pt idx="13">
                  <c:v>2387</c:v>
                </c:pt>
                <c:pt idx="14">
                  <c:v>2437</c:v>
                </c:pt>
                <c:pt idx="15">
                  <c:v>2483</c:v>
                </c:pt>
                <c:pt idx="16">
                  <c:v>2527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518.42000000000007</c:v>
                </c:pt>
                <c:pt idx="1">
                  <c:v>481.39000000000004</c:v>
                </c:pt>
                <c:pt idx="2">
                  <c:v>333.27000000000004</c:v>
                </c:pt>
                <c:pt idx="3">
                  <c:v>519.4</c:v>
                </c:pt>
                <c:pt idx="4">
                  <c:v>735.98183000000006</c:v>
                </c:pt>
                <c:pt idx="5">
                  <c:v>639.98419999999999</c:v>
                </c:pt>
                <c:pt idx="6">
                  <c:v>671.98341000000005</c:v>
                </c:pt>
                <c:pt idx="7">
                  <c:v>479.98815000000002</c:v>
                </c:pt>
                <c:pt idx="8">
                  <c:v>351.99131</c:v>
                </c:pt>
                <c:pt idx="9">
                  <c:v>735.98183000000006</c:v>
                </c:pt>
                <c:pt idx="10">
                  <c:v>575.98577999999998</c:v>
                </c:pt>
                <c:pt idx="11">
                  <c:v>383.99052</c:v>
                </c:pt>
                <c:pt idx="12">
                  <c:v>415.98973000000001</c:v>
                </c:pt>
                <c:pt idx="13">
                  <c:v>415.98973000000001</c:v>
                </c:pt>
                <c:pt idx="14">
                  <c:v>767.98104000000001</c:v>
                </c:pt>
                <c:pt idx="15">
                  <c:v>543.98657000000003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13" workbookViewId="0">
      <selection activeCell="G29" sqref="G29:G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11</v>
      </c>
      <c r="D2" s="141">
        <v>2021</v>
      </c>
      <c r="E2" s="137">
        <f>submetering!E2+submetering!F2+submetering!G2</f>
        <v>13003</v>
      </c>
      <c r="F2" s="134">
        <v>1.05</v>
      </c>
      <c r="G2" s="134">
        <f>'Consommation mensuel énergie'!V10</f>
        <v>518.42000000000007</v>
      </c>
      <c r="H2" s="134">
        <v>9.9649999999999999</v>
      </c>
      <c r="I2" s="134">
        <f>'Consommation mensuel énergie'!F10</f>
        <v>111.30000000000291</v>
      </c>
      <c r="J2" s="134">
        <v>11.4</v>
      </c>
      <c r="K2" s="137">
        <f>'Consommation mensuel énergie'!D10</f>
        <v>82</v>
      </c>
      <c r="L2" s="137">
        <f>'Consommation mensuel énergie'!E10</f>
        <v>125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11</v>
      </c>
      <c r="D3" s="141">
        <v>2021</v>
      </c>
      <c r="E3" s="137">
        <f>submetering!E3+submetering!F3+submetering!G3</f>
        <v>14812</v>
      </c>
      <c r="F3" s="134">
        <v>1.05</v>
      </c>
      <c r="G3" s="134">
        <f>'Consommation mensuel énergie'!V11</f>
        <v>481.39000000000004</v>
      </c>
      <c r="H3" s="134">
        <v>9.9649999999999999</v>
      </c>
      <c r="I3" s="134">
        <f>'Consommation mensuel énergie'!F11</f>
        <v>119.69999999999709</v>
      </c>
      <c r="J3" s="134">
        <v>11.4</v>
      </c>
      <c r="K3" s="137">
        <f>'Consommation mensuel énergie'!D11</f>
        <v>83</v>
      </c>
      <c r="L3" s="137">
        <f>'Consommation mensuel énergie'!E11</f>
        <v>123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11</v>
      </c>
      <c r="D4" s="141">
        <v>2021</v>
      </c>
      <c r="E4" s="137">
        <f>submetering!E4+submetering!F4+submetering!G4</f>
        <v>14655</v>
      </c>
      <c r="F4" s="134">
        <v>1.05</v>
      </c>
      <c r="G4" s="134">
        <f>'Consommation mensuel énergie'!V12</f>
        <v>333.27000000000004</v>
      </c>
      <c r="H4" s="134">
        <v>9.9649999999999999</v>
      </c>
      <c r="I4" s="134">
        <f>'Consommation mensuel énergie'!F12</f>
        <v>95.900000000008731</v>
      </c>
      <c r="J4" s="134">
        <v>11.4</v>
      </c>
      <c r="K4" s="137">
        <f>'Consommation mensuel énergie'!D12</f>
        <v>94</v>
      </c>
      <c r="L4" s="137">
        <f>'Consommation mensuel énergie'!E12</f>
        <v>130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11</v>
      </c>
      <c r="D5" s="141">
        <v>2021</v>
      </c>
      <c r="E5" s="137">
        <f>submetering!E5+submetering!F5+submetering!G5</f>
        <v>15052</v>
      </c>
      <c r="F5" s="134">
        <v>1.05</v>
      </c>
      <c r="G5" s="134">
        <f>'Consommation mensuel énergie'!V13</f>
        <v>519.4</v>
      </c>
      <c r="H5" s="134">
        <v>9.9649999999999999</v>
      </c>
      <c r="I5" s="134">
        <f>'Consommation mensuel énergie'!F13</f>
        <v>94.599999999991269</v>
      </c>
      <c r="J5" s="134">
        <v>11.4</v>
      </c>
      <c r="K5" s="137">
        <f>'Consommation mensuel énergie'!D13</f>
        <v>105</v>
      </c>
      <c r="L5" s="137">
        <f>'Consommation mensuel énergie'!E13</f>
        <v>152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11</v>
      </c>
      <c r="D6" s="141">
        <v>2021</v>
      </c>
      <c r="E6" s="137">
        <f>submetering!E6+submetering!F6+submetering!G6</f>
        <v>13759</v>
      </c>
      <c r="F6" s="134">
        <v>1.05</v>
      </c>
      <c r="G6" s="134">
        <f>'Consommation mensuel énergie'!V14</f>
        <v>735.98183000000006</v>
      </c>
      <c r="H6" s="134">
        <v>9.9649999999999999</v>
      </c>
      <c r="I6" s="134">
        <f>'Consommation mensuel énergie'!F14</f>
        <v>119.80000000000291</v>
      </c>
      <c r="J6" s="134">
        <v>11.4</v>
      </c>
      <c r="K6" s="137">
        <f>'Consommation mensuel énergie'!D14</f>
        <v>99</v>
      </c>
      <c r="L6" s="137">
        <f>'Consommation mensuel énergie'!E14</f>
        <v>163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11</v>
      </c>
      <c r="D7" s="141">
        <v>2021</v>
      </c>
      <c r="E7" s="137">
        <f>submetering!E7+submetering!F7+submetering!G7</f>
        <v>13405</v>
      </c>
      <c r="F7" s="134">
        <v>1.05</v>
      </c>
      <c r="G7" s="134">
        <f>'Consommation mensuel énergie'!V15</f>
        <v>639.98419999999999</v>
      </c>
      <c r="H7" s="134">
        <v>9.9649999999999999</v>
      </c>
      <c r="I7" s="134">
        <f>'Consommation mensuel énergie'!F15</f>
        <v>119.30000000000291</v>
      </c>
      <c r="J7" s="134">
        <v>11.4</v>
      </c>
      <c r="K7" s="137">
        <f>'Consommation mensuel énergie'!D15</f>
        <v>97</v>
      </c>
      <c r="L7" s="137">
        <f>'Consommation mensuel énergie'!E15</f>
        <v>158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11</v>
      </c>
      <c r="D8" s="141">
        <v>2021</v>
      </c>
      <c r="E8" s="137">
        <f>submetering!E8+submetering!F8+submetering!G8</f>
        <v>11888</v>
      </c>
      <c r="F8" s="134">
        <v>1.05</v>
      </c>
      <c r="G8" s="134">
        <f>'Consommation mensuel énergie'!V16</f>
        <v>671.98341000000005</v>
      </c>
      <c r="H8" s="134">
        <v>9.9649999999999999</v>
      </c>
      <c r="I8" s="134">
        <f>'Consommation mensuel énergie'!F16</f>
        <v>109</v>
      </c>
      <c r="J8" s="134">
        <v>11.4</v>
      </c>
      <c r="K8" s="137">
        <f>'Consommation mensuel énergie'!D16</f>
        <v>86</v>
      </c>
      <c r="L8" s="137">
        <f>'Consommation mensuel énergie'!E16</f>
        <v>124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11</v>
      </c>
      <c r="D9" s="141">
        <v>2021</v>
      </c>
      <c r="E9" s="137">
        <f>submetering!E9+submetering!F9+submetering!G9</f>
        <v>11250</v>
      </c>
      <c r="F9" s="134">
        <v>1.05</v>
      </c>
      <c r="G9" s="134">
        <f>'Consommation mensuel énergie'!V17</f>
        <v>479.98815000000002</v>
      </c>
      <c r="H9" s="134">
        <v>9.9649999999999999</v>
      </c>
      <c r="I9" s="134">
        <f>'Consommation mensuel énergie'!F17</f>
        <v>95</v>
      </c>
      <c r="J9" s="134">
        <v>11.4</v>
      </c>
      <c r="K9" s="137">
        <f>'Consommation mensuel énergie'!D17</f>
        <v>118</v>
      </c>
      <c r="L9" s="137">
        <f>'Consommation mensuel énergie'!E17</f>
        <v>152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11</v>
      </c>
      <c r="D10" s="141">
        <v>2021</v>
      </c>
      <c r="E10" s="137">
        <f>submetering!E10+submetering!F10+submetering!G10</f>
        <v>11791</v>
      </c>
      <c r="F10" s="134">
        <v>1.05</v>
      </c>
      <c r="G10" s="134">
        <f>'Consommation mensuel énergie'!V19</f>
        <v>735.98183000000006</v>
      </c>
      <c r="H10" s="134">
        <v>9.9649999999999999</v>
      </c>
      <c r="I10" s="134">
        <f>'Consommation mensuel énergie'!F18</f>
        <v>106.89999999999418</v>
      </c>
      <c r="J10" s="134">
        <v>11.4</v>
      </c>
      <c r="K10" s="137">
        <f>'Consommation mensuel énergie'!D18</f>
        <v>102</v>
      </c>
      <c r="L10" s="137">
        <f>'Consommation mensuel énergie'!E18</f>
        <v>132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11</v>
      </c>
      <c r="D11" s="141">
        <v>2021</v>
      </c>
      <c r="E11" s="137">
        <f>submetering!E11+submetering!F11+submetering!G11</f>
        <v>10942</v>
      </c>
      <c r="F11" s="134">
        <v>1.05</v>
      </c>
      <c r="G11" s="134">
        <f>'Consommation mensuel énergie'!V20</f>
        <v>575.98577999999998</v>
      </c>
      <c r="H11" s="134">
        <v>9.9649999999999999</v>
      </c>
      <c r="I11" s="134">
        <f>'Consommation mensuel énergie'!F19</f>
        <v>97.900000000008731</v>
      </c>
      <c r="J11" s="134">
        <v>11.4</v>
      </c>
      <c r="K11" s="137">
        <f>'Consommation mensuel énergie'!D19</f>
        <v>84</v>
      </c>
      <c r="L11" s="137">
        <f>'Consommation mensuel énergie'!E19</f>
        <v>106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11</v>
      </c>
      <c r="D12" s="141">
        <v>2021</v>
      </c>
      <c r="E12" s="137">
        <f>submetering!E12+submetering!F12+submetering!G12</f>
        <v>10681</v>
      </c>
      <c r="F12" s="134">
        <v>1.05</v>
      </c>
      <c r="G12" s="134">
        <f>'Consommation mensuel énergie'!V21</f>
        <v>383.99052</v>
      </c>
      <c r="H12" s="134">
        <v>9.9649999999999999</v>
      </c>
      <c r="I12" s="134">
        <f>'Consommation mensuel énergie'!F20</f>
        <v>91.80000000000291</v>
      </c>
      <c r="J12" s="134">
        <v>11.4</v>
      </c>
      <c r="K12" s="137">
        <f>'Consommation mensuel énergie'!D20</f>
        <v>93</v>
      </c>
      <c r="L12" s="137">
        <f>'Consommation mensuel énergie'!E20</f>
        <v>131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11</v>
      </c>
      <c r="D13" s="141">
        <v>2021</v>
      </c>
      <c r="E13" s="137">
        <f>submetering!E13+submetering!F13+submetering!G13</f>
        <v>11552</v>
      </c>
      <c r="F13" s="134">
        <v>1.05</v>
      </c>
      <c r="G13" s="134">
        <f>'Consommation mensuel énergie'!V22</f>
        <v>415.98973000000001</v>
      </c>
      <c r="H13" s="134">
        <v>9.9649999999999999</v>
      </c>
      <c r="I13" s="134">
        <f>'Consommation mensuel énergie'!F21</f>
        <v>87.299999999988358</v>
      </c>
      <c r="J13" s="134">
        <v>11.4</v>
      </c>
      <c r="K13" s="137">
        <f>'Consommation mensuel énergie'!D21</f>
        <v>90</v>
      </c>
      <c r="L13" s="137">
        <f>'Consommation mensuel énergie'!E21</f>
        <v>151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11</v>
      </c>
      <c r="D14" s="141">
        <v>2021</v>
      </c>
      <c r="E14" s="137">
        <f>submetering!E14+submetering!F14+submetering!G14</f>
        <v>11515</v>
      </c>
      <c r="F14" s="134">
        <v>1.05</v>
      </c>
      <c r="G14" s="134">
        <f>'Consommation mensuel énergie'!V23</f>
        <v>415.98973000000001</v>
      </c>
      <c r="H14" s="134">
        <v>9.9649999999999999</v>
      </c>
      <c r="I14" s="134">
        <f>'Consommation mensuel énergie'!F22</f>
        <v>116.40000000000873</v>
      </c>
      <c r="J14" s="134">
        <v>11.4</v>
      </c>
      <c r="K14" s="137">
        <f>'Consommation mensuel énergie'!D22</f>
        <v>100</v>
      </c>
      <c r="L14" s="137">
        <f>'Consommation mensuel énergie'!E22</f>
        <v>167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11</v>
      </c>
      <c r="D15" s="141">
        <v>2021</v>
      </c>
      <c r="E15" s="137">
        <f>submetering!E15+submetering!F15+submetering!G15</f>
        <v>11657</v>
      </c>
      <c r="F15" s="134">
        <v>1.05</v>
      </c>
      <c r="G15" s="134">
        <f>'Consommation mensuel énergie'!V24</f>
        <v>767.98104000000001</v>
      </c>
      <c r="H15" s="134">
        <v>9.9649999999999999</v>
      </c>
      <c r="I15" s="134">
        <f>'Consommation mensuel énergie'!F23</f>
        <v>113.69999999999709</v>
      </c>
      <c r="J15" s="134">
        <v>11.4</v>
      </c>
      <c r="K15" s="137">
        <f>'Consommation mensuel énergie'!D23</f>
        <v>73</v>
      </c>
      <c r="L15" s="137">
        <f>'Consommation mensuel énergie'!E23</f>
        <v>120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11</v>
      </c>
      <c r="D16" s="141">
        <v>2021</v>
      </c>
      <c r="E16" s="137">
        <f>submetering!E16+submetering!F16+submetering!G16</f>
        <v>10923</v>
      </c>
      <c r="F16" s="134">
        <v>1.05</v>
      </c>
      <c r="G16" s="134">
        <f>'Consommation mensuel énergie'!V25</f>
        <v>543.98657000000003</v>
      </c>
      <c r="H16" s="134">
        <v>9.9649999999999999</v>
      </c>
      <c r="I16" s="134">
        <f>'Consommation mensuel énergie'!F24</f>
        <v>94</v>
      </c>
      <c r="J16" s="134">
        <v>11.4</v>
      </c>
      <c r="K16" s="137">
        <f>'Consommation mensuel énergie'!D24</f>
        <v>91</v>
      </c>
      <c r="L16" s="137">
        <f>'Consommation mensuel énergie'!E24</f>
        <v>120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11</v>
      </c>
      <c r="D17" s="141">
        <v>2021</v>
      </c>
      <c r="E17" s="137">
        <f>submetering!E17+submetering!F17+submetering!G17</f>
        <v>10532</v>
      </c>
      <c r="F17" s="134">
        <v>1.05</v>
      </c>
      <c r="G17" s="134">
        <f>'Consommation mensuel énergie'!V26</f>
        <v>0</v>
      </c>
      <c r="H17" s="134">
        <v>9.9649999999999999</v>
      </c>
      <c r="I17" s="134">
        <f>'Consommation mensuel énergie'!F25</f>
        <v>85.69999999999709</v>
      </c>
      <c r="J17" s="134">
        <v>11.4</v>
      </c>
      <c r="K17" s="137">
        <f>'Consommation mensuel énergie'!D25</f>
        <v>114</v>
      </c>
      <c r="L17" s="137">
        <f>'Consommation mensuel énergie'!E25</f>
        <v>143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11</v>
      </c>
      <c r="D18" s="141">
        <v>2021</v>
      </c>
      <c r="E18" s="137">
        <f>submetering!E18+submetering!F18+submetering!G18</f>
        <v>11124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91.100000000005821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11</v>
      </c>
      <c r="D19" s="141">
        <v>2021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11</v>
      </c>
      <c r="D20" s="141">
        <v>2021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11</v>
      </c>
      <c r="D21" s="141">
        <v>2021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11</v>
      </c>
      <c r="D22" s="141">
        <v>2021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11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11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11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11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11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11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11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11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11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énergie'!V40</f>
        <v>8572.3140999999996</v>
      </c>
      <c r="H31" s="134">
        <v>9.9649999999999999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topLeftCell="A14" workbookViewId="0">
      <selection activeCell="C31" sqref="C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11</v>
      </c>
      <c r="D2" s="141">
        <v>2021</v>
      </c>
      <c r="E2" s="137">
        <f>'Consommation mensuel énergie'!L10</f>
        <v>3734</v>
      </c>
      <c r="F2" s="137">
        <f>'Consommation mensuel énergie'!M10</f>
        <v>6435</v>
      </c>
      <c r="G2" s="137">
        <f>'Consommation mensuel énergie'!N10</f>
        <v>2834</v>
      </c>
      <c r="H2" s="137">
        <f>'Consommation mensuel énergie'!D10</f>
        <v>82</v>
      </c>
      <c r="I2" s="137">
        <f>'Consommation mensuel énergie'!E10</f>
        <v>125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11</v>
      </c>
      <c r="D3" s="141">
        <v>2021</v>
      </c>
      <c r="E3" s="137">
        <f>'Consommation mensuel énergie'!L11</f>
        <v>4391</v>
      </c>
      <c r="F3" s="137">
        <f>'Consommation mensuel énergie'!M11</f>
        <v>7348</v>
      </c>
      <c r="G3" s="137">
        <f>'Consommation mensuel énergie'!N14</f>
        <v>3073</v>
      </c>
      <c r="H3" s="137">
        <f>'Consommation mensuel énergie'!D11</f>
        <v>83</v>
      </c>
      <c r="I3" s="137">
        <f>'Consommation mensuel énergie'!E11</f>
        <v>123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11</v>
      </c>
      <c r="D4" s="141">
        <v>2021</v>
      </c>
      <c r="E4" s="137">
        <f>'Consommation mensuel énergie'!L12</f>
        <v>4419</v>
      </c>
      <c r="F4" s="137">
        <f>'Consommation mensuel énergie'!M12</f>
        <v>7254</v>
      </c>
      <c r="G4" s="137">
        <f>'Consommation mensuel énergie'!N12</f>
        <v>2982</v>
      </c>
      <c r="H4" s="137">
        <f>'Consommation mensuel énergie'!D12</f>
        <v>94</v>
      </c>
      <c r="I4" s="137">
        <f>'Consommation mensuel énergie'!E12</f>
        <v>130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11</v>
      </c>
      <c r="D5" s="141">
        <v>2021</v>
      </c>
      <c r="E5" s="137">
        <f>'Consommation mensuel énergie'!L13</f>
        <v>4550</v>
      </c>
      <c r="F5" s="137">
        <f>'Consommation mensuel énergie'!M13</f>
        <v>7610</v>
      </c>
      <c r="G5" s="137">
        <f>'Consommation mensuel énergie'!N13</f>
        <v>2892</v>
      </c>
      <c r="H5" s="137">
        <f>'Consommation mensuel énergie'!D13</f>
        <v>105</v>
      </c>
      <c r="I5" s="137">
        <f>'Consommation mensuel énergie'!E13</f>
        <v>152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11</v>
      </c>
      <c r="D6" s="141">
        <v>2021</v>
      </c>
      <c r="E6" s="137">
        <f>'Consommation mensuel énergie'!L14</f>
        <v>3799</v>
      </c>
      <c r="F6" s="137">
        <f>'Consommation mensuel énergie'!M14</f>
        <v>6887</v>
      </c>
      <c r="G6" s="137">
        <f>'Consommation mensuel énergie'!N14</f>
        <v>3073</v>
      </c>
      <c r="H6" s="137">
        <f>'Consommation mensuel énergie'!D14</f>
        <v>99</v>
      </c>
      <c r="I6" s="137">
        <f>'Consommation mensuel énergie'!E14</f>
        <v>163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11</v>
      </c>
      <c r="D7" s="141">
        <v>2021</v>
      </c>
      <c r="E7" s="137">
        <f>'Consommation mensuel énergie'!L15</f>
        <v>4238</v>
      </c>
      <c r="F7" s="137">
        <f>'Consommation mensuel énergie'!M15</f>
        <v>6516</v>
      </c>
      <c r="G7" s="137">
        <f>'Consommation mensuel énergie'!N15</f>
        <v>2651</v>
      </c>
      <c r="H7" s="137">
        <f>'Consommation mensuel énergie'!D15</f>
        <v>97</v>
      </c>
      <c r="I7" s="137">
        <f>'Consommation mensuel énergie'!E15</f>
        <v>158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11</v>
      </c>
      <c r="D8" s="141">
        <v>2021</v>
      </c>
      <c r="E8" s="137">
        <f>'Consommation mensuel énergie'!L16</f>
        <v>3817</v>
      </c>
      <c r="F8" s="137">
        <f>'Consommation mensuel énergie'!M16</f>
        <v>5660</v>
      </c>
      <c r="G8" s="137">
        <f>'Consommation mensuel énergie'!N16</f>
        <v>2411</v>
      </c>
      <c r="H8" s="137">
        <f>'Consommation mensuel énergie'!D16</f>
        <v>86</v>
      </c>
      <c r="I8" s="137">
        <f>'Consommation mensuel énergie'!E16</f>
        <v>124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11</v>
      </c>
      <c r="D9" s="141">
        <v>2021</v>
      </c>
      <c r="E9" s="137">
        <f>'Consommation mensuel énergie'!L17</f>
        <v>3622</v>
      </c>
      <c r="F9" s="137">
        <f>'Consommation mensuel énergie'!M17</f>
        <v>5164</v>
      </c>
      <c r="G9" s="137">
        <f>'Consommation mensuel énergie'!N17</f>
        <v>2464</v>
      </c>
      <c r="H9" s="137">
        <f>'Consommation mensuel énergie'!D17</f>
        <v>118</v>
      </c>
      <c r="I9" s="137">
        <f>'Consommation mensuel énergie'!E17</f>
        <v>152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11</v>
      </c>
      <c r="D10" s="141">
        <v>2021</v>
      </c>
      <c r="E10" s="137">
        <f>'Consommation mensuel énergie'!L18</f>
        <v>3343</v>
      </c>
      <c r="F10" s="137">
        <f>'Consommation mensuel énergie'!M18</f>
        <v>5773</v>
      </c>
      <c r="G10" s="137">
        <f>'Consommation mensuel énergie'!N18</f>
        <v>2675</v>
      </c>
      <c r="H10" s="137">
        <f>'Consommation mensuel énergie'!D18</f>
        <v>102</v>
      </c>
      <c r="I10" s="137">
        <f>'Consommation mensuel énergie'!E18</f>
        <v>132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11</v>
      </c>
      <c r="D11" s="141">
        <v>2021</v>
      </c>
      <c r="E11" s="137">
        <f>'Consommation mensuel énergie'!L19</f>
        <v>3276</v>
      </c>
      <c r="F11" s="137">
        <f>'Consommation mensuel énergie'!M19</f>
        <v>5246</v>
      </c>
      <c r="G11" s="137">
        <f>'Consommation mensuel énergie'!N19</f>
        <v>2420</v>
      </c>
      <c r="H11" s="137">
        <f>'Consommation mensuel énergie'!D19</f>
        <v>84</v>
      </c>
      <c r="I11" s="137">
        <f>'Consommation mensuel énergie'!E19</f>
        <v>106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11</v>
      </c>
      <c r="D12" s="141">
        <v>2021</v>
      </c>
      <c r="E12" s="137">
        <f>'Consommation mensuel énergie'!L20</f>
        <v>3324</v>
      </c>
      <c r="F12" s="137">
        <f>'Consommation mensuel énergie'!M20</f>
        <v>4996</v>
      </c>
      <c r="G12" s="137">
        <f>'Consommation mensuel énergie'!N20</f>
        <v>2361</v>
      </c>
      <c r="H12" s="137">
        <f>'Consommation mensuel énergie'!D20</f>
        <v>93</v>
      </c>
      <c r="I12" s="137">
        <f>'Consommation mensuel énergie'!E20</f>
        <v>131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11</v>
      </c>
      <c r="D13" s="141">
        <v>2021</v>
      </c>
      <c r="E13" s="137">
        <f>'Consommation mensuel énergie'!L21</f>
        <v>3609</v>
      </c>
      <c r="F13" s="137">
        <f>'Consommation mensuel énergie'!M21</f>
        <v>5483</v>
      </c>
      <c r="G13" s="137">
        <f>'Consommation mensuel énergie'!N21</f>
        <v>2460</v>
      </c>
      <c r="H13" s="137">
        <f>'Consommation mensuel énergie'!D21</f>
        <v>90</v>
      </c>
      <c r="I13" s="137">
        <f>'Consommation mensuel énergie'!E21</f>
        <v>151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11</v>
      </c>
      <c r="D14" s="141">
        <v>2021</v>
      </c>
      <c r="E14" s="137">
        <f>'Consommation mensuel énergie'!L22</f>
        <v>3595</v>
      </c>
      <c r="F14" s="137">
        <f>'Consommation mensuel énergie'!M22</f>
        <v>5241</v>
      </c>
      <c r="G14" s="137">
        <f>'Consommation mensuel énergie'!N22</f>
        <v>2679</v>
      </c>
      <c r="H14" s="137">
        <f>'Consommation mensuel énergie'!D22</f>
        <v>100</v>
      </c>
      <c r="I14" s="137">
        <f>'Consommation mensuel énergie'!E22</f>
        <v>167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11</v>
      </c>
      <c r="D15" s="141">
        <v>2021</v>
      </c>
      <c r="E15" s="137">
        <f>'Consommation mensuel énergie'!L23</f>
        <v>4224</v>
      </c>
      <c r="F15" s="137">
        <f>'Consommation mensuel énergie'!M23</f>
        <v>5046</v>
      </c>
      <c r="G15" s="137">
        <f>'Consommation mensuel énergie'!N23</f>
        <v>2387</v>
      </c>
      <c r="H15" s="137">
        <f>'Consommation mensuel énergie'!D23</f>
        <v>73</v>
      </c>
      <c r="I15" s="137">
        <f>'Consommation mensuel énergie'!E23</f>
        <v>120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11</v>
      </c>
      <c r="D16" s="141">
        <v>2021</v>
      </c>
      <c r="E16" s="137">
        <f>'Consommation mensuel énergie'!L24</f>
        <v>3398</v>
      </c>
      <c r="F16" s="137">
        <f>'Consommation mensuel énergie'!M24</f>
        <v>5088</v>
      </c>
      <c r="G16" s="137">
        <f>'Consommation mensuel énergie'!N24</f>
        <v>2437</v>
      </c>
      <c r="H16" s="137">
        <f>'Consommation mensuel énergie'!D24</f>
        <v>91</v>
      </c>
      <c r="I16" s="137">
        <f>'Consommation mensuel énergie'!E24</f>
        <v>120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11</v>
      </c>
      <c r="D17" s="141">
        <v>2021</v>
      </c>
      <c r="E17" s="137">
        <f>'Consommation mensuel énergie'!L25</f>
        <v>2715</v>
      </c>
      <c r="F17" s="137">
        <f>'Consommation mensuel énergie'!M25</f>
        <v>5334</v>
      </c>
      <c r="G17" s="137">
        <f>'Consommation mensuel énergie'!N25</f>
        <v>2483</v>
      </c>
      <c r="H17" s="137">
        <f>'Consommation mensuel énergie'!D25</f>
        <v>114</v>
      </c>
      <c r="I17" s="137">
        <f>'Consommation mensuel énergie'!E25</f>
        <v>143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11</v>
      </c>
      <c r="D18" s="141">
        <v>2021</v>
      </c>
      <c r="E18" s="137">
        <f>'Consommation mensuel énergie'!L26</f>
        <v>3364</v>
      </c>
      <c r="F18" s="137">
        <f>'Consommation mensuel énergie'!M26</f>
        <v>5233</v>
      </c>
      <c r="G18" s="137">
        <f>'Consommation mensuel énergie'!N26</f>
        <v>2527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11</v>
      </c>
      <c r="D19" s="141">
        <v>2021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11</v>
      </c>
      <c r="D20" s="141">
        <v>2021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11</v>
      </c>
      <c r="D21" s="141">
        <v>2021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11</v>
      </c>
      <c r="D22" s="141">
        <v>2021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11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11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11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11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11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11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11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11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11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D20" activePane="bottomRight" state="frozen"/>
      <selection pane="bottomRight" activeCell="E26" sqref="E26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2"/>
      <c r="B2" s="233"/>
      <c r="C2" s="233"/>
      <c r="D2" s="233"/>
      <c r="E2" s="233"/>
      <c r="F2" s="233"/>
      <c r="G2" s="233"/>
      <c r="H2" s="234"/>
      <c r="I2" s="243" t="s">
        <v>17</v>
      </c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</row>
    <row r="3" spans="1:24" ht="15" hidden="1" customHeight="1" thickBot="1"/>
    <row r="4" spans="1:24" ht="39" hidden="1" customHeight="1" thickBot="1">
      <c r="A4" s="235"/>
      <c r="B4" s="235"/>
      <c r="C4" s="235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5"/>
      <c r="B5" s="235"/>
      <c r="C5" s="235"/>
      <c r="D5" s="5"/>
      <c r="E5" s="5"/>
      <c r="F5" s="5"/>
      <c r="G5" s="5"/>
      <c r="H5" s="5"/>
      <c r="I5" s="5"/>
      <c r="J5" s="5"/>
      <c r="K5" s="5"/>
      <c r="L5" s="5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</row>
    <row r="6" spans="1:24" s="5" customFormat="1" ht="44.25" hidden="1" customHeight="1" thickBot="1">
      <c r="A6" s="3"/>
      <c r="B6" s="3"/>
      <c r="C6" s="3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</row>
    <row r="7" spans="1:24" s="5" customFormat="1" ht="18.75" hidden="1" customHeight="1" thickBot="1">
      <c r="F7" s="236"/>
      <c r="G7" s="236"/>
      <c r="H7" s="236"/>
      <c r="I7" s="236"/>
      <c r="J7" s="236"/>
      <c r="K7" s="236"/>
      <c r="L7" s="236"/>
      <c r="M7" s="236"/>
      <c r="N7" s="245"/>
      <c r="O7" s="245"/>
      <c r="P7" s="236"/>
      <c r="Q7" s="236"/>
      <c r="R7" s="236"/>
      <c r="S7" s="236"/>
      <c r="T7" s="236"/>
      <c r="U7" s="236"/>
      <c r="V7" s="236"/>
      <c r="W7" s="236"/>
      <c r="X7" s="236"/>
    </row>
    <row r="8" spans="1:24" ht="18.75" customHeight="1" thickBot="1">
      <c r="A8" s="236"/>
      <c r="B8" s="247" t="s">
        <v>19</v>
      </c>
      <c r="C8" s="4"/>
      <c r="D8" s="207" t="s">
        <v>20</v>
      </c>
      <c r="E8" s="207" t="s">
        <v>21</v>
      </c>
      <c r="F8" s="230" t="s">
        <v>22</v>
      </c>
      <c r="G8" s="2"/>
      <c r="H8" s="237" t="s">
        <v>23</v>
      </c>
      <c r="I8" s="238"/>
      <c r="J8" s="239"/>
      <c r="K8" s="248" t="s">
        <v>24</v>
      </c>
      <c r="L8" s="229" t="s">
        <v>25</v>
      </c>
      <c r="M8" s="229"/>
      <c r="N8" s="229"/>
      <c r="O8" s="229" t="s">
        <v>26</v>
      </c>
      <c r="P8" s="2"/>
      <c r="Q8" s="209" t="s">
        <v>23</v>
      </c>
      <c r="R8" s="2"/>
      <c r="S8" s="209" t="s">
        <v>27</v>
      </c>
      <c r="T8" s="2"/>
      <c r="U8" s="209" t="s">
        <v>28</v>
      </c>
      <c r="V8" s="211" t="s">
        <v>29</v>
      </c>
      <c r="W8" s="2"/>
      <c r="X8" s="209" t="s">
        <v>23</v>
      </c>
    </row>
    <row r="9" spans="1:24" ht="59.25" customHeight="1" thickBot="1">
      <c r="A9" s="236"/>
      <c r="B9" s="247"/>
      <c r="C9" s="4"/>
      <c r="D9" s="208"/>
      <c r="E9" s="208"/>
      <c r="F9" s="231"/>
      <c r="G9" s="2"/>
      <c r="H9" s="240"/>
      <c r="I9" s="241"/>
      <c r="J9" s="242"/>
      <c r="K9" s="249"/>
      <c r="L9" s="155" t="s">
        <v>30</v>
      </c>
      <c r="M9" s="155" t="s">
        <v>31</v>
      </c>
      <c r="N9" s="155" t="s">
        <v>32</v>
      </c>
      <c r="O9" s="246"/>
      <c r="P9" s="2"/>
      <c r="Q9" s="210"/>
      <c r="R9" s="2"/>
      <c r="S9" s="210"/>
      <c r="T9" s="2"/>
      <c r="U9" s="210"/>
      <c r="V9" s="212"/>
      <c r="W9" s="2"/>
      <c r="X9" s="210"/>
    </row>
    <row r="10" spans="1:24" ht="32.25" customHeight="1">
      <c r="A10" s="2"/>
      <c r="B10" s="6">
        <v>44501</v>
      </c>
      <c r="C10" s="7"/>
      <c r="D10" s="143">
        <v>82</v>
      </c>
      <c r="E10" s="143">
        <v>125</v>
      </c>
      <c r="F10" s="13">
        <f>'Suivi EAU-ELEC'!E9</f>
        <v>111.30000000000291</v>
      </c>
      <c r="G10" s="11"/>
      <c r="H10" s="166">
        <f>F10*8.79</f>
        <v>978.32700000002546</v>
      </c>
      <c r="I10" s="167"/>
      <c r="J10" s="167"/>
      <c r="K10" s="60">
        <v>42278</v>
      </c>
      <c r="L10" s="90">
        <f>'Suivi EAU-ELEC'!G9</f>
        <v>3734</v>
      </c>
      <c r="M10" s="91">
        <f>'Suivi EAU-ELEC'!I9</f>
        <v>6435</v>
      </c>
      <c r="N10" s="91">
        <f>'Suivi EAU-ELEC'!K9</f>
        <v>2834</v>
      </c>
      <c r="O10" s="91">
        <f>L10+M10+N10</f>
        <v>13003</v>
      </c>
      <c r="P10" s="11"/>
      <c r="Q10" s="34">
        <f>L10*0.6985+M10*0.9514+N10*1.3304</f>
        <v>12500.811600000001</v>
      </c>
      <c r="R10" s="11"/>
      <c r="S10" s="28"/>
      <c r="T10" s="11"/>
      <c r="U10" s="28"/>
      <c r="V10" s="146">
        <f>'Suvi Gaz'!O4</f>
        <v>518.42000000000007</v>
      </c>
      <c r="W10" s="11"/>
      <c r="X10" s="34">
        <f>V10*11.2513</f>
        <v>5832.8989460000012</v>
      </c>
    </row>
    <row r="11" spans="1:24" ht="32.25" customHeight="1">
      <c r="A11" s="2"/>
      <c r="B11" s="6">
        <v>44502</v>
      </c>
      <c r="C11" s="7"/>
      <c r="D11" s="143">
        <v>83</v>
      </c>
      <c r="E11" s="143">
        <v>123</v>
      </c>
      <c r="F11" s="13">
        <f>'Suivi EAU-ELEC'!E10</f>
        <v>119.69999999999709</v>
      </c>
      <c r="G11" s="11"/>
      <c r="H11" s="166">
        <f t="shared" ref="H11:H21" si="0">F11*8.79</f>
        <v>1052.1629999999743</v>
      </c>
      <c r="I11" s="167"/>
      <c r="J11" s="167"/>
      <c r="K11" s="60">
        <v>42279</v>
      </c>
      <c r="L11" s="90">
        <f>'Suivi EAU-ELEC'!G10</f>
        <v>4391</v>
      </c>
      <c r="M11" s="91">
        <f>'Suivi EAU-ELEC'!I10</f>
        <v>7348</v>
      </c>
      <c r="N11" s="91">
        <f>'Suivi EAU-ELEC'!K10</f>
        <v>3052</v>
      </c>
      <c r="O11" s="91">
        <f>L11+M11+N11</f>
        <v>14791</v>
      </c>
      <c r="P11" s="11"/>
      <c r="Q11" s="34">
        <f>L11*0.6985+M11*0.9514+N14*1.3304</f>
        <v>14146.3199</v>
      </c>
      <c r="R11" s="11"/>
      <c r="S11" s="28"/>
      <c r="T11" s="11"/>
      <c r="U11" s="28"/>
      <c r="V11" s="146">
        <f>'Suvi Gaz'!O5</f>
        <v>481.39000000000004</v>
      </c>
      <c r="W11" s="11"/>
      <c r="X11" s="34">
        <f t="shared" ref="X11:X39" si="1">V11*11.2513</f>
        <v>5416.2633070000011</v>
      </c>
    </row>
    <row r="12" spans="1:24" ht="32.25" customHeight="1">
      <c r="A12" s="2"/>
      <c r="B12" s="6">
        <v>44503</v>
      </c>
      <c r="C12" s="7"/>
      <c r="D12" s="143">
        <v>94</v>
      </c>
      <c r="E12" s="143">
        <v>130</v>
      </c>
      <c r="F12" s="13">
        <f>'Suivi EAU-ELEC'!E11</f>
        <v>95.900000000008731</v>
      </c>
      <c r="G12" s="11"/>
      <c r="H12" s="166">
        <f t="shared" si="0"/>
        <v>842.96100000007664</v>
      </c>
      <c r="I12" s="167"/>
      <c r="J12" s="167"/>
      <c r="K12" s="60">
        <v>42280</v>
      </c>
      <c r="L12" s="90">
        <f>'Suivi EAU-ELEC'!G11</f>
        <v>4419</v>
      </c>
      <c r="M12" s="91">
        <f>'Suivi EAU-ELEC'!I11</f>
        <v>7254</v>
      </c>
      <c r="N12" s="91">
        <f>'Suivi EAU-ELEC'!K11</f>
        <v>2982</v>
      </c>
      <c r="O12" s="91">
        <f>L12+M12+N12</f>
        <v>14655</v>
      </c>
      <c r="P12" s="11"/>
      <c r="Q12" s="34">
        <f>L12*0.6985+M12*0.9514+N12*1.3304</f>
        <v>13955.3799</v>
      </c>
      <c r="R12" s="11"/>
      <c r="S12" s="28"/>
      <c r="T12" s="11"/>
      <c r="U12" s="28"/>
      <c r="V12" s="146">
        <f>'Suvi Gaz'!O6</f>
        <v>333.27000000000004</v>
      </c>
      <c r="W12" s="11"/>
      <c r="X12" s="34">
        <f t="shared" si="1"/>
        <v>3749.7207510000007</v>
      </c>
    </row>
    <row r="13" spans="1:24" ht="32.25" customHeight="1">
      <c r="A13" s="2"/>
      <c r="B13" s="6">
        <v>44504</v>
      </c>
      <c r="C13" s="7"/>
      <c r="D13" s="143">
        <v>105</v>
      </c>
      <c r="E13" s="143">
        <v>152</v>
      </c>
      <c r="F13" s="13">
        <f>'Suivi EAU-ELEC'!E12</f>
        <v>94.599999999991269</v>
      </c>
      <c r="G13" s="11"/>
      <c r="H13" s="166">
        <f t="shared" si="0"/>
        <v>831.53399999992314</v>
      </c>
      <c r="I13" s="167"/>
      <c r="J13" s="167"/>
      <c r="K13" s="60">
        <v>42281</v>
      </c>
      <c r="L13" s="90">
        <f>'Suivi EAU-ELEC'!G12</f>
        <v>4550</v>
      </c>
      <c r="M13" s="91">
        <f>'Suivi EAU-ELEC'!I12</f>
        <v>7610</v>
      </c>
      <c r="N13" s="91">
        <f>'Suivi EAU-ELEC'!K12</f>
        <v>2892</v>
      </c>
      <c r="O13" s="91">
        <f t="shared" ref="O13:O39" si="2">L13+M13+N13</f>
        <v>15052</v>
      </c>
      <c r="P13" s="11"/>
      <c r="Q13" s="34">
        <f t="shared" ref="Q13:Q39" si="3">L13*0.6985+M13*0.9514+N13*1.3304</f>
        <v>14265.845800000001</v>
      </c>
      <c r="R13" s="11"/>
      <c r="S13" s="28"/>
      <c r="T13" s="11"/>
      <c r="U13" s="28"/>
      <c r="V13" s="146">
        <f>'Suvi Gaz'!O7</f>
        <v>519.4</v>
      </c>
      <c r="W13" s="11"/>
      <c r="X13" s="34">
        <f t="shared" si="1"/>
        <v>5843.9252200000001</v>
      </c>
    </row>
    <row r="14" spans="1:24" ht="32.25" customHeight="1">
      <c r="A14" s="2"/>
      <c r="B14" s="6">
        <v>44505</v>
      </c>
      <c r="C14" s="7"/>
      <c r="D14" s="143">
        <v>99</v>
      </c>
      <c r="E14" s="143">
        <v>163</v>
      </c>
      <c r="F14" s="13">
        <f>'Suivi EAU-ELEC'!E13</f>
        <v>119.80000000000291</v>
      </c>
      <c r="G14" s="12"/>
      <c r="H14" s="166">
        <f t="shared" si="0"/>
        <v>1053.0420000000254</v>
      </c>
      <c r="I14" s="167"/>
      <c r="J14" s="167"/>
      <c r="K14" s="60">
        <v>42282</v>
      </c>
      <c r="L14" s="90">
        <f>'Suivi EAU-ELEC'!G13</f>
        <v>3799</v>
      </c>
      <c r="M14" s="91">
        <f>'Suivi EAU-ELEC'!I13</f>
        <v>6887</v>
      </c>
      <c r="N14" s="91">
        <f>'Suivi EAU-ELEC'!K13</f>
        <v>3073</v>
      </c>
      <c r="O14" s="91">
        <f t="shared" si="2"/>
        <v>13759</v>
      </c>
      <c r="P14" s="12"/>
      <c r="Q14" s="34">
        <f t="shared" si="3"/>
        <v>13294.2125</v>
      </c>
      <c r="R14" s="12"/>
      <c r="S14" s="28"/>
      <c r="T14" s="12"/>
      <c r="U14" s="28"/>
      <c r="V14" s="146">
        <f>'Suvi Gaz'!O8</f>
        <v>735.98183000000006</v>
      </c>
      <c r="W14" s="11"/>
      <c r="X14" s="34">
        <f t="shared" si="1"/>
        <v>8280.7523638790008</v>
      </c>
    </row>
    <row r="15" spans="1:24" ht="32.25" customHeight="1">
      <c r="A15" s="5"/>
      <c r="B15" s="6">
        <v>44506</v>
      </c>
      <c r="C15" s="7"/>
      <c r="D15" s="143">
        <v>97</v>
      </c>
      <c r="E15" s="143">
        <v>158</v>
      </c>
      <c r="F15" s="13">
        <f>'Suivi EAU-ELEC'!E14</f>
        <v>119.30000000000291</v>
      </c>
      <c r="G15" s="11"/>
      <c r="H15" s="166">
        <f t="shared" si="0"/>
        <v>1048.6470000000254</v>
      </c>
      <c r="I15" s="167"/>
      <c r="J15" s="167"/>
      <c r="K15" s="60">
        <v>42283</v>
      </c>
      <c r="L15" s="90">
        <f>'Suivi EAU-ELEC'!G14</f>
        <v>4238</v>
      </c>
      <c r="M15" s="91">
        <f>'Suivi EAU-ELEC'!I14</f>
        <v>6516</v>
      </c>
      <c r="N15" s="91">
        <f>'Suivi EAU-ELEC'!K14</f>
        <v>2651</v>
      </c>
      <c r="O15" s="91">
        <f t="shared" si="2"/>
        <v>13405</v>
      </c>
      <c r="P15" s="12"/>
      <c r="Q15" s="34">
        <f>L15*0.6985+M15*0.9514+N15*1.3304</f>
        <v>12686.4558</v>
      </c>
      <c r="R15" s="12"/>
      <c r="S15" s="28"/>
      <c r="T15" s="12"/>
      <c r="U15" s="28"/>
      <c r="V15" s="146">
        <f>'Suvi Gaz'!O9</f>
        <v>639.98419999999999</v>
      </c>
      <c r="W15" s="11"/>
      <c r="X15" s="34">
        <f t="shared" si="1"/>
        <v>7200.6542294600004</v>
      </c>
    </row>
    <row r="16" spans="1:24" ht="32.25" customHeight="1">
      <c r="A16" s="5"/>
      <c r="B16" s="6">
        <v>44507</v>
      </c>
      <c r="C16" s="7"/>
      <c r="D16" s="143">
        <v>86</v>
      </c>
      <c r="E16" s="143">
        <v>124</v>
      </c>
      <c r="F16" s="13">
        <f>'Suivi EAU-ELEC'!E15</f>
        <v>109</v>
      </c>
      <c r="G16" s="11"/>
      <c r="H16" s="166">
        <f t="shared" si="0"/>
        <v>958.1099999999999</v>
      </c>
      <c r="I16" s="167"/>
      <c r="J16" s="167"/>
      <c r="K16" s="60">
        <v>42284</v>
      </c>
      <c r="L16" s="90">
        <f>'Suivi EAU-ELEC'!G15</f>
        <v>3817</v>
      </c>
      <c r="M16" s="91">
        <f>'Suivi EAU-ELEC'!I15</f>
        <v>5660</v>
      </c>
      <c r="N16" s="91">
        <f>'Suivi EAU-ELEC'!K15</f>
        <v>2411</v>
      </c>
      <c r="O16" s="91">
        <f t="shared" si="2"/>
        <v>11888</v>
      </c>
      <c r="P16" s="11"/>
      <c r="Q16" s="34">
        <f t="shared" si="3"/>
        <v>11258.6929</v>
      </c>
      <c r="R16" s="11"/>
      <c r="S16" s="28"/>
      <c r="T16" s="11"/>
      <c r="U16" s="28"/>
      <c r="V16" s="146">
        <f>'Suvi Gaz'!O10</f>
        <v>671.98341000000005</v>
      </c>
      <c r="W16" s="11"/>
      <c r="X16" s="34">
        <f t="shared" si="1"/>
        <v>7560.6869409330011</v>
      </c>
    </row>
    <row r="17" spans="1:24" s="5" customFormat="1" ht="32.25" customHeight="1">
      <c r="A17" s="2"/>
      <c r="B17" s="6">
        <v>44508</v>
      </c>
      <c r="C17" s="7"/>
      <c r="D17" s="143">
        <v>118</v>
      </c>
      <c r="E17" s="143">
        <v>152</v>
      </c>
      <c r="F17" s="13">
        <f>'Suivi EAU-ELEC'!E16</f>
        <v>95</v>
      </c>
      <c r="G17" s="11"/>
      <c r="H17" s="166">
        <f t="shared" si="0"/>
        <v>835.05</v>
      </c>
      <c r="I17" s="167"/>
      <c r="J17" s="167"/>
      <c r="K17" s="60">
        <v>42285</v>
      </c>
      <c r="L17" s="90">
        <f>'Suivi EAU-ELEC'!G16</f>
        <v>3622</v>
      </c>
      <c r="M17" s="91">
        <f>'Suivi EAU-ELEC'!I16</f>
        <v>5164</v>
      </c>
      <c r="N17" s="91">
        <f>'Suivi EAU-ELEC'!K16</f>
        <v>2464</v>
      </c>
      <c r="O17" s="91">
        <f t="shared" si="2"/>
        <v>11250</v>
      </c>
      <c r="P17" s="12"/>
      <c r="Q17" s="34">
        <f t="shared" si="3"/>
        <v>10721.102200000001</v>
      </c>
      <c r="R17" s="12"/>
      <c r="S17" s="28"/>
      <c r="T17" s="12"/>
      <c r="U17" s="28"/>
      <c r="V17" s="146">
        <f>'Suvi Gaz'!O11</f>
        <v>479.98815000000002</v>
      </c>
      <c r="W17" s="11"/>
      <c r="X17" s="34">
        <f t="shared" si="1"/>
        <v>5400.4906720950003</v>
      </c>
    </row>
    <row r="18" spans="1:24" ht="32.25" customHeight="1">
      <c r="A18" s="2"/>
      <c r="B18" s="6">
        <v>44509</v>
      </c>
      <c r="C18" s="7"/>
      <c r="D18" s="143">
        <v>102</v>
      </c>
      <c r="E18" s="143">
        <v>132</v>
      </c>
      <c r="F18" s="13">
        <f>'Suivi EAU-ELEC'!E17</f>
        <v>106.89999999999418</v>
      </c>
      <c r="G18" s="11"/>
      <c r="H18" s="166">
        <f t="shared" si="0"/>
        <v>939.65099999994879</v>
      </c>
      <c r="I18" s="167"/>
      <c r="J18" s="167"/>
      <c r="K18" s="60">
        <v>42286</v>
      </c>
      <c r="L18" s="90">
        <f>'Suivi EAU-ELEC'!G17</f>
        <v>3343</v>
      </c>
      <c r="M18" s="91">
        <f>'Suivi EAU-ELEC'!I17</f>
        <v>5773</v>
      </c>
      <c r="N18" s="91">
        <f>'Suivi EAU-ELEC'!K17</f>
        <v>2675</v>
      </c>
      <c r="O18" s="91">
        <f t="shared" si="2"/>
        <v>11791</v>
      </c>
      <c r="P18" s="12"/>
      <c r="Q18" s="34">
        <f t="shared" si="3"/>
        <v>11386.3377</v>
      </c>
      <c r="R18" s="12"/>
      <c r="S18" s="28"/>
      <c r="T18" s="12"/>
      <c r="U18" s="28"/>
      <c r="V18" s="146">
        <f>'Suvi Gaz'!O12</f>
        <v>351.99131</v>
      </c>
      <c r="W18" s="11"/>
      <c r="X18" s="34">
        <f t="shared" si="1"/>
        <v>3960.359826203</v>
      </c>
    </row>
    <row r="19" spans="1:24" ht="32.25" customHeight="1">
      <c r="A19" s="2"/>
      <c r="B19" s="6">
        <v>44510</v>
      </c>
      <c r="C19" s="7"/>
      <c r="D19" s="143">
        <v>84</v>
      </c>
      <c r="E19" s="143">
        <v>106</v>
      </c>
      <c r="F19" s="13">
        <f>'Suivi EAU-ELEC'!E18</f>
        <v>97.900000000008731</v>
      </c>
      <c r="G19" s="12"/>
      <c r="H19" s="166">
        <f t="shared" si="0"/>
        <v>860.54100000007668</v>
      </c>
      <c r="I19" s="167"/>
      <c r="J19" s="167"/>
      <c r="K19" s="60">
        <v>42287</v>
      </c>
      <c r="L19" s="90">
        <f>'Suivi EAU-ELEC'!G18</f>
        <v>3276</v>
      </c>
      <c r="M19" s="91">
        <f>'Suivi EAU-ELEC'!I18</f>
        <v>5246</v>
      </c>
      <c r="N19" s="91">
        <f>'Suivi EAU-ELEC'!K18</f>
        <v>2420</v>
      </c>
      <c r="O19" s="91">
        <f t="shared" si="2"/>
        <v>10942</v>
      </c>
      <c r="P19" s="12"/>
      <c r="Q19" s="34">
        <f t="shared" si="3"/>
        <v>10498.8984</v>
      </c>
      <c r="R19" s="12"/>
      <c r="S19" s="28"/>
      <c r="T19" s="12"/>
      <c r="U19" s="28"/>
      <c r="V19" s="146">
        <f>'Suvi Gaz'!O13</f>
        <v>735.98183000000006</v>
      </c>
      <c r="W19" s="11"/>
      <c r="X19" s="34">
        <f t="shared" si="1"/>
        <v>8280.7523638790008</v>
      </c>
    </row>
    <row r="20" spans="1:24" ht="32.25" customHeight="1">
      <c r="A20" s="2"/>
      <c r="B20" s="6">
        <v>44511</v>
      </c>
      <c r="C20" s="7"/>
      <c r="D20" s="143">
        <v>93</v>
      </c>
      <c r="E20" s="143">
        <v>131</v>
      </c>
      <c r="F20" s="13">
        <f>'Suivi EAU-ELEC'!E19</f>
        <v>91.80000000000291</v>
      </c>
      <c r="G20" s="12"/>
      <c r="H20" s="166">
        <f t="shared" si="0"/>
        <v>806.92200000002549</v>
      </c>
      <c r="I20" s="167"/>
      <c r="J20" s="167"/>
      <c r="K20" s="60">
        <v>42288</v>
      </c>
      <c r="L20" s="90">
        <f>'Suivi EAU-ELEC'!G19</f>
        <v>3324</v>
      </c>
      <c r="M20" s="91">
        <f>'Suivi EAU-ELEC'!I19</f>
        <v>4996</v>
      </c>
      <c r="N20" s="91">
        <f>'Suivi EAU-ELEC'!K19</f>
        <v>2361</v>
      </c>
      <c r="O20" s="91">
        <f t="shared" si="2"/>
        <v>10681</v>
      </c>
      <c r="P20" s="12"/>
      <c r="Q20" s="34">
        <f t="shared" si="3"/>
        <v>10216.0828</v>
      </c>
      <c r="R20" s="12"/>
      <c r="S20" s="28"/>
      <c r="T20" s="12"/>
      <c r="U20" s="28"/>
      <c r="V20" s="146">
        <f>'Suvi Gaz'!O14</f>
        <v>575.98577999999998</v>
      </c>
      <c r="W20" s="11"/>
      <c r="X20" s="34">
        <f t="shared" si="1"/>
        <v>6480.5888065139998</v>
      </c>
    </row>
    <row r="21" spans="1:24" ht="32.25" customHeight="1">
      <c r="A21" s="2"/>
      <c r="B21" s="6">
        <v>44512</v>
      </c>
      <c r="C21" s="7"/>
      <c r="D21" s="143">
        <v>90</v>
      </c>
      <c r="E21" s="143">
        <v>151</v>
      </c>
      <c r="F21" s="13">
        <f>'Suivi EAU-ELEC'!E20</f>
        <v>87.299999999988358</v>
      </c>
      <c r="G21" s="12"/>
      <c r="H21" s="166">
        <f t="shared" si="0"/>
        <v>767.36699999989764</v>
      </c>
      <c r="I21" s="167"/>
      <c r="J21" s="167"/>
      <c r="K21" s="60">
        <v>42289</v>
      </c>
      <c r="L21" s="90">
        <f>'Suivi EAU-ELEC'!G20</f>
        <v>3609</v>
      </c>
      <c r="M21" s="91">
        <f>'Suivi EAU-ELEC'!I20</f>
        <v>5483</v>
      </c>
      <c r="N21" s="91">
        <f>'Suivi EAU-ELEC'!K20</f>
        <v>2460</v>
      </c>
      <c r="O21" s="91">
        <f>L21+M21+N21</f>
        <v>11552</v>
      </c>
      <c r="P21" s="12"/>
      <c r="Q21" s="34">
        <f t="shared" si="3"/>
        <v>11010.1967</v>
      </c>
      <c r="R21" s="12"/>
      <c r="S21" s="28"/>
      <c r="T21" s="12"/>
      <c r="U21" s="28"/>
      <c r="V21" s="146">
        <f>'Suvi Gaz'!O15</f>
        <v>383.99052</v>
      </c>
      <c r="W21" s="11"/>
      <c r="X21" s="34">
        <f t="shared" si="1"/>
        <v>4320.3925376759998</v>
      </c>
    </row>
    <row r="22" spans="1:24" ht="32.25" customHeight="1">
      <c r="A22" s="2"/>
      <c r="B22" s="6">
        <v>44513</v>
      </c>
      <c r="C22" s="7"/>
      <c r="D22" s="143">
        <v>100</v>
      </c>
      <c r="E22" s="143">
        <v>167</v>
      </c>
      <c r="F22" s="13">
        <f>'Suivi EAU-ELEC'!E21</f>
        <v>116.40000000000873</v>
      </c>
      <c r="G22" s="12"/>
      <c r="H22" s="166">
        <f t="shared" ref="H22:H35" si="4">F22*8.79</f>
        <v>1023.1560000000767</v>
      </c>
      <c r="I22" s="167"/>
      <c r="J22" s="167"/>
      <c r="K22" s="60">
        <v>42290</v>
      </c>
      <c r="L22" s="90">
        <f>'Suivi EAU-ELEC'!G21</f>
        <v>3595</v>
      </c>
      <c r="M22" s="91">
        <f>'Suivi EAU-ELEC'!I21</f>
        <v>5241</v>
      </c>
      <c r="N22" s="91">
        <f>'Suivi EAU-ELEC'!K21</f>
        <v>2679</v>
      </c>
      <c r="O22" s="91">
        <f t="shared" si="2"/>
        <v>11515</v>
      </c>
      <c r="P22" s="12"/>
      <c r="Q22" s="34">
        <f t="shared" si="3"/>
        <v>11061.5365</v>
      </c>
      <c r="R22" s="12"/>
      <c r="S22" s="28"/>
      <c r="T22" s="12"/>
      <c r="U22" s="28"/>
      <c r="V22" s="146">
        <f>'Suvi Gaz'!O16</f>
        <v>415.98973000000001</v>
      </c>
      <c r="W22" s="11"/>
      <c r="X22" s="34">
        <f t="shared" si="1"/>
        <v>4680.4252491490006</v>
      </c>
    </row>
    <row r="23" spans="1:24" ht="32.25" customHeight="1">
      <c r="A23" s="2"/>
      <c r="B23" s="6">
        <v>44514</v>
      </c>
      <c r="C23" s="7"/>
      <c r="D23" s="143">
        <v>73</v>
      </c>
      <c r="E23" s="143">
        <v>120</v>
      </c>
      <c r="F23" s="13">
        <f>'Suivi EAU-ELEC'!E22</f>
        <v>113.69999999999709</v>
      </c>
      <c r="G23" s="14"/>
      <c r="H23" s="166">
        <f t="shared" si="4"/>
        <v>999.42299999997431</v>
      </c>
      <c r="I23" s="167"/>
      <c r="J23" s="167"/>
      <c r="K23" s="60">
        <v>42291</v>
      </c>
      <c r="L23" s="90">
        <f>'Suivi EAU-ELEC'!G22</f>
        <v>4224</v>
      </c>
      <c r="M23" s="91">
        <f>'Suivi EAU-ELEC'!I22</f>
        <v>5046</v>
      </c>
      <c r="N23" s="91">
        <f>'Suivi EAU-ELEC'!K22</f>
        <v>2387</v>
      </c>
      <c r="O23" s="91">
        <f>L23+M23+N23</f>
        <v>11657</v>
      </c>
      <c r="P23" s="12"/>
      <c r="Q23" s="34">
        <f>L23*0.6985+M23*0.9514+N23*1.3304</f>
        <v>10926.8932</v>
      </c>
      <c r="R23" s="12"/>
      <c r="S23" s="28"/>
      <c r="T23" s="14"/>
      <c r="U23" s="28"/>
      <c r="V23" s="146">
        <f>'Suvi Gaz'!O17</f>
        <v>415.98973000000001</v>
      </c>
      <c r="W23" s="11"/>
      <c r="X23" s="34">
        <f t="shared" si="1"/>
        <v>4680.4252491490006</v>
      </c>
    </row>
    <row r="24" spans="1:24" ht="32.25" customHeight="1">
      <c r="A24" s="2"/>
      <c r="B24" s="6">
        <v>44515</v>
      </c>
      <c r="C24" s="7"/>
      <c r="D24" s="143">
        <v>91</v>
      </c>
      <c r="E24" s="143">
        <v>120</v>
      </c>
      <c r="F24" s="13">
        <f>'Suivi EAU-ELEC'!E23</f>
        <v>94</v>
      </c>
      <c r="G24" s="14"/>
      <c r="H24" s="166">
        <f t="shared" si="4"/>
        <v>826.25999999999988</v>
      </c>
      <c r="I24" s="167"/>
      <c r="J24" s="167"/>
      <c r="K24" s="60">
        <v>42292</v>
      </c>
      <c r="L24" s="90">
        <f>'Suivi EAU-ELEC'!G23</f>
        <v>3398</v>
      </c>
      <c r="M24" s="91">
        <f>'Suivi EAU-ELEC'!I23</f>
        <v>5088</v>
      </c>
      <c r="N24" s="91">
        <f>'Suivi EAU-ELEC'!K23</f>
        <v>2437</v>
      </c>
      <c r="O24" s="91">
        <f>L24+M24+N24</f>
        <v>10923</v>
      </c>
      <c r="P24" s="12"/>
      <c r="Q24" s="34">
        <f>L24*0.6985+M24*0.9514+N24*1.3304</f>
        <v>10456.411</v>
      </c>
      <c r="R24" s="12"/>
      <c r="S24" s="28"/>
      <c r="T24" s="14"/>
      <c r="U24" s="28"/>
      <c r="V24" s="146">
        <f>'Suvi Gaz'!O18</f>
        <v>767.98104000000001</v>
      </c>
      <c r="W24" s="11"/>
      <c r="X24" s="34">
        <f t="shared" si="1"/>
        <v>8640.7850753519997</v>
      </c>
    </row>
    <row r="25" spans="1:24" ht="32.25" customHeight="1">
      <c r="A25" s="2"/>
      <c r="B25" s="6">
        <v>44516</v>
      </c>
      <c r="C25" s="7"/>
      <c r="D25" s="143">
        <v>114</v>
      </c>
      <c r="E25" s="143">
        <v>143</v>
      </c>
      <c r="F25" s="13">
        <f>'Suivi EAU-ELEC'!E24</f>
        <v>85.69999999999709</v>
      </c>
      <c r="G25" s="14"/>
      <c r="H25" s="166">
        <f t="shared" si="4"/>
        <v>753.3029999999743</v>
      </c>
      <c r="I25" s="167"/>
      <c r="J25" s="167"/>
      <c r="K25" s="60">
        <v>42293</v>
      </c>
      <c r="L25" s="90">
        <f>'Suivi EAU-ELEC'!G24</f>
        <v>2715</v>
      </c>
      <c r="M25" s="91">
        <f>'Suivi EAU-ELEC'!I24</f>
        <v>5334</v>
      </c>
      <c r="N25" s="91">
        <f>'Suivi EAU-ELEC'!K24</f>
        <v>2483</v>
      </c>
      <c r="O25" s="91">
        <f t="shared" si="2"/>
        <v>10532</v>
      </c>
      <c r="P25" s="12"/>
      <c r="Q25" s="34">
        <f t="shared" si="3"/>
        <v>10274.578300000001</v>
      </c>
      <c r="R25" s="12"/>
      <c r="S25" s="28"/>
      <c r="T25" s="14"/>
      <c r="U25" s="28"/>
      <c r="V25" s="146">
        <f>'Suvi Gaz'!O19</f>
        <v>543.98657000000003</v>
      </c>
      <c r="W25" s="11"/>
      <c r="X25" s="34">
        <f t="shared" si="1"/>
        <v>6120.5560950410008</v>
      </c>
    </row>
    <row r="26" spans="1:24" ht="32.25" customHeight="1">
      <c r="A26" s="2"/>
      <c r="B26" s="6">
        <v>44517</v>
      </c>
      <c r="C26" s="7"/>
      <c r="D26" s="143"/>
      <c r="E26" s="143"/>
      <c r="F26" s="13">
        <f>'Suivi EAU-ELEC'!E25</f>
        <v>91.100000000005821</v>
      </c>
      <c r="G26" s="14"/>
      <c r="H26" s="166">
        <f t="shared" si="4"/>
        <v>800.76900000005105</v>
      </c>
      <c r="I26" s="167"/>
      <c r="J26" s="167"/>
      <c r="K26" s="60">
        <v>42294</v>
      </c>
      <c r="L26" s="90">
        <f>'Suivi EAU-ELEC'!G25</f>
        <v>3364</v>
      </c>
      <c r="M26" s="91">
        <f>'Suivi EAU-ELEC'!I25</f>
        <v>5233</v>
      </c>
      <c r="N26" s="91">
        <f>'Suivi EAU-ELEC'!K25</f>
        <v>2527</v>
      </c>
      <c r="O26" s="91">
        <f t="shared" si="2"/>
        <v>11124</v>
      </c>
      <c r="P26" s="14"/>
      <c r="Q26" s="34">
        <f t="shared" si="3"/>
        <v>10690.350999999999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44518</v>
      </c>
      <c r="C27" s="7"/>
      <c r="D27" s="143"/>
      <c r="E27" s="143"/>
      <c r="F27" s="13"/>
      <c r="G27" s="14"/>
      <c r="H27" s="166">
        <f t="shared" si="4"/>
        <v>0</v>
      </c>
      <c r="I27" s="167"/>
      <c r="J27" s="167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44519</v>
      </c>
      <c r="C28" s="7"/>
      <c r="D28" s="143"/>
      <c r="E28" s="143"/>
      <c r="F28" s="13"/>
      <c r="G28" s="11"/>
      <c r="H28" s="166">
        <f t="shared" si="4"/>
        <v>0</v>
      </c>
      <c r="I28" s="167"/>
      <c r="J28" s="167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44520</v>
      </c>
      <c r="C29" s="7"/>
      <c r="D29" s="143"/>
      <c r="E29" s="143"/>
      <c r="F29" s="13"/>
      <c r="G29" s="11"/>
      <c r="H29" s="166">
        <f t="shared" si="4"/>
        <v>0</v>
      </c>
      <c r="I29" s="167"/>
      <c r="J29" s="167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44521</v>
      </c>
      <c r="C30" s="7"/>
      <c r="D30" s="143"/>
      <c r="E30" s="143"/>
      <c r="F30" s="13"/>
      <c r="G30" s="11"/>
      <c r="H30" s="166">
        <f t="shared" si="4"/>
        <v>0</v>
      </c>
      <c r="I30" s="167"/>
      <c r="J30" s="167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44522</v>
      </c>
      <c r="C31" s="7"/>
      <c r="D31" s="143"/>
      <c r="E31" s="143"/>
      <c r="F31" s="13"/>
      <c r="G31" s="11"/>
      <c r="H31" s="166">
        <f t="shared" si="4"/>
        <v>0</v>
      </c>
      <c r="I31" s="167"/>
      <c r="J31" s="167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44523</v>
      </c>
      <c r="C32" s="7"/>
      <c r="D32" s="143"/>
      <c r="E32" s="143"/>
      <c r="F32" s="13"/>
      <c r="G32" s="11"/>
      <c r="H32" s="166">
        <f t="shared" si="4"/>
        <v>0</v>
      </c>
      <c r="I32" s="167"/>
      <c r="J32" s="167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44524</v>
      </c>
      <c r="C33" s="7"/>
      <c r="D33" s="143"/>
      <c r="E33" s="143"/>
      <c r="F33" s="13"/>
      <c r="G33" s="11"/>
      <c r="H33" s="166">
        <f t="shared" si="4"/>
        <v>0</v>
      </c>
      <c r="I33" s="167"/>
      <c r="J33" s="167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44525</v>
      </c>
      <c r="C34" s="7"/>
      <c r="D34" s="143"/>
      <c r="E34" s="143"/>
      <c r="F34" s="13"/>
      <c r="G34" s="11"/>
      <c r="H34" s="166">
        <f t="shared" si="4"/>
        <v>0</v>
      </c>
      <c r="I34" s="167"/>
      <c r="J34" s="167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44526</v>
      </c>
      <c r="C35" s="7"/>
      <c r="D35" s="143"/>
      <c r="E35" s="143"/>
      <c r="F35" s="13"/>
      <c r="G35" s="11"/>
      <c r="H35" s="166">
        <f t="shared" si="4"/>
        <v>0</v>
      </c>
      <c r="I35" s="167"/>
      <c r="J35" s="167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44527</v>
      </c>
      <c r="C36" s="7"/>
      <c r="D36" s="143"/>
      <c r="E36" s="143"/>
      <c r="F36" s="13"/>
      <c r="G36" s="11"/>
      <c r="H36" s="166">
        <f>F36*8.79</f>
        <v>0</v>
      </c>
      <c r="I36" s="167"/>
      <c r="J36" s="167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44528</v>
      </c>
      <c r="C37" s="7"/>
      <c r="D37" s="143"/>
      <c r="E37" s="143"/>
      <c r="F37" s="13"/>
      <c r="G37" s="11"/>
      <c r="H37" s="166">
        <f t="shared" ref="H37:H38" si="5">F37*8.79</f>
        <v>0</v>
      </c>
      <c r="I37" s="167"/>
      <c r="J37" s="167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44529</v>
      </c>
      <c r="C38" s="7"/>
      <c r="D38" s="143"/>
      <c r="E38" s="143"/>
      <c r="F38" s="13"/>
      <c r="G38" s="11"/>
      <c r="H38" s="166">
        <f t="shared" si="5"/>
        <v>0</v>
      </c>
      <c r="I38" s="167"/>
      <c r="J38" s="167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44530</v>
      </c>
      <c r="C39" s="7"/>
      <c r="D39" s="143"/>
      <c r="E39" s="143"/>
      <c r="F39" s="13"/>
      <c r="G39" s="11"/>
      <c r="H39" s="166">
        <f t="shared" ref="H39" si="6">F39*8.79</f>
        <v>0</v>
      </c>
      <c r="I39" s="167"/>
      <c r="J39" s="167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1511</v>
      </c>
      <c r="E40" s="8">
        <f>SUM(E10:E39)</f>
        <v>2197</v>
      </c>
      <c r="F40" s="152">
        <f>SUM(F10:F39)</f>
        <v>1749.4000000000087</v>
      </c>
      <c r="G40" s="1"/>
      <c r="H40" s="204">
        <f>SUM(H10:H39)</f>
        <v>15377.226000000077</v>
      </c>
      <c r="I40" s="205"/>
      <c r="J40" s="206"/>
      <c r="K40" s="1"/>
      <c r="L40" s="53">
        <f>SUM(L10:L39)</f>
        <v>63418</v>
      </c>
      <c r="M40" s="53">
        <f>SUM(M10:M39)</f>
        <v>100314</v>
      </c>
      <c r="N40" s="54">
        <f>SUM(N10:N39)</f>
        <v>44788</v>
      </c>
      <c r="O40" s="55">
        <f>SUM(O10:O39)</f>
        <v>208520</v>
      </c>
      <c r="P40" s="31"/>
      <c r="Q40" s="32">
        <f>SUM(Q10:Q39)</f>
        <v>199350.10619999998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8572.3140999999996</v>
      </c>
      <c r="W40" s="31"/>
      <c r="X40" s="32">
        <f>SUM(X10:X39)</f>
        <v>96449.677633330022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4" t="s">
        <v>33</v>
      </c>
      <c r="B42" s="185"/>
      <c r="C42" s="185"/>
      <c r="D42" s="185"/>
      <c r="E42" s="185"/>
      <c r="F42" s="186"/>
      <c r="G42" s="26"/>
      <c r="H42" s="27" t="s">
        <v>34</v>
      </c>
      <c r="I42" s="196" t="s">
        <v>35</v>
      </c>
      <c r="J42" s="197"/>
      <c r="K42" s="198"/>
      <c r="L42" s="227" t="s">
        <v>36</v>
      </c>
      <c r="M42" s="228"/>
      <c r="N42" s="184" t="s">
        <v>37</v>
      </c>
      <c r="O42" s="185"/>
      <c r="P42" s="185"/>
      <c r="Q42" s="185"/>
      <c r="R42" s="185"/>
      <c r="S42" s="185"/>
      <c r="T42" s="185"/>
      <c r="U42" s="185"/>
      <c r="V42" s="185"/>
      <c r="W42" s="185"/>
      <c r="X42" s="186"/>
    </row>
    <row r="43" spans="1:24" s="18" customFormat="1" ht="29.25" customHeight="1" thickBot="1">
      <c r="A43" s="221" t="s">
        <v>38</v>
      </c>
      <c r="B43" s="222"/>
      <c r="C43" s="223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18">
        <f>L40</f>
        <v>63418</v>
      </c>
      <c r="J43" s="219"/>
      <c r="K43" s="220"/>
      <c r="L43" s="202">
        <f>I43*H43</f>
        <v>44297.472999999998</v>
      </c>
      <c r="M43" s="203"/>
      <c r="N43" s="175">
        <f>L43+L44+L45</f>
        <v>199322.1678</v>
      </c>
      <c r="O43" s="176"/>
      <c r="P43" s="176"/>
      <c r="Q43" s="176"/>
      <c r="R43" s="176"/>
      <c r="S43" s="176"/>
      <c r="T43" s="176"/>
      <c r="U43" s="176"/>
      <c r="V43" s="176"/>
      <c r="W43" s="176"/>
      <c r="X43" s="177"/>
    </row>
    <row r="44" spans="1:24" s="18" customFormat="1" ht="29.25" customHeight="1" thickBot="1">
      <c r="A44" s="224"/>
      <c r="B44" s="225"/>
      <c r="C44" s="226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18">
        <f>M40</f>
        <v>100314</v>
      </c>
      <c r="J44" s="219"/>
      <c r="K44" s="220"/>
      <c r="L44" s="202">
        <f>I44*H44</f>
        <v>95438.739600000001</v>
      </c>
      <c r="M44" s="203"/>
      <c r="N44" s="178"/>
      <c r="O44" s="179"/>
      <c r="P44" s="179"/>
      <c r="Q44" s="179"/>
      <c r="R44" s="179"/>
      <c r="S44" s="179"/>
      <c r="T44" s="179"/>
      <c r="U44" s="179"/>
      <c r="V44" s="179"/>
      <c r="W44" s="179"/>
      <c r="X44" s="180"/>
    </row>
    <row r="45" spans="1:24" s="18" customFormat="1" ht="24.75" customHeight="1" thickBot="1">
      <c r="A45" s="224"/>
      <c r="B45" s="225"/>
      <c r="C45" s="226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193">
        <f>N40</f>
        <v>44788</v>
      </c>
      <c r="J45" s="194"/>
      <c r="K45" s="195"/>
      <c r="L45" s="202">
        <f>I45*H45</f>
        <v>59585.955200000004</v>
      </c>
      <c r="M45" s="203"/>
      <c r="N45" s="181"/>
      <c r="O45" s="182"/>
      <c r="P45" s="182"/>
      <c r="Q45" s="182"/>
      <c r="R45" s="182"/>
      <c r="S45" s="182"/>
      <c r="T45" s="182"/>
      <c r="U45" s="182"/>
      <c r="V45" s="182"/>
      <c r="W45" s="182"/>
      <c r="X45" s="183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199">
        <f>N43*1.3</f>
        <v>259118.81814000002</v>
      </c>
      <c r="O46" s="200"/>
      <c r="P46" s="200"/>
      <c r="Q46" s="200"/>
      <c r="R46" s="200"/>
      <c r="S46" s="200"/>
      <c r="T46" s="200"/>
      <c r="U46" s="200"/>
      <c r="V46" s="200"/>
      <c r="W46" s="200"/>
      <c r="X46" s="201"/>
    </row>
    <row r="47" spans="1:24" s="23" customFormat="1" ht="32.25" customHeight="1" thickBot="1">
      <c r="A47" s="213" t="s">
        <v>39</v>
      </c>
      <c r="B47" s="214"/>
      <c r="C47" s="214"/>
      <c r="D47" s="214"/>
      <c r="E47" s="214"/>
      <c r="F47" s="215"/>
      <c r="G47" s="21"/>
      <c r="H47" s="22">
        <v>8.7899999999999991</v>
      </c>
      <c r="I47" s="213">
        <f>F40</f>
        <v>1749.4000000000087</v>
      </c>
      <c r="J47" s="214"/>
      <c r="K47" s="215"/>
      <c r="L47" s="216">
        <f>I47*H47</f>
        <v>15377.226000000075</v>
      </c>
      <c r="M47" s="217"/>
      <c r="N47" s="172">
        <f>L47</f>
        <v>15377.226000000075</v>
      </c>
      <c r="O47" s="173"/>
      <c r="P47" s="173"/>
      <c r="Q47" s="173"/>
      <c r="R47" s="173"/>
      <c r="S47" s="173"/>
      <c r="T47" s="173"/>
      <c r="U47" s="173"/>
      <c r="V47" s="173"/>
      <c r="W47" s="173"/>
      <c r="X47" s="174"/>
    </row>
    <row r="48" spans="1:24" s="23" customFormat="1" ht="36.75" customHeight="1">
      <c r="A48" s="187" t="s">
        <v>40</v>
      </c>
      <c r="B48" s="188"/>
      <c r="C48" s="188"/>
      <c r="D48" s="188"/>
      <c r="E48" s="188"/>
      <c r="F48" s="189"/>
      <c r="G48" s="24"/>
      <c r="H48" s="25">
        <v>11.251300000000001</v>
      </c>
      <c r="I48" s="190">
        <f>V40</f>
        <v>8572.3140999999996</v>
      </c>
      <c r="J48" s="191"/>
      <c r="K48" s="192"/>
      <c r="L48" s="190">
        <f>I48*H48</f>
        <v>96449.677633329993</v>
      </c>
      <c r="M48" s="192"/>
      <c r="N48" s="169">
        <f>L48</f>
        <v>96449.677633329993</v>
      </c>
      <c r="O48" s="170"/>
      <c r="P48" s="170"/>
      <c r="Q48" s="170"/>
      <c r="R48" s="170"/>
      <c r="S48" s="170"/>
      <c r="T48" s="170"/>
      <c r="U48" s="170"/>
      <c r="V48" s="170"/>
      <c r="W48" s="170"/>
      <c r="X48" s="171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</row>
  </sheetData>
  <mergeCells count="72">
    <mergeCell ref="H36:J36"/>
    <mergeCell ref="L43:M43"/>
    <mergeCell ref="H33:J33"/>
    <mergeCell ref="H31:J31"/>
    <mergeCell ref="H35:J35"/>
    <mergeCell ref="H37:J37"/>
    <mergeCell ref="H38:J38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23" activePane="bottomRight" state="frozen"/>
      <selection pane="bottomRight" activeCell="K24" sqref="K24:K25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69"/>
      <c r="B1" s="270"/>
      <c r="C1" s="270"/>
      <c r="D1" s="271"/>
      <c r="E1" s="252" t="s">
        <v>41</v>
      </c>
      <c r="F1" s="253"/>
      <c r="G1" s="253"/>
      <c r="H1" s="253"/>
      <c r="I1" s="254"/>
      <c r="J1" s="261" t="s">
        <v>42</v>
      </c>
      <c r="K1" s="262"/>
      <c r="L1" s="49"/>
    </row>
    <row r="2" spans="1:12" ht="16.5" customHeight="1">
      <c r="A2" s="272"/>
      <c r="B2" s="273"/>
      <c r="C2" s="273"/>
      <c r="D2" s="274"/>
      <c r="E2" s="255"/>
      <c r="F2" s="256"/>
      <c r="G2" s="256"/>
      <c r="H2" s="256"/>
      <c r="I2" s="257"/>
      <c r="J2" s="263"/>
      <c r="K2" s="264"/>
      <c r="L2" s="49"/>
    </row>
    <row r="3" spans="1:12" ht="48" customHeight="1">
      <c r="A3" s="275"/>
      <c r="B3" s="276"/>
      <c r="C3" s="276"/>
      <c r="D3" s="277"/>
      <c r="E3" s="258"/>
      <c r="F3" s="259"/>
      <c r="G3" s="259"/>
      <c r="H3" s="259"/>
      <c r="I3" s="260"/>
      <c r="J3" s="265"/>
      <c r="K3" s="266"/>
      <c r="L3" s="49"/>
    </row>
    <row r="6" spans="1:12" ht="10.5" customHeight="1"/>
    <row r="7" spans="1:12" ht="16.5" customHeight="1">
      <c r="A7" s="250" t="s">
        <v>43</v>
      </c>
      <c r="B7" s="278" t="s">
        <v>44</v>
      </c>
      <c r="C7" s="279"/>
      <c r="D7" s="267" t="s">
        <v>45</v>
      </c>
      <c r="E7" s="267"/>
      <c r="F7" s="268" t="s">
        <v>46</v>
      </c>
      <c r="G7" s="268"/>
      <c r="H7" s="268"/>
      <c r="I7" s="268"/>
      <c r="J7" s="268"/>
      <c r="K7" s="268"/>
    </row>
    <row r="8" spans="1:12" s="29" customFormat="1" ht="28.5" customHeight="1">
      <c r="A8" s="251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44501</v>
      </c>
      <c r="B9" s="116">
        <v>2560</v>
      </c>
      <c r="C9" s="115">
        <v>0</v>
      </c>
      <c r="D9" s="57">
        <v>127675.7</v>
      </c>
      <c r="E9" s="50">
        <v>111.30000000000291</v>
      </c>
      <c r="F9" s="51">
        <v>11170397</v>
      </c>
      <c r="G9" s="50">
        <v>3734</v>
      </c>
      <c r="H9" s="51">
        <v>19038198</v>
      </c>
      <c r="I9" s="50">
        <v>6435</v>
      </c>
      <c r="J9" s="51">
        <v>8351548</v>
      </c>
      <c r="K9" s="50">
        <v>2834</v>
      </c>
    </row>
    <row r="10" spans="1:12" ht="19.5">
      <c r="A10" s="59">
        <v>44502</v>
      </c>
      <c r="B10" s="116">
        <v>2560</v>
      </c>
      <c r="C10" s="115">
        <f>B10-B9</f>
        <v>0</v>
      </c>
      <c r="D10" s="57">
        <v>127795.4</v>
      </c>
      <c r="E10" s="50">
        <f>D10-D9</f>
        <v>119.69999999999709</v>
      </c>
      <c r="F10" s="51">
        <v>11174788</v>
      </c>
      <c r="G10" s="50">
        <f>F10-F9</f>
        <v>4391</v>
      </c>
      <c r="H10" s="51">
        <v>19045546</v>
      </c>
      <c r="I10" s="50">
        <f>H10-H9</f>
        <v>7348</v>
      </c>
      <c r="J10" s="51">
        <v>8354600</v>
      </c>
      <c r="K10" s="50">
        <f>J10-J9</f>
        <v>3052</v>
      </c>
    </row>
    <row r="11" spans="1:12" ht="19.5">
      <c r="A11" s="59">
        <v>44503</v>
      </c>
      <c r="B11" s="116">
        <v>2560</v>
      </c>
      <c r="C11" s="115">
        <f>B11-B10</f>
        <v>0</v>
      </c>
      <c r="D11" s="57">
        <v>127891.3</v>
      </c>
      <c r="E11" s="50">
        <f>D11-D10</f>
        <v>95.900000000008731</v>
      </c>
      <c r="F11" s="51">
        <v>11179207</v>
      </c>
      <c r="G11" s="50">
        <f>F11-F10</f>
        <v>4419</v>
      </c>
      <c r="H11" s="51">
        <v>19052800</v>
      </c>
      <c r="I11" s="50">
        <f>H11-H10</f>
        <v>7254</v>
      </c>
      <c r="J11" s="51">
        <v>8357582</v>
      </c>
      <c r="K11" s="50">
        <f>J11-J10</f>
        <v>2982</v>
      </c>
    </row>
    <row r="12" spans="1:12" ht="19.5">
      <c r="A12" s="59">
        <v>44504</v>
      </c>
      <c r="B12" s="116">
        <v>2560</v>
      </c>
      <c r="C12" s="115">
        <v>0</v>
      </c>
      <c r="D12" s="57">
        <v>127985.9</v>
      </c>
      <c r="E12" s="50">
        <f>D12-D11</f>
        <v>94.599999999991269</v>
      </c>
      <c r="F12" s="51">
        <v>11183757</v>
      </c>
      <c r="G12" s="50">
        <f>F12-F11</f>
        <v>4550</v>
      </c>
      <c r="H12" s="51">
        <v>19060410</v>
      </c>
      <c r="I12" s="50">
        <f>H12-H11</f>
        <v>7610</v>
      </c>
      <c r="J12" s="51">
        <v>8360474</v>
      </c>
      <c r="K12" s="50">
        <f>J12-J11</f>
        <v>2892</v>
      </c>
    </row>
    <row r="13" spans="1:12" ht="19.5">
      <c r="A13" s="59">
        <v>44505</v>
      </c>
      <c r="B13" s="116">
        <v>2560</v>
      </c>
      <c r="C13" s="115">
        <v>0</v>
      </c>
      <c r="D13" s="57">
        <v>128105.7</v>
      </c>
      <c r="E13" s="50">
        <f>D13-D12</f>
        <v>119.80000000000291</v>
      </c>
      <c r="F13" s="51">
        <v>11187556</v>
      </c>
      <c r="G13" s="50">
        <f>F13-F12</f>
        <v>3799</v>
      </c>
      <c r="H13" s="51">
        <v>19067297</v>
      </c>
      <c r="I13" s="50">
        <f>H13-H12</f>
        <v>6887</v>
      </c>
      <c r="J13" s="51">
        <v>8363547</v>
      </c>
      <c r="K13" s="50">
        <f>J13-J12</f>
        <v>3073</v>
      </c>
    </row>
    <row r="14" spans="1:12" ht="19.5">
      <c r="A14" s="59">
        <v>44506</v>
      </c>
      <c r="B14" s="116">
        <v>2560</v>
      </c>
      <c r="C14" s="115">
        <v>0</v>
      </c>
      <c r="D14" s="57">
        <v>128225</v>
      </c>
      <c r="E14" s="50">
        <f>D14-D13</f>
        <v>119.30000000000291</v>
      </c>
      <c r="F14" s="51">
        <v>11191794</v>
      </c>
      <c r="G14" s="50">
        <f>F14-F13</f>
        <v>4238</v>
      </c>
      <c r="H14" s="51">
        <v>19073813</v>
      </c>
      <c r="I14" s="50">
        <f>H14-H13</f>
        <v>6516</v>
      </c>
      <c r="J14" s="51">
        <v>8366198</v>
      </c>
      <c r="K14" s="50">
        <f>J14-J13</f>
        <v>2651</v>
      </c>
    </row>
    <row r="15" spans="1:12" ht="19.5">
      <c r="A15" s="59">
        <v>44507</v>
      </c>
      <c r="B15" s="116">
        <v>2560</v>
      </c>
      <c r="C15" s="115">
        <v>0</v>
      </c>
      <c r="D15" s="57">
        <v>128334</v>
      </c>
      <c r="E15" s="50">
        <f>D15-D14</f>
        <v>109</v>
      </c>
      <c r="F15" s="51">
        <v>11195611</v>
      </c>
      <c r="G15" s="50">
        <f>F15-F14</f>
        <v>3817</v>
      </c>
      <c r="H15" s="51">
        <v>19079473</v>
      </c>
      <c r="I15" s="50">
        <f>H15-H14</f>
        <v>5660</v>
      </c>
      <c r="J15" s="51">
        <v>8368609</v>
      </c>
      <c r="K15" s="50">
        <f>J15-J14</f>
        <v>2411</v>
      </c>
    </row>
    <row r="16" spans="1:12" ht="19.5">
      <c r="A16" s="59">
        <v>44508</v>
      </c>
      <c r="B16" s="116">
        <v>2560</v>
      </c>
      <c r="C16" s="115">
        <v>0</v>
      </c>
      <c r="D16" s="57">
        <v>128429</v>
      </c>
      <c r="E16" s="50">
        <f>D16-D15</f>
        <v>95</v>
      </c>
      <c r="F16" s="51">
        <v>11199233</v>
      </c>
      <c r="G16" s="50">
        <f t="shared" ref="G11:G38" si="0">F16-F15</f>
        <v>3622</v>
      </c>
      <c r="H16" s="51">
        <v>19084637</v>
      </c>
      <c r="I16" s="50">
        <f t="shared" ref="I11:I38" si="1">H16-H15</f>
        <v>5164</v>
      </c>
      <c r="J16" s="51">
        <v>8371073</v>
      </c>
      <c r="K16" s="50">
        <f t="shared" ref="K11:K38" si="2">J16-J15</f>
        <v>2464</v>
      </c>
    </row>
    <row r="17" spans="1:29" ht="19.5">
      <c r="A17" s="59">
        <v>44509</v>
      </c>
      <c r="B17" s="116">
        <v>2560</v>
      </c>
      <c r="C17" s="115">
        <v>0</v>
      </c>
      <c r="D17" s="57">
        <v>128535.9</v>
      </c>
      <c r="E17" s="50">
        <f>D17-D16</f>
        <v>106.89999999999418</v>
      </c>
      <c r="F17" s="51">
        <v>11202576</v>
      </c>
      <c r="G17" s="50">
        <f t="shared" si="0"/>
        <v>3343</v>
      </c>
      <c r="H17" s="51">
        <v>19090410</v>
      </c>
      <c r="I17" s="50">
        <f t="shared" si="1"/>
        <v>5773</v>
      </c>
      <c r="J17" s="51">
        <v>8373748</v>
      </c>
      <c r="K17" s="50">
        <f t="shared" si="2"/>
        <v>2675</v>
      </c>
    </row>
    <row r="18" spans="1:29" ht="19.5">
      <c r="A18" s="59">
        <v>44510</v>
      </c>
      <c r="B18" s="116">
        <v>2560</v>
      </c>
      <c r="C18" s="115">
        <v>0</v>
      </c>
      <c r="D18" s="57">
        <v>128633.8</v>
      </c>
      <c r="E18" s="50">
        <f>D18-D17</f>
        <v>97.900000000008731</v>
      </c>
      <c r="F18" s="51">
        <v>11205852</v>
      </c>
      <c r="G18" s="50">
        <f t="shared" si="0"/>
        <v>3276</v>
      </c>
      <c r="H18" s="51">
        <v>19095656</v>
      </c>
      <c r="I18" s="50">
        <f t="shared" si="1"/>
        <v>5246</v>
      </c>
      <c r="J18" s="51">
        <v>8376168</v>
      </c>
      <c r="K18" s="50">
        <f t="shared" si="2"/>
        <v>2420</v>
      </c>
    </row>
    <row r="19" spans="1:29" ht="19.5">
      <c r="A19" s="59">
        <v>44511</v>
      </c>
      <c r="B19" s="116">
        <v>2560</v>
      </c>
      <c r="C19" s="115">
        <v>0</v>
      </c>
      <c r="D19" s="57">
        <v>128725.6</v>
      </c>
      <c r="E19" s="50">
        <f>D19-D18</f>
        <v>91.80000000000291</v>
      </c>
      <c r="F19" s="51">
        <v>11209176</v>
      </c>
      <c r="G19" s="50">
        <f t="shared" si="0"/>
        <v>3324</v>
      </c>
      <c r="H19" s="51">
        <v>19100652</v>
      </c>
      <c r="I19" s="50">
        <f t="shared" si="1"/>
        <v>4996</v>
      </c>
      <c r="J19" s="51">
        <v>8378529</v>
      </c>
      <c r="K19" s="50">
        <f t="shared" si="2"/>
        <v>2361</v>
      </c>
    </row>
    <row r="20" spans="1:29" ht="25.5">
      <c r="A20" s="59">
        <v>44512</v>
      </c>
      <c r="B20" s="116">
        <v>2560</v>
      </c>
      <c r="C20" s="115">
        <v>0</v>
      </c>
      <c r="D20" s="57">
        <v>128812.9</v>
      </c>
      <c r="E20" s="50">
        <f>D20-D19</f>
        <v>87.299999999988358</v>
      </c>
      <c r="F20" s="51">
        <v>11212785</v>
      </c>
      <c r="G20" s="50">
        <f t="shared" si="0"/>
        <v>3609</v>
      </c>
      <c r="H20" s="51">
        <v>19106135</v>
      </c>
      <c r="I20" s="50">
        <f t="shared" si="1"/>
        <v>5483</v>
      </c>
      <c r="J20" s="51">
        <v>8380989</v>
      </c>
      <c r="K20" s="50">
        <f t="shared" si="2"/>
        <v>2460</v>
      </c>
      <c r="L20" s="117" t="s">
        <v>18</v>
      </c>
      <c r="AC20" t="s">
        <v>56</v>
      </c>
    </row>
    <row r="21" spans="1:29" ht="19.5">
      <c r="A21" s="59">
        <v>44513</v>
      </c>
      <c r="B21" s="116">
        <v>2560</v>
      </c>
      <c r="C21" s="115">
        <v>0</v>
      </c>
      <c r="D21" s="57">
        <v>128929.3</v>
      </c>
      <c r="E21" s="50">
        <f t="shared" ref="E21:E25" si="3">D21-D20</f>
        <v>116.40000000000873</v>
      </c>
      <c r="F21" s="51">
        <v>11216380</v>
      </c>
      <c r="G21" s="50">
        <f t="shared" si="0"/>
        <v>3595</v>
      </c>
      <c r="H21" s="51">
        <v>19111376</v>
      </c>
      <c r="I21" s="50">
        <f t="shared" si="1"/>
        <v>5241</v>
      </c>
      <c r="J21" s="51">
        <v>8383668</v>
      </c>
      <c r="K21" s="50">
        <f t="shared" si="2"/>
        <v>2679</v>
      </c>
    </row>
    <row r="22" spans="1:29" ht="19.5">
      <c r="A22" s="59">
        <v>44514</v>
      </c>
      <c r="B22" s="116">
        <v>2560</v>
      </c>
      <c r="C22" s="115">
        <v>0</v>
      </c>
      <c r="D22" s="57">
        <v>129043</v>
      </c>
      <c r="E22" s="50">
        <f t="shared" si="3"/>
        <v>113.69999999999709</v>
      </c>
      <c r="F22" s="51">
        <v>11220604</v>
      </c>
      <c r="G22" s="50">
        <f t="shared" si="0"/>
        <v>4224</v>
      </c>
      <c r="H22" s="51">
        <v>19116422</v>
      </c>
      <c r="I22" s="50">
        <f t="shared" si="1"/>
        <v>5046</v>
      </c>
      <c r="J22" s="51">
        <v>8386055</v>
      </c>
      <c r="K22" s="50">
        <f t="shared" si="2"/>
        <v>2387</v>
      </c>
    </row>
    <row r="23" spans="1:29" ht="19.5">
      <c r="A23" s="59">
        <v>44515</v>
      </c>
      <c r="B23" s="116">
        <v>2560</v>
      </c>
      <c r="C23" s="115">
        <v>0</v>
      </c>
      <c r="D23" s="57">
        <v>129137</v>
      </c>
      <c r="E23" s="50">
        <f t="shared" si="3"/>
        <v>94</v>
      </c>
      <c r="F23" s="51">
        <v>11224002</v>
      </c>
      <c r="G23" s="50">
        <f t="shared" si="0"/>
        <v>3398</v>
      </c>
      <c r="H23" s="51">
        <v>19121510</v>
      </c>
      <c r="I23" s="50">
        <f t="shared" si="1"/>
        <v>5088</v>
      </c>
      <c r="J23" s="51">
        <v>8388492</v>
      </c>
      <c r="K23" s="50">
        <f t="shared" si="2"/>
        <v>2437</v>
      </c>
    </row>
    <row r="24" spans="1:29" ht="19.5">
      <c r="A24" s="59">
        <v>44516</v>
      </c>
      <c r="B24" s="116">
        <v>2560</v>
      </c>
      <c r="C24" s="115">
        <v>0</v>
      </c>
      <c r="D24" s="57">
        <v>129222.7</v>
      </c>
      <c r="E24" s="50">
        <f t="shared" si="3"/>
        <v>85.69999999999709</v>
      </c>
      <c r="F24" s="51">
        <v>11226717</v>
      </c>
      <c r="G24" s="50">
        <f t="shared" si="0"/>
        <v>2715</v>
      </c>
      <c r="H24" s="51">
        <v>19126844</v>
      </c>
      <c r="I24" s="50">
        <f t="shared" si="1"/>
        <v>5334</v>
      </c>
      <c r="J24" s="51">
        <v>8390975</v>
      </c>
      <c r="K24" s="50">
        <f t="shared" si="2"/>
        <v>2483</v>
      </c>
    </row>
    <row r="25" spans="1:29" ht="19.5">
      <c r="A25" s="59">
        <v>44517</v>
      </c>
      <c r="B25" s="116">
        <v>2560</v>
      </c>
      <c r="C25" s="115">
        <v>0</v>
      </c>
      <c r="D25" s="57">
        <v>129313.8</v>
      </c>
      <c r="E25" s="50">
        <f t="shared" si="3"/>
        <v>91.100000000005821</v>
      </c>
      <c r="F25" s="51">
        <v>11230081</v>
      </c>
      <c r="G25" s="50">
        <f t="shared" si="0"/>
        <v>3364</v>
      </c>
      <c r="H25" s="51">
        <v>19132077</v>
      </c>
      <c r="I25" s="50">
        <f t="shared" si="1"/>
        <v>5233</v>
      </c>
      <c r="J25" s="51">
        <v>8393502</v>
      </c>
      <c r="K25" s="50">
        <f t="shared" si="2"/>
        <v>2527</v>
      </c>
    </row>
    <row r="26" spans="1:29" ht="19.5">
      <c r="A26" s="59">
        <v>44518</v>
      </c>
      <c r="B26" s="116"/>
      <c r="C26" s="115">
        <v>0</v>
      </c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44519</v>
      </c>
      <c r="B27" s="116"/>
      <c r="C27" s="115">
        <v>0</v>
      </c>
      <c r="D27" s="57"/>
      <c r="E27" s="50">
        <f>D27-D26</f>
        <v>0</v>
      </c>
      <c r="F27" s="51"/>
      <c r="G27" s="50">
        <f t="shared" si="0"/>
        <v>0</v>
      </c>
      <c r="H27" s="51"/>
      <c r="I27" s="50">
        <f t="shared" si="1"/>
        <v>0</v>
      </c>
      <c r="J27" s="51"/>
      <c r="K27" s="50">
        <f t="shared" si="2"/>
        <v>0</v>
      </c>
    </row>
    <row r="28" spans="1:29" ht="19.5">
      <c r="A28" s="59">
        <v>44520</v>
      </c>
      <c r="B28" s="116"/>
      <c r="C28" s="115">
        <v>0</v>
      </c>
      <c r="D28" s="57"/>
      <c r="E28" s="50">
        <f>D28-D27</f>
        <v>0</v>
      </c>
      <c r="F28" s="51"/>
      <c r="G28" s="50">
        <f t="shared" si="0"/>
        <v>0</v>
      </c>
      <c r="H28" s="51"/>
      <c r="I28" s="50">
        <f t="shared" si="1"/>
        <v>0</v>
      </c>
      <c r="J28" s="51"/>
      <c r="K28" s="50">
        <f t="shared" si="2"/>
        <v>0</v>
      </c>
    </row>
    <row r="29" spans="1:29" ht="19.5">
      <c r="A29" s="59">
        <v>44521</v>
      </c>
      <c r="B29" s="116"/>
      <c r="C29" s="115">
        <v>0</v>
      </c>
      <c r="D29" s="57"/>
      <c r="E29" s="50">
        <f>D29-D28</f>
        <v>0</v>
      </c>
      <c r="F29" s="51"/>
      <c r="G29" s="50">
        <f t="shared" si="0"/>
        <v>0</v>
      </c>
      <c r="H29" s="51"/>
      <c r="I29" s="50">
        <f t="shared" si="1"/>
        <v>0</v>
      </c>
      <c r="J29" s="51"/>
      <c r="K29" s="50">
        <f t="shared" si="2"/>
        <v>0</v>
      </c>
    </row>
    <row r="30" spans="1:29" ht="19.5">
      <c r="A30" s="59">
        <v>44522</v>
      </c>
      <c r="B30" s="116"/>
      <c r="C30" s="115">
        <v>0</v>
      </c>
      <c r="D30" s="57"/>
      <c r="E30" s="50">
        <f>D30-D29</f>
        <v>0</v>
      </c>
      <c r="F30" s="51"/>
      <c r="G30" s="50">
        <f t="shared" si="0"/>
        <v>0</v>
      </c>
      <c r="H30" s="51"/>
      <c r="I30" s="50">
        <f t="shared" si="1"/>
        <v>0</v>
      </c>
      <c r="J30" s="51"/>
      <c r="K30" s="50">
        <f t="shared" si="2"/>
        <v>0</v>
      </c>
    </row>
    <row r="31" spans="1:29" ht="19.5">
      <c r="A31" s="59">
        <v>44523</v>
      </c>
      <c r="B31" s="116"/>
      <c r="C31" s="115">
        <v>0</v>
      </c>
      <c r="D31" s="57"/>
      <c r="E31" s="50">
        <f t="shared" ref="E31:E38" si="4">D31-D30</f>
        <v>0</v>
      </c>
      <c r="F31" s="51"/>
      <c r="G31" s="50">
        <f t="shared" si="0"/>
        <v>0</v>
      </c>
      <c r="H31" s="51"/>
      <c r="I31" s="50">
        <f t="shared" si="1"/>
        <v>0</v>
      </c>
      <c r="J31" s="51"/>
      <c r="K31" s="50">
        <f t="shared" si="2"/>
        <v>0</v>
      </c>
    </row>
    <row r="32" spans="1:29" ht="19.5">
      <c r="A32" s="59">
        <v>44524</v>
      </c>
      <c r="B32" s="116"/>
      <c r="C32" s="115">
        <v>0</v>
      </c>
      <c r="D32" s="57"/>
      <c r="E32" s="50">
        <f t="shared" si="4"/>
        <v>0</v>
      </c>
      <c r="F32" s="51"/>
      <c r="G32" s="50">
        <f t="shared" si="0"/>
        <v>0</v>
      </c>
      <c r="H32" s="51"/>
      <c r="I32" s="50">
        <f t="shared" si="1"/>
        <v>0</v>
      </c>
      <c r="J32" s="51"/>
      <c r="K32" s="50">
        <f t="shared" si="2"/>
        <v>0</v>
      </c>
    </row>
    <row r="33" spans="1:11" ht="19.5">
      <c r="A33" s="59">
        <v>44525</v>
      </c>
      <c r="B33" s="116"/>
      <c r="C33" s="115">
        <v>0</v>
      </c>
      <c r="D33" s="57"/>
      <c r="E33" s="50">
        <f t="shared" si="4"/>
        <v>0</v>
      </c>
      <c r="F33" s="51"/>
      <c r="G33" s="50">
        <f t="shared" si="0"/>
        <v>0</v>
      </c>
      <c r="H33" s="51"/>
      <c r="I33" s="50">
        <f t="shared" si="1"/>
        <v>0</v>
      </c>
      <c r="J33" s="51"/>
      <c r="K33" s="50">
        <f t="shared" si="2"/>
        <v>0</v>
      </c>
    </row>
    <row r="34" spans="1:11" ht="19.5">
      <c r="A34" s="59">
        <v>44526</v>
      </c>
      <c r="B34" s="116"/>
      <c r="C34" s="115">
        <v>0</v>
      </c>
      <c r="D34" s="57"/>
      <c r="E34" s="50">
        <f t="shared" si="4"/>
        <v>0</v>
      </c>
      <c r="F34" s="51"/>
      <c r="G34" s="50">
        <f t="shared" si="0"/>
        <v>0</v>
      </c>
      <c r="H34" s="51"/>
      <c r="I34" s="50">
        <f t="shared" si="1"/>
        <v>0</v>
      </c>
      <c r="J34" s="51"/>
      <c r="K34" s="50">
        <f t="shared" si="2"/>
        <v>0</v>
      </c>
    </row>
    <row r="35" spans="1:11" ht="19.5">
      <c r="A35" s="59">
        <v>44527</v>
      </c>
      <c r="B35" s="116"/>
      <c r="C35" s="115">
        <v>0</v>
      </c>
      <c r="D35" s="57"/>
      <c r="E35" s="50">
        <f t="shared" si="4"/>
        <v>0</v>
      </c>
      <c r="F35" s="51"/>
      <c r="G35" s="50">
        <f t="shared" si="0"/>
        <v>0</v>
      </c>
      <c r="H35" s="51"/>
      <c r="I35" s="50">
        <f t="shared" si="1"/>
        <v>0</v>
      </c>
      <c r="J35" s="51"/>
      <c r="K35" s="50">
        <f t="shared" si="2"/>
        <v>0</v>
      </c>
    </row>
    <row r="36" spans="1:11" ht="19.5">
      <c r="A36" s="59">
        <v>44528</v>
      </c>
      <c r="B36" s="116"/>
      <c r="C36" s="115">
        <v>0</v>
      </c>
      <c r="D36" s="57"/>
      <c r="E36" s="50">
        <f t="shared" si="4"/>
        <v>0</v>
      </c>
      <c r="F36" s="51"/>
      <c r="G36" s="50">
        <f t="shared" si="0"/>
        <v>0</v>
      </c>
      <c r="H36" s="51"/>
      <c r="I36" s="50">
        <f t="shared" si="1"/>
        <v>0</v>
      </c>
      <c r="J36" s="51"/>
      <c r="K36" s="50">
        <f t="shared" si="2"/>
        <v>0</v>
      </c>
    </row>
    <row r="37" spans="1:11" ht="19.5">
      <c r="A37" s="59">
        <v>44529</v>
      </c>
      <c r="B37" s="116"/>
      <c r="C37" s="115">
        <v>0</v>
      </c>
      <c r="D37" s="57"/>
      <c r="E37" s="50">
        <f t="shared" si="4"/>
        <v>0</v>
      </c>
      <c r="F37" s="51"/>
      <c r="G37" s="50">
        <f t="shared" si="0"/>
        <v>0</v>
      </c>
      <c r="H37" s="51"/>
      <c r="I37" s="50">
        <f t="shared" si="1"/>
        <v>0</v>
      </c>
      <c r="J37" s="51"/>
      <c r="K37" s="50">
        <f t="shared" si="2"/>
        <v>0</v>
      </c>
    </row>
    <row r="38" spans="1:11" ht="19.5">
      <c r="A38" s="59">
        <v>44530</v>
      </c>
      <c r="B38" s="116"/>
      <c r="C38" s="115">
        <v>0</v>
      </c>
      <c r="D38" s="57"/>
      <c r="E38" s="50">
        <f t="shared" si="4"/>
        <v>0</v>
      </c>
      <c r="F38" s="51"/>
      <c r="G38" s="50">
        <f t="shared" si="0"/>
        <v>0</v>
      </c>
      <c r="H38" s="51"/>
      <c r="I38" s="50">
        <f t="shared" si="1"/>
        <v>0</v>
      </c>
      <c r="J38" s="51"/>
      <c r="K38" s="50">
        <f t="shared" si="2"/>
        <v>0</v>
      </c>
    </row>
    <row r="39" spans="1:11" ht="19.5">
      <c r="A39" s="59">
        <v>44531</v>
      </c>
      <c r="B39" s="116"/>
      <c r="C39" s="115">
        <f t="shared" ref="C39" si="5">B39-B38</f>
        <v>0</v>
      </c>
      <c r="D39" s="57"/>
      <c r="E39" s="50">
        <f t="shared" ref="E39" si="6">D39-D38</f>
        <v>0</v>
      </c>
      <c r="F39" s="51"/>
      <c r="G39" s="50">
        <f t="shared" ref="G39" si="7">F39-F38</f>
        <v>0</v>
      </c>
      <c r="H39" s="51"/>
      <c r="I39" s="50">
        <f t="shared" ref="I39" si="8">H39-H38</f>
        <v>0</v>
      </c>
      <c r="J39" s="51"/>
      <c r="K39" s="50">
        <f t="shared" ref="K39" si="9">J39-J38</f>
        <v>0</v>
      </c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55" stopIfTrue="1" operator="lessThanOrEqual">
      <formula>0</formula>
    </cfRule>
  </conditionalFormatting>
  <conditionalFormatting sqref="E9:E39">
    <cfRule type="cellIs" dxfId="1" priority="2" stopIfTrue="1" operator="lessThanOrEqual">
      <formula>0</formula>
    </cfRule>
  </conditionalFormatting>
  <conditionalFormatting sqref="E9:E3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4" activePane="bottomRight" state="frozen"/>
      <selection pane="bottomRight" activeCell="H21" sqref="H21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3" t="s">
        <v>57</v>
      </c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31" ht="41.25" customHeight="1" thickBot="1">
      <c r="Q2" s="288">
        <v>803</v>
      </c>
      <c r="R2" s="289"/>
      <c r="S2" s="290"/>
      <c r="T2" s="291">
        <v>519</v>
      </c>
      <c r="U2" s="289"/>
      <c r="V2" s="290"/>
      <c r="W2" s="291">
        <v>800</v>
      </c>
      <c r="X2" s="289"/>
      <c r="Y2" s="290"/>
      <c r="Z2" s="291">
        <v>802</v>
      </c>
      <c r="AA2" s="289"/>
      <c r="AB2" s="292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44501</v>
      </c>
      <c r="B4" s="41">
        <v>52</v>
      </c>
      <c r="C4" s="39">
        <f t="shared" ref="C4" si="0">IF(AC4&gt;0,((B4-R4)+(S4-B5)),IF(B5=0, ,(B4-B5)))</f>
        <v>2</v>
      </c>
      <c r="D4" s="41">
        <v>53</v>
      </c>
      <c r="E4" s="39">
        <f t="shared" ref="E4" si="1">IF(AC4&gt;0,((D4-U4)+(V4-D5)),IF(D5=0, ,(D4-D5)))</f>
        <v>3</v>
      </c>
      <c r="F4" s="41">
        <v>55</v>
      </c>
      <c r="G4" s="39">
        <f t="shared" ref="G4" si="2">IF(AC4&gt;0,((F4-X4)+(Y4-F5)),IF(F5=0, ,(F4-F5)))</f>
        <v>5</v>
      </c>
      <c r="H4" s="41">
        <v>55</v>
      </c>
      <c r="I4" s="39">
        <f>IF(AC4&gt;0,((H4-AA4)+(AB4-H5)),IF(H5=0, ,(H4-H5)))</f>
        <v>4</v>
      </c>
      <c r="J4" s="39">
        <f>B4+D4+F4+H4</f>
        <v>215</v>
      </c>
      <c r="K4" s="39">
        <f>J4/4</f>
        <v>53.75</v>
      </c>
      <c r="L4" s="39">
        <f>IF(AC4&gt;0,((K4-AD4)+(AE4-K5)),IF(K5=0, ,(K4-K5)))</f>
        <v>3.5</v>
      </c>
      <c r="M4" s="149">
        <f>7000*4</f>
        <v>28000</v>
      </c>
      <c r="N4" s="39">
        <f>L4*M4/100</f>
        <v>980</v>
      </c>
      <c r="O4" s="39">
        <f>N4*0.529</f>
        <v>518.42000000000007</v>
      </c>
      <c r="P4" s="42">
        <f>O4*11.2513</f>
        <v>5832.8989460000012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44502</v>
      </c>
      <c r="B5" s="41">
        <v>50</v>
      </c>
      <c r="C5" s="39">
        <f t="shared" ref="C4:C35" si="6">IF(AC5&gt;0,((B5-R5)+(S5-B6)),IF(B6=0, ,(B5-B6)))</f>
        <v>5</v>
      </c>
      <c r="D5" s="41">
        <v>50</v>
      </c>
      <c r="E5" s="39">
        <f t="shared" ref="E4:E35" si="7">IF(AC5&gt;0,((D5-U5)+(V5-D6)),IF(D6=0, ,(D5-D6)))</f>
        <v>2</v>
      </c>
      <c r="F5" s="41">
        <v>50</v>
      </c>
      <c r="G5" s="39">
        <f t="shared" ref="G4:G35" si="8">IF(AC5&gt;0,((F5-X5)+(Y5-F6)),IF(F6=0, ,(F5-F6)))</f>
        <v>2</v>
      </c>
      <c r="H5" s="41">
        <v>51</v>
      </c>
      <c r="I5" s="39">
        <f>IF(AC5&gt;0,((H5-AA5)+(AB5-H6)),IF(H6=0, ,(H5-H6)))</f>
        <v>4</v>
      </c>
      <c r="J5" s="39">
        <f>B5+D5+F5+H5</f>
        <v>201</v>
      </c>
      <c r="K5" s="39">
        <f>J5/4</f>
        <v>50.25</v>
      </c>
      <c r="L5" s="39">
        <f>IF(AC5&gt;0,((K5-AD5)+(AE5-K6)),IF(K6=0, ,(K5-K6)))</f>
        <v>3.25</v>
      </c>
      <c r="M5" s="149">
        <f t="shared" ref="M5:M42" si="9">7000*4</f>
        <v>28000</v>
      </c>
      <c r="N5" s="39">
        <f>L5*M5/100</f>
        <v>910</v>
      </c>
      <c r="O5" s="39">
        <f>N5*0.529</f>
        <v>481.39000000000004</v>
      </c>
      <c r="P5" s="42">
        <f t="shared" ref="P5:P39" si="10">O5*11.2513</f>
        <v>5416.2633070000011</v>
      </c>
      <c r="Q5" s="39">
        <v>2176</v>
      </c>
      <c r="R5" s="39">
        <v>48</v>
      </c>
      <c r="S5" s="39">
        <v>78</v>
      </c>
      <c r="T5" s="39">
        <v>1990</v>
      </c>
      <c r="U5" s="39">
        <v>48</v>
      </c>
      <c r="V5" s="39">
        <v>75</v>
      </c>
      <c r="W5" s="39">
        <v>1900</v>
      </c>
      <c r="X5" s="39">
        <v>48</v>
      </c>
      <c r="Y5" s="39">
        <v>75</v>
      </c>
      <c r="Z5" s="39">
        <v>1940</v>
      </c>
      <c r="AA5" s="39">
        <v>50</v>
      </c>
      <c r="AB5" s="39">
        <v>78</v>
      </c>
      <c r="AC5" s="39">
        <f t="shared" si="3"/>
        <v>8006</v>
      </c>
      <c r="AD5" s="38">
        <f t="shared" si="4"/>
        <v>48.5</v>
      </c>
      <c r="AE5" s="38">
        <f t="shared" si="5"/>
        <v>76.5</v>
      </c>
    </row>
    <row r="6" spans="1:31" ht="32.25" customHeight="1">
      <c r="A6" s="40">
        <v>44503</v>
      </c>
      <c r="B6" s="41">
        <v>75</v>
      </c>
      <c r="C6" s="39">
        <f t="shared" si="6"/>
        <v>5</v>
      </c>
      <c r="D6" s="41">
        <v>75</v>
      </c>
      <c r="E6" s="39">
        <f t="shared" si="7"/>
        <v>4</v>
      </c>
      <c r="F6" s="41">
        <v>75</v>
      </c>
      <c r="G6" s="39">
        <f t="shared" si="8"/>
        <v>0</v>
      </c>
      <c r="H6" s="41">
        <v>75</v>
      </c>
      <c r="I6" s="39">
        <f t="shared" ref="I6:I36" si="11">IF(AC6&gt;0,((H6-AA6)+(AB6-H7)),IF(H7=0, ,(H6-H7)))</f>
        <v>0</v>
      </c>
      <c r="J6" s="39">
        <f t="shared" ref="J6:J42" si="12">B6+D6+F6+H6</f>
        <v>300</v>
      </c>
      <c r="K6" s="39">
        <f t="shared" ref="K6:K42" si="13">J6/4</f>
        <v>75</v>
      </c>
      <c r="L6" s="39">
        <f t="shared" ref="L6:L19" si="14">IF(AC6&gt;0,((K6-AD6)+(AE6-K7)),IF(K7=0, ,(K6-K7)))</f>
        <v>2.25</v>
      </c>
      <c r="M6" s="149">
        <f t="shared" si="9"/>
        <v>28000</v>
      </c>
      <c r="N6" s="39">
        <f t="shared" ref="N6:N42" si="15">L6*M6/100</f>
        <v>630</v>
      </c>
      <c r="O6" s="39">
        <f>N6*0.529</f>
        <v>333.27000000000004</v>
      </c>
      <c r="P6" s="42">
        <f t="shared" si="10"/>
        <v>3749.7207510000007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44504</v>
      </c>
      <c r="B7" s="41">
        <v>70</v>
      </c>
      <c r="C7" s="39">
        <f t="shared" si="6"/>
        <v>4</v>
      </c>
      <c r="D7" s="41">
        <v>71</v>
      </c>
      <c r="E7" s="39">
        <f t="shared" si="7"/>
        <v>3</v>
      </c>
      <c r="F7" s="41">
        <v>75</v>
      </c>
      <c r="G7" s="39">
        <f t="shared" si="8"/>
        <v>3</v>
      </c>
      <c r="H7" s="41">
        <v>75</v>
      </c>
      <c r="I7" s="39">
        <f t="shared" si="11"/>
        <v>4</v>
      </c>
      <c r="J7" s="39">
        <f t="shared" si="12"/>
        <v>291</v>
      </c>
      <c r="K7" s="39">
        <f t="shared" si="13"/>
        <v>72.75</v>
      </c>
      <c r="L7" s="39">
        <f t="shared" si="14"/>
        <v>3.5</v>
      </c>
      <c r="M7" s="149">
        <f t="shared" si="9"/>
        <v>28000</v>
      </c>
      <c r="N7" s="39">
        <f t="shared" si="15"/>
        <v>980</v>
      </c>
      <c r="O7" s="39">
        <f>N7*0.53</f>
        <v>519.4</v>
      </c>
      <c r="P7" s="42">
        <f t="shared" si="10"/>
        <v>5843.9252200000001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44505</v>
      </c>
      <c r="B8" s="41">
        <v>66</v>
      </c>
      <c r="C8" s="39">
        <f t="shared" si="6"/>
        <v>5</v>
      </c>
      <c r="D8" s="41">
        <v>68</v>
      </c>
      <c r="E8" s="39">
        <f t="shared" si="7"/>
        <v>7</v>
      </c>
      <c r="F8" s="41">
        <v>72</v>
      </c>
      <c r="G8" s="39">
        <f t="shared" si="8"/>
        <v>6</v>
      </c>
      <c r="H8" s="41">
        <v>71</v>
      </c>
      <c r="I8" s="39">
        <f t="shared" si="11"/>
        <v>5</v>
      </c>
      <c r="J8" s="39">
        <f t="shared" si="12"/>
        <v>277</v>
      </c>
      <c r="K8" s="39">
        <f t="shared" si="13"/>
        <v>69.25</v>
      </c>
      <c r="L8" s="39">
        <f t="shared" si="14"/>
        <v>5.75</v>
      </c>
      <c r="M8" s="149">
        <f>6049*4</f>
        <v>24196</v>
      </c>
      <c r="N8" s="39">
        <f t="shared" si="15"/>
        <v>1391.27</v>
      </c>
      <c r="O8" s="148">
        <f t="shared" ref="O8:O37" si="16">N8*0.529</f>
        <v>735.98183000000006</v>
      </c>
      <c r="P8" s="42">
        <f t="shared" si="10"/>
        <v>8280.7523638790008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44506</v>
      </c>
      <c r="B9" s="41">
        <v>61</v>
      </c>
      <c r="C9" s="39">
        <f t="shared" si="6"/>
        <v>4</v>
      </c>
      <c r="D9" s="41">
        <v>61</v>
      </c>
      <c r="E9" s="39">
        <f t="shared" si="7"/>
        <v>5</v>
      </c>
      <c r="F9" s="41">
        <v>66</v>
      </c>
      <c r="G9" s="39">
        <f t="shared" si="8"/>
        <v>6</v>
      </c>
      <c r="H9" s="41">
        <v>66</v>
      </c>
      <c r="I9" s="39">
        <f t="shared" si="11"/>
        <v>5</v>
      </c>
      <c r="J9" s="39">
        <f t="shared" si="12"/>
        <v>254</v>
      </c>
      <c r="K9" s="39">
        <f t="shared" si="13"/>
        <v>63.5</v>
      </c>
      <c r="L9" s="39">
        <f t="shared" si="14"/>
        <v>5</v>
      </c>
      <c r="M9" s="149">
        <f t="shared" ref="M9:M42" si="17">6049*4</f>
        <v>24196</v>
      </c>
      <c r="N9" s="39">
        <f t="shared" si="15"/>
        <v>1209.8</v>
      </c>
      <c r="O9" s="39">
        <f t="shared" si="16"/>
        <v>639.98419999999999</v>
      </c>
      <c r="P9" s="42">
        <f t="shared" si="10"/>
        <v>7200.6542294600004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44507</v>
      </c>
      <c r="B10" s="41">
        <v>57</v>
      </c>
      <c r="C10" s="39">
        <f t="shared" si="6"/>
        <v>5</v>
      </c>
      <c r="D10" s="41">
        <v>56</v>
      </c>
      <c r="E10" s="39">
        <f t="shared" si="7"/>
        <v>5</v>
      </c>
      <c r="F10" s="41">
        <v>60</v>
      </c>
      <c r="G10" s="39">
        <f t="shared" si="8"/>
        <v>6</v>
      </c>
      <c r="H10" s="41">
        <v>61</v>
      </c>
      <c r="I10" s="39">
        <f t="shared" si="11"/>
        <v>5</v>
      </c>
      <c r="J10" s="39">
        <f t="shared" si="12"/>
        <v>234</v>
      </c>
      <c r="K10" s="39">
        <f t="shared" si="13"/>
        <v>58.5</v>
      </c>
      <c r="L10" s="39">
        <f t="shared" si="14"/>
        <v>5.25</v>
      </c>
      <c r="M10" s="149">
        <f t="shared" si="17"/>
        <v>24196</v>
      </c>
      <c r="N10" s="39">
        <f t="shared" si="15"/>
        <v>1270.29</v>
      </c>
      <c r="O10" s="148">
        <f t="shared" si="16"/>
        <v>671.98341000000005</v>
      </c>
      <c r="P10" s="42">
        <f t="shared" si="10"/>
        <v>7560.6869409330011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44508</v>
      </c>
      <c r="B11" s="41">
        <v>52</v>
      </c>
      <c r="C11" s="39">
        <f t="shared" si="6"/>
        <v>7</v>
      </c>
      <c r="D11" s="41">
        <v>51</v>
      </c>
      <c r="E11" s="39">
        <f t="shared" si="7"/>
        <v>5</v>
      </c>
      <c r="F11" s="41">
        <v>54</v>
      </c>
      <c r="G11" s="39">
        <f t="shared" si="8"/>
        <v>2</v>
      </c>
      <c r="H11" s="41">
        <v>56</v>
      </c>
      <c r="I11" s="39">
        <f t="shared" si="11"/>
        <v>1</v>
      </c>
      <c r="J11" s="39">
        <f t="shared" si="12"/>
        <v>213</v>
      </c>
      <c r="K11" s="39">
        <f t="shared" si="13"/>
        <v>53.25</v>
      </c>
      <c r="L11" s="39">
        <f t="shared" si="14"/>
        <v>3.75</v>
      </c>
      <c r="M11" s="149">
        <f t="shared" si="17"/>
        <v>24196</v>
      </c>
      <c r="N11" s="39">
        <f t="shared" si="15"/>
        <v>907.35</v>
      </c>
      <c r="O11" s="39">
        <f t="shared" si="16"/>
        <v>479.98815000000002</v>
      </c>
      <c r="P11" s="42">
        <f t="shared" si="10"/>
        <v>5400.4906720950003</v>
      </c>
      <c r="Q11" s="39">
        <v>2900</v>
      </c>
      <c r="R11" s="39">
        <v>47</v>
      </c>
      <c r="S11" s="39">
        <v>85</v>
      </c>
      <c r="T11" s="39">
        <v>2803</v>
      </c>
      <c r="U11" s="39">
        <v>48</v>
      </c>
      <c r="V11" s="39">
        <v>85</v>
      </c>
      <c r="W11" s="39">
        <v>2474</v>
      </c>
      <c r="X11" s="39">
        <v>54</v>
      </c>
      <c r="Y11" s="39">
        <v>85</v>
      </c>
      <c r="Z11" s="39">
        <v>2589</v>
      </c>
      <c r="AA11" s="39">
        <v>55</v>
      </c>
      <c r="AB11" s="39">
        <v>85</v>
      </c>
      <c r="AC11" s="39">
        <f t="shared" si="3"/>
        <v>10766</v>
      </c>
      <c r="AD11" s="38">
        <f t="shared" si="4"/>
        <v>51</v>
      </c>
      <c r="AE11" s="38">
        <f t="shared" si="5"/>
        <v>85</v>
      </c>
    </row>
    <row r="12" spans="1:31" ht="32.25" customHeight="1">
      <c r="A12" s="40">
        <v>44509</v>
      </c>
      <c r="B12" s="41">
        <v>83</v>
      </c>
      <c r="C12" s="39">
        <f t="shared" si="6"/>
        <v>0</v>
      </c>
      <c r="D12" s="41">
        <v>83</v>
      </c>
      <c r="E12" s="39">
        <f t="shared" si="7"/>
        <v>3</v>
      </c>
      <c r="F12" s="41">
        <v>83</v>
      </c>
      <c r="G12" s="39">
        <f t="shared" si="8"/>
        <v>3</v>
      </c>
      <c r="H12" s="41">
        <v>85</v>
      </c>
      <c r="I12" s="39">
        <f t="shared" si="11"/>
        <v>5</v>
      </c>
      <c r="J12" s="39">
        <f t="shared" si="12"/>
        <v>334</v>
      </c>
      <c r="K12" s="39">
        <f t="shared" si="13"/>
        <v>83.5</v>
      </c>
      <c r="L12" s="39">
        <f t="shared" si="14"/>
        <v>2.75</v>
      </c>
      <c r="M12" s="149">
        <f t="shared" si="17"/>
        <v>24196</v>
      </c>
      <c r="N12" s="39">
        <f t="shared" si="15"/>
        <v>665.39</v>
      </c>
      <c r="O12" s="39">
        <f t="shared" si="16"/>
        <v>351.99131</v>
      </c>
      <c r="P12" s="42">
        <f t="shared" si="10"/>
        <v>3960.359826203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44510</v>
      </c>
      <c r="B13" s="41">
        <v>83</v>
      </c>
      <c r="C13" s="39">
        <f t="shared" si="6"/>
        <v>8</v>
      </c>
      <c r="D13" s="41">
        <v>80</v>
      </c>
      <c r="E13" s="39">
        <f t="shared" si="7"/>
        <v>5</v>
      </c>
      <c r="F13" s="41">
        <v>80</v>
      </c>
      <c r="G13" s="39">
        <f t="shared" si="8"/>
        <v>5</v>
      </c>
      <c r="H13" s="41">
        <v>80</v>
      </c>
      <c r="I13" s="39">
        <f t="shared" si="11"/>
        <v>5</v>
      </c>
      <c r="J13" s="39">
        <f t="shared" si="12"/>
        <v>323</v>
      </c>
      <c r="K13" s="39">
        <f t="shared" si="13"/>
        <v>80.75</v>
      </c>
      <c r="L13" s="39">
        <f t="shared" si="14"/>
        <v>5.75</v>
      </c>
      <c r="M13" s="149">
        <f t="shared" si="17"/>
        <v>24196</v>
      </c>
      <c r="N13" s="39">
        <f t="shared" si="15"/>
        <v>1391.27</v>
      </c>
      <c r="O13" s="39">
        <f t="shared" si="16"/>
        <v>735.98183000000006</v>
      </c>
      <c r="P13" s="42">
        <f t="shared" si="10"/>
        <v>8280.7523638790008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44511</v>
      </c>
      <c r="B14" s="41">
        <v>75</v>
      </c>
      <c r="C14" s="39">
        <f t="shared" si="6"/>
        <v>5</v>
      </c>
      <c r="D14" s="41">
        <v>75</v>
      </c>
      <c r="E14" s="39">
        <f t="shared" si="7"/>
        <v>5</v>
      </c>
      <c r="F14" s="41">
        <v>75</v>
      </c>
      <c r="G14" s="39">
        <f t="shared" si="8"/>
        <v>4</v>
      </c>
      <c r="H14" s="41">
        <v>75</v>
      </c>
      <c r="I14" s="39">
        <f>IF(AC14&gt;0,((H14-AA14)+(AB14-H15)),IF(H15=0, ,(H14-H15)))</f>
        <v>4</v>
      </c>
      <c r="J14" s="39">
        <f t="shared" si="12"/>
        <v>300</v>
      </c>
      <c r="K14" s="39">
        <f t="shared" si="13"/>
        <v>75</v>
      </c>
      <c r="L14" s="39">
        <f t="shared" si="14"/>
        <v>4.5</v>
      </c>
      <c r="M14" s="149">
        <f t="shared" si="17"/>
        <v>24196</v>
      </c>
      <c r="N14" s="39">
        <f t="shared" si="15"/>
        <v>1088.82</v>
      </c>
      <c r="O14" s="39">
        <f t="shared" si="16"/>
        <v>575.98577999999998</v>
      </c>
      <c r="P14" s="42">
        <f t="shared" si="10"/>
        <v>6480.5888065139998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44512</v>
      </c>
      <c r="B15" s="41">
        <v>70</v>
      </c>
      <c r="C15" s="39">
        <f t="shared" si="6"/>
        <v>3</v>
      </c>
      <c r="D15" s="41">
        <v>70</v>
      </c>
      <c r="E15" s="39">
        <f t="shared" si="7"/>
        <v>4</v>
      </c>
      <c r="F15" s="41">
        <v>71</v>
      </c>
      <c r="G15" s="39">
        <f t="shared" si="8"/>
        <v>3</v>
      </c>
      <c r="H15" s="41">
        <v>71</v>
      </c>
      <c r="I15" s="39">
        <f>IF(AC15&gt;0,((H15-AA15)+(AB15-H16)),IF(H16=0, ,(H15-H16)))</f>
        <v>2</v>
      </c>
      <c r="J15" s="39">
        <f t="shared" si="12"/>
        <v>282</v>
      </c>
      <c r="K15" s="39">
        <f t="shared" si="13"/>
        <v>70.5</v>
      </c>
      <c r="L15" s="39">
        <f t="shared" si="14"/>
        <v>3</v>
      </c>
      <c r="M15" s="149">
        <f t="shared" si="17"/>
        <v>24196</v>
      </c>
      <c r="N15" s="39">
        <f t="shared" si="15"/>
        <v>725.88</v>
      </c>
      <c r="O15" s="39">
        <f t="shared" si="16"/>
        <v>383.99052</v>
      </c>
      <c r="P15" s="42">
        <f t="shared" si="10"/>
        <v>4320.3925376759998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44513</v>
      </c>
      <c r="B16" s="41">
        <v>67</v>
      </c>
      <c r="C16" s="39">
        <f t="shared" si="6"/>
        <v>3</v>
      </c>
      <c r="D16" s="41">
        <v>66</v>
      </c>
      <c r="E16" s="39">
        <f t="shared" si="7"/>
        <v>4</v>
      </c>
      <c r="F16" s="41">
        <v>68</v>
      </c>
      <c r="G16" s="39">
        <f t="shared" si="8"/>
        <v>3</v>
      </c>
      <c r="H16" s="41">
        <v>69</v>
      </c>
      <c r="I16" s="39">
        <f t="shared" si="11"/>
        <v>3</v>
      </c>
      <c r="J16" s="39">
        <f t="shared" si="12"/>
        <v>270</v>
      </c>
      <c r="K16" s="39">
        <f t="shared" si="13"/>
        <v>67.5</v>
      </c>
      <c r="L16" s="39">
        <f t="shared" si="14"/>
        <v>3.25</v>
      </c>
      <c r="M16" s="149">
        <f t="shared" si="17"/>
        <v>24196</v>
      </c>
      <c r="N16" s="39">
        <f t="shared" si="15"/>
        <v>786.37</v>
      </c>
      <c r="O16" s="39">
        <f t="shared" si="16"/>
        <v>415.98973000000001</v>
      </c>
      <c r="P16" s="42">
        <f t="shared" si="10"/>
        <v>4680.4252491490006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44514</v>
      </c>
      <c r="B17" s="41">
        <v>64</v>
      </c>
      <c r="C17" s="39">
        <f t="shared" si="6"/>
        <v>3</v>
      </c>
      <c r="D17" s="41">
        <v>62</v>
      </c>
      <c r="E17" s="39">
        <f t="shared" si="7"/>
        <v>4</v>
      </c>
      <c r="F17" s="41">
        <v>65</v>
      </c>
      <c r="G17" s="39">
        <f t="shared" si="8"/>
        <v>3</v>
      </c>
      <c r="H17" s="41">
        <v>66</v>
      </c>
      <c r="I17" s="39">
        <f t="shared" si="11"/>
        <v>3</v>
      </c>
      <c r="J17" s="39">
        <f t="shared" si="12"/>
        <v>257</v>
      </c>
      <c r="K17" s="39">
        <f t="shared" si="13"/>
        <v>64.25</v>
      </c>
      <c r="L17" s="39">
        <f t="shared" si="14"/>
        <v>3.25</v>
      </c>
      <c r="M17" s="149">
        <f t="shared" si="17"/>
        <v>24196</v>
      </c>
      <c r="N17" s="39">
        <f t="shared" si="15"/>
        <v>786.37</v>
      </c>
      <c r="O17" s="39">
        <f t="shared" si="16"/>
        <v>415.98973000000001</v>
      </c>
      <c r="P17" s="42">
        <f t="shared" si="10"/>
        <v>4680.4252491490006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44515</v>
      </c>
      <c r="B18" s="41">
        <v>61</v>
      </c>
      <c r="C18" s="39">
        <f t="shared" si="6"/>
        <v>6</v>
      </c>
      <c r="D18" s="41">
        <v>58</v>
      </c>
      <c r="E18" s="39">
        <f t="shared" si="7"/>
        <v>3</v>
      </c>
      <c r="F18" s="41">
        <v>62</v>
      </c>
      <c r="G18" s="39">
        <f t="shared" si="8"/>
        <v>7</v>
      </c>
      <c r="H18" s="41">
        <v>63</v>
      </c>
      <c r="I18" s="39">
        <f t="shared" si="11"/>
        <v>8</v>
      </c>
      <c r="J18" s="39">
        <f t="shared" si="12"/>
        <v>244</v>
      </c>
      <c r="K18" s="39">
        <f t="shared" si="13"/>
        <v>61</v>
      </c>
      <c r="L18" s="39">
        <f t="shared" si="14"/>
        <v>6</v>
      </c>
      <c r="M18" s="149">
        <f t="shared" si="17"/>
        <v>24196</v>
      </c>
      <c r="N18" s="39">
        <f t="shared" si="15"/>
        <v>1451.76</v>
      </c>
      <c r="O18" s="39">
        <f t="shared" si="16"/>
        <v>767.98104000000001</v>
      </c>
      <c r="P18" s="42">
        <f t="shared" si="10"/>
        <v>8640.7850753519997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44516</v>
      </c>
      <c r="B19" s="41">
        <v>55</v>
      </c>
      <c r="C19" s="39">
        <f t="shared" si="6"/>
        <v>5</v>
      </c>
      <c r="D19" s="41">
        <v>55</v>
      </c>
      <c r="E19" s="39">
        <f t="shared" si="7"/>
        <v>4</v>
      </c>
      <c r="F19" s="41">
        <v>55</v>
      </c>
      <c r="G19" s="39">
        <f t="shared" si="8"/>
        <v>4</v>
      </c>
      <c r="H19" s="41">
        <v>55</v>
      </c>
      <c r="I19" s="39">
        <f t="shared" si="11"/>
        <v>4</v>
      </c>
      <c r="J19" s="39">
        <f t="shared" si="12"/>
        <v>220</v>
      </c>
      <c r="K19" s="39">
        <f t="shared" si="13"/>
        <v>55</v>
      </c>
      <c r="L19" s="39">
        <f t="shared" si="14"/>
        <v>4.25</v>
      </c>
      <c r="M19" s="149">
        <f t="shared" si="17"/>
        <v>24196</v>
      </c>
      <c r="N19" s="39">
        <f t="shared" si="15"/>
        <v>1028.33</v>
      </c>
      <c r="O19" s="39">
        <f t="shared" si="16"/>
        <v>543.98657000000003</v>
      </c>
      <c r="P19" s="42">
        <f t="shared" si="10"/>
        <v>6120.5560950410008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44517</v>
      </c>
      <c r="B20" s="41">
        <v>50</v>
      </c>
      <c r="C20" s="39">
        <f t="shared" si="6"/>
        <v>0</v>
      </c>
      <c r="D20" s="41">
        <v>51</v>
      </c>
      <c r="E20" s="39">
        <f t="shared" si="7"/>
        <v>0</v>
      </c>
      <c r="F20" s="41">
        <v>51</v>
      </c>
      <c r="G20" s="39">
        <f t="shared" si="8"/>
        <v>0</v>
      </c>
      <c r="H20" s="41">
        <v>51</v>
      </c>
      <c r="I20" s="39">
        <f t="shared" si="11"/>
        <v>0</v>
      </c>
      <c r="J20" s="39">
        <f t="shared" si="12"/>
        <v>203</v>
      </c>
      <c r="K20" s="39">
        <f t="shared" si="13"/>
        <v>50.75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44518</v>
      </c>
      <c r="B21" s="41"/>
      <c r="C21" s="39">
        <f t="shared" si="6"/>
        <v>0</v>
      </c>
      <c r="D21" s="41"/>
      <c r="E21" s="39">
        <f t="shared" si="7"/>
        <v>0</v>
      </c>
      <c r="F21" s="41"/>
      <c r="G21" s="39">
        <f t="shared" si="8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44519</v>
      </c>
      <c r="B22" s="41"/>
      <c r="C22" s="39">
        <f t="shared" si="6"/>
        <v>0</v>
      </c>
      <c r="D22" s="41"/>
      <c r="E22" s="39">
        <f t="shared" si="7"/>
        <v>0</v>
      </c>
      <c r="F22" s="41"/>
      <c r="G22" s="39">
        <f t="shared" si="8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44520</v>
      </c>
      <c r="B23" s="41"/>
      <c r="C23" s="39">
        <f t="shared" si="6"/>
        <v>0</v>
      </c>
      <c r="D23" s="41"/>
      <c r="E23" s="39">
        <f t="shared" si="7"/>
        <v>0</v>
      </c>
      <c r="F23" s="41"/>
      <c r="G23" s="39">
        <f t="shared" si="8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44521</v>
      </c>
      <c r="B24" s="41"/>
      <c r="C24" s="39">
        <f t="shared" si="6"/>
        <v>0</v>
      </c>
      <c r="D24" s="41"/>
      <c r="E24" s="39">
        <f t="shared" si="7"/>
        <v>0</v>
      </c>
      <c r="F24" s="41"/>
      <c r="G24" s="39">
        <f t="shared" si="8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44522</v>
      </c>
      <c r="B25" s="41"/>
      <c r="C25" s="39">
        <f t="shared" si="6"/>
        <v>0</v>
      </c>
      <c r="D25" s="41"/>
      <c r="E25" s="39">
        <f t="shared" si="7"/>
        <v>0</v>
      </c>
      <c r="F25" s="41"/>
      <c r="G25" s="39">
        <f t="shared" si="8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44523</v>
      </c>
      <c r="B26" s="41"/>
      <c r="C26" s="39">
        <f t="shared" si="6"/>
        <v>0</v>
      </c>
      <c r="D26" s="41"/>
      <c r="E26" s="39">
        <f t="shared" si="7"/>
        <v>0</v>
      </c>
      <c r="F26" s="41"/>
      <c r="G26" s="39">
        <f t="shared" si="8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44524</v>
      </c>
      <c r="B27" s="41"/>
      <c r="C27" s="39">
        <f t="shared" si="6"/>
        <v>0</v>
      </c>
      <c r="D27" s="41"/>
      <c r="E27" s="39">
        <f t="shared" si="7"/>
        <v>0</v>
      </c>
      <c r="F27" s="41"/>
      <c r="G27" s="39">
        <f t="shared" si="8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44525</v>
      </c>
      <c r="B28" s="41"/>
      <c r="C28" s="39">
        <f t="shared" si="6"/>
        <v>0</v>
      </c>
      <c r="D28" s="41"/>
      <c r="E28" s="39">
        <f t="shared" si="7"/>
        <v>0</v>
      </c>
      <c r="F28" s="41"/>
      <c r="G28" s="39">
        <f t="shared" si="8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44526</v>
      </c>
      <c r="B29" s="41"/>
      <c r="C29" s="39">
        <f t="shared" si="6"/>
        <v>0</v>
      </c>
      <c r="D29" s="41"/>
      <c r="E29" s="39">
        <f t="shared" si="7"/>
        <v>0</v>
      </c>
      <c r="F29" s="41"/>
      <c r="G29" s="39">
        <f t="shared" si="8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44527</v>
      </c>
      <c r="B30" s="41"/>
      <c r="C30" s="39">
        <f t="shared" si="6"/>
        <v>0</v>
      </c>
      <c r="D30" s="41"/>
      <c r="E30" s="39">
        <f t="shared" si="7"/>
        <v>0</v>
      </c>
      <c r="F30" s="41"/>
      <c r="G30" s="39">
        <f t="shared" si="8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44528</v>
      </c>
      <c r="B31" s="41"/>
      <c r="C31" s="39">
        <f t="shared" si="6"/>
        <v>0</v>
      </c>
      <c r="D31" s="41"/>
      <c r="E31" s="39">
        <f t="shared" si="7"/>
        <v>0</v>
      </c>
      <c r="F31" s="41"/>
      <c r="G31" s="39">
        <f t="shared" si="8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44529</v>
      </c>
      <c r="B32" s="41"/>
      <c r="C32" s="39">
        <f t="shared" si="6"/>
        <v>0</v>
      </c>
      <c r="D32" s="41"/>
      <c r="E32" s="39">
        <f t="shared" si="7"/>
        <v>0</v>
      </c>
      <c r="F32" s="41"/>
      <c r="G32" s="39">
        <f t="shared" si="8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44530</v>
      </c>
      <c r="B33" s="41"/>
      <c r="C33" s="39">
        <f t="shared" si="6"/>
        <v>0</v>
      </c>
      <c r="D33" s="41"/>
      <c r="E33" s="39">
        <f t="shared" si="7"/>
        <v>0</v>
      </c>
      <c r="F33" s="41"/>
      <c r="G33" s="39">
        <f t="shared" si="8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44531</v>
      </c>
      <c r="B34" s="41"/>
      <c r="C34" s="39">
        <f t="shared" si="6"/>
        <v>0</v>
      </c>
      <c r="D34" s="41"/>
      <c r="E34" s="39">
        <f t="shared" si="7"/>
        <v>0</v>
      </c>
      <c r="F34" s="41"/>
      <c r="G34" s="39">
        <f t="shared" si="8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44532</v>
      </c>
      <c r="B35" s="41"/>
      <c r="C35" s="39">
        <f t="shared" si="6"/>
        <v>0</v>
      </c>
      <c r="D35" s="41"/>
      <c r="E35" s="39">
        <f t="shared" si="7"/>
        <v>0</v>
      </c>
      <c r="F35" s="41"/>
      <c r="G35" s="39">
        <f t="shared" si="8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27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7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7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16202.900000000001</v>
      </c>
      <c r="O43" s="39">
        <f>N43*0.529</f>
        <v>8571.3341000000019</v>
      </c>
      <c r="P43" s="42">
        <f>O43*11.2513</f>
        <v>96438.651359330019</v>
      </c>
      <c r="Q43" s="284">
        <f>SUM(Q4:Q42)</f>
        <v>5076</v>
      </c>
      <c r="R43" s="285"/>
      <c r="S43" s="286"/>
      <c r="T43" s="287">
        <f>SUM(T4:T42)</f>
        <v>4793</v>
      </c>
      <c r="U43" s="285"/>
      <c r="V43" s="286"/>
      <c r="W43" s="287">
        <f>SUM(W4:W42)</f>
        <v>4374</v>
      </c>
      <c r="X43" s="285"/>
      <c r="Y43" s="286"/>
      <c r="Z43" s="287">
        <f>SUM(Z4:Z42)</f>
        <v>4529</v>
      </c>
      <c r="AA43" s="285"/>
      <c r="AB43" s="286"/>
      <c r="AC43" s="39">
        <f t="shared" si="20"/>
        <v>18772</v>
      </c>
    </row>
    <row r="44" spans="1:31" ht="35.25" customHeight="1" thickBot="1">
      <c r="B44" s="293"/>
      <c r="C44" s="294"/>
      <c r="D44" s="294"/>
      <c r="E44" s="294"/>
      <c r="F44" s="294"/>
      <c r="G44" s="294"/>
      <c r="H44" s="294"/>
      <c r="I44" s="295"/>
      <c r="J44" s="37"/>
      <c r="K44" s="37"/>
      <c r="L44" s="37"/>
      <c r="M44" s="37"/>
      <c r="N44" s="37"/>
      <c r="O44" s="37"/>
      <c r="P44" s="37"/>
      <c r="Q44" s="296">
        <f>Q43+T43+W43+Z43</f>
        <v>18772</v>
      </c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8"/>
      <c r="AC44" s="39">
        <f>Q44+T44+W44+Z44</f>
        <v>18772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0" t="s">
        <v>85</v>
      </c>
      <c r="I47" s="281"/>
      <c r="J47" s="282"/>
      <c r="K47" s="45">
        <f>N43</f>
        <v>16202.900000000001</v>
      </c>
      <c r="L47" s="46">
        <f>O43</f>
        <v>8571.3341000000019</v>
      </c>
      <c r="M47" s="46">
        <f>P43</f>
        <v>96438.651359330019</v>
      </c>
    </row>
    <row r="48" spans="1:31" ht="54.75" customHeight="1" thickBot="1">
      <c r="H48" s="280" t="s">
        <v>86</v>
      </c>
      <c r="I48" s="281"/>
      <c r="J48" s="282"/>
      <c r="K48" s="43">
        <f>AC44</f>
        <v>18772</v>
      </c>
      <c r="L48" s="44">
        <f>K48*0.529</f>
        <v>9930.3880000000008</v>
      </c>
      <c r="M48" s="44">
        <f>L48*11.2513</f>
        <v>111729.77450440002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I19" sqref="I19:J19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69"/>
      <c r="B1" s="271"/>
      <c r="C1" s="356" t="s">
        <v>87</v>
      </c>
      <c r="D1" s="357"/>
      <c r="E1" s="357"/>
      <c r="F1" s="357"/>
      <c r="G1" s="357"/>
      <c r="H1" s="362" t="s">
        <v>88</v>
      </c>
      <c r="I1" s="363"/>
      <c r="J1" s="364"/>
    </row>
    <row r="2" spans="1:10" ht="16.5" customHeight="1" thickBot="1">
      <c r="A2" s="272"/>
      <c r="B2" s="274"/>
      <c r="C2" s="358"/>
      <c r="D2" s="359"/>
      <c r="E2" s="359"/>
      <c r="F2" s="359"/>
      <c r="G2" s="359"/>
      <c r="H2" s="365"/>
      <c r="I2" s="366"/>
      <c r="J2" s="367"/>
    </row>
    <row r="3" spans="1:10" ht="15" customHeight="1">
      <c r="A3" s="272"/>
      <c r="B3" s="274"/>
      <c r="C3" s="358"/>
      <c r="D3" s="359"/>
      <c r="E3" s="359"/>
      <c r="F3" s="359"/>
      <c r="G3" s="359"/>
      <c r="H3" s="368" t="s">
        <v>89</v>
      </c>
      <c r="I3" s="369"/>
      <c r="J3" s="370"/>
    </row>
    <row r="4" spans="1:10" ht="15.75" customHeight="1" thickBot="1">
      <c r="A4" s="275"/>
      <c r="B4" s="277"/>
      <c r="C4" s="360"/>
      <c r="D4" s="361"/>
      <c r="E4" s="361"/>
      <c r="F4" s="361"/>
      <c r="G4" s="361"/>
      <c r="H4" s="371"/>
      <c r="I4" s="372"/>
      <c r="J4" s="373"/>
    </row>
    <row r="6" spans="1:10" ht="33" customHeight="1" thickBot="1"/>
    <row r="7" spans="1:10" ht="36.75" thickTop="1">
      <c r="A7" s="374" t="s">
        <v>90</v>
      </c>
      <c r="B7" s="374"/>
      <c r="C7" s="375" t="s">
        <v>91</v>
      </c>
      <c r="D7" s="376"/>
      <c r="E7" s="61" t="s">
        <v>92</v>
      </c>
      <c r="F7" s="61" t="s">
        <v>93</v>
      </c>
      <c r="G7" s="61" t="s">
        <v>94</v>
      </c>
      <c r="H7" s="61" t="s">
        <v>95</v>
      </c>
      <c r="I7" s="377" t="s">
        <v>96</v>
      </c>
      <c r="J7" s="378"/>
    </row>
    <row r="8" spans="1:10">
      <c r="A8" s="345">
        <v>95670781</v>
      </c>
      <c r="B8" s="345"/>
      <c r="C8" s="349">
        <v>44467</v>
      </c>
      <c r="D8" s="350"/>
      <c r="E8" s="113">
        <v>44497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29" t="s">
        <v>98</v>
      </c>
      <c r="B11" s="329"/>
      <c r="C11" s="353" t="s">
        <v>99</v>
      </c>
      <c r="D11" s="354"/>
      <c r="E11" s="329" t="s">
        <v>100</v>
      </c>
      <c r="F11" s="329"/>
      <c r="G11" s="353" t="s">
        <v>101</v>
      </c>
      <c r="H11" s="354"/>
      <c r="I11" s="355" t="s">
        <v>102</v>
      </c>
      <c r="J11" s="355"/>
    </row>
    <row r="12" spans="1:10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46">
        <v>971</v>
      </c>
      <c r="H12" s="346"/>
      <c r="I12" s="347"/>
      <c r="J12" s="347"/>
    </row>
    <row r="13" spans="1:10">
      <c r="A13" s="348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42" t="s">
        <v>108</v>
      </c>
      <c r="H16" s="342"/>
      <c r="I16" s="343" t="s">
        <v>109</v>
      </c>
      <c r="J16" s="344"/>
    </row>
    <row r="17" spans="1:10">
      <c r="A17" s="334" t="s">
        <v>110</v>
      </c>
      <c r="B17" s="335"/>
      <c r="C17" s="66">
        <v>19010638</v>
      </c>
      <c r="D17" s="66">
        <v>18787480</v>
      </c>
      <c r="E17" s="67">
        <f>MIN(C17-D17)</f>
        <v>223158</v>
      </c>
      <c r="F17" s="67">
        <f>+E17</f>
        <v>223158</v>
      </c>
      <c r="G17" s="336"/>
      <c r="H17" s="337"/>
      <c r="I17" s="336">
        <f>+E17</f>
        <v>223158</v>
      </c>
      <c r="J17" s="337"/>
    </row>
    <row r="18" spans="1:10">
      <c r="A18" s="334" t="s">
        <v>111</v>
      </c>
      <c r="B18" s="335"/>
      <c r="C18" s="66">
        <v>11152750</v>
      </c>
      <c r="D18" s="66">
        <v>11027578</v>
      </c>
      <c r="E18" s="67">
        <f>MIN(C18-D18)</f>
        <v>125172</v>
      </c>
      <c r="F18" s="67">
        <f>+E18</f>
        <v>125172</v>
      </c>
      <c r="G18" s="336"/>
      <c r="H18" s="337"/>
      <c r="I18" s="336">
        <f>+E18</f>
        <v>125172</v>
      </c>
      <c r="J18" s="337"/>
    </row>
    <row r="19" spans="1:10">
      <c r="A19" s="334" t="s">
        <v>112</v>
      </c>
      <c r="B19" s="335"/>
      <c r="C19" s="66">
        <v>8339848</v>
      </c>
      <c r="D19" s="66">
        <v>8243979</v>
      </c>
      <c r="E19" s="67">
        <f>AVERAGE(C19-D19)</f>
        <v>95869</v>
      </c>
      <c r="F19" s="67">
        <f>+E19</f>
        <v>95869</v>
      </c>
      <c r="G19" s="336"/>
      <c r="H19" s="337"/>
      <c r="I19" s="336">
        <f>+E19</f>
        <v>95869</v>
      </c>
      <c r="J19" s="337"/>
    </row>
    <row r="20" spans="1:10" ht="15">
      <c r="A20" s="338" t="s">
        <v>113</v>
      </c>
      <c r="B20" s="339"/>
      <c r="C20" s="68"/>
      <c r="D20" s="69"/>
      <c r="E20" s="68">
        <f>SUM(E17:E19)</f>
        <v>444199</v>
      </c>
      <c r="F20" s="70"/>
      <c r="G20" s="340"/>
      <c r="H20" s="341"/>
      <c r="I20" s="340"/>
      <c r="J20" s="341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23" t="s">
        <v>115</v>
      </c>
      <c r="B23" s="324"/>
      <c r="C23" s="325"/>
      <c r="D23" s="329" t="s">
        <v>116</v>
      </c>
      <c r="E23" s="329" t="s">
        <v>117</v>
      </c>
      <c r="F23" s="331" t="s">
        <v>118</v>
      </c>
      <c r="G23" s="333" t="s">
        <v>119</v>
      </c>
      <c r="H23" s="333"/>
      <c r="I23" s="317" t="s">
        <v>120</v>
      </c>
      <c r="J23" s="317"/>
    </row>
    <row r="24" spans="1:10">
      <c r="A24" s="326"/>
      <c r="B24" s="327"/>
      <c r="C24" s="328"/>
      <c r="D24" s="330"/>
      <c r="E24" s="330"/>
      <c r="F24" s="332"/>
      <c r="G24" s="164" t="s">
        <v>121</v>
      </c>
      <c r="H24" s="71" t="s">
        <v>122</v>
      </c>
      <c r="I24" s="317"/>
      <c r="J24" s="317"/>
    </row>
    <row r="25" spans="1:10" ht="15">
      <c r="A25" s="318" t="s">
        <v>123</v>
      </c>
      <c r="B25" s="319"/>
      <c r="C25" s="320"/>
      <c r="D25" s="67">
        <f>+E17</f>
        <v>223158</v>
      </c>
      <c r="E25" s="72">
        <v>0.95140000000000002</v>
      </c>
      <c r="F25" s="73">
        <f>PRODUCT(D25*E25)</f>
        <v>212312.52120000002</v>
      </c>
      <c r="G25" s="151">
        <v>14</v>
      </c>
      <c r="H25" s="65">
        <f>PRODUCT(0.14,F25)</f>
        <v>29723.752968000004</v>
      </c>
      <c r="I25" s="302">
        <f>SUM(H25,F25)</f>
        <v>242036.27416800003</v>
      </c>
      <c r="J25" s="303"/>
    </row>
    <row r="26" spans="1:10" ht="15">
      <c r="A26" s="299" t="s">
        <v>124</v>
      </c>
      <c r="B26" s="300"/>
      <c r="C26" s="301"/>
      <c r="D26" s="67">
        <f>+E18</f>
        <v>125172</v>
      </c>
      <c r="E26" s="74">
        <v>0.69850000000000001</v>
      </c>
      <c r="F26" s="73">
        <f>PRODUCT(D26*E26)</f>
        <v>87432.642000000007</v>
      </c>
      <c r="G26">
        <v>14</v>
      </c>
      <c r="H26" s="67">
        <f>PRODUCT(0.14,F26)</f>
        <v>12240.569880000003</v>
      </c>
      <c r="I26" s="302">
        <f t="shared" ref="I26:I31" si="0">SUM(H26,F26)</f>
        <v>99673.211880000017</v>
      </c>
      <c r="J26" s="303"/>
    </row>
    <row r="27" spans="1:10" ht="15">
      <c r="A27" s="299" t="s">
        <v>125</v>
      </c>
      <c r="B27" s="300"/>
      <c r="C27" s="301"/>
      <c r="D27" s="67">
        <f>+E19</f>
        <v>95869</v>
      </c>
      <c r="E27" s="74">
        <v>1.3304</v>
      </c>
      <c r="F27" s="73">
        <f>PRODUCT(D27*E27)</f>
        <v>127544.1176</v>
      </c>
      <c r="G27">
        <v>14</v>
      </c>
      <c r="H27" s="67">
        <f>PRODUCT(0.14,F27)</f>
        <v>17856.176464</v>
      </c>
      <c r="I27" s="302">
        <f>SUM(H27,F27)</f>
        <v>145400.29406399999</v>
      </c>
      <c r="J27" s="303"/>
    </row>
    <row r="28" spans="1:10" ht="15">
      <c r="A28" s="299" t="s">
        <v>126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>
      <c r="A29" s="312" t="s">
        <v>127</v>
      </c>
      <c r="B29" s="313"/>
      <c r="C29" s="314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>
      <c r="A30" s="299" t="s">
        <v>128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>
      <c r="A31" s="304" t="s">
        <v>129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>
      <c r="A32" s="307" t="s">
        <v>130</v>
      </c>
      <c r="B32" s="308"/>
      <c r="C32" s="308"/>
      <c r="D32" s="308"/>
      <c r="E32" s="308"/>
      <c r="F32" s="84">
        <f>SUM(F25:F31)</f>
        <v>473503.95079999999</v>
      </c>
      <c r="G32" s="85"/>
      <c r="H32" s="86"/>
      <c r="I32" s="311">
        <f>SUM(I25:J31)</f>
        <v>539740.523912</v>
      </c>
      <c r="J32" s="311"/>
    </row>
    <row r="33" spans="1:10" ht="21.75" thickBot="1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69"/>
      <c r="B1" s="271"/>
      <c r="C1" s="356" t="s">
        <v>131</v>
      </c>
      <c r="D1" s="357"/>
      <c r="E1" s="357"/>
      <c r="F1" s="357"/>
      <c r="G1" s="357"/>
      <c r="H1" s="362" t="s">
        <v>88</v>
      </c>
      <c r="I1" s="363"/>
      <c r="J1" s="364"/>
    </row>
    <row r="2" spans="1:10" ht="16.5" customHeight="1" thickBot="1">
      <c r="A2" s="272"/>
      <c r="B2" s="274"/>
      <c r="C2" s="358"/>
      <c r="D2" s="359"/>
      <c r="E2" s="359"/>
      <c r="F2" s="359"/>
      <c r="G2" s="359"/>
      <c r="H2" s="365"/>
      <c r="I2" s="366"/>
      <c r="J2" s="367"/>
    </row>
    <row r="3" spans="1:10" ht="15" customHeight="1">
      <c r="A3" s="272"/>
      <c r="B3" s="274"/>
      <c r="C3" s="358"/>
      <c r="D3" s="359"/>
      <c r="E3" s="359"/>
      <c r="F3" s="359"/>
      <c r="G3" s="359"/>
      <c r="H3" s="368" t="s">
        <v>89</v>
      </c>
      <c r="I3" s="369"/>
      <c r="J3" s="370"/>
    </row>
    <row r="4" spans="1:10" ht="15.75" customHeight="1" thickBot="1">
      <c r="A4" s="275"/>
      <c r="B4" s="277"/>
      <c r="C4" s="360"/>
      <c r="D4" s="361"/>
      <c r="E4" s="361"/>
      <c r="F4" s="361"/>
      <c r="G4" s="361"/>
      <c r="H4" s="371"/>
      <c r="I4" s="372"/>
      <c r="J4" s="373"/>
    </row>
    <row r="6" spans="1:10" ht="33" customHeight="1" thickBot="1"/>
    <row r="7" spans="1:10" ht="36.75" thickTop="1">
      <c r="A7" s="374" t="s">
        <v>90</v>
      </c>
      <c r="B7" s="374"/>
      <c r="C7" s="375" t="s">
        <v>91</v>
      </c>
      <c r="D7" s="376"/>
      <c r="E7" s="61" t="s">
        <v>92</v>
      </c>
      <c r="F7" s="61" t="s">
        <v>93</v>
      </c>
      <c r="G7" s="61" t="s">
        <v>94</v>
      </c>
      <c r="H7" s="61" t="s">
        <v>95</v>
      </c>
      <c r="I7" s="377" t="s">
        <v>96</v>
      </c>
      <c r="J7" s="378"/>
    </row>
    <row r="8" spans="1:10">
      <c r="A8" s="345">
        <v>95670781</v>
      </c>
      <c r="B8" s="345"/>
      <c r="C8" s="349">
        <v>44297</v>
      </c>
      <c r="D8" s="350"/>
      <c r="E8" s="113">
        <v>44327</v>
      </c>
      <c r="F8" s="163" t="s">
        <v>132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29" t="s">
        <v>98</v>
      </c>
      <c r="B11" s="329"/>
      <c r="C11" s="353" t="s">
        <v>99</v>
      </c>
      <c r="D11" s="354"/>
      <c r="E11" s="329" t="s">
        <v>100</v>
      </c>
      <c r="F11" s="329"/>
      <c r="G11" s="353" t="s">
        <v>101</v>
      </c>
      <c r="H11" s="354"/>
      <c r="I11" s="355" t="s">
        <v>102</v>
      </c>
      <c r="J11" s="355"/>
    </row>
    <row r="12" spans="1:10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46">
        <v>712</v>
      </c>
      <c r="H12" s="346"/>
      <c r="I12" s="347"/>
      <c r="J12" s="347"/>
    </row>
    <row r="13" spans="1:10">
      <c r="A13" s="348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42" t="s">
        <v>108</v>
      </c>
      <c r="H16" s="342"/>
      <c r="I16" s="343" t="s">
        <v>109</v>
      </c>
      <c r="J16" s="344"/>
    </row>
    <row r="17" spans="1:10">
      <c r="A17" s="334" t="s">
        <v>110</v>
      </c>
      <c r="B17" s="335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6"/>
      <c r="H17" s="337"/>
      <c r="I17" s="336">
        <f>+E17</f>
        <v>6887</v>
      </c>
      <c r="J17" s="337"/>
    </row>
    <row r="18" spans="1:10">
      <c r="A18" s="334" t="s">
        <v>111</v>
      </c>
      <c r="B18" s="335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6"/>
      <c r="H18" s="337"/>
      <c r="I18" s="336">
        <f>+E18</f>
        <v>3799</v>
      </c>
      <c r="J18" s="337"/>
    </row>
    <row r="19" spans="1:10">
      <c r="A19" s="334" t="s">
        <v>112</v>
      </c>
      <c r="B19" s="335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6"/>
      <c r="H19" s="337"/>
      <c r="I19" s="336">
        <f>+E19</f>
        <v>3073</v>
      </c>
      <c r="J19" s="337"/>
    </row>
    <row r="20" spans="1:10" ht="15">
      <c r="A20" s="338" t="s">
        <v>113</v>
      </c>
      <c r="B20" s="339"/>
      <c r="C20" s="68"/>
      <c r="D20" s="69"/>
      <c r="E20" s="68">
        <f>SUM(E17:E19)</f>
        <v>13759</v>
      </c>
      <c r="F20" s="70"/>
      <c r="G20" s="340"/>
      <c r="H20" s="341"/>
      <c r="I20" s="340"/>
      <c r="J20" s="341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23" t="s">
        <v>115</v>
      </c>
      <c r="B23" s="324"/>
      <c r="C23" s="325"/>
      <c r="D23" s="329" t="s">
        <v>116</v>
      </c>
      <c r="E23" s="329" t="s">
        <v>117</v>
      </c>
      <c r="F23" s="331" t="s">
        <v>118</v>
      </c>
      <c r="G23" s="333" t="s">
        <v>119</v>
      </c>
      <c r="H23" s="333"/>
      <c r="I23" s="317" t="s">
        <v>120</v>
      </c>
      <c r="J23" s="317"/>
    </row>
    <row r="24" spans="1:10">
      <c r="A24" s="326"/>
      <c r="B24" s="327"/>
      <c r="C24" s="328"/>
      <c r="D24" s="330"/>
      <c r="E24" s="330"/>
      <c r="F24" s="332"/>
      <c r="G24" s="164" t="s">
        <v>121</v>
      </c>
      <c r="H24" s="71" t="s">
        <v>122</v>
      </c>
      <c r="I24" s="317"/>
      <c r="J24" s="317"/>
    </row>
    <row r="25" spans="1:10" ht="15">
      <c r="A25" s="318" t="s">
        <v>123</v>
      </c>
      <c r="B25" s="319"/>
      <c r="C25" s="320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02">
        <f>SUM(H25,F25)</f>
        <v>7469.6126519999998</v>
      </c>
      <c r="J25" s="303"/>
    </row>
    <row r="26" spans="1:10" ht="15">
      <c r="A26" s="299" t="s">
        <v>124</v>
      </c>
      <c r="B26" s="300"/>
      <c r="C26" s="301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2">
        <f t="shared" ref="I26:I31" si="0">SUM(H26,F26)</f>
        <v>3025.1057100000003</v>
      </c>
      <c r="J26" s="303"/>
    </row>
    <row r="27" spans="1:10" ht="15">
      <c r="A27" s="299" t="s">
        <v>125</v>
      </c>
      <c r="B27" s="300"/>
      <c r="C27" s="301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2">
        <f>SUM(H27,F27)</f>
        <v>4660.6838879999996</v>
      </c>
      <c r="J27" s="303"/>
    </row>
    <row r="28" spans="1:10" ht="15">
      <c r="A28" s="299" t="s">
        <v>126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>
      <c r="A29" s="312" t="s">
        <v>127</v>
      </c>
      <c r="B29" s="313"/>
      <c r="C29" s="314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>
      <c r="A30" s="299" t="s">
        <v>128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>
      <c r="A31" s="304" t="s">
        <v>129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>
      <c r="A32" s="307" t="s">
        <v>130</v>
      </c>
      <c r="B32" s="308"/>
      <c r="C32" s="308"/>
      <c r="D32" s="308"/>
      <c r="E32" s="308"/>
      <c r="F32" s="84">
        <f>SUM(F25:F31)</f>
        <v>59508.8825</v>
      </c>
      <c r="G32" s="85"/>
      <c r="H32" s="86"/>
      <c r="I32" s="311">
        <f>SUM(I25:J31)</f>
        <v>67786.146049999996</v>
      </c>
      <c r="J32" s="311"/>
    </row>
    <row r="33" spans="1:10" ht="21.75" thickBot="1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133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124345.2</v>
      </c>
      <c r="D8" s="97">
        <v>44105</v>
      </c>
      <c r="E8" s="96">
        <v>127675.7</v>
      </c>
      <c r="F8" s="97">
        <v>44501</v>
      </c>
      <c r="G8" s="98">
        <f>E8-C8</f>
        <v>3330.5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23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4">
        <f>G8</f>
        <v>3330.5</v>
      </c>
      <c r="C13" s="394"/>
      <c r="D13" s="394">
        <v>8.7899999999999991</v>
      </c>
      <c r="E13" s="394"/>
      <c r="F13" s="398">
        <f>PRODUCT(D13,B13)</f>
        <v>29275.094999999998</v>
      </c>
      <c r="G13" s="398"/>
      <c r="H13" s="398"/>
    </row>
    <row r="14" spans="1:8" ht="45" customHeight="1">
      <c r="A14" s="395" t="s">
        <v>144</v>
      </c>
      <c r="B14" s="395"/>
      <c r="C14" s="395"/>
      <c r="D14" s="395"/>
      <c r="E14" s="395"/>
      <c r="F14" s="395"/>
      <c r="G14" s="395"/>
      <c r="H14" s="395"/>
    </row>
    <row r="15" spans="1:8">
      <c r="A15" s="396"/>
      <c r="B15" s="396"/>
      <c r="C15" s="396"/>
      <c r="D15" s="396"/>
      <c r="E15" s="396"/>
      <c r="F15" s="396"/>
      <c r="G15" s="396"/>
      <c r="H15" s="396"/>
    </row>
    <row r="16" spans="1:8" ht="15">
      <c r="A16" s="103" t="s">
        <v>145</v>
      </c>
      <c r="B16" s="394">
        <v>0</v>
      </c>
      <c r="C16" s="394"/>
      <c r="D16" s="394">
        <v>0</v>
      </c>
      <c r="E16" s="394"/>
      <c r="F16" s="394">
        <f>PRODUCT(D16,B16)</f>
        <v>0</v>
      </c>
      <c r="G16" s="394"/>
      <c r="H16" s="394"/>
    </row>
    <row r="17" spans="1:8" ht="15">
      <c r="A17" s="103" t="s">
        <v>146</v>
      </c>
      <c r="B17" s="394">
        <v>0</v>
      </c>
      <c r="C17" s="394"/>
      <c r="D17" s="394">
        <v>0</v>
      </c>
      <c r="E17" s="394"/>
      <c r="F17" s="394">
        <f>PRODUCT(D17,B17)</f>
        <v>0</v>
      </c>
      <c r="G17" s="394"/>
      <c r="H17" s="394"/>
    </row>
    <row r="18" spans="1:8" ht="15">
      <c r="A18" s="103" t="s">
        <v>147</v>
      </c>
      <c r="B18" s="394">
        <v>0</v>
      </c>
      <c r="C18" s="394"/>
      <c r="D18" s="394">
        <v>0</v>
      </c>
      <c r="E18" s="394"/>
      <c r="F18" s="394">
        <f>PRODUCT(D18,B18)</f>
        <v>0</v>
      </c>
      <c r="G18" s="394"/>
      <c r="H18" s="394"/>
    </row>
    <row r="19" spans="1:8" ht="15">
      <c r="A19" s="103" t="s">
        <v>148</v>
      </c>
      <c r="B19" s="394">
        <f>G8</f>
        <v>3330.5</v>
      </c>
      <c r="C19" s="394"/>
      <c r="D19" s="394">
        <v>2.61</v>
      </c>
      <c r="E19" s="394"/>
      <c r="F19" s="394">
        <f>PRODUCT(D19,B19)</f>
        <v>8692.6049999999996</v>
      </c>
      <c r="G19" s="394"/>
      <c r="H19" s="394"/>
    </row>
    <row r="20" spans="1:8" ht="18.75">
      <c r="A20" s="390" t="s">
        <v>149</v>
      </c>
      <c r="B20" s="391"/>
      <c r="C20" s="391"/>
      <c r="D20" s="391"/>
      <c r="E20" s="392"/>
      <c r="F20" s="393">
        <f>SUM(F11+F13+F16+F17+F18+F19)</f>
        <v>37990.699999999997</v>
      </c>
      <c r="G20" s="393"/>
      <c r="H20" s="393"/>
    </row>
    <row r="21" spans="1:8" ht="15">
      <c r="A21" s="379" t="s">
        <v>150</v>
      </c>
      <c r="B21" s="380"/>
      <c r="C21" s="380"/>
      <c r="D21" s="380"/>
      <c r="E21" s="381"/>
      <c r="F21" s="394">
        <f>PRODUCT(F20,0.07)</f>
        <v>2659.3490000000002</v>
      </c>
      <c r="G21" s="394"/>
      <c r="H21" s="394"/>
    </row>
    <row r="22" spans="1:8" ht="15">
      <c r="A22" s="432" t="s">
        <v>151</v>
      </c>
      <c r="B22" s="433"/>
      <c r="C22" s="433"/>
      <c r="D22" s="433"/>
      <c r="E22" s="434"/>
      <c r="F22" s="394">
        <v>208.26</v>
      </c>
      <c r="G22" s="394"/>
      <c r="H22" s="394"/>
    </row>
    <row r="23" spans="1:8" ht="15.75">
      <c r="A23" s="379" t="s">
        <v>152</v>
      </c>
      <c r="B23" s="380"/>
      <c r="C23" s="380"/>
      <c r="D23" s="380"/>
      <c r="E23" s="381"/>
      <c r="F23" s="382">
        <f>SUM(F21:H22)</f>
        <v>2867.6090000000004</v>
      </c>
      <c r="G23" s="382"/>
      <c r="H23" s="382"/>
    </row>
    <row r="24" spans="1:8">
      <c r="A24" s="383" t="s">
        <v>153</v>
      </c>
      <c r="B24" s="384"/>
      <c r="C24" s="384"/>
      <c r="D24" s="384"/>
      <c r="E24" s="385"/>
      <c r="F24" s="389">
        <f>SUM(F20,F23)</f>
        <v>40858.308999999994</v>
      </c>
      <c r="G24" s="389"/>
      <c r="H24" s="389"/>
    </row>
    <row r="25" spans="1:8">
      <c r="A25" s="386"/>
      <c r="B25" s="387"/>
      <c r="C25" s="387"/>
      <c r="D25" s="387"/>
      <c r="E25" s="388"/>
      <c r="F25" s="389"/>
      <c r="G25" s="389"/>
      <c r="H25" s="389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133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23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4">
        <f>G8</f>
        <v>119.80000000000291</v>
      </c>
      <c r="C13" s="394"/>
      <c r="D13" s="394">
        <v>8.5</v>
      </c>
      <c r="E13" s="394"/>
      <c r="F13" s="398">
        <f>PRODUCT(D13,B13)</f>
        <v>1018.3000000000247</v>
      </c>
      <c r="G13" s="398"/>
      <c r="H13" s="398"/>
    </row>
    <row r="14" spans="1:8" ht="45" customHeight="1">
      <c r="A14" s="395" t="s">
        <v>144</v>
      </c>
      <c r="B14" s="395"/>
      <c r="C14" s="395"/>
      <c r="D14" s="395"/>
      <c r="E14" s="395"/>
      <c r="F14" s="395"/>
      <c r="G14" s="395"/>
      <c r="H14" s="395"/>
    </row>
    <row r="15" spans="1:8">
      <c r="A15" s="396"/>
      <c r="B15" s="396"/>
      <c r="C15" s="396"/>
      <c r="D15" s="396"/>
      <c r="E15" s="396"/>
      <c r="F15" s="396"/>
      <c r="G15" s="396"/>
      <c r="H15" s="396"/>
    </row>
    <row r="16" spans="1:8" ht="15">
      <c r="A16" s="103" t="s">
        <v>145</v>
      </c>
      <c r="B16" s="394">
        <v>0</v>
      </c>
      <c r="C16" s="394"/>
      <c r="D16" s="394">
        <v>0</v>
      </c>
      <c r="E16" s="394"/>
      <c r="F16" s="394">
        <f>PRODUCT(D16,B16)</f>
        <v>0</v>
      </c>
      <c r="G16" s="394"/>
      <c r="H16" s="394"/>
    </row>
    <row r="17" spans="1:8" ht="15">
      <c r="A17" s="103" t="s">
        <v>146</v>
      </c>
      <c r="B17" s="394">
        <v>0</v>
      </c>
      <c r="C17" s="394"/>
      <c r="D17" s="394">
        <v>0</v>
      </c>
      <c r="E17" s="394"/>
      <c r="F17" s="394">
        <f>PRODUCT(D17,B17)</f>
        <v>0</v>
      </c>
      <c r="G17" s="394"/>
      <c r="H17" s="394"/>
    </row>
    <row r="18" spans="1:8" ht="15">
      <c r="A18" s="103" t="s">
        <v>147</v>
      </c>
      <c r="B18" s="394">
        <v>0</v>
      </c>
      <c r="C18" s="394"/>
      <c r="D18" s="394">
        <v>0</v>
      </c>
      <c r="E18" s="394"/>
      <c r="F18" s="394">
        <f>PRODUCT(D18,B18)</f>
        <v>0</v>
      </c>
      <c r="G18" s="394"/>
      <c r="H18" s="394"/>
    </row>
    <row r="19" spans="1:8" ht="15">
      <c r="A19" s="103" t="s">
        <v>148</v>
      </c>
      <c r="B19" s="394">
        <v>0</v>
      </c>
      <c r="C19" s="394"/>
      <c r="D19" s="415">
        <v>0</v>
      </c>
      <c r="E19" s="416"/>
      <c r="F19" s="415">
        <v>0</v>
      </c>
      <c r="G19" s="416"/>
      <c r="H19" s="165"/>
    </row>
    <row r="20" spans="1:8" ht="15">
      <c r="A20" s="103" t="s">
        <v>154</v>
      </c>
      <c r="B20" s="394">
        <f>G8</f>
        <v>119.80000000000291</v>
      </c>
      <c r="C20" s="394"/>
      <c r="D20" s="394">
        <v>2.54</v>
      </c>
      <c r="E20" s="394"/>
      <c r="F20" s="394">
        <f>PRODUCT(D20,B20)</f>
        <v>304.29200000000742</v>
      </c>
      <c r="G20" s="394"/>
      <c r="H20" s="394"/>
    </row>
    <row r="21" spans="1:8" ht="18.75">
      <c r="A21" s="390" t="s">
        <v>149</v>
      </c>
      <c r="B21" s="391"/>
      <c r="C21" s="391"/>
      <c r="D21" s="391"/>
      <c r="E21" s="392"/>
      <c r="F21" s="393">
        <f>SUM(F11+F13+F16+F17+F18+F20)</f>
        <v>1345.5920000000322</v>
      </c>
      <c r="G21" s="393"/>
      <c r="H21" s="393"/>
    </row>
    <row r="22" spans="1:8" ht="15">
      <c r="A22" s="379" t="s">
        <v>150</v>
      </c>
      <c r="B22" s="380"/>
      <c r="C22" s="380"/>
      <c r="D22" s="380"/>
      <c r="E22" s="381"/>
      <c r="F22" s="394">
        <f>PRODUCT(F21,0.07)</f>
        <v>94.19144000000226</v>
      </c>
      <c r="G22" s="394"/>
      <c r="H22" s="394"/>
    </row>
    <row r="23" spans="1:8" ht="15">
      <c r="A23" s="432" t="s">
        <v>151</v>
      </c>
      <c r="B23" s="433"/>
      <c r="C23" s="433"/>
      <c r="D23" s="433"/>
      <c r="E23" s="434"/>
      <c r="F23" s="394">
        <v>208.26</v>
      </c>
      <c r="G23" s="394"/>
      <c r="H23" s="394"/>
    </row>
    <row r="24" spans="1:8" ht="15.75">
      <c r="A24" s="379" t="s">
        <v>152</v>
      </c>
      <c r="B24" s="380"/>
      <c r="C24" s="380"/>
      <c r="D24" s="380"/>
      <c r="E24" s="381"/>
      <c r="F24" s="382">
        <f>SUM(F22:H23)</f>
        <v>302.45144000000226</v>
      </c>
      <c r="G24" s="382"/>
      <c r="H24" s="382"/>
    </row>
    <row r="25" spans="1:8">
      <c r="A25" s="383" t="s">
        <v>153</v>
      </c>
      <c r="B25" s="384"/>
      <c r="C25" s="384"/>
      <c r="D25" s="384"/>
      <c r="E25" s="385"/>
      <c r="F25" s="389">
        <f>SUM(F21,F24)</f>
        <v>1648.0434400000345</v>
      </c>
      <c r="G25" s="389"/>
      <c r="H25" s="389"/>
    </row>
    <row r="26" spans="1:8">
      <c r="A26" s="386"/>
      <c r="B26" s="387"/>
      <c r="C26" s="387"/>
      <c r="D26" s="387"/>
      <c r="E26" s="388"/>
      <c r="F26" s="389"/>
      <c r="G26" s="389"/>
      <c r="H26" s="389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155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44470</v>
      </c>
      <c r="E8" s="96">
        <v>2560</v>
      </c>
      <c r="F8" s="97">
        <v>44501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15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156</v>
      </c>
      <c r="B13" s="394">
        <f>G8</f>
        <v>0</v>
      </c>
      <c r="C13" s="394"/>
      <c r="D13" s="394">
        <v>16.48</v>
      </c>
      <c r="E13" s="394"/>
      <c r="F13" s="398">
        <f>PRODUCT(D13,B13)</f>
        <v>0</v>
      </c>
      <c r="G13" s="398"/>
      <c r="H13" s="398"/>
    </row>
    <row r="14" spans="1:8" ht="15">
      <c r="A14" s="102" t="s">
        <v>157</v>
      </c>
      <c r="B14" s="415"/>
      <c r="C14" s="416"/>
      <c r="D14" s="415"/>
      <c r="E14" s="416"/>
      <c r="F14" s="415"/>
      <c r="G14" s="416"/>
      <c r="H14" s="111"/>
    </row>
    <row r="15" spans="1:8" ht="15">
      <c r="A15" s="102" t="s">
        <v>158</v>
      </c>
      <c r="B15" s="415"/>
      <c r="C15" s="416"/>
      <c r="D15" s="415"/>
      <c r="E15" s="416"/>
      <c r="F15" s="415"/>
      <c r="G15" s="416"/>
      <c r="H15" s="111"/>
    </row>
    <row r="16" spans="1:8" ht="15">
      <c r="A16" s="102" t="s">
        <v>159</v>
      </c>
      <c r="B16" s="415"/>
      <c r="C16" s="416"/>
      <c r="D16" s="415"/>
      <c r="E16" s="416"/>
      <c r="F16" s="415"/>
      <c r="G16" s="416"/>
      <c r="H16" s="111"/>
    </row>
    <row r="17" spans="1:8" ht="15">
      <c r="A17" s="102" t="s">
        <v>160</v>
      </c>
      <c r="B17" s="415"/>
      <c r="C17" s="416"/>
      <c r="D17" s="415"/>
      <c r="E17" s="416"/>
      <c r="F17" s="415"/>
      <c r="G17" s="416"/>
      <c r="H17" s="111"/>
    </row>
    <row r="18" spans="1:8" ht="45" customHeight="1">
      <c r="A18" s="395" t="s">
        <v>144</v>
      </c>
      <c r="B18" s="395"/>
      <c r="C18" s="395"/>
      <c r="D18" s="395"/>
      <c r="E18" s="395"/>
      <c r="F18" s="395"/>
      <c r="G18" s="395"/>
      <c r="H18" s="395"/>
    </row>
    <row r="19" spans="1:8">
      <c r="A19" s="396"/>
      <c r="B19" s="396"/>
      <c r="C19" s="396"/>
      <c r="D19" s="396"/>
      <c r="E19" s="396"/>
      <c r="F19" s="396"/>
      <c r="G19" s="396"/>
      <c r="H19" s="396"/>
    </row>
    <row r="20" spans="1:8" ht="15">
      <c r="A20" s="103" t="s">
        <v>145</v>
      </c>
      <c r="B20" s="394">
        <v>0</v>
      </c>
      <c r="C20" s="394"/>
      <c r="D20" s="394">
        <v>0</v>
      </c>
      <c r="E20" s="394"/>
      <c r="F20" s="394">
        <f>PRODUCT(D20,B20)</f>
        <v>0</v>
      </c>
      <c r="G20" s="394"/>
      <c r="H20" s="394"/>
    </row>
    <row r="21" spans="1:8" ht="15">
      <c r="A21" s="103" t="s">
        <v>146</v>
      </c>
      <c r="B21" s="394">
        <v>0</v>
      </c>
      <c r="C21" s="394"/>
      <c r="D21" s="394">
        <v>0</v>
      </c>
      <c r="E21" s="394"/>
      <c r="F21" s="394">
        <f>PRODUCT(D21,B21)</f>
        <v>0</v>
      </c>
      <c r="G21" s="394"/>
      <c r="H21" s="394"/>
    </row>
    <row r="22" spans="1:8" ht="15">
      <c r="A22" s="103" t="s">
        <v>147</v>
      </c>
      <c r="B22" s="394">
        <v>0</v>
      </c>
      <c r="C22" s="394"/>
      <c r="D22" s="394">
        <v>0</v>
      </c>
      <c r="E22" s="394"/>
      <c r="F22" s="394">
        <f>PRODUCT(D22,B22)</f>
        <v>0</v>
      </c>
      <c r="G22" s="394"/>
      <c r="H22" s="394"/>
    </row>
    <row r="23" spans="1:8" ht="15">
      <c r="A23" s="103" t="s">
        <v>148</v>
      </c>
      <c r="B23" s="394">
        <f>G8</f>
        <v>0</v>
      </c>
      <c r="C23" s="394"/>
      <c r="D23" s="394">
        <v>0</v>
      </c>
      <c r="E23" s="394"/>
      <c r="F23" s="394">
        <f>PRODUCT(D23,B23)</f>
        <v>0</v>
      </c>
      <c r="G23" s="394"/>
      <c r="H23" s="394"/>
    </row>
    <row r="24" spans="1:8" ht="15">
      <c r="A24" s="103" t="s">
        <v>154</v>
      </c>
      <c r="B24" s="415">
        <v>0</v>
      </c>
      <c r="C24" s="416"/>
      <c r="D24" s="415">
        <v>2.54</v>
      </c>
      <c r="E24" s="416"/>
      <c r="F24" s="415">
        <f>B24*D24</f>
        <v>0</v>
      </c>
      <c r="G24" s="416"/>
      <c r="H24" s="165"/>
    </row>
    <row r="25" spans="1:8" ht="18.75">
      <c r="A25" s="390" t="s">
        <v>149</v>
      </c>
      <c r="B25" s="391"/>
      <c r="C25" s="391"/>
      <c r="D25" s="391"/>
      <c r="E25" s="392"/>
      <c r="F25" s="417">
        <f>SUM(F11+F13+F20+F21+F22+F23)</f>
        <v>15</v>
      </c>
      <c r="G25" s="393"/>
      <c r="H25" s="393"/>
    </row>
    <row r="26" spans="1:8" ht="15">
      <c r="A26" s="379" t="s">
        <v>150</v>
      </c>
      <c r="B26" s="380"/>
      <c r="C26" s="380"/>
      <c r="D26" s="380"/>
      <c r="E26" s="381"/>
      <c r="F26" s="394">
        <v>63.63</v>
      </c>
      <c r="G26" s="394"/>
      <c r="H26" s="394"/>
    </row>
    <row r="27" spans="1:8" ht="15">
      <c r="A27" s="432" t="s">
        <v>151</v>
      </c>
      <c r="B27" s="433"/>
      <c r="C27" s="433"/>
      <c r="D27" s="433"/>
      <c r="E27" s="434"/>
      <c r="F27" s="394">
        <v>2.4300000000000002</v>
      </c>
      <c r="G27" s="394"/>
      <c r="H27" s="394"/>
    </row>
    <row r="28" spans="1:8" ht="15.75">
      <c r="A28" s="379" t="s">
        <v>152</v>
      </c>
      <c r="B28" s="380"/>
      <c r="C28" s="380"/>
      <c r="D28" s="380"/>
      <c r="E28" s="381"/>
      <c r="F28" s="382">
        <f>SUM(F26:H27)</f>
        <v>66.06</v>
      </c>
      <c r="G28" s="382"/>
      <c r="H28" s="382"/>
    </row>
    <row r="29" spans="1:8">
      <c r="A29" s="383" t="s">
        <v>153</v>
      </c>
      <c r="B29" s="384"/>
      <c r="C29" s="384"/>
      <c r="D29" s="384"/>
      <c r="E29" s="385"/>
      <c r="F29" s="389">
        <f>SUM(F25,F28)</f>
        <v>81.06</v>
      </c>
      <c r="G29" s="389"/>
      <c r="H29" s="389"/>
    </row>
    <row r="30" spans="1:8">
      <c r="A30" s="386"/>
      <c r="B30" s="387"/>
      <c r="C30" s="387"/>
      <c r="D30" s="387"/>
      <c r="E30" s="388"/>
      <c r="F30" s="389"/>
      <c r="G30" s="389"/>
      <c r="H30" s="389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C14" zoomScaleNormal="100" workbookViewId="0">
      <selection activeCell="L24" sqref="L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8" t="s">
        <v>161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/>
      <c r="N14" s="104"/>
    </row>
    <row r="15" spans="2:14" ht="21" thickBot="1">
      <c r="C15" s="421" t="s">
        <v>181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>
        <v>473503.95079999999</v>
      </c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D17" zoomScaleNormal="100" workbookViewId="0">
      <selection activeCell="L24" sqref="L24:N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182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/>
      <c r="N14" s="104"/>
    </row>
    <row r="15" spans="2:14" ht="21" thickBot="1">
      <c r="C15" s="421" t="s">
        <v>183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5" ht="18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/>
      <c r="M18" s="104">
        <v>43165.84</v>
      </c>
      <c r="N18" s="104">
        <v>50595.28</v>
      </c>
    </row>
    <row r="19" spans="2:15" ht="31.5" customHeight="1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180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>
        <v>35205.679999999964</v>
      </c>
      <c r="L24" s="104">
        <v>37990.699999999997</v>
      </c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3" zoomScaleNormal="100" workbookViewId="0">
      <selection activeCell="L24" sqref="L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184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/>
      <c r="N14" s="104"/>
    </row>
    <row r="15" spans="2:14" ht="21" thickBot="1">
      <c r="C15" s="421" t="s">
        <v>185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 ht="17.25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180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>
        <v>126919.11951480001</v>
      </c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2021-11-17T14:16:05Z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