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2669" documentId="11_3BED31AB7A40F8CCF12F63B4977459FD7BE6FFE9" xr6:coauthVersionLast="47" xr6:coauthVersionMax="47" xr10:uidLastSave="{DBB6403F-292D-4B05-A407-54FE8F54A798}"/>
  <bookViews>
    <workbookView xWindow="0" yWindow="0" windowWidth="21570" windowHeight="8145" firstSheet="3" xr2:uid="{00000000-000D-0000-FFFF-FFFF00000000}"/>
  </bookViews>
  <sheets>
    <sheet name="TOTAL" sheetId="5" r:id="rId1"/>
    <sheet name="Submetering " sheetId="6" r:id="rId2"/>
    <sheet name="DAILY READINGS" sheetId="3" r:id="rId3"/>
    <sheet name="Foglio1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G22" i="5"/>
  <c r="G23" i="5"/>
  <c r="I22" i="5"/>
  <c r="I23" i="5"/>
  <c r="L23" i="6"/>
  <c r="L24" i="6"/>
  <c r="L22" i="6"/>
  <c r="K22" i="6"/>
  <c r="K23" i="6"/>
  <c r="J22" i="6"/>
  <c r="J23" i="6"/>
  <c r="I23" i="6"/>
  <c r="H22" i="6"/>
  <c r="F23" i="6"/>
  <c r="G22" i="6"/>
  <c r="G23" i="6"/>
  <c r="F22" i="6"/>
  <c r="L37" i="3"/>
  <c r="K37" i="3"/>
  <c r="D37" i="3"/>
  <c r="E37" i="3"/>
  <c r="F37" i="3"/>
  <c r="G37" i="3"/>
  <c r="H37" i="3"/>
  <c r="I37" i="3"/>
  <c r="J37" i="3"/>
  <c r="B37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8" i="3"/>
  <c r="D38" i="3"/>
  <c r="F38" i="3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<sst xmlns="http://schemas.openxmlformats.org/spreadsheetml/2006/main" count="101" uniqueCount="31">
  <si>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</si>
  <si>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</si>
  <si>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</si>
  <si>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</si>
  <si>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</si>
  <si>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</si>
  <si>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</si>
  <si>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</si>
  <si>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</si>
  <si>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</si>
  <si>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</si>
  <si>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</si>
  <si>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</si>
  <si>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</si>
  <si>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</si>
  <si>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</si>
  <si>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</si>
  <si>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</si>
  <si>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</si>
  <si>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</si>
  <si>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</si>
  <si>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</si>
  <si>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NOVEMBER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</si>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</sst>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/>
    <xf numFmtId="0" fontId="6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topLeftCell="A20" workbookViewId="0">
      <selection activeCell="H36" sqref="H36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11</v>
      </c>
      <c r="D2" s="12">
        <v>2022</v>
      </c>
      <c r="E2" s="13">
        <f>IF(('DAILY READINGS'!B7-'DAILY READINGS'!B6)&gt;0,('DAILY READINGS'!B7-'DAILY READINGS'!B6),0)</f>
        <v>5058</v>
      </c>
      <c r="F2" s="10">
        <v>0.27</v>
      </c>
      <c r="G2" s="13">
        <f>IF(('DAILY READINGS'!D7-'DAILY READINGS'!D6)+('DAILY READINGS'!E7-'DAILY READINGS'!E6)&gt;0,('DAILY READINGS'!D7-'DAILY READINGS'!D6)+('DAILY READINGS'!E7-'DAILY READINGS'!E6),0)</f>
        <v>262</v>
      </c>
      <c r="H2" s="10">
        <v>1.5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61</v>
      </c>
      <c r="J2" s="10">
        <v>1.45</v>
      </c>
      <c r="K2" s="13">
        <f>'DAILY READINGS'!K7</f>
        <v>49</v>
      </c>
      <c r="L2" s="8">
        <f>'DAILY READINGS'!L7</f>
        <v>92</v>
      </c>
    </row>
    <row r="3" spans="1:23">
      <c r="A3" s="2" t="s">
        <v>12</v>
      </c>
      <c r="B3" s="11">
        <f t="shared" ref="B3:B31" si="0">B2+1</f>
        <v>2</v>
      </c>
      <c r="C3" s="12">
        <v>11</v>
      </c>
      <c r="D3" s="12">
        <v>2022</v>
      </c>
      <c r="E3" s="13">
        <f>IF(('DAILY READINGS'!B8-'DAILY READINGS'!B7)&gt;0,('DAILY READINGS'!B8-'DAILY READINGS'!B7),0)</f>
        <v>6068</v>
      </c>
      <c r="F3" s="10">
        <v>0.27</v>
      </c>
      <c r="G3" s="13">
        <f>IF(('DAILY READINGS'!D8-'DAILY READINGS'!D7)+('DAILY READINGS'!E8-'DAILY READINGS'!E7)&gt;0,('DAILY READINGS'!D8-'DAILY READINGS'!D7)+('DAILY READINGS'!E8-'DAILY READINGS'!E7),0)</f>
        <v>291</v>
      </c>
      <c r="H3" s="10">
        <v>1.5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79</v>
      </c>
      <c r="J3" s="10">
        <v>1.45</v>
      </c>
      <c r="K3" s="13">
        <f>'DAILY READINGS'!K8</f>
        <v>52</v>
      </c>
      <c r="L3" s="8">
        <f>'DAILY READINGS'!L8</f>
        <v>98</v>
      </c>
      <c r="M3" s="13"/>
    </row>
    <row r="4" spans="1:23">
      <c r="A4" s="2" t="s">
        <v>12</v>
      </c>
      <c r="B4" s="11">
        <f t="shared" si="0"/>
        <v>3</v>
      </c>
      <c r="C4" s="12">
        <v>11</v>
      </c>
      <c r="D4" s="12">
        <v>2022</v>
      </c>
      <c r="E4" s="13">
        <f>IF(('DAILY READINGS'!B9-'DAILY READINGS'!B8)&gt;0,('DAILY READINGS'!B9-'DAILY READINGS'!B8),0)</f>
        <v>6132</v>
      </c>
      <c r="F4" s="10">
        <v>0.27</v>
      </c>
      <c r="G4" s="13">
        <f>IF(('DAILY READINGS'!D9-'DAILY READINGS'!D8)+('DAILY READINGS'!E9-'DAILY READINGS'!E8)&gt;0,('DAILY READINGS'!D9-'DAILY READINGS'!D8)+('DAILY READINGS'!E9-'DAILY READINGS'!E8),0)</f>
        <v>280</v>
      </c>
      <c r="H4" s="10">
        <v>1.5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80</v>
      </c>
      <c r="J4" s="10">
        <v>1.45</v>
      </c>
      <c r="K4" s="13">
        <f>'DAILY READINGS'!K9</f>
        <v>51</v>
      </c>
      <c r="L4" s="8">
        <f>'DAILY READINGS'!L9</f>
        <v>100</v>
      </c>
    </row>
    <row r="5" spans="1:23">
      <c r="A5" s="2" t="s">
        <v>12</v>
      </c>
      <c r="B5" s="11">
        <f t="shared" si="0"/>
        <v>4</v>
      </c>
      <c r="C5" s="12">
        <v>11</v>
      </c>
      <c r="D5" s="12">
        <v>2022</v>
      </c>
      <c r="E5" s="13">
        <f>IF(('DAILY READINGS'!B10-'DAILY READINGS'!B9)&gt;0,('DAILY READINGS'!B10-'DAILY READINGS'!B9),0)</f>
        <v>5042</v>
      </c>
      <c r="F5" s="10">
        <v>0.27</v>
      </c>
      <c r="G5" s="13">
        <f>IF(('DAILY READINGS'!D10-'DAILY READINGS'!D9)+('DAILY READINGS'!E10-'DAILY READINGS'!E9)&gt;0,('DAILY READINGS'!D10-'DAILY READINGS'!D9)+('DAILY READINGS'!E10-'DAILY READINGS'!E9),0)</f>
        <v>282</v>
      </c>
      <c r="H5" s="10">
        <v>1.5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50</v>
      </c>
      <c r="J5" s="10">
        <v>1.45</v>
      </c>
      <c r="K5" s="13">
        <f>'DAILY READINGS'!K10</f>
        <v>55</v>
      </c>
      <c r="L5" s="8">
        <f>'DAILY READINGS'!L10</f>
        <v>99</v>
      </c>
    </row>
    <row r="6" spans="1:23">
      <c r="A6" s="2" t="s">
        <v>12</v>
      </c>
      <c r="B6" s="11">
        <f t="shared" si="0"/>
        <v>5</v>
      </c>
      <c r="C6" s="12">
        <v>11</v>
      </c>
      <c r="D6" s="12">
        <v>2022</v>
      </c>
      <c r="E6" s="13">
        <f>IF(('DAILY READINGS'!B11-'DAILY READINGS'!B10)&gt;0,('DAILY READINGS'!B11-'DAILY READINGS'!B10),0)</f>
        <v>6116</v>
      </c>
      <c r="F6" s="10">
        <v>0.27</v>
      </c>
      <c r="G6" s="13">
        <f>IF(('DAILY READINGS'!D11-'DAILY READINGS'!D10)+('DAILY READINGS'!E11-'DAILY READINGS'!E10)&gt;0,('DAILY READINGS'!D11-'DAILY READINGS'!D10)+('DAILY READINGS'!E11-'DAILY READINGS'!E10),0)</f>
        <v>421</v>
      </c>
      <c r="H6" s="10">
        <v>1.5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130</v>
      </c>
      <c r="J6" s="10">
        <v>1.45</v>
      </c>
      <c r="K6" s="13">
        <f>'DAILY READINGS'!K11</f>
        <v>45</v>
      </c>
      <c r="L6" s="8">
        <f>'DAILY READINGS'!L11</f>
        <v>79</v>
      </c>
    </row>
    <row r="7" spans="1:23">
      <c r="A7" s="2" t="s">
        <v>12</v>
      </c>
      <c r="B7" s="11">
        <f t="shared" si="0"/>
        <v>6</v>
      </c>
      <c r="C7" s="12">
        <v>11</v>
      </c>
      <c r="D7" s="12">
        <v>2022</v>
      </c>
      <c r="E7" s="13">
        <f>IF(('DAILY READINGS'!B12-'DAILY READINGS'!B11)&gt;0,('DAILY READINGS'!B12-'DAILY READINGS'!B11),0)</f>
        <v>5500</v>
      </c>
      <c r="F7" s="10">
        <v>0.27</v>
      </c>
      <c r="G7" s="13">
        <f>IF(('DAILY READINGS'!D12-'DAILY READINGS'!D11)+('DAILY READINGS'!E12-'DAILY READINGS'!E11)&gt;0,('DAILY READINGS'!D12-'DAILY READINGS'!D11)+('DAILY READINGS'!E12-'DAILY READINGS'!E11),0)</f>
        <v>344</v>
      </c>
      <c r="H7" s="10">
        <v>1.5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73</v>
      </c>
      <c r="J7" s="10">
        <v>1.45</v>
      </c>
      <c r="K7" s="13">
        <f>'DAILY READINGS'!K12</f>
        <v>28</v>
      </c>
      <c r="L7" s="8">
        <f>'DAILY READINGS'!L12</f>
        <v>44</v>
      </c>
    </row>
    <row r="8" spans="1:23">
      <c r="A8" s="2" t="s">
        <v>12</v>
      </c>
      <c r="B8" s="11">
        <f t="shared" si="0"/>
        <v>7</v>
      </c>
      <c r="C8" s="12">
        <v>11</v>
      </c>
      <c r="D8" s="12">
        <v>2022</v>
      </c>
      <c r="E8" s="13">
        <f>IF(('DAILY READINGS'!B13-'DAILY READINGS'!B12)&gt;0,('DAILY READINGS'!B13-'DAILY READINGS'!B12),0)</f>
        <v>6262</v>
      </c>
      <c r="F8" s="10">
        <v>0.27</v>
      </c>
      <c r="G8" s="13">
        <f>IF(('DAILY READINGS'!D13-'DAILY READINGS'!D12)+('DAILY READINGS'!E13-'DAILY READINGS'!E12)&gt;0,('DAILY READINGS'!D13-'DAILY READINGS'!D12)+('DAILY READINGS'!E13-'DAILY READINGS'!E12),0)</f>
        <v>372</v>
      </c>
      <c r="H8" s="10">
        <v>1.5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95</v>
      </c>
      <c r="J8" s="10">
        <v>1.45</v>
      </c>
      <c r="K8" s="13">
        <f>'DAILY READINGS'!K13</f>
        <v>54</v>
      </c>
      <c r="L8" s="8">
        <f>'DAILY READINGS'!L13</f>
        <v>71</v>
      </c>
    </row>
    <row r="9" spans="1:23">
      <c r="A9" s="2" t="s">
        <v>12</v>
      </c>
      <c r="B9" s="11">
        <f t="shared" si="0"/>
        <v>8</v>
      </c>
      <c r="C9" s="12">
        <v>11</v>
      </c>
      <c r="D9" s="12">
        <v>2022</v>
      </c>
      <c r="E9" s="13">
        <f>IF(('DAILY READINGS'!B14-'DAILY READINGS'!B13)&gt;0,('DAILY READINGS'!B14-'DAILY READINGS'!B13),0)</f>
        <v>5922</v>
      </c>
      <c r="F9" s="10">
        <v>0.27</v>
      </c>
      <c r="G9" s="13">
        <f>IF(('DAILY READINGS'!D14-'DAILY READINGS'!D13)+('DAILY READINGS'!E14-'DAILY READINGS'!E13)&gt;0,('DAILY READINGS'!D14-'DAILY READINGS'!D13)+('DAILY READINGS'!E14-'DAILY READINGS'!E13),0)</f>
        <v>350</v>
      </c>
      <c r="H9" s="10">
        <v>1.5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77</v>
      </c>
      <c r="J9" s="10">
        <v>1.45</v>
      </c>
      <c r="K9" s="13">
        <f>'DAILY READINGS'!K14</f>
        <v>105</v>
      </c>
      <c r="L9" s="8">
        <f>'DAILY READINGS'!L14</f>
        <v>150</v>
      </c>
    </row>
    <row r="10" spans="1:23">
      <c r="A10" s="2" t="s">
        <v>12</v>
      </c>
      <c r="B10" s="11">
        <f t="shared" si="0"/>
        <v>9</v>
      </c>
      <c r="C10" s="12">
        <v>11</v>
      </c>
      <c r="D10" s="12">
        <v>2022</v>
      </c>
      <c r="E10" s="13">
        <f>IF(('DAILY READINGS'!B15-'DAILY READINGS'!B14)&gt;0,('DAILY READINGS'!B15-'DAILY READINGS'!B14),0)</f>
        <v>5834</v>
      </c>
      <c r="F10" s="10">
        <v>0.27</v>
      </c>
      <c r="G10" s="13">
        <f>IF(('DAILY READINGS'!D15-'DAILY READINGS'!D14)+('DAILY READINGS'!E15-'DAILY READINGS'!E14)&gt;0,('DAILY READINGS'!D15-'DAILY READINGS'!D14)+('DAILY READINGS'!E15-'DAILY READINGS'!E14),0)</f>
        <v>325</v>
      </c>
      <c r="H10" s="10">
        <v>1.5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62</v>
      </c>
      <c r="J10" s="10">
        <v>1.45</v>
      </c>
      <c r="K10" s="13">
        <f>'DAILY READINGS'!K15</f>
        <v>98</v>
      </c>
      <c r="L10" s="8">
        <f>'DAILY READINGS'!L15</f>
        <v>144</v>
      </c>
    </row>
    <row r="11" spans="1:23">
      <c r="A11" s="2" t="s">
        <v>12</v>
      </c>
      <c r="B11" s="11">
        <f t="shared" si="0"/>
        <v>10</v>
      </c>
      <c r="C11" s="12">
        <v>11</v>
      </c>
      <c r="D11" s="12">
        <v>2022</v>
      </c>
      <c r="E11" s="13">
        <f>IF(('DAILY READINGS'!B16-'DAILY READINGS'!B15)&gt;0,('DAILY READINGS'!B16-'DAILY READINGS'!B15),0)</f>
        <v>6502</v>
      </c>
      <c r="F11" s="10">
        <v>0.27</v>
      </c>
      <c r="G11" s="13">
        <f>IF(('DAILY READINGS'!D16-'DAILY READINGS'!D15)+('DAILY READINGS'!E16-'DAILY READINGS'!E15)&gt;0,('DAILY READINGS'!D16-'DAILY READINGS'!D15)+('DAILY READINGS'!E16-'DAILY READINGS'!E15),0)</f>
        <v>338</v>
      </c>
      <c r="H11" s="10">
        <v>1.5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51</v>
      </c>
      <c r="J11" s="10">
        <v>1.45</v>
      </c>
      <c r="K11" s="13">
        <f>'DAILY READINGS'!K16</f>
        <v>87</v>
      </c>
      <c r="L11" s="8">
        <f>'DAILY READINGS'!L16</f>
        <v>135</v>
      </c>
    </row>
    <row r="12" spans="1:23">
      <c r="A12" s="2" t="s">
        <v>12</v>
      </c>
      <c r="B12" s="11">
        <f t="shared" si="0"/>
        <v>11</v>
      </c>
      <c r="C12" s="12">
        <v>11</v>
      </c>
      <c r="D12" s="12">
        <v>2022</v>
      </c>
      <c r="E12" s="13">
        <f>IF(('DAILY READINGS'!B17-'DAILY READINGS'!B16)&gt;0,('DAILY READINGS'!B17-'DAILY READINGS'!B16),0)</f>
        <v>5662</v>
      </c>
      <c r="F12" s="10">
        <v>0.27</v>
      </c>
      <c r="G12" s="13">
        <f>IF(('DAILY READINGS'!D17-'DAILY READINGS'!D16)+('DAILY READINGS'!E17-'DAILY READINGS'!E16)&gt;0,('DAILY READINGS'!D17-'DAILY READINGS'!D16)+('DAILY READINGS'!E17-'DAILY READINGS'!E16),0)</f>
        <v>342</v>
      </c>
      <c r="H12" s="10">
        <v>1.5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164</v>
      </c>
      <c r="J12" s="10">
        <v>1.45</v>
      </c>
      <c r="K12" s="13">
        <f>'DAILY READINGS'!K17</f>
        <v>91</v>
      </c>
      <c r="L12" s="8">
        <f>'DAILY READINGS'!L17</f>
        <v>146</v>
      </c>
    </row>
    <row r="13" spans="1:23">
      <c r="A13" s="2" t="s">
        <v>12</v>
      </c>
      <c r="B13" s="11">
        <f t="shared" si="0"/>
        <v>12</v>
      </c>
      <c r="C13" s="12">
        <v>11</v>
      </c>
      <c r="D13" s="12">
        <v>2022</v>
      </c>
      <c r="E13" s="13">
        <f>IF(('DAILY READINGS'!B18-'DAILY READINGS'!B17)&gt;0,('DAILY READINGS'!B18-'DAILY READINGS'!B17),0)</f>
        <v>4840</v>
      </c>
      <c r="F13" s="10">
        <v>0.27</v>
      </c>
      <c r="G13" s="13">
        <f>IF(('DAILY READINGS'!D18-'DAILY READINGS'!D17)+('DAILY READINGS'!E18-'DAILY READINGS'!E17)&gt;0,('DAILY READINGS'!D18-'DAILY READINGS'!D17)+('DAILY READINGS'!E18-'DAILY READINGS'!E17),0)</f>
        <v>346</v>
      </c>
      <c r="H13" s="10">
        <v>1.5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62</v>
      </c>
      <c r="J13" s="10">
        <v>1.45</v>
      </c>
      <c r="K13" s="13">
        <f>'DAILY READINGS'!K18</f>
        <v>52</v>
      </c>
      <c r="L13" s="8">
        <f>'DAILY READINGS'!L18</f>
        <v>89</v>
      </c>
    </row>
    <row r="14" spans="1:23">
      <c r="A14" s="2" t="s">
        <v>12</v>
      </c>
      <c r="B14" s="11">
        <f t="shared" si="0"/>
        <v>13</v>
      </c>
      <c r="C14" s="12">
        <v>11</v>
      </c>
      <c r="D14" s="12">
        <v>2022</v>
      </c>
      <c r="E14" s="13">
        <f>IF(('DAILY READINGS'!B19-'DAILY READINGS'!B18)&gt;0,('DAILY READINGS'!B19-'DAILY READINGS'!B18),0)</f>
        <v>5778</v>
      </c>
      <c r="F14" s="10">
        <v>0.27</v>
      </c>
      <c r="G14" s="13">
        <f>IF(('DAILY READINGS'!D19-'DAILY READINGS'!D18)+('DAILY READINGS'!E19-'DAILY READINGS'!E18)&gt;0,('DAILY READINGS'!D19-'DAILY READINGS'!D18)+('DAILY READINGS'!E19-'DAILY READINGS'!E18),0)</f>
        <v>381</v>
      </c>
      <c r="H14" s="10">
        <v>1.5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87</v>
      </c>
      <c r="J14" s="10">
        <v>1.45</v>
      </c>
      <c r="K14" s="13">
        <v>82</v>
      </c>
      <c r="L14" s="8">
        <f>'DAILY READINGS'!L19</f>
        <v>47</v>
      </c>
    </row>
    <row r="15" spans="1:23">
      <c r="A15" s="2" t="s">
        <v>12</v>
      </c>
      <c r="B15" s="11">
        <f t="shared" si="0"/>
        <v>14</v>
      </c>
      <c r="C15" s="12">
        <v>11</v>
      </c>
      <c r="D15" s="12">
        <v>2022</v>
      </c>
      <c r="E15" s="13">
        <f>IF(('DAILY READINGS'!B20-'DAILY READINGS'!B19)&gt;0,('DAILY READINGS'!B20-'DAILY READINGS'!B19),0)</f>
        <v>5742</v>
      </c>
      <c r="F15" s="10">
        <v>0.27</v>
      </c>
      <c r="G15" s="13">
        <f>IF(('DAILY READINGS'!D20-'DAILY READINGS'!D19)+('DAILY READINGS'!E20-'DAILY READINGS'!E19)&gt;0,('DAILY READINGS'!D20-'DAILY READINGS'!D19)+('DAILY READINGS'!E20-'DAILY READINGS'!E19),0)</f>
        <v>250</v>
      </c>
      <c r="H15" s="10">
        <v>1.5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80</v>
      </c>
      <c r="J15" s="10">
        <v>1.45</v>
      </c>
      <c r="K15" s="13">
        <f>'DAILY READINGS'!K20</f>
        <v>31</v>
      </c>
      <c r="L15" s="8">
        <f>'DAILY READINGS'!L20</f>
        <v>44</v>
      </c>
    </row>
    <row r="16" spans="1:23">
      <c r="A16" s="2" t="s">
        <v>12</v>
      </c>
      <c r="B16" s="11">
        <f t="shared" si="0"/>
        <v>15</v>
      </c>
      <c r="C16" s="12">
        <v>11</v>
      </c>
      <c r="D16" s="12">
        <v>2022</v>
      </c>
      <c r="E16" s="13">
        <f>IF(('DAILY READINGS'!B21-'DAILY READINGS'!B20)&gt;0,('DAILY READINGS'!B21-'DAILY READINGS'!B20),0)</f>
        <v>5582</v>
      </c>
      <c r="F16" s="10">
        <v>0.27</v>
      </c>
      <c r="G16" s="13">
        <f>IF(('DAILY READINGS'!D21-'DAILY READINGS'!D20)+('DAILY READINGS'!E21-'DAILY READINGS'!E20)&gt;0,('DAILY READINGS'!D21-'DAILY READINGS'!D20)+('DAILY READINGS'!E21-'DAILY READINGS'!E20),0)</f>
        <v>233</v>
      </c>
      <c r="H16" s="10">
        <v>1.5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53</v>
      </c>
      <c r="J16" s="10">
        <v>1.45</v>
      </c>
      <c r="K16" s="13">
        <f>'DAILY READINGS'!K21</f>
        <v>23</v>
      </c>
      <c r="L16" s="8">
        <f>'DAILY READINGS'!L21</f>
        <v>32</v>
      </c>
    </row>
    <row r="17" spans="1:12">
      <c r="A17" s="2" t="s">
        <v>12</v>
      </c>
      <c r="B17" s="11">
        <f t="shared" si="0"/>
        <v>16</v>
      </c>
      <c r="C17" s="12">
        <v>11</v>
      </c>
      <c r="D17" s="12">
        <v>2022</v>
      </c>
      <c r="E17" s="13">
        <f>IF(('DAILY READINGS'!B22-'DAILY READINGS'!B21)&gt;0,('DAILY READINGS'!B22-'DAILY READINGS'!B21),0)</f>
        <v>4528</v>
      </c>
      <c r="F17" s="10">
        <v>0.27</v>
      </c>
      <c r="G17" s="13">
        <f>IF(('DAILY READINGS'!D22-'DAILY READINGS'!D21)+('DAILY READINGS'!E22-'DAILY READINGS'!E21)&gt;0,('DAILY READINGS'!D22-'DAILY READINGS'!D21)+('DAILY READINGS'!E22-'DAILY READINGS'!E21),0)</f>
        <v>177</v>
      </c>
      <c r="H17" s="10">
        <v>1.5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99</v>
      </c>
      <c r="J17" s="10">
        <v>1.45</v>
      </c>
      <c r="K17" s="13">
        <f>'DAILY READINGS'!K22</f>
        <v>14</v>
      </c>
      <c r="L17" s="8">
        <f>'DAILY READINGS'!L22</f>
        <v>25</v>
      </c>
    </row>
    <row r="18" spans="1:12">
      <c r="A18" s="2" t="s">
        <v>12</v>
      </c>
      <c r="B18" s="11">
        <f t="shared" si="0"/>
        <v>17</v>
      </c>
      <c r="C18" s="12">
        <v>11</v>
      </c>
      <c r="D18" s="12">
        <v>2022</v>
      </c>
      <c r="E18" s="13">
        <f>IF(('DAILY READINGS'!B23-'DAILY READINGS'!B22)&gt;0,('DAILY READINGS'!B23-'DAILY READINGS'!B22),0)</f>
        <v>4178</v>
      </c>
      <c r="F18" s="10">
        <v>0.27</v>
      </c>
      <c r="G18" s="13">
        <f>IF(('DAILY READINGS'!D23-'DAILY READINGS'!D22)+('DAILY READINGS'!E23-'DAILY READINGS'!E22)&gt;0,('DAILY READINGS'!D23-'DAILY READINGS'!D22)+('DAILY READINGS'!E23-'DAILY READINGS'!E22),0)</f>
        <v>183</v>
      </c>
      <c r="H18" s="10">
        <v>1.5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46</v>
      </c>
      <c r="J18" s="10">
        <v>1.45</v>
      </c>
      <c r="K18" s="13">
        <f>'DAILY READINGS'!K23</f>
        <v>21</v>
      </c>
      <c r="L18" s="8">
        <f>'DAILY READINGS'!L23</f>
        <v>34</v>
      </c>
    </row>
    <row r="19" spans="1:12">
      <c r="A19" s="2" t="s">
        <v>12</v>
      </c>
      <c r="B19" s="11">
        <f t="shared" si="0"/>
        <v>18</v>
      </c>
      <c r="C19" s="12">
        <v>11</v>
      </c>
      <c r="D19" s="12">
        <v>2022</v>
      </c>
      <c r="E19" s="13">
        <f>IF(('DAILY READINGS'!B24-'DAILY READINGS'!B23)&gt;0,('DAILY READINGS'!B24-'DAILY READINGS'!B23),0)</f>
        <v>4446</v>
      </c>
      <c r="F19" s="10">
        <v>0.27</v>
      </c>
      <c r="G19" s="13">
        <f>IF(('DAILY READINGS'!D24-'DAILY READINGS'!D23)+('DAILY READINGS'!E24-'DAILY READINGS'!E23)&gt;0,('DAILY READINGS'!D24-'DAILY READINGS'!D23)+('DAILY READINGS'!E24-'DAILY READINGS'!E23),0)</f>
        <v>199</v>
      </c>
      <c r="H19" s="10">
        <v>1.5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37</v>
      </c>
      <c r="J19" s="10">
        <v>1.45</v>
      </c>
      <c r="K19" s="13">
        <f>'DAILY READINGS'!K24</f>
        <v>19</v>
      </c>
      <c r="L19" s="8">
        <f>'DAILY READINGS'!L24</f>
        <v>35</v>
      </c>
    </row>
    <row r="20" spans="1:12">
      <c r="A20" s="2" t="s">
        <v>12</v>
      </c>
      <c r="B20" s="11">
        <f t="shared" si="0"/>
        <v>19</v>
      </c>
      <c r="C20" s="12">
        <v>11</v>
      </c>
      <c r="D20" s="12">
        <v>2022</v>
      </c>
      <c r="E20" s="13">
        <f>IF(('DAILY READINGS'!B25-'DAILY READINGS'!B24)&gt;0,('DAILY READINGS'!B25-'DAILY READINGS'!B24),0)</f>
        <v>3526</v>
      </c>
      <c r="F20" s="10">
        <v>0.27</v>
      </c>
      <c r="G20" s="13">
        <f>IF(('DAILY READINGS'!D25-'DAILY READINGS'!D24)+('DAILY READINGS'!E25-'DAILY READINGS'!E24)&gt;0,('DAILY READINGS'!D25-'DAILY READINGS'!D24)+('DAILY READINGS'!E25-'DAILY READINGS'!E24),0)</f>
        <v>174</v>
      </c>
      <c r="H20" s="10">
        <v>1.5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40</v>
      </c>
      <c r="J20" s="10">
        <v>1.45</v>
      </c>
      <c r="K20" s="13">
        <f>'DAILY READINGS'!K25</f>
        <v>18</v>
      </c>
      <c r="L20" s="8">
        <f>'DAILY READINGS'!L25</f>
        <v>35</v>
      </c>
    </row>
    <row r="21" spans="1:12">
      <c r="A21" s="2" t="s">
        <v>12</v>
      </c>
      <c r="B21" s="11">
        <f t="shared" si="0"/>
        <v>20</v>
      </c>
      <c r="C21" s="12">
        <v>11</v>
      </c>
      <c r="D21" s="12">
        <v>2022</v>
      </c>
      <c r="E21" s="13">
        <f>IF(('DAILY READINGS'!B26-'DAILY READINGS'!B25)&gt;0,('DAILY READINGS'!B26-'DAILY READINGS'!B25),0)</f>
        <v>4870</v>
      </c>
      <c r="F21" s="10">
        <v>0.27</v>
      </c>
      <c r="G21" s="13">
        <f>IF(('DAILY READINGS'!D26-'DAILY READINGS'!D25)+('DAILY READINGS'!E26-'DAILY READINGS'!E25)&gt;0,('DAILY READINGS'!D26-'DAILY READINGS'!D25)+('DAILY READINGS'!E26-'DAILY READINGS'!E25),0)</f>
        <v>219</v>
      </c>
      <c r="H21" s="10">
        <v>1.5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45</v>
      </c>
      <c r="J21" s="10">
        <v>1.45</v>
      </c>
      <c r="K21" s="13">
        <f>'DAILY READINGS'!K26</f>
        <v>15</v>
      </c>
      <c r="L21" s="8">
        <f>'DAILY READINGS'!L26</f>
        <v>27</v>
      </c>
    </row>
    <row r="22" spans="1:12">
      <c r="A22" s="2" t="s">
        <v>12</v>
      </c>
      <c r="B22" s="11">
        <f t="shared" si="0"/>
        <v>21</v>
      </c>
      <c r="C22" s="12">
        <v>11</v>
      </c>
      <c r="D22" s="12">
        <v>2022</v>
      </c>
      <c r="E22" s="13">
        <f>IF(('DAILY READINGS'!B27-'DAILY READINGS'!B26)&gt;0,('DAILY READINGS'!B27-'DAILY READINGS'!B26),0)</f>
        <v>4110</v>
      </c>
      <c r="F22" s="10">
        <v>0.27</v>
      </c>
      <c r="G22" s="13">
        <f>IF(('DAILY READINGS'!D27-'DAILY READINGS'!D26)+('DAILY READINGS'!E27-'DAILY READINGS'!E26)&gt;0,('DAILY READINGS'!D27-'DAILY READINGS'!D26)+('DAILY READINGS'!E27-'DAILY READINGS'!E26),0)</f>
        <v>193</v>
      </c>
      <c r="H22" s="10">
        <v>1.5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22</v>
      </c>
      <c r="J22" s="10">
        <v>1.45</v>
      </c>
      <c r="K22" s="13">
        <f>'DAILY READINGS'!K27</f>
        <v>14</v>
      </c>
      <c r="L22" s="8">
        <f>'DAILY READINGS'!L27</f>
        <v>29</v>
      </c>
    </row>
    <row r="23" spans="1:12">
      <c r="A23" s="2" t="s">
        <v>12</v>
      </c>
      <c r="B23" s="11">
        <f t="shared" si="0"/>
        <v>22</v>
      </c>
      <c r="C23" s="12">
        <v>11</v>
      </c>
      <c r="D23" s="12">
        <v>2022</v>
      </c>
      <c r="E23" s="13">
        <f>IF(('DAILY READINGS'!B28-'DAILY READINGS'!B27)&gt;0,('DAILY READINGS'!B28-'DAILY READINGS'!B27),0)</f>
        <v>4156</v>
      </c>
      <c r="F23" s="10">
        <v>0.27</v>
      </c>
      <c r="G23" s="13">
        <f>IF(('DAILY READINGS'!D28-'DAILY READINGS'!D27)+('DAILY READINGS'!E28-'DAILY READINGS'!E27)&gt;0,('DAILY READINGS'!D28-'DAILY READINGS'!D27)+('DAILY READINGS'!E28-'DAILY READINGS'!E27),0)</f>
        <v>182</v>
      </c>
      <c r="H23" s="10">
        <v>1.5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41</v>
      </c>
      <c r="J23" s="10">
        <v>1.45</v>
      </c>
      <c r="K23" s="13">
        <f>'DAILY READINGS'!K28</f>
        <v>12</v>
      </c>
      <c r="L23" s="8">
        <f>'DAILY READINGS'!L28</f>
        <v>27</v>
      </c>
    </row>
    <row r="24" spans="1:12">
      <c r="A24" s="2" t="s">
        <v>12</v>
      </c>
      <c r="B24" s="11">
        <f t="shared" si="0"/>
        <v>23</v>
      </c>
      <c r="C24" s="12">
        <v>11</v>
      </c>
      <c r="D24" s="12">
        <v>2022</v>
      </c>
      <c r="E24" s="13">
        <f>IF(('DAILY READINGS'!B29-'DAILY READINGS'!B28)&gt;0,('DAILY READINGS'!B29-'DAILY READINGS'!B28),0)</f>
        <v>4058</v>
      </c>
      <c r="F24" s="10">
        <v>0.27</v>
      </c>
      <c r="G24" s="13">
        <f>IF(('DAILY READINGS'!D29-'DAILY READINGS'!D28)+('DAILY READINGS'!E29-'DAILY READINGS'!E28)&gt;0,('DAILY READINGS'!D29-'DAILY READINGS'!D28)+('DAILY READINGS'!E29-'DAILY READINGS'!E28),0)</f>
        <v>163</v>
      </c>
      <c r="H24" s="10">
        <v>1.5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22</v>
      </c>
      <c r="J24" s="10">
        <v>1.45</v>
      </c>
      <c r="K24" s="13">
        <f>'DAILY READINGS'!K29</f>
        <v>13</v>
      </c>
      <c r="L24" s="8">
        <f>'DAILY READINGS'!L29</f>
        <v>28</v>
      </c>
    </row>
    <row r="25" spans="1:12">
      <c r="A25" s="2" t="s">
        <v>12</v>
      </c>
      <c r="B25" s="11">
        <f t="shared" si="0"/>
        <v>24</v>
      </c>
      <c r="C25" s="12">
        <v>11</v>
      </c>
      <c r="D25" s="12">
        <v>2022</v>
      </c>
      <c r="E25" s="13">
        <f>IF(('DAILY READINGS'!B30-'DAILY READINGS'!B29)&gt;0,('DAILY READINGS'!B30-'DAILY READINGS'!B29),0)</f>
        <v>3918</v>
      </c>
      <c r="F25" s="10">
        <v>0.27</v>
      </c>
      <c r="G25" s="13">
        <f>IF(('DAILY READINGS'!D30-'DAILY READINGS'!D29)+('DAILY READINGS'!E30-'DAILY READINGS'!E29)&gt;0,('DAILY READINGS'!D30-'DAILY READINGS'!D29)+('DAILY READINGS'!E30-'DAILY READINGS'!E29),0)</f>
        <v>205</v>
      </c>
      <c r="H25" s="10">
        <v>1.5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30</v>
      </c>
      <c r="J25" s="10">
        <v>1.45</v>
      </c>
      <c r="K25" s="13">
        <f>'DAILY READINGS'!K30</f>
        <v>12</v>
      </c>
      <c r="L25" s="8">
        <f>'DAILY READINGS'!L30</f>
        <v>26</v>
      </c>
    </row>
    <row r="26" spans="1:12">
      <c r="A26" s="2" t="s">
        <v>12</v>
      </c>
      <c r="B26" s="11">
        <f t="shared" si="0"/>
        <v>25</v>
      </c>
      <c r="C26" s="12">
        <v>11</v>
      </c>
      <c r="D26" s="12">
        <v>2022</v>
      </c>
      <c r="E26" s="13">
        <f>IF(('DAILY READINGS'!B31-'DAILY READINGS'!B30)&gt;0,('DAILY READINGS'!B31-'DAILY READINGS'!B30),0)</f>
        <v>3738</v>
      </c>
      <c r="F26" s="10">
        <v>0.27</v>
      </c>
      <c r="G26" s="13">
        <f>IF(('DAILY READINGS'!D31-'DAILY READINGS'!D30)+('DAILY READINGS'!E31-'DAILY READINGS'!E30)&gt;0,('DAILY READINGS'!D31-'DAILY READINGS'!D30)+('DAILY READINGS'!E31-'DAILY READINGS'!E30),0)</f>
        <v>114</v>
      </c>
      <c r="H26" s="10">
        <v>1.5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27</v>
      </c>
      <c r="J26" s="10">
        <v>1.45</v>
      </c>
      <c r="K26" s="13">
        <f>'DAILY READINGS'!K31</f>
        <v>10</v>
      </c>
      <c r="L26" s="8">
        <f>'DAILY READINGS'!L31</f>
        <v>20</v>
      </c>
    </row>
    <row r="27" spans="1:12">
      <c r="A27" s="2" t="s">
        <v>12</v>
      </c>
      <c r="B27" s="11">
        <f t="shared" si="0"/>
        <v>26</v>
      </c>
      <c r="C27" s="12">
        <v>11</v>
      </c>
      <c r="D27" s="12">
        <v>2022</v>
      </c>
      <c r="E27" s="13">
        <f>IF(('DAILY READINGS'!B32-'DAILY READINGS'!B31)&gt;0,('DAILY READINGS'!B32-'DAILY READINGS'!B31),0)</f>
        <v>3648</v>
      </c>
      <c r="F27" s="10">
        <v>0.27</v>
      </c>
      <c r="G27" s="13">
        <f>IF(('DAILY READINGS'!D32-'DAILY READINGS'!D31)+('DAILY READINGS'!E32-'DAILY READINGS'!E31)&gt;0,('DAILY READINGS'!D32-'DAILY READINGS'!D31)+('DAILY READINGS'!E32-'DAILY READINGS'!E31),0)</f>
        <v>140</v>
      </c>
      <c r="H27" s="10">
        <v>1.5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16</v>
      </c>
      <c r="J27" s="10">
        <v>1.45</v>
      </c>
      <c r="K27" s="13">
        <f>'DAILY READINGS'!K32</f>
        <v>7</v>
      </c>
      <c r="L27" s="8">
        <f>'DAILY READINGS'!L32</f>
        <v>14</v>
      </c>
    </row>
    <row r="28" spans="1:12">
      <c r="A28" s="2" t="s">
        <v>12</v>
      </c>
      <c r="B28" s="11">
        <f t="shared" si="0"/>
        <v>27</v>
      </c>
      <c r="C28" s="12">
        <v>11</v>
      </c>
      <c r="D28" s="12">
        <v>2022</v>
      </c>
      <c r="E28" s="13">
        <f>IF(('DAILY READINGS'!B33-'DAILY READINGS'!B32)&gt;0,('DAILY READINGS'!B33-'DAILY READINGS'!B32),0)</f>
        <v>3942</v>
      </c>
      <c r="F28" s="10">
        <v>0.27</v>
      </c>
      <c r="G28" s="13">
        <f>IF(('DAILY READINGS'!D33-'DAILY READINGS'!D32)+('DAILY READINGS'!E33-'DAILY READINGS'!E32)&gt;0,('DAILY READINGS'!D33-'DAILY READINGS'!D32)+('DAILY READINGS'!E33-'DAILY READINGS'!E32),0)</f>
        <v>157</v>
      </c>
      <c r="H28" s="10">
        <v>1.5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25</v>
      </c>
      <c r="J28" s="10">
        <v>1.45</v>
      </c>
      <c r="K28" s="13">
        <f>'DAILY READINGS'!K33</f>
        <v>4</v>
      </c>
      <c r="L28" s="8">
        <f>'DAILY READINGS'!L33</f>
        <v>8</v>
      </c>
    </row>
    <row r="29" spans="1:12">
      <c r="A29" s="2" t="s">
        <v>12</v>
      </c>
      <c r="B29" s="11">
        <f t="shared" si="0"/>
        <v>28</v>
      </c>
      <c r="C29" s="12">
        <v>11</v>
      </c>
      <c r="D29" s="12">
        <v>2022</v>
      </c>
      <c r="E29" s="13">
        <f>IF(('DAILY READINGS'!B34-'DAILY READINGS'!B33)&gt;0,('DAILY READINGS'!B34-'DAILY READINGS'!B33),0)</f>
        <v>3942</v>
      </c>
      <c r="F29" s="10">
        <v>0.27</v>
      </c>
      <c r="G29" s="13">
        <f>IF(('DAILY READINGS'!D34-'DAILY READINGS'!D33)+('DAILY READINGS'!E34-'DAILY READINGS'!E33)&gt;0,('DAILY READINGS'!D34-'DAILY READINGS'!D33)+('DAILY READINGS'!E34-'DAILY READINGS'!E33),0)</f>
        <v>123</v>
      </c>
      <c r="H29" s="10">
        <v>1.5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13</v>
      </c>
      <c r="J29" s="10">
        <v>1.45</v>
      </c>
      <c r="K29" s="13">
        <f>'DAILY READINGS'!K34</f>
        <v>1</v>
      </c>
      <c r="L29" s="8">
        <f>'DAILY READINGS'!L34</f>
        <v>1</v>
      </c>
    </row>
    <row r="30" spans="1:12">
      <c r="A30" s="2" t="s">
        <v>12</v>
      </c>
      <c r="B30" s="11">
        <f t="shared" si="0"/>
        <v>29</v>
      </c>
      <c r="C30" s="12">
        <v>11</v>
      </c>
      <c r="D30" s="12">
        <v>2022</v>
      </c>
      <c r="E30" s="13">
        <f>IF(('DAILY READINGS'!B35-'DAILY READINGS'!B34)&gt;0,('DAILY READINGS'!B35-'DAILY READINGS'!B34),0)</f>
        <v>1562</v>
      </c>
      <c r="F30" s="10">
        <v>0.27</v>
      </c>
      <c r="G30" s="13">
        <f>IF(('DAILY READINGS'!D35-'DAILY READINGS'!D34)+('DAILY READINGS'!E35-'DAILY READINGS'!E34)&gt;0,('DAILY READINGS'!D35-'DAILY READINGS'!D34)+('DAILY READINGS'!E35-'DAILY READINGS'!E34),0)</f>
        <v>130</v>
      </c>
      <c r="H30" s="10">
        <v>1.5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19</v>
      </c>
      <c r="J30" s="10">
        <v>1.45</v>
      </c>
      <c r="K30" s="13">
        <f>'DAILY READINGS'!K35</f>
        <v>1</v>
      </c>
      <c r="L30" s="8">
        <f>'DAILY READINGS'!L35</f>
        <v>1</v>
      </c>
    </row>
    <row r="31" spans="1:12">
      <c r="A31" s="2" t="s">
        <v>12</v>
      </c>
      <c r="B31" s="11">
        <f t="shared" si="0"/>
        <v>30</v>
      </c>
      <c r="C31" s="12">
        <v>11</v>
      </c>
      <c r="D31" s="12">
        <v>2022</v>
      </c>
      <c r="E31" s="13">
        <f>IF(('DAILY READINGS'!B36-'DAILY READINGS'!B35)&gt;0,('DAILY READINGS'!B36-'DAILY READINGS'!B35),0)</f>
        <v>2044</v>
      </c>
      <c r="F31" s="10">
        <v>0.27</v>
      </c>
      <c r="G31" s="13">
        <f>IF(('DAILY READINGS'!D36-'DAILY READINGS'!D35)+('DAILY READINGS'!E36-'DAILY READINGS'!E35)&gt;0,('DAILY READINGS'!D36-'DAILY READINGS'!D35)+('DAILY READINGS'!E36-'DAILY READINGS'!E35),0)</f>
        <v>131</v>
      </c>
      <c r="H31" s="10">
        <v>1.5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18</v>
      </c>
      <c r="J31" s="10">
        <v>1.45</v>
      </c>
      <c r="K31" s="13">
        <f>'DAILY READINGS'!K36</f>
        <v>1</v>
      </c>
      <c r="L31" s="8">
        <f>'DAILY READINGS'!L36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G28" sqref="G28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2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11</v>
      </c>
      <c r="D2" s="22">
        <v>2022</v>
      </c>
      <c r="E2" s="13">
        <f>IF(('DAILY READINGS'!B7-'DAILY READINGS'!B6)&gt;0,('DAILY READINGS'!B7-'DAILY READINGS'!B6),0)</f>
        <v>5058</v>
      </c>
      <c r="F2" s="13">
        <f>IF(('DAILY READINGS'!D7-'DAILY READINGS'!D6)&gt;0,('DAILY READINGS'!D7-'DAILY READINGS'!D6),0)</f>
        <v>114</v>
      </c>
      <c r="G2" s="13">
        <f>IF(('DAILY READINGS'!E7-'DAILY READINGS'!E6)&gt;0,('DAILY READINGS'!E7-'DAILY READINGS'!E6),0)</f>
        <v>148</v>
      </c>
      <c r="H2" s="13">
        <f>IF(('DAILY READINGS'!F7-'DAILY READINGS'!F6)&gt;0,('DAILY READINGS'!F7-'DAILY READINGS'!F6),0)</f>
        <v>1</v>
      </c>
      <c r="I2" s="13">
        <f>IF(('DAILY READINGS'!G7-'DAILY READINGS'!G6)&gt;0,('DAILY READINGS'!G7-'DAILY READINGS'!G6),0)</f>
        <v>37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23</v>
      </c>
      <c r="M2" s="13">
        <f>'DAILY READINGS'!K7</f>
        <v>49</v>
      </c>
      <c r="N2" s="8">
        <f>'DAILY READINGS'!L7</f>
        <v>92</v>
      </c>
    </row>
    <row r="3" spans="1:14">
      <c r="A3" s="8" t="s">
        <v>12</v>
      </c>
      <c r="B3" s="22">
        <f>B2+1</f>
        <v>2</v>
      </c>
      <c r="C3" s="22">
        <v>11</v>
      </c>
      <c r="D3" s="22">
        <v>2022</v>
      </c>
      <c r="E3" s="13">
        <f>IF(('DAILY READINGS'!B8-'DAILY READINGS'!B7)&gt;0,('DAILY READINGS'!B8-'DAILY READINGS'!B7),0)</f>
        <v>6068</v>
      </c>
      <c r="F3" s="13">
        <f>IF(('DAILY READINGS'!D8-'DAILY READINGS'!D7)&gt;0,('DAILY READINGS'!D8-'DAILY READINGS'!D7),0)</f>
        <v>121</v>
      </c>
      <c r="G3" s="13">
        <f>IF(('DAILY READINGS'!E8-'DAILY READINGS'!E7)&gt;0,('DAILY READINGS'!E8-'DAILY READINGS'!E7),0)</f>
        <v>170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34</v>
      </c>
      <c r="J3" s="13">
        <f>IF(('DAILY READINGS'!H8-'DAILY READINGS'!H7)&gt;0,('DAILY READINGS'!H8-'DAILY READINGS'!H7),0)</f>
        <v>1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44</v>
      </c>
      <c r="M3" s="13">
        <f>'DAILY READINGS'!K8</f>
        <v>52</v>
      </c>
      <c r="N3" s="8">
        <f>'DAILY READINGS'!L8</f>
        <v>98</v>
      </c>
    </row>
    <row r="4" spans="1:14">
      <c r="A4" s="8" t="s">
        <v>12</v>
      </c>
      <c r="B4" s="22">
        <f t="shared" ref="B4:B31" si="0">B3+1</f>
        <v>3</v>
      </c>
      <c r="C4" s="22">
        <v>11</v>
      </c>
      <c r="D4" s="22">
        <v>2022</v>
      </c>
      <c r="E4" s="13">
        <f>IF(('DAILY READINGS'!B9-'DAILY READINGS'!B8)&gt;0,('DAILY READINGS'!B9-'DAILY READINGS'!B8),0)</f>
        <v>6132</v>
      </c>
      <c r="F4" s="13">
        <f>IF(('DAILY READINGS'!D9-'DAILY READINGS'!D8)&gt;0,('DAILY READINGS'!D9-'DAILY READINGS'!D8),0)</f>
        <v>120</v>
      </c>
      <c r="G4" s="13">
        <f>IF(('DAILY READINGS'!E9-'DAILY READINGS'!E8)&gt;0,('DAILY READINGS'!E9-'DAILY READINGS'!E8),0)</f>
        <v>160</v>
      </c>
      <c r="H4" s="13">
        <f>IF(('DAILY READINGS'!F9-'DAILY READINGS'!F8)&gt;0,('DAILY READINGS'!F9-'DAILY READINGS'!F8),0)</f>
        <v>0</v>
      </c>
      <c r="I4" s="13">
        <f>IF(('DAILY READINGS'!G9-'DAILY READINGS'!G8)&gt;0,('DAILY READINGS'!G9-'DAILY READINGS'!G8),0)</f>
        <v>30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50</v>
      </c>
      <c r="M4" s="13">
        <f>'DAILY READINGS'!K9</f>
        <v>51</v>
      </c>
      <c r="N4" s="8">
        <f>'DAILY READINGS'!L9</f>
        <v>100</v>
      </c>
    </row>
    <row r="5" spans="1:14">
      <c r="A5" s="8" t="s">
        <v>12</v>
      </c>
      <c r="B5" s="22">
        <f t="shared" si="0"/>
        <v>4</v>
      </c>
      <c r="C5" s="22">
        <v>11</v>
      </c>
      <c r="D5" s="22">
        <v>2022</v>
      </c>
      <c r="E5" s="13">
        <f>IF(('DAILY READINGS'!B10-'DAILY READINGS'!B9)&gt;0,('DAILY READINGS'!B10-'DAILY READINGS'!B9),0)</f>
        <v>5042</v>
      </c>
      <c r="F5" s="13">
        <f>IF(('DAILY READINGS'!D10-'DAILY READINGS'!D9)&gt;0,('DAILY READINGS'!D10-'DAILY READINGS'!D9),0)</f>
        <v>112</v>
      </c>
      <c r="G5" s="13">
        <f>IF(('DAILY READINGS'!E10-'DAILY READINGS'!E9)&gt;0,('DAILY READINGS'!E10-'DAILY READINGS'!E9),0)</f>
        <v>170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15</v>
      </c>
      <c r="J5" s="13">
        <f>IF(('DAILY READINGS'!H10-'DAILY READINGS'!H9)&gt;0,('DAILY READINGS'!H10-'DAILY READINGS'!H9),0)</f>
        <v>1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33</v>
      </c>
      <c r="M5" s="13">
        <f>'DAILY READINGS'!K10</f>
        <v>55</v>
      </c>
      <c r="N5" s="8">
        <f>'DAILY READINGS'!L10</f>
        <v>99</v>
      </c>
    </row>
    <row r="6" spans="1:14">
      <c r="A6" s="8" t="s">
        <v>12</v>
      </c>
      <c r="B6" s="22">
        <f t="shared" si="0"/>
        <v>5</v>
      </c>
      <c r="C6" s="22">
        <v>11</v>
      </c>
      <c r="D6" s="22">
        <v>2022</v>
      </c>
      <c r="E6" s="13">
        <f>IF(('DAILY READINGS'!B11-'DAILY READINGS'!B10)&gt;0,('DAILY READINGS'!B11-'DAILY READINGS'!B10),0)</f>
        <v>6116</v>
      </c>
      <c r="F6" s="13">
        <f>IF(('DAILY READINGS'!D11-'DAILY READINGS'!D10)&gt;0,('DAILY READINGS'!D11-'DAILY READINGS'!D10),0)</f>
        <v>150</v>
      </c>
      <c r="G6" s="13">
        <f>IF(('DAILY READINGS'!E11-'DAILY READINGS'!E10)&gt;0,('DAILY READINGS'!E11-'DAILY READINGS'!E10),0)</f>
        <v>271</v>
      </c>
      <c r="H6" s="13">
        <f>IF(('DAILY READINGS'!F11-'DAILY READINGS'!F10)&gt;0,('DAILY READINGS'!F11-'DAILY READINGS'!F10),0)</f>
        <v>0</v>
      </c>
      <c r="I6" s="13">
        <f>IF(('DAILY READINGS'!G11-'DAILY READINGS'!G10)&gt;0,('DAILY READINGS'!G11-'DAILY READINGS'!G10),0)</f>
        <v>52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0</v>
      </c>
      <c r="L6" s="13">
        <f>IF(('DAILY READINGS'!J11-'DAILY READINGS'!J10)&gt;0,('DAILY READINGS'!J11-'DAILY READINGS'!J10),0)</f>
        <v>78</v>
      </c>
      <c r="M6" s="13">
        <f>'DAILY READINGS'!K11</f>
        <v>45</v>
      </c>
      <c r="N6" s="8">
        <f>'DAILY READINGS'!L11</f>
        <v>79</v>
      </c>
    </row>
    <row r="7" spans="1:14">
      <c r="A7" s="8" t="s">
        <v>12</v>
      </c>
      <c r="B7" s="22">
        <f t="shared" si="0"/>
        <v>6</v>
      </c>
      <c r="C7" s="22">
        <v>11</v>
      </c>
      <c r="D7" s="22">
        <v>2022</v>
      </c>
      <c r="E7" s="13">
        <f>IF(('DAILY READINGS'!B12-'DAILY READINGS'!B11)&gt;0,('DAILY READINGS'!B12-'DAILY READINGS'!B11),0)</f>
        <v>5500</v>
      </c>
      <c r="F7" s="13">
        <f>IF(('DAILY READINGS'!D12-'DAILY READINGS'!D11)&gt;0,('DAILY READINGS'!D12-'DAILY READINGS'!D11),0)</f>
        <v>153</v>
      </c>
      <c r="G7" s="13">
        <f>IF(('DAILY READINGS'!E12-'DAILY READINGS'!E11)&gt;0,('DAILY READINGS'!E12-'DAILY READINGS'!E11),0)</f>
        <v>191</v>
      </c>
      <c r="H7" s="13">
        <f>IF(('DAILY READINGS'!F12-'DAILY READINGS'!F11)&gt;0,('DAILY READINGS'!F12-'DAILY READINGS'!F11),0)</f>
        <v>2</v>
      </c>
      <c r="I7" s="13">
        <f>IF(('DAILY READINGS'!G12-'DAILY READINGS'!G11)&gt;0,('DAILY READINGS'!G12-'DAILY READINGS'!G11),0)</f>
        <v>22</v>
      </c>
      <c r="J7" s="13">
        <f>IF(('DAILY READINGS'!H12-'DAILY READINGS'!H11)&gt;0,('DAILY READINGS'!H12-'DAILY READINGS'!H11),0)</f>
        <v>1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48</v>
      </c>
      <c r="M7" s="13">
        <f>'DAILY READINGS'!K12</f>
        <v>28</v>
      </c>
      <c r="N7" s="8">
        <f>'DAILY READINGS'!L12</f>
        <v>44</v>
      </c>
    </row>
    <row r="8" spans="1:14">
      <c r="A8" s="8" t="s">
        <v>12</v>
      </c>
      <c r="B8" s="22">
        <f t="shared" si="0"/>
        <v>7</v>
      </c>
      <c r="C8" s="22">
        <v>11</v>
      </c>
      <c r="D8" s="22">
        <v>2022</v>
      </c>
      <c r="E8" s="13">
        <f>IF(('DAILY READINGS'!B13-'DAILY READINGS'!B12)&gt;0,('DAILY READINGS'!B13-'DAILY READINGS'!B12),0)</f>
        <v>6262</v>
      </c>
      <c r="F8" s="13">
        <f>IF(('DAILY READINGS'!D13-'DAILY READINGS'!D12)&gt;0,('DAILY READINGS'!D13-'DAILY READINGS'!D12),0)</f>
        <v>164</v>
      </c>
      <c r="G8" s="13">
        <f>IF(('DAILY READINGS'!E13-'DAILY READINGS'!E12)&gt;0,('DAILY READINGS'!E13-'DAILY READINGS'!E12),0)</f>
        <v>208</v>
      </c>
      <c r="H8" s="13">
        <f>IF(('DAILY READINGS'!F13-'DAILY READINGS'!F12)&gt;0,('DAILY READINGS'!F13-'DAILY READINGS'!F12),0)</f>
        <v>1</v>
      </c>
      <c r="I8" s="13">
        <f>IF(('DAILY READINGS'!G13-'DAILY READINGS'!G12)&gt;0,('DAILY READINGS'!G13-'DAILY READINGS'!G12),0)</f>
        <v>34</v>
      </c>
      <c r="J8" s="13">
        <f>IF(('DAILY READINGS'!H13-'DAILY READINGS'!H12)&gt;0,('DAILY READINGS'!H13-'DAILY READINGS'!H12),0)</f>
        <v>1</v>
      </c>
      <c r="K8" s="13">
        <f>IF(('DAILY READINGS'!I13-'DAILY READINGS'!I12)&gt;0,('DAILY READINGS'!I13-'DAILY READINGS'!I12),0)</f>
        <v>0</v>
      </c>
      <c r="L8" s="13">
        <f>IF(('DAILY READINGS'!J13-'DAILY READINGS'!J12)&gt;0,('DAILY READINGS'!J13-'DAILY READINGS'!J12),0)</f>
        <v>59</v>
      </c>
      <c r="M8" s="13">
        <f>'DAILY READINGS'!K13</f>
        <v>54</v>
      </c>
      <c r="N8" s="8">
        <f>'DAILY READINGS'!L13</f>
        <v>71</v>
      </c>
    </row>
    <row r="9" spans="1:14">
      <c r="A9" s="8" t="s">
        <v>12</v>
      </c>
      <c r="B9" s="22">
        <f t="shared" si="0"/>
        <v>8</v>
      </c>
      <c r="C9" s="22">
        <v>11</v>
      </c>
      <c r="D9" s="22">
        <v>2022</v>
      </c>
      <c r="E9" s="13">
        <f>IF(('DAILY READINGS'!B14-'DAILY READINGS'!B13)&gt;0,('DAILY READINGS'!B14-'DAILY READINGS'!B13),0)</f>
        <v>5922</v>
      </c>
      <c r="F9" s="13">
        <f>IF(('DAILY READINGS'!D14-'DAILY READINGS'!D13)&gt;0,('DAILY READINGS'!D14-'DAILY READINGS'!D13),0)</f>
        <v>152</v>
      </c>
      <c r="G9" s="13">
        <f>IF(('DAILY READINGS'!E14-'DAILY READINGS'!E13)&gt;0,('DAILY READINGS'!E14-'DAILY READINGS'!E13),0)</f>
        <v>198</v>
      </c>
      <c r="H9" s="13">
        <f>IF(('DAILY READINGS'!F14-'DAILY READINGS'!F13)&gt;0,('DAILY READINGS'!F14-'DAILY READINGS'!F13),0)</f>
        <v>1</v>
      </c>
      <c r="I9" s="13">
        <f>IF(('DAILY READINGS'!G14-'DAILY READINGS'!G13)&gt;0,('DAILY READINGS'!G14-'DAILY READINGS'!G13),0)</f>
        <v>31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45</v>
      </c>
      <c r="M9" s="13">
        <f>'DAILY READINGS'!K14</f>
        <v>105</v>
      </c>
      <c r="N9" s="8">
        <f>'DAILY READINGS'!L14</f>
        <v>150</v>
      </c>
    </row>
    <row r="10" spans="1:14">
      <c r="A10" s="8" t="s">
        <v>12</v>
      </c>
      <c r="B10" s="22">
        <f t="shared" si="0"/>
        <v>9</v>
      </c>
      <c r="C10" s="22">
        <v>11</v>
      </c>
      <c r="D10" s="22">
        <v>2022</v>
      </c>
      <c r="E10" s="13">
        <f>IF(('DAILY READINGS'!B15-'DAILY READINGS'!B14)&gt;0,('DAILY READINGS'!B15-'DAILY READINGS'!B14),0)</f>
        <v>5834</v>
      </c>
      <c r="F10" s="13">
        <f>IF(('DAILY READINGS'!D15-'DAILY READINGS'!D14)&gt;0,('DAILY READINGS'!D15-'DAILY READINGS'!D14),0)</f>
        <v>134</v>
      </c>
      <c r="G10" s="13">
        <f>IF(('DAILY READINGS'!E15-'DAILY READINGS'!E14)&gt;0,('DAILY READINGS'!E15-'DAILY READINGS'!E14),0)</f>
        <v>191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29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32</v>
      </c>
      <c r="M10" s="13">
        <f>'DAILY READINGS'!K15</f>
        <v>98</v>
      </c>
      <c r="N10" s="8">
        <f>'DAILY READINGS'!L15</f>
        <v>144</v>
      </c>
    </row>
    <row r="11" spans="1:14">
      <c r="A11" s="8" t="s">
        <v>12</v>
      </c>
      <c r="B11" s="22">
        <f t="shared" si="0"/>
        <v>10</v>
      </c>
      <c r="C11" s="22">
        <v>11</v>
      </c>
      <c r="D11" s="22">
        <v>2022</v>
      </c>
      <c r="E11" s="13">
        <f>IF(('DAILY READINGS'!B16-'DAILY READINGS'!B15)&gt;0,('DAILY READINGS'!B16-'DAILY READINGS'!B15),0)</f>
        <v>6502</v>
      </c>
      <c r="F11" s="13">
        <f>IF(('DAILY READINGS'!D16-'DAILY READINGS'!D15)&gt;0,('DAILY READINGS'!D16-'DAILY READINGS'!D15),0)</f>
        <v>143</v>
      </c>
      <c r="G11" s="13">
        <f>IF(('DAILY READINGS'!E16-'DAILY READINGS'!E15)&gt;0,('DAILY READINGS'!E16-'DAILY READINGS'!E15),0)</f>
        <v>195</v>
      </c>
      <c r="H11" s="13">
        <f>IF(('DAILY READINGS'!F16-'DAILY READINGS'!F15)&gt;0,('DAILY READINGS'!F16-'DAILY READINGS'!F15),0)</f>
        <v>1</v>
      </c>
      <c r="I11" s="13">
        <f>IF(('DAILY READINGS'!G16-'DAILY READINGS'!G15)&gt;0,('DAILY READINGS'!G16-'DAILY READINGS'!G15),0)</f>
        <v>21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29</v>
      </c>
      <c r="M11" s="13">
        <f>'DAILY READINGS'!K16</f>
        <v>87</v>
      </c>
      <c r="N11" s="8">
        <f>'DAILY READINGS'!L16</f>
        <v>135</v>
      </c>
    </row>
    <row r="12" spans="1:14">
      <c r="A12" s="8" t="s">
        <v>12</v>
      </c>
      <c r="B12" s="22">
        <f t="shared" si="0"/>
        <v>11</v>
      </c>
      <c r="C12" s="22">
        <v>11</v>
      </c>
      <c r="D12" s="22">
        <v>2022</v>
      </c>
      <c r="E12" s="13">
        <f>IF(('DAILY READINGS'!B17-'DAILY READINGS'!B16)&gt;0,('DAILY READINGS'!B17-'DAILY READINGS'!B16),0)</f>
        <v>5662</v>
      </c>
      <c r="F12" s="13">
        <f>IF(('DAILY READINGS'!D17-'DAILY READINGS'!D16)&gt;0,('DAILY READINGS'!D17-'DAILY READINGS'!D16),0)</f>
        <v>145</v>
      </c>
      <c r="G12" s="13">
        <f>IF(('DAILY READINGS'!E17-'DAILY READINGS'!E16)&gt;0,('DAILY READINGS'!E17-'DAILY READINGS'!E16),0)</f>
        <v>197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64</v>
      </c>
      <c r="J12" s="13">
        <f>IF(('DAILY READINGS'!H17-'DAILY READINGS'!H16)&gt;0,('DAILY READINGS'!H17-'DAILY READINGS'!H16),0)</f>
        <v>1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98</v>
      </c>
      <c r="M12" s="13">
        <f>'DAILY READINGS'!K17</f>
        <v>91</v>
      </c>
      <c r="N12" s="8">
        <f>'DAILY READINGS'!L17</f>
        <v>146</v>
      </c>
    </row>
    <row r="13" spans="1:14">
      <c r="A13" s="8" t="s">
        <v>12</v>
      </c>
      <c r="B13" s="22">
        <f t="shared" si="0"/>
        <v>12</v>
      </c>
      <c r="C13" s="22">
        <v>11</v>
      </c>
      <c r="D13" s="22">
        <v>2022</v>
      </c>
      <c r="E13" s="13">
        <f>IF(('DAILY READINGS'!B18-'DAILY READINGS'!B17)&gt;0,('DAILY READINGS'!B18-'DAILY READINGS'!B17),0)</f>
        <v>4840</v>
      </c>
      <c r="F13" s="13">
        <f>IF(('DAILY READINGS'!D18-'DAILY READINGS'!D17)&gt;0,('DAILY READINGS'!D18-'DAILY READINGS'!D17),0)</f>
        <v>143</v>
      </c>
      <c r="G13" s="13">
        <f>IF(('DAILY READINGS'!E18-'DAILY READINGS'!E17)&gt;0,('DAILY READINGS'!E18-'DAILY READINGS'!E17),0)</f>
        <v>203</v>
      </c>
      <c r="H13" s="13">
        <f>IF(('DAILY READINGS'!F18-'DAILY READINGS'!F17)&gt;0,('DAILY READINGS'!F18-'DAILY READINGS'!F17),0)</f>
        <v>0</v>
      </c>
      <c r="I13" s="13">
        <f>IF(('DAILY READINGS'!G18-'DAILY READINGS'!G17)&gt;0,('DAILY READINGS'!G18-'DAILY READINGS'!G17),0)</f>
        <v>17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45</v>
      </c>
      <c r="M13" s="13">
        <f>'DAILY READINGS'!K18</f>
        <v>52</v>
      </c>
      <c r="N13" s="8">
        <f>'DAILY READINGS'!L18</f>
        <v>89</v>
      </c>
    </row>
    <row r="14" spans="1:14">
      <c r="A14" s="8" t="s">
        <v>12</v>
      </c>
      <c r="B14" s="22">
        <f t="shared" si="0"/>
        <v>13</v>
      </c>
      <c r="C14" s="22">
        <v>11</v>
      </c>
      <c r="D14" s="22">
        <v>2022</v>
      </c>
      <c r="E14" s="13">
        <f>IF(('DAILY READINGS'!B19-'DAILY READINGS'!B18)&gt;0,('DAILY READINGS'!B19-'DAILY READINGS'!B18),0)</f>
        <v>5778</v>
      </c>
      <c r="F14" s="13">
        <f>IF(('DAILY READINGS'!D19-'DAILY READINGS'!D18)&gt;0,('DAILY READINGS'!D19-'DAILY READINGS'!D18),0)</f>
        <v>151</v>
      </c>
      <c r="G14" s="13">
        <f>IF(('DAILY READINGS'!E19-'DAILY READINGS'!E18)&gt;0,('DAILY READINGS'!E19-'DAILY READINGS'!E18),0)</f>
        <v>230</v>
      </c>
      <c r="H14" s="13">
        <f>IF(('DAILY READINGS'!F19-'DAILY READINGS'!F18)&gt;0,('DAILY READINGS'!F19-'DAILY READINGS'!F18),0)</f>
        <v>0</v>
      </c>
      <c r="I14" s="13">
        <f>IF(('DAILY READINGS'!G19-'DAILY READINGS'!G18)&gt;0,('DAILY READINGS'!G19-'DAILY READINGS'!G18),0)</f>
        <v>40</v>
      </c>
      <c r="J14" s="13">
        <f>IF(('DAILY READINGS'!H19-'DAILY READINGS'!H18)&gt;0,('DAILY READINGS'!H19-'DAILY READINGS'!H18),0)</f>
        <v>1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46</v>
      </c>
      <c r="M14" s="13">
        <f>'DAILY READINGS'!K19</f>
        <v>29</v>
      </c>
      <c r="N14" s="8">
        <f>'DAILY READINGS'!L19</f>
        <v>47</v>
      </c>
    </row>
    <row r="15" spans="1:14">
      <c r="A15" s="8" t="s">
        <v>12</v>
      </c>
      <c r="B15" s="22">
        <f t="shared" si="0"/>
        <v>14</v>
      </c>
      <c r="C15" s="22">
        <v>11</v>
      </c>
      <c r="D15" s="22">
        <v>2022</v>
      </c>
      <c r="E15" s="13">
        <f>IF(('DAILY READINGS'!B20-'DAILY READINGS'!B19)&gt;0,('DAILY READINGS'!B20-'DAILY READINGS'!B19),0)</f>
        <v>5742</v>
      </c>
      <c r="F15" s="13">
        <f>IF(('DAILY READINGS'!D20-'DAILY READINGS'!D19)&gt;0,('DAILY READINGS'!D20-'DAILY READINGS'!D19),0)</f>
        <v>121</v>
      </c>
      <c r="G15" s="13">
        <f>IF(('DAILY READINGS'!E20-'DAILY READINGS'!E19)&gt;0,('DAILY READINGS'!E20-'DAILY READINGS'!E19),0)</f>
        <v>129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24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55</v>
      </c>
      <c r="M15" s="13">
        <f>'DAILY READINGS'!K20</f>
        <v>31</v>
      </c>
      <c r="N15" s="8">
        <f>'DAILY READINGS'!L20</f>
        <v>44</v>
      </c>
    </row>
    <row r="16" spans="1:14">
      <c r="A16" s="8" t="s">
        <v>12</v>
      </c>
      <c r="B16" s="22">
        <f t="shared" si="0"/>
        <v>15</v>
      </c>
      <c r="C16" s="22">
        <v>11</v>
      </c>
      <c r="D16" s="22">
        <v>2022</v>
      </c>
      <c r="E16" s="13">
        <f>IF(('DAILY READINGS'!B21-'DAILY READINGS'!B20)&gt;0,('DAILY READINGS'!B21-'DAILY READINGS'!B20),0)</f>
        <v>5582</v>
      </c>
      <c r="F16" s="13">
        <f>IF(('DAILY READINGS'!D21-'DAILY READINGS'!D20)&gt;0,('DAILY READINGS'!D21-'DAILY READINGS'!D20),0)</f>
        <v>115</v>
      </c>
      <c r="G16" s="13">
        <f>IF(('DAILY READINGS'!E21-'DAILY READINGS'!E20)&gt;0,('DAILY READINGS'!E21-'DAILY READINGS'!E20),0)</f>
        <v>118</v>
      </c>
      <c r="H16" s="13">
        <f>IF(('DAILY READINGS'!F21-'DAILY READINGS'!F20)&gt;0,('DAILY READINGS'!F21-'DAILY READINGS'!F20),0)</f>
        <v>0</v>
      </c>
      <c r="I16" s="13">
        <f>IF(('DAILY READINGS'!G21-'DAILY READINGS'!G20)&gt;0,('DAILY READINGS'!G21-'DAILY READINGS'!G20),0)</f>
        <v>17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36</v>
      </c>
      <c r="M16" s="13">
        <f>'DAILY READINGS'!K21</f>
        <v>23</v>
      </c>
      <c r="N16" s="8">
        <f>'DAILY READINGS'!L21</f>
        <v>32</v>
      </c>
    </row>
    <row r="17" spans="1:14">
      <c r="A17" s="8" t="s">
        <v>12</v>
      </c>
      <c r="B17" s="22">
        <f t="shared" si="0"/>
        <v>16</v>
      </c>
      <c r="C17" s="22">
        <v>11</v>
      </c>
      <c r="D17" s="22">
        <v>2022</v>
      </c>
      <c r="E17" s="13">
        <f>IF(('DAILY READINGS'!B22-'DAILY READINGS'!B21)&gt;0,('DAILY READINGS'!B22-'DAILY READINGS'!B21),0)</f>
        <v>4528</v>
      </c>
      <c r="F17" s="13">
        <f>IF(('DAILY READINGS'!D22-'DAILY READINGS'!D21)&gt;0,('DAILY READINGS'!D22-'DAILY READINGS'!D21),0)</f>
        <v>79</v>
      </c>
      <c r="G17" s="13">
        <f>IF(('DAILY READINGS'!E22-'DAILY READINGS'!E21)&gt;0,('DAILY READINGS'!E22-'DAILY READINGS'!E21),0)</f>
        <v>98</v>
      </c>
      <c r="H17" s="13">
        <f>IF(('DAILY READINGS'!F22-'DAILY READINGS'!F21)&gt;0,('DAILY READINGS'!F22-'DAILY READINGS'!F21),0)</f>
        <v>5</v>
      </c>
      <c r="I17" s="13">
        <f>IF(('DAILY READINGS'!G22-'DAILY READINGS'!G21)&gt;0,('DAILY READINGS'!G22-'DAILY READINGS'!G21),0)</f>
        <v>10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84</v>
      </c>
      <c r="M17" s="13">
        <f>'DAILY READINGS'!K22</f>
        <v>14</v>
      </c>
      <c r="N17" s="8">
        <f>'DAILY READINGS'!L22</f>
        <v>25</v>
      </c>
    </row>
    <row r="18" spans="1:14">
      <c r="A18" s="8" t="s">
        <v>12</v>
      </c>
      <c r="B18" s="22">
        <f t="shared" si="0"/>
        <v>17</v>
      </c>
      <c r="C18" s="22">
        <v>11</v>
      </c>
      <c r="D18" s="22">
        <v>2022</v>
      </c>
      <c r="E18" s="13">
        <f>IF(('DAILY READINGS'!B23-'DAILY READINGS'!B22)&gt;0,('DAILY READINGS'!B23-'DAILY READINGS'!B22),0)</f>
        <v>4178</v>
      </c>
      <c r="F18" s="13">
        <f>IF(('DAILY READINGS'!D23-'DAILY READINGS'!D22)&gt;0,('DAILY READINGS'!D23-'DAILY READINGS'!D22),0)</f>
        <v>80</v>
      </c>
      <c r="G18" s="13">
        <f>IF(('DAILY READINGS'!E23-'DAILY READINGS'!E22)&gt;0,('DAILY READINGS'!E23-'DAILY READINGS'!E22),0)</f>
        <v>103</v>
      </c>
      <c r="H18" s="13">
        <f>IF(('DAILY READINGS'!F23-'DAILY READINGS'!F22)&gt;0,('DAILY READINGS'!F23-'DAILY READINGS'!F22),0)</f>
        <v>1</v>
      </c>
      <c r="I18" s="13">
        <f>IF(('DAILY READINGS'!G23-'DAILY READINGS'!G22)&gt;0,('DAILY READINGS'!G23-'DAILY READINGS'!G22),0)</f>
        <v>11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0</v>
      </c>
      <c r="L18" s="13">
        <f>IF(('DAILY READINGS'!J23-'DAILY READINGS'!J22)&gt;0,('DAILY READINGS'!J23-'DAILY READINGS'!J22),0)</f>
        <v>34</v>
      </c>
      <c r="M18" s="13">
        <f>'DAILY READINGS'!K23</f>
        <v>21</v>
      </c>
      <c r="N18" s="8">
        <f>'DAILY READINGS'!L23</f>
        <v>34</v>
      </c>
    </row>
    <row r="19" spans="1:14">
      <c r="A19" s="8" t="s">
        <v>12</v>
      </c>
      <c r="B19" s="22">
        <f t="shared" si="0"/>
        <v>18</v>
      </c>
      <c r="C19" s="22">
        <v>11</v>
      </c>
      <c r="D19" s="22">
        <v>2022</v>
      </c>
      <c r="E19" s="13">
        <f>IF(('DAILY READINGS'!B24-'DAILY READINGS'!B23)&gt;0,('DAILY READINGS'!B24-'DAILY READINGS'!B23),0)</f>
        <v>4446</v>
      </c>
      <c r="F19" s="13">
        <f>IF(('DAILY READINGS'!D24-'DAILY READINGS'!D23)&gt;0,('DAILY READINGS'!D24-'DAILY READINGS'!D23),0)</f>
        <v>77</v>
      </c>
      <c r="G19" s="13">
        <f>IF(('DAILY READINGS'!E24-'DAILY READINGS'!E23)&gt;0,('DAILY READINGS'!E24-'DAILY READINGS'!E23),0)</f>
        <v>122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9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0</v>
      </c>
      <c r="L19" s="13">
        <f>IF(('DAILY READINGS'!J24-'DAILY READINGS'!J23)&gt;0,('DAILY READINGS'!J24-'DAILY READINGS'!J23),0)</f>
        <v>27</v>
      </c>
      <c r="M19" s="13">
        <f>'DAILY READINGS'!K24</f>
        <v>19</v>
      </c>
      <c r="N19" s="8">
        <f>'DAILY READINGS'!L24</f>
        <v>35</v>
      </c>
    </row>
    <row r="20" spans="1:14">
      <c r="A20" s="8" t="s">
        <v>12</v>
      </c>
      <c r="B20" s="22">
        <f t="shared" si="0"/>
        <v>19</v>
      </c>
      <c r="C20" s="22">
        <v>11</v>
      </c>
      <c r="D20" s="22">
        <v>2022</v>
      </c>
      <c r="E20" s="13">
        <f>IF(('DAILY READINGS'!B25-'DAILY READINGS'!B24)&gt;0,('DAILY READINGS'!B25-'DAILY READINGS'!B24),0)</f>
        <v>3526</v>
      </c>
      <c r="F20" s="13">
        <f>IF(('DAILY READINGS'!D25-'DAILY READINGS'!D24)&gt;0,('DAILY READINGS'!D25-'DAILY READINGS'!D24),0)</f>
        <v>84</v>
      </c>
      <c r="G20" s="13">
        <f>IF(('DAILY READINGS'!E25-'DAILY READINGS'!E24)&gt;0,('DAILY READINGS'!E25-'DAILY READINGS'!E24),0)</f>
        <v>90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9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31</v>
      </c>
      <c r="M20" s="13">
        <f>'DAILY READINGS'!K25</f>
        <v>18</v>
      </c>
      <c r="N20" s="8">
        <f>'DAILY READINGS'!L25</f>
        <v>35</v>
      </c>
    </row>
    <row r="21" spans="1:14">
      <c r="A21" s="8" t="s">
        <v>12</v>
      </c>
      <c r="B21" s="22">
        <f t="shared" si="0"/>
        <v>20</v>
      </c>
      <c r="C21" s="22">
        <v>11</v>
      </c>
      <c r="D21" s="22">
        <v>2022</v>
      </c>
      <c r="E21" s="13">
        <f>IF(('DAILY READINGS'!B26-'DAILY READINGS'!B25)&gt;0,('DAILY READINGS'!B26-'DAILY READINGS'!B25),0)</f>
        <v>4870</v>
      </c>
      <c r="F21" s="13">
        <f>IF(('DAILY READINGS'!D26-'DAILY READINGS'!D25)&gt;0,('DAILY READINGS'!D26-'DAILY READINGS'!D25),0)</f>
        <v>100</v>
      </c>
      <c r="G21" s="13">
        <f>IF(('DAILY READINGS'!E26-'DAILY READINGS'!E25)&gt;0,('DAILY READINGS'!E26-'DAILY READINGS'!E25),0)</f>
        <v>119</v>
      </c>
      <c r="H21" s="13">
        <f>IF(('DAILY READINGS'!F26-'DAILY READINGS'!F25)&gt;0,('DAILY READINGS'!F26-'DAILY READINGS'!F25),0)</f>
        <v>2</v>
      </c>
      <c r="I21" s="13">
        <f>IF(('DAILY READINGS'!G26-'DAILY READINGS'!G25)&gt;0,('DAILY READINGS'!G26-'DAILY READINGS'!G25),0)</f>
        <v>9</v>
      </c>
      <c r="J21" s="13">
        <f>IF(('DAILY READINGS'!H26-'DAILY READINGS'!H25)&gt;0,('DAILY READINGS'!H26-'DAILY READINGS'!H25),0)</f>
        <v>1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33</v>
      </c>
      <c r="M21" s="13">
        <f>'DAILY READINGS'!K26</f>
        <v>15</v>
      </c>
      <c r="N21" s="8">
        <f>'DAILY READINGS'!L26</f>
        <v>27</v>
      </c>
    </row>
    <row r="22" spans="1:14">
      <c r="A22" s="8" t="s">
        <v>12</v>
      </c>
      <c r="B22" s="22">
        <f t="shared" si="0"/>
        <v>21</v>
      </c>
      <c r="C22" s="22">
        <v>11</v>
      </c>
      <c r="D22" s="22">
        <v>2022</v>
      </c>
      <c r="E22" s="13">
        <f>IF(('DAILY READINGS'!B27-'DAILY READINGS'!B26)&gt;0,('DAILY READINGS'!B27-'DAILY READINGS'!B26),0)</f>
        <v>4110</v>
      </c>
      <c r="F22" s="13">
        <f>IF(('DAILY READINGS'!D27-'DAILY READINGS'!D26)&gt;0,('DAILY READINGS'!D27-'DAILY READINGS'!D26),0)</f>
        <v>87</v>
      </c>
      <c r="G22" s="13">
        <f>IF(('DAILY READINGS'!E27-'DAILY READINGS'!E26)&gt;0,('DAILY READINGS'!E27-'DAILY READINGS'!E26),0)</f>
        <v>106</v>
      </c>
      <c r="H22" s="13">
        <f>IF(('DAILY READINGS'!F27-'DAILY READINGS'!F26)&gt;0,('DAILY READINGS'!F27-'DAILY READINGS'!F26),0)</f>
        <v>1</v>
      </c>
      <c r="I22" s="13">
        <f>IF(('DAILY READINGS'!H27-'DAILY READINGS'!G26)&gt;0,('DAILY READINGS'!H27-'DAILY READINGS'!G26),0)</f>
        <v>0</v>
      </c>
      <c r="J22" s="13">
        <f>IF(('DAILY READINGS'!H27-'DAILY READINGS'!H26)&gt;0,('DAILY READINGS'!I27-'DAILY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19</v>
      </c>
      <c r="M22" s="13">
        <f>'DAILY READINGS'!K27</f>
        <v>14</v>
      </c>
      <c r="N22" s="8">
        <f>'DAILY READINGS'!L27</f>
        <v>29</v>
      </c>
    </row>
    <row r="23" spans="1:14">
      <c r="A23" s="8" t="s">
        <v>12</v>
      </c>
      <c r="B23" s="22">
        <f t="shared" si="0"/>
        <v>22</v>
      </c>
      <c r="C23" s="22">
        <v>11</v>
      </c>
      <c r="D23" s="22">
        <v>2022</v>
      </c>
      <c r="E23" s="13">
        <f>IF(('DAILY READINGS'!B28-'DAILY READINGS'!B27)&gt;0,('DAILY READINGS'!B28-'DAILY READINGS'!B27),0)</f>
        <v>4156</v>
      </c>
      <c r="F23" s="13">
        <f>IF(('DAILY READINGS'!D28-'DAILY READINGS'!D27)&gt;0,('DAILY READINGS'!D28-'DAILY READINGS'!D27),0)</f>
        <v>85</v>
      </c>
      <c r="G23" s="13">
        <f>IF(('DAILY READINGS'!E28-'DAILY READINGS'!E27)&gt;0,('DAILY READINGS'!E28-'DAILY READINGS'!E27),0)</f>
        <v>97</v>
      </c>
      <c r="H23" s="13">
        <f>IF(('DAILY READINGS'!F28-'DAILY READINGS'!G27)&gt;0,('DAILY READINGS'!F28-'DAILY READINGS'!G27),0)</f>
        <v>0</v>
      </c>
      <c r="I23" s="13">
        <f>IF(('DAILY READINGS'!G28-'DAILY READINGS'!G27)&gt;0,('DAILY READINGS'!G28-'DAILY READINGS'!G27),0)</f>
        <v>21</v>
      </c>
      <c r="J23" s="13">
        <f>IF(('DAILY READINGS'!H28-'DAILY READINGS'!H27)&gt;0,('DAILY READINGS'!H28-'DAILY READINGS'!H27),0)</f>
        <v>0</v>
      </c>
      <c r="K23" s="13">
        <f>IF(('DAILY READINGS'!IL8-'DAILY READINGS'!L27)&gt;0,('DAILY READINGS'!I28-'DAILY READINGS'!L27),0)</f>
        <v>0</v>
      </c>
      <c r="L23" s="13">
        <f>IF(('DAILY READINGS'!J28-'DAILY READINGS'!J27)&gt;0,('DAILY READINGS'!J28-'DAILY READINGS'!J27),0)</f>
        <v>19</v>
      </c>
      <c r="M23" s="13">
        <f>'DAILY READINGS'!K28</f>
        <v>12</v>
      </c>
      <c r="N23" s="8">
        <f>'DAILY READINGS'!L28</f>
        <v>27</v>
      </c>
    </row>
    <row r="24" spans="1:14">
      <c r="A24" s="8" t="s">
        <v>12</v>
      </c>
      <c r="B24" s="22">
        <f t="shared" si="0"/>
        <v>23</v>
      </c>
      <c r="C24" s="22">
        <v>11</v>
      </c>
      <c r="D24" s="22">
        <v>2022</v>
      </c>
      <c r="E24" s="13">
        <f>IF(('DAILY READINGS'!B29-'DAILY READINGS'!B28)&gt;0,('DAILY READINGS'!B29-'DAILY READINGS'!B28),0)</f>
        <v>4058</v>
      </c>
      <c r="F24" s="13">
        <f>IF(('DAILY READINGS'!D29-'DAILY READINGS'!D28)&gt;0,('DAILY READINGS'!D29-'DAILY READINGS'!D28),0)</f>
        <v>73</v>
      </c>
      <c r="G24" s="13">
        <f>IF(('DAILY READINGS'!E29-'DAILY READINGS'!E28)&gt;0,('DAILY READINGS'!E29-'DAILY READINGS'!E28),0)</f>
        <v>90</v>
      </c>
      <c r="H24" s="13">
        <f>IF(('DAILY READINGS'!F29-'DAILY READINGS'!F28)&gt;0,('DAILY READINGS'!F29-'DAILY READINGS'!F28),0)</f>
        <v>0</v>
      </c>
      <c r="I24" s="13">
        <f>IF(('DAILY READINGS'!G29-'DAILY READINGS'!G28)&gt;0,('DAILY READINGS'!G29-'DAILY READINGS'!G28),0)</f>
        <v>7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15</v>
      </c>
      <c r="M24" s="13">
        <f>'DAILY READINGS'!K29</f>
        <v>13</v>
      </c>
      <c r="N24" s="8">
        <f>'DAILY READINGS'!L29</f>
        <v>28</v>
      </c>
    </row>
    <row r="25" spans="1:14">
      <c r="A25" s="8" t="s">
        <v>12</v>
      </c>
      <c r="B25" s="22">
        <f t="shared" si="0"/>
        <v>24</v>
      </c>
      <c r="C25" s="22">
        <v>11</v>
      </c>
      <c r="D25" s="22">
        <v>2022</v>
      </c>
      <c r="E25" s="13">
        <f>IF(('DAILY READINGS'!B30-'DAILY READINGS'!B29)&gt;0,('DAILY READINGS'!B30-'DAILY READINGS'!B29),0)</f>
        <v>3918</v>
      </c>
      <c r="F25" s="13">
        <f>IF(('DAILY READINGS'!D30-'DAILY READINGS'!D29)&gt;0,('DAILY READINGS'!D30-'DAILY READINGS'!D29),0)</f>
        <v>111</v>
      </c>
      <c r="G25" s="13">
        <f>IF(('DAILY READINGS'!E30-'DAILY READINGS'!E29)&gt;0,('DAILY READINGS'!E30-'DAILY READINGS'!E29),0)</f>
        <v>94</v>
      </c>
      <c r="H25" s="13">
        <f>IF(('DAILY READINGS'!F30-'DAILY READINGS'!F29)&gt;0,('DAILY READINGS'!F30-'DAILY READINGS'!F29),0)</f>
        <v>1</v>
      </c>
      <c r="I25" s="13">
        <f>IF(('DAILY READINGS'!G30-'DAILY READINGS'!G29)&gt;0,('DAILY READINGS'!G30-'DAILY READINGS'!G29),0)</f>
        <v>10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19</v>
      </c>
      <c r="M25" s="13">
        <f>'DAILY READINGS'!K30</f>
        <v>12</v>
      </c>
      <c r="N25" s="8">
        <f>'DAILY READINGS'!L30</f>
        <v>26</v>
      </c>
    </row>
    <row r="26" spans="1:14">
      <c r="A26" s="8" t="s">
        <v>12</v>
      </c>
      <c r="B26" s="22">
        <f>B25+1</f>
        <v>25</v>
      </c>
      <c r="C26" s="22">
        <v>11</v>
      </c>
      <c r="D26" s="22">
        <v>2022</v>
      </c>
      <c r="E26" s="13">
        <f>IF(('DAILY READINGS'!B31-'DAILY READINGS'!B30)&gt;0,('DAILY READINGS'!B31-'DAILY READINGS'!B30),0)</f>
        <v>3738</v>
      </c>
      <c r="F26" s="13">
        <f>IF(('DAILY READINGS'!D31-'DAILY READINGS'!D30)&gt;0,('DAILY READINGS'!D31-'DAILY READINGS'!D30),0)</f>
        <v>20</v>
      </c>
      <c r="G26" s="13">
        <f>IF(('DAILY READINGS'!E31-'DAILY READINGS'!E30)&gt;0,('DAILY READINGS'!E31-'DAILY READINGS'!E30),0)</f>
        <v>94</v>
      </c>
      <c r="H26" s="13">
        <f>IF(('DAILY READINGS'!F31-'DAILY READINGS'!F30)&gt;0,('DAILY READINGS'!F31-'DAILY READINGS'!F30),0)</f>
        <v>2</v>
      </c>
      <c r="I26" s="13">
        <f>IF(('DAILY READINGS'!G31-'DAILY READINGS'!G30)&gt;0,('DAILY READINGS'!G31-'DAILY READINGS'!G30),0)</f>
        <v>9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16</v>
      </c>
      <c r="M26" s="13">
        <f>'DAILY READINGS'!K31</f>
        <v>10</v>
      </c>
      <c r="N26" s="8">
        <f>'DAILY READINGS'!L31</f>
        <v>20</v>
      </c>
    </row>
    <row r="27" spans="1:14">
      <c r="A27" s="8" t="s">
        <v>12</v>
      </c>
      <c r="B27" s="22">
        <f t="shared" si="0"/>
        <v>26</v>
      </c>
      <c r="C27" s="22">
        <v>11</v>
      </c>
      <c r="D27" s="22">
        <v>2022</v>
      </c>
      <c r="E27" s="13">
        <f>IF(('DAILY READINGS'!B32-'DAILY READINGS'!B31)&gt;0,('DAILY READINGS'!B32-'DAILY READINGS'!B31),0)</f>
        <v>3648</v>
      </c>
      <c r="F27" s="13">
        <f>IF(('DAILY READINGS'!D32-'DAILY READINGS'!D31)&gt;0,('DAILY READINGS'!D32-'DAILY READINGS'!D31),0)</f>
        <v>56</v>
      </c>
      <c r="G27" s="13">
        <f>IF(('DAILY READINGS'!E32-'DAILY READINGS'!E31)&gt;0,('DAILY READINGS'!E32-'DAILY READINGS'!E31),0)</f>
        <v>84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6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0</v>
      </c>
      <c r="L27" s="13">
        <f>IF(('DAILY READINGS'!J32-'DAILY READINGS'!J31)&gt;0,('DAILY READINGS'!J32-'DAILY READINGS'!J31),0)</f>
        <v>10</v>
      </c>
      <c r="M27" s="13">
        <f>'DAILY READINGS'!K32</f>
        <v>7</v>
      </c>
      <c r="N27" s="8">
        <f>'DAILY READINGS'!L32</f>
        <v>14</v>
      </c>
    </row>
    <row r="28" spans="1:14">
      <c r="A28" s="8" t="s">
        <v>12</v>
      </c>
      <c r="B28" s="22">
        <f t="shared" si="0"/>
        <v>27</v>
      </c>
      <c r="C28" s="22">
        <v>11</v>
      </c>
      <c r="D28" s="22">
        <v>2022</v>
      </c>
      <c r="E28" s="13">
        <f>IF(('DAILY READINGS'!B33-'DAILY READINGS'!B32)&gt;0,('DAILY READINGS'!B33-'DAILY READINGS'!B32),0)</f>
        <v>3942</v>
      </c>
      <c r="F28" s="13">
        <f>IF(('DAILY READINGS'!D33-'DAILY READINGS'!D32)&gt;0,('DAILY READINGS'!D33-'DAILY READINGS'!D32),0)</f>
        <v>59</v>
      </c>
      <c r="G28" s="13">
        <f>IF(('DAILY READINGS'!E33-'DAILY READINGS'!E32)&gt;0,('DAILY READINGS'!E33-'DAILY READINGS'!E32),0)</f>
        <v>98</v>
      </c>
      <c r="H28" s="13">
        <f>IF(('DAILY READINGS'!F33-'DAILY READINGS'!F32)&gt;0,('DAILY READINGS'!F33-'DAILY READINGS'!F32),0)</f>
        <v>2</v>
      </c>
      <c r="I28" s="13">
        <f>IF(('DAILY READINGS'!G33-'DAILY READINGS'!G32)&gt;0,('DAILY READINGS'!G33-'DAILY READINGS'!G32),0)</f>
        <v>7</v>
      </c>
      <c r="J28" s="13">
        <f>IF(('DAILY READINGS'!H33-'DAILY READINGS'!H32)&gt;0,('DAILY READINGS'!H33-'DAILY READINGS'!H32),0)</f>
        <v>1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15</v>
      </c>
      <c r="M28" s="13">
        <f>'DAILY READINGS'!K33</f>
        <v>4</v>
      </c>
      <c r="N28" s="8">
        <f>'DAILY READINGS'!L33</f>
        <v>8</v>
      </c>
    </row>
    <row r="29" spans="1:14">
      <c r="A29" s="8" t="s">
        <v>12</v>
      </c>
      <c r="B29" s="22">
        <f t="shared" si="0"/>
        <v>28</v>
      </c>
      <c r="C29" s="22">
        <v>11</v>
      </c>
      <c r="D29" s="22">
        <v>2022</v>
      </c>
      <c r="E29" s="13">
        <f>IF(('DAILY READINGS'!B34-'DAILY READINGS'!B33)&gt;0,('DAILY READINGS'!B34-'DAILY READINGS'!B33),0)</f>
        <v>3942</v>
      </c>
      <c r="F29" s="13">
        <f>IF(('DAILY READINGS'!D34-'DAILY READINGS'!D33)&gt;0,('DAILY READINGS'!D34-'DAILY READINGS'!D33),0)</f>
        <v>32</v>
      </c>
      <c r="G29" s="13">
        <f>IF(('DAILY READINGS'!E34-'DAILY READINGS'!E33)&gt;0,('DAILY READINGS'!E34-'DAILY READINGS'!E33),0)</f>
        <v>91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4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8</v>
      </c>
      <c r="M29" s="13">
        <f>'DAILY READINGS'!K34</f>
        <v>1</v>
      </c>
      <c r="N29" s="8">
        <f>'DAILY READINGS'!L34</f>
        <v>1</v>
      </c>
    </row>
    <row r="30" spans="1:14">
      <c r="A30" s="8" t="s">
        <v>12</v>
      </c>
      <c r="B30" s="22">
        <f t="shared" si="0"/>
        <v>29</v>
      </c>
      <c r="C30" s="22">
        <v>11</v>
      </c>
      <c r="D30" s="22">
        <v>2022</v>
      </c>
      <c r="E30" s="13">
        <f>IF(('DAILY READINGS'!B35-'DAILY READINGS'!B34)&gt;0,('DAILY READINGS'!B35-'DAILY READINGS'!B34),0)</f>
        <v>1562</v>
      </c>
      <c r="F30" s="13">
        <f>IF(('DAILY READINGS'!D35-'DAILY READINGS'!D34)&gt;0,('DAILY READINGS'!D35-'DAILY READINGS'!D34),0)</f>
        <v>66</v>
      </c>
      <c r="G30" s="13">
        <f>IF(('DAILY READINGS'!E35-'DAILY READINGS'!E34)&gt;0,('DAILY READINGS'!E35-'DAILY READINGS'!E34),0)</f>
        <v>64</v>
      </c>
      <c r="H30" s="13">
        <f>IF(('DAILY READINGS'!F35-'DAILY READINGS'!F34)&gt;0,('DAILY READINGS'!F35-'DAILY READINGS'!F34),0)</f>
        <v>1</v>
      </c>
      <c r="I30" s="13">
        <f>IF(('DAILY READINGS'!G35-'DAILY READINGS'!G34)&gt;0,('DAILY READINGS'!G35-'DAILY READINGS'!G34),0)</f>
        <v>2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0</v>
      </c>
      <c r="L30" s="13">
        <f>IF(('DAILY READINGS'!J35-'DAILY READINGS'!J34)&gt;0,('DAILY READINGS'!J35-'DAILY READINGS'!J34),0)</f>
        <v>16</v>
      </c>
      <c r="M30" s="13">
        <f>'DAILY READINGS'!K35</f>
        <v>1</v>
      </c>
      <c r="N30" s="8">
        <f>'DAILY READINGS'!L35</f>
        <v>1</v>
      </c>
    </row>
    <row r="31" spans="1:14">
      <c r="A31" s="8" t="s">
        <v>12</v>
      </c>
      <c r="B31" s="22">
        <f t="shared" si="0"/>
        <v>30</v>
      </c>
      <c r="C31" s="22">
        <v>11</v>
      </c>
      <c r="D31" s="22">
        <v>2022</v>
      </c>
      <c r="E31" s="13">
        <f>IF(('DAILY READINGS'!B36-'DAILY READINGS'!B35)&gt;0,('DAILY READINGS'!B36-'DAILY READINGS'!B35),0)</f>
        <v>2044</v>
      </c>
      <c r="F31" s="13">
        <f>IF(('DAILY READINGS'!D36-'DAILY READINGS'!D35)&gt;0,('DAILY READINGS'!D36-'DAILY READINGS'!D35),0)</f>
        <v>55</v>
      </c>
      <c r="G31" s="13">
        <f>IF(('DAILY READINGS'!E36-'DAILY READINGS'!E35)&gt;0,('DAILY READINGS'!E36-'DAILY READINGS'!E35),0)</f>
        <v>76</v>
      </c>
      <c r="H31" s="13">
        <f>IF(('DAILY READINGS'!F36-'DAILY READINGS'!F35)&gt;0,('DAILY READINGS'!F36-'DAILY READINGS'!F35),0)</f>
        <v>0</v>
      </c>
      <c r="I31" s="13">
        <f>IF(('DAILY READINGS'!G36-'DAILY READINGS'!G35)&gt;0,('DAILY READINGS'!G36-'DAILY READINGS'!G35),0)</f>
        <v>1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17</v>
      </c>
      <c r="M31" s="13">
        <f>'DAILY READINGS'!K36</f>
        <v>1</v>
      </c>
      <c r="N31" s="8">
        <f>'DAILY READINGS'!L36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opLeftCell="A17" workbookViewId="0">
      <selection activeCell="B37" sqref="B37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30">
        <v>4822112</v>
      </c>
      <c r="C6" s="30">
        <v>666094</v>
      </c>
      <c r="D6" s="30">
        <v>43379</v>
      </c>
      <c r="E6" s="30">
        <v>65836</v>
      </c>
      <c r="F6" s="30">
        <v>6912</v>
      </c>
      <c r="G6" s="30">
        <v>75195</v>
      </c>
      <c r="H6" s="30">
        <v>45322</v>
      </c>
      <c r="I6" s="30">
        <v>49451</v>
      </c>
      <c r="J6" s="30">
        <v>61989</v>
      </c>
      <c r="K6" s="4"/>
      <c r="L6" s="4"/>
    </row>
    <row r="7" spans="1:12" ht="22.5" customHeight="1">
      <c r="A7" s="1">
        <v>1</v>
      </c>
      <c r="B7" s="25">
        <v>4827170</v>
      </c>
      <c r="C7" s="25">
        <v>666402</v>
      </c>
      <c r="D7" s="25">
        <v>43493</v>
      </c>
      <c r="E7" s="25">
        <v>65984</v>
      </c>
      <c r="F7" s="25">
        <v>6913</v>
      </c>
      <c r="G7" s="25">
        <v>75232</v>
      </c>
      <c r="H7" s="25">
        <v>45322</v>
      </c>
      <c r="I7" s="25">
        <v>49451</v>
      </c>
      <c r="J7" s="25">
        <v>62012</v>
      </c>
      <c r="K7" s="25">
        <v>49</v>
      </c>
      <c r="L7" s="25">
        <v>92</v>
      </c>
    </row>
    <row r="8" spans="1:12" ht="22.5" customHeight="1">
      <c r="A8" s="1">
        <v>2</v>
      </c>
      <c r="B8" s="25">
        <v>4833238</v>
      </c>
      <c r="C8" s="25">
        <v>666773</v>
      </c>
      <c r="D8" s="25">
        <v>43614</v>
      </c>
      <c r="E8" s="25">
        <v>66154</v>
      </c>
      <c r="F8" s="25">
        <v>6913</v>
      </c>
      <c r="G8" s="25">
        <v>75266</v>
      </c>
      <c r="H8" s="25">
        <v>45323</v>
      </c>
      <c r="I8" s="25">
        <v>49451</v>
      </c>
      <c r="J8" s="25">
        <v>62056</v>
      </c>
      <c r="K8" s="25">
        <v>52</v>
      </c>
      <c r="L8" s="25">
        <v>98</v>
      </c>
    </row>
    <row r="9" spans="1:12" ht="22.5" customHeight="1">
      <c r="A9" s="1">
        <v>3</v>
      </c>
      <c r="B9" s="25">
        <v>4839370</v>
      </c>
      <c r="C9" s="25">
        <v>667150</v>
      </c>
      <c r="D9" s="25">
        <v>43734</v>
      </c>
      <c r="E9" s="25">
        <v>66314</v>
      </c>
      <c r="F9" s="25">
        <v>6913</v>
      </c>
      <c r="G9" s="25">
        <v>75296</v>
      </c>
      <c r="H9" s="25">
        <v>45323</v>
      </c>
      <c r="I9" s="25">
        <v>49451</v>
      </c>
      <c r="J9" s="25">
        <v>62106</v>
      </c>
      <c r="K9" s="25">
        <v>51</v>
      </c>
      <c r="L9" s="25">
        <v>100</v>
      </c>
    </row>
    <row r="10" spans="1:12" ht="22.5" customHeight="1">
      <c r="A10" s="1">
        <v>4</v>
      </c>
      <c r="B10" s="25">
        <v>4844412</v>
      </c>
      <c r="C10" s="25">
        <v>667480</v>
      </c>
      <c r="D10" s="25">
        <v>43846</v>
      </c>
      <c r="E10" s="25">
        <v>66484</v>
      </c>
      <c r="F10" s="25">
        <v>6914</v>
      </c>
      <c r="G10" s="25">
        <v>75311</v>
      </c>
      <c r="H10" s="25">
        <v>45324</v>
      </c>
      <c r="I10" s="25">
        <v>49451</v>
      </c>
      <c r="J10" s="25">
        <v>62139</v>
      </c>
      <c r="K10" s="25">
        <v>55</v>
      </c>
      <c r="L10" s="25">
        <v>99</v>
      </c>
    </row>
    <row r="11" spans="1:12" ht="22.5" customHeight="1">
      <c r="A11" s="1">
        <v>5</v>
      </c>
      <c r="B11" s="25">
        <v>4850528</v>
      </c>
      <c r="C11" s="25">
        <v>667839</v>
      </c>
      <c r="D11" s="25">
        <v>43996</v>
      </c>
      <c r="E11" s="25">
        <v>66755</v>
      </c>
      <c r="F11" s="25">
        <v>6914</v>
      </c>
      <c r="G11" s="25">
        <v>75363</v>
      </c>
      <c r="H11" s="25">
        <v>45324</v>
      </c>
      <c r="I11" s="25">
        <v>49451</v>
      </c>
      <c r="J11" s="25">
        <v>62217</v>
      </c>
      <c r="K11" s="25">
        <v>45</v>
      </c>
      <c r="L11" s="25">
        <v>79</v>
      </c>
    </row>
    <row r="12" spans="1:12" ht="22.5" customHeight="1">
      <c r="A12" s="1">
        <v>6</v>
      </c>
      <c r="B12" s="25">
        <v>4856028</v>
      </c>
      <c r="C12" s="25">
        <v>668125</v>
      </c>
      <c r="D12" s="25">
        <v>44149</v>
      </c>
      <c r="E12" s="25">
        <v>66946</v>
      </c>
      <c r="F12" s="25">
        <v>6916</v>
      </c>
      <c r="G12" s="25">
        <v>75385</v>
      </c>
      <c r="H12" s="25">
        <v>45325</v>
      </c>
      <c r="I12" s="25">
        <v>49451</v>
      </c>
      <c r="J12" s="25">
        <v>62265</v>
      </c>
      <c r="K12" s="25">
        <v>28</v>
      </c>
      <c r="L12" s="25">
        <v>44</v>
      </c>
    </row>
    <row r="13" spans="1:12" ht="22.5" customHeight="1">
      <c r="A13" s="1">
        <v>7</v>
      </c>
      <c r="B13" s="25">
        <v>4862290</v>
      </c>
      <c r="C13" s="25">
        <v>668416</v>
      </c>
      <c r="D13" s="25">
        <v>44313</v>
      </c>
      <c r="E13" s="25">
        <v>67154</v>
      </c>
      <c r="F13" s="25">
        <v>6917</v>
      </c>
      <c r="G13" s="25">
        <v>75419</v>
      </c>
      <c r="H13" s="25">
        <v>45326</v>
      </c>
      <c r="I13" s="25">
        <v>49451</v>
      </c>
      <c r="J13" s="25">
        <v>62324</v>
      </c>
      <c r="K13" s="25">
        <v>54</v>
      </c>
      <c r="L13" s="25">
        <v>71</v>
      </c>
    </row>
    <row r="14" spans="1:12" ht="22.5" customHeight="1">
      <c r="A14" s="1">
        <v>8</v>
      </c>
      <c r="B14" s="25">
        <v>4868212</v>
      </c>
      <c r="C14" s="25">
        <v>668665</v>
      </c>
      <c r="D14" s="25">
        <v>44465</v>
      </c>
      <c r="E14" s="25">
        <v>67352</v>
      </c>
      <c r="F14" s="25">
        <v>6918</v>
      </c>
      <c r="G14" s="25">
        <v>75450</v>
      </c>
      <c r="H14" s="25">
        <v>45326</v>
      </c>
      <c r="I14" s="25">
        <v>49451</v>
      </c>
      <c r="J14" s="25">
        <v>62369</v>
      </c>
      <c r="K14" s="25">
        <v>105</v>
      </c>
      <c r="L14" s="25">
        <v>150</v>
      </c>
    </row>
    <row r="15" spans="1:12" ht="22.5" customHeight="1">
      <c r="A15" s="1">
        <v>9</v>
      </c>
      <c r="B15" s="25">
        <v>4874046</v>
      </c>
      <c r="C15" s="25">
        <v>668972</v>
      </c>
      <c r="D15" s="25">
        <v>44599</v>
      </c>
      <c r="E15" s="25">
        <v>67543</v>
      </c>
      <c r="F15" s="25">
        <v>6919</v>
      </c>
      <c r="G15" s="25">
        <v>75479</v>
      </c>
      <c r="H15" s="25">
        <v>45326</v>
      </c>
      <c r="I15" s="25">
        <v>49451</v>
      </c>
      <c r="J15" s="25">
        <v>62401</v>
      </c>
      <c r="K15" s="25">
        <v>98</v>
      </c>
      <c r="L15" s="25">
        <v>144</v>
      </c>
    </row>
    <row r="16" spans="1:12" ht="22.5" customHeight="1">
      <c r="A16" s="1">
        <v>10</v>
      </c>
      <c r="B16" s="25">
        <v>4880548</v>
      </c>
      <c r="C16" s="25">
        <v>669317</v>
      </c>
      <c r="D16" s="25">
        <v>44742</v>
      </c>
      <c r="E16" s="25">
        <v>67738</v>
      </c>
      <c r="F16" s="25">
        <v>6920</v>
      </c>
      <c r="G16" s="25">
        <v>75500</v>
      </c>
      <c r="H16" s="25">
        <v>45326</v>
      </c>
      <c r="I16" s="25">
        <v>49451</v>
      </c>
      <c r="J16" s="25">
        <v>62430</v>
      </c>
      <c r="K16" s="25">
        <v>87</v>
      </c>
      <c r="L16" s="25">
        <v>135</v>
      </c>
    </row>
    <row r="17" spans="1:12" ht="22.5" customHeight="1">
      <c r="A17" s="1">
        <v>11</v>
      </c>
      <c r="B17" s="25">
        <v>4886210</v>
      </c>
      <c r="C17" s="27">
        <v>669599</v>
      </c>
      <c r="D17" s="28">
        <v>44887</v>
      </c>
      <c r="E17" s="28">
        <v>67935</v>
      </c>
      <c r="F17" s="28">
        <v>6921</v>
      </c>
      <c r="G17" s="28">
        <v>75564</v>
      </c>
      <c r="H17" s="25">
        <v>45327</v>
      </c>
      <c r="I17" s="25">
        <v>49451</v>
      </c>
      <c r="J17" s="28">
        <v>62528</v>
      </c>
      <c r="K17" s="25">
        <v>91</v>
      </c>
      <c r="L17" s="25">
        <v>146</v>
      </c>
    </row>
    <row r="18" spans="1:12" ht="22.5" customHeight="1">
      <c r="A18" s="1">
        <v>12</v>
      </c>
      <c r="B18" s="25">
        <v>4891050</v>
      </c>
      <c r="C18" s="27">
        <v>669854</v>
      </c>
      <c r="D18" s="28">
        <v>45030</v>
      </c>
      <c r="E18" s="28">
        <v>68138</v>
      </c>
      <c r="F18" s="28">
        <v>6921</v>
      </c>
      <c r="G18" s="28">
        <v>75581</v>
      </c>
      <c r="H18" s="25">
        <v>45327</v>
      </c>
      <c r="I18" s="25">
        <v>49451</v>
      </c>
      <c r="J18" s="28">
        <v>62573</v>
      </c>
      <c r="K18" s="25">
        <v>52</v>
      </c>
      <c r="L18" s="25">
        <v>89</v>
      </c>
    </row>
    <row r="19" spans="1:12" ht="22.5" customHeight="1">
      <c r="A19" s="1">
        <v>13</v>
      </c>
      <c r="B19" s="25">
        <v>4896828</v>
      </c>
      <c r="C19" s="27">
        <v>670198</v>
      </c>
      <c r="D19" s="28">
        <v>45181</v>
      </c>
      <c r="E19" s="28">
        <v>68368</v>
      </c>
      <c r="F19" s="28">
        <v>6921</v>
      </c>
      <c r="G19" s="28">
        <v>75621</v>
      </c>
      <c r="H19" s="28">
        <v>45328</v>
      </c>
      <c r="I19" s="28">
        <v>49451</v>
      </c>
      <c r="J19" s="28">
        <v>62619</v>
      </c>
      <c r="K19" s="25">
        <v>29</v>
      </c>
      <c r="L19" s="25">
        <v>47</v>
      </c>
    </row>
    <row r="20" spans="1:12" ht="22.5" customHeight="1">
      <c r="A20" s="1">
        <v>14</v>
      </c>
      <c r="B20" s="25">
        <v>4902570</v>
      </c>
      <c r="C20" s="27">
        <v>670437</v>
      </c>
      <c r="D20" s="28">
        <v>45302</v>
      </c>
      <c r="E20" s="28">
        <v>68497</v>
      </c>
      <c r="F20" s="28">
        <v>6922</v>
      </c>
      <c r="G20" s="28">
        <v>75645</v>
      </c>
      <c r="H20" s="28">
        <v>45328</v>
      </c>
      <c r="I20" s="28">
        <v>49451</v>
      </c>
      <c r="J20" s="28">
        <v>62674</v>
      </c>
      <c r="K20" s="25">
        <v>31</v>
      </c>
      <c r="L20" s="25">
        <v>44</v>
      </c>
    </row>
    <row r="21" spans="1:12" ht="22.5" customHeight="1">
      <c r="A21" s="1">
        <v>15</v>
      </c>
      <c r="B21" s="25">
        <v>4908152</v>
      </c>
      <c r="C21" s="27">
        <v>670720</v>
      </c>
      <c r="D21" s="28">
        <v>45417</v>
      </c>
      <c r="E21" s="28">
        <v>68615</v>
      </c>
      <c r="F21" s="28">
        <v>6922</v>
      </c>
      <c r="G21" s="28">
        <v>75662</v>
      </c>
      <c r="H21" s="28">
        <v>45328</v>
      </c>
      <c r="I21" s="28">
        <v>49451</v>
      </c>
      <c r="J21" s="28">
        <v>62710</v>
      </c>
      <c r="K21" s="25">
        <v>23</v>
      </c>
      <c r="L21" s="25">
        <v>32</v>
      </c>
    </row>
    <row r="22" spans="1:12" ht="22.5" customHeight="1">
      <c r="A22" s="1">
        <v>16</v>
      </c>
      <c r="B22" s="25">
        <v>4912680</v>
      </c>
      <c r="C22" s="27">
        <v>670879</v>
      </c>
      <c r="D22" s="28">
        <v>45496</v>
      </c>
      <c r="E22" s="28">
        <v>68713</v>
      </c>
      <c r="F22" s="28">
        <v>6927</v>
      </c>
      <c r="G22" s="28">
        <v>75672</v>
      </c>
      <c r="H22" s="28">
        <v>45328</v>
      </c>
      <c r="I22" s="28">
        <v>49451</v>
      </c>
      <c r="J22" s="28">
        <v>62794</v>
      </c>
      <c r="K22" s="25">
        <v>14</v>
      </c>
      <c r="L22" s="25">
        <v>25</v>
      </c>
    </row>
    <row r="23" spans="1:12" ht="22.5" customHeight="1">
      <c r="A23" s="1">
        <v>17</v>
      </c>
      <c r="B23" s="25">
        <v>4916858</v>
      </c>
      <c r="C23" s="27">
        <v>670973</v>
      </c>
      <c r="D23" s="28">
        <v>45576</v>
      </c>
      <c r="E23" s="28">
        <v>68816</v>
      </c>
      <c r="F23" s="28">
        <v>6928</v>
      </c>
      <c r="G23" s="28">
        <v>75683</v>
      </c>
      <c r="H23" s="28">
        <v>45328</v>
      </c>
      <c r="I23" s="28">
        <v>49451</v>
      </c>
      <c r="J23" s="28">
        <v>62828</v>
      </c>
      <c r="K23" s="25">
        <v>21</v>
      </c>
      <c r="L23" s="25">
        <v>34</v>
      </c>
    </row>
    <row r="24" spans="1:12" ht="22.5" customHeight="1">
      <c r="A24" s="1">
        <v>18</v>
      </c>
      <c r="B24" s="25">
        <v>4921304</v>
      </c>
      <c r="C24" s="27">
        <v>671091</v>
      </c>
      <c r="D24" s="28">
        <v>45653</v>
      </c>
      <c r="E24" s="28">
        <v>68938</v>
      </c>
      <c r="F24" s="24">
        <v>6929</v>
      </c>
      <c r="G24" s="28">
        <v>75692</v>
      </c>
      <c r="H24" s="28">
        <v>45328</v>
      </c>
      <c r="I24" s="28">
        <v>49451</v>
      </c>
      <c r="J24" s="28">
        <v>62855</v>
      </c>
      <c r="K24" s="25">
        <v>19</v>
      </c>
      <c r="L24" s="25">
        <v>35</v>
      </c>
    </row>
    <row r="25" spans="1:12" ht="22.5" customHeight="1">
      <c r="A25" s="1">
        <v>19</v>
      </c>
      <c r="B25" s="25">
        <v>4924830</v>
      </c>
      <c r="C25" s="27">
        <v>671192</v>
      </c>
      <c r="D25" s="28">
        <v>45737</v>
      </c>
      <c r="E25" s="28">
        <v>69028</v>
      </c>
      <c r="F25" s="24">
        <v>6929</v>
      </c>
      <c r="G25" s="28">
        <v>75701</v>
      </c>
      <c r="H25" s="28">
        <v>45328</v>
      </c>
      <c r="I25" s="28">
        <v>49451</v>
      </c>
      <c r="J25" s="28">
        <v>62886</v>
      </c>
      <c r="K25" s="25">
        <v>18</v>
      </c>
      <c r="L25" s="25">
        <v>35</v>
      </c>
    </row>
    <row r="26" spans="1:12" ht="22.5" customHeight="1">
      <c r="A26" s="1">
        <v>20</v>
      </c>
      <c r="B26" s="25">
        <v>4929700</v>
      </c>
      <c r="C26" s="27">
        <v>671323</v>
      </c>
      <c r="D26" s="28">
        <v>45837</v>
      </c>
      <c r="E26" s="28">
        <v>69147</v>
      </c>
      <c r="F26" s="28">
        <v>6931</v>
      </c>
      <c r="G26" s="28">
        <v>75710</v>
      </c>
      <c r="H26" s="28">
        <v>45329</v>
      </c>
      <c r="I26" s="28">
        <v>49451</v>
      </c>
      <c r="J26" s="28">
        <v>62919</v>
      </c>
      <c r="K26" s="25">
        <v>15</v>
      </c>
      <c r="L26" s="25">
        <v>27</v>
      </c>
    </row>
    <row r="27" spans="1:12" ht="22.5" customHeight="1">
      <c r="A27" s="1">
        <v>21</v>
      </c>
      <c r="B27" s="25">
        <v>4933810</v>
      </c>
      <c r="C27" s="27">
        <v>671437</v>
      </c>
      <c r="D27" s="31">
        <v>45924</v>
      </c>
      <c r="E27" s="28">
        <v>69253</v>
      </c>
      <c r="F27" s="28">
        <v>6932</v>
      </c>
      <c r="G27" s="28">
        <v>75712</v>
      </c>
      <c r="H27" s="28">
        <v>45329</v>
      </c>
      <c r="I27" s="28">
        <v>49451</v>
      </c>
      <c r="J27" s="28">
        <v>62938</v>
      </c>
      <c r="K27" s="25">
        <v>14</v>
      </c>
      <c r="L27" s="25">
        <v>29</v>
      </c>
    </row>
    <row r="28" spans="1:12" ht="22.5" customHeight="1">
      <c r="A28" s="1">
        <v>22</v>
      </c>
      <c r="B28" s="25">
        <v>4937966</v>
      </c>
      <c r="C28" s="27">
        <v>671544</v>
      </c>
      <c r="D28" s="28">
        <v>46009</v>
      </c>
      <c r="E28" s="28">
        <v>69350</v>
      </c>
      <c r="F28" s="28">
        <v>6933</v>
      </c>
      <c r="G28" s="28">
        <v>75733</v>
      </c>
      <c r="H28" s="28">
        <v>45329</v>
      </c>
      <c r="I28" s="28">
        <v>49451</v>
      </c>
      <c r="J28" s="28">
        <v>62957</v>
      </c>
      <c r="K28" s="25">
        <v>12</v>
      </c>
      <c r="L28" s="25">
        <v>27</v>
      </c>
    </row>
    <row r="29" spans="1:12" ht="22.5" customHeight="1">
      <c r="A29" s="1">
        <v>23</v>
      </c>
      <c r="B29" s="25">
        <v>4942024</v>
      </c>
      <c r="C29" s="27">
        <v>671626</v>
      </c>
      <c r="D29" s="28">
        <v>46082</v>
      </c>
      <c r="E29" s="28">
        <v>69440</v>
      </c>
      <c r="F29" s="28">
        <v>6933</v>
      </c>
      <c r="G29" s="28">
        <v>75740</v>
      </c>
      <c r="H29" s="28">
        <v>45329</v>
      </c>
      <c r="I29" s="28">
        <v>49451</v>
      </c>
      <c r="J29" s="28">
        <v>62972</v>
      </c>
      <c r="K29" s="25">
        <v>13</v>
      </c>
      <c r="L29" s="25">
        <v>28</v>
      </c>
    </row>
    <row r="30" spans="1:12" ht="22.5" customHeight="1">
      <c r="A30" s="1">
        <v>24</v>
      </c>
      <c r="B30" s="25">
        <v>4945942</v>
      </c>
      <c r="C30" s="27">
        <v>671700</v>
      </c>
      <c r="D30" s="28">
        <v>46193</v>
      </c>
      <c r="E30" s="28">
        <v>69534</v>
      </c>
      <c r="F30" s="28">
        <v>6934</v>
      </c>
      <c r="G30" s="28">
        <v>75750</v>
      </c>
      <c r="H30" s="28">
        <v>45329</v>
      </c>
      <c r="I30" s="28">
        <v>49451</v>
      </c>
      <c r="J30" s="28">
        <v>62991</v>
      </c>
      <c r="K30" s="25">
        <v>12</v>
      </c>
      <c r="L30" s="25">
        <v>26</v>
      </c>
    </row>
    <row r="31" spans="1:12" ht="22.5" customHeight="1">
      <c r="A31" s="1">
        <v>25</v>
      </c>
      <c r="B31" s="25">
        <v>4949680</v>
      </c>
      <c r="C31" s="27">
        <v>671769</v>
      </c>
      <c r="D31" s="28">
        <v>46213</v>
      </c>
      <c r="E31" s="28">
        <v>69628</v>
      </c>
      <c r="F31" s="28">
        <v>6936</v>
      </c>
      <c r="G31" s="28">
        <v>75759</v>
      </c>
      <c r="H31" s="28">
        <v>45329</v>
      </c>
      <c r="I31" s="28">
        <v>49451</v>
      </c>
      <c r="J31" s="28">
        <v>63007</v>
      </c>
      <c r="K31" s="25">
        <v>10</v>
      </c>
      <c r="L31" s="25">
        <v>20</v>
      </c>
    </row>
    <row r="32" spans="1:12" ht="22.5" customHeight="1">
      <c r="A32" s="1">
        <v>26</v>
      </c>
      <c r="B32" s="25">
        <v>4953328</v>
      </c>
      <c r="C32" s="27">
        <v>671845</v>
      </c>
      <c r="D32" s="28">
        <v>46269</v>
      </c>
      <c r="E32" s="28">
        <v>69712</v>
      </c>
      <c r="F32" s="28">
        <v>6936</v>
      </c>
      <c r="G32" s="28">
        <v>75765</v>
      </c>
      <c r="H32" s="28">
        <v>45329</v>
      </c>
      <c r="I32" s="28">
        <v>49451</v>
      </c>
      <c r="J32" s="28">
        <v>63017</v>
      </c>
      <c r="K32" s="25">
        <v>7</v>
      </c>
      <c r="L32" s="25">
        <v>14</v>
      </c>
    </row>
    <row r="33" spans="1:12" ht="22.5" customHeight="1">
      <c r="A33" s="1">
        <v>27</v>
      </c>
      <c r="B33" s="25">
        <v>4957270</v>
      </c>
      <c r="C33" s="27">
        <v>671928</v>
      </c>
      <c r="D33" s="28">
        <v>46328</v>
      </c>
      <c r="E33" s="28">
        <v>69810</v>
      </c>
      <c r="F33" s="28">
        <v>6938</v>
      </c>
      <c r="G33" s="28">
        <v>75772</v>
      </c>
      <c r="H33" s="28">
        <v>45330</v>
      </c>
      <c r="I33" s="28">
        <v>49451</v>
      </c>
      <c r="J33" s="28">
        <v>63032</v>
      </c>
      <c r="K33" s="25">
        <v>4</v>
      </c>
      <c r="L33" s="25">
        <v>8</v>
      </c>
    </row>
    <row r="34" spans="1:12" ht="22.5" customHeight="1">
      <c r="A34" s="1">
        <v>28</v>
      </c>
      <c r="B34" s="25">
        <v>4961212</v>
      </c>
      <c r="C34" s="27">
        <v>672005</v>
      </c>
      <c r="D34" s="28">
        <v>46360</v>
      </c>
      <c r="E34" s="28">
        <v>69901</v>
      </c>
      <c r="F34" s="28">
        <v>6939</v>
      </c>
      <c r="G34" s="28">
        <v>75776</v>
      </c>
      <c r="H34" s="28">
        <v>45330</v>
      </c>
      <c r="I34" s="28">
        <v>49451</v>
      </c>
      <c r="J34" s="28">
        <v>63040</v>
      </c>
      <c r="K34" s="25">
        <v>1</v>
      </c>
      <c r="L34" s="25">
        <v>1</v>
      </c>
    </row>
    <row r="35" spans="1:12" ht="22.5" customHeight="1">
      <c r="A35" s="1">
        <v>29</v>
      </c>
      <c r="B35" s="25">
        <v>4962774</v>
      </c>
      <c r="C35" s="27">
        <v>672036</v>
      </c>
      <c r="D35" s="28">
        <v>46426</v>
      </c>
      <c r="E35" s="28">
        <v>69965</v>
      </c>
      <c r="F35" s="28">
        <v>6940</v>
      </c>
      <c r="G35" s="28">
        <v>75778</v>
      </c>
      <c r="H35" s="28">
        <v>45330</v>
      </c>
      <c r="I35" s="28">
        <v>49451</v>
      </c>
      <c r="J35" s="28">
        <v>63056</v>
      </c>
      <c r="K35" s="25">
        <v>1</v>
      </c>
      <c r="L35" s="25">
        <v>1</v>
      </c>
    </row>
    <row r="36" spans="1:12" ht="22.5" customHeight="1">
      <c r="A36" s="1">
        <v>30</v>
      </c>
      <c r="B36" s="25">
        <v>4964818</v>
      </c>
      <c r="C36" s="27">
        <v>672049</v>
      </c>
      <c r="D36" s="28">
        <v>46481</v>
      </c>
      <c r="E36" s="28">
        <v>70041</v>
      </c>
      <c r="F36" s="28">
        <v>6940</v>
      </c>
      <c r="G36" s="28">
        <v>75779</v>
      </c>
      <c r="H36" s="28">
        <v>45330</v>
      </c>
      <c r="I36" s="28">
        <v>49451</v>
      </c>
      <c r="J36" s="28">
        <v>63073</v>
      </c>
      <c r="K36" s="25">
        <v>1</v>
      </c>
      <c r="L36" s="25">
        <v>1</v>
      </c>
    </row>
    <row r="37" spans="1:12" ht="27">
      <c r="A37" s="5" t="s">
        <v>29</v>
      </c>
      <c r="B37" s="26">
        <f>B36-B6</f>
        <v>142706</v>
      </c>
      <c r="C37" s="26">
        <f t="shared" ref="C37:J37" si="0">C36-C6</f>
        <v>5955</v>
      </c>
      <c r="D37" s="26">
        <f t="shared" si="0"/>
        <v>3102</v>
      </c>
      <c r="E37" s="26">
        <f t="shared" si="0"/>
        <v>4205</v>
      </c>
      <c r="F37" s="26">
        <f t="shared" si="0"/>
        <v>28</v>
      </c>
      <c r="G37" s="26">
        <f t="shared" si="0"/>
        <v>584</v>
      </c>
      <c r="H37" s="26">
        <f t="shared" si="0"/>
        <v>8</v>
      </c>
      <c r="I37" s="26">
        <f t="shared" si="0"/>
        <v>0</v>
      </c>
      <c r="J37" s="26">
        <f t="shared" si="0"/>
        <v>1084</v>
      </c>
      <c r="K37" s="28">
        <f>K6+K7+K8+K9+K10+K11+K12+K13+K14+K15+K16+K17+K18+K19+K20+K21+K22+K23+K24+K25+K26+K27+K28+K29+K30+K31+K32+K33+K34+K35+K36</f>
        <v>1012</v>
      </c>
      <c r="L37" s="28">
        <f>L6+L7+L8+L9+L10+L11+L12+L13+L14+L15+L16+L17+L18+L19+L20+L21+L22+L23+L24+L25+L26+L27+L28+L29+L30+L31+L32+L33+L34+L35+L36</f>
        <v>1681</v>
      </c>
    </row>
    <row r="38" spans="1:12" ht="22.5" customHeight="1">
      <c r="A38" s="1" t="s">
        <v>30</v>
      </c>
      <c r="B38" s="29">
        <f>B37</f>
        <v>142706</v>
      </c>
      <c r="C38" s="7"/>
      <c r="D38" s="32">
        <f>SUM(D37:E37)</f>
        <v>7307</v>
      </c>
      <c r="E38" s="33"/>
      <c r="F38" s="32">
        <f>SUM(F37:J37)</f>
        <v>1704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25" right="0.25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56A9-0E57-4CE3-AB7C-009986C7F13E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907F73-2B1C-4994-B680-5D287821F466}"/>
</file>

<file path=customXml/itemProps2.xml><?xml version="1.0" encoding="utf-8"?>
<ds:datastoreItem xmlns:ds="http://schemas.openxmlformats.org/officeDocument/2006/customXml" ds:itemID="{B4EB02EC-C4F9-4158-871C-B650809ECFD4}"/>
</file>

<file path=customXml/itemProps3.xml><?xml version="1.0" encoding="utf-8"?>
<ds:datastoreItem xmlns:ds="http://schemas.openxmlformats.org/officeDocument/2006/customXml" ds:itemID="{2460F61B-EB75-453B-8632-5263646B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2022-12-16T09:03:37Z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